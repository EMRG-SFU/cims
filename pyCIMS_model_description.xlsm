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N:\CIMS\pyCIMS\Model Description\"/>
    </mc:Choice>
  </mc:AlternateContent>
  <xr:revisionPtr revIDLastSave="0" documentId="13_ncr:1_{17C7EDF2-E761-408E-9D89-2B6EB4052CE3}" xr6:coauthVersionLast="45" xr6:coauthVersionMax="45" xr10:uidLastSave="{00000000-0000-0000-0000-000000000000}"/>
  <bookViews>
    <workbookView xWindow="34800" yWindow="-870" windowWidth="18000" windowHeight="9360" activeTab="1" xr2:uid="{E476153B-9FEF-4406-8A04-624F81383283}"/>
  </bookViews>
  <sheets>
    <sheet name="Notes" sheetId="110" r:id="rId1"/>
    <sheet name="Formulas" sheetId="117" r:id="rId2"/>
    <sheet name="Lists" sheetId="16" r:id="rId3"/>
    <sheet name="Conversions" sheetId="112" r:id="rId4"/>
    <sheet name="Coefficients" sheetId="109" r:id="rId5"/>
    <sheet name="Incompatible" sheetId="116" r:id="rId6"/>
    <sheet name="Model" sheetId="102" r:id="rId7"/>
    <sheet name="Format" sheetId="114" r:id="rId8"/>
    <sheet name="Sheet3" sheetId="115" state="hidden" r:id="rId9"/>
    <sheet name="Macro" sheetId="103" r:id="rId10"/>
    <sheet name="Prices" sheetId="111" r:id="rId11"/>
    <sheet name="Residential" sheetId="104" r:id="rId12"/>
    <sheet name="Electricity" sheetId="113" r:id="rId13"/>
    <sheet name="Example calcs 2000" sheetId="105" r:id="rId14"/>
    <sheet name="Example calcs 2005" sheetId="108" r:id="rId15"/>
  </sheets>
  <functionGroups builtInGroupCount="19"/>
  <externalReferences>
    <externalReference r:id="rId16"/>
  </externalReferences>
  <definedNames>
    <definedName name="_xlnm._FilterDatabase" localSheetId="13" hidden="1">'Example calcs 2000'!$H$4:$Z$103</definedName>
    <definedName name="_xlnm._FilterDatabase" localSheetId="14" hidden="1">'Example calcs 2005'!$H$4:$AH$103</definedName>
    <definedName name="_xlnm._FilterDatabase" localSheetId="6" hidden="1">Model!$AZ$2:$BP$1191</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Model!$BF$2:$BP$2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1191" i="102" l="1"/>
  <c r="AZ1190" i="102"/>
  <c r="AZ1189" i="102"/>
  <c r="AZ1188" i="102"/>
  <c r="AZ1187" i="102"/>
  <c r="AZ1186" i="102"/>
  <c r="AZ1185" i="102"/>
  <c r="AZ1184" i="102"/>
  <c r="AZ1183" i="102"/>
  <c r="AZ1182" i="102"/>
  <c r="AZ1181" i="102"/>
  <c r="AZ1180" i="102"/>
  <c r="AZ1179" i="102"/>
  <c r="AZ1178" i="102"/>
  <c r="AZ1177" i="102"/>
  <c r="AZ1176" i="102"/>
  <c r="AZ1175" i="102"/>
  <c r="AZ1174" i="102"/>
  <c r="AZ1173" i="102"/>
  <c r="AZ1172" i="102"/>
  <c r="AZ1171" i="102"/>
  <c r="AZ1170" i="102"/>
  <c r="AZ1169" i="102"/>
  <c r="AZ1168" i="102"/>
  <c r="AZ1167" i="102"/>
  <c r="AZ1166" i="102"/>
  <c r="AZ1165" i="102"/>
  <c r="AZ1164" i="102"/>
  <c r="AZ1163" i="102"/>
  <c r="AZ1162" i="102"/>
  <c r="AZ1161" i="102"/>
  <c r="AZ1160" i="102"/>
  <c r="AZ1159" i="102"/>
  <c r="AZ1158" i="102"/>
  <c r="AZ1157" i="102"/>
  <c r="AZ1156" i="102"/>
  <c r="AZ1155" i="102"/>
  <c r="AZ1154" i="102"/>
  <c r="AZ1153" i="102"/>
  <c r="AZ1152" i="102"/>
  <c r="AZ1151" i="102"/>
  <c r="AZ1150" i="102"/>
  <c r="AZ1149" i="102"/>
  <c r="AZ1148" i="102"/>
  <c r="AZ1147" i="102"/>
  <c r="AZ1146" i="102"/>
  <c r="AZ1145" i="102"/>
  <c r="AZ1144" i="102"/>
  <c r="AZ1143" i="102"/>
  <c r="AZ1142" i="102"/>
  <c r="AZ1141" i="102"/>
  <c r="AZ1140" i="102"/>
  <c r="AZ1139" i="102"/>
  <c r="AZ1138" i="102"/>
  <c r="AZ1137" i="102"/>
  <c r="AZ1136" i="102"/>
  <c r="AZ1135" i="102"/>
  <c r="AZ1134" i="102"/>
  <c r="AZ1133" i="102"/>
  <c r="AZ1132" i="102"/>
  <c r="AZ1131" i="102"/>
  <c r="AZ1130" i="102"/>
  <c r="AZ1129" i="102"/>
  <c r="AZ1128" i="102"/>
  <c r="AZ1127" i="102"/>
  <c r="AZ1126" i="102"/>
  <c r="AZ1125" i="102"/>
  <c r="AZ1124" i="102"/>
  <c r="AZ1123" i="102"/>
  <c r="AZ1122" i="102"/>
  <c r="AZ1121" i="102"/>
  <c r="AZ1120" i="102"/>
  <c r="AZ1119" i="102"/>
  <c r="AZ1118" i="102"/>
  <c r="AZ1117" i="102"/>
  <c r="AZ1116" i="102"/>
  <c r="AZ1115" i="102"/>
  <c r="AZ1114" i="102"/>
  <c r="AZ1113" i="102"/>
  <c r="AZ1112" i="102"/>
  <c r="AZ1111" i="102"/>
  <c r="AZ1110" i="102"/>
  <c r="AZ1109" i="102"/>
  <c r="AZ1108" i="102"/>
  <c r="AZ1107" i="102"/>
  <c r="AZ1106" i="102"/>
  <c r="AZ1105" i="102"/>
  <c r="AZ1104" i="102"/>
  <c r="AZ1103" i="102"/>
  <c r="AZ1102" i="102"/>
  <c r="AZ1101" i="102"/>
  <c r="AZ1100" i="102"/>
  <c r="AZ1099" i="102"/>
  <c r="AZ1098" i="102"/>
  <c r="AZ1097" i="102"/>
  <c r="AZ1096" i="102"/>
  <c r="AZ1095" i="102"/>
  <c r="AZ1094" i="102"/>
  <c r="AZ1093" i="102"/>
  <c r="AZ1092" i="102"/>
  <c r="AZ1091" i="102"/>
  <c r="AZ1090" i="102"/>
  <c r="AZ1089" i="102"/>
  <c r="AZ1088" i="102"/>
  <c r="AZ1087" i="102"/>
  <c r="AZ1086" i="102"/>
  <c r="AZ1085" i="102"/>
  <c r="AZ1084" i="102"/>
  <c r="AZ1083" i="102"/>
  <c r="AZ1082" i="102"/>
  <c r="AZ1081" i="102"/>
  <c r="AZ1080" i="102"/>
  <c r="AZ1079" i="102"/>
  <c r="AZ1078" i="102"/>
  <c r="AZ1077" i="102"/>
  <c r="AZ1076" i="102"/>
  <c r="AZ1075" i="102"/>
  <c r="AZ1074" i="102"/>
  <c r="AZ1073" i="102"/>
  <c r="AZ1072" i="102"/>
  <c r="AZ1071" i="102"/>
  <c r="AZ1070" i="102"/>
  <c r="AZ1069" i="102"/>
  <c r="AZ1068" i="102"/>
  <c r="AZ1067" i="102"/>
  <c r="AZ1066" i="102"/>
  <c r="AZ1065" i="102"/>
  <c r="AZ1064" i="102"/>
  <c r="AZ1063" i="102"/>
  <c r="AZ1062" i="102"/>
  <c r="AZ1061" i="102"/>
  <c r="AZ1060" i="102"/>
  <c r="AZ1059" i="102"/>
  <c r="AZ1058" i="102"/>
  <c r="AZ1057" i="102"/>
  <c r="AZ1056" i="102"/>
  <c r="AZ1055" i="102"/>
  <c r="AZ1054" i="102"/>
  <c r="AZ1053" i="102"/>
  <c r="AZ1052" i="102"/>
  <c r="AZ1051" i="102"/>
  <c r="AZ1050" i="102"/>
  <c r="AZ1049" i="102"/>
  <c r="AZ1048" i="102"/>
  <c r="AZ1047" i="102"/>
  <c r="AZ1046" i="102"/>
  <c r="AZ1045" i="102"/>
  <c r="AZ1044" i="102"/>
  <c r="AZ1043" i="102"/>
  <c r="AZ1042" i="102"/>
  <c r="AZ1041" i="102"/>
  <c r="AZ1040" i="102"/>
  <c r="AZ1039" i="102"/>
  <c r="AZ1038" i="102"/>
  <c r="AZ1037" i="102"/>
  <c r="AZ1036" i="102"/>
  <c r="AZ1035" i="102"/>
  <c r="AZ1034" i="102"/>
  <c r="AZ1033" i="102"/>
  <c r="AZ1032" i="102"/>
  <c r="AZ1031" i="102"/>
  <c r="AZ1030" i="102"/>
  <c r="AZ1029" i="102"/>
  <c r="AZ1028" i="102"/>
  <c r="AZ1027" i="102"/>
  <c r="AZ1026" i="102"/>
  <c r="AZ1025" i="102"/>
  <c r="AZ1024" i="102"/>
  <c r="AZ1023" i="102"/>
  <c r="AZ1022" i="102"/>
  <c r="AZ1021" i="102"/>
  <c r="AZ1020" i="102"/>
  <c r="AZ1019" i="102"/>
  <c r="AZ1018" i="102"/>
  <c r="AZ1017" i="102"/>
  <c r="AZ1016" i="102"/>
  <c r="AZ1015" i="102"/>
  <c r="AZ1014" i="102"/>
  <c r="AZ1013" i="102"/>
  <c r="AZ1012" i="102"/>
  <c r="AZ1011" i="102"/>
  <c r="AZ1010" i="102"/>
  <c r="AZ1009" i="102"/>
  <c r="AZ1008" i="102"/>
  <c r="AZ1007" i="102"/>
  <c r="AZ1006" i="102"/>
  <c r="AZ1005" i="102"/>
  <c r="AZ1004" i="102"/>
  <c r="AZ1003" i="102"/>
  <c r="AZ1002" i="102"/>
  <c r="AZ1001" i="102"/>
  <c r="AZ1000" i="102"/>
  <c r="AZ999" i="102"/>
  <c r="AZ998" i="102"/>
  <c r="AZ997" i="102"/>
  <c r="AZ996" i="102"/>
  <c r="AZ995" i="102"/>
  <c r="AZ994" i="102"/>
  <c r="AZ993" i="102"/>
  <c r="AZ992" i="102"/>
  <c r="AZ991" i="102"/>
  <c r="AZ990" i="102"/>
  <c r="AZ989" i="102"/>
  <c r="AZ988" i="102"/>
  <c r="AZ987" i="102"/>
  <c r="AZ986" i="102"/>
  <c r="AZ985" i="102"/>
  <c r="AZ984" i="102"/>
  <c r="AZ983" i="102"/>
  <c r="AZ982" i="102"/>
  <c r="AZ981" i="102"/>
  <c r="AZ980" i="102"/>
  <c r="AZ979" i="102"/>
  <c r="AZ978" i="102"/>
  <c r="AZ977" i="102"/>
  <c r="AZ976" i="102"/>
  <c r="AZ975" i="102"/>
  <c r="AZ974" i="102"/>
  <c r="AZ973" i="102"/>
  <c r="AZ972" i="102"/>
  <c r="AZ971" i="102"/>
  <c r="AZ970" i="102"/>
  <c r="AZ969" i="102"/>
  <c r="AZ968" i="102"/>
  <c r="AZ967" i="102"/>
  <c r="AZ966" i="102"/>
  <c r="AZ965" i="102"/>
  <c r="AZ964" i="102"/>
  <c r="AZ963" i="102"/>
  <c r="AZ962" i="102"/>
  <c r="AZ961" i="102"/>
  <c r="AZ960" i="102"/>
  <c r="AZ959" i="102"/>
  <c r="AZ958" i="102"/>
  <c r="AZ957" i="102"/>
  <c r="AZ956" i="102"/>
  <c r="AZ955" i="102"/>
  <c r="AZ954" i="102"/>
  <c r="AZ953" i="102"/>
  <c r="AZ952" i="102"/>
  <c r="AZ951" i="102"/>
  <c r="AZ950" i="102"/>
  <c r="AZ949" i="102"/>
  <c r="AZ948" i="102"/>
  <c r="AZ947" i="102"/>
  <c r="AZ946" i="102"/>
  <c r="AZ945" i="102"/>
  <c r="AZ944" i="102"/>
  <c r="AZ943" i="102"/>
  <c r="AZ942" i="102"/>
  <c r="AZ941" i="102"/>
  <c r="AZ940" i="102"/>
  <c r="AZ939" i="102"/>
  <c r="AZ938" i="102"/>
  <c r="AZ937" i="102"/>
  <c r="AZ936" i="102"/>
  <c r="AZ935" i="102"/>
  <c r="AZ934" i="102"/>
  <c r="AZ933" i="102"/>
  <c r="AZ932" i="102"/>
  <c r="AZ931" i="102"/>
  <c r="AZ930" i="102"/>
  <c r="AZ929" i="102"/>
  <c r="AZ928" i="102"/>
  <c r="AZ927" i="102"/>
  <c r="AZ926" i="102"/>
  <c r="AZ925" i="102"/>
  <c r="AZ924" i="102"/>
  <c r="AZ923" i="102"/>
  <c r="AZ922" i="102"/>
  <c r="AZ921" i="102"/>
  <c r="AZ920" i="102"/>
  <c r="AZ919" i="102"/>
  <c r="AZ918" i="102"/>
  <c r="AZ917" i="102"/>
  <c r="AZ916" i="102"/>
  <c r="AZ915" i="102"/>
  <c r="AZ914" i="102"/>
  <c r="AZ913" i="102"/>
  <c r="AZ912" i="102"/>
  <c r="AZ911" i="102"/>
  <c r="AZ910" i="102"/>
  <c r="AZ909" i="102"/>
  <c r="AZ908" i="102"/>
  <c r="AZ907" i="102"/>
  <c r="AZ906" i="102"/>
  <c r="AZ905" i="102"/>
  <c r="AZ904" i="102"/>
  <c r="AZ903" i="102"/>
  <c r="AZ902" i="102"/>
  <c r="AZ901" i="102"/>
  <c r="AZ900" i="102"/>
  <c r="AZ899" i="102"/>
  <c r="AZ898" i="102"/>
  <c r="AZ897" i="102"/>
  <c r="AZ896" i="102"/>
  <c r="AZ895" i="102"/>
  <c r="AZ894" i="102"/>
  <c r="AZ893" i="102"/>
  <c r="AZ892" i="102"/>
  <c r="AZ891" i="102"/>
  <c r="AZ890" i="102"/>
  <c r="AZ889" i="102"/>
  <c r="AZ888" i="102"/>
  <c r="AZ887" i="102"/>
  <c r="AZ886" i="102"/>
  <c r="AZ885" i="102"/>
  <c r="AZ884" i="102"/>
  <c r="AZ883" i="102"/>
  <c r="AZ882" i="102"/>
  <c r="AZ881" i="102"/>
  <c r="AZ880" i="102"/>
  <c r="AZ879" i="102"/>
  <c r="AZ878" i="102"/>
  <c r="AZ877" i="102"/>
  <c r="AZ876" i="102"/>
  <c r="AZ875" i="102"/>
  <c r="AZ874" i="102"/>
  <c r="AZ873" i="102"/>
  <c r="AZ872" i="102"/>
  <c r="AZ871" i="102"/>
  <c r="AZ870" i="102"/>
  <c r="AZ869" i="102"/>
  <c r="AZ868" i="102"/>
  <c r="AZ867" i="102"/>
  <c r="AZ866" i="102"/>
  <c r="AZ865" i="102"/>
  <c r="AZ864" i="102"/>
  <c r="AZ863" i="102"/>
  <c r="AZ862" i="102"/>
  <c r="AZ861" i="102"/>
  <c r="AZ860" i="102"/>
  <c r="AZ859" i="102"/>
  <c r="AZ858" i="102"/>
  <c r="AZ857" i="102"/>
  <c r="AZ856" i="102"/>
  <c r="AZ855" i="102"/>
  <c r="AZ854" i="102"/>
  <c r="AZ853" i="102"/>
  <c r="AZ852" i="102"/>
  <c r="AZ851" i="102"/>
  <c r="AZ850" i="102"/>
  <c r="AZ849" i="102"/>
  <c r="AZ848" i="102"/>
  <c r="AZ847" i="102"/>
  <c r="AZ846" i="102"/>
  <c r="AZ845" i="102"/>
  <c r="AZ844" i="102"/>
  <c r="AZ843" i="102"/>
  <c r="AZ842" i="102"/>
  <c r="AZ841" i="102"/>
  <c r="AZ840" i="102"/>
  <c r="AZ839" i="102"/>
  <c r="AZ838" i="102"/>
  <c r="AZ837" i="102"/>
  <c r="AZ836" i="102"/>
  <c r="AZ835" i="102"/>
  <c r="AZ834" i="102"/>
  <c r="AZ833" i="102"/>
  <c r="AZ832" i="102"/>
  <c r="AZ831" i="102"/>
  <c r="AZ830" i="102"/>
  <c r="AZ829" i="102"/>
  <c r="AZ828" i="102"/>
  <c r="AZ827" i="102"/>
  <c r="AZ826" i="102"/>
  <c r="AZ825" i="102"/>
  <c r="AZ824" i="102"/>
  <c r="AZ823" i="102"/>
  <c r="AZ822" i="102"/>
  <c r="AZ821" i="102"/>
  <c r="AZ820" i="102"/>
  <c r="AZ819" i="102"/>
  <c r="AZ818" i="102"/>
  <c r="AZ817" i="102"/>
  <c r="AZ816" i="102"/>
  <c r="AZ815" i="102"/>
  <c r="AZ814" i="102"/>
  <c r="AZ813" i="102"/>
  <c r="AZ812" i="102"/>
  <c r="AZ811" i="102"/>
  <c r="AZ810" i="102"/>
  <c r="AZ809" i="102"/>
  <c r="AZ808" i="102"/>
  <c r="AZ807" i="102"/>
  <c r="AZ806" i="102"/>
  <c r="AZ805" i="102"/>
  <c r="AZ804" i="102"/>
  <c r="AZ803" i="102"/>
  <c r="AZ802" i="102"/>
  <c r="AZ801" i="102"/>
  <c r="AZ800" i="102"/>
  <c r="AZ799" i="102"/>
  <c r="AZ798" i="102"/>
  <c r="AZ797" i="102"/>
  <c r="AZ796" i="102"/>
  <c r="AZ795" i="102"/>
  <c r="AZ794" i="102"/>
  <c r="AZ793" i="102"/>
  <c r="AZ792" i="102"/>
  <c r="AZ791" i="102"/>
  <c r="AZ790" i="102"/>
  <c r="AZ789" i="102"/>
  <c r="AZ788" i="102"/>
  <c r="AZ787" i="102"/>
  <c r="AZ786" i="102"/>
  <c r="AZ785" i="102"/>
  <c r="AZ784" i="102"/>
  <c r="AZ783" i="102"/>
  <c r="AZ782" i="102"/>
  <c r="AZ781" i="102"/>
  <c r="AZ780" i="102"/>
  <c r="AZ779" i="102"/>
  <c r="AZ778" i="102"/>
  <c r="AZ777" i="102"/>
  <c r="AZ776" i="102"/>
  <c r="AZ775" i="102"/>
  <c r="AZ774" i="102"/>
  <c r="AZ773" i="102"/>
  <c r="AZ772" i="102"/>
  <c r="AZ771" i="102"/>
  <c r="AZ770" i="102"/>
  <c r="AZ769" i="102"/>
  <c r="AZ768" i="102"/>
  <c r="AZ767" i="102"/>
  <c r="AZ766" i="102"/>
  <c r="AZ765" i="102"/>
  <c r="AZ764" i="102"/>
  <c r="AZ763" i="102"/>
  <c r="AZ762" i="102"/>
  <c r="AZ761" i="102"/>
  <c r="AZ760" i="102"/>
  <c r="AZ759" i="102"/>
  <c r="AZ758" i="102"/>
  <c r="AZ757" i="102"/>
  <c r="AZ756" i="102"/>
  <c r="AZ755" i="102"/>
  <c r="AZ754" i="102"/>
  <c r="AZ753" i="102"/>
  <c r="AZ752" i="102"/>
  <c r="AZ751" i="102"/>
  <c r="AZ750" i="102"/>
  <c r="AZ749" i="102"/>
  <c r="AZ748" i="102"/>
  <c r="AZ747" i="102"/>
  <c r="AZ746" i="102"/>
  <c r="AZ745" i="102"/>
  <c r="AZ744" i="102"/>
  <c r="AZ743" i="102"/>
  <c r="AZ742" i="102"/>
  <c r="AZ741" i="102"/>
  <c r="AZ740" i="102"/>
  <c r="AZ739" i="102"/>
  <c r="AZ738" i="102"/>
  <c r="AZ737" i="102"/>
  <c r="AZ736" i="102"/>
  <c r="AZ735" i="102"/>
  <c r="AZ734" i="102"/>
  <c r="AZ733" i="102"/>
  <c r="AZ732" i="102"/>
  <c r="AZ731" i="102"/>
  <c r="AZ730" i="102"/>
  <c r="AZ729" i="102"/>
  <c r="AZ728" i="102"/>
  <c r="AZ727" i="102"/>
  <c r="AZ726" i="102"/>
  <c r="AZ725" i="102"/>
  <c r="AZ724" i="102"/>
  <c r="AZ723" i="102"/>
  <c r="AZ722" i="102"/>
  <c r="AZ721" i="102"/>
  <c r="AZ720" i="102"/>
  <c r="AZ719" i="102"/>
  <c r="AZ718" i="102"/>
  <c r="AZ717" i="102"/>
  <c r="AZ716" i="102"/>
  <c r="AZ715" i="102"/>
  <c r="AZ714" i="102"/>
  <c r="AZ713" i="102"/>
  <c r="AZ712" i="102"/>
  <c r="AZ711" i="102"/>
  <c r="AZ710" i="102"/>
  <c r="AZ709" i="102"/>
  <c r="AZ708" i="102"/>
  <c r="AZ707" i="102"/>
  <c r="AZ706" i="102"/>
  <c r="AZ705" i="102"/>
  <c r="AZ704" i="102"/>
  <c r="AZ703" i="102"/>
  <c r="AZ702" i="102"/>
  <c r="AZ701" i="102"/>
  <c r="AZ700" i="102"/>
  <c r="AZ699" i="102"/>
  <c r="AZ698" i="102"/>
  <c r="AZ697" i="102"/>
  <c r="AZ696" i="102"/>
  <c r="AZ695" i="102"/>
  <c r="AZ694" i="102"/>
  <c r="AZ693" i="102"/>
  <c r="AZ692" i="102"/>
  <c r="AZ691" i="102"/>
  <c r="AZ690" i="102"/>
  <c r="AZ689" i="102"/>
  <c r="AZ688" i="102"/>
  <c r="AZ687" i="102"/>
  <c r="AZ686" i="102"/>
  <c r="AZ685" i="102"/>
  <c r="AZ684" i="102"/>
  <c r="AZ683" i="102"/>
  <c r="AZ682" i="102"/>
  <c r="AZ681" i="102"/>
  <c r="AZ680" i="102"/>
  <c r="AZ679" i="102"/>
  <c r="AZ678" i="102"/>
  <c r="AZ677" i="102"/>
  <c r="AZ676" i="102"/>
  <c r="AZ675" i="102"/>
  <c r="AZ674" i="102"/>
  <c r="AZ673" i="102"/>
  <c r="AZ672" i="102"/>
  <c r="AZ671" i="102"/>
  <c r="AZ670" i="102"/>
  <c r="AZ669" i="102"/>
  <c r="AZ668" i="102"/>
  <c r="AZ667" i="102"/>
  <c r="AZ666" i="102"/>
  <c r="AZ665" i="102"/>
  <c r="AZ664" i="102"/>
  <c r="AZ663" i="102"/>
  <c r="AZ662" i="102"/>
  <c r="AZ661" i="102"/>
  <c r="AZ660" i="102"/>
  <c r="AZ659" i="102"/>
  <c r="AZ658" i="102"/>
  <c r="AZ657" i="102"/>
  <c r="AZ656" i="102"/>
  <c r="AZ655" i="102"/>
  <c r="AZ654" i="102"/>
  <c r="AZ653" i="102"/>
  <c r="AZ652" i="102"/>
  <c r="AZ651" i="102"/>
  <c r="AZ650" i="102"/>
  <c r="AZ649" i="102"/>
  <c r="AZ648" i="102"/>
  <c r="AZ647" i="102"/>
  <c r="AZ646" i="102"/>
  <c r="AZ645" i="102"/>
  <c r="AZ644" i="102"/>
  <c r="AZ643" i="102"/>
  <c r="AZ642" i="102"/>
  <c r="AZ641" i="102"/>
  <c r="AZ640" i="102"/>
  <c r="AZ639" i="102"/>
  <c r="AZ638" i="102"/>
  <c r="AZ637" i="102"/>
  <c r="AZ636" i="102"/>
  <c r="AZ635" i="102"/>
  <c r="AZ634" i="102"/>
  <c r="AZ633" i="102"/>
  <c r="AZ632" i="102"/>
  <c r="AZ631" i="102"/>
  <c r="AZ630" i="102"/>
  <c r="AZ629" i="102"/>
  <c r="AZ628" i="102"/>
  <c r="AZ627" i="102"/>
  <c r="AZ626" i="102"/>
  <c r="AZ625" i="102"/>
  <c r="AZ624" i="102"/>
  <c r="AZ623" i="102"/>
  <c r="AZ622" i="102"/>
  <c r="AZ621" i="102"/>
  <c r="AZ620" i="102"/>
  <c r="AZ619" i="102"/>
  <c r="AZ618" i="102"/>
  <c r="AZ617" i="102"/>
  <c r="AZ616" i="102"/>
  <c r="AZ615" i="102"/>
  <c r="AZ614" i="102"/>
  <c r="AZ613" i="102"/>
  <c r="AZ612" i="102"/>
  <c r="AZ611" i="102"/>
  <c r="AZ610" i="102"/>
  <c r="AZ609" i="102"/>
  <c r="AZ608" i="102"/>
  <c r="AZ607" i="102"/>
  <c r="AZ606" i="102"/>
  <c r="AZ605" i="102"/>
  <c r="AZ604" i="102"/>
  <c r="AZ603" i="102"/>
  <c r="AZ602" i="102"/>
  <c r="AZ601" i="102"/>
  <c r="AZ600" i="102"/>
  <c r="AZ599" i="102"/>
  <c r="AZ598" i="102"/>
  <c r="AZ597" i="102"/>
  <c r="AZ596" i="102"/>
  <c r="AZ595" i="102"/>
  <c r="AZ594" i="102"/>
  <c r="AZ593" i="102"/>
  <c r="AZ592" i="102"/>
  <c r="AZ591" i="102"/>
  <c r="AZ590" i="102"/>
  <c r="AZ589" i="102"/>
  <c r="AZ588" i="102"/>
  <c r="AZ587" i="102"/>
  <c r="AZ586" i="102"/>
  <c r="AZ585" i="102"/>
  <c r="AZ584" i="102"/>
  <c r="AZ583" i="102"/>
  <c r="AZ582" i="102"/>
  <c r="AZ581" i="102"/>
  <c r="AZ580" i="102"/>
  <c r="AZ579" i="102"/>
  <c r="AZ578" i="102"/>
  <c r="AZ577" i="102"/>
  <c r="AZ576" i="102"/>
  <c r="AZ575" i="102"/>
  <c r="AZ574" i="102"/>
  <c r="AZ573" i="102"/>
  <c r="AZ572" i="102"/>
  <c r="AZ571" i="102"/>
  <c r="AZ570" i="102"/>
  <c r="AZ569" i="102"/>
  <c r="AZ568" i="102"/>
  <c r="AZ567" i="102"/>
  <c r="AZ566" i="102"/>
  <c r="AZ565" i="102"/>
  <c r="AZ564" i="102"/>
  <c r="AZ563" i="102"/>
  <c r="AZ562" i="102"/>
  <c r="AZ561" i="102"/>
  <c r="AZ560" i="102"/>
  <c r="AZ559" i="102"/>
  <c r="AZ558" i="102"/>
  <c r="AZ557" i="102"/>
  <c r="AZ556" i="102"/>
  <c r="AZ555" i="102"/>
  <c r="AZ554" i="102"/>
  <c r="AZ553" i="102"/>
  <c r="AZ552" i="102"/>
  <c r="AZ551" i="102"/>
  <c r="AZ550" i="102"/>
  <c r="AZ549" i="102"/>
  <c r="AZ548" i="102"/>
  <c r="AZ547" i="102"/>
  <c r="AZ546" i="102"/>
  <c r="AZ545" i="102"/>
  <c r="AZ544" i="102"/>
  <c r="AZ543" i="102"/>
  <c r="AZ542" i="102"/>
  <c r="AZ541" i="102"/>
  <c r="AZ540" i="102"/>
  <c r="AZ539" i="102"/>
  <c r="AZ538" i="102"/>
  <c r="AZ537" i="102"/>
  <c r="AZ536" i="102"/>
  <c r="AZ535" i="102"/>
  <c r="AZ534" i="102"/>
  <c r="AZ533" i="102"/>
  <c r="AZ532" i="102"/>
  <c r="AZ531" i="102"/>
  <c r="AZ530" i="102"/>
  <c r="AZ529" i="102"/>
  <c r="AZ528" i="102"/>
  <c r="AZ527" i="102"/>
  <c r="AZ526" i="102"/>
  <c r="AZ525" i="102"/>
  <c r="AZ524" i="102"/>
  <c r="AZ523" i="102"/>
  <c r="AZ522" i="102"/>
  <c r="AZ521" i="102"/>
  <c r="AZ520" i="102"/>
  <c r="AZ519" i="102"/>
  <c r="AZ518" i="102"/>
  <c r="AZ517" i="102"/>
  <c r="AZ516" i="102"/>
  <c r="AZ515" i="102"/>
  <c r="AZ514" i="102"/>
  <c r="AZ513" i="102"/>
  <c r="AZ512" i="102"/>
  <c r="AZ511" i="102"/>
  <c r="AZ510" i="102"/>
  <c r="AZ509" i="102"/>
  <c r="AZ508" i="102"/>
  <c r="AZ507" i="102"/>
  <c r="AZ506" i="102"/>
  <c r="AZ505" i="102"/>
  <c r="AZ504" i="102"/>
  <c r="AZ503" i="102"/>
  <c r="AZ502" i="102"/>
  <c r="AZ501" i="102"/>
  <c r="AZ500" i="102"/>
  <c r="AZ499" i="102"/>
  <c r="AZ498" i="102"/>
  <c r="AZ497" i="102"/>
  <c r="AZ496" i="102"/>
  <c r="AZ495" i="102"/>
  <c r="AZ494" i="102"/>
  <c r="AZ493" i="102"/>
  <c r="AZ492" i="102"/>
  <c r="AZ491" i="102"/>
  <c r="AZ490" i="102"/>
  <c r="AZ489" i="102"/>
  <c r="AZ488" i="102"/>
  <c r="AZ487" i="102"/>
  <c r="AZ486" i="102"/>
  <c r="AZ485" i="102"/>
  <c r="AZ484" i="102"/>
  <c r="AZ483" i="102"/>
  <c r="AZ482" i="102"/>
  <c r="AZ481" i="102"/>
  <c r="AZ480" i="102"/>
  <c r="AZ479" i="102"/>
  <c r="AZ478" i="102"/>
  <c r="AZ477" i="102"/>
  <c r="AZ476" i="102"/>
  <c r="AZ475" i="102"/>
  <c r="AZ474" i="102"/>
  <c r="AZ473" i="102"/>
  <c r="AZ472" i="102"/>
  <c r="AZ471" i="102"/>
  <c r="AZ470" i="102"/>
  <c r="AZ469" i="102"/>
  <c r="AZ468" i="102"/>
  <c r="AZ467" i="102"/>
  <c r="AZ466" i="102"/>
  <c r="AZ465" i="102"/>
  <c r="AZ464" i="102"/>
  <c r="AZ463" i="102"/>
  <c r="AZ462" i="102"/>
  <c r="AZ461" i="102"/>
  <c r="AZ460" i="102"/>
  <c r="AZ459" i="102"/>
  <c r="AZ458" i="102"/>
  <c r="AZ457" i="102"/>
  <c r="AZ456" i="102"/>
  <c r="AZ455" i="102"/>
  <c r="AZ454" i="102"/>
  <c r="AZ453" i="102"/>
  <c r="AZ452" i="102"/>
  <c r="AZ451" i="102"/>
  <c r="AZ450" i="102"/>
  <c r="AZ449" i="102"/>
  <c r="AZ448" i="102"/>
  <c r="AZ447" i="102"/>
  <c r="AZ446" i="102"/>
  <c r="AZ445" i="102"/>
  <c r="AZ444" i="102"/>
  <c r="AZ443" i="102"/>
  <c r="AZ442" i="102"/>
  <c r="AZ441" i="102"/>
  <c r="AZ440" i="102"/>
  <c r="AZ439" i="102"/>
  <c r="AZ438" i="102"/>
  <c r="AZ437" i="102"/>
  <c r="AZ436" i="102"/>
  <c r="AZ435" i="102"/>
  <c r="AZ434" i="102"/>
  <c r="AZ433" i="102"/>
  <c r="AZ432" i="102"/>
  <c r="AZ431" i="102"/>
  <c r="AZ430" i="102"/>
  <c r="AZ429" i="102"/>
  <c r="AZ428" i="102"/>
  <c r="AZ427" i="102"/>
  <c r="AZ426" i="102"/>
  <c r="AZ425" i="102"/>
  <c r="AZ424" i="102"/>
  <c r="AZ423" i="102"/>
  <c r="AZ422" i="102"/>
  <c r="AZ421" i="102"/>
  <c r="AZ420" i="102"/>
  <c r="AZ419" i="102"/>
  <c r="AZ418" i="102"/>
  <c r="AZ417" i="102"/>
  <c r="AZ416" i="102"/>
  <c r="AZ415" i="102"/>
  <c r="AZ414" i="102"/>
  <c r="AZ413" i="102"/>
  <c r="AZ412" i="102"/>
  <c r="AZ411" i="102"/>
  <c r="AZ410" i="102"/>
  <c r="AZ409" i="102"/>
  <c r="AZ408" i="102"/>
  <c r="AZ407" i="102"/>
  <c r="AZ406" i="102"/>
  <c r="AZ405" i="102"/>
  <c r="AZ404" i="102"/>
  <c r="AZ403" i="102"/>
  <c r="AZ402" i="102"/>
  <c r="AZ401" i="102"/>
  <c r="AZ400" i="102"/>
  <c r="AZ399" i="102"/>
  <c r="AZ398" i="102"/>
  <c r="AZ397" i="102"/>
  <c r="AZ396" i="102"/>
  <c r="AZ395" i="102"/>
  <c r="AZ394" i="102"/>
  <c r="AZ393" i="102"/>
  <c r="AZ392" i="102"/>
  <c r="AZ391" i="102"/>
  <c r="AZ390" i="102"/>
  <c r="AZ389" i="102"/>
  <c r="AZ388" i="102"/>
  <c r="AZ387" i="102"/>
  <c r="AZ386" i="102"/>
  <c r="AZ385" i="102"/>
  <c r="AZ384" i="102"/>
  <c r="AZ383" i="102"/>
  <c r="AZ382" i="102"/>
  <c r="AZ381" i="102"/>
  <c r="AZ380" i="102"/>
  <c r="AZ379" i="102"/>
  <c r="AZ378" i="102"/>
  <c r="AZ377" i="102"/>
  <c r="AZ376" i="102"/>
  <c r="AZ375" i="102"/>
  <c r="AZ374" i="102"/>
  <c r="AZ373" i="102"/>
  <c r="AZ372" i="102"/>
  <c r="AZ371" i="102"/>
  <c r="AZ370" i="102"/>
  <c r="AZ369" i="102"/>
  <c r="AZ368" i="102"/>
  <c r="AZ367" i="102"/>
  <c r="AZ366" i="102"/>
  <c r="AZ365" i="102"/>
  <c r="AZ364" i="102"/>
  <c r="AZ363" i="102"/>
  <c r="AZ362" i="102"/>
  <c r="AZ361" i="102"/>
  <c r="AZ360" i="102"/>
  <c r="AZ359" i="102"/>
  <c r="AZ358" i="102"/>
  <c r="AZ357" i="102"/>
  <c r="AZ356" i="102"/>
  <c r="AZ355" i="102"/>
  <c r="AZ354" i="102"/>
  <c r="AZ353" i="102"/>
  <c r="AZ352" i="102"/>
  <c r="AZ351" i="102"/>
  <c r="AZ350" i="102"/>
  <c r="AZ349" i="102"/>
  <c r="AZ348" i="102"/>
  <c r="AZ347" i="102"/>
  <c r="AZ346" i="102"/>
  <c r="AZ345" i="102"/>
  <c r="AZ344" i="102"/>
  <c r="AZ343" i="102"/>
  <c r="AZ342" i="102"/>
  <c r="AZ341" i="102"/>
  <c r="AZ340" i="102"/>
  <c r="AZ339" i="102"/>
  <c r="AZ338" i="102"/>
  <c r="AZ337" i="102"/>
  <c r="AZ336" i="102"/>
  <c r="AZ335" i="102"/>
  <c r="AZ334" i="102"/>
  <c r="AZ333" i="102"/>
  <c r="AZ332" i="102"/>
  <c r="AZ331" i="102"/>
  <c r="AZ330" i="102"/>
  <c r="AZ329" i="102"/>
  <c r="AZ328" i="102"/>
  <c r="AZ327" i="102"/>
  <c r="AZ326" i="102"/>
  <c r="AZ325" i="102"/>
  <c r="AZ324" i="102"/>
  <c r="AZ323" i="102"/>
  <c r="AZ322" i="102"/>
  <c r="AZ321" i="102"/>
  <c r="AZ320" i="102"/>
  <c r="AZ319" i="102"/>
  <c r="AZ318" i="102"/>
  <c r="AZ317" i="102"/>
  <c r="AZ316" i="102"/>
  <c r="AZ315" i="102"/>
  <c r="AZ314" i="102"/>
  <c r="AZ313" i="102"/>
  <c r="AZ312" i="102"/>
  <c r="AZ311" i="102"/>
  <c r="AZ310" i="102"/>
  <c r="AZ309" i="102"/>
  <c r="AZ308" i="102"/>
  <c r="AZ307" i="102"/>
  <c r="AZ306" i="102"/>
  <c r="AZ305" i="102"/>
  <c r="AZ304" i="102"/>
  <c r="AZ303" i="102"/>
  <c r="AZ302" i="102"/>
  <c r="AZ301" i="102"/>
  <c r="AZ300" i="102"/>
  <c r="AZ299" i="102"/>
  <c r="AZ298" i="102"/>
  <c r="AZ297" i="102"/>
  <c r="AZ296" i="102"/>
  <c r="AZ295" i="102"/>
  <c r="AZ294" i="102"/>
  <c r="AZ293" i="102"/>
  <c r="AZ292" i="102"/>
  <c r="AZ291" i="102"/>
  <c r="AZ290" i="102"/>
  <c r="AZ289" i="102"/>
  <c r="AZ288" i="102"/>
  <c r="AZ287" i="102"/>
  <c r="AZ286" i="102"/>
  <c r="AZ285" i="102"/>
  <c r="AZ284" i="102"/>
  <c r="AZ283" i="102"/>
  <c r="AZ282" i="102"/>
  <c r="AZ281" i="102"/>
  <c r="AZ280" i="102"/>
  <c r="AZ279" i="102"/>
  <c r="AZ278" i="102"/>
  <c r="AZ277" i="102"/>
  <c r="AZ276" i="102"/>
  <c r="AZ275" i="102"/>
  <c r="AZ274" i="102"/>
  <c r="AZ273" i="102"/>
  <c r="AZ272" i="102"/>
  <c r="AZ271" i="102"/>
  <c r="AZ270" i="102"/>
  <c r="AZ269" i="102"/>
  <c r="AZ268" i="102"/>
  <c r="AZ267" i="102"/>
  <c r="AZ266" i="102"/>
  <c r="AZ265" i="102"/>
  <c r="AZ264" i="102"/>
  <c r="AZ263" i="102"/>
  <c r="AZ262" i="102"/>
  <c r="AZ261" i="102"/>
  <c r="AZ260" i="102"/>
  <c r="AZ259" i="102"/>
  <c r="AZ258" i="102"/>
  <c r="AZ257" i="102"/>
  <c r="AZ256" i="102"/>
  <c r="AZ255" i="102"/>
  <c r="AZ254" i="102"/>
  <c r="AZ253" i="102"/>
  <c r="AZ252" i="102"/>
  <c r="AZ251" i="102"/>
  <c r="AZ250" i="102"/>
  <c r="AZ249" i="102"/>
  <c r="AZ248" i="102"/>
  <c r="AZ247" i="102"/>
  <c r="AZ246" i="102"/>
  <c r="AZ245" i="102"/>
  <c r="AZ244" i="102"/>
  <c r="AZ243" i="102"/>
  <c r="AZ242" i="102"/>
  <c r="AZ241" i="102"/>
  <c r="AZ240" i="102"/>
  <c r="AZ239" i="102"/>
  <c r="AZ238" i="102"/>
  <c r="AZ237" i="102"/>
  <c r="AZ236" i="102"/>
  <c r="AZ235" i="102"/>
  <c r="AZ234" i="102"/>
  <c r="AZ233" i="102"/>
  <c r="AZ232" i="102"/>
  <c r="AZ231" i="102"/>
  <c r="AZ230" i="102"/>
  <c r="AZ229" i="102"/>
  <c r="AZ228" i="102"/>
  <c r="AZ227" i="102"/>
  <c r="AZ226" i="102"/>
  <c r="AZ225" i="102"/>
  <c r="AZ224" i="102"/>
  <c r="AZ223" i="102"/>
  <c r="AZ222" i="102"/>
  <c r="AZ221" i="102"/>
  <c r="AZ220" i="102"/>
  <c r="AZ219" i="102"/>
  <c r="AZ218" i="102"/>
  <c r="AZ217" i="102"/>
  <c r="AZ216" i="102"/>
  <c r="AZ215" i="102"/>
  <c r="AZ214" i="102"/>
  <c r="AZ213" i="102"/>
  <c r="AZ212" i="102"/>
  <c r="AZ211" i="102"/>
  <c r="AZ210" i="102"/>
  <c r="AZ209" i="102"/>
  <c r="AZ208" i="102"/>
  <c r="AZ207" i="102"/>
  <c r="AZ206" i="102"/>
  <c r="AZ205" i="102"/>
  <c r="AZ204" i="102"/>
  <c r="AZ203" i="102"/>
  <c r="AZ202" i="102"/>
  <c r="AZ201" i="102"/>
  <c r="AZ200" i="102"/>
  <c r="AZ199" i="102"/>
  <c r="AZ198" i="102"/>
  <c r="AZ197" i="102"/>
  <c r="AZ196" i="102"/>
  <c r="AZ195" i="102"/>
  <c r="AZ194" i="102"/>
  <c r="AZ193" i="102"/>
  <c r="AZ192" i="102"/>
  <c r="AZ191" i="102"/>
  <c r="AZ190" i="102"/>
  <c r="AZ189" i="102"/>
  <c r="AZ188" i="102"/>
  <c r="AZ187" i="102"/>
  <c r="AZ186" i="102"/>
  <c r="AZ185" i="102"/>
  <c r="AZ184" i="102"/>
  <c r="AZ183" i="102"/>
  <c r="AZ182" i="102"/>
  <c r="AZ181" i="102"/>
  <c r="AZ180" i="102"/>
  <c r="AZ179" i="102"/>
  <c r="AZ178" i="102"/>
  <c r="AZ177" i="102"/>
  <c r="AZ176" i="102"/>
  <c r="AZ175" i="102"/>
  <c r="AZ174" i="102"/>
  <c r="AZ173" i="102"/>
  <c r="AZ172" i="102"/>
  <c r="AZ171" i="102"/>
  <c r="AZ170" i="102"/>
  <c r="AZ169" i="102"/>
  <c r="AZ168" i="102"/>
  <c r="AZ167" i="102"/>
  <c r="AZ166" i="102"/>
  <c r="AZ165" i="102"/>
  <c r="AZ164" i="102"/>
  <c r="AZ163" i="102"/>
  <c r="AZ162" i="102"/>
  <c r="AZ161" i="102"/>
  <c r="AZ160" i="102"/>
  <c r="AZ159" i="102"/>
  <c r="AZ158" i="102"/>
  <c r="AZ157" i="102"/>
  <c r="AZ156" i="102"/>
  <c r="AZ155" i="102"/>
  <c r="AZ154" i="102"/>
  <c r="AZ153" i="102"/>
  <c r="AZ152" i="102"/>
  <c r="AZ151" i="102"/>
  <c r="AZ150" i="102"/>
  <c r="AZ149" i="102"/>
  <c r="AZ148" i="102"/>
  <c r="AZ147" i="102"/>
  <c r="AZ146" i="102"/>
  <c r="AZ145" i="102"/>
  <c r="AZ144" i="102"/>
  <c r="AZ143" i="102"/>
  <c r="AZ142" i="102"/>
  <c r="AZ141" i="102"/>
  <c r="AZ140" i="102"/>
  <c r="AZ139" i="102"/>
  <c r="AZ138" i="102"/>
  <c r="AZ137" i="102"/>
  <c r="AZ136" i="102"/>
  <c r="AZ135" i="102"/>
  <c r="AZ134" i="102"/>
  <c r="AZ133" i="102"/>
  <c r="AZ132" i="102"/>
  <c r="AZ131" i="102"/>
  <c r="AZ130" i="102"/>
  <c r="AZ129" i="102"/>
  <c r="AZ128" i="102"/>
  <c r="AZ127" i="102"/>
  <c r="AZ126" i="102"/>
  <c r="AZ125" i="102"/>
  <c r="AZ124" i="102"/>
  <c r="AZ123" i="102"/>
  <c r="AZ122" i="102"/>
  <c r="AZ121" i="102"/>
  <c r="AZ120" i="102"/>
  <c r="AZ119" i="102"/>
  <c r="AZ118" i="102"/>
  <c r="AZ117" i="102"/>
  <c r="AZ116" i="102"/>
  <c r="AZ115" i="102"/>
  <c r="AZ114" i="102"/>
  <c r="AZ113" i="102"/>
  <c r="AZ112" i="102"/>
  <c r="AZ111" i="102"/>
  <c r="AZ110" i="102"/>
  <c r="AZ109" i="102"/>
  <c r="AZ108" i="102"/>
  <c r="AZ107" i="102"/>
  <c r="AZ106" i="102"/>
  <c r="AZ105" i="102"/>
  <c r="AZ104" i="102"/>
  <c r="AZ103" i="102"/>
  <c r="AZ102" i="102"/>
  <c r="AZ101" i="102"/>
  <c r="AZ100" i="102"/>
  <c r="AZ99" i="102"/>
  <c r="AZ98" i="102"/>
  <c r="AZ97" i="102"/>
  <c r="AZ96" i="102"/>
  <c r="AZ95" i="102"/>
  <c r="AZ94" i="102"/>
  <c r="AZ93" i="102"/>
  <c r="AZ92" i="102"/>
  <c r="AZ91" i="102"/>
  <c r="AZ90" i="102"/>
  <c r="AZ89" i="102"/>
  <c r="AZ88" i="102"/>
  <c r="AZ87" i="102"/>
  <c r="AZ86" i="102"/>
  <c r="AZ85" i="102"/>
  <c r="AZ84" i="102"/>
  <c r="AZ83" i="102"/>
  <c r="AZ82" i="102"/>
  <c r="AZ81" i="102"/>
  <c r="AZ80" i="102"/>
  <c r="AZ79" i="102"/>
  <c r="AZ78" i="102"/>
  <c r="AZ77" i="102"/>
  <c r="AZ76" i="102"/>
  <c r="AZ75" i="102"/>
  <c r="AZ74" i="102"/>
  <c r="AZ73" i="102"/>
  <c r="AZ72" i="102"/>
  <c r="AZ71" i="102"/>
  <c r="AZ70" i="102"/>
  <c r="AZ69" i="102"/>
  <c r="AZ68" i="102"/>
  <c r="AZ67" i="102"/>
  <c r="AZ66" i="102"/>
  <c r="AZ65" i="102"/>
  <c r="AZ64" i="102"/>
  <c r="AZ63" i="102"/>
  <c r="AZ62" i="102"/>
  <c r="AZ61" i="102"/>
  <c r="AZ60" i="102"/>
  <c r="AZ59" i="102"/>
  <c r="AZ58" i="102"/>
  <c r="AZ57" i="102"/>
  <c r="AZ56" i="102"/>
  <c r="AZ55" i="102"/>
  <c r="AZ54" i="102"/>
  <c r="AZ53" i="102"/>
  <c r="AZ52" i="102"/>
  <c r="AZ51" i="102"/>
  <c r="AZ50" i="102"/>
  <c r="AZ49" i="102"/>
  <c r="AZ48" i="102"/>
  <c r="AZ47" i="102"/>
  <c r="AZ46" i="102"/>
  <c r="AZ45" i="102"/>
  <c r="AZ44" i="102"/>
  <c r="AZ43" i="102"/>
  <c r="AZ42" i="102"/>
  <c r="AZ41" i="102"/>
  <c r="AZ40" i="102"/>
  <c r="AZ39" i="102"/>
  <c r="AZ38" i="102"/>
  <c r="AZ37" i="102"/>
  <c r="AZ36" i="102"/>
  <c r="AZ35" i="102"/>
  <c r="AZ34" i="102"/>
  <c r="AZ33" i="102"/>
  <c r="AZ32" i="102"/>
  <c r="AZ31" i="102"/>
  <c r="AZ30" i="102"/>
  <c r="AZ29" i="102"/>
  <c r="AZ28" i="102"/>
  <c r="AZ27" i="102"/>
  <c r="AZ26" i="102"/>
  <c r="AZ25" i="102"/>
  <c r="AZ24" i="102"/>
  <c r="AZ23" i="102"/>
  <c r="AZ22" i="102"/>
  <c r="AZ21" i="102"/>
  <c r="AZ20" i="102"/>
  <c r="AZ19" i="102"/>
  <c r="AZ18" i="102"/>
  <c r="AZ17" i="102"/>
  <c r="AZ16" i="102"/>
  <c r="AZ15" i="102"/>
  <c r="AZ14" i="102"/>
  <c r="AZ13" i="102"/>
  <c r="AZ12" i="102"/>
  <c r="AZ11" i="102"/>
  <c r="AZ10" i="102"/>
  <c r="AZ9" i="102"/>
  <c r="AZ8" i="102"/>
  <c r="AZ7" i="102"/>
  <c r="AZ6" i="102"/>
  <c r="AZ5" i="102"/>
  <c r="AZ4" i="102"/>
  <c r="B1191" i="102" a="1"/>
  <c r="B1191" i="102" s="1"/>
  <c r="B1190" i="102" a="1"/>
  <c r="B1190" i="102" s="1"/>
  <c r="B1189" i="102" a="1"/>
  <c r="B1189" i="102" s="1"/>
  <c r="B1188" i="102" a="1"/>
  <c r="B1188" i="102" s="1"/>
  <c r="B1187" i="102" a="1"/>
  <c r="B1187" i="102" s="1"/>
  <c r="B1186" i="102" a="1"/>
  <c r="B1186" i="102" s="1"/>
  <c r="B1185" i="102" a="1"/>
  <c r="B1185" i="102" s="1"/>
  <c r="B1184" i="102" a="1"/>
  <c r="B1184" i="102" s="1"/>
  <c r="B1183" i="102" a="1"/>
  <c r="B1183" i="102" s="1"/>
  <c r="B1182" i="102" a="1"/>
  <c r="B1182" i="102" s="1"/>
  <c r="B1181" i="102" a="1"/>
  <c r="B1181" i="102" s="1"/>
  <c r="B1180" i="102" a="1"/>
  <c r="B1180" i="102" s="1"/>
  <c r="B1179" i="102" a="1"/>
  <c r="B1179" i="102" s="1"/>
  <c r="B1178" i="102" a="1"/>
  <c r="B1178" i="102" s="1"/>
  <c r="B1177" i="102" a="1"/>
  <c r="B1177" i="102" s="1"/>
  <c r="B1176" i="102" a="1"/>
  <c r="B1176" i="102" s="1"/>
  <c r="B1175" i="102" a="1"/>
  <c r="B1175" i="102" s="1"/>
  <c r="B1174" i="102" a="1"/>
  <c r="B1174" i="102" s="1"/>
  <c r="B1173" i="102" a="1"/>
  <c r="B1173" i="102" s="1"/>
  <c r="B1172" i="102" a="1"/>
  <c r="B1172" i="102" s="1"/>
  <c r="B1171" i="102" a="1"/>
  <c r="B1171" i="102" s="1"/>
  <c r="B1170" i="102" a="1"/>
  <c r="B1170" i="102" s="1"/>
  <c r="B1169" i="102" a="1"/>
  <c r="B1169" i="102" s="1"/>
  <c r="B1168" i="102" a="1"/>
  <c r="B1168" i="102" s="1"/>
  <c r="B1167" i="102" a="1"/>
  <c r="B1167" i="102" s="1"/>
  <c r="B1166" i="102" a="1"/>
  <c r="B1166" i="102" s="1"/>
  <c r="B1165" i="102" a="1"/>
  <c r="B1165" i="102" s="1"/>
  <c r="B1164" i="102" a="1"/>
  <c r="B1164" i="102" s="1"/>
  <c r="B1163" i="102" a="1"/>
  <c r="B1163" i="102" s="1"/>
  <c r="B1162" i="102" a="1"/>
  <c r="B1162" i="102" s="1"/>
  <c r="B1161" i="102" a="1"/>
  <c r="B1161" i="102" s="1"/>
  <c r="B1160" i="102" a="1"/>
  <c r="B1160" i="102" s="1"/>
  <c r="B1159" i="102" a="1"/>
  <c r="B1159" i="102" s="1"/>
  <c r="B1158" i="102" a="1"/>
  <c r="B1158" i="102" s="1"/>
  <c r="B1157" i="102" a="1"/>
  <c r="B1157" i="102" s="1"/>
  <c r="B1156" i="102" a="1"/>
  <c r="B1156" i="102" s="1"/>
  <c r="B1155" i="102" a="1"/>
  <c r="B1155" i="102" s="1"/>
  <c r="B1154" i="102" a="1"/>
  <c r="B1154" i="102" s="1"/>
  <c r="B1153" i="102" a="1"/>
  <c r="B1153" i="102" s="1"/>
  <c r="B1152" i="102" a="1"/>
  <c r="B1152" i="102" s="1"/>
  <c r="B1151" i="102" a="1"/>
  <c r="B1151" i="102" s="1"/>
  <c r="B1150" i="102" a="1"/>
  <c r="B1150" i="102" s="1"/>
  <c r="B1149" i="102" a="1"/>
  <c r="B1149" i="102" s="1"/>
  <c r="B1148" i="102" a="1"/>
  <c r="B1148" i="102" s="1"/>
  <c r="B1147" i="102" a="1"/>
  <c r="B1147" i="102" s="1"/>
  <c r="B1146" i="102" a="1"/>
  <c r="B1146" i="102" s="1"/>
  <c r="B1145" i="102" a="1"/>
  <c r="B1145" i="102" s="1"/>
  <c r="B1144" i="102" a="1"/>
  <c r="B1144" i="102" s="1"/>
  <c r="B1143" i="102" a="1"/>
  <c r="B1143" i="102" s="1"/>
  <c r="B1142" i="102" a="1"/>
  <c r="B1142" i="102" s="1"/>
  <c r="B1141" i="102" a="1"/>
  <c r="B1141" i="102" s="1"/>
  <c r="B1140" i="102" a="1"/>
  <c r="B1140" i="102" s="1"/>
  <c r="B1139" i="102" a="1"/>
  <c r="B1139" i="102" s="1"/>
  <c r="B1138" i="102" a="1"/>
  <c r="B1138" i="102" s="1"/>
  <c r="B1137" i="102" a="1"/>
  <c r="B1137" i="102" s="1"/>
  <c r="B1136" i="102" a="1"/>
  <c r="B1136" i="102" s="1"/>
  <c r="B1135" i="102" a="1"/>
  <c r="B1135" i="102" s="1"/>
  <c r="B1134" i="102" a="1"/>
  <c r="B1134" i="102" s="1"/>
  <c r="B1133" i="102" a="1"/>
  <c r="B1133" i="102" s="1"/>
  <c r="B1132" i="102" a="1"/>
  <c r="B1132" i="102" s="1"/>
  <c r="B1131" i="102" a="1"/>
  <c r="B1131" i="102" s="1"/>
  <c r="B1130" i="102" a="1"/>
  <c r="B1130" i="102" s="1"/>
  <c r="B1129" i="102" a="1"/>
  <c r="B1129" i="102" s="1"/>
  <c r="B1128" i="102" a="1"/>
  <c r="B1128" i="102" s="1"/>
  <c r="B1127" i="102" a="1"/>
  <c r="B1127" i="102" s="1"/>
  <c r="B1126" i="102" a="1"/>
  <c r="B1126" i="102" s="1"/>
  <c r="B1125" i="102" a="1"/>
  <c r="B1125" i="102" s="1"/>
  <c r="B1124" i="102" a="1"/>
  <c r="B1124" i="102" s="1"/>
  <c r="B1123" i="102" a="1"/>
  <c r="B1123" i="102" s="1"/>
  <c r="B1122" i="102" a="1"/>
  <c r="B1122" i="102" s="1"/>
  <c r="B1121" i="102" a="1"/>
  <c r="B1121" i="102" s="1"/>
  <c r="B1120" i="102" a="1"/>
  <c r="B1120" i="102" s="1"/>
  <c r="B1119" i="102" a="1"/>
  <c r="B1119" i="102" s="1"/>
  <c r="B1118" i="102" a="1"/>
  <c r="B1118" i="102" s="1"/>
  <c r="B1117" i="102" a="1"/>
  <c r="B1117" i="102" s="1"/>
  <c r="B1116" i="102" a="1"/>
  <c r="B1116" i="102" s="1"/>
  <c r="B1115" i="102" a="1"/>
  <c r="B1115" i="102" s="1"/>
  <c r="B1114" i="102" a="1"/>
  <c r="B1114" i="102" s="1"/>
  <c r="B1113" i="102" a="1"/>
  <c r="B1113" i="102" s="1"/>
  <c r="B1112" i="102" a="1"/>
  <c r="B1112" i="102" s="1"/>
  <c r="B1111" i="102" a="1"/>
  <c r="B1111" i="102" s="1"/>
  <c r="B1110" i="102" a="1"/>
  <c r="B1110" i="102" s="1"/>
  <c r="B1109" i="102" a="1"/>
  <c r="B1109" i="102" s="1"/>
  <c r="B1108" i="102" a="1"/>
  <c r="B1108" i="102" s="1"/>
  <c r="B1107" i="102" a="1"/>
  <c r="B1107" i="102" s="1"/>
  <c r="B1106" i="102" a="1"/>
  <c r="B1106" i="102" s="1"/>
  <c r="B1105" i="102" a="1"/>
  <c r="B1105" i="102" s="1"/>
  <c r="B1104" i="102" a="1"/>
  <c r="B1104" i="102" s="1"/>
  <c r="B1103" i="102" a="1"/>
  <c r="B1103" i="102" s="1"/>
  <c r="B1102" i="102" a="1"/>
  <c r="B1102" i="102" s="1"/>
  <c r="B1101" i="102" a="1"/>
  <c r="B1101" i="102" s="1"/>
  <c r="B1100" i="102" a="1"/>
  <c r="B1100" i="102" s="1"/>
  <c r="B1099" i="102" a="1"/>
  <c r="B1099" i="102" s="1"/>
  <c r="B1098" i="102" a="1"/>
  <c r="B1098" i="102" s="1"/>
  <c r="B1097" i="102" a="1"/>
  <c r="B1097" i="102" s="1"/>
  <c r="B1096" i="102" a="1"/>
  <c r="B1096" i="102" s="1"/>
  <c r="B1095" i="102" a="1"/>
  <c r="B1095" i="102" s="1"/>
  <c r="B1094" i="102" a="1"/>
  <c r="B1094" i="102" s="1"/>
  <c r="B1093" i="102" a="1"/>
  <c r="B1093" i="102" s="1"/>
  <c r="B1092" i="102" a="1"/>
  <c r="B1092" i="102" s="1"/>
  <c r="B1091" i="102" a="1"/>
  <c r="B1091" i="102" s="1"/>
  <c r="B1090" i="102" a="1"/>
  <c r="B1090" i="102" s="1"/>
  <c r="B1089" i="102" a="1"/>
  <c r="B1089" i="102" s="1"/>
  <c r="B1088" i="102" a="1"/>
  <c r="B1088" i="102" s="1"/>
  <c r="B1087" i="102" a="1"/>
  <c r="B1087" i="102" s="1"/>
  <c r="B1086" i="102" a="1"/>
  <c r="B1086" i="102" s="1"/>
  <c r="B1085" i="102" a="1"/>
  <c r="B1085" i="102" s="1"/>
  <c r="B1084" i="102" a="1"/>
  <c r="B1084" i="102" s="1"/>
  <c r="B1083" i="102" a="1"/>
  <c r="B1083" i="102" s="1"/>
  <c r="B1082" i="102" a="1"/>
  <c r="B1082" i="102" s="1"/>
  <c r="B1081" i="102" a="1"/>
  <c r="B1081" i="102" s="1"/>
  <c r="B1080" i="102" a="1"/>
  <c r="B1080" i="102" s="1"/>
  <c r="B1079" i="102" a="1"/>
  <c r="B1079" i="102" s="1"/>
  <c r="B1078" i="102" a="1"/>
  <c r="B1078" i="102" s="1"/>
  <c r="B1077" i="102" a="1"/>
  <c r="B1077" i="102" s="1"/>
  <c r="B1076" i="102" a="1"/>
  <c r="B1076" i="102" s="1"/>
  <c r="B1075" i="102" a="1"/>
  <c r="B1075" i="102" s="1"/>
  <c r="B1074" i="102" a="1"/>
  <c r="B1074" i="102" s="1"/>
  <c r="B1073" i="102" a="1"/>
  <c r="B1073" i="102" s="1"/>
  <c r="B1072" i="102" a="1"/>
  <c r="B1072" i="102" s="1"/>
  <c r="B1071" i="102" a="1"/>
  <c r="B1071" i="102" s="1"/>
  <c r="B1070" i="102" a="1"/>
  <c r="B1070" i="102" s="1"/>
  <c r="B1069" i="102" a="1"/>
  <c r="B1069" i="102" s="1"/>
  <c r="B1068" i="102" a="1"/>
  <c r="B1068" i="102" s="1"/>
  <c r="B1067" i="102" a="1"/>
  <c r="B1067" i="102" s="1"/>
  <c r="B1066" i="102" a="1"/>
  <c r="B1066" i="102" s="1"/>
  <c r="B1065" i="102" a="1"/>
  <c r="B1065" i="102" s="1"/>
  <c r="B1064" i="102" a="1"/>
  <c r="B1064" i="102" s="1"/>
  <c r="B1063" i="102" a="1"/>
  <c r="B1063" i="102" s="1"/>
  <c r="B1062" i="102" a="1"/>
  <c r="B1062" i="102" s="1"/>
  <c r="B1061" i="102" a="1"/>
  <c r="B1061" i="102" s="1"/>
  <c r="B1060" i="102" a="1"/>
  <c r="B1060" i="102" s="1"/>
  <c r="B1059" i="102" a="1"/>
  <c r="B1059" i="102" s="1"/>
  <c r="B1058" i="102" a="1"/>
  <c r="B1058" i="102" s="1"/>
  <c r="B1057" i="102" a="1"/>
  <c r="B1057" i="102" s="1"/>
  <c r="B1056" i="102" a="1"/>
  <c r="B1056" i="102" s="1"/>
  <c r="B1055" i="102" a="1"/>
  <c r="B1055" i="102" s="1"/>
  <c r="B1054" i="102" a="1"/>
  <c r="B1054" i="102" s="1"/>
  <c r="B1053" i="102" a="1"/>
  <c r="B1053" i="102" s="1"/>
  <c r="B1052" i="102" a="1"/>
  <c r="B1052" i="102" s="1"/>
  <c r="B1051" i="102" a="1"/>
  <c r="B1051" i="102" s="1"/>
  <c r="B1050" i="102" a="1"/>
  <c r="B1050" i="102" s="1"/>
  <c r="B1049" i="102" a="1"/>
  <c r="B1049" i="102" s="1"/>
  <c r="B1048" i="102" a="1"/>
  <c r="B1048" i="102" s="1"/>
  <c r="B1047" i="102" a="1"/>
  <c r="B1047" i="102" s="1"/>
  <c r="B1046" i="102" a="1"/>
  <c r="B1046" i="102" s="1"/>
  <c r="B1045" i="102" a="1"/>
  <c r="B1045" i="102" s="1"/>
  <c r="B1044" i="102" a="1"/>
  <c r="B1044" i="102" s="1"/>
  <c r="B1043" i="102" a="1"/>
  <c r="B1043" i="102" s="1"/>
  <c r="B1042" i="102" a="1"/>
  <c r="B1042" i="102" s="1"/>
  <c r="B1041" i="102" a="1"/>
  <c r="B1041" i="102" s="1"/>
  <c r="B1040" i="102" a="1"/>
  <c r="B1040" i="102" s="1"/>
  <c r="B1039" i="102" a="1"/>
  <c r="B1039" i="102" s="1"/>
  <c r="B1038" i="102" a="1"/>
  <c r="B1038" i="102" s="1"/>
  <c r="B1037" i="102" a="1"/>
  <c r="B1037" i="102" s="1"/>
  <c r="B1036" i="102" a="1"/>
  <c r="B1036" i="102" s="1"/>
  <c r="B1035" i="102" a="1"/>
  <c r="B1035" i="102" s="1"/>
  <c r="B1034" i="102" a="1"/>
  <c r="B1034" i="102" s="1"/>
  <c r="B1033" i="102" a="1"/>
  <c r="B1033" i="102" s="1"/>
  <c r="B1032" i="102" a="1"/>
  <c r="B1032" i="102" s="1"/>
  <c r="B1031" i="102" a="1"/>
  <c r="B1031" i="102" s="1"/>
  <c r="B1030" i="102" a="1"/>
  <c r="B1030" i="102" s="1"/>
  <c r="B1029" i="102" a="1"/>
  <c r="B1029" i="102" s="1"/>
  <c r="B1028" i="102" a="1"/>
  <c r="B1028" i="102" s="1"/>
  <c r="B1027" i="102" a="1"/>
  <c r="B1027" i="102" s="1"/>
  <c r="B1026" i="102" a="1"/>
  <c r="B1026" i="102" s="1"/>
  <c r="B1025" i="102" a="1"/>
  <c r="B1025" i="102" s="1"/>
  <c r="B1024" i="102" a="1"/>
  <c r="B1024" i="102" s="1"/>
  <c r="B1023" i="102" a="1"/>
  <c r="B1023" i="102" s="1"/>
  <c r="B1022" i="102" a="1"/>
  <c r="B1022" i="102" s="1"/>
  <c r="B1021" i="102" a="1"/>
  <c r="B1021" i="102" s="1"/>
  <c r="B1020" i="102" a="1"/>
  <c r="B1020" i="102" s="1"/>
  <c r="B1019" i="102" a="1"/>
  <c r="B1019" i="102" s="1"/>
  <c r="B1018" i="102" a="1"/>
  <c r="B1018" i="102" s="1"/>
  <c r="B1017" i="102" a="1"/>
  <c r="B1017" i="102" s="1"/>
  <c r="B1016" i="102" a="1"/>
  <c r="B1016" i="102" s="1"/>
  <c r="B1015" i="102" a="1"/>
  <c r="B1015" i="102" s="1"/>
  <c r="B1014" i="102" a="1"/>
  <c r="B1014" i="102" s="1"/>
  <c r="B1013" i="102" a="1"/>
  <c r="B1013" i="102" s="1"/>
  <c r="B1012" i="102" a="1"/>
  <c r="B1012" i="102" s="1"/>
  <c r="B1011" i="102" a="1"/>
  <c r="B1011" i="102" s="1"/>
  <c r="B1010" i="102" a="1"/>
  <c r="B1010" i="102" s="1"/>
  <c r="B1009" i="102" a="1"/>
  <c r="B1009" i="102" s="1"/>
  <c r="B1008" i="102" a="1"/>
  <c r="B1008" i="102" s="1"/>
  <c r="B1007" i="102" a="1"/>
  <c r="B1007" i="102" s="1"/>
  <c r="B1006" i="102" a="1"/>
  <c r="B1006" i="102" s="1"/>
  <c r="B1005" i="102" a="1"/>
  <c r="B1005" i="102" s="1"/>
  <c r="B1004" i="102" a="1"/>
  <c r="B1004" i="102" s="1"/>
  <c r="B1003" i="102" a="1"/>
  <c r="B1003" i="102" s="1"/>
  <c r="B1002" i="102" a="1"/>
  <c r="B1002" i="102" s="1"/>
  <c r="B1001" i="102" a="1"/>
  <c r="B1001" i="102" s="1"/>
  <c r="B1000" i="102" a="1"/>
  <c r="B1000" i="102" s="1"/>
  <c r="B999" i="102" a="1"/>
  <c r="B999" i="102" s="1"/>
  <c r="B998" i="102" a="1"/>
  <c r="B998" i="102" s="1"/>
  <c r="B997" i="102" a="1"/>
  <c r="B997" i="102" s="1"/>
  <c r="B996" i="102" a="1"/>
  <c r="B996" i="102" s="1"/>
  <c r="B995" i="102" a="1"/>
  <c r="B995" i="102" s="1"/>
  <c r="B994" i="102" a="1"/>
  <c r="B994" i="102" s="1"/>
  <c r="B993" i="102" a="1"/>
  <c r="B993" i="102" s="1"/>
  <c r="B992" i="102" a="1"/>
  <c r="B992" i="102" s="1"/>
  <c r="B991" i="102" a="1"/>
  <c r="B991" i="102" s="1"/>
  <c r="B990" i="102" a="1"/>
  <c r="B990" i="102" s="1"/>
  <c r="B989" i="102" a="1"/>
  <c r="B989" i="102" s="1"/>
  <c r="B988" i="102" a="1"/>
  <c r="B988" i="102" s="1"/>
  <c r="B987" i="102" a="1"/>
  <c r="B987" i="102" s="1"/>
  <c r="B986" i="102" a="1"/>
  <c r="B986" i="102" s="1"/>
  <c r="B985" i="102" a="1"/>
  <c r="B985" i="102" s="1"/>
  <c r="B984" i="102" a="1"/>
  <c r="B984" i="102" s="1"/>
  <c r="B983" i="102" a="1"/>
  <c r="B983" i="102" s="1"/>
  <c r="B982" i="102" a="1"/>
  <c r="B982" i="102" s="1"/>
  <c r="B981" i="102" a="1"/>
  <c r="B981" i="102" s="1"/>
  <c r="B980" i="102" a="1"/>
  <c r="B980" i="102" s="1"/>
  <c r="B979" i="102" a="1"/>
  <c r="B979" i="102" s="1"/>
  <c r="B978" i="102" a="1"/>
  <c r="B978" i="102" s="1"/>
  <c r="B977" i="102" a="1"/>
  <c r="B977" i="102" s="1"/>
  <c r="B976" i="102" a="1"/>
  <c r="B976" i="102" s="1"/>
  <c r="B975" i="102" a="1"/>
  <c r="B975" i="102" s="1"/>
  <c r="B974" i="102" a="1"/>
  <c r="B974" i="102" s="1"/>
  <c r="B973" i="102" a="1"/>
  <c r="B973" i="102" s="1"/>
  <c r="B972" i="102" a="1"/>
  <c r="B972" i="102" s="1"/>
  <c r="B971" i="102" a="1"/>
  <c r="B971" i="102" s="1"/>
  <c r="B970" i="102" a="1"/>
  <c r="B970" i="102" s="1"/>
  <c r="B969" i="102" a="1"/>
  <c r="B969" i="102" s="1"/>
  <c r="B968" i="102" a="1"/>
  <c r="B968" i="102" s="1"/>
  <c r="B967" i="102" a="1"/>
  <c r="B967" i="102" s="1"/>
  <c r="B966" i="102" a="1"/>
  <c r="B966" i="102" s="1"/>
  <c r="B965" i="102" a="1"/>
  <c r="B965" i="102" s="1"/>
  <c r="B964" i="102" a="1"/>
  <c r="B964" i="102" s="1"/>
  <c r="B963" i="102" a="1"/>
  <c r="B963" i="102" s="1"/>
  <c r="B962" i="102" a="1"/>
  <c r="B962" i="102" s="1"/>
  <c r="B961" i="102" a="1"/>
  <c r="B961" i="102" s="1"/>
  <c r="B960" i="102" a="1"/>
  <c r="B960" i="102" s="1"/>
  <c r="B959" i="102" a="1"/>
  <c r="B959" i="102" s="1"/>
  <c r="B958" i="102" a="1"/>
  <c r="B958" i="102" s="1"/>
  <c r="B957" i="102" a="1"/>
  <c r="B957" i="102" s="1"/>
  <c r="B956" i="102" a="1"/>
  <c r="B956" i="102" s="1"/>
  <c r="B955" i="102" a="1"/>
  <c r="B955" i="102" s="1"/>
  <c r="B954" i="102" a="1"/>
  <c r="B954" i="102" s="1"/>
  <c r="B953" i="102" a="1"/>
  <c r="B953" i="102" s="1"/>
  <c r="B952" i="102" a="1"/>
  <c r="B952" i="102" s="1"/>
  <c r="B951" i="102" a="1"/>
  <c r="B951" i="102" s="1"/>
  <c r="B950" i="102" a="1"/>
  <c r="B950" i="102" s="1"/>
  <c r="B949" i="102" a="1"/>
  <c r="B949" i="102" s="1"/>
  <c r="B948" i="102" a="1"/>
  <c r="B948" i="102" s="1"/>
  <c r="B947" i="102" a="1"/>
  <c r="B947" i="102" s="1"/>
  <c r="B946" i="102" a="1"/>
  <c r="B946" i="102" s="1"/>
  <c r="B945" i="102" a="1"/>
  <c r="B945" i="102" s="1"/>
  <c r="B944" i="102" a="1"/>
  <c r="B944" i="102" s="1"/>
  <c r="B943" i="102" a="1"/>
  <c r="B943" i="102" s="1"/>
  <c r="B942" i="102" a="1"/>
  <c r="B942" i="102" s="1"/>
  <c r="B941" i="102" a="1"/>
  <c r="B941" i="102" s="1"/>
  <c r="B940" i="102" a="1"/>
  <c r="B940" i="102" s="1"/>
  <c r="B939" i="102" a="1"/>
  <c r="B939" i="102" s="1"/>
  <c r="B938" i="102" a="1"/>
  <c r="B938" i="102" s="1"/>
  <c r="B937" i="102" a="1"/>
  <c r="B937" i="102" s="1"/>
  <c r="B936" i="102" a="1"/>
  <c r="B936" i="102" s="1"/>
  <c r="B935" i="102" a="1"/>
  <c r="B935" i="102" s="1"/>
  <c r="B934" i="102" a="1"/>
  <c r="B934" i="102" s="1"/>
  <c r="B933" i="102" a="1"/>
  <c r="B933" i="102" s="1"/>
  <c r="B932" i="102" a="1"/>
  <c r="B932" i="102" s="1"/>
  <c r="B931" i="102" a="1"/>
  <c r="B931" i="102" s="1"/>
  <c r="B930" i="102" a="1"/>
  <c r="B930" i="102" s="1"/>
  <c r="B929" i="102" a="1"/>
  <c r="B929" i="102" s="1"/>
  <c r="B928" i="102" a="1"/>
  <c r="B928" i="102" s="1"/>
  <c r="B927" i="102" a="1"/>
  <c r="B927" i="102" s="1"/>
  <c r="B926" i="102" a="1"/>
  <c r="B926" i="102" s="1"/>
  <c r="B925" i="102" a="1"/>
  <c r="B925" i="102" s="1"/>
  <c r="B924" i="102" a="1"/>
  <c r="B924" i="102" s="1"/>
  <c r="B923" i="102" a="1"/>
  <c r="B923" i="102" s="1"/>
  <c r="B922" i="102" a="1"/>
  <c r="B922" i="102" s="1"/>
  <c r="B921" i="102" a="1"/>
  <c r="B921" i="102" s="1"/>
  <c r="B920" i="102" a="1"/>
  <c r="B920" i="102" s="1"/>
  <c r="B919" i="102" a="1"/>
  <c r="B919" i="102" s="1"/>
  <c r="B918" i="102" a="1"/>
  <c r="B918" i="102" s="1"/>
  <c r="B917" i="102" a="1"/>
  <c r="B917" i="102" s="1"/>
  <c r="B916" i="102" a="1"/>
  <c r="B916" i="102" s="1"/>
  <c r="B915" i="102" a="1"/>
  <c r="B915" i="102" s="1"/>
  <c r="B914" i="102" a="1"/>
  <c r="B914" i="102" s="1"/>
  <c r="B913" i="102" a="1"/>
  <c r="B913" i="102" s="1"/>
  <c r="B912" i="102" a="1"/>
  <c r="B912" i="102" s="1"/>
  <c r="B911" i="102" a="1"/>
  <c r="B911" i="102" s="1"/>
  <c r="B910" i="102" a="1"/>
  <c r="B910" i="102" s="1"/>
  <c r="B909" i="102" a="1"/>
  <c r="B909" i="102" s="1"/>
  <c r="B908" i="102" a="1"/>
  <c r="B908" i="102" s="1"/>
  <c r="B907" i="102" a="1"/>
  <c r="B907" i="102" s="1"/>
  <c r="B906" i="102" a="1"/>
  <c r="B906" i="102" s="1"/>
  <c r="B905" i="102" a="1"/>
  <c r="B905" i="102" s="1"/>
  <c r="B904" i="102" a="1"/>
  <c r="B904" i="102" s="1"/>
  <c r="B903" i="102" a="1"/>
  <c r="B903" i="102" s="1"/>
  <c r="B902" i="102" a="1"/>
  <c r="B902" i="102" s="1"/>
  <c r="B901" i="102" a="1"/>
  <c r="B901" i="102" s="1"/>
  <c r="B900" i="102" a="1"/>
  <c r="B900" i="102" s="1"/>
  <c r="B899" i="102" a="1"/>
  <c r="B899" i="102" s="1"/>
  <c r="B898" i="102" a="1"/>
  <c r="B898" i="102" s="1"/>
  <c r="B897" i="102" a="1"/>
  <c r="B897" i="102" s="1"/>
  <c r="B896" i="102" a="1"/>
  <c r="B896" i="102" s="1"/>
  <c r="B895" i="102" a="1"/>
  <c r="B895" i="102" s="1"/>
  <c r="B894" i="102" a="1"/>
  <c r="B894" i="102" s="1"/>
  <c r="B893" i="102" a="1"/>
  <c r="B893" i="102" s="1"/>
  <c r="B892" i="102" a="1"/>
  <c r="B892" i="102" s="1"/>
  <c r="B891" i="102" a="1"/>
  <c r="B891" i="102" s="1"/>
  <c r="B890" i="102" a="1"/>
  <c r="B890" i="102" s="1"/>
  <c r="B889" i="102" a="1"/>
  <c r="B889" i="102" s="1"/>
  <c r="B888" i="102" a="1"/>
  <c r="B888" i="102" s="1"/>
  <c r="B887" i="102" a="1"/>
  <c r="B887" i="102" s="1"/>
  <c r="B886" i="102" a="1"/>
  <c r="B886" i="102" s="1"/>
  <c r="B885" i="102" a="1"/>
  <c r="B885" i="102" s="1"/>
  <c r="B884" i="102" a="1"/>
  <c r="B884" i="102" s="1"/>
  <c r="B883" i="102" a="1"/>
  <c r="B883" i="102" s="1"/>
  <c r="B882" i="102" a="1"/>
  <c r="B882" i="102" s="1"/>
  <c r="B881" i="102" a="1"/>
  <c r="B881" i="102" s="1"/>
  <c r="B880" i="102" a="1"/>
  <c r="B880" i="102" s="1"/>
  <c r="B879" i="102" a="1"/>
  <c r="B879" i="102" s="1"/>
  <c r="B878" i="102" a="1"/>
  <c r="B878" i="102" s="1"/>
  <c r="B877" i="102" a="1"/>
  <c r="B877" i="102" s="1"/>
  <c r="B876" i="102" a="1"/>
  <c r="B876" i="102" s="1"/>
  <c r="B875" i="102" a="1"/>
  <c r="B875" i="102" s="1"/>
  <c r="B874" i="102" a="1"/>
  <c r="B874" i="102" s="1"/>
  <c r="B873" i="102" a="1"/>
  <c r="B873" i="102" s="1"/>
  <c r="B872" i="102" a="1"/>
  <c r="B872" i="102" s="1"/>
  <c r="B871" i="102" a="1"/>
  <c r="B871" i="102" s="1"/>
  <c r="B870" i="102" a="1"/>
  <c r="B870" i="102" s="1"/>
  <c r="B869" i="102" a="1"/>
  <c r="B869" i="102" s="1"/>
  <c r="B868" i="102" a="1"/>
  <c r="B868" i="102" s="1"/>
  <c r="B867" i="102" a="1"/>
  <c r="B867" i="102" s="1"/>
  <c r="B866" i="102" a="1"/>
  <c r="B866" i="102" s="1"/>
  <c r="B865" i="102" a="1"/>
  <c r="B865" i="102" s="1"/>
  <c r="B864" i="102" a="1"/>
  <c r="B864" i="102" s="1"/>
  <c r="B863" i="102" a="1"/>
  <c r="B863" i="102" s="1"/>
  <c r="B862" i="102" a="1"/>
  <c r="B862" i="102" s="1"/>
  <c r="B861" i="102" a="1"/>
  <c r="B861" i="102" s="1"/>
  <c r="B860" i="102" a="1"/>
  <c r="B860" i="102" s="1"/>
  <c r="B859" i="102" a="1"/>
  <c r="B859" i="102" s="1"/>
  <c r="B858" i="102" a="1"/>
  <c r="B858" i="102" s="1"/>
  <c r="B857" i="102" a="1"/>
  <c r="B857" i="102" s="1"/>
  <c r="B856" i="102" a="1"/>
  <c r="B856" i="102" s="1"/>
  <c r="B855" i="102" a="1"/>
  <c r="B855" i="102" s="1"/>
  <c r="B854" i="102" a="1"/>
  <c r="B854" i="102" s="1"/>
  <c r="B853" i="102" a="1"/>
  <c r="B853" i="102" s="1"/>
  <c r="B852" i="102" a="1"/>
  <c r="B852" i="102" s="1"/>
  <c r="B851" i="102" a="1"/>
  <c r="B851" i="102" s="1"/>
  <c r="B850" i="102" a="1"/>
  <c r="B850" i="102" s="1"/>
  <c r="B849" i="102" a="1"/>
  <c r="B849" i="102" s="1"/>
  <c r="B848" i="102" a="1"/>
  <c r="B848" i="102" s="1"/>
  <c r="B847" i="102" a="1"/>
  <c r="B847" i="102" s="1"/>
  <c r="B846" i="102" a="1"/>
  <c r="B846" i="102" s="1"/>
  <c r="B845" i="102" a="1"/>
  <c r="B845" i="102" s="1"/>
  <c r="B844" i="102" a="1"/>
  <c r="B844" i="102" s="1"/>
  <c r="B843" i="102" a="1"/>
  <c r="B843" i="102" s="1"/>
  <c r="B842" i="102" a="1"/>
  <c r="B842" i="102" s="1"/>
  <c r="B841" i="102" a="1"/>
  <c r="B841" i="102" s="1"/>
  <c r="B840" i="102"/>
  <c r="B840" i="102" a="1"/>
  <c r="B839" i="102" a="1"/>
  <c r="B839" i="102" s="1"/>
  <c r="B838" i="102" a="1"/>
  <c r="B838" i="102" s="1"/>
  <c r="B837" i="102" a="1"/>
  <c r="B837" i="102" s="1"/>
  <c r="B836" i="102" a="1"/>
  <c r="B836" i="102" s="1"/>
  <c r="B835" i="102" a="1"/>
  <c r="B835" i="102" s="1"/>
  <c r="B834" i="102" a="1"/>
  <c r="B834" i="102" s="1"/>
  <c r="B833" i="102" a="1"/>
  <c r="B833" i="102" s="1"/>
  <c r="B832" i="102" a="1"/>
  <c r="B832" i="102" s="1"/>
  <c r="B831" i="102" a="1"/>
  <c r="B831" i="102" s="1"/>
  <c r="B830" i="102" a="1"/>
  <c r="B830" i="102" s="1"/>
  <c r="B829" i="102" a="1"/>
  <c r="B829" i="102" s="1"/>
  <c r="B828" i="102" a="1"/>
  <c r="B828" i="102" s="1"/>
  <c r="B827" i="102" a="1"/>
  <c r="B827" i="102" s="1"/>
  <c r="B826" i="102" a="1"/>
  <c r="B826" i="102" s="1"/>
  <c r="B825" i="102" a="1"/>
  <c r="B825" i="102" s="1"/>
  <c r="B824" i="102" a="1"/>
  <c r="B824" i="102" s="1"/>
  <c r="B823" i="102" a="1"/>
  <c r="B823" i="102" s="1"/>
  <c r="B822" i="102" a="1"/>
  <c r="B822" i="102" s="1"/>
  <c r="B821" i="102" a="1"/>
  <c r="B821" i="102" s="1"/>
  <c r="B820" i="102" a="1"/>
  <c r="B820" i="102" s="1"/>
  <c r="B819" i="102" a="1"/>
  <c r="B819" i="102" s="1"/>
  <c r="B818" i="102" a="1"/>
  <c r="B818" i="102" s="1"/>
  <c r="B817" i="102" a="1"/>
  <c r="B817" i="102" s="1"/>
  <c r="B816" i="102" a="1"/>
  <c r="B816" i="102" s="1"/>
  <c r="B815" i="102" a="1"/>
  <c r="B815" i="102" s="1"/>
  <c r="B814" i="102" a="1"/>
  <c r="B814" i="102" s="1"/>
  <c r="B813" i="102" a="1"/>
  <c r="B813" i="102" s="1"/>
  <c r="B812" i="102" a="1"/>
  <c r="B812" i="102" s="1"/>
  <c r="B811" i="102" a="1"/>
  <c r="B811" i="102" s="1"/>
  <c r="B810" i="102" a="1"/>
  <c r="B810" i="102" s="1"/>
  <c r="B809" i="102" a="1"/>
  <c r="B809" i="102" s="1"/>
  <c r="B808" i="102" a="1"/>
  <c r="B808" i="102" s="1"/>
  <c r="B807" i="102" a="1"/>
  <c r="B807" i="102" s="1"/>
  <c r="B806" i="102" a="1"/>
  <c r="B806" i="102" s="1"/>
  <c r="B805" i="102" a="1"/>
  <c r="B805" i="102" s="1"/>
  <c r="B804" i="102" a="1"/>
  <c r="B804" i="102" s="1"/>
  <c r="B803" i="102" a="1"/>
  <c r="B803" i="102" s="1"/>
  <c r="B802" i="102" a="1"/>
  <c r="B802" i="102" s="1"/>
  <c r="B801" i="102" a="1"/>
  <c r="B801" i="102" s="1"/>
  <c r="B800" i="102" a="1"/>
  <c r="B800" i="102" s="1"/>
  <c r="B799" i="102" a="1"/>
  <c r="B799" i="102" s="1"/>
  <c r="B798" i="102" a="1"/>
  <c r="B798" i="102" s="1"/>
  <c r="B797" i="102" a="1"/>
  <c r="B797" i="102" s="1"/>
  <c r="B796" i="102" a="1"/>
  <c r="B796" i="102" s="1"/>
  <c r="B795" i="102" a="1"/>
  <c r="B795" i="102" s="1"/>
  <c r="B794" i="102" a="1"/>
  <c r="B794" i="102" s="1"/>
  <c r="B793" i="102" a="1"/>
  <c r="B793" i="102" s="1"/>
  <c r="B792" i="102" a="1"/>
  <c r="B792" i="102" s="1"/>
  <c r="B791" i="102" a="1"/>
  <c r="B791" i="102" s="1"/>
  <c r="B790" i="102" a="1"/>
  <c r="B790" i="102" s="1"/>
  <c r="B789" i="102" a="1"/>
  <c r="B789" i="102" s="1"/>
  <c r="B788" i="102" a="1"/>
  <c r="B788" i="102" s="1"/>
  <c r="B787" i="102" a="1"/>
  <c r="B787" i="102" s="1"/>
  <c r="B786" i="102" a="1"/>
  <c r="B786" i="102" s="1"/>
  <c r="B785" i="102" a="1"/>
  <c r="B785" i="102" s="1"/>
  <c r="B784" i="102" a="1"/>
  <c r="B784" i="102" s="1"/>
  <c r="B783" i="102" a="1"/>
  <c r="B783" i="102" s="1"/>
  <c r="B782" i="102" a="1"/>
  <c r="B782" i="102" s="1"/>
  <c r="B781" i="102" a="1"/>
  <c r="B781" i="102" s="1"/>
  <c r="B780" i="102" a="1"/>
  <c r="B780" i="102" s="1"/>
  <c r="B779" i="102" a="1"/>
  <c r="B779" i="102" s="1"/>
  <c r="B778" i="102" a="1"/>
  <c r="B778" i="102" s="1"/>
  <c r="B777" i="102" a="1"/>
  <c r="B777" i="102" s="1"/>
  <c r="B776" i="102" a="1"/>
  <c r="B776" i="102" s="1"/>
  <c r="B775" i="102" a="1"/>
  <c r="B775" i="102" s="1"/>
  <c r="B774" i="102" a="1"/>
  <c r="B774" i="102" s="1"/>
  <c r="B773" i="102" a="1"/>
  <c r="B773" i="102" s="1"/>
  <c r="B772" i="102" a="1"/>
  <c r="B772" i="102" s="1"/>
  <c r="B771" i="102" a="1"/>
  <c r="B771" i="102" s="1"/>
  <c r="B770" i="102" a="1"/>
  <c r="B770" i="102" s="1"/>
  <c r="B769" i="102" a="1"/>
  <c r="B769" i="102" s="1"/>
  <c r="B768" i="102" a="1"/>
  <c r="B768" i="102" s="1"/>
  <c r="B767" i="102" a="1"/>
  <c r="B767" i="102" s="1"/>
  <c r="B766" i="102" a="1"/>
  <c r="B766" i="102" s="1"/>
  <c r="B765" i="102" a="1"/>
  <c r="B765" i="102" s="1"/>
  <c r="B764" i="102" a="1"/>
  <c r="B764" i="102" s="1"/>
  <c r="B763" i="102" a="1"/>
  <c r="B763" i="102" s="1"/>
  <c r="B762" i="102" a="1"/>
  <c r="B762" i="102" s="1"/>
  <c r="B761" i="102" a="1"/>
  <c r="B761" i="102" s="1"/>
  <c r="B760" i="102" a="1"/>
  <c r="B760" i="102" s="1"/>
  <c r="B759" i="102" a="1"/>
  <c r="B759" i="102" s="1"/>
  <c r="B758" i="102" a="1"/>
  <c r="B758" i="102" s="1"/>
  <c r="B757" i="102" a="1"/>
  <c r="B757" i="102" s="1"/>
  <c r="B756" i="102" a="1"/>
  <c r="B756" i="102" s="1"/>
  <c r="B755" i="102" a="1"/>
  <c r="B755" i="102" s="1"/>
  <c r="B754" i="102" a="1"/>
  <c r="B754" i="102" s="1"/>
  <c r="B753" i="102" a="1"/>
  <c r="B753" i="102" s="1"/>
  <c r="B752" i="102" a="1"/>
  <c r="B752" i="102" s="1"/>
  <c r="B751" i="102" a="1"/>
  <c r="B751" i="102" s="1"/>
  <c r="B750" i="102" a="1"/>
  <c r="B750" i="102" s="1"/>
  <c r="B749" i="102" a="1"/>
  <c r="B749" i="102" s="1"/>
  <c r="B748" i="102" a="1"/>
  <c r="B748" i="102" s="1"/>
  <c r="B747" i="102" a="1"/>
  <c r="B747" i="102" s="1"/>
  <c r="B746" i="102" a="1"/>
  <c r="B746" i="102" s="1"/>
  <c r="B745" i="102" a="1"/>
  <c r="B745" i="102" s="1"/>
  <c r="B744" i="102" a="1"/>
  <c r="B744" i="102" s="1"/>
  <c r="B743" i="102" a="1"/>
  <c r="B743" i="102" s="1"/>
  <c r="B742" i="102" a="1"/>
  <c r="B742" i="102" s="1"/>
  <c r="B741" i="102" a="1"/>
  <c r="B741" i="102" s="1"/>
  <c r="B740" i="102" a="1"/>
  <c r="B740" i="102" s="1"/>
  <c r="B739" i="102" a="1"/>
  <c r="B739" i="102" s="1"/>
  <c r="B738" i="102" a="1"/>
  <c r="B738" i="102" s="1"/>
  <c r="B737" i="102" a="1"/>
  <c r="B737" i="102" s="1"/>
  <c r="B736" i="102" a="1"/>
  <c r="B736" i="102" s="1"/>
  <c r="B735" i="102" a="1"/>
  <c r="B735" i="102" s="1"/>
  <c r="B734" i="102" a="1"/>
  <c r="B734" i="102" s="1"/>
  <c r="B733" i="102" a="1"/>
  <c r="B733" i="102" s="1"/>
  <c r="B732" i="102" a="1"/>
  <c r="B732" i="102" s="1"/>
  <c r="B731" i="102" a="1"/>
  <c r="B731" i="102" s="1"/>
  <c r="B730" i="102" a="1"/>
  <c r="B730" i="102" s="1"/>
  <c r="B729" i="102" a="1"/>
  <c r="B729" i="102" s="1"/>
  <c r="B728" i="102" a="1"/>
  <c r="B728" i="102" s="1"/>
  <c r="B727" i="102" a="1"/>
  <c r="B727" i="102" s="1"/>
  <c r="B726" i="102" a="1"/>
  <c r="B726" i="102" s="1"/>
  <c r="B725" i="102" a="1"/>
  <c r="B725" i="102" s="1"/>
  <c r="B724" i="102" a="1"/>
  <c r="B724" i="102" s="1"/>
  <c r="B723" i="102" a="1"/>
  <c r="B723" i="102" s="1"/>
  <c r="B722" i="102" a="1"/>
  <c r="B722" i="102" s="1"/>
  <c r="B721" i="102" a="1"/>
  <c r="B721" i="102" s="1"/>
  <c r="B720" i="102" a="1"/>
  <c r="B720" i="102" s="1"/>
  <c r="B719" i="102" a="1"/>
  <c r="B719" i="102" s="1"/>
  <c r="B718" i="102" a="1"/>
  <c r="B718" i="102" s="1"/>
  <c r="B717" i="102" a="1"/>
  <c r="B717" i="102" s="1"/>
  <c r="B716" i="102" a="1"/>
  <c r="B716" i="102" s="1"/>
  <c r="B715" i="102" a="1"/>
  <c r="B715" i="102" s="1"/>
  <c r="B714" i="102" a="1"/>
  <c r="B714" i="102" s="1"/>
  <c r="B713" i="102" a="1"/>
  <c r="B713" i="102" s="1"/>
  <c r="B712" i="102" a="1"/>
  <c r="B712" i="102" s="1"/>
  <c r="B711" i="102" a="1"/>
  <c r="B711" i="102" s="1"/>
  <c r="B710" i="102" a="1"/>
  <c r="B710" i="102" s="1"/>
  <c r="B709" i="102" a="1"/>
  <c r="B709" i="102" s="1"/>
  <c r="B708" i="102" a="1"/>
  <c r="B708" i="102" s="1"/>
  <c r="B707" i="102" a="1"/>
  <c r="B707" i="102" s="1"/>
  <c r="B706" i="102" a="1"/>
  <c r="B706" i="102" s="1"/>
  <c r="B705" i="102" a="1"/>
  <c r="B705" i="102" s="1"/>
  <c r="B704" i="102"/>
  <c r="B704" i="102" a="1"/>
  <c r="B703" i="102" a="1"/>
  <c r="B703" i="102" s="1"/>
  <c r="B702" i="102" a="1"/>
  <c r="B702" i="102" s="1"/>
  <c r="B701" i="102" a="1"/>
  <c r="B701" i="102" s="1"/>
  <c r="B700" i="102" a="1"/>
  <c r="B700" i="102" s="1"/>
  <c r="B699" i="102" a="1"/>
  <c r="B699" i="102" s="1"/>
  <c r="B698" i="102" a="1"/>
  <c r="B698" i="102" s="1"/>
  <c r="B697" i="102" a="1"/>
  <c r="B697" i="102" s="1"/>
  <c r="B696" i="102" a="1"/>
  <c r="B696" i="102" s="1"/>
  <c r="B695" i="102" a="1"/>
  <c r="B695" i="102" s="1"/>
  <c r="B694" i="102" a="1"/>
  <c r="B694" i="102" s="1"/>
  <c r="B693" i="102" a="1"/>
  <c r="B693" i="102" s="1"/>
  <c r="B692" i="102" a="1"/>
  <c r="B692" i="102" s="1"/>
  <c r="B691" i="102" a="1"/>
  <c r="B691" i="102" s="1"/>
  <c r="B690" i="102" a="1"/>
  <c r="B690" i="102" s="1"/>
  <c r="B689" i="102" a="1"/>
  <c r="B689" i="102" s="1"/>
  <c r="B688" i="102" a="1"/>
  <c r="B688" i="102" s="1"/>
  <c r="B687" i="102" a="1"/>
  <c r="B687" i="102" s="1"/>
  <c r="B686" i="102" a="1"/>
  <c r="B686" i="102" s="1"/>
  <c r="B685" i="102" a="1"/>
  <c r="B685" i="102" s="1"/>
  <c r="B684" i="102" a="1"/>
  <c r="B684" i="102" s="1"/>
  <c r="B683" i="102" a="1"/>
  <c r="B683" i="102" s="1"/>
  <c r="B682" i="102" a="1"/>
  <c r="B682" i="102" s="1"/>
  <c r="B681" i="102" a="1"/>
  <c r="B681" i="102" s="1"/>
  <c r="B680" i="102" a="1"/>
  <c r="B680" i="102" s="1"/>
  <c r="B679" i="102" a="1"/>
  <c r="B679" i="102" s="1"/>
  <c r="B678" i="102" a="1"/>
  <c r="B678" i="102" s="1"/>
  <c r="B677" i="102" a="1"/>
  <c r="B677" i="102" s="1"/>
  <c r="B676" i="102" a="1"/>
  <c r="B676" i="102" s="1"/>
  <c r="B675" i="102" a="1"/>
  <c r="B675" i="102" s="1"/>
  <c r="B674" i="102" a="1"/>
  <c r="B674" i="102" s="1"/>
  <c r="B673" i="102" a="1"/>
  <c r="B673" i="102" s="1"/>
  <c r="B672" i="102"/>
  <c r="B672" i="102" a="1"/>
  <c r="B671" i="102" a="1"/>
  <c r="B671" i="102" s="1"/>
  <c r="B670" i="102" a="1"/>
  <c r="B670" i="102" s="1"/>
  <c r="B669" i="102" a="1"/>
  <c r="B669" i="102" s="1"/>
  <c r="B668" i="102" a="1"/>
  <c r="B668" i="102" s="1"/>
  <c r="B667" i="102" a="1"/>
  <c r="B667" i="102" s="1"/>
  <c r="B666" i="102" a="1"/>
  <c r="B666" i="102" s="1"/>
  <c r="B665" i="102" a="1"/>
  <c r="B665" i="102" s="1"/>
  <c r="B664" i="102" a="1"/>
  <c r="B664" i="102" s="1"/>
  <c r="B663" i="102" a="1"/>
  <c r="B663" i="102" s="1"/>
  <c r="B662" i="102" a="1"/>
  <c r="B662" i="102" s="1"/>
  <c r="B661" i="102" a="1"/>
  <c r="B661" i="102" s="1"/>
  <c r="B660" i="102" a="1"/>
  <c r="B660" i="102" s="1"/>
  <c r="B659" i="102" a="1"/>
  <c r="B659" i="102" s="1"/>
  <c r="B658" i="102" a="1"/>
  <c r="B658" i="102" s="1"/>
  <c r="B657" i="102" a="1"/>
  <c r="B657" i="102" s="1"/>
  <c r="B656" i="102" a="1"/>
  <c r="B656" i="102" s="1"/>
  <c r="B655" i="102" a="1"/>
  <c r="B655" i="102" s="1"/>
  <c r="B654" i="102" a="1"/>
  <c r="B654" i="102" s="1"/>
  <c r="B653" i="102" a="1"/>
  <c r="B653" i="102" s="1"/>
  <c r="B652" i="102" a="1"/>
  <c r="B652" i="102" s="1"/>
  <c r="B651" i="102" a="1"/>
  <c r="B651" i="102" s="1"/>
  <c r="B650" i="102" a="1"/>
  <c r="B650" i="102" s="1"/>
  <c r="B649" i="102" a="1"/>
  <c r="B649" i="102" s="1"/>
  <c r="B648" i="102" a="1"/>
  <c r="B648" i="102" s="1"/>
  <c r="B647" i="102" a="1"/>
  <c r="B647" i="102" s="1"/>
  <c r="B646" i="102" a="1"/>
  <c r="B646" i="102" s="1"/>
  <c r="B645" i="102" a="1"/>
  <c r="B645" i="102" s="1"/>
  <c r="B644" i="102" a="1"/>
  <c r="B644" i="102" s="1"/>
  <c r="B643" i="102" a="1"/>
  <c r="B643" i="102" s="1"/>
  <c r="B642" i="102" a="1"/>
  <c r="B642" i="102" s="1"/>
  <c r="B641" i="102" a="1"/>
  <c r="B641" i="102" s="1"/>
  <c r="B640" i="102"/>
  <c r="B640" i="102" a="1"/>
  <c r="B639" i="102" a="1"/>
  <c r="B639" i="102" s="1"/>
  <c r="B638" i="102" a="1"/>
  <c r="B638" i="102" s="1"/>
  <c r="B637" i="102" a="1"/>
  <c r="B637" i="102" s="1"/>
  <c r="B636" i="102" a="1"/>
  <c r="B636" i="102" s="1"/>
  <c r="B635" i="102" a="1"/>
  <c r="B635" i="102" s="1"/>
  <c r="B634" i="102" a="1"/>
  <c r="B634" i="102" s="1"/>
  <c r="B633" i="102" a="1"/>
  <c r="B633" i="102" s="1"/>
  <c r="B632" i="102" a="1"/>
  <c r="B632" i="102" s="1"/>
  <c r="B631" i="102" a="1"/>
  <c r="B631" i="102" s="1"/>
  <c r="B630" i="102" a="1"/>
  <c r="B630" i="102" s="1"/>
  <c r="B629" i="102" a="1"/>
  <c r="B629" i="102" s="1"/>
  <c r="B628" i="102" a="1"/>
  <c r="B628" i="102" s="1"/>
  <c r="B627" i="102" a="1"/>
  <c r="B627" i="102" s="1"/>
  <c r="B626" i="102" a="1"/>
  <c r="B626" i="102" s="1"/>
  <c r="B625" i="102" a="1"/>
  <c r="B625" i="102" s="1"/>
  <c r="B624" i="102" a="1"/>
  <c r="B624" i="102" s="1"/>
  <c r="B623" i="102" a="1"/>
  <c r="B623" i="102" s="1"/>
  <c r="B622" i="102" a="1"/>
  <c r="B622" i="102" s="1"/>
  <c r="B621" i="102" a="1"/>
  <c r="B621" i="102" s="1"/>
  <c r="B620" i="102" a="1"/>
  <c r="B620" i="102" s="1"/>
  <c r="B619" i="102" a="1"/>
  <c r="B619" i="102" s="1"/>
  <c r="B618" i="102" a="1"/>
  <c r="B618" i="102" s="1"/>
  <c r="B617" i="102" a="1"/>
  <c r="B617" i="102" s="1"/>
  <c r="B616" i="102" a="1"/>
  <c r="B616" i="102" s="1"/>
  <c r="B615" i="102" a="1"/>
  <c r="B615" i="102" s="1"/>
  <c r="B614" i="102" a="1"/>
  <c r="B614" i="102" s="1"/>
  <c r="B613" i="102" a="1"/>
  <c r="B613" i="102" s="1"/>
  <c r="B612" i="102" a="1"/>
  <c r="B612" i="102" s="1"/>
  <c r="B611" i="102" a="1"/>
  <c r="B611" i="102" s="1"/>
  <c r="B610" i="102" a="1"/>
  <c r="B610" i="102" s="1"/>
  <c r="B609" i="102" a="1"/>
  <c r="B609" i="102" s="1"/>
  <c r="B608" i="102"/>
  <c r="B608" i="102" a="1"/>
  <c r="B607" i="102" a="1"/>
  <c r="B607" i="102" s="1"/>
  <c r="B606" i="102" a="1"/>
  <c r="B606" i="102" s="1"/>
  <c r="B605" i="102" a="1"/>
  <c r="B605" i="102" s="1"/>
  <c r="B604" i="102" a="1"/>
  <c r="B604" i="102" s="1"/>
  <c r="B603" i="102" a="1"/>
  <c r="B603" i="102" s="1"/>
  <c r="B602" i="102" a="1"/>
  <c r="B602" i="102" s="1"/>
  <c r="B601" i="102" a="1"/>
  <c r="B601" i="102" s="1"/>
  <c r="B600" i="102" a="1"/>
  <c r="B600" i="102" s="1"/>
  <c r="B599" i="102" a="1"/>
  <c r="B599" i="102" s="1"/>
  <c r="B598" i="102" a="1"/>
  <c r="B598" i="102" s="1"/>
  <c r="B597" i="102" a="1"/>
  <c r="B597" i="102" s="1"/>
  <c r="B596" i="102" a="1"/>
  <c r="B596" i="102" s="1"/>
  <c r="B595" i="102" a="1"/>
  <c r="B595" i="102" s="1"/>
  <c r="B594" i="102" a="1"/>
  <c r="B594" i="102" s="1"/>
  <c r="B593" i="102" a="1"/>
  <c r="B593" i="102" s="1"/>
  <c r="B592" i="102" a="1"/>
  <c r="B592" i="102" s="1"/>
  <c r="B591" i="102" a="1"/>
  <c r="B591" i="102" s="1"/>
  <c r="B590" i="102" a="1"/>
  <c r="B590" i="102" s="1"/>
  <c r="B589" i="102" a="1"/>
  <c r="B589" i="102" s="1"/>
  <c r="B588" i="102" a="1"/>
  <c r="B588" i="102" s="1"/>
  <c r="B587" i="102" a="1"/>
  <c r="B587" i="102" s="1"/>
  <c r="B586" i="102" a="1"/>
  <c r="B586" i="102" s="1"/>
  <c r="B585" i="102" a="1"/>
  <c r="B585" i="102" s="1"/>
  <c r="B584" i="102" a="1"/>
  <c r="B584" i="102" s="1"/>
  <c r="B583" i="102" a="1"/>
  <c r="B583" i="102" s="1"/>
  <c r="B582" i="102" a="1"/>
  <c r="B582" i="102" s="1"/>
  <c r="B581" i="102" a="1"/>
  <c r="B581" i="102" s="1"/>
  <c r="B580" i="102" a="1"/>
  <c r="B580" i="102" s="1"/>
  <c r="B579" i="102" a="1"/>
  <c r="B579" i="102" s="1"/>
  <c r="B578" i="102" a="1"/>
  <c r="B578" i="102" s="1"/>
  <c r="B577" i="102" a="1"/>
  <c r="B577" i="102" s="1"/>
  <c r="B576" i="102" a="1"/>
  <c r="B576" i="102" s="1"/>
  <c r="B575" i="102" a="1"/>
  <c r="B575" i="102" s="1"/>
  <c r="B574" i="102" a="1"/>
  <c r="B574" i="102" s="1"/>
  <c r="B573" i="102" a="1"/>
  <c r="B573" i="102" s="1"/>
  <c r="B572" i="102" a="1"/>
  <c r="B572" i="102" s="1"/>
  <c r="B571" i="102" a="1"/>
  <c r="B571" i="102" s="1"/>
  <c r="B570" i="102" a="1"/>
  <c r="B570" i="102" s="1"/>
  <c r="B569" i="102" a="1"/>
  <c r="B569" i="102" s="1"/>
  <c r="B568" i="102" a="1"/>
  <c r="B568" i="102" s="1"/>
  <c r="B567" i="102" a="1"/>
  <c r="B567" i="102" s="1"/>
  <c r="B566" i="102" a="1"/>
  <c r="B566" i="102" s="1"/>
  <c r="B565" i="102" a="1"/>
  <c r="B565" i="102" s="1"/>
  <c r="B564" i="102" a="1"/>
  <c r="B564" i="102" s="1"/>
  <c r="B563" i="102" a="1"/>
  <c r="B563" i="102" s="1"/>
  <c r="B562" i="102" a="1"/>
  <c r="B562" i="102" s="1"/>
  <c r="B561" i="102" a="1"/>
  <c r="B561" i="102" s="1"/>
  <c r="B560" i="102" a="1"/>
  <c r="B560" i="102" s="1"/>
  <c r="B559" i="102" a="1"/>
  <c r="B559" i="102" s="1"/>
  <c r="B558" i="102" a="1"/>
  <c r="B558" i="102" s="1"/>
  <c r="B557" i="102" a="1"/>
  <c r="B557" i="102" s="1"/>
  <c r="B556" i="102" a="1"/>
  <c r="B556" i="102" s="1"/>
  <c r="B555" i="102" a="1"/>
  <c r="B555" i="102" s="1"/>
  <c r="B554" i="102" a="1"/>
  <c r="B554" i="102" s="1"/>
  <c r="B553" i="102" a="1"/>
  <c r="B553" i="102" s="1"/>
  <c r="B552" i="102" a="1"/>
  <c r="B552" i="102" s="1"/>
  <c r="B551" i="102" a="1"/>
  <c r="B551" i="102" s="1"/>
  <c r="B550" i="102"/>
  <c r="B550" i="102" a="1"/>
  <c r="B549" i="102" a="1"/>
  <c r="B549" i="102" s="1"/>
  <c r="B548" i="102" a="1"/>
  <c r="B548" i="102" s="1"/>
  <c r="B547" i="102" a="1"/>
  <c r="B547" i="102" s="1"/>
  <c r="B546" i="102" a="1"/>
  <c r="B546" i="102" s="1"/>
  <c r="B545" i="102" a="1"/>
  <c r="B545" i="102" s="1"/>
  <c r="B544" i="102" a="1"/>
  <c r="B544" i="102" s="1"/>
  <c r="B543" i="102" a="1"/>
  <c r="B543" i="102" s="1"/>
  <c r="B542" i="102" a="1"/>
  <c r="B542" i="102" s="1"/>
  <c r="B541" i="102" a="1"/>
  <c r="B541" i="102" s="1"/>
  <c r="B540" i="102" a="1"/>
  <c r="B540" i="102" s="1"/>
  <c r="B539" i="102" a="1"/>
  <c r="B539" i="102" s="1"/>
  <c r="B538" i="102" a="1"/>
  <c r="B538" i="102" s="1"/>
  <c r="B537" i="102" a="1"/>
  <c r="B537" i="102" s="1"/>
  <c r="B536" i="102" a="1"/>
  <c r="B536" i="102" s="1"/>
  <c r="B535" i="102" a="1"/>
  <c r="B535" i="102" s="1"/>
  <c r="B534" i="102" a="1"/>
  <c r="B534" i="102" s="1"/>
  <c r="B533" i="102" a="1"/>
  <c r="B533" i="102" s="1"/>
  <c r="B532" i="102" a="1"/>
  <c r="B532" i="102" s="1"/>
  <c r="B531" i="102" a="1"/>
  <c r="B531" i="102" s="1"/>
  <c r="B530" i="102" a="1"/>
  <c r="B530" i="102" s="1"/>
  <c r="B529" i="102" a="1"/>
  <c r="B529" i="102" s="1"/>
  <c r="B528" i="102" a="1"/>
  <c r="B528" i="102" s="1"/>
  <c r="B527" i="102" a="1"/>
  <c r="B527" i="102" s="1"/>
  <c r="B526" i="102" a="1"/>
  <c r="B526" i="102" s="1"/>
  <c r="B525" i="102" a="1"/>
  <c r="B525" i="102" s="1"/>
  <c r="B524" i="102" a="1"/>
  <c r="B524" i="102" s="1"/>
  <c r="B523" i="102" a="1"/>
  <c r="B523" i="102" s="1"/>
  <c r="B522" i="102" a="1"/>
  <c r="B522" i="102" s="1"/>
  <c r="B521" i="102" a="1"/>
  <c r="B521" i="102" s="1"/>
  <c r="B520" i="102" a="1"/>
  <c r="B520" i="102" s="1"/>
  <c r="B519" i="102" a="1"/>
  <c r="B519" i="102" s="1"/>
  <c r="B518" i="102" a="1"/>
  <c r="B518" i="102" s="1"/>
  <c r="B517" i="102" a="1"/>
  <c r="B517" i="102" s="1"/>
  <c r="B516" i="102" a="1"/>
  <c r="B516" i="102" s="1"/>
  <c r="B515" i="102" a="1"/>
  <c r="B515" i="102" s="1"/>
  <c r="B514" i="102" a="1"/>
  <c r="B514" i="102" s="1"/>
  <c r="B513" i="102" a="1"/>
  <c r="B513" i="102" s="1"/>
  <c r="B512" i="102" a="1"/>
  <c r="B512" i="102" s="1"/>
  <c r="B511" i="102" a="1"/>
  <c r="B511" i="102" s="1"/>
  <c r="B510" i="102" a="1"/>
  <c r="B510" i="102" s="1"/>
  <c r="B509" i="102" a="1"/>
  <c r="B509" i="102" s="1"/>
  <c r="B508" i="102" a="1"/>
  <c r="B508" i="102" s="1"/>
  <c r="B507" i="102" a="1"/>
  <c r="B507" i="102" s="1"/>
  <c r="B506" i="102" a="1"/>
  <c r="B506" i="102" s="1"/>
  <c r="B505" i="102" a="1"/>
  <c r="B505" i="102" s="1"/>
  <c r="B504" i="102" a="1"/>
  <c r="B504" i="102" s="1"/>
  <c r="B503" i="102" a="1"/>
  <c r="B503" i="102" s="1"/>
  <c r="B502" i="102" a="1"/>
  <c r="B502" i="102" s="1"/>
  <c r="B501" i="102" a="1"/>
  <c r="B501" i="102" s="1"/>
  <c r="B500" i="102" a="1"/>
  <c r="B500" i="102" s="1"/>
  <c r="B499" i="102" a="1"/>
  <c r="B499" i="102" s="1"/>
  <c r="B498" i="102" a="1"/>
  <c r="B498" i="102" s="1"/>
  <c r="B497" i="102" a="1"/>
  <c r="B497" i="102" s="1"/>
  <c r="B496" i="102" a="1"/>
  <c r="B496" i="102" s="1"/>
  <c r="B495" i="102" a="1"/>
  <c r="B495" i="102" s="1"/>
  <c r="B494" i="102" a="1"/>
  <c r="B494" i="102" s="1"/>
  <c r="B493" i="102" a="1"/>
  <c r="B493" i="102" s="1"/>
  <c r="B492" i="102" a="1"/>
  <c r="B492" i="102" s="1"/>
  <c r="B491" i="102" a="1"/>
  <c r="B491" i="102" s="1"/>
  <c r="B490" i="102" a="1"/>
  <c r="B490" i="102" s="1"/>
  <c r="B489" i="102" a="1"/>
  <c r="B489" i="102" s="1"/>
  <c r="B488" i="102" a="1"/>
  <c r="B488" i="102" s="1"/>
  <c r="B487" i="102" a="1"/>
  <c r="B487" i="102" s="1"/>
  <c r="B486" i="102" a="1"/>
  <c r="B486" i="102" s="1"/>
  <c r="B485" i="102" a="1"/>
  <c r="B485" i="102" s="1"/>
  <c r="B484" i="102" a="1"/>
  <c r="B484" i="102" s="1"/>
  <c r="B483" i="102" a="1"/>
  <c r="B483" i="102" s="1"/>
  <c r="B482" i="102" a="1"/>
  <c r="B482" i="102" s="1"/>
  <c r="B481" i="102" a="1"/>
  <c r="B481" i="102" s="1"/>
  <c r="B480" i="102" a="1"/>
  <c r="B480" i="102" s="1"/>
  <c r="B479" i="102" a="1"/>
  <c r="B479" i="102" s="1"/>
  <c r="B478" i="102" a="1"/>
  <c r="B478" i="102" s="1"/>
  <c r="B477" i="102" a="1"/>
  <c r="B477" i="102" s="1"/>
  <c r="B476" i="102" a="1"/>
  <c r="B476" i="102" s="1"/>
  <c r="B475" i="102" a="1"/>
  <c r="B475" i="102" s="1"/>
  <c r="B474" i="102" a="1"/>
  <c r="B474" i="102" s="1"/>
  <c r="B473" i="102" a="1"/>
  <c r="B473" i="102" s="1"/>
  <c r="B472" i="102" a="1"/>
  <c r="B472" i="102" s="1"/>
  <c r="B471" i="102" a="1"/>
  <c r="B471" i="102" s="1"/>
  <c r="B470" i="102" a="1"/>
  <c r="B470" i="102" s="1"/>
  <c r="B469" i="102" a="1"/>
  <c r="B469" i="102" s="1"/>
  <c r="B468" i="102" a="1"/>
  <c r="B468" i="102" s="1"/>
  <c r="B467" i="102" a="1"/>
  <c r="B467" i="102" s="1"/>
  <c r="B466" i="102" a="1"/>
  <c r="B466" i="102" s="1"/>
  <c r="B465" i="102" a="1"/>
  <c r="B465" i="102" s="1"/>
  <c r="B464" i="102" a="1"/>
  <c r="B464" i="102" s="1"/>
  <c r="B463" i="102" a="1"/>
  <c r="B463" i="102" s="1"/>
  <c r="B462" i="102" a="1"/>
  <c r="B462" i="102" s="1"/>
  <c r="B461" i="102" a="1"/>
  <c r="B461" i="102" s="1"/>
  <c r="B460" i="102" a="1"/>
  <c r="B460" i="102" s="1"/>
  <c r="B459" i="102" a="1"/>
  <c r="B459" i="102" s="1"/>
  <c r="B458" i="102" a="1"/>
  <c r="B458" i="102" s="1"/>
  <c r="B457" i="102" a="1"/>
  <c r="B457" i="102" s="1"/>
  <c r="B456" i="102" a="1"/>
  <c r="B456" i="102" s="1"/>
  <c r="B455" i="102" a="1"/>
  <c r="B455" i="102" s="1"/>
  <c r="B454" i="102" a="1"/>
  <c r="B454" i="102" s="1"/>
  <c r="B453" i="102" a="1"/>
  <c r="B453" i="102" s="1"/>
  <c r="B452" i="102" a="1"/>
  <c r="B452" i="102" s="1"/>
  <c r="B451" i="102" a="1"/>
  <c r="B451" i="102" s="1"/>
  <c r="B450" i="102" a="1"/>
  <c r="B450" i="102" s="1"/>
  <c r="B449" i="102" a="1"/>
  <c r="B449" i="102" s="1"/>
  <c r="B448" i="102" a="1"/>
  <c r="B448" i="102" s="1"/>
  <c r="B447" i="102" a="1"/>
  <c r="B447" i="102" s="1"/>
  <c r="B446" i="102" a="1"/>
  <c r="B446" i="102" s="1"/>
  <c r="B445" i="102" a="1"/>
  <c r="B445" i="102" s="1"/>
  <c r="B444" i="102" a="1"/>
  <c r="B444" i="102" s="1"/>
  <c r="B443" i="102" a="1"/>
  <c r="B443" i="102" s="1"/>
  <c r="B442" i="102" a="1"/>
  <c r="B442" i="102" s="1"/>
  <c r="B441" i="102" a="1"/>
  <c r="B441" i="102" s="1"/>
  <c r="B440" i="102" a="1"/>
  <c r="B440" i="102" s="1"/>
  <c r="B439" i="102" a="1"/>
  <c r="B439" i="102" s="1"/>
  <c r="B438" i="102" a="1"/>
  <c r="B438" i="102" s="1"/>
  <c r="B437" i="102" a="1"/>
  <c r="B437" i="102" s="1"/>
  <c r="B436" i="102" a="1"/>
  <c r="B436" i="102" s="1"/>
  <c r="B435" i="102" a="1"/>
  <c r="B435" i="102" s="1"/>
  <c r="B434" i="102" a="1"/>
  <c r="B434" i="102" s="1"/>
  <c r="B433" i="102" a="1"/>
  <c r="B433" i="102" s="1"/>
  <c r="B432" i="102" a="1"/>
  <c r="B432" i="102" s="1"/>
  <c r="B431" i="102" a="1"/>
  <c r="B431" i="102" s="1"/>
  <c r="B430" i="102" a="1"/>
  <c r="B430" i="102" s="1"/>
  <c r="B429" i="102" a="1"/>
  <c r="B429" i="102" s="1"/>
  <c r="B428" i="102" a="1"/>
  <c r="B428" i="102" s="1"/>
  <c r="B427" i="102" a="1"/>
  <c r="B427" i="102" s="1"/>
  <c r="B426" i="102" a="1"/>
  <c r="B426" i="102" s="1"/>
  <c r="B425" i="102" a="1"/>
  <c r="B425" i="102" s="1"/>
  <c r="B424" i="102" a="1"/>
  <c r="B424" i="102" s="1"/>
  <c r="B423" i="102" a="1"/>
  <c r="B423" i="102" s="1"/>
  <c r="B422" i="102" a="1"/>
  <c r="B422" i="102" s="1"/>
  <c r="B421" i="102" a="1"/>
  <c r="B421" i="102" s="1"/>
  <c r="B420" i="102" a="1"/>
  <c r="B420" i="102" s="1"/>
  <c r="B419" i="102" a="1"/>
  <c r="B419" i="102" s="1"/>
  <c r="B418" i="102" a="1"/>
  <c r="B418" i="102" s="1"/>
  <c r="B417" i="102" a="1"/>
  <c r="B417" i="102" s="1"/>
  <c r="B416" i="102"/>
  <c r="B416" i="102" a="1"/>
  <c r="B415" i="102" a="1"/>
  <c r="B415" i="102" s="1"/>
  <c r="B414" i="102" a="1"/>
  <c r="B414" i="102" s="1"/>
  <c r="B413" i="102" a="1"/>
  <c r="B413" i="102" s="1"/>
  <c r="B412" i="102" a="1"/>
  <c r="B412" i="102" s="1"/>
  <c r="B411" i="102" a="1"/>
  <c r="B411" i="102" s="1"/>
  <c r="B410" i="102" a="1"/>
  <c r="B410" i="102" s="1"/>
  <c r="B409" i="102" a="1"/>
  <c r="B409" i="102" s="1"/>
  <c r="B408" i="102" a="1"/>
  <c r="B408" i="102" s="1"/>
  <c r="B407" i="102" a="1"/>
  <c r="B407" i="102" s="1"/>
  <c r="B406" i="102" a="1"/>
  <c r="B406" i="102" s="1"/>
  <c r="B405" i="102" a="1"/>
  <c r="B405" i="102" s="1"/>
  <c r="B404" i="102" a="1"/>
  <c r="B404" i="102" s="1"/>
  <c r="B403" i="102" a="1"/>
  <c r="B403" i="102" s="1"/>
  <c r="B402" i="102" a="1"/>
  <c r="B402" i="102" s="1"/>
  <c r="B401" i="102" a="1"/>
  <c r="B401" i="102" s="1"/>
  <c r="B400" i="102" a="1"/>
  <c r="B400" i="102" s="1"/>
  <c r="B399" i="102" a="1"/>
  <c r="B399" i="102" s="1"/>
  <c r="B398" i="102" a="1"/>
  <c r="B398" i="102" s="1"/>
  <c r="B397" i="102" a="1"/>
  <c r="B397" i="102" s="1"/>
  <c r="B396" i="102" a="1"/>
  <c r="B396" i="102" s="1"/>
  <c r="B395" i="102" a="1"/>
  <c r="B395" i="102" s="1"/>
  <c r="B394" i="102" a="1"/>
  <c r="B394" i="102" s="1"/>
  <c r="B393" i="102" a="1"/>
  <c r="B393" i="102" s="1"/>
  <c r="B392" i="102" a="1"/>
  <c r="B392" i="102" s="1"/>
  <c r="B391" i="102" a="1"/>
  <c r="B391" i="102" s="1"/>
  <c r="B390" i="102" a="1"/>
  <c r="B390" i="102" s="1"/>
  <c r="B389" i="102" a="1"/>
  <c r="B389" i="102" s="1"/>
  <c r="B388" i="102" a="1"/>
  <c r="B388" i="102" s="1"/>
  <c r="B387" i="102" a="1"/>
  <c r="B387" i="102" s="1"/>
  <c r="B386" i="102" a="1"/>
  <c r="B386" i="102" s="1"/>
  <c r="B385" i="102" a="1"/>
  <c r="B385" i="102" s="1"/>
  <c r="B384" i="102" a="1"/>
  <c r="B384" i="102" s="1"/>
  <c r="B383" i="102" a="1"/>
  <c r="B383" i="102" s="1"/>
  <c r="B382" i="102" a="1"/>
  <c r="B382" i="102" s="1"/>
  <c r="B381" i="102" a="1"/>
  <c r="B381" i="102" s="1"/>
  <c r="B380" i="102" a="1"/>
  <c r="B380" i="102" s="1"/>
  <c r="B379" i="102" a="1"/>
  <c r="B379" i="102" s="1"/>
  <c r="B378" i="102" a="1"/>
  <c r="B378" i="102" s="1"/>
  <c r="B377" i="102" a="1"/>
  <c r="B377" i="102" s="1"/>
  <c r="B376" i="102" a="1"/>
  <c r="B376" i="102" s="1"/>
  <c r="B375" i="102" a="1"/>
  <c r="B375" i="102" s="1"/>
  <c r="B374" i="102" a="1"/>
  <c r="B374" i="102" s="1"/>
  <c r="B373" i="102"/>
  <c r="B373" i="102" a="1"/>
  <c r="B372" i="102" a="1"/>
  <c r="B372" i="102" s="1"/>
  <c r="B371" i="102" a="1"/>
  <c r="B371" i="102" s="1"/>
  <c r="B370" i="102" a="1"/>
  <c r="B370" i="102" s="1"/>
  <c r="B369" i="102" a="1"/>
  <c r="B369" i="102" s="1"/>
  <c r="B368" i="102" a="1"/>
  <c r="B368" i="102" s="1"/>
  <c r="B367" i="102" a="1"/>
  <c r="B367" i="102" s="1"/>
  <c r="B366" i="102" a="1"/>
  <c r="B366" i="102" s="1"/>
  <c r="B365" i="102" a="1"/>
  <c r="B365" i="102" s="1"/>
  <c r="B364" i="102" a="1"/>
  <c r="B364" i="102" s="1"/>
  <c r="B363" i="102" a="1"/>
  <c r="B363" i="102" s="1"/>
  <c r="B362" i="102" a="1"/>
  <c r="B362" i="102" s="1"/>
  <c r="B361" i="102" a="1"/>
  <c r="B361" i="102" s="1"/>
  <c r="B360" i="102" a="1"/>
  <c r="B360" i="102" s="1"/>
  <c r="B359" i="102" a="1"/>
  <c r="B359" i="102" s="1"/>
  <c r="B358" i="102" a="1"/>
  <c r="B358" i="102" s="1"/>
  <c r="B357" i="102" a="1"/>
  <c r="B357" i="102" s="1"/>
  <c r="B356" i="102" a="1"/>
  <c r="B356" i="102" s="1"/>
  <c r="B355" i="102" a="1"/>
  <c r="B355" i="102" s="1"/>
  <c r="B354" i="102" a="1"/>
  <c r="B354" i="102" s="1"/>
  <c r="B353" i="102" a="1"/>
  <c r="B353" i="102" s="1"/>
  <c r="B352" i="102" a="1"/>
  <c r="B352" i="102" s="1"/>
  <c r="B351" i="102" a="1"/>
  <c r="B351" i="102" s="1"/>
  <c r="B350" i="102" a="1"/>
  <c r="B350" i="102" s="1"/>
  <c r="B349" i="102" a="1"/>
  <c r="B349" i="102" s="1"/>
  <c r="B348" i="102" a="1"/>
  <c r="B348" i="102" s="1"/>
  <c r="B347" i="102" a="1"/>
  <c r="B347" i="102" s="1"/>
  <c r="B346" i="102" a="1"/>
  <c r="B346" i="102" s="1"/>
  <c r="B345" i="102" a="1"/>
  <c r="B345" i="102" s="1"/>
  <c r="B344" i="102" a="1"/>
  <c r="B344" i="102" s="1"/>
  <c r="B343" i="102" a="1"/>
  <c r="B343" i="102" s="1"/>
  <c r="B342" i="102" a="1"/>
  <c r="B342" i="102" s="1"/>
  <c r="B341" i="102" a="1"/>
  <c r="B341" i="102" s="1"/>
  <c r="B340" i="102" a="1"/>
  <c r="B340" i="102" s="1"/>
  <c r="B339" i="102" a="1"/>
  <c r="B339" i="102" s="1"/>
  <c r="B338" i="102" a="1"/>
  <c r="B338" i="102" s="1"/>
  <c r="B337" i="102" a="1"/>
  <c r="B337" i="102" s="1"/>
  <c r="B336" i="102" a="1"/>
  <c r="B336" i="102" s="1"/>
  <c r="B335" i="102" a="1"/>
  <c r="B335" i="102" s="1"/>
  <c r="B334" i="102" a="1"/>
  <c r="B334" i="102" s="1"/>
  <c r="B333" i="102" a="1"/>
  <c r="B333" i="102" s="1"/>
  <c r="B332" i="102" a="1"/>
  <c r="B332" i="102" s="1"/>
  <c r="B331" i="102" a="1"/>
  <c r="B331" i="102" s="1"/>
  <c r="B330" i="102" a="1"/>
  <c r="B330" i="102" s="1"/>
  <c r="B329" i="102" a="1"/>
  <c r="B329" i="102" s="1"/>
  <c r="B328" i="102" a="1"/>
  <c r="B328" i="102" s="1"/>
  <c r="B327" i="102" a="1"/>
  <c r="B327" i="102" s="1"/>
  <c r="B326" i="102" a="1"/>
  <c r="B326" i="102" s="1"/>
  <c r="B325" i="102"/>
  <c r="B325" i="102" a="1"/>
  <c r="B324" i="102" a="1"/>
  <c r="B324" i="102" s="1"/>
  <c r="B323" i="102" a="1"/>
  <c r="B323" i="102" s="1"/>
  <c r="B322" i="102" a="1"/>
  <c r="B322" i="102" s="1"/>
  <c r="B321" i="102" a="1"/>
  <c r="B321" i="102" s="1"/>
  <c r="B320" i="102" a="1"/>
  <c r="B320" i="102" s="1"/>
  <c r="B319" i="102" a="1"/>
  <c r="B319" i="102" s="1"/>
  <c r="B318" i="102" a="1"/>
  <c r="B318" i="102" s="1"/>
  <c r="B317" i="102" a="1"/>
  <c r="B317" i="102" s="1"/>
  <c r="B316" i="102" a="1"/>
  <c r="B316" i="102" s="1"/>
  <c r="B315" i="102" a="1"/>
  <c r="B315" i="102" s="1"/>
  <c r="B314" i="102" a="1"/>
  <c r="B314" i="102" s="1"/>
  <c r="B313" i="102" a="1"/>
  <c r="B313" i="102" s="1"/>
  <c r="B312" i="102" a="1"/>
  <c r="B312" i="102" s="1"/>
  <c r="B311" i="102" a="1"/>
  <c r="B311" i="102" s="1"/>
  <c r="B310" i="102" a="1"/>
  <c r="B310" i="102" s="1"/>
  <c r="B309" i="102"/>
  <c r="B309" i="102" a="1"/>
  <c r="B308" i="102" a="1"/>
  <c r="B308" i="102" s="1"/>
  <c r="B307" i="102" a="1"/>
  <c r="B307" i="102" s="1"/>
  <c r="B306" i="102" a="1"/>
  <c r="B306" i="102" s="1"/>
  <c r="B305" i="102" a="1"/>
  <c r="B305" i="102" s="1"/>
  <c r="B304" i="102" a="1"/>
  <c r="B304" i="102" s="1"/>
  <c r="B303" i="102" a="1"/>
  <c r="B303" i="102" s="1"/>
  <c r="B302" i="102" a="1"/>
  <c r="B302" i="102" s="1"/>
  <c r="B301" i="102" a="1"/>
  <c r="B301" i="102" s="1"/>
  <c r="B300" i="102" a="1"/>
  <c r="B300" i="102" s="1"/>
  <c r="B299" i="102" a="1"/>
  <c r="B299" i="102" s="1"/>
  <c r="B298" i="102" a="1"/>
  <c r="B298" i="102" s="1"/>
  <c r="B297" i="102" a="1"/>
  <c r="B297" i="102" s="1"/>
  <c r="B296" i="102" a="1"/>
  <c r="B296" i="102" s="1"/>
  <c r="B295" i="102" a="1"/>
  <c r="B295" i="102" s="1"/>
  <c r="B294" i="102" a="1"/>
  <c r="B294" i="102" s="1"/>
  <c r="B293" i="102" a="1"/>
  <c r="B293" i="102" s="1"/>
  <c r="B292" i="102" a="1"/>
  <c r="B292" i="102" s="1"/>
  <c r="B291" i="102" a="1"/>
  <c r="B291" i="102" s="1"/>
  <c r="B290" i="102" a="1"/>
  <c r="B290" i="102" s="1"/>
  <c r="B289" i="102" a="1"/>
  <c r="B289" i="102" s="1"/>
  <c r="B288" i="102" a="1"/>
  <c r="B288" i="102" s="1"/>
  <c r="B287" i="102" a="1"/>
  <c r="B287" i="102" s="1"/>
  <c r="B286" i="102" a="1"/>
  <c r="B286" i="102" s="1"/>
  <c r="B285" i="102" a="1"/>
  <c r="B285" i="102" s="1"/>
  <c r="B284" i="102" a="1"/>
  <c r="B284" i="102" s="1"/>
  <c r="B283" i="102" a="1"/>
  <c r="B283" i="102" s="1"/>
  <c r="B282" i="102" a="1"/>
  <c r="B282" i="102" s="1"/>
  <c r="B281" i="102" a="1"/>
  <c r="B281" i="102" s="1"/>
  <c r="B280" i="102" a="1"/>
  <c r="B280" i="102" s="1"/>
  <c r="B279" i="102" a="1"/>
  <c r="B279" i="102" s="1"/>
  <c r="B278" i="102" a="1"/>
  <c r="B278" i="102" s="1"/>
  <c r="B277" i="102" a="1"/>
  <c r="B277" i="102" s="1"/>
  <c r="B276" i="102" a="1"/>
  <c r="B276" i="102" s="1"/>
  <c r="B275" i="102" a="1"/>
  <c r="B275" i="102" s="1"/>
  <c r="B274" i="102" a="1"/>
  <c r="B274" i="102" s="1"/>
  <c r="B273" i="102" a="1"/>
  <c r="B273" i="102" s="1"/>
  <c r="B272" i="102" a="1"/>
  <c r="B272" i="102" s="1"/>
  <c r="B271" i="102" a="1"/>
  <c r="B271" i="102" s="1"/>
  <c r="B270" i="102" a="1"/>
  <c r="B270" i="102" s="1"/>
  <c r="B269" i="102" a="1"/>
  <c r="B269" i="102" s="1"/>
  <c r="B268" i="102" a="1"/>
  <c r="B268" i="102" s="1"/>
  <c r="B267" i="102" a="1"/>
  <c r="B267" i="102" s="1"/>
  <c r="B266" i="102" a="1"/>
  <c r="B266" i="102" s="1"/>
  <c r="B265" i="102" a="1"/>
  <c r="B265" i="102" s="1"/>
  <c r="B264" i="102" a="1"/>
  <c r="B264" i="102" s="1"/>
  <c r="B263" i="102" a="1"/>
  <c r="B263" i="102" s="1"/>
  <c r="B262" i="102" a="1"/>
  <c r="B262" i="102" s="1"/>
  <c r="B261" i="102" a="1"/>
  <c r="B261" i="102" s="1"/>
  <c r="B260" i="102" a="1"/>
  <c r="B260" i="102" s="1"/>
  <c r="B259" i="102" a="1"/>
  <c r="B259" i="102" s="1"/>
  <c r="B258" i="102" a="1"/>
  <c r="B258" i="102" s="1"/>
  <c r="B257" i="102" a="1"/>
  <c r="B257" i="102" s="1"/>
  <c r="B256" i="102" a="1"/>
  <c r="B256" i="102" s="1"/>
  <c r="B255" i="102" a="1"/>
  <c r="B255" i="102" s="1"/>
  <c r="B254" i="102" a="1"/>
  <c r="B254" i="102" s="1"/>
  <c r="B253" i="102" a="1"/>
  <c r="B253" i="102" s="1"/>
  <c r="B252" i="102" a="1"/>
  <c r="B252" i="102" s="1"/>
  <c r="B251" i="102" a="1"/>
  <c r="B251" i="102" s="1"/>
  <c r="B250" i="102" a="1"/>
  <c r="B250" i="102" s="1"/>
  <c r="B249" i="102" a="1"/>
  <c r="B249" i="102" s="1"/>
  <c r="B248" i="102" a="1"/>
  <c r="B248" i="102" s="1"/>
  <c r="B247" i="102" a="1"/>
  <c r="B247" i="102" s="1"/>
  <c r="B246" i="102" a="1"/>
  <c r="B246" i="102" s="1"/>
  <c r="B245" i="102"/>
  <c r="B245" i="102" a="1"/>
  <c r="B244" i="102" a="1"/>
  <c r="B244" i="102" s="1"/>
  <c r="B243" i="102" a="1"/>
  <c r="B243" i="102" s="1"/>
  <c r="B242" i="102" a="1"/>
  <c r="B242" i="102" s="1"/>
  <c r="B241" i="102" a="1"/>
  <c r="B241" i="102" s="1"/>
  <c r="B240" i="102" a="1"/>
  <c r="B240" i="102" s="1"/>
  <c r="B239" i="102" a="1"/>
  <c r="B239" i="102" s="1"/>
  <c r="B238" i="102" a="1"/>
  <c r="B238" i="102" s="1"/>
  <c r="B237" i="102" a="1"/>
  <c r="B237" i="102" s="1"/>
  <c r="B236" i="102" a="1"/>
  <c r="B236" i="102" s="1"/>
  <c r="B235" i="102" a="1"/>
  <c r="B235" i="102" s="1"/>
  <c r="B234" i="102" a="1"/>
  <c r="B234" i="102" s="1"/>
  <c r="B233" i="102" a="1"/>
  <c r="B233" i="102" s="1"/>
  <c r="B232" i="102" a="1"/>
  <c r="B232" i="102" s="1"/>
  <c r="B231" i="102" a="1"/>
  <c r="B231" i="102" s="1"/>
  <c r="B230" i="102" a="1"/>
  <c r="B230" i="102" s="1"/>
  <c r="B229" i="102" a="1"/>
  <c r="B229" i="102" s="1"/>
  <c r="B228" i="102" a="1"/>
  <c r="B228" i="102" s="1"/>
  <c r="B227" i="102" a="1"/>
  <c r="B227" i="102" s="1"/>
  <c r="B226" i="102" a="1"/>
  <c r="B226" i="102" s="1"/>
  <c r="B225" i="102" a="1"/>
  <c r="B225" i="102" s="1"/>
  <c r="B224" i="102" a="1"/>
  <c r="B224" i="102" s="1"/>
  <c r="B223" i="102" a="1"/>
  <c r="B223" i="102" s="1"/>
  <c r="B222" i="102" a="1"/>
  <c r="B222" i="102" s="1"/>
  <c r="B221" i="102" a="1"/>
  <c r="B221" i="102" s="1"/>
  <c r="B220" i="102" a="1"/>
  <c r="B220" i="102" s="1"/>
  <c r="B219" i="102" a="1"/>
  <c r="B219" i="102" s="1"/>
  <c r="B218" i="102" a="1"/>
  <c r="B218" i="102" s="1"/>
  <c r="B217" i="102"/>
  <c r="B217" i="102" a="1"/>
  <c r="B216" i="102" a="1"/>
  <c r="B216" i="102" s="1"/>
  <c r="B215" i="102" a="1"/>
  <c r="B215" i="102" s="1"/>
  <c r="B214" i="102" a="1"/>
  <c r="B214" i="102" s="1"/>
  <c r="B213" i="102" a="1"/>
  <c r="B213" i="102" s="1"/>
  <c r="B212" i="102" a="1"/>
  <c r="B212" i="102" s="1"/>
  <c r="B211" i="102" a="1"/>
  <c r="B211" i="102" s="1"/>
  <c r="B210" i="102" a="1"/>
  <c r="B210" i="102" s="1"/>
  <c r="B209" i="102" a="1"/>
  <c r="B209" i="102" s="1"/>
  <c r="B208" i="102" a="1"/>
  <c r="B208" i="102" s="1"/>
  <c r="B207" i="102" a="1"/>
  <c r="B207" i="102" s="1"/>
  <c r="B206" i="102" a="1"/>
  <c r="B206" i="102" s="1"/>
  <c r="B205" i="102" a="1"/>
  <c r="B205" i="102" s="1"/>
  <c r="B204" i="102" a="1"/>
  <c r="B204" i="102" s="1"/>
  <c r="B203" i="102" a="1"/>
  <c r="B203" i="102" s="1"/>
  <c r="B202" i="102" a="1"/>
  <c r="B202" i="102" s="1"/>
  <c r="B201" i="102" a="1"/>
  <c r="B201" i="102" s="1"/>
  <c r="B200" i="102" a="1"/>
  <c r="B200" i="102" s="1"/>
  <c r="B199" i="102" a="1"/>
  <c r="B199" i="102" s="1"/>
  <c r="B198" i="102" a="1"/>
  <c r="B198" i="102" s="1"/>
  <c r="B197" i="102" a="1"/>
  <c r="B197" i="102" s="1"/>
  <c r="B196" i="102" a="1"/>
  <c r="B196" i="102" s="1"/>
  <c r="B195" i="102" a="1"/>
  <c r="B195" i="102" s="1"/>
  <c r="B194" i="102" a="1"/>
  <c r="B194" i="102" s="1"/>
  <c r="B193" i="102" a="1"/>
  <c r="B193" i="102" s="1"/>
  <c r="B192" i="102" a="1"/>
  <c r="B192" i="102" s="1"/>
  <c r="B191" i="102" a="1"/>
  <c r="B191" i="102" s="1"/>
  <c r="B190" i="102" a="1"/>
  <c r="B190" i="102" s="1"/>
  <c r="B189" i="102" a="1"/>
  <c r="B189" i="102" s="1"/>
  <c r="B188" i="102" a="1"/>
  <c r="B188" i="102" s="1"/>
  <c r="B187" i="102" a="1"/>
  <c r="B187" i="102" s="1"/>
  <c r="B186" i="102" a="1"/>
  <c r="B186" i="102" s="1"/>
  <c r="B185" i="102" a="1"/>
  <c r="B185" i="102" s="1"/>
  <c r="B184" i="102" a="1"/>
  <c r="B184" i="102" s="1"/>
  <c r="B183" i="102" a="1"/>
  <c r="B183" i="102" s="1"/>
  <c r="B182" i="102" a="1"/>
  <c r="B182" i="102" s="1"/>
  <c r="B181" i="102" a="1"/>
  <c r="B181" i="102" s="1"/>
  <c r="B180" i="102" a="1"/>
  <c r="B180" i="102" s="1"/>
  <c r="B179" i="102" a="1"/>
  <c r="B179" i="102" s="1"/>
  <c r="B178" i="102" a="1"/>
  <c r="B178" i="102" s="1"/>
  <c r="B177" i="102" a="1"/>
  <c r="B177" i="102" s="1"/>
  <c r="B176" i="102" a="1"/>
  <c r="B176" i="102" s="1"/>
  <c r="B175" i="102" a="1"/>
  <c r="B175" i="102" s="1"/>
  <c r="B174" i="102" a="1"/>
  <c r="B174" i="102" s="1"/>
  <c r="B173" i="102" a="1"/>
  <c r="B173" i="102" s="1"/>
  <c r="B172" i="102" a="1"/>
  <c r="B172" i="102" s="1"/>
  <c r="B171" i="102" a="1"/>
  <c r="B171" i="102" s="1"/>
  <c r="B170" i="102" a="1"/>
  <c r="B170" i="102" s="1"/>
  <c r="B169" i="102" a="1"/>
  <c r="B169" i="102" s="1"/>
  <c r="B168" i="102" a="1"/>
  <c r="B168" i="102" s="1"/>
  <c r="B167" i="102" a="1"/>
  <c r="B167" i="102" s="1"/>
  <c r="B166" i="102" a="1"/>
  <c r="B166" i="102" s="1"/>
  <c r="B165" i="102" a="1"/>
  <c r="B165" i="102" s="1"/>
  <c r="B164" i="102" a="1"/>
  <c r="B164" i="102" s="1"/>
  <c r="B163" i="102" a="1"/>
  <c r="B163" i="102" s="1"/>
  <c r="B162" i="102" a="1"/>
  <c r="B162" i="102" s="1"/>
  <c r="B161" i="102" a="1"/>
  <c r="B161" i="102" s="1"/>
  <c r="B160" i="102" a="1"/>
  <c r="B160" i="102" s="1"/>
  <c r="B159" i="102" a="1"/>
  <c r="B159" i="102" s="1"/>
  <c r="B158" i="102" a="1"/>
  <c r="B158" i="102" s="1"/>
  <c r="B157" i="102"/>
  <c r="B157" i="102" a="1"/>
  <c r="B156" i="102" a="1"/>
  <c r="B156" i="102" s="1"/>
  <c r="B155" i="102" a="1"/>
  <c r="B155" i="102" s="1"/>
  <c r="B154" i="102" a="1"/>
  <c r="B154" i="102" s="1"/>
  <c r="B153" i="102" a="1"/>
  <c r="B153" i="102" s="1"/>
  <c r="B152" i="102" a="1"/>
  <c r="B152" i="102" s="1"/>
  <c r="B151" i="102" a="1"/>
  <c r="B151" i="102" s="1"/>
  <c r="B150" i="102" a="1"/>
  <c r="B150" i="102" s="1"/>
  <c r="B149" i="102" a="1"/>
  <c r="B149" i="102" s="1"/>
  <c r="B148" i="102" a="1"/>
  <c r="B148" i="102" s="1"/>
  <c r="B147" i="102" a="1"/>
  <c r="B147" i="102" s="1"/>
  <c r="B146" i="102" a="1"/>
  <c r="B146" i="102" s="1"/>
  <c r="B145" i="102" a="1"/>
  <c r="B145" i="102" s="1"/>
  <c r="B144" i="102" a="1"/>
  <c r="B144" i="102" s="1"/>
  <c r="B143" i="102" a="1"/>
  <c r="B143" i="102" s="1"/>
  <c r="B142" i="102" a="1"/>
  <c r="B142" i="102" s="1"/>
  <c r="B141" i="102"/>
  <c r="B141" i="102" a="1"/>
  <c r="B140" i="102" a="1"/>
  <c r="B140" i="102" s="1"/>
  <c r="B139" i="102" a="1"/>
  <c r="B139" i="102" s="1"/>
  <c r="B138" i="102" a="1"/>
  <c r="B138" i="102" s="1"/>
  <c r="B137" i="102" a="1"/>
  <c r="B137" i="102" s="1"/>
  <c r="B136" i="102" a="1"/>
  <c r="B136" i="102" s="1"/>
  <c r="B135" i="102" a="1"/>
  <c r="B135" i="102" s="1"/>
  <c r="B134" i="102" a="1"/>
  <c r="B134" i="102" s="1"/>
  <c r="B133" i="102" a="1"/>
  <c r="B133" i="102" s="1"/>
  <c r="B132" i="102" a="1"/>
  <c r="B132" i="102" s="1"/>
  <c r="B131" i="102" a="1"/>
  <c r="B131" i="102" s="1"/>
  <c r="B130" i="102" a="1"/>
  <c r="B130" i="102" s="1"/>
  <c r="B129" i="102" a="1"/>
  <c r="B129" i="102" s="1"/>
  <c r="B128" i="102" a="1"/>
  <c r="B128" i="102" s="1"/>
  <c r="B127" i="102" a="1"/>
  <c r="B127" i="102" s="1"/>
  <c r="B126" i="102" a="1"/>
  <c r="B126" i="102" s="1"/>
  <c r="B125" i="102" a="1"/>
  <c r="B125" i="102" s="1"/>
  <c r="B124" i="102" a="1"/>
  <c r="B124" i="102" s="1"/>
  <c r="B123" i="102" a="1"/>
  <c r="B123" i="102" s="1"/>
  <c r="B122" i="102" a="1"/>
  <c r="B122" i="102" s="1"/>
  <c r="B121" i="102" a="1"/>
  <c r="B121" i="102" s="1"/>
  <c r="B120" i="102" a="1"/>
  <c r="B120" i="102" s="1"/>
  <c r="B119" i="102" a="1"/>
  <c r="B119" i="102" s="1"/>
  <c r="B118" i="102" a="1"/>
  <c r="B118" i="102" s="1"/>
  <c r="B117" i="102" a="1"/>
  <c r="B117" i="102" s="1"/>
  <c r="B116" i="102" a="1"/>
  <c r="B116" i="102" s="1"/>
  <c r="B115" i="102" a="1"/>
  <c r="B115" i="102" s="1"/>
  <c r="B114" i="102" a="1"/>
  <c r="B114" i="102" s="1"/>
  <c r="B113" i="102" a="1"/>
  <c r="B113" i="102" s="1"/>
  <c r="B112" i="102" a="1"/>
  <c r="B112" i="102" s="1"/>
  <c r="B111" i="102" a="1"/>
  <c r="B111" i="102" s="1"/>
  <c r="B110" i="102" a="1"/>
  <c r="B110" i="102" s="1"/>
  <c r="B109" i="102" a="1"/>
  <c r="B109" i="102" s="1"/>
  <c r="B108" i="102" a="1"/>
  <c r="B108" i="102" s="1"/>
  <c r="B107" i="102" a="1"/>
  <c r="B107" i="102" s="1"/>
  <c r="B106" i="102" a="1"/>
  <c r="B106" i="102" s="1"/>
  <c r="B105" i="102" a="1"/>
  <c r="B105" i="102" s="1"/>
  <c r="B104" i="102" a="1"/>
  <c r="B104" i="102" s="1"/>
  <c r="B103" i="102" a="1"/>
  <c r="B103" i="102" s="1"/>
  <c r="B102" i="102" a="1"/>
  <c r="B102" i="102" s="1"/>
  <c r="B101" i="102" a="1"/>
  <c r="B101" i="102" s="1"/>
  <c r="B100" i="102" a="1"/>
  <c r="B100" i="102" s="1"/>
  <c r="B99" i="102" a="1"/>
  <c r="B99" i="102" s="1"/>
  <c r="B98" i="102" a="1"/>
  <c r="B98" i="102" s="1"/>
  <c r="B97" i="102" a="1"/>
  <c r="B97" i="102" s="1"/>
  <c r="B96" i="102" a="1"/>
  <c r="B96" i="102" s="1"/>
  <c r="B95" i="102" a="1"/>
  <c r="B95" i="102" s="1"/>
  <c r="B94" i="102" a="1"/>
  <c r="B94" i="102" s="1"/>
  <c r="B93" i="102" a="1"/>
  <c r="B93" i="102" s="1"/>
  <c r="B92" i="102" a="1"/>
  <c r="B92" i="102" s="1"/>
  <c r="B91" i="102" a="1"/>
  <c r="B91" i="102" s="1"/>
  <c r="B90" i="102" a="1"/>
  <c r="B90" i="102" s="1"/>
  <c r="B89" i="102" a="1"/>
  <c r="B89" i="102" s="1"/>
  <c r="B88" i="102" a="1"/>
  <c r="B88" i="102" s="1"/>
  <c r="B87" i="102" a="1"/>
  <c r="B87" i="102" s="1"/>
  <c r="B86" i="102" a="1"/>
  <c r="B86" i="102" s="1"/>
  <c r="B85" i="102" a="1"/>
  <c r="B85" i="102" s="1"/>
  <c r="B84" i="102" a="1"/>
  <c r="B84" i="102" s="1"/>
  <c r="B83" i="102"/>
  <c r="B83" i="102" a="1"/>
  <c r="B82" i="102" a="1"/>
  <c r="B82" i="102" s="1"/>
  <c r="B81" i="102" a="1"/>
  <c r="B81" i="102" s="1"/>
  <c r="B80" i="102" a="1"/>
  <c r="B80" i="102" s="1"/>
  <c r="B79" i="102" a="1"/>
  <c r="B79" i="102" s="1"/>
  <c r="B78" i="102" a="1"/>
  <c r="B78" i="102" s="1"/>
  <c r="B77" i="102" a="1"/>
  <c r="B77" i="102" s="1"/>
  <c r="B76" i="102" a="1"/>
  <c r="B76" i="102" s="1"/>
  <c r="B75" i="102"/>
  <c r="B75" i="102" a="1"/>
  <c r="B74" i="102" a="1"/>
  <c r="B74" i="102" s="1"/>
  <c r="B73" i="102" a="1"/>
  <c r="B73" i="102" s="1"/>
  <c r="B72" i="102" a="1"/>
  <c r="B72" i="102" s="1"/>
  <c r="B71" i="102" a="1"/>
  <c r="B71" i="102" s="1"/>
  <c r="B70" i="102" a="1"/>
  <c r="B70" i="102" s="1"/>
  <c r="B69" i="102" a="1"/>
  <c r="B69" i="102" s="1"/>
  <c r="B68" i="102" a="1"/>
  <c r="B68" i="102" s="1"/>
  <c r="B67" i="102" a="1"/>
  <c r="B67" i="102" s="1"/>
  <c r="B66" i="102" a="1"/>
  <c r="B66" i="102" s="1"/>
  <c r="B65" i="102" a="1"/>
  <c r="B65" i="102" s="1"/>
  <c r="B64" i="102" a="1"/>
  <c r="B64" i="102" s="1"/>
  <c r="B63" i="102" a="1"/>
  <c r="B63" i="102" s="1"/>
  <c r="B62" i="102" a="1"/>
  <c r="B62" i="102" s="1"/>
  <c r="B61" i="102" a="1"/>
  <c r="B61" i="102" s="1"/>
  <c r="B60" i="102" a="1"/>
  <c r="B60" i="102" s="1"/>
  <c r="B59" i="102" a="1"/>
  <c r="B59" i="102" s="1"/>
  <c r="B58" i="102" a="1"/>
  <c r="B58" i="102" s="1"/>
  <c r="B57" i="102" a="1"/>
  <c r="B57" i="102" s="1"/>
  <c r="B56" i="102" a="1"/>
  <c r="B56" i="102" s="1"/>
  <c r="B55" i="102" a="1"/>
  <c r="B55" i="102" s="1"/>
  <c r="B54" i="102"/>
  <c r="B54" i="102" a="1"/>
  <c r="B53" i="102" a="1"/>
  <c r="B53" i="102" s="1"/>
  <c r="B52" i="102" a="1"/>
  <c r="B52" i="102" s="1"/>
  <c r="B51" i="102" a="1"/>
  <c r="B51" i="102" s="1"/>
  <c r="B50" i="102" a="1"/>
  <c r="B50" i="102" s="1"/>
  <c r="B49" i="102" a="1"/>
  <c r="B49" i="102" s="1"/>
  <c r="B48" i="102" a="1"/>
  <c r="B48" i="102" s="1"/>
  <c r="B47" i="102" a="1"/>
  <c r="B47" i="102" s="1"/>
  <c r="B46" i="102" a="1"/>
  <c r="B46" i="102" s="1"/>
  <c r="B45" i="102" a="1"/>
  <c r="B45" i="102" s="1"/>
  <c r="B44" i="102" a="1"/>
  <c r="B44" i="102" s="1"/>
  <c r="B43" i="102" a="1"/>
  <c r="B43" i="102" s="1"/>
  <c r="B42" i="102" a="1"/>
  <c r="B42" i="102" s="1"/>
  <c r="B41" i="102" a="1"/>
  <c r="B41" i="102" s="1"/>
  <c r="B40" i="102" a="1"/>
  <c r="B40" i="102" s="1"/>
  <c r="B39" i="102" a="1"/>
  <c r="B39" i="102" s="1"/>
  <c r="B38" i="102" a="1"/>
  <c r="B38" i="102" s="1"/>
  <c r="B37" i="102" a="1"/>
  <c r="B37" i="102" s="1"/>
  <c r="B36" i="102" a="1"/>
  <c r="B36" i="102" s="1"/>
  <c r="B35" i="102" a="1"/>
  <c r="B35" i="102" s="1"/>
  <c r="B34" i="102" a="1"/>
  <c r="B34" i="102" s="1"/>
  <c r="B33" i="102" a="1"/>
  <c r="B33" i="102" s="1"/>
  <c r="B32" i="102" a="1"/>
  <c r="B32" i="102" s="1"/>
  <c r="B31" i="102" a="1"/>
  <c r="B31" i="102" s="1"/>
  <c r="B30" i="102"/>
  <c r="B30" i="102" a="1"/>
  <c r="B29" i="102" a="1"/>
  <c r="B29" i="102" s="1"/>
  <c r="B28" i="102" a="1"/>
  <c r="B28" i="102" s="1"/>
  <c r="B27" i="102" a="1"/>
  <c r="B27" i="102" s="1"/>
  <c r="B26" i="102" a="1"/>
  <c r="B26" i="102" s="1"/>
  <c r="B25" i="102" a="1"/>
  <c r="B25" i="102" s="1"/>
  <c r="B24" i="102" a="1"/>
  <c r="B24" i="102" s="1"/>
  <c r="B23" i="102" a="1"/>
  <c r="B23" i="102" s="1"/>
  <c r="B22" i="102"/>
  <c r="B22" i="102" a="1"/>
  <c r="B21" i="102" a="1"/>
  <c r="B21" i="102" s="1"/>
  <c r="B20" i="102" a="1"/>
  <c r="B20" i="102" s="1"/>
  <c r="B19" i="102" a="1"/>
  <c r="B19" i="102" s="1"/>
  <c r="B18" i="102" a="1"/>
  <c r="B18" i="102" s="1"/>
  <c r="B17" i="102" a="1"/>
  <c r="B17" i="102" s="1"/>
  <c r="B16" i="102" a="1"/>
  <c r="B16" i="102" s="1"/>
  <c r="B15" i="102" a="1"/>
  <c r="B15" i="102" s="1"/>
  <c r="B14" i="102" a="1"/>
  <c r="B14" i="102" s="1"/>
  <c r="B13" i="102" a="1"/>
  <c r="B13" i="102" s="1"/>
  <c r="B12" i="102" a="1"/>
  <c r="B12" i="102" s="1"/>
  <c r="B11" i="102" a="1"/>
  <c r="B11" i="102" s="1"/>
  <c r="B10" i="102" a="1"/>
  <c r="B10" i="102" s="1"/>
  <c r="B9" i="102" a="1"/>
  <c r="B9" i="102" s="1"/>
  <c r="B8" i="102" a="1"/>
  <c r="B8" i="102" s="1"/>
  <c r="B7" i="102" a="1"/>
  <c r="B7" i="102" s="1"/>
  <c r="B6" i="102" a="1"/>
  <c r="B6" i="102" s="1"/>
  <c r="B5" i="102" a="1"/>
  <c r="B5" i="102" s="1"/>
  <c r="B4" i="102" a="1"/>
  <c r="B4" i="102" s="1"/>
  <c r="E1169" i="102" l="1"/>
  <c r="BE1169" i="102"/>
  <c r="E1168" i="102"/>
  <c r="E1167" i="102"/>
  <c r="BG1035" i="102"/>
  <c r="BH1035" i="102" s="1"/>
  <c r="BI1035" i="102" s="1"/>
  <c r="BJ1035" i="102" s="1"/>
  <c r="BK1035" i="102" s="1"/>
  <c r="BL1035" i="102" s="1"/>
  <c r="BM1035" i="102" s="1"/>
  <c r="BN1035" i="102" s="1"/>
  <c r="BO1035" i="102" s="1"/>
  <c r="BP1035" i="102" s="1"/>
  <c r="BG1003" i="102"/>
  <c r="BH1003" i="102" s="1"/>
  <c r="BI1003" i="102" s="1"/>
  <c r="BJ1003" i="102" s="1"/>
  <c r="BK1003" i="102" s="1"/>
  <c r="BL1003" i="102" s="1"/>
  <c r="BM1003" i="102" s="1"/>
  <c r="BN1003" i="102" s="1"/>
  <c r="BO1003" i="102" s="1"/>
  <c r="BP1003" i="102" s="1"/>
  <c r="BG832" i="102"/>
  <c r="BH832" i="102" s="1"/>
  <c r="BI832" i="102" s="1"/>
  <c r="BJ832" i="102" s="1"/>
  <c r="BK832" i="102" s="1"/>
  <c r="BL832" i="102" s="1"/>
  <c r="BM832" i="102" s="1"/>
  <c r="BN832" i="102" s="1"/>
  <c r="BO832" i="102" s="1"/>
  <c r="BP832" i="102" s="1"/>
  <c r="BG831" i="102"/>
  <c r="BH831" i="102" s="1"/>
  <c r="BI831" i="102" s="1"/>
  <c r="BJ831" i="102" s="1"/>
  <c r="BK831" i="102" s="1"/>
  <c r="BL831" i="102" s="1"/>
  <c r="BM831" i="102" s="1"/>
  <c r="BN831" i="102" s="1"/>
  <c r="BO831" i="102" s="1"/>
  <c r="BP831" i="102" s="1"/>
  <c r="BG830" i="102"/>
  <c r="BH830" i="102" s="1"/>
  <c r="BI830" i="102" s="1"/>
  <c r="BJ830" i="102" s="1"/>
  <c r="BK830" i="102" s="1"/>
  <c r="BL830" i="102" s="1"/>
  <c r="BM830" i="102" s="1"/>
  <c r="BN830" i="102" s="1"/>
  <c r="BO830" i="102" s="1"/>
  <c r="BP830" i="102" s="1"/>
  <c r="BG828" i="102"/>
  <c r="BH828" i="102" s="1"/>
  <c r="BI828" i="102" s="1"/>
  <c r="BJ828" i="102" s="1"/>
  <c r="BK828" i="102" s="1"/>
  <c r="BL828" i="102" s="1"/>
  <c r="BM828" i="102" s="1"/>
  <c r="BN828" i="102" s="1"/>
  <c r="BO828" i="102" s="1"/>
  <c r="BP828" i="102" s="1"/>
  <c r="BG827" i="102"/>
  <c r="BH827" i="102" s="1"/>
  <c r="BI827" i="102" s="1"/>
  <c r="BJ827" i="102" s="1"/>
  <c r="BK827" i="102" s="1"/>
  <c r="BL827" i="102" s="1"/>
  <c r="BM827" i="102" s="1"/>
  <c r="BN827" i="102" s="1"/>
  <c r="BO827" i="102" s="1"/>
  <c r="BP827" i="102" s="1"/>
  <c r="BG826" i="102"/>
  <c r="BH826" i="102" s="1"/>
  <c r="BI826" i="102" s="1"/>
  <c r="BJ826" i="102" s="1"/>
  <c r="BK826" i="102" s="1"/>
  <c r="BL826" i="102" s="1"/>
  <c r="BM826" i="102" s="1"/>
  <c r="BN826" i="102" s="1"/>
  <c r="BO826" i="102" s="1"/>
  <c r="BP826" i="102" s="1"/>
  <c r="BG825" i="102"/>
  <c r="BH825" i="102" s="1"/>
  <c r="BI825" i="102" s="1"/>
  <c r="BJ825" i="102" s="1"/>
  <c r="BK825" i="102" s="1"/>
  <c r="BL825" i="102" s="1"/>
  <c r="BM825" i="102" s="1"/>
  <c r="BN825" i="102" s="1"/>
  <c r="BO825" i="102" s="1"/>
  <c r="BP825" i="102" s="1"/>
  <c r="BE742" i="102"/>
  <c r="E840" i="102"/>
  <c r="E839" i="102"/>
  <c r="BG837" i="102"/>
  <c r="BH837" i="102" s="1"/>
  <c r="BI837" i="102" s="1"/>
  <c r="BJ837" i="102" s="1"/>
  <c r="BK837" i="102" s="1"/>
  <c r="BL837" i="102" s="1"/>
  <c r="BM837" i="102" s="1"/>
  <c r="BN837" i="102" s="1"/>
  <c r="BO837" i="102" s="1"/>
  <c r="BP837" i="102" s="1"/>
  <c r="BG824" i="102"/>
  <c r="BH824" i="102" s="1"/>
  <c r="BI824" i="102" s="1"/>
  <c r="BJ824" i="102" s="1"/>
  <c r="BK824" i="102" s="1"/>
  <c r="BL824" i="102" s="1"/>
  <c r="BM824" i="102" s="1"/>
  <c r="BN824" i="102" s="1"/>
  <c r="BO824" i="102" s="1"/>
  <c r="BP824" i="102" s="1"/>
  <c r="BG823" i="102"/>
  <c r="BH823" i="102" s="1"/>
  <c r="BI823" i="102" s="1"/>
  <c r="BJ823" i="102" s="1"/>
  <c r="BK823" i="102" s="1"/>
  <c r="BL823" i="102" s="1"/>
  <c r="BM823" i="102" s="1"/>
  <c r="BN823" i="102" s="1"/>
  <c r="BO823" i="102" s="1"/>
  <c r="BP823" i="102" s="1"/>
  <c r="BG814" i="102"/>
  <c r="BH814" i="102" s="1"/>
  <c r="BI814" i="102" s="1"/>
  <c r="BJ814" i="102" s="1"/>
  <c r="BK814" i="102" s="1"/>
  <c r="BL814" i="102" s="1"/>
  <c r="BM814" i="102" s="1"/>
  <c r="BN814" i="102" s="1"/>
  <c r="BO814" i="102" s="1"/>
  <c r="BP814" i="102" s="1"/>
  <c r="BG812" i="102"/>
  <c r="BH812" i="102" s="1"/>
  <c r="BI812" i="102" s="1"/>
  <c r="BJ812" i="102" s="1"/>
  <c r="BK812" i="102" s="1"/>
  <c r="BL812" i="102" s="1"/>
  <c r="BM812" i="102" s="1"/>
  <c r="BN812" i="102" s="1"/>
  <c r="BO812" i="102" s="1"/>
  <c r="BP812" i="102" s="1"/>
  <c r="BG811" i="102"/>
  <c r="BH811" i="102" s="1"/>
  <c r="BI811" i="102" s="1"/>
  <c r="BJ811" i="102" s="1"/>
  <c r="BK811" i="102" s="1"/>
  <c r="BL811" i="102" s="1"/>
  <c r="BM811" i="102" s="1"/>
  <c r="BN811" i="102" s="1"/>
  <c r="BO811" i="102" s="1"/>
  <c r="BP811" i="102" s="1"/>
  <c r="BG810" i="102"/>
  <c r="BH810" i="102" s="1"/>
  <c r="BI810" i="102" s="1"/>
  <c r="BJ810" i="102" s="1"/>
  <c r="BK810" i="102" s="1"/>
  <c r="BL810" i="102" s="1"/>
  <c r="BM810" i="102" s="1"/>
  <c r="BN810" i="102" s="1"/>
  <c r="BO810" i="102" s="1"/>
  <c r="BP810" i="102" s="1"/>
  <c r="E809" i="102"/>
  <c r="E808" i="102"/>
  <c r="E807" i="102"/>
  <c r="BG805" i="102"/>
  <c r="BH805" i="102" s="1"/>
  <c r="BI805" i="102" s="1"/>
  <c r="BJ805" i="102" s="1"/>
  <c r="BK805" i="102" s="1"/>
  <c r="BL805" i="102" s="1"/>
  <c r="BM805" i="102" s="1"/>
  <c r="BN805" i="102" s="1"/>
  <c r="BO805" i="102" s="1"/>
  <c r="BP805" i="102" s="1"/>
  <c r="BG792" i="102"/>
  <c r="BH792" i="102" s="1"/>
  <c r="BI792" i="102" s="1"/>
  <c r="BJ792" i="102" s="1"/>
  <c r="BK792" i="102" s="1"/>
  <c r="BL792" i="102" s="1"/>
  <c r="BM792" i="102" s="1"/>
  <c r="BN792" i="102" s="1"/>
  <c r="BO792" i="102" s="1"/>
  <c r="BP792" i="102" s="1"/>
  <c r="BG791" i="102"/>
  <c r="BH791" i="102" s="1"/>
  <c r="BI791" i="102" s="1"/>
  <c r="BJ791" i="102" s="1"/>
  <c r="BK791" i="102" s="1"/>
  <c r="BL791" i="102" s="1"/>
  <c r="BM791" i="102" s="1"/>
  <c r="BN791" i="102" s="1"/>
  <c r="BO791" i="102" s="1"/>
  <c r="BP791" i="102" s="1"/>
  <c r="BG782" i="102"/>
  <c r="BH782" i="102" s="1"/>
  <c r="BI782" i="102" s="1"/>
  <c r="BJ782" i="102" s="1"/>
  <c r="BK782" i="102" s="1"/>
  <c r="BL782" i="102" s="1"/>
  <c r="BM782" i="102" s="1"/>
  <c r="BN782" i="102" s="1"/>
  <c r="BO782" i="102" s="1"/>
  <c r="BP782" i="102" s="1"/>
  <c r="BG780" i="102"/>
  <c r="BH780" i="102" s="1"/>
  <c r="BI780" i="102" s="1"/>
  <c r="BJ780" i="102" s="1"/>
  <c r="BK780" i="102" s="1"/>
  <c r="BL780" i="102" s="1"/>
  <c r="BM780" i="102" s="1"/>
  <c r="BN780" i="102" s="1"/>
  <c r="BO780" i="102" s="1"/>
  <c r="BP780" i="102" s="1"/>
  <c r="BG779" i="102"/>
  <c r="BH779" i="102" s="1"/>
  <c r="BI779" i="102" s="1"/>
  <c r="BJ779" i="102" s="1"/>
  <c r="BK779" i="102" s="1"/>
  <c r="BL779" i="102" s="1"/>
  <c r="BM779" i="102" s="1"/>
  <c r="BN779" i="102" s="1"/>
  <c r="BO779" i="102" s="1"/>
  <c r="BP779" i="102" s="1"/>
  <c r="BG778" i="102"/>
  <c r="BH778" i="102" s="1"/>
  <c r="BI778" i="102" s="1"/>
  <c r="BJ778" i="102" s="1"/>
  <c r="BK778" i="102" s="1"/>
  <c r="BL778" i="102" s="1"/>
  <c r="BM778" i="102" s="1"/>
  <c r="BN778" i="102" s="1"/>
  <c r="BO778" i="102" s="1"/>
  <c r="BP778" i="102" s="1"/>
  <c r="E777" i="102"/>
  <c r="E776" i="102"/>
  <c r="E775" i="102"/>
  <c r="BG773" i="102"/>
  <c r="BH773" i="102" s="1"/>
  <c r="BI773" i="102" s="1"/>
  <c r="BJ773" i="102" s="1"/>
  <c r="BK773" i="102" s="1"/>
  <c r="BL773" i="102" s="1"/>
  <c r="BM773" i="102" s="1"/>
  <c r="BN773" i="102" s="1"/>
  <c r="BO773" i="102" s="1"/>
  <c r="BP773" i="102" s="1"/>
  <c r="BG760" i="102"/>
  <c r="BH760" i="102" s="1"/>
  <c r="BI760" i="102" s="1"/>
  <c r="BJ760" i="102" s="1"/>
  <c r="BK760" i="102" s="1"/>
  <c r="BL760" i="102" s="1"/>
  <c r="BM760" i="102" s="1"/>
  <c r="BN760" i="102" s="1"/>
  <c r="BO760" i="102" s="1"/>
  <c r="BP760" i="102" s="1"/>
  <c r="BG759" i="102"/>
  <c r="BH759" i="102" s="1"/>
  <c r="BI759" i="102" s="1"/>
  <c r="BJ759" i="102" s="1"/>
  <c r="BK759" i="102" s="1"/>
  <c r="BL759" i="102" s="1"/>
  <c r="BM759" i="102" s="1"/>
  <c r="BN759" i="102" s="1"/>
  <c r="BO759" i="102" s="1"/>
  <c r="BP759" i="102" s="1"/>
  <c r="BG750" i="102"/>
  <c r="BH750" i="102" s="1"/>
  <c r="BI750" i="102" s="1"/>
  <c r="BJ750" i="102" s="1"/>
  <c r="BK750" i="102" s="1"/>
  <c r="BL750" i="102" s="1"/>
  <c r="BM750" i="102" s="1"/>
  <c r="BN750" i="102" s="1"/>
  <c r="BO750" i="102" s="1"/>
  <c r="BP750" i="102" s="1"/>
  <c r="BG748" i="102"/>
  <c r="BH748" i="102" s="1"/>
  <c r="BI748" i="102" s="1"/>
  <c r="BJ748" i="102" s="1"/>
  <c r="BK748" i="102" s="1"/>
  <c r="BL748" i="102" s="1"/>
  <c r="BM748" i="102" s="1"/>
  <c r="BN748" i="102" s="1"/>
  <c r="BO748" i="102" s="1"/>
  <c r="BP748" i="102" s="1"/>
  <c r="BG747" i="102"/>
  <c r="BH747" i="102" s="1"/>
  <c r="BI747" i="102" s="1"/>
  <c r="BJ747" i="102" s="1"/>
  <c r="BK747" i="102" s="1"/>
  <c r="BL747" i="102" s="1"/>
  <c r="BM747" i="102" s="1"/>
  <c r="BN747" i="102" s="1"/>
  <c r="BO747" i="102" s="1"/>
  <c r="BP747" i="102" s="1"/>
  <c r="BG746" i="102"/>
  <c r="BH746" i="102" s="1"/>
  <c r="BI746" i="102" s="1"/>
  <c r="BJ746" i="102" s="1"/>
  <c r="BK746" i="102" s="1"/>
  <c r="BL746" i="102" s="1"/>
  <c r="BM746" i="102" s="1"/>
  <c r="BN746" i="102" s="1"/>
  <c r="BO746" i="102" s="1"/>
  <c r="BP746" i="102" s="1"/>
  <c r="E745" i="102"/>
  <c r="BG744" i="102"/>
  <c r="BH744" i="102" s="1"/>
  <c r="BI744" i="102" s="1"/>
  <c r="BJ744" i="102" s="1"/>
  <c r="BK744" i="102" s="1"/>
  <c r="BL744" i="102" s="1"/>
  <c r="BM744" i="102" s="1"/>
  <c r="BN744" i="102" s="1"/>
  <c r="BO744" i="102" s="1"/>
  <c r="BP744" i="102" s="1"/>
  <c r="E744" i="102"/>
  <c r="E743" i="102"/>
  <c r="E742" i="102"/>
  <c r="E739" i="102"/>
  <c r="E707" i="102"/>
  <c r="BG736" i="102"/>
  <c r="BH736" i="102" s="1"/>
  <c r="BI736" i="102" s="1"/>
  <c r="BJ736" i="102" s="1"/>
  <c r="BK736" i="102" s="1"/>
  <c r="BL736" i="102" s="1"/>
  <c r="BM736" i="102" s="1"/>
  <c r="BN736" i="102" s="1"/>
  <c r="BO736" i="102" s="1"/>
  <c r="BP736" i="102" s="1"/>
  <c r="BG728" i="102"/>
  <c r="BH728" i="102" s="1"/>
  <c r="BI728" i="102" s="1"/>
  <c r="BJ728" i="102" s="1"/>
  <c r="BK728" i="102" s="1"/>
  <c r="BL728" i="102" s="1"/>
  <c r="BM728" i="102" s="1"/>
  <c r="BN728" i="102" s="1"/>
  <c r="BO728" i="102" s="1"/>
  <c r="BP728" i="102" s="1"/>
  <c r="BG723" i="102"/>
  <c r="BH723" i="102" s="1"/>
  <c r="BI723" i="102" s="1"/>
  <c r="BJ723" i="102" s="1"/>
  <c r="BK723" i="102" s="1"/>
  <c r="BL723" i="102" s="1"/>
  <c r="BM723" i="102" s="1"/>
  <c r="BN723" i="102" s="1"/>
  <c r="BO723" i="102" s="1"/>
  <c r="BP723" i="102" s="1"/>
  <c r="BG722" i="102"/>
  <c r="BH722" i="102" s="1"/>
  <c r="BI722" i="102" s="1"/>
  <c r="BJ722" i="102" s="1"/>
  <c r="BK722" i="102" s="1"/>
  <c r="BL722" i="102" s="1"/>
  <c r="BM722" i="102" s="1"/>
  <c r="BN722" i="102" s="1"/>
  <c r="BO722" i="102" s="1"/>
  <c r="BP722" i="102" s="1"/>
  <c r="BG713" i="102"/>
  <c r="BH713" i="102" s="1"/>
  <c r="BI713" i="102" s="1"/>
  <c r="BJ713" i="102" s="1"/>
  <c r="BK713" i="102" s="1"/>
  <c r="BL713" i="102" s="1"/>
  <c r="BM713" i="102" s="1"/>
  <c r="BN713" i="102" s="1"/>
  <c r="BO713" i="102" s="1"/>
  <c r="BP713" i="102" s="1"/>
  <c r="BG711" i="102"/>
  <c r="BH711" i="102" s="1"/>
  <c r="BI711" i="102" s="1"/>
  <c r="BJ711" i="102" s="1"/>
  <c r="BK711" i="102" s="1"/>
  <c r="BL711" i="102" s="1"/>
  <c r="BM711" i="102" s="1"/>
  <c r="BN711" i="102" s="1"/>
  <c r="BO711" i="102" s="1"/>
  <c r="BP711" i="102" s="1"/>
  <c r="BG710" i="102"/>
  <c r="BH710" i="102" s="1"/>
  <c r="BI710" i="102" s="1"/>
  <c r="BJ710" i="102" s="1"/>
  <c r="BK710" i="102" s="1"/>
  <c r="BL710" i="102" s="1"/>
  <c r="BM710" i="102" s="1"/>
  <c r="BN710" i="102" s="1"/>
  <c r="BO710" i="102" s="1"/>
  <c r="BP710" i="102" s="1"/>
  <c r="BG709" i="102"/>
  <c r="BH709" i="102" s="1"/>
  <c r="BI709" i="102" s="1"/>
  <c r="BJ709" i="102" s="1"/>
  <c r="BK709" i="102" s="1"/>
  <c r="BL709" i="102" s="1"/>
  <c r="BM709" i="102" s="1"/>
  <c r="BN709" i="102" s="1"/>
  <c r="BO709" i="102" s="1"/>
  <c r="BP709" i="102" s="1"/>
  <c r="BG704" i="102"/>
  <c r="BH704" i="102" s="1"/>
  <c r="BI704" i="102" s="1"/>
  <c r="BJ704" i="102" s="1"/>
  <c r="BK704" i="102" s="1"/>
  <c r="BL704" i="102" s="1"/>
  <c r="BM704" i="102" s="1"/>
  <c r="BN704" i="102" s="1"/>
  <c r="BO704" i="102" s="1"/>
  <c r="BP704" i="102" s="1"/>
  <c r="BG696" i="102"/>
  <c r="BH696" i="102" s="1"/>
  <c r="BI696" i="102" s="1"/>
  <c r="BJ696" i="102" s="1"/>
  <c r="BK696" i="102" s="1"/>
  <c r="BL696" i="102" s="1"/>
  <c r="BM696" i="102" s="1"/>
  <c r="BN696" i="102" s="1"/>
  <c r="BO696" i="102" s="1"/>
  <c r="BP696" i="102" s="1"/>
  <c r="BG691" i="102"/>
  <c r="BH691" i="102" s="1"/>
  <c r="BI691" i="102" s="1"/>
  <c r="BJ691" i="102" s="1"/>
  <c r="BK691" i="102" s="1"/>
  <c r="BL691" i="102" s="1"/>
  <c r="BM691" i="102" s="1"/>
  <c r="BN691" i="102" s="1"/>
  <c r="BO691" i="102" s="1"/>
  <c r="BP691" i="102" s="1"/>
  <c r="BG690" i="102"/>
  <c r="BH690" i="102" s="1"/>
  <c r="BI690" i="102" s="1"/>
  <c r="BJ690" i="102" s="1"/>
  <c r="BK690" i="102" s="1"/>
  <c r="BL690" i="102" s="1"/>
  <c r="BM690" i="102" s="1"/>
  <c r="BN690" i="102" s="1"/>
  <c r="BO690" i="102" s="1"/>
  <c r="BP690" i="102" s="1"/>
  <c r="BG681" i="102"/>
  <c r="BH681" i="102" s="1"/>
  <c r="BI681" i="102" s="1"/>
  <c r="BJ681" i="102" s="1"/>
  <c r="BK681" i="102" s="1"/>
  <c r="BL681" i="102" s="1"/>
  <c r="BM681" i="102" s="1"/>
  <c r="BN681" i="102" s="1"/>
  <c r="BO681" i="102" s="1"/>
  <c r="BP681" i="102" s="1"/>
  <c r="BG679" i="102"/>
  <c r="BH679" i="102" s="1"/>
  <c r="BI679" i="102" s="1"/>
  <c r="BJ679" i="102" s="1"/>
  <c r="BK679" i="102" s="1"/>
  <c r="BL679" i="102" s="1"/>
  <c r="BM679" i="102" s="1"/>
  <c r="BN679" i="102" s="1"/>
  <c r="BO679" i="102" s="1"/>
  <c r="BP679" i="102" s="1"/>
  <c r="BG678" i="102"/>
  <c r="BH678" i="102" s="1"/>
  <c r="BI678" i="102" s="1"/>
  <c r="BJ678" i="102" s="1"/>
  <c r="BK678" i="102" s="1"/>
  <c r="BL678" i="102" s="1"/>
  <c r="BM678" i="102" s="1"/>
  <c r="BN678" i="102" s="1"/>
  <c r="BO678" i="102" s="1"/>
  <c r="BP678" i="102" s="1"/>
  <c r="BG677" i="102"/>
  <c r="BH677" i="102" s="1"/>
  <c r="BI677" i="102" s="1"/>
  <c r="BJ677" i="102" s="1"/>
  <c r="BK677" i="102" s="1"/>
  <c r="BL677" i="102" s="1"/>
  <c r="BM677" i="102" s="1"/>
  <c r="BN677" i="102" s="1"/>
  <c r="BO677" i="102" s="1"/>
  <c r="BP677" i="102" s="1"/>
  <c r="BG668" i="102"/>
  <c r="BH668" i="102" s="1"/>
  <c r="BI668" i="102" s="1"/>
  <c r="BJ668" i="102" s="1"/>
  <c r="BK668" i="102" s="1"/>
  <c r="BL668" i="102" s="1"/>
  <c r="BM668" i="102" s="1"/>
  <c r="BN668" i="102" s="1"/>
  <c r="BO668" i="102" s="1"/>
  <c r="BP668" i="102" s="1"/>
  <c r="BG660" i="102"/>
  <c r="BH660" i="102" s="1"/>
  <c r="BI660" i="102" s="1"/>
  <c r="BJ660" i="102" s="1"/>
  <c r="BK660" i="102" s="1"/>
  <c r="BL660" i="102" s="1"/>
  <c r="BM660" i="102" s="1"/>
  <c r="BN660" i="102" s="1"/>
  <c r="BO660" i="102" s="1"/>
  <c r="BP660" i="102" s="1"/>
  <c r="BG655" i="102"/>
  <c r="BH655" i="102" s="1"/>
  <c r="BI655" i="102" s="1"/>
  <c r="BJ655" i="102" s="1"/>
  <c r="BK655" i="102" s="1"/>
  <c r="BL655" i="102" s="1"/>
  <c r="BM655" i="102" s="1"/>
  <c r="BN655" i="102" s="1"/>
  <c r="BO655" i="102" s="1"/>
  <c r="BP655" i="102" s="1"/>
  <c r="BG654" i="102"/>
  <c r="BH654" i="102" s="1"/>
  <c r="BI654" i="102" s="1"/>
  <c r="BJ654" i="102" s="1"/>
  <c r="BK654" i="102" s="1"/>
  <c r="BL654" i="102" s="1"/>
  <c r="BM654" i="102" s="1"/>
  <c r="BN654" i="102" s="1"/>
  <c r="BO654" i="102" s="1"/>
  <c r="BP654" i="102" s="1"/>
  <c r="BG645" i="102"/>
  <c r="BH645" i="102" s="1"/>
  <c r="BI645" i="102" s="1"/>
  <c r="BJ645" i="102" s="1"/>
  <c r="BK645" i="102" s="1"/>
  <c r="BL645" i="102" s="1"/>
  <c r="BM645" i="102" s="1"/>
  <c r="BN645" i="102" s="1"/>
  <c r="BO645" i="102" s="1"/>
  <c r="BP645" i="102" s="1"/>
  <c r="BG643" i="102"/>
  <c r="BH643" i="102" s="1"/>
  <c r="BI643" i="102" s="1"/>
  <c r="BJ643" i="102" s="1"/>
  <c r="BK643" i="102" s="1"/>
  <c r="BL643" i="102" s="1"/>
  <c r="BM643" i="102" s="1"/>
  <c r="BN643" i="102" s="1"/>
  <c r="BO643" i="102" s="1"/>
  <c r="BP643" i="102" s="1"/>
  <c r="BG637" i="102"/>
  <c r="BH637" i="102" s="1"/>
  <c r="BI637" i="102" s="1"/>
  <c r="BJ637" i="102" s="1"/>
  <c r="BK637" i="102" s="1"/>
  <c r="BL637" i="102" s="1"/>
  <c r="BM637" i="102" s="1"/>
  <c r="BN637" i="102" s="1"/>
  <c r="BO637" i="102" s="1"/>
  <c r="BP637" i="102" s="1"/>
  <c r="BG624" i="102"/>
  <c r="BH624" i="102" s="1"/>
  <c r="BI624" i="102" s="1"/>
  <c r="BJ624" i="102" s="1"/>
  <c r="BK624" i="102" s="1"/>
  <c r="BL624" i="102" s="1"/>
  <c r="BM624" i="102" s="1"/>
  <c r="BN624" i="102" s="1"/>
  <c r="BO624" i="102" s="1"/>
  <c r="BP624" i="102" s="1"/>
  <c r="BG623" i="102"/>
  <c r="BH623" i="102" s="1"/>
  <c r="BI623" i="102" s="1"/>
  <c r="BJ623" i="102" s="1"/>
  <c r="BK623" i="102" s="1"/>
  <c r="BL623" i="102" s="1"/>
  <c r="BM623" i="102" s="1"/>
  <c r="BN623" i="102" s="1"/>
  <c r="BO623" i="102" s="1"/>
  <c r="BP623" i="102" s="1"/>
  <c r="BG614" i="102"/>
  <c r="BH614" i="102" s="1"/>
  <c r="BI614" i="102" s="1"/>
  <c r="BJ614" i="102" s="1"/>
  <c r="BK614" i="102" s="1"/>
  <c r="BL614" i="102" s="1"/>
  <c r="BM614" i="102" s="1"/>
  <c r="BN614" i="102" s="1"/>
  <c r="BO614" i="102" s="1"/>
  <c r="BP614" i="102" s="1"/>
  <c r="BG612" i="102"/>
  <c r="BH612" i="102" s="1"/>
  <c r="BI612" i="102" s="1"/>
  <c r="BJ612" i="102" s="1"/>
  <c r="BK612" i="102" s="1"/>
  <c r="BL612" i="102" s="1"/>
  <c r="BM612" i="102" s="1"/>
  <c r="BN612" i="102" s="1"/>
  <c r="BO612" i="102" s="1"/>
  <c r="BP612" i="102" s="1"/>
  <c r="BG606" i="102"/>
  <c r="BH606" i="102" s="1"/>
  <c r="BI606" i="102" s="1"/>
  <c r="BJ606" i="102" s="1"/>
  <c r="BK606" i="102" s="1"/>
  <c r="BL606" i="102" s="1"/>
  <c r="BM606" i="102" s="1"/>
  <c r="BN606" i="102" s="1"/>
  <c r="BO606" i="102" s="1"/>
  <c r="BP606" i="102" s="1"/>
  <c r="BG598" i="102"/>
  <c r="BH598" i="102" s="1"/>
  <c r="BI598" i="102" s="1"/>
  <c r="BJ598" i="102" s="1"/>
  <c r="BK598" i="102" s="1"/>
  <c r="BL598" i="102" s="1"/>
  <c r="BM598" i="102" s="1"/>
  <c r="BN598" i="102" s="1"/>
  <c r="BO598" i="102" s="1"/>
  <c r="BP598" i="102" s="1"/>
  <c r="BG593" i="102"/>
  <c r="BH593" i="102" s="1"/>
  <c r="BI593" i="102" s="1"/>
  <c r="BJ593" i="102" s="1"/>
  <c r="BK593" i="102" s="1"/>
  <c r="BL593" i="102" s="1"/>
  <c r="BM593" i="102" s="1"/>
  <c r="BN593" i="102" s="1"/>
  <c r="BO593" i="102" s="1"/>
  <c r="BP593" i="102" s="1"/>
  <c r="BG592" i="102"/>
  <c r="BH592" i="102" s="1"/>
  <c r="BI592" i="102" s="1"/>
  <c r="BJ592" i="102" s="1"/>
  <c r="BK592" i="102" s="1"/>
  <c r="BL592" i="102" s="1"/>
  <c r="BM592" i="102" s="1"/>
  <c r="BN592" i="102" s="1"/>
  <c r="BO592" i="102" s="1"/>
  <c r="BP592" i="102" s="1"/>
  <c r="BG583" i="102"/>
  <c r="BH583" i="102" s="1"/>
  <c r="BI583" i="102" s="1"/>
  <c r="BJ583" i="102" s="1"/>
  <c r="BK583" i="102" s="1"/>
  <c r="BL583" i="102" s="1"/>
  <c r="BM583" i="102" s="1"/>
  <c r="BN583" i="102" s="1"/>
  <c r="BO583" i="102" s="1"/>
  <c r="BP583" i="102" s="1"/>
  <c r="BG581" i="102"/>
  <c r="BH581" i="102" s="1"/>
  <c r="BI581" i="102" s="1"/>
  <c r="BJ581" i="102" s="1"/>
  <c r="BK581" i="102" s="1"/>
  <c r="BL581" i="102" s="1"/>
  <c r="BM581" i="102" s="1"/>
  <c r="BN581" i="102" s="1"/>
  <c r="BO581" i="102" s="1"/>
  <c r="BP581" i="102" s="1"/>
  <c r="BG575" i="102"/>
  <c r="BH575" i="102" s="1"/>
  <c r="BI575" i="102" s="1"/>
  <c r="BJ575" i="102" s="1"/>
  <c r="BK575" i="102" s="1"/>
  <c r="BL575" i="102" s="1"/>
  <c r="BM575" i="102" s="1"/>
  <c r="BN575" i="102" s="1"/>
  <c r="BO575" i="102" s="1"/>
  <c r="BP575" i="102" s="1"/>
  <c r="BG562" i="102"/>
  <c r="BH562" i="102" s="1"/>
  <c r="BI562" i="102" s="1"/>
  <c r="BJ562" i="102" s="1"/>
  <c r="BK562" i="102" s="1"/>
  <c r="BL562" i="102" s="1"/>
  <c r="BM562" i="102" s="1"/>
  <c r="BN562" i="102" s="1"/>
  <c r="BO562" i="102" s="1"/>
  <c r="BP562" i="102" s="1"/>
  <c r="BG561" i="102"/>
  <c r="BH561" i="102" s="1"/>
  <c r="BI561" i="102" s="1"/>
  <c r="BJ561" i="102" s="1"/>
  <c r="BK561" i="102" s="1"/>
  <c r="BL561" i="102" s="1"/>
  <c r="BM561" i="102" s="1"/>
  <c r="BN561" i="102" s="1"/>
  <c r="BO561" i="102" s="1"/>
  <c r="BP561" i="102" s="1"/>
  <c r="BG552" i="102"/>
  <c r="BH552" i="102" s="1"/>
  <c r="BI552" i="102" s="1"/>
  <c r="BJ552" i="102" s="1"/>
  <c r="BK552" i="102" s="1"/>
  <c r="BL552" i="102" s="1"/>
  <c r="BM552" i="102" s="1"/>
  <c r="BN552" i="102" s="1"/>
  <c r="BO552" i="102" s="1"/>
  <c r="BP552" i="102" s="1"/>
  <c r="BG550" i="102"/>
  <c r="BH550" i="102" s="1"/>
  <c r="BI550" i="102" s="1"/>
  <c r="BJ550" i="102" s="1"/>
  <c r="BK550" i="102" s="1"/>
  <c r="BL550" i="102" s="1"/>
  <c r="BM550" i="102" s="1"/>
  <c r="BN550" i="102" s="1"/>
  <c r="BO550" i="102" s="1"/>
  <c r="BP550" i="102" s="1"/>
  <c r="BG544" i="102"/>
  <c r="BH544" i="102" s="1"/>
  <c r="BI544" i="102" s="1"/>
  <c r="BJ544" i="102" s="1"/>
  <c r="BK544" i="102" s="1"/>
  <c r="BL544" i="102" s="1"/>
  <c r="BM544" i="102" s="1"/>
  <c r="BN544" i="102" s="1"/>
  <c r="BO544" i="102" s="1"/>
  <c r="BP544" i="102" s="1"/>
  <c r="BG536" i="102"/>
  <c r="BH536" i="102" s="1"/>
  <c r="BI536" i="102" s="1"/>
  <c r="BJ536" i="102" s="1"/>
  <c r="BK536" i="102" s="1"/>
  <c r="BL536" i="102" s="1"/>
  <c r="BM536" i="102" s="1"/>
  <c r="BN536" i="102" s="1"/>
  <c r="BO536" i="102" s="1"/>
  <c r="BP536" i="102" s="1"/>
  <c r="BG531" i="102"/>
  <c r="BH531" i="102" s="1"/>
  <c r="BI531" i="102" s="1"/>
  <c r="BJ531" i="102" s="1"/>
  <c r="BK531" i="102" s="1"/>
  <c r="BL531" i="102" s="1"/>
  <c r="BM531" i="102" s="1"/>
  <c r="BN531" i="102" s="1"/>
  <c r="BO531" i="102" s="1"/>
  <c r="BP531" i="102" s="1"/>
  <c r="BG530" i="102"/>
  <c r="BH530" i="102" s="1"/>
  <c r="BI530" i="102" s="1"/>
  <c r="BJ530" i="102" s="1"/>
  <c r="BK530" i="102" s="1"/>
  <c r="BL530" i="102" s="1"/>
  <c r="BM530" i="102" s="1"/>
  <c r="BN530" i="102" s="1"/>
  <c r="BO530" i="102" s="1"/>
  <c r="BP530" i="102" s="1"/>
  <c r="BG521" i="102"/>
  <c r="BH521" i="102" s="1"/>
  <c r="BI521" i="102" s="1"/>
  <c r="BJ521" i="102" s="1"/>
  <c r="BK521" i="102" s="1"/>
  <c r="BL521" i="102" s="1"/>
  <c r="BM521" i="102" s="1"/>
  <c r="BN521" i="102" s="1"/>
  <c r="BO521" i="102" s="1"/>
  <c r="BP521" i="102" s="1"/>
  <c r="BG519" i="102"/>
  <c r="BH519" i="102" s="1"/>
  <c r="BI519" i="102" s="1"/>
  <c r="BJ519" i="102" s="1"/>
  <c r="BK519" i="102" s="1"/>
  <c r="BL519" i="102" s="1"/>
  <c r="BM519" i="102" s="1"/>
  <c r="BN519" i="102" s="1"/>
  <c r="BO519" i="102" s="1"/>
  <c r="BP519" i="102" s="1"/>
  <c r="BG513" i="102"/>
  <c r="BH513" i="102" s="1"/>
  <c r="BI513" i="102" s="1"/>
  <c r="BJ513" i="102" s="1"/>
  <c r="BK513" i="102" s="1"/>
  <c r="BL513" i="102" s="1"/>
  <c r="BM513" i="102" s="1"/>
  <c r="BN513" i="102" s="1"/>
  <c r="BO513" i="102" s="1"/>
  <c r="BP513" i="102" s="1"/>
  <c r="BG500" i="102"/>
  <c r="BH500" i="102" s="1"/>
  <c r="BI500" i="102" s="1"/>
  <c r="BJ500" i="102" s="1"/>
  <c r="BK500" i="102" s="1"/>
  <c r="BL500" i="102" s="1"/>
  <c r="BM500" i="102" s="1"/>
  <c r="BN500" i="102" s="1"/>
  <c r="BO500" i="102" s="1"/>
  <c r="BP500" i="102" s="1"/>
  <c r="BG499" i="102"/>
  <c r="BH499" i="102" s="1"/>
  <c r="BI499" i="102" s="1"/>
  <c r="BJ499" i="102" s="1"/>
  <c r="BK499" i="102" s="1"/>
  <c r="BL499" i="102" s="1"/>
  <c r="BM499" i="102" s="1"/>
  <c r="BN499" i="102" s="1"/>
  <c r="BO499" i="102" s="1"/>
  <c r="BP499" i="102" s="1"/>
  <c r="BG490" i="102"/>
  <c r="BH490" i="102" s="1"/>
  <c r="BI490" i="102" s="1"/>
  <c r="BJ490" i="102" s="1"/>
  <c r="BK490" i="102" s="1"/>
  <c r="BL490" i="102" s="1"/>
  <c r="BM490" i="102" s="1"/>
  <c r="BN490" i="102" s="1"/>
  <c r="BO490" i="102" s="1"/>
  <c r="BP490" i="102" s="1"/>
  <c r="BG488" i="102"/>
  <c r="BH488" i="102" s="1"/>
  <c r="BI488" i="102" s="1"/>
  <c r="BJ488" i="102" s="1"/>
  <c r="BK488" i="102" s="1"/>
  <c r="BL488" i="102" s="1"/>
  <c r="BM488" i="102" s="1"/>
  <c r="BN488" i="102" s="1"/>
  <c r="BO488" i="102" s="1"/>
  <c r="BP488" i="102" s="1"/>
  <c r="BG482" i="102"/>
  <c r="BH482" i="102" s="1"/>
  <c r="BI482" i="102" s="1"/>
  <c r="BJ482" i="102" s="1"/>
  <c r="BK482" i="102" s="1"/>
  <c r="BL482" i="102" s="1"/>
  <c r="BM482" i="102" s="1"/>
  <c r="BN482" i="102" s="1"/>
  <c r="BO482" i="102" s="1"/>
  <c r="BP482" i="102" s="1"/>
  <c r="BG474" i="102"/>
  <c r="BH474" i="102" s="1"/>
  <c r="BI474" i="102" s="1"/>
  <c r="BJ474" i="102" s="1"/>
  <c r="BK474" i="102" s="1"/>
  <c r="BL474" i="102" s="1"/>
  <c r="BM474" i="102" s="1"/>
  <c r="BN474" i="102" s="1"/>
  <c r="BO474" i="102" s="1"/>
  <c r="BP474" i="102" s="1"/>
  <c r="BG469" i="102"/>
  <c r="BH469" i="102" s="1"/>
  <c r="BI469" i="102" s="1"/>
  <c r="BJ469" i="102" s="1"/>
  <c r="BK469" i="102" s="1"/>
  <c r="BL469" i="102" s="1"/>
  <c r="BM469" i="102" s="1"/>
  <c r="BN469" i="102" s="1"/>
  <c r="BO469" i="102" s="1"/>
  <c r="BP469" i="102" s="1"/>
  <c r="BG468" i="102"/>
  <c r="BH468" i="102" s="1"/>
  <c r="BI468" i="102" s="1"/>
  <c r="BJ468" i="102" s="1"/>
  <c r="BK468" i="102" s="1"/>
  <c r="BL468" i="102" s="1"/>
  <c r="BM468" i="102" s="1"/>
  <c r="BN468" i="102" s="1"/>
  <c r="BO468" i="102" s="1"/>
  <c r="BP468" i="102" s="1"/>
  <c r="BG459" i="102"/>
  <c r="BH459" i="102" s="1"/>
  <c r="BI459" i="102" s="1"/>
  <c r="BJ459" i="102" s="1"/>
  <c r="BK459" i="102" s="1"/>
  <c r="BL459" i="102" s="1"/>
  <c r="BM459" i="102" s="1"/>
  <c r="BN459" i="102" s="1"/>
  <c r="BO459" i="102" s="1"/>
  <c r="BP459" i="102" s="1"/>
  <c r="BG457" i="102"/>
  <c r="BH457" i="102" s="1"/>
  <c r="BI457" i="102" s="1"/>
  <c r="BJ457" i="102" s="1"/>
  <c r="BK457" i="102" s="1"/>
  <c r="BL457" i="102" s="1"/>
  <c r="BM457" i="102" s="1"/>
  <c r="BN457" i="102" s="1"/>
  <c r="BO457" i="102" s="1"/>
  <c r="BP457" i="102" s="1"/>
  <c r="BG451" i="102"/>
  <c r="BH451" i="102" s="1"/>
  <c r="BI451" i="102" s="1"/>
  <c r="BJ451" i="102" s="1"/>
  <c r="BK451" i="102" s="1"/>
  <c r="BL451" i="102" s="1"/>
  <c r="BM451" i="102" s="1"/>
  <c r="BN451" i="102" s="1"/>
  <c r="BO451" i="102" s="1"/>
  <c r="BP451" i="102" s="1"/>
  <c r="BG438" i="102"/>
  <c r="BH438" i="102" s="1"/>
  <c r="BI438" i="102" s="1"/>
  <c r="BJ438" i="102" s="1"/>
  <c r="BK438" i="102" s="1"/>
  <c r="BL438" i="102" s="1"/>
  <c r="BM438" i="102" s="1"/>
  <c r="BN438" i="102" s="1"/>
  <c r="BO438" i="102" s="1"/>
  <c r="BP438" i="102" s="1"/>
  <c r="BG428" i="102"/>
  <c r="BH428" i="102" s="1"/>
  <c r="BI428" i="102" s="1"/>
  <c r="BJ428" i="102" s="1"/>
  <c r="BK428" i="102" s="1"/>
  <c r="BL428" i="102" s="1"/>
  <c r="BM428" i="102" s="1"/>
  <c r="BN428" i="102" s="1"/>
  <c r="BO428" i="102" s="1"/>
  <c r="BP428" i="102" s="1"/>
  <c r="BG1140" i="102" l="1"/>
  <c r="BH1140" i="102" s="1"/>
  <c r="BI1140" i="102" s="1"/>
  <c r="BJ1140" i="102" s="1"/>
  <c r="BK1140" i="102" s="1"/>
  <c r="BL1140" i="102" s="1"/>
  <c r="BM1140" i="102" s="1"/>
  <c r="BN1140" i="102" s="1"/>
  <c r="BO1140" i="102" s="1"/>
  <c r="BP1140" i="102" s="1"/>
  <c r="BG1127" i="102"/>
  <c r="BH1127" i="102" s="1"/>
  <c r="BI1127" i="102" s="1"/>
  <c r="BJ1127" i="102" s="1"/>
  <c r="BK1127" i="102" s="1"/>
  <c r="BL1127" i="102" s="1"/>
  <c r="BM1127" i="102" s="1"/>
  <c r="BN1127" i="102" s="1"/>
  <c r="BO1127" i="102" s="1"/>
  <c r="BP1127" i="102" s="1"/>
  <c r="BG1126" i="102"/>
  <c r="BH1126" i="102" s="1"/>
  <c r="BI1126" i="102" s="1"/>
  <c r="BJ1126" i="102" s="1"/>
  <c r="BK1126" i="102" s="1"/>
  <c r="BL1126" i="102" s="1"/>
  <c r="BM1126" i="102" s="1"/>
  <c r="BN1126" i="102" s="1"/>
  <c r="BO1126" i="102" s="1"/>
  <c r="BP1126" i="102" s="1"/>
  <c r="BG1117" i="102"/>
  <c r="BH1117" i="102" s="1"/>
  <c r="BI1117" i="102" s="1"/>
  <c r="BJ1117" i="102" s="1"/>
  <c r="BK1117" i="102" s="1"/>
  <c r="BL1117" i="102" s="1"/>
  <c r="BM1117" i="102" s="1"/>
  <c r="BN1117" i="102" s="1"/>
  <c r="BO1117" i="102" s="1"/>
  <c r="BP1117" i="102" s="1"/>
  <c r="BG1115" i="102"/>
  <c r="BH1115" i="102" s="1"/>
  <c r="BI1115" i="102" s="1"/>
  <c r="BJ1115" i="102" s="1"/>
  <c r="BK1115" i="102" s="1"/>
  <c r="BL1115" i="102" s="1"/>
  <c r="BM1115" i="102" s="1"/>
  <c r="BN1115" i="102" s="1"/>
  <c r="BO1115" i="102" s="1"/>
  <c r="BP1115" i="102" s="1"/>
  <c r="BG1114" i="102"/>
  <c r="BH1114" i="102" s="1"/>
  <c r="BI1114" i="102" s="1"/>
  <c r="BJ1114" i="102" s="1"/>
  <c r="BK1114" i="102" s="1"/>
  <c r="BL1114" i="102" s="1"/>
  <c r="BM1114" i="102" s="1"/>
  <c r="BN1114" i="102" s="1"/>
  <c r="BO1114" i="102" s="1"/>
  <c r="BP1114" i="102" s="1"/>
  <c r="BG1113" i="102"/>
  <c r="BH1113" i="102" s="1"/>
  <c r="BI1113" i="102" s="1"/>
  <c r="BJ1113" i="102" s="1"/>
  <c r="BK1113" i="102" s="1"/>
  <c r="BL1113" i="102" s="1"/>
  <c r="BM1113" i="102" s="1"/>
  <c r="BN1113" i="102" s="1"/>
  <c r="BO1113" i="102" s="1"/>
  <c r="BP1113" i="102" s="1"/>
  <c r="BG66" i="102" l="1"/>
  <c r="BH66" i="102" s="1"/>
  <c r="BI66" i="102" s="1"/>
  <c r="BJ66" i="102" s="1"/>
  <c r="BK66" i="102" s="1"/>
  <c r="BL66" i="102" s="1"/>
  <c r="BM66" i="102" s="1"/>
  <c r="BN66" i="102" s="1"/>
  <c r="BO66" i="102" s="1"/>
  <c r="BP66" i="102" s="1"/>
  <c r="BG64" i="102"/>
  <c r="BH64" i="102" s="1"/>
  <c r="BI64" i="102" s="1"/>
  <c r="BJ64" i="102" s="1"/>
  <c r="BK64" i="102" s="1"/>
  <c r="BL64" i="102" s="1"/>
  <c r="BM64" i="102" s="1"/>
  <c r="BN64" i="102" s="1"/>
  <c r="BO64" i="102" s="1"/>
  <c r="BP64" i="102" s="1"/>
  <c r="BG63" i="102"/>
  <c r="BH63" i="102" s="1"/>
  <c r="BI63" i="102" s="1"/>
  <c r="BJ63" i="102" s="1"/>
  <c r="BK63" i="102" s="1"/>
  <c r="BL63" i="102" s="1"/>
  <c r="BM63" i="102" s="1"/>
  <c r="BN63" i="102" s="1"/>
  <c r="BO63" i="102" s="1"/>
  <c r="BP63" i="102" s="1"/>
  <c r="BG62" i="102"/>
  <c r="BH62" i="102" s="1"/>
  <c r="BI62" i="102" s="1"/>
  <c r="BJ62" i="102" s="1"/>
  <c r="BK62" i="102" s="1"/>
  <c r="BL62" i="102" s="1"/>
  <c r="BM62" i="102" s="1"/>
  <c r="BN62" i="102" s="1"/>
  <c r="BO62" i="102" s="1"/>
  <c r="BP62" i="102" s="1"/>
  <c r="B1" i="102"/>
  <c r="C1" i="102"/>
  <c r="J28" i="115"/>
  <c r="I28" i="115"/>
  <c r="H28" i="115"/>
  <c r="G28" i="115"/>
  <c r="F28" i="115"/>
  <c r="E28" i="115"/>
  <c r="D28" i="115"/>
  <c r="J14" i="115"/>
  <c r="I14" i="115"/>
  <c r="H14" i="115"/>
  <c r="G14" i="115"/>
  <c r="F14" i="115"/>
  <c r="E14" i="115"/>
  <c r="D14" i="115"/>
  <c r="J10" i="115" l="1"/>
  <c r="I10" i="115"/>
  <c r="H10" i="115"/>
  <c r="G10" i="115"/>
  <c r="F10" i="115"/>
  <c r="E10" i="115"/>
  <c r="D10" i="115"/>
  <c r="C10" i="115"/>
  <c r="J9" i="115"/>
  <c r="I9" i="115"/>
  <c r="H9" i="115"/>
  <c r="G9" i="115"/>
  <c r="F9" i="115"/>
  <c r="E9" i="115"/>
  <c r="D9" i="115"/>
  <c r="C9" i="115"/>
  <c r="D2" i="115"/>
  <c r="BF1104" i="102"/>
  <c r="BF1072" i="102"/>
  <c r="BF1088" i="102"/>
  <c r="BG1088" i="102" s="1"/>
  <c r="BH1088" i="102" s="1"/>
  <c r="BI1088" i="102" s="1"/>
  <c r="BJ1088" i="102" s="1"/>
  <c r="BK1088" i="102" s="1"/>
  <c r="BL1088" i="102" s="1"/>
  <c r="BM1088" i="102" s="1"/>
  <c r="BN1088" i="102" s="1"/>
  <c r="BO1088" i="102" s="1"/>
  <c r="BP1088" i="102" s="1"/>
  <c r="BF1056" i="102"/>
  <c r="BF1002" i="102"/>
  <c r="BG1002" i="102" s="1"/>
  <c r="BH1002" i="102" s="1"/>
  <c r="BI1002" i="102" s="1"/>
  <c r="BJ1002" i="102" s="1"/>
  <c r="BK1002" i="102" s="1"/>
  <c r="BL1002" i="102" s="1"/>
  <c r="BM1002" i="102" s="1"/>
  <c r="BN1002" i="102" s="1"/>
  <c r="BO1002" i="102" s="1"/>
  <c r="BP1002" i="102" s="1"/>
  <c r="BF1018" i="102"/>
  <c r="BG1041" i="102"/>
  <c r="BH1041" i="102" s="1"/>
  <c r="BI1041" i="102" s="1"/>
  <c r="BJ1041" i="102" s="1"/>
  <c r="BK1041" i="102" s="1"/>
  <c r="BL1041" i="102" s="1"/>
  <c r="BM1041" i="102" s="1"/>
  <c r="BN1041" i="102" s="1"/>
  <c r="BO1041" i="102" s="1"/>
  <c r="BP1041" i="102" s="1"/>
  <c r="BG1040" i="102"/>
  <c r="BH1040" i="102" s="1"/>
  <c r="BI1040" i="102" s="1"/>
  <c r="BJ1040" i="102" s="1"/>
  <c r="BK1040" i="102" s="1"/>
  <c r="BL1040" i="102" s="1"/>
  <c r="BM1040" i="102" s="1"/>
  <c r="BN1040" i="102" s="1"/>
  <c r="BO1040" i="102" s="1"/>
  <c r="BP1040" i="102" s="1"/>
  <c r="BF970" i="102"/>
  <c r="BF1034" i="102"/>
  <c r="BG1034" i="102" s="1"/>
  <c r="BH1034" i="102" s="1"/>
  <c r="BI1034" i="102" s="1"/>
  <c r="BJ1034" i="102" s="1"/>
  <c r="BK1034" i="102" s="1"/>
  <c r="BL1034" i="102" s="1"/>
  <c r="BM1034" i="102" s="1"/>
  <c r="BN1034" i="102" s="1"/>
  <c r="BO1034" i="102" s="1"/>
  <c r="BP1034" i="102" s="1"/>
  <c r="G15" i="113"/>
  <c r="E1034" i="102"/>
  <c r="BG1105" i="102"/>
  <c r="BH1105" i="102" s="1"/>
  <c r="BI1105" i="102" s="1"/>
  <c r="BJ1105" i="102" s="1"/>
  <c r="BK1105" i="102" s="1"/>
  <c r="BL1105" i="102" s="1"/>
  <c r="BM1105" i="102" s="1"/>
  <c r="BN1105" i="102" s="1"/>
  <c r="BO1105" i="102" s="1"/>
  <c r="BP1105" i="102" s="1"/>
  <c r="BG1104" i="102"/>
  <c r="BH1104" i="102" s="1"/>
  <c r="BI1104" i="102" s="1"/>
  <c r="BJ1104" i="102" s="1"/>
  <c r="BK1104" i="102" s="1"/>
  <c r="BL1104" i="102" s="1"/>
  <c r="BM1104" i="102" s="1"/>
  <c r="BN1104" i="102" s="1"/>
  <c r="BO1104" i="102" s="1"/>
  <c r="BP1104" i="102" s="1"/>
  <c r="BG1102" i="102"/>
  <c r="BH1102" i="102" s="1"/>
  <c r="BI1102" i="102" s="1"/>
  <c r="BJ1102" i="102" s="1"/>
  <c r="BK1102" i="102" s="1"/>
  <c r="BL1102" i="102" s="1"/>
  <c r="BM1102" i="102" s="1"/>
  <c r="BN1102" i="102" s="1"/>
  <c r="BO1102" i="102" s="1"/>
  <c r="BP1102" i="102" s="1"/>
  <c r="BG1089" i="102"/>
  <c r="BH1089" i="102" s="1"/>
  <c r="BI1089" i="102" s="1"/>
  <c r="BJ1089" i="102" s="1"/>
  <c r="BK1089" i="102" s="1"/>
  <c r="BL1089" i="102" s="1"/>
  <c r="BM1089" i="102" s="1"/>
  <c r="BN1089" i="102" s="1"/>
  <c r="BO1089" i="102" s="1"/>
  <c r="BP1089" i="102" s="1"/>
  <c r="BG1079" i="102"/>
  <c r="BH1079" i="102" s="1"/>
  <c r="BI1079" i="102" s="1"/>
  <c r="BJ1079" i="102" s="1"/>
  <c r="BK1079" i="102" s="1"/>
  <c r="BL1079" i="102" s="1"/>
  <c r="BM1079" i="102" s="1"/>
  <c r="BN1079" i="102" s="1"/>
  <c r="BO1079" i="102" s="1"/>
  <c r="BP1079" i="102" s="1"/>
  <c r="BG1077" i="102"/>
  <c r="BH1077" i="102" s="1"/>
  <c r="BI1077" i="102" s="1"/>
  <c r="BJ1077" i="102" s="1"/>
  <c r="BK1077" i="102" s="1"/>
  <c r="BL1077" i="102" s="1"/>
  <c r="BM1077" i="102" s="1"/>
  <c r="BN1077" i="102" s="1"/>
  <c r="BO1077" i="102" s="1"/>
  <c r="BP1077" i="102" s="1"/>
  <c r="BG1076" i="102"/>
  <c r="BH1076" i="102" s="1"/>
  <c r="BI1076" i="102" s="1"/>
  <c r="BJ1076" i="102" s="1"/>
  <c r="BK1076" i="102" s="1"/>
  <c r="BL1076" i="102" s="1"/>
  <c r="BM1076" i="102" s="1"/>
  <c r="BN1076" i="102" s="1"/>
  <c r="BO1076" i="102" s="1"/>
  <c r="BP1076" i="102" s="1"/>
  <c r="BG1075" i="102"/>
  <c r="BH1075" i="102" s="1"/>
  <c r="BI1075" i="102" s="1"/>
  <c r="BJ1075" i="102" s="1"/>
  <c r="BK1075" i="102" s="1"/>
  <c r="BL1075" i="102" s="1"/>
  <c r="BM1075" i="102" s="1"/>
  <c r="BN1075" i="102" s="1"/>
  <c r="BO1075" i="102" s="1"/>
  <c r="BP1075" i="102" s="1"/>
  <c r="BG1073" i="102"/>
  <c r="BH1073" i="102" s="1"/>
  <c r="BI1073" i="102" s="1"/>
  <c r="BJ1073" i="102" s="1"/>
  <c r="BK1073" i="102" s="1"/>
  <c r="BL1073" i="102" s="1"/>
  <c r="BM1073" i="102" s="1"/>
  <c r="BN1073" i="102" s="1"/>
  <c r="BO1073" i="102" s="1"/>
  <c r="BP1073" i="102" s="1"/>
  <c r="BG1072" i="102"/>
  <c r="BH1072" i="102" s="1"/>
  <c r="BI1072" i="102" s="1"/>
  <c r="BJ1072" i="102" s="1"/>
  <c r="BK1072" i="102" s="1"/>
  <c r="BL1072" i="102" s="1"/>
  <c r="BM1072" i="102" s="1"/>
  <c r="BN1072" i="102" s="1"/>
  <c r="BO1072" i="102" s="1"/>
  <c r="BP1072" i="102" s="1"/>
  <c r="BG1070" i="102"/>
  <c r="BH1070" i="102" s="1"/>
  <c r="BI1070" i="102" s="1"/>
  <c r="BJ1070" i="102" s="1"/>
  <c r="BK1070" i="102" s="1"/>
  <c r="BL1070" i="102" s="1"/>
  <c r="BM1070" i="102" s="1"/>
  <c r="BN1070" i="102" s="1"/>
  <c r="BO1070" i="102" s="1"/>
  <c r="BP1070" i="102" s="1"/>
  <c r="BG1057" i="102"/>
  <c r="BH1057" i="102" s="1"/>
  <c r="BI1057" i="102" s="1"/>
  <c r="BJ1057" i="102" s="1"/>
  <c r="BK1057" i="102" s="1"/>
  <c r="BL1057" i="102" s="1"/>
  <c r="BM1057" i="102" s="1"/>
  <c r="BN1057" i="102" s="1"/>
  <c r="BO1057" i="102" s="1"/>
  <c r="BP1057" i="102" s="1"/>
  <c r="BG1056" i="102"/>
  <c r="BH1056" i="102" s="1"/>
  <c r="BI1056" i="102" s="1"/>
  <c r="BJ1056" i="102" s="1"/>
  <c r="BK1056" i="102" s="1"/>
  <c r="BL1056" i="102" s="1"/>
  <c r="BM1056" i="102" s="1"/>
  <c r="BN1056" i="102" s="1"/>
  <c r="BO1056" i="102" s="1"/>
  <c r="BP1056" i="102" s="1"/>
  <c r="BG1047" i="102"/>
  <c r="BH1047" i="102" s="1"/>
  <c r="BI1047" i="102" s="1"/>
  <c r="BJ1047" i="102" s="1"/>
  <c r="BK1047" i="102" s="1"/>
  <c r="BL1047" i="102" s="1"/>
  <c r="BM1047" i="102" s="1"/>
  <c r="BN1047" i="102" s="1"/>
  <c r="BO1047" i="102" s="1"/>
  <c r="BP1047" i="102" s="1"/>
  <c r="BG1045" i="102"/>
  <c r="BH1045" i="102" s="1"/>
  <c r="BI1045" i="102" s="1"/>
  <c r="BJ1045" i="102" s="1"/>
  <c r="BK1045" i="102" s="1"/>
  <c r="BL1045" i="102" s="1"/>
  <c r="BM1045" i="102" s="1"/>
  <c r="BN1045" i="102" s="1"/>
  <c r="BO1045" i="102" s="1"/>
  <c r="BP1045" i="102" s="1"/>
  <c r="BG1044" i="102"/>
  <c r="BH1044" i="102" s="1"/>
  <c r="BI1044" i="102" s="1"/>
  <c r="BJ1044" i="102" s="1"/>
  <c r="BK1044" i="102" s="1"/>
  <c r="BL1044" i="102" s="1"/>
  <c r="BM1044" i="102" s="1"/>
  <c r="BN1044" i="102" s="1"/>
  <c r="BO1044" i="102" s="1"/>
  <c r="BP1044" i="102" s="1"/>
  <c r="BG1043" i="102"/>
  <c r="BH1043" i="102" s="1"/>
  <c r="BI1043" i="102" s="1"/>
  <c r="BJ1043" i="102" s="1"/>
  <c r="BK1043" i="102" s="1"/>
  <c r="BL1043" i="102" s="1"/>
  <c r="BM1043" i="102" s="1"/>
  <c r="BN1043" i="102" s="1"/>
  <c r="BO1043" i="102" s="1"/>
  <c r="BP1043" i="102" s="1"/>
  <c r="BF986" i="102"/>
  <c r="E2" i="115" l="1"/>
  <c r="F2" i="115" l="1"/>
  <c r="G2" i="115" l="1"/>
  <c r="H2" i="115" l="1"/>
  <c r="I2" i="115" l="1"/>
  <c r="J2" i="115" l="1"/>
  <c r="BG1032" i="102" l="1"/>
  <c r="BH1032" i="102" s="1"/>
  <c r="BI1032" i="102" s="1"/>
  <c r="BJ1032" i="102" s="1"/>
  <c r="BK1032" i="102" s="1"/>
  <c r="BL1032" i="102" s="1"/>
  <c r="BM1032" i="102" s="1"/>
  <c r="BN1032" i="102" s="1"/>
  <c r="BO1032" i="102" s="1"/>
  <c r="BP1032" i="102" s="1"/>
  <c r="BG1019" i="102"/>
  <c r="BH1019" i="102" s="1"/>
  <c r="BI1019" i="102" s="1"/>
  <c r="BJ1019" i="102" s="1"/>
  <c r="BK1019" i="102" s="1"/>
  <c r="BL1019" i="102" s="1"/>
  <c r="BM1019" i="102" s="1"/>
  <c r="BN1019" i="102" s="1"/>
  <c r="BO1019" i="102" s="1"/>
  <c r="BP1019" i="102" s="1"/>
  <c r="BG1018" i="102"/>
  <c r="BH1018" i="102" s="1"/>
  <c r="BI1018" i="102" s="1"/>
  <c r="BJ1018" i="102" s="1"/>
  <c r="BK1018" i="102" s="1"/>
  <c r="BL1018" i="102" s="1"/>
  <c r="BM1018" i="102" s="1"/>
  <c r="BN1018" i="102" s="1"/>
  <c r="BO1018" i="102" s="1"/>
  <c r="BP1018" i="102" s="1"/>
  <c r="BG1009" i="102"/>
  <c r="BH1009" i="102" s="1"/>
  <c r="BI1009" i="102" s="1"/>
  <c r="BJ1009" i="102" s="1"/>
  <c r="BK1009" i="102" s="1"/>
  <c r="BL1009" i="102" s="1"/>
  <c r="BM1009" i="102" s="1"/>
  <c r="BN1009" i="102" s="1"/>
  <c r="BO1009" i="102" s="1"/>
  <c r="BP1009" i="102" s="1"/>
  <c r="BG1007" i="102"/>
  <c r="BH1007" i="102" s="1"/>
  <c r="BI1007" i="102" s="1"/>
  <c r="BJ1007" i="102" s="1"/>
  <c r="BK1007" i="102" s="1"/>
  <c r="BL1007" i="102" s="1"/>
  <c r="BM1007" i="102" s="1"/>
  <c r="BN1007" i="102" s="1"/>
  <c r="BO1007" i="102" s="1"/>
  <c r="BP1007" i="102" s="1"/>
  <c r="BG1006" i="102"/>
  <c r="BH1006" i="102" s="1"/>
  <c r="BI1006" i="102" s="1"/>
  <c r="BJ1006" i="102" s="1"/>
  <c r="BK1006" i="102" s="1"/>
  <c r="BL1006" i="102" s="1"/>
  <c r="BM1006" i="102" s="1"/>
  <c r="BN1006" i="102" s="1"/>
  <c r="BO1006" i="102" s="1"/>
  <c r="BP1006" i="102" s="1"/>
  <c r="BG1005" i="102"/>
  <c r="BH1005" i="102" s="1"/>
  <c r="BI1005" i="102" s="1"/>
  <c r="BJ1005" i="102" s="1"/>
  <c r="BK1005" i="102" s="1"/>
  <c r="BL1005" i="102" s="1"/>
  <c r="BM1005" i="102" s="1"/>
  <c r="BN1005" i="102" s="1"/>
  <c r="BO1005" i="102" s="1"/>
  <c r="BP1005" i="102" s="1"/>
  <c r="BG1000" i="102"/>
  <c r="BH1000" i="102" s="1"/>
  <c r="BI1000" i="102" s="1"/>
  <c r="BJ1000" i="102" s="1"/>
  <c r="BK1000" i="102" s="1"/>
  <c r="BL1000" i="102" s="1"/>
  <c r="BM1000" i="102" s="1"/>
  <c r="BN1000" i="102" s="1"/>
  <c r="BO1000" i="102" s="1"/>
  <c r="BP1000" i="102" s="1"/>
  <c r="BG987" i="102"/>
  <c r="BH987" i="102" s="1"/>
  <c r="BI987" i="102" s="1"/>
  <c r="BJ987" i="102" s="1"/>
  <c r="BK987" i="102" s="1"/>
  <c r="BL987" i="102" s="1"/>
  <c r="BM987" i="102" s="1"/>
  <c r="BN987" i="102" s="1"/>
  <c r="BO987" i="102" s="1"/>
  <c r="BP987" i="102" s="1"/>
  <c r="BG986" i="102"/>
  <c r="BH986" i="102" s="1"/>
  <c r="BI986" i="102" s="1"/>
  <c r="BJ986" i="102" s="1"/>
  <c r="BK986" i="102" s="1"/>
  <c r="BL986" i="102" s="1"/>
  <c r="BM986" i="102" s="1"/>
  <c r="BN986" i="102" s="1"/>
  <c r="BO986" i="102" s="1"/>
  <c r="BP986" i="102" s="1"/>
  <c r="BG977" i="102"/>
  <c r="BH977" i="102" s="1"/>
  <c r="BI977" i="102" s="1"/>
  <c r="BJ977" i="102" s="1"/>
  <c r="BK977" i="102" s="1"/>
  <c r="BL977" i="102" s="1"/>
  <c r="BM977" i="102" s="1"/>
  <c r="BN977" i="102" s="1"/>
  <c r="BO977" i="102" s="1"/>
  <c r="BP977" i="102" s="1"/>
  <c r="BG975" i="102"/>
  <c r="BH975" i="102" s="1"/>
  <c r="BI975" i="102" s="1"/>
  <c r="BJ975" i="102" s="1"/>
  <c r="BK975" i="102" s="1"/>
  <c r="BL975" i="102" s="1"/>
  <c r="BM975" i="102" s="1"/>
  <c r="BN975" i="102" s="1"/>
  <c r="BO975" i="102" s="1"/>
  <c r="BP975" i="102" s="1"/>
  <c r="BG974" i="102"/>
  <c r="BH974" i="102" s="1"/>
  <c r="BI974" i="102" s="1"/>
  <c r="BJ974" i="102" s="1"/>
  <c r="BK974" i="102" s="1"/>
  <c r="BL974" i="102" s="1"/>
  <c r="BM974" i="102" s="1"/>
  <c r="BN974" i="102" s="1"/>
  <c r="BO974" i="102" s="1"/>
  <c r="BP974" i="102" s="1"/>
  <c r="BG973" i="102"/>
  <c r="BH973" i="102" s="1"/>
  <c r="BI973" i="102" s="1"/>
  <c r="BJ973" i="102" s="1"/>
  <c r="BK973" i="102" s="1"/>
  <c r="BL973" i="102" s="1"/>
  <c r="BM973" i="102" s="1"/>
  <c r="BN973" i="102" s="1"/>
  <c r="BO973" i="102" s="1"/>
  <c r="BP973" i="102" s="1"/>
  <c r="BG971" i="102"/>
  <c r="BH971" i="102" s="1"/>
  <c r="BI971" i="102" s="1"/>
  <c r="BJ971" i="102" s="1"/>
  <c r="BK971" i="102" s="1"/>
  <c r="BL971" i="102" s="1"/>
  <c r="BM971" i="102" s="1"/>
  <c r="BN971" i="102" s="1"/>
  <c r="BO971" i="102" s="1"/>
  <c r="BP971" i="102" s="1"/>
  <c r="BG970" i="102"/>
  <c r="BH970" i="102" s="1"/>
  <c r="BI970" i="102" s="1"/>
  <c r="BJ970" i="102" s="1"/>
  <c r="BK970" i="102" s="1"/>
  <c r="BL970" i="102" s="1"/>
  <c r="BM970" i="102" s="1"/>
  <c r="BN970" i="102" s="1"/>
  <c r="BO970" i="102" s="1"/>
  <c r="BP970" i="102" s="1"/>
  <c r="BG968" i="102"/>
  <c r="BH968" i="102" s="1"/>
  <c r="BI968" i="102" s="1"/>
  <c r="BJ968" i="102" s="1"/>
  <c r="BK968" i="102" s="1"/>
  <c r="BL968" i="102" s="1"/>
  <c r="BM968" i="102" s="1"/>
  <c r="BN968" i="102" s="1"/>
  <c r="BO968" i="102" s="1"/>
  <c r="BP968" i="102" s="1"/>
  <c r="BG955" i="102"/>
  <c r="BH955" i="102" s="1"/>
  <c r="BI955" i="102" s="1"/>
  <c r="BJ955" i="102" s="1"/>
  <c r="BK955" i="102" s="1"/>
  <c r="BL955" i="102" s="1"/>
  <c r="BM955" i="102" s="1"/>
  <c r="BN955" i="102" s="1"/>
  <c r="BO955" i="102" s="1"/>
  <c r="BP955" i="102" s="1"/>
  <c r="BF954" i="102"/>
  <c r="BG954" i="102" s="1"/>
  <c r="BH954" i="102" s="1"/>
  <c r="BI954" i="102" s="1"/>
  <c r="BJ954" i="102" s="1"/>
  <c r="BK954" i="102" s="1"/>
  <c r="BL954" i="102" s="1"/>
  <c r="BM954" i="102" s="1"/>
  <c r="BN954" i="102" s="1"/>
  <c r="BO954" i="102" s="1"/>
  <c r="BP954" i="102" s="1"/>
  <c r="BE868" i="102"/>
  <c r="H17" i="113"/>
  <c r="I17" i="113" s="1"/>
  <c r="H16" i="113"/>
  <c r="BG945" i="102"/>
  <c r="BH945" i="102" s="1"/>
  <c r="BI945" i="102" s="1"/>
  <c r="BJ945" i="102" s="1"/>
  <c r="BK945" i="102" s="1"/>
  <c r="BL945" i="102" s="1"/>
  <c r="BM945" i="102" s="1"/>
  <c r="BN945" i="102" s="1"/>
  <c r="BO945" i="102" s="1"/>
  <c r="BP945" i="102" s="1"/>
  <c r="BG943" i="102"/>
  <c r="BH943" i="102" s="1"/>
  <c r="BI943" i="102" s="1"/>
  <c r="BJ943" i="102" s="1"/>
  <c r="BK943" i="102" s="1"/>
  <c r="BL943" i="102" s="1"/>
  <c r="BM943" i="102" s="1"/>
  <c r="BN943" i="102" s="1"/>
  <c r="BO943" i="102" s="1"/>
  <c r="BP943" i="102" s="1"/>
  <c r="BG942" i="102"/>
  <c r="BH942" i="102" s="1"/>
  <c r="BI942" i="102" s="1"/>
  <c r="BJ942" i="102" s="1"/>
  <c r="BK942" i="102" s="1"/>
  <c r="BL942" i="102" s="1"/>
  <c r="BM942" i="102" s="1"/>
  <c r="BN942" i="102" s="1"/>
  <c r="BO942" i="102" s="1"/>
  <c r="BP942" i="102" s="1"/>
  <c r="G9" i="113"/>
  <c r="BE862" i="102"/>
  <c r="BE843" i="102"/>
  <c r="G16" i="113"/>
  <c r="BG941" i="102"/>
  <c r="BH941" i="102" s="1"/>
  <c r="BI941" i="102" s="1"/>
  <c r="BJ941" i="102" s="1"/>
  <c r="BK941" i="102" s="1"/>
  <c r="BL941" i="102" s="1"/>
  <c r="BM941" i="102" s="1"/>
  <c r="BN941" i="102" s="1"/>
  <c r="BO941" i="102" s="1"/>
  <c r="BP941" i="102" s="1"/>
  <c r="BF871" i="102"/>
  <c r="BP859" i="102"/>
  <c r="BO859" i="102"/>
  <c r="BN859" i="102"/>
  <c r="BM859" i="102"/>
  <c r="BL859" i="102"/>
  <c r="BK859" i="102"/>
  <c r="BJ859" i="102"/>
  <c r="BI859" i="102"/>
  <c r="BH859" i="102"/>
  <c r="BG859" i="102"/>
  <c r="BF859" i="102"/>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BE1166" i="102"/>
  <c r="BE1163" i="102"/>
  <c r="BE1144" i="102"/>
  <c r="BE1108" i="102"/>
  <c r="BE1038" i="102"/>
  <c r="BE936" i="102"/>
  <c r="G13" i="113"/>
  <c r="G12" i="113"/>
  <c r="J17" i="113" l="1"/>
  <c r="I16" i="113"/>
  <c r="H9" i="113"/>
  <c r="K17" i="113" l="1"/>
  <c r="J16" i="113"/>
  <c r="I9" i="113"/>
  <c r="BF872" i="102"/>
  <c r="BP872" i="102" s="1"/>
  <c r="BG939" i="102"/>
  <c r="BH939" i="102" s="1"/>
  <c r="BI939" i="102" s="1"/>
  <c r="BJ939" i="102" s="1"/>
  <c r="BK939" i="102" s="1"/>
  <c r="BL939" i="102" s="1"/>
  <c r="BM939" i="102" s="1"/>
  <c r="BN939" i="102" s="1"/>
  <c r="BO939" i="102" s="1"/>
  <c r="BP939" i="102" s="1"/>
  <c r="BG938" i="102"/>
  <c r="BH938" i="102" s="1"/>
  <c r="BI938" i="102" s="1"/>
  <c r="BJ938" i="102" s="1"/>
  <c r="BK938" i="102" s="1"/>
  <c r="BL938" i="102" s="1"/>
  <c r="BM938" i="102" s="1"/>
  <c r="BN938" i="102" s="1"/>
  <c r="BO938" i="102" s="1"/>
  <c r="BP938" i="102" s="1"/>
  <c r="BG906" i="102"/>
  <c r="BH906" i="102" s="1"/>
  <c r="BI906" i="102" s="1"/>
  <c r="BJ906" i="102" s="1"/>
  <c r="BK906" i="102" s="1"/>
  <c r="BL906" i="102" s="1"/>
  <c r="BM906" i="102" s="1"/>
  <c r="BN906" i="102" s="1"/>
  <c r="BO906" i="102" s="1"/>
  <c r="BP906" i="102" s="1"/>
  <c r="BG905" i="102"/>
  <c r="BH905" i="102" s="1"/>
  <c r="BI905" i="102" s="1"/>
  <c r="BJ905" i="102" s="1"/>
  <c r="BK905" i="102" s="1"/>
  <c r="BL905" i="102" s="1"/>
  <c r="BM905" i="102" s="1"/>
  <c r="BN905" i="102" s="1"/>
  <c r="BO905" i="102" s="1"/>
  <c r="BP905" i="102" s="1"/>
  <c r="BG875" i="102"/>
  <c r="BH875" i="102" s="1"/>
  <c r="BI875" i="102" s="1"/>
  <c r="BJ875" i="102" s="1"/>
  <c r="BK875" i="102" s="1"/>
  <c r="BL875" i="102" s="1"/>
  <c r="BM875" i="102" s="1"/>
  <c r="BN875" i="102" s="1"/>
  <c r="BO875" i="102" s="1"/>
  <c r="BP875" i="102" s="1"/>
  <c r="BG874" i="102"/>
  <c r="BH874" i="102" s="1"/>
  <c r="BI874" i="102" s="1"/>
  <c r="BJ874" i="102" s="1"/>
  <c r="BK874" i="102" s="1"/>
  <c r="BL874" i="102" s="1"/>
  <c r="BM874" i="102" s="1"/>
  <c r="BN874" i="102" s="1"/>
  <c r="BO874" i="102" s="1"/>
  <c r="BP874" i="102" s="1"/>
  <c r="BG870" i="102"/>
  <c r="BH870" i="102" s="1"/>
  <c r="BI870" i="102" s="1"/>
  <c r="BJ870" i="102" s="1"/>
  <c r="BK870" i="102" s="1"/>
  <c r="BL870" i="102" s="1"/>
  <c r="BM870" i="102" s="1"/>
  <c r="BN870" i="102" s="1"/>
  <c r="BO870" i="102" s="1"/>
  <c r="BP870" i="102" s="1"/>
  <c r="BG259" i="102"/>
  <c r="BH259" i="102" s="1"/>
  <c r="BI259" i="102" s="1"/>
  <c r="BJ259" i="102" s="1"/>
  <c r="BK259" i="102" s="1"/>
  <c r="BL259" i="102" s="1"/>
  <c r="BM259" i="102" s="1"/>
  <c r="BN259" i="102" s="1"/>
  <c r="BO259" i="102" s="1"/>
  <c r="BP259" i="102" s="1"/>
  <c r="BG258" i="102"/>
  <c r="BH258" i="102" s="1"/>
  <c r="BI258" i="102" s="1"/>
  <c r="BJ258" i="102" s="1"/>
  <c r="BK258" i="102" s="1"/>
  <c r="BL258" i="102" s="1"/>
  <c r="BM258" i="102" s="1"/>
  <c r="BN258" i="102" s="1"/>
  <c r="BO258" i="102" s="1"/>
  <c r="BP258" i="102" s="1"/>
  <c r="BG60" i="102"/>
  <c r="BH60" i="102" s="1"/>
  <c r="BI60" i="102" s="1"/>
  <c r="BJ60" i="102" s="1"/>
  <c r="BK60" i="102" s="1"/>
  <c r="BL60" i="102" s="1"/>
  <c r="BM60" i="102" s="1"/>
  <c r="BN60" i="102" s="1"/>
  <c r="BO60" i="102" s="1"/>
  <c r="BP60" i="102" s="1"/>
  <c r="BG98" i="102"/>
  <c r="BH98" i="102" s="1"/>
  <c r="BI98" i="102" s="1"/>
  <c r="BJ98" i="102" s="1"/>
  <c r="BK98" i="102" s="1"/>
  <c r="BL98" i="102" s="1"/>
  <c r="BM98" i="102" s="1"/>
  <c r="BN98" i="102" s="1"/>
  <c r="BO98" i="102" s="1"/>
  <c r="BP98" i="102" s="1"/>
  <c r="BG96" i="102"/>
  <c r="BH96" i="102" s="1"/>
  <c r="BI96" i="102" s="1"/>
  <c r="BJ96" i="102" s="1"/>
  <c r="BK96" i="102" s="1"/>
  <c r="BL96" i="102" s="1"/>
  <c r="BM96" i="102" s="1"/>
  <c r="BN96" i="102" s="1"/>
  <c r="BO96" i="102" s="1"/>
  <c r="BP96" i="102" s="1"/>
  <c r="BG95" i="102"/>
  <c r="BH95" i="102" s="1"/>
  <c r="BI95" i="102" s="1"/>
  <c r="BJ95" i="102" s="1"/>
  <c r="BK95" i="102" s="1"/>
  <c r="BL95" i="102" s="1"/>
  <c r="BM95" i="102" s="1"/>
  <c r="BN95" i="102" s="1"/>
  <c r="BO95" i="102" s="1"/>
  <c r="BP95" i="102" s="1"/>
  <c r="BG94" i="102"/>
  <c r="BH94" i="102" s="1"/>
  <c r="BI94" i="102" s="1"/>
  <c r="BJ94" i="102" s="1"/>
  <c r="BK94" i="102" s="1"/>
  <c r="BL94" i="102" s="1"/>
  <c r="BM94" i="102" s="1"/>
  <c r="BN94" i="102" s="1"/>
  <c r="BO94" i="102" s="1"/>
  <c r="BP94" i="102" s="1"/>
  <c r="BG130" i="102"/>
  <c r="BH130" i="102" s="1"/>
  <c r="BI130" i="102" s="1"/>
  <c r="BJ130" i="102" s="1"/>
  <c r="BK130" i="102" s="1"/>
  <c r="BL130" i="102" s="1"/>
  <c r="BM130" i="102" s="1"/>
  <c r="BN130" i="102" s="1"/>
  <c r="BO130" i="102" s="1"/>
  <c r="BP130" i="102" s="1"/>
  <c r="BG128" i="102"/>
  <c r="BH128" i="102" s="1"/>
  <c r="BI128" i="102" s="1"/>
  <c r="BJ128" i="102" s="1"/>
  <c r="BK128" i="102" s="1"/>
  <c r="BL128" i="102" s="1"/>
  <c r="BM128" i="102" s="1"/>
  <c r="BN128" i="102" s="1"/>
  <c r="BO128" i="102" s="1"/>
  <c r="BP128" i="102" s="1"/>
  <c r="BG127" i="102"/>
  <c r="BH127" i="102" s="1"/>
  <c r="BI127" i="102" s="1"/>
  <c r="BJ127" i="102" s="1"/>
  <c r="BK127" i="102" s="1"/>
  <c r="BL127" i="102" s="1"/>
  <c r="BM127" i="102" s="1"/>
  <c r="BN127" i="102" s="1"/>
  <c r="BO127" i="102" s="1"/>
  <c r="BP127" i="102" s="1"/>
  <c r="BG126" i="102"/>
  <c r="BH126" i="102" s="1"/>
  <c r="BI126" i="102" s="1"/>
  <c r="BJ126" i="102" s="1"/>
  <c r="BK126" i="102" s="1"/>
  <c r="BL126" i="102" s="1"/>
  <c r="BM126" i="102" s="1"/>
  <c r="BN126" i="102" s="1"/>
  <c r="BO126" i="102" s="1"/>
  <c r="BP126" i="102" s="1"/>
  <c r="BG162" i="102"/>
  <c r="BH162" i="102" s="1"/>
  <c r="BI162" i="102" s="1"/>
  <c r="BJ162" i="102" s="1"/>
  <c r="BK162" i="102" s="1"/>
  <c r="BL162" i="102" s="1"/>
  <c r="BM162" i="102" s="1"/>
  <c r="BN162" i="102" s="1"/>
  <c r="BO162" i="102" s="1"/>
  <c r="BP162" i="102" s="1"/>
  <c r="BG160" i="102"/>
  <c r="BH160" i="102" s="1"/>
  <c r="BI160" i="102" s="1"/>
  <c r="BJ160" i="102" s="1"/>
  <c r="BK160" i="102" s="1"/>
  <c r="BL160" i="102" s="1"/>
  <c r="BM160" i="102" s="1"/>
  <c r="BN160" i="102" s="1"/>
  <c r="BO160" i="102" s="1"/>
  <c r="BP160" i="102" s="1"/>
  <c r="BG159" i="102"/>
  <c r="BH159" i="102" s="1"/>
  <c r="BI159" i="102" s="1"/>
  <c r="BJ159" i="102" s="1"/>
  <c r="BK159" i="102" s="1"/>
  <c r="BL159" i="102" s="1"/>
  <c r="BM159" i="102" s="1"/>
  <c r="BN159" i="102" s="1"/>
  <c r="BO159" i="102" s="1"/>
  <c r="BP159" i="102" s="1"/>
  <c r="BG158" i="102"/>
  <c r="BH158" i="102" s="1"/>
  <c r="BI158" i="102" s="1"/>
  <c r="BJ158" i="102" s="1"/>
  <c r="BK158" i="102" s="1"/>
  <c r="BL158" i="102" s="1"/>
  <c r="BM158" i="102" s="1"/>
  <c r="BN158" i="102" s="1"/>
  <c r="BO158" i="102" s="1"/>
  <c r="BP158" i="102" s="1"/>
  <c r="BG194" i="102"/>
  <c r="BH194" i="102" s="1"/>
  <c r="BI194" i="102" s="1"/>
  <c r="BJ194" i="102" s="1"/>
  <c r="BK194" i="102" s="1"/>
  <c r="BL194" i="102" s="1"/>
  <c r="BM194" i="102" s="1"/>
  <c r="BN194" i="102" s="1"/>
  <c r="BO194" i="102" s="1"/>
  <c r="BP194" i="102" s="1"/>
  <c r="BG192" i="102"/>
  <c r="BH192" i="102" s="1"/>
  <c r="BI192" i="102" s="1"/>
  <c r="BJ192" i="102" s="1"/>
  <c r="BK192" i="102" s="1"/>
  <c r="BL192" i="102" s="1"/>
  <c r="BM192" i="102" s="1"/>
  <c r="BN192" i="102" s="1"/>
  <c r="BO192" i="102" s="1"/>
  <c r="BP192" i="102" s="1"/>
  <c r="BG191" i="102"/>
  <c r="BH191" i="102" s="1"/>
  <c r="BI191" i="102" s="1"/>
  <c r="BJ191" i="102" s="1"/>
  <c r="BK191" i="102" s="1"/>
  <c r="BL191" i="102" s="1"/>
  <c r="BM191" i="102" s="1"/>
  <c r="BN191" i="102" s="1"/>
  <c r="BO191" i="102" s="1"/>
  <c r="BP191" i="102" s="1"/>
  <c r="BG190" i="102"/>
  <c r="BH190" i="102" s="1"/>
  <c r="BI190" i="102" s="1"/>
  <c r="BJ190" i="102" s="1"/>
  <c r="BK190" i="102" s="1"/>
  <c r="BL190" i="102" s="1"/>
  <c r="BM190" i="102" s="1"/>
  <c r="BN190" i="102" s="1"/>
  <c r="BO190" i="102" s="1"/>
  <c r="BP190" i="102" s="1"/>
  <c r="BG225" i="102"/>
  <c r="BH225" i="102" s="1"/>
  <c r="BI225" i="102" s="1"/>
  <c r="BJ225" i="102" s="1"/>
  <c r="BK225" i="102" s="1"/>
  <c r="BL225" i="102" s="1"/>
  <c r="BM225" i="102" s="1"/>
  <c r="BN225" i="102" s="1"/>
  <c r="BO225" i="102" s="1"/>
  <c r="BP225" i="102" s="1"/>
  <c r="BG228" i="102"/>
  <c r="BH228" i="102" s="1"/>
  <c r="BI228" i="102" s="1"/>
  <c r="BJ228" i="102" s="1"/>
  <c r="BK228" i="102" s="1"/>
  <c r="BL228" i="102" s="1"/>
  <c r="BM228" i="102" s="1"/>
  <c r="BN228" i="102" s="1"/>
  <c r="BO228" i="102" s="1"/>
  <c r="BP228" i="102" s="1"/>
  <c r="BG227" i="102"/>
  <c r="BH227" i="102" s="1"/>
  <c r="BI227" i="102" s="1"/>
  <c r="BJ227" i="102" s="1"/>
  <c r="BK227" i="102" s="1"/>
  <c r="BL227" i="102" s="1"/>
  <c r="BM227" i="102" s="1"/>
  <c r="BN227" i="102" s="1"/>
  <c r="BO227" i="102" s="1"/>
  <c r="BP227" i="102" s="1"/>
  <c r="BG231" i="102"/>
  <c r="BH231" i="102" s="1"/>
  <c r="BI231" i="102" s="1"/>
  <c r="BJ231" i="102" s="1"/>
  <c r="BK231" i="102" s="1"/>
  <c r="BL231" i="102" s="1"/>
  <c r="BM231" i="102" s="1"/>
  <c r="BN231" i="102" s="1"/>
  <c r="BO231" i="102" s="1"/>
  <c r="BP231" i="102" s="1"/>
  <c r="BG229" i="102"/>
  <c r="BH229" i="102" s="1"/>
  <c r="BI229" i="102" s="1"/>
  <c r="BJ229" i="102" s="1"/>
  <c r="BK229" i="102" s="1"/>
  <c r="BL229" i="102" s="1"/>
  <c r="BM229" i="102" s="1"/>
  <c r="BN229" i="102" s="1"/>
  <c r="BO229" i="102" s="1"/>
  <c r="BP229" i="102" s="1"/>
  <c r="BG293" i="102"/>
  <c r="BH293" i="102" s="1"/>
  <c r="BI293" i="102" s="1"/>
  <c r="BJ293" i="102" s="1"/>
  <c r="BK293" i="102" s="1"/>
  <c r="BL293" i="102" s="1"/>
  <c r="BM293" i="102" s="1"/>
  <c r="BN293" i="102" s="1"/>
  <c r="BO293" i="102" s="1"/>
  <c r="BP293" i="102" s="1"/>
  <c r="BG292" i="102"/>
  <c r="BH292" i="102" s="1"/>
  <c r="BI292" i="102" s="1"/>
  <c r="BJ292" i="102" s="1"/>
  <c r="BK292" i="102" s="1"/>
  <c r="BL292" i="102" s="1"/>
  <c r="BM292" i="102" s="1"/>
  <c r="BN292" i="102" s="1"/>
  <c r="BO292" i="102" s="1"/>
  <c r="BP292" i="102" s="1"/>
  <c r="BG299" i="102"/>
  <c r="BH299" i="102" s="1"/>
  <c r="BI299" i="102" s="1"/>
  <c r="BJ299" i="102" s="1"/>
  <c r="BK299" i="102" s="1"/>
  <c r="BL299" i="102" s="1"/>
  <c r="BM299" i="102" s="1"/>
  <c r="BN299" i="102" s="1"/>
  <c r="BO299" i="102" s="1"/>
  <c r="BP299" i="102" s="1"/>
  <c r="BG297" i="102"/>
  <c r="BH297" i="102" s="1"/>
  <c r="BI297" i="102" s="1"/>
  <c r="BJ297" i="102" s="1"/>
  <c r="BK297" i="102" s="1"/>
  <c r="BL297" i="102" s="1"/>
  <c r="BM297" i="102" s="1"/>
  <c r="BN297" i="102" s="1"/>
  <c r="BO297" i="102" s="1"/>
  <c r="BP297" i="102" s="1"/>
  <c r="BG296" i="102"/>
  <c r="BH296" i="102" s="1"/>
  <c r="BI296" i="102" s="1"/>
  <c r="BJ296" i="102" s="1"/>
  <c r="BK296" i="102" s="1"/>
  <c r="BL296" i="102" s="1"/>
  <c r="BM296" i="102" s="1"/>
  <c r="BN296" i="102" s="1"/>
  <c r="BO296" i="102" s="1"/>
  <c r="BP296" i="102" s="1"/>
  <c r="BG295" i="102"/>
  <c r="BH295" i="102" s="1"/>
  <c r="BI295" i="102" s="1"/>
  <c r="BJ295" i="102" s="1"/>
  <c r="BK295" i="102" s="1"/>
  <c r="BL295" i="102" s="1"/>
  <c r="BM295" i="102" s="1"/>
  <c r="BN295" i="102" s="1"/>
  <c r="BO295" i="102" s="1"/>
  <c r="BP295" i="102" s="1"/>
  <c r="BG330" i="102"/>
  <c r="BH330" i="102" s="1"/>
  <c r="BI330" i="102" s="1"/>
  <c r="BJ330" i="102" s="1"/>
  <c r="BK330" i="102" s="1"/>
  <c r="BL330" i="102" s="1"/>
  <c r="BM330" i="102" s="1"/>
  <c r="BN330" i="102" s="1"/>
  <c r="BO330" i="102" s="1"/>
  <c r="BP330" i="102" s="1"/>
  <c r="BG328" i="102"/>
  <c r="BH328" i="102" s="1"/>
  <c r="BI328" i="102" s="1"/>
  <c r="BJ328" i="102" s="1"/>
  <c r="BK328" i="102" s="1"/>
  <c r="BL328" i="102" s="1"/>
  <c r="BM328" i="102" s="1"/>
  <c r="BN328" i="102" s="1"/>
  <c r="BO328" i="102" s="1"/>
  <c r="BP328" i="102" s="1"/>
  <c r="BG327" i="102"/>
  <c r="BH327" i="102" s="1"/>
  <c r="BI327" i="102" s="1"/>
  <c r="BJ327" i="102" s="1"/>
  <c r="BK327" i="102" s="1"/>
  <c r="BL327" i="102" s="1"/>
  <c r="BM327" i="102" s="1"/>
  <c r="BN327" i="102" s="1"/>
  <c r="BO327" i="102" s="1"/>
  <c r="BP327" i="102" s="1"/>
  <c r="BG326" i="102"/>
  <c r="BH326" i="102" s="1"/>
  <c r="BI326" i="102" s="1"/>
  <c r="BJ326" i="102" s="1"/>
  <c r="BK326" i="102" s="1"/>
  <c r="BL326" i="102" s="1"/>
  <c r="BM326" i="102" s="1"/>
  <c r="BN326" i="102" s="1"/>
  <c r="BO326" i="102" s="1"/>
  <c r="BP326" i="102" s="1"/>
  <c r="BG361" i="102"/>
  <c r="BH361" i="102" s="1"/>
  <c r="BI361" i="102" s="1"/>
  <c r="BJ361" i="102" s="1"/>
  <c r="BK361" i="102" s="1"/>
  <c r="BL361" i="102" s="1"/>
  <c r="BM361" i="102" s="1"/>
  <c r="BN361" i="102" s="1"/>
  <c r="BO361" i="102" s="1"/>
  <c r="BP361" i="102" s="1"/>
  <c r="BG359" i="102"/>
  <c r="BH359" i="102" s="1"/>
  <c r="BI359" i="102" s="1"/>
  <c r="BJ359" i="102" s="1"/>
  <c r="BK359" i="102" s="1"/>
  <c r="BL359" i="102" s="1"/>
  <c r="BM359" i="102" s="1"/>
  <c r="BN359" i="102" s="1"/>
  <c r="BO359" i="102" s="1"/>
  <c r="BP359" i="102" s="1"/>
  <c r="BG358" i="102"/>
  <c r="BH358" i="102" s="1"/>
  <c r="BI358" i="102" s="1"/>
  <c r="BJ358" i="102" s="1"/>
  <c r="BK358" i="102" s="1"/>
  <c r="BL358" i="102" s="1"/>
  <c r="BM358" i="102" s="1"/>
  <c r="BN358" i="102" s="1"/>
  <c r="BO358" i="102" s="1"/>
  <c r="BP358" i="102" s="1"/>
  <c r="BG357" i="102"/>
  <c r="BH357" i="102" s="1"/>
  <c r="BI357" i="102" s="1"/>
  <c r="BJ357" i="102" s="1"/>
  <c r="BK357" i="102" s="1"/>
  <c r="BL357" i="102" s="1"/>
  <c r="BM357" i="102" s="1"/>
  <c r="BN357" i="102" s="1"/>
  <c r="BO357" i="102" s="1"/>
  <c r="BP357" i="102" s="1"/>
  <c r="BG392" i="102"/>
  <c r="BH392" i="102" s="1"/>
  <c r="BI392" i="102" s="1"/>
  <c r="BJ392" i="102" s="1"/>
  <c r="BK392" i="102" s="1"/>
  <c r="BL392" i="102" s="1"/>
  <c r="BM392" i="102" s="1"/>
  <c r="BN392" i="102" s="1"/>
  <c r="BO392" i="102" s="1"/>
  <c r="BP392" i="102" s="1"/>
  <c r="BG390" i="102"/>
  <c r="BH390" i="102" s="1"/>
  <c r="BI390" i="102" s="1"/>
  <c r="BJ390" i="102" s="1"/>
  <c r="BK390" i="102" s="1"/>
  <c r="BL390" i="102" s="1"/>
  <c r="BM390" i="102" s="1"/>
  <c r="BN390" i="102" s="1"/>
  <c r="BO390" i="102" s="1"/>
  <c r="BP390" i="102" s="1"/>
  <c r="BG389" i="102"/>
  <c r="BH389" i="102" s="1"/>
  <c r="BI389" i="102" s="1"/>
  <c r="BJ389" i="102" s="1"/>
  <c r="BK389" i="102" s="1"/>
  <c r="BL389" i="102" s="1"/>
  <c r="BM389" i="102" s="1"/>
  <c r="BN389" i="102" s="1"/>
  <c r="BO389" i="102" s="1"/>
  <c r="BP389" i="102" s="1"/>
  <c r="BG388" i="102"/>
  <c r="BH388" i="102" s="1"/>
  <c r="BI388" i="102" s="1"/>
  <c r="BJ388" i="102" s="1"/>
  <c r="BK388" i="102" s="1"/>
  <c r="BL388" i="102" s="1"/>
  <c r="BM388" i="102" s="1"/>
  <c r="BN388" i="102" s="1"/>
  <c r="BO388" i="102" s="1"/>
  <c r="BP388" i="102" s="1"/>
  <c r="BG422" i="102"/>
  <c r="BH422" i="102" s="1"/>
  <c r="BI422" i="102" s="1"/>
  <c r="BJ422" i="102" s="1"/>
  <c r="BK422" i="102" s="1"/>
  <c r="BL422" i="102" s="1"/>
  <c r="BM422" i="102" s="1"/>
  <c r="BN422" i="102" s="1"/>
  <c r="BO422" i="102" s="1"/>
  <c r="BP422" i="102" s="1"/>
  <c r="BG425" i="102"/>
  <c r="BH425" i="102" s="1"/>
  <c r="BI425" i="102" s="1"/>
  <c r="BJ425" i="102" s="1"/>
  <c r="BK425" i="102" s="1"/>
  <c r="BL425" i="102" s="1"/>
  <c r="BM425" i="102" s="1"/>
  <c r="BN425" i="102" s="1"/>
  <c r="BO425" i="102" s="1"/>
  <c r="BP425" i="102" s="1"/>
  <c r="BG424" i="102"/>
  <c r="BH424" i="102" s="1"/>
  <c r="BI424" i="102" s="1"/>
  <c r="BJ424" i="102" s="1"/>
  <c r="BK424" i="102" s="1"/>
  <c r="BL424" i="102" s="1"/>
  <c r="BM424" i="102" s="1"/>
  <c r="BN424" i="102" s="1"/>
  <c r="BO424" i="102" s="1"/>
  <c r="BP424" i="102" s="1"/>
  <c r="BG456" i="102"/>
  <c r="BH456" i="102" s="1"/>
  <c r="BI456" i="102" s="1"/>
  <c r="BJ456" i="102" s="1"/>
  <c r="BK456" i="102" s="1"/>
  <c r="BL456" i="102" s="1"/>
  <c r="BM456" i="102" s="1"/>
  <c r="BN456" i="102" s="1"/>
  <c r="BO456" i="102" s="1"/>
  <c r="BP456" i="102" s="1"/>
  <c r="BG455" i="102"/>
  <c r="BH455" i="102" s="1"/>
  <c r="BI455" i="102" s="1"/>
  <c r="BJ455" i="102" s="1"/>
  <c r="BK455" i="102" s="1"/>
  <c r="BL455" i="102" s="1"/>
  <c r="BM455" i="102" s="1"/>
  <c r="BN455" i="102" s="1"/>
  <c r="BO455" i="102" s="1"/>
  <c r="BP455" i="102" s="1"/>
  <c r="BG487" i="102"/>
  <c r="BH487" i="102" s="1"/>
  <c r="BI487" i="102" s="1"/>
  <c r="BJ487" i="102" s="1"/>
  <c r="BK487" i="102" s="1"/>
  <c r="BL487" i="102" s="1"/>
  <c r="BM487" i="102" s="1"/>
  <c r="BN487" i="102" s="1"/>
  <c r="BO487" i="102" s="1"/>
  <c r="BP487" i="102" s="1"/>
  <c r="BG486" i="102"/>
  <c r="BH486" i="102" s="1"/>
  <c r="BI486" i="102" s="1"/>
  <c r="BJ486" i="102" s="1"/>
  <c r="BK486" i="102" s="1"/>
  <c r="BL486" i="102" s="1"/>
  <c r="BM486" i="102" s="1"/>
  <c r="BN486" i="102" s="1"/>
  <c r="BO486" i="102" s="1"/>
  <c r="BP486" i="102" s="1"/>
  <c r="BG518" i="102"/>
  <c r="BH518" i="102" s="1"/>
  <c r="BI518" i="102" s="1"/>
  <c r="BJ518" i="102" s="1"/>
  <c r="BK518" i="102" s="1"/>
  <c r="BL518" i="102" s="1"/>
  <c r="BM518" i="102" s="1"/>
  <c r="BN518" i="102" s="1"/>
  <c r="BO518" i="102" s="1"/>
  <c r="BP518" i="102" s="1"/>
  <c r="BG517" i="102"/>
  <c r="BH517" i="102" s="1"/>
  <c r="BI517" i="102" s="1"/>
  <c r="BJ517" i="102" s="1"/>
  <c r="BK517" i="102" s="1"/>
  <c r="BL517" i="102" s="1"/>
  <c r="BM517" i="102" s="1"/>
  <c r="BN517" i="102" s="1"/>
  <c r="BO517" i="102" s="1"/>
  <c r="BP517" i="102" s="1"/>
  <c r="BG549" i="102"/>
  <c r="BH549" i="102" s="1"/>
  <c r="BI549" i="102" s="1"/>
  <c r="BJ549" i="102" s="1"/>
  <c r="BK549" i="102" s="1"/>
  <c r="BL549" i="102" s="1"/>
  <c r="BM549" i="102" s="1"/>
  <c r="BN549" i="102" s="1"/>
  <c r="BO549" i="102" s="1"/>
  <c r="BP549" i="102" s="1"/>
  <c r="BG548" i="102"/>
  <c r="BH548" i="102" s="1"/>
  <c r="BI548" i="102" s="1"/>
  <c r="BJ548" i="102" s="1"/>
  <c r="BK548" i="102" s="1"/>
  <c r="BL548" i="102" s="1"/>
  <c r="BM548" i="102" s="1"/>
  <c r="BN548" i="102" s="1"/>
  <c r="BO548" i="102" s="1"/>
  <c r="BP548" i="102" s="1"/>
  <c r="BG580" i="102"/>
  <c r="BH580" i="102" s="1"/>
  <c r="BI580" i="102" s="1"/>
  <c r="BJ580" i="102" s="1"/>
  <c r="BK580" i="102" s="1"/>
  <c r="BL580" i="102" s="1"/>
  <c r="BM580" i="102" s="1"/>
  <c r="BN580" i="102" s="1"/>
  <c r="BO580" i="102" s="1"/>
  <c r="BP580" i="102" s="1"/>
  <c r="BG579" i="102"/>
  <c r="BH579" i="102" s="1"/>
  <c r="BI579" i="102" s="1"/>
  <c r="BJ579" i="102" s="1"/>
  <c r="BK579" i="102" s="1"/>
  <c r="BL579" i="102" s="1"/>
  <c r="BM579" i="102" s="1"/>
  <c r="BN579" i="102" s="1"/>
  <c r="BO579" i="102" s="1"/>
  <c r="BP579" i="102" s="1"/>
  <c r="BG611" i="102"/>
  <c r="BH611" i="102" s="1"/>
  <c r="BI611" i="102" s="1"/>
  <c r="BJ611" i="102" s="1"/>
  <c r="BK611" i="102" s="1"/>
  <c r="BL611" i="102" s="1"/>
  <c r="BM611" i="102" s="1"/>
  <c r="BN611" i="102" s="1"/>
  <c r="BO611" i="102" s="1"/>
  <c r="BP611" i="102" s="1"/>
  <c r="BG610" i="102"/>
  <c r="BH610" i="102" s="1"/>
  <c r="BI610" i="102" s="1"/>
  <c r="BJ610" i="102" s="1"/>
  <c r="BK610" i="102" s="1"/>
  <c r="BL610" i="102" s="1"/>
  <c r="BM610" i="102" s="1"/>
  <c r="BN610" i="102" s="1"/>
  <c r="BO610" i="102" s="1"/>
  <c r="BP610" i="102" s="1"/>
  <c r="BG675" i="102"/>
  <c r="BH675" i="102" s="1"/>
  <c r="BI675" i="102" s="1"/>
  <c r="BJ675" i="102" s="1"/>
  <c r="BK675" i="102" s="1"/>
  <c r="BL675" i="102" s="1"/>
  <c r="BM675" i="102" s="1"/>
  <c r="BN675" i="102" s="1"/>
  <c r="BO675" i="102" s="1"/>
  <c r="BP675" i="102" s="1"/>
  <c r="BG642" i="102"/>
  <c r="BH642" i="102" s="1"/>
  <c r="BI642" i="102" s="1"/>
  <c r="BJ642" i="102" s="1"/>
  <c r="BK642" i="102" s="1"/>
  <c r="BL642" i="102" s="1"/>
  <c r="BM642" i="102" s="1"/>
  <c r="BN642" i="102" s="1"/>
  <c r="BO642" i="102" s="1"/>
  <c r="BP642" i="102" s="1"/>
  <c r="BG641" i="102"/>
  <c r="BH641" i="102" s="1"/>
  <c r="BI641" i="102" s="1"/>
  <c r="BJ641" i="102" s="1"/>
  <c r="BK641" i="102" s="1"/>
  <c r="BL641" i="102" s="1"/>
  <c r="BM641" i="102" s="1"/>
  <c r="BN641" i="102" s="1"/>
  <c r="BO641" i="102" s="1"/>
  <c r="BP641" i="102" s="1"/>
  <c r="BG847" i="102"/>
  <c r="BH847" i="102" s="1"/>
  <c r="BI847" i="102" s="1"/>
  <c r="BJ847" i="102" s="1"/>
  <c r="BK847" i="102" s="1"/>
  <c r="BL847" i="102" s="1"/>
  <c r="BM847" i="102" s="1"/>
  <c r="BN847" i="102" s="1"/>
  <c r="BO847" i="102" s="1"/>
  <c r="BP847" i="102" s="1"/>
  <c r="BG846" i="102"/>
  <c r="BH846" i="102" s="1"/>
  <c r="BI846" i="102" s="1"/>
  <c r="BJ846" i="102" s="1"/>
  <c r="BK846" i="102" s="1"/>
  <c r="BL846" i="102" s="1"/>
  <c r="BM846" i="102" s="1"/>
  <c r="BN846" i="102" s="1"/>
  <c r="BO846" i="102" s="1"/>
  <c r="BP846" i="102" s="1"/>
  <c r="BG845" i="102"/>
  <c r="BH845" i="102" s="1"/>
  <c r="BI845" i="102" s="1"/>
  <c r="BJ845" i="102" s="1"/>
  <c r="BK845" i="102" s="1"/>
  <c r="BL845" i="102" s="1"/>
  <c r="BM845" i="102" s="1"/>
  <c r="BN845" i="102" s="1"/>
  <c r="BO845" i="102" s="1"/>
  <c r="BP845" i="102" s="1"/>
  <c r="BG844" i="102"/>
  <c r="BH844" i="102" s="1"/>
  <c r="BI844" i="102" s="1"/>
  <c r="BJ844" i="102" s="1"/>
  <c r="BK844" i="102" s="1"/>
  <c r="BL844" i="102" s="1"/>
  <c r="BM844" i="102" s="1"/>
  <c r="BN844" i="102" s="1"/>
  <c r="BO844" i="102" s="1"/>
  <c r="BP844" i="102" s="1"/>
  <c r="K16" i="113" l="1"/>
  <c r="L17" i="113"/>
  <c r="J9" i="113"/>
  <c r="BJ872" i="102"/>
  <c r="BI872" i="102"/>
  <c r="BK872" i="102"/>
  <c r="BL872" i="102"/>
  <c r="BM872" i="102"/>
  <c r="BN872" i="102"/>
  <c r="BG872" i="102"/>
  <c r="BO872" i="102"/>
  <c r="BH872" i="102"/>
  <c r="M17" i="113" l="1"/>
  <c r="L16" i="113"/>
  <c r="K9" i="113"/>
  <c r="BE420" i="102"/>
  <c r="BE27" i="102"/>
  <c r="BE39" i="102"/>
  <c r="BE673" i="102"/>
  <c r="BE223" i="102"/>
  <c r="BP15" i="102"/>
  <c r="BO15" i="102"/>
  <c r="BN15" i="102"/>
  <c r="BM15" i="102"/>
  <c r="BL15" i="102"/>
  <c r="BK15" i="102"/>
  <c r="BJ15" i="102"/>
  <c r="BI15" i="102"/>
  <c r="BH15" i="102"/>
  <c r="BG15" i="102"/>
  <c r="BF15" i="102"/>
  <c r="BE58" i="102"/>
  <c r="BE9" i="102"/>
  <c r="BE13" i="102"/>
  <c r="BE290" i="102"/>
  <c r="BF24" i="102"/>
  <c r="E1191" i="102"/>
  <c r="E1190" i="102"/>
  <c r="E1189" i="102"/>
  <c r="E1188" i="102"/>
  <c r="E1187" i="102"/>
  <c r="E1186" i="102"/>
  <c r="E1185" i="102"/>
  <c r="E1184" i="102"/>
  <c r="E1183" i="102"/>
  <c r="E1182" i="102"/>
  <c r="E1181" i="102"/>
  <c r="E1180" i="102"/>
  <c r="E1179" i="102"/>
  <c r="E1178" i="102"/>
  <c r="E1177" i="102"/>
  <c r="E1176" i="102"/>
  <c r="E1175" i="102"/>
  <c r="E1174" i="102"/>
  <c r="E1173" i="102"/>
  <c r="E1172" i="102"/>
  <c r="E1171" i="102"/>
  <c r="E1170" i="102"/>
  <c r="E1166" i="102"/>
  <c r="E1165" i="102"/>
  <c r="E1164" i="102"/>
  <c r="E1163" i="102"/>
  <c r="E1162" i="102"/>
  <c r="E1161" i="102"/>
  <c r="E1160" i="102"/>
  <c r="E1159" i="102"/>
  <c r="E1158" i="102"/>
  <c r="E1157" i="102"/>
  <c r="E1156" i="102"/>
  <c r="E1155" i="102"/>
  <c r="E1154" i="102"/>
  <c r="E1153" i="102"/>
  <c r="E1152" i="102"/>
  <c r="E1151" i="102"/>
  <c r="E1150" i="102"/>
  <c r="E1149" i="102"/>
  <c r="E1148" i="102"/>
  <c r="E1147" i="102"/>
  <c r="E1146" i="102"/>
  <c r="E1145" i="102"/>
  <c r="E1144" i="102"/>
  <c r="E1143" i="102"/>
  <c r="E1106" i="102"/>
  <c r="E1105" i="102"/>
  <c r="E1104" i="102"/>
  <c r="E1074" i="102"/>
  <c r="E1073" i="102"/>
  <c r="E1072" i="102"/>
  <c r="E1042" i="102"/>
  <c r="E1041" i="102"/>
  <c r="E1040" i="102"/>
  <c r="E1039" i="102"/>
  <c r="E1038" i="102"/>
  <c r="E1037" i="102"/>
  <c r="E1036" i="102"/>
  <c r="E1035" i="102"/>
  <c r="E1004" i="102"/>
  <c r="E1003" i="102"/>
  <c r="E1002" i="102"/>
  <c r="E972" i="102"/>
  <c r="E970" i="102"/>
  <c r="E940" i="102"/>
  <c r="E939" i="102"/>
  <c r="E938" i="102"/>
  <c r="E937" i="102"/>
  <c r="E936" i="102"/>
  <c r="E935" i="102"/>
  <c r="E934" i="102"/>
  <c r="E933" i="102"/>
  <c r="E904" i="102"/>
  <c r="E903" i="102"/>
  <c r="E873" i="102"/>
  <c r="E870" i="102"/>
  <c r="E869" i="102"/>
  <c r="E868" i="102"/>
  <c r="E867" i="102"/>
  <c r="E866" i="102"/>
  <c r="E865" i="102"/>
  <c r="E864" i="102"/>
  <c r="E863" i="102"/>
  <c r="E862" i="102"/>
  <c r="E861" i="102"/>
  <c r="E860" i="102"/>
  <c r="E859" i="102"/>
  <c r="E858" i="102"/>
  <c r="E857" i="102"/>
  <c r="E856" i="102"/>
  <c r="E855" i="102"/>
  <c r="E854" i="102"/>
  <c r="E853" i="102"/>
  <c r="E852" i="102"/>
  <c r="E851" i="102"/>
  <c r="E850" i="102"/>
  <c r="E849" i="102"/>
  <c r="E848" i="102"/>
  <c r="E847" i="102"/>
  <c r="E846" i="102"/>
  <c r="E845" i="102"/>
  <c r="E844" i="102"/>
  <c r="E843" i="102"/>
  <c r="E842" i="102"/>
  <c r="E841" i="102"/>
  <c r="E741" i="102"/>
  <c r="E740" i="102"/>
  <c r="E738" i="102"/>
  <c r="E708" i="102"/>
  <c r="E706" i="102"/>
  <c r="E676" i="102"/>
  <c r="E675" i="102"/>
  <c r="E674" i="102"/>
  <c r="E673" i="102"/>
  <c r="E672" i="102"/>
  <c r="E671" i="102"/>
  <c r="E670" i="102"/>
  <c r="E640" i="102"/>
  <c r="E639" i="102"/>
  <c r="E609" i="102"/>
  <c r="E608" i="102"/>
  <c r="E578" i="102"/>
  <c r="E577" i="102"/>
  <c r="E547" i="102"/>
  <c r="E546" i="102"/>
  <c r="E516" i="102"/>
  <c r="E515" i="102"/>
  <c r="E485" i="102"/>
  <c r="E484" i="102"/>
  <c r="E454" i="102"/>
  <c r="E453" i="102"/>
  <c r="E423" i="102"/>
  <c r="E422" i="102"/>
  <c r="E421" i="102"/>
  <c r="E420" i="102"/>
  <c r="E419" i="102"/>
  <c r="E418" i="102"/>
  <c r="E417" i="102"/>
  <c r="E387" i="102"/>
  <c r="E386" i="102"/>
  <c r="E356" i="102"/>
  <c r="E355" i="102"/>
  <c r="E325" i="102"/>
  <c r="E324" i="102"/>
  <c r="E294" i="102"/>
  <c r="E293" i="102"/>
  <c r="E292" i="102"/>
  <c r="E291" i="102"/>
  <c r="E290" i="102"/>
  <c r="E289" i="102"/>
  <c r="E288" i="102"/>
  <c r="E287" i="102"/>
  <c r="E257" i="102"/>
  <c r="E256" i="102"/>
  <c r="E226" i="102"/>
  <c r="E225" i="102"/>
  <c r="E224" i="102"/>
  <c r="E223" i="102"/>
  <c r="E222" i="102"/>
  <c r="E221" i="102"/>
  <c r="E220" i="102"/>
  <c r="E219" i="102"/>
  <c r="E189" i="102"/>
  <c r="E188" i="102"/>
  <c r="E187" i="102"/>
  <c r="E157" i="102"/>
  <c r="E156" i="102"/>
  <c r="E155" i="102"/>
  <c r="E125" i="102"/>
  <c r="E124" i="102"/>
  <c r="E123" i="102"/>
  <c r="E93" i="102"/>
  <c r="E92" i="102"/>
  <c r="E91" i="102"/>
  <c r="E61" i="102"/>
  <c r="E60" i="102"/>
  <c r="E59" i="102"/>
  <c r="E58" i="102"/>
  <c r="E57" i="102"/>
  <c r="E56" i="102"/>
  <c r="E55" i="102"/>
  <c r="E54" i="102"/>
  <c r="E53" i="102"/>
  <c r="E52" i="102"/>
  <c r="E51" i="102"/>
  <c r="E50" i="102"/>
  <c r="E49" i="102"/>
  <c r="E48" i="102"/>
  <c r="E47" i="102"/>
  <c r="E46" i="102"/>
  <c r="E45" i="102"/>
  <c r="E44" i="102"/>
  <c r="E43" i="102"/>
  <c r="E42" i="102"/>
  <c r="E41" i="102"/>
  <c r="E40" i="102"/>
  <c r="E39" i="102"/>
  <c r="E38" i="102"/>
  <c r="E37" i="102"/>
  <c r="E36" i="102"/>
  <c r="E35" i="102"/>
  <c r="E34" i="102"/>
  <c r="E33" i="102"/>
  <c r="E32" i="102"/>
  <c r="E31" i="102"/>
  <c r="E30" i="102"/>
  <c r="E29" i="102"/>
  <c r="E28" i="102"/>
  <c r="E27" i="102"/>
  <c r="E26" i="102"/>
  <c r="E25" i="102"/>
  <c r="E24" i="102"/>
  <c r="E23" i="102"/>
  <c r="E22" i="102"/>
  <c r="E21" i="102"/>
  <c r="E20" i="102"/>
  <c r="E19" i="102"/>
  <c r="E18" i="102"/>
  <c r="E17" i="102"/>
  <c r="E16" i="102"/>
  <c r="E15" i="102"/>
  <c r="E14" i="102"/>
  <c r="E12" i="102"/>
  <c r="E11" i="102"/>
  <c r="E10" i="102"/>
  <c r="E9" i="102"/>
  <c r="E8" i="102"/>
  <c r="E7" i="102"/>
  <c r="E5" i="102"/>
  <c r="E4" i="102"/>
  <c r="E3" i="102"/>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BF190" i="111"/>
  <c r="BE190" i="111"/>
  <c r="BD190" i="111"/>
  <c r="BC190" i="111"/>
  <c r="BB190" i="11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Q190" i="111"/>
  <c r="N190" i="11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BF188" i="111"/>
  <c r="BE188" i="111"/>
  <c r="BD188" i="111"/>
  <c r="BC188" i="111"/>
  <c r="BB188" i="11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O188" i="111"/>
  <c r="P188" i="111" s="1"/>
  <c r="Q188" i="111" s="1"/>
  <c r="N188" i="11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AL185" i="111"/>
  <c r="AK185" i="111"/>
  <c r="AJ185" i="111"/>
  <c r="AI185" i="111"/>
  <c r="AH185" i="111"/>
  <c r="J185" i="111" s="1"/>
  <c r="AG185" i="111"/>
  <c r="AF185" i="111"/>
  <c r="AE185" i="111"/>
  <c r="AD185" i="111"/>
  <c r="AC185" i="111"/>
  <c r="I185" i="111" s="1"/>
  <c r="AB185" i="111"/>
  <c r="AA185" i="111"/>
  <c r="Z185" i="111"/>
  <c r="Y185" i="111"/>
  <c r="X185" i="111"/>
  <c r="H185" i="111" s="1"/>
  <c r="G185" i="111" s="1"/>
  <c r="K185" i="11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BF183" i="111"/>
  <c r="BE183" i="111"/>
  <c r="BD183" i="111"/>
  <c r="BC183" i="111"/>
  <c r="BB183" i="11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O183" i="111"/>
  <c r="P183" i="111" s="1"/>
  <c r="Q183" i="111" s="1"/>
  <c r="N183" i="11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L178" i="11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BF168" i="111"/>
  <c r="BE168" i="111"/>
  <c r="BD168" i="111"/>
  <c r="BC168" i="111"/>
  <c r="BB168" i="11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O168" i="111"/>
  <c r="P168" i="111" s="1"/>
  <c r="Q168" i="111" s="1"/>
  <c r="N168" i="11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AL165" i="111"/>
  <c r="AK165" i="111"/>
  <c r="AJ165" i="111"/>
  <c r="AI165" i="111"/>
  <c r="AH165" i="111"/>
  <c r="J165" i="111" s="1"/>
  <c r="AG165" i="111"/>
  <c r="AF165" i="111"/>
  <c r="AE165" i="111"/>
  <c r="AD165" i="111"/>
  <c r="AC165" i="111"/>
  <c r="I165" i="111" s="1"/>
  <c r="AB165" i="111"/>
  <c r="AA165" i="111"/>
  <c r="Z165" i="111"/>
  <c r="Y165" i="111"/>
  <c r="X165" i="111"/>
  <c r="H165" i="111" s="1"/>
  <c r="G165" i="111" s="1"/>
  <c r="K165" i="111"/>
  <c r="BG164" i="111"/>
  <c r="BF164" i="111"/>
  <c r="BE164" i="111"/>
  <c r="BD164" i="111"/>
  <c r="BC164" i="111"/>
  <c r="BB164" i="11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O164" i="111"/>
  <c r="P164" i="111" s="1"/>
  <c r="Q164" i="111" s="1"/>
  <c r="N164" i="11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P143" i="111" s="1"/>
  <c r="Q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G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P141" i="111"/>
  <c r="Q141" i="111" s="1"/>
  <c r="BG140" i="11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O140" i="111"/>
  <c r="P140" i="111" s="1"/>
  <c r="Q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O132" i="111"/>
  <c r="P132" i="111" s="1"/>
  <c r="Q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P129" i="111" s="1"/>
  <c r="Q129" i="111" s="1"/>
  <c r="BP850" i="102" s="1"/>
  <c r="BF129" i="111"/>
  <c r="BE129" i="111"/>
  <c r="BD129" i="111"/>
  <c r="BC129" i="111"/>
  <c r="BB129" i="111"/>
  <c r="N129" i="111" s="1"/>
  <c r="BA129" i="111"/>
  <c r="AZ129" i="111"/>
  <c r="AY129" i="111"/>
  <c r="AX129" i="111"/>
  <c r="AW129" i="111"/>
  <c r="M129" i="111" s="1"/>
  <c r="BL850" i="102" s="1"/>
  <c r="AV129" i="111"/>
  <c r="AU129" i="111"/>
  <c r="AT129" i="111"/>
  <c r="AS129" i="111"/>
  <c r="AR129" i="111"/>
  <c r="L129" i="111" s="1"/>
  <c r="AQ129" i="111"/>
  <c r="AP129" i="111"/>
  <c r="AO129" i="111"/>
  <c r="AN129" i="111"/>
  <c r="AM129" i="111"/>
  <c r="K129" i="111" s="1"/>
  <c r="AL129" i="111"/>
  <c r="AK129" i="111"/>
  <c r="AJ129" i="111"/>
  <c r="AI129" i="111"/>
  <c r="AH129" i="111"/>
  <c r="J129" i="111" s="1"/>
  <c r="AG129" i="111"/>
  <c r="AF129" i="111"/>
  <c r="AE129" i="111"/>
  <c r="AD129" i="111"/>
  <c r="AC129" i="111"/>
  <c r="I129" i="111" s="1"/>
  <c r="BH850" i="102" s="1"/>
  <c r="AB129" i="111"/>
  <c r="AA129" i="111"/>
  <c r="Z129" i="111"/>
  <c r="Y129" i="111"/>
  <c r="X129" i="111"/>
  <c r="H129" i="111" s="1"/>
  <c r="G129" i="111"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O124" i="111"/>
  <c r="P124" i="111" s="1"/>
  <c r="Q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BF118" i="111"/>
  <c r="BE118" i="111"/>
  <c r="BD118" i="111"/>
  <c r="BC118" i="111"/>
  <c r="BB118" i="11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Q118" i="111"/>
  <c r="N118" i="11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AL116" i="111"/>
  <c r="AK116" i="111"/>
  <c r="AJ116" i="111"/>
  <c r="AI116" i="111"/>
  <c r="AH116" i="111"/>
  <c r="J116" i="111" s="1"/>
  <c r="AG116" i="111"/>
  <c r="AF116" i="111"/>
  <c r="AE116" i="111"/>
  <c r="AD116" i="111"/>
  <c r="AC116" i="111"/>
  <c r="I116" i="111" s="1"/>
  <c r="AB116" i="111"/>
  <c r="AA116" i="111"/>
  <c r="Z116" i="111"/>
  <c r="Y116" i="111"/>
  <c r="X116" i="111"/>
  <c r="H116" i="111" s="1"/>
  <c r="G116" i="111" s="1"/>
  <c r="K116" i="11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N111" i="11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AL110" i="111"/>
  <c r="AK110" i="111"/>
  <c r="AJ110" i="111"/>
  <c r="AI110" i="111"/>
  <c r="AH110" i="111"/>
  <c r="J110" i="111" s="1"/>
  <c r="AG110" i="111"/>
  <c r="AF110" i="111"/>
  <c r="AE110" i="111"/>
  <c r="AD110" i="111"/>
  <c r="AC110" i="111"/>
  <c r="I110" i="111" s="1"/>
  <c r="AB110" i="111"/>
  <c r="AA110" i="111"/>
  <c r="Z110" i="111"/>
  <c r="Y110" i="111"/>
  <c r="X110" i="111"/>
  <c r="H110" i="111" s="1"/>
  <c r="G110" i="111" s="1"/>
  <c r="K110" i="11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O107" i="111"/>
  <c r="P107" i="111" s="1"/>
  <c r="Q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O100" i="111"/>
  <c r="P100" i="111" s="1"/>
  <c r="Q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Q86" i="11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N79" i="111"/>
  <c r="BG78" i="111"/>
  <c r="O78" i="111" s="1"/>
  <c r="P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Q78" i="111"/>
  <c r="BG77" i="11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O77" i="111"/>
  <c r="P77" i="111" s="1"/>
  <c r="Q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AL76" i="111"/>
  <c r="AK76" i="111"/>
  <c r="AJ76" i="111"/>
  <c r="AI76" i="111"/>
  <c r="AH76" i="111"/>
  <c r="J76" i="111" s="1"/>
  <c r="AG76" i="111"/>
  <c r="AF76" i="111"/>
  <c r="AE76" i="111"/>
  <c r="AD76" i="111"/>
  <c r="AC76" i="111"/>
  <c r="I76" i="111" s="1"/>
  <c r="AB76" i="111"/>
  <c r="AA76" i="111"/>
  <c r="Z76" i="111"/>
  <c r="Y76" i="111"/>
  <c r="X76" i="111"/>
  <c r="H76" i="111" s="1"/>
  <c r="G76" i="111" s="1"/>
  <c r="K76" i="11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BF74" i="111"/>
  <c r="BE74" i="111"/>
  <c r="BD74" i="111"/>
  <c r="BC74" i="111"/>
  <c r="BB74" i="11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Q74" i="111"/>
  <c r="N74" i="11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AL63" i="111"/>
  <c r="AK63" i="111"/>
  <c r="AJ63" i="111"/>
  <c r="AI63" i="111"/>
  <c r="AH63" i="111"/>
  <c r="J63" i="111" s="1"/>
  <c r="AG63" i="111"/>
  <c r="AF63" i="111"/>
  <c r="AE63" i="111"/>
  <c r="AD63" i="111"/>
  <c r="AC63" i="111"/>
  <c r="I63" i="111" s="1"/>
  <c r="AB63" i="111"/>
  <c r="AA63" i="111"/>
  <c r="Z63" i="111"/>
  <c r="Y63" i="111"/>
  <c r="X63" i="111"/>
  <c r="H63" i="111" s="1"/>
  <c r="G63" i="111" s="1"/>
  <c r="K63" i="11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BP858" i="102"/>
  <c r="BO858" i="102"/>
  <c r="BN858" i="102"/>
  <c r="BM858" i="102"/>
  <c r="BL858" i="102"/>
  <c r="BK858" i="102"/>
  <c r="BJ858" i="102"/>
  <c r="BI858" i="102"/>
  <c r="BH858" i="102"/>
  <c r="BG858" i="102"/>
  <c r="BP857" i="102"/>
  <c r="BO857" i="102"/>
  <c r="BN857" i="102"/>
  <c r="BM857" i="102"/>
  <c r="BL857" i="102"/>
  <c r="BK857" i="102"/>
  <c r="BJ857" i="102"/>
  <c r="BI857" i="102"/>
  <c r="BH857" i="102"/>
  <c r="BG857" i="102"/>
  <c r="BF858" i="102"/>
  <c r="BF857" i="102"/>
  <c r="BP856" i="102"/>
  <c r="BO856" i="102"/>
  <c r="BN856" i="102"/>
  <c r="BM856" i="102"/>
  <c r="BL856" i="102"/>
  <c r="BK856" i="102"/>
  <c r="BJ856" i="102"/>
  <c r="BI856" i="102"/>
  <c r="BH856" i="102"/>
  <c r="BG856" i="102"/>
  <c r="BF856" i="102"/>
  <c r="BB24" i="102"/>
  <c r="BB15" i="102"/>
  <c r="BB14" i="102"/>
  <c r="Q15" i="111"/>
  <c r="P15" i="111"/>
  <c r="O15" i="111"/>
  <c r="N15" i="111"/>
  <c r="M15" i="111"/>
  <c r="L15" i="111"/>
  <c r="K15" i="111"/>
  <c r="J15" i="111"/>
  <c r="I15" i="111"/>
  <c r="H15" i="111"/>
  <c r="G15" i="111"/>
  <c r="Q14" i="111"/>
  <c r="P14" i="111"/>
  <c r="O14" i="111"/>
  <c r="N14" i="111"/>
  <c r="M14" i="111"/>
  <c r="L14" i="111"/>
  <c r="K14" i="111"/>
  <c r="J14" i="111"/>
  <c r="I14" i="111"/>
  <c r="H14" i="111"/>
  <c r="G14" i="111"/>
  <c r="Q13" i="111"/>
  <c r="P13" i="111"/>
  <c r="O13" i="111"/>
  <c r="N13" i="111"/>
  <c r="M13" i="111"/>
  <c r="L13" i="111"/>
  <c r="K13" i="111"/>
  <c r="J13" i="111"/>
  <c r="I13" i="111"/>
  <c r="H13" i="111"/>
  <c r="G13" i="111"/>
  <c r="Q12" i="111"/>
  <c r="P12" i="111"/>
  <c r="O12" i="111"/>
  <c r="N12" i="111"/>
  <c r="M12" i="111"/>
  <c r="L12" i="111"/>
  <c r="K12" i="111"/>
  <c r="J12" i="111"/>
  <c r="I12" i="111"/>
  <c r="H12" i="111"/>
  <c r="G12" i="111"/>
  <c r="Q11" i="111"/>
  <c r="P11" i="111"/>
  <c r="O11" i="111"/>
  <c r="N11" i="111"/>
  <c r="M11" i="111"/>
  <c r="L11" i="111"/>
  <c r="K11" i="111"/>
  <c r="J11" i="111"/>
  <c r="I11" i="111"/>
  <c r="H11" i="111"/>
  <c r="G11" i="111"/>
  <c r="Q10" i="111"/>
  <c r="P10" i="111"/>
  <c r="O10" i="111"/>
  <c r="M10" i="111"/>
  <c r="L10" i="111"/>
  <c r="K10" i="111"/>
  <c r="J10" i="111"/>
  <c r="I10" i="111"/>
  <c r="H10" i="111"/>
  <c r="G10" i="111"/>
  <c r="N10" i="11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366" i="109"/>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65" i="109"/>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S364" i="109"/>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63" i="109"/>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S362" i="109"/>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S361" i="109"/>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360" i="109"/>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359" i="109"/>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358" i="109"/>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BA357" i="109"/>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 r="AS357" i="109"/>
  <c r="AT357" i="109" s="1"/>
  <c r="AU357" i="109" s="1"/>
  <c r="AV357" i="109" s="1"/>
  <c r="AW357" i="109" s="1"/>
  <c r="AX357" i="109" s="1"/>
  <c r="AY357" i="109" s="1"/>
  <c r="AZ357" i="109" s="1"/>
  <c r="AY356" i="109"/>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356" i="109"/>
  <c r="AT356" i="109" s="1"/>
  <c r="AU356" i="109" s="1"/>
  <c r="AV356" i="109" s="1"/>
  <c r="AW356" i="109" s="1"/>
  <c r="AX356" i="109" s="1"/>
  <c r="AS355" i="109"/>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354" i="109"/>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353" i="109"/>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352" i="109"/>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S351" i="109"/>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350" i="109"/>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S349" i="109"/>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348" i="109"/>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347" i="109"/>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S346" i="109"/>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345" i="109"/>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344" i="109"/>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S343" i="109"/>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342" i="109"/>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S341" i="109"/>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S340" i="109"/>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339" i="109"/>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T334" i="109"/>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S334" i="109"/>
  <c r="AS333" i="109"/>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BK332" i="109"/>
  <c r="BL332" i="109" s="1"/>
  <c r="BM332" i="109" s="1"/>
  <c r="BN332" i="109" s="1"/>
  <c r="BO332" i="109" s="1"/>
  <c r="BP332" i="109" s="1"/>
  <c r="BQ332" i="109" s="1"/>
  <c r="BR332" i="109" s="1"/>
  <c r="BS332" i="109" s="1"/>
  <c r="BT332" i="109" s="1"/>
  <c r="BU332" i="109" s="1"/>
  <c r="BV332" i="109" s="1"/>
  <c r="AU332" i="109"/>
  <c r="AV332" i="109" s="1"/>
  <c r="AW332" i="109" s="1"/>
  <c r="AX332" i="109" s="1"/>
  <c r="AY332" i="109" s="1"/>
  <c r="AZ332" i="109" s="1"/>
  <c r="BA332" i="109" s="1"/>
  <c r="BB332" i="109" s="1"/>
  <c r="BC332" i="109" s="1"/>
  <c r="BD332" i="109" s="1"/>
  <c r="BE332" i="109" s="1"/>
  <c r="BF332" i="109" s="1"/>
  <c r="BG332" i="109" s="1"/>
  <c r="BH332" i="109" s="1"/>
  <c r="BI332" i="109" s="1"/>
  <c r="BJ332" i="109" s="1"/>
  <c r="AT332" i="109"/>
  <c r="AS332" i="109"/>
  <c r="AV331" i="109"/>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S331" i="109"/>
  <c r="AT331" i="109" s="1"/>
  <c r="AU331" i="109" s="1"/>
  <c r="BB330" i="109"/>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T330" i="109"/>
  <c r="AU330" i="109" s="1"/>
  <c r="AV330" i="109" s="1"/>
  <c r="AW330" i="109" s="1"/>
  <c r="AX330" i="109" s="1"/>
  <c r="AY330" i="109" s="1"/>
  <c r="AZ330" i="109" s="1"/>
  <c r="BA330" i="109" s="1"/>
  <c r="AS330" i="109"/>
  <c r="AS329" i="109"/>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BG328" i="109"/>
  <c r="BH328" i="109" s="1"/>
  <c r="BI328" i="109" s="1"/>
  <c r="BJ328" i="109" s="1"/>
  <c r="BK328" i="109" s="1"/>
  <c r="BL328" i="109" s="1"/>
  <c r="BM328" i="109" s="1"/>
  <c r="BN328" i="109" s="1"/>
  <c r="BO328" i="109" s="1"/>
  <c r="BP328" i="109" s="1"/>
  <c r="BQ328" i="109" s="1"/>
  <c r="BR328" i="109" s="1"/>
  <c r="BS328" i="109" s="1"/>
  <c r="BT328" i="109" s="1"/>
  <c r="BU328" i="109" s="1"/>
  <c r="BV328" i="109" s="1"/>
  <c r="AU328" i="109"/>
  <c r="AV328" i="109" s="1"/>
  <c r="AW328" i="109" s="1"/>
  <c r="AX328" i="109" s="1"/>
  <c r="AY328" i="109" s="1"/>
  <c r="AZ328" i="109" s="1"/>
  <c r="BA328" i="109" s="1"/>
  <c r="BB328" i="109" s="1"/>
  <c r="BC328" i="109" s="1"/>
  <c r="BD328" i="109" s="1"/>
  <c r="BE328" i="109" s="1"/>
  <c r="BF328" i="109" s="1"/>
  <c r="AT328" i="109"/>
  <c r="AS328" i="109"/>
  <c r="AV327" i="109"/>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S327" i="109"/>
  <c r="AT327" i="109" s="1"/>
  <c r="AU327" i="109" s="1"/>
  <c r="AT326" i="109"/>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S326" i="109"/>
  <c r="BU325" i="109"/>
  <c r="BV325"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AT324" i="109"/>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S324" i="109"/>
  <c r="AS323" i="109"/>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S322" i="109"/>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BQ321" i="109"/>
  <c r="BR321" i="109" s="1"/>
  <c r="BS321" i="109" s="1"/>
  <c r="BT321" i="109" s="1"/>
  <c r="BU321" i="109" s="1"/>
  <c r="BV321" i="109" s="1"/>
  <c r="BA321" i="109"/>
  <c r="BB321" i="109" s="1"/>
  <c r="BC321" i="109" s="1"/>
  <c r="BD321" i="109" s="1"/>
  <c r="BE321" i="109" s="1"/>
  <c r="BF321" i="109" s="1"/>
  <c r="BG321" i="109" s="1"/>
  <c r="BH321" i="109" s="1"/>
  <c r="BI321" i="109" s="1"/>
  <c r="BJ321" i="109" s="1"/>
  <c r="BK321" i="109" s="1"/>
  <c r="BL321" i="109" s="1"/>
  <c r="BM321" i="109" s="1"/>
  <c r="BN321" i="109" s="1"/>
  <c r="BO321" i="109" s="1"/>
  <c r="BP321" i="109" s="1"/>
  <c r="AS321" i="109"/>
  <c r="AT321" i="109" s="1"/>
  <c r="AU321" i="109" s="1"/>
  <c r="AV321" i="109" s="1"/>
  <c r="AW321" i="109" s="1"/>
  <c r="AX321" i="109" s="1"/>
  <c r="AY321" i="109" s="1"/>
  <c r="AZ321" i="109" s="1"/>
  <c r="BI320" i="109"/>
  <c r="BJ320" i="109" s="1"/>
  <c r="BK320" i="109" s="1"/>
  <c r="BL320" i="109" s="1"/>
  <c r="BM320" i="109" s="1"/>
  <c r="BN320" i="109" s="1"/>
  <c r="BO320" i="109" s="1"/>
  <c r="BP320" i="109" s="1"/>
  <c r="BQ320" i="109" s="1"/>
  <c r="BR320" i="109" s="1"/>
  <c r="BS320" i="109" s="1"/>
  <c r="BT320" i="109" s="1"/>
  <c r="BU320" i="109" s="1"/>
  <c r="BV320" i="109" s="1"/>
  <c r="BA320" i="109"/>
  <c r="BB320" i="109" s="1"/>
  <c r="BC320" i="109" s="1"/>
  <c r="BD320" i="109" s="1"/>
  <c r="BE320" i="109" s="1"/>
  <c r="BF320" i="109" s="1"/>
  <c r="BG320" i="109" s="1"/>
  <c r="BH320" i="109" s="1"/>
  <c r="AS320" i="109"/>
  <c r="AT320" i="109" s="1"/>
  <c r="AU320" i="109" s="1"/>
  <c r="AV320" i="109" s="1"/>
  <c r="AW320" i="109" s="1"/>
  <c r="AX320" i="109" s="1"/>
  <c r="AY320" i="109" s="1"/>
  <c r="AZ320" i="109" s="1"/>
  <c r="BG319" i="109"/>
  <c r="BH319" i="109" s="1"/>
  <c r="BI319" i="109" s="1"/>
  <c r="BJ319" i="109" s="1"/>
  <c r="BK319" i="109" s="1"/>
  <c r="BL319" i="109" s="1"/>
  <c r="BM319" i="109" s="1"/>
  <c r="BN319" i="109" s="1"/>
  <c r="BO319" i="109" s="1"/>
  <c r="BP319" i="109" s="1"/>
  <c r="BQ319" i="109" s="1"/>
  <c r="BR319" i="109" s="1"/>
  <c r="BS319" i="109" s="1"/>
  <c r="BT319" i="109" s="1"/>
  <c r="BU319" i="109" s="1"/>
  <c r="BV319" i="109" s="1"/>
  <c r="AY319" i="109"/>
  <c r="AZ319" i="109" s="1"/>
  <c r="BA319" i="109" s="1"/>
  <c r="BB319" i="109" s="1"/>
  <c r="BC319" i="109" s="1"/>
  <c r="BD319" i="109" s="1"/>
  <c r="BE319" i="109" s="1"/>
  <c r="BF319" i="109" s="1"/>
  <c r="AU319" i="109"/>
  <c r="AV319" i="109" s="1"/>
  <c r="AW319" i="109" s="1"/>
  <c r="AX319" i="109" s="1"/>
  <c r="AS319" i="109"/>
  <c r="AT319" i="109" s="1"/>
  <c r="AS318" i="109"/>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T317" i="109"/>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S317" i="109"/>
  <c r="AX316" i="109"/>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T316" i="109"/>
  <c r="AU316" i="109" s="1"/>
  <c r="AV316" i="109" s="1"/>
  <c r="AW316" i="109" s="1"/>
  <c r="AS316" i="109"/>
  <c r="AZ315" i="109"/>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V315" i="109"/>
  <c r="AW315" i="109" s="1"/>
  <c r="AX315" i="109" s="1"/>
  <c r="AY315" i="109" s="1"/>
  <c r="AT315" i="109"/>
  <c r="AU315" i="109" s="1"/>
  <c r="AS315" i="109"/>
  <c r="BF314" i="109"/>
  <c r="BG314" i="109" s="1"/>
  <c r="BH314" i="109" s="1"/>
  <c r="BI314" i="109" s="1"/>
  <c r="BJ314" i="109" s="1"/>
  <c r="BK314" i="109" s="1"/>
  <c r="BL314" i="109" s="1"/>
  <c r="BM314" i="109" s="1"/>
  <c r="BN314" i="109" s="1"/>
  <c r="BO314" i="109" s="1"/>
  <c r="BP314" i="109" s="1"/>
  <c r="BQ314" i="109" s="1"/>
  <c r="BR314" i="109" s="1"/>
  <c r="BS314" i="109" s="1"/>
  <c r="BT314" i="109" s="1"/>
  <c r="BU314" i="109" s="1"/>
  <c r="BV314" i="109" s="1"/>
  <c r="BB314" i="109"/>
  <c r="BC314" i="109" s="1"/>
  <c r="BD314" i="109" s="1"/>
  <c r="BE314" i="109" s="1"/>
  <c r="AX314" i="109"/>
  <c r="AY314" i="109" s="1"/>
  <c r="AZ314" i="109" s="1"/>
  <c r="BA314" i="109" s="1"/>
  <c r="AT314" i="109"/>
  <c r="AU314" i="109" s="1"/>
  <c r="AV314" i="109" s="1"/>
  <c r="AW314" i="109" s="1"/>
  <c r="AS314" i="109"/>
  <c r="AT313" i="109"/>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S313" i="109"/>
  <c r="AX312" i="109"/>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T312" i="109"/>
  <c r="AU312" i="109" s="1"/>
  <c r="AV312" i="109" s="1"/>
  <c r="AW312" i="109" s="1"/>
  <c r="AS312" i="109"/>
  <c r="AZ311" i="109"/>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V311" i="109"/>
  <c r="AW311" i="109" s="1"/>
  <c r="AX311" i="109" s="1"/>
  <c r="AY311" i="109" s="1"/>
  <c r="AT311" i="109"/>
  <c r="AU311" i="109" s="1"/>
  <c r="AS311" i="109"/>
  <c r="BF310" i="109"/>
  <c r="BG310" i="109" s="1"/>
  <c r="BH310" i="109" s="1"/>
  <c r="BI310" i="109" s="1"/>
  <c r="BJ310" i="109" s="1"/>
  <c r="BK310" i="109" s="1"/>
  <c r="BL310" i="109" s="1"/>
  <c r="BM310" i="109" s="1"/>
  <c r="BN310" i="109" s="1"/>
  <c r="BO310" i="109" s="1"/>
  <c r="BP310" i="109" s="1"/>
  <c r="BQ310" i="109" s="1"/>
  <c r="BR310" i="109" s="1"/>
  <c r="BS310" i="109" s="1"/>
  <c r="BT310" i="109" s="1"/>
  <c r="BU310" i="109" s="1"/>
  <c r="BV310" i="109" s="1"/>
  <c r="BB310" i="109"/>
  <c r="BC310" i="109" s="1"/>
  <c r="BD310" i="109" s="1"/>
  <c r="BE310" i="109" s="1"/>
  <c r="AX310" i="109"/>
  <c r="AY310" i="109" s="1"/>
  <c r="AZ310" i="109" s="1"/>
  <c r="BA310" i="109" s="1"/>
  <c r="AT310" i="109"/>
  <c r="AU310" i="109" s="1"/>
  <c r="AV310" i="109" s="1"/>
  <c r="AW310" i="109" s="1"/>
  <c r="AS310" i="109"/>
  <c r="AT309" i="109"/>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S309" i="109"/>
  <c r="AV308" i="109"/>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T308" i="109"/>
  <c r="AU308" i="109" s="1"/>
  <c r="AS308" i="109"/>
  <c r="AV307" i="109"/>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T307" i="109"/>
  <c r="AU307" i="109" s="1"/>
  <c r="AS307" i="109"/>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301" i="109"/>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S299" i="109"/>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S298" i="109"/>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W294" i="109"/>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S294" i="109"/>
  <c r="AT294" i="109" s="1"/>
  <c r="AU294" i="109" s="1"/>
  <c r="AV294" i="109" s="1"/>
  <c r="BC293" i="109"/>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U293" i="109"/>
  <c r="AV293" i="109" s="1"/>
  <c r="AW293" i="109" s="1"/>
  <c r="AX293" i="109" s="1"/>
  <c r="AY293" i="109" s="1"/>
  <c r="AZ293" i="109" s="1"/>
  <c r="BA293" i="109" s="1"/>
  <c r="BB293" i="109" s="1"/>
  <c r="AS293" i="109"/>
  <c r="AT293"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T291" i="109"/>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S291" i="109"/>
  <c r="AV290" i="109"/>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T290" i="109"/>
  <c r="AU290" i="109" s="1"/>
  <c r="AS290" i="109"/>
  <c r="AT289" i="109"/>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S289" i="109"/>
  <c r="AV288" i="109"/>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T288" i="109"/>
  <c r="AU288" i="109" s="1"/>
  <c r="AS288" i="109"/>
  <c r="AT287" i="109"/>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S287" i="109"/>
  <c r="AV286" i="109"/>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T286" i="109"/>
  <c r="AU286" i="109" s="1"/>
  <c r="AS286" i="109"/>
  <c r="AT285" i="109"/>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S285" i="109"/>
  <c r="AU284" i="109"/>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S284" i="109"/>
  <c r="AT284" i="109" s="1"/>
  <c r="AT283" i="109"/>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S283" i="109"/>
  <c r="AT282" i="109"/>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S282" i="109"/>
  <c r="AX281" i="109"/>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T281" i="109"/>
  <c r="AU281" i="109" s="1"/>
  <c r="AV281" i="109" s="1"/>
  <c r="AW281" i="109" s="1"/>
  <c r="AS281" i="109"/>
  <c r="AT280" i="109"/>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S280" i="109"/>
  <c r="AT279" i="109"/>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S279" i="109"/>
  <c r="AT278" i="109"/>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S278" i="109"/>
  <c r="AX277" i="109"/>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T277" i="109"/>
  <c r="AU277" i="109" s="1"/>
  <c r="AV277" i="109" s="1"/>
  <c r="AW277" i="109" s="1"/>
  <c r="AS277" i="109"/>
  <c r="AT276" i="109"/>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S276" i="109"/>
  <c r="AT275" i="109"/>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S275" i="109"/>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BU265" i="109"/>
  <c r="BV265"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AU264" i="109"/>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4" i="109"/>
  <c r="AT264" i="109" s="1"/>
  <c r="BA263" i="109"/>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S263" i="109"/>
  <c r="AT263" i="109" s="1"/>
  <c r="AU263" i="109" s="1"/>
  <c r="AV263" i="109" s="1"/>
  <c r="AW263" i="109" s="1"/>
  <c r="AX263" i="109" s="1"/>
  <c r="AY263" i="109" s="1"/>
  <c r="AZ263" i="109" s="1"/>
  <c r="AY262" i="109"/>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U262" i="109"/>
  <c r="AV262" i="109" s="1"/>
  <c r="AW262" i="109" s="1"/>
  <c r="AX262" i="109" s="1"/>
  <c r="AS262" i="109"/>
  <c r="AT262" i="109" s="1"/>
  <c r="AW261" i="109"/>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1" i="109"/>
  <c r="AT261" i="109" s="1"/>
  <c r="AU261" i="109" s="1"/>
  <c r="AV261" i="109" s="1"/>
  <c r="BS260" i="109"/>
  <c r="BT260" i="109" s="1"/>
  <c r="BU260" i="109" s="1"/>
  <c r="BV260" i="109" s="1"/>
  <c r="BC260" i="109"/>
  <c r="BD260" i="109" s="1"/>
  <c r="BE260" i="109" s="1"/>
  <c r="BF260" i="109" s="1"/>
  <c r="BG260" i="109" s="1"/>
  <c r="BH260" i="109" s="1"/>
  <c r="BI260" i="109" s="1"/>
  <c r="BJ260" i="109" s="1"/>
  <c r="BK260" i="109" s="1"/>
  <c r="BL260" i="109" s="1"/>
  <c r="BM260" i="109" s="1"/>
  <c r="BN260" i="109" s="1"/>
  <c r="BO260" i="109" s="1"/>
  <c r="BP260" i="109" s="1"/>
  <c r="BQ260" i="109" s="1"/>
  <c r="BR260" i="109" s="1"/>
  <c r="AU260" i="109"/>
  <c r="AV260" i="109" s="1"/>
  <c r="AW260" i="109" s="1"/>
  <c r="AX260" i="109" s="1"/>
  <c r="AY260" i="109" s="1"/>
  <c r="AZ260" i="109" s="1"/>
  <c r="BA260" i="109" s="1"/>
  <c r="BB260" i="109" s="1"/>
  <c r="AS260" i="109"/>
  <c r="AT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U259" i="109"/>
  <c r="AV259" i="109" s="1"/>
  <c r="AW259" i="109" s="1"/>
  <c r="AX259" i="109" s="1"/>
  <c r="AY259" i="109" s="1"/>
  <c r="AZ259" i="109" s="1"/>
  <c r="BA259" i="109" s="1"/>
  <c r="BB259" i="109" s="1"/>
  <c r="AS259" i="109"/>
  <c r="AT259" i="109" s="1"/>
  <c r="BE258" i="109"/>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W258" i="109"/>
  <c r="AX258" i="109" s="1"/>
  <c r="AY258" i="109" s="1"/>
  <c r="AZ258" i="109" s="1"/>
  <c r="BA258" i="109" s="1"/>
  <c r="BB258" i="109" s="1"/>
  <c r="BC258" i="109" s="1"/>
  <c r="BD258" i="109" s="1"/>
  <c r="AS258" i="109"/>
  <c r="AT258" i="109" s="1"/>
  <c r="AU258" i="109" s="1"/>
  <c r="AV258" i="109" s="1"/>
  <c r="BC257" i="109"/>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U257" i="109"/>
  <c r="AV257" i="109" s="1"/>
  <c r="AW257" i="109" s="1"/>
  <c r="AX257" i="109" s="1"/>
  <c r="AY257" i="109" s="1"/>
  <c r="AZ257" i="109" s="1"/>
  <c r="BA257" i="109" s="1"/>
  <c r="BB257" i="109" s="1"/>
  <c r="AS257" i="109"/>
  <c r="AT257" i="109" s="1"/>
  <c r="AU256" i="109"/>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6" i="109"/>
  <c r="AT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W253" i="109"/>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S253" i="109"/>
  <c r="AT253" i="109" s="1"/>
  <c r="AU253" i="109" s="1"/>
  <c r="A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W251" i="109"/>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S251" i="109"/>
  <c r="AT251" i="109" s="1"/>
  <c r="AU251" i="109" s="1"/>
  <c r="A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W249" i="109"/>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S249" i="109"/>
  <c r="AT249" i="109" s="1"/>
  <c r="AU249" i="109" s="1"/>
  <c r="A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W247" i="109"/>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S247" i="109"/>
  <c r="AT247" i="109" s="1"/>
  <c r="AU247" i="109" s="1"/>
  <c r="A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W245" i="109"/>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S245" i="109"/>
  <c r="AT245" i="109" s="1"/>
  <c r="AU245" i="109" s="1"/>
  <c r="A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V225" i="109"/>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S225" i="109"/>
  <c r="AT225" i="109" s="1"/>
  <c r="AU225" i="109" s="1"/>
  <c r="AX224" i="109"/>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T224" i="109"/>
  <c r="AU224" i="109" s="1"/>
  <c r="AV224" i="109" s="1"/>
  <c r="AW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T222" i="109"/>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2" i="109"/>
  <c r="AV221" i="109"/>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S221" i="109"/>
  <c r="AT221" i="109" s="1"/>
  <c r="AU221" i="109" s="1"/>
  <c r="BB220" i="109"/>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T220" i="109"/>
  <c r="AU220" i="109" s="1"/>
  <c r="AV220" i="109" s="1"/>
  <c r="AW220" i="109" s="1"/>
  <c r="AX220" i="109" s="1"/>
  <c r="AY220" i="109" s="1"/>
  <c r="AZ220" i="109" s="1"/>
  <c r="BA220" i="109" s="1"/>
  <c r="AS220" i="109"/>
  <c r="AX219" i="109"/>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T219" i="109"/>
  <c r="AU219" i="109" s="1"/>
  <c r="AV219" i="109" s="1"/>
  <c r="AW219" i="109" s="1"/>
  <c r="AS219" i="109"/>
  <c r="AT218" i="109"/>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S218" i="109"/>
  <c r="AX217" i="109"/>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T217" i="109"/>
  <c r="AU217" i="109" s="1"/>
  <c r="AV217" i="109" s="1"/>
  <c r="AW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X215" i="109"/>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5" i="109"/>
  <c r="AU215" i="109" s="1"/>
  <c r="AV215" i="109" s="1"/>
  <c r="AW215" i="109" s="1"/>
  <c r="AS215" i="109"/>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X213" i="109"/>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3" i="109"/>
  <c r="AU213" i="109" s="1"/>
  <c r="AV213" i="109" s="1"/>
  <c r="AW213" i="109" s="1"/>
  <c r="AS213" i="109"/>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X211" i="109"/>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T211" i="109"/>
  <c r="AU211" i="109" s="1"/>
  <c r="AV211" i="109" s="1"/>
  <c r="AW211" i="109" s="1"/>
  <c r="AS211" i="109"/>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X186" i="109" s="1"/>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AT185" i="109"/>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5" i="109"/>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Y183" i="109"/>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U183" i="109"/>
  <c r="AV183" i="109" s="1"/>
  <c r="AW183" i="109" s="1"/>
  <c r="AX183" i="109" s="1"/>
  <c r="AT183" i="109"/>
  <c r="AS183" i="109"/>
  <c r="AW182" i="109"/>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S182" i="109"/>
  <c r="AT182" i="109" s="1"/>
  <c r="AU182" i="109" s="1"/>
  <c r="A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T181" i="109"/>
  <c r="AS181" i="109"/>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BG179" i="109"/>
  <c r="BH179" i="109" s="1"/>
  <c r="BI179" i="109" s="1"/>
  <c r="BJ179" i="109" s="1"/>
  <c r="BK179" i="109" s="1"/>
  <c r="BL179" i="109" s="1"/>
  <c r="BM179" i="109" s="1"/>
  <c r="BN179" i="109" s="1"/>
  <c r="BO179" i="109" s="1"/>
  <c r="BP179" i="109" s="1"/>
  <c r="BQ179" i="109" s="1"/>
  <c r="BR179" i="109" s="1"/>
  <c r="BS179" i="109" s="1"/>
  <c r="BT179" i="109" s="1"/>
  <c r="BU179" i="109" s="1"/>
  <c r="BV179" i="109" s="1"/>
  <c r="AY179" i="109"/>
  <c r="AZ179" i="109" s="1"/>
  <c r="BA179" i="109" s="1"/>
  <c r="BB179" i="109" s="1"/>
  <c r="BC179" i="109" s="1"/>
  <c r="BD179" i="109" s="1"/>
  <c r="BE179" i="109" s="1"/>
  <c r="BF179" i="109" s="1"/>
  <c r="AU179" i="109"/>
  <c r="AV179" i="109" s="1"/>
  <c r="AW179" i="109" s="1"/>
  <c r="AX179" i="109" s="1"/>
  <c r="AT179" i="109"/>
  <c r="AS179" i="109"/>
  <c r="AW178" i="109"/>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S178" i="109"/>
  <c r="AT178" i="109" s="1"/>
  <c r="AU178" i="109" s="1"/>
  <c r="AV178" i="109" s="1"/>
  <c r="AT177" i="109"/>
  <c r="AU177" i="109" s="1"/>
  <c r="AV177" i="109" s="1"/>
  <c r="AW177" i="109" s="1"/>
  <c r="AX177" i="109" s="1"/>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AS177" i="109"/>
  <c r="BA176" i="109"/>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6" i="109"/>
  <c r="AT176" i="109" s="1"/>
  <c r="AU176" i="109" s="1"/>
  <c r="AV176" i="109" s="1"/>
  <c r="AW176" i="109" s="1"/>
  <c r="AX176" i="109" s="1"/>
  <c r="AY176" i="109" s="1"/>
  <c r="AZ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W147" i="109"/>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AS147" i="109"/>
  <c r="AT147" i="109" s="1"/>
  <c r="AU147" i="109" s="1"/>
  <c r="A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U146" i="109"/>
  <c r="AV146" i="109" s="1"/>
  <c r="AW146" i="109" s="1"/>
  <c r="AX146" i="109" s="1"/>
  <c r="AY146" i="109" s="1"/>
  <c r="AZ146" i="109" s="1"/>
  <c r="BA146" i="109" s="1"/>
  <c r="BB146" i="109" s="1"/>
  <c r="AS146" i="109"/>
  <c r="AT146" i="109" s="1"/>
  <c r="AT145" i="109"/>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5" i="109"/>
  <c r="AZ144" i="109"/>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S144" i="109"/>
  <c r="AT144" i="109" s="1"/>
  <c r="AU144" i="109" s="1"/>
  <c r="AV144" i="109" s="1"/>
  <c r="AW144" i="109" s="1"/>
  <c r="AX144" i="109" s="1"/>
  <c r="AY144" i="109" s="1"/>
  <c r="AX143" i="109"/>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T143" i="109"/>
  <c r="AU143" i="109" s="1"/>
  <c r="AV143" i="109" s="1"/>
  <c r="AW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X141" i="109"/>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1" i="109"/>
  <c r="AU141" i="109" s="1"/>
  <c r="AV141" i="109" s="1"/>
  <c r="AW141" i="109" s="1"/>
  <c r="AS141" i="109"/>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X139" i="109"/>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9" i="109"/>
  <c r="AU139" i="109" s="1"/>
  <c r="AV139" i="109" s="1"/>
  <c r="AW139" i="109" s="1"/>
  <c r="AS139" i="109"/>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BV137" i="109"/>
  <c r="BF137" i="109"/>
  <c r="BG137" i="109" s="1"/>
  <c r="BH137" i="109" s="1"/>
  <c r="BI137" i="109" s="1"/>
  <c r="BJ137" i="109" s="1"/>
  <c r="BK137" i="109" s="1"/>
  <c r="BL137" i="109" s="1"/>
  <c r="BM137" i="109" s="1"/>
  <c r="BN137" i="109" s="1"/>
  <c r="BO137" i="109" s="1"/>
  <c r="BP137" i="109" s="1"/>
  <c r="BQ137" i="109" s="1"/>
  <c r="BR137" i="109" s="1"/>
  <c r="BS137" i="109" s="1"/>
  <c r="BT137" i="109" s="1"/>
  <c r="BU137" i="109" s="1"/>
  <c r="AX137" i="109"/>
  <c r="AY137" i="109" s="1"/>
  <c r="AZ137" i="109" s="1"/>
  <c r="BA137" i="109" s="1"/>
  <c r="BB137" i="109" s="1"/>
  <c r="BC137" i="109" s="1"/>
  <c r="BD137" i="109" s="1"/>
  <c r="BE137" i="109" s="1"/>
  <c r="AT137" i="109"/>
  <c r="AU137" i="109" s="1"/>
  <c r="AV137" i="109" s="1"/>
  <c r="AW137" i="109" s="1"/>
  <c r="AS137" i="109"/>
  <c r="BL136" i="109"/>
  <c r="BM136" i="109" s="1"/>
  <c r="BN136" i="109" s="1"/>
  <c r="BO136" i="109" s="1"/>
  <c r="BP136" i="109" s="1"/>
  <c r="BQ136" i="109" s="1"/>
  <c r="BR136" i="109" s="1"/>
  <c r="BS136" i="109" s="1"/>
  <c r="BT136" i="109" s="1"/>
  <c r="BU136" i="109" s="1"/>
  <c r="BV136" i="109" s="1"/>
  <c r="BD136" i="109"/>
  <c r="BE136" i="109" s="1"/>
  <c r="BF136" i="109" s="1"/>
  <c r="BG136" i="109" s="1"/>
  <c r="BH136" i="109" s="1"/>
  <c r="BI136" i="109" s="1"/>
  <c r="BJ136" i="109" s="1"/>
  <c r="BK136" i="109" s="1"/>
  <c r="AV136" i="109"/>
  <c r="AW136" i="109" s="1"/>
  <c r="AX136" i="109" s="1"/>
  <c r="AY136" i="109" s="1"/>
  <c r="AZ136" i="109" s="1"/>
  <c r="BA136" i="109" s="1"/>
  <c r="BB136" i="109" s="1"/>
  <c r="BC136" i="109" s="1"/>
  <c r="AT136" i="109"/>
  <c r="AU136" i="109" s="1"/>
  <c r="AS136" i="109"/>
  <c r="BG135" i="109"/>
  <c r="BH135" i="109" s="1"/>
  <c r="BI135" i="109" s="1"/>
  <c r="BJ135" i="109" s="1"/>
  <c r="BK135" i="109" s="1"/>
  <c r="BL135" i="109" s="1"/>
  <c r="BM135" i="109" s="1"/>
  <c r="BN135" i="109" s="1"/>
  <c r="BO135" i="109" s="1"/>
  <c r="BP135" i="109" s="1"/>
  <c r="BQ135" i="109" s="1"/>
  <c r="BR135" i="109" s="1"/>
  <c r="BS135" i="109" s="1"/>
  <c r="BT135" i="109" s="1"/>
  <c r="BU135" i="109" s="1"/>
  <c r="BV135" i="109" s="1"/>
  <c r="BB135" i="109"/>
  <c r="BC135" i="109" s="1"/>
  <c r="BD135" i="109" s="1"/>
  <c r="BE135" i="109" s="1"/>
  <c r="BF135" i="109" s="1"/>
  <c r="AX135" i="109"/>
  <c r="AY135" i="109" s="1"/>
  <c r="AZ135" i="109" s="1"/>
  <c r="BA135" i="109" s="1"/>
  <c r="AT135" i="109"/>
  <c r="AU135" i="109" s="1"/>
  <c r="AV135" i="109" s="1"/>
  <c r="AW135" i="109" s="1"/>
  <c r="AS135" i="109"/>
  <c r="AT134" i="109"/>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S134" i="109"/>
  <c r="AX133" i="109"/>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T133" i="109"/>
  <c r="AU133" i="109" s="1"/>
  <c r="AV133" i="109" s="1"/>
  <c r="AW133" i="109" s="1"/>
  <c r="AS133" i="109"/>
  <c r="AZ132" i="109"/>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V132" i="109"/>
  <c r="AW132" i="109" s="1"/>
  <c r="AX132" i="109" s="1"/>
  <c r="AY132" i="109" s="1"/>
  <c r="AT132" i="109"/>
  <c r="AU132" i="109" s="1"/>
  <c r="AS132" i="109"/>
  <c r="BF131" i="109"/>
  <c r="BG131" i="109" s="1"/>
  <c r="BH131" i="109" s="1"/>
  <c r="BI131" i="109" s="1"/>
  <c r="BJ131" i="109" s="1"/>
  <c r="BK131" i="109" s="1"/>
  <c r="BL131" i="109" s="1"/>
  <c r="BM131" i="109" s="1"/>
  <c r="BN131" i="109" s="1"/>
  <c r="BO131" i="109" s="1"/>
  <c r="BP131" i="109" s="1"/>
  <c r="BQ131" i="109" s="1"/>
  <c r="BR131" i="109" s="1"/>
  <c r="BS131" i="109" s="1"/>
  <c r="BT131" i="109" s="1"/>
  <c r="BU131" i="109" s="1"/>
  <c r="BV131" i="109" s="1"/>
  <c r="BB131" i="109"/>
  <c r="BC131" i="109" s="1"/>
  <c r="BD131" i="109" s="1"/>
  <c r="BE131" i="109" s="1"/>
  <c r="AX131" i="109"/>
  <c r="AY131" i="109" s="1"/>
  <c r="AZ131" i="109" s="1"/>
  <c r="BA131" i="109" s="1"/>
  <c r="AT131" i="109"/>
  <c r="AU131" i="109" s="1"/>
  <c r="AV131" i="109" s="1"/>
  <c r="AW131" i="109" s="1"/>
  <c r="AS131" i="109"/>
  <c r="AT130" i="109"/>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S130" i="109"/>
  <c r="AX129" i="109"/>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T129" i="109"/>
  <c r="AU129" i="109" s="1"/>
  <c r="AV129" i="109" s="1"/>
  <c r="AW129" i="109" s="1"/>
  <c r="AS129" i="109"/>
  <c r="AZ128" i="109"/>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V128" i="109"/>
  <c r="AW128" i="109" s="1"/>
  <c r="AX128" i="109" s="1"/>
  <c r="AY128" i="109" s="1"/>
  <c r="AT128" i="109"/>
  <c r="AU128" i="109" s="1"/>
  <c r="AS128" i="109"/>
  <c r="BF127" i="109"/>
  <c r="BG127" i="109" s="1"/>
  <c r="BH127" i="109" s="1"/>
  <c r="BI127" i="109" s="1"/>
  <c r="BJ127" i="109" s="1"/>
  <c r="BK127" i="109" s="1"/>
  <c r="BL127" i="109" s="1"/>
  <c r="BM127" i="109" s="1"/>
  <c r="BN127" i="109" s="1"/>
  <c r="BO127" i="109" s="1"/>
  <c r="BP127" i="109" s="1"/>
  <c r="BQ127" i="109" s="1"/>
  <c r="BR127" i="109" s="1"/>
  <c r="BS127" i="109" s="1"/>
  <c r="BT127" i="109" s="1"/>
  <c r="BU127" i="109" s="1"/>
  <c r="BV127" i="109" s="1"/>
  <c r="BB127" i="109"/>
  <c r="BC127" i="109" s="1"/>
  <c r="BD127" i="109" s="1"/>
  <c r="BE127" i="109" s="1"/>
  <c r="AX127" i="109"/>
  <c r="AY127" i="109" s="1"/>
  <c r="AZ127" i="109" s="1"/>
  <c r="BA127" i="109" s="1"/>
  <c r="AT127" i="109"/>
  <c r="AU127" i="109" s="1"/>
  <c r="AV127" i="109" s="1"/>
  <c r="AW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U107" i="109"/>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T107" i="109"/>
  <c r="AS107" i="109"/>
  <c r="AT106" i="109"/>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6" i="109"/>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W58" i="109"/>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8" i="109"/>
  <c r="AT58" i="109" s="1"/>
  <c r="AU58" i="109" s="1"/>
  <c r="A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8" i="109"/>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S47" i="109"/>
  <c r="AS46" i="109"/>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T10" i="109"/>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10" i="109"/>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T8" i="109"/>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8" i="109"/>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T6" i="109"/>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6" i="109"/>
  <c r="AT5" i="109"/>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AS5" i="109"/>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AL59" i="111"/>
  <c r="AK59" i="111"/>
  <c r="AJ59" i="111"/>
  <c r="AI59" i="111"/>
  <c r="AH59" i="111"/>
  <c r="J59" i="111" s="1"/>
  <c r="AG59" i="111"/>
  <c r="AF59" i="111"/>
  <c r="AE59" i="111"/>
  <c r="AD59" i="111"/>
  <c r="AC59" i="111"/>
  <c r="I59" i="111" s="1"/>
  <c r="AB59" i="111"/>
  <c r="AA59" i="111"/>
  <c r="Z59" i="111"/>
  <c r="Y59" i="111"/>
  <c r="X59" i="111"/>
  <c r="H59" i="111" s="1"/>
  <c r="G59" i="111" s="1"/>
  <c r="BG58" i="11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AL56" i="111"/>
  <c r="AK56" i="111"/>
  <c r="AJ56" i="111"/>
  <c r="AI56" i="111"/>
  <c r="AH56" i="111"/>
  <c r="J56" i="111" s="1"/>
  <c r="AG56" i="111"/>
  <c r="AF56" i="111"/>
  <c r="AE56" i="111"/>
  <c r="AD56" i="111"/>
  <c r="AC56" i="111"/>
  <c r="I56" i="111" s="1"/>
  <c r="AB56" i="111"/>
  <c r="AA56" i="111"/>
  <c r="Z56" i="111"/>
  <c r="Y56" i="111"/>
  <c r="X56" i="111"/>
  <c r="H56" i="111" s="1"/>
  <c r="G56" i="111" s="1"/>
  <c r="BG55" i="11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BF41" i="111"/>
  <c r="BE41" i="111"/>
  <c r="BD41" i="111"/>
  <c r="BC41" i="111"/>
  <c r="BB41" i="111"/>
  <c r="N41" i="111" s="1"/>
  <c r="BA41" i="111"/>
  <c r="AZ41" i="111"/>
  <c r="AY41" i="111"/>
  <c r="AX41" i="111"/>
  <c r="AW41" i="111"/>
  <c r="M41" i="111" s="1"/>
  <c r="BL30" i="102" s="1"/>
  <c r="AV41" i="111"/>
  <c r="AU41" i="111"/>
  <c r="AT41" i="111"/>
  <c r="AS41" i="111"/>
  <c r="AR41" i="111"/>
  <c r="L41" i="111" s="1"/>
  <c r="BK30" i="102" s="1"/>
  <c r="AQ41" i="111"/>
  <c r="AP41" i="111"/>
  <c r="AO41" i="111"/>
  <c r="AN41" i="111"/>
  <c r="AM41" i="111"/>
  <c r="K41" i="111" s="1"/>
  <c r="BJ30" i="102" s="1"/>
  <c r="AL41" i="111"/>
  <c r="AK41" i="111"/>
  <c r="AJ41" i="111"/>
  <c r="AI41" i="111"/>
  <c r="AH41" i="111"/>
  <c r="J41" i="111" s="1"/>
  <c r="AG41" i="111"/>
  <c r="AF41" i="111"/>
  <c r="AE41" i="111"/>
  <c r="AD41" i="111"/>
  <c r="AC41" i="111"/>
  <c r="I41" i="111" s="1"/>
  <c r="BH30" i="102" s="1"/>
  <c r="AB41" i="111"/>
  <c r="AA41" i="111"/>
  <c r="Z41" i="111"/>
  <c r="Y41" i="111"/>
  <c r="X41" i="111"/>
  <c r="H41" i="111"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K59" i="111"/>
  <c r="O58" i="111"/>
  <c r="P58" i="111" s="1"/>
  <c r="Q58" i="111" s="1"/>
  <c r="O56" i="111"/>
  <c r="P56" i="111" s="1"/>
  <c r="Q56" i="111" s="1"/>
  <c r="K56" i="111"/>
  <c r="O55" i="111"/>
  <c r="O54" i="111"/>
  <c r="P54" i="111" s="1"/>
  <c r="Q54" i="111" s="1"/>
  <c r="K53" i="111"/>
  <c r="K52" i="111"/>
  <c r="K47" i="111"/>
  <c r="L45" i="111"/>
  <c r="P8" i="111"/>
  <c r="Q8" i="111" s="1"/>
  <c r="P4" i="111"/>
  <c r="Q4" i="111" s="1"/>
  <c r="O28" i="111"/>
  <c r="P28" i="111" s="1"/>
  <c r="Q28" i="111" s="1"/>
  <c r="O24" i="111"/>
  <c r="P24" i="111" s="1"/>
  <c r="Q24" i="111" s="1"/>
  <c r="O8" i="111"/>
  <c r="N8" i="111"/>
  <c r="M8" i="111"/>
  <c r="L8" i="111"/>
  <c r="K8" i="111"/>
  <c r="J8" i="111"/>
  <c r="I8" i="111"/>
  <c r="H8" i="111"/>
  <c r="G8" i="111" s="1"/>
  <c r="O7" i="111"/>
  <c r="P7" i="111" s="1"/>
  <c r="Q7" i="111" s="1"/>
  <c r="N7" i="111"/>
  <c r="M7" i="111"/>
  <c r="L7" i="111"/>
  <c r="K7" i="111"/>
  <c r="J7" i="111"/>
  <c r="I7" i="111"/>
  <c r="H7" i="111"/>
  <c r="G7" i="111" s="1"/>
  <c r="O6" i="111"/>
  <c r="P6" i="111" s="1"/>
  <c r="Q6" i="111" s="1"/>
  <c r="N6" i="111"/>
  <c r="M6" i="111"/>
  <c r="L6" i="111"/>
  <c r="K6" i="111"/>
  <c r="J6" i="111"/>
  <c r="I6" i="111"/>
  <c r="H6" i="111"/>
  <c r="G6" i="111" s="1"/>
  <c r="O5" i="111"/>
  <c r="P5" i="111" s="1"/>
  <c r="Q5" i="111" s="1"/>
  <c r="N5" i="111"/>
  <c r="M5" i="111"/>
  <c r="L5" i="111"/>
  <c r="K5" i="111"/>
  <c r="J5" i="111"/>
  <c r="I5" i="111"/>
  <c r="H5" i="111"/>
  <c r="G5" i="111" s="1"/>
  <c r="O4" i="111"/>
  <c r="N4" i="111"/>
  <c r="M4" i="111"/>
  <c r="L4" i="111"/>
  <c r="K4" i="111"/>
  <c r="J4" i="111"/>
  <c r="I4" i="111"/>
  <c r="H4" i="111"/>
  <c r="G4" i="111" s="1"/>
  <c r="O3" i="111"/>
  <c r="P3" i="111" s="1"/>
  <c r="Q3" i="111" s="1"/>
  <c r="N3" i="111"/>
  <c r="M3" i="111"/>
  <c r="L3" i="111"/>
  <c r="K3" i="111"/>
  <c r="J3" i="111"/>
  <c r="I3" i="111"/>
  <c r="H3" i="111"/>
  <c r="G3" i="111" s="1"/>
  <c r="BP848" i="102" l="1"/>
  <c r="O17" i="113"/>
  <c r="N16" i="113"/>
  <c r="M9" i="113"/>
  <c r="BI848" i="102"/>
  <c r="BM848" i="102"/>
  <c r="BM850" i="102"/>
  <c r="BJ850" i="102"/>
  <c r="BN850" i="102"/>
  <c r="BF848" i="102"/>
  <c r="BK849" i="102"/>
  <c r="BI850" i="102"/>
  <c r="BJ848" i="102"/>
  <c r="BM30" i="102"/>
  <c r="BI30" i="102"/>
  <c r="BF850" i="102"/>
  <c r="G14" i="113" s="1"/>
  <c r="BK850" i="102"/>
  <c r="BH848" i="102"/>
  <c r="BL848" i="102"/>
  <c r="G55" i="111"/>
  <c r="BG28" i="102"/>
  <c r="BG29" i="102"/>
  <c r="BL29" i="102"/>
  <c r="BL28" i="102"/>
  <c r="P41" i="111"/>
  <c r="BN30" i="102"/>
  <c r="BK28" i="102"/>
  <c r="BK29" i="102"/>
  <c r="BH29" i="102"/>
  <c r="BH28" i="102"/>
  <c r="BI28" i="102"/>
  <c r="BI29" i="102"/>
  <c r="BM28" i="102"/>
  <c r="BM29" i="102"/>
  <c r="G41" i="111"/>
  <c r="BF30" i="102" s="1"/>
  <c r="BG30" i="102"/>
  <c r="BJ28" i="102"/>
  <c r="BJ29" i="102"/>
  <c r="P55" i="111"/>
  <c r="BN28" i="102"/>
  <c r="BN29" i="102"/>
  <c r="BG848" i="102"/>
  <c r="BK848" i="102"/>
  <c r="BO848" i="102"/>
  <c r="BH849" i="102"/>
  <c r="BL849" i="102"/>
  <c r="BP849" i="102"/>
  <c r="BI849" i="102"/>
  <c r="BM849" i="102"/>
  <c r="BF849" i="102"/>
  <c r="BJ849" i="102"/>
  <c r="BN849" i="102"/>
  <c r="BG850" i="102"/>
  <c r="BO850" i="102"/>
  <c r="BN848" i="102"/>
  <c r="BG849" i="102"/>
  <c r="BO849" i="102"/>
  <c r="AT47" i="109"/>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BL1158" i="102"/>
  <c r="BM1158" i="102" s="1"/>
  <c r="BN1158" i="102" s="1"/>
  <c r="BO1158" i="102" s="1"/>
  <c r="BP1158" i="102" s="1"/>
  <c r="BK1158" i="102"/>
  <c r="BJ1158" i="102"/>
  <c r="BI1158" i="102"/>
  <c r="BH1158" i="102"/>
  <c r="BG1158" i="102"/>
  <c r="BF1158" i="102"/>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346" i="109" s="1"/>
  <c r="D281" i="109"/>
  <c r="D345" i="109" s="1"/>
  <c r="E280" i="109"/>
  <c r="D280" i="109"/>
  <c r="D344" i="109" s="1"/>
  <c r="D279" i="109"/>
  <c r="D343" i="109" s="1"/>
  <c r="D278" i="109"/>
  <c r="D342" i="109" s="1"/>
  <c r="D277" i="109"/>
  <c r="D341" i="109" s="1"/>
  <c r="D276" i="109"/>
  <c r="D340" i="109" s="1"/>
  <c r="E275"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O16" i="113" l="1"/>
  <c r="P17" i="113"/>
  <c r="N9" i="113"/>
  <c r="Q55" i="111"/>
  <c r="BO28" i="102"/>
  <c r="BO29" i="102"/>
  <c r="Q41" i="111"/>
  <c r="BP30" i="102" s="1"/>
  <c r="BO30" i="102"/>
  <c r="BF28" i="102"/>
  <c r="BF29" i="102"/>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4" i="109"/>
  <c r="E348" i="109"/>
  <c r="E289" i="109"/>
  <c r="E293" i="109"/>
  <c r="E297" i="109"/>
  <c r="E361" i="109" s="1"/>
  <c r="E301" i="109"/>
  <c r="E365" i="109" s="1"/>
  <c r="E302" i="109"/>
  <c r="E278" i="109"/>
  <c r="E342" i="109" s="1"/>
  <c r="E282" i="109"/>
  <c r="E286" i="109"/>
  <c r="E350" i="109" s="1"/>
  <c r="E290" i="109"/>
  <c r="E354" i="109" s="1"/>
  <c r="E294" i="109"/>
  <c r="E339" i="109"/>
  <c r="F47" i="109"/>
  <c r="E300" i="109"/>
  <c r="E364" i="109" s="1"/>
  <c r="E299" i="109"/>
  <c r="E296" i="109"/>
  <c r="E360" i="109" s="1"/>
  <c r="E292" i="109"/>
  <c r="E356" i="109" s="1"/>
  <c r="E288" i="109"/>
  <c r="E352" i="109" s="1"/>
  <c r="E295" i="109"/>
  <c r="E291" i="109"/>
  <c r="E355" i="109" s="1"/>
  <c r="E287" i="109"/>
  <c r="E351" i="109" s="1"/>
  <c r="E283" i="109"/>
  <c r="E347" i="109" s="1"/>
  <c r="E279" i="109"/>
  <c r="E343" i="109" s="1"/>
  <c r="E276" i="109"/>
  <c r="E277" i="109"/>
  <c r="E341" i="109" s="1"/>
  <c r="E281" i="109"/>
  <c r="E285" i="109"/>
  <c r="E349" i="109" s="1"/>
  <c r="D348" i="109"/>
  <c r="D356" i="109"/>
  <c r="D1" i="102"/>
  <c r="Q17" i="113" l="1"/>
  <c r="P16" i="113"/>
  <c r="O9" i="113"/>
  <c r="BP29" i="102"/>
  <c r="BP28" i="102"/>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55" i="109" s="1"/>
  <c r="F301" i="109"/>
  <c r="F365" i="109" s="1"/>
  <c r="F300" i="109"/>
  <c r="F364" i="109" s="1"/>
  <c r="F298" i="109"/>
  <c r="F294" i="109"/>
  <c r="F358" i="109" s="1"/>
  <c r="F290" i="109"/>
  <c r="F354" i="109" s="1"/>
  <c r="F286" i="109"/>
  <c r="F282" i="109"/>
  <c r="F278" i="109"/>
  <c r="F342" i="109" s="1"/>
  <c r="F275" i="109"/>
  <c r="F339" i="109" s="1"/>
  <c r="F283" i="109"/>
  <c r="F280" i="109"/>
  <c r="F279" i="109"/>
  <c r="F292" i="109"/>
  <c r="F356" i="109" s="1"/>
  <c r="F288" i="109"/>
  <c r="F352" i="109" s="1"/>
  <c r="F302" i="109"/>
  <c r="F366" i="109" s="1"/>
  <c r="F297" i="109"/>
  <c r="F361" i="109" s="1"/>
  <c r="F293" i="109"/>
  <c r="F357" i="109" s="1"/>
  <c r="F289" i="109"/>
  <c r="F353" i="109" s="1"/>
  <c r="F284" i="109"/>
  <c r="F348" i="109" s="1"/>
  <c r="F287" i="109"/>
  <c r="F351" i="109" s="1"/>
  <c r="F296" i="109"/>
  <c r="F360" i="109" s="1"/>
  <c r="F285" i="109"/>
  <c r="F281" i="109"/>
  <c r="F276" i="109"/>
  <c r="F340" i="109" s="1"/>
  <c r="F277" i="109"/>
  <c r="F341" i="109" s="1"/>
  <c r="E345" i="109"/>
  <c r="E366" i="109"/>
  <c r="E353" i="109"/>
  <c r="BL1157" i="102"/>
  <c r="BM1157" i="102" s="1"/>
  <c r="BN1157" i="102" s="1"/>
  <c r="BO1157" i="102" s="1"/>
  <c r="BP1157" i="102" s="1"/>
  <c r="BK1157" i="102"/>
  <c r="BJ1157" i="102"/>
  <c r="BI1157" i="102"/>
  <c r="BH1157" i="102"/>
  <c r="BG1157" i="102"/>
  <c r="BF1157" i="102"/>
  <c r="Q16" i="113" l="1"/>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65" i="109" s="1"/>
  <c r="G300" i="109"/>
  <c r="G364" i="109" s="1"/>
  <c r="G298" i="109"/>
  <c r="G362" i="109" s="1"/>
  <c r="G294" i="109"/>
  <c r="G358" i="109" s="1"/>
  <c r="G290" i="109"/>
  <c r="G297" i="109"/>
  <c r="G293" i="109"/>
  <c r="G357" i="109" s="1"/>
  <c r="G289" i="109"/>
  <c r="G285" i="109"/>
  <c r="G349" i="109" s="1"/>
  <c r="G281" i="109"/>
  <c r="G345" i="109" s="1"/>
  <c r="G277" i="109"/>
  <c r="G295" i="109"/>
  <c r="G359" i="109" s="1"/>
  <c r="G291" i="109"/>
  <c r="G355" i="109" s="1"/>
  <c r="G286" i="109"/>
  <c r="G350" i="109" s="1"/>
  <c r="G282" i="109"/>
  <c r="G346" i="109" s="1"/>
  <c r="G278" i="109"/>
  <c r="G342" i="109" s="1"/>
  <c r="G299" i="109"/>
  <c r="G363" i="109" s="1"/>
  <c r="G287" i="109"/>
  <c r="G284" i="109"/>
  <c r="G348" i="109" s="1"/>
  <c r="G283" i="109"/>
  <c r="G347" i="109" s="1"/>
  <c r="G280" i="109"/>
  <c r="G279" i="109"/>
  <c r="G296" i="109"/>
  <c r="G360" i="109" s="1"/>
  <c r="G292" i="109"/>
  <c r="G356" i="109" s="1"/>
  <c r="G288" i="109"/>
  <c r="G276" i="109"/>
  <c r="G340" i="109" s="1"/>
  <c r="G275" i="109"/>
  <c r="G339" i="109" s="1"/>
  <c r="F349" i="109"/>
  <c r="F347" i="109"/>
  <c r="F350" i="109"/>
  <c r="F363" i="109"/>
  <c r="BP417" i="102"/>
  <c r="BO417" i="102"/>
  <c r="BN417" i="102"/>
  <c r="BM417" i="102"/>
  <c r="BL417" i="102"/>
  <c r="BK417" i="102"/>
  <c r="BJ417" i="102"/>
  <c r="BI417" i="102"/>
  <c r="BH417" i="102"/>
  <c r="BG417" i="102"/>
  <c r="BF417" i="102"/>
  <c r="BP386" i="102"/>
  <c r="BO386" i="102"/>
  <c r="BN386" i="102"/>
  <c r="BM386" i="102"/>
  <c r="BL386" i="102"/>
  <c r="BK386" i="102"/>
  <c r="BJ386" i="102"/>
  <c r="BI386" i="102"/>
  <c r="BH386" i="102"/>
  <c r="BG386" i="102"/>
  <c r="BF386" i="102"/>
  <c r="BI355" i="102"/>
  <c r="BJ355" i="102" s="1"/>
  <c r="BK355" i="102" s="1"/>
  <c r="BL355" i="102" s="1"/>
  <c r="BM355" i="102" s="1"/>
  <c r="BN355" i="102" s="1"/>
  <c r="BO355" i="102" s="1"/>
  <c r="BP355" i="102" s="1"/>
  <c r="BH355" i="102"/>
  <c r="BG355" i="102"/>
  <c r="BF355" i="102"/>
  <c r="BP324" i="102"/>
  <c r="BO324" i="102"/>
  <c r="BN324" i="102"/>
  <c r="BM324" i="102"/>
  <c r="BL324" i="102"/>
  <c r="BK324" i="102"/>
  <c r="BJ324" i="102"/>
  <c r="BI324" i="102"/>
  <c r="BH324" i="102"/>
  <c r="BG324" i="102"/>
  <c r="BF324" i="102"/>
  <c r="B3" i="102" a="1"/>
  <c r="B3" i="102" s="1"/>
  <c r="Q9" i="113" l="1"/>
  <c r="G353" i="109"/>
  <c r="I47" i="109"/>
  <c r="H301" i="109"/>
  <c r="H365" i="109" s="1"/>
  <c r="H297" i="109"/>
  <c r="H361" i="109" s="1"/>
  <c r="H293" i="109"/>
  <c r="H289" i="109"/>
  <c r="H353" i="109" s="1"/>
  <c r="H302" i="109"/>
  <c r="H366" i="109" s="1"/>
  <c r="H296" i="109"/>
  <c r="H292" i="109"/>
  <c r="H288" i="109"/>
  <c r="H352" i="109" s="1"/>
  <c r="H284" i="109"/>
  <c r="H348" i="109" s="1"/>
  <c r="H280" i="109"/>
  <c r="H299" i="109"/>
  <c r="H298" i="109"/>
  <c r="H294" i="109"/>
  <c r="H290" i="109"/>
  <c r="H287" i="109"/>
  <c r="H283" i="109"/>
  <c r="H279" i="109"/>
  <c r="H343" i="109" s="1"/>
  <c r="H276" i="109"/>
  <c r="H340" i="109" s="1"/>
  <c r="H281" i="109"/>
  <c r="H275" i="109"/>
  <c r="H295" i="109"/>
  <c r="H291" i="109"/>
  <c r="H355" i="109" s="1"/>
  <c r="H286" i="109"/>
  <c r="H282" i="109"/>
  <c r="H300" i="109"/>
  <c r="H364" i="109" s="1"/>
  <c r="H285" i="109"/>
  <c r="H349" i="109" s="1"/>
  <c r="H277" i="109"/>
  <c r="H278" i="109"/>
  <c r="H342" i="109" s="1"/>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BG933" i="102"/>
  <c r="BH933" i="102" s="1"/>
  <c r="BI933" i="102" s="1"/>
  <c r="BJ933" i="102" s="1"/>
  <c r="BK933" i="102" s="1"/>
  <c r="BL933" i="102" s="1"/>
  <c r="BM933" i="102" s="1"/>
  <c r="BN933" i="102" s="1"/>
  <c r="BO933" i="102" s="1"/>
  <c r="BP933" i="102" s="1"/>
  <c r="BG903" i="102"/>
  <c r="BH903" i="102" s="1"/>
  <c r="BI903" i="102" s="1"/>
  <c r="BJ903" i="102" s="1"/>
  <c r="BK903" i="102" s="1"/>
  <c r="BL903" i="102" s="1"/>
  <c r="BM903" i="102" s="1"/>
  <c r="BN903" i="102" s="1"/>
  <c r="BO903" i="102" s="1"/>
  <c r="BP903" i="102" s="1"/>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BG340" i="102"/>
  <c r="AS13" i="108" s="1"/>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BG402" i="102"/>
  <c r="BG371" i="102"/>
  <c r="BH371" i="102" s="1"/>
  <c r="BI371" i="102" s="1"/>
  <c r="BJ371" i="102" s="1"/>
  <c r="BK371" i="102" s="1"/>
  <c r="BL371" i="102" s="1"/>
  <c r="BM371" i="102" s="1"/>
  <c r="BN371" i="102" s="1"/>
  <c r="BO371" i="102" s="1"/>
  <c r="BP371" i="102" s="1"/>
  <c r="BG241" i="102"/>
  <c r="BH241" i="102" s="1"/>
  <c r="BI241" i="102" s="1"/>
  <c r="BJ241" i="102" s="1"/>
  <c r="BK241" i="102" s="1"/>
  <c r="BL241" i="102" s="1"/>
  <c r="BM241" i="102" s="1"/>
  <c r="BN241" i="102" s="1"/>
  <c r="BO241" i="102" s="1"/>
  <c r="BP241" i="102" s="1"/>
  <c r="BG287" i="102"/>
  <c r="BH287" i="102" s="1"/>
  <c r="BI287" i="102" s="1"/>
  <c r="BJ287" i="102" s="1"/>
  <c r="BK287" i="102" s="1"/>
  <c r="BL287" i="102" s="1"/>
  <c r="BM287" i="102" s="1"/>
  <c r="BN287" i="102" s="1"/>
  <c r="BO287" i="102" s="1"/>
  <c r="BP287" i="102" s="1"/>
  <c r="BG256" i="102"/>
  <c r="BH256" i="102" s="1"/>
  <c r="BI256" i="102" s="1"/>
  <c r="BJ256" i="102" s="1"/>
  <c r="BK256" i="102" s="1"/>
  <c r="BL256" i="102" s="1"/>
  <c r="BM256" i="102" s="1"/>
  <c r="BN256" i="102" s="1"/>
  <c r="BO256" i="102" s="1"/>
  <c r="BP256" i="102" s="1"/>
  <c r="BG204" i="102"/>
  <c r="BH204" i="102" s="1"/>
  <c r="BI204" i="102" s="1"/>
  <c r="BJ204" i="102" s="1"/>
  <c r="BK204" i="102" s="1"/>
  <c r="BL204" i="102" s="1"/>
  <c r="BM204" i="102" s="1"/>
  <c r="BN204" i="102" s="1"/>
  <c r="BO204" i="102" s="1"/>
  <c r="BP204" i="102" s="1"/>
  <c r="BG172" i="102"/>
  <c r="BH172" i="102" s="1"/>
  <c r="BI172" i="102" s="1"/>
  <c r="BJ172" i="102" s="1"/>
  <c r="BK172" i="102" s="1"/>
  <c r="BL172" i="102" s="1"/>
  <c r="BM172" i="102" s="1"/>
  <c r="BN172" i="102" s="1"/>
  <c r="BO172" i="102" s="1"/>
  <c r="BP172" i="102" s="1"/>
  <c r="BG140" i="102"/>
  <c r="BH140" i="102" s="1"/>
  <c r="BI140" i="102" s="1"/>
  <c r="BJ140" i="102" s="1"/>
  <c r="BK140" i="102" s="1"/>
  <c r="BL140" i="102" s="1"/>
  <c r="BM140" i="102" s="1"/>
  <c r="BN140" i="102" s="1"/>
  <c r="BO140" i="102" s="1"/>
  <c r="BP140" i="102" s="1"/>
  <c r="BG220" i="102"/>
  <c r="BH220" i="102" s="1"/>
  <c r="BI220" i="102" s="1"/>
  <c r="BJ220" i="102" s="1"/>
  <c r="BK220" i="102" s="1"/>
  <c r="BL220" i="102" s="1"/>
  <c r="BM220" i="102" s="1"/>
  <c r="BN220" i="102" s="1"/>
  <c r="BO220" i="102" s="1"/>
  <c r="BP220" i="102" s="1"/>
  <c r="BG219" i="102"/>
  <c r="BH219" i="102" s="1"/>
  <c r="BI219" i="102" s="1"/>
  <c r="BJ219" i="102" s="1"/>
  <c r="BK219" i="102" s="1"/>
  <c r="BL219" i="102" s="1"/>
  <c r="BM219" i="102" s="1"/>
  <c r="BN219" i="102" s="1"/>
  <c r="BO219" i="102" s="1"/>
  <c r="BP219" i="102" s="1"/>
  <c r="BG188" i="102"/>
  <c r="BH188" i="102" s="1"/>
  <c r="BI188" i="102" s="1"/>
  <c r="BJ188" i="102" s="1"/>
  <c r="BK188" i="102" s="1"/>
  <c r="BL188" i="102" s="1"/>
  <c r="BM188" i="102" s="1"/>
  <c r="BN188" i="102" s="1"/>
  <c r="BO188" i="102" s="1"/>
  <c r="BP188" i="102" s="1"/>
  <c r="BG187" i="102"/>
  <c r="BH187" i="102" s="1"/>
  <c r="BI187" i="102" s="1"/>
  <c r="BJ187" i="102" s="1"/>
  <c r="BK187" i="102" s="1"/>
  <c r="BL187" i="102" s="1"/>
  <c r="BM187" i="102" s="1"/>
  <c r="BN187" i="102" s="1"/>
  <c r="BO187" i="102" s="1"/>
  <c r="BP187" i="102" s="1"/>
  <c r="BG156" i="102"/>
  <c r="BH156" i="102" s="1"/>
  <c r="BI156" i="102" s="1"/>
  <c r="BJ156" i="102" s="1"/>
  <c r="BK156" i="102" s="1"/>
  <c r="BL156" i="102" s="1"/>
  <c r="BM156" i="102" s="1"/>
  <c r="BN156" i="102" s="1"/>
  <c r="BO156" i="102" s="1"/>
  <c r="BP156" i="102" s="1"/>
  <c r="BG155" i="102"/>
  <c r="BH155" i="102" s="1"/>
  <c r="BI155" i="102" s="1"/>
  <c r="BJ155" i="102" s="1"/>
  <c r="BK155" i="102" s="1"/>
  <c r="BL155" i="102" s="1"/>
  <c r="BM155" i="102" s="1"/>
  <c r="BN155" i="102" s="1"/>
  <c r="BO155" i="102" s="1"/>
  <c r="BP155" i="102" s="1"/>
  <c r="BG124" i="102"/>
  <c r="BH124" i="102" s="1"/>
  <c r="BI124" i="102" s="1"/>
  <c r="BJ124" i="102" s="1"/>
  <c r="BK124" i="102" s="1"/>
  <c r="BL124" i="102" s="1"/>
  <c r="BM124" i="102" s="1"/>
  <c r="BN124" i="102" s="1"/>
  <c r="BO124" i="102" s="1"/>
  <c r="BP124" i="102" s="1"/>
  <c r="BG123" i="102"/>
  <c r="S85" i="108" s="1"/>
  <c r="BG92" i="102"/>
  <c r="BH92" i="102" s="1"/>
  <c r="BI92" i="102" s="1"/>
  <c r="BJ92" i="102" s="1"/>
  <c r="BK92" i="102" s="1"/>
  <c r="BL92" i="102" s="1"/>
  <c r="BM92" i="102" s="1"/>
  <c r="BN92" i="102" s="1"/>
  <c r="BO92" i="102" s="1"/>
  <c r="BP92" i="102" s="1"/>
  <c r="BG91" i="102"/>
  <c r="S91" i="108" s="1"/>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54" i="109" l="1"/>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360" i="109" s="1"/>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BH402" i="102"/>
  <c r="BI402" i="102" s="1"/>
  <c r="BJ402" i="102" s="1"/>
  <c r="BK402" i="102" s="1"/>
  <c r="BL402" i="102" s="1"/>
  <c r="BM402" i="102" s="1"/>
  <c r="BN402" i="102" s="1"/>
  <c r="BO402" i="102" s="1"/>
  <c r="BP402" i="102" s="1"/>
  <c r="AS12" i="108"/>
  <c r="AS4" i="108"/>
  <c r="AQ4" i="108" s="1"/>
  <c r="AS11" i="108"/>
  <c r="S21" i="108"/>
  <c r="S45" i="108"/>
  <c r="S71" i="108"/>
  <c r="S95" i="108"/>
  <c r="AS5" i="108"/>
  <c r="AQ5" i="108" s="1"/>
  <c r="BH340" i="102"/>
  <c r="BI340" i="102" s="1"/>
  <c r="BJ340" i="102" s="1"/>
  <c r="BK340" i="102" s="1"/>
  <c r="BL340" i="102" s="1"/>
  <c r="BM340" i="102" s="1"/>
  <c r="BN340" i="102" s="1"/>
  <c r="BO340" i="102" s="1"/>
  <c r="BP340" i="102" s="1"/>
  <c r="S22" i="108"/>
  <c r="S35" i="108"/>
  <c r="S46" i="108"/>
  <c r="S72" i="108"/>
  <c r="S86" i="108"/>
  <c r="S96" i="108"/>
  <c r="AS6" i="108"/>
  <c r="AQ6" i="108" s="1"/>
  <c r="Z4" i="108"/>
  <c r="S9" i="108"/>
  <c r="S13" i="108"/>
  <c r="S36" i="108"/>
  <c r="S60" i="108"/>
  <c r="S87" i="108"/>
  <c r="BH123" i="102"/>
  <c r="BI123" i="102" s="1"/>
  <c r="BJ123" i="102" s="1"/>
  <c r="BK123" i="102" s="1"/>
  <c r="BL123" i="102" s="1"/>
  <c r="BM123" i="102" s="1"/>
  <c r="BN123" i="102" s="1"/>
  <c r="BO123" i="102" s="1"/>
  <c r="BP123" i="102" s="1"/>
  <c r="S10" i="108"/>
  <c r="S37" i="108"/>
  <c r="S61" i="108"/>
  <c r="S84" i="108"/>
  <c r="S88" i="108"/>
  <c r="S11" i="108"/>
  <c r="S34" i="108"/>
  <c r="S38" i="108"/>
  <c r="S62" i="108"/>
  <c r="AH5" i="105"/>
  <c r="AH4" i="105"/>
  <c r="AH6" i="105"/>
  <c r="BH91" i="102"/>
  <c r="BI91" i="102" s="1"/>
  <c r="BJ91" i="102" s="1"/>
  <c r="BK91" i="102" s="1"/>
  <c r="BL91" i="102" s="1"/>
  <c r="BM91" i="102" s="1"/>
  <c r="BN91" i="102" s="1"/>
  <c r="BO91" i="102" s="1"/>
  <c r="BP91" i="102" s="1"/>
  <c r="S17" i="108"/>
  <c r="S41" i="108"/>
  <c r="S65" i="108"/>
  <c r="S89" i="108"/>
  <c r="S93" i="108"/>
  <c r="S14" i="108"/>
  <c r="S18" i="108"/>
  <c r="S42" i="108"/>
  <c r="S66" i="108"/>
  <c r="S90" i="108"/>
  <c r="S39" i="108"/>
  <c r="S43" i="108"/>
  <c r="S67" i="108"/>
  <c r="BF309" i="102"/>
  <c r="BG309" i="102" s="1"/>
  <c r="BH309" i="102" s="1"/>
  <c r="BI309" i="102" s="1"/>
  <c r="BJ309" i="102" s="1"/>
  <c r="BK309" i="102" s="1"/>
  <c r="BL309" i="102" s="1"/>
  <c r="BM309" i="102" s="1"/>
  <c r="BN309" i="102" s="1"/>
  <c r="BO309" i="102" s="1"/>
  <c r="BP309" i="102" s="1"/>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BP47" i="102"/>
  <c r="BO47" i="102"/>
  <c r="BN47" i="102"/>
  <c r="BM47" i="102"/>
  <c r="BL47" i="102"/>
  <c r="BK47" i="102"/>
  <c r="BJ47" i="102"/>
  <c r="BI47" i="102"/>
  <c r="BH47" i="102"/>
  <c r="BG47" i="102"/>
  <c r="BF47" i="102"/>
  <c r="BP46" i="102"/>
  <c r="BO46" i="102"/>
  <c r="BN46" i="102"/>
  <c r="BM46" i="102"/>
  <c r="BL46" i="102"/>
  <c r="BK46" i="102"/>
  <c r="BJ46" i="102"/>
  <c r="BI46" i="102"/>
  <c r="BH46" i="102"/>
  <c r="BG46" i="102"/>
  <c r="BF46" i="102"/>
  <c r="BP45" i="102"/>
  <c r="BO45" i="102"/>
  <c r="BN45" i="102"/>
  <c r="BM45" i="102"/>
  <c r="BL45" i="102"/>
  <c r="BK45" i="102"/>
  <c r="BJ45" i="102"/>
  <c r="BI45" i="102"/>
  <c r="BH45" i="102"/>
  <c r="BG45" i="102"/>
  <c r="BF45" i="102"/>
  <c r="BP44" i="102"/>
  <c r="BO44" i="102"/>
  <c r="BN44" i="102"/>
  <c r="BM44" i="102"/>
  <c r="BL44" i="102"/>
  <c r="BK44" i="102"/>
  <c r="BJ44" i="102"/>
  <c r="BI44" i="102"/>
  <c r="BH44" i="102"/>
  <c r="BG44" i="102"/>
  <c r="BF44" i="102"/>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46" i="109" l="1"/>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345" i="109" s="1"/>
  <c r="J277" i="109"/>
  <c r="J275" i="109"/>
  <c r="J297" i="109"/>
  <c r="J289" i="109"/>
  <c r="J353" i="109" s="1"/>
  <c r="J284" i="109"/>
  <c r="J283" i="109"/>
  <c r="J296" i="109"/>
  <c r="J360" i="109" s="1"/>
  <c r="J292" i="109"/>
  <c r="J288" i="109"/>
  <c r="J293" i="109"/>
  <c r="J287" i="109"/>
  <c r="J280" i="109"/>
  <c r="J344" i="109" s="1"/>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P32" i="104"/>
  <c r="O32" i="104"/>
  <c r="N32" i="104"/>
  <c r="M32" i="104"/>
  <c r="L32" i="104"/>
  <c r="K32" i="104"/>
  <c r="J32" i="104"/>
  <c r="F32" i="104"/>
  <c r="P31" i="104"/>
  <c r="O31" i="104"/>
  <c r="N31" i="104"/>
  <c r="M31" i="104"/>
  <c r="L31" i="104"/>
  <c r="K31" i="104"/>
  <c r="J31" i="104"/>
  <c r="F31" i="104"/>
  <c r="P30" i="104"/>
  <c r="O30" i="104"/>
  <c r="N30" i="104"/>
  <c r="M30" i="104"/>
  <c r="L30" i="104"/>
  <c r="K30" i="104"/>
  <c r="J30" i="104"/>
  <c r="F30" i="104"/>
  <c r="P29" i="104"/>
  <c r="O29" i="104"/>
  <c r="N29" i="104"/>
  <c r="M29" i="104"/>
  <c r="L29" i="104"/>
  <c r="K29" i="104"/>
  <c r="J29" i="104"/>
  <c r="F29" i="104"/>
  <c r="P28" i="104"/>
  <c r="O28" i="104"/>
  <c r="N28" i="104"/>
  <c r="M28" i="104"/>
  <c r="L28" i="104"/>
  <c r="K28" i="104"/>
  <c r="J28" i="104"/>
  <c r="P27" i="104"/>
  <c r="O27" i="104"/>
  <c r="N27" i="104"/>
  <c r="M27" i="104"/>
  <c r="L27" i="104"/>
  <c r="K27" i="104"/>
  <c r="J27" i="104"/>
  <c r="F27" i="104"/>
  <c r="P26" i="104"/>
  <c r="O26" i="104"/>
  <c r="N26" i="104"/>
  <c r="M26" i="104"/>
  <c r="L26" i="104"/>
  <c r="K26" i="104"/>
  <c r="J26" i="104"/>
  <c r="F26" i="104"/>
  <c r="P25" i="104"/>
  <c r="O25" i="104"/>
  <c r="N25" i="104"/>
  <c r="M25" i="104"/>
  <c r="L25" i="104"/>
  <c r="K25" i="104"/>
  <c r="J25" i="104"/>
  <c r="F25" i="104"/>
  <c r="P24" i="104"/>
  <c r="O24" i="104"/>
  <c r="N24" i="104"/>
  <c r="M24" i="104"/>
  <c r="L24" i="104"/>
  <c r="K24" i="104"/>
  <c r="J24" i="104"/>
  <c r="F24" i="104"/>
  <c r="P23" i="104"/>
  <c r="O23" i="104"/>
  <c r="N23" i="104"/>
  <c r="M23" i="104"/>
  <c r="L23" i="104"/>
  <c r="K23" i="104"/>
  <c r="J23" i="104"/>
  <c r="F23" i="104"/>
  <c r="P22" i="104"/>
  <c r="O22" i="104"/>
  <c r="N22" i="104"/>
  <c r="M22" i="104"/>
  <c r="L22" i="104"/>
  <c r="K22" i="104"/>
  <c r="J22" i="104"/>
  <c r="F22" i="104"/>
  <c r="P21" i="104"/>
  <c r="O21" i="104"/>
  <c r="N21" i="104"/>
  <c r="M21" i="104"/>
  <c r="L21" i="104"/>
  <c r="K21" i="104"/>
  <c r="J21" i="104"/>
  <c r="F21" i="104"/>
  <c r="P20" i="104"/>
  <c r="O20" i="104"/>
  <c r="N20" i="104"/>
  <c r="M20" i="104"/>
  <c r="L20" i="104"/>
  <c r="K20" i="104"/>
  <c r="J20" i="104"/>
  <c r="F20" i="104"/>
  <c r="P19" i="104"/>
  <c r="O19" i="104"/>
  <c r="N19" i="104"/>
  <c r="M19" i="104"/>
  <c r="L19" i="104"/>
  <c r="K19" i="104"/>
  <c r="J19" i="104"/>
  <c r="F19" i="104"/>
  <c r="BP24" i="102"/>
  <c r="BO24" i="102"/>
  <c r="BN24" i="102"/>
  <c r="BM24" i="102"/>
  <c r="BL24" i="102"/>
  <c r="BK24" i="102"/>
  <c r="BJ24" i="102"/>
  <c r="BP14" i="102"/>
  <c r="BO14" i="102"/>
  <c r="BN14" i="102"/>
  <c r="BM14" i="102"/>
  <c r="BL14" i="102"/>
  <c r="BK14" i="102"/>
  <c r="BJ14" i="102"/>
  <c r="BI14" i="102"/>
  <c r="BH14" i="102"/>
  <c r="BG14" i="102"/>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J4" i="104"/>
  <c r="P3" i="104"/>
  <c r="O3" i="104"/>
  <c r="N3" i="104"/>
  <c r="M3" i="104"/>
  <c r="L3" i="104"/>
  <c r="K3" i="104"/>
  <c r="J3" i="104"/>
  <c r="F16" i="104"/>
  <c r="F15" i="104"/>
  <c r="F14" i="104"/>
  <c r="F13" i="104"/>
  <c r="F12" i="104"/>
  <c r="F11" i="104"/>
  <c r="F10" i="104"/>
  <c r="F9" i="104"/>
  <c r="F8" i="104"/>
  <c r="F7" i="104"/>
  <c r="F6" i="104"/>
  <c r="F5" i="104"/>
  <c r="F4" i="104"/>
  <c r="F3" i="104"/>
  <c r="J70" i="103"/>
  <c r="I70" i="103"/>
  <c r="H70" i="103"/>
  <c r="G70" i="103"/>
  <c r="Q68" i="103"/>
  <c r="P68" i="103"/>
  <c r="O68" i="103"/>
  <c r="N68" i="103"/>
  <c r="M68" i="103"/>
  <c r="L68" i="103"/>
  <c r="K68" i="103"/>
  <c r="J72" i="103"/>
  <c r="J69" i="103" s="1"/>
  <c r="I72" i="103"/>
  <c r="I69" i="103" s="1"/>
  <c r="H72" i="103"/>
  <c r="H69" i="103" s="1"/>
  <c r="G72" i="103"/>
  <c r="G69" i="103" s="1"/>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48" i="103"/>
  <c r="L47" i="103"/>
  <c r="K47" i="103"/>
  <c r="I46" i="103"/>
  <c r="I44" i="103"/>
  <c r="L43" i="103"/>
  <c r="M42" i="103"/>
  <c r="I42" i="103"/>
  <c r="I40" i="103"/>
  <c r="L39" i="103"/>
  <c r="I38" i="103"/>
  <c r="I36" i="103"/>
  <c r="N16" i="103"/>
  <c r="N48" i="103" s="1"/>
  <c r="L10" i="103"/>
  <c r="L42" i="103" s="1"/>
  <c r="N8" i="103"/>
  <c r="N40" i="103" s="1"/>
  <c r="Q3" i="103"/>
  <c r="Q35" i="103" s="1"/>
  <c r="M3" i="103"/>
  <c r="M35" i="103" s="1"/>
  <c r="O32" i="103"/>
  <c r="O16" i="103" s="1"/>
  <c r="O48" i="103" s="1"/>
  <c r="N32" i="103"/>
  <c r="M32" i="103"/>
  <c r="M16" i="103" s="1"/>
  <c r="L32" i="103"/>
  <c r="L16" i="103" s="1"/>
  <c r="K32" i="103"/>
  <c r="K16" i="103" s="1"/>
  <c r="K48" i="103" s="1"/>
  <c r="O31" i="103"/>
  <c r="N31" i="103"/>
  <c r="N15" i="103" s="1"/>
  <c r="N47" i="103" s="1"/>
  <c r="M31" i="103"/>
  <c r="M15" i="103" s="1"/>
  <c r="M47" i="103" s="1"/>
  <c r="L31" i="103"/>
  <c r="L15" i="103" s="1"/>
  <c r="K31" i="103"/>
  <c r="K15" i="103" s="1"/>
  <c r="O30" i="103"/>
  <c r="O14" i="103" s="1"/>
  <c r="O46" i="103" s="1"/>
  <c r="N30" i="103"/>
  <c r="N14" i="103" s="1"/>
  <c r="N46" i="103" s="1"/>
  <c r="M30" i="103"/>
  <c r="M14" i="103" s="1"/>
  <c r="L30" i="103"/>
  <c r="L14" i="103" s="1"/>
  <c r="K30" i="103"/>
  <c r="K14" i="103" s="1"/>
  <c r="K46" i="103" s="1"/>
  <c r="O29" i="103"/>
  <c r="N29" i="103"/>
  <c r="N13" i="103" s="1"/>
  <c r="N45" i="103" s="1"/>
  <c r="M29" i="103"/>
  <c r="M13" i="103" s="1"/>
  <c r="M45" i="103" s="1"/>
  <c r="L29" i="103"/>
  <c r="L13" i="103" s="1"/>
  <c r="L45" i="103" s="1"/>
  <c r="K29" i="103"/>
  <c r="K13" i="103" s="1"/>
  <c r="K45" i="103" s="1"/>
  <c r="O28" i="103"/>
  <c r="O12" i="103" s="1"/>
  <c r="N28" i="103"/>
  <c r="N12" i="103" s="1"/>
  <c r="M28" i="103"/>
  <c r="M12" i="103" s="1"/>
  <c r="L28" i="103"/>
  <c r="L12" i="103" s="1"/>
  <c r="K28" i="103"/>
  <c r="K12" i="103" s="1"/>
  <c r="K44" i="103" s="1"/>
  <c r="O27" i="103"/>
  <c r="N27" i="103"/>
  <c r="N11" i="103" s="1"/>
  <c r="N43" i="103" s="1"/>
  <c r="M27" i="103"/>
  <c r="M11" i="103" s="1"/>
  <c r="M43" i="103" s="1"/>
  <c r="L27" i="103"/>
  <c r="L11" i="103" s="1"/>
  <c r="K27" i="103"/>
  <c r="K11" i="103" s="1"/>
  <c r="O26" i="103"/>
  <c r="O10" i="103" s="1"/>
  <c r="O42" i="103" s="1"/>
  <c r="N26" i="103"/>
  <c r="N10" i="103" s="1"/>
  <c r="N42" i="103" s="1"/>
  <c r="M26" i="103"/>
  <c r="M10" i="103" s="1"/>
  <c r="L26" i="103"/>
  <c r="K26" i="103"/>
  <c r="K10" i="103" s="1"/>
  <c r="O25" i="103"/>
  <c r="N25" i="103"/>
  <c r="N9" i="103" s="1"/>
  <c r="N41" i="103" s="1"/>
  <c r="M25" i="103"/>
  <c r="M9" i="103" s="1"/>
  <c r="M41" i="103" s="1"/>
  <c r="L25" i="103"/>
  <c r="L9" i="103" s="1"/>
  <c r="L41" i="103" s="1"/>
  <c r="K25" i="103"/>
  <c r="K9" i="103" s="1"/>
  <c r="K41" i="103" s="1"/>
  <c r="O24" i="103"/>
  <c r="O8" i="103" s="1"/>
  <c r="N24" i="103"/>
  <c r="M24" i="103"/>
  <c r="M8" i="103" s="1"/>
  <c r="L24" i="103"/>
  <c r="L8" i="103" s="1"/>
  <c r="L40" i="103" s="1"/>
  <c r="K24" i="103"/>
  <c r="K8" i="103" s="1"/>
  <c r="O23" i="103"/>
  <c r="N23" i="103"/>
  <c r="N7" i="103" s="1"/>
  <c r="N39" i="103" s="1"/>
  <c r="M23" i="103"/>
  <c r="M7" i="103" s="1"/>
  <c r="M39" i="103" s="1"/>
  <c r="L23" i="103"/>
  <c r="L7" i="103" s="1"/>
  <c r="K23" i="103"/>
  <c r="K7" i="103" s="1"/>
  <c r="O22" i="103"/>
  <c r="O6" i="103" s="1"/>
  <c r="O38" i="103" s="1"/>
  <c r="N22" i="103"/>
  <c r="N6" i="103" s="1"/>
  <c r="N38" i="103" s="1"/>
  <c r="M22" i="103"/>
  <c r="M6" i="103" s="1"/>
  <c r="L22" i="103"/>
  <c r="L6" i="103" s="1"/>
  <c r="L38" i="103" s="1"/>
  <c r="K22" i="103"/>
  <c r="K6" i="103" s="1"/>
  <c r="O21" i="103"/>
  <c r="N21" i="103"/>
  <c r="N5" i="103" s="1"/>
  <c r="N37" i="103" s="1"/>
  <c r="M21" i="103"/>
  <c r="M5" i="103" s="1"/>
  <c r="M37" i="103" s="1"/>
  <c r="L21" i="103"/>
  <c r="L5" i="103" s="1"/>
  <c r="L37" i="103" s="1"/>
  <c r="K21" i="103"/>
  <c r="K5" i="103" s="1"/>
  <c r="K37" i="103" s="1"/>
  <c r="O20" i="103"/>
  <c r="O4" i="103" s="1"/>
  <c r="N20" i="103"/>
  <c r="N4" i="103" s="1"/>
  <c r="N36" i="103" s="1"/>
  <c r="M20" i="103"/>
  <c r="M4" i="103" s="1"/>
  <c r="L20" i="103"/>
  <c r="L4" i="103" s="1"/>
  <c r="L36" i="103" s="1"/>
  <c r="K20" i="103"/>
  <c r="K4" i="103" s="1"/>
  <c r="Q19" i="103"/>
  <c r="P19" i="103"/>
  <c r="P3" i="103" s="1"/>
  <c r="O19" i="103"/>
  <c r="P32" i="103" s="1"/>
  <c r="P16" i="103" s="1"/>
  <c r="P48" i="103" s="1"/>
  <c r="N19" i="103"/>
  <c r="N3" i="103" s="1"/>
  <c r="N35" i="103" s="1"/>
  <c r="M19" i="103"/>
  <c r="L19" i="103"/>
  <c r="L3" i="103" s="1"/>
  <c r="K19" i="103"/>
  <c r="K3" i="103" s="1"/>
  <c r="K35" i="103" s="1"/>
  <c r="J16" i="103"/>
  <c r="J48" i="103" s="1"/>
  <c r="I16" i="103"/>
  <c r="H16" i="103"/>
  <c r="G16" i="103"/>
  <c r="J15" i="103"/>
  <c r="J47" i="103" s="1"/>
  <c r="I15" i="103"/>
  <c r="I47" i="103" s="1"/>
  <c r="H15" i="103"/>
  <c r="G15" i="103"/>
  <c r="J14" i="103"/>
  <c r="J46" i="103" s="1"/>
  <c r="I14" i="103"/>
  <c r="H14" i="103"/>
  <c r="G14" i="103"/>
  <c r="J13" i="103"/>
  <c r="J45" i="103" s="1"/>
  <c r="I13" i="103"/>
  <c r="I45" i="103" s="1"/>
  <c r="H13" i="103"/>
  <c r="G13" i="103"/>
  <c r="J12" i="103"/>
  <c r="J44" i="103" s="1"/>
  <c r="I12" i="103"/>
  <c r="H12" i="103"/>
  <c r="J11" i="103"/>
  <c r="J43" i="103" s="1"/>
  <c r="I11" i="103"/>
  <c r="I43" i="103" s="1"/>
  <c r="H11" i="103"/>
  <c r="G11" i="103"/>
  <c r="H43" i="103" s="1"/>
  <c r="J10" i="103"/>
  <c r="J42" i="103" s="1"/>
  <c r="I10" i="103"/>
  <c r="H10" i="103"/>
  <c r="H42" i="103" s="1"/>
  <c r="G10" i="103"/>
  <c r="J9" i="103"/>
  <c r="J41" i="103" s="1"/>
  <c r="I9" i="103"/>
  <c r="I41" i="103" s="1"/>
  <c r="H9" i="103"/>
  <c r="G9" i="103"/>
  <c r="H41" i="103" s="1"/>
  <c r="J8" i="103"/>
  <c r="J40" i="103" s="1"/>
  <c r="I8" i="103"/>
  <c r="H8" i="103"/>
  <c r="H40" i="103" s="1"/>
  <c r="G8" i="103"/>
  <c r="J7" i="103"/>
  <c r="J39" i="103" s="1"/>
  <c r="I7" i="103"/>
  <c r="I39" i="103" s="1"/>
  <c r="H7" i="103"/>
  <c r="G7" i="103"/>
  <c r="H39" i="103" s="1"/>
  <c r="J6" i="103"/>
  <c r="J38" i="103" s="1"/>
  <c r="I6" i="103"/>
  <c r="H6" i="103"/>
  <c r="H38" i="103" s="1"/>
  <c r="G6" i="103"/>
  <c r="J5" i="103"/>
  <c r="J37" i="103" s="1"/>
  <c r="I5" i="103"/>
  <c r="I37" i="103" s="1"/>
  <c r="H5" i="103"/>
  <c r="G5" i="103"/>
  <c r="H37" i="103" s="1"/>
  <c r="J4" i="103"/>
  <c r="J36" i="103" s="1"/>
  <c r="I4" i="103"/>
  <c r="H4" i="103"/>
  <c r="H36" i="103" s="1"/>
  <c r="G4" i="103"/>
  <c r="J3" i="103"/>
  <c r="J35" i="103" s="1"/>
  <c r="I3" i="103"/>
  <c r="I35" i="103" s="1"/>
  <c r="H3" i="103"/>
  <c r="G3" i="103"/>
  <c r="H35" i="103" s="1"/>
  <c r="G12" i="103"/>
  <c r="F28" i="104" s="1"/>
  <c r="AZ3" i="102"/>
  <c r="H11" i="104"/>
  <c r="H12" i="104"/>
  <c r="I7" i="104"/>
  <c r="H4" i="104"/>
  <c r="G5" i="104"/>
  <c r="I9" i="104"/>
  <c r="I11" i="104"/>
  <c r="G4" i="104"/>
  <c r="I14" i="104"/>
  <c r="H9" i="104"/>
  <c r="H15" i="104"/>
  <c r="G9" i="104"/>
  <c r="G8" i="104"/>
  <c r="I5" i="104"/>
  <c r="H10" i="104"/>
  <c r="G10" i="104"/>
  <c r="I15" i="104"/>
  <c r="I16" i="104"/>
  <c r="H6" i="104"/>
  <c r="I3" i="104"/>
  <c r="G3" i="104"/>
  <c r="G14" i="104"/>
  <c r="I4" i="104"/>
  <c r="I6" i="104"/>
  <c r="G13" i="104"/>
  <c r="H14" i="104"/>
  <c r="G15" i="104"/>
  <c r="I10" i="104"/>
  <c r="H5" i="104"/>
  <c r="G16" i="104"/>
  <c r="H8" i="104"/>
  <c r="H3" i="104"/>
  <c r="G6" i="104"/>
  <c r="G11" i="104"/>
  <c r="I12" i="104"/>
  <c r="H16" i="104"/>
  <c r="H13" i="104"/>
  <c r="H7" i="104"/>
  <c r="I13" i="104"/>
  <c r="I8" i="104"/>
  <c r="G7" i="104"/>
  <c r="G12" i="104"/>
  <c r="BF14" i="102" l="1"/>
  <c r="C100" i="105" s="1"/>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362" i="109" s="1"/>
  <c r="K294" i="109"/>
  <c r="K358" i="109" s="1"/>
  <c r="K290" i="109"/>
  <c r="K354" i="109" s="1"/>
  <c r="K301" i="109"/>
  <c r="K365" i="109" s="1"/>
  <c r="K300" i="109"/>
  <c r="K364" i="109" s="1"/>
  <c r="K297" i="109"/>
  <c r="K361" i="109" s="1"/>
  <c r="K293" i="109"/>
  <c r="K357" i="109" s="1"/>
  <c r="K289" i="109"/>
  <c r="K353" i="109" s="1"/>
  <c r="K285" i="109"/>
  <c r="K349" i="109" s="1"/>
  <c r="K281" i="109"/>
  <c r="K345" i="109" s="1"/>
  <c r="K277" i="109"/>
  <c r="K341" i="109" s="1"/>
  <c r="K296" i="109"/>
  <c r="K360" i="109" s="1"/>
  <c r="K292" i="109"/>
  <c r="K356" i="109" s="1"/>
  <c r="K288" i="109"/>
  <c r="K352" i="109" s="1"/>
  <c r="K284" i="109"/>
  <c r="K348" i="109" s="1"/>
  <c r="K280" i="109"/>
  <c r="K344" i="109" s="1"/>
  <c r="K276" i="109"/>
  <c r="K340" i="109" s="1"/>
  <c r="K286" i="109"/>
  <c r="K350" i="109" s="1"/>
  <c r="K282" i="109"/>
  <c r="K346" i="109" s="1"/>
  <c r="K278" i="109"/>
  <c r="K342" i="109" s="1"/>
  <c r="K283" i="109"/>
  <c r="K347" i="109" s="1"/>
  <c r="K295" i="109"/>
  <c r="K359" i="109" s="1"/>
  <c r="K291" i="109"/>
  <c r="K355" i="109" s="1"/>
  <c r="K287" i="109"/>
  <c r="K351" i="109" s="1"/>
  <c r="K279" i="109"/>
  <c r="K343" i="109" s="1"/>
  <c r="K275" i="109"/>
  <c r="K339" i="109" s="1"/>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BG24" i="102"/>
  <c r="H29" i="104"/>
  <c r="I30" i="104"/>
  <c r="G32" i="104"/>
  <c r="I19" i="104"/>
  <c r="G25" i="104"/>
  <c r="I27" i="104"/>
  <c r="H30" i="104"/>
  <c r="H20" i="104"/>
  <c r="I21" i="104"/>
  <c r="G23" i="104"/>
  <c r="H24" i="104"/>
  <c r="I25" i="104"/>
  <c r="G27" i="104"/>
  <c r="H28" i="104"/>
  <c r="BH24" i="102"/>
  <c r="I29" i="104"/>
  <c r="G31" i="104"/>
  <c r="H32" i="104"/>
  <c r="H22" i="104"/>
  <c r="G29" i="104"/>
  <c r="H19" i="104"/>
  <c r="I20" i="104"/>
  <c r="G22" i="104"/>
  <c r="H23" i="104"/>
  <c r="I24" i="104"/>
  <c r="G26" i="104"/>
  <c r="H27" i="104"/>
  <c r="BI24" i="102"/>
  <c r="I28" i="104"/>
  <c r="G30" i="104"/>
  <c r="H31" i="104"/>
  <c r="I32" i="104"/>
  <c r="K72" i="103"/>
  <c r="H44" i="103"/>
  <c r="H45" i="103"/>
  <c r="H47" i="103"/>
  <c r="K38" i="103"/>
  <c r="N44" i="103"/>
  <c r="L46" i="103"/>
  <c r="M46" i="103"/>
  <c r="K43" i="103"/>
  <c r="K36" i="103"/>
  <c r="O36" i="103"/>
  <c r="K40" i="103"/>
  <c r="O40" i="103"/>
  <c r="O44" i="103"/>
  <c r="K39" i="103"/>
  <c r="M40" i="103"/>
  <c r="Q21" i="103"/>
  <c r="Q5" i="103" s="1"/>
  <c r="Q25" i="103"/>
  <c r="Q9" i="103" s="1"/>
  <c r="L44" i="103"/>
  <c r="M44" i="103"/>
  <c r="Q29" i="103"/>
  <c r="Q13" i="103" s="1"/>
  <c r="L48" i="103"/>
  <c r="M48" i="103"/>
  <c r="M36" i="103"/>
  <c r="H46" i="103"/>
  <c r="H48" i="103"/>
  <c r="L35" i="103"/>
  <c r="K42" i="103"/>
  <c r="M38" i="103"/>
  <c r="Q23" i="103"/>
  <c r="Q7" i="103" s="1"/>
  <c r="Q39" i="103" s="1"/>
  <c r="Q27" i="103"/>
  <c r="Q11" i="103" s="1"/>
  <c r="Q31" i="103"/>
  <c r="Q15" i="103" s="1"/>
  <c r="P20" i="103"/>
  <c r="P4" i="103" s="1"/>
  <c r="P36" i="103" s="1"/>
  <c r="P26" i="103"/>
  <c r="P10" i="103" s="1"/>
  <c r="P42" i="103" s="1"/>
  <c r="P30" i="103"/>
  <c r="P14" i="103" s="1"/>
  <c r="P46" i="103" s="1"/>
  <c r="Q20" i="103"/>
  <c r="Q4" i="103" s="1"/>
  <c r="Q36" i="103" s="1"/>
  <c r="Q22" i="103"/>
  <c r="Q6" i="103" s="1"/>
  <c r="Q24" i="103"/>
  <c r="Q8" i="103" s="1"/>
  <c r="Q26" i="103"/>
  <c r="Q10" i="103" s="1"/>
  <c r="Q42" i="103" s="1"/>
  <c r="Q28" i="103"/>
  <c r="Q12" i="103" s="1"/>
  <c r="Q30" i="103"/>
  <c r="Q14" i="103" s="1"/>
  <c r="Q32" i="103"/>
  <c r="Q16" i="103" s="1"/>
  <c r="Q48" i="103" s="1"/>
  <c r="P22" i="103"/>
  <c r="P6" i="103" s="1"/>
  <c r="P38" i="103" s="1"/>
  <c r="P28" i="103"/>
  <c r="P12" i="103" s="1"/>
  <c r="P21" i="103"/>
  <c r="P5" i="103" s="1"/>
  <c r="P23" i="103"/>
  <c r="P7" i="103" s="1"/>
  <c r="P39" i="103" s="1"/>
  <c r="P25" i="103"/>
  <c r="P9" i="103" s="1"/>
  <c r="P41" i="103" s="1"/>
  <c r="P27" i="103"/>
  <c r="P11" i="103" s="1"/>
  <c r="P29" i="103"/>
  <c r="P13" i="103" s="1"/>
  <c r="P31" i="103"/>
  <c r="P15" i="103" s="1"/>
  <c r="P47" i="103" s="1"/>
  <c r="O3" i="103"/>
  <c r="O35" i="103" s="1"/>
  <c r="O7" i="103"/>
  <c r="O39" i="103" s="1"/>
  <c r="O11" i="103"/>
  <c r="O43" i="103" s="1"/>
  <c r="O15" i="103"/>
  <c r="O47" i="103" s="1"/>
  <c r="P24" i="103"/>
  <c r="P8" i="103" s="1"/>
  <c r="P40" i="103" s="1"/>
  <c r="O5" i="103"/>
  <c r="O37" i="103" s="1"/>
  <c r="O9" i="103"/>
  <c r="O41" i="103" s="1"/>
  <c r="O13" i="103"/>
  <c r="O45" i="103" s="1"/>
  <c r="C38" i="105" l="1"/>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361" i="109" s="1"/>
  <c r="L293" i="109"/>
  <c r="L289" i="109"/>
  <c r="L296" i="109"/>
  <c r="L292" i="109"/>
  <c r="L288" i="109"/>
  <c r="L284" i="109"/>
  <c r="L280" i="109"/>
  <c r="L344" i="109" s="1"/>
  <c r="L286" i="109"/>
  <c r="L350" i="109" s="1"/>
  <c r="L282" i="109"/>
  <c r="L278" i="109"/>
  <c r="L299" i="109"/>
  <c r="L285" i="109"/>
  <c r="L349" i="109" s="1"/>
  <c r="L295" i="109"/>
  <c r="L291" i="109"/>
  <c r="L287" i="109"/>
  <c r="L351" i="109" s="1"/>
  <c r="L283" i="109"/>
  <c r="L279" i="109"/>
  <c r="L276" i="109"/>
  <c r="L298" i="109"/>
  <c r="L362" i="109" s="1"/>
  <c r="L294" i="109"/>
  <c r="L358" i="109" s="1"/>
  <c r="L290" i="109"/>
  <c r="L275" i="109"/>
  <c r="L302" i="109"/>
  <c r="L366" i="109" s="1"/>
  <c r="L277" i="109"/>
  <c r="L341" i="109" s="1"/>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5" i="105"/>
  <c r="S15" i="105" s="1"/>
  <c r="U15" i="108" s="1"/>
  <c r="Q102" i="105"/>
  <c r="S102" i="105" s="1"/>
  <c r="U102" i="108" s="1"/>
  <c r="Q76" i="105"/>
  <c r="S76" i="105" s="1"/>
  <c r="U76" i="108" s="1"/>
  <c r="Q85" i="105"/>
  <c r="S85" i="105" s="1"/>
  <c r="U85" i="108" s="1"/>
  <c r="Q100" i="105"/>
  <c r="S100" i="105" s="1"/>
  <c r="U100" i="108" s="1"/>
  <c r="K69" i="103"/>
  <c r="K52" i="103" s="1"/>
  <c r="L72" i="103"/>
  <c r="P45" i="103"/>
  <c r="P37" i="103"/>
  <c r="Q46" i="103"/>
  <c r="Q38" i="103"/>
  <c r="Q47" i="103"/>
  <c r="Q45" i="103"/>
  <c r="Q41" i="103"/>
  <c r="Q40" i="103"/>
  <c r="P43" i="103"/>
  <c r="P44" i="103"/>
  <c r="Q44" i="103"/>
  <c r="Q43" i="103"/>
  <c r="P35" i="103"/>
  <c r="Q37" i="103"/>
  <c r="AX8" i="108"/>
  <c r="Q72" i="105" l="1"/>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360" i="109" s="1"/>
  <c r="M292" i="109"/>
  <c r="M356" i="109" s="1"/>
  <c r="M288" i="109"/>
  <c r="M352" i="109" s="1"/>
  <c r="M302" i="109"/>
  <c r="M366" i="109" s="1"/>
  <c r="M295" i="109"/>
  <c r="M359" i="109" s="1"/>
  <c r="M291" i="109"/>
  <c r="M355" i="109" s="1"/>
  <c r="M287" i="109"/>
  <c r="M283" i="109"/>
  <c r="M347" i="109" s="1"/>
  <c r="M279" i="109"/>
  <c r="M343" i="109" s="1"/>
  <c r="M276" i="109"/>
  <c r="M340" i="109" s="1"/>
  <c r="M275" i="109"/>
  <c r="M339" i="109" s="1"/>
  <c r="M281" i="109"/>
  <c r="M345" i="109" s="1"/>
  <c r="M277" i="109"/>
  <c r="M341" i="109" s="1"/>
  <c r="M298" i="109"/>
  <c r="M362" i="109" s="1"/>
  <c r="M294" i="109"/>
  <c r="M358" i="109" s="1"/>
  <c r="M290" i="109"/>
  <c r="M354" i="109" s="1"/>
  <c r="M284" i="109"/>
  <c r="M348" i="109" s="1"/>
  <c r="M280" i="109"/>
  <c r="M299" i="109"/>
  <c r="M363" i="109" s="1"/>
  <c r="M297" i="109"/>
  <c r="M361" i="109" s="1"/>
  <c r="M293" i="109"/>
  <c r="M357" i="109" s="1"/>
  <c r="M289" i="109"/>
  <c r="M353" i="109" s="1"/>
  <c r="M285" i="109"/>
  <c r="M286" i="109"/>
  <c r="M282" i="109"/>
  <c r="M346" i="109" s="1"/>
  <c r="M278" i="109"/>
  <c r="M342" i="109" s="1"/>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BP43" i="102"/>
  <c r="BO43" i="102"/>
  <c r="BN43" i="102"/>
  <c r="BM43" i="102"/>
  <c r="BL43" i="102"/>
  <c r="BK43" i="102"/>
  <c r="BJ43" i="102"/>
  <c r="BI43" i="102"/>
  <c r="BH43" i="102"/>
  <c r="BG43" i="102"/>
  <c r="BF43" i="102"/>
  <c r="M350" i="109" l="1"/>
  <c r="M365" i="109"/>
  <c r="M349" i="109"/>
  <c r="M351" i="109"/>
  <c r="M344" i="109"/>
  <c r="O47" i="109"/>
  <c r="N299" i="109"/>
  <c r="N302" i="109"/>
  <c r="N366" i="109" s="1"/>
  <c r="N295" i="109"/>
  <c r="N291" i="109"/>
  <c r="N298" i="109"/>
  <c r="N294" i="109"/>
  <c r="N290" i="109"/>
  <c r="N286" i="109"/>
  <c r="N282" i="109"/>
  <c r="N278" i="109"/>
  <c r="N342" i="109" s="1"/>
  <c r="N287" i="109"/>
  <c r="N284" i="109"/>
  <c r="N283" i="109"/>
  <c r="N280" i="109"/>
  <c r="N279" i="109"/>
  <c r="N275" i="109"/>
  <c r="N300" i="109"/>
  <c r="N364" i="109" s="1"/>
  <c r="N296" i="109"/>
  <c r="N360" i="109" s="1"/>
  <c r="N297" i="109"/>
  <c r="N293" i="109"/>
  <c r="N289" i="109"/>
  <c r="N285" i="109"/>
  <c r="N349" i="109" s="1"/>
  <c r="N281" i="109"/>
  <c r="N277" i="109"/>
  <c r="N301" i="109"/>
  <c r="N292" i="109"/>
  <c r="N288" i="109"/>
  <c r="N276" i="109"/>
  <c r="O48" i="109"/>
  <c r="N333" i="109"/>
  <c r="N329" i="109"/>
  <c r="N332" i="109"/>
  <c r="N328" i="109"/>
  <c r="N324" i="109"/>
  <c r="N320" i="109"/>
  <c r="N316" i="109"/>
  <c r="N331" i="109"/>
  <c r="N327" i="109"/>
  <c r="N315" i="109"/>
  <c r="N311" i="109"/>
  <c r="N307" i="109"/>
  <c r="N326" i="109"/>
  <c r="N325" i="109"/>
  <c r="BF1160" i="102" s="1"/>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56" i="109" l="1"/>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BF1159" i="102"/>
  <c r="N357" i="109"/>
  <c r="N339" i="109"/>
  <c r="N348" i="109"/>
  <c r="N350" i="109"/>
  <c r="N355" i="109"/>
  <c r="P47" i="109"/>
  <c r="O302" i="109"/>
  <c r="O366" i="109" s="1"/>
  <c r="O298" i="109"/>
  <c r="O362" i="109" s="1"/>
  <c r="O294" i="109"/>
  <c r="O358" i="109" s="1"/>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346" i="109" s="1"/>
  <c r="O278" i="109"/>
  <c r="O342" i="109" s="1"/>
  <c r="O276" i="109"/>
  <c r="O340" i="109" s="1"/>
  <c r="O287" i="109"/>
  <c r="O351" i="109" s="1"/>
  <c r="O301" i="109"/>
  <c r="O365" i="109" s="1"/>
  <c r="O300" i="109"/>
  <c r="O364" i="109" s="1"/>
  <c r="O296" i="109"/>
  <c r="O292" i="109"/>
  <c r="O356" i="109" s="1"/>
  <c r="O288" i="109"/>
  <c r="O352" i="109" s="1"/>
  <c r="O286" i="109"/>
  <c r="O350" i="109" s="1"/>
  <c r="O284" i="109"/>
  <c r="O348" i="109" s="1"/>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60" i="109" l="1"/>
  <c r="Q47" i="109"/>
  <c r="P301" i="109"/>
  <c r="P299" i="109"/>
  <c r="P363" i="109" s="1"/>
  <c r="P297" i="109"/>
  <c r="P293" i="109"/>
  <c r="P289" i="109"/>
  <c r="P353" i="109" s="1"/>
  <c r="P300" i="109"/>
  <c r="P296" i="109"/>
  <c r="P292" i="109"/>
  <c r="P288" i="109"/>
  <c r="P352" i="109" s="1"/>
  <c r="P284" i="109"/>
  <c r="P348" i="109" s="1"/>
  <c r="P280" i="109"/>
  <c r="P298" i="109"/>
  <c r="P294" i="109"/>
  <c r="P358" i="109" s="1"/>
  <c r="P290" i="109"/>
  <c r="P354" i="109" s="1"/>
  <c r="P285" i="109"/>
  <c r="P281" i="109"/>
  <c r="P277" i="109"/>
  <c r="P276" i="109"/>
  <c r="P340" i="109" s="1"/>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R48" i="109" l="1"/>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52" i="109" s="1"/>
  <c r="Q301" i="109"/>
  <c r="Q365" i="109" s="1"/>
  <c r="Q295" i="109"/>
  <c r="Q359" i="109" s="1"/>
  <c r="Q291" i="109"/>
  <c r="Q355" i="109" s="1"/>
  <c r="Q287" i="109"/>
  <c r="Q351" i="109" s="1"/>
  <c r="Q283" i="109"/>
  <c r="Q347" i="109" s="1"/>
  <c r="Q279" i="109"/>
  <c r="Q343" i="109" s="1"/>
  <c r="Q297" i="109"/>
  <c r="Q361" i="109" s="1"/>
  <c r="Q293" i="109"/>
  <c r="Q357" i="109" s="1"/>
  <c r="Q289" i="109"/>
  <c r="Q353" i="109" s="1"/>
  <c r="Q286" i="109"/>
  <c r="Q350" i="109" s="1"/>
  <c r="Q282" i="109"/>
  <c r="Q346" i="109" s="1"/>
  <c r="Q278" i="109"/>
  <c r="Q342" i="109" s="1"/>
  <c r="Q276" i="109"/>
  <c r="Q340" i="109" s="1"/>
  <c r="Q275" i="109"/>
  <c r="Q339" i="109" s="1"/>
  <c r="Q280" i="109"/>
  <c r="Q344" i="109" s="1"/>
  <c r="Q298" i="109"/>
  <c r="Q362" i="109" s="1"/>
  <c r="Q290" i="109"/>
  <c r="Q354" i="109" s="1"/>
  <c r="Q281" i="109"/>
  <c r="Q345" i="109" s="1"/>
  <c r="Q302" i="109"/>
  <c r="Q366" i="109" s="1"/>
  <c r="Q299" i="109"/>
  <c r="Q363" i="109" s="1"/>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Q69" i="103" s="1"/>
  <c r="Q52" i="103" s="1"/>
  <c r="P69" i="103"/>
  <c r="P52" i="103" s="1"/>
  <c r="O63" i="103"/>
  <c r="O59" i="103"/>
  <c r="O55" i="103"/>
  <c r="O58" i="103"/>
  <c r="O64" i="103"/>
  <c r="O60" i="103"/>
  <c r="O56" i="103"/>
  <c r="O54" i="103"/>
  <c r="O65" i="103"/>
  <c r="O61" i="103"/>
  <c r="O57" i="103"/>
  <c r="O53" i="103"/>
  <c r="O62" i="103"/>
  <c r="S47" i="109" l="1"/>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343" i="109" s="1"/>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53" i="109" l="1"/>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BG1160" i="102" s="1"/>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358" i="109" s="1"/>
  <c r="S290" i="109"/>
  <c r="S354" i="109" s="1"/>
  <c r="S297" i="109"/>
  <c r="S361" i="109" s="1"/>
  <c r="S293" i="109"/>
  <c r="S289" i="109"/>
  <c r="S353" i="109" s="1"/>
  <c r="S285" i="109"/>
  <c r="S281" i="109"/>
  <c r="S345" i="109" s="1"/>
  <c r="S277" i="109"/>
  <c r="S341" i="109" s="1"/>
  <c r="S299" i="109"/>
  <c r="S363" i="109" s="1"/>
  <c r="S296" i="109"/>
  <c r="S360" i="109" s="1"/>
  <c r="S292" i="109"/>
  <c r="S356" i="109" s="1"/>
  <c r="S288" i="109"/>
  <c r="S352" i="109" s="1"/>
  <c r="S287" i="109"/>
  <c r="S351" i="109" s="1"/>
  <c r="S284" i="109"/>
  <c r="S348" i="109" s="1"/>
  <c r="S283" i="109"/>
  <c r="S347" i="109" s="1"/>
  <c r="S280" i="109"/>
  <c r="S344" i="109" s="1"/>
  <c r="S279" i="109"/>
  <c r="S282" i="109"/>
  <c r="S346" i="109" s="1"/>
  <c r="S301" i="109"/>
  <c r="S365" i="109" s="1"/>
  <c r="S300" i="109"/>
  <c r="S364" i="109" s="1"/>
  <c r="S295" i="109"/>
  <c r="S359" i="109" s="1"/>
  <c r="S291" i="109"/>
  <c r="S355" i="109" s="1"/>
  <c r="S276" i="109"/>
  <c r="S340" i="109" s="1"/>
  <c r="S286" i="109"/>
  <c r="S350" i="109" s="1"/>
  <c r="S275" i="109"/>
  <c r="S339" i="109" s="1"/>
  <c r="S278" i="109"/>
  <c r="S342" i="109" s="1"/>
  <c r="AD31" i="105"/>
  <c r="AD31" i="108"/>
  <c r="AD43" i="105"/>
  <c r="AD43" i="108"/>
  <c r="AD46" i="105"/>
  <c r="AD46" i="108"/>
  <c r="AD48" i="105"/>
  <c r="AD48" i="108"/>
  <c r="AD38" i="105"/>
  <c r="AD38" i="108"/>
  <c r="AC50" i="105"/>
  <c r="AD50" i="108"/>
  <c r="AD47" i="105"/>
  <c r="AD47" i="108"/>
  <c r="AC38" i="105"/>
  <c r="AC48" i="105"/>
  <c r="AC43" i="105"/>
  <c r="AC31" i="105"/>
  <c r="AC46" i="105"/>
  <c r="AC47" i="105"/>
  <c r="AD50" i="105"/>
  <c r="S343" i="109" l="1"/>
  <c r="BG1159" i="102"/>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348" i="109" s="1"/>
  <c r="T280" i="109"/>
  <c r="T344" i="109" s="1"/>
  <c r="T300" i="109"/>
  <c r="T364" i="109" s="1"/>
  <c r="T276" i="109"/>
  <c r="T278" i="109"/>
  <c r="T342" i="109" s="1"/>
  <c r="T283" i="109"/>
  <c r="T347" i="109" s="1"/>
  <c r="T295" i="109"/>
  <c r="T359" i="109" s="1"/>
  <c r="T291" i="109"/>
  <c r="T355" i="109" s="1"/>
  <c r="T285" i="109"/>
  <c r="T349" i="109" s="1"/>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AL86" i="108" l="1"/>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359" i="109" s="1"/>
  <c r="U291" i="109"/>
  <c r="U287" i="109"/>
  <c r="U351" i="109" s="1"/>
  <c r="U283" i="109"/>
  <c r="U279" i="109"/>
  <c r="U343" i="109" s="1"/>
  <c r="U302" i="109"/>
  <c r="U366" i="109" s="1"/>
  <c r="U301" i="109"/>
  <c r="U365" i="109" s="1"/>
  <c r="U285" i="109"/>
  <c r="U349" i="109" s="1"/>
  <c r="U281" i="109"/>
  <c r="U345" i="109" s="1"/>
  <c r="U277" i="109"/>
  <c r="U341" i="109" s="1"/>
  <c r="U276" i="109"/>
  <c r="U340" i="109" s="1"/>
  <c r="U275" i="109"/>
  <c r="U339" i="109" s="1"/>
  <c r="U284" i="109"/>
  <c r="U348" i="109" s="1"/>
  <c r="U298" i="109"/>
  <c r="U362" i="109" s="1"/>
  <c r="U294" i="109"/>
  <c r="U358" i="109" s="1"/>
  <c r="U290" i="109"/>
  <c r="U286" i="109"/>
  <c r="U350" i="109" s="1"/>
  <c r="U282" i="109"/>
  <c r="U346" i="109" s="1"/>
  <c r="U278" i="109"/>
  <c r="U342" i="109" s="1"/>
  <c r="U297" i="109"/>
  <c r="U361" i="109" s="1"/>
  <c r="U293" i="109"/>
  <c r="U357" i="109" s="1"/>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W47" i="109" l="1"/>
  <c r="V299" i="109"/>
  <c r="V295" i="109"/>
  <c r="V291" i="109"/>
  <c r="V355" i="109" s="1"/>
  <c r="V301" i="109"/>
  <c r="V300" i="109"/>
  <c r="V298" i="109"/>
  <c r="V294" i="109"/>
  <c r="V290" i="109"/>
  <c r="V286" i="109"/>
  <c r="V282" i="109"/>
  <c r="V278" i="109"/>
  <c r="V342" i="109" s="1"/>
  <c r="V275" i="109"/>
  <c r="V283" i="109"/>
  <c r="V280" i="109"/>
  <c r="V279" i="109"/>
  <c r="V302" i="109"/>
  <c r="V292" i="109"/>
  <c r="V288" i="109"/>
  <c r="V285" i="109"/>
  <c r="V349" i="109" s="1"/>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X48" i="109" l="1"/>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66" i="109" s="1"/>
  <c r="W301" i="109"/>
  <c r="W365" i="109" s="1"/>
  <c r="W300" i="109"/>
  <c r="W298" i="109"/>
  <c r="W362" i="109" s="1"/>
  <c r="W294" i="109"/>
  <c r="W358" i="109" s="1"/>
  <c r="W290" i="109"/>
  <c r="W354" i="109" s="1"/>
  <c r="W297" i="109"/>
  <c r="W361" i="109" s="1"/>
  <c r="W293" i="109"/>
  <c r="W289" i="109"/>
  <c r="W353" i="109" s="1"/>
  <c r="W285" i="109"/>
  <c r="W281" i="109"/>
  <c r="W345" i="109" s="1"/>
  <c r="W277" i="109"/>
  <c r="W295" i="109"/>
  <c r="W359" i="109" s="1"/>
  <c r="W291" i="109"/>
  <c r="W286" i="109"/>
  <c r="W350" i="109" s="1"/>
  <c r="W282" i="109"/>
  <c r="W346" i="109" s="1"/>
  <c r="W278" i="109"/>
  <c r="W342" i="109" s="1"/>
  <c r="W276" i="109"/>
  <c r="W340" i="109" s="1"/>
  <c r="W287" i="109"/>
  <c r="W351" i="109" s="1"/>
  <c r="W284" i="109"/>
  <c r="W348" i="109" s="1"/>
  <c r="W283" i="109"/>
  <c r="W347" i="109" s="1"/>
  <c r="W280" i="109"/>
  <c r="W344" i="109" s="1"/>
  <c r="W279" i="109"/>
  <c r="W343" i="109" s="1"/>
  <c r="W296" i="109"/>
  <c r="W360" i="109" s="1"/>
  <c r="W292" i="109"/>
  <c r="W356" i="109" s="1"/>
  <c r="W288" i="109"/>
  <c r="W299" i="109"/>
  <c r="W363" i="109" s="1"/>
  <c r="W275" i="109"/>
  <c r="W339" i="109" s="1"/>
  <c r="W364" i="109" l="1"/>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BH1160" i="102" s="1"/>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356" i="109" s="1"/>
  <c r="Y288" i="109"/>
  <c r="Y352" i="109" s="1"/>
  <c r="Y299" i="109"/>
  <c r="Y363" i="109" s="1"/>
  <c r="Y295" i="109"/>
  <c r="Y359" i="109" s="1"/>
  <c r="Y291" i="109"/>
  <c r="Y355" i="109" s="1"/>
  <c r="Y287" i="109"/>
  <c r="Y351" i="109" s="1"/>
  <c r="Y283" i="109"/>
  <c r="Y347" i="109" s="1"/>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BH1159" i="102"/>
  <c r="X357" i="109"/>
  <c r="X350" i="109"/>
  <c r="X363" i="109"/>
  <c r="X359" i="109"/>
  <c r="X351" i="109"/>
  <c r="X344" i="109"/>
  <c r="X360" i="109"/>
  <c r="X361" i="109"/>
  <c r="AA47" i="109" l="1"/>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358" i="109" s="1"/>
  <c r="AA290" i="109"/>
  <c r="AA354" i="109" s="1"/>
  <c r="AA301" i="109"/>
  <c r="AA300" i="109"/>
  <c r="AA364" i="109" s="1"/>
  <c r="AA297" i="109"/>
  <c r="AA293" i="109"/>
  <c r="AA357" i="109" s="1"/>
  <c r="AA289" i="109"/>
  <c r="AA353" i="109" s="1"/>
  <c r="AA285" i="109"/>
  <c r="AA349" i="109" s="1"/>
  <c r="AA281" i="109"/>
  <c r="AA277" i="109"/>
  <c r="AA341" i="109" s="1"/>
  <c r="AA296" i="109"/>
  <c r="AA360" i="109" s="1"/>
  <c r="AA292" i="109"/>
  <c r="AA288" i="109"/>
  <c r="AA352" i="109" s="1"/>
  <c r="AA280" i="109"/>
  <c r="AA344" i="109" s="1"/>
  <c r="AA279" i="109"/>
  <c r="AA343" i="109" s="1"/>
  <c r="AA286" i="109"/>
  <c r="AA350" i="109" s="1"/>
  <c r="AA282" i="109"/>
  <c r="AA346" i="109" s="1"/>
  <c r="AA278" i="109"/>
  <c r="AA342" i="109" s="1"/>
  <c r="AA283" i="109"/>
  <c r="AA295" i="109"/>
  <c r="AA291" i="109"/>
  <c r="AA355" i="109" s="1"/>
  <c r="AA287" i="109"/>
  <c r="AA351" i="109" s="1"/>
  <c r="AA284" i="109"/>
  <c r="AA348" i="109" s="1"/>
  <c r="AA276" i="109"/>
  <c r="AA340" i="109" s="1"/>
  <c r="AA275" i="109"/>
  <c r="AA339" i="109" s="1"/>
  <c r="AA347" i="109" l="1"/>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360" i="109" s="1"/>
  <c r="AB292" i="109"/>
  <c r="AB356" i="109" s="1"/>
  <c r="AB288" i="109"/>
  <c r="AB352" i="109" s="1"/>
  <c r="AB284" i="109"/>
  <c r="AB348" i="109" s="1"/>
  <c r="AB280" i="109"/>
  <c r="AB344" i="109" s="1"/>
  <c r="AB276" i="109"/>
  <c r="AB340" i="109" s="1"/>
  <c r="AB286" i="109"/>
  <c r="AB350" i="109" s="1"/>
  <c r="AB282" i="109"/>
  <c r="AB346" i="109" s="1"/>
  <c r="AB278" i="109"/>
  <c r="AB342" i="109" s="1"/>
  <c r="AB275" i="109"/>
  <c r="AB339" i="109" s="1"/>
  <c r="AB281" i="109"/>
  <c r="AB345" i="109" s="1"/>
  <c r="AB302" i="109"/>
  <c r="AB366" i="109" s="1"/>
  <c r="AB299" i="109"/>
  <c r="AB295" i="109"/>
  <c r="AB359" i="109" s="1"/>
  <c r="AB291" i="109"/>
  <c r="AB355" i="109" s="1"/>
  <c r="AB287" i="109"/>
  <c r="AB351" i="109" s="1"/>
  <c r="AB283" i="109"/>
  <c r="AB347" i="109" s="1"/>
  <c r="AB279" i="109"/>
  <c r="AB343" i="109" s="1"/>
  <c r="AB298" i="109"/>
  <c r="AB362" i="109" s="1"/>
  <c r="AB294" i="109"/>
  <c r="AB290" i="109"/>
  <c r="AB354" i="109" s="1"/>
  <c r="AB285" i="109"/>
  <c r="AB349" i="109" s="1"/>
  <c r="AB277" i="109"/>
  <c r="AA361" i="109"/>
  <c r="AA359" i="109"/>
  <c r="AA356" i="109"/>
  <c r="AA362" i="109"/>
  <c r="AB363" i="109" l="1"/>
  <c r="AB364" i="109"/>
  <c r="AD48" i="109"/>
  <c r="AC334" i="109"/>
  <c r="AC330" i="109"/>
  <c r="AC326" i="109"/>
  <c r="AC333" i="109"/>
  <c r="AC329" i="109"/>
  <c r="AC325" i="109"/>
  <c r="BI1160" i="102" s="1"/>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52" i="109" s="1"/>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362" i="109" s="1"/>
  <c r="AC294" i="109"/>
  <c r="AC358" i="109" s="1"/>
  <c r="AC290" i="109"/>
  <c r="AC284" i="109"/>
  <c r="AC348" i="109" s="1"/>
  <c r="AC280" i="109"/>
  <c r="AC344" i="109" s="1"/>
  <c r="AC297" i="109"/>
  <c r="AC361" i="109" s="1"/>
  <c r="AC293" i="109"/>
  <c r="AC289" i="109"/>
  <c r="AC353" i="109" s="1"/>
  <c r="AC285" i="109"/>
  <c r="AC349" i="109" s="1"/>
  <c r="AC277" i="109"/>
  <c r="AC341" i="109" s="1"/>
  <c r="AC286" i="109"/>
  <c r="AC350" i="109" s="1"/>
  <c r="AC278" i="109"/>
  <c r="AC342" i="109" l="1"/>
  <c r="AC355" i="109"/>
  <c r="AC356" i="109"/>
  <c r="AE47" i="109"/>
  <c r="AD299" i="109"/>
  <c r="AD302" i="109"/>
  <c r="AD295" i="109"/>
  <c r="AD291" i="109"/>
  <c r="AD355" i="109" s="1"/>
  <c r="AD298" i="109"/>
  <c r="AD294" i="109"/>
  <c r="AD290" i="109"/>
  <c r="AD286" i="109"/>
  <c r="AD350" i="109" s="1"/>
  <c r="AD282" i="109"/>
  <c r="AD278" i="109"/>
  <c r="AD287" i="109"/>
  <c r="AD284" i="109"/>
  <c r="AD283" i="109"/>
  <c r="AD280" i="109"/>
  <c r="AD279" i="109"/>
  <c r="AD276" i="109"/>
  <c r="AD340" i="109" s="1"/>
  <c r="AD275" i="109"/>
  <c r="AD296" i="109"/>
  <c r="AD360" i="109" s="1"/>
  <c r="AD301" i="109"/>
  <c r="AD300" i="109"/>
  <c r="AD297" i="109"/>
  <c r="AD293" i="109"/>
  <c r="AD289" i="109"/>
  <c r="AD285" i="109"/>
  <c r="AD349" i="109" s="1"/>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BI1159" i="102"/>
  <c r="AC357" i="109"/>
  <c r="AC354" i="109"/>
  <c r="AC360" i="109"/>
  <c r="AD364" i="109" l="1"/>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363" i="109" s="1"/>
  <c r="AF297" i="109"/>
  <c r="AF293" i="109"/>
  <c r="AF289" i="109"/>
  <c r="AF300" i="109"/>
  <c r="AF296" i="109"/>
  <c r="AF292" i="109"/>
  <c r="AF288" i="109"/>
  <c r="AF284" i="109"/>
  <c r="AF348" i="109" s="1"/>
  <c r="AF280" i="109"/>
  <c r="AF276" i="109"/>
  <c r="AF302" i="109"/>
  <c r="AF298" i="109"/>
  <c r="AF294" i="109"/>
  <c r="AF290" i="109"/>
  <c r="AF285" i="109"/>
  <c r="AF281" i="109"/>
  <c r="AF345" i="109" s="1"/>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62" i="109" l="1"/>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360" i="109" s="1"/>
  <c r="AG292" i="109"/>
  <c r="AG288" i="109"/>
  <c r="AG352" i="109" s="1"/>
  <c r="AG301" i="109"/>
  <c r="AG365" i="109" s="1"/>
  <c r="AG295" i="109"/>
  <c r="AG359" i="109" s="1"/>
  <c r="AG291" i="109"/>
  <c r="AG287" i="109"/>
  <c r="AG351" i="109" s="1"/>
  <c r="AG283" i="109"/>
  <c r="AG347" i="109" s="1"/>
  <c r="AG279" i="109"/>
  <c r="AG343" i="109" s="1"/>
  <c r="AG297" i="109"/>
  <c r="AG361" i="109" s="1"/>
  <c r="AG293" i="109"/>
  <c r="AG289" i="109"/>
  <c r="AG286" i="109"/>
  <c r="AG350" i="109" s="1"/>
  <c r="AG282" i="109"/>
  <c r="AG278" i="109"/>
  <c r="AG342" i="109" s="1"/>
  <c r="AG275" i="109"/>
  <c r="AG339" i="109" s="1"/>
  <c r="AG280" i="109"/>
  <c r="AG344" i="109" s="1"/>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41" i="109" l="1"/>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356" i="109" s="1"/>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BJ1160" i="102" s="1"/>
  <c r="AH322" i="109"/>
  <c r="AH321" i="109"/>
  <c r="AH318" i="109"/>
  <c r="AH317" i="109"/>
  <c r="AH313" i="109"/>
  <c r="AH309" i="109"/>
  <c r="AH308" i="109"/>
  <c r="AH323" i="109"/>
  <c r="AH312" i="109"/>
  <c r="AH310" i="109"/>
  <c r="AH314" i="109"/>
  <c r="AH319" i="109"/>
  <c r="AH349" i="109" l="1"/>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BJ1159" i="102"/>
  <c r="AH357" i="109"/>
  <c r="AH342" i="109"/>
  <c r="AH358" i="109"/>
  <c r="AH359" i="109"/>
  <c r="AJ47" i="109"/>
  <c r="AI302" i="109"/>
  <c r="AI366" i="109" s="1"/>
  <c r="AI298" i="109"/>
  <c r="AI362" i="109" s="1"/>
  <c r="AI294" i="109"/>
  <c r="AI358" i="109" s="1"/>
  <c r="AI290" i="109"/>
  <c r="AI297" i="109"/>
  <c r="AI361" i="109" s="1"/>
  <c r="AI293" i="109"/>
  <c r="AI357" i="109" s="1"/>
  <c r="AI289" i="109"/>
  <c r="AI353" i="109" s="1"/>
  <c r="AI285" i="109"/>
  <c r="AI349" i="109" s="1"/>
  <c r="AI281" i="109"/>
  <c r="AI345" i="109" s="1"/>
  <c r="AI277" i="109"/>
  <c r="AI341" i="109" s="1"/>
  <c r="AI296" i="109"/>
  <c r="AI360" i="109" s="1"/>
  <c r="AI292" i="109"/>
  <c r="AI288" i="109"/>
  <c r="AI352" i="109" s="1"/>
  <c r="AI287" i="109"/>
  <c r="AI284" i="109"/>
  <c r="AI348" i="109" s="1"/>
  <c r="AI283" i="109"/>
  <c r="AI347" i="109" s="1"/>
  <c r="AI280" i="109"/>
  <c r="AI279" i="109"/>
  <c r="AI343" i="109" s="1"/>
  <c r="AI276" i="109"/>
  <c r="AI340" i="109" s="1"/>
  <c r="AI300" i="109"/>
  <c r="AI364" i="109" s="1"/>
  <c r="AI299" i="109"/>
  <c r="AI363" i="109" s="1"/>
  <c r="AI295" i="109"/>
  <c r="AI359" i="109" s="1"/>
  <c r="AI291" i="109"/>
  <c r="AI355" i="109" s="1"/>
  <c r="AI301" i="109"/>
  <c r="AI365" i="109" s="1"/>
  <c r="AI286" i="109"/>
  <c r="AI350" i="109" s="1"/>
  <c r="AI282" i="109"/>
  <c r="AI346" i="109" s="1"/>
  <c r="AI278" i="109"/>
  <c r="AI342" i="109" s="1"/>
  <c r="AI275" i="109"/>
  <c r="AI339" i="109" s="1"/>
  <c r="AH344" i="109"/>
  <c r="AH341" i="109"/>
  <c r="AH346" i="109"/>
  <c r="AH362" i="109"/>
  <c r="AH364" i="109"/>
  <c r="AI351" i="109" l="1"/>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366" i="109" s="1"/>
  <c r="AJ298" i="109"/>
  <c r="AJ362" i="109" s="1"/>
  <c r="AJ297" i="109"/>
  <c r="AJ293" i="109"/>
  <c r="AJ357" i="109" s="1"/>
  <c r="AJ289" i="109"/>
  <c r="AJ353" i="109" s="1"/>
  <c r="AJ299" i="109"/>
  <c r="AJ296" i="109"/>
  <c r="AJ360" i="109" s="1"/>
  <c r="AJ292" i="109"/>
  <c r="AJ356" i="109" s="1"/>
  <c r="AJ288" i="109"/>
  <c r="AJ352" i="109" s="1"/>
  <c r="AJ284" i="109"/>
  <c r="AJ348" i="109" s="1"/>
  <c r="AJ280" i="109"/>
  <c r="AJ276" i="109"/>
  <c r="AJ340" i="109" s="1"/>
  <c r="AJ282" i="109"/>
  <c r="AJ346" i="109" s="1"/>
  <c r="AJ278" i="109"/>
  <c r="AJ342" i="109" s="1"/>
  <c r="AJ275" i="109"/>
  <c r="AJ287" i="109"/>
  <c r="AJ351" i="109" s="1"/>
  <c r="AJ283" i="109"/>
  <c r="AJ347" i="109" s="1"/>
  <c r="AJ295" i="109"/>
  <c r="AJ359" i="109" s="1"/>
  <c r="AJ291" i="109"/>
  <c r="AJ285" i="109"/>
  <c r="AJ349" i="109" s="1"/>
  <c r="AJ281" i="109"/>
  <c r="AJ345" i="109" s="1"/>
  <c r="AJ277" i="109"/>
  <c r="AJ341" i="109" s="1"/>
  <c r="AJ300" i="109"/>
  <c r="AJ364" i="109" s="1"/>
  <c r="AJ294" i="109"/>
  <c r="AJ290" i="109"/>
  <c r="AJ354" i="109" s="1"/>
  <c r="AJ286" i="109"/>
  <c r="AJ350" i="109" s="1"/>
  <c r="AJ279" i="109"/>
  <c r="AJ343" i="109" s="1"/>
  <c r="AL48" i="109" l="1"/>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360" i="109" s="1"/>
  <c r="AK292" i="109"/>
  <c r="AK356" i="109" s="1"/>
  <c r="AK288" i="109"/>
  <c r="AK352" i="109" s="1"/>
  <c r="AK295" i="109"/>
  <c r="AK359" i="109" s="1"/>
  <c r="AK291" i="109"/>
  <c r="AK287" i="109"/>
  <c r="AK351" i="109" s="1"/>
  <c r="AK283" i="109"/>
  <c r="AK347" i="109" s="1"/>
  <c r="AK279" i="109"/>
  <c r="AK343" i="109" s="1"/>
  <c r="AK285" i="109"/>
  <c r="AK349" i="109" s="1"/>
  <c r="AK281" i="109"/>
  <c r="AK345" i="109" s="1"/>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357" i="109" s="1"/>
  <c r="AK289" i="109"/>
  <c r="AK284" i="109"/>
  <c r="AK348" i="109" s="1"/>
  <c r="AK276" i="109"/>
  <c r="AK340" i="109" s="1"/>
  <c r="AK280" i="109"/>
  <c r="AK344" i="109" s="1"/>
  <c r="AJ358" i="109"/>
  <c r="AJ363" i="109"/>
  <c r="AK353" i="109" l="1"/>
  <c r="AK354" i="109"/>
  <c r="AM47" i="109"/>
  <c r="AL299" i="109"/>
  <c r="AL363" i="109" s="1"/>
  <c r="AL295" i="109"/>
  <c r="AL291" i="109"/>
  <c r="AL301" i="109"/>
  <c r="AL365" i="109" s="1"/>
  <c r="AL300" i="109"/>
  <c r="AL294" i="109"/>
  <c r="AL290" i="109"/>
  <c r="AL286" i="109"/>
  <c r="AL350" i="109" s="1"/>
  <c r="AL282" i="109"/>
  <c r="AL346" i="109" s="1"/>
  <c r="AL278" i="109"/>
  <c r="AL275" i="109"/>
  <c r="AL280" i="109"/>
  <c r="AL279" i="109"/>
  <c r="AL343" i="109" s="1"/>
  <c r="AL292" i="109"/>
  <c r="AL288" i="109"/>
  <c r="AL281" i="109"/>
  <c r="AL345" i="109" s="1"/>
  <c r="AL302" i="109"/>
  <c r="AL366" i="109" s="1"/>
  <c r="AL298" i="109"/>
  <c r="AL297" i="109"/>
  <c r="AL293" i="109"/>
  <c r="AL289" i="109"/>
  <c r="AL353" i="109" s="1"/>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64" i="109" l="1"/>
  <c r="AN48" i="109"/>
  <c r="AM332" i="109"/>
  <c r="AM328" i="109"/>
  <c r="AM331" i="109"/>
  <c r="AM327" i="109"/>
  <c r="AM323" i="109"/>
  <c r="AM319" i="109"/>
  <c r="AM315" i="109"/>
  <c r="AM330" i="109"/>
  <c r="AM326" i="109"/>
  <c r="AM333" i="109"/>
  <c r="AM329" i="109"/>
  <c r="AM314" i="109"/>
  <c r="AM310" i="109"/>
  <c r="AM334" i="109"/>
  <c r="AM324" i="109"/>
  <c r="AM320" i="109"/>
  <c r="AM316" i="109"/>
  <c r="AM325" i="109"/>
  <c r="BK1160" i="102" s="1"/>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361" i="109" s="1"/>
  <c r="AM293" i="109"/>
  <c r="AM289" i="109"/>
  <c r="AM353" i="109" s="1"/>
  <c r="AM285" i="109"/>
  <c r="AM281" i="109"/>
  <c r="AM277" i="109"/>
  <c r="AM341" i="109" s="1"/>
  <c r="AM295" i="109"/>
  <c r="AM359" i="109" s="1"/>
  <c r="AM291" i="109"/>
  <c r="AM355" i="109" s="1"/>
  <c r="AM286" i="109"/>
  <c r="AM350" i="109" s="1"/>
  <c r="AM282" i="109"/>
  <c r="AM346" i="109" s="1"/>
  <c r="AM278" i="109"/>
  <c r="AM342" i="109" s="1"/>
  <c r="AM276" i="109"/>
  <c r="AM340" i="109" s="1"/>
  <c r="AM299" i="109"/>
  <c r="AM363" i="109" s="1"/>
  <c r="AM287" i="109"/>
  <c r="AM351" i="109" s="1"/>
  <c r="AM284" i="109"/>
  <c r="AM348" i="109" s="1"/>
  <c r="AM283" i="109"/>
  <c r="AM347" i="109" s="1"/>
  <c r="AM280" i="109"/>
  <c r="AM344" i="109" s="1"/>
  <c r="AM279" i="109"/>
  <c r="AM343" i="109" s="1"/>
  <c r="AM296" i="109"/>
  <c r="AM360" i="109" s="1"/>
  <c r="AM292" i="109"/>
  <c r="AM356" i="109" s="1"/>
  <c r="AM288" i="109"/>
  <c r="AM352" i="109" s="1"/>
  <c r="AM275" i="109"/>
  <c r="AM339" i="109" s="1"/>
  <c r="AL340" i="109"/>
  <c r="AL341" i="109"/>
  <c r="AL349" i="109"/>
  <c r="AL351" i="109"/>
  <c r="AL361" i="109"/>
  <c r="AL352" i="109"/>
  <c r="AL339" i="109"/>
  <c r="AL354" i="109"/>
  <c r="AL355" i="109"/>
  <c r="AL348" i="109"/>
  <c r="AL357" i="109"/>
  <c r="AL360" i="109"/>
  <c r="AL347" i="109"/>
  <c r="AL362" i="109"/>
  <c r="AL356" i="109"/>
  <c r="AL342" i="109"/>
  <c r="AL358" i="109"/>
  <c r="AL359" i="109"/>
  <c r="BK1159" i="102" l="1"/>
  <c r="AM357" i="109"/>
  <c r="AO47" i="109"/>
  <c r="AN301" i="109"/>
  <c r="AN297" i="109"/>
  <c r="AN361" i="109" s="1"/>
  <c r="AN293" i="109"/>
  <c r="AN289" i="109"/>
  <c r="AN302" i="109"/>
  <c r="AN298" i="109"/>
  <c r="AN362" i="109" s="1"/>
  <c r="AN296" i="109"/>
  <c r="AN292" i="109"/>
  <c r="AN288" i="109"/>
  <c r="AN284" i="109"/>
  <c r="AN348" i="109" s="1"/>
  <c r="AN280" i="109"/>
  <c r="AN276" i="109"/>
  <c r="AN299" i="109"/>
  <c r="AN294" i="109"/>
  <c r="AN358" i="109" s="1"/>
  <c r="AN290" i="109"/>
  <c r="AN287" i="109"/>
  <c r="AN283" i="109"/>
  <c r="AN279" i="109"/>
  <c r="AN343" i="109" s="1"/>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55" i="109" l="1"/>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355" i="109" s="1"/>
  <c r="AP294" i="109"/>
  <c r="AP290" i="109"/>
  <c r="AP286" i="109"/>
  <c r="AP282" i="109"/>
  <c r="AP346" i="109" s="1"/>
  <c r="AP278" i="109"/>
  <c r="AP302" i="109"/>
  <c r="AP301" i="109"/>
  <c r="AP300" i="109"/>
  <c r="AP364" i="109" s="1"/>
  <c r="AP298" i="109"/>
  <c r="AP285" i="109"/>
  <c r="AP281" i="109"/>
  <c r="AP277" i="109"/>
  <c r="AP341" i="109" s="1"/>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52" i="109" l="1"/>
  <c r="AP356" i="109"/>
  <c r="AP345" i="109"/>
  <c r="AP365" i="109"/>
  <c r="AP350" i="109"/>
  <c r="AP359" i="109"/>
  <c r="AR48" i="109"/>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Q302" i="109"/>
  <c r="AQ366" i="109" s="1"/>
  <c r="AQ298" i="109"/>
  <c r="AQ362" i="109" s="1"/>
  <c r="AQ299" i="109"/>
  <c r="AQ294" i="109"/>
  <c r="AQ358" i="109" s="1"/>
  <c r="AQ290" i="109"/>
  <c r="AQ301" i="109"/>
  <c r="AQ365" i="109" s="1"/>
  <c r="AQ300" i="109"/>
  <c r="AQ297" i="109"/>
  <c r="AQ361" i="109" s="1"/>
  <c r="AQ293" i="109"/>
  <c r="AQ357" i="109" s="1"/>
  <c r="AQ289" i="109"/>
  <c r="AQ353" i="109" s="1"/>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342" i="109" s="1"/>
  <c r="AQ283" i="109"/>
  <c r="AQ295" i="109"/>
  <c r="AQ291" i="109"/>
  <c r="AQ355" i="109" s="1"/>
  <c r="AQ287" i="109"/>
  <c r="AQ351" i="109" s="1"/>
  <c r="AQ284" i="109"/>
  <c r="AQ348" i="109" s="1"/>
  <c r="AQ275" i="109"/>
  <c r="AQ339" i="109" s="1"/>
  <c r="AR334" i="109" l="1"/>
  <c r="AR331" i="109"/>
  <c r="AR327" i="109"/>
  <c r="AR330" i="109"/>
  <c r="AR326" i="109"/>
  <c r="AR322" i="109"/>
  <c r="AR318" i="109"/>
  <c r="AR333" i="109"/>
  <c r="AR329" i="109"/>
  <c r="AR323" i="109"/>
  <c r="AR319" i="109"/>
  <c r="AR315" i="109"/>
  <c r="AR313" i="109"/>
  <c r="AR309" i="109"/>
  <c r="AR324" i="109"/>
  <c r="AR320" i="109"/>
  <c r="AR316" i="109"/>
  <c r="AR332" i="109"/>
  <c r="AR328" i="109"/>
  <c r="AR325" i="109"/>
  <c r="BL1160" i="102" s="1"/>
  <c r="BM1160" i="102" s="1"/>
  <c r="BN1160" i="102" s="1"/>
  <c r="BO1160" i="102" s="1"/>
  <c r="BP1160" i="102" s="1"/>
  <c r="AR321" i="109"/>
  <c r="AR317" i="109"/>
  <c r="AR311" i="109"/>
  <c r="AR312" i="109"/>
  <c r="AR308" i="109"/>
  <c r="AR314" i="109"/>
  <c r="AR307" i="109"/>
  <c r="AR310" i="109"/>
  <c r="AQ350" i="109"/>
  <c r="AR301" i="109"/>
  <c r="AR300" i="109"/>
  <c r="AR364" i="109" s="1"/>
  <c r="AR297" i="109"/>
  <c r="AR361" i="109" s="1"/>
  <c r="AR293" i="109"/>
  <c r="AR289" i="109"/>
  <c r="AR353" i="109" s="1"/>
  <c r="AR296" i="109"/>
  <c r="AR360" i="109" s="1"/>
  <c r="AR292" i="109"/>
  <c r="AR356" i="109" s="1"/>
  <c r="AR288" i="109"/>
  <c r="AR284" i="109"/>
  <c r="AR348" i="109" s="1"/>
  <c r="AR280" i="109"/>
  <c r="AR276" i="109"/>
  <c r="AR340" i="109" s="1"/>
  <c r="AR286" i="109"/>
  <c r="AR282" i="109"/>
  <c r="AR346" i="109" s="1"/>
  <c r="AR278" i="109"/>
  <c r="AR275" i="109"/>
  <c r="AR339" i="109" s="1"/>
  <c r="AR302" i="109"/>
  <c r="AR366" i="109" s="1"/>
  <c r="AR295" i="109"/>
  <c r="AR359" i="109" s="1"/>
  <c r="AR291" i="109"/>
  <c r="AR355" i="109" s="1"/>
  <c r="AR287" i="109"/>
  <c r="AR351" i="109" s="1"/>
  <c r="AR283" i="109"/>
  <c r="AR279" i="109"/>
  <c r="AR343" i="109" s="1"/>
  <c r="AR294" i="109"/>
  <c r="AR358" i="109" s="1"/>
  <c r="AR290" i="109"/>
  <c r="AR354" i="109" s="1"/>
  <c r="AR299" i="109"/>
  <c r="AR298" i="109"/>
  <c r="AR285" i="109"/>
  <c r="AR349" i="109" s="1"/>
  <c r="AR281" i="109"/>
  <c r="AR345" i="109" s="1"/>
  <c r="AR277" i="109"/>
  <c r="AQ354" i="109"/>
  <c r="AQ359" i="109"/>
  <c r="AQ347" i="109"/>
  <c r="AQ340" i="109"/>
  <c r="AQ356" i="109"/>
  <c r="AQ349" i="109"/>
  <c r="AQ364" i="109"/>
  <c r="AQ363" i="109"/>
  <c r="AR344" i="109" l="1"/>
  <c r="AR362" i="109"/>
  <c r="AR342" i="109"/>
  <c r="AR365" i="109"/>
  <c r="AR341" i="109"/>
  <c r="AR363" i="109"/>
  <c r="AR347" i="109"/>
  <c r="AR350" i="109"/>
  <c r="AR352" i="109"/>
  <c r="BL1159" i="102"/>
  <c r="BM1159" i="102" s="1"/>
  <c r="BN1159" i="102" s="1"/>
  <c r="BO1159" i="102" s="1"/>
  <c r="BP1159" i="102" s="1"/>
  <c r="AR357"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BF2" authorId="0" shapeId="0" xr:uid="{B1E76900-1E3B-4757-9138-EBA93A61E984}">
      <text>
        <r>
          <rPr>
            <sz val="9"/>
            <color indexed="81"/>
            <rFont val="Tahoma"/>
            <family val="2"/>
          </rPr>
          <t>We can provide activity amounts (e.g. population or number of houses per person) for all years and prices (for all fuels and services) in the first year of simulation.</t>
        </r>
      </text>
    </comment>
    <comment ref="BA91" authorId="0" shapeId="0" xr:uid="{B87C774E-1BCE-4724-A637-0E292A58064F}">
      <text>
        <r>
          <rPr>
            <sz val="9"/>
            <color indexed="81"/>
            <rFont val="Tahoma"/>
            <family val="2"/>
          </rPr>
          <t>End use demanded for each technology per unit of demand (in this case, GJ of heating per m2 of floorspace for each shell type (e.g. Pre-1960)</t>
        </r>
      </text>
    </comment>
    <comment ref="BD256" authorId="0" shapeId="0" xr:uid="{2BE6BAE8-512B-4232-A46E-89CFD372A16C}">
      <text>
        <r>
          <rPr>
            <sz val="9"/>
            <color indexed="81"/>
            <rFont val="Tahoma"/>
            <family val="2"/>
          </rPr>
          <t>This is the inverse of efficiency (GJ of energy provided per GJ of fuel used).</t>
        </r>
      </text>
    </comment>
    <comment ref="BD287" authorId="0" shapeId="0" xr:uid="{2D378A64-8F79-46E7-8AAA-D8433004FD8F}">
      <text>
        <r>
          <rPr>
            <sz val="9"/>
            <color indexed="81"/>
            <rFont val="Tahoma"/>
            <family val="2"/>
          </rPr>
          <t>This is the inverse of efficiency (GJ of energy provided per GJ of fuel used).</t>
        </r>
      </text>
    </comment>
    <comment ref="BC324" authorId="0" shapeId="0" xr:uid="{E291F844-97EA-4115-B307-96923805DF1A}">
      <text>
        <r>
          <rPr>
            <sz val="9"/>
            <color indexed="81"/>
            <rFont val="Tahoma"/>
            <family val="2"/>
          </rPr>
          <t>Note this is Canada, not Alberta for this fuel/price.
Need some way to actually allocate fuel at this point so that we can calculate GHG emissions later.</t>
        </r>
      </text>
    </comment>
    <comment ref="BD324" authorId="0" shapeId="0" xr:uid="{7DB86CD5-67E0-45D5-A03C-87DA32D1C419}">
      <text>
        <r>
          <rPr>
            <sz val="9"/>
            <color indexed="81"/>
            <rFont val="Tahoma"/>
            <family val="2"/>
          </rPr>
          <t>This is the inverse of efficiency (GJ of energy provided per GJ of fuel used).</t>
        </r>
      </text>
    </comment>
    <comment ref="BD355" authorId="0" shapeId="0" xr:uid="{F7B420C7-8A04-4B5A-83F7-EE34D83362DD}">
      <text>
        <r>
          <rPr>
            <sz val="9"/>
            <color indexed="81"/>
            <rFont val="Tahoma"/>
            <family val="2"/>
          </rPr>
          <t>This is the inverse of efficiency (GJ of energy provided per GJ of fuel used).</t>
        </r>
      </text>
    </comment>
    <comment ref="BD386" authorId="0" shapeId="0" xr:uid="{06A773B0-59F8-438B-AF0A-C29A4B811956}">
      <text>
        <r>
          <rPr>
            <sz val="9"/>
            <color indexed="81"/>
            <rFont val="Tahoma"/>
            <family val="2"/>
          </rPr>
          <t>This is the inverse of efficiency (GJ of energy provided per GJ of fuel used).</t>
        </r>
      </text>
    </comment>
    <comment ref="BC417" authorId="0" shapeId="0" xr:uid="{3DB9354E-3014-46A5-A6B3-1AE91B2D24B4}">
      <text>
        <r>
          <rPr>
            <sz val="9"/>
            <color indexed="81"/>
            <rFont val="Tahoma"/>
            <family val="2"/>
          </rPr>
          <t>Note this is Canada, not Alberta for this fuel/price.
Need some way to actually allocate fuel at this point so that we can calculate GHG emissions later.</t>
        </r>
      </text>
    </comment>
    <comment ref="BD417" authorId="0" shapeId="0" xr:uid="{23204582-C411-4507-9352-1C71E5D63203}">
      <text>
        <r>
          <rPr>
            <sz val="9"/>
            <color indexed="81"/>
            <rFont val="Tahoma"/>
            <family val="2"/>
          </rPr>
          <t>This is the inverse of efficiency (GJ of energy provided per GJ of fuel used).</t>
        </r>
      </text>
    </comment>
    <comment ref="BD453" authorId="0" shapeId="0" xr:uid="{6E36CF77-344E-47D5-B8A3-3AB2463B9392}">
      <text>
        <r>
          <rPr>
            <sz val="9"/>
            <color indexed="81"/>
            <rFont val="Tahoma"/>
            <family val="2"/>
          </rPr>
          <t>This is the inverse of efficiency (GJ of energy provided per GJ of fuel used).</t>
        </r>
      </text>
    </comment>
    <comment ref="BD484" authorId="0" shapeId="0" xr:uid="{0D6B2A6E-DB90-48B1-8FDE-796942B35409}">
      <text>
        <r>
          <rPr>
            <sz val="9"/>
            <color indexed="81"/>
            <rFont val="Tahoma"/>
            <family val="2"/>
          </rPr>
          <t>This is the inverse of efficiency (GJ of energy provided per GJ of fuel used).</t>
        </r>
      </text>
    </comment>
    <comment ref="BD515" authorId="0" shapeId="0" xr:uid="{EF492A34-3D81-4259-8DF3-39360958D2E2}">
      <text>
        <r>
          <rPr>
            <sz val="9"/>
            <color indexed="81"/>
            <rFont val="Tahoma"/>
            <family val="2"/>
          </rPr>
          <t>This is the inverse of efficiency (GJ of energy provided per GJ of fuel used).</t>
        </r>
      </text>
    </comment>
    <comment ref="BD546" authorId="0" shapeId="0" xr:uid="{A98B282A-6227-482B-83BD-ED69F2A2DF61}">
      <text>
        <r>
          <rPr>
            <sz val="9"/>
            <color indexed="81"/>
            <rFont val="Tahoma"/>
            <family val="2"/>
          </rPr>
          <t>This is the inverse of efficiency (GJ of energy provided per GJ of fuel used).</t>
        </r>
      </text>
    </comment>
    <comment ref="BD577" authorId="0" shapeId="0" xr:uid="{ED93E30C-2C2D-4882-97E2-B72027D59191}">
      <text>
        <r>
          <rPr>
            <sz val="9"/>
            <color indexed="81"/>
            <rFont val="Tahoma"/>
            <family val="2"/>
          </rPr>
          <t>This is the inverse of efficiency (GJ of energy provided per GJ of fuel used).</t>
        </r>
      </text>
    </comment>
    <comment ref="BD608" authorId="0" shapeId="0" xr:uid="{9B9C77D8-C170-431F-B720-96FD82B5515E}">
      <text>
        <r>
          <rPr>
            <sz val="9"/>
            <color indexed="81"/>
            <rFont val="Tahoma"/>
            <family val="2"/>
          </rPr>
          <t>This is the inverse of efficiency (GJ of energy provided per GJ of fuel used).</t>
        </r>
      </text>
    </comment>
    <comment ref="BD639" authorId="0" shapeId="0" xr:uid="{9FF02AEB-EEF0-4418-A266-34B12355C4B4}">
      <text>
        <r>
          <rPr>
            <sz val="9"/>
            <color indexed="81"/>
            <rFont val="Tahoma"/>
            <family val="2"/>
          </rPr>
          <t>This is the inverse of efficiency (GJ of energy provided per GJ of fuel used).</t>
        </r>
      </text>
    </comment>
    <comment ref="BD670" authorId="0" shapeId="0" xr:uid="{7DD770AA-F84E-4801-9E35-0A17E3DFD66B}">
      <text>
        <r>
          <rPr>
            <sz val="9"/>
            <color indexed="81"/>
            <rFont val="Tahoma"/>
            <family val="2"/>
          </rPr>
          <t>This is the inverse of efficiency (GJ of energy provided per GJ of fuel used).</t>
        </r>
      </text>
    </comment>
    <comment ref="BE843" authorId="0" shapeId="0" xr:uid="{6A55E08C-2CBE-4153-A5B1-053FED3A32FB}">
      <text>
        <r>
          <rPr>
            <sz val="9"/>
            <color indexed="81"/>
            <rFont val="Tahoma"/>
            <family val="2"/>
          </rPr>
          <t>Equal to total demand for electricity from all demand nodes</t>
        </r>
      </text>
    </comment>
    <comment ref="BA856" authorId="0" shapeId="0" xr:uid="{5D9CB13C-EABE-479E-B48E-A021E6287542}">
      <text>
        <r>
          <rPr>
            <sz val="9"/>
            <color indexed="81"/>
            <rFont val="Tahoma"/>
            <family val="2"/>
          </rPr>
          <t>These GHGs should be able to be summed when fuel is assigned to demand nodes.
For example, XX GJ of natural gas demanded times 0.051 tCO2/GJ</t>
        </r>
      </text>
    </comment>
    <comment ref="BA857" authorId="0" shapeId="0" xr:uid="{FDD71EB3-C599-4180-B7E4-096F74EC1398}">
      <text>
        <r>
          <rPr>
            <sz val="9"/>
            <color indexed="81"/>
            <rFont val="Tahoma"/>
            <family val="2"/>
          </rPr>
          <t>These GHGs should be able to be summed when fuel is assigned to demand nodes.
For example, XX GJ of natural gas demanded times 0.051 tCO2/GJ</t>
        </r>
      </text>
    </comment>
    <comment ref="BA858" authorId="0" shapeId="0" xr:uid="{913F1F59-BC5B-43E6-839A-B0F27E90D0D2}">
      <text>
        <r>
          <rPr>
            <sz val="9"/>
            <color indexed="81"/>
            <rFont val="Tahoma"/>
            <family val="2"/>
          </rPr>
          <t>These GHGs should be able to be summed when fuel is assigned to demand nodes.
For example, XX GJ of natural gas demanded times 0.051 tCO2/GJ</t>
        </r>
      </text>
    </comment>
    <comment ref="BF871" authorId="0" shapeId="0" xr:uid="{9D146F19-65AC-4D89-A253-772720DFE054}">
      <text>
        <r>
          <rPr>
            <sz val="9"/>
            <color indexed="81"/>
            <rFont val="Tahoma"/>
            <family val="2"/>
          </rPr>
          <t>Should be enough to satisfy demand in 2000
(see example calcs 2000)</t>
        </r>
      </text>
    </comment>
    <comment ref="BD903" authorId="0" shapeId="0" xr:uid="{7EF3BD0D-287E-46D2-95B9-C6D06F86DB73}">
      <text>
        <r>
          <rPr>
            <sz val="9"/>
            <color indexed="81"/>
            <rFont val="Tahoma"/>
            <family val="2"/>
          </rPr>
          <t>This ratio is to pass along the GJ requirement (i.e. we want 1 GJ of heating, so require 1 GJ of furnace heating)</t>
        </r>
      </text>
    </comment>
    <comment ref="BD933" authorId="0" shapeId="0" xr:uid="{D759A30C-1152-4DE9-934D-C731EDC60C54}">
      <text>
        <r>
          <rPr>
            <sz val="9"/>
            <color indexed="81"/>
            <rFont val="Tahoma"/>
            <family val="2"/>
          </rPr>
          <t>This ratio is to pass along the GJ requirement (i.e. we want 1 GJ of heating, so require 1 GJ of furnace heating)</t>
        </r>
      </text>
    </comment>
    <comment ref="BC970" authorId="0" shapeId="0" xr:uid="{C80A4321-0E7C-477F-870B-DA263ED9DB91}">
      <text>
        <r>
          <rPr>
            <sz val="9"/>
            <color indexed="81"/>
            <rFont val="Tahoma"/>
            <family val="2"/>
          </rPr>
          <t>Note this is Canada, not Alberta for this fuel/price.
Need some way to actually allocate fuel at this point so that we can calculate GHG emissions later.</t>
        </r>
      </text>
    </comment>
    <comment ref="BD970" authorId="0" shapeId="0" xr:uid="{2A4A75DC-8EDF-433F-8565-19193D07500C}">
      <text>
        <r>
          <rPr>
            <sz val="9"/>
            <color indexed="81"/>
            <rFont val="Tahoma"/>
            <family val="2"/>
          </rPr>
          <t>This is the inverse of efficiency (GJ of energy provided per GJ of fuel used).</t>
        </r>
      </text>
    </comment>
    <comment ref="BC971" authorId="0" shapeId="0" xr:uid="{5F774881-3F52-4ECD-8B16-D64462EAA166}">
      <text>
        <r>
          <rPr>
            <sz val="9"/>
            <color indexed="81"/>
            <rFont val="Tahoma"/>
            <family val="2"/>
          </rPr>
          <t>Note this is Canada, not Alberta for this fuel/price.
Need some way to actually allocate fuel at this point so that we can calculate GHG emissions later.</t>
        </r>
      </text>
    </comment>
    <comment ref="BD971" authorId="0" shapeId="0" xr:uid="{F5DA1E69-CE67-4434-ABE5-1447DE4A841C}">
      <text>
        <r>
          <rPr>
            <sz val="9"/>
            <color indexed="81"/>
            <rFont val="Tahoma"/>
            <family val="2"/>
          </rPr>
          <t>This is the inverse of efficiency (GJ of energy provided per GJ of fuel used).</t>
        </r>
      </text>
    </comment>
    <comment ref="BC1002" authorId="0" shapeId="0" xr:uid="{0A5210D7-FB28-4329-8C4D-20C768ED4892}">
      <text>
        <r>
          <rPr>
            <sz val="9"/>
            <color indexed="81"/>
            <rFont val="Tahoma"/>
            <family val="2"/>
          </rPr>
          <t>Note this is Canada, not Alberta for this fuel/price.
Need some way to actually allocate fuel at this point so that we can calculate GHG emissions later.</t>
        </r>
      </text>
    </comment>
    <comment ref="BD1002" authorId="0" shapeId="0" xr:uid="{E2B5AF90-F72B-4A57-878D-F6DD180B15C4}">
      <text>
        <r>
          <rPr>
            <sz val="9"/>
            <color indexed="81"/>
            <rFont val="Tahoma"/>
            <family val="2"/>
          </rPr>
          <t>This is the inverse of efficiency (GJ of energy provided per GJ of fuel used).</t>
        </r>
      </text>
    </comment>
    <comment ref="BC1003" authorId="0" shapeId="0" xr:uid="{EC78DD95-B1DF-4BD2-8A72-4327D4FBECE9}">
      <text>
        <r>
          <rPr>
            <sz val="9"/>
            <color indexed="81"/>
            <rFont val="Tahoma"/>
            <family val="2"/>
          </rPr>
          <t>Note this is Canada, not Alberta for this fuel/price.
Need some way to actually allocate fuel at this point so that we can calculate GHG emissions later.</t>
        </r>
      </text>
    </comment>
    <comment ref="BD1003" authorId="0" shapeId="0" xr:uid="{604C5244-92C9-4631-B47F-EB1A7B2D39BB}">
      <text>
        <r>
          <rPr>
            <sz val="9"/>
            <color indexed="81"/>
            <rFont val="Tahoma"/>
            <family val="2"/>
          </rPr>
          <t>This is the inverse of efficiency (GJ of energy provided per GJ of fuel used).</t>
        </r>
      </text>
    </comment>
    <comment ref="BC1034" authorId="0" shapeId="0" xr:uid="{5A0CE85D-F67E-4123-B804-002519392D96}">
      <text>
        <r>
          <rPr>
            <sz val="9"/>
            <color indexed="81"/>
            <rFont val="Tahoma"/>
            <family val="2"/>
          </rPr>
          <t>Note this is Canada, not Alberta for this fuel/price.
Need some way to actually allocate fuel at this point so that we can calculate GHG emissions later.</t>
        </r>
      </text>
    </comment>
    <comment ref="BD1034" authorId="0" shapeId="0" xr:uid="{F5E68E10-343A-4069-80B7-84C57DB07AAE}">
      <text>
        <r>
          <rPr>
            <sz val="9"/>
            <color indexed="81"/>
            <rFont val="Tahoma"/>
            <family val="2"/>
          </rPr>
          <t>This is the inverse of efficiency (GJ of energy provided per GJ of fuel used).</t>
        </r>
      </text>
    </comment>
    <comment ref="BC1035" authorId="0" shapeId="0" xr:uid="{4F4AE29E-6A3E-46E2-AC90-7553ABE2334E}">
      <text>
        <r>
          <rPr>
            <sz val="9"/>
            <color indexed="81"/>
            <rFont val="Tahoma"/>
            <family val="2"/>
          </rPr>
          <t>Note this is Canada, not Alberta for this fuel/price.
Need some way to actually allocate fuel at this point so that we can calculate GHG emissions later.</t>
        </r>
      </text>
    </comment>
    <comment ref="BD1035" authorId="0" shapeId="0" xr:uid="{59EB652C-CFDC-4655-A69A-D1F975DF32C4}">
      <text>
        <r>
          <rPr>
            <sz val="9"/>
            <color indexed="81"/>
            <rFont val="Tahoma"/>
            <family val="2"/>
          </rPr>
          <t>This is the inverse of efficiency (GJ of energy provided per GJ of fuel used).</t>
        </r>
      </text>
    </comment>
    <comment ref="BC1072" authorId="0" shapeId="0" xr:uid="{2541B8A6-CEEB-425D-B766-ABAA78030359}">
      <text>
        <r>
          <rPr>
            <sz val="9"/>
            <color indexed="81"/>
            <rFont val="Tahoma"/>
            <family val="2"/>
          </rPr>
          <t>Note this is Canada, not Alberta for this fuel/price.
Need some way to actually allocate fuel at this point so that we can calculate GHG emissions later.</t>
        </r>
      </text>
    </comment>
    <comment ref="BD1072" authorId="0" shapeId="0" xr:uid="{107723CD-3E10-4559-8F16-099BFF234AF4}">
      <text>
        <r>
          <rPr>
            <sz val="9"/>
            <color indexed="81"/>
            <rFont val="Tahoma"/>
            <family val="2"/>
          </rPr>
          <t>This is the inverse of efficiency (GJ of energy provided per GJ of fuel used).</t>
        </r>
      </text>
    </comment>
    <comment ref="BC1073" authorId="0" shapeId="0" xr:uid="{7E35BD2E-DDF8-41A0-BD4C-11F65828E45F}">
      <text>
        <r>
          <rPr>
            <sz val="9"/>
            <color indexed="81"/>
            <rFont val="Tahoma"/>
            <family val="2"/>
          </rPr>
          <t>Note this is Canada, not Alberta for this fuel/price.
Need some way to actually allocate fuel at this point so that we can calculate GHG emissions later.</t>
        </r>
      </text>
    </comment>
    <comment ref="BD1073" authorId="0" shapeId="0" xr:uid="{D1E52998-37CE-4BB9-99A3-9D57C8CD5058}">
      <text>
        <r>
          <rPr>
            <sz val="9"/>
            <color indexed="81"/>
            <rFont val="Tahoma"/>
            <family val="2"/>
          </rPr>
          <t>This is the inverse of efficiency (GJ of energy provided per GJ of fuel used).</t>
        </r>
      </text>
    </comment>
    <comment ref="BC1104" authorId="0" shapeId="0" xr:uid="{AB6F75D9-03ED-4C32-BEFF-8BF619F9A3F9}">
      <text>
        <r>
          <rPr>
            <sz val="9"/>
            <color indexed="81"/>
            <rFont val="Tahoma"/>
            <family val="2"/>
          </rPr>
          <t>Note this is Canada, not Alberta for this fuel/price.
Need some way to actually allocate fuel at this point so that we can calculate GHG emissions later.</t>
        </r>
      </text>
    </comment>
    <comment ref="BD1104" authorId="0" shapeId="0" xr:uid="{471C20A0-CE41-41FE-9AE3-000EB862E02F}">
      <text>
        <r>
          <rPr>
            <sz val="9"/>
            <color indexed="81"/>
            <rFont val="Tahoma"/>
            <family val="2"/>
          </rPr>
          <t>This is the inverse of efficiency (GJ of energy provided per GJ of fuel used).</t>
        </r>
      </text>
    </comment>
    <comment ref="BC1105" authorId="0" shapeId="0" xr:uid="{1E42C857-FCA9-4205-868A-DF6A718C1839}">
      <text>
        <r>
          <rPr>
            <sz val="9"/>
            <color indexed="81"/>
            <rFont val="Tahoma"/>
            <family val="2"/>
          </rPr>
          <t>Note this is Canada, not Alberta for this fuel/price.
Need some way to actually allocate fuel at this point so that we can calculate GHG emissions later.</t>
        </r>
      </text>
    </comment>
    <comment ref="BD1105" authorId="0" shapeId="0" xr:uid="{8E686D72-23F9-48C9-A80F-B339B8A56D5B}">
      <text>
        <r>
          <rPr>
            <sz val="9"/>
            <color indexed="81"/>
            <rFont val="Tahoma"/>
            <family val="2"/>
          </rPr>
          <t>This is the inverse of efficiency (GJ of energy provided per GJ of fuel used).</t>
        </r>
      </text>
    </comment>
    <comment ref="BE1144" authorId="0" shapeId="0" xr:uid="{F5711356-5537-4051-8E06-3064A2826998}">
      <text>
        <r>
          <rPr>
            <sz val="9"/>
            <color indexed="81"/>
            <rFont val="Tahoma"/>
            <family val="2"/>
          </rPr>
          <t>Equal to total demand for service from all demand nodes</t>
        </r>
      </text>
    </comment>
    <comment ref="BA1149" authorId="1" shapeId="0" xr:uid="{37243C17-EBC7-4455-AB8F-5D2267747698}">
      <text>
        <r>
          <rPr>
            <sz val="9"/>
            <color indexed="81"/>
            <rFont val="Tahoma"/>
            <family val="2"/>
          </rPr>
          <t>If no price given, should calculate endogenously. If price given, should use that value instead of the price calc iteration.</t>
        </r>
      </text>
    </comment>
    <comment ref="BA1150" authorId="1" shapeId="0" xr:uid="{06EAF368-C03E-46BE-8BA4-88F6B5109F4B}">
      <text>
        <r>
          <rPr>
            <sz val="9"/>
            <color indexed="81"/>
            <rFont val="Tahoma"/>
            <family val="2"/>
          </rPr>
          <t>If no price given, should calculate endogenously. If price given, should use that value instead of the price calc iteration.</t>
        </r>
      </text>
    </comment>
    <comment ref="BA1151" authorId="1" shapeId="0" xr:uid="{B8B95BCB-308D-4466-9933-1862078CFE0F}">
      <text>
        <r>
          <rPr>
            <sz val="9"/>
            <color indexed="81"/>
            <rFont val="Tahoma"/>
            <family val="2"/>
          </rPr>
          <t>If no price given, should calculate endogenously. If price given, should use that value instead of the price calc iteration.</t>
        </r>
      </text>
    </comment>
    <comment ref="BA1152" authorId="1" shapeId="0" xr:uid="{43829DDF-81D0-4CC9-81E5-3A7E2D09FE24}">
      <text>
        <r>
          <rPr>
            <sz val="9"/>
            <color indexed="81"/>
            <rFont val="Tahoma"/>
            <family val="2"/>
          </rPr>
          <t>If no price given, should calculate endogenously. If price given, should use that value instead of the price calc iteration.</t>
        </r>
      </text>
    </comment>
    <comment ref="BA1153" authorId="1" shapeId="0" xr:uid="{A9D5A1D0-17AC-4E3A-862C-3150E9771BDB}">
      <text>
        <r>
          <rPr>
            <sz val="9"/>
            <color indexed="81"/>
            <rFont val="Tahoma"/>
            <family val="2"/>
          </rPr>
          <t>If no price given, should calculate endogenously. If price given, should use that value instead of the price calc iteration.</t>
        </r>
      </text>
    </comment>
    <comment ref="BA1158" authorId="0" shapeId="0" xr:uid="{4DE6E91E-1CDF-4161-A14F-8785AF812CC7}">
      <text>
        <r>
          <rPr>
            <sz val="9"/>
            <color indexed="81"/>
            <rFont val="Tahoma"/>
            <family val="2"/>
          </rPr>
          <t>These GHGs should be able to be summed when fuel is assigned to demand nodes.
For example, x GJ of natural gas demanded x 0.051 tCO2/GJ</t>
        </r>
      </text>
    </comment>
    <comment ref="BA1159" authorId="0" shapeId="0" xr:uid="{18E79628-B396-40B7-94F0-7250741146EB}">
      <text>
        <r>
          <rPr>
            <sz val="9"/>
            <color indexed="81"/>
            <rFont val="Tahoma"/>
            <family val="2"/>
          </rPr>
          <t>These GHGs should be able to be summed when fuel is assigned to demand nodes.
For example, x GJ of natural gas demanded x 0.051 tCO2/GJ</t>
        </r>
      </text>
    </comment>
    <comment ref="BA1160" authorId="0" shapeId="0" xr:uid="{30316936-7F0A-47BF-91A2-71641385619B}">
      <text>
        <r>
          <rPr>
            <sz val="9"/>
            <color indexed="81"/>
            <rFont val="Tahoma"/>
            <family val="2"/>
          </rPr>
          <t>These GHGs should be able to be summed when fuel is assigned to demand nodes.
For example, x GJ of natural gas demanded x 0.051 tCO2/GJ</t>
        </r>
      </text>
    </comment>
    <comment ref="BE1163" authorId="0" shapeId="0" xr:uid="{D24EE5B5-943A-4D27-B4F3-700DA9183657}">
      <text>
        <r>
          <rPr>
            <sz val="9"/>
            <color indexed="81"/>
            <rFont val="Tahoma"/>
            <family val="2"/>
          </rPr>
          <t>Equal to total demand for service from all demand nodes</t>
        </r>
      </text>
    </comment>
    <comment ref="BE1166" authorId="0" shapeId="0" xr:uid="{6A2BB300-A6F0-4AF5-914A-DECBD749477A}">
      <text>
        <r>
          <rPr>
            <sz val="9"/>
            <color indexed="81"/>
            <rFont val="Tahoma"/>
            <family val="2"/>
          </rPr>
          <t>Equal to total demand for service from all demand nodes</t>
        </r>
      </text>
    </comment>
    <comment ref="BE1169" authorId="0" shapeId="0" xr:uid="{99182DC2-FBB1-47D8-B9AC-0F9EA08B4EC3}">
      <text>
        <r>
          <rPr>
            <sz val="9"/>
            <color indexed="81"/>
            <rFont val="Tahoma"/>
            <family val="2"/>
          </rPr>
          <t>Equal to total demand for service from all demand nodes</t>
        </r>
      </text>
    </comment>
  </commentList>
</comments>
</file>

<file path=xl/sharedStrings.xml><?xml version="1.0" encoding="utf-8"?>
<sst xmlns="http://schemas.openxmlformats.org/spreadsheetml/2006/main" count="6634" uniqueCount="480">
  <si>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</si>
  <si>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</si>
  <si>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</si>
  <si>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</si>
  <si>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</si>
  <si>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</si>
  <si>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</si>
  <si>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</si>
  <si>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</si>
  <si>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</si>
  <si>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</si>
  <si>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</si>
  <si>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</si>
  <si>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</si>
  <si>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</si>
  <si>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</si>
  <si>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</si>
  <si>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</si>
  <si>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</si>
  <si>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</si>
  <si>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</si>
  <si>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</si>
  <si>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</si>
  <si>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</si>
  <si>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</si>
  <si>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</si>
  <si>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</si>
  <si>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</si>
  <si>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</si>
  <si>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</si>
  <si>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</si>
  <si>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</si>
  <si>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</si>
  <si>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</si>
  <si>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</si>
  <si>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</si>
  <si>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</si>
  <si>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</si>
  <si>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</si>
  <si>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</si>
  <si>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</si>
  <si>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</si>
  <si>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</si>
  <si>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</si>
  <si>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</si>
  <si>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</si>
  <si>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</si>
  <si>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</si>
  <si>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</si>
  <si>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</si>
  <si>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</si>
  <si>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</si>
  <si>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</si>
  <si>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</si>
  <si>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</si>
  <si>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</si>
  <si>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</si>
  <si>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</si>
  <si>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</si>
  <si>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</si>
  <si>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</si>
  <si>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</si>
  <si>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</si>
  <si>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</si>
  <si>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</si>
  <si>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</si>
  <si>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</si>
  <si>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Simulation</t>
  </si>
  <si>
    <t>Country</t>
  </si>
  <si>
    <t>Clothes washing</t>
  </si>
  <si>
    <t>Water heating</t>
  </si>
  <si>
    <t>Space heating</t>
  </si>
  <si>
    <t>Conventional</t>
  </si>
  <si>
    <t>Renewables</t>
  </si>
  <si>
    <t>Floorspace</t>
  </si>
  <si>
    <t>Service</t>
  </si>
  <si>
    <t>Market share</t>
  </si>
  <si>
    <t>Comments / Calcs</t>
  </si>
  <si>
    <t>Data</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</si>
  <si>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</si>
  <si>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</si>
  <si>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</si>
  <si>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</si>
  <si>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</si>
  <si>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</si>
  <si>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</si>
  <si>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</si>
  <si>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</si>
  <si>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</si>
  <si>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</si>
  <si>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</si>
  <si>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</si>
  <si>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</si>
  <si>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</si>
  <si>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</si>
  <si>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</si>
  <si>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</si>
  <si>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</si>
  <si>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</si>
  <si>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</si>
  <si>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</si>
  <si>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</si>
  <si>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</si>
  <si>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</si>
  <si>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</si>
  <si>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</si>
  <si>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</si>
  <si>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</si>
  <si>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</si>
  <si>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</si>
  <si>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</si>
  <si>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</si>
  <si>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</si>
  <si>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</si>
  <si>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</si>
  <si>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</si>
  <si>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</si>
  <si>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</si>
  <si>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</si>
  <si>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</si>
  <si>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</si>
  <si>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Canada.Alberta</t>
  </si>
  <si>
    <t>Canada.Alberta.Residential</t>
  </si>
  <si>
    <t>Canada.Alberta.Electricity</t>
  </si>
  <si>
    <t>Canada.Alberta.Residential.Buildings</t>
  </si>
  <si>
    <t>Canada.Alberta.Electricity.Generation</t>
  </si>
  <si>
    <t>Competition exclude</t>
  </si>
  <si>
    <t>Canada.Alberta.Residential.Furnace</t>
  </si>
  <si>
    <t>Canada.Alberta.Residential.Buildings.Shell</t>
  </si>
  <si>
    <t>Canada.Alberta.Residential.Buildings.Shell.Space heating</t>
  </si>
  <si>
    <t>Canada.Alberta.Residential.Buildings.Shell.Air conditioning</t>
  </si>
  <si>
    <t>Canada.Alberta.Residential.Buildings.Shell.Space Heating</t>
  </si>
  <si>
    <t>Canada.Alberta.Residential.Buildings.Shell.Space heating.Furnace</t>
  </si>
  <si>
    <t>Canada.Alberta.Residential.Buildings.Shell.Water heating</t>
  </si>
  <si>
    <t>House_Natural Gas_existing stock</t>
  </si>
  <si>
    <t>House_Natural Gas_Standard</t>
  </si>
  <si>
    <t>House_Electric_existing stock</t>
  </si>
  <si>
    <t>House_Electric_Standard</t>
  </si>
  <si>
    <t>Canada.Alberta.Residential.Buildings.Shell.Dishwashing</t>
  </si>
  <si>
    <t>Canada.Alberta.Residential.Buildings.Clothes washing</t>
  </si>
  <si>
    <t>Canada.Alberta.Residential.Buildings.Dishwashing</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</si>
  <si>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</si>
  <si>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</si>
  <si>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</si>
  <si>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</si>
  <si>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</si>
  <si>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</si>
  <si>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</si>
  <si>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</si>
  <si>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</si>
  <si>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</si>
  <si>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</si>
  <si>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</si>
  <si>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</si>
  <si>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</si>
  <si>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</si>
  <si>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</si>
  <si>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</si>
  <si>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</si>
  <si>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</si>
  <si>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</si>
  <si>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</si>
  <si>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</si>
  <si>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</si>
  <si>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</si>
  <si>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</si>
  <si>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</si>
  <si>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</si>
  <si>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</si>
  <si>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</si>
  <si>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</si>
  <si>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</si>
  <si>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</si>
  <si>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</si>
  <si>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</si>
  <si>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</si>
  <si>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</si>
  <si>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</si>
  <si>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</si>
  <si>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</si>
  <si>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</si>
  <si>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</si>
  <si>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</si>
  <si>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</si>
  <si>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</si>
  <si>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Canada.Alberta.Natural Gas</t>
  </si>
  <si>
    <t>Fixed Market Shares</t>
  </si>
  <si>
    <t>Demand?</t>
  </si>
  <si>
    <t>Multiplier for "End use supply" (i.e. demand how many units of child node per unit supplied by parent node).</t>
  </si>
  <si>
    <t>Market shares applied to technologies within node. Must add to 1.</t>
  </si>
  <si>
    <t>Use market share equation to allocate shares to (available) technologies within node. Market share equation based on life cycle costs for each technology.</t>
  </si>
  <si>
    <t>Allocate all demand to the technology within the node with the lowest life cycle cost.</t>
  </si>
  <si>
    <t>Canada.Alberta.Electricity.Generation.Base load</t>
  </si>
  <si>
    <t>Canada.Alberta.Electricity.Generation.Shoulder load</t>
  </si>
  <si>
    <t>Canada.Alberta.Electricity.Generation.Peak load</t>
  </si>
  <si>
    <t>Shoulder load</t>
  </si>
  <si>
    <t>Peak load</t>
  </si>
  <si>
    <t>Canada.Alberta.Electricity.Generation.Base load.Conventional</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</si>
  <si>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</si>
  <si>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</si>
  <si>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</si>
  <si>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</si>
  <si>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</si>
  <si>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</si>
  <si>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</si>
  <si>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</si>
  <si>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</si>
  <si>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</si>
  <si>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</si>
  <si>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</si>
  <si>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</si>
  <si>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</si>
  <si>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</si>
  <si>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</si>
  <si>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</si>
  <si>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</si>
  <si>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</si>
  <si>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</si>
  <si>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</si>
  <si>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</si>
  <si>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</si>
  <si>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</si>
  <si>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</si>
  <si>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</si>
  <si>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</si>
  <si>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</si>
  <si>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</si>
  <si>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</si>
  <si>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</si>
  <si>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</si>
  <si>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</si>
  <si>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</si>
  <si>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</si>
  <si>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</si>
  <si>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</si>
  <si>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</si>
  <si>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</si>
  <si>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</si>
  <si>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</si>
  <si>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</si>
  <si>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</si>
  <si>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</si>
  <si>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</si>
  <si>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</si>
  <si>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</si>
  <si>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</si>
  <si>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</si>
  <si>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</si>
  <si>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</si>
  <si>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</si>
  <si>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</si>
  <si>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</si>
  <si>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</si>
  <si>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</si>
  <si>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</si>
  <si>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</si>
  <si>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</si>
  <si>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</si>
  <si>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</si>
  <si>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</si>
  <si>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</si>
  <si>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</si>
  <si>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</si>
  <si>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</si>
  <si>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</si>
  <si>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</si>
  <si>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</si>
  <si>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</si>
  <si>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</si>
  <si>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</si>
  <si>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</si>
  <si>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</si>
  <si>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</si>
  <si>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</si>
  <si>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</si>
  <si>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</si>
  <si>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</si>
  <si>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</si>
  <si>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</si>
  <si>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</si>
  <si>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</si>
  <si>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Canada.Alberta.Solar</t>
  </si>
  <si>
    <t>Canada.Alberta.Wind</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</si>
  <si>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</si>
  <si>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</si>
  <si>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</si>
  <si>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</si>
  <si>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</si>
  <si>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</si>
  <si>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</si>
  <si>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</si>
  <si>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</si>
  <si>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</si>
  <si>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</si>
  <si>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</si>
  <si>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</si>
  <si>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Canada.Alberta.Electricity.Generation.Base load.Renewables</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</si>
  <si>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</si>
  <si>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</si>
  <si>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</si>
  <si>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</si>
  <si>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</si>
  <si>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</si>
  <si>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</si>
  <si>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</si>
  <si>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</si>
  <si>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</si>
  <si>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</si>
  <si>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</si>
  <si>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</si>
  <si>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</si>
  <si>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</si>
  <si>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</si>
  <si>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</si>
  <si>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</si>
  <si>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</si>
  <si>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</si>
  <si>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</si>
  <si>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</si>
  <si>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</si>
  <si>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</si>
  <si>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</si>
  <si>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</si>
  <si>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</si>
  <si>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</si>
  <si>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</si>
  <si>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</si>
  <si>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</si>
  <si>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</si>
  <si>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</si>
  <si>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</si>
  <si>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</si>
  <si>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</si>
  <si>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</si>
  <si>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</si>
  <si>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</si>
  <si>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Hidden</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</si>
  <si>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</si>
  <si>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</si>
  <si>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</si>
  <si>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</si>
  <si>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</si>
  <si>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</si>
  <si>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</si>
  <si>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</si>
  <si>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</si>
  <si>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</si>
  <si>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</si>
  <si>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</si>
  <si>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</si>
  <si>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Building Type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</si>
  <si>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</si>
  <si>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</si>
  <si>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</si>
  <si>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</si>
  <si>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</si>
  <si>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</si>
  <si>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</si>
  <si>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</si>
  <si>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</si>
  <si>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</si>
  <si>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</si>
  <si>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</si>
  <si>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</si>
  <si>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</si>
  <si>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</si>
  <si>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</si>
  <si>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GJ requested / GJ provided</t>
  </si>
  <si>
    <t>Stock remaining</t>
  </si>
  <si>
    <t>Megawatt-hour</t>
  </si>
  <si>
    <t>$/MWh</t>
  </si>
  <si>
    <t>Output</t>
  </si>
  <si>
    <t>Canada.Alberta.Electricity.Transmission Losses</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</si>
  <si>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</si>
  <si>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</si>
  <si>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</si>
  <si>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</si>
  <si>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</si>
  <si>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</si>
  <si>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</si>
  <si>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</si>
  <si>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</si>
  <si>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</si>
  <si>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</si>
  <si>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GJ requested / MWh provided</t>
  </si>
  <si>
    <t>Unit requested / MWh provided</t>
  </si>
  <si>
    <t>Calculation notes</t>
  </si>
  <si>
    <t>Default technology format</t>
  </si>
  <si>
    <t>XX requested / XX provided</t>
  </si>
  <si>
    <t>$/XX provided</t>
  </si>
  <si>
    <t>XX provided</t>
  </si>
  <si>
    <t>Discount rate_Revealed</t>
  </si>
  <si>
    <t>Discount rate_Retrofit</t>
  </si>
  <si>
    <t>Required / Optional</t>
  </si>
  <si>
    <t>Allocated cost</t>
  </si>
  <si>
    <t>Retirement</t>
  </si>
  <si>
    <t>name 1</t>
  </si>
  <si>
    <t>name 2</t>
  </si>
  <si>
    <t>name N</t>
  </si>
  <si>
    <t>Required</t>
  </si>
  <si>
    <t>Optional</t>
  </si>
  <si>
    <t>Default value</t>
  </si>
  <si>
    <t># Years required</t>
  </si>
  <si>
    <t>First only</t>
  </si>
  <si>
    <t>All (constant)</t>
  </si>
  <si>
    <t>All (can vary)</t>
  </si>
  <si>
    <t>AEEI</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</si>
  <si>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</si>
  <si>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</si>
  <si>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</si>
  <si>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</si>
  <si>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</si>
  <si>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</si>
  <si>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</si>
  <si>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</si>
  <si>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</si>
  <si>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Operating and maintenance cost.</t>
  </si>
  <si>
    <t>Grants, fees, rebates, or other simple one-time costs (+) / benefits (-).
Must be divided by Output.</t>
  </si>
  <si>
    <t>Non-financial one-time costs.
Must be divided by Output.</t>
  </si>
  <si>
    <t>Non-financial recurring costs.</t>
  </si>
  <si>
    <t>Overnight capital cost.
Must be divided by Output.</t>
  </si>
  <si>
    <t>Size of technology output (usually physical product).</t>
  </si>
  <si>
    <t>Amount of existing technology.</t>
  </si>
  <si>
    <t>Share between 0 and 1.</t>
  </si>
  <si>
    <t>Canada.Alberta.Water</t>
  </si>
  <si>
    <t>Declining capital cost_Limit</t>
  </si>
  <si>
    <r>
      <t>GCC</t>
    </r>
    <r>
      <rPr>
        <b/>
        <sz val="8"/>
        <color theme="1"/>
        <rFont val="Arial"/>
        <family val="2"/>
      </rPr>
      <t>t</t>
    </r>
  </si>
  <si>
    <r>
      <t>Calculation of cumulative production (N</t>
    </r>
    <r>
      <rPr>
        <vertAlign val="subscript"/>
        <sz val="12"/>
        <color theme="1"/>
        <rFont val="Arial"/>
        <family val="2"/>
      </rPr>
      <t>t</t>
    </r>
    <r>
      <rPr>
        <sz val="12"/>
        <color theme="1"/>
        <rFont val="Arial"/>
        <family val="2"/>
      </rPr>
      <t>)</t>
    </r>
  </si>
  <si>
    <t>2000 (BaseStock)</t>
  </si>
  <si>
    <t>Provincial Production</t>
  </si>
  <si>
    <r>
      <t>BC (N</t>
    </r>
    <r>
      <rPr>
        <sz val="8"/>
        <color theme="1"/>
        <rFont val="Arial"/>
        <family val="2"/>
      </rPr>
      <t>j</t>
    </r>
    <r>
      <rPr>
        <sz val="10"/>
        <color theme="1"/>
        <rFont val="Arial"/>
        <family val="2"/>
      </rPr>
      <t>)</t>
    </r>
  </si>
  <si>
    <r>
      <t>AB (N</t>
    </r>
    <r>
      <rPr>
        <sz val="8"/>
        <color theme="1"/>
        <rFont val="Arial"/>
        <family val="2"/>
      </rPr>
      <t>j</t>
    </r>
    <r>
      <rPr>
        <sz val="10"/>
        <color theme="1"/>
        <rFont val="Arial"/>
        <family val="2"/>
      </rPr>
      <t>)</t>
    </r>
  </si>
  <si>
    <t xml:space="preserve">                      -   </t>
  </si>
  <si>
    <t>National Production</t>
  </si>
  <si>
    <r>
      <t>CC</t>
    </r>
    <r>
      <rPr>
        <b/>
        <sz val="8"/>
        <color theme="1"/>
        <rFont val="Arial"/>
        <family val="2"/>
      </rPr>
      <t>t</t>
    </r>
  </si>
  <si>
    <t>Declining capital cost_Progress Ratio</t>
  </si>
  <si>
    <t>Ratio of final to initial costs associated with a doubling of cumulative output. Equal to (1 - Learning Rate).</t>
  </si>
  <si>
    <t>PR</t>
  </si>
  <si>
    <t>Declining capital cost_Existing stock</t>
  </si>
  <si>
    <t>Existing stock</t>
  </si>
  <si>
    <t>Cumulative Production (t-5)</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</si>
  <si>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</si>
  <si>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</si>
  <si>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</si>
  <si>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</si>
  <si>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</si>
  <si>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</si>
  <si>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</si>
  <si>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</si>
  <si>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</si>
  <si>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</si>
  <si>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</si>
  <si>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</si>
  <si>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ADIC lowers a technology's annual recurring intangible cost as a function of market share.</t>
  </si>
  <si>
    <t>Existing global stock in 2000.</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</si>
  <si>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</si>
  <si>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</si>
  <si>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</si>
  <si>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</si>
  <si>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</si>
  <si>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</si>
  <si>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</si>
  <si>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</si>
  <si>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</si>
  <si>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Dishwasher_existing</t>
  </si>
  <si>
    <t>Dishwasher_Standard</t>
  </si>
  <si>
    <t>$/unit</t>
  </si>
  <si>
    <t>GJ requested / unit</t>
  </si>
  <si>
    <t>Canada.Alberta.Water heating</t>
  </si>
  <si>
    <t>Canada.Alberta.Residential.Buildings.Shell.Clothes washing</t>
  </si>
  <si>
    <t>Clothes washer_Existing</t>
  </si>
  <si>
    <t>Clothes washer_Standard</t>
  </si>
  <si>
    <t>Clothes washer_Steam</t>
  </si>
  <si>
    <t>A / shape</t>
  </si>
  <si>
    <t>k / rate</t>
  </si>
  <si>
    <t>Water</t>
  </si>
  <si>
    <t>Blue values indicate formula to carry value forward to future years</t>
  </si>
  <si>
    <t>Existing stock retirement</t>
  </si>
  <si>
    <t>New stock retirement</t>
  </si>
  <si>
    <t>Total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</si>
</sst>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0"/>
    <numFmt numFmtId="166" formatCode="#,##0_ ;\-#,##0\ "/>
    <numFmt numFmtId="167" formatCode="#,##0.0"/>
    <numFmt numFmtId="168" formatCode="#,##0.000"/>
    <numFmt numFmtId="169" formatCode="#,##0.000000"/>
    <numFmt numFmtId="170" formatCode="#,##0.00000"/>
    <numFmt numFmtId="171" formatCode="0.0%"/>
  </numFmts>
  <fonts count="31"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theme="0" tint="-0.249977111117893"/>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b/>
      <sz val="10"/>
      <color theme="1"/>
      <name val="Arial"/>
      <family val="2"/>
    </font>
    <font>
      <sz val="10"/>
      <color theme="1"/>
      <name val="Arial"/>
      <family val="2"/>
    </font>
    <font>
      <b/>
      <sz val="8"/>
      <color theme="1"/>
      <name val="Arial"/>
      <family val="2"/>
    </font>
    <font>
      <sz val="12"/>
      <color theme="1"/>
      <name val="Arial"/>
      <family val="2"/>
    </font>
    <font>
      <vertAlign val="subscript"/>
      <sz val="12"/>
      <color theme="1"/>
      <name val="Arial"/>
      <family val="2"/>
    </font>
    <font>
      <sz val="8"/>
      <color theme="1"/>
      <name val="Arial"/>
      <family val="2"/>
    </font>
    <font>
      <sz val="8"/>
      <name val="Calibri"/>
      <family val="2"/>
      <scheme val="minor"/>
    </font>
    <font>
      <b/>
      <sz val="11"/>
      <color rgb="FFC00000"/>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
      <left style="medium">
        <color theme="0"/>
      </left>
      <right style="thick">
        <color theme="0"/>
      </right>
      <top style="medium">
        <color theme="0"/>
      </top>
      <bottom style="medium">
        <color theme="0"/>
      </bottom>
      <diagonal/>
    </border>
    <border>
      <left style="thick">
        <color theme="0"/>
      </left>
      <right style="medium">
        <color theme="0"/>
      </right>
      <top style="medium">
        <color theme="0"/>
      </top>
      <bottom style="medium">
        <color theme="0"/>
      </bottom>
      <diagonal/>
    </border>
    <border>
      <left style="thin">
        <color indexed="64"/>
      </left>
      <right/>
      <top style="thin">
        <color indexed="64"/>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322">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5" xfId="0" applyFont="1" applyFill="1" applyBorder="1" applyAlignment="1">
      <alignment horizontal="left"/>
    </xf>
    <xf numFmtId="0" fontId="0" fillId="0" borderId="5"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5" xfId="0" applyFont="1" applyFill="1" applyBorder="1"/>
    <xf numFmtId="0" fontId="0" fillId="0" borderId="0" xfId="0" applyFont="1" applyBorder="1"/>
    <xf numFmtId="0" fontId="0" fillId="0" borderId="5"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5" xfId="0" applyFont="1" applyBorder="1"/>
    <xf numFmtId="0" fontId="4" fillId="0" borderId="5"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0" fontId="4" fillId="0" borderId="0" xfId="2"/>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6" xfId="0" applyFont="1" applyFill="1" applyBorder="1"/>
    <xf numFmtId="0" fontId="0" fillId="0" borderId="6" xfId="0" applyFont="1" applyBorder="1" applyAlignment="1">
      <alignment horizontal="left"/>
    </xf>
    <xf numFmtId="0" fontId="0" fillId="0" borderId="7" xfId="0" applyFont="1" applyBorder="1" applyAlignment="1">
      <alignment horizontal="left"/>
    </xf>
    <xf numFmtId="167" fontId="0" fillId="0" borderId="6" xfId="0" applyNumberFormat="1" applyFont="1" applyBorder="1"/>
    <xf numFmtId="3" fontId="0" fillId="0" borderId="6" xfId="0" applyNumberFormat="1" applyFont="1" applyBorder="1"/>
    <xf numFmtId="3" fontId="0" fillId="0" borderId="6" xfId="0" applyNumberFormat="1" applyBorder="1"/>
    <xf numFmtId="0" fontId="0" fillId="0" borderId="6"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7" fillId="0" borderId="0" xfId="0" applyFont="1" applyFill="1" applyBorder="1"/>
    <xf numFmtId="0" fontId="7" fillId="0" borderId="0" xfId="2" applyFont="1" applyFill="1" applyBorder="1"/>
    <xf numFmtId="0" fontId="7" fillId="0" borderId="4" xfId="0" applyFont="1" applyFill="1" applyBorder="1"/>
    <xf numFmtId="0" fontId="7" fillId="0" borderId="3" xfId="0" applyFont="1" applyFill="1" applyBorder="1"/>
    <xf numFmtId="0" fontId="7" fillId="0" borderId="3" xfId="2" applyFont="1" applyFill="1" applyBorder="1"/>
    <xf numFmtId="0" fontId="7" fillId="0" borderId="2" xfId="0" applyFont="1" applyFill="1" applyBorder="1"/>
    <xf numFmtId="0" fontId="0" fillId="4" borderId="5"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8" xfId="0" applyFont="1" applyFill="1" applyBorder="1"/>
    <xf numFmtId="0" fontId="1" fillId="0" borderId="8" xfId="0" applyFont="1" applyBorder="1"/>
    <xf numFmtId="0" fontId="0" fillId="0" borderId="8" xfId="0" applyBorder="1"/>
    <xf numFmtId="4" fontId="0" fillId="0" borderId="8" xfId="0" applyNumberFormat="1" applyBorder="1"/>
    <xf numFmtId="4" fontId="9" fillId="0" borderId="8" xfId="0" applyNumberFormat="1" applyFont="1" applyBorder="1"/>
    <xf numFmtId="0" fontId="1" fillId="0" borderId="0" xfId="0" applyFont="1" applyFill="1" applyBorder="1"/>
    <xf numFmtId="0" fontId="1" fillId="0" borderId="8" xfId="0" applyFont="1" applyFill="1" applyBorder="1"/>
    <xf numFmtId="4" fontId="11" fillId="0" borderId="0" xfId="0" applyNumberFormat="1" applyFont="1" applyBorder="1"/>
    <xf numFmtId="4" fontId="11" fillId="0" borderId="8" xfId="0" applyNumberFormat="1" applyFont="1" applyBorder="1"/>
    <xf numFmtId="0" fontId="1" fillId="0" borderId="8"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8"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8"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8" xfId="0" applyNumberFormat="1" applyFont="1" applyFill="1" applyBorder="1"/>
    <xf numFmtId="4" fontId="11" fillId="7" borderId="8"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8"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8"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8" xfId="0" applyNumberFormat="1" applyBorder="1"/>
    <xf numFmtId="3" fontId="0" fillId="7" borderId="8"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8"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8" xfId="0" applyNumberFormat="1" applyFont="1" applyBorder="1"/>
    <xf numFmtId="3" fontId="9" fillId="7" borderId="8" xfId="0" applyNumberFormat="1" applyFont="1" applyFill="1" applyBorder="1"/>
    <xf numFmtId="3" fontId="9" fillId="0" borderId="0" xfId="0" applyNumberFormat="1" applyFont="1"/>
    <xf numFmtId="0" fontId="7" fillId="0" borderId="5" xfId="2" applyFont="1" applyFill="1" applyBorder="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1" borderId="0" xfId="3" applyNumberFormat="1" applyFont="1" applyFill="1"/>
    <xf numFmtId="4" fontId="11" fillId="11" borderId="0" xfId="3" applyNumberFormat="1" applyFont="1" applyFill="1"/>
    <xf numFmtId="0" fontId="11" fillId="11"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xf>
    <xf numFmtId="3" fontId="11" fillId="3" borderId="0" xfId="4" applyNumberFormat="1" applyFont="1" applyFill="1"/>
    <xf numFmtId="3" fontId="16" fillId="0" borderId="0" xfId="4" applyNumberFormat="1" applyFont="1"/>
    <xf numFmtId="4" fontId="13" fillId="13" borderId="0" xfId="3" applyNumberFormat="1" applyFont="1" applyFill="1"/>
    <xf numFmtId="4" fontId="14" fillId="13" borderId="0" xfId="3" applyNumberFormat="1" applyFont="1" applyFill="1"/>
    <xf numFmtId="0" fontId="14" fillId="13" borderId="0" xfId="3" applyFont="1" applyFill="1"/>
    <xf numFmtId="0" fontId="1" fillId="2" borderId="0" xfId="0" applyFont="1" applyFill="1" applyAlignment="1">
      <alignment horizontal="center" vertical="top" wrapText="1"/>
    </xf>
    <xf numFmtId="0" fontId="0" fillId="14" borderId="0" xfId="0" applyFont="1" applyFill="1"/>
    <xf numFmtId="0" fontId="0" fillId="14" borderId="5" xfId="0" applyFont="1" applyFill="1" applyBorder="1" applyAlignment="1">
      <alignment horizontal="left"/>
    </xf>
    <xf numFmtId="164" fontId="0" fillId="0" borderId="0" xfId="0" applyNumberFormat="1" applyFont="1"/>
    <xf numFmtId="0" fontId="0" fillId="14" borderId="0" xfId="0" applyFont="1" applyFill="1" applyBorder="1" applyAlignment="1">
      <alignment horizontal="left"/>
    </xf>
    <xf numFmtId="0" fontId="14" fillId="15" borderId="0" xfId="0" applyFont="1" applyFill="1" applyBorder="1" applyAlignment="1">
      <alignment horizontal="left"/>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19" fillId="0" borderId="0" xfId="0" applyFont="1" applyFill="1" applyAlignment="1">
      <alignment horizontal="center"/>
    </xf>
    <xf numFmtId="0" fontId="1" fillId="5" borderId="0" xfId="2" applyFont="1" applyFill="1" applyBorder="1"/>
    <xf numFmtId="0" fontId="0" fillId="4" borderId="0" xfId="0" applyFont="1" applyFill="1" applyBorder="1"/>
    <xf numFmtId="0" fontId="7" fillId="0" borderId="4" xfId="2" applyFont="1" applyFill="1" applyBorder="1"/>
    <xf numFmtId="0" fontId="1" fillId="0" borderId="9" xfId="2" applyFont="1" applyFill="1" applyBorder="1"/>
    <xf numFmtId="0" fontId="7" fillId="0" borderId="5" xfId="0" applyFont="1" applyFill="1" applyBorder="1"/>
    <xf numFmtId="0" fontId="1" fillId="0" borderId="0" xfId="0" applyFont="1" applyFill="1" applyBorder="1" applyAlignment="1">
      <alignment horizontal="center"/>
    </xf>
    <xf numFmtId="0" fontId="1" fillId="10" borderId="9" xfId="2" applyFont="1" applyFill="1" applyBorder="1"/>
    <xf numFmtId="0" fontId="0" fillId="0" borderId="0" xfId="0" quotePrefix="1" applyFill="1"/>
    <xf numFmtId="0" fontId="0" fillId="0" borderId="5" xfId="0" applyFill="1" applyBorder="1"/>
    <xf numFmtId="0" fontId="0" fillId="0" borderId="5" xfId="0" applyFont="1" applyFill="1" applyBorder="1" applyAlignment="1">
      <alignment horizontal="center"/>
    </xf>
    <xf numFmtId="0" fontId="1" fillId="3" borderId="0" xfId="0" applyFont="1" applyFill="1"/>
    <xf numFmtId="0" fontId="1" fillId="3" borderId="5" xfId="0" applyFont="1" applyFill="1" applyBorder="1"/>
    <xf numFmtId="0" fontId="14" fillId="15" borderId="0" xfId="0" applyFont="1" applyFill="1"/>
    <xf numFmtId="0" fontId="0" fillId="4" borderId="5" xfId="0" applyFill="1" applyBorder="1"/>
    <xf numFmtId="164" fontId="20" fillId="0" borderId="0" xfId="0" applyNumberFormat="1" applyFont="1"/>
    <xf numFmtId="1" fontId="20" fillId="0" borderId="0" xfId="0" applyNumberFormat="1" applyFont="1"/>
    <xf numFmtId="0" fontId="0" fillId="0" borderId="5" xfId="0" applyFill="1" applyBorder="1" applyAlignment="1">
      <alignment horizontal="left"/>
    </xf>
    <xf numFmtId="0" fontId="1" fillId="0" borderId="10" xfId="2" applyFont="1" applyFill="1" applyBorder="1"/>
    <xf numFmtId="0" fontId="7" fillId="0" borderId="10" xfId="2" applyFont="1" applyFill="1" applyBorder="1"/>
    <xf numFmtId="0" fontId="7" fillId="0" borderId="10" xfId="0"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5"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6" borderId="0" xfId="0" applyFont="1" applyFill="1"/>
    <xf numFmtId="0" fontId="1" fillId="16" borderId="0" xfId="0" applyFont="1" applyFill="1" applyBorder="1" applyAlignment="1">
      <alignment horizontal="left"/>
    </xf>
    <xf numFmtId="0" fontId="1" fillId="16" borderId="5" xfId="0" applyFont="1" applyFill="1" applyBorder="1" applyAlignment="1">
      <alignment horizontal="left"/>
    </xf>
    <xf numFmtId="167" fontId="1" fillId="16" borderId="0" xfId="0" applyNumberFormat="1" applyFont="1" applyFill="1" applyBorder="1"/>
    <xf numFmtId="0" fontId="1" fillId="16" borderId="0" xfId="0" applyFont="1" applyFill="1" applyBorder="1"/>
    <xf numFmtId="167" fontId="1" fillId="16" borderId="0" xfId="0" applyNumberFormat="1" applyFont="1" applyFill="1"/>
    <xf numFmtId="3" fontId="0" fillId="0" borderId="0" xfId="0" applyNumberFormat="1" applyFont="1" applyFill="1"/>
    <xf numFmtId="0" fontId="0" fillId="0" borderId="0" xfId="0" applyNumberFormat="1" applyFont="1" applyBorder="1"/>
    <xf numFmtId="165" fontId="20" fillId="0" borderId="0" xfId="0" applyNumberFormat="1" applyFont="1"/>
    <xf numFmtId="2" fontId="11" fillId="0" borderId="0" xfId="0" applyNumberFormat="1" applyFont="1" applyFill="1" applyBorder="1"/>
    <xf numFmtId="3" fontId="20" fillId="0" borderId="0" xfId="0" applyNumberFormat="1" applyFont="1"/>
    <xf numFmtId="1" fontId="0" fillId="0" borderId="0" xfId="0" applyNumberFormat="1" applyFont="1" applyFill="1" applyBorder="1"/>
    <xf numFmtId="2" fontId="0" fillId="0" borderId="0" xfId="0" applyNumberFormat="1" applyFont="1" applyFill="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6" borderId="0" xfId="0" applyFont="1" applyFill="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0" fontId="0" fillId="6" borderId="0" xfId="0" applyFont="1" applyFill="1" applyBorder="1" applyAlignment="1">
      <alignment horizontal="center" vertical="center"/>
    </xf>
    <xf numFmtId="167" fontId="0" fillId="0" borderId="0" xfId="0" applyNumberFormat="1" applyFont="1" applyFill="1" applyBorder="1" applyAlignment="1">
      <alignment horizontal="center" vertical="center"/>
    </xf>
    <xf numFmtId="0" fontId="1" fillId="16" borderId="0" xfId="0" applyFont="1" applyFill="1" applyAlignment="1">
      <alignment vertical="center"/>
    </xf>
    <xf numFmtId="0" fontId="1" fillId="16" borderId="0" xfId="0" applyFont="1" applyFill="1" applyBorder="1" applyAlignment="1">
      <alignment horizontal="left" vertical="center"/>
    </xf>
    <xf numFmtId="0" fontId="1" fillId="16" borderId="0" xfId="0" applyFont="1" applyFill="1" applyBorder="1" applyAlignment="1">
      <alignment horizontal="left" vertical="center" wrapText="1"/>
    </xf>
    <xf numFmtId="0" fontId="1" fillId="16" borderId="0" xfId="0" applyFont="1" applyFill="1" applyBorder="1" applyAlignment="1">
      <alignment vertical="center"/>
    </xf>
    <xf numFmtId="167" fontId="1" fillId="16"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5" fillId="0" borderId="0" xfId="0" applyNumberFormat="1" applyFont="1" applyBorder="1" applyAlignment="1">
      <alignment horizontal="center"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0" fontId="6" fillId="0" borderId="0" xfId="0" applyNumberFormat="1" applyFont="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1" fillId="0" borderId="0" xfId="0" applyNumberFormat="1" applyFont="1" applyBorder="1" applyAlignment="1">
      <alignment horizontal="center" vertical="center"/>
    </xf>
    <xf numFmtId="0" fontId="22" fillId="0" borderId="0" xfId="0" applyNumberFormat="1" applyFont="1" applyBorder="1" applyAlignment="1">
      <alignment horizontal="center" vertical="center"/>
    </xf>
    <xf numFmtId="0" fontId="20" fillId="0" borderId="0" xfId="0" applyFont="1" applyFill="1" applyBorder="1"/>
    <xf numFmtId="3" fontId="20" fillId="0" borderId="0" xfId="0" applyNumberFormat="1" applyFont="1" applyFill="1" applyBorder="1"/>
    <xf numFmtId="0" fontId="23" fillId="0" borderId="0" xfId="0" applyFont="1" applyAlignment="1">
      <alignment vertical="center" wrapText="1"/>
    </xf>
    <xf numFmtId="0" fontId="24" fillId="0" borderId="0" xfId="0" applyFont="1" applyAlignment="1">
      <alignment vertical="center" wrapText="1"/>
    </xf>
    <xf numFmtId="0" fontId="24" fillId="0" borderId="0" xfId="0" applyFont="1" applyAlignment="1">
      <alignment horizontal="right" vertical="center"/>
    </xf>
    <xf numFmtId="0" fontId="23" fillId="0" borderId="0" xfId="0" applyFont="1" applyAlignment="1">
      <alignment vertical="center"/>
    </xf>
    <xf numFmtId="0" fontId="24" fillId="0" borderId="0" xfId="0" applyFont="1" applyAlignment="1">
      <alignment vertical="center"/>
    </xf>
    <xf numFmtId="0" fontId="26" fillId="0" borderId="0" xfId="0" applyFont="1" applyAlignment="1">
      <alignment vertical="center"/>
    </xf>
    <xf numFmtId="3" fontId="24" fillId="0" borderId="0" xfId="0" applyNumberFormat="1" applyFont="1" applyAlignment="1">
      <alignment vertical="center"/>
    </xf>
    <xf numFmtId="164" fontId="0" fillId="0" borderId="0" xfId="0" applyNumberFormat="1"/>
    <xf numFmtId="0" fontId="1" fillId="0" borderId="0" xfId="2" applyFont="1" applyFill="1"/>
    <xf numFmtId="0" fontId="1" fillId="14" borderId="0" xfId="2" applyFont="1" applyFill="1"/>
    <xf numFmtId="0" fontId="1" fillId="0" borderId="0" xfId="2" applyFont="1"/>
    <xf numFmtId="0" fontId="13" fillId="6" borderId="11" xfId="2" applyFont="1" applyFill="1" applyBorder="1" applyAlignment="1">
      <alignment horizontal="center"/>
    </xf>
    <xf numFmtId="0" fontId="13" fillId="6" borderId="12" xfId="2" applyFont="1" applyFill="1" applyBorder="1" applyAlignment="1">
      <alignment horizontal="center"/>
    </xf>
    <xf numFmtId="0" fontId="1" fillId="3" borderId="0" xfId="0" applyFont="1" applyFill="1" applyAlignment="1">
      <alignment horizontal="center"/>
    </xf>
    <xf numFmtId="0" fontId="1" fillId="3" borderId="0" xfId="0" applyFont="1" applyFill="1" applyAlignment="1">
      <alignment vertical="center" wrapText="1"/>
    </xf>
    <xf numFmtId="0" fontId="1" fillId="3" borderId="8" xfId="0" applyFont="1" applyFill="1" applyBorder="1" applyAlignment="1">
      <alignment vertical="center" wrapText="1"/>
    </xf>
    <xf numFmtId="0" fontId="0" fillId="0" borderId="8" xfId="0" applyBorder="1" applyAlignment="1">
      <alignment vertical="center" wrapText="1"/>
    </xf>
    <xf numFmtId="0" fontId="0" fillId="0" borderId="8" xfId="0" applyBorder="1" applyAlignment="1">
      <alignment vertical="center"/>
    </xf>
    <xf numFmtId="0" fontId="30" fillId="3" borderId="8" xfId="0" applyFont="1" applyFill="1" applyBorder="1" applyAlignment="1">
      <alignment vertical="center"/>
    </xf>
    <xf numFmtId="171" fontId="0" fillId="0" borderId="0" xfId="5" applyNumberFormat="1" applyFont="1" applyBorder="1"/>
    <xf numFmtId="171" fontId="0" fillId="0" borderId="0" xfId="5" applyNumberFormat="1" applyFont="1" applyFill="1" applyBorder="1"/>
    <xf numFmtId="171" fontId="20" fillId="0" borderId="0" xfId="5" applyNumberFormat="1" applyFont="1"/>
    <xf numFmtId="171" fontId="0" fillId="0" borderId="0" xfId="5" applyNumberFormat="1" applyFont="1"/>
    <xf numFmtId="171" fontId="20" fillId="0" borderId="0" xfId="5" applyNumberFormat="1" applyFont="1" applyFill="1" applyBorder="1"/>
    <xf numFmtId="171" fontId="0" fillId="0" borderId="0" xfId="5" applyNumberFormat="1" applyFont="1" applyFill="1"/>
    <xf numFmtId="3" fontId="0" fillId="0" borderId="0" xfId="0" applyNumberFormat="1" applyFont="1"/>
    <xf numFmtId="0" fontId="0" fillId="0" borderId="0" xfId="0" applyNumberFormat="1" applyFont="1" applyFill="1" applyBorder="1"/>
    <xf numFmtId="0" fontId="20" fillId="0" borderId="0" xfId="0" applyNumberFormat="1" applyFont="1"/>
    <xf numFmtId="0" fontId="0" fillId="0" borderId="0" xfId="0" applyNumberFormat="1" applyFont="1" applyFill="1"/>
    <xf numFmtId="0" fontId="20" fillId="0" borderId="0" xfId="0" applyNumberFormat="1" applyFont="1" applyFill="1" applyBorder="1"/>
    <xf numFmtId="3" fontId="11" fillId="0" borderId="0" xfId="0" applyNumberFormat="1" applyFont="1"/>
    <xf numFmtId="4" fontId="0" fillId="0" borderId="0" xfId="0" applyNumberFormat="1" applyFont="1"/>
    <xf numFmtId="4" fontId="0" fillId="0" borderId="0" xfId="0" applyNumberFormat="1" applyFont="1" applyFill="1"/>
    <xf numFmtId="4" fontId="20" fillId="0" borderId="0" xfId="0" applyNumberFormat="1" applyFont="1" applyFill="1"/>
    <xf numFmtId="4" fontId="20" fillId="0" borderId="0" xfId="0" applyNumberFormat="1" applyFont="1" applyFill="1" applyBorder="1"/>
    <xf numFmtId="0" fontId="7" fillId="0" borderId="13" xfId="0" applyFont="1" applyFill="1" applyBorder="1"/>
    <xf numFmtId="0" fontId="1" fillId="3" borderId="0" xfId="0" applyFont="1" applyFill="1" applyAlignment="1">
      <alignment horizontal="center"/>
    </xf>
    <xf numFmtId="0" fontId="20" fillId="0" borderId="0" xfId="0" applyFont="1" applyFill="1" applyAlignment="1">
      <alignment horizontal="left"/>
    </xf>
    <xf numFmtId="0" fontId="1" fillId="0" borderId="0" xfId="0" applyFont="1" applyAlignment="1">
      <alignment vertic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48">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wmf"/></Relationships>
</file>

<file path=xl/drawings/drawing1.xml><?xml version="1.0" encoding="utf-8"?>
<xdr:wsDr xmlns:xdr="http://schemas.openxmlformats.org/drawingml/2006/spreadsheetDrawing" xmlns:a="http://schemas.openxmlformats.org/drawingml/2006/main">
  <xdr:twoCellAnchor>
    <xdr:from>
      <xdr:col>1</xdr:col>
      <xdr:colOff>0</xdr:colOff>
      <xdr:row>14</xdr:row>
      <xdr:rowOff>0</xdr:rowOff>
    </xdr:from>
    <xdr:to>
      <xdr:col>10</xdr:col>
      <xdr:colOff>499305</xdr:colOff>
      <xdr:row>23</xdr:row>
      <xdr:rowOff>155742</xdr:rowOff>
    </xdr:to>
    <xdr:pic>
      <xdr:nvPicPr>
        <xdr:cNvPr id="4" name="Picture 3">
          <a:extLst>
            <a:ext uri="{FF2B5EF4-FFF2-40B4-BE49-F238E27FC236}">
              <a16:creationId xmlns:a16="http://schemas.microsoft.com/office/drawing/2014/main" id="{4840704D-A246-47F0-B08C-1F18FA0CBEA9}"/>
            </a:ext>
          </a:extLst>
        </xdr:cNvPr>
        <xdr:cNvPicPr>
          <a:picLocks noChangeAspect="1"/>
        </xdr:cNvPicPr>
      </xdr:nvPicPr>
      <xdr:blipFill>
        <a:blip xmlns:r="http://schemas.openxmlformats.org/officeDocument/2006/relationships" r:embed="rId1"/>
        <a:stretch>
          <a:fillRect/>
        </a:stretch>
      </xdr:blipFill>
      <xdr:spPr>
        <a:xfrm>
          <a:off x="986118" y="3048000"/>
          <a:ext cx="5945363" cy="1870242"/>
        </a:xfrm>
        <a:prstGeom prst="rect">
          <a:avLst/>
        </a:prstGeom>
        <a:solidFill>
          <a:schemeClr val="bg1"/>
        </a:solidFill>
      </xdr:spPr>
    </xdr:pic>
    <xdr:clientData/>
  </xdr:twoCellAnchor>
  <xdr:twoCellAnchor>
    <xdr:from>
      <xdr:col>1</xdr:col>
      <xdr:colOff>0</xdr:colOff>
      <xdr:row>2</xdr:row>
      <xdr:rowOff>0</xdr:rowOff>
    </xdr:from>
    <xdr:to>
      <xdr:col>10</xdr:col>
      <xdr:colOff>499305</xdr:colOff>
      <xdr:row>10</xdr:row>
      <xdr:rowOff>98196</xdr:rowOff>
    </xdr:to>
    <xdr:pic>
      <xdr:nvPicPr>
        <xdr:cNvPr id="5" name="Picture 4">
          <a:extLst>
            <a:ext uri="{FF2B5EF4-FFF2-40B4-BE49-F238E27FC236}">
              <a16:creationId xmlns:a16="http://schemas.microsoft.com/office/drawing/2014/main" id="{0E86B05D-C566-4913-ADAE-BE7B8AFD40F4}"/>
            </a:ext>
          </a:extLst>
        </xdr:cNvPr>
        <xdr:cNvPicPr>
          <a:picLocks noChangeAspect="1"/>
        </xdr:cNvPicPr>
      </xdr:nvPicPr>
      <xdr:blipFill>
        <a:blip xmlns:r="http://schemas.openxmlformats.org/officeDocument/2006/relationships" r:embed="rId2"/>
        <a:stretch>
          <a:fillRect/>
        </a:stretch>
      </xdr:blipFill>
      <xdr:spPr>
        <a:xfrm>
          <a:off x="986118" y="381000"/>
          <a:ext cx="5945363" cy="1622196"/>
        </a:xfrm>
        <a:prstGeom prst="rect">
          <a:avLst/>
        </a:prstGeom>
        <a:solidFill>
          <a:schemeClr val="bg1"/>
        </a:solidFill>
      </xdr:spPr>
    </xdr:pic>
    <xdr:clientData/>
  </xdr:twoCellAnchor>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45671F32-D438-49C4-A01C-FE9685637BAD}"/>
            </a:ext>
          </a:extLst>
        </xdr:cNvPr>
        <xdr:cNvPicPr>
          <a:picLocks noChangeAspect="1"/>
        </xdr:cNvPicPr>
      </xdr:nvPicPr>
      <xdr:blipFill>
        <a:blip xmlns:r="http://schemas.openxmlformats.org/officeDocument/2006/relationships" r:embed="rId3"/>
        <a:stretch>
          <a:fillRect/>
        </a:stretch>
      </xdr:blipFill>
      <xdr:spPr>
        <a:xfrm>
          <a:off x="986118" y="5143500"/>
          <a:ext cx="5945363" cy="646748"/>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24</xdr:row>
          <xdr:rowOff>180975</xdr:rowOff>
        </xdr:from>
        <xdr:to>
          <xdr:col>0</xdr:col>
          <xdr:colOff>2486025</xdr:colOff>
          <xdr:row>27</xdr:row>
          <xdr:rowOff>28575</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7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36</xdr:row>
          <xdr:rowOff>180975</xdr:rowOff>
        </xdr:from>
        <xdr:to>
          <xdr:col>2</xdr:col>
          <xdr:colOff>571500</xdr:colOff>
          <xdr:row>46</xdr:row>
          <xdr:rowOff>95250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7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5.wmf"/><Relationship Id="rId5" Type="http://schemas.openxmlformats.org/officeDocument/2006/relationships/oleObject" Target="../embeddings/oleObject2.bin"/><Relationship Id="rId4" Type="http://schemas.openxmlformats.org/officeDocument/2006/relationships/image" Target="../media/image4.wmf"/></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4.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pane xSplit="1" ySplit="1" topLeftCell="B2" activePane="bottomRight" state="frozen"/>
      <selection pane="topRight" activeCell="B1" sqref="B1"/>
      <selection pane="bottomLeft" activeCell="A2" sqref="A2"/>
      <selection pane="bottomRight" activeCell="B6" sqref="B6"/>
    </sheetView>
  </sheetViews>
  <sheetFormatPr defaultRowHeight="15" x14ac:dyDescent="0.25"/>
  <cols>
    <col min="1" max="1" width="3" style="131" bestFit="1" customWidth="1"/>
    <col min="2" max="2" width="160.42578125" style="131" customWidth="1"/>
    <col min="3" max="3" width="141.140625" style="131" customWidth="1"/>
    <col min="4" max="16384" width="9.140625" style="131"/>
  </cols>
  <sheetData>
    <row r="1" spans="1:3" s="197" customFormat="1" x14ac:dyDescent="0.25">
      <c r="B1" s="197" t="s">
        <v>294</v>
      </c>
      <c r="C1" s="197" t="s">
        <v>291</v>
      </c>
    </row>
    <row r="2" spans="1:3" ht="30" x14ac:dyDescent="0.25">
      <c r="A2" s="131">
        <v>1</v>
      </c>
      <c r="B2" s="131" t="s">
        <v>290</v>
      </c>
    </row>
    <row r="3" spans="1:3" ht="30" x14ac:dyDescent="0.25">
      <c r="A3" s="131">
        <v>2</v>
      </c>
      <c r="B3" s="131" t="s">
        <v>340</v>
      </c>
    </row>
    <row r="4" spans="1:3" ht="75" x14ac:dyDescent="0.25">
      <c r="A4" s="131">
        <v>3</v>
      </c>
      <c r="B4" s="131" t="s">
        <v>292</v>
      </c>
    </row>
    <row r="5" spans="1:3" x14ac:dyDescent="0.25">
      <c r="A5" s="131">
        <v>4</v>
      </c>
      <c r="B5" s="131" t="s">
        <v>293</v>
      </c>
    </row>
    <row r="6" spans="1:3" ht="30" x14ac:dyDescent="0.25">
      <c r="A6" s="131">
        <v>5</v>
      </c>
      <c r="B6" s="131" t="s">
        <v>339</v>
      </c>
      <c r="C6" s="131" t="s">
        <v>458</v>
      </c>
    </row>
    <row r="7" spans="1:3" ht="30" x14ac:dyDescent="0.25">
      <c r="A7" s="131">
        <v>6</v>
      </c>
      <c r="B7" s="131" t="s">
        <v>347</v>
      </c>
    </row>
    <row r="8" spans="1:3" x14ac:dyDescent="0.25">
      <c r="A8" s="131">
        <v>7</v>
      </c>
      <c r="B8" s="131" t="s">
        <v>348</v>
      </c>
    </row>
    <row r="9" spans="1:3" x14ac:dyDescent="0.25">
      <c r="A9" s="131">
        <v>8</v>
      </c>
      <c r="B9" s="131" t="s">
        <v>349</v>
      </c>
    </row>
    <row r="10" spans="1:3" x14ac:dyDescent="0.25">
      <c r="A10" s="131">
        <v>9</v>
      </c>
      <c r="B10" s="131" t="s">
        <v>457</v>
      </c>
    </row>
    <row r="11" spans="1:3" x14ac:dyDescent="0.25">
      <c r="A11" s="131">
        <v>10</v>
      </c>
    </row>
    <row r="12" spans="1:3" x14ac:dyDescent="0.25">
      <c r="A12" s="131">
        <v>11</v>
      </c>
    </row>
    <row r="13" spans="1:3" x14ac:dyDescent="0.25">
      <c r="A13" s="131">
        <v>12</v>
      </c>
    </row>
    <row r="14" spans="1:3" x14ac:dyDescent="0.25">
      <c r="A14" s="131">
        <v>13</v>
      </c>
    </row>
    <row r="15" spans="1:3" x14ac:dyDescent="0.25">
      <c r="A15" s="131">
        <v>14</v>
      </c>
    </row>
    <row r="16" spans="1:3" x14ac:dyDescent="0.25">
      <c r="A16" s="131">
        <v>15</v>
      </c>
    </row>
    <row r="17" spans="1:1" x14ac:dyDescent="0.25">
      <c r="A17" s="131">
        <v>16</v>
      </c>
    </row>
    <row r="18" spans="1:1" x14ac:dyDescent="0.25">
      <c r="A18" s="131">
        <v>17</v>
      </c>
    </row>
    <row r="19" spans="1:1" x14ac:dyDescent="0.25">
      <c r="A19" s="131">
        <v>18</v>
      </c>
    </row>
    <row r="20" spans="1:1" x14ac:dyDescent="0.25">
      <c r="A20" s="131">
        <v>19</v>
      </c>
    </row>
    <row r="21" spans="1:1" x14ac:dyDescent="0.25">
      <c r="A21" s="131">
        <v>20</v>
      </c>
    </row>
    <row r="22" spans="1:1" x14ac:dyDescent="0.25">
      <c r="A22" s="131">
        <v>21</v>
      </c>
    </row>
    <row r="23" spans="1:1" x14ac:dyDescent="0.25">
      <c r="A23" s="131">
        <v>22</v>
      </c>
    </row>
    <row r="24" spans="1:1" x14ac:dyDescent="0.25">
      <c r="A24" s="131">
        <v>23</v>
      </c>
    </row>
    <row r="25" spans="1:1" x14ac:dyDescent="0.25">
      <c r="A25" s="131">
        <v>24</v>
      </c>
    </row>
    <row r="26" spans="1:1" x14ac:dyDescent="0.25">
      <c r="A26" s="131">
        <v>25</v>
      </c>
    </row>
    <row r="27" spans="1:1" x14ac:dyDescent="0.25">
      <c r="A27" s="131">
        <v>26</v>
      </c>
    </row>
    <row r="28" spans="1:1" x14ac:dyDescent="0.25">
      <c r="A28" s="131">
        <v>27</v>
      </c>
    </row>
    <row r="29" spans="1:1" x14ac:dyDescent="0.25">
      <c r="A29" s="131">
        <v>28</v>
      </c>
    </row>
    <row r="30" spans="1:1" x14ac:dyDescent="0.25">
      <c r="A30" s="131">
        <v>29</v>
      </c>
    </row>
    <row r="31" spans="1:1" x14ac:dyDescent="0.25">
      <c r="A31" s="131">
        <v>30</v>
      </c>
    </row>
    <row r="35" spans="1:3" s="197" customFormat="1" x14ac:dyDescent="0.25">
      <c r="B35" s="197" t="s">
        <v>295</v>
      </c>
      <c r="C35" s="197" t="s">
        <v>291</v>
      </c>
    </row>
    <row r="36" spans="1:3" x14ac:dyDescent="0.25">
      <c r="A36" s="131">
        <v>1</v>
      </c>
      <c r="B36" s="131" t="s">
        <v>375</v>
      </c>
    </row>
    <row r="37" spans="1:3" x14ac:dyDescent="0.25">
      <c r="A37" s="131">
        <v>2</v>
      </c>
      <c r="B37" s="131" t="s">
        <v>376</v>
      </c>
    </row>
    <row r="38" spans="1:3" x14ac:dyDescent="0.25">
      <c r="A38" s="131">
        <v>3</v>
      </c>
      <c r="B38" s="131" t="s">
        <v>381</v>
      </c>
    </row>
    <row r="39" spans="1:3" x14ac:dyDescent="0.25">
      <c r="A39" s="131">
        <v>4</v>
      </c>
    </row>
    <row r="40" spans="1:3" x14ac:dyDescent="0.25">
      <c r="A40" s="131">
        <v>5</v>
      </c>
    </row>
    <row r="41" spans="1:3" x14ac:dyDescent="0.25">
      <c r="A41" s="131">
        <v>6</v>
      </c>
    </row>
    <row r="42" spans="1:3" x14ac:dyDescent="0.25">
      <c r="A42" s="131">
        <v>7</v>
      </c>
    </row>
    <row r="43" spans="1:3" x14ac:dyDescent="0.25">
      <c r="A43" s="131">
        <v>8</v>
      </c>
    </row>
    <row r="44" spans="1:3" x14ac:dyDescent="0.25">
      <c r="A44" s="131">
        <v>9</v>
      </c>
    </row>
    <row r="45" spans="1:3" x14ac:dyDescent="0.25">
      <c r="A45" s="131">
        <v>10</v>
      </c>
    </row>
    <row r="46" spans="1:3" x14ac:dyDescent="0.25">
      <c r="A46" s="131">
        <v>11</v>
      </c>
    </row>
    <row r="47" spans="1:3" x14ac:dyDescent="0.25">
      <c r="A47" s="131">
        <v>12</v>
      </c>
    </row>
    <row r="48" spans="1:3" x14ac:dyDescent="0.25">
      <c r="A48" s="131">
        <v>13</v>
      </c>
    </row>
    <row r="49" spans="1:1" x14ac:dyDescent="0.25">
      <c r="A49" s="131">
        <v>14</v>
      </c>
    </row>
    <row r="50" spans="1:1" x14ac:dyDescent="0.25">
      <c r="A50" s="131">
        <v>15</v>
      </c>
    </row>
    <row r="51" spans="1:1" x14ac:dyDescent="0.25">
      <c r="A51" s="131">
        <v>16</v>
      </c>
    </row>
    <row r="52" spans="1:1" x14ac:dyDescent="0.25">
      <c r="A52" s="131">
        <v>17</v>
      </c>
    </row>
    <row r="53" spans="1:1" x14ac:dyDescent="0.25">
      <c r="A53" s="131">
        <v>18</v>
      </c>
    </row>
    <row r="54" spans="1:1" x14ac:dyDescent="0.25">
      <c r="A54" s="131">
        <v>19</v>
      </c>
    </row>
    <row r="55" spans="1:1" x14ac:dyDescent="0.25">
      <c r="A55" s="131">
        <v>20</v>
      </c>
    </row>
    <row r="56" spans="1:1" x14ac:dyDescent="0.25">
      <c r="A56" s="131">
        <v>21</v>
      </c>
    </row>
    <row r="57" spans="1:1" x14ac:dyDescent="0.25">
      <c r="A57" s="131">
        <v>22</v>
      </c>
    </row>
    <row r="58" spans="1:1" x14ac:dyDescent="0.25">
      <c r="A58" s="131">
        <v>23</v>
      </c>
    </row>
    <row r="59" spans="1:1" x14ac:dyDescent="0.25">
      <c r="A59" s="131">
        <v>24</v>
      </c>
    </row>
    <row r="60" spans="1:1" x14ac:dyDescent="0.25">
      <c r="A60" s="131">
        <v>25</v>
      </c>
    </row>
    <row r="61" spans="1:1" x14ac:dyDescent="0.25">
      <c r="A61" s="131">
        <v>26</v>
      </c>
    </row>
    <row r="62" spans="1:1" x14ac:dyDescent="0.25">
      <c r="A62" s="131">
        <v>27</v>
      </c>
    </row>
    <row r="63" spans="1:1" x14ac:dyDescent="0.25">
      <c r="A63" s="131">
        <v>28</v>
      </c>
    </row>
    <row r="64" spans="1:1" x14ac:dyDescent="0.25">
      <c r="A64" s="131">
        <v>29</v>
      </c>
    </row>
    <row r="65" spans="1:1" x14ac:dyDescent="0.25">
      <c r="A65" s="131">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A32"/>
  <sheetViews>
    <sheetView tabSelected="1" zoomScale="85" zoomScaleNormal="85" workbookViewId="0">
      <selection activeCell="A38" sqref="A38"/>
    </sheetView>
  </sheetViews>
  <sheetFormatPr defaultRowHeight="15" outlineLevelRow="1" x14ac:dyDescent="0.25"/>
  <cols>
    <col min="1" max="1" width="23.42578125" style="321" bestFit="1" customWidth="1"/>
    <col min="2" max="16384" width="9.140625" style="75"/>
  </cols>
  <sheetData>
    <row r="2" spans="1:1" collapsed="1" x14ac:dyDescent="0.25">
      <c r="A2" s="321" t="s">
        <v>477</v>
      </c>
    </row>
    <row r="3" spans="1:1" hidden="1" outlineLevel="1" x14ac:dyDescent="0.25"/>
    <row r="4" spans="1:1" hidden="1" outlineLevel="1" x14ac:dyDescent="0.25"/>
    <row r="5" spans="1:1" hidden="1" outlineLevel="1" x14ac:dyDescent="0.25"/>
    <row r="6" spans="1:1" hidden="1" outlineLevel="1" x14ac:dyDescent="0.25"/>
    <row r="7" spans="1:1" hidden="1" outlineLevel="1" x14ac:dyDescent="0.25"/>
    <row r="8" spans="1:1" hidden="1" outlineLevel="1" x14ac:dyDescent="0.25"/>
    <row r="9" spans="1:1" hidden="1" outlineLevel="1" x14ac:dyDescent="0.25"/>
    <row r="10" spans="1:1" hidden="1" outlineLevel="1" x14ac:dyDescent="0.25"/>
    <row r="11" spans="1:1" hidden="1" outlineLevel="1" x14ac:dyDescent="0.25"/>
    <row r="12" spans="1:1" hidden="1" outlineLevel="1" x14ac:dyDescent="0.25"/>
    <row r="14" spans="1:1" collapsed="1" x14ac:dyDescent="0.25">
      <c r="A14" s="321" t="s">
        <v>478</v>
      </c>
    </row>
    <row r="15" spans="1:1" hidden="1" outlineLevel="1" x14ac:dyDescent="0.25"/>
    <row r="16" spans="1:1" hidden="1" outlineLevel="1" x14ac:dyDescent="0.25"/>
    <row r="17" spans="1:1" hidden="1" outlineLevel="1" x14ac:dyDescent="0.25"/>
    <row r="18" spans="1:1" hidden="1" outlineLevel="1" x14ac:dyDescent="0.25"/>
    <row r="19" spans="1:1" hidden="1" outlineLevel="1" x14ac:dyDescent="0.25"/>
    <row r="20" spans="1:1" hidden="1" outlineLevel="1" x14ac:dyDescent="0.25"/>
    <row r="21" spans="1:1" hidden="1" outlineLevel="1" x14ac:dyDescent="0.25"/>
    <row r="22" spans="1:1" hidden="1" outlineLevel="1" x14ac:dyDescent="0.25"/>
    <row r="23" spans="1:1" hidden="1" outlineLevel="1" x14ac:dyDescent="0.25"/>
    <row r="24" spans="1:1" hidden="1" outlineLevel="1" x14ac:dyDescent="0.25"/>
    <row r="25" spans="1:1" hidden="1" outlineLevel="1" x14ac:dyDescent="0.25"/>
    <row r="27" spans="1:1" collapsed="1" x14ac:dyDescent="0.25">
      <c r="A27" s="321" t="s">
        <v>479</v>
      </c>
    </row>
    <row r="28" spans="1:1" hidden="1" outlineLevel="1" x14ac:dyDescent="0.25"/>
    <row r="29" spans="1:1" hidden="1" outlineLevel="1" x14ac:dyDescent="0.25"/>
    <row r="30" spans="1:1" hidden="1" outlineLevel="1" x14ac:dyDescent="0.25"/>
    <row r="31" spans="1:1" hidden="1" outlineLevel="1" x14ac:dyDescent="0.25"/>
    <row r="32" spans="1:1" hidden="1" outlineLevel="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zoomScale="85" zoomScaleNormal="85" workbookViewId="0">
      <pane ySplit="1" topLeftCell="A2" activePane="bottomLeft" state="frozen"/>
      <selection pane="bottomLeft" activeCell="G9" sqref="G9"/>
    </sheetView>
  </sheetViews>
  <sheetFormatPr defaultRowHeight="15" x14ac:dyDescent="0.25"/>
  <cols>
    <col min="1" max="1" width="20" style="75" bestFit="1" customWidth="1"/>
    <col min="2" max="2" width="46.42578125" style="76" customWidth="1"/>
    <col min="3" max="3" width="3.140625" style="75" customWidth="1"/>
    <col min="4" max="4" width="16.5703125" style="75" bestFit="1" customWidth="1"/>
    <col min="5" max="5" width="11.85546875" style="75" customWidth="1"/>
    <col min="6" max="6" width="3.140625" style="75" customWidth="1"/>
    <col min="7" max="7" width="22" style="75" bestFit="1" customWidth="1"/>
    <col min="8" max="8" width="11.85546875" style="75" customWidth="1"/>
    <col min="9" max="9" width="3.140625" style="75" customWidth="1"/>
    <col min="10" max="10" width="12.140625" style="75" bestFit="1" customWidth="1"/>
    <col min="11" max="11" width="3.140625" style="75" customWidth="1"/>
    <col min="12" max="12" width="9.140625" style="75"/>
    <col min="13" max="13" width="3.140625" style="75" customWidth="1"/>
    <col min="14" max="16384" width="9.140625" style="75"/>
  </cols>
  <sheetData>
    <row r="1" spans="1:12" s="297" customFormat="1" ht="30" x14ac:dyDescent="0.25">
      <c r="A1" s="297" t="s">
        <v>118</v>
      </c>
      <c r="B1" s="297" t="s">
        <v>117</v>
      </c>
      <c r="D1" s="297" t="s">
        <v>59</v>
      </c>
      <c r="E1" s="297" t="s">
        <v>60</v>
      </c>
      <c r="G1" s="297" t="s">
        <v>56</v>
      </c>
      <c r="H1" s="297" t="s">
        <v>112</v>
      </c>
      <c r="J1" s="297" t="s">
        <v>57</v>
      </c>
      <c r="L1" s="297" t="s">
        <v>55</v>
      </c>
    </row>
    <row r="2" spans="1:12" ht="45" x14ac:dyDescent="0.25">
      <c r="A2" s="75" t="s">
        <v>22</v>
      </c>
      <c r="B2" s="76" t="s">
        <v>188</v>
      </c>
      <c r="D2" s="75" t="s">
        <v>48</v>
      </c>
      <c r="E2" s="75" t="s">
        <v>62</v>
      </c>
      <c r="G2" s="75" t="s">
        <v>0</v>
      </c>
      <c r="H2" s="75" t="s">
        <v>113</v>
      </c>
      <c r="J2" s="75" t="s">
        <v>2</v>
      </c>
      <c r="L2" s="75" t="s">
        <v>17</v>
      </c>
    </row>
    <row r="3" spans="1:12" ht="30" x14ac:dyDescent="0.25">
      <c r="A3" s="75" t="s">
        <v>186</v>
      </c>
      <c r="B3" s="76" t="s">
        <v>189</v>
      </c>
      <c r="D3" s="75" t="s">
        <v>5</v>
      </c>
      <c r="E3" s="75" t="s">
        <v>63</v>
      </c>
      <c r="G3" s="75" t="s">
        <v>58</v>
      </c>
      <c r="H3" s="75" t="s">
        <v>113</v>
      </c>
      <c r="J3" s="75" t="s">
        <v>14</v>
      </c>
      <c r="L3" s="75" t="s">
        <v>18</v>
      </c>
    </row>
    <row r="4" spans="1:12" ht="60" x14ac:dyDescent="0.25">
      <c r="A4" s="75" t="s">
        <v>21</v>
      </c>
      <c r="B4" s="76" t="s">
        <v>190</v>
      </c>
      <c r="D4" s="75" t="s">
        <v>61</v>
      </c>
      <c r="E4" s="75" t="s">
        <v>64</v>
      </c>
      <c r="G4" s="75" t="s">
        <v>2</v>
      </c>
      <c r="H4" s="75" t="s">
        <v>114</v>
      </c>
      <c r="L4" s="75" t="s">
        <v>19</v>
      </c>
    </row>
    <row r="5" spans="1:12" ht="30" x14ac:dyDescent="0.25">
      <c r="A5" s="75" t="s">
        <v>65</v>
      </c>
      <c r="B5" s="76" t="s">
        <v>191</v>
      </c>
      <c r="G5" s="75" t="s">
        <v>14</v>
      </c>
      <c r="H5" s="75" t="s">
        <v>114</v>
      </c>
    </row>
    <row r="6" spans="1:12" x14ac:dyDescent="0.25">
      <c r="B6" s="75"/>
      <c r="G6" s="75" t="s">
        <v>283</v>
      </c>
      <c r="H6" s="75" t="s">
        <v>114</v>
      </c>
    </row>
    <row r="7" spans="1:12" x14ac:dyDescent="0.25">
      <c r="G7" s="75" t="s">
        <v>200</v>
      </c>
      <c r="H7" s="75" t="s">
        <v>114</v>
      </c>
    </row>
    <row r="8" spans="1:12" x14ac:dyDescent="0.25">
      <c r="G8" s="75" t="s">
        <v>475</v>
      </c>
      <c r="H8" s="7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zoomScale="85" zoomScaleNormal="85" workbookViewId="0">
      <pane ySplit="2" topLeftCell="A3" activePane="bottomLeft" state="frozen"/>
      <selection pane="bottomLeft" activeCell="A7" sqref="A7"/>
    </sheetView>
  </sheetViews>
  <sheetFormatPr defaultRowHeight="15" x14ac:dyDescent="0.25"/>
  <cols>
    <col min="1" max="1" width="26.7109375" bestFit="1" customWidth="1"/>
    <col min="2" max="2" width="22" bestFit="1" customWidth="1"/>
    <col min="3" max="3" width="2.7109375" style="204" customWidth="1"/>
    <col min="4" max="4" width="20.5703125" customWidth="1"/>
    <col min="6" max="6" width="2.7109375" style="204" customWidth="1"/>
    <col min="7" max="7" width="11.140625" bestFit="1" customWidth="1"/>
  </cols>
  <sheetData>
    <row r="1" spans="1:7" s="296" customFormat="1" x14ac:dyDescent="0.25">
      <c r="A1" s="319" t="s">
        <v>315</v>
      </c>
      <c r="B1" s="319"/>
      <c r="C1" s="20"/>
      <c r="D1" s="319" t="s">
        <v>316</v>
      </c>
      <c r="E1" s="319"/>
      <c r="F1" s="20"/>
      <c r="G1" s="296" t="s">
        <v>317</v>
      </c>
    </row>
    <row r="2" spans="1:7" s="296" customFormat="1" x14ac:dyDescent="0.25">
      <c r="A2" s="296" t="s">
        <v>318</v>
      </c>
      <c r="B2" s="296" t="s">
        <v>16</v>
      </c>
      <c r="C2" s="20"/>
      <c r="D2" s="296" t="s">
        <v>318</v>
      </c>
      <c r="E2" s="296" t="s">
        <v>16</v>
      </c>
      <c r="F2" s="20"/>
    </row>
    <row r="3" spans="1:7" x14ac:dyDescent="0.25">
      <c r="A3" t="s">
        <v>321</v>
      </c>
      <c r="B3" t="s">
        <v>314</v>
      </c>
      <c r="D3" t="s">
        <v>323</v>
      </c>
      <c r="E3" t="s">
        <v>319</v>
      </c>
      <c r="G3">
        <v>42</v>
      </c>
    </row>
    <row r="4" spans="1:7" x14ac:dyDescent="0.25">
      <c r="A4" t="s">
        <v>323</v>
      </c>
      <c r="B4" t="s">
        <v>319</v>
      </c>
      <c r="D4" t="s">
        <v>320</v>
      </c>
      <c r="E4" t="s">
        <v>322</v>
      </c>
      <c r="G4">
        <v>3.7854000000000001</v>
      </c>
    </row>
    <row r="5" spans="1:7" x14ac:dyDescent="0.25">
      <c r="A5" t="s">
        <v>324</v>
      </c>
      <c r="B5" t="s">
        <v>325</v>
      </c>
      <c r="D5" t="s">
        <v>326</v>
      </c>
      <c r="E5" t="s">
        <v>34</v>
      </c>
      <c r="G5">
        <v>1.0550600000000001</v>
      </c>
    </row>
    <row r="6" spans="1:7" x14ac:dyDescent="0.25">
      <c r="A6" t="s">
        <v>369</v>
      </c>
      <c r="B6" t="s">
        <v>219</v>
      </c>
      <c r="D6" t="s">
        <v>326</v>
      </c>
      <c r="E6" t="s">
        <v>34</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85" zoomScaleNormal="85" workbookViewId="0">
      <pane xSplit="3" ySplit="1" topLeftCell="D2" activePane="bottomRight" state="frozen"/>
      <selection pane="topRight" activeCell="D1" sqref="D1"/>
      <selection pane="bottomLeft" activeCell="A2" sqref="A2"/>
      <selection pane="bottomRight" activeCell="D14" sqref="D14"/>
    </sheetView>
  </sheetViews>
  <sheetFormatPr defaultRowHeight="15" x14ac:dyDescent="0.25"/>
  <cols>
    <col min="1" max="1" width="21.5703125" style="159" bestFit="1" customWidth="1"/>
    <col min="2" max="2" width="10.85546875" style="159" bestFit="1" customWidth="1"/>
    <col min="3" max="3" width="17" style="159" bestFit="1" customWidth="1"/>
    <col min="4" max="45" width="8.7109375" style="159" customWidth="1"/>
    <col min="46" max="16384" width="9.140625" style="159"/>
  </cols>
  <sheetData>
    <row r="1" spans="1:74" s="148" customFormat="1" x14ac:dyDescent="0.25">
      <c r="A1" s="148" t="s">
        <v>57</v>
      </c>
      <c r="B1" s="148" t="s">
        <v>16</v>
      </c>
      <c r="C1" s="148" t="s">
        <v>79</v>
      </c>
      <c r="D1" s="148">
        <v>1990</v>
      </c>
      <c r="E1" s="148">
        <v>1991</v>
      </c>
      <c r="F1" s="148">
        <v>1992</v>
      </c>
      <c r="G1" s="148">
        <v>1993</v>
      </c>
      <c r="H1" s="148">
        <v>1994</v>
      </c>
      <c r="I1" s="148">
        <v>1995</v>
      </c>
      <c r="J1" s="148">
        <v>1996</v>
      </c>
      <c r="K1" s="148">
        <v>1997</v>
      </c>
      <c r="L1" s="148">
        <v>1998</v>
      </c>
      <c r="M1" s="148">
        <v>1999</v>
      </c>
      <c r="N1" s="148">
        <v>2000</v>
      </c>
      <c r="O1" s="148">
        <v>2001</v>
      </c>
      <c r="P1" s="148">
        <v>2002</v>
      </c>
      <c r="Q1" s="148">
        <v>2003</v>
      </c>
      <c r="R1" s="148">
        <v>2004</v>
      </c>
      <c r="S1" s="148">
        <v>2005</v>
      </c>
      <c r="T1" s="148">
        <v>2006</v>
      </c>
      <c r="U1" s="148">
        <v>2007</v>
      </c>
      <c r="V1" s="148">
        <v>2008</v>
      </c>
      <c r="W1" s="148">
        <v>2009</v>
      </c>
      <c r="X1" s="148">
        <v>2010</v>
      </c>
      <c r="Y1" s="148">
        <v>2011</v>
      </c>
      <c r="Z1" s="148">
        <v>2012</v>
      </c>
      <c r="AA1" s="148">
        <v>2013</v>
      </c>
      <c r="AB1" s="148">
        <v>2014</v>
      </c>
      <c r="AC1" s="148">
        <v>2015</v>
      </c>
      <c r="AD1" s="148">
        <v>2016</v>
      </c>
      <c r="AE1" s="148">
        <v>2017</v>
      </c>
      <c r="AF1" s="148">
        <v>2018</v>
      </c>
      <c r="AG1" s="148">
        <v>2019</v>
      </c>
      <c r="AH1" s="148">
        <v>2020</v>
      </c>
      <c r="AI1" s="148">
        <v>2021</v>
      </c>
      <c r="AJ1" s="148">
        <v>2022</v>
      </c>
      <c r="AK1" s="148">
        <v>2023</v>
      </c>
      <c r="AL1" s="148">
        <v>2024</v>
      </c>
      <c r="AM1" s="148">
        <v>2025</v>
      </c>
      <c r="AN1" s="148">
        <v>2026</v>
      </c>
      <c r="AO1" s="148">
        <v>2027</v>
      </c>
      <c r="AP1" s="148">
        <v>2028</v>
      </c>
      <c r="AQ1" s="148">
        <v>2029</v>
      </c>
      <c r="AR1" s="148">
        <v>2030</v>
      </c>
      <c r="AS1" s="148">
        <v>2031</v>
      </c>
      <c r="AT1" s="148">
        <v>2032</v>
      </c>
      <c r="AU1" s="148">
        <v>2033</v>
      </c>
      <c r="AV1" s="148">
        <v>2034</v>
      </c>
      <c r="AW1" s="148">
        <v>2035</v>
      </c>
      <c r="AX1" s="148">
        <v>2036</v>
      </c>
      <c r="AY1" s="148">
        <v>2037</v>
      </c>
      <c r="AZ1" s="148">
        <v>2038</v>
      </c>
      <c r="BA1" s="148">
        <v>2039</v>
      </c>
      <c r="BB1" s="148">
        <v>2040</v>
      </c>
      <c r="BC1" s="148">
        <v>2041</v>
      </c>
      <c r="BD1" s="148">
        <v>2042</v>
      </c>
      <c r="BE1" s="148">
        <v>2043</v>
      </c>
      <c r="BF1" s="148">
        <v>2044</v>
      </c>
      <c r="BG1" s="148">
        <v>2045</v>
      </c>
      <c r="BH1" s="148">
        <v>2046</v>
      </c>
      <c r="BI1" s="148">
        <v>2047</v>
      </c>
      <c r="BJ1" s="148">
        <v>2048</v>
      </c>
      <c r="BK1" s="148">
        <v>2049</v>
      </c>
      <c r="BL1" s="148">
        <v>2050</v>
      </c>
      <c r="BM1" s="148">
        <v>2051</v>
      </c>
      <c r="BN1" s="148">
        <v>2052</v>
      </c>
      <c r="BO1" s="148">
        <v>2053</v>
      </c>
      <c r="BP1" s="148">
        <v>2054</v>
      </c>
      <c r="BQ1" s="148">
        <v>2055</v>
      </c>
      <c r="BR1" s="148">
        <v>2056</v>
      </c>
      <c r="BS1" s="148">
        <v>2057</v>
      </c>
      <c r="BT1" s="148">
        <v>2058</v>
      </c>
      <c r="BU1" s="148">
        <v>2059</v>
      </c>
      <c r="BV1" s="148">
        <v>2060</v>
      </c>
    </row>
    <row r="2" spans="1:74" s="150" customFormat="1" x14ac:dyDescent="0.25">
      <c r="A2" s="149"/>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51"/>
      <c r="AE2" s="151"/>
      <c r="AF2" s="151"/>
      <c r="AG2" s="151"/>
      <c r="AH2" s="151"/>
      <c r="AI2" s="151"/>
      <c r="AJ2" s="151"/>
      <c r="AK2" s="151"/>
      <c r="AL2" s="151"/>
      <c r="AM2" s="151"/>
      <c r="AN2" s="151"/>
      <c r="AO2" s="151"/>
      <c r="AP2" s="151"/>
      <c r="AQ2" s="151"/>
      <c r="AR2" s="151"/>
      <c r="AS2" s="151"/>
    </row>
    <row r="3" spans="1:74" s="154" customFormat="1" x14ac:dyDescent="0.25">
      <c r="A3" s="152" t="s">
        <v>203</v>
      </c>
      <c r="B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row>
    <row r="4" spans="1:74" s="154" customFormat="1" x14ac:dyDescent="0.25">
      <c r="A4" s="152" t="s">
        <v>204</v>
      </c>
      <c r="B4" s="152" t="s">
        <v>205</v>
      </c>
      <c r="I4" s="152"/>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row>
    <row r="5" spans="1:74" x14ac:dyDescent="0.25">
      <c r="A5" s="155" t="s">
        <v>206</v>
      </c>
      <c r="B5" s="156" t="s">
        <v>207</v>
      </c>
      <c r="C5" s="150" t="s">
        <v>331</v>
      </c>
      <c r="D5" s="157">
        <v>33.524844720496894</v>
      </c>
      <c r="E5" s="157">
        <v>33.524844720496894</v>
      </c>
      <c r="F5" s="157">
        <v>33.524844720496894</v>
      </c>
      <c r="G5" s="157">
        <v>33.524844720496894</v>
      </c>
      <c r="H5" s="157">
        <v>33.524844720496894</v>
      </c>
      <c r="I5" s="158">
        <v>33.524844720496894</v>
      </c>
      <c r="J5" s="158">
        <v>33.528428093645488</v>
      </c>
      <c r="K5" s="158">
        <v>33.519503546099294</v>
      </c>
      <c r="L5" s="158">
        <v>33.531380753138073</v>
      </c>
      <c r="M5" s="158">
        <v>33.509513742071881</v>
      </c>
      <c r="N5" s="158">
        <v>33.524229074889867</v>
      </c>
      <c r="O5" s="158">
        <v>33.522304832713758</v>
      </c>
      <c r="P5" s="158">
        <v>33.516908212560388</v>
      </c>
      <c r="Q5" s="158">
        <v>33.52320675105485</v>
      </c>
      <c r="R5" s="158">
        <v>33.515358361774744</v>
      </c>
      <c r="S5" s="158">
        <v>33.507377979568673</v>
      </c>
      <c r="T5" s="158">
        <v>33.522083805209512</v>
      </c>
      <c r="U5" s="158">
        <v>33.521739130434781</v>
      </c>
      <c r="V5" s="158">
        <v>33.518930957683743</v>
      </c>
      <c r="W5" s="158">
        <v>33.509389671361504</v>
      </c>
      <c r="X5" s="158">
        <v>33.515625</v>
      </c>
      <c r="Y5" s="158">
        <v>33.513513513513516</v>
      </c>
      <c r="Z5" s="158">
        <v>33.536404160475485</v>
      </c>
      <c r="AA5" s="158">
        <v>33.509060955518947</v>
      </c>
      <c r="AB5" s="158">
        <v>33.510273972602739</v>
      </c>
      <c r="AC5" s="158">
        <v>33.517964071856291</v>
      </c>
      <c r="AD5" s="158">
        <v>33.512336719883884</v>
      </c>
      <c r="AE5" s="158">
        <v>33.523391812865498</v>
      </c>
      <c r="AF5" s="158">
        <v>33.523391812865498</v>
      </c>
      <c r="AG5" s="158">
        <v>33.523391812865498</v>
      </c>
      <c r="AH5" s="158">
        <v>33.523391812865498</v>
      </c>
      <c r="AI5" s="158">
        <v>33.523391812865498</v>
      </c>
      <c r="AJ5" s="158">
        <v>33.523391812865498</v>
      </c>
      <c r="AK5" s="158">
        <v>33.523391812865498</v>
      </c>
      <c r="AL5" s="158">
        <v>33.523391812865498</v>
      </c>
      <c r="AM5" s="158">
        <v>33.523391812865498</v>
      </c>
      <c r="AN5" s="158">
        <v>33.523391812865498</v>
      </c>
      <c r="AO5" s="158">
        <v>33.523391812865498</v>
      </c>
      <c r="AP5" s="158">
        <v>33.523391812865498</v>
      </c>
      <c r="AQ5" s="158">
        <v>33.523391812865498</v>
      </c>
      <c r="AR5" s="158">
        <v>33.523391812865498</v>
      </c>
      <c r="AS5" s="157">
        <f>AR5</f>
        <v>33.523391812865498</v>
      </c>
      <c r="AT5" s="157">
        <f t="shared" ref="AT5:BV5" si="0">AS5</f>
        <v>33.523391812865498</v>
      </c>
      <c r="AU5" s="157">
        <f t="shared" si="0"/>
        <v>33.523391812865498</v>
      </c>
      <c r="AV5" s="157">
        <f t="shared" si="0"/>
        <v>33.523391812865498</v>
      </c>
      <c r="AW5" s="157">
        <f t="shared" si="0"/>
        <v>33.523391812865498</v>
      </c>
      <c r="AX5" s="157">
        <f t="shared" si="0"/>
        <v>33.523391812865498</v>
      </c>
      <c r="AY5" s="157">
        <f t="shared" si="0"/>
        <v>33.523391812865498</v>
      </c>
      <c r="AZ5" s="157">
        <f t="shared" si="0"/>
        <v>33.523391812865498</v>
      </c>
      <c r="BA5" s="157">
        <f t="shared" si="0"/>
        <v>33.523391812865498</v>
      </c>
      <c r="BB5" s="157">
        <f t="shared" si="0"/>
        <v>33.523391812865498</v>
      </c>
      <c r="BC5" s="157">
        <f t="shared" si="0"/>
        <v>33.523391812865498</v>
      </c>
      <c r="BD5" s="157">
        <f t="shared" si="0"/>
        <v>33.523391812865498</v>
      </c>
      <c r="BE5" s="157">
        <f t="shared" si="0"/>
        <v>33.523391812865498</v>
      </c>
      <c r="BF5" s="157">
        <f t="shared" si="0"/>
        <v>33.523391812865498</v>
      </c>
      <c r="BG5" s="157">
        <f t="shared" si="0"/>
        <v>33.523391812865498</v>
      </c>
      <c r="BH5" s="157">
        <f t="shared" si="0"/>
        <v>33.523391812865498</v>
      </c>
      <c r="BI5" s="157">
        <f t="shared" si="0"/>
        <v>33.523391812865498</v>
      </c>
      <c r="BJ5" s="157">
        <f t="shared" si="0"/>
        <v>33.523391812865498</v>
      </c>
      <c r="BK5" s="157">
        <f t="shared" si="0"/>
        <v>33.523391812865498</v>
      </c>
      <c r="BL5" s="157">
        <f t="shared" si="0"/>
        <v>33.523391812865498</v>
      </c>
      <c r="BM5" s="157">
        <f t="shared" si="0"/>
        <v>33.523391812865498</v>
      </c>
      <c r="BN5" s="157">
        <f t="shared" si="0"/>
        <v>33.523391812865498</v>
      </c>
      <c r="BO5" s="157">
        <f t="shared" si="0"/>
        <v>33.523391812865498</v>
      </c>
      <c r="BP5" s="157">
        <f t="shared" si="0"/>
        <v>33.523391812865498</v>
      </c>
      <c r="BQ5" s="157">
        <f t="shared" si="0"/>
        <v>33.523391812865498</v>
      </c>
      <c r="BR5" s="157">
        <f t="shared" si="0"/>
        <v>33.523391812865498</v>
      </c>
      <c r="BS5" s="157">
        <f t="shared" si="0"/>
        <v>33.523391812865498</v>
      </c>
      <c r="BT5" s="157">
        <f t="shared" si="0"/>
        <v>33.523391812865498</v>
      </c>
      <c r="BU5" s="157">
        <f t="shared" si="0"/>
        <v>33.523391812865498</v>
      </c>
      <c r="BV5" s="157">
        <f t="shared" si="0"/>
        <v>33.523391812865498</v>
      </c>
    </row>
    <row r="6" spans="1:74" x14ac:dyDescent="0.25">
      <c r="A6" s="155" t="s">
        <v>208</v>
      </c>
      <c r="B6" s="156" t="s">
        <v>207</v>
      </c>
      <c r="C6" s="150" t="s">
        <v>331</v>
      </c>
      <c r="D6" s="157">
        <v>36.370080616337717</v>
      </c>
      <c r="E6" s="157">
        <v>36.370080616337717</v>
      </c>
      <c r="F6" s="157">
        <v>36.370080616337717</v>
      </c>
      <c r="G6" s="157">
        <v>36.370080616337717</v>
      </c>
      <c r="H6" s="157">
        <v>36.370080616337717</v>
      </c>
      <c r="I6" s="158">
        <v>36.370080616337717</v>
      </c>
      <c r="J6" s="158">
        <v>36.369990268070424</v>
      </c>
      <c r="K6" s="158">
        <v>36.37006258512784</v>
      </c>
      <c r="L6" s="158">
        <v>36.37004464435568</v>
      </c>
      <c r="M6" s="158">
        <v>36.369779446269355</v>
      </c>
      <c r="N6" s="158">
        <v>36.369907239712113</v>
      </c>
      <c r="O6" s="158">
        <v>36.370010596962203</v>
      </c>
      <c r="P6" s="158">
        <v>37.40004995420864</v>
      </c>
      <c r="Q6" s="158">
        <v>37.400067238191291</v>
      </c>
      <c r="R6" s="158">
        <v>37.399981406303262</v>
      </c>
      <c r="S6" s="158">
        <v>37.400184612679666</v>
      </c>
      <c r="T6" s="158">
        <v>37.400059355987537</v>
      </c>
      <c r="U6" s="158">
        <v>37.400157760962927</v>
      </c>
      <c r="V6" s="158">
        <v>37.40004043482994</v>
      </c>
      <c r="W6" s="158">
        <v>37.400068271036012</v>
      </c>
      <c r="X6" s="158">
        <v>37.400177462289264</v>
      </c>
      <c r="Y6" s="158">
        <v>37.400238829734306</v>
      </c>
      <c r="Z6" s="158">
        <v>37.39993851829081</v>
      </c>
      <c r="AA6" s="158">
        <v>37.400161140754925</v>
      </c>
      <c r="AB6" s="158">
        <v>37.400081034931844</v>
      </c>
      <c r="AC6" s="158">
        <v>37.400171193326173</v>
      </c>
      <c r="AD6" s="158">
        <v>37.400183235298023</v>
      </c>
      <c r="AE6" s="158">
        <v>37.400112119050043</v>
      </c>
      <c r="AF6" s="158">
        <v>37.400112119050043</v>
      </c>
      <c r="AG6" s="158">
        <v>37.400112119050043</v>
      </c>
      <c r="AH6" s="158">
        <v>37.400112119050043</v>
      </c>
      <c r="AI6" s="158">
        <v>37.400112119050043</v>
      </c>
      <c r="AJ6" s="158">
        <v>37.400112119050043</v>
      </c>
      <c r="AK6" s="158">
        <v>37.400112119050043</v>
      </c>
      <c r="AL6" s="158">
        <v>37.400112119050043</v>
      </c>
      <c r="AM6" s="158">
        <v>37.400112119050043</v>
      </c>
      <c r="AN6" s="158">
        <v>37.400112119050043</v>
      </c>
      <c r="AO6" s="158">
        <v>37.400112119050043</v>
      </c>
      <c r="AP6" s="158">
        <v>37.400112119050043</v>
      </c>
      <c r="AQ6" s="158">
        <v>37.400112119050043</v>
      </c>
      <c r="AR6" s="158">
        <v>37.400112119050043</v>
      </c>
      <c r="AS6" s="157">
        <f t="shared" ref="AS6:BV6" si="1">AR6</f>
        <v>37.400112119050043</v>
      </c>
      <c r="AT6" s="157">
        <f t="shared" si="1"/>
        <v>37.400112119050043</v>
      </c>
      <c r="AU6" s="157">
        <f t="shared" si="1"/>
        <v>37.400112119050043</v>
      </c>
      <c r="AV6" s="157">
        <f t="shared" si="1"/>
        <v>37.400112119050043</v>
      </c>
      <c r="AW6" s="157">
        <f t="shared" si="1"/>
        <v>37.400112119050043</v>
      </c>
      <c r="AX6" s="157">
        <f t="shared" si="1"/>
        <v>37.400112119050043</v>
      </c>
      <c r="AY6" s="157">
        <f t="shared" si="1"/>
        <v>37.400112119050043</v>
      </c>
      <c r="AZ6" s="157">
        <f t="shared" si="1"/>
        <v>37.400112119050043</v>
      </c>
      <c r="BA6" s="157">
        <f t="shared" si="1"/>
        <v>37.400112119050043</v>
      </c>
      <c r="BB6" s="157">
        <f t="shared" si="1"/>
        <v>37.400112119050043</v>
      </c>
      <c r="BC6" s="157">
        <f t="shared" si="1"/>
        <v>37.400112119050043</v>
      </c>
      <c r="BD6" s="157">
        <f t="shared" si="1"/>
        <v>37.400112119050043</v>
      </c>
      <c r="BE6" s="157">
        <f t="shared" si="1"/>
        <v>37.400112119050043</v>
      </c>
      <c r="BF6" s="157">
        <f t="shared" si="1"/>
        <v>37.400112119050043</v>
      </c>
      <c r="BG6" s="157">
        <f t="shared" si="1"/>
        <v>37.400112119050043</v>
      </c>
      <c r="BH6" s="157">
        <f t="shared" si="1"/>
        <v>37.400112119050043</v>
      </c>
      <c r="BI6" s="157">
        <f t="shared" si="1"/>
        <v>37.400112119050043</v>
      </c>
      <c r="BJ6" s="157">
        <f t="shared" si="1"/>
        <v>37.400112119050043</v>
      </c>
      <c r="BK6" s="157">
        <f t="shared" si="1"/>
        <v>37.400112119050043</v>
      </c>
      <c r="BL6" s="157">
        <f t="shared" si="1"/>
        <v>37.400112119050043</v>
      </c>
      <c r="BM6" s="157">
        <f t="shared" si="1"/>
        <v>37.400112119050043</v>
      </c>
      <c r="BN6" s="157">
        <f t="shared" si="1"/>
        <v>37.400112119050043</v>
      </c>
      <c r="BO6" s="157">
        <f t="shared" si="1"/>
        <v>37.400112119050043</v>
      </c>
      <c r="BP6" s="157">
        <f t="shared" si="1"/>
        <v>37.400112119050043</v>
      </c>
      <c r="BQ6" s="157">
        <f t="shared" si="1"/>
        <v>37.400112119050043</v>
      </c>
      <c r="BR6" s="157">
        <f t="shared" si="1"/>
        <v>37.400112119050043</v>
      </c>
      <c r="BS6" s="157">
        <f t="shared" si="1"/>
        <v>37.400112119050043</v>
      </c>
      <c r="BT6" s="157">
        <f t="shared" si="1"/>
        <v>37.400112119050043</v>
      </c>
      <c r="BU6" s="157">
        <f t="shared" si="1"/>
        <v>37.400112119050043</v>
      </c>
      <c r="BV6" s="157">
        <f t="shared" si="1"/>
        <v>37.400112119050043</v>
      </c>
    </row>
    <row r="7" spans="1:74" s="150" customFormat="1" x14ac:dyDescent="0.25">
      <c r="A7" s="149" t="s">
        <v>209</v>
      </c>
      <c r="B7" s="156" t="s">
        <v>207</v>
      </c>
      <c r="C7" s="150" t="s">
        <v>210</v>
      </c>
      <c r="D7" s="160">
        <v>33.322391017173047</v>
      </c>
      <c r="E7" s="161">
        <v>33.322391017173047</v>
      </c>
      <c r="F7" s="161">
        <v>33.322391017173047</v>
      </c>
      <c r="G7" s="161">
        <v>33.322391017173047</v>
      </c>
      <c r="H7" s="161">
        <v>33.322391017173047</v>
      </c>
      <c r="I7" s="161">
        <v>33.322391017173047</v>
      </c>
      <c r="J7" s="161">
        <v>33.322391017173047</v>
      </c>
      <c r="K7" s="161">
        <v>33.322391017173047</v>
      </c>
      <c r="L7" s="161">
        <v>33.322391017173047</v>
      </c>
      <c r="M7" s="161">
        <v>33.322391017173047</v>
      </c>
      <c r="N7" s="161">
        <v>33.322391017173047</v>
      </c>
      <c r="O7" s="161">
        <v>33.322391017173047</v>
      </c>
      <c r="P7" s="161">
        <v>33.322391017173047</v>
      </c>
      <c r="Q7" s="161">
        <v>33.322391017173047</v>
      </c>
      <c r="R7" s="161">
        <v>33.322391017173047</v>
      </c>
      <c r="S7" s="161">
        <v>33.322391017173047</v>
      </c>
      <c r="T7" s="161">
        <v>33.322391017173047</v>
      </c>
      <c r="U7" s="161">
        <v>33.322391017173047</v>
      </c>
      <c r="V7" s="161">
        <v>33.322391017173047</v>
      </c>
      <c r="W7" s="161">
        <v>33.322391017173047</v>
      </c>
      <c r="X7" s="161">
        <v>33.322391017173047</v>
      </c>
      <c r="Y7" s="161">
        <v>33.322391017173047</v>
      </c>
      <c r="Z7" s="161">
        <v>33.322391017173047</v>
      </c>
      <c r="AA7" s="161">
        <v>33.322391017173047</v>
      </c>
      <c r="AB7" s="161">
        <v>33.322391017173047</v>
      </c>
      <c r="AC7" s="161">
        <v>33.322391017173047</v>
      </c>
      <c r="AD7" s="161">
        <v>33.322391017173047</v>
      </c>
      <c r="AE7" s="161">
        <v>33.322391017173047</v>
      </c>
      <c r="AF7" s="161">
        <v>33.322391017173047</v>
      </c>
      <c r="AG7" s="161">
        <v>33.322391017173047</v>
      </c>
      <c r="AH7" s="161">
        <v>33.322391017173047</v>
      </c>
      <c r="AI7" s="161">
        <v>33.322391017173047</v>
      </c>
      <c r="AJ7" s="161">
        <v>33.322391017173047</v>
      </c>
      <c r="AK7" s="161">
        <v>33.322391017173047</v>
      </c>
      <c r="AL7" s="161">
        <v>33.322391017173047</v>
      </c>
      <c r="AM7" s="161">
        <v>33.322391017173047</v>
      </c>
      <c r="AN7" s="161">
        <v>33.322391017173047</v>
      </c>
      <c r="AO7" s="161">
        <v>33.322391017173047</v>
      </c>
      <c r="AP7" s="161">
        <v>33.322391017173047</v>
      </c>
      <c r="AQ7" s="161">
        <v>33.322391017173047</v>
      </c>
      <c r="AR7" s="161">
        <v>33.322391017173047</v>
      </c>
      <c r="AS7" s="157">
        <f t="shared" ref="AS7:BV7" si="2">AR7</f>
        <v>33.322391017173047</v>
      </c>
      <c r="AT7" s="157">
        <f t="shared" si="2"/>
        <v>33.322391017173047</v>
      </c>
      <c r="AU7" s="157">
        <f t="shared" si="2"/>
        <v>33.322391017173047</v>
      </c>
      <c r="AV7" s="157">
        <f t="shared" si="2"/>
        <v>33.322391017173047</v>
      </c>
      <c r="AW7" s="157">
        <f t="shared" si="2"/>
        <v>33.322391017173047</v>
      </c>
      <c r="AX7" s="157">
        <f t="shared" si="2"/>
        <v>33.322391017173047</v>
      </c>
      <c r="AY7" s="157">
        <f t="shared" si="2"/>
        <v>33.322391017173047</v>
      </c>
      <c r="AZ7" s="157">
        <f t="shared" si="2"/>
        <v>33.322391017173047</v>
      </c>
      <c r="BA7" s="157">
        <f t="shared" si="2"/>
        <v>33.322391017173047</v>
      </c>
      <c r="BB7" s="157">
        <f t="shared" si="2"/>
        <v>33.322391017173047</v>
      </c>
      <c r="BC7" s="157">
        <f t="shared" si="2"/>
        <v>33.322391017173047</v>
      </c>
      <c r="BD7" s="157">
        <f t="shared" si="2"/>
        <v>33.322391017173047</v>
      </c>
      <c r="BE7" s="157">
        <f t="shared" si="2"/>
        <v>33.322391017173047</v>
      </c>
      <c r="BF7" s="157">
        <f t="shared" si="2"/>
        <v>33.322391017173047</v>
      </c>
      <c r="BG7" s="157">
        <f t="shared" si="2"/>
        <v>33.322391017173047</v>
      </c>
      <c r="BH7" s="157">
        <f t="shared" si="2"/>
        <v>33.322391017173047</v>
      </c>
      <c r="BI7" s="157">
        <f t="shared" si="2"/>
        <v>33.322391017173047</v>
      </c>
      <c r="BJ7" s="157">
        <f t="shared" si="2"/>
        <v>33.322391017173047</v>
      </c>
      <c r="BK7" s="157">
        <f t="shared" si="2"/>
        <v>33.322391017173047</v>
      </c>
      <c r="BL7" s="157">
        <f t="shared" si="2"/>
        <v>33.322391017173047</v>
      </c>
      <c r="BM7" s="157">
        <f t="shared" si="2"/>
        <v>33.322391017173047</v>
      </c>
      <c r="BN7" s="157">
        <f t="shared" si="2"/>
        <v>33.322391017173047</v>
      </c>
      <c r="BO7" s="157">
        <f t="shared" si="2"/>
        <v>33.322391017173047</v>
      </c>
      <c r="BP7" s="157">
        <f t="shared" si="2"/>
        <v>33.322391017173047</v>
      </c>
      <c r="BQ7" s="157">
        <f t="shared" si="2"/>
        <v>33.322391017173047</v>
      </c>
      <c r="BR7" s="157">
        <f t="shared" si="2"/>
        <v>33.322391017173047</v>
      </c>
      <c r="BS7" s="157">
        <f t="shared" si="2"/>
        <v>33.322391017173047</v>
      </c>
      <c r="BT7" s="157">
        <f t="shared" si="2"/>
        <v>33.322391017173047</v>
      </c>
      <c r="BU7" s="157">
        <f t="shared" si="2"/>
        <v>33.322391017173047</v>
      </c>
      <c r="BV7" s="157">
        <f t="shared" si="2"/>
        <v>33.322391017173047</v>
      </c>
    </row>
    <row r="8" spans="1:74" s="150" customFormat="1" x14ac:dyDescent="0.25">
      <c r="A8" s="149" t="s">
        <v>211</v>
      </c>
      <c r="B8" s="156" t="s">
        <v>207</v>
      </c>
      <c r="C8" s="150" t="s">
        <v>329</v>
      </c>
      <c r="D8" s="157">
        <v>28.440073468940184</v>
      </c>
      <c r="E8" s="157">
        <v>28.440073468940184</v>
      </c>
      <c r="F8" s="157">
        <v>28.440073468940184</v>
      </c>
      <c r="G8" s="157">
        <v>28.440073468940184</v>
      </c>
      <c r="H8" s="157">
        <v>28.440073468940184</v>
      </c>
      <c r="I8" s="157">
        <v>28.440073468940184</v>
      </c>
      <c r="J8" s="157">
        <v>28.440073468940184</v>
      </c>
      <c r="K8" s="157">
        <v>28.440073468940184</v>
      </c>
      <c r="L8" s="157">
        <v>28.440073468940184</v>
      </c>
      <c r="M8" s="157">
        <v>28.440073468940184</v>
      </c>
      <c r="N8" s="157">
        <v>28.440073468940184</v>
      </c>
      <c r="O8" s="157">
        <v>28.440073468940184</v>
      </c>
      <c r="P8" s="157">
        <v>28.440073468940184</v>
      </c>
      <c r="Q8" s="157">
        <v>28.440073468940184</v>
      </c>
      <c r="R8" s="157">
        <v>28.440073468940184</v>
      </c>
      <c r="S8" s="157">
        <v>28.440073468940184</v>
      </c>
      <c r="T8" s="157">
        <v>28.440073468940184</v>
      </c>
      <c r="U8" s="157">
        <v>28.440073468940184</v>
      </c>
      <c r="V8" s="157">
        <v>28.440073468940184</v>
      </c>
      <c r="W8" s="157">
        <v>28.440073468940184</v>
      </c>
      <c r="X8" s="157">
        <v>28.440073468940184</v>
      </c>
      <c r="Y8" s="158">
        <v>28.440073468940184</v>
      </c>
      <c r="Z8" s="158">
        <v>28.439921416198402</v>
      </c>
      <c r="AA8" s="158">
        <v>28.439921416198402</v>
      </c>
      <c r="AB8" s="158">
        <v>28.439921416198402</v>
      </c>
      <c r="AC8" s="158">
        <v>28.439921416198402</v>
      </c>
      <c r="AD8" s="158">
        <v>28.440562719812426</v>
      </c>
      <c r="AE8" s="158">
        <v>28.440562719812426</v>
      </c>
      <c r="AF8" s="158">
        <v>28.440562719812426</v>
      </c>
      <c r="AG8" s="158">
        <v>28.440562719812426</v>
      </c>
      <c r="AH8" s="158">
        <v>28.440562719812426</v>
      </c>
      <c r="AI8" s="158">
        <v>28.440562719812426</v>
      </c>
      <c r="AJ8" s="158">
        <v>28.440562719812426</v>
      </c>
      <c r="AK8" s="158">
        <v>28.440562719812426</v>
      </c>
      <c r="AL8" s="158">
        <v>28.440562719812426</v>
      </c>
      <c r="AM8" s="158">
        <v>28.440562719812426</v>
      </c>
      <c r="AN8" s="158">
        <v>28.440562719812426</v>
      </c>
      <c r="AO8" s="158">
        <v>28.440562719812426</v>
      </c>
      <c r="AP8" s="158">
        <v>28.440562719812426</v>
      </c>
      <c r="AQ8" s="158">
        <v>28.440562719812426</v>
      </c>
      <c r="AR8" s="158">
        <v>28.440562719812426</v>
      </c>
      <c r="AS8" s="157">
        <f t="shared" ref="AS8:BV8" si="3">AR8</f>
        <v>28.440562719812426</v>
      </c>
      <c r="AT8" s="157">
        <f t="shared" si="3"/>
        <v>28.440562719812426</v>
      </c>
      <c r="AU8" s="157">
        <f t="shared" si="3"/>
        <v>28.440562719812426</v>
      </c>
      <c r="AV8" s="157">
        <f t="shared" si="3"/>
        <v>28.440562719812426</v>
      </c>
      <c r="AW8" s="157">
        <f t="shared" si="3"/>
        <v>28.440562719812426</v>
      </c>
      <c r="AX8" s="157">
        <f t="shared" si="3"/>
        <v>28.440562719812426</v>
      </c>
      <c r="AY8" s="157">
        <f t="shared" si="3"/>
        <v>28.440562719812426</v>
      </c>
      <c r="AZ8" s="157">
        <f t="shared" si="3"/>
        <v>28.440562719812426</v>
      </c>
      <c r="BA8" s="157">
        <f t="shared" si="3"/>
        <v>28.440562719812426</v>
      </c>
      <c r="BB8" s="157">
        <f t="shared" si="3"/>
        <v>28.440562719812426</v>
      </c>
      <c r="BC8" s="157">
        <f t="shared" si="3"/>
        <v>28.440562719812426</v>
      </c>
      <c r="BD8" s="157">
        <f t="shared" si="3"/>
        <v>28.440562719812426</v>
      </c>
      <c r="BE8" s="157">
        <f t="shared" si="3"/>
        <v>28.440562719812426</v>
      </c>
      <c r="BF8" s="157">
        <f t="shared" si="3"/>
        <v>28.440562719812426</v>
      </c>
      <c r="BG8" s="157">
        <f t="shared" si="3"/>
        <v>28.440562719812426</v>
      </c>
      <c r="BH8" s="157">
        <f t="shared" si="3"/>
        <v>28.440562719812426</v>
      </c>
      <c r="BI8" s="157">
        <f t="shared" si="3"/>
        <v>28.440562719812426</v>
      </c>
      <c r="BJ8" s="157">
        <f t="shared" si="3"/>
        <v>28.440562719812426</v>
      </c>
      <c r="BK8" s="157">
        <f t="shared" si="3"/>
        <v>28.440562719812426</v>
      </c>
      <c r="BL8" s="157">
        <f t="shared" si="3"/>
        <v>28.440562719812426</v>
      </c>
      <c r="BM8" s="157">
        <f t="shared" si="3"/>
        <v>28.440562719812426</v>
      </c>
      <c r="BN8" s="157">
        <f t="shared" si="3"/>
        <v>28.440562719812426</v>
      </c>
      <c r="BO8" s="157">
        <f t="shared" si="3"/>
        <v>28.440562719812426</v>
      </c>
      <c r="BP8" s="157">
        <f t="shared" si="3"/>
        <v>28.440562719812426</v>
      </c>
      <c r="BQ8" s="157">
        <f t="shared" si="3"/>
        <v>28.440562719812426</v>
      </c>
      <c r="BR8" s="157">
        <f t="shared" si="3"/>
        <v>28.440562719812426</v>
      </c>
      <c r="BS8" s="157">
        <f t="shared" si="3"/>
        <v>28.440562719812426</v>
      </c>
      <c r="BT8" s="157">
        <f t="shared" si="3"/>
        <v>28.440562719812426</v>
      </c>
      <c r="BU8" s="157">
        <f t="shared" si="3"/>
        <v>28.440562719812426</v>
      </c>
      <c r="BV8" s="157">
        <f t="shared" si="3"/>
        <v>28.440562719812426</v>
      </c>
    </row>
    <row r="9" spans="1:74" s="150" customFormat="1" x14ac:dyDescent="0.25">
      <c r="A9" s="155" t="s">
        <v>212</v>
      </c>
      <c r="B9" s="159" t="s">
        <v>213</v>
      </c>
      <c r="C9" s="150" t="s">
        <v>329</v>
      </c>
      <c r="D9" s="158">
        <v>27.633853226882863</v>
      </c>
      <c r="E9" s="157">
        <v>27.674322434317862</v>
      </c>
      <c r="F9" s="157">
        <v>27.714791641752861</v>
      </c>
      <c r="G9" s="157">
        <v>27.755260849187859</v>
      </c>
      <c r="H9" s="157">
        <v>27.795730056622858</v>
      </c>
      <c r="I9" s="158">
        <v>27.83619926405785</v>
      </c>
      <c r="J9" s="158">
        <v>27.148078645734575</v>
      </c>
      <c r="K9" s="158">
        <v>26.831911674787339</v>
      </c>
      <c r="L9" s="158">
        <v>27.940109783947978</v>
      </c>
      <c r="M9" s="158">
        <v>27.544152545772683</v>
      </c>
      <c r="N9" s="158">
        <v>27.281135001993739</v>
      </c>
      <c r="O9" s="158">
        <v>27.326522347523987</v>
      </c>
      <c r="P9" s="158">
        <v>27.26900553429919</v>
      </c>
      <c r="Q9" s="158">
        <v>26.649636115461792</v>
      </c>
      <c r="R9" s="158">
        <v>26.436665511450485</v>
      </c>
      <c r="S9" s="158">
        <v>26.065005050848569</v>
      </c>
      <c r="T9" s="158">
        <v>25.961495108007071</v>
      </c>
      <c r="U9" s="158">
        <v>25.531014474531759</v>
      </c>
      <c r="V9" s="158">
        <v>25.843172868753484</v>
      </c>
      <c r="W9" s="158">
        <v>26.793021648355463</v>
      </c>
      <c r="X9" s="158">
        <v>26.786318243881073</v>
      </c>
      <c r="Y9" s="158">
        <v>26.168637600813259</v>
      </c>
      <c r="Z9" s="158">
        <v>26.659965993421157</v>
      </c>
      <c r="AA9" s="158">
        <v>27.016240445692489</v>
      </c>
      <c r="AB9" s="158">
        <v>26.977445511114617</v>
      </c>
      <c r="AC9" s="158">
        <v>27.053121030041794</v>
      </c>
      <c r="AD9" s="158">
        <v>27.163362076755085</v>
      </c>
      <c r="AE9" s="158">
        <v>26.783632126576585</v>
      </c>
      <c r="AF9" s="158">
        <v>26.783632126576585</v>
      </c>
      <c r="AG9" s="158">
        <v>26.783632126576585</v>
      </c>
      <c r="AH9" s="158">
        <v>26.783632126576585</v>
      </c>
      <c r="AI9" s="158">
        <v>26.783632126576585</v>
      </c>
      <c r="AJ9" s="158">
        <v>26.783632126576585</v>
      </c>
      <c r="AK9" s="158">
        <v>26.783632126576585</v>
      </c>
      <c r="AL9" s="158">
        <v>26.783632126576585</v>
      </c>
      <c r="AM9" s="158">
        <v>26.783632126576585</v>
      </c>
      <c r="AN9" s="158">
        <v>26.783632126576585</v>
      </c>
      <c r="AO9" s="158">
        <v>26.783632126576585</v>
      </c>
      <c r="AP9" s="158">
        <v>26.783632126576585</v>
      </c>
      <c r="AQ9" s="158">
        <v>26.783632126576585</v>
      </c>
      <c r="AR9" s="158">
        <v>26.783632126576585</v>
      </c>
      <c r="AS9" s="157">
        <f t="shared" ref="AS9:BV9" si="4">AR9</f>
        <v>26.783632126576585</v>
      </c>
      <c r="AT9" s="157">
        <f t="shared" si="4"/>
        <v>26.783632126576585</v>
      </c>
      <c r="AU9" s="157">
        <f t="shared" si="4"/>
        <v>26.783632126576585</v>
      </c>
      <c r="AV9" s="157">
        <f t="shared" si="4"/>
        <v>26.783632126576585</v>
      </c>
      <c r="AW9" s="157">
        <f t="shared" si="4"/>
        <v>26.783632126576585</v>
      </c>
      <c r="AX9" s="157">
        <f t="shared" si="4"/>
        <v>26.783632126576585</v>
      </c>
      <c r="AY9" s="157">
        <f t="shared" si="4"/>
        <v>26.783632126576585</v>
      </c>
      <c r="AZ9" s="157">
        <f t="shared" si="4"/>
        <v>26.783632126576585</v>
      </c>
      <c r="BA9" s="157">
        <f t="shared" si="4"/>
        <v>26.783632126576585</v>
      </c>
      <c r="BB9" s="157">
        <f t="shared" si="4"/>
        <v>26.783632126576585</v>
      </c>
      <c r="BC9" s="157">
        <f t="shared" si="4"/>
        <v>26.783632126576585</v>
      </c>
      <c r="BD9" s="157">
        <f t="shared" si="4"/>
        <v>26.783632126576585</v>
      </c>
      <c r="BE9" s="157">
        <f t="shared" si="4"/>
        <v>26.783632126576585</v>
      </c>
      <c r="BF9" s="157">
        <f t="shared" si="4"/>
        <v>26.783632126576585</v>
      </c>
      <c r="BG9" s="157">
        <f t="shared" si="4"/>
        <v>26.783632126576585</v>
      </c>
      <c r="BH9" s="157">
        <f t="shared" si="4"/>
        <v>26.783632126576585</v>
      </c>
      <c r="BI9" s="157">
        <f t="shared" si="4"/>
        <v>26.783632126576585</v>
      </c>
      <c r="BJ9" s="157">
        <f t="shared" si="4"/>
        <v>26.783632126576585</v>
      </c>
      <c r="BK9" s="157">
        <f t="shared" si="4"/>
        <v>26.783632126576585</v>
      </c>
      <c r="BL9" s="157">
        <f t="shared" si="4"/>
        <v>26.783632126576585</v>
      </c>
      <c r="BM9" s="157">
        <f t="shared" si="4"/>
        <v>26.783632126576585</v>
      </c>
      <c r="BN9" s="157">
        <f t="shared" si="4"/>
        <v>26.783632126576585</v>
      </c>
      <c r="BO9" s="157">
        <f t="shared" si="4"/>
        <v>26.783632126576585</v>
      </c>
      <c r="BP9" s="157">
        <f t="shared" si="4"/>
        <v>26.783632126576585</v>
      </c>
      <c r="BQ9" s="157">
        <f t="shared" si="4"/>
        <v>26.783632126576585</v>
      </c>
      <c r="BR9" s="157">
        <f t="shared" si="4"/>
        <v>26.783632126576585</v>
      </c>
      <c r="BS9" s="157">
        <f t="shared" si="4"/>
        <v>26.783632126576585</v>
      </c>
      <c r="BT9" s="157">
        <f t="shared" si="4"/>
        <v>26.783632126576585</v>
      </c>
      <c r="BU9" s="157">
        <f t="shared" si="4"/>
        <v>26.783632126576585</v>
      </c>
      <c r="BV9" s="157">
        <f t="shared" si="4"/>
        <v>26.783632126576585</v>
      </c>
    </row>
    <row r="10" spans="1:74" s="150" customFormat="1" x14ac:dyDescent="0.25">
      <c r="A10" s="155" t="s">
        <v>214</v>
      </c>
      <c r="B10" s="159" t="s">
        <v>213</v>
      </c>
      <c r="C10" s="150" t="s">
        <v>329</v>
      </c>
      <c r="D10" s="158">
        <v>28.829999862532993</v>
      </c>
      <c r="E10" s="157">
        <v>28.829999811601173</v>
      </c>
      <c r="F10" s="157">
        <v>28.829999760669352</v>
      </c>
      <c r="G10" s="157">
        <v>28.829999709737532</v>
      </c>
      <c r="H10" s="157">
        <v>28.829999658805711</v>
      </c>
      <c r="I10" s="158">
        <v>28.829999607873891</v>
      </c>
      <c r="J10" s="158">
        <v>28.82999990804344</v>
      </c>
      <c r="K10" s="158">
        <v>28.829999893660762</v>
      </c>
      <c r="L10" s="158">
        <v>28.829999945186401</v>
      </c>
      <c r="M10" s="158">
        <v>28.830000120665208</v>
      </c>
      <c r="N10" s="158">
        <v>28.830000239717378</v>
      </c>
      <c r="O10" s="158">
        <v>28.82999995511139</v>
      </c>
      <c r="P10" s="158">
        <v>28.830000015450388</v>
      </c>
      <c r="Q10" s="158">
        <v>28.82999994686336</v>
      </c>
      <c r="R10" s="158">
        <v>28.829999901213348</v>
      </c>
      <c r="S10" s="158">
        <v>28.830000062087507</v>
      </c>
      <c r="T10" s="158">
        <v>28.829996791359196</v>
      </c>
      <c r="U10" s="158">
        <v>28.829996297848346</v>
      </c>
      <c r="V10" s="158">
        <v>28.829998215308454</v>
      </c>
      <c r="W10" s="158">
        <v>28.83000207582332</v>
      </c>
      <c r="X10" s="158">
        <v>28.829995050999777</v>
      </c>
      <c r="Y10" s="158">
        <v>28.829996754598554</v>
      </c>
      <c r="Z10" s="158">
        <v>28.829999073505032</v>
      </c>
      <c r="AA10" s="158">
        <v>28.830005119721349</v>
      </c>
      <c r="AB10" s="158">
        <v>28.830002406580906</v>
      </c>
      <c r="AC10" s="158">
        <v>28.829999136977442</v>
      </c>
      <c r="AD10" s="158">
        <v>28.830004655337383</v>
      </c>
      <c r="AE10" s="158">
        <v>28.829997584391169</v>
      </c>
      <c r="AF10" s="158">
        <v>28.829997584391169</v>
      </c>
      <c r="AG10" s="158">
        <v>28.829997584391169</v>
      </c>
      <c r="AH10" s="158">
        <v>28.829997584391169</v>
      </c>
      <c r="AI10" s="158">
        <v>28.829997584391169</v>
      </c>
      <c r="AJ10" s="158">
        <v>28.829997584391169</v>
      </c>
      <c r="AK10" s="158">
        <v>28.829997584391169</v>
      </c>
      <c r="AL10" s="158">
        <v>28.829997584391169</v>
      </c>
      <c r="AM10" s="158">
        <v>28.829997584391169</v>
      </c>
      <c r="AN10" s="158">
        <v>28.829997584391169</v>
      </c>
      <c r="AO10" s="158">
        <v>28.829997584391169</v>
      </c>
      <c r="AP10" s="158">
        <v>28.829997584391169</v>
      </c>
      <c r="AQ10" s="158">
        <v>28.829997584391169</v>
      </c>
      <c r="AR10" s="158">
        <v>28.829997584391169</v>
      </c>
      <c r="AS10" s="157">
        <f t="shared" ref="AS10:BV10" si="5">AR10</f>
        <v>28.829997584391169</v>
      </c>
      <c r="AT10" s="157">
        <f t="shared" si="5"/>
        <v>28.829997584391169</v>
      </c>
      <c r="AU10" s="157">
        <f t="shared" si="5"/>
        <v>28.829997584391169</v>
      </c>
      <c r="AV10" s="157">
        <f t="shared" si="5"/>
        <v>28.829997584391169</v>
      </c>
      <c r="AW10" s="157">
        <f t="shared" si="5"/>
        <v>28.829997584391169</v>
      </c>
      <c r="AX10" s="157">
        <f t="shared" si="5"/>
        <v>28.829997584391169</v>
      </c>
      <c r="AY10" s="157">
        <f t="shared" si="5"/>
        <v>28.829997584391169</v>
      </c>
      <c r="AZ10" s="157">
        <f t="shared" si="5"/>
        <v>28.829997584391169</v>
      </c>
      <c r="BA10" s="157">
        <f t="shared" si="5"/>
        <v>28.829997584391169</v>
      </c>
      <c r="BB10" s="157">
        <f t="shared" si="5"/>
        <v>28.829997584391169</v>
      </c>
      <c r="BC10" s="157">
        <f t="shared" si="5"/>
        <v>28.829997584391169</v>
      </c>
      <c r="BD10" s="157">
        <f t="shared" si="5"/>
        <v>28.829997584391169</v>
      </c>
      <c r="BE10" s="157">
        <f t="shared" si="5"/>
        <v>28.829997584391169</v>
      </c>
      <c r="BF10" s="157">
        <f t="shared" si="5"/>
        <v>28.829997584391169</v>
      </c>
      <c r="BG10" s="157">
        <f t="shared" si="5"/>
        <v>28.829997584391169</v>
      </c>
      <c r="BH10" s="157">
        <f t="shared" si="5"/>
        <v>28.829997584391169</v>
      </c>
      <c r="BI10" s="157">
        <f t="shared" si="5"/>
        <v>28.829997584391169</v>
      </c>
      <c r="BJ10" s="157">
        <f t="shared" si="5"/>
        <v>28.829997584391169</v>
      </c>
      <c r="BK10" s="157">
        <f t="shared" si="5"/>
        <v>28.829997584391169</v>
      </c>
      <c r="BL10" s="157">
        <f t="shared" si="5"/>
        <v>28.829997584391169</v>
      </c>
      <c r="BM10" s="157">
        <f t="shared" si="5"/>
        <v>28.829997584391169</v>
      </c>
      <c r="BN10" s="157">
        <f t="shared" si="5"/>
        <v>28.829997584391169</v>
      </c>
      <c r="BO10" s="157">
        <f t="shared" si="5"/>
        <v>28.829997584391169</v>
      </c>
      <c r="BP10" s="157">
        <f t="shared" si="5"/>
        <v>28.829997584391169</v>
      </c>
      <c r="BQ10" s="157">
        <f t="shared" si="5"/>
        <v>28.829997584391169</v>
      </c>
      <c r="BR10" s="157">
        <f t="shared" si="5"/>
        <v>28.829997584391169</v>
      </c>
      <c r="BS10" s="157">
        <f t="shared" si="5"/>
        <v>28.829997584391169</v>
      </c>
      <c r="BT10" s="157">
        <f t="shared" si="5"/>
        <v>28.829997584391169</v>
      </c>
      <c r="BU10" s="157">
        <f t="shared" si="5"/>
        <v>28.829997584391169</v>
      </c>
      <c r="BV10" s="157">
        <f t="shared" si="5"/>
        <v>28.829997584391169</v>
      </c>
    </row>
    <row r="11" spans="1:74" s="150" customFormat="1" x14ac:dyDescent="0.25">
      <c r="A11" s="149" t="s">
        <v>215</v>
      </c>
      <c r="B11" s="150" t="s">
        <v>213</v>
      </c>
      <c r="C11" s="162" t="s">
        <v>216</v>
      </c>
      <c r="D11" s="163">
        <v>37.088301383721408</v>
      </c>
      <c r="E11" s="163">
        <v>37.088301339656731</v>
      </c>
      <c r="F11" s="163">
        <v>37.088301295592053</v>
      </c>
      <c r="G11" s="163">
        <v>37.088301251527376</v>
      </c>
      <c r="H11" s="163">
        <v>37.088301207462699</v>
      </c>
      <c r="I11" s="163">
        <v>37.088301163398015</v>
      </c>
      <c r="J11" s="163">
        <v>37.088302189689898</v>
      </c>
      <c r="K11" s="163">
        <v>37.088301865713994</v>
      </c>
      <c r="L11" s="163">
        <v>38.722588818692024</v>
      </c>
      <c r="M11" s="163">
        <v>38.647545107823234</v>
      </c>
      <c r="N11" s="163">
        <v>38.647544558124402</v>
      </c>
      <c r="O11" s="163">
        <v>38.647544505439768</v>
      </c>
      <c r="P11" s="163">
        <v>38.647544645524597</v>
      </c>
      <c r="Q11" s="163">
        <v>38.647544383625231</v>
      </c>
      <c r="R11" s="163">
        <v>38.647544562117609</v>
      </c>
      <c r="S11" s="163">
        <v>38.647544328371573</v>
      </c>
      <c r="T11" s="163">
        <v>38.647538364410046</v>
      </c>
      <c r="U11" s="163">
        <v>38.647532379989407</v>
      </c>
      <c r="V11" s="163">
        <v>38.647536489743565</v>
      </c>
      <c r="W11" s="163">
        <v>38.647537590620246</v>
      </c>
      <c r="X11" s="163">
        <v>38.647532447156081</v>
      </c>
      <c r="Y11" s="163">
        <v>38.647541819225708</v>
      </c>
      <c r="Z11" s="163">
        <v>38.647535763672678</v>
      </c>
      <c r="AA11" s="163">
        <v>38.647553606699262</v>
      </c>
      <c r="AB11" s="163">
        <v>38.649998943212829</v>
      </c>
      <c r="AC11" s="163">
        <v>38.650005369567552</v>
      </c>
      <c r="AD11" s="163">
        <v>38.649992812913396</v>
      </c>
      <c r="AE11" s="163">
        <v>38.649992812913396</v>
      </c>
      <c r="AF11" s="163">
        <v>38.649992812913396</v>
      </c>
      <c r="AG11" s="163">
        <v>38.649992812913396</v>
      </c>
      <c r="AH11" s="163">
        <v>38.649992812913396</v>
      </c>
      <c r="AI11" s="163">
        <v>38.649992812913396</v>
      </c>
      <c r="AJ11" s="163">
        <v>38.649992812913396</v>
      </c>
      <c r="AK11" s="163">
        <v>38.649992812913396</v>
      </c>
      <c r="AL11" s="163">
        <v>38.649992812913396</v>
      </c>
      <c r="AM11" s="163">
        <v>38.649992812913396</v>
      </c>
      <c r="AN11" s="163">
        <v>38.649992812913396</v>
      </c>
      <c r="AO11" s="163">
        <v>38.649992812913396</v>
      </c>
      <c r="AP11" s="163">
        <v>38.649992812913396</v>
      </c>
      <c r="AQ11" s="163">
        <v>38.649992812913396</v>
      </c>
      <c r="AR11" s="163">
        <v>38.649992812913396</v>
      </c>
      <c r="AS11" s="157">
        <f t="shared" ref="AS11:BV11" si="6">AR11</f>
        <v>38.649992812913396</v>
      </c>
      <c r="AT11" s="157">
        <f t="shared" si="6"/>
        <v>38.649992812913396</v>
      </c>
      <c r="AU11" s="157">
        <f t="shared" si="6"/>
        <v>38.649992812913396</v>
      </c>
      <c r="AV11" s="157">
        <f t="shared" si="6"/>
        <v>38.649992812913396</v>
      </c>
      <c r="AW11" s="157">
        <f t="shared" si="6"/>
        <v>38.649992812913396</v>
      </c>
      <c r="AX11" s="157">
        <f t="shared" si="6"/>
        <v>38.649992812913396</v>
      </c>
      <c r="AY11" s="157">
        <f t="shared" si="6"/>
        <v>38.649992812913396</v>
      </c>
      <c r="AZ11" s="157">
        <f t="shared" si="6"/>
        <v>38.649992812913396</v>
      </c>
      <c r="BA11" s="157">
        <f t="shared" si="6"/>
        <v>38.649992812913396</v>
      </c>
      <c r="BB11" s="157">
        <f t="shared" si="6"/>
        <v>38.649992812913396</v>
      </c>
      <c r="BC11" s="157">
        <f t="shared" si="6"/>
        <v>38.649992812913396</v>
      </c>
      <c r="BD11" s="157">
        <f t="shared" si="6"/>
        <v>38.649992812913396</v>
      </c>
      <c r="BE11" s="157">
        <f t="shared" si="6"/>
        <v>38.649992812913396</v>
      </c>
      <c r="BF11" s="157">
        <f t="shared" si="6"/>
        <v>38.649992812913396</v>
      </c>
      <c r="BG11" s="157">
        <f t="shared" si="6"/>
        <v>38.649992812913396</v>
      </c>
      <c r="BH11" s="157">
        <f t="shared" si="6"/>
        <v>38.649992812913396</v>
      </c>
      <c r="BI11" s="157">
        <f t="shared" si="6"/>
        <v>38.649992812913396</v>
      </c>
      <c r="BJ11" s="157">
        <f t="shared" si="6"/>
        <v>38.649992812913396</v>
      </c>
      <c r="BK11" s="157">
        <f t="shared" si="6"/>
        <v>38.649992812913396</v>
      </c>
      <c r="BL11" s="157">
        <f t="shared" si="6"/>
        <v>38.649992812913396</v>
      </c>
      <c r="BM11" s="157">
        <f t="shared" si="6"/>
        <v>38.649992812913396</v>
      </c>
      <c r="BN11" s="157">
        <f t="shared" si="6"/>
        <v>38.649992812913396</v>
      </c>
      <c r="BO11" s="157">
        <f t="shared" si="6"/>
        <v>38.649992812913396</v>
      </c>
      <c r="BP11" s="157">
        <f t="shared" si="6"/>
        <v>38.649992812913396</v>
      </c>
      <c r="BQ11" s="157">
        <f t="shared" si="6"/>
        <v>38.649992812913396</v>
      </c>
      <c r="BR11" s="157">
        <f t="shared" si="6"/>
        <v>38.649992812913396</v>
      </c>
      <c r="BS11" s="157">
        <f t="shared" si="6"/>
        <v>38.649992812913396</v>
      </c>
      <c r="BT11" s="157">
        <f t="shared" si="6"/>
        <v>38.649992812913396</v>
      </c>
      <c r="BU11" s="157">
        <f t="shared" si="6"/>
        <v>38.649992812913396</v>
      </c>
      <c r="BV11" s="157">
        <f t="shared" si="6"/>
        <v>38.649992812913396</v>
      </c>
    </row>
    <row r="12" spans="1:74" s="150" customFormat="1" x14ac:dyDescent="0.25">
      <c r="A12" s="155" t="s">
        <v>217</v>
      </c>
      <c r="B12" s="159" t="s">
        <v>218</v>
      </c>
      <c r="C12" s="150" t="s">
        <v>329</v>
      </c>
      <c r="D12" s="158">
        <v>18.61</v>
      </c>
      <c r="E12" s="157">
        <v>18.61000003258399</v>
      </c>
      <c r="F12" s="157">
        <v>18.610000065167981</v>
      </c>
      <c r="G12" s="157">
        <v>18.610000097751971</v>
      </c>
      <c r="H12" s="157">
        <v>18.610000130335962</v>
      </c>
      <c r="I12" s="158">
        <v>18.61000016291996</v>
      </c>
      <c r="J12" s="158">
        <v>18.61000019937806</v>
      </c>
      <c r="K12" s="158">
        <v>18.610000042221756</v>
      </c>
      <c r="L12" s="158">
        <v>19.139999682607467</v>
      </c>
      <c r="M12" s="158">
        <v>19.140000199529965</v>
      </c>
      <c r="N12" s="158">
        <v>19.139999957654901</v>
      </c>
      <c r="O12" s="158">
        <v>19.139999773457422</v>
      </c>
      <c r="P12" s="158">
        <v>19.139999671765949</v>
      </c>
      <c r="Q12" s="158">
        <v>19.140000273244574</v>
      </c>
      <c r="R12" s="158">
        <v>19.140000054043902</v>
      </c>
      <c r="S12" s="158">
        <v>19.140000272224011</v>
      </c>
      <c r="T12" s="158">
        <v>19.139998408189733</v>
      </c>
      <c r="U12" s="158">
        <v>19.140004810417725</v>
      </c>
      <c r="V12" s="158">
        <v>19.1399960823302</v>
      </c>
      <c r="W12" s="158">
        <v>19.139992072471465</v>
      </c>
      <c r="X12" s="158">
        <v>19.139999100583978</v>
      </c>
      <c r="Y12" s="158">
        <v>19.139998598649541</v>
      </c>
      <c r="Z12" s="158">
        <v>19.139997523658948</v>
      </c>
      <c r="AA12" s="158">
        <v>19.140004546473484</v>
      </c>
      <c r="AB12" s="158">
        <v>19.140001418633755</v>
      </c>
      <c r="AC12" s="158">
        <v>19.140008494180584</v>
      </c>
      <c r="AD12" s="158">
        <v>19.139993203237555</v>
      </c>
      <c r="AE12" s="158">
        <v>19.140009306293379</v>
      </c>
      <c r="AF12" s="158">
        <v>19.140009306293379</v>
      </c>
      <c r="AG12" s="158">
        <v>19.140009306293379</v>
      </c>
      <c r="AH12" s="158">
        <v>19.140009306293379</v>
      </c>
      <c r="AI12" s="158">
        <v>19.140009306293379</v>
      </c>
      <c r="AJ12" s="158">
        <v>19.140009306293379</v>
      </c>
      <c r="AK12" s="158">
        <v>19.140009306293379</v>
      </c>
      <c r="AL12" s="158">
        <v>19.140009306293379</v>
      </c>
      <c r="AM12" s="158">
        <v>19.140009306293379</v>
      </c>
      <c r="AN12" s="158">
        <v>19.140009306293379</v>
      </c>
      <c r="AO12" s="158">
        <v>19.140009306293379</v>
      </c>
      <c r="AP12" s="158">
        <v>19.140009306293379</v>
      </c>
      <c r="AQ12" s="158">
        <v>19.140009306293379</v>
      </c>
      <c r="AR12" s="158">
        <v>19.140009306293379</v>
      </c>
      <c r="AS12" s="157">
        <f t="shared" ref="AS12:BV12" si="7">AR12</f>
        <v>19.140009306293379</v>
      </c>
      <c r="AT12" s="157">
        <f t="shared" si="7"/>
        <v>19.140009306293379</v>
      </c>
      <c r="AU12" s="157">
        <f t="shared" si="7"/>
        <v>19.140009306293379</v>
      </c>
      <c r="AV12" s="157">
        <f t="shared" si="7"/>
        <v>19.140009306293379</v>
      </c>
      <c r="AW12" s="157">
        <f t="shared" si="7"/>
        <v>19.140009306293379</v>
      </c>
      <c r="AX12" s="157">
        <f t="shared" si="7"/>
        <v>19.140009306293379</v>
      </c>
      <c r="AY12" s="157">
        <f t="shared" si="7"/>
        <v>19.140009306293379</v>
      </c>
      <c r="AZ12" s="157">
        <f t="shared" si="7"/>
        <v>19.140009306293379</v>
      </c>
      <c r="BA12" s="157">
        <f t="shared" si="7"/>
        <v>19.140009306293379</v>
      </c>
      <c r="BB12" s="157">
        <f t="shared" si="7"/>
        <v>19.140009306293379</v>
      </c>
      <c r="BC12" s="157">
        <f t="shared" si="7"/>
        <v>19.140009306293379</v>
      </c>
      <c r="BD12" s="157">
        <f t="shared" si="7"/>
        <v>19.140009306293379</v>
      </c>
      <c r="BE12" s="157">
        <f t="shared" si="7"/>
        <v>19.140009306293379</v>
      </c>
      <c r="BF12" s="157">
        <f t="shared" si="7"/>
        <v>19.140009306293379</v>
      </c>
      <c r="BG12" s="157">
        <f t="shared" si="7"/>
        <v>19.140009306293379</v>
      </c>
      <c r="BH12" s="157">
        <f t="shared" si="7"/>
        <v>19.140009306293379</v>
      </c>
      <c r="BI12" s="157">
        <f t="shared" si="7"/>
        <v>19.140009306293379</v>
      </c>
      <c r="BJ12" s="157">
        <f t="shared" si="7"/>
        <v>19.140009306293379</v>
      </c>
      <c r="BK12" s="157">
        <f t="shared" si="7"/>
        <v>19.140009306293379</v>
      </c>
      <c r="BL12" s="157">
        <f t="shared" si="7"/>
        <v>19.140009306293379</v>
      </c>
      <c r="BM12" s="157">
        <f t="shared" si="7"/>
        <v>19.140009306293379</v>
      </c>
      <c r="BN12" s="157">
        <f t="shared" si="7"/>
        <v>19.140009306293379</v>
      </c>
      <c r="BO12" s="157">
        <f t="shared" si="7"/>
        <v>19.140009306293379</v>
      </c>
      <c r="BP12" s="157">
        <f t="shared" si="7"/>
        <v>19.140009306293379</v>
      </c>
      <c r="BQ12" s="157">
        <f t="shared" si="7"/>
        <v>19.140009306293379</v>
      </c>
      <c r="BR12" s="157">
        <f t="shared" si="7"/>
        <v>19.140009306293379</v>
      </c>
      <c r="BS12" s="157">
        <f t="shared" si="7"/>
        <v>19.140009306293379</v>
      </c>
      <c r="BT12" s="157">
        <f t="shared" si="7"/>
        <v>19.140009306293379</v>
      </c>
      <c r="BU12" s="157">
        <f t="shared" si="7"/>
        <v>19.140009306293379</v>
      </c>
      <c r="BV12" s="157">
        <f t="shared" si="7"/>
        <v>19.140009306293379</v>
      </c>
    </row>
    <row r="13" spans="1:74" s="150" customFormat="1" x14ac:dyDescent="0.25">
      <c r="A13" s="155" t="s">
        <v>12</v>
      </c>
      <c r="B13" s="156" t="s">
        <v>207</v>
      </c>
      <c r="C13" s="150" t="s">
        <v>331</v>
      </c>
      <c r="D13" s="157">
        <v>38.679974803988344</v>
      </c>
      <c r="E13" s="157">
        <v>38.679974803988344</v>
      </c>
      <c r="F13" s="157">
        <v>38.679974803988344</v>
      </c>
      <c r="G13" s="157">
        <v>38.679974803988344</v>
      </c>
      <c r="H13" s="157">
        <v>38.679974803988344</v>
      </c>
      <c r="I13" s="158">
        <v>38.679974803988344</v>
      </c>
      <c r="J13" s="158">
        <v>38.679945949144852</v>
      </c>
      <c r="K13" s="158">
        <v>38.680001335693056</v>
      </c>
      <c r="L13" s="158">
        <v>38.680026968590894</v>
      </c>
      <c r="M13" s="158">
        <v>38.68004352638787</v>
      </c>
      <c r="N13" s="158">
        <v>38.679925435948505</v>
      </c>
      <c r="O13" s="158">
        <v>38.680065473475189</v>
      </c>
      <c r="P13" s="158">
        <v>38.299955672007968</v>
      </c>
      <c r="Q13" s="158">
        <v>38.300019365322605</v>
      </c>
      <c r="R13" s="158">
        <v>38.299998399923197</v>
      </c>
      <c r="S13" s="158">
        <v>38.299926499862188</v>
      </c>
      <c r="T13" s="158">
        <v>38.300002667977786</v>
      </c>
      <c r="U13" s="158">
        <v>38.300015210447405</v>
      </c>
      <c r="V13" s="158">
        <v>38.299940790430028</v>
      </c>
      <c r="W13" s="158">
        <v>38.299974683738519</v>
      </c>
      <c r="X13" s="158">
        <v>38.299946866870457</v>
      </c>
      <c r="Y13" s="158">
        <v>38.300039514978138</v>
      </c>
      <c r="Z13" s="158">
        <v>38.300051884470577</v>
      </c>
      <c r="AA13" s="158">
        <v>38.299962441557767</v>
      </c>
      <c r="AB13" s="158">
        <v>38.300053668135767</v>
      </c>
      <c r="AC13" s="158">
        <v>38.29993343265604</v>
      </c>
      <c r="AD13" s="158">
        <v>38.299970443614477</v>
      </c>
      <c r="AE13" s="158">
        <v>38.299981329101264</v>
      </c>
      <c r="AF13" s="158">
        <v>38.299981329101264</v>
      </c>
      <c r="AG13" s="158">
        <v>38.299981329101264</v>
      </c>
      <c r="AH13" s="158">
        <v>38.299981329101264</v>
      </c>
      <c r="AI13" s="158">
        <v>38.299981329101264</v>
      </c>
      <c r="AJ13" s="158">
        <v>38.299981329101264</v>
      </c>
      <c r="AK13" s="158">
        <v>38.299981329101264</v>
      </c>
      <c r="AL13" s="158">
        <v>38.299981329101264</v>
      </c>
      <c r="AM13" s="158">
        <v>38.299981329101264</v>
      </c>
      <c r="AN13" s="158">
        <v>38.299981329101264</v>
      </c>
      <c r="AO13" s="158">
        <v>38.299981329101264</v>
      </c>
      <c r="AP13" s="158">
        <v>38.299981329101264</v>
      </c>
      <c r="AQ13" s="158">
        <v>38.299981329101264</v>
      </c>
      <c r="AR13" s="158">
        <v>38.299981329101264</v>
      </c>
      <c r="AS13" s="157">
        <f t="shared" ref="AS13:BV13" si="8">AR13</f>
        <v>38.299981329101264</v>
      </c>
      <c r="AT13" s="157">
        <f t="shared" si="8"/>
        <v>38.299981329101264</v>
      </c>
      <c r="AU13" s="157">
        <f t="shared" si="8"/>
        <v>38.299981329101264</v>
      </c>
      <c r="AV13" s="157">
        <f t="shared" si="8"/>
        <v>38.299981329101264</v>
      </c>
      <c r="AW13" s="157">
        <f t="shared" si="8"/>
        <v>38.299981329101264</v>
      </c>
      <c r="AX13" s="157">
        <f t="shared" si="8"/>
        <v>38.299981329101264</v>
      </c>
      <c r="AY13" s="157">
        <f t="shared" si="8"/>
        <v>38.299981329101264</v>
      </c>
      <c r="AZ13" s="157">
        <f t="shared" si="8"/>
        <v>38.299981329101264</v>
      </c>
      <c r="BA13" s="157">
        <f t="shared" si="8"/>
        <v>38.299981329101264</v>
      </c>
      <c r="BB13" s="157">
        <f t="shared" si="8"/>
        <v>38.299981329101264</v>
      </c>
      <c r="BC13" s="157">
        <f t="shared" si="8"/>
        <v>38.299981329101264</v>
      </c>
      <c r="BD13" s="157">
        <f t="shared" si="8"/>
        <v>38.299981329101264</v>
      </c>
      <c r="BE13" s="157">
        <f t="shared" si="8"/>
        <v>38.299981329101264</v>
      </c>
      <c r="BF13" s="157">
        <f t="shared" si="8"/>
        <v>38.299981329101264</v>
      </c>
      <c r="BG13" s="157">
        <f t="shared" si="8"/>
        <v>38.299981329101264</v>
      </c>
      <c r="BH13" s="157">
        <f t="shared" si="8"/>
        <v>38.299981329101264</v>
      </c>
      <c r="BI13" s="157">
        <f t="shared" si="8"/>
        <v>38.299981329101264</v>
      </c>
      <c r="BJ13" s="157">
        <f t="shared" si="8"/>
        <v>38.299981329101264</v>
      </c>
      <c r="BK13" s="157">
        <f t="shared" si="8"/>
        <v>38.299981329101264</v>
      </c>
      <c r="BL13" s="157">
        <f t="shared" si="8"/>
        <v>38.299981329101264</v>
      </c>
      <c r="BM13" s="157">
        <f t="shared" si="8"/>
        <v>38.299981329101264</v>
      </c>
      <c r="BN13" s="157">
        <f t="shared" si="8"/>
        <v>38.299981329101264</v>
      </c>
      <c r="BO13" s="157">
        <f t="shared" si="8"/>
        <v>38.299981329101264</v>
      </c>
      <c r="BP13" s="157">
        <f t="shared" si="8"/>
        <v>38.299981329101264</v>
      </c>
      <c r="BQ13" s="157">
        <f t="shared" si="8"/>
        <v>38.299981329101264</v>
      </c>
      <c r="BR13" s="157">
        <f t="shared" si="8"/>
        <v>38.299981329101264</v>
      </c>
      <c r="BS13" s="157">
        <f t="shared" si="8"/>
        <v>38.299981329101264</v>
      </c>
      <c r="BT13" s="157">
        <f t="shared" si="8"/>
        <v>38.299981329101264</v>
      </c>
      <c r="BU13" s="157">
        <f t="shared" si="8"/>
        <v>38.299981329101264</v>
      </c>
      <c r="BV13" s="157">
        <f t="shared" si="8"/>
        <v>38.299981329101264</v>
      </c>
    </row>
    <row r="14" spans="1:74" s="150" customFormat="1" x14ac:dyDescent="0.25">
      <c r="A14" s="149" t="s">
        <v>2</v>
      </c>
      <c r="B14" s="150" t="s">
        <v>219</v>
      </c>
      <c r="C14" s="150" t="s">
        <v>329</v>
      </c>
      <c r="D14" s="158">
        <v>3.6</v>
      </c>
      <c r="E14" s="157">
        <v>3.6</v>
      </c>
      <c r="F14" s="157">
        <v>3.6</v>
      </c>
      <c r="G14" s="157">
        <v>3.6</v>
      </c>
      <c r="H14" s="157">
        <v>3.6</v>
      </c>
      <c r="I14" s="158">
        <v>3.6</v>
      </c>
      <c r="J14" s="158">
        <v>3.6</v>
      </c>
      <c r="K14" s="158">
        <v>3.6</v>
      </c>
      <c r="L14" s="158">
        <v>3.6</v>
      </c>
      <c r="M14" s="158">
        <v>3.6</v>
      </c>
      <c r="N14" s="158">
        <v>3.6</v>
      </c>
      <c r="O14" s="158">
        <v>3.6</v>
      </c>
      <c r="P14" s="158">
        <v>3.6</v>
      </c>
      <c r="Q14" s="158">
        <v>3.6</v>
      </c>
      <c r="R14" s="158">
        <v>3.6</v>
      </c>
      <c r="S14" s="158">
        <v>3.6</v>
      </c>
      <c r="T14" s="158">
        <v>3.6</v>
      </c>
      <c r="U14" s="158">
        <v>3.6</v>
      </c>
      <c r="V14" s="158">
        <v>3.6</v>
      </c>
      <c r="W14" s="158">
        <v>3.6</v>
      </c>
      <c r="X14" s="158">
        <v>3.6</v>
      </c>
      <c r="Y14" s="158">
        <v>3.6</v>
      </c>
      <c r="Z14" s="158">
        <v>3.6</v>
      </c>
      <c r="AA14" s="158">
        <v>3.6</v>
      </c>
      <c r="AB14" s="158">
        <v>3.6</v>
      </c>
      <c r="AC14" s="158">
        <v>3.6</v>
      </c>
      <c r="AD14" s="158">
        <v>3.6</v>
      </c>
      <c r="AE14" s="158">
        <v>3.6</v>
      </c>
      <c r="AF14" s="158">
        <v>3.6</v>
      </c>
      <c r="AG14" s="158">
        <v>3.6</v>
      </c>
      <c r="AH14" s="158">
        <v>3.6</v>
      </c>
      <c r="AI14" s="158">
        <v>3.6</v>
      </c>
      <c r="AJ14" s="158">
        <v>3.6</v>
      </c>
      <c r="AK14" s="158">
        <v>3.6</v>
      </c>
      <c r="AL14" s="158">
        <v>3.6</v>
      </c>
      <c r="AM14" s="158">
        <v>3.6</v>
      </c>
      <c r="AN14" s="158">
        <v>3.6</v>
      </c>
      <c r="AO14" s="158">
        <v>3.6</v>
      </c>
      <c r="AP14" s="158">
        <v>3.6</v>
      </c>
      <c r="AQ14" s="158">
        <v>3.6</v>
      </c>
      <c r="AR14" s="158">
        <v>3.6</v>
      </c>
      <c r="AS14" s="157">
        <f t="shared" ref="AS14:BV14" si="9">AR14</f>
        <v>3.6</v>
      </c>
      <c r="AT14" s="157">
        <f t="shared" si="9"/>
        <v>3.6</v>
      </c>
      <c r="AU14" s="157">
        <f t="shared" si="9"/>
        <v>3.6</v>
      </c>
      <c r="AV14" s="157">
        <f t="shared" si="9"/>
        <v>3.6</v>
      </c>
      <c r="AW14" s="157">
        <f t="shared" si="9"/>
        <v>3.6</v>
      </c>
      <c r="AX14" s="157">
        <f t="shared" si="9"/>
        <v>3.6</v>
      </c>
      <c r="AY14" s="157">
        <f t="shared" si="9"/>
        <v>3.6</v>
      </c>
      <c r="AZ14" s="157">
        <f t="shared" si="9"/>
        <v>3.6</v>
      </c>
      <c r="BA14" s="157">
        <f t="shared" si="9"/>
        <v>3.6</v>
      </c>
      <c r="BB14" s="157">
        <f t="shared" si="9"/>
        <v>3.6</v>
      </c>
      <c r="BC14" s="157">
        <f t="shared" si="9"/>
        <v>3.6</v>
      </c>
      <c r="BD14" s="157">
        <f t="shared" si="9"/>
        <v>3.6</v>
      </c>
      <c r="BE14" s="157">
        <f t="shared" si="9"/>
        <v>3.6</v>
      </c>
      <c r="BF14" s="157">
        <f t="shared" si="9"/>
        <v>3.6</v>
      </c>
      <c r="BG14" s="157">
        <f t="shared" si="9"/>
        <v>3.6</v>
      </c>
      <c r="BH14" s="157">
        <f t="shared" si="9"/>
        <v>3.6</v>
      </c>
      <c r="BI14" s="157">
        <f t="shared" si="9"/>
        <v>3.6</v>
      </c>
      <c r="BJ14" s="157">
        <f t="shared" si="9"/>
        <v>3.6</v>
      </c>
      <c r="BK14" s="157">
        <f t="shared" si="9"/>
        <v>3.6</v>
      </c>
      <c r="BL14" s="157">
        <f t="shared" si="9"/>
        <v>3.6</v>
      </c>
      <c r="BM14" s="157">
        <f t="shared" si="9"/>
        <v>3.6</v>
      </c>
      <c r="BN14" s="157">
        <f t="shared" si="9"/>
        <v>3.6</v>
      </c>
      <c r="BO14" s="157">
        <f t="shared" si="9"/>
        <v>3.6</v>
      </c>
      <c r="BP14" s="157">
        <f t="shared" si="9"/>
        <v>3.6</v>
      </c>
      <c r="BQ14" s="157">
        <f t="shared" si="9"/>
        <v>3.6</v>
      </c>
      <c r="BR14" s="157">
        <f t="shared" si="9"/>
        <v>3.6</v>
      </c>
      <c r="BS14" s="157">
        <f t="shared" si="9"/>
        <v>3.6</v>
      </c>
      <c r="BT14" s="157">
        <f t="shared" si="9"/>
        <v>3.6</v>
      </c>
      <c r="BU14" s="157">
        <f t="shared" si="9"/>
        <v>3.6</v>
      </c>
      <c r="BV14" s="157">
        <f t="shared" si="9"/>
        <v>3.6</v>
      </c>
    </row>
    <row r="15" spans="1:74" s="150" customFormat="1" x14ac:dyDescent="0.25">
      <c r="A15" s="149" t="s">
        <v>220</v>
      </c>
      <c r="B15" s="156" t="s">
        <v>207</v>
      </c>
      <c r="C15" s="150" t="s">
        <v>210</v>
      </c>
      <c r="D15" s="160">
        <v>21.275601056803168</v>
      </c>
      <c r="E15" s="161">
        <v>21.275601056803168</v>
      </c>
      <c r="F15" s="161">
        <v>21.275601056803168</v>
      </c>
      <c r="G15" s="161">
        <v>21.275601056803168</v>
      </c>
      <c r="H15" s="161">
        <v>21.275601056803168</v>
      </c>
      <c r="I15" s="161">
        <v>21.275601056803168</v>
      </c>
      <c r="J15" s="161">
        <v>21.275601056803168</v>
      </c>
      <c r="K15" s="161">
        <v>21.275601056803168</v>
      </c>
      <c r="L15" s="161">
        <v>21.275601056803168</v>
      </c>
      <c r="M15" s="161">
        <v>21.275601056803168</v>
      </c>
      <c r="N15" s="161">
        <v>21.275601056803168</v>
      </c>
      <c r="O15" s="161">
        <v>21.275601056803168</v>
      </c>
      <c r="P15" s="161">
        <v>21.275601056803168</v>
      </c>
      <c r="Q15" s="161">
        <v>21.275601056803168</v>
      </c>
      <c r="R15" s="161">
        <v>21.275601056803168</v>
      </c>
      <c r="S15" s="161">
        <v>21.275601056803168</v>
      </c>
      <c r="T15" s="161">
        <v>21.275601056803168</v>
      </c>
      <c r="U15" s="161">
        <v>21.275601056803168</v>
      </c>
      <c r="V15" s="161">
        <v>21.275601056803168</v>
      </c>
      <c r="W15" s="161">
        <v>21.275601056803168</v>
      </c>
      <c r="X15" s="161">
        <v>21.275601056803168</v>
      </c>
      <c r="Y15" s="161">
        <v>21.275601056803168</v>
      </c>
      <c r="Z15" s="161">
        <v>21.275601056803168</v>
      </c>
      <c r="AA15" s="161">
        <v>21.275601056803168</v>
      </c>
      <c r="AB15" s="161">
        <v>21.275601056803168</v>
      </c>
      <c r="AC15" s="161">
        <v>21.275601056803168</v>
      </c>
      <c r="AD15" s="161">
        <v>21.275601056803168</v>
      </c>
      <c r="AE15" s="161">
        <v>21.275601056803168</v>
      </c>
      <c r="AF15" s="161">
        <v>21.275601056803168</v>
      </c>
      <c r="AG15" s="161">
        <v>21.275601056803168</v>
      </c>
      <c r="AH15" s="161">
        <v>21.275601056803168</v>
      </c>
      <c r="AI15" s="161">
        <v>21.275601056803168</v>
      </c>
      <c r="AJ15" s="161">
        <v>21.275601056803168</v>
      </c>
      <c r="AK15" s="161">
        <v>21.275601056803168</v>
      </c>
      <c r="AL15" s="161">
        <v>21.275601056803168</v>
      </c>
      <c r="AM15" s="161">
        <v>21.275601056803168</v>
      </c>
      <c r="AN15" s="161">
        <v>21.275601056803168</v>
      </c>
      <c r="AO15" s="161">
        <v>21.275601056803168</v>
      </c>
      <c r="AP15" s="161">
        <v>21.275601056803168</v>
      </c>
      <c r="AQ15" s="161">
        <v>21.275601056803168</v>
      </c>
      <c r="AR15" s="161">
        <v>21.275601056803168</v>
      </c>
      <c r="AS15" s="157">
        <f t="shared" ref="AS15:BV15" si="10">AR15</f>
        <v>21.275601056803168</v>
      </c>
      <c r="AT15" s="157">
        <f t="shared" si="10"/>
        <v>21.275601056803168</v>
      </c>
      <c r="AU15" s="157">
        <f t="shared" si="10"/>
        <v>21.275601056803168</v>
      </c>
      <c r="AV15" s="157">
        <f t="shared" si="10"/>
        <v>21.275601056803168</v>
      </c>
      <c r="AW15" s="157">
        <f t="shared" si="10"/>
        <v>21.275601056803168</v>
      </c>
      <c r="AX15" s="157">
        <f t="shared" si="10"/>
        <v>21.275601056803168</v>
      </c>
      <c r="AY15" s="157">
        <f t="shared" si="10"/>
        <v>21.275601056803168</v>
      </c>
      <c r="AZ15" s="157">
        <f t="shared" si="10"/>
        <v>21.275601056803168</v>
      </c>
      <c r="BA15" s="157">
        <f t="shared" si="10"/>
        <v>21.275601056803168</v>
      </c>
      <c r="BB15" s="157">
        <f t="shared" si="10"/>
        <v>21.275601056803168</v>
      </c>
      <c r="BC15" s="157">
        <f t="shared" si="10"/>
        <v>21.275601056803168</v>
      </c>
      <c r="BD15" s="157">
        <f t="shared" si="10"/>
        <v>21.275601056803168</v>
      </c>
      <c r="BE15" s="157">
        <f t="shared" si="10"/>
        <v>21.275601056803168</v>
      </c>
      <c r="BF15" s="157">
        <f t="shared" si="10"/>
        <v>21.275601056803168</v>
      </c>
      <c r="BG15" s="157">
        <f t="shared" si="10"/>
        <v>21.275601056803168</v>
      </c>
      <c r="BH15" s="157">
        <f t="shared" si="10"/>
        <v>21.275601056803168</v>
      </c>
      <c r="BI15" s="157">
        <f t="shared" si="10"/>
        <v>21.275601056803168</v>
      </c>
      <c r="BJ15" s="157">
        <f t="shared" si="10"/>
        <v>21.275601056803168</v>
      </c>
      <c r="BK15" s="157">
        <f t="shared" si="10"/>
        <v>21.275601056803168</v>
      </c>
      <c r="BL15" s="157">
        <f t="shared" si="10"/>
        <v>21.275601056803168</v>
      </c>
      <c r="BM15" s="157">
        <f t="shared" si="10"/>
        <v>21.275601056803168</v>
      </c>
      <c r="BN15" s="157">
        <f t="shared" si="10"/>
        <v>21.275601056803168</v>
      </c>
      <c r="BO15" s="157">
        <f t="shared" si="10"/>
        <v>21.275601056803168</v>
      </c>
      <c r="BP15" s="157">
        <f t="shared" si="10"/>
        <v>21.275601056803168</v>
      </c>
      <c r="BQ15" s="157">
        <f t="shared" si="10"/>
        <v>21.275601056803168</v>
      </c>
      <c r="BR15" s="157">
        <f t="shared" si="10"/>
        <v>21.275601056803168</v>
      </c>
      <c r="BS15" s="157">
        <f t="shared" si="10"/>
        <v>21.275601056803168</v>
      </c>
      <c r="BT15" s="157">
        <f t="shared" si="10"/>
        <v>21.275601056803168</v>
      </c>
      <c r="BU15" s="157">
        <f t="shared" si="10"/>
        <v>21.275601056803168</v>
      </c>
      <c r="BV15" s="157">
        <f t="shared" si="10"/>
        <v>21.275601056803168</v>
      </c>
    </row>
    <row r="16" spans="1:74" x14ac:dyDescent="0.25">
      <c r="A16" s="149" t="s">
        <v>221</v>
      </c>
      <c r="B16" s="156" t="s">
        <v>218</v>
      </c>
      <c r="C16" s="162" t="s">
        <v>222</v>
      </c>
      <c r="D16" s="164">
        <v>41.730000077547437</v>
      </c>
      <c r="E16" s="164">
        <v>41.730000061384125</v>
      </c>
      <c r="F16" s="164">
        <v>41.730000045220812</v>
      </c>
      <c r="G16" s="164">
        <v>41.7300000290575</v>
      </c>
      <c r="H16" s="164">
        <v>41.730000012894187</v>
      </c>
      <c r="I16" s="164">
        <v>41.729999996730889</v>
      </c>
      <c r="J16" s="164">
        <v>41.730000063641704</v>
      </c>
      <c r="K16" s="164">
        <v>41.730000005731441</v>
      </c>
      <c r="L16" s="164">
        <v>42.5</v>
      </c>
      <c r="M16" s="164">
        <v>42.500000146223499</v>
      </c>
      <c r="N16" s="164">
        <v>42.500000140364548</v>
      </c>
      <c r="O16" s="164">
        <v>42.500000122808636</v>
      </c>
      <c r="P16" s="164">
        <v>42.500000121325208</v>
      </c>
      <c r="Q16" s="164">
        <v>42.5</v>
      </c>
      <c r="R16" s="164">
        <v>42.5</v>
      </c>
      <c r="S16" s="164">
        <v>42.500000113997764</v>
      </c>
      <c r="T16" s="164">
        <v>42.500000107487381</v>
      </c>
      <c r="U16" s="164">
        <v>42.499999800711066</v>
      </c>
      <c r="V16" s="164">
        <v>42.500001501511811</v>
      </c>
      <c r="W16" s="164">
        <v>42.500004407954123</v>
      </c>
      <c r="X16" s="164">
        <v>42.49999555949703</v>
      </c>
      <c r="Y16" s="164">
        <v>42.500000769872727</v>
      </c>
      <c r="Z16" s="164">
        <v>36.079997308866041</v>
      </c>
      <c r="AA16" s="164">
        <v>36.080004249007544</v>
      </c>
      <c r="AB16" s="164">
        <v>36.080004249007544</v>
      </c>
      <c r="AC16" s="164">
        <v>36.080004249007544</v>
      </c>
      <c r="AD16" s="164">
        <v>36.079999690602889</v>
      </c>
      <c r="AE16" s="164">
        <v>36.079999690602889</v>
      </c>
      <c r="AF16" s="164">
        <v>36.079999690602889</v>
      </c>
      <c r="AG16" s="164">
        <v>36.079999690602889</v>
      </c>
      <c r="AH16" s="164">
        <v>36.079999690602889</v>
      </c>
      <c r="AI16" s="164">
        <v>36.079999690602889</v>
      </c>
      <c r="AJ16" s="164">
        <v>36.079999690602889</v>
      </c>
      <c r="AK16" s="164">
        <v>36.079999690602889</v>
      </c>
      <c r="AL16" s="164">
        <v>36.079999690602889</v>
      </c>
      <c r="AM16" s="164">
        <v>36.079999690602889</v>
      </c>
      <c r="AN16" s="164">
        <v>36.079999690602889</v>
      </c>
      <c r="AO16" s="164">
        <v>36.079999690602889</v>
      </c>
      <c r="AP16" s="164">
        <v>36.079999690602889</v>
      </c>
      <c r="AQ16" s="164">
        <v>36.079999690602889</v>
      </c>
      <c r="AR16" s="164">
        <v>36.079999690602889</v>
      </c>
      <c r="AS16" s="157">
        <f t="shared" ref="AS16:BV16" si="11">AR16</f>
        <v>36.079999690602889</v>
      </c>
      <c r="AT16" s="157">
        <f t="shared" si="11"/>
        <v>36.079999690602889</v>
      </c>
      <c r="AU16" s="157">
        <f t="shared" si="11"/>
        <v>36.079999690602889</v>
      </c>
      <c r="AV16" s="157">
        <f t="shared" si="11"/>
        <v>36.079999690602889</v>
      </c>
      <c r="AW16" s="157">
        <f t="shared" si="11"/>
        <v>36.079999690602889</v>
      </c>
      <c r="AX16" s="157">
        <f t="shared" si="11"/>
        <v>36.079999690602889</v>
      </c>
      <c r="AY16" s="157">
        <f t="shared" si="11"/>
        <v>36.079999690602889</v>
      </c>
      <c r="AZ16" s="157">
        <f t="shared" si="11"/>
        <v>36.079999690602889</v>
      </c>
      <c r="BA16" s="157">
        <f t="shared" si="11"/>
        <v>36.079999690602889</v>
      </c>
      <c r="BB16" s="157">
        <f t="shared" si="11"/>
        <v>36.079999690602889</v>
      </c>
      <c r="BC16" s="157">
        <f t="shared" si="11"/>
        <v>36.079999690602889</v>
      </c>
      <c r="BD16" s="157">
        <f t="shared" si="11"/>
        <v>36.079999690602889</v>
      </c>
      <c r="BE16" s="157">
        <f t="shared" si="11"/>
        <v>36.079999690602889</v>
      </c>
      <c r="BF16" s="157">
        <f t="shared" si="11"/>
        <v>36.079999690602889</v>
      </c>
      <c r="BG16" s="157">
        <f t="shared" si="11"/>
        <v>36.079999690602889</v>
      </c>
      <c r="BH16" s="157">
        <f t="shared" si="11"/>
        <v>36.079999690602889</v>
      </c>
      <c r="BI16" s="157">
        <f t="shared" si="11"/>
        <v>36.079999690602889</v>
      </c>
      <c r="BJ16" s="157">
        <f t="shared" si="11"/>
        <v>36.079999690602889</v>
      </c>
      <c r="BK16" s="157">
        <f t="shared" si="11"/>
        <v>36.079999690602889</v>
      </c>
      <c r="BL16" s="157">
        <f t="shared" si="11"/>
        <v>36.079999690602889</v>
      </c>
      <c r="BM16" s="157">
        <f t="shared" si="11"/>
        <v>36.079999690602889</v>
      </c>
      <c r="BN16" s="157">
        <f t="shared" si="11"/>
        <v>36.079999690602889</v>
      </c>
      <c r="BO16" s="157">
        <f t="shared" si="11"/>
        <v>36.079999690602889</v>
      </c>
      <c r="BP16" s="157">
        <f t="shared" si="11"/>
        <v>36.079999690602889</v>
      </c>
      <c r="BQ16" s="157">
        <f t="shared" si="11"/>
        <v>36.079999690602889</v>
      </c>
      <c r="BR16" s="157">
        <f t="shared" si="11"/>
        <v>36.079999690602889</v>
      </c>
      <c r="BS16" s="157">
        <f t="shared" si="11"/>
        <v>36.079999690602889</v>
      </c>
      <c r="BT16" s="157">
        <f t="shared" si="11"/>
        <v>36.079999690602889</v>
      </c>
      <c r="BU16" s="157">
        <f t="shared" si="11"/>
        <v>36.079999690602889</v>
      </c>
      <c r="BV16" s="157">
        <f t="shared" si="11"/>
        <v>36.079999690602889</v>
      </c>
    </row>
    <row r="17" spans="1:74" x14ac:dyDescent="0.25">
      <c r="A17" s="149" t="s">
        <v>223</v>
      </c>
      <c r="B17" s="156" t="s">
        <v>207</v>
      </c>
      <c r="C17" s="150" t="s">
        <v>331</v>
      </c>
      <c r="D17" s="157">
        <v>34.660034464364017</v>
      </c>
      <c r="E17" s="157">
        <v>34.660034464364017</v>
      </c>
      <c r="F17" s="157">
        <v>34.660034464364017</v>
      </c>
      <c r="G17" s="157">
        <v>34.660034464364017</v>
      </c>
      <c r="H17" s="157">
        <v>34.660034464364017</v>
      </c>
      <c r="I17" s="158">
        <v>34.660034464364017</v>
      </c>
      <c r="J17" s="158">
        <v>34.660027852074542</v>
      </c>
      <c r="K17" s="158">
        <v>34.660030351008871</v>
      </c>
      <c r="L17" s="158">
        <v>34.66001927298035</v>
      </c>
      <c r="M17" s="158">
        <v>34.660021987595677</v>
      </c>
      <c r="N17" s="158">
        <v>34.659999168511533</v>
      </c>
      <c r="O17" s="158">
        <v>34.659952530630569</v>
      </c>
      <c r="P17" s="158">
        <v>34.99994930856888</v>
      </c>
      <c r="Q17" s="158">
        <v>35.000024944125158</v>
      </c>
      <c r="R17" s="158">
        <v>35</v>
      </c>
      <c r="S17" s="158">
        <v>34.999987749992037</v>
      </c>
      <c r="T17" s="158">
        <v>35</v>
      </c>
      <c r="U17" s="158">
        <v>35</v>
      </c>
      <c r="V17" s="158">
        <v>35.000011988021569</v>
      </c>
      <c r="W17" s="158">
        <v>34.999976324748687</v>
      </c>
      <c r="X17" s="158">
        <v>35.00002304986608</v>
      </c>
      <c r="Y17" s="158">
        <v>35</v>
      </c>
      <c r="Z17" s="158">
        <v>34.99997675942754</v>
      </c>
      <c r="AA17" s="158">
        <v>34.999988638610098</v>
      </c>
      <c r="AB17" s="158">
        <v>34.999977954144619</v>
      </c>
      <c r="AC17" s="158">
        <v>34.99996661703733</v>
      </c>
      <c r="AD17" s="158">
        <v>35.000010793145059</v>
      </c>
      <c r="AE17" s="158">
        <v>35.000010864723329</v>
      </c>
      <c r="AF17" s="158">
        <v>35.000010864723329</v>
      </c>
      <c r="AG17" s="158">
        <v>35.000010864723329</v>
      </c>
      <c r="AH17" s="158">
        <v>35.000010864723329</v>
      </c>
      <c r="AI17" s="158">
        <v>35.000010864723329</v>
      </c>
      <c r="AJ17" s="158">
        <v>35.000010864723329</v>
      </c>
      <c r="AK17" s="158">
        <v>35.000010864723329</v>
      </c>
      <c r="AL17" s="158">
        <v>35.000010864723329</v>
      </c>
      <c r="AM17" s="158">
        <v>35.000010864723329</v>
      </c>
      <c r="AN17" s="158">
        <v>35.000010864723329</v>
      </c>
      <c r="AO17" s="158">
        <v>35.000010864723329</v>
      </c>
      <c r="AP17" s="158">
        <v>35.000010864723329</v>
      </c>
      <c r="AQ17" s="158">
        <v>35.000010864723329</v>
      </c>
      <c r="AR17" s="158">
        <v>35.000010864723329</v>
      </c>
      <c r="AS17" s="157">
        <f t="shared" ref="AS17:BV17" si="12">AR17</f>
        <v>35.000010864723329</v>
      </c>
      <c r="AT17" s="157">
        <f t="shared" si="12"/>
        <v>35.000010864723329</v>
      </c>
      <c r="AU17" s="157">
        <f t="shared" si="12"/>
        <v>35.000010864723329</v>
      </c>
      <c r="AV17" s="157">
        <f t="shared" si="12"/>
        <v>35.000010864723329</v>
      </c>
      <c r="AW17" s="157">
        <f t="shared" si="12"/>
        <v>35.000010864723329</v>
      </c>
      <c r="AX17" s="157">
        <f t="shared" si="12"/>
        <v>35.000010864723329</v>
      </c>
      <c r="AY17" s="157">
        <f t="shared" si="12"/>
        <v>35.000010864723329</v>
      </c>
      <c r="AZ17" s="157">
        <f t="shared" si="12"/>
        <v>35.000010864723329</v>
      </c>
      <c r="BA17" s="157">
        <f t="shared" si="12"/>
        <v>35.000010864723329</v>
      </c>
      <c r="BB17" s="157">
        <f t="shared" si="12"/>
        <v>35.000010864723329</v>
      </c>
      <c r="BC17" s="157">
        <f t="shared" si="12"/>
        <v>35.000010864723329</v>
      </c>
      <c r="BD17" s="157">
        <f t="shared" si="12"/>
        <v>35.000010864723329</v>
      </c>
      <c r="BE17" s="157">
        <f t="shared" si="12"/>
        <v>35.000010864723329</v>
      </c>
      <c r="BF17" s="157">
        <f t="shared" si="12"/>
        <v>35.000010864723329</v>
      </c>
      <c r="BG17" s="157">
        <f t="shared" si="12"/>
        <v>35.000010864723329</v>
      </c>
      <c r="BH17" s="157">
        <f t="shared" si="12"/>
        <v>35.000010864723329</v>
      </c>
      <c r="BI17" s="157">
        <f t="shared" si="12"/>
        <v>35.000010864723329</v>
      </c>
      <c r="BJ17" s="157">
        <f t="shared" si="12"/>
        <v>35.000010864723329</v>
      </c>
      <c r="BK17" s="157">
        <f t="shared" si="12"/>
        <v>35.000010864723329</v>
      </c>
      <c r="BL17" s="157">
        <f t="shared" si="12"/>
        <v>35.000010864723329</v>
      </c>
      <c r="BM17" s="157">
        <f t="shared" si="12"/>
        <v>35.000010864723329</v>
      </c>
      <c r="BN17" s="157">
        <f t="shared" si="12"/>
        <v>35.000010864723329</v>
      </c>
      <c r="BO17" s="157">
        <f t="shared" si="12"/>
        <v>35.000010864723329</v>
      </c>
      <c r="BP17" s="157">
        <f t="shared" si="12"/>
        <v>35.000010864723329</v>
      </c>
      <c r="BQ17" s="157">
        <f t="shared" si="12"/>
        <v>35.000010864723329</v>
      </c>
      <c r="BR17" s="157">
        <f t="shared" si="12"/>
        <v>35.000010864723329</v>
      </c>
      <c r="BS17" s="157">
        <f t="shared" si="12"/>
        <v>35.000010864723329</v>
      </c>
      <c r="BT17" s="157">
        <f t="shared" si="12"/>
        <v>35.000010864723329</v>
      </c>
      <c r="BU17" s="157">
        <f t="shared" si="12"/>
        <v>35.000010864723329</v>
      </c>
      <c r="BV17" s="157">
        <f t="shared" si="12"/>
        <v>35.000010864723329</v>
      </c>
    </row>
    <row r="18" spans="1:74" x14ac:dyDescent="0.25">
      <c r="A18" s="149" t="s">
        <v>279</v>
      </c>
      <c r="B18" s="156" t="s">
        <v>207</v>
      </c>
      <c r="C18" s="150" t="s">
        <v>329</v>
      </c>
      <c r="D18" s="158">
        <v>41.729999798728734</v>
      </c>
      <c r="E18" s="157">
        <v>41.729999850324248</v>
      </c>
      <c r="F18" s="157">
        <v>41.729999901919761</v>
      </c>
      <c r="G18" s="157">
        <v>41.729999953515275</v>
      </c>
      <c r="H18" s="157">
        <v>41.730000005110789</v>
      </c>
      <c r="I18" s="158">
        <v>41.730000056706309</v>
      </c>
      <c r="J18" s="158">
        <v>41.730000149270637</v>
      </c>
      <c r="K18" s="158">
        <v>41.730007627459827</v>
      </c>
      <c r="L18" s="158">
        <v>42.500001626852651</v>
      </c>
      <c r="M18" s="158">
        <v>42.500001046407576</v>
      </c>
      <c r="N18" s="158">
        <v>42.500001679681141</v>
      </c>
      <c r="O18" s="158">
        <v>42.500001372430312</v>
      </c>
      <c r="P18" s="158">
        <v>42.500001853421082</v>
      </c>
      <c r="Q18" s="158">
        <v>42.500000153212326</v>
      </c>
      <c r="R18" s="158">
        <v>42.500001555910806</v>
      </c>
      <c r="S18" s="158">
        <v>42.49999462158479</v>
      </c>
      <c r="T18" s="158">
        <v>42.499993198406727</v>
      </c>
      <c r="U18" s="158">
        <v>42.500007934339692</v>
      </c>
      <c r="V18" s="158">
        <v>42.500003902539106</v>
      </c>
      <c r="W18" s="158">
        <v>42.500005927963386</v>
      </c>
      <c r="X18" s="158">
        <v>42.499996053265136</v>
      </c>
      <c r="Y18" s="158">
        <v>42.500008082757489</v>
      </c>
      <c r="Z18" s="158">
        <v>42.500026715920235</v>
      </c>
      <c r="AA18" s="158">
        <v>42.500005546759979</v>
      </c>
      <c r="AB18" s="158">
        <v>42.500005546759979</v>
      </c>
      <c r="AC18" s="158">
        <v>42.500005546759979</v>
      </c>
      <c r="AD18" s="158">
        <v>42.500021461699902</v>
      </c>
      <c r="AE18" s="158">
        <v>42.500021461699902</v>
      </c>
      <c r="AF18" s="158">
        <v>42.500021461699902</v>
      </c>
      <c r="AG18" s="158">
        <v>42.500021461699902</v>
      </c>
      <c r="AH18" s="158">
        <v>42.500021461699902</v>
      </c>
      <c r="AI18" s="158">
        <v>42.500021461699902</v>
      </c>
      <c r="AJ18" s="158">
        <v>42.500021461699902</v>
      </c>
      <c r="AK18" s="158">
        <v>42.500021461699902</v>
      </c>
      <c r="AL18" s="158">
        <v>42.500021461699902</v>
      </c>
      <c r="AM18" s="158">
        <v>42.500021461699902</v>
      </c>
      <c r="AN18" s="158">
        <v>42.500021461699902</v>
      </c>
      <c r="AO18" s="158">
        <v>42.500021461699902</v>
      </c>
      <c r="AP18" s="158">
        <v>42.500021461699902</v>
      </c>
      <c r="AQ18" s="158">
        <v>42.500021461699902</v>
      </c>
      <c r="AR18" s="158">
        <v>42.500021461699902</v>
      </c>
      <c r="AS18" s="157">
        <f t="shared" ref="AS18:BV18" si="13">AR18</f>
        <v>42.500021461699902</v>
      </c>
      <c r="AT18" s="157">
        <f t="shared" si="13"/>
        <v>42.500021461699902</v>
      </c>
      <c r="AU18" s="157">
        <f t="shared" si="13"/>
        <v>42.500021461699902</v>
      </c>
      <c r="AV18" s="157">
        <f t="shared" si="13"/>
        <v>42.500021461699902</v>
      </c>
      <c r="AW18" s="157">
        <f t="shared" si="13"/>
        <v>42.500021461699902</v>
      </c>
      <c r="AX18" s="157">
        <f t="shared" si="13"/>
        <v>42.500021461699902</v>
      </c>
      <c r="AY18" s="157">
        <f t="shared" si="13"/>
        <v>42.500021461699902</v>
      </c>
      <c r="AZ18" s="157">
        <f t="shared" si="13"/>
        <v>42.500021461699902</v>
      </c>
      <c r="BA18" s="157">
        <f t="shared" si="13"/>
        <v>42.500021461699902</v>
      </c>
      <c r="BB18" s="157">
        <f t="shared" si="13"/>
        <v>42.500021461699902</v>
      </c>
      <c r="BC18" s="157">
        <f t="shared" si="13"/>
        <v>42.500021461699902</v>
      </c>
      <c r="BD18" s="157">
        <f t="shared" si="13"/>
        <v>42.500021461699902</v>
      </c>
      <c r="BE18" s="157">
        <f t="shared" si="13"/>
        <v>42.500021461699902</v>
      </c>
      <c r="BF18" s="157">
        <f t="shared" si="13"/>
        <v>42.500021461699902</v>
      </c>
      <c r="BG18" s="157">
        <f t="shared" si="13"/>
        <v>42.500021461699902</v>
      </c>
      <c r="BH18" s="157">
        <f t="shared" si="13"/>
        <v>42.500021461699902</v>
      </c>
      <c r="BI18" s="157">
        <f t="shared" si="13"/>
        <v>42.500021461699902</v>
      </c>
      <c r="BJ18" s="157">
        <f t="shared" si="13"/>
        <v>42.500021461699902</v>
      </c>
      <c r="BK18" s="157">
        <f t="shared" si="13"/>
        <v>42.500021461699902</v>
      </c>
      <c r="BL18" s="157">
        <f t="shared" si="13"/>
        <v>42.500021461699902</v>
      </c>
      <c r="BM18" s="157">
        <f t="shared" si="13"/>
        <v>42.500021461699902</v>
      </c>
      <c r="BN18" s="157">
        <f t="shared" si="13"/>
        <v>42.500021461699902</v>
      </c>
      <c r="BO18" s="157">
        <f t="shared" si="13"/>
        <v>42.500021461699902</v>
      </c>
      <c r="BP18" s="157">
        <f t="shared" si="13"/>
        <v>42.500021461699902</v>
      </c>
      <c r="BQ18" s="157">
        <f t="shared" si="13"/>
        <v>42.500021461699902</v>
      </c>
      <c r="BR18" s="157">
        <f t="shared" si="13"/>
        <v>42.500021461699902</v>
      </c>
      <c r="BS18" s="157">
        <f t="shared" si="13"/>
        <v>42.500021461699902</v>
      </c>
      <c r="BT18" s="157">
        <f t="shared" si="13"/>
        <v>42.500021461699902</v>
      </c>
      <c r="BU18" s="157">
        <f t="shared" si="13"/>
        <v>42.500021461699902</v>
      </c>
      <c r="BV18" s="157">
        <f t="shared" si="13"/>
        <v>42.500021461699902</v>
      </c>
    </row>
    <row r="19" spans="1:74" x14ac:dyDescent="0.25">
      <c r="A19" s="149" t="s">
        <v>224</v>
      </c>
      <c r="B19" s="156" t="s">
        <v>207</v>
      </c>
      <c r="C19" s="162" t="s">
        <v>225</v>
      </c>
      <c r="D19" s="164">
        <v>38.679999232750063</v>
      </c>
      <c r="E19" s="164">
        <v>38.679998396969175</v>
      </c>
      <c r="F19" s="164">
        <v>38.679997561188287</v>
      </c>
      <c r="G19" s="164">
        <v>38.679996725407399</v>
      </c>
      <c r="H19" s="164">
        <v>38.679995889626511</v>
      </c>
      <c r="I19" s="164">
        <v>38.679995053845637</v>
      </c>
      <c r="J19" s="164">
        <v>38.679999632717525</v>
      </c>
      <c r="K19" s="164">
        <v>38.680002557762812</v>
      </c>
      <c r="L19" s="164">
        <v>38.679993993385487</v>
      </c>
      <c r="M19" s="164">
        <v>38.679998388251818</v>
      </c>
      <c r="N19" s="164">
        <v>38.680000248693197</v>
      </c>
      <c r="O19" s="164">
        <v>38.680000952692033</v>
      </c>
      <c r="P19" s="164">
        <v>38.679997660202979</v>
      </c>
      <c r="Q19" s="164">
        <v>38.679999233475002</v>
      </c>
      <c r="R19" s="164">
        <v>38.6800045103193</v>
      </c>
      <c r="S19" s="164">
        <v>38.680011694231176</v>
      </c>
      <c r="T19" s="164">
        <v>38.679963391858195</v>
      </c>
      <c r="U19" s="164">
        <v>38.679976398214102</v>
      </c>
      <c r="V19" s="164">
        <v>38.680013593062455</v>
      </c>
      <c r="W19" s="164">
        <v>38.6799859652672</v>
      </c>
      <c r="X19" s="164">
        <v>38.680001283507877</v>
      </c>
      <c r="Y19" s="164">
        <v>38.679993610020993</v>
      </c>
      <c r="Z19" s="164">
        <v>38.680024743620322</v>
      </c>
      <c r="AA19" s="164">
        <v>38.680009057183312</v>
      </c>
      <c r="AB19" s="164">
        <v>38.525270085209982</v>
      </c>
      <c r="AC19" s="164">
        <v>38.53171255427781</v>
      </c>
      <c r="AD19" s="164">
        <v>38.458573642019466</v>
      </c>
      <c r="AE19" s="164">
        <v>38.435284437573493</v>
      </c>
      <c r="AF19" s="164">
        <v>38.435284437573493</v>
      </c>
      <c r="AG19" s="164">
        <v>38.435284437573493</v>
      </c>
      <c r="AH19" s="164">
        <v>38.435284437573493</v>
      </c>
      <c r="AI19" s="164">
        <v>38.435284437573493</v>
      </c>
      <c r="AJ19" s="164">
        <v>38.435284437573493</v>
      </c>
      <c r="AK19" s="164">
        <v>38.435284437573493</v>
      </c>
      <c r="AL19" s="164">
        <v>38.435284437573493</v>
      </c>
      <c r="AM19" s="164">
        <v>38.435284437573493</v>
      </c>
      <c r="AN19" s="164">
        <v>38.435284437573493</v>
      </c>
      <c r="AO19" s="164">
        <v>38.435284437573493</v>
      </c>
      <c r="AP19" s="164">
        <v>38.435284437573493</v>
      </c>
      <c r="AQ19" s="164">
        <v>38.435284437573493</v>
      </c>
      <c r="AR19" s="164">
        <v>38.435284437573493</v>
      </c>
      <c r="AS19" s="157">
        <f t="shared" ref="AS19:BV19" si="14">AR19</f>
        <v>38.435284437573493</v>
      </c>
      <c r="AT19" s="157">
        <f t="shared" si="14"/>
        <v>38.435284437573493</v>
      </c>
      <c r="AU19" s="157">
        <f t="shared" si="14"/>
        <v>38.435284437573493</v>
      </c>
      <c r="AV19" s="157">
        <f t="shared" si="14"/>
        <v>38.435284437573493</v>
      </c>
      <c r="AW19" s="157">
        <f t="shared" si="14"/>
        <v>38.435284437573493</v>
      </c>
      <c r="AX19" s="157">
        <f t="shared" si="14"/>
        <v>38.435284437573493</v>
      </c>
      <c r="AY19" s="157">
        <f t="shared" si="14"/>
        <v>38.435284437573493</v>
      </c>
      <c r="AZ19" s="157">
        <f t="shared" si="14"/>
        <v>38.435284437573493</v>
      </c>
      <c r="BA19" s="157">
        <f t="shared" si="14"/>
        <v>38.435284437573493</v>
      </c>
      <c r="BB19" s="157">
        <f t="shared" si="14"/>
        <v>38.435284437573493</v>
      </c>
      <c r="BC19" s="157">
        <f t="shared" si="14"/>
        <v>38.435284437573493</v>
      </c>
      <c r="BD19" s="157">
        <f t="shared" si="14"/>
        <v>38.435284437573493</v>
      </c>
      <c r="BE19" s="157">
        <f t="shared" si="14"/>
        <v>38.435284437573493</v>
      </c>
      <c r="BF19" s="157">
        <f t="shared" si="14"/>
        <v>38.435284437573493</v>
      </c>
      <c r="BG19" s="157">
        <f t="shared" si="14"/>
        <v>38.435284437573493</v>
      </c>
      <c r="BH19" s="157">
        <f t="shared" si="14"/>
        <v>38.435284437573493</v>
      </c>
      <c r="BI19" s="157">
        <f t="shared" si="14"/>
        <v>38.435284437573493</v>
      </c>
      <c r="BJ19" s="157">
        <f t="shared" si="14"/>
        <v>38.435284437573493</v>
      </c>
      <c r="BK19" s="157">
        <f t="shared" si="14"/>
        <v>38.435284437573493</v>
      </c>
      <c r="BL19" s="157">
        <f t="shared" si="14"/>
        <v>38.435284437573493</v>
      </c>
      <c r="BM19" s="157">
        <f t="shared" si="14"/>
        <v>38.435284437573493</v>
      </c>
      <c r="BN19" s="157">
        <f t="shared" si="14"/>
        <v>38.435284437573493</v>
      </c>
      <c r="BO19" s="157">
        <f t="shared" si="14"/>
        <v>38.435284437573493</v>
      </c>
      <c r="BP19" s="157">
        <f t="shared" si="14"/>
        <v>38.435284437573493</v>
      </c>
      <c r="BQ19" s="157">
        <f t="shared" si="14"/>
        <v>38.435284437573493</v>
      </c>
      <c r="BR19" s="157">
        <f t="shared" si="14"/>
        <v>38.435284437573493</v>
      </c>
      <c r="BS19" s="157">
        <f t="shared" si="14"/>
        <v>38.435284437573493</v>
      </c>
      <c r="BT19" s="157">
        <f t="shared" si="14"/>
        <v>38.435284437573493</v>
      </c>
      <c r="BU19" s="157">
        <f t="shared" si="14"/>
        <v>38.435284437573493</v>
      </c>
      <c r="BV19" s="157">
        <f t="shared" si="14"/>
        <v>38.435284437573493</v>
      </c>
    </row>
    <row r="20" spans="1:74" x14ac:dyDescent="0.25">
      <c r="A20" s="155" t="s">
        <v>13</v>
      </c>
      <c r="B20" s="156" t="s">
        <v>207</v>
      </c>
      <c r="C20" s="162" t="s">
        <v>225</v>
      </c>
      <c r="D20" s="164">
        <v>38.679999232750063</v>
      </c>
      <c r="E20" s="164">
        <v>38.679998396969175</v>
      </c>
      <c r="F20" s="164">
        <v>38.679997561188287</v>
      </c>
      <c r="G20" s="164">
        <v>38.679996725407399</v>
      </c>
      <c r="H20" s="164">
        <v>38.679995889626511</v>
      </c>
      <c r="I20" s="164">
        <v>38.679995053845637</v>
      </c>
      <c r="J20" s="164">
        <v>38.679999632717525</v>
      </c>
      <c r="K20" s="164">
        <v>38.680002557762812</v>
      </c>
      <c r="L20" s="164">
        <v>38.679993993385487</v>
      </c>
      <c r="M20" s="164">
        <v>38.679998388251818</v>
      </c>
      <c r="N20" s="164">
        <v>38.680000248693197</v>
      </c>
      <c r="O20" s="164">
        <v>38.680000952692033</v>
      </c>
      <c r="P20" s="164">
        <v>38.679997660202979</v>
      </c>
      <c r="Q20" s="164">
        <v>38.679999233475002</v>
      </c>
      <c r="R20" s="164">
        <v>38.6800045103193</v>
      </c>
      <c r="S20" s="164">
        <v>38.680011694231176</v>
      </c>
      <c r="T20" s="164">
        <v>38.679963391858195</v>
      </c>
      <c r="U20" s="164">
        <v>38.679976398214102</v>
      </c>
      <c r="V20" s="164">
        <v>38.680013593062455</v>
      </c>
      <c r="W20" s="164">
        <v>38.6799859652672</v>
      </c>
      <c r="X20" s="164">
        <v>38.680001283507877</v>
      </c>
      <c r="Y20" s="164">
        <v>38.679993610020993</v>
      </c>
      <c r="Z20" s="164">
        <v>38.680024743620322</v>
      </c>
      <c r="AA20" s="164">
        <v>38.680009057183312</v>
      </c>
      <c r="AB20" s="164">
        <v>38.525270085209982</v>
      </c>
      <c r="AC20" s="164">
        <v>38.53171255427781</v>
      </c>
      <c r="AD20" s="164">
        <v>38.458573642019466</v>
      </c>
      <c r="AE20" s="164">
        <v>38.435284437573493</v>
      </c>
      <c r="AF20" s="164">
        <v>38.435284437573493</v>
      </c>
      <c r="AG20" s="164">
        <v>38.435284437573493</v>
      </c>
      <c r="AH20" s="164">
        <v>38.435284437573493</v>
      </c>
      <c r="AI20" s="164">
        <v>38.435284437573493</v>
      </c>
      <c r="AJ20" s="164">
        <v>38.435284437573493</v>
      </c>
      <c r="AK20" s="164">
        <v>38.435284437573493</v>
      </c>
      <c r="AL20" s="164">
        <v>38.435284437573493</v>
      </c>
      <c r="AM20" s="164">
        <v>38.435284437573493</v>
      </c>
      <c r="AN20" s="164">
        <v>38.435284437573493</v>
      </c>
      <c r="AO20" s="164">
        <v>38.435284437573493</v>
      </c>
      <c r="AP20" s="164">
        <v>38.435284437573493</v>
      </c>
      <c r="AQ20" s="164">
        <v>38.435284437573493</v>
      </c>
      <c r="AR20" s="164">
        <v>38.435284437573493</v>
      </c>
      <c r="AS20" s="157">
        <f t="shared" ref="AS20:BV20" si="15">AR20</f>
        <v>38.435284437573493</v>
      </c>
      <c r="AT20" s="157">
        <f t="shared" si="15"/>
        <v>38.435284437573493</v>
      </c>
      <c r="AU20" s="157">
        <f t="shared" si="15"/>
        <v>38.435284437573493</v>
      </c>
      <c r="AV20" s="157">
        <f t="shared" si="15"/>
        <v>38.435284437573493</v>
      </c>
      <c r="AW20" s="157">
        <f t="shared" si="15"/>
        <v>38.435284437573493</v>
      </c>
      <c r="AX20" s="157">
        <f t="shared" si="15"/>
        <v>38.435284437573493</v>
      </c>
      <c r="AY20" s="157">
        <f t="shared" si="15"/>
        <v>38.435284437573493</v>
      </c>
      <c r="AZ20" s="157">
        <f t="shared" si="15"/>
        <v>38.435284437573493</v>
      </c>
      <c r="BA20" s="157">
        <f t="shared" si="15"/>
        <v>38.435284437573493</v>
      </c>
      <c r="BB20" s="157">
        <f t="shared" si="15"/>
        <v>38.435284437573493</v>
      </c>
      <c r="BC20" s="157">
        <f t="shared" si="15"/>
        <v>38.435284437573493</v>
      </c>
      <c r="BD20" s="157">
        <f t="shared" si="15"/>
        <v>38.435284437573493</v>
      </c>
      <c r="BE20" s="157">
        <f t="shared" si="15"/>
        <v>38.435284437573493</v>
      </c>
      <c r="BF20" s="157">
        <f t="shared" si="15"/>
        <v>38.435284437573493</v>
      </c>
      <c r="BG20" s="157">
        <f t="shared" si="15"/>
        <v>38.435284437573493</v>
      </c>
      <c r="BH20" s="157">
        <f t="shared" si="15"/>
        <v>38.435284437573493</v>
      </c>
      <c r="BI20" s="157">
        <f t="shared" si="15"/>
        <v>38.435284437573493</v>
      </c>
      <c r="BJ20" s="157">
        <f t="shared" si="15"/>
        <v>38.435284437573493</v>
      </c>
      <c r="BK20" s="157">
        <f t="shared" si="15"/>
        <v>38.435284437573493</v>
      </c>
      <c r="BL20" s="157">
        <f t="shared" si="15"/>
        <v>38.435284437573493</v>
      </c>
      <c r="BM20" s="157">
        <f t="shared" si="15"/>
        <v>38.435284437573493</v>
      </c>
      <c r="BN20" s="157">
        <f t="shared" si="15"/>
        <v>38.435284437573493</v>
      </c>
      <c r="BO20" s="157">
        <f t="shared" si="15"/>
        <v>38.435284437573493</v>
      </c>
      <c r="BP20" s="157">
        <f t="shared" si="15"/>
        <v>38.435284437573493</v>
      </c>
      <c r="BQ20" s="157">
        <f t="shared" si="15"/>
        <v>38.435284437573493</v>
      </c>
      <c r="BR20" s="157">
        <f t="shared" si="15"/>
        <v>38.435284437573493</v>
      </c>
      <c r="BS20" s="157">
        <f t="shared" si="15"/>
        <v>38.435284437573493</v>
      </c>
      <c r="BT20" s="157">
        <f t="shared" si="15"/>
        <v>38.435284437573493</v>
      </c>
      <c r="BU20" s="157">
        <f t="shared" si="15"/>
        <v>38.435284437573493</v>
      </c>
      <c r="BV20" s="157">
        <f t="shared" si="15"/>
        <v>38.435284437573493</v>
      </c>
    </row>
    <row r="21" spans="1:74" x14ac:dyDescent="0.25">
      <c r="A21" s="155" t="s">
        <v>227</v>
      </c>
      <c r="B21" s="156" t="s">
        <v>207</v>
      </c>
      <c r="C21" s="150" t="s">
        <v>331</v>
      </c>
      <c r="D21" s="157">
        <v>26.84811029236986</v>
      </c>
      <c r="E21" s="157">
        <v>26.84811029236986</v>
      </c>
      <c r="F21" s="157">
        <v>26.84811029236986</v>
      </c>
      <c r="G21" s="157">
        <v>26.84811029236986</v>
      </c>
      <c r="H21" s="157">
        <v>26.84811029236986</v>
      </c>
      <c r="I21" s="157">
        <v>26.84811029236986</v>
      </c>
      <c r="J21" s="157">
        <v>26.84811029236986</v>
      </c>
      <c r="K21" s="157">
        <v>26.84811029236986</v>
      </c>
      <c r="L21" s="157">
        <v>26.84811029236986</v>
      </c>
      <c r="M21" s="157">
        <v>26.84811029236986</v>
      </c>
      <c r="N21" s="157">
        <v>26.84811029236986</v>
      </c>
      <c r="O21" s="157">
        <v>26.84811029236986</v>
      </c>
      <c r="P21" s="158">
        <v>26.84811029236986</v>
      </c>
      <c r="Q21" s="158">
        <v>26.800082610491533</v>
      </c>
      <c r="R21" s="158">
        <v>26.799897075220859</v>
      </c>
      <c r="S21" s="157">
        <v>26.799897075220859</v>
      </c>
      <c r="T21" s="157">
        <v>26.799897075220859</v>
      </c>
      <c r="U21" s="157">
        <v>26.799897075220859</v>
      </c>
      <c r="V21" s="157">
        <v>26.799897075220859</v>
      </c>
      <c r="W21" s="157">
        <v>26.799897075220859</v>
      </c>
      <c r="X21" s="157">
        <v>26.799897075220859</v>
      </c>
      <c r="Y21" s="157">
        <v>26.799897075220859</v>
      </c>
      <c r="Z21" s="157">
        <v>26.799897075220859</v>
      </c>
      <c r="AA21" s="157">
        <v>26.799897075220859</v>
      </c>
      <c r="AB21" s="157">
        <v>26.799897075220859</v>
      </c>
      <c r="AC21" s="157">
        <v>26.799897075220859</v>
      </c>
      <c r="AD21" s="157">
        <v>26.799897075220859</v>
      </c>
      <c r="AE21" s="157">
        <v>26.799897075220859</v>
      </c>
      <c r="AF21" s="157">
        <v>26.799897075220859</v>
      </c>
      <c r="AG21" s="157">
        <v>26.799897075220859</v>
      </c>
      <c r="AH21" s="157">
        <v>26.799897075220859</v>
      </c>
      <c r="AI21" s="157">
        <v>26.799897075220859</v>
      </c>
      <c r="AJ21" s="157">
        <v>26.799897075220859</v>
      </c>
      <c r="AK21" s="157">
        <v>26.799897075220859</v>
      </c>
      <c r="AL21" s="157">
        <v>26.799897075220859</v>
      </c>
      <c r="AM21" s="157">
        <v>26.799897075220859</v>
      </c>
      <c r="AN21" s="157">
        <v>26.799897075220859</v>
      </c>
      <c r="AO21" s="157">
        <v>26.799897075220859</v>
      </c>
      <c r="AP21" s="157">
        <v>26.799897075220859</v>
      </c>
      <c r="AQ21" s="157">
        <v>26.799897075220859</v>
      </c>
      <c r="AR21" s="157">
        <v>26.799897075220859</v>
      </c>
      <c r="AS21" s="157">
        <f t="shared" ref="AS21:BV21" si="16">AR21</f>
        <v>26.799897075220859</v>
      </c>
      <c r="AT21" s="157">
        <f t="shared" si="16"/>
        <v>26.799897075220859</v>
      </c>
      <c r="AU21" s="157">
        <f t="shared" si="16"/>
        <v>26.799897075220859</v>
      </c>
      <c r="AV21" s="157">
        <f t="shared" si="16"/>
        <v>26.799897075220859</v>
      </c>
      <c r="AW21" s="157">
        <f t="shared" si="16"/>
        <v>26.799897075220859</v>
      </c>
      <c r="AX21" s="157">
        <f t="shared" si="16"/>
        <v>26.799897075220859</v>
      </c>
      <c r="AY21" s="157">
        <f t="shared" si="16"/>
        <v>26.799897075220859</v>
      </c>
      <c r="AZ21" s="157">
        <f t="shared" si="16"/>
        <v>26.799897075220859</v>
      </c>
      <c r="BA21" s="157">
        <f t="shared" si="16"/>
        <v>26.799897075220859</v>
      </c>
      <c r="BB21" s="157">
        <f t="shared" si="16"/>
        <v>26.799897075220859</v>
      </c>
      <c r="BC21" s="157">
        <f t="shared" si="16"/>
        <v>26.799897075220859</v>
      </c>
      <c r="BD21" s="157">
        <f t="shared" si="16"/>
        <v>26.799897075220859</v>
      </c>
      <c r="BE21" s="157">
        <f t="shared" si="16"/>
        <v>26.799897075220859</v>
      </c>
      <c r="BF21" s="157">
        <f t="shared" si="16"/>
        <v>26.799897075220859</v>
      </c>
      <c r="BG21" s="157">
        <f t="shared" si="16"/>
        <v>26.799897075220859</v>
      </c>
      <c r="BH21" s="157">
        <f t="shared" si="16"/>
        <v>26.799897075220859</v>
      </c>
      <c r="BI21" s="157">
        <f t="shared" si="16"/>
        <v>26.799897075220859</v>
      </c>
      <c r="BJ21" s="157">
        <f t="shared" si="16"/>
        <v>26.799897075220859</v>
      </c>
      <c r="BK21" s="157">
        <f t="shared" si="16"/>
        <v>26.799897075220859</v>
      </c>
      <c r="BL21" s="157">
        <f t="shared" si="16"/>
        <v>26.799897075220859</v>
      </c>
      <c r="BM21" s="157">
        <f t="shared" si="16"/>
        <v>26.799897075220859</v>
      </c>
      <c r="BN21" s="157">
        <f t="shared" si="16"/>
        <v>26.799897075220859</v>
      </c>
      <c r="BO21" s="157">
        <f t="shared" si="16"/>
        <v>26.799897075220859</v>
      </c>
      <c r="BP21" s="157">
        <f t="shared" si="16"/>
        <v>26.799897075220859</v>
      </c>
      <c r="BQ21" s="157">
        <f t="shared" si="16"/>
        <v>26.799897075220859</v>
      </c>
      <c r="BR21" s="157">
        <f t="shared" si="16"/>
        <v>26.799897075220859</v>
      </c>
      <c r="BS21" s="157">
        <f t="shared" si="16"/>
        <v>26.799897075220859</v>
      </c>
      <c r="BT21" s="157">
        <f t="shared" si="16"/>
        <v>26.799897075220859</v>
      </c>
      <c r="BU21" s="157">
        <f t="shared" si="16"/>
        <v>26.799897075220859</v>
      </c>
      <c r="BV21" s="157">
        <f t="shared" si="16"/>
        <v>26.799897075220859</v>
      </c>
    </row>
    <row r="22" spans="1:74" x14ac:dyDescent="0.25">
      <c r="A22" s="155" t="s">
        <v>225</v>
      </c>
      <c r="B22" s="156" t="s">
        <v>207</v>
      </c>
      <c r="C22" s="150" t="s">
        <v>329</v>
      </c>
      <c r="D22" s="158">
        <v>38.679999232750063</v>
      </c>
      <c r="E22" s="157">
        <v>38.679998396969175</v>
      </c>
      <c r="F22" s="157">
        <v>38.679997561188287</v>
      </c>
      <c r="G22" s="157">
        <v>38.679996725407399</v>
      </c>
      <c r="H22" s="157">
        <v>38.679995889626511</v>
      </c>
      <c r="I22" s="158">
        <v>38.679995053845637</v>
      </c>
      <c r="J22" s="158">
        <v>38.679999632717525</v>
      </c>
      <c r="K22" s="158">
        <v>38.680002557762812</v>
      </c>
      <c r="L22" s="158">
        <v>38.679993993385487</v>
      </c>
      <c r="M22" s="158">
        <v>38.679998388251818</v>
      </c>
      <c r="N22" s="158">
        <v>38.680000248693197</v>
      </c>
      <c r="O22" s="158">
        <v>38.680000952692033</v>
      </c>
      <c r="P22" s="158">
        <v>38.679997660202979</v>
      </c>
      <c r="Q22" s="158">
        <v>38.679999233475002</v>
      </c>
      <c r="R22" s="158">
        <v>38.6800045103193</v>
      </c>
      <c r="S22" s="158">
        <v>38.680011694231176</v>
      </c>
      <c r="T22" s="158">
        <v>38.679963391858195</v>
      </c>
      <c r="U22" s="158">
        <v>38.679976398214102</v>
      </c>
      <c r="V22" s="158">
        <v>38.680013593062455</v>
      </c>
      <c r="W22" s="158">
        <v>38.6799859652672</v>
      </c>
      <c r="X22" s="158">
        <v>38.680001283507877</v>
      </c>
      <c r="Y22" s="158">
        <v>38.679993610020993</v>
      </c>
      <c r="Z22" s="158">
        <v>38.680024743620322</v>
      </c>
      <c r="AA22" s="158">
        <v>38.680009057183312</v>
      </c>
      <c r="AB22" s="158">
        <v>38.525270085209982</v>
      </c>
      <c r="AC22" s="158">
        <v>38.53171255427781</v>
      </c>
      <c r="AD22" s="158">
        <v>38.458573642019466</v>
      </c>
      <c r="AE22" s="158">
        <v>38.435284437573493</v>
      </c>
      <c r="AF22" s="158">
        <v>38.435284437573493</v>
      </c>
      <c r="AG22" s="158">
        <v>38.435284437573493</v>
      </c>
      <c r="AH22" s="158">
        <v>38.435284437573493</v>
      </c>
      <c r="AI22" s="158">
        <v>38.435284437573493</v>
      </c>
      <c r="AJ22" s="158">
        <v>38.435284437573493</v>
      </c>
      <c r="AK22" s="158">
        <v>38.435284437573493</v>
      </c>
      <c r="AL22" s="158">
        <v>38.435284437573493</v>
      </c>
      <c r="AM22" s="158">
        <v>38.435284437573493</v>
      </c>
      <c r="AN22" s="158">
        <v>38.435284437573493</v>
      </c>
      <c r="AO22" s="158">
        <v>38.435284437573493</v>
      </c>
      <c r="AP22" s="158">
        <v>38.435284437573493</v>
      </c>
      <c r="AQ22" s="158">
        <v>38.435284437573493</v>
      </c>
      <c r="AR22" s="158">
        <v>38.435284437573493</v>
      </c>
      <c r="AS22" s="157">
        <f t="shared" ref="AS22:BV22" si="17">AR22</f>
        <v>38.435284437573493</v>
      </c>
      <c r="AT22" s="157">
        <f t="shared" si="17"/>
        <v>38.435284437573493</v>
      </c>
      <c r="AU22" s="157">
        <f t="shared" si="17"/>
        <v>38.435284437573493</v>
      </c>
      <c r="AV22" s="157">
        <f t="shared" si="17"/>
        <v>38.435284437573493</v>
      </c>
      <c r="AW22" s="157">
        <f t="shared" si="17"/>
        <v>38.435284437573493</v>
      </c>
      <c r="AX22" s="157">
        <f t="shared" si="17"/>
        <v>38.435284437573493</v>
      </c>
      <c r="AY22" s="157">
        <f t="shared" si="17"/>
        <v>38.435284437573493</v>
      </c>
      <c r="AZ22" s="157">
        <f t="shared" si="17"/>
        <v>38.435284437573493</v>
      </c>
      <c r="BA22" s="157">
        <f t="shared" si="17"/>
        <v>38.435284437573493</v>
      </c>
      <c r="BB22" s="157">
        <f t="shared" si="17"/>
        <v>38.435284437573493</v>
      </c>
      <c r="BC22" s="157">
        <f t="shared" si="17"/>
        <v>38.435284437573493</v>
      </c>
      <c r="BD22" s="157">
        <f t="shared" si="17"/>
        <v>38.435284437573493</v>
      </c>
      <c r="BE22" s="157">
        <f t="shared" si="17"/>
        <v>38.435284437573493</v>
      </c>
      <c r="BF22" s="157">
        <f t="shared" si="17"/>
        <v>38.435284437573493</v>
      </c>
      <c r="BG22" s="157">
        <f t="shared" si="17"/>
        <v>38.435284437573493</v>
      </c>
      <c r="BH22" s="157">
        <f t="shared" si="17"/>
        <v>38.435284437573493</v>
      </c>
      <c r="BI22" s="157">
        <f t="shared" si="17"/>
        <v>38.435284437573493</v>
      </c>
      <c r="BJ22" s="157">
        <f t="shared" si="17"/>
        <v>38.435284437573493</v>
      </c>
      <c r="BK22" s="157">
        <f t="shared" si="17"/>
        <v>38.435284437573493</v>
      </c>
      <c r="BL22" s="157">
        <f t="shared" si="17"/>
        <v>38.435284437573493</v>
      </c>
      <c r="BM22" s="157">
        <f t="shared" si="17"/>
        <v>38.435284437573493</v>
      </c>
      <c r="BN22" s="157">
        <f t="shared" si="17"/>
        <v>38.435284437573493</v>
      </c>
      <c r="BO22" s="157">
        <f t="shared" si="17"/>
        <v>38.435284437573493</v>
      </c>
      <c r="BP22" s="157">
        <f t="shared" si="17"/>
        <v>38.435284437573493</v>
      </c>
      <c r="BQ22" s="157">
        <f t="shared" si="17"/>
        <v>38.435284437573493</v>
      </c>
      <c r="BR22" s="157">
        <f t="shared" si="17"/>
        <v>38.435284437573493</v>
      </c>
      <c r="BS22" s="157">
        <f t="shared" si="17"/>
        <v>38.435284437573493</v>
      </c>
      <c r="BT22" s="157">
        <f t="shared" si="17"/>
        <v>38.435284437573493</v>
      </c>
      <c r="BU22" s="157">
        <f t="shared" si="17"/>
        <v>38.435284437573493</v>
      </c>
      <c r="BV22" s="157">
        <f t="shared" si="17"/>
        <v>38.435284437573493</v>
      </c>
    </row>
    <row r="23" spans="1:74" x14ac:dyDescent="0.25">
      <c r="A23" s="149" t="s">
        <v>14</v>
      </c>
      <c r="B23" s="156" t="s">
        <v>218</v>
      </c>
      <c r="C23" s="150" t="s">
        <v>329</v>
      </c>
      <c r="D23" s="158">
        <v>37.779999885297023</v>
      </c>
      <c r="E23" s="157">
        <v>37.835999902365906</v>
      </c>
      <c r="F23" s="157">
        <v>37.891999919434788</v>
      </c>
      <c r="G23" s="157">
        <v>37.94799993650367</v>
      </c>
      <c r="H23" s="157">
        <v>38.003999953572553</v>
      </c>
      <c r="I23" s="158">
        <v>38.059999970641428</v>
      </c>
      <c r="J23" s="158">
        <v>38.100000047662988</v>
      </c>
      <c r="K23" s="158">
        <v>38.119999968575826</v>
      </c>
      <c r="L23" s="158">
        <v>38.170000007672186</v>
      </c>
      <c r="M23" s="158">
        <v>38.129999986403384</v>
      </c>
      <c r="N23" s="158">
        <v>37.989999934966505</v>
      </c>
      <c r="O23" s="158">
        <v>38.090000067537595</v>
      </c>
      <c r="P23" s="158">
        <v>38.089999943885992</v>
      </c>
      <c r="Q23" s="158">
        <v>38.200000000000003</v>
      </c>
      <c r="R23" s="158">
        <v>38.21000005608883</v>
      </c>
      <c r="S23" s="158">
        <v>38.259998958056819</v>
      </c>
      <c r="T23" s="158">
        <v>38.260000180720937</v>
      </c>
      <c r="U23" s="158">
        <v>38.110000608339433</v>
      </c>
      <c r="V23" s="158">
        <v>38.409998944225379</v>
      </c>
      <c r="W23" s="158">
        <v>38.430000915151403</v>
      </c>
      <c r="X23" s="158">
        <v>38.51999993949601</v>
      </c>
      <c r="Y23" s="158">
        <v>38.560001088530569</v>
      </c>
      <c r="Z23" s="158">
        <v>38.740000970806214</v>
      </c>
      <c r="AA23" s="158">
        <v>38.85000097656868</v>
      </c>
      <c r="AB23" s="158">
        <v>38.999999222988272</v>
      </c>
      <c r="AC23" s="158">
        <v>39.239999484440986</v>
      </c>
      <c r="AD23" s="158">
        <v>39.029993050258099</v>
      </c>
      <c r="AE23" s="158">
        <v>39.219991490126624</v>
      </c>
      <c r="AF23" s="158">
        <v>39.219991490126624</v>
      </c>
      <c r="AG23" s="158">
        <v>39.219991490126624</v>
      </c>
      <c r="AH23" s="158">
        <v>39.219991490126624</v>
      </c>
      <c r="AI23" s="158">
        <v>39.219991490126624</v>
      </c>
      <c r="AJ23" s="158">
        <v>39.219991490126624</v>
      </c>
      <c r="AK23" s="158">
        <v>39.219991490126624</v>
      </c>
      <c r="AL23" s="158">
        <v>39.219991490126624</v>
      </c>
      <c r="AM23" s="158">
        <v>39.219991490126624</v>
      </c>
      <c r="AN23" s="158">
        <v>39.219991490126624</v>
      </c>
      <c r="AO23" s="158">
        <v>39.219991490126624</v>
      </c>
      <c r="AP23" s="158">
        <v>39.219991490126624</v>
      </c>
      <c r="AQ23" s="158">
        <v>39.219991490126624</v>
      </c>
      <c r="AR23" s="158">
        <v>39.219991490126624</v>
      </c>
      <c r="AS23" s="157">
        <f t="shared" ref="AS23:BV23" si="18">AR23</f>
        <v>39.219991490126624</v>
      </c>
      <c r="AT23" s="157">
        <f t="shared" si="18"/>
        <v>39.219991490126624</v>
      </c>
      <c r="AU23" s="157">
        <f t="shared" si="18"/>
        <v>39.219991490126624</v>
      </c>
      <c r="AV23" s="157">
        <f t="shared" si="18"/>
        <v>39.219991490126624</v>
      </c>
      <c r="AW23" s="157">
        <f t="shared" si="18"/>
        <v>39.219991490126624</v>
      </c>
      <c r="AX23" s="157">
        <f t="shared" si="18"/>
        <v>39.219991490126624</v>
      </c>
      <c r="AY23" s="157">
        <f t="shared" si="18"/>
        <v>39.219991490126624</v>
      </c>
      <c r="AZ23" s="157">
        <f t="shared" si="18"/>
        <v>39.219991490126624</v>
      </c>
      <c r="BA23" s="157">
        <f t="shared" si="18"/>
        <v>39.219991490126624</v>
      </c>
      <c r="BB23" s="157">
        <f t="shared" si="18"/>
        <v>39.219991490126624</v>
      </c>
      <c r="BC23" s="157">
        <f t="shared" si="18"/>
        <v>39.219991490126624</v>
      </c>
      <c r="BD23" s="157">
        <f t="shared" si="18"/>
        <v>39.219991490126624</v>
      </c>
      <c r="BE23" s="157">
        <f t="shared" si="18"/>
        <v>39.219991490126624</v>
      </c>
      <c r="BF23" s="157">
        <f t="shared" si="18"/>
        <v>39.219991490126624</v>
      </c>
      <c r="BG23" s="157">
        <f t="shared" si="18"/>
        <v>39.219991490126624</v>
      </c>
      <c r="BH23" s="157">
        <f t="shared" si="18"/>
        <v>39.219991490126624</v>
      </c>
      <c r="BI23" s="157">
        <f t="shared" si="18"/>
        <v>39.219991490126624</v>
      </c>
      <c r="BJ23" s="157">
        <f t="shared" si="18"/>
        <v>39.219991490126624</v>
      </c>
      <c r="BK23" s="157">
        <f t="shared" si="18"/>
        <v>39.219991490126624</v>
      </c>
      <c r="BL23" s="157">
        <f t="shared" si="18"/>
        <v>39.219991490126624</v>
      </c>
      <c r="BM23" s="157">
        <f t="shared" si="18"/>
        <v>39.219991490126624</v>
      </c>
      <c r="BN23" s="157">
        <f t="shared" si="18"/>
        <v>39.219991490126624</v>
      </c>
      <c r="BO23" s="157">
        <f t="shared" si="18"/>
        <v>39.219991490126624</v>
      </c>
      <c r="BP23" s="157">
        <f t="shared" si="18"/>
        <v>39.219991490126624</v>
      </c>
      <c r="BQ23" s="157">
        <f t="shared" si="18"/>
        <v>39.219991490126624</v>
      </c>
      <c r="BR23" s="157">
        <f t="shared" si="18"/>
        <v>39.219991490126624</v>
      </c>
      <c r="BS23" s="157">
        <f t="shared" si="18"/>
        <v>39.219991490126624</v>
      </c>
      <c r="BT23" s="157">
        <f t="shared" si="18"/>
        <v>39.219991490126624</v>
      </c>
      <c r="BU23" s="157">
        <f t="shared" si="18"/>
        <v>39.219991490126624</v>
      </c>
      <c r="BV23" s="157">
        <f t="shared" si="18"/>
        <v>39.219991490126624</v>
      </c>
    </row>
    <row r="24" spans="1:74" x14ac:dyDescent="0.25">
      <c r="A24" s="149" t="s">
        <v>216</v>
      </c>
      <c r="B24" s="150" t="s">
        <v>213</v>
      </c>
      <c r="C24" s="150" t="s">
        <v>329</v>
      </c>
      <c r="D24" s="158">
        <v>37.088301383721408</v>
      </c>
      <c r="E24" s="157">
        <v>37.088301339656731</v>
      </c>
      <c r="F24" s="157">
        <v>37.088301295592053</v>
      </c>
      <c r="G24" s="157">
        <v>37.088301251527376</v>
      </c>
      <c r="H24" s="157">
        <v>37.088301207462699</v>
      </c>
      <c r="I24" s="158">
        <v>37.088301163398015</v>
      </c>
      <c r="J24" s="158">
        <v>37.088302189689898</v>
      </c>
      <c r="K24" s="158">
        <v>37.088301865713994</v>
      </c>
      <c r="L24" s="158">
        <v>38.722588818692024</v>
      </c>
      <c r="M24" s="158">
        <v>38.647545107823234</v>
      </c>
      <c r="N24" s="158">
        <v>38.647544558124402</v>
      </c>
      <c r="O24" s="158">
        <v>38.647544505439768</v>
      </c>
      <c r="P24" s="158">
        <v>38.647544645524597</v>
      </c>
      <c r="Q24" s="158">
        <v>38.647544383625231</v>
      </c>
      <c r="R24" s="158">
        <v>38.647544562117609</v>
      </c>
      <c r="S24" s="158">
        <v>38.647544328371573</v>
      </c>
      <c r="T24" s="158">
        <v>38.647538364410046</v>
      </c>
      <c r="U24" s="158">
        <v>38.647532379989407</v>
      </c>
      <c r="V24" s="158">
        <v>38.647536489743565</v>
      </c>
      <c r="W24" s="158">
        <v>38.647537590620246</v>
      </c>
      <c r="X24" s="158">
        <v>38.647532447156081</v>
      </c>
      <c r="Y24" s="158">
        <v>38.647541819225708</v>
      </c>
      <c r="Z24" s="158">
        <v>38.647535763672678</v>
      </c>
      <c r="AA24" s="158">
        <v>38.647553606699262</v>
      </c>
      <c r="AB24" s="158">
        <v>38.649998943212829</v>
      </c>
      <c r="AC24" s="158">
        <v>38.650005369567552</v>
      </c>
      <c r="AD24" s="158">
        <v>38.649992812913396</v>
      </c>
      <c r="AE24" s="158">
        <v>38.649992812913396</v>
      </c>
      <c r="AF24" s="158">
        <v>38.649992812913396</v>
      </c>
      <c r="AG24" s="158">
        <v>38.649992812913396</v>
      </c>
      <c r="AH24" s="158">
        <v>38.649992812913396</v>
      </c>
      <c r="AI24" s="158">
        <v>38.649992812913396</v>
      </c>
      <c r="AJ24" s="158">
        <v>38.649992812913396</v>
      </c>
      <c r="AK24" s="158">
        <v>38.649992812913396</v>
      </c>
      <c r="AL24" s="158">
        <v>38.649992812913396</v>
      </c>
      <c r="AM24" s="158">
        <v>38.649992812913396</v>
      </c>
      <c r="AN24" s="158">
        <v>38.649992812913396</v>
      </c>
      <c r="AO24" s="158">
        <v>38.649992812913396</v>
      </c>
      <c r="AP24" s="158">
        <v>38.649992812913396</v>
      </c>
      <c r="AQ24" s="158">
        <v>38.649992812913396</v>
      </c>
      <c r="AR24" s="158">
        <v>38.649992812913396</v>
      </c>
      <c r="AS24" s="157">
        <f t="shared" ref="AS24:BV24" si="19">AR24</f>
        <v>38.649992812913396</v>
      </c>
      <c r="AT24" s="157">
        <f t="shared" si="19"/>
        <v>38.649992812913396</v>
      </c>
      <c r="AU24" s="157">
        <f t="shared" si="19"/>
        <v>38.649992812913396</v>
      </c>
      <c r="AV24" s="157">
        <f t="shared" si="19"/>
        <v>38.649992812913396</v>
      </c>
      <c r="AW24" s="157">
        <f t="shared" si="19"/>
        <v>38.649992812913396</v>
      </c>
      <c r="AX24" s="157">
        <f t="shared" si="19"/>
        <v>38.649992812913396</v>
      </c>
      <c r="AY24" s="157">
        <f t="shared" si="19"/>
        <v>38.649992812913396</v>
      </c>
      <c r="AZ24" s="157">
        <f t="shared" si="19"/>
        <v>38.649992812913396</v>
      </c>
      <c r="BA24" s="157">
        <f t="shared" si="19"/>
        <v>38.649992812913396</v>
      </c>
      <c r="BB24" s="157">
        <f t="shared" si="19"/>
        <v>38.649992812913396</v>
      </c>
      <c r="BC24" s="157">
        <f t="shared" si="19"/>
        <v>38.649992812913396</v>
      </c>
      <c r="BD24" s="157">
        <f t="shared" si="19"/>
        <v>38.649992812913396</v>
      </c>
      <c r="BE24" s="157">
        <f t="shared" si="19"/>
        <v>38.649992812913396</v>
      </c>
      <c r="BF24" s="157">
        <f t="shared" si="19"/>
        <v>38.649992812913396</v>
      </c>
      <c r="BG24" s="157">
        <f t="shared" si="19"/>
        <v>38.649992812913396</v>
      </c>
      <c r="BH24" s="157">
        <f t="shared" si="19"/>
        <v>38.649992812913396</v>
      </c>
      <c r="BI24" s="157">
        <f t="shared" si="19"/>
        <v>38.649992812913396</v>
      </c>
      <c r="BJ24" s="157">
        <f t="shared" si="19"/>
        <v>38.649992812913396</v>
      </c>
      <c r="BK24" s="157">
        <f t="shared" si="19"/>
        <v>38.649992812913396</v>
      </c>
      <c r="BL24" s="157">
        <f t="shared" si="19"/>
        <v>38.649992812913396</v>
      </c>
      <c r="BM24" s="157">
        <f t="shared" si="19"/>
        <v>38.649992812913396</v>
      </c>
      <c r="BN24" s="157">
        <f t="shared" si="19"/>
        <v>38.649992812913396</v>
      </c>
      <c r="BO24" s="157">
        <f t="shared" si="19"/>
        <v>38.649992812913396</v>
      </c>
      <c r="BP24" s="157">
        <f t="shared" si="19"/>
        <v>38.649992812913396</v>
      </c>
      <c r="BQ24" s="157">
        <f t="shared" si="19"/>
        <v>38.649992812913396</v>
      </c>
      <c r="BR24" s="157">
        <f t="shared" si="19"/>
        <v>38.649992812913396</v>
      </c>
      <c r="BS24" s="157">
        <f t="shared" si="19"/>
        <v>38.649992812913396</v>
      </c>
      <c r="BT24" s="157">
        <f t="shared" si="19"/>
        <v>38.649992812913396</v>
      </c>
      <c r="BU24" s="157">
        <f t="shared" si="19"/>
        <v>38.649992812913396</v>
      </c>
      <c r="BV24" s="157">
        <f t="shared" si="19"/>
        <v>38.649992812913396</v>
      </c>
    </row>
    <row r="25" spans="1:74" x14ac:dyDescent="0.25">
      <c r="A25" s="155" t="s">
        <v>228</v>
      </c>
      <c r="B25" s="156" t="s">
        <v>207</v>
      </c>
      <c r="C25" s="150" t="s">
        <v>329</v>
      </c>
      <c r="D25" s="158">
        <v>25.530002137265313</v>
      </c>
      <c r="E25" s="157">
        <v>25.530001266948869</v>
      </c>
      <c r="F25" s="157">
        <v>25.530000396632424</v>
      </c>
      <c r="G25" s="157">
        <v>25.529999526315979</v>
      </c>
      <c r="H25" s="157">
        <v>25.529998655999535</v>
      </c>
      <c r="I25" s="158">
        <v>25.529997785683097</v>
      </c>
      <c r="J25" s="158">
        <v>25.530000991768322</v>
      </c>
      <c r="K25" s="158">
        <v>25.529999407924127</v>
      </c>
      <c r="L25" s="158">
        <v>25.309994298103849</v>
      </c>
      <c r="M25" s="158">
        <v>25.309998871089327</v>
      </c>
      <c r="N25" s="158">
        <v>25.309998872084865</v>
      </c>
      <c r="O25" s="158">
        <v>25.310000955862236</v>
      </c>
      <c r="P25" s="158">
        <v>25.309996195358337</v>
      </c>
      <c r="Q25" s="158">
        <v>25.310000652642113</v>
      </c>
      <c r="R25" s="158">
        <v>25.309999732126116</v>
      </c>
      <c r="S25" s="158">
        <v>25.310004648873331</v>
      </c>
      <c r="T25" s="158">
        <v>25.310008937742619</v>
      </c>
      <c r="U25" s="158">
        <v>25.309965026132161</v>
      </c>
      <c r="V25" s="158">
        <v>25.310016100068115</v>
      </c>
      <c r="W25" s="158">
        <v>25.30995543220482</v>
      </c>
      <c r="X25" s="158">
        <v>25.309980203756457</v>
      </c>
      <c r="Y25" s="158">
        <v>25.310013677607543</v>
      </c>
      <c r="Z25" s="158">
        <v>25.309978730946472</v>
      </c>
      <c r="AA25" s="158">
        <v>25.309978730946472</v>
      </c>
      <c r="AB25" s="158">
        <v>25.309978730946472</v>
      </c>
      <c r="AC25" s="158">
        <v>25.309978730946472</v>
      </c>
      <c r="AD25" s="158">
        <v>25.309821486577206</v>
      </c>
      <c r="AE25" s="158">
        <v>25.30985596363535</v>
      </c>
      <c r="AF25" s="158">
        <v>25.30985596363535</v>
      </c>
      <c r="AG25" s="158">
        <v>25.30985596363535</v>
      </c>
      <c r="AH25" s="158">
        <v>25.30985596363535</v>
      </c>
      <c r="AI25" s="158">
        <v>25.30985596363535</v>
      </c>
      <c r="AJ25" s="158">
        <v>25.30985596363535</v>
      </c>
      <c r="AK25" s="158">
        <v>25.30985596363535</v>
      </c>
      <c r="AL25" s="158">
        <v>25.30985596363535</v>
      </c>
      <c r="AM25" s="158">
        <v>25.30985596363535</v>
      </c>
      <c r="AN25" s="158">
        <v>25.30985596363535</v>
      </c>
      <c r="AO25" s="158">
        <v>25.30985596363535</v>
      </c>
      <c r="AP25" s="158">
        <v>25.30985596363535</v>
      </c>
      <c r="AQ25" s="158">
        <v>25.30985596363535</v>
      </c>
      <c r="AR25" s="158">
        <v>25.30985596363535</v>
      </c>
      <c r="AS25" s="157">
        <f t="shared" ref="AS25:BV25" si="20">AR25</f>
        <v>25.30985596363535</v>
      </c>
      <c r="AT25" s="157">
        <f t="shared" si="20"/>
        <v>25.30985596363535</v>
      </c>
      <c r="AU25" s="157">
        <f t="shared" si="20"/>
        <v>25.30985596363535</v>
      </c>
      <c r="AV25" s="157">
        <f t="shared" si="20"/>
        <v>25.30985596363535</v>
      </c>
      <c r="AW25" s="157">
        <f t="shared" si="20"/>
        <v>25.30985596363535</v>
      </c>
      <c r="AX25" s="157">
        <f t="shared" si="20"/>
        <v>25.30985596363535</v>
      </c>
      <c r="AY25" s="157">
        <f t="shared" si="20"/>
        <v>25.30985596363535</v>
      </c>
      <c r="AZ25" s="157">
        <f t="shared" si="20"/>
        <v>25.30985596363535</v>
      </c>
      <c r="BA25" s="157">
        <f t="shared" si="20"/>
        <v>25.30985596363535</v>
      </c>
      <c r="BB25" s="157">
        <f t="shared" si="20"/>
        <v>25.30985596363535</v>
      </c>
      <c r="BC25" s="157">
        <f t="shared" si="20"/>
        <v>25.30985596363535</v>
      </c>
      <c r="BD25" s="157">
        <f t="shared" si="20"/>
        <v>25.30985596363535</v>
      </c>
      <c r="BE25" s="157">
        <f t="shared" si="20"/>
        <v>25.30985596363535</v>
      </c>
      <c r="BF25" s="157">
        <f t="shared" si="20"/>
        <v>25.30985596363535</v>
      </c>
      <c r="BG25" s="157">
        <f t="shared" si="20"/>
        <v>25.30985596363535</v>
      </c>
      <c r="BH25" s="157">
        <f t="shared" si="20"/>
        <v>25.30985596363535</v>
      </c>
      <c r="BI25" s="157">
        <f t="shared" si="20"/>
        <v>25.30985596363535</v>
      </c>
      <c r="BJ25" s="157">
        <f t="shared" si="20"/>
        <v>25.30985596363535</v>
      </c>
      <c r="BK25" s="157">
        <f t="shared" si="20"/>
        <v>25.30985596363535</v>
      </c>
      <c r="BL25" s="157">
        <f t="shared" si="20"/>
        <v>25.30985596363535</v>
      </c>
      <c r="BM25" s="157">
        <f t="shared" si="20"/>
        <v>25.30985596363535</v>
      </c>
      <c r="BN25" s="157">
        <f t="shared" si="20"/>
        <v>25.30985596363535</v>
      </c>
      <c r="BO25" s="157">
        <f t="shared" si="20"/>
        <v>25.30985596363535</v>
      </c>
      <c r="BP25" s="157">
        <f t="shared" si="20"/>
        <v>25.30985596363535</v>
      </c>
      <c r="BQ25" s="157">
        <f t="shared" si="20"/>
        <v>25.30985596363535</v>
      </c>
      <c r="BR25" s="157">
        <f t="shared" si="20"/>
        <v>25.30985596363535</v>
      </c>
      <c r="BS25" s="157">
        <f t="shared" si="20"/>
        <v>25.30985596363535</v>
      </c>
      <c r="BT25" s="157">
        <f t="shared" si="20"/>
        <v>25.30985596363535</v>
      </c>
      <c r="BU25" s="157">
        <f t="shared" si="20"/>
        <v>25.30985596363535</v>
      </c>
      <c r="BV25" s="157">
        <f t="shared" si="20"/>
        <v>25.30985596363535</v>
      </c>
    </row>
    <row r="26" spans="1:74" x14ac:dyDescent="0.25">
      <c r="A26" s="149" t="s">
        <v>222</v>
      </c>
      <c r="B26" s="156" t="s">
        <v>218</v>
      </c>
      <c r="C26" s="150" t="s">
        <v>329</v>
      </c>
      <c r="D26" s="158">
        <v>41.730000077547437</v>
      </c>
      <c r="E26" s="157">
        <v>41.730000061384125</v>
      </c>
      <c r="F26" s="157">
        <v>41.730000045220812</v>
      </c>
      <c r="G26" s="157">
        <v>41.7300000290575</v>
      </c>
      <c r="H26" s="157">
        <v>41.730000012894187</v>
      </c>
      <c r="I26" s="158">
        <v>41.729999996730889</v>
      </c>
      <c r="J26" s="158">
        <v>41.730000063641704</v>
      </c>
      <c r="K26" s="158">
        <v>41.730000005731441</v>
      </c>
      <c r="L26" s="158">
        <v>42.5</v>
      </c>
      <c r="M26" s="158">
        <v>42.500000146223499</v>
      </c>
      <c r="N26" s="158">
        <v>42.500000140364548</v>
      </c>
      <c r="O26" s="158">
        <v>42.500000122808636</v>
      </c>
      <c r="P26" s="158">
        <v>42.500000121325208</v>
      </c>
      <c r="Q26" s="158">
        <v>42.5</v>
      </c>
      <c r="R26" s="158">
        <v>42.5</v>
      </c>
      <c r="S26" s="158">
        <v>42.500000113997764</v>
      </c>
      <c r="T26" s="158">
        <v>42.500000107487381</v>
      </c>
      <c r="U26" s="158">
        <v>42.499999800711066</v>
      </c>
      <c r="V26" s="158">
        <v>42.500001501511811</v>
      </c>
      <c r="W26" s="158">
        <v>42.500004407954123</v>
      </c>
      <c r="X26" s="158">
        <v>42.49999555949703</v>
      </c>
      <c r="Y26" s="158">
        <v>42.500000769872727</v>
      </c>
      <c r="Z26" s="158">
        <v>36.079997308866041</v>
      </c>
      <c r="AA26" s="158">
        <v>36.080004249007544</v>
      </c>
      <c r="AB26" s="158">
        <v>36.080004249007544</v>
      </c>
      <c r="AC26" s="158">
        <v>36.080004249007544</v>
      </c>
      <c r="AD26" s="158">
        <v>36.079999690602889</v>
      </c>
      <c r="AE26" s="158">
        <v>36.079999690602889</v>
      </c>
      <c r="AF26" s="158">
        <v>36.079999690602889</v>
      </c>
      <c r="AG26" s="158">
        <v>36.079999690602889</v>
      </c>
      <c r="AH26" s="158">
        <v>36.079999690602889</v>
      </c>
      <c r="AI26" s="158">
        <v>36.079999690602889</v>
      </c>
      <c r="AJ26" s="158">
        <v>36.079999690602889</v>
      </c>
      <c r="AK26" s="158">
        <v>36.079999690602889</v>
      </c>
      <c r="AL26" s="158">
        <v>36.079999690602889</v>
      </c>
      <c r="AM26" s="158">
        <v>36.079999690602889</v>
      </c>
      <c r="AN26" s="158">
        <v>36.079999690602889</v>
      </c>
      <c r="AO26" s="158">
        <v>36.079999690602889</v>
      </c>
      <c r="AP26" s="158">
        <v>36.079999690602889</v>
      </c>
      <c r="AQ26" s="158">
        <v>36.079999690602889</v>
      </c>
      <c r="AR26" s="158">
        <v>36.079999690602889</v>
      </c>
      <c r="AS26" s="157">
        <f t="shared" ref="AS26:BV26" si="21">AR26</f>
        <v>36.079999690602889</v>
      </c>
      <c r="AT26" s="157">
        <f t="shared" si="21"/>
        <v>36.079999690602889</v>
      </c>
      <c r="AU26" s="157">
        <f t="shared" si="21"/>
        <v>36.079999690602889</v>
      </c>
      <c r="AV26" s="157">
        <f t="shared" si="21"/>
        <v>36.079999690602889</v>
      </c>
      <c r="AW26" s="157">
        <f t="shared" si="21"/>
        <v>36.079999690602889</v>
      </c>
      <c r="AX26" s="157">
        <f t="shared" si="21"/>
        <v>36.079999690602889</v>
      </c>
      <c r="AY26" s="157">
        <f t="shared" si="21"/>
        <v>36.079999690602889</v>
      </c>
      <c r="AZ26" s="157">
        <f t="shared" si="21"/>
        <v>36.079999690602889</v>
      </c>
      <c r="BA26" s="157">
        <f t="shared" si="21"/>
        <v>36.079999690602889</v>
      </c>
      <c r="BB26" s="157">
        <f t="shared" si="21"/>
        <v>36.079999690602889</v>
      </c>
      <c r="BC26" s="157">
        <f t="shared" si="21"/>
        <v>36.079999690602889</v>
      </c>
      <c r="BD26" s="157">
        <f t="shared" si="21"/>
        <v>36.079999690602889</v>
      </c>
      <c r="BE26" s="157">
        <f t="shared" si="21"/>
        <v>36.079999690602889</v>
      </c>
      <c r="BF26" s="157">
        <f t="shared" si="21"/>
        <v>36.079999690602889</v>
      </c>
      <c r="BG26" s="157">
        <f t="shared" si="21"/>
        <v>36.079999690602889</v>
      </c>
      <c r="BH26" s="157">
        <f t="shared" si="21"/>
        <v>36.079999690602889</v>
      </c>
      <c r="BI26" s="157">
        <f t="shared" si="21"/>
        <v>36.079999690602889</v>
      </c>
      <c r="BJ26" s="157">
        <f t="shared" si="21"/>
        <v>36.079999690602889</v>
      </c>
      <c r="BK26" s="157">
        <f t="shared" si="21"/>
        <v>36.079999690602889</v>
      </c>
      <c r="BL26" s="157">
        <f t="shared" si="21"/>
        <v>36.079999690602889</v>
      </c>
      <c r="BM26" s="157">
        <f t="shared" si="21"/>
        <v>36.079999690602889</v>
      </c>
      <c r="BN26" s="157">
        <f t="shared" si="21"/>
        <v>36.079999690602889</v>
      </c>
      <c r="BO26" s="157">
        <f t="shared" si="21"/>
        <v>36.079999690602889</v>
      </c>
      <c r="BP26" s="157">
        <f t="shared" si="21"/>
        <v>36.079999690602889</v>
      </c>
      <c r="BQ26" s="157">
        <f t="shared" si="21"/>
        <v>36.079999690602889</v>
      </c>
      <c r="BR26" s="157">
        <f t="shared" si="21"/>
        <v>36.079999690602889</v>
      </c>
      <c r="BS26" s="157">
        <f t="shared" si="21"/>
        <v>36.079999690602889</v>
      </c>
      <c r="BT26" s="157">
        <f t="shared" si="21"/>
        <v>36.079999690602889</v>
      </c>
      <c r="BU26" s="157">
        <f t="shared" si="21"/>
        <v>36.079999690602889</v>
      </c>
      <c r="BV26" s="157">
        <f t="shared" si="21"/>
        <v>36.079999690602889</v>
      </c>
    </row>
    <row r="27" spans="1:74" x14ac:dyDescent="0.25">
      <c r="A27" s="155" t="s">
        <v>229</v>
      </c>
      <c r="B27" s="159" t="s">
        <v>213</v>
      </c>
      <c r="C27" s="150" t="s">
        <v>329</v>
      </c>
      <c r="D27" s="158">
        <v>14</v>
      </c>
      <c r="E27" s="157">
        <v>14</v>
      </c>
      <c r="F27" s="157">
        <v>14</v>
      </c>
      <c r="G27" s="157">
        <v>14</v>
      </c>
      <c r="H27" s="157">
        <v>14</v>
      </c>
      <c r="I27" s="158">
        <v>14</v>
      </c>
      <c r="J27" s="158">
        <v>14</v>
      </c>
      <c r="K27" s="158">
        <v>14</v>
      </c>
      <c r="L27" s="158">
        <v>14</v>
      </c>
      <c r="M27" s="158">
        <v>14</v>
      </c>
      <c r="N27" s="158">
        <v>14</v>
      </c>
      <c r="O27" s="158">
        <v>14</v>
      </c>
      <c r="P27" s="158">
        <v>14</v>
      </c>
      <c r="Q27" s="158">
        <v>14</v>
      </c>
      <c r="R27" s="158">
        <v>14</v>
      </c>
      <c r="S27" s="158">
        <v>14.000000108315001</v>
      </c>
      <c r="T27" s="158">
        <v>13.999999806108626</v>
      </c>
      <c r="U27" s="158">
        <v>13.999999748986674</v>
      </c>
      <c r="V27" s="158">
        <v>14.000000379920184</v>
      </c>
      <c r="W27" s="158">
        <v>14.000000293094232</v>
      </c>
      <c r="X27" s="158">
        <v>13.999999509048447</v>
      </c>
      <c r="Y27" s="158">
        <v>13.999999576064937</v>
      </c>
      <c r="Z27" s="158">
        <v>13.999999862124477</v>
      </c>
      <c r="AA27" s="158">
        <v>14.000000358891684</v>
      </c>
      <c r="AB27" s="158">
        <v>13.999999930118202</v>
      </c>
      <c r="AC27" s="158">
        <v>14.000000263165045</v>
      </c>
      <c r="AD27" s="158">
        <v>13.999999650391192</v>
      </c>
      <c r="AE27" s="158">
        <v>14.000000410167106</v>
      </c>
      <c r="AF27" s="158">
        <v>14.000000410167106</v>
      </c>
      <c r="AG27" s="158">
        <v>14.000000410167106</v>
      </c>
      <c r="AH27" s="158">
        <v>14.000000410167106</v>
      </c>
      <c r="AI27" s="158">
        <v>14.000000410167106</v>
      </c>
      <c r="AJ27" s="158">
        <v>14.000000410167106</v>
      </c>
      <c r="AK27" s="158">
        <v>14.000000410167106</v>
      </c>
      <c r="AL27" s="158">
        <v>14.000000410167106</v>
      </c>
      <c r="AM27" s="158">
        <v>14.000000410167106</v>
      </c>
      <c r="AN27" s="158">
        <v>14.000000410167106</v>
      </c>
      <c r="AO27" s="158">
        <v>14.000000410167106</v>
      </c>
      <c r="AP27" s="158">
        <v>14.000000410167106</v>
      </c>
      <c r="AQ27" s="158">
        <v>14.000000410167106</v>
      </c>
      <c r="AR27" s="158">
        <v>14.000000410167106</v>
      </c>
      <c r="AS27" s="157">
        <f t="shared" ref="AS27:BV27" si="22">AR27</f>
        <v>14.000000410167106</v>
      </c>
      <c r="AT27" s="157">
        <f t="shared" si="22"/>
        <v>14.000000410167106</v>
      </c>
      <c r="AU27" s="157">
        <f t="shared" si="22"/>
        <v>14.000000410167106</v>
      </c>
      <c r="AV27" s="157">
        <f t="shared" si="22"/>
        <v>14.000000410167106</v>
      </c>
      <c r="AW27" s="157">
        <f t="shared" si="22"/>
        <v>14.000000410167106</v>
      </c>
      <c r="AX27" s="157">
        <f t="shared" si="22"/>
        <v>14.000000410167106</v>
      </c>
      <c r="AY27" s="157">
        <f t="shared" si="22"/>
        <v>14.000000410167106</v>
      </c>
      <c r="AZ27" s="157">
        <f t="shared" si="22"/>
        <v>14.000000410167106</v>
      </c>
      <c r="BA27" s="157">
        <f t="shared" si="22"/>
        <v>14.000000410167106</v>
      </c>
      <c r="BB27" s="157">
        <f t="shared" si="22"/>
        <v>14.000000410167106</v>
      </c>
      <c r="BC27" s="157">
        <f t="shared" si="22"/>
        <v>14.000000410167106</v>
      </c>
      <c r="BD27" s="157">
        <f t="shared" si="22"/>
        <v>14.000000410167106</v>
      </c>
      <c r="BE27" s="157">
        <f t="shared" si="22"/>
        <v>14.000000410167106</v>
      </c>
      <c r="BF27" s="157">
        <f t="shared" si="22"/>
        <v>14.000000410167106</v>
      </c>
      <c r="BG27" s="157">
        <f t="shared" si="22"/>
        <v>14.000000410167106</v>
      </c>
      <c r="BH27" s="157">
        <f t="shared" si="22"/>
        <v>14.000000410167106</v>
      </c>
      <c r="BI27" s="157">
        <f t="shared" si="22"/>
        <v>14.000000410167106</v>
      </c>
      <c r="BJ27" s="157">
        <f t="shared" si="22"/>
        <v>14.000000410167106</v>
      </c>
      <c r="BK27" s="157">
        <f t="shared" si="22"/>
        <v>14.000000410167106</v>
      </c>
      <c r="BL27" s="157">
        <f t="shared" si="22"/>
        <v>14.000000410167106</v>
      </c>
      <c r="BM27" s="157">
        <f t="shared" si="22"/>
        <v>14.000000410167106</v>
      </c>
      <c r="BN27" s="157">
        <f t="shared" si="22"/>
        <v>14.000000410167106</v>
      </c>
      <c r="BO27" s="157">
        <f t="shared" si="22"/>
        <v>14.000000410167106</v>
      </c>
      <c r="BP27" s="157">
        <f t="shared" si="22"/>
        <v>14.000000410167106</v>
      </c>
      <c r="BQ27" s="157">
        <f t="shared" si="22"/>
        <v>14.000000410167106</v>
      </c>
      <c r="BR27" s="157">
        <f t="shared" si="22"/>
        <v>14.000000410167106</v>
      </c>
      <c r="BS27" s="157">
        <f t="shared" si="22"/>
        <v>14.000000410167106</v>
      </c>
      <c r="BT27" s="157">
        <f t="shared" si="22"/>
        <v>14.000000410167106</v>
      </c>
      <c r="BU27" s="157">
        <f t="shared" si="22"/>
        <v>14.000000410167106</v>
      </c>
      <c r="BV27" s="157">
        <f t="shared" si="22"/>
        <v>14.000000410167106</v>
      </c>
    </row>
    <row r="28" spans="1:74" x14ac:dyDescent="0.25">
      <c r="A28" s="149" t="s">
        <v>230</v>
      </c>
      <c r="B28" s="156" t="s">
        <v>34</v>
      </c>
      <c r="C28" s="150" t="s">
        <v>231</v>
      </c>
      <c r="D28" s="158">
        <v>1</v>
      </c>
      <c r="E28" s="158">
        <v>1</v>
      </c>
      <c r="F28" s="158">
        <v>1</v>
      </c>
      <c r="G28" s="158">
        <v>1</v>
      </c>
      <c r="H28" s="158">
        <v>1</v>
      </c>
      <c r="I28" s="158">
        <v>1</v>
      </c>
      <c r="J28" s="158">
        <v>1</v>
      </c>
      <c r="K28" s="158">
        <v>1</v>
      </c>
      <c r="L28" s="158">
        <v>1</v>
      </c>
      <c r="M28" s="158">
        <v>1</v>
      </c>
      <c r="N28" s="158">
        <v>1</v>
      </c>
      <c r="O28" s="158">
        <v>1</v>
      </c>
      <c r="P28" s="158">
        <v>1</v>
      </c>
      <c r="Q28" s="158">
        <v>1</v>
      </c>
      <c r="R28" s="158">
        <v>1</v>
      </c>
      <c r="S28" s="158">
        <v>1</v>
      </c>
      <c r="T28" s="158">
        <v>1</v>
      </c>
      <c r="U28" s="158">
        <v>1</v>
      </c>
      <c r="V28" s="158">
        <v>1</v>
      </c>
      <c r="W28" s="158">
        <v>1</v>
      </c>
      <c r="X28" s="158">
        <v>1</v>
      </c>
      <c r="Y28" s="158">
        <v>1</v>
      </c>
      <c r="Z28" s="158">
        <v>1</v>
      </c>
      <c r="AA28" s="158">
        <v>1</v>
      </c>
      <c r="AB28" s="158">
        <v>1</v>
      </c>
      <c r="AC28" s="158">
        <v>1</v>
      </c>
      <c r="AD28" s="158">
        <v>1</v>
      </c>
      <c r="AE28" s="158">
        <v>1</v>
      </c>
      <c r="AF28" s="158">
        <v>1</v>
      </c>
      <c r="AG28" s="158">
        <v>1</v>
      </c>
      <c r="AH28" s="158">
        <v>1</v>
      </c>
      <c r="AI28" s="158">
        <v>1</v>
      </c>
      <c r="AJ28" s="158">
        <v>1</v>
      </c>
      <c r="AK28" s="158">
        <v>1</v>
      </c>
      <c r="AL28" s="158">
        <v>1</v>
      </c>
      <c r="AM28" s="158">
        <v>1</v>
      </c>
      <c r="AN28" s="158">
        <v>1</v>
      </c>
      <c r="AO28" s="158">
        <v>1</v>
      </c>
      <c r="AP28" s="158">
        <v>1</v>
      </c>
      <c r="AQ28" s="158">
        <v>1</v>
      </c>
      <c r="AR28" s="158">
        <v>1</v>
      </c>
      <c r="AS28" s="157">
        <f t="shared" ref="AS28:BV28" si="23">AR28</f>
        <v>1</v>
      </c>
      <c r="AT28" s="157">
        <f t="shared" si="23"/>
        <v>1</v>
      </c>
      <c r="AU28" s="157">
        <f t="shared" si="23"/>
        <v>1</v>
      </c>
      <c r="AV28" s="157">
        <f t="shared" si="23"/>
        <v>1</v>
      </c>
      <c r="AW28" s="157">
        <f t="shared" si="23"/>
        <v>1</v>
      </c>
      <c r="AX28" s="157">
        <f t="shared" si="23"/>
        <v>1</v>
      </c>
      <c r="AY28" s="157">
        <f t="shared" si="23"/>
        <v>1</v>
      </c>
      <c r="AZ28" s="157">
        <f t="shared" si="23"/>
        <v>1</v>
      </c>
      <c r="BA28" s="157">
        <f t="shared" si="23"/>
        <v>1</v>
      </c>
      <c r="BB28" s="157">
        <f t="shared" si="23"/>
        <v>1</v>
      </c>
      <c r="BC28" s="157">
        <f t="shared" si="23"/>
        <v>1</v>
      </c>
      <c r="BD28" s="157">
        <f t="shared" si="23"/>
        <v>1</v>
      </c>
      <c r="BE28" s="157">
        <f t="shared" si="23"/>
        <v>1</v>
      </c>
      <c r="BF28" s="157">
        <f t="shared" si="23"/>
        <v>1</v>
      </c>
      <c r="BG28" s="157">
        <f t="shared" si="23"/>
        <v>1</v>
      </c>
      <c r="BH28" s="157">
        <f t="shared" si="23"/>
        <v>1</v>
      </c>
      <c r="BI28" s="157">
        <f t="shared" si="23"/>
        <v>1</v>
      </c>
      <c r="BJ28" s="157">
        <f t="shared" si="23"/>
        <v>1</v>
      </c>
      <c r="BK28" s="157">
        <f t="shared" si="23"/>
        <v>1</v>
      </c>
      <c r="BL28" s="157">
        <f t="shared" si="23"/>
        <v>1</v>
      </c>
      <c r="BM28" s="157">
        <f t="shared" si="23"/>
        <v>1</v>
      </c>
      <c r="BN28" s="157">
        <f t="shared" si="23"/>
        <v>1</v>
      </c>
      <c r="BO28" s="157">
        <f t="shared" si="23"/>
        <v>1</v>
      </c>
      <c r="BP28" s="157">
        <f t="shared" si="23"/>
        <v>1</v>
      </c>
      <c r="BQ28" s="157">
        <f t="shared" si="23"/>
        <v>1</v>
      </c>
      <c r="BR28" s="157">
        <f t="shared" si="23"/>
        <v>1</v>
      </c>
      <c r="BS28" s="157">
        <f t="shared" si="23"/>
        <v>1</v>
      </c>
      <c r="BT28" s="157">
        <f t="shared" si="23"/>
        <v>1</v>
      </c>
      <c r="BU28" s="157">
        <f t="shared" si="23"/>
        <v>1</v>
      </c>
      <c r="BV28" s="157">
        <f t="shared" si="23"/>
        <v>1</v>
      </c>
    </row>
    <row r="29" spans="1:74" x14ac:dyDescent="0.25">
      <c r="A29" s="155" t="s">
        <v>232</v>
      </c>
      <c r="B29" s="156" t="s">
        <v>218</v>
      </c>
      <c r="C29" s="150" t="s">
        <v>331</v>
      </c>
      <c r="D29" s="165">
        <v>37.28</v>
      </c>
      <c r="E29" s="165">
        <v>37.28</v>
      </c>
      <c r="F29" s="165">
        <v>37.28</v>
      </c>
      <c r="G29" s="165">
        <v>37.28</v>
      </c>
      <c r="H29" s="165">
        <v>37.28</v>
      </c>
      <c r="I29" s="165">
        <v>37.28</v>
      </c>
      <c r="J29" s="165">
        <v>37.28</v>
      </c>
      <c r="K29" s="165">
        <v>37.28</v>
      </c>
      <c r="L29" s="165">
        <v>37.700000000000003</v>
      </c>
      <c r="M29" s="165">
        <v>36.08</v>
      </c>
      <c r="N29" s="165">
        <v>36.08</v>
      </c>
      <c r="O29" s="165">
        <v>36.08</v>
      </c>
      <c r="P29" s="165">
        <v>36.08</v>
      </c>
      <c r="Q29" s="165">
        <v>36.08</v>
      </c>
      <c r="R29" s="165">
        <v>36.08</v>
      </c>
      <c r="S29" s="165">
        <v>36.08</v>
      </c>
      <c r="T29" s="165">
        <v>36.08</v>
      </c>
      <c r="U29" s="165">
        <v>36.08</v>
      </c>
      <c r="V29" s="165">
        <v>36.08</v>
      </c>
      <c r="W29" s="165">
        <v>36.08</v>
      </c>
      <c r="X29" s="165">
        <v>36.08</v>
      </c>
      <c r="Y29" s="165">
        <v>36.08</v>
      </c>
      <c r="Z29" s="165">
        <v>36.08</v>
      </c>
      <c r="AA29" s="165">
        <v>36.08</v>
      </c>
      <c r="AB29" s="165">
        <v>36.08</v>
      </c>
      <c r="AC29" s="165">
        <v>36.08</v>
      </c>
      <c r="AD29" s="165">
        <v>36.08</v>
      </c>
      <c r="AE29" s="165">
        <v>36.08</v>
      </c>
      <c r="AF29" s="165">
        <v>36.08</v>
      </c>
      <c r="AG29" s="165">
        <v>36.08</v>
      </c>
      <c r="AH29" s="165">
        <v>36.08</v>
      </c>
      <c r="AI29" s="165">
        <v>36.08</v>
      </c>
      <c r="AJ29" s="165">
        <v>36.08</v>
      </c>
      <c r="AK29" s="165">
        <v>36.08</v>
      </c>
      <c r="AL29" s="165">
        <v>36.08</v>
      </c>
      <c r="AM29" s="165">
        <v>36.08</v>
      </c>
      <c r="AN29" s="165">
        <v>36.08</v>
      </c>
      <c r="AO29" s="165">
        <v>36.08</v>
      </c>
      <c r="AP29" s="165">
        <v>36.08</v>
      </c>
      <c r="AQ29" s="165">
        <v>36.08</v>
      </c>
      <c r="AR29" s="165">
        <v>36.08</v>
      </c>
      <c r="AS29" s="157">
        <f t="shared" ref="AS29:BV29" si="24">AR29</f>
        <v>36.08</v>
      </c>
      <c r="AT29" s="157">
        <f t="shared" si="24"/>
        <v>36.08</v>
      </c>
      <c r="AU29" s="157">
        <f t="shared" si="24"/>
        <v>36.08</v>
      </c>
      <c r="AV29" s="157">
        <f t="shared" si="24"/>
        <v>36.08</v>
      </c>
      <c r="AW29" s="157">
        <f t="shared" si="24"/>
        <v>36.08</v>
      </c>
      <c r="AX29" s="157">
        <f t="shared" si="24"/>
        <v>36.08</v>
      </c>
      <c r="AY29" s="157">
        <f t="shared" si="24"/>
        <v>36.08</v>
      </c>
      <c r="AZ29" s="157">
        <f t="shared" si="24"/>
        <v>36.08</v>
      </c>
      <c r="BA29" s="157">
        <f t="shared" si="24"/>
        <v>36.08</v>
      </c>
      <c r="BB29" s="157">
        <f t="shared" si="24"/>
        <v>36.08</v>
      </c>
      <c r="BC29" s="157">
        <f t="shared" si="24"/>
        <v>36.08</v>
      </c>
      <c r="BD29" s="157">
        <f t="shared" si="24"/>
        <v>36.08</v>
      </c>
      <c r="BE29" s="157">
        <f t="shared" si="24"/>
        <v>36.08</v>
      </c>
      <c r="BF29" s="157">
        <f t="shared" si="24"/>
        <v>36.08</v>
      </c>
      <c r="BG29" s="157">
        <f t="shared" si="24"/>
        <v>36.08</v>
      </c>
      <c r="BH29" s="157">
        <f t="shared" si="24"/>
        <v>36.08</v>
      </c>
      <c r="BI29" s="157">
        <f t="shared" si="24"/>
        <v>36.08</v>
      </c>
      <c r="BJ29" s="157">
        <f t="shared" si="24"/>
        <v>36.08</v>
      </c>
      <c r="BK29" s="157">
        <f t="shared" si="24"/>
        <v>36.08</v>
      </c>
      <c r="BL29" s="157">
        <f t="shared" si="24"/>
        <v>36.08</v>
      </c>
      <c r="BM29" s="157">
        <f t="shared" si="24"/>
        <v>36.08</v>
      </c>
      <c r="BN29" s="157">
        <f t="shared" si="24"/>
        <v>36.08</v>
      </c>
      <c r="BO29" s="157">
        <f t="shared" si="24"/>
        <v>36.08</v>
      </c>
      <c r="BP29" s="157">
        <f t="shared" si="24"/>
        <v>36.08</v>
      </c>
      <c r="BQ29" s="157">
        <f t="shared" si="24"/>
        <v>36.08</v>
      </c>
      <c r="BR29" s="157">
        <f t="shared" si="24"/>
        <v>36.08</v>
      </c>
      <c r="BS29" s="157">
        <f t="shared" si="24"/>
        <v>36.08</v>
      </c>
      <c r="BT29" s="157">
        <f t="shared" si="24"/>
        <v>36.08</v>
      </c>
      <c r="BU29" s="157">
        <f t="shared" si="24"/>
        <v>36.08</v>
      </c>
      <c r="BV29" s="157">
        <f t="shared" si="24"/>
        <v>36.08</v>
      </c>
    </row>
    <row r="30" spans="1:74" x14ac:dyDescent="0.25">
      <c r="A30" s="155" t="s">
        <v>233</v>
      </c>
      <c r="B30" s="159" t="s">
        <v>234</v>
      </c>
      <c r="C30" s="150" t="s">
        <v>332</v>
      </c>
      <c r="D30" s="160">
        <v>685.85299999999995</v>
      </c>
      <c r="E30" s="160">
        <v>690.68700000000001</v>
      </c>
      <c r="F30" s="160">
        <v>693.96100000000001</v>
      </c>
      <c r="G30" s="160">
        <v>656.33</v>
      </c>
      <c r="H30" s="160">
        <v>643.17499999999995</v>
      </c>
      <c r="I30" s="160">
        <v>647.96</v>
      </c>
      <c r="J30" s="160">
        <v>650.375</v>
      </c>
      <c r="K30" s="160">
        <v>694.05700000000002</v>
      </c>
      <c r="L30" s="160">
        <v>698.23500000000001</v>
      </c>
      <c r="M30" s="160">
        <v>695.62599999999998</v>
      </c>
      <c r="N30" s="160">
        <v>697.70600000000002</v>
      </c>
      <c r="O30" s="160">
        <v>690.779</v>
      </c>
      <c r="P30" s="160">
        <v>697.35400000000004</v>
      </c>
      <c r="Q30" s="160">
        <v>688.81899999999996</v>
      </c>
      <c r="R30" s="160">
        <v>704.54700000000003</v>
      </c>
      <c r="S30" s="158">
        <v>704.54700000000003</v>
      </c>
      <c r="T30" s="158">
        <v>704.54700000000003</v>
      </c>
      <c r="U30" s="158">
        <v>704.54700000000003</v>
      </c>
      <c r="V30" s="158">
        <v>704.54700000000003</v>
      </c>
      <c r="W30" s="158">
        <v>704.54700000000003</v>
      </c>
      <c r="X30" s="158">
        <v>704.54700000000003</v>
      </c>
      <c r="Y30" s="158">
        <v>704.54700000000003</v>
      </c>
      <c r="Z30" s="158">
        <v>704.54700000000003</v>
      </c>
      <c r="AA30" s="158">
        <v>704.54700000000003</v>
      </c>
      <c r="AB30" s="158">
        <v>704.54700000000003</v>
      </c>
      <c r="AC30" s="158">
        <v>704.54700000000003</v>
      </c>
      <c r="AD30" s="158">
        <v>704.54700000000003</v>
      </c>
      <c r="AE30" s="158">
        <v>704.54700000000003</v>
      </c>
      <c r="AF30" s="158">
        <v>704.54700000000003</v>
      </c>
      <c r="AG30" s="158">
        <v>704.54700000000003</v>
      </c>
      <c r="AH30" s="158">
        <v>704.54700000000003</v>
      </c>
      <c r="AI30" s="158">
        <v>704.54700000000003</v>
      </c>
      <c r="AJ30" s="158">
        <v>704.54700000000003</v>
      </c>
      <c r="AK30" s="158">
        <v>704.54700000000003</v>
      </c>
      <c r="AL30" s="158">
        <v>704.54700000000003</v>
      </c>
      <c r="AM30" s="158">
        <v>704.54700000000003</v>
      </c>
      <c r="AN30" s="158">
        <v>704.54700000000003</v>
      </c>
      <c r="AO30" s="158">
        <v>704.54700000000003</v>
      </c>
      <c r="AP30" s="158">
        <v>704.54700000000003</v>
      </c>
      <c r="AQ30" s="158">
        <v>704.54700000000003</v>
      </c>
      <c r="AR30" s="158">
        <v>704.54700000000003</v>
      </c>
      <c r="AS30" s="157">
        <f t="shared" ref="AS30:BV30" si="25">AR30</f>
        <v>704.54700000000003</v>
      </c>
      <c r="AT30" s="157">
        <f t="shared" si="25"/>
        <v>704.54700000000003</v>
      </c>
      <c r="AU30" s="157">
        <f t="shared" si="25"/>
        <v>704.54700000000003</v>
      </c>
      <c r="AV30" s="157">
        <f t="shared" si="25"/>
        <v>704.54700000000003</v>
      </c>
      <c r="AW30" s="157">
        <f t="shared" si="25"/>
        <v>704.54700000000003</v>
      </c>
      <c r="AX30" s="157">
        <f t="shared" si="25"/>
        <v>704.54700000000003</v>
      </c>
      <c r="AY30" s="157">
        <f t="shared" si="25"/>
        <v>704.54700000000003</v>
      </c>
      <c r="AZ30" s="157">
        <f t="shared" si="25"/>
        <v>704.54700000000003</v>
      </c>
      <c r="BA30" s="157">
        <f t="shared" si="25"/>
        <v>704.54700000000003</v>
      </c>
      <c r="BB30" s="157">
        <f t="shared" si="25"/>
        <v>704.54700000000003</v>
      </c>
      <c r="BC30" s="157">
        <f t="shared" si="25"/>
        <v>704.54700000000003</v>
      </c>
      <c r="BD30" s="157">
        <f t="shared" si="25"/>
        <v>704.54700000000003</v>
      </c>
      <c r="BE30" s="157">
        <f t="shared" si="25"/>
        <v>704.54700000000003</v>
      </c>
      <c r="BF30" s="157">
        <f t="shared" si="25"/>
        <v>704.54700000000003</v>
      </c>
      <c r="BG30" s="157">
        <f t="shared" si="25"/>
        <v>704.54700000000003</v>
      </c>
      <c r="BH30" s="157">
        <f t="shared" si="25"/>
        <v>704.54700000000003</v>
      </c>
      <c r="BI30" s="157">
        <f t="shared" si="25"/>
        <v>704.54700000000003</v>
      </c>
      <c r="BJ30" s="157">
        <f t="shared" si="25"/>
        <v>704.54700000000003</v>
      </c>
      <c r="BK30" s="157">
        <f t="shared" si="25"/>
        <v>704.54700000000003</v>
      </c>
      <c r="BL30" s="157">
        <f t="shared" si="25"/>
        <v>704.54700000000003</v>
      </c>
      <c r="BM30" s="157">
        <f t="shared" si="25"/>
        <v>704.54700000000003</v>
      </c>
      <c r="BN30" s="157">
        <f t="shared" si="25"/>
        <v>704.54700000000003</v>
      </c>
      <c r="BO30" s="157">
        <f t="shared" si="25"/>
        <v>704.54700000000003</v>
      </c>
      <c r="BP30" s="157">
        <f t="shared" si="25"/>
        <v>704.54700000000003</v>
      </c>
      <c r="BQ30" s="157">
        <f t="shared" si="25"/>
        <v>704.54700000000003</v>
      </c>
      <c r="BR30" s="157">
        <f t="shared" si="25"/>
        <v>704.54700000000003</v>
      </c>
      <c r="BS30" s="157">
        <f t="shared" si="25"/>
        <v>704.54700000000003</v>
      </c>
      <c r="BT30" s="157">
        <f t="shared" si="25"/>
        <v>704.54700000000003</v>
      </c>
      <c r="BU30" s="157">
        <f t="shared" si="25"/>
        <v>704.54700000000003</v>
      </c>
      <c r="BV30" s="157">
        <f t="shared" si="25"/>
        <v>704.54700000000003</v>
      </c>
    </row>
    <row r="31" spans="1:74" x14ac:dyDescent="0.25">
      <c r="A31" s="155" t="s">
        <v>235</v>
      </c>
      <c r="B31" s="156" t="s">
        <v>34</v>
      </c>
      <c r="C31" s="150" t="s">
        <v>231</v>
      </c>
      <c r="D31" s="165">
        <v>1</v>
      </c>
      <c r="E31" s="165">
        <v>1</v>
      </c>
      <c r="F31" s="165">
        <v>1</v>
      </c>
      <c r="G31" s="165">
        <v>1</v>
      </c>
      <c r="H31" s="165">
        <v>1</v>
      </c>
      <c r="I31" s="165">
        <v>1</v>
      </c>
      <c r="J31" s="165">
        <v>1</v>
      </c>
      <c r="K31" s="165">
        <v>1</v>
      </c>
      <c r="L31" s="165">
        <v>1</v>
      </c>
      <c r="M31" s="165">
        <v>1</v>
      </c>
      <c r="N31" s="165">
        <v>1</v>
      </c>
      <c r="O31" s="165">
        <v>1</v>
      </c>
      <c r="P31" s="165">
        <v>1</v>
      </c>
      <c r="Q31" s="165">
        <v>1</v>
      </c>
      <c r="R31" s="165">
        <v>1</v>
      </c>
      <c r="S31" s="165">
        <v>1</v>
      </c>
      <c r="T31" s="165">
        <v>1</v>
      </c>
      <c r="U31" s="165">
        <v>1</v>
      </c>
      <c r="V31" s="165">
        <v>1</v>
      </c>
      <c r="W31" s="165">
        <v>1</v>
      </c>
      <c r="X31" s="165">
        <v>1</v>
      </c>
      <c r="Y31" s="165">
        <v>1</v>
      </c>
      <c r="Z31" s="165">
        <v>1</v>
      </c>
      <c r="AA31" s="165">
        <v>1</v>
      </c>
      <c r="AB31" s="165">
        <v>1</v>
      </c>
      <c r="AC31" s="165">
        <v>1</v>
      </c>
      <c r="AD31" s="165">
        <v>1</v>
      </c>
      <c r="AE31" s="165">
        <v>1</v>
      </c>
      <c r="AF31" s="165">
        <v>1</v>
      </c>
      <c r="AG31" s="165">
        <v>1</v>
      </c>
      <c r="AH31" s="165">
        <v>1</v>
      </c>
      <c r="AI31" s="165">
        <v>1</v>
      </c>
      <c r="AJ31" s="165">
        <v>1</v>
      </c>
      <c r="AK31" s="165">
        <v>1</v>
      </c>
      <c r="AL31" s="165">
        <v>1</v>
      </c>
      <c r="AM31" s="165">
        <v>1</v>
      </c>
      <c r="AN31" s="165">
        <v>1</v>
      </c>
      <c r="AO31" s="165">
        <v>1</v>
      </c>
      <c r="AP31" s="165">
        <v>1</v>
      </c>
      <c r="AQ31" s="165">
        <v>1</v>
      </c>
      <c r="AR31" s="165">
        <v>1</v>
      </c>
      <c r="AS31" s="157">
        <f t="shared" ref="AS31:BV31" si="26">AR31</f>
        <v>1</v>
      </c>
      <c r="AT31" s="157">
        <f t="shared" si="26"/>
        <v>1</v>
      </c>
      <c r="AU31" s="157">
        <f t="shared" si="26"/>
        <v>1</v>
      </c>
      <c r="AV31" s="157">
        <f t="shared" si="26"/>
        <v>1</v>
      </c>
      <c r="AW31" s="157">
        <f t="shared" si="26"/>
        <v>1</v>
      </c>
      <c r="AX31" s="157">
        <f t="shared" si="26"/>
        <v>1</v>
      </c>
      <c r="AY31" s="157">
        <f t="shared" si="26"/>
        <v>1</v>
      </c>
      <c r="AZ31" s="157">
        <f t="shared" si="26"/>
        <v>1</v>
      </c>
      <c r="BA31" s="157">
        <f t="shared" si="26"/>
        <v>1</v>
      </c>
      <c r="BB31" s="157">
        <f t="shared" si="26"/>
        <v>1</v>
      </c>
      <c r="BC31" s="157">
        <f t="shared" si="26"/>
        <v>1</v>
      </c>
      <c r="BD31" s="157">
        <f t="shared" si="26"/>
        <v>1</v>
      </c>
      <c r="BE31" s="157">
        <f t="shared" si="26"/>
        <v>1</v>
      </c>
      <c r="BF31" s="157">
        <f t="shared" si="26"/>
        <v>1</v>
      </c>
      <c r="BG31" s="157">
        <f t="shared" si="26"/>
        <v>1</v>
      </c>
      <c r="BH31" s="157">
        <f t="shared" si="26"/>
        <v>1</v>
      </c>
      <c r="BI31" s="157">
        <f t="shared" si="26"/>
        <v>1</v>
      </c>
      <c r="BJ31" s="157">
        <f t="shared" si="26"/>
        <v>1</v>
      </c>
      <c r="BK31" s="157">
        <f t="shared" si="26"/>
        <v>1</v>
      </c>
      <c r="BL31" s="157">
        <f t="shared" si="26"/>
        <v>1</v>
      </c>
      <c r="BM31" s="157">
        <f t="shared" si="26"/>
        <v>1</v>
      </c>
      <c r="BN31" s="157">
        <f t="shared" si="26"/>
        <v>1</v>
      </c>
      <c r="BO31" s="157">
        <f t="shared" si="26"/>
        <v>1</v>
      </c>
      <c r="BP31" s="157">
        <f t="shared" si="26"/>
        <v>1</v>
      </c>
      <c r="BQ31" s="157">
        <f t="shared" si="26"/>
        <v>1</v>
      </c>
      <c r="BR31" s="157">
        <f t="shared" si="26"/>
        <v>1</v>
      </c>
      <c r="BS31" s="157">
        <f t="shared" si="26"/>
        <v>1</v>
      </c>
      <c r="BT31" s="157">
        <f t="shared" si="26"/>
        <v>1</v>
      </c>
      <c r="BU31" s="157">
        <f t="shared" si="26"/>
        <v>1</v>
      </c>
      <c r="BV31" s="157">
        <f t="shared" si="26"/>
        <v>1</v>
      </c>
    </row>
    <row r="32" spans="1:74" x14ac:dyDescent="0.25">
      <c r="A32" s="155" t="s">
        <v>15</v>
      </c>
      <c r="B32" s="159" t="s">
        <v>213</v>
      </c>
      <c r="C32" s="150" t="s">
        <v>329</v>
      </c>
      <c r="D32" s="158">
        <v>18</v>
      </c>
      <c r="E32" s="157">
        <v>18</v>
      </c>
      <c r="F32" s="157">
        <v>18</v>
      </c>
      <c r="G32" s="157">
        <v>18</v>
      </c>
      <c r="H32" s="157">
        <v>18</v>
      </c>
      <c r="I32" s="158">
        <v>18</v>
      </c>
      <c r="J32" s="158">
        <v>18</v>
      </c>
      <c r="K32" s="158">
        <v>18</v>
      </c>
      <c r="L32" s="158">
        <v>18</v>
      </c>
      <c r="M32" s="158">
        <v>18</v>
      </c>
      <c r="N32" s="158">
        <v>18</v>
      </c>
      <c r="O32" s="158">
        <v>18</v>
      </c>
      <c r="P32" s="158">
        <v>18</v>
      </c>
      <c r="Q32" s="158">
        <v>18</v>
      </c>
      <c r="R32" s="158">
        <v>18</v>
      </c>
      <c r="S32" s="158">
        <v>18.000000170755115</v>
      </c>
      <c r="T32" s="158">
        <v>18.000000343487216</v>
      </c>
      <c r="U32" s="158">
        <v>17.999999715692439</v>
      </c>
      <c r="V32" s="158">
        <v>17.999999523496939</v>
      </c>
      <c r="W32" s="158">
        <v>17.999999577905282</v>
      </c>
      <c r="X32" s="158">
        <v>17.999999701146166</v>
      </c>
      <c r="Y32" s="158">
        <v>17.999999899867035</v>
      </c>
      <c r="Z32" s="158">
        <v>18.000000620051409</v>
      </c>
      <c r="AA32" s="158">
        <v>18.000000410619947</v>
      </c>
      <c r="AB32" s="158">
        <v>17.999999697412118</v>
      </c>
      <c r="AC32" s="158">
        <v>17.999999903322561</v>
      </c>
      <c r="AD32" s="158">
        <v>17.999999468259052</v>
      </c>
      <c r="AE32" s="158">
        <v>18</v>
      </c>
      <c r="AF32" s="158">
        <v>18</v>
      </c>
      <c r="AG32" s="158">
        <v>18</v>
      </c>
      <c r="AH32" s="158">
        <v>18</v>
      </c>
      <c r="AI32" s="158">
        <v>18</v>
      </c>
      <c r="AJ32" s="158">
        <v>18</v>
      </c>
      <c r="AK32" s="158">
        <v>18</v>
      </c>
      <c r="AL32" s="158">
        <v>18</v>
      </c>
      <c r="AM32" s="158">
        <v>18</v>
      </c>
      <c r="AN32" s="158">
        <v>18</v>
      </c>
      <c r="AO32" s="158">
        <v>18</v>
      </c>
      <c r="AP32" s="158">
        <v>18</v>
      </c>
      <c r="AQ32" s="158">
        <v>18</v>
      </c>
      <c r="AR32" s="158">
        <v>18</v>
      </c>
      <c r="AS32" s="157">
        <f t="shared" ref="AS32:BV32" si="27">AR32</f>
        <v>18</v>
      </c>
      <c r="AT32" s="157">
        <f t="shared" si="27"/>
        <v>18</v>
      </c>
      <c r="AU32" s="157">
        <f t="shared" si="27"/>
        <v>18</v>
      </c>
      <c r="AV32" s="157">
        <f t="shared" si="27"/>
        <v>18</v>
      </c>
      <c r="AW32" s="157">
        <f t="shared" si="27"/>
        <v>18</v>
      </c>
      <c r="AX32" s="157">
        <f t="shared" si="27"/>
        <v>18</v>
      </c>
      <c r="AY32" s="157">
        <f t="shared" si="27"/>
        <v>18</v>
      </c>
      <c r="AZ32" s="157">
        <f t="shared" si="27"/>
        <v>18</v>
      </c>
      <c r="BA32" s="157">
        <f t="shared" si="27"/>
        <v>18</v>
      </c>
      <c r="BB32" s="157">
        <f t="shared" si="27"/>
        <v>18</v>
      </c>
      <c r="BC32" s="157">
        <f t="shared" si="27"/>
        <v>18</v>
      </c>
      <c r="BD32" s="157">
        <f t="shared" si="27"/>
        <v>18</v>
      </c>
      <c r="BE32" s="157">
        <f t="shared" si="27"/>
        <v>18</v>
      </c>
      <c r="BF32" s="157">
        <f t="shared" si="27"/>
        <v>18</v>
      </c>
      <c r="BG32" s="157">
        <f t="shared" si="27"/>
        <v>18</v>
      </c>
      <c r="BH32" s="157">
        <f t="shared" si="27"/>
        <v>18</v>
      </c>
      <c r="BI32" s="157">
        <f t="shared" si="27"/>
        <v>18</v>
      </c>
      <c r="BJ32" s="157">
        <f t="shared" si="27"/>
        <v>18</v>
      </c>
      <c r="BK32" s="157">
        <f t="shared" si="27"/>
        <v>18</v>
      </c>
      <c r="BL32" s="157">
        <f t="shared" si="27"/>
        <v>18</v>
      </c>
      <c r="BM32" s="157">
        <f t="shared" si="27"/>
        <v>18</v>
      </c>
      <c r="BN32" s="157">
        <f t="shared" si="27"/>
        <v>18</v>
      </c>
      <c r="BO32" s="157">
        <f t="shared" si="27"/>
        <v>18</v>
      </c>
      <c r="BP32" s="157">
        <f t="shared" si="27"/>
        <v>18</v>
      </c>
      <c r="BQ32" s="157">
        <f t="shared" si="27"/>
        <v>18</v>
      </c>
      <c r="BR32" s="157">
        <f t="shared" si="27"/>
        <v>18</v>
      </c>
      <c r="BS32" s="157">
        <f t="shared" si="27"/>
        <v>18</v>
      </c>
      <c r="BT32" s="157">
        <f t="shared" si="27"/>
        <v>18</v>
      </c>
      <c r="BU32" s="157">
        <f t="shared" si="27"/>
        <v>18</v>
      </c>
      <c r="BV32" s="157">
        <f t="shared" si="27"/>
        <v>18</v>
      </c>
    </row>
    <row r="33" spans="1:74" x14ac:dyDescent="0.25">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row>
    <row r="34" spans="1:74"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row>
    <row r="35" spans="1:74" s="169" customFormat="1" x14ac:dyDescent="0.25">
      <c r="A35" s="167" t="s">
        <v>236</v>
      </c>
      <c r="B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row>
    <row r="36" spans="1:74" s="169" customFormat="1" x14ac:dyDescent="0.25">
      <c r="A36" s="167" t="s">
        <v>237</v>
      </c>
      <c r="B36" s="167" t="s">
        <v>205</v>
      </c>
      <c r="I36" s="167"/>
      <c r="J36" s="168"/>
      <c r="K36" s="168"/>
      <c r="L36" s="168"/>
      <c r="M36" s="168"/>
      <c r="N36" s="168"/>
      <c r="O36" s="168"/>
      <c r="P36" s="168"/>
      <c r="Q36" s="168"/>
      <c r="R36" s="168"/>
      <c r="S36" s="168"/>
      <c r="T36" s="168"/>
      <c r="U36" s="168"/>
      <c r="V36" s="168"/>
      <c r="W36" s="168"/>
      <c r="X36" s="168"/>
      <c r="Y36" s="168"/>
      <c r="Z36" s="168"/>
      <c r="AA36" s="168"/>
      <c r="AB36" s="168"/>
      <c r="AC36" s="168"/>
      <c r="AD36" s="168"/>
      <c r="AE36" s="168"/>
      <c r="AF36" s="168"/>
      <c r="AG36" s="168"/>
      <c r="AH36" s="168"/>
      <c r="AI36" s="168"/>
      <c r="AJ36" s="168"/>
      <c r="AK36" s="168"/>
      <c r="AL36" s="168"/>
      <c r="AM36" s="168"/>
      <c r="AN36" s="168"/>
      <c r="AO36" s="168"/>
      <c r="AP36" s="168"/>
      <c r="AQ36" s="168"/>
      <c r="AR36" s="168"/>
      <c r="AS36" s="168"/>
    </row>
    <row r="37" spans="1:74" s="150" customFormat="1" x14ac:dyDescent="0.25">
      <c r="A37" s="149" t="s">
        <v>215</v>
      </c>
      <c r="B37" s="159" t="s">
        <v>213</v>
      </c>
      <c r="C37" s="170" t="s">
        <v>216</v>
      </c>
      <c r="D37" s="164">
        <v>37.548459126867918</v>
      </c>
      <c r="E37" s="164">
        <v>38.15924564863866</v>
      </c>
      <c r="F37" s="164">
        <v>38.770032170409401</v>
      </c>
      <c r="G37" s="164">
        <v>39.380818692180142</v>
      </c>
      <c r="H37" s="164">
        <v>39.991605213950884</v>
      </c>
      <c r="I37" s="164">
        <v>40.602391735721639</v>
      </c>
      <c r="J37" s="164">
        <v>37.029910660331147</v>
      </c>
      <c r="K37" s="164">
        <v>37.38766859613127</v>
      </c>
      <c r="L37" s="164">
        <v>37.37679069516026</v>
      </c>
      <c r="M37" s="164">
        <v>37.456129728700496</v>
      </c>
      <c r="N37" s="164">
        <v>37.521028550239578</v>
      </c>
      <c r="O37" s="164">
        <v>37.582594899639922</v>
      </c>
      <c r="P37" s="164">
        <v>38.798506075302711</v>
      </c>
      <c r="Q37" s="164">
        <v>39.397491754128453</v>
      </c>
      <c r="R37" s="164">
        <v>37.299412424821639</v>
      </c>
      <c r="S37" s="164">
        <v>37.209539636689939</v>
      </c>
      <c r="T37" s="164">
        <v>37.266184003960042</v>
      </c>
      <c r="U37" s="164">
        <v>37.291218367707614</v>
      </c>
      <c r="V37" s="164">
        <v>37.386921987850592</v>
      </c>
      <c r="W37" s="164">
        <v>37.201591978278302</v>
      </c>
      <c r="X37" s="164">
        <v>37.339369330317673</v>
      </c>
      <c r="Y37" s="164">
        <v>37.324339044057353</v>
      </c>
      <c r="Z37" s="164">
        <v>37.416356456695944</v>
      </c>
      <c r="AA37" s="164">
        <v>37.573913014679924</v>
      </c>
      <c r="AB37" s="164">
        <v>37.80865399807309</v>
      </c>
      <c r="AC37" s="164">
        <v>37.15640480000738</v>
      </c>
      <c r="AD37" s="164">
        <v>37.395835319444295</v>
      </c>
      <c r="AE37" s="164">
        <v>37.324149820444227</v>
      </c>
      <c r="AF37" s="164">
        <v>37.324149820444227</v>
      </c>
      <c r="AG37" s="164">
        <v>37.324149820444227</v>
      </c>
      <c r="AH37" s="164">
        <v>37.324149820444227</v>
      </c>
      <c r="AI37" s="164">
        <v>37.324149820444227</v>
      </c>
      <c r="AJ37" s="164">
        <v>37.324149820444227</v>
      </c>
      <c r="AK37" s="164">
        <v>37.324149820444227</v>
      </c>
      <c r="AL37" s="164">
        <v>37.324149820444227</v>
      </c>
      <c r="AM37" s="164">
        <v>37.324149820444227</v>
      </c>
      <c r="AN37" s="164">
        <v>37.324149820444227</v>
      </c>
      <c r="AO37" s="164">
        <v>37.324149820444227</v>
      </c>
      <c r="AP37" s="164">
        <v>37.324149820444227</v>
      </c>
      <c r="AQ37" s="164">
        <v>37.324149820444227</v>
      </c>
      <c r="AR37" s="164">
        <v>37.324149820444227</v>
      </c>
      <c r="AS37" s="157">
        <f t="shared" ref="AS37:BV37" si="28">AR37</f>
        <v>37.324149820444227</v>
      </c>
      <c r="AT37" s="157">
        <f t="shared" si="28"/>
        <v>37.324149820444227</v>
      </c>
      <c r="AU37" s="157">
        <f t="shared" si="28"/>
        <v>37.324149820444227</v>
      </c>
      <c r="AV37" s="157">
        <f t="shared" si="28"/>
        <v>37.324149820444227</v>
      </c>
      <c r="AW37" s="157">
        <f t="shared" si="28"/>
        <v>37.324149820444227</v>
      </c>
      <c r="AX37" s="157">
        <f t="shared" si="28"/>
        <v>37.324149820444227</v>
      </c>
      <c r="AY37" s="157">
        <f t="shared" si="28"/>
        <v>37.324149820444227</v>
      </c>
      <c r="AZ37" s="157">
        <f t="shared" si="28"/>
        <v>37.324149820444227</v>
      </c>
      <c r="BA37" s="157">
        <f t="shared" si="28"/>
        <v>37.324149820444227</v>
      </c>
      <c r="BB37" s="157">
        <f t="shared" si="28"/>
        <v>37.324149820444227</v>
      </c>
      <c r="BC37" s="157">
        <f t="shared" si="28"/>
        <v>37.324149820444227</v>
      </c>
      <c r="BD37" s="157">
        <f t="shared" si="28"/>
        <v>37.324149820444227</v>
      </c>
      <c r="BE37" s="157">
        <f t="shared" si="28"/>
        <v>37.324149820444227</v>
      </c>
      <c r="BF37" s="157">
        <f t="shared" si="28"/>
        <v>37.324149820444227</v>
      </c>
      <c r="BG37" s="157">
        <f t="shared" si="28"/>
        <v>37.324149820444227</v>
      </c>
      <c r="BH37" s="157">
        <f t="shared" si="28"/>
        <v>37.324149820444227</v>
      </c>
      <c r="BI37" s="157">
        <f t="shared" si="28"/>
        <v>37.324149820444227</v>
      </c>
      <c r="BJ37" s="157">
        <f t="shared" si="28"/>
        <v>37.324149820444227</v>
      </c>
      <c r="BK37" s="157">
        <f t="shared" si="28"/>
        <v>37.324149820444227</v>
      </c>
      <c r="BL37" s="157">
        <f t="shared" si="28"/>
        <v>37.324149820444227</v>
      </c>
      <c r="BM37" s="157">
        <f t="shared" si="28"/>
        <v>37.324149820444227</v>
      </c>
      <c r="BN37" s="157">
        <f t="shared" si="28"/>
        <v>37.324149820444227</v>
      </c>
      <c r="BO37" s="157">
        <f t="shared" si="28"/>
        <v>37.324149820444227</v>
      </c>
      <c r="BP37" s="157">
        <f t="shared" si="28"/>
        <v>37.324149820444227</v>
      </c>
      <c r="BQ37" s="157">
        <f t="shared" si="28"/>
        <v>37.324149820444227</v>
      </c>
      <c r="BR37" s="157">
        <f t="shared" si="28"/>
        <v>37.324149820444227</v>
      </c>
      <c r="BS37" s="157">
        <f t="shared" si="28"/>
        <v>37.324149820444227</v>
      </c>
      <c r="BT37" s="157">
        <f t="shared" si="28"/>
        <v>37.324149820444227</v>
      </c>
      <c r="BU37" s="157">
        <f t="shared" si="28"/>
        <v>37.324149820444227</v>
      </c>
      <c r="BV37" s="157">
        <f t="shared" si="28"/>
        <v>37.324149820444227</v>
      </c>
    </row>
    <row r="38" spans="1:74" s="150" customFormat="1" x14ac:dyDescent="0.25">
      <c r="A38" s="149" t="s">
        <v>216</v>
      </c>
      <c r="B38" s="159" t="s">
        <v>213</v>
      </c>
      <c r="C38" s="171" t="s">
        <v>236</v>
      </c>
      <c r="D38" s="172">
        <v>37.548459126867918</v>
      </c>
      <c r="E38" s="173">
        <v>38.15924564863866</v>
      </c>
      <c r="F38" s="173">
        <v>38.770032170409401</v>
      </c>
      <c r="G38" s="173">
        <v>39.380818692180142</v>
      </c>
      <c r="H38" s="173">
        <v>39.991605213950884</v>
      </c>
      <c r="I38" s="172">
        <v>40.602391735721639</v>
      </c>
      <c r="J38" s="172">
        <v>37.029910660331147</v>
      </c>
      <c r="K38" s="172">
        <v>37.38766859613127</v>
      </c>
      <c r="L38" s="172">
        <v>37.37679069516026</v>
      </c>
      <c r="M38" s="172">
        <v>37.456129728700496</v>
      </c>
      <c r="N38" s="172">
        <v>37.521028550239578</v>
      </c>
      <c r="O38" s="172">
        <v>37.582594899639922</v>
      </c>
      <c r="P38" s="172">
        <v>38.798506075302711</v>
      </c>
      <c r="Q38" s="172">
        <v>39.397491754128453</v>
      </c>
      <c r="R38" s="172">
        <v>37.299412424821639</v>
      </c>
      <c r="S38" s="172">
        <v>37.209539636689939</v>
      </c>
      <c r="T38" s="172">
        <v>37.266184003960042</v>
      </c>
      <c r="U38" s="172">
        <v>37.291218367707614</v>
      </c>
      <c r="V38" s="172">
        <v>37.386921987850592</v>
      </c>
      <c r="W38" s="172">
        <v>37.201591978278302</v>
      </c>
      <c r="X38" s="172">
        <v>37.339369330317673</v>
      </c>
      <c r="Y38" s="172">
        <v>37.324339044057353</v>
      </c>
      <c r="Z38" s="172">
        <v>37.416356456695944</v>
      </c>
      <c r="AA38" s="172">
        <v>37.573913014679924</v>
      </c>
      <c r="AB38" s="172">
        <v>37.80865399807309</v>
      </c>
      <c r="AC38" s="172">
        <v>37.15640480000738</v>
      </c>
      <c r="AD38" s="172">
        <v>37.395835319444295</v>
      </c>
      <c r="AE38" s="172">
        <v>37.324149820444227</v>
      </c>
      <c r="AF38" s="173">
        <v>37.324149820444227</v>
      </c>
      <c r="AG38" s="173">
        <v>37.324149820444227</v>
      </c>
      <c r="AH38" s="173">
        <v>37.324149820444227</v>
      </c>
      <c r="AI38" s="173">
        <v>37.324149820444227</v>
      </c>
      <c r="AJ38" s="173">
        <v>37.324149820444227</v>
      </c>
      <c r="AK38" s="173">
        <v>37.324149820444227</v>
      </c>
      <c r="AL38" s="173">
        <v>37.324149820444227</v>
      </c>
      <c r="AM38" s="173">
        <v>37.324149820444227</v>
      </c>
      <c r="AN38" s="173">
        <v>37.324149820444227</v>
      </c>
      <c r="AO38" s="173">
        <v>37.324149820444227</v>
      </c>
      <c r="AP38" s="173">
        <v>37.324149820444227</v>
      </c>
      <c r="AQ38" s="173">
        <v>37.324149820444227</v>
      </c>
      <c r="AR38" s="173">
        <v>37.324149820444227</v>
      </c>
      <c r="AS38" s="157">
        <f t="shared" ref="AS38:BV38" si="29">AR38</f>
        <v>37.324149820444227</v>
      </c>
      <c r="AT38" s="157">
        <f t="shared" si="29"/>
        <v>37.324149820444227</v>
      </c>
      <c r="AU38" s="157">
        <f t="shared" si="29"/>
        <v>37.324149820444227</v>
      </c>
      <c r="AV38" s="157">
        <f t="shared" si="29"/>
        <v>37.324149820444227</v>
      </c>
      <c r="AW38" s="157">
        <f t="shared" si="29"/>
        <v>37.324149820444227</v>
      </c>
      <c r="AX38" s="157">
        <f t="shared" si="29"/>
        <v>37.324149820444227</v>
      </c>
      <c r="AY38" s="157">
        <f t="shared" si="29"/>
        <v>37.324149820444227</v>
      </c>
      <c r="AZ38" s="157">
        <f t="shared" si="29"/>
        <v>37.324149820444227</v>
      </c>
      <c r="BA38" s="157">
        <f t="shared" si="29"/>
        <v>37.324149820444227</v>
      </c>
      <c r="BB38" s="157">
        <f t="shared" si="29"/>
        <v>37.324149820444227</v>
      </c>
      <c r="BC38" s="157">
        <f t="shared" si="29"/>
        <v>37.324149820444227</v>
      </c>
      <c r="BD38" s="157">
        <f t="shared" si="29"/>
        <v>37.324149820444227</v>
      </c>
      <c r="BE38" s="157">
        <f t="shared" si="29"/>
        <v>37.324149820444227</v>
      </c>
      <c r="BF38" s="157">
        <f t="shared" si="29"/>
        <v>37.324149820444227</v>
      </c>
      <c r="BG38" s="157">
        <f t="shared" si="29"/>
        <v>37.324149820444227</v>
      </c>
      <c r="BH38" s="157">
        <f t="shared" si="29"/>
        <v>37.324149820444227</v>
      </c>
      <c r="BI38" s="157">
        <f t="shared" si="29"/>
        <v>37.324149820444227</v>
      </c>
      <c r="BJ38" s="157">
        <f t="shared" si="29"/>
        <v>37.324149820444227</v>
      </c>
      <c r="BK38" s="157">
        <f t="shared" si="29"/>
        <v>37.324149820444227</v>
      </c>
      <c r="BL38" s="157">
        <f t="shared" si="29"/>
        <v>37.324149820444227</v>
      </c>
      <c r="BM38" s="157">
        <f t="shared" si="29"/>
        <v>37.324149820444227</v>
      </c>
      <c r="BN38" s="157">
        <f t="shared" si="29"/>
        <v>37.324149820444227</v>
      </c>
      <c r="BO38" s="157">
        <f t="shared" si="29"/>
        <v>37.324149820444227</v>
      </c>
      <c r="BP38" s="157">
        <f t="shared" si="29"/>
        <v>37.324149820444227</v>
      </c>
      <c r="BQ38" s="157">
        <f t="shared" si="29"/>
        <v>37.324149820444227</v>
      </c>
      <c r="BR38" s="157">
        <f t="shared" si="29"/>
        <v>37.324149820444227</v>
      </c>
      <c r="BS38" s="157">
        <f t="shared" si="29"/>
        <v>37.324149820444227</v>
      </c>
      <c r="BT38" s="157">
        <f t="shared" si="29"/>
        <v>37.324149820444227</v>
      </c>
      <c r="BU38" s="157">
        <f t="shared" si="29"/>
        <v>37.324149820444227</v>
      </c>
      <c r="BV38" s="157">
        <f t="shared" si="29"/>
        <v>37.324149820444227</v>
      </c>
    </row>
    <row r="39" spans="1:74" s="150" customFormat="1" x14ac:dyDescent="0.25">
      <c r="A39" s="155" t="s">
        <v>221</v>
      </c>
      <c r="B39" s="156" t="s">
        <v>218</v>
      </c>
      <c r="C39" s="170" t="s">
        <v>222</v>
      </c>
      <c r="D39" s="164">
        <v>32.589447058762673</v>
      </c>
      <c r="E39" s="164">
        <v>33.70275515231868</v>
      </c>
      <c r="F39" s="164">
        <v>34.816063245874687</v>
      </c>
      <c r="G39" s="164">
        <v>35.929371339430695</v>
      </c>
      <c r="H39" s="164">
        <v>37.042679432986702</v>
      </c>
      <c r="I39" s="164">
        <v>38.155987526542702</v>
      </c>
      <c r="J39" s="164">
        <v>33.48854468552527</v>
      </c>
      <c r="K39" s="164">
        <v>33.148318327600506</v>
      </c>
      <c r="L39" s="164">
        <v>31.989569950591768</v>
      </c>
      <c r="M39" s="164">
        <v>31.108077736033309</v>
      </c>
      <c r="N39" s="164">
        <v>32.770808725175982</v>
      </c>
      <c r="O39" s="164">
        <v>33.762792828754094</v>
      </c>
      <c r="P39" s="164">
        <v>33.934363635441926</v>
      </c>
      <c r="Q39" s="164">
        <v>33.322675517678768</v>
      </c>
      <c r="R39" s="164">
        <v>33.308965261834203</v>
      </c>
      <c r="S39" s="164">
        <v>33.093844874925267</v>
      </c>
      <c r="T39" s="164">
        <v>32.126437748720889</v>
      </c>
      <c r="U39" s="164">
        <v>32.242028298130897</v>
      </c>
      <c r="V39" s="164">
        <v>32.385380611120624</v>
      </c>
      <c r="W39" s="164">
        <v>31.776001748104314</v>
      </c>
      <c r="X39" s="164">
        <v>32.169706683735349</v>
      </c>
      <c r="Y39" s="164">
        <v>32.307085263746742</v>
      </c>
      <c r="Z39" s="164">
        <v>32.86211185519808</v>
      </c>
      <c r="AA39" s="164">
        <v>30.543868285588864</v>
      </c>
      <c r="AB39" s="164">
        <v>31.157377080508969</v>
      </c>
      <c r="AC39" s="164">
        <v>31.024575235117581</v>
      </c>
      <c r="AD39" s="164">
        <v>32.471028639602189</v>
      </c>
      <c r="AE39" s="164">
        <v>31.676321172636296</v>
      </c>
      <c r="AF39" s="164">
        <v>31.676321172636296</v>
      </c>
      <c r="AG39" s="164">
        <v>31.676321172636296</v>
      </c>
      <c r="AH39" s="164">
        <v>31.676321172636296</v>
      </c>
      <c r="AI39" s="164">
        <v>31.676321172636296</v>
      </c>
      <c r="AJ39" s="164">
        <v>31.676321172636296</v>
      </c>
      <c r="AK39" s="164">
        <v>31.676321172636296</v>
      </c>
      <c r="AL39" s="164">
        <v>31.676321172636296</v>
      </c>
      <c r="AM39" s="164">
        <v>31.676321172636296</v>
      </c>
      <c r="AN39" s="164">
        <v>31.676321172636296</v>
      </c>
      <c r="AO39" s="164">
        <v>31.676321172636296</v>
      </c>
      <c r="AP39" s="164">
        <v>31.676321172636296</v>
      </c>
      <c r="AQ39" s="164">
        <v>31.676321172636296</v>
      </c>
      <c r="AR39" s="164">
        <v>31.676321172636296</v>
      </c>
      <c r="AS39" s="157">
        <f t="shared" ref="AS39:BV39" si="30">AR39</f>
        <v>31.676321172636296</v>
      </c>
      <c r="AT39" s="157">
        <f t="shared" si="30"/>
        <v>31.676321172636296</v>
      </c>
      <c r="AU39" s="157">
        <f t="shared" si="30"/>
        <v>31.676321172636296</v>
      </c>
      <c r="AV39" s="157">
        <f t="shared" si="30"/>
        <v>31.676321172636296</v>
      </c>
      <c r="AW39" s="157">
        <f t="shared" si="30"/>
        <v>31.676321172636296</v>
      </c>
      <c r="AX39" s="157">
        <f t="shared" si="30"/>
        <v>31.676321172636296</v>
      </c>
      <c r="AY39" s="157">
        <f t="shared" si="30"/>
        <v>31.676321172636296</v>
      </c>
      <c r="AZ39" s="157">
        <f t="shared" si="30"/>
        <v>31.676321172636296</v>
      </c>
      <c r="BA39" s="157">
        <f t="shared" si="30"/>
        <v>31.676321172636296</v>
      </c>
      <c r="BB39" s="157">
        <f t="shared" si="30"/>
        <v>31.676321172636296</v>
      </c>
      <c r="BC39" s="157">
        <f t="shared" si="30"/>
        <v>31.676321172636296</v>
      </c>
      <c r="BD39" s="157">
        <f t="shared" si="30"/>
        <v>31.676321172636296</v>
      </c>
      <c r="BE39" s="157">
        <f t="shared" si="30"/>
        <v>31.676321172636296</v>
      </c>
      <c r="BF39" s="157">
        <f t="shared" si="30"/>
        <v>31.676321172636296</v>
      </c>
      <c r="BG39" s="157">
        <f t="shared" si="30"/>
        <v>31.676321172636296</v>
      </c>
      <c r="BH39" s="157">
        <f t="shared" si="30"/>
        <v>31.676321172636296</v>
      </c>
      <c r="BI39" s="157">
        <f t="shared" si="30"/>
        <v>31.676321172636296</v>
      </c>
      <c r="BJ39" s="157">
        <f t="shared" si="30"/>
        <v>31.676321172636296</v>
      </c>
      <c r="BK39" s="157">
        <f t="shared" si="30"/>
        <v>31.676321172636296</v>
      </c>
      <c r="BL39" s="157">
        <f t="shared" si="30"/>
        <v>31.676321172636296</v>
      </c>
      <c r="BM39" s="157">
        <f t="shared" si="30"/>
        <v>31.676321172636296</v>
      </c>
      <c r="BN39" s="157">
        <f t="shared" si="30"/>
        <v>31.676321172636296</v>
      </c>
      <c r="BO39" s="157">
        <f t="shared" si="30"/>
        <v>31.676321172636296</v>
      </c>
      <c r="BP39" s="157">
        <f t="shared" si="30"/>
        <v>31.676321172636296</v>
      </c>
      <c r="BQ39" s="157">
        <f t="shared" si="30"/>
        <v>31.676321172636296</v>
      </c>
      <c r="BR39" s="157">
        <f t="shared" si="30"/>
        <v>31.676321172636296</v>
      </c>
      <c r="BS39" s="157">
        <f t="shared" si="30"/>
        <v>31.676321172636296</v>
      </c>
      <c r="BT39" s="157">
        <f t="shared" si="30"/>
        <v>31.676321172636296</v>
      </c>
      <c r="BU39" s="157">
        <f t="shared" si="30"/>
        <v>31.676321172636296</v>
      </c>
      <c r="BV39" s="157">
        <f t="shared" si="30"/>
        <v>31.676321172636296</v>
      </c>
    </row>
    <row r="40" spans="1:74" s="150" customFormat="1" x14ac:dyDescent="0.25">
      <c r="A40" s="149" t="s">
        <v>222</v>
      </c>
      <c r="B40" s="156" t="s">
        <v>218</v>
      </c>
      <c r="C40" s="171" t="s">
        <v>236</v>
      </c>
      <c r="D40" s="172">
        <v>32.589447058762673</v>
      </c>
      <c r="E40" s="173">
        <v>33.70275515231868</v>
      </c>
      <c r="F40" s="173">
        <v>34.816063245874687</v>
      </c>
      <c r="G40" s="173">
        <v>35.929371339430695</v>
      </c>
      <c r="H40" s="173">
        <v>37.042679432986702</v>
      </c>
      <c r="I40" s="172">
        <v>38.155987526542702</v>
      </c>
      <c r="J40" s="172">
        <v>33.48854468552527</v>
      </c>
      <c r="K40" s="172">
        <v>33.148318327600506</v>
      </c>
      <c r="L40" s="172">
        <v>31.989569950591768</v>
      </c>
      <c r="M40" s="172">
        <v>31.108077736033309</v>
      </c>
      <c r="N40" s="172">
        <v>32.770808725175982</v>
      </c>
      <c r="O40" s="172">
        <v>33.762792828754094</v>
      </c>
      <c r="P40" s="172">
        <v>33.934363635441926</v>
      </c>
      <c r="Q40" s="172">
        <v>33.322675517678768</v>
      </c>
      <c r="R40" s="172">
        <v>33.308965261834203</v>
      </c>
      <c r="S40" s="172">
        <v>33.093844874925267</v>
      </c>
      <c r="T40" s="172">
        <v>32.126437748720889</v>
      </c>
      <c r="U40" s="172">
        <v>32.242028298130897</v>
      </c>
      <c r="V40" s="172">
        <v>32.385380611120624</v>
      </c>
      <c r="W40" s="172">
        <v>31.776001748104314</v>
      </c>
      <c r="X40" s="172">
        <v>32.169706683735349</v>
      </c>
      <c r="Y40" s="172">
        <v>32.307085263746742</v>
      </c>
      <c r="Z40" s="172">
        <v>32.86211185519808</v>
      </c>
      <c r="AA40" s="172">
        <v>30.543868285588864</v>
      </c>
      <c r="AB40" s="172">
        <v>31.157377080508969</v>
      </c>
      <c r="AC40" s="172">
        <v>31.024575235117581</v>
      </c>
      <c r="AD40" s="172">
        <v>32.471028639602189</v>
      </c>
      <c r="AE40" s="172">
        <v>31.676321172636296</v>
      </c>
      <c r="AF40" s="173">
        <v>31.676321172636296</v>
      </c>
      <c r="AG40" s="173">
        <v>31.676321172636296</v>
      </c>
      <c r="AH40" s="173">
        <v>31.676321172636296</v>
      </c>
      <c r="AI40" s="173">
        <v>31.676321172636296</v>
      </c>
      <c r="AJ40" s="173">
        <v>31.676321172636296</v>
      </c>
      <c r="AK40" s="173">
        <v>31.676321172636296</v>
      </c>
      <c r="AL40" s="173">
        <v>31.676321172636296</v>
      </c>
      <c r="AM40" s="173">
        <v>31.676321172636296</v>
      </c>
      <c r="AN40" s="173">
        <v>31.676321172636296</v>
      </c>
      <c r="AO40" s="173">
        <v>31.676321172636296</v>
      </c>
      <c r="AP40" s="173">
        <v>31.676321172636296</v>
      </c>
      <c r="AQ40" s="173">
        <v>31.676321172636296</v>
      </c>
      <c r="AR40" s="173">
        <v>31.676321172636296</v>
      </c>
      <c r="AS40" s="157">
        <f t="shared" ref="AS40:BV40" si="31">AR40</f>
        <v>31.676321172636296</v>
      </c>
      <c r="AT40" s="157">
        <f t="shared" si="31"/>
        <v>31.676321172636296</v>
      </c>
      <c r="AU40" s="157">
        <f t="shared" si="31"/>
        <v>31.676321172636296</v>
      </c>
      <c r="AV40" s="157">
        <f t="shared" si="31"/>
        <v>31.676321172636296</v>
      </c>
      <c r="AW40" s="157">
        <f t="shared" si="31"/>
        <v>31.676321172636296</v>
      </c>
      <c r="AX40" s="157">
        <f t="shared" si="31"/>
        <v>31.676321172636296</v>
      </c>
      <c r="AY40" s="157">
        <f t="shared" si="31"/>
        <v>31.676321172636296</v>
      </c>
      <c r="AZ40" s="157">
        <f t="shared" si="31"/>
        <v>31.676321172636296</v>
      </c>
      <c r="BA40" s="157">
        <f t="shared" si="31"/>
        <v>31.676321172636296</v>
      </c>
      <c r="BB40" s="157">
        <f t="shared" si="31"/>
        <v>31.676321172636296</v>
      </c>
      <c r="BC40" s="157">
        <f t="shared" si="31"/>
        <v>31.676321172636296</v>
      </c>
      <c r="BD40" s="157">
        <f t="shared" si="31"/>
        <v>31.676321172636296</v>
      </c>
      <c r="BE40" s="157">
        <f t="shared" si="31"/>
        <v>31.676321172636296</v>
      </c>
      <c r="BF40" s="157">
        <f t="shared" si="31"/>
        <v>31.676321172636296</v>
      </c>
      <c r="BG40" s="157">
        <f t="shared" si="31"/>
        <v>31.676321172636296</v>
      </c>
      <c r="BH40" s="157">
        <f t="shared" si="31"/>
        <v>31.676321172636296</v>
      </c>
      <c r="BI40" s="157">
        <f t="shared" si="31"/>
        <v>31.676321172636296</v>
      </c>
      <c r="BJ40" s="157">
        <f t="shared" si="31"/>
        <v>31.676321172636296</v>
      </c>
      <c r="BK40" s="157">
        <f t="shared" si="31"/>
        <v>31.676321172636296</v>
      </c>
      <c r="BL40" s="157">
        <f t="shared" si="31"/>
        <v>31.676321172636296</v>
      </c>
      <c r="BM40" s="157">
        <f t="shared" si="31"/>
        <v>31.676321172636296</v>
      </c>
      <c r="BN40" s="157">
        <f t="shared" si="31"/>
        <v>31.676321172636296</v>
      </c>
      <c r="BO40" s="157">
        <f t="shared" si="31"/>
        <v>31.676321172636296</v>
      </c>
      <c r="BP40" s="157">
        <f t="shared" si="31"/>
        <v>31.676321172636296</v>
      </c>
      <c r="BQ40" s="157">
        <f t="shared" si="31"/>
        <v>31.676321172636296</v>
      </c>
      <c r="BR40" s="157">
        <f t="shared" si="31"/>
        <v>31.676321172636296</v>
      </c>
      <c r="BS40" s="157">
        <f t="shared" si="31"/>
        <v>31.676321172636296</v>
      </c>
      <c r="BT40" s="157">
        <f t="shared" si="31"/>
        <v>31.676321172636296</v>
      </c>
      <c r="BU40" s="157">
        <f t="shared" si="31"/>
        <v>31.676321172636296</v>
      </c>
      <c r="BV40" s="157">
        <f t="shared" si="31"/>
        <v>31.676321172636296</v>
      </c>
    </row>
    <row r="41" spans="1:74" s="150" customFormat="1" x14ac:dyDescent="0.25">
      <c r="A41" s="149" t="s">
        <v>14</v>
      </c>
      <c r="B41" s="156" t="s">
        <v>218</v>
      </c>
      <c r="C41" s="171" t="s">
        <v>236</v>
      </c>
      <c r="D41" s="172">
        <v>34.129065805663387</v>
      </c>
      <c r="E41" s="173">
        <v>35.278413023816718</v>
      </c>
      <c r="F41" s="173">
        <v>36.427760241970049</v>
      </c>
      <c r="G41" s="173">
        <v>37.577107460123379</v>
      </c>
      <c r="H41" s="173">
        <v>38.72645467827671</v>
      </c>
      <c r="I41" s="172">
        <v>39.875801896430033</v>
      </c>
      <c r="J41" s="172">
        <v>34.861445479182123</v>
      </c>
      <c r="K41" s="172">
        <v>34.395869943887611</v>
      </c>
      <c r="L41" s="172">
        <v>34.159573806108973</v>
      </c>
      <c r="M41" s="172">
        <v>33.782544772582717</v>
      </c>
      <c r="N41" s="172">
        <v>33.844446248930772</v>
      </c>
      <c r="O41" s="172">
        <v>34.197993282368529</v>
      </c>
      <c r="P41" s="172">
        <v>34.313374247778221</v>
      </c>
      <c r="Q41" s="172">
        <v>34.453982315191531</v>
      </c>
      <c r="R41" s="172">
        <v>34.365369316798123</v>
      </c>
      <c r="S41" s="172">
        <v>34.495964799658445</v>
      </c>
      <c r="T41" s="172">
        <v>34.597015548984245</v>
      </c>
      <c r="U41" s="172">
        <v>34.618103579232553</v>
      </c>
      <c r="V41" s="172">
        <v>34.537246967575449</v>
      </c>
      <c r="W41" s="172">
        <v>34.654533849119332</v>
      </c>
      <c r="X41" s="172">
        <v>34.586020679637429</v>
      </c>
      <c r="Y41" s="172">
        <v>34.713944209572055</v>
      </c>
      <c r="Z41" s="172">
        <v>34.85982125107126</v>
      </c>
      <c r="AA41" s="172">
        <v>34.717505109880037</v>
      </c>
      <c r="AB41" s="172">
        <v>35.134200231554537</v>
      </c>
      <c r="AC41" s="172">
        <v>34.927281482478378</v>
      </c>
      <c r="AD41" s="172">
        <v>34.977830835512705</v>
      </c>
      <c r="AE41" s="172">
        <v>34.759964294791452</v>
      </c>
      <c r="AF41" s="173">
        <v>34.759964294791452</v>
      </c>
      <c r="AG41" s="173">
        <v>34.759964294791452</v>
      </c>
      <c r="AH41" s="173">
        <v>34.759964294791452</v>
      </c>
      <c r="AI41" s="173">
        <v>34.759964294791452</v>
      </c>
      <c r="AJ41" s="173">
        <v>34.759964294791452</v>
      </c>
      <c r="AK41" s="173">
        <v>34.759964294791452</v>
      </c>
      <c r="AL41" s="173">
        <v>34.759964294791452</v>
      </c>
      <c r="AM41" s="173">
        <v>34.759964294791452</v>
      </c>
      <c r="AN41" s="173">
        <v>34.759964294791452</v>
      </c>
      <c r="AO41" s="173">
        <v>34.759964294791452</v>
      </c>
      <c r="AP41" s="173">
        <v>34.759964294791452</v>
      </c>
      <c r="AQ41" s="173">
        <v>34.759964294791452</v>
      </c>
      <c r="AR41" s="173">
        <v>34.759964294791452</v>
      </c>
      <c r="AS41" s="157">
        <f t="shared" ref="AS41:BV41" si="32">AR41</f>
        <v>34.759964294791452</v>
      </c>
      <c r="AT41" s="157">
        <f t="shared" si="32"/>
        <v>34.759964294791452</v>
      </c>
      <c r="AU41" s="157">
        <f t="shared" si="32"/>
        <v>34.759964294791452</v>
      </c>
      <c r="AV41" s="157">
        <f t="shared" si="32"/>
        <v>34.759964294791452</v>
      </c>
      <c r="AW41" s="157">
        <f t="shared" si="32"/>
        <v>34.759964294791452</v>
      </c>
      <c r="AX41" s="157">
        <f t="shared" si="32"/>
        <v>34.759964294791452</v>
      </c>
      <c r="AY41" s="157">
        <f t="shared" si="32"/>
        <v>34.759964294791452</v>
      </c>
      <c r="AZ41" s="157">
        <f t="shared" si="32"/>
        <v>34.759964294791452</v>
      </c>
      <c r="BA41" s="157">
        <f t="shared" si="32"/>
        <v>34.759964294791452</v>
      </c>
      <c r="BB41" s="157">
        <f t="shared" si="32"/>
        <v>34.759964294791452</v>
      </c>
      <c r="BC41" s="157">
        <f t="shared" si="32"/>
        <v>34.759964294791452</v>
      </c>
      <c r="BD41" s="157">
        <f t="shared" si="32"/>
        <v>34.759964294791452</v>
      </c>
      <c r="BE41" s="157">
        <f t="shared" si="32"/>
        <v>34.759964294791452</v>
      </c>
      <c r="BF41" s="157">
        <f t="shared" si="32"/>
        <v>34.759964294791452</v>
      </c>
      <c r="BG41" s="157">
        <f t="shared" si="32"/>
        <v>34.759964294791452</v>
      </c>
      <c r="BH41" s="157">
        <f t="shared" si="32"/>
        <v>34.759964294791452</v>
      </c>
      <c r="BI41" s="157">
        <f t="shared" si="32"/>
        <v>34.759964294791452</v>
      </c>
      <c r="BJ41" s="157">
        <f t="shared" si="32"/>
        <v>34.759964294791452</v>
      </c>
      <c r="BK41" s="157">
        <f t="shared" si="32"/>
        <v>34.759964294791452</v>
      </c>
      <c r="BL41" s="157">
        <f t="shared" si="32"/>
        <v>34.759964294791452</v>
      </c>
      <c r="BM41" s="157">
        <f t="shared" si="32"/>
        <v>34.759964294791452</v>
      </c>
      <c r="BN41" s="157">
        <f t="shared" si="32"/>
        <v>34.759964294791452</v>
      </c>
      <c r="BO41" s="157">
        <f t="shared" si="32"/>
        <v>34.759964294791452</v>
      </c>
      <c r="BP41" s="157">
        <f t="shared" si="32"/>
        <v>34.759964294791452</v>
      </c>
      <c r="BQ41" s="157">
        <f t="shared" si="32"/>
        <v>34.759964294791452</v>
      </c>
      <c r="BR41" s="157">
        <f t="shared" si="32"/>
        <v>34.759964294791452</v>
      </c>
      <c r="BS41" s="157">
        <f t="shared" si="32"/>
        <v>34.759964294791452</v>
      </c>
      <c r="BT41" s="157">
        <f t="shared" si="32"/>
        <v>34.759964294791452</v>
      </c>
      <c r="BU41" s="157">
        <f t="shared" si="32"/>
        <v>34.759964294791452</v>
      </c>
      <c r="BV41" s="157">
        <f t="shared" si="32"/>
        <v>34.759964294791452</v>
      </c>
    </row>
    <row r="42" spans="1:74" x14ac:dyDescent="0.25">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c r="AQ42" s="166"/>
      <c r="AR42" s="166"/>
      <c r="AS42" s="166"/>
    </row>
    <row r="43" spans="1:74" x14ac:dyDescent="0.25">
      <c r="A43" s="149"/>
      <c r="B43" s="150"/>
      <c r="C43" s="150"/>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row>
    <row r="44" spans="1:74" s="176" customFormat="1" x14ac:dyDescent="0.25">
      <c r="A44" s="174" t="s">
        <v>284</v>
      </c>
      <c r="B44" s="175"/>
      <c r="I44" s="175"/>
      <c r="J44" s="175"/>
      <c r="K44" s="175"/>
      <c r="L44" s="175"/>
      <c r="M44" s="175"/>
      <c r="N44" s="175"/>
      <c r="O44" s="175"/>
      <c r="P44" s="175"/>
      <c r="Q44" s="175"/>
      <c r="R44" s="175"/>
      <c r="S44" s="175"/>
      <c r="T44" s="175"/>
      <c r="U44" s="175"/>
      <c r="V44" s="175"/>
      <c r="W44" s="175"/>
      <c r="X44" s="175"/>
      <c r="Y44" s="175"/>
      <c r="Z44" s="175"/>
      <c r="AA44" s="175"/>
      <c r="AB44" s="175"/>
      <c r="AC44" s="175"/>
      <c r="AD44" s="175"/>
      <c r="AE44" s="175"/>
      <c r="AF44" s="175"/>
      <c r="AG44" s="175"/>
      <c r="AH44" s="175"/>
      <c r="AI44" s="175"/>
      <c r="AJ44" s="175"/>
      <c r="AK44" s="175"/>
      <c r="AL44" s="175"/>
      <c r="AM44" s="175"/>
      <c r="AN44" s="175"/>
      <c r="AO44" s="175"/>
      <c r="AP44" s="175"/>
      <c r="AQ44" s="175"/>
      <c r="AR44" s="175"/>
      <c r="AS44" s="175"/>
    </row>
    <row r="45" spans="1:74" s="176" customFormat="1" x14ac:dyDescent="0.25">
      <c r="A45" s="174"/>
      <c r="B45" s="174" t="s">
        <v>285</v>
      </c>
      <c r="I45" s="175"/>
      <c r="J45" s="175"/>
      <c r="K45" s="175"/>
      <c r="L45" s="175"/>
      <c r="M45" s="175"/>
      <c r="N45" s="175"/>
      <c r="O45" s="175"/>
      <c r="P45" s="175"/>
      <c r="Q45" s="175"/>
      <c r="R45" s="175"/>
      <c r="S45" s="175"/>
      <c r="T45" s="175"/>
      <c r="U45" s="175"/>
      <c r="V45" s="175"/>
      <c r="W45" s="175"/>
      <c r="X45" s="175"/>
      <c r="Y45" s="175"/>
      <c r="Z45" s="175"/>
      <c r="AA45" s="175"/>
      <c r="AB45" s="175"/>
      <c r="AC45" s="175"/>
      <c r="AD45" s="175"/>
      <c r="AE45" s="175"/>
      <c r="AF45" s="175"/>
      <c r="AG45" s="175"/>
      <c r="AH45" s="175"/>
      <c r="AI45" s="175"/>
      <c r="AJ45" s="175"/>
      <c r="AK45" s="175"/>
      <c r="AL45" s="175"/>
      <c r="AM45" s="175"/>
      <c r="AN45" s="175"/>
      <c r="AO45" s="175"/>
      <c r="AP45" s="175"/>
      <c r="AQ45" s="175"/>
      <c r="AR45" s="175"/>
      <c r="AS45" s="175"/>
    </row>
    <row r="46" spans="1:74" s="150" customFormat="1" x14ac:dyDescent="0.25">
      <c r="A46" s="155" t="s">
        <v>17</v>
      </c>
      <c r="B46" s="156" t="s">
        <v>286</v>
      </c>
      <c r="C46" s="159" t="s">
        <v>289</v>
      </c>
      <c r="D46" s="192">
        <v>1</v>
      </c>
      <c r="E46" s="193">
        <f>D46</f>
        <v>1</v>
      </c>
      <c r="F46" s="193">
        <f t="shared" ref="F46:BQ48" si="33">E46</f>
        <v>1</v>
      </c>
      <c r="G46" s="193">
        <f t="shared" si="33"/>
        <v>1</v>
      </c>
      <c r="H46" s="193">
        <f t="shared" si="33"/>
        <v>1</v>
      </c>
      <c r="I46" s="193">
        <f t="shared" si="33"/>
        <v>1</v>
      </c>
      <c r="J46" s="193">
        <f t="shared" si="33"/>
        <v>1</v>
      </c>
      <c r="K46" s="193">
        <f t="shared" si="33"/>
        <v>1</v>
      </c>
      <c r="L46" s="193">
        <f t="shared" si="33"/>
        <v>1</v>
      </c>
      <c r="M46" s="193">
        <f t="shared" si="33"/>
        <v>1</v>
      </c>
      <c r="N46" s="193">
        <f t="shared" si="33"/>
        <v>1</v>
      </c>
      <c r="O46" s="193">
        <f t="shared" si="33"/>
        <v>1</v>
      </c>
      <c r="P46" s="193">
        <f t="shared" si="33"/>
        <v>1</v>
      </c>
      <c r="Q46" s="193">
        <f t="shared" si="33"/>
        <v>1</v>
      </c>
      <c r="R46" s="193">
        <f t="shared" si="33"/>
        <v>1</v>
      </c>
      <c r="S46" s="193">
        <f t="shared" si="33"/>
        <v>1</v>
      </c>
      <c r="T46" s="193">
        <f t="shared" si="33"/>
        <v>1</v>
      </c>
      <c r="U46" s="193">
        <f t="shared" si="33"/>
        <v>1</v>
      </c>
      <c r="V46" s="193">
        <f t="shared" si="33"/>
        <v>1</v>
      </c>
      <c r="W46" s="193">
        <f t="shared" si="33"/>
        <v>1</v>
      </c>
      <c r="X46" s="193">
        <f t="shared" si="33"/>
        <v>1</v>
      </c>
      <c r="Y46" s="193">
        <f t="shared" si="33"/>
        <v>1</v>
      </c>
      <c r="Z46" s="193">
        <f t="shared" si="33"/>
        <v>1</v>
      </c>
      <c r="AA46" s="193">
        <f t="shared" si="33"/>
        <v>1</v>
      </c>
      <c r="AB46" s="193">
        <f t="shared" si="33"/>
        <v>1</v>
      </c>
      <c r="AC46" s="193">
        <f t="shared" si="33"/>
        <v>1</v>
      </c>
      <c r="AD46" s="193">
        <f t="shared" si="33"/>
        <v>1</v>
      </c>
      <c r="AE46" s="193">
        <f t="shared" si="33"/>
        <v>1</v>
      </c>
      <c r="AF46" s="193">
        <f t="shared" si="33"/>
        <v>1</v>
      </c>
      <c r="AG46" s="193">
        <f t="shared" si="33"/>
        <v>1</v>
      </c>
      <c r="AH46" s="193">
        <f t="shared" si="33"/>
        <v>1</v>
      </c>
      <c r="AI46" s="193">
        <f t="shared" si="33"/>
        <v>1</v>
      </c>
      <c r="AJ46" s="193">
        <f t="shared" si="33"/>
        <v>1</v>
      </c>
      <c r="AK46" s="193">
        <f t="shared" si="33"/>
        <v>1</v>
      </c>
      <c r="AL46" s="193">
        <f t="shared" si="33"/>
        <v>1</v>
      </c>
      <c r="AM46" s="193">
        <f t="shared" si="33"/>
        <v>1</v>
      </c>
      <c r="AN46" s="193">
        <f t="shared" si="33"/>
        <v>1</v>
      </c>
      <c r="AO46" s="193">
        <f t="shared" si="33"/>
        <v>1</v>
      </c>
      <c r="AP46" s="193">
        <f t="shared" si="33"/>
        <v>1</v>
      </c>
      <c r="AQ46" s="193">
        <f t="shared" si="33"/>
        <v>1</v>
      </c>
      <c r="AR46" s="193">
        <f t="shared" si="33"/>
        <v>1</v>
      </c>
      <c r="AS46" s="157">
        <f t="shared" si="33"/>
        <v>1</v>
      </c>
      <c r="AT46" s="157">
        <f t="shared" si="33"/>
        <v>1</v>
      </c>
      <c r="AU46" s="157">
        <f t="shared" si="33"/>
        <v>1</v>
      </c>
      <c r="AV46" s="157">
        <f t="shared" si="33"/>
        <v>1</v>
      </c>
      <c r="AW46" s="157">
        <f t="shared" si="33"/>
        <v>1</v>
      </c>
      <c r="AX46" s="157">
        <f t="shared" si="33"/>
        <v>1</v>
      </c>
      <c r="AY46" s="157">
        <f t="shared" si="33"/>
        <v>1</v>
      </c>
      <c r="AZ46" s="157">
        <f t="shared" si="33"/>
        <v>1</v>
      </c>
      <c r="BA46" s="157">
        <f t="shared" si="33"/>
        <v>1</v>
      </c>
      <c r="BB46" s="157">
        <f t="shared" si="33"/>
        <v>1</v>
      </c>
      <c r="BC46" s="157">
        <f t="shared" si="33"/>
        <v>1</v>
      </c>
      <c r="BD46" s="157">
        <f t="shared" si="33"/>
        <v>1</v>
      </c>
      <c r="BE46" s="157">
        <f t="shared" si="33"/>
        <v>1</v>
      </c>
      <c r="BF46" s="157">
        <f t="shared" si="33"/>
        <v>1</v>
      </c>
      <c r="BG46" s="157">
        <f t="shared" si="33"/>
        <v>1</v>
      </c>
      <c r="BH46" s="157">
        <f t="shared" si="33"/>
        <v>1</v>
      </c>
      <c r="BI46" s="157">
        <f t="shared" si="33"/>
        <v>1</v>
      </c>
      <c r="BJ46" s="157">
        <f t="shared" si="33"/>
        <v>1</v>
      </c>
      <c r="BK46" s="157">
        <f t="shared" si="33"/>
        <v>1</v>
      </c>
      <c r="BL46" s="157">
        <f t="shared" si="33"/>
        <v>1</v>
      </c>
      <c r="BM46" s="157">
        <f t="shared" si="33"/>
        <v>1</v>
      </c>
      <c r="BN46" s="157">
        <f t="shared" si="33"/>
        <v>1</v>
      </c>
      <c r="BO46" s="157">
        <f t="shared" si="33"/>
        <v>1</v>
      </c>
      <c r="BP46" s="157">
        <f t="shared" si="33"/>
        <v>1</v>
      </c>
      <c r="BQ46" s="157">
        <f t="shared" si="33"/>
        <v>1</v>
      </c>
      <c r="BR46" s="157">
        <f t="shared" ref="BR46:BV46" si="34">BQ46</f>
        <v>1</v>
      </c>
      <c r="BS46" s="157">
        <f t="shared" si="34"/>
        <v>1</v>
      </c>
      <c r="BT46" s="157">
        <f t="shared" si="34"/>
        <v>1</v>
      </c>
      <c r="BU46" s="157">
        <f t="shared" si="34"/>
        <v>1</v>
      </c>
      <c r="BV46" s="157">
        <f t="shared" si="34"/>
        <v>1</v>
      </c>
    </row>
    <row r="47" spans="1:74" s="150" customFormat="1" x14ac:dyDescent="0.25">
      <c r="A47" s="155" t="s">
        <v>18</v>
      </c>
      <c r="B47" s="156" t="s">
        <v>287</v>
      </c>
      <c r="C47" s="159" t="s">
        <v>289</v>
      </c>
      <c r="D47" s="192">
        <v>28</v>
      </c>
      <c r="E47" s="193">
        <f t="shared" ref="E47:AR47" si="35">D47</f>
        <v>28</v>
      </c>
      <c r="F47" s="193">
        <f t="shared" si="35"/>
        <v>28</v>
      </c>
      <c r="G47" s="193">
        <f t="shared" si="35"/>
        <v>28</v>
      </c>
      <c r="H47" s="193">
        <f t="shared" si="35"/>
        <v>28</v>
      </c>
      <c r="I47" s="193">
        <f t="shared" si="35"/>
        <v>28</v>
      </c>
      <c r="J47" s="193">
        <f t="shared" si="35"/>
        <v>28</v>
      </c>
      <c r="K47" s="193">
        <f t="shared" si="35"/>
        <v>28</v>
      </c>
      <c r="L47" s="193">
        <f t="shared" si="35"/>
        <v>28</v>
      </c>
      <c r="M47" s="193">
        <f t="shared" si="35"/>
        <v>28</v>
      </c>
      <c r="N47" s="193">
        <f t="shared" si="35"/>
        <v>28</v>
      </c>
      <c r="O47" s="193">
        <f t="shared" si="35"/>
        <v>28</v>
      </c>
      <c r="P47" s="193">
        <f t="shared" si="35"/>
        <v>28</v>
      </c>
      <c r="Q47" s="193">
        <f t="shared" si="35"/>
        <v>28</v>
      </c>
      <c r="R47" s="193">
        <f t="shared" si="35"/>
        <v>28</v>
      </c>
      <c r="S47" s="193">
        <f t="shared" si="35"/>
        <v>28</v>
      </c>
      <c r="T47" s="193">
        <f t="shared" si="35"/>
        <v>28</v>
      </c>
      <c r="U47" s="193">
        <f t="shared" si="35"/>
        <v>28</v>
      </c>
      <c r="V47" s="193">
        <f t="shared" si="35"/>
        <v>28</v>
      </c>
      <c r="W47" s="193">
        <f t="shared" si="35"/>
        <v>28</v>
      </c>
      <c r="X47" s="193">
        <f t="shared" si="35"/>
        <v>28</v>
      </c>
      <c r="Y47" s="193">
        <f t="shared" si="35"/>
        <v>28</v>
      </c>
      <c r="Z47" s="193">
        <f t="shared" si="35"/>
        <v>28</v>
      </c>
      <c r="AA47" s="193">
        <f t="shared" si="35"/>
        <v>28</v>
      </c>
      <c r="AB47" s="193">
        <f t="shared" si="35"/>
        <v>28</v>
      </c>
      <c r="AC47" s="193">
        <f t="shared" si="35"/>
        <v>28</v>
      </c>
      <c r="AD47" s="193">
        <f t="shared" si="35"/>
        <v>28</v>
      </c>
      <c r="AE47" s="193">
        <f t="shared" si="35"/>
        <v>28</v>
      </c>
      <c r="AF47" s="193">
        <f t="shared" si="35"/>
        <v>28</v>
      </c>
      <c r="AG47" s="193">
        <f t="shared" si="35"/>
        <v>28</v>
      </c>
      <c r="AH47" s="193">
        <f t="shared" si="35"/>
        <v>28</v>
      </c>
      <c r="AI47" s="193">
        <f t="shared" si="35"/>
        <v>28</v>
      </c>
      <c r="AJ47" s="193">
        <f t="shared" si="35"/>
        <v>28</v>
      </c>
      <c r="AK47" s="193">
        <f t="shared" si="35"/>
        <v>28</v>
      </c>
      <c r="AL47" s="193">
        <f t="shared" si="35"/>
        <v>28</v>
      </c>
      <c r="AM47" s="193">
        <f t="shared" si="35"/>
        <v>28</v>
      </c>
      <c r="AN47" s="193">
        <f t="shared" si="35"/>
        <v>28</v>
      </c>
      <c r="AO47" s="193">
        <f t="shared" si="35"/>
        <v>28</v>
      </c>
      <c r="AP47" s="193">
        <f t="shared" si="35"/>
        <v>28</v>
      </c>
      <c r="AQ47" s="193">
        <f t="shared" si="35"/>
        <v>28</v>
      </c>
      <c r="AR47" s="193">
        <f t="shared" si="35"/>
        <v>28</v>
      </c>
      <c r="AS47" s="157">
        <f t="shared" si="33"/>
        <v>28</v>
      </c>
      <c r="AT47" s="157">
        <f t="shared" si="33"/>
        <v>28</v>
      </c>
      <c r="AU47" s="157">
        <f t="shared" si="33"/>
        <v>28</v>
      </c>
      <c r="AV47" s="157">
        <f t="shared" si="33"/>
        <v>28</v>
      </c>
      <c r="AW47" s="157">
        <f t="shared" si="33"/>
        <v>28</v>
      </c>
      <c r="AX47" s="157">
        <f t="shared" si="33"/>
        <v>28</v>
      </c>
      <c r="AY47" s="157">
        <f t="shared" si="33"/>
        <v>28</v>
      </c>
      <c r="AZ47" s="157">
        <f t="shared" si="33"/>
        <v>28</v>
      </c>
      <c r="BA47" s="157">
        <f t="shared" si="33"/>
        <v>28</v>
      </c>
      <c r="BB47" s="157">
        <f t="shared" si="33"/>
        <v>28</v>
      </c>
      <c r="BC47" s="157">
        <f t="shared" si="33"/>
        <v>28</v>
      </c>
      <c r="BD47" s="157">
        <f t="shared" si="33"/>
        <v>28</v>
      </c>
      <c r="BE47" s="157">
        <f t="shared" si="33"/>
        <v>28</v>
      </c>
      <c r="BF47" s="157">
        <f t="shared" si="33"/>
        <v>28</v>
      </c>
      <c r="BG47" s="157">
        <f t="shared" si="33"/>
        <v>28</v>
      </c>
      <c r="BH47" s="157">
        <f t="shared" si="33"/>
        <v>28</v>
      </c>
      <c r="BI47" s="157">
        <f t="shared" si="33"/>
        <v>28</v>
      </c>
      <c r="BJ47" s="157">
        <f t="shared" si="33"/>
        <v>28</v>
      </c>
      <c r="BK47" s="157">
        <f t="shared" si="33"/>
        <v>28</v>
      </c>
      <c r="BL47" s="157">
        <f t="shared" si="33"/>
        <v>28</v>
      </c>
      <c r="BM47" s="157">
        <f t="shared" si="33"/>
        <v>28</v>
      </c>
      <c r="BN47" s="157">
        <f t="shared" si="33"/>
        <v>28</v>
      </c>
      <c r="BO47" s="157">
        <f t="shared" si="33"/>
        <v>28</v>
      </c>
      <c r="BP47" s="157">
        <f t="shared" si="33"/>
        <v>28</v>
      </c>
      <c r="BQ47" s="157">
        <f t="shared" si="33"/>
        <v>28</v>
      </c>
      <c r="BR47" s="157">
        <f t="shared" ref="BR47:BV47" si="36">BQ47</f>
        <v>28</v>
      </c>
      <c r="BS47" s="157">
        <f t="shared" si="36"/>
        <v>28</v>
      </c>
      <c r="BT47" s="157">
        <f t="shared" si="36"/>
        <v>28</v>
      </c>
      <c r="BU47" s="157">
        <f t="shared" si="36"/>
        <v>28</v>
      </c>
      <c r="BV47" s="157">
        <f t="shared" si="36"/>
        <v>28</v>
      </c>
    </row>
    <row r="48" spans="1:74" s="150" customFormat="1" x14ac:dyDescent="0.25">
      <c r="A48" s="149" t="s">
        <v>19</v>
      </c>
      <c r="B48" s="156" t="s">
        <v>288</v>
      </c>
      <c r="C48" s="159" t="s">
        <v>289</v>
      </c>
      <c r="D48" s="192">
        <v>265</v>
      </c>
      <c r="E48" s="193">
        <f t="shared" ref="E48:AR48" si="37">D48</f>
        <v>265</v>
      </c>
      <c r="F48" s="193">
        <f t="shared" si="37"/>
        <v>265</v>
      </c>
      <c r="G48" s="193">
        <f t="shared" si="37"/>
        <v>265</v>
      </c>
      <c r="H48" s="193">
        <f t="shared" si="37"/>
        <v>265</v>
      </c>
      <c r="I48" s="193">
        <f t="shared" si="37"/>
        <v>265</v>
      </c>
      <c r="J48" s="193">
        <f t="shared" si="37"/>
        <v>265</v>
      </c>
      <c r="K48" s="193">
        <f t="shared" si="37"/>
        <v>265</v>
      </c>
      <c r="L48" s="193">
        <f t="shared" si="37"/>
        <v>265</v>
      </c>
      <c r="M48" s="193">
        <f t="shared" si="37"/>
        <v>265</v>
      </c>
      <c r="N48" s="193">
        <f t="shared" si="37"/>
        <v>265</v>
      </c>
      <c r="O48" s="193">
        <f t="shared" si="37"/>
        <v>265</v>
      </c>
      <c r="P48" s="193">
        <f t="shared" si="37"/>
        <v>265</v>
      </c>
      <c r="Q48" s="193">
        <f t="shared" si="37"/>
        <v>265</v>
      </c>
      <c r="R48" s="193">
        <f t="shared" si="37"/>
        <v>265</v>
      </c>
      <c r="S48" s="193">
        <f t="shared" si="37"/>
        <v>265</v>
      </c>
      <c r="T48" s="193">
        <f t="shared" si="37"/>
        <v>265</v>
      </c>
      <c r="U48" s="193">
        <f t="shared" si="37"/>
        <v>265</v>
      </c>
      <c r="V48" s="193">
        <f t="shared" si="37"/>
        <v>265</v>
      </c>
      <c r="W48" s="193">
        <f t="shared" si="37"/>
        <v>265</v>
      </c>
      <c r="X48" s="193">
        <f t="shared" si="37"/>
        <v>265</v>
      </c>
      <c r="Y48" s="193">
        <f t="shared" si="37"/>
        <v>265</v>
      </c>
      <c r="Z48" s="193">
        <f t="shared" si="37"/>
        <v>265</v>
      </c>
      <c r="AA48" s="193">
        <f t="shared" si="37"/>
        <v>265</v>
      </c>
      <c r="AB48" s="193">
        <f t="shared" si="37"/>
        <v>265</v>
      </c>
      <c r="AC48" s="193">
        <f t="shared" si="37"/>
        <v>265</v>
      </c>
      <c r="AD48" s="193">
        <f t="shared" si="37"/>
        <v>265</v>
      </c>
      <c r="AE48" s="193">
        <f t="shared" si="37"/>
        <v>265</v>
      </c>
      <c r="AF48" s="193">
        <f t="shared" si="37"/>
        <v>265</v>
      </c>
      <c r="AG48" s="193">
        <f t="shared" si="37"/>
        <v>265</v>
      </c>
      <c r="AH48" s="193">
        <f t="shared" si="37"/>
        <v>265</v>
      </c>
      <c r="AI48" s="193">
        <f t="shared" si="37"/>
        <v>265</v>
      </c>
      <c r="AJ48" s="193">
        <f t="shared" si="37"/>
        <v>265</v>
      </c>
      <c r="AK48" s="193">
        <f t="shared" si="37"/>
        <v>265</v>
      </c>
      <c r="AL48" s="193">
        <f t="shared" si="37"/>
        <v>265</v>
      </c>
      <c r="AM48" s="193">
        <f t="shared" si="37"/>
        <v>265</v>
      </c>
      <c r="AN48" s="193">
        <f t="shared" si="37"/>
        <v>265</v>
      </c>
      <c r="AO48" s="193">
        <f t="shared" si="37"/>
        <v>265</v>
      </c>
      <c r="AP48" s="193">
        <f t="shared" si="37"/>
        <v>265</v>
      </c>
      <c r="AQ48" s="193">
        <f t="shared" si="37"/>
        <v>265</v>
      </c>
      <c r="AR48" s="193">
        <f t="shared" si="37"/>
        <v>265</v>
      </c>
      <c r="AS48" s="157">
        <f t="shared" si="33"/>
        <v>265</v>
      </c>
      <c r="AT48" s="157">
        <f t="shared" si="33"/>
        <v>265</v>
      </c>
      <c r="AU48" s="157">
        <f t="shared" si="33"/>
        <v>265</v>
      </c>
      <c r="AV48" s="157">
        <f t="shared" si="33"/>
        <v>265</v>
      </c>
      <c r="AW48" s="157">
        <f t="shared" si="33"/>
        <v>265</v>
      </c>
      <c r="AX48" s="157">
        <f t="shared" si="33"/>
        <v>265</v>
      </c>
      <c r="AY48" s="157">
        <f t="shared" si="33"/>
        <v>265</v>
      </c>
      <c r="AZ48" s="157">
        <f t="shared" si="33"/>
        <v>265</v>
      </c>
      <c r="BA48" s="157">
        <f t="shared" si="33"/>
        <v>265</v>
      </c>
      <c r="BB48" s="157">
        <f t="shared" si="33"/>
        <v>265</v>
      </c>
      <c r="BC48" s="157">
        <f t="shared" si="33"/>
        <v>265</v>
      </c>
      <c r="BD48" s="157">
        <f t="shared" si="33"/>
        <v>265</v>
      </c>
      <c r="BE48" s="157">
        <f t="shared" si="33"/>
        <v>265</v>
      </c>
      <c r="BF48" s="157">
        <f t="shared" si="33"/>
        <v>265</v>
      </c>
      <c r="BG48" s="157">
        <f t="shared" si="33"/>
        <v>265</v>
      </c>
      <c r="BH48" s="157">
        <f t="shared" si="33"/>
        <v>265</v>
      </c>
      <c r="BI48" s="157">
        <f t="shared" si="33"/>
        <v>265</v>
      </c>
      <c r="BJ48" s="157">
        <f t="shared" si="33"/>
        <v>265</v>
      </c>
      <c r="BK48" s="157">
        <f t="shared" si="33"/>
        <v>265</v>
      </c>
      <c r="BL48" s="157">
        <f t="shared" si="33"/>
        <v>265</v>
      </c>
      <c r="BM48" s="157">
        <f t="shared" si="33"/>
        <v>265</v>
      </c>
      <c r="BN48" s="157">
        <f t="shared" si="33"/>
        <v>265</v>
      </c>
      <c r="BO48" s="157">
        <f t="shared" si="33"/>
        <v>265</v>
      </c>
      <c r="BP48" s="157">
        <f t="shared" si="33"/>
        <v>265</v>
      </c>
      <c r="BQ48" s="157">
        <f t="shared" si="33"/>
        <v>265</v>
      </c>
      <c r="BR48" s="157">
        <f t="shared" ref="BR48:BV48" si="38">BQ48</f>
        <v>265</v>
      </c>
      <c r="BS48" s="157">
        <f t="shared" si="38"/>
        <v>265</v>
      </c>
      <c r="BT48" s="157">
        <f t="shared" si="38"/>
        <v>265</v>
      </c>
      <c r="BU48" s="157">
        <f t="shared" si="38"/>
        <v>265</v>
      </c>
      <c r="BV48" s="157">
        <f t="shared" si="38"/>
        <v>265</v>
      </c>
    </row>
    <row r="49" spans="1:74" x14ac:dyDescent="0.25">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66"/>
      <c r="AO49" s="166"/>
      <c r="AP49" s="166"/>
      <c r="AQ49" s="166"/>
      <c r="AR49" s="166"/>
      <c r="AS49" s="166"/>
    </row>
    <row r="50" spans="1:74" x14ac:dyDescent="0.25">
      <c r="A50" s="149"/>
      <c r="B50" s="150"/>
      <c r="C50" s="150"/>
      <c r="D50" s="166"/>
      <c r="E50" s="166"/>
      <c r="F50" s="166"/>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row>
    <row r="51" spans="1:74" s="176" customFormat="1" x14ac:dyDescent="0.25">
      <c r="A51" s="174" t="s">
        <v>55</v>
      </c>
      <c r="B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row>
    <row r="52" spans="1:74" s="176" customFormat="1" x14ac:dyDescent="0.25">
      <c r="A52" s="174" t="s">
        <v>17</v>
      </c>
      <c r="B52" s="174" t="s">
        <v>238</v>
      </c>
      <c r="I52" s="175"/>
      <c r="J52" s="175"/>
      <c r="K52" s="175"/>
      <c r="L52" s="175"/>
      <c r="M52" s="175"/>
      <c r="N52" s="175"/>
      <c r="O52" s="175"/>
      <c r="P52" s="175"/>
      <c r="Q52" s="175"/>
      <c r="R52" s="175"/>
      <c r="S52" s="175"/>
      <c r="T52" s="175"/>
      <c r="U52" s="175"/>
      <c r="V52" s="175"/>
      <c r="W52" s="175"/>
      <c r="X52" s="175"/>
      <c r="Y52" s="175"/>
      <c r="Z52" s="175"/>
      <c r="AA52" s="175"/>
      <c r="AB52" s="175"/>
      <c r="AC52" s="175"/>
      <c r="AD52" s="175"/>
      <c r="AE52" s="175"/>
      <c r="AF52" s="175"/>
      <c r="AG52" s="175"/>
      <c r="AH52" s="175"/>
      <c r="AI52" s="175"/>
      <c r="AJ52" s="175"/>
      <c r="AK52" s="175"/>
      <c r="AL52" s="175"/>
      <c r="AM52" s="175"/>
      <c r="AN52" s="175"/>
      <c r="AO52" s="175"/>
      <c r="AP52" s="175"/>
      <c r="AQ52" s="175"/>
      <c r="AR52" s="175"/>
      <c r="AS52" s="175"/>
    </row>
    <row r="53" spans="1:74" s="150" customFormat="1" x14ac:dyDescent="0.25">
      <c r="A53" s="155" t="s">
        <v>206</v>
      </c>
      <c r="B53" s="156" t="s">
        <v>207</v>
      </c>
      <c r="C53" s="159" t="s">
        <v>239</v>
      </c>
      <c r="D53" s="160">
        <v>2.3650000000000002</v>
      </c>
      <c r="E53" s="161">
        <v>2.3650000000000002</v>
      </c>
      <c r="F53" s="161">
        <v>2.3650000000000002</v>
      </c>
      <c r="G53" s="161">
        <v>2.3650000000000002</v>
      </c>
      <c r="H53" s="161">
        <v>2.3650000000000002</v>
      </c>
      <c r="I53" s="161">
        <v>2.3650000000000002</v>
      </c>
      <c r="J53" s="161">
        <v>2.3650000000000002</v>
      </c>
      <c r="K53" s="161">
        <v>2.3650000000000002</v>
      </c>
      <c r="L53" s="161">
        <v>2.3650000000000002</v>
      </c>
      <c r="M53" s="161">
        <v>2.3650000000000002</v>
      </c>
      <c r="N53" s="161">
        <v>2.3650000000000002</v>
      </c>
      <c r="O53" s="161">
        <v>2.3650000000000002</v>
      </c>
      <c r="P53" s="161">
        <v>2.3650000000000002</v>
      </c>
      <c r="Q53" s="161">
        <v>2.3650000000000002</v>
      </c>
      <c r="R53" s="161">
        <v>2.3650000000000002</v>
      </c>
      <c r="S53" s="161">
        <v>2.3650000000000002</v>
      </c>
      <c r="T53" s="161">
        <v>2.3650000000000002</v>
      </c>
      <c r="U53" s="161">
        <v>2.3650000000000002</v>
      </c>
      <c r="V53" s="161">
        <v>2.3650000000000002</v>
      </c>
      <c r="W53" s="161">
        <v>2.3650000000000002</v>
      </c>
      <c r="X53" s="161">
        <v>2.3650000000000002</v>
      </c>
      <c r="Y53" s="161">
        <v>2.3650000000000002</v>
      </c>
      <c r="Z53" s="161">
        <v>2.3650000000000002</v>
      </c>
      <c r="AA53" s="161">
        <v>2.3650000000000002</v>
      </c>
      <c r="AB53" s="161">
        <v>2.3650000000000002</v>
      </c>
      <c r="AC53" s="161">
        <v>2.3650000000000002</v>
      </c>
      <c r="AD53" s="161">
        <v>2.3650000000000002</v>
      </c>
      <c r="AE53" s="161">
        <v>2.3650000000000002</v>
      </c>
      <c r="AF53" s="161">
        <v>2.3650000000000002</v>
      </c>
      <c r="AG53" s="161">
        <v>2.3650000000000002</v>
      </c>
      <c r="AH53" s="161">
        <v>2.3650000000000002</v>
      </c>
      <c r="AI53" s="161">
        <v>2.3650000000000002</v>
      </c>
      <c r="AJ53" s="161">
        <v>2.3650000000000002</v>
      </c>
      <c r="AK53" s="161">
        <v>2.3650000000000002</v>
      </c>
      <c r="AL53" s="161">
        <v>2.3650000000000002</v>
      </c>
      <c r="AM53" s="161">
        <v>2.3650000000000002</v>
      </c>
      <c r="AN53" s="161">
        <v>2.3650000000000002</v>
      </c>
      <c r="AO53" s="161">
        <v>2.3650000000000002</v>
      </c>
      <c r="AP53" s="161">
        <v>2.3650000000000002</v>
      </c>
      <c r="AQ53" s="161">
        <v>2.3650000000000002</v>
      </c>
      <c r="AR53" s="161">
        <v>2.3650000000000002</v>
      </c>
      <c r="AS53" s="157">
        <f t="shared" ref="AS53:BV53" si="39">AR53</f>
        <v>2.3650000000000002</v>
      </c>
      <c r="AT53" s="157">
        <f t="shared" si="39"/>
        <v>2.3650000000000002</v>
      </c>
      <c r="AU53" s="157">
        <f t="shared" si="39"/>
        <v>2.3650000000000002</v>
      </c>
      <c r="AV53" s="157">
        <f t="shared" si="39"/>
        <v>2.3650000000000002</v>
      </c>
      <c r="AW53" s="157">
        <f t="shared" si="39"/>
        <v>2.3650000000000002</v>
      </c>
      <c r="AX53" s="157">
        <f t="shared" si="39"/>
        <v>2.3650000000000002</v>
      </c>
      <c r="AY53" s="157">
        <f t="shared" si="39"/>
        <v>2.3650000000000002</v>
      </c>
      <c r="AZ53" s="157">
        <f t="shared" si="39"/>
        <v>2.3650000000000002</v>
      </c>
      <c r="BA53" s="157">
        <f t="shared" si="39"/>
        <v>2.3650000000000002</v>
      </c>
      <c r="BB53" s="157">
        <f t="shared" si="39"/>
        <v>2.3650000000000002</v>
      </c>
      <c r="BC53" s="157">
        <f t="shared" si="39"/>
        <v>2.3650000000000002</v>
      </c>
      <c r="BD53" s="157">
        <f t="shared" si="39"/>
        <v>2.3650000000000002</v>
      </c>
      <c r="BE53" s="157">
        <f t="shared" si="39"/>
        <v>2.3650000000000002</v>
      </c>
      <c r="BF53" s="157">
        <f t="shared" si="39"/>
        <v>2.3650000000000002</v>
      </c>
      <c r="BG53" s="157">
        <f t="shared" si="39"/>
        <v>2.3650000000000002</v>
      </c>
      <c r="BH53" s="157">
        <f t="shared" si="39"/>
        <v>2.3650000000000002</v>
      </c>
      <c r="BI53" s="157">
        <f t="shared" si="39"/>
        <v>2.3650000000000002</v>
      </c>
      <c r="BJ53" s="157">
        <f t="shared" si="39"/>
        <v>2.3650000000000002</v>
      </c>
      <c r="BK53" s="157">
        <f t="shared" si="39"/>
        <v>2.3650000000000002</v>
      </c>
      <c r="BL53" s="157">
        <f t="shared" si="39"/>
        <v>2.3650000000000002</v>
      </c>
      <c r="BM53" s="157">
        <f t="shared" si="39"/>
        <v>2.3650000000000002</v>
      </c>
      <c r="BN53" s="157">
        <f t="shared" si="39"/>
        <v>2.3650000000000002</v>
      </c>
      <c r="BO53" s="157">
        <f t="shared" si="39"/>
        <v>2.3650000000000002</v>
      </c>
      <c r="BP53" s="157">
        <f t="shared" si="39"/>
        <v>2.3650000000000002</v>
      </c>
      <c r="BQ53" s="157">
        <f t="shared" si="39"/>
        <v>2.3650000000000002</v>
      </c>
      <c r="BR53" s="157">
        <f t="shared" si="39"/>
        <v>2.3650000000000002</v>
      </c>
      <c r="BS53" s="157">
        <f t="shared" si="39"/>
        <v>2.3650000000000002</v>
      </c>
      <c r="BT53" s="157">
        <f t="shared" si="39"/>
        <v>2.3650000000000002</v>
      </c>
      <c r="BU53" s="157">
        <f t="shared" si="39"/>
        <v>2.3650000000000002</v>
      </c>
      <c r="BV53" s="157">
        <f t="shared" si="39"/>
        <v>2.3650000000000002</v>
      </c>
    </row>
    <row r="54" spans="1:74" s="150" customFormat="1" x14ac:dyDescent="0.25">
      <c r="A54" s="155" t="s">
        <v>208</v>
      </c>
      <c r="B54" s="156" t="s">
        <v>207</v>
      </c>
      <c r="C54" s="159" t="s">
        <v>239</v>
      </c>
      <c r="D54" s="160">
        <v>2.56</v>
      </c>
      <c r="E54" s="161">
        <v>2.56</v>
      </c>
      <c r="F54" s="161">
        <v>2.56</v>
      </c>
      <c r="G54" s="161">
        <v>2.56</v>
      </c>
      <c r="H54" s="161">
        <v>2.56</v>
      </c>
      <c r="I54" s="161">
        <v>2.56</v>
      </c>
      <c r="J54" s="161">
        <v>2.56</v>
      </c>
      <c r="K54" s="161">
        <v>2.56</v>
      </c>
      <c r="L54" s="161">
        <v>2.56</v>
      </c>
      <c r="M54" s="161">
        <v>2.56</v>
      </c>
      <c r="N54" s="161">
        <v>2.56</v>
      </c>
      <c r="O54" s="161">
        <v>2.56</v>
      </c>
      <c r="P54" s="161">
        <v>2.56</v>
      </c>
      <c r="Q54" s="161">
        <v>2.56</v>
      </c>
      <c r="R54" s="161">
        <v>2.56</v>
      </c>
      <c r="S54" s="161">
        <v>2.56</v>
      </c>
      <c r="T54" s="161">
        <v>2.56</v>
      </c>
      <c r="U54" s="161">
        <v>2.56</v>
      </c>
      <c r="V54" s="161">
        <v>2.56</v>
      </c>
      <c r="W54" s="161">
        <v>2.56</v>
      </c>
      <c r="X54" s="161">
        <v>2.56</v>
      </c>
      <c r="Y54" s="161">
        <v>2.56</v>
      </c>
      <c r="Z54" s="161">
        <v>2.56</v>
      </c>
      <c r="AA54" s="161">
        <v>2.56</v>
      </c>
      <c r="AB54" s="161">
        <v>2.56</v>
      </c>
      <c r="AC54" s="161">
        <v>2.56</v>
      </c>
      <c r="AD54" s="161">
        <v>2.56</v>
      </c>
      <c r="AE54" s="161">
        <v>2.56</v>
      </c>
      <c r="AF54" s="161">
        <v>2.56</v>
      </c>
      <c r="AG54" s="161">
        <v>2.56</v>
      </c>
      <c r="AH54" s="161">
        <v>2.56</v>
      </c>
      <c r="AI54" s="161">
        <v>2.56</v>
      </c>
      <c r="AJ54" s="161">
        <v>2.56</v>
      </c>
      <c r="AK54" s="161">
        <v>2.56</v>
      </c>
      <c r="AL54" s="161">
        <v>2.56</v>
      </c>
      <c r="AM54" s="161">
        <v>2.56</v>
      </c>
      <c r="AN54" s="161">
        <v>2.56</v>
      </c>
      <c r="AO54" s="161">
        <v>2.56</v>
      </c>
      <c r="AP54" s="161">
        <v>2.56</v>
      </c>
      <c r="AQ54" s="161">
        <v>2.56</v>
      </c>
      <c r="AR54" s="161">
        <v>2.56</v>
      </c>
      <c r="AS54" s="157">
        <f t="shared" ref="AS54:BV54" si="40">AR54</f>
        <v>2.56</v>
      </c>
      <c r="AT54" s="157">
        <f t="shared" si="40"/>
        <v>2.56</v>
      </c>
      <c r="AU54" s="157">
        <f t="shared" si="40"/>
        <v>2.56</v>
      </c>
      <c r="AV54" s="157">
        <f t="shared" si="40"/>
        <v>2.56</v>
      </c>
      <c r="AW54" s="157">
        <f t="shared" si="40"/>
        <v>2.56</v>
      </c>
      <c r="AX54" s="157">
        <f t="shared" si="40"/>
        <v>2.56</v>
      </c>
      <c r="AY54" s="157">
        <f t="shared" si="40"/>
        <v>2.56</v>
      </c>
      <c r="AZ54" s="157">
        <f t="shared" si="40"/>
        <v>2.56</v>
      </c>
      <c r="BA54" s="157">
        <f t="shared" si="40"/>
        <v>2.56</v>
      </c>
      <c r="BB54" s="157">
        <f t="shared" si="40"/>
        <v>2.56</v>
      </c>
      <c r="BC54" s="157">
        <f t="shared" si="40"/>
        <v>2.56</v>
      </c>
      <c r="BD54" s="157">
        <f t="shared" si="40"/>
        <v>2.56</v>
      </c>
      <c r="BE54" s="157">
        <f t="shared" si="40"/>
        <v>2.56</v>
      </c>
      <c r="BF54" s="157">
        <f t="shared" si="40"/>
        <v>2.56</v>
      </c>
      <c r="BG54" s="157">
        <f t="shared" si="40"/>
        <v>2.56</v>
      </c>
      <c r="BH54" s="157">
        <f t="shared" si="40"/>
        <v>2.56</v>
      </c>
      <c r="BI54" s="157">
        <f t="shared" si="40"/>
        <v>2.56</v>
      </c>
      <c r="BJ54" s="157">
        <f t="shared" si="40"/>
        <v>2.56</v>
      </c>
      <c r="BK54" s="157">
        <f t="shared" si="40"/>
        <v>2.56</v>
      </c>
      <c r="BL54" s="157">
        <f t="shared" si="40"/>
        <v>2.56</v>
      </c>
      <c r="BM54" s="157">
        <f t="shared" si="40"/>
        <v>2.56</v>
      </c>
      <c r="BN54" s="157">
        <f t="shared" si="40"/>
        <v>2.56</v>
      </c>
      <c r="BO54" s="157">
        <f t="shared" si="40"/>
        <v>2.56</v>
      </c>
      <c r="BP54" s="157">
        <f t="shared" si="40"/>
        <v>2.56</v>
      </c>
      <c r="BQ54" s="157">
        <f t="shared" si="40"/>
        <v>2.56</v>
      </c>
      <c r="BR54" s="157">
        <f t="shared" si="40"/>
        <v>2.56</v>
      </c>
      <c r="BS54" s="157">
        <f t="shared" si="40"/>
        <v>2.56</v>
      </c>
      <c r="BT54" s="157">
        <f t="shared" si="40"/>
        <v>2.56</v>
      </c>
      <c r="BU54" s="157">
        <f t="shared" si="40"/>
        <v>2.56</v>
      </c>
      <c r="BV54" s="157">
        <f t="shared" si="40"/>
        <v>2.56</v>
      </c>
    </row>
    <row r="55" spans="1:74" s="150" customFormat="1" x14ac:dyDescent="0.25">
      <c r="A55" s="149" t="s">
        <v>209</v>
      </c>
      <c r="B55" s="156" t="s">
        <v>207</v>
      </c>
      <c r="C55" s="159" t="s">
        <v>239</v>
      </c>
      <c r="D55" s="160">
        <v>2.4740000000000002</v>
      </c>
      <c r="E55" s="161">
        <v>2.4740000000000002</v>
      </c>
      <c r="F55" s="161">
        <v>2.4740000000000002</v>
      </c>
      <c r="G55" s="161">
        <v>2.4740000000000002</v>
      </c>
      <c r="H55" s="161">
        <v>2.4740000000000002</v>
      </c>
      <c r="I55" s="161">
        <v>2.4740000000000002</v>
      </c>
      <c r="J55" s="161">
        <v>2.4740000000000002</v>
      </c>
      <c r="K55" s="161">
        <v>2.4740000000000002</v>
      </c>
      <c r="L55" s="161">
        <v>2.4740000000000002</v>
      </c>
      <c r="M55" s="161">
        <v>2.4740000000000002</v>
      </c>
      <c r="N55" s="161">
        <v>2.4740000000000002</v>
      </c>
      <c r="O55" s="161">
        <v>2.4740000000000002</v>
      </c>
      <c r="P55" s="161">
        <v>2.4740000000000002</v>
      </c>
      <c r="Q55" s="161">
        <v>2.4740000000000002</v>
      </c>
      <c r="R55" s="161">
        <v>2.4740000000000002</v>
      </c>
      <c r="S55" s="161">
        <v>2.4740000000000002</v>
      </c>
      <c r="T55" s="161">
        <v>2.4740000000000002</v>
      </c>
      <c r="U55" s="161">
        <v>2.4740000000000002</v>
      </c>
      <c r="V55" s="161">
        <v>2.4740000000000002</v>
      </c>
      <c r="W55" s="161">
        <v>2.4740000000000002</v>
      </c>
      <c r="X55" s="161">
        <v>2.4740000000000002</v>
      </c>
      <c r="Y55" s="161">
        <v>2.4740000000000002</v>
      </c>
      <c r="Z55" s="161">
        <v>2.4740000000000002</v>
      </c>
      <c r="AA55" s="161">
        <v>2.4740000000000002</v>
      </c>
      <c r="AB55" s="161">
        <v>2.4740000000000002</v>
      </c>
      <c r="AC55" s="161">
        <v>2.4740000000000002</v>
      </c>
      <c r="AD55" s="161">
        <v>2.4740000000000002</v>
      </c>
      <c r="AE55" s="161">
        <v>2.4740000000000002</v>
      </c>
      <c r="AF55" s="161">
        <v>2.4740000000000002</v>
      </c>
      <c r="AG55" s="161">
        <v>2.4740000000000002</v>
      </c>
      <c r="AH55" s="161">
        <v>2.4740000000000002</v>
      </c>
      <c r="AI55" s="161">
        <v>2.4740000000000002</v>
      </c>
      <c r="AJ55" s="161">
        <v>2.4740000000000002</v>
      </c>
      <c r="AK55" s="161">
        <v>2.4740000000000002</v>
      </c>
      <c r="AL55" s="161">
        <v>2.4740000000000002</v>
      </c>
      <c r="AM55" s="161">
        <v>2.4740000000000002</v>
      </c>
      <c r="AN55" s="161">
        <v>2.4740000000000002</v>
      </c>
      <c r="AO55" s="161">
        <v>2.4740000000000002</v>
      </c>
      <c r="AP55" s="161">
        <v>2.4740000000000002</v>
      </c>
      <c r="AQ55" s="161">
        <v>2.4740000000000002</v>
      </c>
      <c r="AR55" s="161">
        <v>2.4740000000000002</v>
      </c>
      <c r="AS55" s="157">
        <f t="shared" ref="AS55:BV55" si="41">AR55</f>
        <v>2.4740000000000002</v>
      </c>
      <c r="AT55" s="157">
        <f t="shared" si="41"/>
        <v>2.4740000000000002</v>
      </c>
      <c r="AU55" s="157">
        <f t="shared" si="41"/>
        <v>2.4740000000000002</v>
      </c>
      <c r="AV55" s="157">
        <f t="shared" si="41"/>
        <v>2.4740000000000002</v>
      </c>
      <c r="AW55" s="157">
        <f t="shared" si="41"/>
        <v>2.4740000000000002</v>
      </c>
      <c r="AX55" s="157">
        <f t="shared" si="41"/>
        <v>2.4740000000000002</v>
      </c>
      <c r="AY55" s="157">
        <f t="shared" si="41"/>
        <v>2.4740000000000002</v>
      </c>
      <c r="AZ55" s="157">
        <f t="shared" si="41"/>
        <v>2.4740000000000002</v>
      </c>
      <c r="BA55" s="157">
        <f t="shared" si="41"/>
        <v>2.4740000000000002</v>
      </c>
      <c r="BB55" s="157">
        <f t="shared" si="41"/>
        <v>2.4740000000000002</v>
      </c>
      <c r="BC55" s="157">
        <f t="shared" si="41"/>
        <v>2.4740000000000002</v>
      </c>
      <c r="BD55" s="157">
        <f t="shared" si="41"/>
        <v>2.4740000000000002</v>
      </c>
      <c r="BE55" s="157">
        <f t="shared" si="41"/>
        <v>2.4740000000000002</v>
      </c>
      <c r="BF55" s="157">
        <f t="shared" si="41"/>
        <v>2.4740000000000002</v>
      </c>
      <c r="BG55" s="157">
        <f t="shared" si="41"/>
        <v>2.4740000000000002</v>
      </c>
      <c r="BH55" s="157">
        <f t="shared" si="41"/>
        <v>2.4740000000000002</v>
      </c>
      <c r="BI55" s="157">
        <f t="shared" si="41"/>
        <v>2.4740000000000002</v>
      </c>
      <c r="BJ55" s="157">
        <f t="shared" si="41"/>
        <v>2.4740000000000002</v>
      </c>
      <c r="BK55" s="157">
        <f t="shared" si="41"/>
        <v>2.4740000000000002</v>
      </c>
      <c r="BL55" s="157">
        <f t="shared" si="41"/>
        <v>2.4740000000000002</v>
      </c>
      <c r="BM55" s="157">
        <f t="shared" si="41"/>
        <v>2.4740000000000002</v>
      </c>
      <c r="BN55" s="157">
        <f t="shared" si="41"/>
        <v>2.4740000000000002</v>
      </c>
      <c r="BO55" s="157">
        <f t="shared" si="41"/>
        <v>2.4740000000000002</v>
      </c>
      <c r="BP55" s="157">
        <f t="shared" si="41"/>
        <v>2.4740000000000002</v>
      </c>
      <c r="BQ55" s="157">
        <f t="shared" si="41"/>
        <v>2.4740000000000002</v>
      </c>
      <c r="BR55" s="157">
        <f t="shared" si="41"/>
        <v>2.4740000000000002</v>
      </c>
      <c r="BS55" s="157">
        <f t="shared" si="41"/>
        <v>2.4740000000000002</v>
      </c>
      <c r="BT55" s="157">
        <f t="shared" si="41"/>
        <v>2.4740000000000002</v>
      </c>
      <c r="BU55" s="157">
        <f t="shared" si="41"/>
        <v>2.4740000000000002</v>
      </c>
      <c r="BV55" s="157">
        <f t="shared" si="41"/>
        <v>2.4740000000000002</v>
      </c>
    </row>
    <row r="56" spans="1:74" x14ac:dyDescent="0.25">
      <c r="A56" s="149" t="s">
        <v>211</v>
      </c>
      <c r="B56" s="156" t="s">
        <v>207</v>
      </c>
      <c r="C56" s="159" t="s">
        <v>240</v>
      </c>
      <c r="D56" s="160">
        <v>1.7470000000000001</v>
      </c>
      <c r="E56" s="161">
        <v>1.7470000000000001</v>
      </c>
      <c r="F56" s="161">
        <v>1.7470000000000001</v>
      </c>
      <c r="G56" s="161">
        <v>1.7470000000000001</v>
      </c>
      <c r="H56" s="161">
        <v>1.7470000000000001</v>
      </c>
      <c r="I56" s="161">
        <v>1.7470000000000001</v>
      </c>
      <c r="J56" s="161">
        <v>1.7470000000000001</v>
      </c>
      <c r="K56" s="161">
        <v>1.7470000000000001</v>
      </c>
      <c r="L56" s="161">
        <v>1.7470000000000001</v>
      </c>
      <c r="M56" s="161">
        <v>1.7470000000000001</v>
      </c>
      <c r="N56" s="161">
        <v>1.7470000000000001</v>
      </c>
      <c r="O56" s="161">
        <v>1.7470000000000001</v>
      </c>
      <c r="P56" s="161">
        <v>1.7470000000000001</v>
      </c>
      <c r="Q56" s="161">
        <v>1.7470000000000001</v>
      </c>
      <c r="R56" s="161">
        <v>1.7470000000000001</v>
      </c>
      <c r="S56" s="161">
        <v>1.7470000000000001</v>
      </c>
      <c r="T56" s="161">
        <v>1.7470000000000001</v>
      </c>
      <c r="U56" s="161">
        <v>1.7470000000000001</v>
      </c>
      <c r="V56" s="161">
        <v>1.7470000000000001</v>
      </c>
      <c r="W56" s="161">
        <v>1.7470000000000001</v>
      </c>
      <c r="X56" s="161">
        <v>1.7470000000000001</v>
      </c>
      <c r="Y56" s="161">
        <v>1.7470000000000001</v>
      </c>
      <c r="Z56" s="161">
        <v>1.7470000000000001</v>
      </c>
      <c r="AA56" s="161">
        <v>1.7470000000000001</v>
      </c>
      <c r="AB56" s="161">
        <v>1.7470000000000001</v>
      </c>
      <c r="AC56" s="161">
        <v>1.7470000000000001</v>
      </c>
      <c r="AD56" s="161">
        <v>1.7470000000000001</v>
      </c>
      <c r="AE56" s="161">
        <v>1.7470000000000001</v>
      </c>
      <c r="AF56" s="161">
        <v>1.7470000000000001</v>
      </c>
      <c r="AG56" s="161">
        <v>1.7470000000000001</v>
      </c>
      <c r="AH56" s="161">
        <v>1.7470000000000001</v>
      </c>
      <c r="AI56" s="161">
        <v>1.7470000000000001</v>
      </c>
      <c r="AJ56" s="161">
        <v>1.7470000000000001</v>
      </c>
      <c r="AK56" s="161">
        <v>1.7470000000000001</v>
      </c>
      <c r="AL56" s="161">
        <v>1.7470000000000001</v>
      </c>
      <c r="AM56" s="161">
        <v>1.7470000000000001</v>
      </c>
      <c r="AN56" s="161">
        <v>1.7470000000000001</v>
      </c>
      <c r="AO56" s="161">
        <v>1.7470000000000001</v>
      </c>
      <c r="AP56" s="161">
        <v>1.7470000000000001</v>
      </c>
      <c r="AQ56" s="161">
        <v>1.7470000000000001</v>
      </c>
      <c r="AR56" s="161">
        <v>1.7470000000000001</v>
      </c>
      <c r="AS56" s="157">
        <f t="shared" ref="AS56:BV56" si="42">AR56</f>
        <v>1.7470000000000001</v>
      </c>
      <c r="AT56" s="157">
        <f t="shared" si="42"/>
        <v>1.7470000000000001</v>
      </c>
      <c r="AU56" s="157">
        <f t="shared" si="42"/>
        <v>1.7470000000000001</v>
      </c>
      <c r="AV56" s="157">
        <f t="shared" si="42"/>
        <v>1.7470000000000001</v>
      </c>
      <c r="AW56" s="157">
        <f t="shared" si="42"/>
        <v>1.7470000000000001</v>
      </c>
      <c r="AX56" s="157">
        <f t="shared" si="42"/>
        <v>1.7470000000000001</v>
      </c>
      <c r="AY56" s="157">
        <f t="shared" si="42"/>
        <v>1.7470000000000001</v>
      </c>
      <c r="AZ56" s="157">
        <f t="shared" si="42"/>
        <v>1.7470000000000001</v>
      </c>
      <c r="BA56" s="157">
        <f t="shared" si="42"/>
        <v>1.7470000000000001</v>
      </c>
      <c r="BB56" s="157">
        <f t="shared" si="42"/>
        <v>1.7470000000000001</v>
      </c>
      <c r="BC56" s="157">
        <f t="shared" si="42"/>
        <v>1.7470000000000001</v>
      </c>
      <c r="BD56" s="157">
        <f t="shared" si="42"/>
        <v>1.7470000000000001</v>
      </c>
      <c r="BE56" s="157">
        <f t="shared" si="42"/>
        <v>1.7470000000000001</v>
      </c>
      <c r="BF56" s="157">
        <f t="shared" si="42"/>
        <v>1.7470000000000001</v>
      </c>
      <c r="BG56" s="157">
        <f t="shared" si="42"/>
        <v>1.7470000000000001</v>
      </c>
      <c r="BH56" s="157">
        <f t="shared" si="42"/>
        <v>1.7470000000000001</v>
      </c>
      <c r="BI56" s="157">
        <f t="shared" si="42"/>
        <v>1.7470000000000001</v>
      </c>
      <c r="BJ56" s="157">
        <f t="shared" si="42"/>
        <v>1.7470000000000001</v>
      </c>
      <c r="BK56" s="157">
        <f t="shared" si="42"/>
        <v>1.7470000000000001</v>
      </c>
      <c r="BL56" s="157">
        <f t="shared" si="42"/>
        <v>1.7470000000000001</v>
      </c>
      <c r="BM56" s="157">
        <f t="shared" si="42"/>
        <v>1.7470000000000001</v>
      </c>
      <c r="BN56" s="157">
        <f t="shared" si="42"/>
        <v>1.7470000000000001</v>
      </c>
      <c r="BO56" s="157">
        <f t="shared" si="42"/>
        <v>1.7470000000000001</v>
      </c>
      <c r="BP56" s="157">
        <f t="shared" si="42"/>
        <v>1.7470000000000001</v>
      </c>
      <c r="BQ56" s="157">
        <f t="shared" si="42"/>
        <v>1.7470000000000001</v>
      </c>
      <c r="BR56" s="157">
        <f t="shared" si="42"/>
        <v>1.7470000000000001</v>
      </c>
      <c r="BS56" s="157">
        <f t="shared" si="42"/>
        <v>1.7470000000000001</v>
      </c>
      <c r="BT56" s="157">
        <f t="shared" si="42"/>
        <v>1.7470000000000001</v>
      </c>
      <c r="BU56" s="157">
        <f t="shared" si="42"/>
        <v>1.7470000000000001</v>
      </c>
      <c r="BV56" s="157">
        <f t="shared" si="42"/>
        <v>1.7470000000000001</v>
      </c>
    </row>
    <row r="57" spans="1:74" x14ac:dyDescent="0.25">
      <c r="A57" s="155" t="s">
        <v>212</v>
      </c>
      <c r="B57" s="159" t="s">
        <v>213</v>
      </c>
      <c r="C57" s="159" t="s">
        <v>241</v>
      </c>
      <c r="D57" s="160">
        <v>2.1850000000000001</v>
      </c>
      <c r="E57" s="161">
        <v>2.1850000000000001</v>
      </c>
      <c r="F57" s="161">
        <v>2.1850000000000001</v>
      </c>
      <c r="G57" s="161">
        <v>2.1850000000000001</v>
      </c>
      <c r="H57" s="161">
        <v>2.1850000000000001</v>
      </c>
      <c r="I57" s="161">
        <v>2.1850000000000001</v>
      </c>
      <c r="J57" s="161">
        <v>2.1850000000000001</v>
      </c>
      <c r="K57" s="161">
        <v>2.1850000000000001</v>
      </c>
      <c r="L57" s="161">
        <v>2.1850000000000001</v>
      </c>
      <c r="M57" s="161">
        <v>2.1850000000000001</v>
      </c>
      <c r="N57" s="161">
        <v>2.1850000000000001</v>
      </c>
      <c r="O57" s="161">
        <v>2.1850000000000001</v>
      </c>
      <c r="P57" s="161">
        <v>2.1850000000000001</v>
      </c>
      <c r="Q57" s="161">
        <v>2.1850000000000001</v>
      </c>
      <c r="R57" s="161">
        <v>2.1850000000000001</v>
      </c>
      <c r="S57" s="161">
        <v>2.1850000000000001</v>
      </c>
      <c r="T57" s="161">
        <v>2.1850000000000001</v>
      </c>
      <c r="U57" s="161">
        <v>2.1850000000000001</v>
      </c>
      <c r="V57" s="161">
        <v>2.1850000000000001</v>
      </c>
      <c r="W57" s="161">
        <v>2.1850000000000001</v>
      </c>
      <c r="X57" s="161">
        <v>2.1850000000000001</v>
      </c>
      <c r="Y57" s="161">
        <v>2.1850000000000001</v>
      </c>
      <c r="Z57" s="161">
        <v>2.1850000000000001</v>
      </c>
      <c r="AA57" s="161">
        <v>2.1850000000000001</v>
      </c>
      <c r="AB57" s="161">
        <v>2.1850000000000001</v>
      </c>
      <c r="AC57" s="161">
        <v>2.1850000000000001</v>
      </c>
      <c r="AD57" s="161">
        <v>2.1850000000000001</v>
      </c>
      <c r="AE57" s="161">
        <v>2.1850000000000001</v>
      </c>
      <c r="AF57" s="161">
        <v>2.1850000000000001</v>
      </c>
      <c r="AG57" s="161">
        <v>2.1850000000000001</v>
      </c>
      <c r="AH57" s="161">
        <v>2.1850000000000001</v>
      </c>
      <c r="AI57" s="161">
        <v>2.1850000000000001</v>
      </c>
      <c r="AJ57" s="161">
        <v>2.1850000000000001</v>
      </c>
      <c r="AK57" s="161">
        <v>2.1850000000000001</v>
      </c>
      <c r="AL57" s="161">
        <v>2.1850000000000001</v>
      </c>
      <c r="AM57" s="161">
        <v>2.1850000000000001</v>
      </c>
      <c r="AN57" s="161">
        <v>2.1850000000000001</v>
      </c>
      <c r="AO57" s="161">
        <v>2.1850000000000001</v>
      </c>
      <c r="AP57" s="161">
        <v>2.1850000000000001</v>
      </c>
      <c r="AQ57" s="161">
        <v>2.1850000000000001</v>
      </c>
      <c r="AR57" s="161">
        <v>2.1850000000000001</v>
      </c>
      <c r="AS57" s="157">
        <f t="shared" ref="AS57:BV57" si="43">AR57</f>
        <v>2.1850000000000001</v>
      </c>
      <c r="AT57" s="157">
        <f t="shared" si="43"/>
        <v>2.1850000000000001</v>
      </c>
      <c r="AU57" s="157">
        <f t="shared" si="43"/>
        <v>2.1850000000000001</v>
      </c>
      <c r="AV57" s="157">
        <f t="shared" si="43"/>
        <v>2.1850000000000001</v>
      </c>
      <c r="AW57" s="157">
        <f t="shared" si="43"/>
        <v>2.1850000000000001</v>
      </c>
      <c r="AX57" s="157">
        <f t="shared" si="43"/>
        <v>2.1850000000000001</v>
      </c>
      <c r="AY57" s="157">
        <f t="shared" si="43"/>
        <v>2.1850000000000001</v>
      </c>
      <c r="AZ57" s="157">
        <f t="shared" si="43"/>
        <v>2.1850000000000001</v>
      </c>
      <c r="BA57" s="157">
        <f t="shared" si="43"/>
        <v>2.1850000000000001</v>
      </c>
      <c r="BB57" s="157">
        <f t="shared" si="43"/>
        <v>2.1850000000000001</v>
      </c>
      <c r="BC57" s="157">
        <f t="shared" si="43"/>
        <v>2.1850000000000001</v>
      </c>
      <c r="BD57" s="157">
        <f t="shared" si="43"/>
        <v>2.1850000000000001</v>
      </c>
      <c r="BE57" s="157">
        <f t="shared" si="43"/>
        <v>2.1850000000000001</v>
      </c>
      <c r="BF57" s="157">
        <f t="shared" si="43"/>
        <v>2.1850000000000001</v>
      </c>
      <c r="BG57" s="157">
        <f t="shared" si="43"/>
        <v>2.1850000000000001</v>
      </c>
      <c r="BH57" s="157">
        <f t="shared" si="43"/>
        <v>2.1850000000000001</v>
      </c>
      <c r="BI57" s="157">
        <f t="shared" si="43"/>
        <v>2.1850000000000001</v>
      </c>
      <c r="BJ57" s="157">
        <f t="shared" si="43"/>
        <v>2.1850000000000001</v>
      </c>
      <c r="BK57" s="157">
        <f t="shared" si="43"/>
        <v>2.1850000000000001</v>
      </c>
      <c r="BL57" s="157">
        <f t="shared" si="43"/>
        <v>2.1850000000000001</v>
      </c>
      <c r="BM57" s="157">
        <f t="shared" si="43"/>
        <v>2.1850000000000001</v>
      </c>
      <c r="BN57" s="157">
        <f t="shared" si="43"/>
        <v>2.1850000000000001</v>
      </c>
      <c r="BO57" s="157">
        <f t="shared" si="43"/>
        <v>2.1850000000000001</v>
      </c>
      <c r="BP57" s="157">
        <f t="shared" si="43"/>
        <v>2.1850000000000001</v>
      </c>
      <c r="BQ57" s="157">
        <f t="shared" si="43"/>
        <v>2.1850000000000001</v>
      </c>
      <c r="BR57" s="157">
        <f t="shared" si="43"/>
        <v>2.1850000000000001</v>
      </c>
      <c r="BS57" s="157">
        <f t="shared" si="43"/>
        <v>2.1850000000000001</v>
      </c>
      <c r="BT57" s="157">
        <f t="shared" si="43"/>
        <v>2.1850000000000001</v>
      </c>
      <c r="BU57" s="157">
        <f t="shared" si="43"/>
        <v>2.1850000000000001</v>
      </c>
      <c r="BV57" s="157">
        <f t="shared" si="43"/>
        <v>2.1850000000000001</v>
      </c>
    </row>
    <row r="58" spans="1:74" x14ac:dyDescent="0.25">
      <c r="A58" s="155" t="s">
        <v>214</v>
      </c>
      <c r="B58" s="159" t="s">
        <v>213</v>
      </c>
      <c r="C58" s="159" t="s">
        <v>242</v>
      </c>
      <c r="D58" s="160">
        <v>3.173</v>
      </c>
      <c r="E58" s="161">
        <v>3.173</v>
      </c>
      <c r="F58" s="161">
        <v>3.173</v>
      </c>
      <c r="G58" s="161">
        <v>3.173</v>
      </c>
      <c r="H58" s="161">
        <v>3.173</v>
      </c>
      <c r="I58" s="161">
        <v>3.173</v>
      </c>
      <c r="J58" s="161">
        <v>3.173</v>
      </c>
      <c r="K58" s="161">
        <v>3.173</v>
      </c>
      <c r="L58" s="161">
        <v>3.173</v>
      </c>
      <c r="M58" s="161">
        <v>3.173</v>
      </c>
      <c r="N58" s="161">
        <v>3.173</v>
      </c>
      <c r="O58" s="161">
        <v>3.173</v>
      </c>
      <c r="P58" s="161">
        <v>3.173</v>
      </c>
      <c r="Q58" s="161">
        <v>3.173</v>
      </c>
      <c r="R58" s="161">
        <v>3.173</v>
      </c>
      <c r="S58" s="161">
        <v>3.173</v>
      </c>
      <c r="T58" s="161">
        <v>3.173</v>
      </c>
      <c r="U58" s="161">
        <v>3.173</v>
      </c>
      <c r="V58" s="161">
        <v>3.173</v>
      </c>
      <c r="W58" s="161">
        <v>3.173</v>
      </c>
      <c r="X58" s="161">
        <v>3.173</v>
      </c>
      <c r="Y58" s="161">
        <v>3.173</v>
      </c>
      <c r="Z58" s="161">
        <v>3.173</v>
      </c>
      <c r="AA58" s="161">
        <v>3.173</v>
      </c>
      <c r="AB58" s="161">
        <v>3.173</v>
      </c>
      <c r="AC58" s="161">
        <v>3.173</v>
      </c>
      <c r="AD58" s="161">
        <v>3.173</v>
      </c>
      <c r="AE58" s="161">
        <v>3.173</v>
      </c>
      <c r="AF58" s="161">
        <v>3.173</v>
      </c>
      <c r="AG58" s="161">
        <v>3.173</v>
      </c>
      <c r="AH58" s="161">
        <v>3.173</v>
      </c>
      <c r="AI58" s="161">
        <v>3.173</v>
      </c>
      <c r="AJ58" s="161">
        <v>3.173</v>
      </c>
      <c r="AK58" s="161">
        <v>3.173</v>
      </c>
      <c r="AL58" s="161">
        <v>3.173</v>
      </c>
      <c r="AM58" s="161">
        <v>3.173</v>
      </c>
      <c r="AN58" s="161">
        <v>3.173</v>
      </c>
      <c r="AO58" s="161">
        <v>3.173</v>
      </c>
      <c r="AP58" s="161">
        <v>3.173</v>
      </c>
      <c r="AQ58" s="161">
        <v>3.173</v>
      </c>
      <c r="AR58" s="161">
        <v>3.173</v>
      </c>
      <c r="AS58" s="157">
        <f t="shared" ref="AS58:BV58" si="44">AR58</f>
        <v>3.173</v>
      </c>
      <c r="AT58" s="157">
        <f t="shared" si="44"/>
        <v>3.173</v>
      </c>
      <c r="AU58" s="157">
        <f t="shared" si="44"/>
        <v>3.173</v>
      </c>
      <c r="AV58" s="157">
        <f t="shared" si="44"/>
        <v>3.173</v>
      </c>
      <c r="AW58" s="157">
        <f t="shared" si="44"/>
        <v>3.173</v>
      </c>
      <c r="AX58" s="157">
        <f t="shared" si="44"/>
        <v>3.173</v>
      </c>
      <c r="AY58" s="157">
        <f t="shared" si="44"/>
        <v>3.173</v>
      </c>
      <c r="AZ58" s="157">
        <f t="shared" si="44"/>
        <v>3.173</v>
      </c>
      <c r="BA58" s="157">
        <f t="shared" si="44"/>
        <v>3.173</v>
      </c>
      <c r="BB58" s="157">
        <f t="shared" si="44"/>
        <v>3.173</v>
      </c>
      <c r="BC58" s="157">
        <f t="shared" si="44"/>
        <v>3.173</v>
      </c>
      <c r="BD58" s="157">
        <f t="shared" si="44"/>
        <v>3.173</v>
      </c>
      <c r="BE58" s="157">
        <f t="shared" si="44"/>
        <v>3.173</v>
      </c>
      <c r="BF58" s="157">
        <f t="shared" si="44"/>
        <v>3.173</v>
      </c>
      <c r="BG58" s="157">
        <f t="shared" si="44"/>
        <v>3.173</v>
      </c>
      <c r="BH58" s="157">
        <f t="shared" si="44"/>
        <v>3.173</v>
      </c>
      <c r="BI58" s="157">
        <f t="shared" si="44"/>
        <v>3.173</v>
      </c>
      <c r="BJ58" s="157">
        <f t="shared" si="44"/>
        <v>3.173</v>
      </c>
      <c r="BK58" s="157">
        <f t="shared" si="44"/>
        <v>3.173</v>
      </c>
      <c r="BL58" s="157">
        <f t="shared" si="44"/>
        <v>3.173</v>
      </c>
      <c r="BM58" s="157">
        <f t="shared" si="44"/>
        <v>3.173</v>
      </c>
      <c r="BN58" s="157">
        <f t="shared" si="44"/>
        <v>3.173</v>
      </c>
      <c r="BO58" s="157">
        <f t="shared" si="44"/>
        <v>3.173</v>
      </c>
      <c r="BP58" s="157">
        <f t="shared" si="44"/>
        <v>3.173</v>
      </c>
      <c r="BQ58" s="157">
        <f t="shared" si="44"/>
        <v>3.173</v>
      </c>
      <c r="BR58" s="157">
        <f t="shared" si="44"/>
        <v>3.173</v>
      </c>
      <c r="BS58" s="157">
        <f t="shared" si="44"/>
        <v>3.173</v>
      </c>
      <c r="BT58" s="157">
        <f t="shared" si="44"/>
        <v>3.173</v>
      </c>
      <c r="BU58" s="157">
        <f t="shared" si="44"/>
        <v>3.173</v>
      </c>
      <c r="BV58" s="157">
        <f t="shared" si="44"/>
        <v>3.173</v>
      </c>
    </row>
    <row r="59" spans="1:74" x14ac:dyDescent="0.25">
      <c r="A59" s="149" t="s">
        <v>215</v>
      </c>
      <c r="B59" s="150" t="s">
        <v>213</v>
      </c>
      <c r="C59" s="162" t="s">
        <v>216</v>
      </c>
      <c r="D59" s="164">
        <v>3.1402534235590034</v>
      </c>
      <c r="E59" s="164">
        <v>3.1437386342138516</v>
      </c>
      <c r="F59" s="164">
        <v>3.1472238448686998</v>
      </c>
      <c r="G59" s="164">
        <v>3.150709055523548</v>
      </c>
      <c r="H59" s="164">
        <v>3.1541942661783962</v>
      </c>
      <c r="I59" s="164">
        <v>3.1576794768332435</v>
      </c>
      <c r="J59" s="164">
        <v>3.1204037042470065</v>
      </c>
      <c r="K59" s="164">
        <v>3.1321149446037881</v>
      </c>
      <c r="L59" s="164">
        <v>3.1350900546239786</v>
      </c>
      <c r="M59" s="164">
        <v>3.1491198801740836</v>
      </c>
      <c r="N59" s="164">
        <v>3.0941218959767625</v>
      </c>
      <c r="O59" s="164">
        <v>3.1737047476854303</v>
      </c>
      <c r="P59" s="164">
        <v>3.2126469391861834</v>
      </c>
      <c r="Q59" s="164">
        <v>3.2329263353711477</v>
      </c>
      <c r="R59" s="164">
        <v>3.2144412599857337</v>
      </c>
      <c r="S59" s="164">
        <v>3.2194583636457068</v>
      </c>
      <c r="T59" s="164">
        <v>3.2229469291507677</v>
      </c>
      <c r="U59" s="164">
        <v>3.2223371008158832</v>
      </c>
      <c r="V59" s="164">
        <v>3.2236559217193155</v>
      </c>
      <c r="W59" s="164">
        <v>3.2224696295495097</v>
      </c>
      <c r="X59" s="164">
        <v>3.227378664697051</v>
      </c>
      <c r="Y59" s="164">
        <v>3.2197199278749782</v>
      </c>
      <c r="Z59" s="164">
        <v>3.21850046760302</v>
      </c>
      <c r="AA59" s="164">
        <v>3.2706829837165587</v>
      </c>
      <c r="AB59" s="164">
        <v>3.140036263626016</v>
      </c>
      <c r="AC59" s="164">
        <v>3.1568155724559741</v>
      </c>
      <c r="AD59" s="164">
        <v>3.1602042460950202</v>
      </c>
      <c r="AE59" s="164">
        <v>3.176878961224753</v>
      </c>
      <c r="AF59" s="164">
        <v>3.176878961224753</v>
      </c>
      <c r="AG59" s="164">
        <v>3.176878961224753</v>
      </c>
      <c r="AH59" s="164">
        <v>3.176878961224753</v>
      </c>
      <c r="AI59" s="164">
        <v>3.176878961224753</v>
      </c>
      <c r="AJ59" s="164">
        <v>3.176878961224753</v>
      </c>
      <c r="AK59" s="164">
        <v>3.176878961224753</v>
      </c>
      <c r="AL59" s="164">
        <v>3.176878961224753</v>
      </c>
      <c r="AM59" s="164">
        <v>3.176878961224753</v>
      </c>
      <c r="AN59" s="164">
        <v>3.176878961224753</v>
      </c>
      <c r="AO59" s="164">
        <v>3.176878961224753</v>
      </c>
      <c r="AP59" s="164">
        <v>3.176878961224753</v>
      </c>
      <c r="AQ59" s="164">
        <v>3.176878961224753</v>
      </c>
      <c r="AR59" s="164">
        <v>3.176878961224753</v>
      </c>
      <c r="AS59" s="157">
        <f t="shared" ref="AS59:BV59" si="45">AR59</f>
        <v>3.176878961224753</v>
      </c>
      <c r="AT59" s="157">
        <f t="shared" si="45"/>
        <v>3.176878961224753</v>
      </c>
      <c r="AU59" s="157">
        <f t="shared" si="45"/>
        <v>3.176878961224753</v>
      </c>
      <c r="AV59" s="157">
        <f t="shared" si="45"/>
        <v>3.176878961224753</v>
      </c>
      <c r="AW59" s="157">
        <f t="shared" si="45"/>
        <v>3.176878961224753</v>
      </c>
      <c r="AX59" s="157">
        <f t="shared" si="45"/>
        <v>3.176878961224753</v>
      </c>
      <c r="AY59" s="157">
        <f t="shared" si="45"/>
        <v>3.176878961224753</v>
      </c>
      <c r="AZ59" s="157">
        <f t="shared" si="45"/>
        <v>3.176878961224753</v>
      </c>
      <c r="BA59" s="157">
        <f t="shared" si="45"/>
        <v>3.176878961224753</v>
      </c>
      <c r="BB59" s="157">
        <f t="shared" si="45"/>
        <v>3.176878961224753</v>
      </c>
      <c r="BC59" s="157">
        <f t="shared" si="45"/>
        <v>3.176878961224753</v>
      </c>
      <c r="BD59" s="157">
        <f t="shared" si="45"/>
        <v>3.176878961224753</v>
      </c>
      <c r="BE59" s="157">
        <f t="shared" si="45"/>
        <v>3.176878961224753</v>
      </c>
      <c r="BF59" s="157">
        <f t="shared" si="45"/>
        <v>3.176878961224753</v>
      </c>
      <c r="BG59" s="157">
        <f t="shared" si="45"/>
        <v>3.176878961224753</v>
      </c>
      <c r="BH59" s="157">
        <f t="shared" si="45"/>
        <v>3.176878961224753</v>
      </c>
      <c r="BI59" s="157">
        <f t="shared" si="45"/>
        <v>3.176878961224753</v>
      </c>
      <c r="BJ59" s="157">
        <f t="shared" si="45"/>
        <v>3.176878961224753</v>
      </c>
      <c r="BK59" s="157">
        <f t="shared" si="45"/>
        <v>3.176878961224753</v>
      </c>
      <c r="BL59" s="157">
        <f t="shared" si="45"/>
        <v>3.176878961224753</v>
      </c>
      <c r="BM59" s="157">
        <f t="shared" si="45"/>
        <v>3.176878961224753</v>
      </c>
      <c r="BN59" s="157">
        <f t="shared" si="45"/>
        <v>3.176878961224753</v>
      </c>
      <c r="BO59" s="157">
        <f t="shared" si="45"/>
        <v>3.176878961224753</v>
      </c>
      <c r="BP59" s="157">
        <f t="shared" si="45"/>
        <v>3.176878961224753</v>
      </c>
      <c r="BQ59" s="157">
        <f t="shared" si="45"/>
        <v>3.176878961224753</v>
      </c>
      <c r="BR59" s="157">
        <f t="shared" si="45"/>
        <v>3.176878961224753</v>
      </c>
      <c r="BS59" s="157">
        <f t="shared" si="45"/>
        <v>3.176878961224753</v>
      </c>
      <c r="BT59" s="157">
        <f t="shared" si="45"/>
        <v>3.176878961224753</v>
      </c>
      <c r="BU59" s="157">
        <f t="shared" si="45"/>
        <v>3.176878961224753</v>
      </c>
      <c r="BV59" s="157">
        <f t="shared" si="45"/>
        <v>3.176878961224753</v>
      </c>
    </row>
    <row r="60" spans="1:74" x14ac:dyDescent="0.25">
      <c r="A60" s="155" t="s">
        <v>217</v>
      </c>
      <c r="B60" s="159" t="s">
        <v>218</v>
      </c>
      <c r="C60" s="159" t="s">
        <v>242</v>
      </c>
      <c r="D60" s="160">
        <v>0.68700000000000006</v>
      </c>
      <c r="E60" s="161">
        <v>0.68700000000000006</v>
      </c>
      <c r="F60" s="161">
        <v>0.68700000000000006</v>
      </c>
      <c r="G60" s="161">
        <v>0.68700000000000006</v>
      </c>
      <c r="H60" s="161">
        <v>0.68700000000000006</v>
      </c>
      <c r="I60" s="161">
        <v>0.68700000000000006</v>
      </c>
      <c r="J60" s="161">
        <v>0.68700000000000006</v>
      </c>
      <c r="K60" s="161">
        <v>0.68700000000000006</v>
      </c>
      <c r="L60" s="161">
        <v>0.68700000000000006</v>
      </c>
      <c r="M60" s="161">
        <v>0.68700000000000006</v>
      </c>
      <c r="N60" s="161">
        <v>0.68700000000000006</v>
      </c>
      <c r="O60" s="161">
        <v>0.68700000000000006</v>
      </c>
      <c r="P60" s="161">
        <v>0.68700000000000006</v>
      </c>
      <c r="Q60" s="161">
        <v>0.68700000000000006</v>
      </c>
      <c r="R60" s="161">
        <v>0.68700000000000006</v>
      </c>
      <c r="S60" s="161">
        <v>0.68700000000000006</v>
      </c>
      <c r="T60" s="161">
        <v>0.68700000000000006</v>
      </c>
      <c r="U60" s="161">
        <v>0.68700000000000006</v>
      </c>
      <c r="V60" s="161">
        <v>0.68700000000000006</v>
      </c>
      <c r="W60" s="161">
        <v>0.68700000000000006</v>
      </c>
      <c r="X60" s="161">
        <v>0.68700000000000006</v>
      </c>
      <c r="Y60" s="161">
        <v>0.68700000000000006</v>
      </c>
      <c r="Z60" s="161">
        <v>0.68700000000000006</v>
      </c>
      <c r="AA60" s="161">
        <v>0.68700000000000006</v>
      </c>
      <c r="AB60" s="161">
        <v>0.68700000000000006</v>
      </c>
      <c r="AC60" s="161">
        <v>0.68700000000000006</v>
      </c>
      <c r="AD60" s="161">
        <v>0.68700000000000006</v>
      </c>
      <c r="AE60" s="161">
        <v>0.68700000000000006</v>
      </c>
      <c r="AF60" s="161">
        <v>0.68700000000000006</v>
      </c>
      <c r="AG60" s="161">
        <v>0.68700000000000006</v>
      </c>
      <c r="AH60" s="161">
        <v>0.68700000000000006</v>
      </c>
      <c r="AI60" s="161">
        <v>0.68700000000000006</v>
      </c>
      <c r="AJ60" s="161">
        <v>0.68700000000000006</v>
      </c>
      <c r="AK60" s="161">
        <v>0.68700000000000006</v>
      </c>
      <c r="AL60" s="161">
        <v>0.68700000000000006</v>
      </c>
      <c r="AM60" s="161">
        <v>0.68700000000000006</v>
      </c>
      <c r="AN60" s="161">
        <v>0.68700000000000006</v>
      </c>
      <c r="AO60" s="161">
        <v>0.68700000000000006</v>
      </c>
      <c r="AP60" s="161">
        <v>0.68700000000000006</v>
      </c>
      <c r="AQ60" s="161">
        <v>0.68700000000000006</v>
      </c>
      <c r="AR60" s="161">
        <v>0.68700000000000006</v>
      </c>
      <c r="AS60" s="157">
        <f t="shared" ref="AS60:BV60" si="46">AR60</f>
        <v>0.68700000000000006</v>
      </c>
      <c r="AT60" s="157">
        <f t="shared" si="46"/>
        <v>0.68700000000000006</v>
      </c>
      <c r="AU60" s="157">
        <f t="shared" si="46"/>
        <v>0.68700000000000006</v>
      </c>
      <c r="AV60" s="157">
        <f t="shared" si="46"/>
        <v>0.68700000000000006</v>
      </c>
      <c r="AW60" s="157">
        <f t="shared" si="46"/>
        <v>0.68700000000000006</v>
      </c>
      <c r="AX60" s="157">
        <f t="shared" si="46"/>
        <v>0.68700000000000006</v>
      </c>
      <c r="AY60" s="157">
        <f t="shared" si="46"/>
        <v>0.68700000000000006</v>
      </c>
      <c r="AZ60" s="157">
        <f t="shared" si="46"/>
        <v>0.68700000000000006</v>
      </c>
      <c r="BA60" s="157">
        <f t="shared" si="46"/>
        <v>0.68700000000000006</v>
      </c>
      <c r="BB60" s="157">
        <f t="shared" si="46"/>
        <v>0.68700000000000006</v>
      </c>
      <c r="BC60" s="157">
        <f t="shared" si="46"/>
        <v>0.68700000000000006</v>
      </c>
      <c r="BD60" s="157">
        <f t="shared" si="46"/>
        <v>0.68700000000000006</v>
      </c>
      <c r="BE60" s="157">
        <f t="shared" si="46"/>
        <v>0.68700000000000006</v>
      </c>
      <c r="BF60" s="157">
        <f t="shared" si="46"/>
        <v>0.68700000000000006</v>
      </c>
      <c r="BG60" s="157">
        <f t="shared" si="46"/>
        <v>0.68700000000000006</v>
      </c>
      <c r="BH60" s="157">
        <f t="shared" si="46"/>
        <v>0.68700000000000006</v>
      </c>
      <c r="BI60" s="157">
        <f t="shared" si="46"/>
        <v>0.68700000000000006</v>
      </c>
      <c r="BJ60" s="157">
        <f t="shared" si="46"/>
        <v>0.68700000000000006</v>
      </c>
      <c r="BK60" s="157">
        <f t="shared" si="46"/>
        <v>0.68700000000000006</v>
      </c>
      <c r="BL60" s="157">
        <f t="shared" si="46"/>
        <v>0.68700000000000006</v>
      </c>
      <c r="BM60" s="157">
        <f t="shared" si="46"/>
        <v>0.68700000000000006</v>
      </c>
      <c r="BN60" s="157">
        <f t="shared" si="46"/>
        <v>0.68700000000000006</v>
      </c>
      <c r="BO60" s="157">
        <f t="shared" si="46"/>
        <v>0.68700000000000006</v>
      </c>
      <c r="BP60" s="157">
        <f t="shared" si="46"/>
        <v>0.68700000000000006</v>
      </c>
      <c r="BQ60" s="157">
        <f t="shared" si="46"/>
        <v>0.68700000000000006</v>
      </c>
      <c r="BR60" s="157">
        <f t="shared" si="46"/>
        <v>0.68700000000000006</v>
      </c>
      <c r="BS60" s="157">
        <f t="shared" si="46"/>
        <v>0.68700000000000006</v>
      </c>
      <c r="BT60" s="157">
        <f t="shared" si="46"/>
        <v>0.68700000000000006</v>
      </c>
      <c r="BU60" s="157">
        <f t="shared" si="46"/>
        <v>0.68700000000000006</v>
      </c>
      <c r="BV60" s="157">
        <f t="shared" si="46"/>
        <v>0.68700000000000006</v>
      </c>
    </row>
    <row r="61" spans="1:74" x14ac:dyDescent="0.25">
      <c r="A61" s="155" t="s">
        <v>12</v>
      </c>
      <c r="B61" s="156" t="s">
        <v>207</v>
      </c>
      <c r="C61" s="159" t="s">
        <v>243</v>
      </c>
      <c r="D61" s="160">
        <v>2.69</v>
      </c>
      <c r="E61" s="161">
        <v>2.69</v>
      </c>
      <c r="F61" s="161">
        <v>2.69</v>
      </c>
      <c r="G61" s="161">
        <v>2.69</v>
      </c>
      <c r="H61" s="161">
        <v>2.69</v>
      </c>
      <c r="I61" s="161">
        <v>2.69</v>
      </c>
      <c r="J61" s="161">
        <v>2.69</v>
      </c>
      <c r="K61" s="161">
        <v>2.69</v>
      </c>
      <c r="L61" s="161">
        <v>2.69</v>
      </c>
      <c r="M61" s="161">
        <v>2.69</v>
      </c>
      <c r="N61" s="161">
        <v>2.69</v>
      </c>
      <c r="O61" s="161">
        <v>2.69</v>
      </c>
      <c r="P61" s="161">
        <v>2.69</v>
      </c>
      <c r="Q61" s="161">
        <v>2.69</v>
      </c>
      <c r="R61" s="161">
        <v>2.69</v>
      </c>
      <c r="S61" s="161">
        <v>2.69</v>
      </c>
      <c r="T61" s="161">
        <v>2.69</v>
      </c>
      <c r="U61" s="161">
        <v>2.69</v>
      </c>
      <c r="V61" s="161">
        <v>2.69</v>
      </c>
      <c r="W61" s="161">
        <v>2.69</v>
      </c>
      <c r="X61" s="161">
        <v>2.69</v>
      </c>
      <c r="Y61" s="161">
        <v>2.69</v>
      </c>
      <c r="Z61" s="161">
        <v>2.69</v>
      </c>
      <c r="AA61" s="161">
        <v>2.69</v>
      </c>
      <c r="AB61" s="161">
        <v>2.69</v>
      </c>
      <c r="AC61" s="161">
        <v>2.69</v>
      </c>
      <c r="AD61" s="161">
        <v>2.69</v>
      </c>
      <c r="AE61" s="161">
        <v>2.69</v>
      </c>
      <c r="AF61" s="161">
        <v>2.69</v>
      </c>
      <c r="AG61" s="161">
        <v>2.69</v>
      </c>
      <c r="AH61" s="161">
        <v>2.69</v>
      </c>
      <c r="AI61" s="161">
        <v>2.69</v>
      </c>
      <c r="AJ61" s="161">
        <v>2.69</v>
      </c>
      <c r="AK61" s="161">
        <v>2.69</v>
      </c>
      <c r="AL61" s="161">
        <v>2.69</v>
      </c>
      <c r="AM61" s="161">
        <v>2.69</v>
      </c>
      <c r="AN61" s="161">
        <v>2.69</v>
      </c>
      <c r="AO61" s="161">
        <v>2.69</v>
      </c>
      <c r="AP61" s="161">
        <v>2.69</v>
      </c>
      <c r="AQ61" s="161">
        <v>2.69</v>
      </c>
      <c r="AR61" s="161">
        <v>2.69</v>
      </c>
      <c r="AS61" s="157">
        <f t="shared" ref="AS61:BV62" si="47">AR61</f>
        <v>2.69</v>
      </c>
      <c r="AT61" s="157">
        <f t="shared" si="47"/>
        <v>2.69</v>
      </c>
      <c r="AU61" s="157">
        <f t="shared" si="47"/>
        <v>2.69</v>
      </c>
      <c r="AV61" s="157">
        <f t="shared" si="47"/>
        <v>2.69</v>
      </c>
      <c r="AW61" s="157">
        <f t="shared" si="47"/>
        <v>2.69</v>
      </c>
      <c r="AX61" s="157">
        <f t="shared" si="47"/>
        <v>2.69</v>
      </c>
      <c r="AY61" s="157">
        <f t="shared" si="47"/>
        <v>2.69</v>
      </c>
      <c r="AZ61" s="157">
        <f t="shared" si="47"/>
        <v>2.69</v>
      </c>
      <c r="BA61" s="157">
        <f t="shared" si="47"/>
        <v>2.69</v>
      </c>
      <c r="BB61" s="157">
        <f t="shared" si="47"/>
        <v>2.69</v>
      </c>
      <c r="BC61" s="157">
        <f t="shared" si="47"/>
        <v>2.69</v>
      </c>
      <c r="BD61" s="157">
        <f t="shared" si="47"/>
        <v>2.69</v>
      </c>
      <c r="BE61" s="157">
        <f t="shared" si="47"/>
        <v>2.69</v>
      </c>
      <c r="BF61" s="157">
        <f t="shared" si="47"/>
        <v>2.69</v>
      </c>
      <c r="BG61" s="157">
        <f t="shared" si="47"/>
        <v>2.69</v>
      </c>
      <c r="BH61" s="157">
        <f t="shared" si="47"/>
        <v>2.69</v>
      </c>
      <c r="BI61" s="157">
        <f t="shared" si="47"/>
        <v>2.69</v>
      </c>
      <c r="BJ61" s="157">
        <f t="shared" si="47"/>
        <v>2.69</v>
      </c>
      <c r="BK61" s="157">
        <f t="shared" si="47"/>
        <v>2.69</v>
      </c>
      <c r="BL61" s="157">
        <f t="shared" si="47"/>
        <v>2.69</v>
      </c>
      <c r="BM61" s="157">
        <f t="shared" si="47"/>
        <v>2.69</v>
      </c>
      <c r="BN61" s="157">
        <f t="shared" si="47"/>
        <v>2.69</v>
      </c>
      <c r="BO61" s="157">
        <f t="shared" si="47"/>
        <v>2.69</v>
      </c>
      <c r="BP61" s="157">
        <f t="shared" si="47"/>
        <v>2.69</v>
      </c>
      <c r="BQ61" s="157">
        <f t="shared" si="47"/>
        <v>2.69</v>
      </c>
      <c r="BR61" s="157">
        <f t="shared" si="47"/>
        <v>2.69</v>
      </c>
      <c r="BS61" s="157">
        <f t="shared" si="47"/>
        <v>2.69</v>
      </c>
      <c r="BT61" s="157">
        <f t="shared" si="47"/>
        <v>2.69</v>
      </c>
      <c r="BU61" s="157">
        <f t="shared" si="47"/>
        <v>2.69</v>
      </c>
      <c r="BV61" s="157">
        <f t="shared" si="47"/>
        <v>2.69</v>
      </c>
    </row>
    <row r="62" spans="1:74" x14ac:dyDescent="0.25">
      <c r="A62" s="155" t="s">
        <v>2</v>
      </c>
      <c r="B62" s="156" t="s">
        <v>219</v>
      </c>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57">
        <f t="shared" si="47"/>
        <v>0</v>
      </c>
      <c r="AT62" s="157">
        <f t="shared" si="47"/>
        <v>0</v>
      </c>
      <c r="AU62" s="157">
        <f t="shared" si="47"/>
        <v>0</v>
      </c>
      <c r="AV62" s="157">
        <f t="shared" si="47"/>
        <v>0</v>
      </c>
      <c r="AW62" s="157">
        <f t="shared" si="47"/>
        <v>0</v>
      </c>
      <c r="AX62" s="157">
        <f t="shared" si="47"/>
        <v>0</v>
      </c>
      <c r="AY62" s="157">
        <f t="shared" si="47"/>
        <v>0</v>
      </c>
      <c r="AZ62" s="157">
        <f t="shared" si="47"/>
        <v>0</v>
      </c>
      <c r="BA62" s="157">
        <f t="shared" si="47"/>
        <v>0</v>
      </c>
      <c r="BB62" s="157">
        <f t="shared" si="47"/>
        <v>0</v>
      </c>
      <c r="BC62" s="157">
        <f t="shared" si="47"/>
        <v>0</v>
      </c>
      <c r="BD62" s="157">
        <f t="shared" si="47"/>
        <v>0</v>
      </c>
      <c r="BE62" s="157">
        <f t="shared" si="47"/>
        <v>0</v>
      </c>
      <c r="BF62" s="157">
        <f t="shared" si="47"/>
        <v>0</v>
      </c>
      <c r="BG62" s="157">
        <f t="shared" si="47"/>
        <v>0</v>
      </c>
      <c r="BH62" s="157">
        <f t="shared" si="47"/>
        <v>0</v>
      </c>
      <c r="BI62" s="157">
        <f t="shared" si="47"/>
        <v>0</v>
      </c>
      <c r="BJ62" s="157">
        <f t="shared" si="47"/>
        <v>0</v>
      </c>
      <c r="BK62" s="157">
        <f t="shared" si="47"/>
        <v>0</v>
      </c>
      <c r="BL62" s="157">
        <f t="shared" si="47"/>
        <v>0</v>
      </c>
      <c r="BM62" s="157">
        <f t="shared" si="47"/>
        <v>0</v>
      </c>
      <c r="BN62" s="157">
        <f t="shared" si="47"/>
        <v>0</v>
      </c>
      <c r="BO62" s="157">
        <f t="shared" si="47"/>
        <v>0</v>
      </c>
      <c r="BP62" s="157">
        <f t="shared" si="47"/>
        <v>0</v>
      </c>
      <c r="BQ62" s="157">
        <f t="shared" si="47"/>
        <v>0</v>
      </c>
      <c r="BR62" s="157">
        <f t="shared" si="47"/>
        <v>0</v>
      </c>
      <c r="BS62" s="157">
        <f t="shared" si="47"/>
        <v>0</v>
      </c>
      <c r="BT62" s="157">
        <f t="shared" si="47"/>
        <v>0</v>
      </c>
      <c r="BU62" s="157">
        <f t="shared" si="47"/>
        <v>0</v>
      </c>
      <c r="BV62" s="157">
        <f t="shared" si="47"/>
        <v>0</v>
      </c>
    </row>
    <row r="63" spans="1:74" x14ac:dyDescent="0.25">
      <c r="A63" s="149" t="s">
        <v>220</v>
      </c>
      <c r="B63" s="156" t="s">
        <v>207</v>
      </c>
      <c r="C63" s="159" t="s">
        <v>239</v>
      </c>
      <c r="D63" s="160">
        <v>1.5089999999999999</v>
      </c>
      <c r="E63" s="161">
        <v>1.5089999999999999</v>
      </c>
      <c r="F63" s="161">
        <v>1.5089999999999999</v>
      </c>
      <c r="G63" s="161">
        <v>1.5089999999999999</v>
      </c>
      <c r="H63" s="161">
        <v>1.5089999999999999</v>
      </c>
      <c r="I63" s="161">
        <v>1.5089999999999999</v>
      </c>
      <c r="J63" s="161">
        <v>1.5089999999999999</v>
      </c>
      <c r="K63" s="161">
        <v>1.5089999999999999</v>
      </c>
      <c r="L63" s="161">
        <v>1.5089999999999999</v>
      </c>
      <c r="M63" s="161">
        <v>1.5089999999999999</v>
      </c>
      <c r="N63" s="161">
        <v>1.5089999999999999</v>
      </c>
      <c r="O63" s="161">
        <v>1.5089999999999999</v>
      </c>
      <c r="P63" s="161">
        <v>1.5089999999999999</v>
      </c>
      <c r="Q63" s="161">
        <v>1.5089999999999999</v>
      </c>
      <c r="R63" s="161">
        <v>1.5089999999999999</v>
      </c>
      <c r="S63" s="161">
        <v>1.5089999999999999</v>
      </c>
      <c r="T63" s="161">
        <v>1.5089999999999999</v>
      </c>
      <c r="U63" s="161">
        <v>1.5089999999999999</v>
      </c>
      <c r="V63" s="161">
        <v>1.5089999999999999</v>
      </c>
      <c r="W63" s="161">
        <v>1.5089999999999999</v>
      </c>
      <c r="X63" s="161">
        <v>1.5089999999999999</v>
      </c>
      <c r="Y63" s="161">
        <v>1.5089999999999999</v>
      </c>
      <c r="Z63" s="161">
        <v>1.5089999999999999</v>
      </c>
      <c r="AA63" s="161">
        <v>1.5089999999999999</v>
      </c>
      <c r="AB63" s="161">
        <v>1.5089999999999999</v>
      </c>
      <c r="AC63" s="161">
        <v>1.5089999999999999</v>
      </c>
      <c r="AD63" s="161">
        <v>1.5089999999999999</v>
      </c>
      <c r="AE63" s="161">
        <v>1.5089999999999999</v>
      </c>
      <c r="AF63" s="161">
        <v>1.5089999999999999</v>
      </c>
      <c r="AG63" s="161">
        <v>1.5089999999999999</v>
      </c>
      <c r="AH63" s="161">
        <v>1.5089999999999999</v>
      </c>
      <c r="AI63" s="161">
        <v>1.5089999999999999</v>
      </c>
      <c r="AJ63" s="161">
        <v>1.5089999999999999</v>
      </c>
      <c r="AK63" s="161">
        <v>1.5089999999999999</v>
      </c>
      <c r="AL63" s="161">
        <v>1.5089999999999999</v>
      </c>
      <c r="AM63" s="161">
        <v>1.5089999999999999</v>
      </c>
      <c r="AN63" s="161">
        <v>1.5089999999999999</v>
      </c>
      <c r="AO63" s="161">
        <v>1.5089999999999999</v>
      </c>
      <c r="AP63" s="161">
        <v>1.5089999999999999</v>
      </c>
      <c r="AQ63" s="161">
        <v>1.5089999999999999</v>
      </c>
      <c r="AR63" s="161">
        <v>1.5089999999999999</v>
      </c>
      <c r="AS63" s="157">
        <f t="shared" ref="AS63:BV63" si="48">AR63</f>
        <v>1.5089999999999999</v>
      </c>
      <c r="AT63" s="157">
        <f t="shared" si="48"/>
        <v>1.5089999999999999</v>
      </c>
      <c r="AU63" s="157">
        <f t="shared" si="48"/>
        <v>1.5089999999999999</v>
      </c>
      <c r="AV63" s="157">
        <f t="shared" si="48"/>
        <v>1.5089999999999999</v>
      </c>
      <c r="AW63" s="157">
        <f t="shared" si="48"/>
        <v>1.5089999999999999</v>
      </c>
      <c r="AX63" s="157">
        <f t="shared" si="48"/>
        <v>1.5089999999999999</v>
      </c>
      <c r="AY63" s="157">
        <f t="shared" si="48"/>
        <v>1.5089999999999999</v>
      </c>
      <c r="AZ63" s="157">
        <f t="shared" si="48"/>
        <v>1.5089999999999999</v>
      </c>
      <c r="BA63" s="157">
        <f t="shared" si="48"/>
        <v>1.5089999999999999</v>
      </c>
      <c r="BB63" s="157">
        <f t="shared" si="48"/>
        <v>1.5089999999999999</v>
      </c>
      <c r="BC63" s="157">
        <f t="shared" si="48"/>
        <v>1.5089999999999999</v>
      </c>
      <c r="BD63" s="157">
        <f t="shared" si="48"/>
        <v>1.5089999999999999</v>
      </c>
      <c r="BE63" s="157">
        <f t="shared" si="48"/>
        <v>1.5089999999999999</v>
      </c>
      <c r="BF63" s="157">
        <f t="shared" si="48"/>
        <v>1.5089999999999999</v>
      </c>
      <c r="BG63" s="157">
        <f t="shared" si="48"/>
        <v>1.5089999999999999</v>
      </c>
      <c r="BH63" s="157">
        <f t="shared" si="48"/>
        <v>1.5089999999999999</v>
      </c>
      <c r="BI63" s="157">
        <f t="shared" si="48"/>
        <v>1.5089999999999999</v>
      </c>
      <c r="BJ63" s="157">
        <f t="shared" si="48"/>
        <v>1.5089999999999999</v>
      </c>
      <c r="BK63" s="157">
        <f t="shared" si="48"/>
        <v>1.5089999999999999</v>
      </c>
      <c r="BL63" s="157">
        <f t="shared" si="48"/>
        <v>1.5089999999999999</v>
      </c>
      <c r="BM63" s="157">
        <f t="shared" si="48"/>
        <v>1.5089999999999999</v>
      </c>
      <c r="BN63" s="157">
        <f t="shared" si="48"/>
        <v>1.5089999999999999</v>
      </c>
      <c r="BO63" s="157">
        <f t="shared" si="48"/>
        <v>1.5089999999999999</v>
      </c>
      <c r="BP63" s="157">
        <f t="shared" si="48"/>
        <v>1.5089999999999999</v>
      </c>
      <c r="BQ63" s="157">
        <f t="shared" si="48"/>
        <v>1.5089999999999999</v>
      </c>
      <c r="BR63" s="157">
        <f t="shared" si="48"/>
        <v>1.5089999999999999</v>
      </c>
      <c r="BS63" s="157">
        <f t="shared" si="48"/>
        <v>1.5089999999999999</v>
      </c>
      <c r="BT63" s="157">
        <f t="shared" si="48"/>
        <v>1.5089999999999999</v>
      </c>
      <c r="BU63" s="157">
        <f t="shared" si="48"/>
        <v>1.5089999999999999</v>
      </c>
      <c r="BV63" s="157">
        <f t="shared" si="48"/>
        <v>1.5089999999999999</v>
      </c>
    </row>
    <row r="64" spans="1:74" x14ac:dyDescent="0.25">
      <c r="A64" s="149" t="s">
        <v>221</v>
      </c>
      <c r="B64" s="156" t="s">
        <v>218</v>
      </c>
      <c r="C64" s="170" t="s">
        <v>222</v>
      </c>
      <c r="D64" s="164">
        <v>1.8094491006981506</v>
      </c>
      <c r="E64" s="164">
        <v>1.8170652073168834</v>
      </c>
      <c r="F64" s="164">
        <v>1.8246813139356162</v>
      </c>
      <c r="G64" s="164">
        <v>1.832297420554349</v>
      </c>
      <c r="H64" s="164">
        <v>1.8399135271730818</v>
      </c>
      <c r="I64" s="164">
        <v>1.8475296337918148</v>
      </c>
      <c r="J64" s="164">
        <v>1.8059594115383604</v>
      </c>
      <c r="K64" s="164">
        <v>1.7840159855265627</v>
      </c>
      <c r="L64" s="164">
        <v>1.6814452104000452</v>
      </c>
      <c r="M64" s="164">
        <v>1.806534775631629</v>
      </c>
      <c r="N64" s="164">
        <v>1.687151236651262</v>
      </c>
      <c r="O64" s="164">
        <v>1.6489191618513557</v>
      </c>
      <c r="P64" s="164">
        <v>1.6631729764846441</v>
      </c>
      <c r="Q64" s="164">
        <v>1.6972370960472898</v>
      </c>
      <c r="R64" s="164">
        <v>1.7049834593259741</v>
      </c>
      <c r="S64" s="164">
        <v>1.7167249085470579</v>
      </c>
      <c r="T64" s="164">
        <v>1.7524360079447441</v>
      </c>
      <c r="U64" s="164">
        <v>1.7609636412246565</v>
      </c>
      <c r="V64" s="164">
        <v>1.7030148656367128</v>
      </c>
      <c r="W64" s="164">
        <v>1.7225359244387766</v>
      </c>
      <c r="X64" s="164">
        <v>1.8425807362701769</v>
      </c>
      <c r="Y64" s="164">
        <v>1.8370612962136779</v>
      </c>
      <c r="Z64" s="164">
        <v>1.7374945295387592</v>
      </c>
      <c r="AA64" s="164">
        <v>1.7616159945525847</v>
      </c>
      <c r="AB64" s="164">
        <v>1.7516108075071695</v>
      </c>
      <c r="AC64" s="164">
        <v>1.7742360750241712</v>
      </c>
      <c r="AD64" s="164">
        <v>1.8011747025306337</v>
      </c>
      <c r="AE64" s="164">
        <v>1.8244332082893515</v>
      </c>
      <c r="AF64" s="164">
        <v>1.8244332082893515</v>
      </c>
      <c r="AG64" s="164">
        <v>1.8244332082893515</v>
      </c>
      <c r="AH64" s="164">
        <v>1.8244332082893515</v>
      </c>
      <c r="AI64" s="164">
        <v>1.8244332082893515</v>
      </c>
      <c r="AJ64" s="164">
        <v>1.8244332082893515</v>
      </c>
      <c r="AK64" s="164">
        <v>1.8244332082893515</v>
      </c>
      <c r="AL64" s="164">
        <v>1.8244332082893515</v>
      </c>
      <c r="AM64" s="164">
        <v>1.8244332082893515</v>
      </c>
      <c r="AN64" s="164">
        <v>1.8244332082893515</v>
      </c>
      <c r="AO64" s="164">
        <v>1.8244332082893515</v>
      </c>
      <c r="AP64" s="164">
        <v>1.8244332082893515</v>
      </c>
      <c r="AQ64" s="164">
        <v>1.8244332082893515</v>
      </c>
      <c r="AR64" s="164">
        <v>1.8244332082893515</v>
      </c>
      <c r="AS64" s="157">
        <f t="shared" ref="AS64:BV64" si="49">AR64</f>
        <v>1.8244332082893515</v>
      </c>
      <c r="AT64" s="157">
        <f t="shared" si="49"/>
        <v>1.8244332082893515</v>
      </c>
      <c r="AU64" s="157">
        <f t="shared" si="49"/>
        <v>1.8244332082893515</v>
      </c>
      <c r="AV64" s="157">
        <f t="shared" si="49"/>
        <v>1.8244332082893515</v>
      </c>
      <c r="AW64" s="157">
        <f t="shared" si="49"/>
        <v>1.8244332082893515</v>
      </c>
      <c r="AX64" s="157">
        <f t="shared" si="49"/>
        <v>1.8244332082893515</v>
      </c>
      <c r="AY64" s="157">
        <f t="shared" si="49"/>
        <v>1.8244332082893515</v>
      </c>
      <c r="AZ64" s="157">
        <f t="shared" si="49"/>
        <v>1.8244332082893515</v>
      </c>
      <c r="BA64" s="157">
        <f t="shared" si="49"/>
        <v>1.8244332082893515</v>
      </c>
      <c r="BB64" s="157">
        <f t="shared" si="49"/>
        <v>1.8244332082893515</v>
      </c>
      <c r="BC64" s="157">
        <f t="shared" si="49"/>
        <v>1.8244332082893515</v>
      </c>
      <c r="BD64" s="157">
        <f t="shared" si="49"/>
        <v>1.8244332082893515</v>
      </c>
      <c r="BE64" s="157">
        <f t="shared" si="49"/>
        <v>1.8244332082893515</v>
      </c>
      <c r="BF64" s="157">
        <f t="shared" si="49"/>
        <v>1.8244332082893515</v>
      </c>
      <c r="BG64" s="157">
        <f t="shared" si="49"/>
        <v>1.8244332082893515</v>
      </c>
      <c r="BH64" s="157">
        <f t="shared" si="49"/>
        <v>1.8244332082893515</v>
      </c>
      <c r="BI64" s="157">
        <f t="shared" si="49"/>
        <v>1.8244332082893515</v>
      </c>
      <c r="BJ64" s="157">
        <f t="shared" si="49"/>
        <v>1.8244332082893515</v>
      </c>
      <c r="BK64" s="157">
        <f t="shared" si="49"/>
        <v>1.8244332082893515</v>
      </c>
      <c r="BL64" s="157">
        <f t="shared" si="49"/>
        <v>1.8244332082893515</v>
      </c>
      <c r="BM64" s="157">
        <f t="shared" si="49"/>
        <v>1.8244332082893515</v>
      </c>
      <c r="BN64" s="157">
        <f t="shared" si="49"/>
        <v>1.8244332082893515</v>
      </c>
      <c r="BO64" s="157">
        <f t="shared" si="49"/>
        <v>1.8244332082893515</v>
      </c>
      <c r="BP64" s="157">
        <f t="shared" si="49"/>
        <v>1.8244332082893515</v>
      </c>
      <c r="BQ64" s="157">
        <f t="shared" si="49"/>
        <v>1.8244332082893515</v>
      </c>
      <c r="BR64" s="157">
        <f t="shared" si="49"/>
        <v>1.8244332082893515</v>
      </c>
      <c r="BS64" s="157">
        <f t="shared" si="49"/>
        <v>1.8244332082893515</v>
      </c>
      <c r="BT64" s="157">
        <f t="shared" si="49"/>
        <v>1.8244332082893515</v>
      </c>
      <c r="BU64" s="157">
        <f t="shared" si="49"/>
        <v>1.8244332082893515</v>
      </c>
      <c r="BV64" s="157">
        <f t="shared" si="49"/>
        <v>1.8244332082893515</v>
      </c>
    </row>
    <row r="65" spans="1:74" x14ac:dyDescent="0.25">
      <c r="A65" s="149" t="s">
        <v>223</v>
      </c>
      <c r="B65" s="156" t="s">
        <v>207</v>
      </c>
      <c r="C65" s="159" t="s">
        <v>243</v>
      </c>
      <c r="D65" s="160">
        <v>2.3159999999999998</v>
      </c>
      <c r="E65" s="161">
        <v>2.3159999999999998</v>
      </c>
      <c r="F65" s="161">
        <v>2.3159999999999998</v>
      </c>
      <c r="G65" s="161">
        <v>2.3159999999999998</v>
      </c>
      <c r="H65" s="161">
        <v>2.3159999999999998</v>
      </c>
      <c r="I65" s="161">
        <v>2.3159999999999998</v>
      </c>
      <c r="J65" s="161">
        <v>2.3159999999999998</v>
      </c>
      <c r="K65" s="161">
        <v>2.3159999999999998</v>
      </c>
      <c r="L65" s="161">
        <v>2.3159999999999998</v>
      </c>
      <c r="M65" s="161">
        <v>2.3159999999999998</v>
      </c>
      <c r="N65" s="161">
        <v>2.3159999999999998</v>
      </c>
      <c r="O65" s="161">
        <v>2.3159999999999998</v>
      </c>
      <c r="P65" s="161">
        <v>2.3159999999999998</v>
      </c>
      <c r="Q65" s="161">
        <v>2.3159999999999998</v>
      </c>
      <c r="R65" s="161">
        <v>2.3159999999999998</v>
      </c>
      <c r="S65" s="161">
        <v>2.3159999999999998</v>
      </c>
      <c r="T65" s="161">
        <v>2.3159999999999998</v>
      </c>
      <c r="U65" s="161">
        <v>2.3159999999999998</v>
      </c>
      <c r="V65" s="161">
        <v>2.3159999999999998</v>
      </c>
      <c r="W65" s="161">
        <v>2.3159999999999998</v>
      </c>
      <c r="X65" s="161">
        <v>2.3159999999999998</v>
      </c>
      <c r="Y65" s="161">
        <v>2.3159999999999998</v>
      </c>
      <c r="Z65" s="161">
        <v>2.3159999999999998</v>
      </c>
      <c r="AA65" s="161">
        <v>2.3159999999999998</v>
      </c>
      <c r="AB65" s="161">
        <v>2.3159999999999998</v>
      </c>
      <c r="AC65" s="161">
        <v>2.3159999999999998</v>
      </c>
      <c r="AD65" s="161">
        <v>2.3159999999999998</v>
      </c>
      <c r="AE65" s="161">
        <v>2.3159999999999998</v>
      </c>
      <c r="AF65" s="161">
        <v>2.3159999999999998</v>
      </c>
      <c r="AG65" s="161">
        <v>2.3159999999999998</v>
      </c>
      <c r="AH65" s="161">
        <v>2.3159999999999998</v>
      </c>
      <c r="AI65" s="161">
        <v>2.3159999999999998</v>
      </c>
      <c r="AJ65" s="161">
        <v>2.3159999999999998</v>
      </c>
      <c r="AK65" s="161">
        <v>2.3159999999999998</v>
      </c>
      <c r="AL65" s="161">
        <v>2.3159999999999998</v>
      </c>
      <c r="AM65" s="161">
        <v>2.3159999999999998</v>
      </c>
      <c r="AN65" s="161">
        <v>2.3159999999999998</v>
      </c>
      <c r="AO65" s="161">
        <v>2.3159999999999998</v>
      </c>
      <c r="AP65" s="161">
        <v>2.3159999999999998</v>
      </c>
      <c r="AQ65" s="161">
        <v>2.3159999999999998</v>
      </c>
      <c r="AR65" s="161">
        <v>2.3159999999999998</v>
      </c>
      <c r="AS65" s="157">
        <f t="shared" ref="AS65:BV65" si="50">AR65</f>
        <v>2.3159999999999998</v>
      </c>
      <c r="AT65" s="157">
        <f t="shared" si="50"/>
        <v>2.3159999999999998</v>
      </c>
      <c r="AU65" s="157">
        <f t="shared" si="50"/>
        <v>2.3159999999999998</v>
      </c>
      <c r="AV65" s="157">
        <f t="shared" si="50"/>
        <v>2.3159999999999998</v>
      </c>
      <c r="AW65" s="157">
        <f t="shared" si="50"/>
        <v>2.3159999999999998</v>
      </c>
      <c r="AX65" s="157">
        <f t="shared" si="50"/>
        <v>2.3159999999999998</v>
      </c>
      <c r="AY65" s="157">
        <f t="shared" si="50"/>
        <v>2.3159999999999998</v>
      </c>
      <c r="AZ65" s="157">
        <f t="shared" si="50"/>
        <v>2.3159999999999998</v>
      </c>
      <c r="BA65" s="157">
        <f t="shared" si="50"/>
        <v>2.3159999999999998</v>
      </c>
      <c r="BB65" s="157">
        <f t="shared" si="50"/>
        <v>2.3159999999999998</v>
      </c>
      <c r="BC65" s="157">
        <f t="shared" si="50"/>
        <v>2.3159999999999998</v>
      </c>
      <c r="BD65" s="157">
        <f t="shared" si="50"/>
        <v>2.3159999999999998</v>
      </c>
      <c r="BE65" s="157">
        <f t="shared" si="50"/>
        <v>2.3159999999999998</v>
      </c>
      <c r="BF65" s="157">
        <f t="shared" si="50"/>
        <v>2.3159999999999998</v>
      </c>
      <c r="BG65" s="157">
        <f t="shared" si="50"/>
        <v>2.3159999999999998</v>
      </c>
      <c r="BH65" s="157">
        <f t="shared" si="50"/>
        <v>2.3159999999999998</v>
      </c>
      <c r="BI65" s="157">
        <f t="shared" si="50"/>
        <v>2.3159999999999998</v>
      </c>
      <c r="BJ65" s="157">
        <f t="shared" si="50"/>
        <v>2.3159999999999998</v>
      </c>
      <c r="BK65" s="157">
        <f t="shared" si="50"/>
        <v>2.3159999999999998</v>
      </c>
      <c r="BL65" s="157">
        <f t="shared" si="50"/>
        <v>2.3159999999999998</v>
      </c>
      <c r="BM65" s="157">
        <f t="shared" si="50"/>
        <v>2.3159999999999998</v>
      </c>
      <c r="BN65" s="157">
        <f t="shared" si="50"/>
        <v>2.3159999999999998</v>
      </c>
      <c r="BO65" s="157">
        <f t="shared" si="50"/>
        <v>2.3159999999999998</v>
      </c>
      <c r="BP65" s="157">
        <f t="shared" si="50"/>
        <v>2.3159999999999998</v>
      </c>
      <c r="BQ65" s="157">
        <f t="shared" si="50"/>
        <v>2.3159999999999998</v>
      </c>
      <c r="BR65" s="157">
        <f t="shared" si="50"/>
        <v>2.3159999999999998</v>
      </c>
      <c r="BS65" s="157">
        <f t="shared" si="50"/>
        <v>2.3159999999999998</v>
      </c>
      <c r="BT65" s="157">
        <f t="shared" si="50"/>
        <v>2.3159999999999998</v>
      </c>
      <c r="BU65" s="157">
        <f t="shared" si="50"/>
        <v>2.3159999999999998</v>
      </c>
      <c r="BV65" s="157">
        <f t="shared" si="50"/>
        <v>2.3159999999999998</v>
      </c>
    </row>
    <row r="66" spans="1:74" x14ac:dyDescent="0.25">
      <c r="A66" s="149" t="s">
        <v>279</v>
      </c>
      <c r="B66" s="156" t="s">
        <v>207</v>
      </c>
      <c r="C66" s="159" t="s">
        <v>243</v>
      </c>
      <c r="D66" s="160">
        <v>3.1560000000000001</v>
      </c>
      <c r="E66" s="161">
        <v>3.1560000000000001</v>
      </c>
      <c r="F66" s="161">
        <v>3.1560000000000001</v>
      </c>
      <c r="G66" s="161">
        <v>3.1560000000000001</v>
      </c>
      <c r="H66" s="161">
        <v>3.1560000000000001</v>
      </c>
      <c r="I66" s="161">
        <v>3.1560000000000001</v>
      </c>
      <c r="J66" s="161">
        <v>3.1560000000000001</v>
      </c>
      <c r="K66" s="161">
        <v>3.1560000000000001</v>
      </c>
      <c r="L66" s="161">
        <v>3.1560000000000001</v>
      </c>
      <c r="M66" s="161">
        <v>3.1560000000000001</v>
      </c>
      <c r="N66" s="161">
        <v>3.1560000000000001</v>
      </c>
      <c r="O66" s="161">
        <v>3.1560000000000001</v>
      </c>
      <c r="P66" s="161">
        <v>3.1560000000000001</v>
      </c>
      <c r="Q66" s="161">
        <v>3.1560000000000001</v>
      </c>
      <c r="R66" s="161">
        <v>3.1560000000000001</v>
      </c>
      <c r="S66" s="161">
        <v>3.1560000000000001</v>
      </c>
      <c r="T66" s="161">
        <v>3.1560000000000001</v>
      </c>
      <c r="U66" s="161">
        <v>3.1560000000000001</v>
      </c>
      <c r="V66" s="161">
        <v>3.1560000000000001</v>
      </c>
      <c r="W66" s="161">
        <v>3.1560000000000001</v>
      </c>
      <c r="X66" s="161">
        <v>3.1560000000000001</v>
      </c>
      <c r="Y66" s="161">
        <v>3.1560000000000001</v>
      </c>
      <c r="Z66" s="161">
        <v>3.1560000000000001</v>
      </c>
      <c r="AA66" s="161">
        <v>3.1560000000000001</v>
      </c>
      <c r="AB66" s="161">
        <v>3.1560000000000001</v>
      </c>
      <c r="AC66" s="161">
        <v>3.1560000000000001</v>
      </c>
      <c r="AD66" s="161">
        <v>3.1560000000000001</v>
      </c>
      <c r="AE66" s="161">
        <v>3.1560000000000001</v>
      </c>
      <c r="AF66" s="161">
        <v>3.1560000000000001</v>
      </c>
      <c r="AG66" s="161">
        <v>3.1560000000000001</v>
      </c>
      <c r="AH66" s="161">
        <v>3.1560000000000001</v>
      </c>
      <c r="AI66" s="161">
        <v>3.1560000000000001</v>
      </c>
      <c r="AJ66" s="161">
        <v>3.1560000000000001</v>
      </c>
      <c r="AK66" s="161">
        <v>3.1560000000000001</v>
      </c>
      <c r="AL66" s="161">
        <v>3.1560000000000001</v>
      </c>
      <c r="AM66" s="161">
        <v>3.1560000000000001</v>
      </c>
      <c r="AN66" s="161">
        <v>3.1560000000000001</v>
      </c>
      <c r="AO66" s="161">
        <v>3.1560000000000001</v>
      </c>
      <c r="AP66" s="161">
        <v>3.1560000000000001</v>
      </c>
      <c r="AQ66" s="161">
        <v>3.1560000000000001</v>
      </c>
      <c r="AR66" s="161">
        <v>3.1560000000000001</v>
      </c>
      <c r="AS66" s="157">
        <f t="shared" ref="AS66:BV66" si="51">AR66</f>
        <v>3.1560000000000001</v>
      </c>
      <c r="AT66" s="157">
        <f t="shared" si="51"/>
        <v>3.1560000000000001</v>
      </c>
      <c r="AU66" s="157">
        <f t="shared" si="51"/>
        <v>3.1560000000000001</v>
      </c>
      <c r="AV66" s="157">
        <f t="shared" si="51"/>
        <v>3.1560000000000001</v>
      </c>
      <c r="AW66" s="157">
        <f t="shared" si="51"/>
        <v>3.1560000000000001</v>
      </c>
      <c r="AX66" s="157">
        <f t="shared" si="51"/>
        <v>3.1560000000000001</v>
      </c>
      <c r="AY66" s="157">
        <f t="shared" si="51"/>
        <v>3.1560000000000001</v>
      </c>
      <c r="AZ66" s="157">
        <f t="shared" si="51"/>
        <v>3.1560000000000001</v>
      </c>
      <c r="BA66" s="157">
        <f t="shared" si="51"/>
        <v>3.1560000000000001</v>
      </c>
      <c r="BB66" s="157">
        <f t="shared" si="51"/>
        <v>3.1560000000000001</v>
      </c>
      <c r="BC66" s="157">
        <f t="shared" si="51"/>
        <v>3.1560000000000001</v>
      </c>
      <c r="BD66" s="157">
        <f t="shared" si="51"/>
        <v>3.1560000000000001</v>
      </c>
      <c r="BE66" s="157">
        <f t="shared" si="51"/>
        <v>3.1560000000000001</v>
      </c>
      <c r="BF66" s="157">
        <f t="shared" si="51"/>
        <v>3.1560000000000001</v>
      </c>
      <c r="BG66" s="157">
        <f t="shared" si="51"/>
        <v>3.1560000000000001</v>
      </c>
      <c r="BH66" s="157">
        <f t="shared" si="51"/>
        <v>3.1560000000000001</v>
      </c>
      <c r="BI66" s="157">
        <f t="shared" si="51"/>
        <v>3.1560000000000001</v>
      </c>
      <c r="BJ66" s="157">
        <f t="shared" si="51"/>
        <v>3.1560000000000001</v>
      </c>
      <c r="BK66" s="157">
        <f t="shared" si="51"/>
        <v>3.1560000000000001</v>
      </c>
      <c r="BL66" s="157">
        <f t="shared" si="51"/>
        <v>3.1560000000000001</v>
      </c>
      <c r="BM66" s="157">
        <f t="shared" si="51"/>
        <v>3.1560000000000001</v>
      </c>
      <c r="BN66" s="157">
        <f t="shared" si="51"/>
        <v>3.1560000000000001</v>
      </c>
      <c r="BO66" s="157">
        <f t="shared" si="51"/>
        <v>3.1560000000000001</v>
      </c>
      <c r="BP66" s="157">
        <f t="shared" si="51"/>
        <v>3.1560000000000001</v>
      </c>
      <c r="BQ66" s="157">
        <f t="shared" si="51"/>
        <v>3.1560000000000001</v>
      </c>
      <c r="BR66" s="157">
        <f t="shared" si="51"/>
        <v>3.1560000000000001</v>
      </c>
      <c r="BS66" s="157">
        <f t="shared" si="51"/>
        <v>3.1560000000000001</v>
      </c>
      <c r="BT66" s="157">
        <f t="shared" si="51"/>
        <v>3.1560000000000001</v>
      </c>
      <c r="BU66" s="157">
        <f t="shared" si="51"/>
        <v>3.1560000000000001</v>
      </c>
      <c r="BV66" s="157">
        <f t="shared" si="51"/>
        <v>3.1560000000000001</v>
      </c>
    </row>
    <row r="67" spans="1:74" x14ac:dyDescent="0.25">
      <c r="A67" s="149" t="s">
        <v>224</v>
      </c>
      <c r="B67" s="156" t="s">
        <v>207</v>
      </c>
      <c r="C67" s="159" t="s">
        <v>243</v>
      </c>
      <c r="D67" s="160">
        <v>2.56</v>
      </c>
      <c r="E67" s="161">
        <v>2.56</v>
      </c>
      <c r="F67" s="161">
        <v>2.56</v>
      </c>
      <c r="G67" s="161">
        <v>2.56</v>
      </c>
      <c r="H67" s="161">
        <v>2.56</v>
      </c>
      <c r="I67" s="161">
        <v>2.56</v>
      </c>
      <c r="J67" s="161">
        <v>2.56</v>
      </c>
      <c r="K67" s="161">
        <v>2.56</v>
      </c>
      <c r="L67" s="161">
        <v>2.56</v>
      </c>
      <c r="M67" s="161">
        <v>2.56</v>
      </c>
      <c r="N67" s="161">
        <v>2.56</v>
      </c>
      <c r="O67" s="161">
        <v>2.56</v>
      </c>
      <c r="P67" s="161">
        <v>2.56</v>
      </c>
      <c r="Q67" s="161">
        <v>2.56</v>
      </c>
      <c r="R67" s="161">
        <v>2.56</v>
      </c>
      <c r="S67" s="161">
        <v>2.56</v>
      </c>
      <c r="T67" s="161">
        <v>2.56</v>
      </c>
      <c r="U67" s="161">
        <v>2.56</v>
      </c>
      <c r="V67" s="161">
        <v>2.56</v>
      </c>
      <c r="W67" s="161">
        <v>2.56</v>
      </c>
      <c r="X67" s="161">
        <v>2.56</v>
      </c>
      <c r="Y67" s="161">
        <v>2.56</v>
      </c>
      <c r="Z67" s="161">
        <v>2.56</v>
      </c>
      <c r="AA67" s="161">
        <v>2.56</v>
      </c>
      <c r="AB67" s="161">
        <v>2.56</v>
      </c>
      <c r="AC67" s="161">
        <v>2.56</v>
      </c>
      <c r="AD67" s="161">
        <v>2.56</v>
      </c>
      <c r="AE67" s="161">
        <v>2.56</v>
      </c>
      <c r="AF67" s="161">
        <v>2.56</v>
      </c>
      <c r="AG67" s="161">
        <v>2.56</v>
      </c>
      <c r="AH67" s="161">
        <v>2.56</v>
      </c>
      <c r="AI67" s="161">
        <v>2.56</v>
      </c>
      <c r="AJ67" s="161">
        <v>2.56</v>
      </c>
      <c r="AK67" s="161">
        <v>2.56</v>
      </c>
      <c r="AL67" s="161">
        <v>2.56</v>
      </c>
      <c r="AM67" s="161">
        <v>2.56</v>
      </c>
      <c r="AN67" s="161">
        <v>2.56</v>
      </c>
      <c r="AO67" s="161">
        <v>2.56</v>
      </c>
      <c r="AP67" s="161">
        <v>2.56</v>
      </c>
      <c r="AQ67" s="161">
        <v>2.56</v>
      </c>
      <c r="AR67" s="161">
        <v>2.56</v>
      </c>
      <c r="AS67" s="157">
        <f t="shared" ref="AS67:BV67" si="52">AR67</f>
        <v>2.56</v>
      </c>
      <c r="AT67" s="157">
        <f t="shared" si="52"/>
        <v>2.56</v>
      </c>
      <c r="AU67" s="157">
        <f t="shared" si="52"/>
        <v>2.56</v>
      </c>
      <c r="AV67" s="157">
        <f t="shared" si="52"/>
        <v>2.56</v>
      </c>
      <c r="AW67" s="157">
        <f t="shared" si="52"/>
        <v>2.56</v>
      </c>
      <c r="AX67" s="157">
        <f t="shared" si="52"/>
        <v>2.56</v>
      </c>
      <c r="AY67" s="157">
        <f t="shared" si="52"/>
        <v>2.56</v>
      </c>
      <c r="AZ67" s="157">
        <f t="shared" si="52"/>
        <v>2.56</v>
      </c>
      <c r="BA67" s="157">
        <f t="shared" si="52"/>
        <v>2.56</v>
      </c>
      <c r="BB67" s="157">
        <f t="shared" si="52"/>
        <v>2.56</v>
      </c>
      <c r="BC67" s="157">
        <f t="shared" si="52"/>
        <v>2.56</v>
      </c>
      <c r="BD67" s="157">
        <f t="shared" si="52"/>
        <v>2.56</v>
      </c>
      <c r="BE67" s="157">
        <f t="shared" si="52"/>
        <v>2.56</v>
      </c>
      <c r="BF67" s="157">
        <f t="shared" si="52"/>
        <v>2.56</v>
      </c>
      <c r="BG67" s="157">
        <f t="shared" si="52"/>
        <v>2.56</v>
      </c>
      <c r="BH67" s="157">
        <f t="shared" si="52"/>
        <v>2.56</v>
      </c>
      <c r="BI67" s="157">
        <f t="shared" si="52"/>
        <v>2.56</v>
      </c>
      <c r="BJ67" s="157">
        <f t="shared" si="52"/>
        <v>2.56</v>
      </c>
      <c r="BK67" s="157">
        <f t="shared" si="52"/>
        <v>2.56</v>
      </c>
      <c r="BL67" s="157">
        <f t="shared" si="52"/>
        <v>2.56</v>
      </c>
      <c r="BM67" s="157">
        <f t="shared" si="52"/>
        <v>2.56</v>
      </c>
      <c r="BN67" s="157">
        <f t="shared" si="52"/>
        <v>2.56</v>
      </c>
      <c r="BO67" s="157">
        <f t="shared" si="52"/>
        <v>2.56</v>
      </c>
      <c r="BP67" s="157">
        <f t="shared" si="52"/>
        <v>2.56</v>
      </c>
      <c r="BQ67" s="157">
        <f t="shared" si="52"/>
        <v>2.56</v>
      </c>
      <c r="BR67" s="157">
        <f t="shared" si="52"/>
        <v>2.56</v>
      </c>
      <c r="BS67" s="157">
        <f t="shared" si="52"/>
        <v>2.56</v>
      </c>
      <c r="BT67" s="157">
        <f t="shared" si="52"/>
        <v>2.56</v>
      </c>
      <c r="BU67" s="157">
        <f t="shared" si="52"/>
        <v>2.56</v>
      </c>
      <c r="BV67" s="157">
        <f t="shared" si="52"/>
        <v>2.56</v>
      </c>
    </row>
    <row r="68" spans="1:74" x14ac:dyDescent="0.25">
      <c r="A68" s="155" t="s">
        <v>13</v>
      </c>
      <c r="B68" s="156" t="s">
        <v>207</v>
      </c>
      <c r="C68" s="159" t="s">
        <v>243</v>
      </c>
      <c r="D68" s="160">
        <v>2.7530000000000001</v>
      </c>
      <c r="E68" s="161">
        <v>2.7530000000000001</v>
      </c>
      <c r="F68" s="161">
        <v>2.7530000000000001</v>
      </c>
      <c r="G68" s="161">
        <v>2.7530000000000001</v>
      </c>
      <c r="H68" s="161">
        <v>2.7530000000000001</v>
      </c>
      <c r="I68" s="161">
        <v>2.7530000000000001</v>
      </c>
      <c r="J68" s="161">
        <v>2.7530000000000001</v>
      </c>
      <c r="K68" s="161">
        <v>2.7530000000000001</v>
      </c>
      <c r="L68" s="161">
        <v>2.7530000000000001</v>
      </c>
      <c r="M68" s="161">
        <v>2.7530000000000001</v>
      </c>
      <c r="N68" s="161">
        <v>2.7530000000000001</v>
      </c>
      <c r="O68" s="161">
        <v>2.7530000000000001</v>
      </c>
      <c r="P68" s="161">
        <v>2.7530000000000001</v>
      </c>
      <c r="Q68" s="161">
        <v>2.7530000000000001</v>
      </c>
      <c r="R68" s="161">
        <v>2.7530000000000001</v>
      </c>
      <c r="S68" s="161">
        <v>2.7530000000000001</v>
      </c>
      <c r="T68" s="161">
        <v>2.7530000000000001</v>
      </c>
      <c r="U68" s="161">
        <v>2.7530000000000001</v>
      </c>
      <c r="V68" s="161">
        <v>2.7530000000000001</v>
      </c>
      <c r="W68" s="161">
        <v>2.7530000000000001</v>
      </c>
      <c r="X68" s="161">
        <v>2.7530000000000001</v>
      </c>
      <c r="Y68" s="161">
        <v>2.7530000000000001</v>
      </c>
      <c r="Z68" s="161">
        <v>2.7530000000000001</v>
      </c>
      <c r="AA68" s="161">
        <v>2.7530000000000001</v>
      </c>
      <c r="AB68" s="161">
        <v>2.7530000000000001</v>
      </c>
      <c r="AC68" s="161">
        <v>2.7530000000000001</v>
      </c>
      <c r="AD68" s="161">
        <v>2.7530000000000001</v>
      </c>
      <c r="AE68" s="161">
        <v>2.7530000000000001</v>
      </c>
      <c r="AF68" s="161">
        <v>2.7530000000000001</v>
      </c>
      <c r="AG68" s="161">
        <v>2.7530000000000001</v>
      </c>
      <c r="AH68" s="161">
        <v>2.7530000000000001</v>
      </c>
      <c r="AI68" s="161">
        <v>2.7530000000000001</v>
      </c>
      <c r="AJ68" s="161">
        <v>2.7530000000000001</v>
      </c>
      <c r="AK68" s="161">
        <v>2.7530000000000001</v>
      </c>
      <c r="AL68" s="161">
        <v>2.7530000000000001</v>
      </c>
      <c r="AM68" s="161">
        <v>2.7530000000000001</v>
      </c>
      <c r="AN68" s="161">
        <v>2.7530000000000001</v>
      </c>
      <c r="AO68" s="161">
        <v>2.7530000000000001</v>
      </c>
      <c r="AP68" s="161">
        <v>2.7530000000000001</v>
      </c>
      <c r="AQ68" s="161">
        <v>2.7530000000000001</v>
      </c>
      <c r="AR68" s="161">
        <v>2.7530000000000001</v>
      </c>
      <c r="AS68" s="157">
        <f t="shared" ref="AS68:BV68" si="53">AR68</f>
        <v>2.7530000000000001</v>
      </c>
      <c r="AT68" s="157">
        <f t="shared" si="53"/>
        <v>2.7530000000000001</v>
      </c>
      <c r="AU68" s="157">
        <f t="shared" si="53"/>
        <v>2.7530000000000001</v>
      </c>
      <c r="AV68" s="157">
        <f t="shared" si="53"/>
        <v>2.7530000000000001</v>
      </c>
      <c r="AW68" s="157">
        <f t="shared" si="53"/>
        <v>2.7530000000000001</v>
      </c>
      <c r="AX68" s="157">
        <f t="shared" si="53"/>
        <v>2.7530000000000001</v>
      </c>
      <c r="AY68" s="157">
        <f t="shared" si="53"/>
        <v>2.7530000000000001</v>
      </c>
      <c r="AZ68" s="157">
        <f t="shared" si="53"/>
        <v>2.7530000000000001</v>
      </c>
      <c r="BA68" s="157">
        <f t="shared" si="53"/>
        <v>2.7530000000000001</v>
      </c>
      <c r="BB68" s="157">
        <f t="shared" si="53"/>
        <v>2.7530000000000001</v>
      </c>
      <c r="BC68" s="157">
        <f t="shared" si="53"/>
        <v>2.7530000000000001</v>
      </c>
      <c r="BD68" s="157">
        <f t="shared" si="53"/>
        <v>2.7530000000000001</v>
      </c>
      <c r="BE68" s="157">
        <f t="shared" si="53"/>
        <v>2.7530000000000001</v>
      </c>
      <c r="BF68" s="157">
        <f t="shared" si="53"/>
        <v>2.7530000000000001</v>
      </c>
      <c r="BG68" s="157">
        <f t="shared" si="53"/>
        <v>2.7530000000000001</v>
      </c>
      <c r="BH68" s="157">
        <f t="shared" si="53"/>
        <v>2.7530000000000001</v>
      </c>
      <c r="BI68" s="157">
        <f t="shared" si="53"/>
        <v>2.7530000000000001</v>
      </c>
      <c r="BJ68" s="157">
        <f t="shared" si="53"/>
        <v>2.7530000000000001</v>
      </c>
      <c r="BK68" s="157">
        <f t="shared" si="53"/>
        <v>2.7530000000000001</v>
      </c>
      <c r="BL68" s="157">
        <f t="shared" si="53"/>
        <v>2.7530000000000001</v>
      </c>
      <c r="BM68" s="157">
        <f t="shared" si="53"/>
        <v>2.7530000000000001</v>
      </c>
      <c r="BN68" s="157">
        <f t="shared" si="53"/>
        <v>2.7530000000000001</v>
      </c>
      <c r="BO68" s="157">
        <f t="shared" si="53"/>
        <v>2.7530000000000001</v>
      </c>
      <c r="BP68" s="157">
        <f t="shared" si="53"/>
        <v>2.7530000000000001</v>
      </c>
      <c r="BQ68" s="157">
        <f t="shared" si="53"/>
        <v>2.7530000000000001</v>
      </c>
      <c r="BR68" s="157">
        <f t="shared" si="53"/>
        <v>2.7530000000000001</v>
      </c>
      <c r="BS68" s="157">
        <f t="shared" si="53"/>
        <v>2.7530000000000001</v>
      </c>
      <c r="BT68" s="157">
        <f t="shared" si="53"/>
        <v>2.7530000000000001</v>
      </c>
      <c r="BU68" s="157">
        <f t="shared" si="53"/>
        <v>2.7530000000000001</v>
      </c>
      <c r="BV68" s="157">
        <f t="shared" si="53"/>
        <v>2.7530000000000001</v>
      </c>
    </row>
    <row r="69" spans="1:74" x14ac:dyDescent="0.25">
      <c r="A69" s="155" t="s">
        <v>227</v>
      </c>
      <c r="B69" s="156" t="s">
        <v>207</v>
      </c>
      <c r="C69" s="170" t="s">
        <v>228</v>
      </c>
      <c r="D69" s="164">
        <v>1.5149999999999999</v>
      </c>
      <c r="E69" s="164">
        <v>1.5149999999999999</v>
      </c>
      <c r="F69" s="164">
        <v>1.5149999999999999</v>
      </c>
      <c r="G69" s="164">
        <v>1.5149999999999999</v>
      </c>
      <c r="H69" s="164">
        <v>1.5149999999999999</v>
      </c>
      <c r="I69" s="164">
        <v>1.5149999999999999</v>
      </c>
      <c r="J69" s="164">
        <v>1.5149999999999999</v>
      </c>
      <c r="K69" s="164">
        <v>1.5149999999999999</v>
      </c>
      <c r="L69" s="164">
        <v>1.5149999999999999</v>
      </c>
      <c r="M69" s="164">
        <v>1.5149999999999999</v>
      </c>
      <c r="N69" s="164">
        <v>1.5149999999999999</v>
      </c>
      <c r="O69" s="164">
        <v>1.5149999999999999</v>
      </c>
      <c r="P69" s="164">
        <v>1.5149999999999999</v>
      </c>
      <c r="Q69" s="164">
        <v>1.5149999999999999</v>
      </c>
      <c r="R69" s="164">
        <v>1.5149999999999999</v>
      </c>
      <c r="S69" s="164">
        <v>1.5149999999999999</v>
      </c>
      <c r="T69" s="164">
        <v>1.5149999999999999</v>
      </c>
      <c r="U69" s="164">
        <v>1.5149999999999999</v>
      </c>
      <c r="V69" s="164">
        <v>1.5149999999999999</v>
      </c>
      <c r="W69" s="164">
        <v>1.5149999999999999</v>
      </c>
      <c r="X69" s="164">
        <v>1.5149999999999999</v>
      </c>
      <c r="Y69" s="164">
        <v>1.5149999999999999</v>
      </c>
      <c r="Z69" s="164">
        <v>1.5149999999999999</v>
      </c>
      <c r="AA69" s="164">
        <v>1.5149999999999999</v>
      </c>
      <c r="AB69" s="164">
        <v>1.5149999999999999</v>
      </c>
      <c r="AC69" s="164">
        <v>1.5149999999999999</v>
      </c>
      <c r="AD69" s="164">
        <v>1.5149999999999999</v>
      </c>
      <c r="AE69" s="164">
        <v>1.5149999999999999</v>
      </c>
      <c r="AF69" s="164">
        <v>1.5149999999999999</v>
      </c>
      <c r="AG69" s="164">
        <v>1.5149999999999999</v>
      </c>
      <c r="AH69" s="164">
        <v>1.5149999999999999</v>
      </c>
      <c r="AI69" s="164">
        <v>1.5149999999999999</v>
      </c>
      <c r="AJ69" s="164">
        <v>1.5149999999999999</v>
      </c>
      <c r="AK69" s="164">
        <v>1.5149999999999999</v>
      </c>
      <c r="AL69" s="164">
        <v>1.5149999999999999</v>
      </c>
      <c r="AM69" s="164">
        <v>1.5149999999999999</v>
      </c>
      <c r="AN69" s="164">
        <v>1.5149999999999999</v>
      </c>
      <c r="AO69" s="164">
        <v>1.5149999999999999</v>
      </c>
      <c r="AP69" s="164">
        <v>1.5149999999999999</v>
      </c>
      <c r="AQ69" s="164">
        <v>1.5149999999999999</v>
      </c>
      <c r="AR69" s="164">
        <v>1.5149999999999999</v>
      </c>
      <c r="AS69" s="157">
        <f t="shared" ref="AS69:BV69" si="54">AR69</f>
        <v>1.5149999999999999</v>
      </c>
      <c r="AT69" s="157">
        <f t="shared" si="54"/>
        <v>1.5149999999999999</v>
      </c>
      <c r="AU69" s="157">
        <f t="shared" si="54"/>
        <v>1.5149999999999999</v>
      </c>
      <c r="AV69" s="157">
        <f t="shared" si="54"/>
        <v>1.5149999999999999</v>
      </c>
      <c r="AW69" s="157">
        <f t="shared" si="54"/>
        <v>1.5149999999999999</v>
      </c>
      <c r="AX69" s="157">
        <f t="shared" si="54"/>
        <v>1.5149999999999999</v>
      </c>
      <c r="AY69" s="157">
        <f t="shared" si="54"/>
        <v>1.5149999999999999</v>
      </c>
      <c r="AZ69" s="157">
        <f t="shared" si="54"/>
        <v>1.5149999999999999</v>
      </c>
      <c r="BA69" s="157">
        <f t="shared" si="54"/>
        <v>1.5149999999999999</v>
      </c>
      <c r="BB69" s="157">
        <f t="shared" si="54"/>
        <v>1.5149999999999999</v>
      </c>
      <c r="BC69" s="157">
        <f t="shared" si="54"/>
        <v>1.5149999999999999</v>
      </c>
      <c r="BD69" s="157">
        <f t="shared" si="54"/>
        <v>1.5149999999999999</v>
      </c>
      <c r="BE69" s="157">
        <f t="shared" si="54"/>
        <v>1.5149999999999999</v>
      </c>
      <c r="BF69" s="157">
        <f t="shared" si="54"/>
        <v>1.5149999999999999</v>
      </c>
      <c r="BG69" s="157">
        <f t="shared" si="54"/>
        <v>1.5149999999999999</v>
      </c>
      <c r="BH69" s="157">
        <f t="shared" si="54"/>
        <v>1.5149999999999999</v>
      </c>
      <c r="BI69" s="157">
        <f t="shared" si="54"/>
        <v>1.5149999999999999</v>
      </c>
      <c r="BJ69" s="157">
        <f t="shared" si="54"/>
        <v>1.5149999999999999</v>
      </c>
      <c r="BK69" s="157">
        <f t="shared" si="54"/>
        <v>1.5149999999999999</v>
      </c>
      <c r="BL69" s="157">
        <f t="shared" si="54"/>
        <v>1.5149999999999999</v>
      </c>
      <c r="BM69" s="157">
        <f t="shared" si="54"/>
        <v>1.5149999999999999</v>
      </c>
      <c r="BN69" s="157">
        <f t="shared" si="54"/>
        <v>1.5149999999999999</v>
      </c>
      <c r="BO69" s="157">
        <f t="shared" si="54"/>
        <v>1.5149999999999999</v>
      </c>
      <c r="BP69" s="157">
        <f t="shared" si="54"/>
        <v>1.5149999999999999</v>
      </c>
      <c r="BQ69" s="157">
        <f t="shared" si="54"/>
        <v>1.5149999999999999</v>
      </c>
      <c r="BR69" s="157">
        <f t="shared" si="54"/>
        <v>1.5149999999999999</v>
      </c>
      <c r="BS69" s="157">
        <f t="shared" si="54"/>
        <v>1.5149999999999999</v>
      </c>
      <c r="BT69" s="157">
        <f t="shared" si="54"/>
        <v>1.5149999999999999</v>
      </c>
      <c r="BU69" s="157">
        <f t="shared" si="54"/>
        <v>1.5149999999999999</v>
      </c>
      <c r="BV69" s="157">
        <f t="shared" si="54"/>
        <v>1.5149999999999999</v>
      </c>
    </row>
    <row r="70" spans="1:74" x14ac:dyDescent="0.25">
      <c r="A70" s="155" t="s">
        <v>225</v>
      </c>
      <c r="B70" s="156" t="s">
        <v>207</v>
      </c>
      <c r="C70" s="162" t="s">
        <v>226</v>
      </c>
      <c r="D70" s="164">
        <v>2.7530000000000001</v>
      </c>
      <c r="E70" s="164">
        <v>2.7530000000000001</v>
      </c>
      <c r="F70" s="164">
        <v>2.7530000000000001</v>
      </c>
      <c r="G70" s="164">
        <v>2.7530000000000001</v>
      </c>
      <c r="H70" s="164">
        <v>2.7530000000000001</v>
      </c>
      <c r="I70" s="164">
        <v>2.7530000000000001</v>
      </c>
      <c r="J70" s="164">
        <v>2.7530000000000001</v>
      </c>
      <c r="K70" s="164">
        <v>2.7530000000000001</v>
      </c>
      <c r="L70" s="164">
        <v>2.7530000000000001</v>
      </c>
      <c r="M70" s="164">
        <v>2.7530000000000001</v>
      </c>
      <c r="N70" s="164">
        <v>2.7530000000000001</v>
      </c>
      <c r="O70" s="164">
        <v>2.7530000000000001</v>
      </c>
      <c r="P70" s="164">
        <v>2.7530000000000001</v>
      </c>
      <c r="Q70" s="164">
        <v>2.7530000000000001</v>
      </c>
      <c r="R70" s="164">
        <v>2.7530000000000001</v>
      </c>
      <c r="S70" s="164">
        <v>2.7530000000000001</v>
      </c>
      <c r="T70" s="164">
        <v>2.7530000000000001</v>
      </c>
      <c r="U70" s="164">
        <v>2.7530000000000001</v>
      </c>
      <c r="V70" s="164">
        <v>2.7530000000000001</v>
      </c>
      <c r="W70" s="164">
        <v>2.7530000000000001</v>
      </c>
      <c r="X70" s="164">
        <v>2.7530000000000001</v>
      </c>
      <c r="Y70" s="164">
        <v>2.7530000000000001</v>
      </c>
      <c r="Z70" s="164">
        <v>2.7530000000000001</v>
      </c>
      <c r="AA70" s="164">
        <v>2.7530000000000001</v>
      </c>
      <c r="AB70" s="164">
        <v>2.7530000000000001</v>
      </c>
      <c r="AC70" s="164">
        <v>2.7530000000000001</v>
      </c>
      <c r="AD70" s="164">
        <v>2.7530000000000001</v>
      </c>
      <c r="AE70" s="164">
        <v>2.7530000000000001</v>
      </c>
      <c r="AF70" s="164">
        <v>2.7530000000000001</v>
      </c>
      <c r="AG70" s="164">
        <v>2.7530000000000001</v>
      </c>
      <c r="AH70" s="164">
        <v>2.7530000000000001</v>
      </c>
      <c r="AI70" s="164">
        <v>2.7530000000000001</v>
      </c>
      <c r="AJ70" s="164">
        <v>2.7530000000000001</v>
      </c>
      <c r="AK70" s="164">
        <v>2.7530000000000001</v>
      </c>
      <c r="AL70" s="164">
        <v>2.7530000000000001</v>
      </c>
      <c r="AM70" s="164">
        <v>2.7530000000000001</v>
      </c>
      <c r="AN70" s="164">
        <v>2.7530000000000001</v>
      </c>
      <c r="AO70" s="164">
        <v>2.7530000000000001</v>
      </c>
      <c r="AP70" s="164">
        <v>2.7530000000000001</v>
      </c>
      <c r="AQ70" s="164">
        <v>2.7530000000000001</v>
      </c>
      <c r="AR70" s="164">
        <v>2.7530000000000001</v>
      </c>
      <c r="AS70" s="157">
        <f t="shared" ref="AS70:BV70" si="55">AR70</f>
        <v>2.7530000000000001</v>
      </c>
      <c r="AT70" s="157">
        <f t="shared" si="55"/>
        <v>2.7530000000000001</v>
      </c>
      <c r="AU70" s="157">
        <f t="shared" si="55"/>
        <v>2.7530000000000001</v>
      </c>
      <c r="AV70" s="157">
        <f t="shared" si="55"/>
        <v>2.7530000000000001</v>
      </c>
      <c r="AW70" s="157">
        <f t="shared" si="55"/>
        <v>2.7530000000000001</v>
      </c>
      <c r="AX70" s="157">
        <f t="shared" si="55"/>
        <v>2.7530000000000001</v>
      </c>
      <c r="AY70" s="157">
        <f t="shared" si="55"/>
        <v>2.7530000000000001</v>
      </c>
      <c r="AZ70" s="157">
        <f t="shared" si="55"/>
        <v>2.7530000000000001</v>
      </c>
      <c r="BA70" s="157">
        <f t="shared" si="55"/>
        <v>2.7530000000000001</v>
      </c>
      <c r="BB70" s="157">
        <f t="shared" si="55"/>
        <v>2.7530000000000001</v>
      </c>
      <c r="BC70" s="157">
        <f t="shared" si="55"/>
        <v>2.7530000000000001</v>
      </c>
      <c r="BD70" s="157">
        <f t="shared" si="55"/>
        <v>2.7530000000000001</v>
      </c>
      <c r="BE70" s="157">
        <f t="shared" si="55"/>
        <v>2.7530000000000001</v>
      </c>
      <c r="BF70" s="157">
        <f t="shared" si="55"/>
        <v>2.7530000000000001</v>
      </c>
      <c r="BG70" s="157">
        <f t="shared" si="55"/>
        <v>2.7530000000000001</v>
      </c>
      <c r="BH70" s="157">
        <f t="shared" si="55"/>
        <v>2.7530000000000001</v>
      </c>
      <c r="BI70" s="157">
        <f t="shared" si="55"/>
        <v>2.7530000000000001</v>
      </c>
      <c r="BJ70" s="157">
        <f t="shared" si="55"/>
        <v>2.7530000000000001</v>
      </c>
      <c r="BK70" s="157">
        <f t="shared" si="55"/>
        <v>2.7530000000000001</v>
      </c>
      <c r="BL70" s="157">
        <f t="shared" si="55"/>
        <v>2.7530000000000001</v>
      </c>
      <c r="BM70" s="157">
        <f t="shared" si="55"/>
        <v>2.7530000000000001</v>
      </c>
      <c r="BN70" s="157">
        <f t="shared" si="55"/>
        <v>2.7530000000000001</v>
      </c>
      <c r="BO70" s="157">
        <f t="shared" si="55"/>
        <v>2.7530000000000001</v>
      </c>
      <c r="BP70" s="157">
        <f t="shared" si="55"/>
        <v>2.7530000000000001</v>
      </c>
      <c r="BQ70" s="157">
        <f t="shared" si="55"/>
        <v>2.7530000000000001</v>
      </c>
      <c r="BR70" s="157">
        <f t="shared" si="55"/>
        <v>2.7530000000000001</v>
      </c>
      <c r="BS70" s="157">
        <f t="shared" si="55"/>
        <v>2.7530000000000001</v>
      </c>
      <c r="BT70" s="157">
        <f t="shared" si="55"/>
        <v>2.7530000000000001</v>
      </c>
      <c r="BU70" s="157">
        <f t="shared" si="55"/>
        <v>2.7530000000000001</v>
      </c>
      <c r="BV70" s="157">
        <f t="shared" si="55"/>
        <v>2.7530000000000001</v>
      </c>
    </row>
    <row r="71" spans="1:74" x14ac:dyDescent="0.25">
      <c r="A71" s="149" t="s">
        <v>14</v>
      </c>
      <c r="B71" s="156" t="s">
        <v>218</v>
      </c>
      <c r="C71" s="159" t="s">
        <v>244</v>
      </c>
      <c r="D71" s="173">
        <v>1.9223988009800077</v>
      </c>
      <c r="E71" s="173">
        <v>1.9223988009800077</v>
      </c>
      <c r="F71" s="173">
        <v>1.9223988009800077</v>
      </c>
      <c r="G71" s="173">
        <v>1.9223988009800077</v>
      </c>
      <c r="H71" s="173">
        <v>1.9223988009800077</v>
      </c>
      <c r="I71" s="160">
        <v>1.9223988009800077</v>
      </c>
      <c r="J71" s="160">
        <v>1.9230123734811109</v>
      </c>
      <c r="K71" s="160">
        <v>1.9232569386653304</v>
      </c>
      <c r="L71" s="160">
        <v>1.9232164549509314</v>
      </c>
      <c r="M71" s="160">
        <v>1.9234282539585417</v>
      </c>
      <c r="N71" s="160">
        <v>1.924554644585263</v>
      </c>
      <c r="O71" s="160">
        <v>1.9259654378916002</v>
      </c>
      <c r="P71" s="160">
        <v>1.9253243980632109</v>
      </c>
      <c r="Q71" s="160">
        <v>1.9247191708830438</v>
      </c>
      <c r="R71" s="160">
        <v>1.9237840329776548</v>
      </c>
      <c r="S71" s="160">
        <v>1.9232955378430103</v>
      </c>
      <c r="T71" s="160">
        <v>1.9227521702006549</v>
      </c>
      <c r="U71" s="160">
        <v>1.923132210142374</v>
      </c>
      <c r="V71" s="160">
        <v>1.9227220165715386</v>
      </c>
      <c r="W71" s="160">
        <v>1.9228415170419213</v>
      </c>
      <c r="X71" s="160">
        <v>1.9231770712641942</v>
      </c>
      <c r="Y71" s="160">
        <v>1.9235801832666188</v>
      </c>
      <c r="Z71" s="160">
        <v>1.9240102839935838</v>
      </c>
      <c r="AA71" s="160">
        <v>1.9240617340717405</v>
      </c>
      <c r="AB71" s="160">
        <v>1.9236760342202006</v>
      </c>
      <c r="AC71" s="160">
        <v>1.9236464331220269</v>
      </c>
      <c r="AD71" s="173">
        <v>1.9236464331220269</v>
      </c>
      <c r="AE71" s="173">
        <v>1.9236464331220269</v>
      </c>
      <c r="AF71" s="173">
        <v>1.9236464331220269</v>
      </c>
      <c r="AG71" s="173">
        <v>1.9236464331220269</v>
      </c>
      <c r="AH71" s="173">
        <v>1.9236464331220269</v>
      </c>
      <c r="AI71" s="173">
        <v>1.9236464331220269</v>
      </c>
      <c r="AJ71" s="173">
        <v>1.9236464331220269</v>
      </c>
      <c r="AK71" s="173">
        <v>1.9236464331220269</v>
      </c>
      <c r="AL71" s="173">
        <v>1.9236464331220269</v>
      </c>
      <c r="AM71" s="173">
        <v>1.9236464331220269</v>
      </c>
      <c r="AN71" s="173">
        <v>1.9236464331220269</v>
      </c>
      <c r="AO71" s="173">
        <v>1.9236464331220269</v>
      </c>
      <c r="AP71" s="173">
        <v>1.9236464331220269</v>
      </c>
      <c r="AQ71" s="173">
        <v>1.9236464331220269</v>
      </c>
      <c r="AR71" s="173">
        <v>1.9236464331220269</v>
      </c>
      <c r="AS71" s="157">
        <f t="shared" ref="AS71:BV71" si="56">AR71</f>
        <v>1.9236464331220269</v>
      </c>
      <c r="AT71" s="157">
        <f t="shared" si="56"/>
        <v>1.9236464331220269</v>
      </c>
      <c r="AU71" s="157">
        <f t="shared" si="56"/>
        <v>1.9236464331220269</v>
      </c>
      <c r="AV71" s="157">
        <f t="shared" si="56"/>
        <v>1.9236464331220269</v>
      </c>
      <c r="AW71" s="157">
        <f t="shared" si="56"/>
        <v>1.9236464331220269</v>
      </c>
      <c r="AX71" s="157">
        <f t="shared" si="56"/>
        <v>1.9236464331220269</v>
      </c>
      <c r="AY71" s="157">
        <f t="shared" si="56"/>
        <v>1.9236464331220269</v>
      </c>
      <c r="AZ71" s="157">
        <f t="shared" si="56"/>
        <v>1.9236464331220269</v>
      </c>
      <c r="BA71" s="157">
        <f t="shared" si="56"/>
        <v>1.9236464331220269</v>
      </c>
      <c r="BB71" s="157">
        <f t="shared" si="56"/>
        <v>1.9236464331220269</v>
      </c>
      <c r="BC71" s="157">
        <f t="shared" si="56"/>
        <v>1.9236464331220269</v>
      </c>
      <c r="BD71" s="157">
        <f t="shared" si="56"/>
        <v>1.9236464331220269</v>
      </c>
      <c r="BE71" s="157">
        <f t="shared" si="56"/>
        <v>1.9236464331220269</v>
      </c>
      <c r="BF71" s="157">
        <f t="shared" si="56"/>
        <v>1.9236464331220269</v>
      </c>
      <c r="BG71" s="157">
        <f t="shared" si="56"/>
        <v>1.9236464331220269</v>
      </c>
      <c r="BH71" s="157">
        <f t="shared" si="56"/>
        <v>1.9236464331220269</v>
      </c>
      <c r="BI71" s="157">
        <f t="shared" si="56"/>
        <v>1.9236464331220269</v>
      </c>
      <c r="BJ71" s="157">
        <f t="shared" si="56"/>
        <v>1.9236464331220269</v>
      </c>
      <c r="BK71" s="157">
        <f t="shared" si="56"/>
        <v>1.9236464331220269</v>
      </c>
      <c r="BL71" s="157">
        <f t="shared" si="56"/>
        <v>1.9236464331220269</v>
      </c>
      <c r="BM71" s="157">
        <f t="shared" si="56"/>
        <v>1.9236464331220269</v>
      </c>
      <c r="BN71" s="157">
        <f t="shared" si="56"/>
        <v>1.9236464331220269</v>
      </c>
      <c r="BO71" s="157">
        <f t="shared" si="56"/>
        <v>1.9236464331220269</v>
      </c>
      <c r="BP71" s="157">
        <f t="shared" si="56"/>
        <v>1.9236464331220269</v>
      </c>
      <c r="BQ71" s="157">
        <f t="shared" si="56"/>
        <v>1.9236464331220269</v>
      </c>
      <c r="BR71" s="157">
        <f t="shared" si="56"/>
        <v>1.9236464331220269</v>
      </c>
      <c r="BS71" s="157">
        <f t="shared" si="56"/>
        <v>1.9236464331220269</v>
      </c>
      <c r="BT71" s="157">
        <f t="shared" si="56"/>
        <v>1.9236464331220269</v>
      </c>
      <c r="BU71" s="157">
        <f t="shared" si="56"/>
        <v>1.9236464331220269</v>
      </c>
      <c r="BV71" s="157">
        <f t="shared" si="56"/>
        <v>1.9236464331220269</v>
      </c>
    </row>
    <row r="72" spans="1:74" x14ac:dyDescent="0.25">
      <c r="A72" s="149" t="s">
        <v>216</v>
      </c>
      <c r="B72" s="150" t="s">
        <v>213</v>
      </c>
      <c r="C72" s="171" t="s">
        <v>236</v>
      </c>
      <c r="D72" s="172">
        <v>3.1402534235590034</v>
      </c>
      <c r="E72" s="173">
        <v>3.1437386342138516</v>
      </c>
      <c r="F72" s="173">
        <v>3.1472238448686998</v>
      </c>
      <c r="G72" s="173">
        <v>3.150709055523548</v>
      </c>
      <c r="H72" s="173">
        <v>3.1541942661783962</v>
      </c>
      <c r="I72" s="172">
        <v>3.1576794768332435</v>
      </c>
      <c r="J72" s="172">
        <v>3.1204037042470065</v>
      </c>
      <c r="K72" s="172">
        <v>3.1321149446037881</v>
      </c>
      <c r="L72" s="172">
        <v>3.1350900546239786</v>
      </c>
      <c r="M72" s="172">
        <v>3.1491198801740836</v>
      </c>
      <c r="N72" s="172">
        <v>3.0941218959767625</v>
      </c>
      <c r="O72" s="172">
        <v>3.1737047476854303</v>
      </c>
      <c r="P72" s="172">
        <v>3.2126469391861834</v>
      </c>
      <c r="Q72" s="172">
        <v>3.2329263353711477</v>
      </c>
      <c r="R72" s="172">
        <v>3.2144412599857337</v>
      </c>
      <c r="S72" s="172">
        <v>3.2194583636457068</v>
      </c>
      <c r="T72" s="172">
        <v>3.2229469291507677</v>
      </c>
      <c r="U72" s="172">
        <v>3.2223371008158832</v>
      </c>
      <c r="V72" s="172">
        <v>3.2236559217193155</v>
      </c>
      <c r="W72" s="172">
        <v>3.2224696295495097</v>
      </c>
      <c r="X72" s="172">
        <v>3.227378664697051</v>
      </c>
      <c r="Y72" s="172">
        <v>3.2197199278749782</v>
      </c>
      <c r="Z72" s="172">
        <v>3.21850046760302</v>
      </c>
      <c r="AA72" s="172">
        <v>3.2706829837165587</v>
      </c>
      <c r="AB72" s="172">
        <v>3.140036263626016</v>
      </c>
      <c r="AC72" s="172">
        <v>3.1568155724559741</v>
      </c>
      <c r="AD72" s="172">
        <v>3.1602042460950202</v>
      </c>
      <c r="AE72" s="172">
        <v>3.176878961224753</v>
      </c>
      <c r="AF72" s="173">
        <v>3.176878961224753</v>
      </c>
      <c r="AG72" s="173">
        <v>3.176878961224753</v>
      </c>
      <c r="AH72" s="173">
        <v>3.176878961224753</v>
      </c>
      <c r="AI72" s="173">
        <v>3.176878961224753</v>
      </c>
      <c r="AJ72" s="173">
        <v>3.176878961224753</v>
      </c>
      <c r="AK72" s="173">
        <v>3.176878961224753</v>
      </c>
      <c r="AL72" s="173">
        <v>3.176878961224753</v>
      </c>
      <c r="AM72" s="173">
        <v>3.176878961224753</v>
      </c>
      <c r="AN72" s="173">
        <v>3.176878961224753</v>
      </c>
      <c r="AO72" s="173">
        <v>3.176878961224753</v>
      </c>
      <c r="AP72" s="173">
        <v>3.176878961224753</v>
      </c>
      <c r="AQ72" s="173">
        <v>3.176878961224753</v>
      </c>
      <c r="AR72" s="173">
        <v>3.176878961224753</v>
      </c>
      <c r="AS72" s="157">
        <f t="shared" ref="AS72:BV72" si="57">AR72</f>
        <v>3.176878961224753</v>
      </c>
      <c r="AT72" s="157">
        <f t="shared" si="57"/>
        <v>3.176878961224753</v>
      </c>
      <c r="AU72" s="157">
        <f t="shared" si="57"/>
        <v>3.176878961224753</v>
      </c>
      <c r="AV72" s="157">
        <f t="shared" si="57"/>
        <v>3.176878961224753</v>
      </c>
      <c r="AW72" s="157">
        <f t="shared" si="57"/>
        <v>3.176878961224753</v>
      </c>
      <c r="AX72" s="157">
        <f t="shared" si="57"/>
        <v>3.176878961224753</v>
      </c>
      <c r="AY72" s="157">
        <f t="shared" si="57"/>
        <v>3.176878961224753</v>
      </c>
      <c r="AZ72" s="157">
        <f t="shared" si="57"/>
        <v>3.176878961224753</v>
      </c>
      <c r="BA72" s="157">
        <f t="shared" si="57"/>
        <v>3.176878961224753</v>
      </c>
      <c r="BB72" s="157">
        <f t="shared" si="57"/>
        <v>3.176878961224753</v>
      </c>
      <c r="BC72" s="157">
        <f t="shared" si="57"/>
        <v>3.176878961224753</v>
      </c>
      <c r="BD72" s="157">
        <f t="shared" si="57"/>
        <v>3.176878961224753</v>
      </c>
      <c r="BE72" s="157">
        <f t="shared" si="57"/>
        <v>3.176878961224753</v>
      </c>
      <c r="BF72" s="157">
        <f t="shared" si="57"/>
        <v>3.176878961224753</v>
      </c>
      <c r="BG72" s="157">
        <f t="shared" si="57"/>
        <v>3.176878961224753</v>
      </c>
      <c r="BH72" s="157">
        <f t="shared" si="57"/>
        <v>3.176878961224753</v>
      </c>
      <c r="BI72" s="157">
        <f t="shared" si="57"/>
        <v>3.176878961224753</v>
      </c>
      <c r="BJ72" s="157">
        <f t="shared" si="57"/>
        <v>3.176878961224753</v>
      </c>
      <c r="BK72" s="157">
        <f t="shared" si="57"/>
        <v>3.176878961224753</v>
      </c>
      <c r="BL72" s="157">
        <f t="shared" si="57"/>
        <v>3.176878961224753</v>
      </c>
      <c r="BM72" s="157">
        <f t="shared" si="57"/>
        <v>3.176878961224753</v>
      </c>
      <c r="BN72" s="157">
        <f t="shared" si="57"/>
        <v>3.176878961224753</v>
      </c>
      <c r="BO72" s="157">
        <f t="shared" si="57"/>
        <v>3.176878961224753</v>
      </c>
      <c r="BP72" s="157">
        <f t="shared" si="57"/>
        <v>3.176878961224753</v>
      </c>
      <c r="BQ72" s="157">
        <f t="shared" si="57"/>
        <v>3.176878961224753</v>
      </c>
      <c r="BR72" s="157">
        <f t="shared" si="57"/>
        <v>3.176878961224753</v>
      </c>
      <c r="BS72" s="157">
        <f t="shared" si="57"/>
        <v>3.176878961224753</v>
      </c>
      <c r="BT72" s="157">
        <f t="shared" si="57"/>
        <v>3.176878961224753</v>
      </c>
      <c r="BU72" s="157">
        <f t="shared" si="57"/>
        <v>3.176878961224753</v>
      </c>
      <c r="BV72" s="157">
        <f t="shared" si="57"/>
        <v>3.176878961224753</v>
      </c>
    </row>
    <row r="73" spans="1:74" x14ac:dyDescent="0.25">
      <c r="A73" s="155" t="s">
        <v>228</v>
      </c>
      <c r="B73" s="156" t="s">
        <v>207</v>
      </c>
      <c r="C73" s="159" t="s">
        <v>240</v>
      </c>
      <c r="D73" s="160">
        <v>1.5149999999999999</v>
      </c>
      <c r="E73" s="161">
        <v>1.5149999999999999</v>
      </c>
      <c r="F73" s="161">
        <v>1.5149999999999999</v>
      </c>
      <c r="G73" s="161">
        <v>1.5149999999999999</v>
      </c>
      <c r="H73" s="161">
        <v>1.5149999999999999</v>
      </c>
      <c r="I73" s="161">
        <v>1.5149999999999999</v>
      </c>
      <c r="J73" s="161">
        <v>1.5149999999999999</v>
      </c>
      <c r="K73" s="161">
        <v>1.5149999999999999</v>
      </c>
      <c r="L73" s="161">
        <v>1.5149999999999999</v>
      </c>
      <c r="M73" s="161">
        <v>1.5149999999999999</v>
      </c>
      <c r="N73" s="161">
        <v>1.5149999999999999</v>
      </c>
      <c r="O73" s="161">
        <v>1.5149999999999999</v>
      </c>
      <c r="P73" s="161">
        <v>1.5149999999999999</v>
      </c>
      <c r="Q73" s="161">
        <v>1.5149999999999999</v>
      </c>
      <c r="R73" s="161">
        <v>1.5149999999999999</v>
      </c>
      <c r="S73" s="161">
        <v>1.5149999999999999</v>
      </c>
      <c r="T73" s="161">
        <v>1.5149999999999999</v>
      </c>
      <c r="U73" s="161">
        <v>1.5149999999999999</v>
      </c>
      <c r="V73" s="161">
        <v>1.5149999999999999</v>
      </c>
      <c r="W73" s="161">
        <v>1.5149999999999999</v>
      </c>
      <c r="X73" s="161">
        <v>1.5149999999999999</v>
      </c>
      <c r="Y73" s="161">
        <v>1.5149999999999999</v>
      </c>
      <c r="Z73" s="161">
        <v>1.5149999999999999</v>
      </c>
      <c r="AA73" s="161">
        <v>1.5149999999999999</v>
      </c>
      <c r="AB73" s="161">
        <v>1.5149999999999999</v>
      </c>
      <c r="AC73" s="161">
        <v>1.5149999999999999</v>
      </c>
      <c r="AD73" s="161">
        <v>1.5149999999999999</v>
      </c>
      <c r="AE73" s="161">
        <v>1.5149999999999999</v>
      </c>
      <c r="AF73" s="161">
        <v>1.5149999999999999</v>
      </c>
      <c r="AG73" s="161">
        <v>1.5149999999999999</v>
      </c>
      <c r="AH73" s="161">
        <v>1.5149999999999999</v>
      </c>
      <c r="AI73" s="161">
        <v>1.5149999999999999</v>
      </c>
      <c r="AJ73" s="161">
        <v>1.5149999999999999</v>
      </c>
      <c r="AK73" s="161">
        <v>1.5149999999999999</v>
      </c>
      <c r="AL73" s="161">
        <v>1.5149999999999999</v>
      </c>
      <c r="AM73" s="161">
        <v>1.5149999999999999</v>
      </c>
      <c r="AN73" s="161">
        <v>1.5149999999999999</v>
      </c>
      <c r="AO73" s="161">
        <v>1.5149999999999999</v>
      </c>
      <c r="AP73" s="161">
        <v>1.5149999999999999</v>
      </c>
      <c r="AQ73" s="161">
        <v>1.5149999999999999</v>
      </c>
      <c r="AR73" s="161">
        <v>1.5149999999999999</v>
      </c>
      <c r="AS73" s="157">
        <f t="shared" ref="AS73:BV73" si="58">AR73</f>
        <v>1.5149999999999999</v>
      </c>
      <c r="AT73" s="157">
        <f t="shared" si="58"/>
        <v>1.5149999999999999</v>
      </c>
      <c r="AU73" s="157">
        <f t="shared" si="58"/>
        <v>1.5149999999999999</v>
      </c>
      <c r="AV73" s="157">
        <f t="shared" si="58"/>
        <v>1.5149999999999999</v>
      </c>
      <c r="AW73" s="157">
        <f t="shared" si="58"/>
        <v>1.5149999999999999</v>
      </c>
      <c r="AX73" s="157">
        <f t="shared" si="58"/>
        <v>1.5149999999999999</v>
      </c>
      <c r="AY73" s="157">
        <f t="shared" si="58"/>
        <v>1.5149999999999999</v>
      </c>
      <c r="AZ73" s="157">
        <f t="shared" si="58"/>
        <v>1.5149999999999999</v>
      </c>
      <c r="BA73" s="157">
        <f t="shared" si="58"/>
        <v>1.5149999999999999</v>
      </c>
      <c r="BB73" s="157">
        <f t="shared" si="58"/>
        <v>1.5149999999999999</v>
      </c>
      <c r="BC73" s="157">
        <f t="shared" si="58"/>
        <v>1.5149999999999999</v>
      </c>
      <c r="BD73" s="157">
        <f t="shared" si="58"/>
        <v>1.5149999999999999</v>
      </c>
      <c r="BE73" s="157">
        <f t="shared" si="58"/>
        <v>1.5149999999999999</v>
      </c>
      <c r="BF73" s="157">
        <f t="shared" si="58"/>
        <v>1.5149999999999999</v>
      </c>
      <c r="BG73" s="157">
        <f t="shared" si="58"/>
        <v>1.5149999999999999</v>
      </c>
      <c r="BH73" s="157">
        <f t="shared" si="58"/>
        <v>1.5149999999999999</v>
      </c>
      <c r="BI73" s="157">
        <f t="shared" si="58"/>
        <v>1.5149999999999999</v>
      </c>
      <c r="BJ73" s="157">
        <f t="shared" si="58"/>
        <v>1.5149999999999999</v>
      </c>
      <c r="BK73" s="157">
        <f t="shared" si="58"/>
        <v>1.5149999999999999</v>
      </c>
      <c r="BL73" s="157">
        <f t="shared" si="58"/>
        <v>1.5149999999999999</v>
      </c>
      <c r="BM73" s="157">
        <f t="shared" si="58"/>
        <v>1.5149999999999999</v>
      </c>
      <c r="BN73" s="157">
        <f t="shared" si="58"/>
        <v>1.5149999999999999</v>
      </c>
      <c r="BO73" s="157">
        <f t="shared" si="58"/>
        <v>1.5149999999999999</v>
      </c>
      <c r="BP73" s="157">
        <f t="shared" si="58"/>
        <v>1.5149999999999999</v>
      </c>
      <c r="BQ73" s="157">
        <f t="shared" si="58"/>
        <v>1.5149999999999999</v>
      </c>
      <c r="BR73" s="157">
        <f t="shared" si="58"/>
        <v>1.5149999999999999</v>
      </c>
      <c r="BS73" s="157">
        <f t="shared" si="58"/>
        <v>1.5149999999999999</v>
      </c>
      <c r="BT73" s="157">
        <f t="shared" si="58"/>
        <v>1.5149999999999999</v>
      </c>
      <c r="BU73" s="157">
        <f t="shared" si="58"/>
        <v>1.5149999999999999</v>
      </c>
      <c r="BV73" s="157">
        <f t="shared" si="58"/>
        <v>1.5149999999999999</v>
      </c>
    </row>
    <row r="74" spans="1:74" x14ac:dyDescent="0.25">
      <c r="A74" s="149" t="s">
        <v>222</v>
      </c>
      <c r="B74" s="156" t="s">
        <v>218</v>
      </c>
      <c r="C74" s="171" t="s">
        <v>236</v>
      </c>
      <c r="D74" s="172">
        <v>1.8094491006981506</v>
      </c>
      <c r="E74" s="173">
        <v>1.8170652073168834</v>
      </c>
      <c r="F74" s="173">
        <v>1.8246813139356162</v>
      </c>
      <c r="G74" s="173">
        <v>1.832297420554349</v>
      </c>
      <c r="H74" s="173">
        <v>1.8399135271730818</v>
      </c>
      <c r="I74" s="172">
        <v>1.8475296337918148</v>
      </c>
      <c r="J74" s="172">
        <v>1.8059594115383604</v>
      </c>
      <c r="K74" s="172">
        <v>1.7840159855265627</v>
      </c>
      <c r="L74" s="172">
        <v>1.6814452104000452</v>
      </c>
      <c r="M74" s="172">
        <v>1.806534775631629</v>
      </c>
      <c r="N74" s="172">
        <v>1.687151236651262</v>
      </c>
      <c r="O74" s="172">
        <v>1.6489191618513557</v>
      </c>
      <c r="P74" s="172">
        <v>1.6631729764846441</v>
      </c>
      <c r="Q74" s="172">
        <v>1.6972370960472898</v>
      </c>
      <c r="R74" s="172">
        <v>1.7049834593259741</v>
      </c>
      <c r="S74" s="172">
        <v>1.7167249085470579</v>
      </c>
      <c r="T74" s="172">
        <v>1.7524360079447441</v>
      </c>
      <c r="U74" s="172">
        <v>1.7609636412246565</v>
      </c>
      <c r="V74" s="172">
        <v>1.7030148656367128</v>
      </c>
      <c r="W74" s="172">
        <v>1.7225359244387766</v>
      </c>
      <c r="X74" s="172">
        <v>1.8425807362701769</v>
      </c>
      <c r="Y74" s="172">
        <v>1.8370612962136779</v>
      </c>
      <c r="Z74" s="172">
        <v>1.7374945295387592</v>
      </c>
      <c r="AA74" s="172">
        <v>1.7616159945525847</v>
      </c>
      <c r="AB74" s="172">
        <v>1.7516108075071695</v>
      </c>
      <c r="AC74" s="172">
        <v>1.7742360750241712</v>
      </c>
      <c r="AD74" s="172">
        <v>1.8011747025306337</v>
      </c>
      <c r="AE74" s="172">
        <v>1.8244332082893515</v>
      </c>
      <c r="AF74" s="173">
        <v>1.8244332082893515</v>
      </c>
      <c r="AG74" s="173">
        <v>1.8244332082893515</v>
      </c>
      <c r="AH74" s="173">
        <v>1.8244332082893515</v>
      </c>
      <c r="AI74" s="173">
        <v>1.8244332082893515</v>
      </c>
      <c r="AJ74" s="173">
        <v>1.8244332082893515</v>
      </c>
      <c r="AK74" s="173">
        <v>1.8244332082893515</v>
      </c>
      <c r="AL74" s="173">
        <v>1.8244332082893515</v>
      </c>
      <c r="AM74" s="173">
        <v>1.8244332082893515</v>
      </c>
      <c r="AN74" s="173">
        <v>1.8244332082893515</v>
      </c>
      <c r="AO74" s="173">
        <v>1.8244332082893515</v>
      </c>
      <c r="AP74" s="173">
        <v>1.8244332082893515</v>
      </c>
      <c r="AQ74" s="173">
        <v>1.8244332082893515</v>
      </c>
      <c r="AR74" s="173">
        <v>1.8244332082893515</v>
      </c>
      <c r="AS74" s="157">
        <f t="shared" ref="AS74:BV74" si="59">AR74</f>
        <v>1.8244332082893515</v>
      </c>
      <c r="AT74" s="157">
        <f t="shared" si="59"/>
        <v>1.8244332082893515</v>
      </c>
      <c r="AU74" s="157">
        <f t="shared" si="59"/>
        <v>1.8244332082893515</v>
      </c>
      <c r="AV74" s="157">
        <f t="shared" si="59"/>
        <v>1.8244332082893515</v>
      </c>
      <c r="AW74" s="157">
        <f t="shared" si="59"/>
        <v>1.8244332082893515</v>
      </c>
      <c r="AX74" s="157">
        <f t="shared" si="59"/>
        <v>1.8244332082893515</v>
      </c>
      <c r="AY74" s="157">
        <f t="shared" si="59"/>
        <v>1.8244332082893515</v>
      </c>
      <c r="AZ74" s="157">
        <f t="shared" si="59"/>
        <v>1.8244332082893515</v>
      </c>
      <c r="BA74" s="157">
        <f t="shared" si="59"/>
        <v>1.8244332082893515</v>
      </c>
      <c r="BB74" s="157">
        <f t="shared" si="59"/>
        <v>1.8244332082893515</v>
      </c>
      <c r="BC74" s="157">
        <f t="shared" si="59"/>
        <v>1.8244332082893515</v>
      </c>
      <c r="BD74" s="157">
        <f t="shared" si="59"/>
        <v>1.8244332082893515</v>
      </c>
      <c r="BE74" s="157">
        <f t="shared" si="59"/>
        <v>1.8244332082893515</v>
      </c>
      <c r="BF74" s="157">
        <f t="shared" si="59"/>
        <v>1.8244332082893515</v>
      </c>
      <c r="BG74" s="157">
        <f t="shared" si="59"/>
        <v>1.8244332082893515</v>
      </c>
      <c r="BH74" s="157">
        <f t="shared" si="59"/>
        <v>1.8244332082893515</v>
      </c>
      <c r="BI74" s="157">
        <f t="shared" si="59"/>
        <v>1.8244332082893515</v>
      </c>
      <c r="BJ74" s="157">
        <f t="shared" si="59"/>
        <v>1.8244332082893515</v>
      </c>
      <c r="BK74" s="157">
        <f t="shared" si="59"/>
        <v>1.8244332082893515</v>
      </c>
      <c r="BL74" s="157">
        <f t="shared" si="59"/>
        <v>1.8244332082893515</v>
      </c>
      <c r="BM74" s="157">
        <f t="shared" si="59"/>
        <v>1.8244332082893515</v>
      </c>
      <c r="BN74" s="157">
        <f t="shared" si="59"/>
        <v>1.8244332082893515</v>
      </c>
      <c r="BO74" s="157">
        <f t="shared" si="59"/>
        <v>1.8244332082893515</v>
      </c>
      <c r="BP74" s="157">
        <f t="shared" si="59"/>
        <v>1.8244332082893515</v>
      </c>
      <c r="BQ74" s="157">
        <f t="shared" si="59"/>
        <v>1.8244332082893515</v>
      </c>
      <c r="BR74" s="157">
        <f t="shared" si="59"/>
        <v>1.8244332082893515</v>
      </c>
      <c r="BS74" s="157">
        <f t="shared" si="59"/>
        <v>1.8244332082893515</v>
      </c>
      <c r="BT74" s="157">
        <f t="shared" si="59"/>
        <v>1.8244332082893515</v>
      </c>
      <c r="BU74" s="157">
        <f t="shared" si="59"/>
        <v>1.8244332082893515</v>
      </c>
      <c r="BV74" s="157">
        <f t="shared" si="59"/>
        <v>1.8244332082893515</v>
      </c>
    </row>
    <row r="75" spans="1:74" x14ac:dyDescent="0.25">
      <c r="A75" s="155" t="s">
        <v>229</v>
      </c>
      <c r="B75" s="159" t="s">
        <v>213</v>
      </c>
      <c r="C75" s="159" t="s">
        <v>245</v>
      </c>
      <c r="D75" s="160">
        <v>1.191404011461318</v>
      </c>
      <c r="E75" s="161">
        <v>1.191404011461318</v>
      </c>
      <c r="F75" s="161">
        <v>1.191404011461318</v>
      </c>
      <c r="G75" s="161">
        <v>1.191404011461318</v>
      </c>
      <c r="H75" s="161">
        <v>1.191404011461318</v>
      </c>
      <c r="I75" s="161">
        <v>1.191404011461318</v>
      </c>
      <c r="J75" s="161">
        <v>1.191404011461318</v>
      </c>
      <c r="K75" s="161">
        <v>1.191404011461318</v>
      </c>
      <c r="L75" s="161">
        <v>1.191404011461318</v>
      </c>
      <c r="M75" s="161">
        <v>1.191404011461318</v>
      </c>
      <c r="N75" s="161">
        <v>1.191404011461318</v>
      </c>
      <c r="O75" s="161">
        <v>1.191404011461318</v>
      </c>
      <c r="P75" s="161">
        <v>1.191404011461318</v>
      </c>
      <c r="Q75" s="161">
        <v>1.191404011461318</v>
      </c>
      <c r="R75" s="161">
        <v>1.191404011461318</v>
      </c>
      <c r="S75" s="161">
        <v>1.191404011461318</v>
      </c>
      <c r="T75" s="161">
        <v>1.191404011461318</v>
      </c>
      <c r="U75" s="161">
        <v>1.191404011461318</v>
      </c>
      <c r="V75" s="161">
        <v>1.191404011461318</v>
      </c>
      <c r="W75" s="161">
        <v>1.191404011461318</v>
      </c>
      <c r="X75" s="161">
        <v>1.191404011461318</v>
      </c>
      <c r="Y75" s="161">
        <v>1.191404011461318</v>
      </c>
      <c r="Z75" s="161">
        <v>1.191404011461318</v>
      </c>
      <c r="AA75" s="161">
        <v>1.191404011461318</v>
      </c>
      <c r="AB75" s="161">
        <v>1.191404011461318</v>
      </c>
      <c r="AC75" s="161">
        <v>1.191404011461318</v>
      </c>
      <c r="AD75" s="161">
        <v>1.191404011461318</v>
      </c>
      <c r="AE75" s="161">
        <v>1.191404011461318</v>
      </c>
      <c r="AF75" s="161">
        <v>1.191404011461318</v>
      </c>
      <c r="AG75" s="161">
        <v>1.191404011461318</v>
      </c>
      <c r="AH75" s="161">
        <v>1.191404011461318</v>
      </c>
      <c r="AI75" s="161">
        <v>1.191404011461318</v>
      </c>
      <c r="AJ75" s="161">
        <v>1.191404011461318</v>
      </c>
      <c r="AK75" s="161">
        <v>1.191404011461318</v>
      </c>
      <c r="AL75" s="161">
        <v>1.191404011461318</v>
      </c>
      <c r="AM75" s="161">
        <v>1.191404011461318</v>
      </c>
      <c r="AN75" s="161">
        <v>1.191404011461318</v>
      </c>
      <c r="AO75" s="161">
        <v>1.191404011461318</v>
      </c>
      <c r="AP75" s="161">
        <v>1.191404011461318</v>
      </c>
      <c r="AQ75" s="161">
        <v>1.191404011461318</v>
      </c>
      <c r="AR75" s="161">
        <v>1.191404011461318</v>
      </c>
      <c r="AS75" s="157">
        <f t="shared" ref="AS75:BV76" si="60">AR75</f>
        <v>1.191404011461318</v>
      </c>
      <c r="AT75" s="157">
        <f t="shared" si="60"/>
        <v>1.191404011461318</v>
      </c>
      <c r="AU75" s="157">
        <f t="shared" si="60"/>
        <v>1.191404011461318</v>
      </c>
      <c r="AV75" s="157">
        <f t="shared" si="60"/>
        <v>1.191404011461318</v>
      </c>
      <c r="AW75" s="157">
        <f t="shared" si="60"/>
        <v>1.191404011461318</v>
      </c>
      <c r="AX75" s="157">
        <f t="shared" si="60"/>
        <v>1.191404011461318</v>
      </c>
      <c r="AY75" s="157">
        <f t="shared" si="60"/>
        <v>1.191404011461318</v>
      </c>
      <c r="AZ75" s="157">
        <f t="shared" si="60"/>
        <v>1.191404011461318</v>
      </c>
      <c r="BA75" s="157">
        <f t="shared" si="60"/>
        <v>1.191404011461318</v>
      </c>
      <c r="BB75" s="157">
        <f t="shared" si="60"/>
        <v>1.191404011461318</v>
      </c>
      <c r="BC75" s="157">
        <f t="shared" si="60"/>
        <v>1.191404011461318</v>
      </c>
      <c r="BD75" s="157">
        <f t="shared" si="60"/>
        <v>1.191404011461318</v>
      </c>
      <c r="BE75" s="157">
        <f t="shared" si="60"/>
        <v>1.191404011461318</v>
      </c>
      <c r="BF75" s="157">
        <f t="shared" si="60"/>
        <v>1.191404011461318</v>
      </c>
      <c r="BG75" s="157">
        <f t="shared" si="60"/>
        <v>1.191404011461318</v>
      </c>
      <c r="BH75" s="157">
        <f t="shared" si="60"/>
        <v>1.191404011461318</v>
      </c>
      <c r="BI75" s="157">
        <f t="shared" si="60"/>
        <v>1.191404011461318</v>
      </c>
      <c r="BJ75" s="157">
        <f t="shared" si="60"/>
        <v>1.191404011461318</v>
      </c>
      <c r="BK75" s="157">
        <f t="shared" si="60"/>
        <v>1.191404011461318</v>
      </c>
      <c r="BL75" s="157">
        <f t="shared" si="60"/>
        <v>1.191404011461318</v>
      </c>
      <c r="BM75" s="157">
        <f t="shared" si="60"/>
        <v>1.191404011461318</v>
      </c>
      <c r="BN75" s="157">
        <f t="shared" si="60"/>
        <v>1.191404011461318</v>
      </c>
      <c r="BO75" s="157">
        <f t="shared" si="60"/>
        <v>1.191404011461318</v>
      </c>
      <c r="BP75" s="157">
        <f t="shared" si="60"/>
        <v>1.191404011461318</v>
      </c>
      <c r="BQ75" s="157">
        <f t="shared" si="60"/>
        <v>1.191404011461318</v>
      </c>
      <c r="BR75" s="157">
        <f t="shared" si="60"/>
        <v>1.191404011461318</v>
      </c>
      <c r="BS75" s="157">
        <f t="shared" si="60"/>
        <v>1.191404011461318</v>
      </c>
      <c r="BT75" s="157">
        <f t="shared" si="60"/>
        <v>1.191404011461318</v>
      </c>
      <c r="BU75" s="157">
        <f t="shared" si="60"/>
        <v>1.191404011461318</v>
      </c>
      <c r="BV75" s="157">
        <f t="shared" si="60"/>
        <v>1.191404011461318</v>
      </c>
    </row>
    <row r="76" spans="1:74" x14ac:dyDescent="0.25">
      <c r="A76" s="155" t="s">
        <v>230</v>
      </c>
      <c r="B76" s="156" t="s">
        <v>34</v>
      </c>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57">
        <f t="shared" si="60"/>
        <v>0</v>
      </c>
      <c r="AT76" s="157">
        <f t="shared" si="60"/>
        <v>0</v>
      </c>
      <c r="AU76" s="157">
        <f t="shared" si="60"/>
        <v>0</v>
      </c>
      <c r="AV76" s="157">
        <f t="shared" si="60"/>
        <v>0</v>
      </c>
      <c r="AW76" s="157">
        <f t="shared" si="60"/>
        <v>0</v>
      </c>
      <c r="AX76" s="157">
        <f t="shared" si="60"/>
        <v>0</v>
      </c>
      <c r="AY76" s="157">
        <f t="shared" si="60"/>
        <v>0</v>
      </c>
      <c r="AZ76" s="157">
        <f t="shared" si="60"/>
        <v>0</v>
      </c>
      <c r="BA76" s="157">
        <f t="shared" si="60"/>
        <v>0</v>
      </c>
      <c r="BB76" s="157">
        <f t="shared" si="60"/>
        <v>0</v>
      </c>
      <c r="BC76" s="157">
        <f t="shared" si="60"/>
        <v>0</v>
      </c>
      <c r="BD76" s="157">
        <f t="shared" si="60"/>
        <v>0</v>
      </c>
      <c r="BE76" s="157">
        <f t="shared" si="60"/>
        <v>0</v>
      </c>
      <c r="BF76" s="157">
        <f t="shared" si="60"/>
        <v>0</v>
      </c>
      <c r="BG76" s="157">
        <f t="shared" si="60"/>
        <v>0</v>
      </c>
      <c r="BH76" s="157">
        <f t="shared" si="60"/>
        <v>0</v>
      </c>
      <c r="BI76" s="157">
        <f t="shared" si="60"/>
        <v>0</v>
      </c>
      <c r="BJ76" s="157">
        <f t="shared" si="60"/>
        <v>0</v>
      </c>
      <c r="BK76" s="157">
        <f t="shared" si="60"/>
        <v>0</v>
      </c>
      <c r="BL76" s="157">
        <f t="shared" si="60"/>
        <v>0</v>
      </c>
      <c r="BM76" s="157">
        <f t="shared" si="60"/>
        <v>0</v>
      </c>
      <c r="BN76" s="157">
        <f t="shared" si="60"/>
        <v>0</v>
      </c>
      <c r="BO76" s="157">
        <f t="shared" si="60"/>
        <v>0</v>
      </c>
      <c r="BP76" s="157">
        <f t="shared" si="60"/>
        <v>0</v>
      </c>
      <c r="BQ76" s="157">
        <f t="shared" si="60"/>
        <v>0</v>
      </c>
      <c r="BR76" s="157">
        <f t="shared" si="60"/>
        <v>0</v>
      </c>
      <c r="BS76" s="157">
        <f t="shared" si="60"/>
        <v>0</v>
      </c>
      <c r="BT76" s="157">
        <f t="shared" si="60"/>
        <v>0</v>
      </c>
      <c r="BU76" s="157">
        <f t="shared" si="60"/>
        <v>0</v>
      </c>
      <c r="BV76" s="157">
        <f t="shared" si="60"/>
        <v>0</v>
      </c>
    </row>
    <row r="77" spans="1:74" x14ac:dyDescent="0.25">
      <c r="A77" s="155" t="s">
        <v>232</v>
      </c>
      <c r="B77" s="156" t="s">
        <v>218</v>
      </c>
      <c r="C77" s="170" t="s">
        <v>222</v>
      </c>
      <c r="D77" s="164">
        <v>1.8094491006981506</v>
      </c>
      <c r="E77" s="164">
        <v>1.8170652073168834</v>
      </c>
      <c r="F77" s="164">
        <v>1.8246813139356162</v>
      </c>
      <c r="G77" s="164">
        <v>1.832297420554349</v>
      </c>
      <c r="H77" s="164">
        <v>1.8399135271730818</v>
      </c>
      <c r="I77" s="164">
        <v>1.8475296337918148</v>
      </c>
      <c r="J77" s="164">
        <v>1.8059594115383604</v>
      </c>
      <c r="K77" s="164">
        <v>1.7840159855265627</v>
      </c>
      <c r="L77" s="164">
        <v>1.6814452104000452</v>
      </c>
      <c r="M77" s="164">
        <v>1.806534775631629</v>
      </c>
      <c r="N77" s="164">
        <v>1.687151236651262</v>
      </c>
      <c r="O77" s="164">
        <v>1.6489191618513557</v>
      </c>
      <c r="P77" s="164">
        <v>1.6631729764846441</v>
      </c>
      <c r="Q77" s="164">
        <v>1.6972370960472898</v>
      </c>
      <c r="R77" s="164">
        <v>1.7049834593259741</v>
      </c>
      <c r="S77" s="164">
        <v>1.7167249085470579</v>
      </c>
      <c r="T77" s="164">
        <v>1.7524360079447441</v>
      </c>
      <c r="U77" s="164">
        <v>1.7609636412246565</v>
      </c>
      <c r="V77" s="164">
        <v>1.7030148656367128</v>
      </c>
      <c r="W77" s="164">
        <v>1.7225359244387766</v>
      </c>
      <c r="X77" s="164">
        <v>1.8425807362701769</v>
      </c>
      <c r="Y77" s="164">
        <v>1.8370612962136779</v>
      </c>
      <c r="Z77" s="164">
        <v>1.7374945295387592</v>
      </c>
      <c r="AA77" s="164">
        <v>1.7616159945525847</v>
      </c>
      <c r="AB77" s="164">
        <v>1.7516108075071695</v>
      </c>
      <c r="AC77" s="164">
        <v>1.7742360750241712</v>
      </c>
      <c r="AD77" s="164">
        <v>1.8011747025306337</v>
      </c>
      <c r="AE77" s="164">
        <v>1.8244332082893515</v>
      </c>
      <c r="AF77" s="164">
        <v>1.8244332082893515</v>
      </c>
      <c r="AG77" s="164">
        <v>1.8244332082893515</v>
      </c>
      <c r="AH77" s="164">
        <v>1.8244332082893515</v>
      </c>
      <c r="AI77" s="164">
        <v>1.8244332082893515</v>
      </c>
      <c r="AJ77" s="164">
        <v>1.8244332082893515</v>
      </c>
      <c r="AK77" s="164">
        <v>1.8244332082893515</v>
      </c>
      <c r="AL77" s="164">
        <v>1.8244332082893515</v>
      </c>
      <c r="AM77" s="164">
        <v>1.8244332082893515</v>
      </c>
      <c r="AN77" s="164">
        <v>1.8244332082893515</v>
      </c>
      <c r="AO77" s="164">
        <v>1.8244332082893515</v>
      </c>
      <c r="AP77" s="164">
        <v>1.8244332082893515</v>
      </c>
      <c r="AQ77" s="164">
        <v>1.8244332082893515</v>
      </c>
      <c r="AR77" s="164">
        <v>1.8244332082893515</v>
      </c>
      <c r="AS77" s="157">
        <f>AR77</f>
        <v>1.8244332082893515</v>
      </c>
      <c r="AT77" s="157">
        <f t="shared" ref="AT77:BV77" si="61">AS77</f>
        <v>1.8244332082893515</v>
      </c>
      <c r="AU77" s="157">
        <f t="shared" si="61"/>
        <v>1.8244332082893515</v>
      </c>
      <c r="AV77" s="157">
        <f t="shared" si="61"/>
        <v>1.8244332082893515</v>
      </c>
      <c r="AW77" s="157">
        <f t="shared" si="61"/>
        <v>1.8244332082893515</v>
      </c>
      <c r="AX77" s="157">
        <f t="shared" si="61"/>
        <v>1.8244332082893515</v>
      </c>
      <c r="AY77" s="157">
        <f t="shared" si="61"/>
        <v>1.8244332082893515</v>
      </c>
      <c r="AZ77" s="157">
        <f t="shared" si="61"/>
        <v>1.8244332082893515</v>
      </c>
      <c r="BA77" s="157">
        <f t="shared" si="61"/>
        <v>1.8244332082893515</v>
      </c>
      <c r="BB77" s="157">
        <f t="shared" si="61"/>
        <v>1.8244332082893515</v>
      </c>
      <c r="BC77" s="157">
        <f t="shared" si="61"/>
        <v>1.8244332082893515</v>
      </c>
      <c r="BD77" s="157">
        <f t="shared" si="61"/>
        <v>1.8244332082893515</v>
      </c>
      <c r="BE77" s="157">
        <f t="shared" si="61"/>
        <v>1.8244332082893515</v>
      </c>
      <c r="BF77" s="157">
        <f t="shared" si="61"/>
        <v>1.8244332082893515</v>
      </c>
      <c r="BG77" s="157">
        <f t="shared" si="61"/>
        <v>1.8244332082893515</v>
      </c>
      <c r="BH77" s="157">
        <f t="shared" si="61"/>
        <v>1.8244332082893515</v>
      </c>
      <c r="BI77" s="157">
        <f t="shared" si="61"/>
        <v>1.8244332082893515</v>
      </c>
      <c r="BJ77" s="157">
        <f t="shared" si="61"/>
        <v>1.8244332082893515</v>
      </c>
      <c r="BK77" s="157">
        <f t="shared" si="61"/>
        <v>1.8244332082893515</v>
      </c>
      <c r="BL77" s="157">
        <f t="shared" si="61"/>
        <v>1.8244332082893515</v>
      </c>
      <c r="BM77" s="157">
        <f t="shared" si="61"/>
        <v>1.8244332082893515</v>
      </c>
      <c r="BN77" s="157">
        <f t="shared" si="61"/>
        <v>1.8244332082893515</v>
      </c>
      <c r="BO77" s="157">
        <f t="shared" si="61"/>
        <v>1.8244332082893515</v>
      </c>
      <c r="BP77" s="157">
        <f t="shared" si="61"/>
        <v>1.8244332082893515</v>
      </c>
      <c r="BQ77" s="157">
        <f t="shared" si="61"/>
        <v>1.8244332082893515</v>
      </c>
      <c r="BR77" s="157">
        <f t="shared" si="61"/>
        <v>1.8244332082893515</v>
      </c>
      <c r="BS77" s="157">
        <f t="shared" si="61"/>
        <v>1.8244332082893515</v>
      </c>
      <c r="BT77" s="157">
        <f t="shared" si="61"/>
        <v>1.8244332082893515</v>
      </c>
      <c r="BU77" s="157">
        <f t="shared" si="61"/>
        <v>1.8244332082893515</v>
      </c>
      <c r="BV77" s="157">
        <f t="shared" si="61"/>
        <v>1.8244332082893515</v>
      </c>
    </row>
    <row r="78" spans="1:74" x14ac:dyDescent="0.25">
      <c r="A78" s="155" t="s">
        <v>233</v>
      </c>
      <c r="B78" s="156" t="s">
        <v>234</v>
      </c>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57">
        <f t="shared" ref="AS78:BV78" si="62">AR78</f>
        <v>0</v>
      </c>
      <c r="AT78" s="157">
        <f t="shared" si="62"/>
        <v>0</v>
      </c>
      <c r="AU78" s="157">
        <f t="shared" si="62"/>
        <v>0</v>
      </c>
      <c r="AV78" s="157">
        <f t="shared" si="62"/>
        <v>0</v>
      </c>
      <c r="AW78" s="157">
        <f t="shared" si="62"/>
        <v>0</v>
      </c>
      <c r="AX78" s="157">
        <f t="shared" si="62"/>
        <v>0</v>
      </c>
      <c r="AY78" s="157">
        <f t="shared" si="62"/>
        <v>0</v>
      </c>
      <c r="AZ78" s="157">
        <f t="shared" si="62"/>
        <v>0</v>
      </c>
      <c r="BA78" s="157">
        <f t="shared" si="62"/>
        <v>0</v>
      </c>
      <c r="BB78" s="157">
        <f t="shared" si="62"/>
        <v>0</v>
      </c>
      <c r="BC78" s="157">
        <f t="shared" si="62"/>
        <v>0</v>
      </c>
      <c r="BD78" s="157">
        <f t="shared" si="62"/>
        <v>0</v>
      </c>
      <c r="BE78" s="157">
        <f t="shared" si="62"/>
        <v>0</v>
      </c>
      <c r="BF78" s="157">
        <f t="shared" si="62"/>
        <v>0</v>
      </c>
      <c r="BG78" s="157">
        <f t="shared" si="62"/>
        <v>0</v>
      </c>
      <c r="BH78" s="157">
        <f t="shared" si="62"/>
        <v>0</v>
      </c>
      <c r="BI78" s="157">
        <f t="shared" si="62"/>
        <v>0</v>
      </c>
      <c r="BJ78" s="157">
        <f t="shared" si="62"/>
        <v>0</v>
      </c>
      <c r="BK78" s="157">
        <f t="shared" si="62"/>
        <v>0</v>
      </c>
      <c r="BL78" s="157">
        <f t="shared" si="62"/>
        <v>0</v>
      </c>
      <c r="BM78" s="157">
        <f t="shared" si="62"/>
        <v>0</v>
      </c>
      <c r="BN78" s="157">
        <f t="shared" si="62"/>
        <v>0</v>
      </c>
      <c r="BO78" s="157">
        <f t="shared" si="62"/>
        <v>0</v>
      </c>
      <c r="BP78" s="157">
        <f t="shared" si="62"/>
        <v>0</v>
      </c>
      <c r="BQ78" s="157">
        <f t="shared" si="62"/>
        <v>0</v>
      </c>
      <c r="BR78" s="157">
        <f t="shared" si="62"/>
        <v>0</v>
      </c>
      <c r="BS78" s="157">
        <f t="shared" si="62"/>
        <v>0</v>
      </c>
      <c r="BT78" s="157">
        <f t="shared" si="62"/>
        <v>0</v>
      </c>
      <c r="BU78" s="157">
        <f t="shared" si="62"/>
        <v>0</v>
      </c>
      <c r="BV78" s="157">
        <f t="shared" si="62"/>
        <v>0</v>
      </c>
    </row>
    <row r="79" spans="1:74" x14ac:dyDescent="0.25">
      <c r="A79" s="155" t="s">
        <v>235</v>
      </c>
      <c r="B79" s="159" t="s">
        <v>34</v>
      </c>
      <c r="C79" s="159" t="s">
        <v>246</v>
      </c>
      <c r="D79" s="160">
        <v>7.8799999999999995E-2</v>
      </c>
      <c r="E79" s="160">
        <v>7.8799999999999995E-2</v>
      </c>
      <c r="F79" s="160">
        <v>7.8799999999999995E-2</v>
      </c>
      <c r="G79" s="160">
        <v>7.8799999999999995E-2</v>
      </c>
      <c r="H79" s="160">
        <v>7.8799999999999995E-2</v>
      </c>
      <c r="I79" s="160">
        <v>7.7600000000000002E-2</v>
      </c>
      <c r="J79" s="160">
        <v>7.7600000000000002E-2</v>
      </c>
      <c r="K79" s="160">
        <v>7.7600000000000002E-2</v>
      </c>
      <c r="L79" s="160">
        <v>7.7600000000000002E-2</v>
      </c>
      <c r="M79" s="160">
        <v>7.7600000000000002E-2</v>
      </c>
      <c r="N79" s="160">
        <v>7.7600000000000002E-2</v>
      </c>
      <c r="O79" s="160">
        <v>7.8600000000000003E-2</v>
      </c>
      <c r="P79" s="160">
        <v>8.0600000000000005E-2</v>
      </c>
      <c r="Q79" s="160">
        <v>8.2600000000000007E-2</v>
      </c>
      <c r="R79" s="160">
        <v>8.1500000000000003E-2</v>
      </c>
      <c r="S79" s="160">
        <v>8.1199999999999994E-2</v>
      </c>
      <c r="T79" s="160">
        <v>8.3799999999999999E-2</v>
      </c>
      <c r="U79" s="160">
        <v>8.77E-2</v>
      </c>
      <c r="V79" s="160">
        <v>8.6300000000000002E-2</v>
      </c>
      <c r="W79" s="160">
        <v>7.9200000000000007E-2</v>
      </c>
      <c r="X79" s="160">
        <v>8.0100000000000005E-2</v>
      </c>
      <c r="Y79" s="160">
        <v>8.0100000000000005E-2</v>
      </c>
      <c r="Z79" s="160">
        <v>8.0100000000000005E-2</v>
      </c>
      <c r="AA79" s="160">
        <v>8.0100000000000005E-2</v>
      </c>
      <c r="AB79" s="160">
        <v>8.0100000000000005E-2</v>
      </c>
      <c r="AC79" s="160">
        <v>8.0100000000000005E-2</v>
      </c>
      <c r="AD79" s="177">
        <v>8.0100000000000005E-2</v>
      </c>
      <c r="AE79" s="177">
        <v>8.0100000000000005E-2</v>
      </c>
      <c r="AF79" s="177">
        <v>8.0100000000000005E-2</v>
      </c>
      <c r="AG79" s="177">
        <v>8.0100000000000005E-2</v>
      </c>
      <c r="AH79" s="177">
        <v>8.0100000000000005E-2</v>
      </c>
      <c r="AI79" s="177">
        <v>8.0100000000000005E-2</v>
      </c>
      <c r="AJ79" s="177">
        <v>8.0100000000000005E-2</v>
      </c>
      <c r="AK79" s="177">
        <v>8.0100000000000005E-2</v>
      </c>
      <c r="AL79" s="177">
        <v>8.0100000000000005E-2</v>
      </c>
      <c r="AM79" s="177">
        <v>8.0100000000000005E-2</v>
      </c>
      <c r="AN79" s="177">
        <v>8.0100000000000005E-2</v>
      </c>
      <c r="AO79" s="177">
        <v>8.0100000000000005E-2</v>
      </c>
      <c r="AP79" s="177">
        <v>8.0100000000000005E-2</v>
      </c>
      <c r="AQ79" s="177">
        <v>8.0100000000000005E-2</v>
      </c>
      <c r="AR79" s="177">
        <v>8.0100000000000005E-2</v>
      </c>
      <c r="AS79" s="157">
        <f>AR79</f>
        <v>8.0100000000000005E-2</v>
      </c>
      <c r="AT79" s="157">
        <f t="shared" ref="AT79:BV80" si="63">AS79</f>
        <v>8.0100000000000005E-2</v>
      </c>
      <c r="AU79" s="157">
        <f t="shared" si="63"/>
        <v>8.0100000000000005E-2</v>
      </c>
      <c r="AV79" s="157">
        <f t="shared" si="63"/>
        <v>8.0100000000000005E-2</v>
      </c>
      <c r="AW79" s="157">
        <f t="shared" si="63"/>
        <v>8.0100000000000005E-2</v>
      </c>
      <c r="AX79" s="157">
        <f t="shared" si="63"/>
        <v>8.0100000000000005E-2</v>
      </c>
      <c r="AY79" s="157">
        <f t="shared" si="63"/>
        <v>8.0100000000000005E-2</v>
      </c>
      <c r="AZ79" s="157">
        <f t="shared" si="63"/>
        <v>8.0100000000000005E-2</v>
      </c>
      <c r="BA79" s="157">
        <f t="shared" si="63"/>
        <v>8.0100000000000005E-2</v>
      </c>
      <c r="BB79" s="157">
        <f t="shared" si="63"/>
        <v>8.0100000000000005E-2</v>
      </c>
      <c r="BC79" s="157">
        <f t="shared" si="63"/>
        <v>8.0100000000000005E-2</v>
      </c>
      <c r="BD79" s="157">
        <f t="shared" si="63"/>
        <v>8.0100000000000005E-2</v>
      </c>
      <c r="BE79" s="157">
        <f t="shared" si="63"/>
        <v>8.0100000000000005E-2</v>
      </c>
      <c r="BF79" s="157">
        <f t="shared" si="63"/>
        <v>8.0100000000000005E-2</v>
      </c>
      <c r="BG79" s="157">
        <f t="shared" si="63"/>
        <v>8.0100000000000005E-2</v>
      </c>
      <c r="BH79" s="157">
        <f t="shared" si="63"/>
        <v>8.0100000000000005E-2</v>
      </c>
      <c r="BI79" s="157">
        <f t="shared" si="63"/>
        <v>8.0100000000000005E-2</v>
      </c>
      <c r="BJ79" s="157">
        <f t="shared" si="63"/>
        <v>8.0100000000000005E-2</v>
      </c>
      <c r="BK79" s="157">
        <f t="shared" si="63"/>
        <v>8.0100000000000005E-2</v>
      </c>
      <c r="BL79" s="157">
        <f t="shared" si="63"/>
        <v>8.0100000000000005E-2</v>
      </c>
      <c r="BM79" s="157">
        <f t="shared" si="63"/>
        <v>8.0100000000000005E-2</v>
      </c>
      <c r="BN79" s="157">
        <f t="shared" si="63"/>
        <v>8.0100000000000005E-2</v>
      </c>
      <c r="BO79" s="157">
        <f t="shared" si="63"/>
        <v>8.0100000000000005E-2</v>
      </c>
      <c r="BP79" s="157">
        <f t="shared" si="63"/>
        <v>8.0100000000000005E-2</v>
      </c>
      <c r="BQ79" s="157">
        <f t="shared" si="63"/>
        <v>8.0100000000000005E-2</v>
      </c>
      <c r="BR79" s="157">
        <f t="shared" si="63"/>
        <v>8.0100000000000005E-2</v>
      </c>
      <c r="BS79" s="157">
        <f t="shared" si="63"/>
        <v>8.0100000000000005E-2</v>
      </c>
      <c r="BT79" s="157">
        <f t="shared" si="63"/>
        <v>8.0100000000000005E-2</v>
      </c>
      <c r="BU79" s="157">
        <f t="shared" si="63"/>
        <v>8.0100000000000005E-2</v>
      </c>
      <c r="BV79" s="157">
        <f t="shared" si="63"/>
        <v>8.0100000000000005E-2</v>
      </c>
    </row>
    <row r="80" spans="1:74" x14ac:dyDescent="0.25">
      <c r="A80" s="155" t="s">
        <v>15</v>
      </c>
      <c r="B80" s="159" t="s">
        <v>213</v>
      </c>
      <c r="C80" s="159" t="s">
        <v>245</v>
      </c>
      <c r="D80" s="160">
        <v>1.4441260744985671</v>
      </c>
      <c r="E80" s="161">
        <v>1.4441260744985671</v>
      </c>
      <c r="F80" s="161">
        <v>1.4441260744985671</v>
      </c>
      <c r="G80" s="161">
        <v>1.4441260744985671</v>
      </c>
      <c r="H80" s="161">
        <v>1.4441260744985671</v>
      </c>
      <c r="I80" s="161">
        <v>1.4441260744985671</v>
      </c>
      <c r="J80" s="161">
        <v>1.4441260744985671</v>
      </c>
      <c r="K80" s="161">
        <v>1.4441260744985671</v>
      </c>
      <c r="L80" s="161">
        <v>1.4441260744985671</v>
      </c>
      <c r="M80" s="161">
        <v>1.4441260744985671</v>
      </c>
      <c r="N80" s="161">
        <v>1.4441260744985671</v>
      </c>
      <c r="O80" s="161">
        <v>1.4441260744985671</v>
      </c>
      <c r="P80" s="161">
        <v>1.4441260744985671</v>
      </c>
      <c r="Q80" s="161">
        <v>1.4441260744985671</v>
      </c>
      <c r="R80" s="161">
        <v>1.4441260744985671</v>
      </c>
      <c r="S80" s="161">
        <v>1.4441260744985671</v>
      </c>
      <c r="T80" s="161">
        <v>1.4441260744985671</v>
      </c>
      <c r="U80" s="161">
        <v>1.4441260744985671</v>
      </c>
      <c r="V80" s="161">
        <v>1.4441260744985671</v>
      </c>
      <c r="W80" s="161">
        <v>1.4441260744985671</v>
      </c>
      <c r="X80" s="161">
        <v>1.4441260744985671</v>
      </c>
      <c r="Y80" s="161">
        <v>1.4441260744985671</v>
      </c>
      <c r="Z80" s="161">
        <v>1.4441260744985671</v>
      </c>
      <c r="AA80" s="161">
        <v>1.4441260744985671</v>
      </c>
      <c r="AB80" s="161">
        <v>1.4441260744985671</v>
      </c>
      <c r="AC80" s="161">
        <v>1.4441260744985671</v>
      </c>
      <c r="AD80" s="161">
        <v>1.4441260744985671</v>
      </c>
      <c r="AE80" s="161">
        <v>1.4441260744985671</v>
      </c>
      <c r="AF80" s="161">
        <v>1.4441260744985671</v>
      </c>
      <c r="AG80" s="161">
        <v>1.4441260744985671</v>
      </c>
      <c r="AH80" s="161">
        <v>1.4441260744985671</v>
      </c>
      <c r="AI80" s="161">
        <v>1.4441260744985671</v>
      </c>
      <c r="AJ80" s="161">
        <v>1.4441260744985671</v>
      </c>
      <c r="AK80" s="161">
        <v>1.4441260744985671</v>
      </c>
      <c r="AL80" s="161">
        <v>1.4441260744985671</v>
      </c>
      <c r="AM80" s="161">
        <v>1.4441260744985671</v>
      </c>
      <c r="AN80" s="161">
        <v>1.4441260744985671</v>
      </c>
      <c r="AO80" s="161">
        <v>1.4441260744985671</v>
      </c>
      <c r="AP80" s="161">
        <v>1.4441260744985671</v>
      </c>
      <c r="AQ80" s="161">
        <v>1.4441260744985671</v>
      </c>
      <c r="AR80" s="161">
        <v>1.4441260744985671</v>
      </c>
      <c r="AS80" s="157">
        <f>AR80</f>
        <v>1.4441260744985671</v>
      </c>
      <c r="AT80" s="157">
        <f t="shared" si="63"/>
        <v>1.4441260744985671</v>
      </c>
      <c r="AU80" s="157">
        <f t="shared" si="63"/>
        <v>1.4441260744985671</v>
      </c>
      <c r="AV80" s="157">
        <f t="shared" si="63"/>
        <v>1.4441260744985671</v>
      </c>
      <c r="AW80" s="157">
        <f t="shared" si="63"/>
        <v>1.4441260744985671</v>
      </c>
      <c r="AX80" s="157">
        <f t="shared" si="63"/>
        <v>1.4441260744985671</v>
      </c>
      <c r="AY80" s="157">
        <f t="shared" si="63"/>
        <v>1.4441260744985671</v>
      </c>
      <c r="AZ80" s="157">
        <f t="shared" si="63"/>
        <v>1.4441260744985671</v>
      </c>
      <c r="BA80" s="157">
        <f t="shared" si="63"/>
        <v>1.4441260744985671</v>
      </c>
      <c r="BB80" s="157">
        <f t="shared" si="63"/>
        <v>1.4441260744985671</v>
      </c>
      <c r="BC80" s="157">
        <f t="shared" si="63"/>
        <v>1.4441260744985671</v>
      </c>
      <c r="BD80" s="157">
        <f t="shared" si="63"/>
        <v>1.4441260744985671</v>
      </c>
      <c r="BE80" s="157">
        <f t="shared" si="63"/>
        <v>1.4441260744985671</v>
      </c>
      <c r="BF80" s="157">
        <f t="shared" si="63"/>
        <v>1.4441260744985671</v>
      </c>
      <c r="BG80" s="157">
        <f t="shared" si="63"/>
        <v>1.4441260744985671</v>
      </c>
      <c r="BH80" s="157">
        <f t="shared" si="63"/>
        <v>1.4441260744985671</v>
      </c>
      <c r="BI80" s="157">
        <f t="shared" si="63"/>
        <v>1.4441260744985671</v>
      </c>
      <c r="BJ80" s="157">
        <f t="shared" si="63"/>
        <v>1.4441260744985671</v>
      </c>
      <c r="BK80" s="157">
        <f t="shared" si="63"/>
        <v>1.4441260744985671</v>
      </c>
      <c r="BL80" s="157">
        <f t="shared" si="63"/>
        <v>1.4441260744985671</v>
      </c>
      <c r="BM80" s="157">
        <f t="shared" si="63"/>
        <v>1.4441260744985671</v>
      </c>
      <c r="BN80" s="157">
        <f t="shared" si="63"/>
        <v>1.4441260744985671</v>
      </c>
      <c r="BO80" s="157">
        <f t="shared" si="63"/>
        <v>1.4441260744985671</v>
      </c>
      <c r="BP80" s="157">
        <f t="shared" si="63"/>
        <v>1.4441260744985671</v>
      </c>
      <c r="BQ80" s="157">
        <f t="shared" si="63"/>
        <v>1.4441260744985671</v>
      </c>
      <c r="BR80" s="157">
        <f t="shared" si="63"/>
        <v>1.4441260744985671</v>
      </c>
      <c r="BS80" s="157">
        <f t="shared" si="63"/>
        <v>1.4441260744985671</v>
      </c>
      <c r="BT80" s="157">
        <f t="shared" si="63"/>
        <v>1.4441260744985671</v>
      </c>
      <c r="BU80" s="157">
        <f t="shared" si="63"/>
        <v>1.4441260744985671</v>
      </c>
      <c r="BV80" s="157">
        <f t="shared" si="63"/>
        <v>1.4441260744985671</v>
      </c>
    </row>
    <row r="81" spans="1:74" x14ac:dyDescent="0.25">
      <c r="A81" s="155"/>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row>
    <row r="82" spans="1:74" x14ac:dyDescent="0.25">
      <c r="A82" s="155" t="s">
        <v>247</v>
      </c>
      <c r="B82" s="159" t="s">
        <v>213</v>
      </c>
      <c r="C82" s="150" t="s">
        <v>248</v>
      </c>
      <c r="D82" s="165">
        <v>0.54768899664715809</v>
      </c>
      <c r="E82" s="165">
        <v>0.54922252760055357</v>
      </c>
      <c r="F82" s="165">
        <v>0.54922252760055346</v>
      </c>
      <c r="G82" s="165">
        <v>0.54922252760055346</v>
      </c>
      <c r="H82" s="165">
        <v>0.54922252760055357</v>
      </c>
      <c r="I82" s="165">
        <v>0.54922252760055346</v>
      </c>
      <c r="J82" s="165">
        <v>0.54922252760055346</v>
      </c>
      <c r="K82" s="165">
        <v>0.54922252760055357</v>
      </c>
      <c r="L82" s="165">
        <v>0.54922252760055346</v>
      </c>
      <c r="M82" s="165">
        <v>0.54922252760055346</v>
      </c>
      <c r="N82" s="165">
        <v>0.55075605855394882</v>
      </c>
      <c r="O82" s="165">
        <v>0.54944254330715769</v>
      </c>
      <c r="P82" s="165">
        <v>0.54812902806036645</v>
      </c>
      <c r="Q82" s="165">
        <v>0.54734499148282201</v>
      </c>
      <c r="R82" s="165">
        <v>0.5474622010575434</v>
      </c>
      <c r="S82" s="165">
        <v>0.54713706937939321</v>
      </c>
      <c r="T82" s="165">
        <v>0.54715573284356112</v>
      </c>
      <c r="U82" s="165">
        <v>0.54707248548574849</v>
      </c>
      <c r="V82" s="165">
        <v>0.54570117277078567</v>
      </c>
      <c r="W82" s="165">
        <v>0.54588734787876247</v>
      </c>
      <c r="X82" s="165">
        <v>0.54808463255764983</v>
      </c>
      <c r="Y82" s="165">
        <v>0.54573805824875188</v>
      </c>
      <c r="Z82" s="165">
        <v>0.53989371505388584</v>
      </c>
      <c r="AA82" s="165">
        <v>0.54495497518923919</v>
      </c>
      <c r="AB82" s="165">
        <v>0.54394272316216863</v>
      </c>
      <c r="AC82" s="165">
        <v>0.54394272316216852</v>
      </c>
      <c r="AD82" s="165">
        <v>0.54394272316216852</v>
      </c>
      <c r="AE82" s="165">
        <v>0.54394272316216841</v>
      </c>
      <c r="AF82" s="165">
        <v>0.54394272316216841</v>
      </c>
      <c r="AG82" s="165">
        <v>0.54394272316216841</v>
      </c>
      <c r="AH82" s="165">
        <v>0.54394272316216841</v>
      </c>
      <c r="AI82" s="165">
        <v>0.54394272316216841</v>
      </c>
      <c r="AJ82" s="165">
        <v>0.54394272316216841</v>
      </c>
      <c r="AK82" s="165">
        <v>0.54394272316216841</v>
      </c>
      <c r="AL82" s="165">
        <v>0.54394272316216841</v>
      </c>
      <c r="AM82" s="165">
        <v>0.54394272316216841</v>
      </c>
      <c r="AN82" s="165">
        <v>0.54394272316216841</v>
      </c>
      <c r="AO82" s="165">
        <v>0.54394272316216841</v>
      </c>
      <c r="AP82" s="165">
        <v>0.54394272316216841</v>
      </c>
      <c r="AQ82" s="165">
        <v>0.54394272316216841</v>
      </c>
      <c r="AR82" s="165">
        <v>0.54394272316216841</v>
      </c>
      <c r="AS82" s="157">
        <f t="shared" ref="AS82:BV82" si="64">AR82</f>
        <v>0.54394272316216841</v>
      </c>
      <c r="AT82" s="157">
        <f t="shared" si="64"/>
        <v>0.54394272316216841</v>
      </c>
      <c r="AU82" s="157">
        <f t="shared" si="64"/>
        <v>0.54394272316216841</v>
      </c>
      <c r="AV82" s="157">
        <f t="shared" si="64"/>
        <v>0.54394272316216841</v>
      </c>
      <c r="AW82" s="157">
        <f t="shared" si="64"/>
        <v>0.54394272316216841</v>
      </c>
      <c r="AX82" s="157">
        <f t="shared" si="64"/>
        <v>0.54394272316216841</v>
      </c>
      <c r="AY82" s="157">
        <f t="shared" si="64"/>
        <v>0.54394272316216841</v>
      </c>
      <c r="AZ82" s="157">
        <f t="shared" si="64"/>
        <v>0.54394272316216841</v>
      </c>
      <c r="BA82" s="157">
        <f t="shared" si="64"/>
        <v>0.54394272316216841</v>
      </c>
      <c r="BB82" s="157">
        <f t="shared" si="64"/>
        <v>0.54394272316216841</v>
      </c>
      <c r="BC82" s="157">
        <f t="shared" si="64"/>
        <v>0.54394272316216841</v>
      </c>
      <c r="BD82" s="157">
        <f t="shared" si="64"/>
        <v>0.54394272316216841</v>
      </c>
      <c r="BE82" s="157">
        <f t="shared" si="64"/>
        <v>0.54394272316216841</v>
      </c>
      <c r="BF82" s="157">
        <f t="shared" si="64"/>
        <v>0.54394272316216841</v>
      </c>
      <c r="BG82" s="157">
        <f t="shared" si="64"/>
        <v>0.54394272316216841</v>
      </c>
      <c r="BH82" s="157">
        <f t="shared" si="64"/>
        <v>0.54394272316216841</v>
      </c>
      <c r="BI82" s="157">
        <f t="shared" si="64"/>
        <v>0.54394272316216841</v>
      </c>
      <c r="BJ82" s="157">
        <f t="shared" si="64"/>
        <v>0.54394272316216841</v>
      </c>
      <c r="BK82" s="157">
        <f t="shared" si="64"/>
        <v>0.54394272316216841</v>
      </c>
      <c r="BL82" s="157">
        <f t="shared" si="64"/>
        <v>0.54394272316216841</v>
      </c>
      <c r="BM82" s="157">
        <f t="shared" si="64"/>
        <v>0.54394272316216841</v>
      </c>
      <c r="BN82" s="157">
        <f t="shared" si="64"/>
        <v>0.54394272316216841</v>
      </c>
      <c r="BO82" s="157">
        <f t="shared" si="64"/>
        <v>0.54394272316216841</v>
      </c>
      <c r="BP82" s="157">
        <f t="shared" si="64"/>
        <v>0.54394272316216841</v>
      </c>
      <c r="BQ82" s="157">
        <f t="shared" si="64"/>
        <v>0.54394272316216841</v>
      </c>
      <c r="BR82" s="157">
        <f t="shared" si="64"/>
        <v>0.54394272316216841</v>
      </c>
      <c r="BS82" s="157">
        <f t="shared" si="64"/>
        <v>0.54394272316216841</v>
      </c>
      <c r="BT82" s="157">
        <f t="shared" si="64"/>
        <v>0.54394272316216841</v>
      </c>
      <c r="BU82" s="157">
        <f t="shared" si="64"/>
        <v>0.54394272316216841</v>
      </c>
      <c r="BV82" s="157">
        <f t="shared" si="64"/>
        <v>0.54394272316216841</v>
      </c>
    </row>
    <row r="83" spans="1:74" x14ac:dyDescent="0.25">
      <c r="A83" s="155" t="s">
        <v>249</v>
      </c>
      <c r="B83" s="159" t="s">
        <v>213</v>
      </c>
      <c r="C83" s="159" t="s">
        <v>248</v>
      </c>
      <c r="D83" s="165">
        <v>0.76666857206147487</v>
      </c>
      <c r="E83" s="165">
        <v>0.76810172134932031</v>
      </c>
      <c r="F83" s="165">
        <v>0.76814428623030351</v>
      </c>
      <c r="G83" s="165">
        <v>0.76972394472067129</v>
      </c>
      <c r="H83" s="165">
        <v>0.76964106727202386</v>
      </c>
      <c r="I83" s="165">
        <v>0.76872750872168494</v>
      </c>
      <c r="J83" s="165">
        <v>0.76354109206159182</v>
      </c>
      <c r="K83" s="165">
        <v>0.76549263825144231</v>
      </c>
      <c r="L83" s="165">
        <v>0.7647075580947913</v>
      </c>
      <c r="M83" s="165">
        <v>0.76491335958623619</v>
      </c>
      <c r="N83" s="165">
        <v>0.7554386290340338</v>
      </c>
      <c r="O83" s="165">
        <v>0.75725823171852347</v>
      </c>
      <c r="P83" s="165">
        <v>0.75868456602735768</v>
      </c>
      <c r="Q83" s="165">
        <v>0.75957129524095035</v>
      </c>
      <c r="R83" s="165">
        <v>0.76148489874265413</v>
      </c>
      <c r="S83" s="165">
        <v>0.76114714276043616</v>
      </c>
      <c r="T83" s="165">
        <v>0.75899773157548911</v>
      </c>
      <c r="U83" s="165">
        <v>0.75794906569388754</v>
      </c>
      <c r="V83" s="165">
        <v>0.7582052383169241</v>
      </c>
      <c r="W83" s="165">
        <v>0.75019068616454387</v>
      </c>
      <c r="X83" s="165">
        <v>0.75141158391442542</v>
      </c>
      <c r="Y83" s="165">
        <v>0.7531671193259839</v>
      </c>
      <c r="Z83" s="165">
        <v>0.75168541764712282</v>
      </c>
      <c r="AA83" s="165">
        <v>0.75011070466545648</v>
      </c>
      <c r="AB83" s="165">
        <v>0.75241562737674061</v>
      </c>
      <c r="AC83" s="165">
        <v>0.7533636141160398</v>
      </c>
      <c r="AD83" s="165">
        <v>0.75340700085653223</v>
      </c>
      <c r="AE83" s="165">
        <v>0.75352073941710829</v>
      </c>
      <c r="AF83" s="165">
        <v>0.75352073941710829</v>
      </c>
      <c r="AG83" s="165">
        <v>0.75352073941710829</v>
      </c>
      <c r="AH83" s="165">
        <v>0.75352073941710829</v>
      </c>
      <c r="AI83" s="165">
        <v>0.75352073941710829</v>
      </c>
      <c r="AJ83" s="165">
        <v>0.75352073941710829</v>
      </c>
      <c r="AK83" s="165">
        <v>0.75352073941710829</v>
      </c>
      <c r="AL83" s="165">
        <v>0.75352073941710829</v>
      </c>
      <c r="AM83" s="165">
        <v>0.75352073941710829</v>
      </c>
      <c r="AN83" s="165">
        <v>0.75352073941710829</v>
      </c>
      <c r="AO83" s="165">
        <v>0.75352073941710829</v>
      </c>
      <c r="AP83" s="165">
        <v>0.75352073941710829</v>
      </c>
      <c r="AQ83" s="165">
        <v>0.75352073941710829</v>
      </c>
      <c r="AR83" s="165">
        <v>0.75352073941710829</v>
      </c>
      <c r="AS83" s="157">
        <f t="shared" ref="AS83:BV83" si="65">AR83</f>
        <v>0.75352073941710829</v>
      </c>
      <c r="AT83" s="157">
        <f t="shared" si="65"/>
        <v>0.75352073941710829</v>
      </c>
      <c r="AU83" s="157">
        <f t="shared" si="65"/>
        <v>0.75352073941710829</v>
      </c>
      <c r="AV83" s="157">
        <f t="shared" si="65"/>
        <v>0.75352073941710829</v>
      </c>
      <c r="AW83" s="157">
        <f t="shared" si="65"/>
        <v>0.75352073941710829</v>
      </c>
      <c r="AX83" s="157">
        <f t="shared" si="65"/>
        <v>0.75352073941710829</v>
      </c>
      <c r="AY83" s="157">
        <f t="shared" si="65"/>
        <v>0.75352073941710829</v>
      </c>
      <c r="AZ83" s="157">
        <f t="shared" si="65"/>
        <v>0.75352073941710829</v>
      </c>
      <c r="BA83" s="157">
        <f t="shared" si="65"/>
        <v>0.75352073941710829</v>
      </c>
      <c r="BB83" s="157">
        <f t="shared" si="65"/>
        <v>0.75352073941710829</v>
      </c>
      <c r="BC83" s="157">
        <f t="shared" si="65"/>
        <v>0.75352073941710829</v>
      </c>
      <c r="BD83" s="157">
        <f t="shared" si="65"/>
        <v>0.75352073941710829</v>
      </c>
      <c r="BE83" s="157">
        <f t="shared" si="65"/>
        <v>0.75352073941710829</v>
      </c>
      <c r="BF83" s="157">
        <f t="shared" si="65"/>
        <v>0.75352073941710829</v>
      </c>
      <c r="BG83" s="157">
        <f t="shared" si="65"/>
        <v>0.75352073941710829</v>
      </c>
      <c r="BH83" s="157">
        <f t="shared" si="65"/>
        <v>0.75352073941710829</v>
      </c>
      <c r="BI83" s="157">
        <f t="shared" si="65"/>
        <v>0.75352073941710829</v>
      </c>
      <c r="BJ83" s="157">
        <f t="shared" si="65"/>
        <v>0.75352073941710829</v>
      </c>
      <c r="BK83" s="157">
        <f t="shared" si="65"/>
        <v>0.75352073941710829</v>
      </c>
      <c r="BL83" s="157">
        <f t="shared" si="65"/>
        <v>0.75352073941710829</v>
      </c>
      <c r="BM83" s="157">
        <f t="shared" si="65"/>
        <v>0.75352073941710829</v>
      </c>
      <c r="BN83" s="157">
        <f t="shared" si="65"/>
        <v>0.75352073941710829</v>
      </c>
      <c r="BO83" s="157">
        <f t="shared" si="65"/>
        <v>0.75352073941710829</v>
      </c>
      <c r="BP83" s="157">
        <f t="shared" si="65"/>
        <v>0.75352073941710829</v>
      </c>
      <c r="BQ83" s="157">
        <f t="shared" si="65"/>
        <v>0.75352073941710829</v>
      </c>
      <c r="BR83" s="157">
        <f t="shared" si="65"/>
        <v>0.75352073941710829</v>
      </c>
      <c r="BS83" s="157">
        <f t="shared" si="65"/>
        <v>0.75352073941710829</v>
      </c>
      <c r="BT83" s="157">
        <f t="shared" si="65"/>
        <v>0.75352073941710829</v>
      </c>
      <c r="BU83" s="157">
        <f t="shared" si="65"/>
        <v>0.75352073941710829</v>
      </c>
      <c r="BV83" s="157">
        <f t="shared" si="65"/>
        <v>0.75352073941710829</v>
      </c>
    </row>
    <row r="84" spans="1:74" x14ac:dyDescent="0.25">
      <c r="A84" s="155" t="s">
        <v>250</v>
      </c>
      <c r="B84" s="159" t="s">
        <v>213</v>
      </c>
      <c r="C84" s="150" t="s">
        <v>248</v>
      </c>
      <c r="D84" s="165">
        <v>1.7377643887459586</v>
      </c>
      <c r="E84" s="165">
        <v>1.7254816263414912</v>
      </c>
      <c r="F84" s="165">
        <v>1.7258726599216683</v>
      </c>
      <c r="G84" s="165">
        <v>1.6909506573141553</v>
      </c>
      <c r="H84" s="165">
        <v>1.6726809046685212</v>
      </c>
      <c r="I84" s="165">
        <v>1.6756217441178303</v>
      </c>
      <c r="J84" s="165">
        <v>1.693944860379367</v>
      </c>
      <c r="K84" s="165">
        <v>1.689286062288563</v>
      </c>
      <c r="L84" s="165">
        <v>1.7309735674961888</v>
      </c>
      <c r="M84" s="165">
        <v>1.6456631587621973</v>
      </c>
      <c r="N84" s="165">
        <v>1.6441702816406805</v>
      </c>
      <c r="O84" s="165">
        <v>1.6268046464677703</v>
      </c>
      <c r="P84" s="165">
        <v>1.632243398734575</v>
      </c>
      <c r="Q84" s="165">
        <v>1.6397967092162899</v>
      </c>
      <c r="R84" s="165">
        <v>1.6297608608615051</v>
      </c>
      <c r="S84" s="165">
        <v>1.6679918192657155</v>
      </c>
      <c r="T84" s="165">
        <v>1.6686665113198349</v>
      </c>
      <c r="U84" s="165">
        <v>1.653491235661732</v>
      </c>
      <c r="V84" s="165">
        <v>1.6566458088305003</v>
      </c>
      <c r="W84" s="165">
        <v>1.6583019455581571</v>
      </c>
      <c r="X84" s="165">
        <v>1.6696137306462833</v>
      </c>
      <c r="Y84" s="165">
        <v>1.7127045322776668</v>
      </c>
      <c r="Z84" s="165">
        <v>1.6906988830379528</v>
      </c>
      <c r="AA84" s="165">
        <v>1.6630211906269434</v>
      </c>
      <c r="AB84" s="165">
        <v>1.6594863534900823</v>
      </c>
      <c r="AC84" s="165">
        <v>1.6499087680986135</v>
      </c>
      <c r="AD84" s="165">
        <v>1.633060622999136</v>
      </c>
      <c r="AE84" s="165">
        <v>1.6428933351728314</v>
      </c>
      <c r="AF84" s="165">
        <v>1.6428933351728314</v>
      </c>
      <c r="AG84" s="165">
        <v>1.6428933351728314</v>
      </c>
      <c r="AH84" s="165">
        <v>1.6428933351728314</v>
      </c>
      <c r="AI84" s="165">
        <v>1.6428933351728314</v>
      </c>
      <c r="AJ84" s="165">
        <v>1.6428933351728314</v>
      </c>
      <c r="AK84" s="165">
        <v>1.6428933351728314</v>
      </c>
      <c r="AL84" s="165">
        <v>1.6428933351728314</v>
      </c>
      <c r="AM84" s="165">
        <v>1.6428933351728314</v>
      </c>
      <c r="AN84" s="165">
        <v>1.6428933351728314</v>
      </c>
      <c r="AO84" s="165">
        <v>1.6428933351728314</v>
      </c>
      <c r="AP84" s="165">
        <v>1.6428933351728314</v>
      </c>
      <c r="AQ84" s="165">
        <v>1.6428933351728314</v>
      </c>
      <c r="AR84" s="165">
        <v>1.6428933351728314</v>
      </c>
      <c r="AS84" s="157">
        <f t="shared" ref="AS84:BV84" si="66">AR84</f>
        <v>1.6428933351728314</v>
      </c>
      <c r="AT84" s="157">
        <f t="shared" si="66"/>
        <v>1.6428933351728314</v>
      </c>
      <c r="AU84" s="157">
        <f t="shared" si="66"/>
        <v>1.6428933351728314</v>
      </c>
      <c r="AV84" s="157">
        <f t="shared" si="66"/>
        <v>1.6428933351728314</v>
      </c>
      <c r="AW84" s="157">
        <f t="shared" si="66"/>
        <v>1.6428933351728314</v>
      </c>
      <c r="AX84" s="157">
        <f t="shared" si="66"/>
        <v>1.6428933351728314</v>
      </c>
      <c r="AY84" s="157">
        <f t="shared" si="66"/>
        <v>1.6428933351728314</v>
      </c>
      <c r="AZ84" s="157">
        <f t="shared" si="66"/>
        <v>1.6428933351728314</v>
      </c>
      <c r="BA84" s="157">
        <f t="shared" si="66"/>
        <v>1.6428933351728314</v>
      </c>
      <c r="BB84" s="157">
        <f t="shared" si="66"/>
        <v>1.6428933351728314</v>
      </c>
      <c r="BC84" s="157">
        <f t="shared" si="66"/>
        <v>1.6428933351728314</v>
      </c>
      <c r="BD84" s="157">
        <f t="shared" si="66"/>
        <v>1.6428933351728314</v>
      </c>
      <c r="BE84" s="157">
        <f t="shared" si="66"/>
        <v>1.6428933351728314</v>
      </c>
      <c r="BF84" s="157">
        <f t="shared" si="66"/>
        <v>1.6428933351728314</v>
      </c>
      <c r="BG84" s="157">
        <f t="shared" si="66"/>
        <v>1.6428933351728314</v>
      </c>
      <c r="BH84" s="157">
        <f t="shared" si="66"/>
        <v>1.6428933351728314</v>
      </c>
      <c r="BI84" s="157">
        <f t="shared" si="66"/>
        <v>1.6428933351728314</v>
      </c>
      <c r="BJ84" s="157">
        <f t="shared" si="66"/>
        <v>1.6428933351728314</v>
      </c>
      <c r="BK84" s="157">
        <f t="shared" si="66"/>
        <v>1.6428933351728314</v>
      </c>
      <c r="BL84" s="157">
        <f t="shared" si="66"/>
        <v>1.6428933351728314</v>
      </c>
      <c r="BM84" s="157">
        <f t="shared" si="66"/>
        <v>1.6428933351728314</v>
      </c>
      <c r="BN84" s="157">
        <f t="shared" si="66"/>
        <v>1.6428933351728314</v>
      </c>
      <c r="BO84" s="157">
        <f t="shared" si="66"/>
        <v>1.6428933351728314</v>
      </c>
      <c r="BP84" s="157">
        <f t="shared" si="66"/>
        <v>1.6428933351728314</v>
      </c>
      <c r="BQ84" s="157">
        <f t="shared" si="66"/>
        <v>1.6428933351728314</v>
      </c>
      <c r="BR84" s="157">
        <f t="shared" si="66"/>
        <v>1.6428933351728314</v>
      </c>
      <c r="BS84" s="157">
        <f t="shared" si="66"/>
        <v>1.6428933351728314</v>
      </c>
      <c r="BT84" s="157">
        <f t="shared" si="66"/>
        <v>1.6428933351728314</v>
      </c>
      <c r="BU84" s="157">
        <f t="shared" si="66"/>
        <v>1.6428933351728314</v>
      </c>
      <c r="BV84" s="157">
        <f t="shared" si="66"/>
        <v>1.6428933351728314</v>
      </c>
    </row>
    <row r="85" spans="1:74" x14ac:dyDescent="0.25">
      <c r="A85" s="155" t="s">
        <v>251</v>
      </c>
      <c r="B85" s="159" t="s">
        <v>213</v>
      </c>
      <c r="C85" s="150" t="s">
        <v>248</v>
      </c>
      <c r="D85" s="165">
        <v>0.78049830887063254</v>
      </c>
      <c r="E85" s="165">
        <v>0.77703778178966154</v>
      </c>
      <c r="F85" s="165">
        <v>0.75917783544636208</v>
      </c>
      <c r="G85" s="165">
        <v>0.70495386186366471</v>
      </c>
      <c r="H85" s="165">
        <v>0.68661371243585345</v>
      </c>
      <c r="I85" s="165">
        <v>0.70952702448578375</v>
      </c>
      <c r="J85" s="165">
        <v>0.65467695616658417</v>
      </c>
      <c r="K85" s="165">
        <v>0.65757565848779398</v>
      </c>
      <c r="L85" s="165">
        <v>0.65327135794779734</v>
      </c>
      <c r="M85" s="165">
        <v>0.65360071112956919</v>
      </c>
      <c r="N85" s="165">
        <v>0.65764601492401464</v>
      </c>
      <c r="O85" s="165">
        <v>0.64260513130992003</v>
      </c>
      <c r="P85" s="165">
        <v>0.64369817132734475</v>
      </c>
      <c r="Q85" s="165">
        <v>0.64784862515457897</v>
      </c>
      <c r="R85" s="165">
        <v>0.64842414613214805</v>
      </c>
      <c r="S85" s="165">
        <v>0.64620605528052111</v>
      </c>
      <c r="T85" s="165">
        <v>0.64039081768060291</v>
      </c>
      <c r="U85" s="165">
        <v>0.63154383003165704</v>
      </c>
      <c r="V85" s="165">
        <v>0.63941772068559588</v>
      </c>
      <c r="W85" s="165">
        <v>0.58418281828797192</v>
      </c>
      <c r="X85" s="165">
        <v>0.60147029091993909</v>
      </c>
      <c r="Y85" s="165">
        <v>0.64124581086213961</v>
      </c>
      <c r="Z85" s="165">
        <v>0.66586054219324986</v>
      </c>
      <c r="AA85" s="165">
        <v>0.68315473586347097</v>
      </c>
      <c r="AB85" s="165">
        <v>0.62315578936717997</v>
      </c>
      <c r="AC85" s="165">
        <v>0.64275267762981347</v>
      </c>
      <c r="AD85" s="165">
        <v>0.61317220938793693</v>
      </c>
      <c r="AE85" s="165">
        <v>0.60715425229474651</v>
      </c>
      <c r="AF85" s="165">
        <v>0.60715425229474651</v>
      </c>
      <c r="AG85" s="165">
        <v>0.60715425229474651</v>
      </c>
      <c r="AH85" s="165">
        <v>0.60715425229474651</v>
      </c>
      <c r="AI85" s="165">
        <v>0.60715425229474651</v>
      </c>
      <c r="AJ85" s="165">
        <v>0.60715425229474651</v>
      </c>
      <c r="AK85" s="165">
        <v>0.60715425229474651</v>
      </c>
      <c r="AL85" s="165">
        <v>0.60715425229474651</v>
      </c>
      <c r="AM85" s="165">
        <v>0.60715425229474651</v>
      </c>
      <c r="AN85" s="165">
        <v>0.60715425229474651</v>
      </c>
      <c r="AO85" s="165">
        <v>0.60715425229474651</v>
      </c>
      <c r="AP85" s="165">
        <v>0.60715425229474651</v>
      </c>
      <c r="AQ85" s="165">
        <v>0.60715425229474651</v>
      </c>
      <c r="AR85" s="165">
        <v>0.60715425229474651</v>
      </c>
      <c r="AS85" s="157">
        <f t="shared" ref="AS85:BV85" si="67">AR85</f>
        <v>0.60715425229474651</v>
      </c>
      <c r="AT85" s="157">
        <f t="shared" si="67"/>
        <v>0.60715425229474651</v>
      </c>
      <c r="AU85" s="157">
        <f t="shared" si="67"/>
        <v>0.60715425229474651</v>
      </c>
      <c r="AV85" s="157">
        <f t="shared" si="67"/>
        <v>0.60715425229474651</v>
      </c>
      <c r="AW85" s="157">
        <f t="shared" si="67"/>
        <v>0.60715425229474651</v>
      </c>
      <c r="AX85" s="157">
        <f t="shared" si="67"/>
        <v>0.60715425229474651</v>
      </c>
      <c r="AY85" s="157">
        <f t="shared" si="67"/>
        <v>0.60715425229474651</v>
      </c>
      <c r="AZ85" s="157">
        <f t="shared" si="67"/>
        <v>0.60715425229474651</v>
      </c>
      <c r="BA85" s="157">
        <f t="shared" si="67"/>
        <v>0.60715425229474651</v>
      </c>
      <c r="BB85" s="157">
        <f t="shared" si="67"/>
        <v>0.60715425229474651</v>
      </c>
      <c r="BC85" s="157">
        <f t="shared" si="67"/>
        <v>0.60715425229474651</v>
      </c>
      <c r="BD85" s="157">
        <f t="shared" si="67"/>
        <v>0.60715425229474651</v>
      </c>
      <c r="BE85" s="157">
        <f t="shared" si="67"/>
        <v>0.60715425229474651</v>
      </c>
      <c r="BF85" s="157">
        <f t="shared" si="67"/>
        <v>0.60715425229474651</v>
      </c>
      <c r="BG85" s="157">
        <f t="shared" si="67"/>
        <v>0.60715425229474651</v>
      </c>
      <c r="BH85" s="157">
        <f t="shared" si="67"/>
        <v>0.60715425229474651</v>
      </c>
      <c r="BI85" s="157">
        <f t="shared" si="67"/>
        <v>0.60715425229474651</v>
      </c>
      <c r="BJ85" s="157">
        <f t="shared" si="67"/>
        <v>0.60715425229474651</v>
      </c>
      <c r="BK85" s="157">
        <f t="shared" si="67"/>
        <v>0.60715425229474651</v>
      </c>
      <c r="BL85" s="157">
        <f t="shared" si="67"/>
        <v>0.60715425229474651</v>
      </c>
      <c r="BM85" s="157">
        <f t="shared" si="67"/>
        <v>0.60715425229474651</v>
      </c>
      <c r="BN85" s="157">
        <f t="shared" si="67"/>
        <v>0.60715425229474651</v>
      </c>
      <c r="BO85" s="157">
        <f t="shared" si="67"/>
        <v>0.60715425229474651</v>
      </c>
      <c r="BP85" s="157">
        <f t="shared" si="67"/>
        <v>0.60715425229474651</v>
      </c>
      <c r="BQ85" s="157">
        <f t="shared" si="67"/>
        <v>0.60715425229474651</v>
      </c>
      <c r="BR85" s="157">
        <f t="shared" si="67"/>
        <v>0.60715425229474651</v>
      </c>
      <c r="BS85" s="157">
        <f t="shared" si="67"/>
        <v>0.60715425229474651</v>
      </c>
      <c r="BT85" s="157">
        <f t="shared" si="67"/>
        <v>0.60715425229474651</v>
      </c>
      <c r="BU85" s="157">
        <f t="shared" si="67"/>
        <v>0.60715425229474651</v>
      </c>
      <c r="BV85" s="157">
        <f t="shared" si="67"/>
        <v>0.60715425229474651</v>
      </c>
    </row>
    <row r="86" spans="1:74" x14ac:dyDescent="0.25">
      <c r="A86" s="155" t="s">
        <v>252</v>
      </c>
      <c r="B86" s="159" t="s">
        <v>213</v>
      </c>
      <c r="C86" s="162" t="s">
        <v>202</v>
      </c>
      <c r="D86" s="164">
        <v>3.4301532757013375</v>
      </c>
      <c r="E86" s="164">
        <v>0</v>
      </c>
      <c r="F86" s="164">
        <v>0</v>
      </c>
      <c r="G86" s="164">
        <v>0</v>
      </c>
      <c r="H86" s="164">
        <v>0</v>
      </c>
      <c r="I86" s="164">
        <v>3.3770100578942186</v>
      </c>
      <c r="J86" s="164">
        <v>3.3829284233179062</v>
      </c>
      <c r="K86" s="164">
        <v>3.4024775113400563</v>
      </c>
      <c r="L86" s="164">
        <v>3.3912378949233739</v>
      </c>
      <c r="M86" s="164">
        <v>3.3928918170471074</v>
      </c>
      <c r="N86" s="164">
        <v>3.4380701052680274</v>
      </c>
      <c r="O86" s="164">
        <v>3.3891211835117758</v>
      </c>
      <c r="P86" s="164">
        <v>3.3644637016226699</v>
      </c>
      <c r="Q86" s="164">
        <v>3.3725744853924651</v>
      </c>
      <c r="R86" s="164">
        <v>3.364613767408394</v>
      </c>
      <c r="S86" s="164">
        <v>3.3403161112429882</v>
      </c>
      <c r="T86" s="164">
        <v>3.3088314951690712</v>
      </c>
      <c r="U86" s="164">
        <v>3.1990785147977454</v>
      </c>
      <c r="V86" s="164">
        <v>3.2194180924516398</v>
      </c>
      <c r="W86" s="164">
        <v>3.2101770133861862</v>
      </c>
      <c r="X86" s="164">
        <v>3.273646283624688</v>
      </c>
      <c r="Y86" s="164">
        <v>3.3182696332614054</v>
      </c>
      <c r="Z86" s="164">
        <v>3.3546643987024254</v>
      </c>
      <c r="AA86" s="164">
        <v>3.2963011167895782</v>
      </c>
      <c r="AB86" s="164">
        <v>3.3575797398008107</v>
      </c>
      <c r="AC86" s="164">
        <v>3.4333055893212263</v>
      </c>
      <c r="AD86" s="164">
        <v>3.3905606878669738</v>
      </c>
      <c r="AE86" s="164">
        <v>3.3912039479809688</v>
      </c>
      <c r="AF86" s="164">
        <v>3.3912039479809688</v>
      </c>
      <c r="AG86" s="164">
        <v>3.3912039479809688</v>
      </c>
      <c r="AH86" s="164">
        <v>3.3912039479809688</v>
      </c>
      <c r="AI86" s="164">
        <v>3.3912039479809688</v>
      </c>
      <c r="AJ86" s="164">
        <v>3.3912039479809688</v>
      </c>
      <c r="AK86" s="164">
        <v>3.3912039479809688</v>
      </c>
      <c r="AL86" s="164">
        <v>3.3912039479809688</v>
      </c>
      <c r="AM86" s="164">
        <v>3.3912039479809688</v>
      </c>
      <c r="AN86" s="164">
        <v>3.3912039479809688</v>
      </c>
      <c r="AO86" s="164">
        <v>3.3912039479809688</v>
      </c>
      <c r="AP86" s="164">
        <v>3.3912039479809688</v>
      </c>
      <c r="AQ86" s="164">
        <v>3.3912039479809688</v>
      </c>
      <c r="AR86" s="164">
        <v>3.3912039479809688</v>
      </c>
      <c r="AS86" s="157">
        <f t="shared" ref="AS86:BV86" si="68">AR86</f>
        <v>3.3912039479809688</v>
      </c>
      <c r="AT86" s="157">
        <f t="shared" si="68"/>
        <v>3.3912039479809688</v>
      </c>
      <c r="AU86" s="157">
        <f t="shared" si="68"/>
        <v>3.3912039479809688</v>
      </c>
      <c r="AV86" s="157">
        <f t="shared" si="68"/>
        <v>3.3912039479809688</v>
      </c>
      <c r="AW86" s="157">
        <f t="shared" si="68"/>
        <v>3.3912039479809688</v>
      </c>
      <c r="AX86" s="157">
        <f t="shared" si="68"/>
        <v>3.3912039479809688</v>
      </c>
      <c r="AY86" s="157">
        <f t="shared" si="68"/>
        <v>3.3912039479809688</v>
      </c>
      <c r="AZ86" s="157">
        <f t="shared" si="68"/>
        <v>3.3912039479809688</v>
      </c>
      <c r="BA86" s="157">
        <f t="shared" si="68"/>
        <v>3.3912039479809688</v>
      </c>
      <c r="BB86" s="157">
        <f t="shared" si="68"/>
        <v>3.3912039479809688</v>
      </c>
      <c r="BC86" s="157">
        <f t="shared" si="68"/>
        <v>3.3912039479809688</v>
      </c>
      <c r="BD86" s="157">
        <f t="shared" si="68"/>
        <v>3.3912039479809688</v>
      </c>
      <c r="BE86" s="157">
        <f t="shared" si="68"/>
        <v>3.3912039479809688</v>
      </c>
      <c r="BF86" s="157">
        <f t="shared" si="68"/>
        <v>3.3912039479809688</v>
      </c>
      <c r="BG86" s="157">
        <f t="shared" si="68"/>
        <v>3.3912039479809688</v>
      </c>
      <c r="BH86" s="157">
        <f t="shared" si="68"/>
        <v>3.3912039479809688</v>
      </c>
      <c r="BI86" s="157">
        <f t="shared" si="68"/>
        <v>3.3912039479809688</v>
      </c>
      <c r="BJ86" s="157">
        <f t="shared" si="68"/>
        <v>3.3912039479809688</v>
      </c>
      <c r="BK86" s="157">
        <f t="shared" si="68"/>
        <v>3.3912039479809688</v>
      </c>
      <c r="BL86" s="157">
        <f t="shared" si="68"/>
        <v>3.3912039479809688</v>
      </c>
      <c r="BM86" s="157">
        <f t="shared" si="68"/>
        <v>3.3912039479809688</v>
      </c>
      <c r="BN86" s="157">
        <f t="shared" si="68"/>
        <v>3.3912039479809688</v>
      </c>
      <c r="BO86" s="157">
        <f t="shared" si="68"/>
        <v>3.3912039479809688</v>
      </c>
      <c r="BP86" s="157">
        <f t="shared" si="68"/>
        <v>3.3912039479809688</v>
      </c>
      <c r="BQ86" s="157">
        <f t="shared" si="68"/>
        <v>3.3912039479809688</v>
      </c>
      <c r="BR86" s="157">
        <f t="shared" si="68"/>
        <v>3.3912039479809688</v>
      </c>
      <c r="BS86" s="157">
        <f t="shared" si="68"/>
        <v>3.3912039479809688</v>
      </c>
      <c r="BT86" s="157">
        <f t="shared" si="68"/>
        <v>3.3912039479809688</v>
      </c>
      <c r="BU86" s="157">
        <f t="shared" si="68"/>
        <v>3.3912039479809688</v>
      </c>
      <c r="BV86" s="157">
        <f t="shared" si="68"/>
        <v>3.3912039479809688</v>
      </c>
    </row>
    <row r="87" spans="1:74" x14ac:dyDescent="0.25">
      <c r="A87" s="155"/>
      <c r="D87" s="161"/>
      <c r="E87" s="161"/>
      <c r="F87" s="161"/>
      <c r="G87" s="161"/>
      <c r="H87" s="161"/>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61"/>
      <c r="AS87" s="161"/>
    </row>
    <row r="88" spans="1:74" x14ac:dyDescent="0.25">
      <c r="A88" s="149" t="s">
        <v>253</v>
      </c>
      <c r="B88" s="156" t="s">
        <v>218</v>
      </c>
      <c r="C88" s="171" t="s">
        <v>236</v>
      </c>
      <c r="D88" s="172">
        <v>1.8799302987508295</v>
      </c>
      <c r="E88" s="173">
        <v>1.878364266166163</v>
      </c>
      <c r="F88" s="173">
        <v>1.8767982335814966</v>
      </c>
      <c r="G88" s="173">
        <v>1.8752322009968301</v>
      </c>
      <c r="H88" s="173">
        <v>1.8736661684121636</v>
      </c>
      <c r="I88" s="172">
        <v>1.8721001358274969</v>
      </c>
      <c r="J88" s="172">
        <v>1.824709656255705</v>
      </c>
      <c r="K88" s="172">
        <v>1.8640314985146393</v>
      </c>
      <c r="L88" s="172">
        <v>1.8567139632242793</v>
      </c>
      <c r="M88" s="172">
        <v>1.8524600275908623</v>
      </c>
      <c r="N88" s="172">
        <v>1.8468974581798387</v>
      </c>
      <c r="O88" s="172">
        <v>1.8522443104632955</v>
      </c>
      <c r="P88" s="172">
        <v>1.8582132173148498</v>
      </c>
      <c r="Q88" s="172">
        <v>1.8575159684906515</v>
      </c>
      <c r="R88" s="172">
        <v>1.8630866662896992</v>
      </c>
      <c r="S88" s="172">
        <v>1.8775930885792231</v>
      </c>
      <c r="T88" s="172">
        <v>2.1683128810809209</v>
      </c>
      <c r="U88" s="172">
        <v>2.0423768210010356</v>
      </c>
      <c r="V88" s="172">
        <v>2.0376899836744071</v>
      </c>
      <c r="W88" s="172">
        <v>2.0550948063817702</v>
      </c>
      <c r="X88" s="172">
        <v>2.0604027943238985</v>
      </c>
      <c r="Y88" s="172">
        <v>2.0508335036444252</v>
      </c>
      <c r="Z88" s="172">
        <v>2.0512754718179975</v>
      </c>
      <c r="AA88" s="172">
        <v>2.0405360437037849</v>
      </c>
      <c r="AB88" s="172">
        <v>2.0942486494920378</v>
      </c>
      <c r="AC88" s="172">
        <v>2.0285152690028521</v>
      </c>
      <c r="AD88" s="172">
        <v>2.023393708804694</v>
      </c>
      <c r="AE88" s="173">
        <v>2.023393708804694</v>
      </c>
      <c r="AF88" s="173">
        <v>2.023393708804694</v>
      </c>
      <c r="AG88" s="173">
        <v>2.023393708804694</v>
      </c>
      <c r="AH88" s="173">
        <v>2.023393708804694</v>
      </c>
      <c r="AI88" s="173">
        <v>2.023393708804694</v>
      </c>
      <c r="AJ88" s="173">
        <v>2.023393708804694</v>
      </c>
      <c r="AK88" s="173">
        <v>2.023393708804694</v>
      </c>
      <c r="AL88" s="173">
        <v>2.023393708804694</v>
      </c>
      <c r="AM88" s="173">
        <v>2.023393708804694</v>
      </c>
      <c r="AN88" s="173">
        <v>2.023393708804694</v>
      </c>
      <c r="AO88" s="173">
        <v>2.023393708804694</v>
      </c>
      <c r="AP88" s="173">
        <v>2.023393708804694</v>
      </c>
      <c r="AQ88" s="173">
        <v>2.023393708804694</v>
      </c>
      <c r="AR88" s="173">
        <v>2.023393708804694</v>
      </c>
      <c r="AS88" s="157">
        <f t="shared" ref="AS88:BV88" si="69">AR88</f>
        <v>2.023393708804694</v>
      </c>
      <c r="AT88" s="157">
        <f t="shared" si="69"/>
        <v>2.023393708804694</v>
      </c>
      <c r="AU88" s="157">
        <f t="shared" si="69"/>
        <v>2.023393708804694</v>
      </c>
      <c r="AV88" s="157">
        <f t="shared" si="69"/>
        <v>2.023393708804694</v>
      </c>
      <c r="AW88" s="157">
        <f t="shared" si="69"/>
        <v>2.023393708804694</v>
      </c>
      <c r="AX88" s="157">
        <f t="shared" si="69"/>
        <v>2.023393708804694</v>
      </c>
      <c r="AY88" s="157">
        <f t="shared" si="69"/>
        <v>2.023393708804694</v>
      </c>
      <c r="AZ88" s="157">
        <f t="shared" si="69"/>
        <v>2.023393708804694</v>
      </c>
      <c r="BA88" s="157">
        <f t="shared" si="69"/>
        <v>2.023393708804694</v>
      </c>
      <c r="BB88" s="157">
        <f t="shared" si="69"/>
        <v>2.023393708804694</v>
      </c>
      <c r="BC88" s="157">
        <f t="shared" si="69"/>
        <v>2.023393708804694</v>
      </c>
      <c r="BD88" s="157">
        <f t="shared" si="69"/>
        <v>2.023393708804694</v>
      </c>
      <c r="BE88" s="157">
        <f t="shared" si="69"/>
        <v>2.023393708804694</v>
      </c>
      <c r="BF88" s="157">
        <f t="shared" si="69"/>
        <v>2.023393708804694</v>
      </c>
      <c r="BG88" s="157">
        <f t="shared" si="69"/>
        <v>2.023393708804694</v>
      </c>
      <c r="BH88" s="157">
        <f t="shared" si="69"/>
        <v>2.023393708804694</v>
      </c>
      <c r="BI88" s="157">
        <f t="shared" si="69"/>
        <v>2.023393708804694</v>
      </c>
      <c r="BJ88" s="157">
        <f t="shared" si="69"/>
        <v>2.023393708804694</v>
      </c>
      <c r="BK88" s="157">
        <f t="shared" si="69"/>
        <v>2.023393708804694</v>
      </c>
      <c r="BL88" s="157">
        <f t="shared" si="69"/>
        <v>2.023393708804694</v>
      </c>
      <c r="BM88" s="157">
        <f t="shared" si="69"/>
        <v>2.023393708804694</v>
      </c>
      <c r="BN88" s="157">
        <f t="shared" si="69"/>
        <v>2.023393708804694</v>
      </c>
      <c r="BO88" s="157">
        <f t="shared" si="69"/>
        <v>2.023393708804694</v>
      </c>
      <c r="BP88" s="157">
        <f t="shared" si="69"/>
        <v>2.023393708804694</v>
      </c>
      <c r="BQ88" s="157">
        <f t="shared" si="69"/>
        <v>2.023393708804694</v>
      </c>
      <c r="BR88" s="157">
        <f t="shared" si="69"/>
        <v>2.023393708804694</v>
      </c>
      <c r="BS88" s="157">
        <f t="shared" si="69"/>
        <v>2.023393708804694</v>
      </c>
      <c r="BT88" s="157">
        <f t="shared" si="69"/>
        <v>2.023393708804694</v>
      </c>
      <c r="BU88" s="157">
        <f t="shared" si="69"/>
        <v>2.023393708804694</v>
      </c>
      <c r="BV88" s="157">
        <f t="shared" si="69"/>
        <v>2.023393708804694</v>
      </c>
    </row>
    <row r="89" spans="1:74" x14ac:dyDescent="0.25">
      <c r="A89" s="149" t="s">
        <v>254</v>
      </c>
      <c r="B89" s="156" t="s">
        <v>218</v>
      </c>
      <c r="C89" s="159" t="s">
        <v>244</v>
      </c>
      <c r="D89" s="173">
        <v>2.3669985008991619</v>
      </c>
      <c r="E89" s="173">
        <v>2.3669985008991619</v>
      </c>
      <c r="F89" s="173">
        <v>2.3669985008991619</v>
      </c>
      <c r="G89" s="173">
        <v>2.3669985008991619</v>
      </c>
      <c r="H89" s="173">
        <v>2.3669985008991619</v>
      </c>
      <c r="I89" s="160">
        <v>2.3669985008991619</v>
      </c>
      <c r="J89" s="160">
        <v>2.3633673563685491</v>
      </c>
      <c r="K89" s="160">
        <v>2.3668713136058308</v>
      </c>
      <c r="L89" s="160">
        <v>2.3715257233460432</v>
      </c>
      <c r="M89" s="160">
        <v>2.3704482096306152</v>
      </c>
      <c r="N89" s="160">
        <v>2.3742972874051738</v>
      </c>
      <c r="O89" s="160">
        <v>2.3757262704011057</v>
      </c>
      <c r="P89" s="160">
        <v>2.3771421037413987</v>
      </c>
      <c r="Q89" s="160">
        <v>2.3754138171552888</v>
      </c>
      <c r="R89" s="160">
        <v>2.3678472108601114</v>
      </c>
      <c r="S89" s="160">
        <v>2.3618874071912028</v>
      </c>
      <c r="T89" s="160">
        <v>2.3657680006547888</v>
      </c>
      <c r="U89" s="160">
        <v>2.3664616856134448</v>
      </c>
      <c r="V89" s="160">
        <v>2.3636106337601834</v>
      </c>
      <c r="W89" s="160">
        <v>2.3606170864215601</v>
      </c>
      <c r="X89" s="160">
        <v>2.3594981782284914</v>
      </c>
      <c r="Y89" s="160">
        <v>2.3574427401076501</v>
      </c>
      <c r="Z89" s="160">
        <v>2.3587164384189263</v>
      </c>
      <c r="AA89" s="160">
        <v>2.3601175260654026</v>
      </c>
      <c r="AB89" s="160">
        <v>2.3594648117452048</v>
      </c>
      <c r="AC89" s="160">
        <v>2.3643007451678053</v>
      </c>
      <c r="AD89" s="173">
        <v>2.3643007451678053</v>
      </c>
      <c r="AE89" s="173">
        <v>2.3643007451678053</v>
      </c>
      <c r="AF89" s="173">
        <v>2.3643007451678053</v>
      </c>
      <c r="AG89" s="173">
        <v>2.3643007451678053</v>
      </c>
      <c r="AH89" s="173">
        <v>2.3643007451678053</v>
      </c>
      <c r="AI89" s="173">
        <v>2.3643007451678053</v>
      </c>
      <c r="AJ89" s="173">
        <v>2.3643007451678053</v>
      </c>
      <c r="AK89" s="173">
        <v>2.3643007451678053</v>
      </c>
      <c r="AL89" s="173">
        <v>2.3643007451678053</v>
      </c>
      <c r="AM89" s="173">
        <v>2.3643007451678053</v>
      </c>
      <c r="AN89" s="173">
        <v>2.3643007451678053</v>
      </c>
      <c r="AO89" s="173">
        <v>2.3643007451678053</v>
      </c>
      <c r="AP89" s="173">
        <v>2.3643007451678053</v>
      </c>
      <c r="AQ89" s="173">
        <v>2.3643007451678053</v>
      </c>
      <c r="AR89" s="173">
        <v>2.3643007451678053</v>
      </c>
      <c r="AS89" s="157">
        <f t="shared" ref="AS89:BV89" si="70">AR89</f>
        <v>2.3643007451678053</v>
      </c>
      <c r="AT89" s="157">
        <f t="shared" si="70"/>
        <v>2.3643007451678053</v>
      </c>
      <c r="AU89" s="157">
        <f t="shared" si="70"/>
        <v>2.3643007451678053</v>
      </c>
      <c r="AV89" s="157">
        <f t="shared" si="70"/>
        <v>2.3643007451678053</v>
      </c>
      <c r="AW89" s="157">
        <f t="shared" si="70"/>
        <v>2.3643007451678053</v>
      </c>
      <c r="AX89" s="157">
        <f t="shared" si="70"/>
        <v>2.3643007451678053</v>
      </c>
      <c r="AY89" s="157">
        <f t="shared" si="70"/>
        <v>2.3643007451678053</v>
      </c>
      <c r="AZ89" s="157">
        <f t="shared" si="70"/>
        <v>2.3643007451678053</v>
      </c>
      <c r="BA89" s="157">
        <f t="shared" si="70"/>
        <v>2.3643007451678053</v>
      </c>
      <c r="BB89" s="157">
        <f t="shared" si="70"/>
        <v>2.3643007451678053</v>
      </c>
      <c r="BC89" s="157">
        <f t="shared" si="70"/>
        <v>2.3643007451678053</v>
      </c>
      <c r="BD89" s="157">
        <f t="shared" si="70"/>
        <v>2.3643007451678053</v>
      </c>
      <c r="BE89" s="157">
        <f t="shared" si="70"/>
        <v>2.3643007451678053</v>
      </c>
      <c r="BF89" s="157">
        <f t="shared" si="70"/>
        <v>2.3643007451678053</v>
      </c>
      <c r="BG89" s="157">
        <f t="shared" si="70"/>
        <v>2.3643007451678053</v>
      </c>
      <c r="BH89" s="157">
        <f t="shared" si="70"/>
        <v>2.3643007451678053</v>
      </c>
      <c r="BI89" s="157">
        <f t="shared" si="70"/>
        <v>2.3643007451678053</v>
      </c>
      <c r="BJ89" s="157">
        <f t="shared" si="70"/>
        <v>2.3643007451678053</v>
      </c>
      <c r="BK89" s="157">
        <f t="shared" si="70"/>
        <v>2.3643007451678053</v>
      </c>
      <c r="BL89" s="157">
        <f t="shared" si="70"/>
        <v>2.3643007451678053</v>
      </c>
      <c r="BM89" s="157">
        <f t="shared" si="70"/>
        <v>2.3643007451678053</v>
      </c>
      <c r="BN89" s="157">
        <f t="shared" si="70"/>
        <v>2.3643007451678053</v>
      </c>
      <c r="BO89" s="157">
        <f t="shared" si="70"/>
        <v>2.3643007451678053</v>
      </c>
      <c r="BP89" s="157">
        <f t="shared" si="70"/>
        <v>2.3643007451678053</v>
      </c>
      <c r="BQ89" s="157">
        <f t="shared" si="70"/>
        <v>2.3643007451678053</v>
      </c>
      <c r="BR89" s="157">
        <f t="shared" si="70"/>
        <v>2.3643007451678053</v>
      </c>
      <c r="BS89" s="157">
        <f t="shared" si="70"/>
        <v>2.3643007451678053</v>
      </c>
      <c r="BT89" s="157">
        <f t="shared" si="70"/>
        <v>2.3643007451678053</v>
      </c>
      <c r="BU89" s="157">
        <f t="shared" si="70"/>
        <v>2.3643007451678053</v>
      </c>
      <c r="BV89" s="157">
        <f t="shared" si="70"/>
        <v>2.3643007451678053</v>
      </c>
    </row>
    <row r="90" spans="1:74" x14ac:dyDescent="0.25">
      <c r="A90" s="178" t="s">
        <v>255</v>
      </c>
      <c r="B90" s="156" t="s">
        <v>213</v>
      </c>
      <c r="C90" s="159" t="s">
        <v>248</v>
      </c>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173"/>
      <c r="AC90" s="173"/>
      <c r="AD90" s="173"/>
      <c r="AE90" s="173"/>
      <c r="AF90" s="173"/>
      <c r="AG90" s="173"/>
      <c r="AH90" s="173"/>
      <c r="AI90" s="173"/>
      <c r="AJ90" s="173"/>
      <c r="AK90" s="173"/>
      <c r="AL90" s="173"/>
      <c r="AM90" s="173"/>
      <c r="AN90" s="173"/>
      <c r="AO90" s="173"/>
      <c r="AP90" s="173"/>
      <c r="AQ90" s="173"/>
      <c r="AR90" s="173"/>
      <c r="AS90" s="173"/>
    </row>
    <row r="91" spans="1:74" x14ac:dyDescent="0.25">
      <c r="A91" s="178" t="s">
        <v>256</v>
      </c>
      <c r="B91" s="156" t="s">
        <v>218</v>
      </c>
      <c r="C91" s="159" t="s">
        <v>248</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3"/>
      <c r="AC91" s="173"/>
      <c r="AD91" s="173"/>
      <c r="AE91" s="173"/>
      <c r="AF91" s="173"/>
      <c r="AG91" s="173"/>
      <c r="AH91" s="173"/>
      <c r="AI91" s="173"/>
      <c r="AJ91" s="173"/>
      <c r="AK91" s="173"/>
      <c r="AL91" s="173"/>
      <c r="AM91" s="173"/>
      <c r="AN91" s="173"/>
      <c r="AO91" s="173"/>
      <c r="AP91" s="173"/>
      <c r="AQ91" s="173"/>
      <c r="AR91" s="173"/>
      <c r="AS91" s="173"/>
    </row>
    <row r="92" spans="1:74" x14ac:dyDescent="0.25">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166"/>
      <c r="AC92" s="166"/>
      <c r="AD92" s="166"/>
      <c r="AE92" s="166"/>
      <c r="AF92" s="166"/>
      <c r="AG92" s="166"/>
      <c r="AH92" s="166"/>
      <c r="AI92" s="166"/>
      <c r="AJ92" s="166"/>
      <c r="AK92" s="166"/>
      <c r="AL92" s="166"/>
      <c r="AM92" s="166"/>
      <c r="AN92" s="166"/>
      <c r="AO92" s="166"/>
      <c r="AP92" s="166"/>
      <c r="AQ92" s="166"/>
      <c r="AR92" s="166"/>
      <c r="AS92" s="166"/>
    </row>
    <row r="93" spans="1:74" s="176" customFormat="1" x14ac:dyDescent="0.25">
      <c r="A93" s="174" t="s">
        <v>55</v>
      </c>
      <c r="B93" s="175"/>
      <c r="I93" s="175"/>
      <c r="J93" s="175"/>
      <c r="K93" s="175"/>
      <c r="L93" s="175"/>
      <c r="M93" s="175"/>
      <c r="N93" s="175"/>
      <c r="O93" s="175"/>
      <c r="P93" s="175"/>
      <c r="Q93" s="175"/>
      <c r="R93" s="175"/>
      <c r="S93" s="175"/>
      <c r="T93" s="175"/>
      <c r="U93" s="175"/>
      <c r="V93" s="175"/>
      <c r="W93" s="175"/>
      <c r="X93" s="175"/>
      <c r="Y93" s="175"/>
      <c r="Z93" s="175"/>
      <c r="AA93" s="175"/>
      <c r="AB93" s="175"/>
      <c r="AC93" s="175"/>
      <c r="AD93" s="175"/>
      <c r="AE93" s="175"/>
      <c r="AF93" s="175"/>
      <c r="AG93" s="175"/>
      <c r="AH93" s="175"/>
      <c r="AI93" s="175"/>
      <c r="AJ93" s="175"/>
      <c r="AK93" s="175"/>
      <c r="AL93" s="175"/>
      <c r="AM93" s="175"/>
      <c r="AN93" s="175"/>
      <c r="AO93" s="175"/>
      <c r="AP93" s="175"/>
      <c r="AQ93" s="175"/>
      <c r="AR93" s="175"/>
      <c r="AS93" s="175"/>
    </row>
    <row r="94" spans="1:74" s="176" customFormat="1" x14ac:dyDescent="0.25">
      <c r="A94" s="174" t="s">
        <v>18</v>
      </c>
      <c r="B94" s="174" t="s">
        <v>257</v>
      </c>
      <c r="I94" s="175"/>
      <c r="J94" s="175"/>
      <c r="K94" s="175"/>
      <c r="L94" s="175"/>
      <c r="M94" s="175"/>
      <c r="N94" s="175"/>
      <c r="O94" s="175"/>
      <c r="P94" s="175"/>
      <c r="Q94" s="175"/>
      <c r="R94" s="175"/>
      <c r="S94" s="175"/>
      <c r="T94" s="175"/>
      <c r="U94" s="175"/>
      <c r="V94" s="175"/>
      <c r="W94" s="175"/>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75"/>
    </row>
    <row r="95" spans="1:74" s="150" customFormat="1" x14ac:dyDescent="0.25">
      <c r="A95" s="155" t="s">
        <v>206</v>
      </c>
      <c r="B95" s="156" t="s">
        <v>207</v>
      </c>
      <c r="C95" s="159" t="s">
        <v>239</v>
      </c>
      <c r="D95" s="179">
        <v>2.2000000000000001E-3</v>
      </c>
      <c r="E95" s="180">
        <v>2.2000000000000001E-3</v>
      </c>
      <c r="F95" s="180">
        <v>2.2000000000000001E-3</v>
      </c>
      <c r="G95" s="180">
        <v>2.2000000000000001E-3</v>
      </c>
      <c r="H95" s="180">
        <v>2.2000000000000001E-3</v>
      </c>
      <c r="I95" s="180">
        <v>2.2000000000000001E-3</v>
      </c>
      <c r="J95" s="180">
        <v>2.2000000000000001E-3</v>
      </c>
      <c r="K95" s="180">
        <v>2.2000000000000001E-3</v>
      </c>
      <c r="L95" s="180">
        <v>2.2000000000000001E-3</v>
      </c>
      <c r="M95" s="180">
        <v>2.2000000000000001E-3</v>
      </c>
      <c r="N95" s="180">
        <v>2.2000000000000001E-3</v>
      </c>
      <c r="O95" s="180">
        <v>2.2000000000000001E-3</v>
      </c>
      <c r="P95" s="180">
        <v>2.2000000000000001E-3</v>
      </c>
      <c r="Q95" s="180">
        <v>2.2000000000000001E-3</v>
      </c>
      <c r="R95" s="180">
        <v>2.2000000000000001E-3</v>
      </c>
      <c r="S95" s="180">
        <v>2.2000000000000001E-3</v>
      </c>
      <c r="T95" s="180">
        <v>2.2000000000000001E-3</v>
      </c>
      <c r="U95" s="180">
        <v>2.2000000000000001E-3</v>
      </c>
      <c r="V95" s="180">
        <v>2.2000000000000001E-3</v>
      </c>
      <c r="W95" s="180">
        <v>2.2000000000000001E-3</v>
      </c>
      <c r="X95" s="180">
        <v>2.2000000000000001E-3</v>
      </c>
      <c r="Y95" s="180">
        <v>2.2000000000000001E-3</v>
      </c>
      <c r="Z95" s="180">
        <v>2.2000000000000001E-3</v>
      </c>
      <c r="AA95" s="180">
        <v>2.2000000000000001E-3</v>
      </c>
      <c r="AB95" s="180">
        <v>2.2000000000000001E-3</v>
      </c>
      <c r="AC95" s="180">
        <v>2.2000000000000001E-3</v>
      </c>
      <c r="AD95" s="180">
        <v>2.2000000000000001E-3</v>
      </c>
      <c r="AE95" s="180">
        <v>2.2000000000000001E-3</v>
      </c>
      <c r="AF95" s="180">
        <v>2.2000000000000001E-3</v>
      </c>
      <c r="AG95" s="180">
        <v>2.2000000000000001E-3</v>
      </c>
      <c r="AH95" s="180">
        <v>2.2000000000000001E-3</v>
      </c>
      <c r="AI95" s="180">
        <v>2.2000000000000001E-3</v>
      </c>
      <c r="AJ95" s="180">
        <v>2.2000000000000001E-3</v>
      </c>
      <c r="AK95" s="180">
        <v>2.2000000000000001E-3</v>
      </c>
      <c r="AL95" s="180">
        <v>2.2000000000000001E-3</v>
      </c>
      <c r="AM95" s="180">
        <v>2.2000000000000001E-3</v>
      </c>
      <c r="AN95" s="180">
        <v>2.2000000000000001E-3</v>
      </c>
      <c r="AO95" s="180">
        <v>2.2000000000000001E-3</v>
      </c>
      <c r="AP95" s="180">
        <v>2.2000000000000001E-3</v>
      </c>
      <c r="AQ95" s="180">
        <v>2.2000000000000001E-3</v>
      </c>
      <c r="AR95" s="180">
        <v>2.2000000000000001E-3</v>
      </c>
      <c r="AS95" s="157">
        <f t="shared" ref="AS95:BV95" si="71">AR95</f>
        <v>2.2000000000000001E-3</v>
      </c>
      <c r="AT95" s="157">
        <f t="shared" si="71"/>
        <v>2.2000000000000001E-3</v>
      </c>
      <c r="AU95" s="157">
        <f t="shared" si="71"/>
        <v>2.2000000000000001E-3</v>
      </c>
      <c r="AV95" s="157">
        <f t="shared" si="71"/>
        <v>2.2000000000000001E-3</v>
      </c>
      <c r="AW95" s="157">
        <f t="shared" si="71"/>
        <v>2.2000000000000001E-3</v>
      </c>
      <c r="AX95" s="157">
        <f t="shared" si="71"/>
        <v>2.2000000000000001E-3</v>
      </c>
      <c r="AY95" s="157">
        <f t="shared" si="71"/>
        <v>2.2000000000000001E-3</v>
      </c>
      <c r="AZ95" s="157">
        <f t="shared" si="71"/>
        <v>2.2000000000000001E-3</v>
      </c>
      <c r="BA95" s="157">
        <f t="shared" si="71"/>
        <v>2.2000000000000001E-3</v>
      </c>
      <c r="BB95" s="157">
        <f t="shared" si="71"/>
        <v>2.2000000000000001E-3</v>
      </c>
      <c r="BC95" s="157">
        <f t="shared" si="71"/>
        <v>2.2000000000000001E-3</v>
      </c>
      <c r="BD95" s="157">
        <f t="shared" si="71"/>
        <v>2.2000000000000001E-3</v>
      </c>
      <c r="BE95" s="157">
        <f t="shared" si="71"/>
        <v>2.2000000000000001E-3</v>
      </c>
      <c r="BF95" s="157">
        <f t="shared" si="71"/>
        <v>2.2000000000000001E-3</v>
      </c>
      <c r="BG95" s="157">
        <f t="shared" si="71"/>
        <v>2.2000000000000001E-3</v>
      </c>
      <c r="BH95" s="157">
        <f t="shared" si="71"/>
        <v>2.2000000000000001E-3</v>
      </c>
      <c r="BI95" s="157">
        <f t="shared" si="71"/>
        <v>2.2000000000000001E-3</v>
      </c>
      <c r="BJ95" s="157">
        <f t="shared" si="71"/>
        <v>2.2000000000000001E-3</v>
      </c>
      <c r="BK95" s="157">
        <f t="shared" si="71"/>
        <v>2.2000000000000001E-3</v>
      </c>
      <c r="BL95" s="157">
        <f t="shared" si="71"/>
        <v>2.2000000000000001E-3</v>
      </c>
      <c r="BM95" s="157">
        <f t="shared" si="71"/>
        <v>2.2000000000000001E-3</v>
      </c>
      <c r="BN95" s="157">
        <f t="shared" si="71"/>
        <v>2.2000000000000001E-3</v>
      </c>
      <c r="BO95" s="157">
        <f t="shared" si="71"/>
        <v>2.2000000000000001E-3</v>
      </c>
      <c r="BP95" s="157">
        <f t="shared" si="71"/>
        <v>2.2000000000000001E-3</v>
      </c>
      <c r="BQ95" s="157">
        <f t="shared" si="71"/>
        <v>2.2000000000000001E-3</v>
      </c>
      <c r="BR95" s="157">
        <f t="shared" si="71"/>
        <v>2.2000000000000001E-3</v>
      </c>
      <c r="BS95" s="157">
        <f t="shared" si="71"/>
        <v>2.2000000000000001E-3</v>
      </c>
      <c r="BT95" s="157">
        <f t="shared" si="71"/>
        <v>2.2000000000000001E-3</v>
      </c>
      <c r="BU95" s="157">
        <f t="shared" si="71"/>
        <v>2.2000000000000001E-3</v>
      </c>
      <c r="BV95" s="157">
        <f t="shared" si="71"/>
        <v>2.2000000000000001E-3</v>
      </c>
    </row>
    <row r="96" spans="1:74" s="150" customFormat="1" x14ac:dyDescent="0.25">
      <c r="A96" s="155" t="s">
        <v>208</v>
      </c>
      <c r="B96" s="156" t="s">
        <v>207</v>
      </c>
      <c r="C96" s="159" t="s">
        <v>239</v>
      </c>
      <c r="D96" s="179">
        <v>2.9E-5</v>
      </c>
      <c r="E96" s="180">
        <v>2.9E-5</v>
      </c>
      <c r="F96" s="180">
        <v>2.9E-5</v>
      </c>
      <c r="G96" s="180">
        <v>2.9E-5</v>
      </c>
      <c r="H96" s="180">
        <v>2.9E-5</v>
      </c>
      <c r="I96" s="180">
        <v>2.9E-5</v>
      </c>
      <c r="J96" s="180">
        <v>2.9E-5</v>
      </c>
      <c r="K96" s="180">
        <v>2.9E-5</v>
      </c>
      <c r="L96" s="180">
        <v>2.9E-5</v>
      </c>
      <c r="M96" s="180">
        <v>2.9E-5</v>
      </c>
      <c r="N96" s="180">
        <v>2.9E-5</v>
      </c>
      <c r="O96" s="180">
        <v>2.9E-5</v>
      </c>
      <c r="P96" s="180">
        <v>2.9E-5</v>
      </c>
      <c r="Q96" s="180">
        <v>2.9E-5</v>
      </c>
      <c r="R96" s="180">
        <v>2.9E-5</v>
      </c>
      <c r="S96" s="180">
        <v>2.9E-5</v>
      </c>
      <c r="T96" s="180">
        <v>2.9E-5</v>
      </c>
      <c r="U96" s="180">
        <v>2.9E-5</v>
      </c>
      <c r="V96" s="180">
        <v>2.9E-5</v>
      </c>
      <c r="W96" s="180">
        <v>2.9E-5</v>
      </c>
      <c r="X96" s="180">
        <v>2.9E-5</v>
      </c>
      <c r="Y96" s="180">
        <v>2.9E-5</v>
      </c>
      <c r="Z96" s="180">
        <v>2.9E-5</v>
      </c>
      <c r="AA96" s="180">
        <v>2.9E-5</v>
      </c>
      <c r="AB96" s="180">
        <v>2.9E-5</v>
      </c>
      <c r="AC96" s="180">
        <v>2.9E-5</v>
      </c>
      <c r="AD96" s="180">
        <v>2.9E-5</v>
      </c>
      <c r="AE96" s="180">
        <v>2.9E-5</v>
      </c>
      <c r="AF96" s="180">
        <v>2.9E-5</v>
      </c>
      <c r="AG96" s="180">
        <v>2.9E-5</v>
      </c>
      <c r="AH96" s="180">
        <v>2.9E-5</v>
      </c>
      <c r="AI96" s="180">
        <v>2.9E-5</v>
      </c>
      <c r="AJ96" s="180">
        <v>2.9E-5</v>
      </c>
      <c r="AK96" s="180">
        <v>2.9E-5</v>
      </c>
      <c r="AL96" s="180">
        <v>2.9E-5</v>
      </c>
      <c r="AM96" s="180">
        <v>2.9E-5</v>
      </c>
      <c r="AN96" s="180">
        <v>2.9E-5</v>
      </c>
      <c r="AO96" s="180">
        <v>2.9E-5</v>
      </c>
      <c r="AP96" s="180">
        <v>2.9E-5</v>
      </c>
      <c r="AQ96" s="180">
        <v>2.9E-5</v>
      </c>
      <c r="AR96" s="180">
        <v>2.9E-5</v>
      </c>
      <c r="AS96" s="157">
        <f t="shared" ref="AS96:BV96" si="72">AR96</f>
        <v>2.9E-5</v>
      </c>
      <c r="AT96" s="157">
        <f t="shared" si="72"/>
        <v>2.9E-5</v>
      </c>
      <c r="AU96" s="157">
        <f t="shared" si="72"/>
        <v>2.9E-5</v>
      </c>
      <c r="AV96" s="157">
        <f t="shared" si="72"/>
        <v>2.9E-5</v>
      </c>
      <c r="AW96" s="157">
        <f t="shared" si="72"/>
        <v>2.9E-5</v>
      </c>
      <c r="AX96" s="157">
        <f t="shared" si="72"/>
        <v>2.9E-5</v>
      </c>
      <c r="AY96" s="157">
        <f t="shared" si="72"/>
        <v>2.9E-5</v>
      </c>
      <c r="AZ96" s="157">
        <f t="shared" si="72"/>
        <v>2.9E-5</v>
      </c>
      <c r="BA96" s="157">
        <f t="shared" si="72"/>
        <v>2.9E-5</v>
      </c>
      <c r="BB96" s="157">
        <f t="shared" si="72"/>
        <v>2.9E-5</v>
      </c>
      <c r="BC96" s="157">
        <f t="shared" si="72"/>
        <v>2.9E-5</v>
      </c>
      <c r="BD96" s="157">
        <f t="shared" si="72"/>
        <v>2.9E-5</v>
      </c>
      <c r="BE96" s="157">
        <f t="shared" si="72"/>
        <v>2.9E-5</v>
      </c>
      <c r="BF96" s="157">
        <f t="shared" si="72"/>
        <v>2.9E-5</v>
      </c>
      <c r="BG96" s="157">
        <f t="shared" si="72"/>
        <v>2.9E-5</v>
      </c>
      <c r="BH96" s="157">
        <f t="shared" si="72"/>
        <v>2.9E-5</v>
      </c>
      <c r="BI96" s="157">
        <f t="shared" si="72"/>
        <v>2.9E-5</v>
      </c>
      <c r="BJ96" s="157">
        <f t="shared" si="72"/>
        <v>2.9E-5</v>
      </c>
      <c r="BK96" s="157">
        <f t="shared" si="72"/>
        <v>2.9E-5</v>
      </c>
      <c r="BL96" s="157">
        <f t="shared" si="72"/>
        <v>2.9E-5</v>
      </c>
      <c r="BM96" s="157">
        <f t="shared" si="72"/>
        <v>2.9E-5</v>
      </c>
      <c r="BN96" s="157">
        <f t="shared" si="72"/>
        <v>2.9E-5</v>
      </c>
      <c r="BO96" s="157">
        <f t="shared" si="72"/>
        <v>2.9E-5</v>
      </c>
      <c r="BP96" s="157">
        <f t="shared" si="72"/>
        <v>2.9E-5</v>
      </c>
      <c r="BQ96" s="157">
        <f t="shared" si="72"/>
        <v>2.9E-5</v>
      </c>
      <c r="BR96" s="157">
        <f t="shared" si="72"/>
        <v>2.9E-5</v>
      </c>
      <c r="BS96" s="157">
        <f t="shared" si="72"/>
        <v>2.9E-5</v>
      </c>
      <c r="BT96" s="157">
        <f t="shared" si="72"/>
        <v>2.9E-5</v>
      </c>
      <c r="BU96" s="157">
        <f t="shared" si="72"/>
        <v>2.9E-5</v>
      </c>
      <c r="BV96" s="157">
        <f t="shared" si="72"/>
        <v>2.9E-5</v>
      </c>
    </row>
    <row r="97" spans="1:74" s="150" customFormat="1" x14ac:dyDescent="0.25">
      <c r="A97" s="149" t="s">
        <v>209</v>
      </c>
      <c r="B97" s="156" t="s">
        <v>207</v>
      </c>
      <c r="C97" s="162" t="s">
        <v>12</v>
      </c>
      <c r="D97" s="181">
        <v>1.3300000000000001E-4</v>
      </c>
      <c r="E97" s="181">
        <v>1.3300000000000001E-4</v>
      </c>
      <c r="F97" s="181">
        <v>1.3300000000000001E-4</v>
      </c>
      <c r="G97" s="181">
        <v>1.3300000000000001E-4</v>
      </c>
      <c r="H97" s="181">
        <v>1.3300000000000001E-4</v>
      </c>
      <c r="I97" s="181">
        <v>1.3300000000000001E-4</v>
      </c>
      <c r="J97" s="181">
        <v>1.3300000000000001E-4</v>
      </c>
      <c r="K97" s="181">
        <v>1.3300000000000001E-4</v>
      </c>
      <c r="L97" s="181">
        <v>1.3300000000000001E-4</v>
      </c>
      <c r="M97" s="181">
        <v>1.3300000000000001E-4</v>
      </c>
      <c r="N97" s="181">
        <v>1.3300000000000001E-4</v>
      </c>
      <c r="O97" s="181">
        <v>1.3300000000000001E-4</v>
      </c>
      <c r="P97" s="181">
        <v>1.3300000000000001E-4</v>
      </c>
      <c r="Q97" s="181">
        <v>1.3300000000000001E-4</v>
      </c>
      <c r="R97" s="181">
        <v>1.3300000000000001E-4</v>
      </c>
      <c r="S97" s="181">
        <v>1.3300000000000001E-4</v>
      </c>
      <c r="T97" s="181">
        <v>1.3300000000000001E-4</v>
      </c>
      <c r="U97" s="181">
        <v>1.3300000000000001E-4</v>
      </c>
      <c r="V97" s="181">
        <v>1.3300000000000001E-4</v>
      </c>
      <c r="W97" s="181">
        <v>1.3300000000000001E-4</v>
      </c>
      <c r="X97" s="181">
        <v>1.3300000000000001E-4</v>
      </c>
      <c r="Y97" s="181">
        <v>1.3300000000000001E-4</v>
      </c>
      <c r="Z97" s="181">
        <v>1.3300000000000001E-4</v>
      </c>
      <c r="AA97" s="181">
        <v>1.3300000000000001E-4</v>
      </c>
      <c r="AB97" s="181">
        <v>1.3300000000000001E-4</v>
      </c>
      <c r="AC97" s="181">
        <v>1.3300000000000001E-4</v>
      </c>
      <c r="AD97" s="181">
        <v>1.3300000000000001E-4</v>
      </c>
      <c r="AE97" s="181">
        <v>1.3300000000000001E-4</v>
      </c>
      <c r="AF97" s="181">
        <v>1.3300000000000001E-4</v>
      </c>
      <c r="AG97" s="181">
        <v>1.3300000000000001E-4</v>
      </c>
      <c r="AH97" s="181">
        <v>1.3300000000000001E-4</v>
      </c>
      <c r="AI97" s="181">
        <v>1.3300000000000001E-4</v>
      </c>
      <c r="AJ97" s="181">
        <v>1.3300000000000001E-4</v>
      </c>
      <c r="AK97" s="181">
        <v>1.3300000000000001E-4</v>
      </c>
      <c r="AL97" s="181">
        <v>1.3300000000000001E-4</v>
      </c>
      <c r="AM97" s="181">
        <v>1.3300000000000001E-4</v>
      </c>
      <c r="AN97" s="181">
        <v>1.3300000000000001E-4</v>
      </c>
      <c r="AO97" s="181">
        <v>1.3300000000000001E-4</v>
      </c>
      <c r="AP97" s="181">
        <v>1.3300000000000001E-4</v>
      </c>
      <c r="AQ97" s="181">
        <v>1.3300000000000001E-4</v>
      </c>
      <c r="AR97" s="181">
        <v>1.3300000000000001E-4</v>
      </c>
      <c r="AS97" s="157">
        <f t="shared" ref="AS97:BV97" si="73">AR97</f>
        <v>1.3300000000000001E-4</v>
      </c>
      <c r="AT97" s="157">
        <f t="shared" si="73"/>
        <v>1.3300000000000001E-4</v>
      </c>
      <c r="AU97" s="157">
        <f t="shared" si="73"/>
        <v>1.3300000000000001E-4</v>
      </c>
      <c r="AV97" s="157">
        <f t="shared" si="73"/>
        <v>1.3300000000000001E-4</v>
      </c>
      <c r="AW97" s="157">
        <f t="shared" si="73"/>
        <v>1.3300000000000001E-4</v>
      </c>
      <c r="AX97" s="157">
        <f t="shared" si="73"/>
        <v>1.3300000000000001E-4</v>
      </c>
      <c r="AY97" s="157">
        <f t="shared" si="73"/>
        <v>1.3300000000000001E-4</v>
      </c>
      <c r="AZ97" s="157">
        <f t="shared" si="73"/>
        <v>1.3300000000000001E-4</v>
      </c>
      <c r="BA97" s="157">
        <f t="shared" si="73"/>
        <v>1.3300000000000001E-4</v>
      </c>
      <c r="BB97" s="157">
        <f t="shared" si="73"/>
        <v>1.3300000000000001E-4</v>
      </c>
      <c r="BC97" s="157">
        <f t="shared" si="73"/>
        <v>1.3300000000000001E-4</v>
      </c>
      <c r="BD97" s="157">
        <f t="shared" si="73"/>
        <v>1.3300000000000001E-4</v>
      </c>
      <c r="BE97" s="157">
        <f t="shared" si="73"/>
        <v>1.3300000000000001E-4</v>
      </c>
      <c r="BF97" s="157">
        <f t="shared" si="73"/>
        <v>1.3300000000000001E-4</v>
      </c>
      <c r="BG97" s="157">
        <f t="shared" si="73"/>
        <v>1.3300000000000001E-4</v>
      </c>
      <c r="BH97" s="157">
        <f t="shared" si="73"/>
        <v>1.3300000000000001E-4</v>
      </c>
      <c r="BI97" s="157">
        <f t="shared" si="73"/>
        <v>1.3300000000000001E-4</v>
      </c>
      <c r="BJ97" s="157">
        <f t="shared" si="73"/>
        <v>1.3300000000000001E-4</v>
      </c>
      <c r="BK97" s="157">
        <f t="shared" si="73"/>
        <v>1.3300000000000001E-4</v>
      </c>
      <c r="BL97" s="157">
        <f t="shared" si="73"/>
        <v>1.3300000000000001E-4</v>
      </c>
      <c r="BM97" s="157">
        <f t="shared" si="73"/>
        <v>1.3300000000000001E-4</v>
      </c>
      <c r="BN97" s="157">
        <f t="shared" si="73"/>
        <v>1.3300000000000001E-4</v>
      </c>
      <c r="BO97" s="157">
        <f t="shared" si="73"/>
        <v>1.3300000000000001E-4</v>
      </c>
      <c r="BP97" s="157">
        <f t="shared" si="73"/>
        <v>1.3300000000000001E-4</v>
      </c>
      <c r="BQ97" s="157">
        <f t="shared" si="73"/>
        <v>1.3300000000000001E-4</v>
      </c>
      <c r="BR97" s="157">
        <f t="shared" si="73"/>
        <v>1.3300000000000001E-4</v>
      </c>
      <c r="BS97" s="157">
        <f t="shared" si="73"/>
        <v>1.3300000000000001E-4</v>
      </c>
      <c r="BT97" s="157">
        <f t="shared" si="73"/>
        <v>1.3300000000000001E-4</v>
      </c>
      <c r="BU97" s="157">
        <f t="shared" si="73"/>
        <v>1.3300000000000001E-4</v>
      </c>
      <c r="BV97" s="157">
        <f t="shared" si="73"/>
        <v>1.3300000000000001E-4</v>
      </c>
    </row>
    <row r="98" spans="1:74" x14ac:dyDescent="0.25">
      <c r="A98" s="149" t="s">
        <v>211</v>
      </c>
      <c r="B98" s="156" t="s">
        <v>207</v>
      </c>
      <c r="C98" s="159" t="s">
        <v>240</v>
      </c>
      <c r="D98" s="179">
        <v>2.4000000000000001E-5</v>
      </c>
      <c r="E98" s="182">
        <v>2.4000000000000001E-5</v>
      </c>
      <c r="F98" s="182">
        <v>2.4000000000000001E-5</v>
      </c>
      <c r="G98" s="182">
        <v>2.4000000000000001E-5</v>
      </c>
      <c r="H98" s="182">
        <v>2.4000000000000001E-5</v>
      </c>
      <c r="I98" s="182">
        <v>2.4000000000000001E-5</v>
      </c>
      <c r="J98" s="182">
        <v>2.4000000000000001E-5</v>
      </c>
      <c r="K98" s="182">
        <v>2.4000000000000001E-5</v>
      </c>
      <c r="L98" s="182">
        <v>2.4000000000000001E-5</v>
      </c>
      <c r="M98" s="182">
        <v>2.4000000000000001E-5</v>
      </c>
      <c r="N98" s="182">
        <v>2.4000000000000001E-5</v>
      </c>
      <c r="O98" s="182">
        <v>2.4000000000000001E-5</v>
      </c>
      <c r="P98" s="182">
        <v>2.4000000000000001E-5</v>
      </c>
      <c r="Q98" s="182">
        <v>2.4000000000000001E-5</v>
      </c>
      <c r="R98" s="182">
        <v>2.4000000000000001E-5</v>
      </c>
      <c r="S98" s="182">
        <v>2.4000000000000001E-5</v>
      </c>
      <c r="T98" s="182">
        <v>2.4000000000000001E-5</v>
      </c>
      <c r="U98" s="182">
        <v>2.4000000000000001E-5</v>
      </c>
      <c r="V98" s="182">
        <v>2.4000000000000001E-5</v>
      </c>
      <c r="W98" s="182">
        <v>2.4000000000000001E-5</v>
      </c>
      <c r="X98" s="182">
        <v>2.4000000000000001E-5</v>
      </c>
      <c r="Y98" s="182">
        <v>2.4000000000000001E-5</v>
      </c>
      <c r="Z98" s="182">
        <v>2.4000000000000001E-5</v>
      </c>
      <c r="AA98" s="182">
        <v>2.4000000000000001E-5</v>
      </c>
      <c r="AB98" s="182">
        <v>2.4000000000000001E-5</v>
      </c>
      <c r="AC98" s="182">
        <v>2.4000000000000001E-5</v>
      </c>
      <c r="AD98" s="182">
        <v>2.4000000000000001E-5</v>
      </c>
      <c r="AE98" s="182">
        <v>2.4000000000000001E-5</v>
      </c>
      <c r="AF98" s="182">
        <v>2.4000000000000001E-5</v>
      </c>
      <c r="AG98" s="182">
        <v>2.4000000000000001E-5</v>
      </c>
      <c r="AH98" s="182">
        <v>2.4000000000000001E-5</v>
      </c>
      <c r="AI98" s="182">
        <v>2.4000000000000001E-5</v>
      </c>
      <c r="AJ98" s="182">
        <v>2.4000000000000001E-5</v>
      </c>
      <c r="AK98" s="182">
        <v>2.4000000000000001E-5</v>
      </c>
      <c r="AL98" s="182">
        <v>2.4000000000000001E-5</v>
      </c>
      <c r="AM98" s="182">
        <v>2.4000000000000001E-5</v>
      </c>
      <c r="AN98" s="182">
        <v>2.4000000000000001E-5</v>
      </c>
      <c r="AO98" s="182">
        <v>2.4000000000000001E-5</v>
      </c>
      <c r="AP98" s="182">
        <v>2.4000000000000001E-5</v>
      </c>
      <c r="AQ98" s="182">
        <v>2.4000000000000001E-5</v>
      </c>
      <c r="AR98" s="182">
        <v>2.4000000000000001E-5</v>
      </c>
      <c r="AS98" s="157">
        <f t="shared" ref="AS98:BV98" si="74">AR98</f>
        <v>2.4000000000000001E-5</v>
      </c>
      <c r="AT98" s="157">
        <f t="shared" si="74"/>
        <v>2.4000000000000001E-5</v>
      </c>
      <c r="AU98" s="157">
        <f t="shared" si="74"/>
        <v>2.4000000000000001E-5</v>
      </c>
      <c r="AV98" s="157">
        <f t="shared" si="74"/>
        <v>2.4000000000000001E-5</v>
      </c>
      <c r="AW98" s="157">
        <f t="shared" si="74"/>
        <v>2.4000000000000001E-5</v>
      </c>
      <c r="AX98" s="157">
        <f t="shared" si="74"/>
        <v>2.4000000000000001E-5</v>
      </c>
      <c r="AY98" s="157">
        <f t="shared" si="74"/>
        <v>2.4000000000000001E-5</v>
      </c>
      <c r="AZ98" s="157">
        <f t="shared" si="74"/>
        <v>2.4000000000000001E-5</v>
      </c>
      <c r="BA98" s="157">
        <f t="shared" si="74"/>
        <v>2.4000000000000001E-5</v>
      </c>
      <c r="BB98" s="157">
        <f t="shared" si="74"/>
        <v>2.4000000000000001E-5</v>
      </c>
      <c r="BC98" s="157">
        <f t="shared" si="74"/>
        <v>2.4000000000000001E-5</v>
      </c>
      <c r="BD98" s="157">
        <f t="shared" si="74"/>
        <v>2.4000000000000001E-5</v>
      </c>
      <c r="BE98" s="157">
        <f t="shared" si="74"/>
        <v>2.4000000000000001E-5</v>
      </c>
      <c r="BF98" s="157">
        <f t="shared" si="74"/>
        <v>2.4000000000000001E-5</v>
      </c>
      <c r="BG98" s="157">
        <f t="shared" si="74"/>
        <v>2.4000000000000001E-5</v>
      </c>
      <c r="BH98" s="157">
        <f t="shared" si="74"/>
        <v>2.4000000000000001E-5</v>
      </c>
      <c r="BI98" s="157">
        <f t="shared" si="74"/>
        <v>2.4000000000000001E-5</v>
      </c>
      <c r="BJ98" s="157">
        <f t="shared" si="74"/>
        <v>2.4000000000000001E-5</v>
      </c>
      <c r="BK98" s="157">
        <f t="shared" si="74"/>
        <v>2.4000000000000001E-5</v>
      </c>
      <c r="BL98" s="157">
        <f t="shared" si="74"/>
        <v>2.4000000000000001E-5</v>
      </c>
      <c r="BM98" s="157">
        <f t="shared" si="74"/>
        <v>2.4000000000000001E-5</v>
      </c>
      <c r="BN98" s="157">
        <f t="shared" si="74"/>
        <v>2.4000000000000001E-5</v>
      </c>
      <c r="BO98" s="157">
        <f t="shared" si="74"/>
        <v>2.4000000000000001E-5</v>
      </c>
      <c r="BP98" s="157">
        <f t="shared" si="74"/>
        <v>2.4000000000000001E-5</v>
      </c>
      <c r="BQ98" s="157">
        <f t="shared" si="74"/>
        <v>2.4000000000000001E-5</v>
      </c>
      <c r="BR98" s="157">
        <f t="shared" si="74"/>
        <v>2.4000000000000001E-5</v>
      </c>
      <c r="BS98" s="157">
        <f t="shared" si="74"/>
        <v>2.4000000000000001E-5</v>
      </c>
      <c r="BT98" s="157">
        <f t="shared" si="74"/>
        <v>2.4000000000000001E-5</v>
      </c>
      <c r="BU98" s="157">
        <f t="shared" si="74"/>
        <v>2.4000000000000001E-5</v>
      </c>
      <c r="BV98" s="157">
        <f t="shared" si="74"/>
        <v>2.4000000000000001E-5</v>
      </c>
    </row>
    <row r="99" spans="1:74" x14ac:dyDescent="0.25">
      <c r="A99" s="155" t="s">
        <v>212</v>
      </c>
      <c r="B99" s="159" t="s">
        <v>213</v>
      </c>
      <c r="C99" s="159" t="s">
        <v>258</v>
      </c>
      <c r="D99" s="179">
        <v>3.0000000000000001E-5</v>
      </c>
      <c r="E99" s="182">
        <v>3.0000000000000001E-5</v>
      </c>
      <c r="F99" s="182">
        <v>3.0000000000000001E-5</v>
      </c>
      <c r="G99" s="182">
        <v>3.0000000000000001E-5</v>
      </c>
      <c r="H99" s="182">
        <v>3.0000000000000001E-5</v>
      </c>
      <c r="I99" s="182">
        <v>3.0000000000000001E-5</v>
      </c>
      <c r="J99" s="182">
        <v>3.0000000000000001E-5</v>
      </c>
      <c r="K99" s="182">
        <v>3.0000000000000001E-5</v>
      </c>
      <c r="L99" s="182">
        <v>3.0000000000000001E-5</v>
      </c>
      <c r="M99" s="182">
        <v>3.0000000000000001E-5</v>
      </c>
      <c r="N99" s="182">
        <v>3.0000000000000001E-5</v>
      </c>
      <c r="O99" s="182">
        <v>3.0000000000000001E-5</v>
      </c>
      <c r="P99" s="182">
        <v>3.0000000000000001E-5</v>
      </c>
      <c r="Q99" s="182">
        <v>3.0000000000000001E-5</v>
      </c>
      <c r="R99" s="182">
        <v>3.0000000000000001E-5</v>
      </c>
      <c r="S99" s="182">
        <v>3.0000000000000001E-5</v>
      </c>
      <c r="T99" s="182">
        <v>3.0000000000000001E-5</v>
      </c>
      <c r="U99" s="182">
        <v>3.0000000000000001E-5</v>
      </c>
      <c r="V99" s="182">
        <v>3.0000000000000001E-5</v>
      </c>
      <c r="W99" s="182">
        <v>3.0000000000000001E-5</v>
      </c>
      <c r="X99" s="182">
        <v>3.0000000000000001E-5</v>
      </c>
      <c r="Y99" s="182">
        <v>3.0000000000000001E-5</v>
      </c>
      <c r="Z99" s="182">
        <v>3.0000000000000001E-5</v>
      </c>
      <c r="AA99" s="182">
        <v>3.0000000000000001E-5</v>
      </c>
      <c r="AB99" s="182">
        <v>3.0000000000000001E-5</v>
      </c>
      <c r="AC99" s="182">
        <v>3.0000000000000001E-5</v>
      </c>
      <c r="AD99" s="182">
        <v>3.0000000000000001E-5</v>
      </c>
      <c r="AE99" s="182">
        <v>3.0000000000000001E-5</v>
      </c>
      <c r="AF99" s="182">
        <v>3.0000000000000001E-5</v>
      </c>
      <c r="AG99" s="182">
        <v>3.0000000000000001E-5</v>
      </c>
      <c r="AH99" s="182">
        <v>3.0000000000000001E-5</v>
      </c>
      <c r="AI99" s="182">
        <v>3.0000000000000001E-5</v>
      </c>
      <c r="AJ99" s="182">
        <v>3.0000000000000001E-5</v>
      </c>
      <c r="AK99" s="182">
        <v>3.0000000000000001E-5</v>
      </c>
      <c r="AL99" s="182">
        <v>3.0000000000000001E-5</v>
      </c>
      <c r="AM99" s="182">
        <v>3.0000000000000001E-5</v>
      </c>
      <c r="AN99" s="182">
        <v>3.0000000000000001E-5</v>
      </c>
      <c r="AO99" s="182">
        <v>3.0000000000000001E-5</v>
      </c>
      <c r="AP99" s="182">
        <v>3.0000000000000001E-5</v>
      </c>
      <c r="AQ99" s="182">
        <v>3.0000000000000001E-5</v>
      </c>
      <c r="AR99" s="182">
        <v>3.0000000000000001E-5</v>
      </c>
      <c r="AS99" s="157">
        <f t="shared" ref="AS99:BV99" si="75">AR99</f>
        <v>3.0000000000000001E-5</v>
      </c>
      <c r="AT99" s="157">
        <f t="shared" si="75"/>
        <v>3.0000000000000001E-5</v>
      </c>
      <c r="AU99" s="157">
        <f t="shared" si="75"/>
        <v>3.0000000000000001E-5</v>
      </c>
      <c r="AV99" s="157">
        <f t="shared" si="75"/>
        <v>3.0000000000000001E-5</v>
      </c>
      <c r="AW99" s="157">
        <f t="shared" si="75"/>
        <v>3.0000000000000001E-5</v>
      </c>
      <c r="AX99" s="157">
        <f t="shared" si="75"/>
        <v>3.0000000000000001E-5</v>
      </c>
      <c r="AY99" s="157">
        <f t="shared" si="75"/>
        <v>3.0000000000000001E-5</v>
      </c>
      <c r="AZ99" s="157">
        <f t="shared" si="75"/>
        <v>3.0000000000000001E-5</v>
      </c>
      <c r="BA99" s="157">
        <f t="shared" si="75"/>
        <v>3.0000000000000001E-5</v>
      </c>
      <c r="BB99" s="157">
        <f t="shared" si="75"/>
        <v>3.0000000000000001E-5</v>
      </c>
      <c r="BC99" s="157">
        <f t="shared" si="75"/>
        <v>3.0000000000000001E-5</v>
      </c>
      <c r="BD99" s="157">
        <f t="shared" si="75"/>
        <v>3.0000000000000001E-5</v>
      </c>
      <c r="BE99" s="157">
        <f t="shared" si="75"/>
        <v>3.0000000000000001E-5</v>
      </c>
      <c r="BF99" s="157">
        <f t="shared" si="75"/>
        <v>3.0000000000000001E-5</v>
      </c>
      <c r="BG99" s="157">
        <f t="shared" si="75"/>
        <v>3.0000000000000001E-5</v>
      </c>
      <c r="BH99" s="157">
        <f t="shared" si="75"/>
        <v>3.0000000000000001E-5</v>
      </c>
      <c r="BI99" s="157">
        <f t="shared" si="75"/>
        <v>3.0000000000000001E-5</v>
      </c>
      <c r="BJ99" s="157">
        <f t="shared" si="75"/>
        <v>3.0000000000000001E-5</v>
      </c>
      <c r="BK99" s="157">
        <f t="shared" si="75"/>
        <v>3.0000000000000001E-5</v>
      </c>
      <c r="BL99" s="157">
        <f t="shared" si="75"/>
        <v>3.0000000000000001E-5</v>
      </c>
      <c r="BM99" s="157">
        <f t="shared" si="75"/>
        <v>3.0000000000000001E-5</v>
      </c>
      <c r="BN99" s="157">
        <f t="shared" si="75"/>
        <v>3.0000000000000001E-5</v>
      </c>
      <c r="BO99" s="157">
        <f t="shared" si="75"/>
        <v>3.0000000000000001E-5</v>
      </c>
      <c r="BP99" s="157">
        <f t="shared" si="75"/>
        <v>3.0000000000000001E-5</v>
      </c>
      <c r="BQ99" s="157">
        <f t="shared" si="75"/>
        <v>3.0000000000000001E-5</v>
      </c>
      <c r="BR99" s="157">
        <f t="shared" si="75"/>
        <v>3.0000000000000001E-5</v>
      </c>
      <c r="BS99" s="157">
        <f t="shared" si="75"/>
        <v>3.0000000000000001E-5</v>
      </c>
      <c r="BT99" s="157">
        <f t="shared" si="75"/>
        <v>3.0000000000000001E-5</v>
      </c>
      <c r="BU99" s="157">
        <f t="shared" si="75"/>
        <v>3.0000000000000001E-5</v>
      </c>
      <c r="BV99" s="157">
        <f t="shared" si="75"/>
        <v>3.0000000000000001E-5</v>
      </c>
    </row>
    <row r="100" spans="1:74" x14ac:dyDescent="0.25">
      <c r="A100" s="155" t="s">
        <v>214</v>
      </c>
      <c r="B100" s="159" t="s">
        <v>213</v>
      </c>
      <c r="C100" s="159" t="s">
        <v>258</v>
      </c>
      <c r="D100" s="179">
        <v>3.0000000000000001E-5</v>
      </c>
      <c r="E100" s="182">
        <v>3.0000000000000001E-5</v>
      </c>
      <c r="F100" s="182">
        <v>3.0000000000000001E-5</v>
      </c>
      <c r="G100" s="182">
        <v>3.0000000000000001E-5</v>
      </c>
      <c r="H100" s="182">
        <v>3.0000000000000001E-5</v>
      </c>
      <c r="I100" s="182">
        <v>3.0000000000000001E-5</v>
      </c>
      <c r="J100" s="182">
        <v>3.0000000000000001E-5</v>
      </c>
      <c r="K100" s="182">
        <v>3.0000000000000001E-5</v>
      </c>
      <c r="L100" s="182">
        <v>3.0000000000000001E-5</v>
      </c>
      <c r="M100" s="182">
        <v>3.0000000000000001E-5</v>
      </c>
      <c r="N100" s="182">
        <v>3.0000000000000001E-5</v>
      </c>
      <c r="O100" s="182">
        <v>3.0000000000000001E-5</v>
      </c>
      <c r="P100" s="182">
        <v>3.0000000000000001E-5</v>
      </c>
      <c r="Q100" s="182">
        <v>3.0000000000000001E-5</v>
      </c>
      <c r="R100" s="182">
        <v>3.0000000000000001E-5</v>
      </c>
      <c r="S100" s="182">
        <v>3.0000000000000001E-5</v>
      </c>
      <c r="T100" s="182">
        <v>3.0000000000000001E-5</v>
      </c>
      <c r="U100" s="182">
        <v>3.0000000000000001E-5</v>
      </c>
      <c r="V100" s="182">
        <v>3.0000000000000001E-5</v>
      </c>
      <c r="W100" s="182">
        <v>3.0000000000000001E-5</v>
      </c>
      <c r="X100" s="182">
        <v>3.0000000000000001E-5</v>
      </c>
      <c r="Y100" s="182">
        <v>3.0000000000000001E-5</v>
      </c>
      <c r="Z100" s="182">
        <v>3.0000000000000001E-5</v>
      </c>
      <c r="AA100" s="182">
        <v>3.0000000000000001E-5</v>
      </c>
      <c r="AB100" s="182">
        <v>3.0000000000000001E-5</v>
      </c>
      <c r="AC100" s="182">
        <v>3.0000000000000001E-5</v>
      </c>
      <c r="AD100" s="182">
        <v>3.0000000000000001E-5</v>
      </c>
      <c r="AE100" s="182">
        <v>3.0000000000000001E-5</v>
      </c>
      <c r="AF100" s="182">
        <v>3.0000000000000001E-5</v>
      </c>
      <c r="AG100" s="182">
        <v>3.0000000000000001E-5</v>
      </c>
      <c r="AH100" s="182">
        <v>3.0000000000000001E-5</v>
      </c>
      <c r="AI100" s="182">
        <v>3.0000000000000001E-5</v>
      </c>
      <c r="AJ100" s="182">
        <v>3.0000000000000001E-5</v>
      </c>
      <c r="AK100" s="182">
        <v>3.0000000000000001E-5</v>
      </c>
      <c r="AL100" s="182">
        <v>3.0000000000000001E-5</v>
      </c>
      <c r="AM100" s="182">
        <v>3.0000000000000001E-5</v>
      </c>
      <c r="AN100" s="182">
        <v>3.0000000000000001E-5</v>
      </c>
      <c r="AO100" s="182">
        <v>3.0000000000000001E-5</v>
      </c>
      <c r="AP100" s="182">
        <v>3.0000000000000001E-5</v>
      </c>
      <c r="AQ100" s="182">
        <v>3.0000000000000001E-5</v>
      </c>
      <c r="AR100" s="182">
        <v>3.0000000000000001E-5</v>
      </c>
      <c r="AS100" s="157">
        <f t="shared" ref="AS100:BV100" si="76">AR100</f>
        <v>3.0000000000000001E-5</v>
      </c>
      <c r="AT100" s="157">
        <f t="shared" si="76"/>
        <v>3.0000000000000001E-5</v>
      </c>
      <c r="AU100" s="157">
        <f t="shared" si="76"/>
        <v>3.0000000000000001E-5</v>
      </c>
      <c r="AV100" s="157">
        <f t="shared" si="76"/>
        <v>3.0000000000000001E-5</v>
      </c>
      <c r="AW100" s="157">
        <f t="shared" si="76"/>
        <v>3.0000000000000001E-5</v>
      </c>
      <c r="AX100" s="157">
        <f t="shared" si="76"/>
        <v>3.0000000000000001E-5</v>
      </c>
      <c r="AY100" s="157">
        <f t="shared" si="76"/>
        <v>3.0000000000000001E-5</v>
      </c>
      <c r="AZ100" s="157">
        <f t="shared" si="76"/>
        <v>3.0000000000000001E-5</v>
      </c>
      <c r="BA100" s="157">
        <f t="shared" si="76"/>
        <v>3.0000000000000001E-5</v>
      </c>
      <c r="BB100" s="157">
        <f t="shared" si="76"/>
        <v>3.0000000000000001E-5</v>
      </c>
      <c r="BC100" s="157">
        <f t="shared" si="76"/>
        <v>3.0000000000000001E-5</v>
      </c>
      <c r="BD100" s="157">
        <f t="shared" si="76"/>
        <v>3.0000000000000001E-5</v>
      </c>
      <c r="BE100" s="157">
        <f t="shared" si="76"/>
        <v>3.0000000000000001E-5</v>
      </c>
      <c r="BF100" s="157">
        <f t="shared" si="76"/>
        <v>3.0000000000000001E-5</v>
      </c>
      <c r="BG100" s="157">
        <f t="shared" si="76"/>
        <v>3.0000000000000001E-5</v>
      </c>
      <c r="BH100" s="157">
        <f t="shared" si="76"/>
        <v>3.0000000000000001E-5</v>
      </c>
      <c r="BI100" s="157">
        <f t="shared" si="76"/>
        <v>3.0000000000000001E-5</v>
      </c>
      <c r="BJ100" s="157">
        <f t="shared" si="76"/>
        <v>3.0000000000000001E-5</v>
      </c>
      <c r="BK100" s="157">
        <f t="shared" si="76"/>
        <v>3.0000000000000001E-5</v>
      </c>
      <c r="BL100" s="157">
        <f t="shared" si="76"/>
        <v>3.0000000000000001E-5</v>
      </c>
      <c r="BM100" s="157">
        <f t="shared" si="76"/>
        <v>3.0000000000000001E-5</v>
      </c>
      <c r="BN100" s="157">
        <f t="shared" si="76"/>
        <v>3.0000000000000001E-5</v>
      </c>
      <c r="BO100" s="157">
        <f t="shared" si="76"/>
        <v>3.0000000000000001E-5</v>
      </c>
      <c r="BP100" s="157">
        <f t="shared" si="76"/>
        <v>3.0000000000000001E-5</v>
      </c>
      <c r="BQ100" s="157">
        <f t="shared" si="76"/>
        <v>3.0000000000000001E-5</v>
      </c>
      <c r="BR100" s="157">
        <f t="shared" si="76"/>
        <v>3.0000000000000001E-5</v>
      </c>
      <c r="BS100" s="157">
        <f t="shared" si="76"/>
        <v>3.0000000000000001E-5</v>
      </c>
      <c r="BT100" s="157">
        <f t="shared" si="76"/>
        <v>3.0000000000000001E-5</v>
      </c>
      <c r="BU100" s="157">
        <f t="shared" si="76"/>
        <v>3.0000000000000001E-5</v>
      </c>
      <c r="BV100" s="157">
        <f t="shared" si="76"/>
        <v>3.0000000000000001E-5</v>
      </c>
    </row>
    <row r="101" spans="1:74" x14ac:dyDescent="0.25">
      <c r="A101" s="149" t="s">
        <v>215</v>
      </c>
      <c r="B101" s="150" t="s">
        <v>213</v>
      </c>
      <c r="C101" s="162" t="s">
        <v>216</v>
      </c>
      <c r="D101" s="181">
        <v>1.0005836738097224E-4</v>
      </c>
      <c r="E101" s="181">
        <v>1.0005836738097224E-4</v>
      </c>
      <c r="F101" s="181">
        <v>1.0005836738097224E-4</v>
      </c>
      <c r="G101" s="181">
        <v>1.0005836738097224E-4</v>
      </c>
      <c r="H101" s="181">
        <v>1.0005836738097224E-4</v>
      </c>
      <c r="I101" s="181">
        <v>1.0005836738097224E-4</v>
      </c>
      <c r="J101" s="181">
        <v>1.0005836738097224E-4</v>
      </c>
      <c r="K101" s="181">
        <v>1.0005836738097224E-4</v>
      </c>
      <c r="L101" s="181">
        <v>1.0005836738097224E-4</v>
      </c>
      <c r="M101" s="181">
        <v>1.0005836738097224E-4</v>
      </c>
      <c r="N101" s="181">
        <v>1.0005836738097224E-4</v>
      </c>
      <c r="O101" s="181">
        <v>1.0005836738097224E-4</v>
      </c>
      <c r="P101" s="181">
        <v>1.0005836738097224E-4</v>
      </c>
      <c r="Q101" s="181">
        <v>1.0005836738097224E-4</v>
      </c>
      <c r="R101" s="181">
        <v>1.0005836738097224E-4</v>
      </c>
      <c r="S101" s="181">
        <v>1.0005836738097224E-4</v>
      </c>
      <c r="T101" s="181">
        <v>1.0005836738097224E-4</v>
      </c>
      <c r="U101" s="181">
        <v>1.0005836738097224E-4</v>
      </c>
      <c r="V101" s="181">
        <v>1.0005836738097224E-4</v>
      </c>
      <c r="W101" s="181">
        <v>1.0005836738097224E-4</v>
      </c>
      <c r="X101" s="181">
        <v>1.0005836738097224E-4</v>
      </c>
      <c r="Y101" s="181">
        <v>1.0005836738097224E-4</v>
      </c>
      <c r="Z101" s="181">
        <v>1.0005836738097224E-4</v>
      </c>
      <c r="AA101" s="181">
        <v>1.0005836738097224E-4</v>
      </c>
      <c r="AB101" s="181">
        <v>1.0005836738097224E-4</v>
      </c>
      <c r="AC101" s="181">
        <v>1.0005836738097224E-4</v>
      </c>
      <c r="AD101" s="181">
        <v>1.0005836738097224E-4</v>
      </c>
      <c r="AE101" s="181">
        <v>1.0005836738097224E-4</v>
      </c>
      <c r="AF101" s="181">
        <v>1.0005836738097224E-4</v>
      </c>
      <c r="AG101" s="181">
        <v>1.0005836738097224E-4</v>
      </c>
      <c r="AH101" s="181">
        <v>1.0005836738097224E-4</v>
      </c>
      <c r="AI101" s="181">
        <v>1.0005836738097224E-4</v>
      </c>
      <c r="AJ101" s="181">
        <v>1.0005836738097224E-4</v>
      </c>
      <c r="AK101" s="181">
        <v>1.0005836738097224E-4</v>
      </c>
      <c r="AL101" s="181">
        <v>1.0005836738097224E-4</v>
      </c>
      <c r="AM101" s="181">
        <v>1.0005836738097224E-4</v>
      </c>
      <c r="AN101" s="181">
        <v>1.0005836738097224E-4</v>
      </c>
      <c r="AO101" s="181">
        <v>1.0005836738097224E-4</v>
      </c>
      <c r="AP101" s="181">
        <v>1.0005836738097224E-4</v>
      </c>
      <c r="AQ101" s="181">
        <v>1.0005836738097224E-4</v>
      </c>
      <c r="AR101" s="181">
        <v>1.0005836738097224E-4</v>
      </c>
      <c r="AS101" s="157">
        <f t="shared" ref="AS101:BV101" si="77">AR101</f>
        <v>1.0005836738097224E-4</v>
      </c>
      <c r="AT101" s="157">
        <f t="shared" si="77"/>
        <v>1.0005836738097224E-4</v>
      </c>
      <c r="AU101" s="157">
        <f t="shared" si="77"/>
        <v>1.0005836738097224E-4</v>
      </c>
      <c r="AV101" s="157">
        <f t="shared" si="77"/>
        <v>1.0005836738097224E-4</v>
      </c>
      <c r="AW101" s="157">
        <f t="shared" si="77"/>
        <v>1.0005836738097224E-4</v>
      </c>
      <c r="AX101" s="157">
        <f t="shared" si="77"/>
        <v>1.0005836738097224E-4</v>
      </c>
      <c r="AY101" s="157">
        <f t="shared" si="77"/>
        <v>1.0005836738097224E-4</v>
      </c>
      <c r="AZ101" s="157">
        <f t="shared" si="77"/>
        <v>1.0005836738097224E-4</v>
      </c>
      <c r="BA101" s="157">
        <f t="shared" si="77"/>
        <v>1.0005836738097224E-4</v>
      </c>
      <c r="BB101" s="157">
        <f t="shared" si="77"/>
        <v>1.0005836738097224E-4</v>
      </c>
      <c r="BC101" s="157">
        <f t="shared" si="77"/>
        <v>1.0005836738097224E-4</v>
      </c>
      <c r="BD101" s="157">
        <f t="shared" si="77"/>
        <v>1.0005836738097224E-4</v>
      </c>
      <c r="BE101" s="157">
        <f t="shared" si="77"/>
        <v>1.0005836738097224E-4</v>
      </c>
      <c r="BF101" s="157">
        <f t="shared" si="77"/>
        <v>1.0005836738097224E-4</v>
      </c>
      <c r="BG101" s="157">
        <f t="shared" si="77"/>
        <v>1.0005836738097224E-4</v>
      </c>
      <c r="BH101" s="157">
        <f t="shared" si="77"/>
        <v>1.0005836738097224E-4</v>
      </c>
      <c r="BI101" s="157">
        <f t="shared" si="77"/>
        <v>1.0005836738097224E-4</v>
      </c>
      <c r="BJ101" s="157">
        <f t="shared" si="77"/>
        <v>1.0005836738097224E-4</v>
      </c>
      <c r="BK101" s="157">
        <f t="shared" si="77"/>
        <v>1.0005836738097224E-4</v>
      </c>
      <c r="BL101" s="157">
        <f t="shared" si="77"/>
        <v>1.0005836738097224E-4</v>
      </c>
      <c r="BM101" s="157">
        <f t="shared" si="77"/>
        <v>1.0005836738097224E-4</v>
      </c>
      <c r="BN101" s="157">
        <f t="shared" si="77"/>
        <v>1.0005836738097224E-4</v>
      </c>
      <c r="BO101" s="157">
        <f t="shared" si="77"/>
        <v>1.0005836738097224E-4</v>
      </c>
      <c r="BP101" s="157">
        <f t="shared" si="77"/>
        <v>1.0005836738097224E-4</v>
      </c>
      <c r="BQ101" s="157">
        <f t="shared" si="77"/>
        <v>1.0005836738097224E-4</v>
      </c>
      <c r="BR101" s="157">
        <f t="shared" si="77"/>
        <v>1.0005836738097224E-4</v>
      </c>
      <c r="BS101" s="157">
        <f t="shared" si="77"/>
        <v>1.0005836738097224E-4</v>
      </c>
      <c r="BT101" s="157">
        <f t="shared" si="77"/>
        <v>1.0005836738097224E-4</v>
      </c>
      <c r="BU101" s="157">
        <f t="shared" si="77"/>
        <v>1.0005836738097224E-4</v>
      </c>
      <c r="BV101" s="157">
        <f t="shared" si="77"/>
        <v>1.0005836738097224E-4</v>
      </c>
    </row>
    <row r="102" spans="1:74" x14ac:dyDescent="0.25">
      <c r="A102" s="155" t="s">
        <v>217</v>
      </c>
      <c r="B102" s="159" t="s">
        <v>218</v>
      </c>
      <c r="C102" s="159" t="s">
        <v>258</v>
      </c>
      <c r="D102" s="179">
        <v>4.0000000000000003E-5</v>
      </c>
      <c r="E102" s="182">
        <v>4.0000000000000003E-5</v>
      </c>
      <c r="F102" s="182">
        <v>4.0000000000000003E-5</v>
      </c>
      <c r="G102" s="182">
        <v>4.0000000000000003E-5</v>
      </c>
      <c r="H102" s="182">
        <v>4.0000000000000003E-5</v>
      </c>
      <c r="I102" s="182">
        <v>4.0000000000000003E-5</v>
      </c>
      <c r="J102" s="182">
        <v>4.0000000000000003E-5</v>
      </c>
      <c r="K102" s="182">
        <v>4.0000000000000003E-5</v>
      </c>
      <c r="L102" s="182">
        <v>4.0000000000000003E-5</v>
      </c>
      <c r="M102" s="182">
        <v>4.0000000000000003E-5</v>
      </c>
      <c r="N102" s="182">
        <v>4.0000000000000003E-5</v>
      </c>
      <c r="O102" s="182">
        <v>4.0000000000000003E-5</v>
      </c>
      <c r="P102" s="182">
        <v>4.0000000000000003E-5</v>
      </c>
      <c r="Q102" s="182">
        <v>4.0000000000000003E-5</v>
      </c>
      <c r="R102" s="182">
        <v>4.0000000000000003E-5</v>
      </c>
      <c r="S102" s="182">
        <v>4.0000000000000003E-5</v>
      </c>
      <c r="T102" s="182">
        <v>4.0000000000000003E-5</v>
      </c>
      <c r="U102" s="182">
        <v>4.0000000000000003E-5</v>
      </c>
      <c r="V102" s="182">
        <v>4.0000000000000003E-5</v>
      </c>
      <c r="W102" s="182">
        <v>4.0000000000000003E-5</v>
      </c>
      <c r="X102" s="182">
        <v>4.0000000000000003E-5</v>
      </c>
      <c r="Y102" s="182">
        <v>4.0000000000000003E-5</v>
      </c>
      <c r="Z102" s="182">
        <v>4.0000000000000003E-5</v>
      </c>
      <c r="AA102" s="182">
        <v>4.0000000000000003E-5</v>
      </c>
      <c r="AB102" s="182">
        <v>4.0000000000000003E-5</v>
      </c>
      <c r="AC102" s="182">
        <v>4.0000000000000003E-5</v>
      </c>
      <c r="AD102" s="182">
        <v>4.0000000000000003E-5</v>
      </c>
      <c r="AE102" s="182">
        <v>4.0000000000000003E-5</v>
      </c>
      <c r="AF102" s="182">
        <v>4.0000000000000003E-5</v>
      </c>
      <c r="AG102" s="182">
        <v>4.0000000000000003E-5</v>
      </c>
      <c r="AH102" s="182">
        <v>4.0000000000000003E-5</v>
      </c>
      <c r="AI102" s="182">
        <v>4.0000000000000003E-5</v>
      </c>
      <c r="AJ102" s="182">
        <v>4.0000000000000003E-5</v>
      </c>
      <c r="AK102" s="182">
        <v>4.0000000000000003E-5</v>
      </c>
      <c r="AL102" s="182">
        <v>4.0000000000000003E-5</v>
      </c>
      <c r="AM102" s="182">
        <v>4.0000000000000003E-5</v>
      </c>
      <c r="AN102" s="182">
        <v>4.0000000000000003E-5</v>
      </c>
      <c r="AO102" s="182">
        <v>4.0000000000000003E-5</v>
      </c>
      <c r="AP102" s="182">
        <v>4.0000000000000003E-5</v>
      </c>
      <c r="AQ102" s="182">
        <v>4.0000000000000003E-5</v>
      </c>
      <c r="AR102" s="182">
        <v>4.0000000000000003E-5</v>
      </c>
      <c r="AS102" s="157">
        <f t="shared" ref="AS102:BV102" si="78">AR102</f>
        <v>4.0000000000000003E-5</v>
      </c>
      <c r="AT102" s="157">
        <f t="shared" si="78"/>
        <v>4.0000000000000003E-5</v>
      </c>
      <c r="AU102" s="157">
        <f t="shared" si="78"/>
        <v>4.0000000000000003E-5</v>
      </c>
      <c r="AV102" s="157">
        <f t="shared" si="78"/>
        <v>4.0000000000000003E-5</v>
      </c>
      <c r="AW102" s="157">
        <f t="shared" si="78"/>
        <v>4.0000000000000003E-5</v>
      </c>
      <c r="AX102" s="157">
        <f t="shared" si="78"/>
        <v>4.0000000000000003E-5</v>
      </c>
      <c r="AY102" s="157">
        <f t="shared" si="78"/>
        <v>4.0000000000000003E-5</v>
      </c>
      <c r="AZ102" s="157">
        <f t="shared" si="78"/>
        <v>4.0000000000000003E-5</v>
      </c>
      <c r="BA102" s="157">
        <f t="shared" si="78"/>
        <v>4.0000000000000003E-5</v>
      </c>
      <c r="BB102" s="157">
        <f t="shared" si="78"/>
        <v>4.0000000000000003E-5</v>
      </c>
      <c r="BC102" s="157">
        <f t="shared" si="78"/>
        <v>4.0000000000000003E-5</v>
      </c>
      <c r="BD102" s="157">
        <f t="shared" si="78"/>
        <v>4.0000000000000003E-5</v>
      </c>
      <c r="BE102" s="157">
        <f t="shared" si="78"/>
        <v>4.0000000000000003E-5</v>
      </c>
      <c r="BF102" s="157">
        <f t="shared" si="78"/>
        <v>4.0000000000000003E-5</v>
      </c>
      <c r="BG102" s="157">
        <f t="shared" si="78"/>
        <v>4.0000000000000003E-5</v>
      </c>
      <c r="BH102" s="157">
        <f t="shared" si="78"/>
        <v>4.0000000000000003E-5</v>
      </c>
      <c r="BI102" s="157">
        <f t="shared" si="78"/>
        <v>4.0000000000000003E-5</v>
      </c>
      <c r="BJ102" s="157">
        <f t="shared" si="78"/>
        <v>4.0000000000000003E-5</v>
      </c>
      <c r="BK102" s="157">
        <f t="shared" si="78"/>
        <v>4.0000000000000003E-5</v>
      </c>
      <c r="BL102" s="157">
        <f t="shared" si="78"/>
        <v>4.0000000000000003E-5</v>
      </c>
      <c r="BM102" s="157">
        <f t="shared" si="78"/>
        <v>4.0000000000000003E-5</v>
      </c>
      <c r="BN102" s="157">
        <f t="shared" si="78"/>
        <v>4.0000000000000003E-5</v>
      </c>
      <c r="BO102" s="157">
        <f t="shared" si="78"/>
        <v>4.0000000000000003E-5</v>
      </c>
      <c r="BP102" s="157">
        <f t="shared" si="78"/>
        <v>4.0000000000000003E-5</v>
      </c>
      <c r="BQ102" s="157">
        <f t="shared" si="78"/>
        <v>4.0000000000000003E-5</v>
      </c>
      <c r="BR102" s="157">
        <f t="shared" si="78"/>
        <v>4.0000000000000003E-5</v>
      </c>
      <c r="BS102" s="157">
        <f t="shared" si="78"/>
        <v>4.0000000000000003E-5</v>
      </c>
      <c r="BT102" s="157">
        <f t="shared" si="78"/>
        <v>4.0000000000000003E-5</v>
      </c>
      <c r="BU102" s="157">
        <f t="shared" si="78"/>
        <v>4.0000000000000003E-5</v>
      </c>
      <c r="BV102" s="157">
        <f t="shared" si="78"/>
        <v>4.0000000000000003E-5</v>
      </c>
    </row>
    <row r="103" spans="1:74" x14ac:dyDescent="0.25">
      <c r="A103" s="155" t="s">
        <v>12</v>
      </c>
      <c r="B103" s="156" t="s">
        <v>207</v>
      </c>
      <c r="C103" s="159" t="s">
        <v>243</v>
      </c>
      <c r="D103" s="179">
        <v>1.3300000000000001E-4</v>
      </c>
      <c r="E103" s="182">
        <v>1.3300000000000001E-4</v>
      </c>
      <c r="F103" s="182">
        <v>1.3300000000000001E-4</v>
      </c>
      <c r="G103" s="182">
        <v>1.3300000000000001E-4</v>
      </c>
      <c r="H103" s="182">
        <v>1.3300000000000001E-4</v>
      </c>
      <c r="I103" s="182">
        <v>1.3300000000000001E-4</v>
      </c>
      <c r="J103" s="182">
        <v>1.3300000000000001E-4</v>
      </c>
      <c r="K103" s="182">
        <v>1.3300000000000001E-4</v>
      </c>
      <c r="L103" s="182">
        <v>1.3300000000000001E-4</v>
      </c>
      <c r="M103" s="182">
        <v>1.3300000000000001E-4</v>
      </c>
      <c r="N103" s="182">
        <v>1.3300000000000001E-4</v>
      </c>
      <c r="O103" s="182">
        <v>1.3300000000000001E-4</v>
      </c>
      <c r="P103" s="182">
        <v>1.3300000000000001E-4</v>
      </c>
      <c r="Q103" s="182">
        <v>1.3300000000000001E-4</v>
      </c>
      <c r="R103" s="182">
        <v>1.3300000000000001E-4</v>
      </c>
      <c r="S103" s="182">
        <v>1.3300000000000001E-4</v>
      </c>
      <c r="T103" s="182">
        <v>1.3300000000000001E-4</v>
      </c>
      <c r="U103" s="182">
        <v>1.3300000000000001E-4</v>
      </c>
      <c r="V103" s="182">
        <v>1.3300000000000001E-4</v>
      </c>
      <c r="W103" s="182">
        <v>1.3300000000000001E-4</v>
      </c>
      <c r="X103" s="182">
        <v>1.3300000000000001E-4</v>
      </c>
      <c r="Y103" s="182">
        <v>1.3300000000000001E-4</v>
      </c>
      <c r="Z103" s="182">
        <v>1.3300000000000001E-4</v>
      </c>
      <c r="AA103" s="182">
        <v>1.3300000000000001E-4</v>
      </c>
      <c r="AB103" s="182">
        <v>1.3300000000000001E-4</v>
      </c>
      <c r="AC103" s="182">
        <v>1.3300000000000001E-4</v>
      </c>
      <c r="AD103" s="182">
        <v>1.3300000000000001E-4</v>
      </c>
      <c r="AE103" s="182">
        <v>1.3300000000000001E-4</v>
      </c>
      <c r="AF103" s="182">
        <v>1.3300000000000001E-4</v>
      </c>
      <c r="AG103" s="182">
        <v>1.3300000000000001E-4</v>
      </c>
      <c r="AH103" s="182">
        <v>1.3300000000000001E-4</v>
      </c>
      <c r="AI103" s="182">
        <v>1.3300000000000001E-4</v>
      </c>
      <c r="AJ103" s="182">
        <v>1.3300000000000001E-4</v>
      </c>
      <c r="AK103" s="182">
        <v>1.3300000000000001E-4</v>
      </c>
      <c r="AL103" s="182">
        <v>1.3300000000000001E-4</v>
      </c>
      <c r="AM103" s="182">
        <v>1.3300000000000001E-4</v>
      </c>
      <c r="AN103" s="182">
        <v>1.3300000000000001E-4</v>
      </c>
      <c r="AO103" s="182">
        <v>1.3300000000000001E-4</v>
      </c>
      <c r="AP103" s="182">
        <v>1.3300000000000001E-4</v>
      </c>
      <c r="AQ103" s="182">
        <v>1.3300000000000001E-4</v>
      </c>
      <c r="AR103" s="182">
        <v>1.3300000000000001E-4</v>
      </c>
      <c r="AS103" s="157">
        <f t="shared" ref="AS103:BV104" si="79">AR103</f>
        <v>1.3300000000000001E-4</v>
      </c>
      <c r="AT103" s="157">
        <f t="shared" si="79"/>
        <v>1.3300000000000001E-4</v>
      </c>
      <c r="AU103" s="157">
        <f t="shared" si="79"/>
        <v>1.3300000000000001E-4</v>
      </c>
      <c r="AV103" s="157">
        <f t="shared" si="79"/>
        <v>1.3300000000000001E-4</v>
      </c>
      <c r="AW103" s="157">
        <f t="shared" si="79"/>
        <v>1.3300000000000001E-4</v>
      </c>
      <c r="AX103" s="157">
        <f t="shared" si="79"/>
        <v>1.3300000000000001E-4</v>
      </c>
      <c r="AY103" s="157">
        <f t="shared" si="79"/>
        <v>1.3300000000000001E-4</v>
      </c>
      <c r="AZ103" s="157">
        <f t="shared" si="79"/>
        <v>1.3300000000000001E-4</v>
      </c>
      <c r="BA103" s="157">
        <f t="shared" si="79"/>
        <v>1.3300000000000001E-4</v>
      </c>
      <c r="BB103" s="157">
        <f t="shared" si="79"/>
        <v>1.3300000000000001E-4</v>
      </c>
      <c r="BC103" s="157">
        <f t="shared" si="79"/>
        <v>1.3300000000000001E-4</v>
      </c>
      <c r="BD103" s="157">
        <f t="shared" si="79"/>
        <v>1.3300000000000001E-4</v>
      </c>
      <c r="BE103" s="157">
        <f t="shared" si="79"/>
        <v>1.3300000000000001E-4</v>
      </c>
      <c r="BF103" s="157">
        <f t="shared" si="79"/>
        <v>1.3300000000000001E-4</v>
      </c>
      <c r="BG103" s="157">
        <f t="shared" si="79"/>
        <v>1.3300000000000001E-4</v>
      </c>
      <c r="BH103" s="157">
        <f t="shared" si="79"/>
        <v>1.3300000000000001E-4</v>
      </c>
      <c r="BI103" s="157">
        <f t="shared" si="79"/>
        <v>1.3300000000000001E-4</v>
      </c>
      <c r="BJ103" s="157">
        <f t="shared" si="79"/>
        <v>1.3300000000000001E-4</v>
      </c>
      <c r="BK103" s="157">
        <f t="shared" si="79"/>
        <v>1.3300000000000001E-4</v>
      </c>
      <c r="BL103" s="157">
        <f t="shared" si="79"/>
        <v>1.3300000000000001E-4</v>
      </c>
      <c r="BM103" s="157">
        <f t="shared" si="79"/>
        <v>1.3300000000000001E-4</v>
      </c>
      <c r="BN103" s="157">
        <f t="shared" si="79"/>
        <v>1.3300000000000001E-4</v>
      </c>
      <c r="BO103" s="157">
        <f t="shared" si="79"/>
        <v>1.3300000000000001E-4</v>
      </c>
      <c r="BP103" s="157">
        <f t="shared" si="79"/>
        <v>1.3300000000000001E-4</v>
      </c>
      <c r="BQ103" s="157">
        <f t="shared" si="79"/>
        <v>1.3300000000000001E-4</v>
      </c>
      <c r="BR103" s="157">
        <f t="shared" si="79"/>
        <v>1.3300000000000001E-4</v>
      </c>
      <c r="BS103" s="157">
        <f t="shared" si="79"/>
        <v>1.3300000000000001E-4</v>
      </c>
      <c r="BT103" s="157">
        <f t="shared" si="79"/>
        <v>1.3300000000000001E-4</v>
      </c>
      <c r="BU103" s="157">
        <f t="shared" si="79"/>
        <v>1.3300000000000001E-4</v>
      </c>
      <c r="BV103" s="157">
        <f t="shared" si="79"/>
        <v>1.3300000000000001E-4</v>
      </c>
    </row>
    <row r="104" spans="1:74" x14ac:dyDescent="0.25">
      <c r="A104" s="155" t="s">
        <v>2</v>
      </c>
      <c r="B104" s="156" t="s">
        <v>219</v>
      </c>
      <c r="D104" s="182"/>
      <c r="E104" s="182"/>
      <c r="F104" s="182"/>
      <c r="G104" s="182"/>
      <c r="H104" s="182"/>
      <c r="I104" s="182"/>
      <c r="J104" s="182"/>
      <c r="K104" s="182"/>
      <c r="L104" s="182"/>
      <c r="M104" s="182"/>
      <c r="N104" s="182"/>
      <c r="O104" s="182"/>
      <c r="P104" s="182"/>
      <c r="Q104" s="182"/>
      <c r="R104" s="182"/>
      <c r="S104" s="182"/>
      <c r="T104" s="182"/>
      <c r="U104" s="182"/>
      <c r="V104" s="182"/>
      <c r="W104" s="182"/>
      <c r="X104" s="182"/>
      <c r="Y104" s="182"/>
      <c r="Z104" s="182"/>
      <c r="AA104" s="182"/>
      <c r="AB104" s="182"/>
      <c r="AC104" s="182"/>
      <c r="AD104" s="182"/>
      <c r="AE104" s="182"/>
      <c r="AF104" s="182"/>
      <c r="AG104" s="182"/>
      <c r="AH104" s="182"/>
      <c r="AI104" s="182"/>
      <c r="AJ104" s="182"/>
      <c r="AK104" s="182"/>
      <c r="AL104" s="182"/>
      <c r="AM104" s="182"/>
      <c r="AN104" s="182"/>
      <c r="AO104" s="182"/>
      <c r="AP104" s="182"/>
      <c r="AQ104" s="182"/>
      <c r="AR104" s="182"/>
      <c r="AS104" s="157">
        <f t="shared" si="79"/>
        <v>0</v>
      </c>
      <c r="AT104" s="157">
        <f t="shared" si="79"/>
        <v>0</v>
      </c>
      <c r="AU104" s="157">
        <f t="shared" si="79"/>
        <v>0</v>
      </c>
      <c r="AV104" s="157">
        <f t="shared" si="79"/>
        <v>0</v>
      </c>
      <c r="AW104" s="157">
        <f t="shared" si="79"/>
        <v>0</v>
      </c>
      <c r="AX104" s="157">
        <f t="shared" si="79"/>
        <v>0</v>
      </c>
      <c r="AY104" s="157">
        <f t="shared" si="79"/>
        <v>0</v>
      </c>
      <c r="AZ104" s="157">
        <f t="shared" si="79"/>
        <v>0</v>
      </c>
      <c r="BA104" s="157">
        <f t="shared" si="79"/>
        <v>0</v>
      </c>
      <c r="BB104" s="157">
        <f t="shared" si="79"/>
        <v>0</v>
      </c>
      <c r="BC104" s="157">
        <f t="shared" si="79"/>
        <v>0</v>
      </c>
      <c r="BD104" s="157">
        <f t="shared" si="79"/>
        <v>0</v>
      </c>
      <c r="BE104" s="157">
        <f t="shared" si="79"/>
        <v>0</v>
      </c>
      <c r="BF104" s="157">
        <f t="shared" si="79"/>
        <v>0</v>
      </c>
      <c r="BG104" s="157">
        <f t="shared" si="79"/>
        <v>0</v>
      </c>
      <c r="BH104" s="157">
        <f t="shared" si="79"/>
        <v>0</v>
      </c>
      <c r="BI104" s="157">
        <f t="shared" si="79"/>
        <v>0</v>
      </c>
      <c r="BJ104" s="157">
        <f t="shared" si="79"/>
        <v>0</v>
      </c>
      <c r="BK104" s="157">
        <f t="shared" si="79"/>
        <v>0</v>
      </c>
      <c r="BL104" s="157">
        <f t="shared" si="79"/>
        <v>0</v>
      </c>
      <c r="BM104" s="157">
        <f t="shared" si="79"/>
        <v>0</v>
      </c>
      <c r="BN104" s="157">
        <f t="shared" si="79"/>
        <v>0</v>
      </c>
      <c r="BO104" s="157">
        <f t="shared" si="79"/>
        <v>0</v>
      </c>
      <c r="BP104" s="157">
        <f t="shared" si="79"/>
        <v>0</v>
      </c>
      <c r="BQ104" s="157">
        <f t="shared" si="79"/>
        <v>0</v>
      </c>
      <c r="BR104" s="157">
        <f t="shared" si="79"/>
        <v>0</v>
      </c>
      <c r="BS104" s="157">
        <f t="shared" si="79"/>
        <v>0</v>
      </c>
      <c r="BT104" s="157">
        <f t="shared" si="79"/>
        <v>0</v>
      </c>
      <c r="BU104" s="157">
        <f t="shared" si="79"/>
        <v>0</v>
      </c>
      <c r="BV104" s="157">
        <f t="shared" si="79"/>
        <v>0</v>
      </c>
    </row>
    <row r="105" spans="1:74" x14ac:dyDescent="0.25">
      <c r="A105" s="149" t="s">
        <v>220</v>
      </c>
      <c r="B105" s="156" t="s">
        <v>207</v>
      </c>
      <c r="C105" s="162" t="s">
        <v>223</v>
      </c>
      <c r="D105" s="181">
        <v>1E-4</v>
      </c>
      <c r="E105" s="181">
        <v>1E-4</v>
      </c>
      <c r="F105" s="181">
        <v>1E-4</v>
      </c>
      <c r="G105" s="181">
        <v>1E-4</v>
      </c>
      <c r="H105" s="181">
        <v>1E-4</v>
      </c>
      <c r="I105" s="181">
        <v>1E-4</v>
      </c>
      <c r="J105" s="181">
        <v>1E-4</v>
      </c>
      <c r="K105" s="181">
        <v>1E-4</v>
      </c>
      <c r="L105" s="181">
        <v>1E-4</v>
      </c>
      <c r="M105" s="181">
        <v>1E-4</v>
      </c>
      <c r="N105" s="181">
        <v>1E-4</v>
      </c>
      <c r="O105" s="181">
        <v>1E-4</v>
      </c>
      <c r="P105" s="181">
        <v>1E-4</v>
      </c>
      <c r="Q105" s="181">
        <v>1E-4</v>
      </c>
      <c r="R105" s="181">
        <v>1E-4</v>
      </c>
      <c r="S105" s="181">
        <v>1E-4</v>
      </c>
      <c r="T105" s="181">
        <v>1E-4</v>
      </c>
      <c r="U105" s="181">
        <v>1E-4</v>
      </c>
      <c r="V105" s="181">
        <v>1E-4</v>
      </c>
      <c r="W105" s="181">
        <v>1E-4</v>
      </c>
      <c r="X105" s="181">
        <v>1E-4</v>
      </c>
      <c r="Y105" s="181">
        <v>1E-4</v>
      </c>
      <c r="Z105" s="181">
        <v>1E-4</v>
      </c>
      <c r="AA105" s="181">
        <v>1E-4</v>
      </c>
      <c r="AB105" s="181">
        <v>1E-4</v>
      </c>
      <c r="AC105" s="181">
        <v>1E-4</v>
      </c>
      <c r="AD105" s="181">
        <v>1E-4</v>
      </c>
      <c r="AE105" s="181">
        <v>1E-4</v>
      </c>
      <c r="AF105" s="181">
        <v>1E-4</v>
      </c>
      <c r="AG105" s="181">
        <v>1E-4</v>
      </c>
      <c r="AH105" s="181">
        <v>1E-4</v>
      </c>
      <c r="AI105" s="181">
        <v>1E-4</v>
      </c>
      <c r="AJ105" s="181">
        <v>1E-4</v>
      </c>
      <c r="AK105" s="181">
        <v>1E-4</v>
      </c>
      <c r="AL105" s="181">
        <v>1E-4</v>
      </c>
      <c r="AM105" s="181">
        <v>1E-4</v>
      </c>
      <c r="AN105" s="181">
        <v>1E-4</v>
      </c>
      <c r="AO105" s="181">
        <v>1E-4</v>
      </c>
      <c r="AP105" s="181">
        <v>1E-4</v>
      </c>
      <c r="AQ105" s="181">
        <v>1E-4</v>
      </c>
      <c r="AR105" s="181">
        <v>1E-4</v>
      </c>
      <c r="AS105" s="157">
        <f t="shared" ref="AS105:BV105" si="80">AR105</f>
        <v>1E-4</v>
      </c>
      <c r="AT105" s="157">
        <f t="shared" si="80"/>
        <v>1E-4</v>
      </c>
      <c r="AU105" s="157">
        <f t="shared" si="80"/>
        <v>1E-4</v>
      </c>
      <c r="AV105" s="157">
        <f t="shared" si="80"/>
        <v>1E-4</v>
      </c>
      <c r="AW105" s="157">
        <f t="shared" si="80"/>
        <v>1E-4</v>
      </c>
      <c r="AX105" s="157">
        <f t="shared" si="80"/>
        <v>1E-4</v>
      </c>
      <c r="AY105" s="157">
        <f t="shared" si="80"/>
        <v>1E-4</v>
      </c>
      <c r="AZ105" s="157">
        <f t="shared" si="80"/>
        <v>1E-4</v>
      </c>
      <c r="BA105" s="157">
        <f t="shared" si="80"/>
        <v>1E-4</v>
      </c>
      <c r="BB105" s="157">
        <f t="shared" si="80"/>
        <v>1E-4</v>
      </c>
      <c r="BC105" s="157">
        <f t="shared" si="80"/>
        <v>1E-4</v>
      </c>
      <c r="BD105" s="157">
        <f t="shared" si="80"/>
        <v>1E-4</v>
      </c>
      <c r="BE105" s="157">
        <f t="shared" si="80"/>
        <v>1E-4</v>
      </c>
      <c r="BF105" s="157">
        <f t="shared" si="80"/>
        <v>1E-4</v>
      </c>
      <c r="BG105" s="157">
        <f t="shared" si="80"/>
        <v>1E-4</v>
      </c>
      <c r="BH105" s="157">
        <f t="shared" si="80"/>
        <v>1E-4</v>
      </c>
      <c r="BI105" s="157">
        <f t="shared" si="80"/>
        <v>1E-4</v>
      </c>
      <c r="BJ105" s="157">
        <f t="shared" si="80"/>
        <v>1E-4</v>
      </c>
      <c r="BK105" s="157">
        <f t="shared" si="80"/>
        <v>1E-4</v>
      </c>
      <c r="BL105" s="157">
        <f t="shared" si="80"/>
        <v>1E-4</v>
      </c>
      <c r="BM105" s="157">
        <f t="shared" si="80"/>
        <v>1E-4</v>
      </c>
      <c r="BN105" s="157">
        <f t="shared" si="80"/>
        <v>1E-4</v>
      </c>
      <c r="BO105" s="157">
        <f t="shared" si="80"/>
        <v>1E-4</v>
      </c>
      <c r="BP105" s="157">
        <f t="shared" si="80"/>
        <v>1E-4</v>
      </c>
      <c r="BQ105" s="157">
        <f t="shared" si="80"/>
        <v>1E-4</v>
      </c>
      <c r="BR105" s="157">
        <f t="shared" si="80"/>
        <v>1E-4</v>
      </c>
      <c r="BS105" s="157">
        <f t="shared" si="80"/>
        <v>1E-4</v>
      </c>
      <c r="BT105" s="157">
        <f t="shared" si="80"/>
        <v>1E-4</v>
      </c>
      <c r="BU105" s="157">
        <f t="shared" si="80"/>
        <v>1E-4</v>
      </c>
      <c r="BV105" s="157">
        <f t="shared" si="80"/>
        <v>1E-4</v>
      </c>
    </row>
    <row r="106" spans="1:74" x14ac:dyDescent="0.25">
      <c r="A106" s="149" t="s">
        <v>221</v>
      </c>
      <c r="B106" s="156" t="s">
        <v>218</v>
      </c>
      <c r="C106" s="170" t="s">
        <v>222</v>
      </c>
      <c r="D106" s="181">
        <v>3.26E-5</v>
      </c>
      <c r="E106" s="181">
        <v>3.2780000000000001E-5</v>
      </c>
      <c r="F106" s="181">
        <v>3.2960000000000003E-5</v>
      </c>
      <c r="G106" s="181">
        <v>3.3140000000000005E-5</v>
      </c>
      <c r="H106" s="181">
        <v>3.3320000000000006E-5</v>
      </c>
      <c r="I106" s="181">
        <v>3.3500000000000008E-5</v>
      </c>
      <c r="J106" s="181">
        <v>3.3559999999999997E-5</v>
      </c>
      <c r="K106" s="181">
        <v>3.362E-5</v>
      </c>
      <c r="L106" s="181">
        <v>3.3680000000000003E-5</v>
      </c>
      <c r="M106" s="181">
        <v>3.3739999999999999E-5</v>
      </c>
      <c r="N106" s="181">
        <v>3.3800000000000002E-5</v>
      </c>
      <c r="O106" s="181">
        <v>3.3439999999999998E-5</v>
      </c>
      <c r="P106" s="181">
        <v>3.3079999999999995E-5</v>
      </c>
      <c r="Q106" s="181">
        <v>3.2719999999999992E-5</v>
      </c>
      <c r="R106" s="181">
        <v>3.2359999999999988E-5</v>
      </c>
      <c r="S106" s="181">
        <v>3.1999999999999985E-5</v>
      </c>
      <c r="T106" s="181">
        <v>3.1999999999999999E-5</v>
      </c>
      <c r="U106" s="181">
        <v>3.2199999999999997E-5</v>
      </c>
      <c r="V106" s="181">
        <v>3.1600000000000002E-5</v>
      </c>
      <c r="W106" s="181">
        <v>3.1999999999999999E-5</v>
      </c>
      <c r="X106" s="181">
        <v>3.2100000000000001E-5</v>
      </c>
      <c r="Y106" s="181">
        <v>3.26E-5</v>
      </c>
      <c r="Z106" s="181">
        <v>3.0499999999999999E-5</v>
      </c>
      <c r="AA106" s="181">
        <v>3.1000000000000001E-5</v>
      </c>
      <c r="AB106" s="181">
        <v>3.1000000000000001E-5</v>
      </c>
      <c r="AC106" s="181">
        <v>3.1000000000000001E-5</v>
      </c>
      <c r="AD106" s="181">
        <v>3.1000000000000001E-5</v>
      </c>
      <c r="AE106" s="181">
        <v>3.1000000000000001E-5</v>
      </c>
      <c r="AF106" s="181">
        <v>3.1000000000000001E-5</v>
      </c>
      <c r="AG106" s="181">
        <v>3.1000000000000001E-5</v>
      </c>
      <c r="AH106" s="181">
        <v>3.1000000000000001E-5</v>
      </c>
      <c r="AI106" s="181">
        <v>3.1000000000000001E-5</v>
      </c>
      <c r="AJ106" s="181">
        <v>3.1000000000000001E-5</v>
      </c>
      <c r="AK106" s="181">
        <v>3.1000000000000001E-5</v>
      </c>
      <c r="AL106" s="181">
        <v>3.1000000000000001E-5</v>
      </c>
      <c r="AM106" s="181">
        <v>3.1000000000000001E-5</v>
      </c>
      <c r="AN106" s="181">
        <v>3.1000000000000001E-5</v>
      </c>
      <c r="AO106" s="181">
        <v>3.1000000000000001E-5</v>
      </c>
      <c r="AP106" s="181">
        <v>3.1000000000000001E-5</v>
      </c>
      <c r="AQ106" s="181">
        <v>3.1000000000000001E-5</v>
      </c>
      <c r="AR106" s="181">
        <v>3.1000000000000001E-5</v>
      </c>
      <c r="AS106" s="157">
        <f t="shared" ref="AS106:BV106" si="81">AR106</f>
        <v>3.1000000000000001E-5</v>
      </c>
      <c r="AT106" s="157">
        <f t="shared" si="81"/>
        <v>3.1000000000000001E-5</v>
      </c>
      <c r="AU106" s="157">
        <f t="shared" si="81"/>
        <v>3.1000000000000001E-5</v>
      </c>
      <c r="AV106" s="157">
        <f t="shared" si="81"/>
        <v>3.1000000000000001E-5</v>
      </c>
      <c r="AW106" s="157">
        <f t="shared" si="81"/>
        <v>3.1000000000000001E-5</v>
      </c>
      <c r="AX106" s="157">
        <f t="shared" si="81"/>
        <v>3.1000000000000001E-5</v>
      </c>
      <c r="AY106" s="157">
        <f t="shared" si="81"/>
        <v>3.1000000000000001E-5</v>
      </c>
      <c r="AZ106" s="157">
        <f t="shared" si="81"/>
        <v>3.1000000000000001E-5</v>
      </c>
      <c r="BA106" s="157">
        <f t="shared" si="81"/>
        <v>3.1000000000000001E-5</v>
      </c>
      <c r="BB106" s="157">
        <f t="shared" si="81"/>
        <v>3.1000000000000001E-5</v>
      </c>
      <c r="BC106" s="157">
        <f t="shared" si="81"/>
        <v>3.1000000000000001E-5</v>
      </c>
      <c r="BD106" s="157">
        <f t="shared" si="81"/>
        <v>3.1000000000000001E-5</v>
      </c>
      <c r="BE106" s="157">
        <f t="shared" si="81"/>
        <v>3.1000000000000001E-5</v>
      </c>
      <c r="BF106" s="157">
        <f t="shared" si="81"/>
        <v>3.1000000000000001E-5</v>
      </c>
      <c r="BG106" s="157">
        <f t="shared" si="81"/>
        <v>3.1000000000000001E-5</v>
      </c>
      <c r="BH106" s="157">
        <f t="shared" si="81"/>
        <v>3.1000000000000001E-5</v>
      </c>
      <c r="BI106" s="157">
        <f t="shared" si="81"/>
        <v>3.1000000000000001E-5</v>
      </c>
      <c r="BJ106" s="157">
        <f t="shared" si="81"/>
        <v>3.1000000000000001E-5</v>
      </c>
      <c r="BK106" s="157">
        <f t="shared" si="81"/>
        <v>3.1000000000000001E-5</v>
      </c>
      <c r="BL106" s="157">
        <f t="shared" si="81"/>
        <v>3.1000000000000001E-5</v>
      </c>
      <c r="BM106" s="157">
        <f t="shared" si="81"/>
        <v>3.1000000000000001E-5</v>
      </c>
      <c r="BN106" s="157">
        <f t="shared" si="81"/>
        <v>3.1000000000000001E-5</v>
      </c>
      <c r="BO106" s="157">
        <f t="shared" si="81"/>
        <v>3.1000000000000001E-5</v>
      </c>
      <c r="BP106" s="157">
        <f t="shared" si="81"/>
        <v>3.1000000000000001E-5</v>
      </c>
      <c r="BQ106" s="157">
        <f t="shared" si="81"/>
        <v>3.1000000000000001E-5</v>
      </c>
      <c r="BR106" s="157">
        <f t="shared" si="81"/>
        <v>3.1000000000000001E-5</v>
      </c>
      <c r="BS106" s="157">
        <f t="shared" si="81"/>
        <v>3.1000000000000001E-5</v>
      </c>
      <c r="BT106" s="157">
        <f t="shared" si="81"/>
        <v>3.1000000000000001E-5</v>
      </c>
      <c r="BU106" s="157">
        <f t="shared" si="81"/>
        <v>3.1000000000000001E-5</v>
      </c>
      <c r="BV106" s="157">
        <f t="shared" si="81"/>
        <v>3.1000000000000001E-5</v>
      </c>
    </row>
    <row r="107" spans="1:74" x14ac:dyDescent="0.25">
      <c r="A107" s="149" t="s">
        <v>223</v>
      </c>
      <c r="B107" s="156" t="s">
        <v>207</v>
      </c>
      <c r="C107" s="159" t="s">
        <v>243</v>
      </c>
      <c r="D107" s="179">
        <v>1E-4</v>
      </c>
      <c r="E107" s="182">
        <v>1E-4</v>
      </c>
      <c r="F107" s="182">
        <v>1E-4</v>
      </c>
      <c r="G107" s="182">
        <v>1E-4</v>
      </c>
      <c r="H107" s="182">
        <v>1E-4</v>
      </c>
      <c r="I107" s="182">
        <v>1E-4</v>
      </c>
      <c r="J107" s="182">
        <v>1E-4</v>
      </c>
      <c r="K107" s="182">
        <v>1E-4</v>
      </c>
      <c r="L107" s="182">
        <v>1E-4</v>
      </c>
      <c r="M107" s="182">
        <v>1E-4</v>
      </c>
      <c r="N107" s="182">
        <v>1E-4</v>
      </c>
      <c r="O107" s="182">
        <v>1E-4</v>
      </c>
      <c r="P107" s="182">
        <v>1E-4</v>
      </c>
      <c r="Q107" s="182">
        <v>1E-4</v>
      </c>
      <c r="R107" s="182">
        <v>1E-4</v>
      </c>
      <c r="S107" s="182">
        <v>1E-4</v>
      </c>
      <c r="T107" s="182">
        <v>1E-4</v>
      </c>
      <c r="U107" s="182">
        <v>1E-4</v>
      </c>
      <c r="V107" s="182">
        <v>1E-4</v>
      </c>
      <c r="W107" s="182">
        <v>1E-4</v>
      </c>
      <c r="X107" s="182">
        <v>1E-4</v>
      </c>
      <c r="Y107" s="182">
        <v>1E-4</v>
      </c>
      <c r="Z107" s="182">
        <v>1E-4</v>
      </c>
      <c r="AA107" s="182">
        <v>1E-4</v>
      </c>
      <c r="AB107" s="182">
        <v>1E-4</v>
      </c>
      <c r="AC107" s="182">
        <v>1E-4</v>
      </c>
      <c r="AD107" s="182">
        <v>1E-4</v>
      </c>
      <c r="AE107" s="182">
        <v>1E-4</v>
      </c>
      <c r="AF107" s="182">
        <v>1E-4</v>
      </c>
      <c r="AG107" s="182">
        <v>1E-4</v>
      </c>
      <c r="AH107" s="182">
        <v>1E-4</v>
      </c>
      <c r="AI107" s="182">
        <v>1E-4</v>
      </c>
      <c r="AJ107" s="182">
        <v>1E-4</v>
      </c>
      <c r="AK107" s="182">
        <v>1E-4</v>
      </c>
      <c r="AL107" s="182">
        <v>1E-4</v>
      </c>
      <c r="AM107" s="182">
        <v>1E-4</v>
      </c>
      <c r="AN107" s="182">
        <v>1E-4</v>
      </c>
      <c r="AO107" s="182">
        <v>1E-4</v>
      </c>
      <c r="AP107" s="182">
        <v>1E-4</v>
      </c>
      <c r="AQ107" s="182">
        <v>1E-4</v>
      </c>
      <c r="AR107" s="182">
        <v>1E-4</v>
      </c>
      <c r="AS107" s="157">
        <f t="shared" ref="AS107:BV107" si="82">AR107</f>
        <v>1E-4</v>
      </c>
      <c r="AT107" s="157">
        <f t="shared" si="82"/>
        <v>1E-4</v>
      </c>
      <c r="AU107" s="157">
        <f t="shared" si="82"/>
        <v>1E-4</v>
      </c>
      <c r="AV107" s="157">
        <f t="shared" si="82"/>
        <v>1E-4</v>
      </c>
      <c r="AW107" s="157">
        <f t="shared" si="82"/>
        <v>1E-4</v>
      </c>
      <c r="AX107" s="157">
        <f t="shared" si="82"/>
        <v>1E-4</v>
      </c>
      <c r="AY107" s="157">
        <f t="shared" si="82"/>
        <v>1E-4</v>
      </c>
      <c r="AZ107" s="157">
        <f t="shared" si="82"/>
        <v>1E-4</v>
      </c>
      <c r="BA107" s="157">
        <f t="shared" si="82"/>
        <v>1E-4</v>
      </c>
      <c r="BB107" s="157">
        <f t="shared" si="82"/>
        <v>1E-4</v>
      </c>
      <c r="BC107" s="157">
        <f t="shared" si="82"/>
        <v>1E-4</v>
      </c>
      <c r="BD107" s="157">
        <f t="shared" si="82"/>
        <v>1E-4</v>
      </c>
      <c r="BE107" s="157">
        <f t="shared" si="82"/>
        <v>1E-4</v>
      </c>
      <c r="BF107" s="157">
        <f t="shared" si="82"/>
        <v>1E-4</v>
      </c>
      <c r="BG107" s="157">
        <f t="shared" si="82"/>
        <v>1E-4</v>
      </c>
      <c r="BH107" s="157">
        <f t="shared" si="82"/>
        <v>1E-4</v>
      </c>
      <c r="BI107" s="157">
        <f t="shared" si="82"/>
        <v>1E-4</v>
      </c>
      <c r="BJ107" s="157">
        <f t="shared" si="82"/>
        <v>1E-4</v>
      </c>
      <c r="BK107" s="157">
        <f t="shared" si="82"/>
        <v>1E-4</v>
      </c>
      <c r="BL107" s="157">
        <f t="shared" si="82"/>
        <v>1E-4</v>
      </c>
      <c r="BM107" s="157">
        <f t="shared" si="82"/>
        <v>1E-4</v>
      </c>
      <c r="BN107" s="157">
        <f t="shared" si="82"/>
        <v>1E-4</v>
      </c>
      <c r="BO107" s="157">
        <f t="shared" si="82"/>
        <v>1E-4</v>
      </c>
      <c r="BP107" s="157">
        <f t="shared" si="82"/>
        <v>1E-4</v>
      </c>
      <c r="BQ107" s="157">
        <f t="shared" si="82"/>
        <v>1E-4</v>
      </c>
      <c r="BR107" s="157">
        <f t="shared" si="82"/>
        <v>1E-4</v>
      </c>
      <c r="BS107" s="157">
        <f t="shared" si="82"/>
        <v>1E-4</v>
      </c>
      <c r="BT107" s="157">
        <f t="shared" si="82"/>
        <v>1E-4</v>
      </c>
      <c r="BU107" s="157">
        <f t="shared" si="82"/>
        <v>1E-4</v>
      </c>
      <c r="BV107" s="157">
        <f t="shared" si="82"/>
        <v>1E-4</v>
      </c>
    </row>
    <row r="108" spans="1:74" x14ac:dyDescent="0.25">
      <c r="A108" s="149" t="s">
        <v>279</v>
      </c>
      <c r="B108" s="150" t="s">
        <v>207</v>
      </c>
      <c r="C108" s="159" t="s">
        <v>243</v>
      </c>
      <c r="D108" s="179">
        <v>1.2E-4</v>
      </c>
      <c r="E108" s="182">
        <v>1.2E-4</v>
      </c>
      <c r="F108" s="182">
        <v>1.2E-4</v>
      </c>
      <c r="G108" s="182">
        <v>1.2E-4</v>
      </c>
      <c r="H108" s="182">
        <v>1.2E-4</v>
      </c>
      <c r="I108" s="182">
        <v>1.2E-4</v>
      </c>
      <c r="J108" s="182">
        <v>1.2E-4</v>
      </c>
      <c r="K108" s="182">
        <v>1.2E-4</v>
      </c>
      <c r="L108" s="182">
        <v>1.2E-4</v>
      </c>
      <c r="M108" s="182">
        <v>1.2E-4</v>
      </c>
      <c r="N108" s="182">
        <v>1.2E-4</v>
      </c>
      <c r="O108" s="182">
        <v>1.2E-4</v>
      </c>
      <c r="P108" s="182">
        <v>1.2E-4</v>
      </c>
      <c r="Q108" s="182">
        <v>1.2E-4</v>
      </c>
      <c r="R108" s="182">
        <v>1.2E-4</v>
      </c>
      <c r="S108" s="182">
        <v>1.2E-4</v>
      </c>
      <c r="T108" s="182">
        <v>1.2E-4</v>
      </c>
      <c r="U108" s="182">
        <v>1.2E-4</v>
      </c>
      <c r="V108" s="182">
        <v>1.2E-4</v>
      </c>
      <c r="W108" s="182">
        <v>1.2E-4</v>
      </c>
      <c r="X108" s="182">
        <v>1.2E-4</v>
      </c>
      <c r="Y108" s="182">
        <v>1.2E-4</v>
      </c>
      <c r="Z108" s="182">
        <v>1.2E-4</v>
      </c>
      <c r="AA108" s="182">
        <v>1.2E-4</v>
      </c>
      <c r="AB108" s="182">
        <v>1.2E-4</v>
      </c>
      <c r="AC108" s="182">
        <v>1.2E-4</v>
      </c>
      <c r="AD108" s="182">
        <v>1.2E-4</v>
      </c>
      <c r="AE108" s="182">
        <v>1.2E-4</v>
      </c>
      <c r="AF108" s="182">
        <v>1.2E-4</v>
      </c>
      <c r="AG108" s="182">
        <v>1.2E-4</v>
      </c>
      <c r="AH108" s="182">
        <v>1.2E-4</v>
      </c>
      <c r="AI108" s="182">
        <v>1.2E-4</v>
      </c>
      <c r="AJ108" s="182">
        <v>1.2E-4</v>
      </c>
      <c r="AK108" s="182">
        <v>1.2E-4</v>
      </c>
      <c r="AL108" s="182">
        <v>1.2E-4</v>
      </c>
      <c r="AM108" s="182">
        <v>1.2E-4</v>
      </c>
      <c r="AN108" s="182">
        <v>1.2E-4</v>
      </c>
      <c r="AO108" s="182">
        <v>1.2E-4</v>
      </c>
      <c r="AP108" s="182">
        <v>1.2E-4</v>
      </c>
      <c r="AQ108" s="182">
        <v>1.2E-4</v>
      </c>
      <c r="AR108" s="182">
        <v>1.2E-4</v>
      </c>
      <c r="AS108" s="157">
        <f t="shared" ref="AS108:BV108" si="83">AR108</f>
        <v>1.2E-4</v>
      </c>
      <c r="AT108" s="157">
        <f t="shared" si="83"/>
        <v>1.2E-4</v>
      </c>
      <c r="AU108" s="157">
        <f t="shared" si="83"/>
        <v>1.2E-4</v>
      </c>
      <c r="AV108" s="157">
        <f t="shared" si="83"/>
        <v>1.2E-4</v>
      </c>
      <c r="AW108" s="157">
        <f t="shared" si="83"/>
        <v>1.2E-4</v>
      </c>
      <c r="AX108" s="157">
        <f t="shared" si="83"/>
        <v>1.2E-4</v>
      </c>
      <c r="AY108" s="157">
        <f t="shared" si="83"/>
        <v>1.2E-4</v>
      </c>
      <c r="AZ108" s="157">
        <f t="shared" si="83"/>
        <v>1.2E-4</v>
      </c>
      <c r="BA108" s="157">
        <f t="shared" si="83"/>
        <v>1.2E-4</v>
      </c>
      <c r="BB108" s="157">
        <f t="shared" si="83"/>
        <v>1.2E-4</v>
      </c>
      <c r="BC108" s="157">
        <f t="shared" si="83"/>
        <v>1.2E-4</v>
      </c>
      <c r="BD108" s="157">
        <f t="shared" si="83"/>
        <v>1.2E-4</v>
      </c>
      <c r="BE108" s="157">
        <f t="shared" si="83"/>
        <v>1.2E-4</v>
      </c>
      <c r="BF108" s="157">
        <f t="shared" si="83"/>
        <v>1.2E-4</v>
      </c>
      <c r="BG108" s="157">
        <f t="shared" si="83"/>
        <v>1.2E-4</v>
      </c>
      <c r="BH108" s="157">
        <f t="shared" si="83"/>
        <v>1.2E-4</v>
      </c>
      <c r="BI108" s="157">
        <f t="shared" si="83"/>
        <v>1.2E-4</v>
      </c>
      <c r="BJ108" s="157">
        <f t="shared" si="83"/>
        <v>1.2E-4</v>
      </c>
      <c r="BK108" s="157">
        <f t="shared" si="83"/>
        <v>1.2E-4</v>
      </c>
      <c r="BL108" s="157">
        <f t="shared" si="83"/>
        <v>1.2E-4</v>
      </c>
      <c r="BM108" s="157">
        <f t="shared" si="83"/>
        <v>1.2E-4</v>
      </c>
      <c r="BN108" s="157">
        <f t="shared" si="83"/>
        <v>1.2E-4</v>
      </c>
      <c r="BO108" s="157">
        <f t="shared" si="83"/>
        <v>1.2E-4</v>
      </c>
      <c r="BP108" s="157">
        <f t="shared" si="83"/>
        <v>1.2E-4</v>
      </c>
      <c r="BQ108" s="157">
        <f t="shared" si="83"/>
        <v>1.2E-4</v>
      </c>
      <c r="BR108" s="157">
        <f t="shared" si="83"/>
        <v>1.2E-4</v>
      </c>
      <c r="BS108" s="157">
        <f t="shared" si="83"/>
        <v>1.2E-4</v>
      </c>
      <c r="BT108" s="157">
        <f t="shared" si="83"/>
        <v>1.2E-4</v>
      </c>
      <c r="BU108" s="157">
        <f t="shared" si="83"/>
        <v>1.2E-4</v>
      </c>
      <c r="BV108" s="157">
        <f t="shared" si="83"/>
        <v>1.2E-4</v>
      </c>
    </row>
    <row r="109" spans="1:74" x14ac:dyDescent="0.25">
      <c r="A109" s="149" t="s">
        <v>224</v>
      </c>
      <c r="B109" s="150" t="s">
        <v>207</v>
      </c>
      <c r="C109" s="159" t="s">
        <v>243</v>
      </c>
      <c r="D109" s="179">
        <v>6.0000000000000002E-6</v>
      </c>
      <c r="E109" s="182">
        <v>6.0000000000000002E-6</v>
      </c>
      <c r="F109" s="182">
        <v>6.0000000000000002E-6</v>
      </c>
      <c r="G109" s="182">
        <v>6.0000000000000002E-6</v>
      </c>
      <c r="H109" s="182">
        <v>6.0000000000000002E-6</v>
      </c>
      <c r="I109" s="182">
        <v>6.0000000000000002E-6</v>
      </c>
      <c r="J109" s="182">
        <v>6.0000000000000002E-6</v>
      </c>
      <c r="K109" s="182">
        <v>6.0000000000000002E-6</v>
      </c>
      <c r="L109" s="182">
        <v>6.0000000000000002E-6</v>
      </c>
      <c r="M109" s="182">
        <v>6.0000000000000002E-6</v>
      </c>
      <c r="N109" s="182">
        <v>6.0000000000000002E-6</v>
      </c>
      <c r="O109" s="182">
        <v>6.0000000000000002E-6</v>
      </c>
      <c r="P109" s="182">
        <v>6.0000000000000002E-6</v>
      </c>
      <c r="Q109" s="182">
        <v>6.0000000000000002E-6</v>
      </c>
      <c r="R109" s="182">
        <v>6.0000000000000002E-6</v>
      </c>
      <c r="S109" s="182">
        <v>6.0000000000000002E-6</v>
      </c>
      <c r="T109" s="182">
        <v>6.0000000000000002E-6</v>
      </c>
      <c r="U109" s="182">
        <v>6.0000000000000002E-6</v>
      </c>
      <c r="V109" s="182">
        <v>6.0000000000000002E-6</v>
      </c>
      <c r="W109" s="182">
        <v>6.0000000000000002E-6</v>
      </c>
      <c r="X109" s="182">
        <v>6.0000000000000002E-6</v>
      </c>
      <c r="Y109" s="182">
        <v>6.0000000000000002E-6</v>
      </c>
      <c r="Z109" s="182">
        <v>6.0000000000000002E-6</v>
      </c>
      <c r="AA109" s="182">
        <v>6.0000000000000002E-6</v>
      </c>
      <c r="AB109" s="182">
        <v>6.0000000000000002E-6</v>
      </c>
      <c r="AC109" s="182">
        <v>6.0000000000000002E-6</v>
      </c>
      <c r="AD109" s="182">
        <v>6.0000000000000002E-6</v>
      </c>
      <c r="AE109" s="182">
        <v>6.0000000000000002E-6</v>
      </c>
      <c r="AF109" s="182">
        <v>6.0000000000000002E-6</v>
      </c>
      <c r="AG109" s="182">
        <v>6.0000000000000002E-6</v>
      </c>
      <c r="AH109" s="182">
        <v>6.0000000000000002E-6</v>
      </c>
      <c r="AI109" s="182">
        <v>6.0000000000000002E-6</v>
      </c>
      <c r="AJ109" s="182">
        <v>6.0000000000000002E-6</v>
      </c>
      <c r="AK109" s="182">
        <v>6.0000000000000002E-6</v>
      </c>
      <c r="AL109" s="182">
        <v>6.0000000000000002E-6</v>
      </c>
      <c r="AM109" s="182">
        <v>6.0000000000000002E-6</v>
      </c>
      <c r="AN109" s="182">
        <v>6.0000000000000002E-6</v>
      </c>
      <c r="AO109" s="182">
        <v>6.0000000000000002E-6</v>
      </c>
      <c r="AP109" s="182">
        <v>6.0000000000000002E-6</v>
      </c>
      <c r="AQ109" s="182">
        <v>6.0000000000000002E-6</v>
      </c>
      <c r="AR109" s="182">
        <v>6.0000000000000002E-6</v>
      </c>
      <c r="AS109" s="157">
        <f t="shared" ref="AS109:BV109" si="84">AR109</f>
        <v>6.0000000000000002E-6</v>
      </c>
      <c r="AT109" s="157">
        <f t="shared" si="84"/>
        <v>6.0000000000000002E-6</v>
      </c>
      <c r="AU109" s="157">
        <f t="shared" si="84"/>
        <v>6.0000000000000002E-6</v>
      </c>
      <c r="AV109" s="157">
        <f t="shared" si="84"/>
        <v>6.0000000000000002E-6</v>
      </c>
      <c r="AW109" s="157">
        <f t="shared" si="84"/>
        <v>6.0000000000000002E-6</v>
      </c>
      <c r="AX109" s="157">
        <f t="shared" si="84"/>
        <v>6.0000000000000002E-6</v>
      </c>
      <c r="AY109" s="157">
        <f t="shared" si="84"/>
        <v>6.0000000000000002E-6</v>
      </c>
      <c r="AZ109" s="157">
        <f t="shared" si="84"/>
        <v>6.0000000000000002E-6</v>
      </c>
      <c r="BA109" s="157">
        <f t="shared" si="84"/>
        <v>6.0000000000000002E-6</v>
      </c>
      <c r="BB109" s="157">
        <f t="shared" si="84"/>
        <v>6.0000000000000002E-6</v>
      </c>
      <c r="BC109" s="157">
        <f t="shared" si="84"/>
        <v>6.0000000000000002E-6</v>
      </c>
      <c r="BD109" s="157">
        <f t="shared" si="84"/>
        <v>6.0000000000000002E-6</v>
      </c>
      <c r="BE109" s="157">
        <f t="shared" si="84"/>
        <v>6.0000000000000002E-6</v>
      </c>
      <c r="BF109" s="157">
        <f t="shared" si="84"/>
        <v>6.0000000000000002E-6</v>
      </c>
      <c r="BG109" s="157">
        <f t="shared" si="84"/>
        <v>6.0000000000000002E-6</v>
      </c>
      <c r="BH109" s="157">
        <f t="shared" si="84"/>
        <v>6.0000000000000002E-6</v>
      </c>
      <c r="BI109" s="157">
        <f t="shared" si="84"/>
        <v>6.0000000000000002E-6</v>
      </c>
      <c r="BJ109" s="157">
        <f t="shared" si="84"/>
        <v>6.0000000000000002E-6</v>
      </c>
      <c r="BK109" s="157">
        <f t="shared" si="84"/>
        <v>6.0000000000000002E-6</v>
      </c>
      <c r="BL109" s="157">
        <f t="shared" si="84"/>
        <v>6.0000000000000002E-6</v>
      </c>
      <c r="BM109" s="157">
        <f t="shared" si="84"/>
        <v>6.0000000000000002E-6</v>
      </c>
      <c r="BN109" s="157">
        <f t="shared" si="84"/>
        <v>6.0000000000000002E-6</v>
      </c>
      <c r="BO109" s="157">
        <f t="shared" si="84"/>
        <v>6.0000000000000002E-6</v>
      </c>
      <c r="BP109" s="157">
        <f t="shared" si="84"/>
        <v>6.0000000000000002E-6</v>
      </c>
      <c r="BQ109" s="157">
        <f t="shared" si="84"/>
        <v>6.0000000000000002E-6</v>
      </c>
      <c r="BR109" s="157">
        <f t="shared" si="84"/>
        <v>6.0000000000000002E-6</v>
      </c>
      <c r="BS109" s="157">
        <f t="shared" si="84"/>
        <v>6.0000000000000002E-6</v>
      </c>
      <c r="BT109" s="157">
        <f t="shared" si="84"/>
        <v>6.0000000000000002E-6</v>
      </c>
      <c r="BU109" s="157">
        <f t="shared" si="84"/>
        <v>6.0000000000000002E-6</v>
      </c>
      <c r="BV109" s="157">
        <f t="shared" si="84"/>
        <v>6.0000000000000002E-6</v>
      </c>
    </row>
    <row r="110" spans="1:74" x14ac:dyDescent="0.25">
      <c r="A110" s="155" t="s">
        <v>13</v>
      </c>
      <c r="B110" s="159" t="s">
        <v>207</v>
      </c>
      <c r="C110" s="159" t="s">
        <v>243</v>
      </c>
      <c r="D110" s="179">
        <v>6.0000000000000002E-6</v>
      </c>
      <c r="E110" s="182">
        <v>6.0000000000000002E-6</v>
      </c>
      <c r="F110" s="182">
        <v>6.0000000000000002E-6</v>
      </c>
      <c r="G110" s="182">
        <v>6.0000000000000002E-6</v>
      </c>
      <c r="H110" s="182">
        <v>6.0000000000000002E-6</v>
      </c>
      <c r="I110" s="182">
        <v>6.0000000000000002E-6</v>
      </c>
      <c r="J110" s="182">
        <v>6.0000000000000002E-6</v>
      </c>
      <c r="K110" s="182">
        <v>6.0000000000000002E-6</v>
      </c>
      <c r="L110" s="182">
        <v>6.0000000000000002E-6</v>
      </c>
      <c r="M110" s="182">
        <v>6.0000000000000002E-6</v>
      </c>
      <c r="N110" s="182">
        <v>6.0000000000000002E-6</v>
      </c>
      <c r="O110" s="182">
        <v>6.0000000000000002E-6</v>
      </c>
      <c r="P110" s="182">
        <v>6.0000000000000002E-6</v>
      </c>
      <c r="Q110" s="182">
        <v>6.0000000000000002E-6</v>
      </c>
      <c r="R110" s="182">
        <v>6.0000000000000002E-6</v>
      </c>
      <c r="S110" s="182">
        <v>6.0000000000000002E-6</v>
      </c>
      <c r="T110" s="182">
        <v>6.0000000000000002E-6</v>
      </c>
      <c r="U110" s="182">
        <v>6.0000000000000002E-6</v>
      </c>
      <c r="V110" s="182">
        <v>6.0000000000000002E-6</v>
      </c>
      <c r="W110" s="182">
        <v>6.0000000000000002E-6</v>
      </c>
      <c r="X110" s="182">
        <v>6.0000000000000002E-6</v>
      </c>
      <c r="Y110" s="182">
        <v>6.0000000000000002E-6</v>
      </c>
      <c r="Z110" s="182">
        <v>6.0000000000000002E-6</v>
      </c>
      <c r="AA110" s="182">
        <v>6.0000000000000002E-6</v>
      </c>
      <c r="AB110" s="182">
        <v>6.0000000000000002E-6</v>
      </c>
      <c r="AC110" s="182">
        <v>6.0000000000000002E-6</v>
      </c>
      <c r="AD110" s="182">
        <v>6.0000000000000002E-6</v>
      </c>
      <c r="AE110" s="182">
        <v>6.0000000000000002E-6</v>
      </c>
      <c r="AF110" s="182">
        <v>6.0000000000000002E-6</v>
      </c>
      <c r="AG110" s="182">
        <v>6.0000000000000002E-6</v>
      </c>
      <c r="AH110" s="182">
        <v>6.0000000000000002E-6</v>
      </c>
      <c r="AI110" s="182">
        <v>6.0000000000000002E-6</v>
      </c>
      <c r="AJ110" s="182">
        <v>6.0000000000000002E-6</v>
      </c>
      <c r="AK110" s="182">
        <v>6.0000000000000002E-6</v>
      </c>
      <c r="AL110" s="182">
        <v>6.0000000000000002E-6</v>
      </c>
      <c r="AM110" s="182">
        <v>6.0000000000000002E-6</v>
      </c>
      <c r="AN110" s="182">
        <v>6.0000000000000002E-6</v>
      </c>
      <c r="AO110" s="182">
        <v>6.0000000000000002E-6</v>
      </c>
      <c r="AP110" s="182">
        <v>6.0000000000000002E-6</v>
      </c>
      <c r="AQ110" s="182">
        <v>6.0000000000000002E-6</v>
      </c>
      <c r="AR110" s="182">
        <v>6.0000000000000002E-6</v>
      </c>
      <c r="AS110" s="157">
        <f t="shared" ref="AS110:BV110" si="85">AR110</f>
        <v>6.0000000000000002E-6</v>
      </c>
      <c r="AT110" s="157">
        <f t="shared" si="85"/>
        <v>6.0000000000000002E-6</v>
      </c>
      <c r="AU110" s="157">
        <f t="shared" si="85"/>
        <v>6.0000000000000002E-6</v>
      </c>
      <c r="AV110" s="157">
        <f t="shared" si="85"/>
        <v>6.0000000000000002E-6</v>
      </c>
      <c r="AW110" s="157">
        <f t="shared" si="85"/>
        <v>6.0000000000000002E-6</v>
      </c>
      <c r="AX110" s="157">
        <f t="shared" si="85"/>
        <v>6.0000000000000002E-6</v>
      </c>
      <c r="AY110" s="157">
        <f t="shared" si="85"/>
        <v>6.0000000000000002E-6</v>
      </c>
      <c r="AZ110" s="157">
        <f t="shared" si="85"/>
        <v>6.0000000000000002E-6</v>
      </c>
      <c r="BA110" s="157">
        <f t="shared" si="85"/>
        <v>6.0000000000000002E-6</v>
      </c>
      <c r="BB110" s="157">
        <f t="shared" si="85"/>
        <v>6.0000000000000002E-6</v>
      </c>
      <c r="BC110" s="157">
        <f t="shared" si="85"/>
        <v>6.0000000000000002E-6</v>
      </c>
      <c r="BD110" s="157">
        <f t="shared" si="85"/>
        <v>6.0000000000000002E-6</v>
      </c>
      <c r="BE110" s="157">
        <f t="shared" si="85"/>
        <v>6.0000000000000002E-6</v>
      </c>
      <c r="BF110" s="157">
        <f t="shared" si="85"/>
        <v>6.0000000000000002E-6</v>
      </c>
      <c r="BG110" s="157">
        <f t="shared" si="85"/>
        <v>6.0000000000000002E-6</v>
      </c>
      <c r="BH110" s="157">
        <f t="shared" si="85"/>
        <v>6.0000000000000002E-6</v>
      </c>
      <c r="BI110" s="157">
        <f t="shared" si="85"/>
        <v>6.0000000000000002E-6</v>
      </c>
      <c r="BJ110" s="157">
        <f t="shared" si="85"/>
        <v>6.0000000000000002E-6</v>
      </c>
      <c r="BK110" s="157">
        <f t="shared" si="85"/>
        <v>6.0000000000000002E-6</v>
      </c>
      <c r="BL110" s="157">
        <f t="shared" si="85"/>
        <v>6.0000000000000002E-6</v>
      </c>
      <c r="BM110" s="157">
        <f t="shared" si="85"/>
        <v>6.0000000000000002E-6</v>
      </c>
      <c r="BN110" s="157">
        <f t="shared" si="85"/>
        <v>6.0000000000000002E-6</v>
      </c>
      <c r="BO110" s="157">
        <f t="shared" si="85"/>
        <v>6.0000000000000002E-6</v>
      </c>
      <c r="BP110" s="157">
        <f t="shared" si="85"/>
        <v>6.0000000000000002E-6</v>
      </c>
      <c r="BQ110" s="157">
        <f t="shared" si="85"/>
        <v>6.0000000000000002E-6</v>
      </c>
      <c r="BR110" s="157">
        <f t="shared" si="85"/>
        <v>6.0000000000000002E-6</v>
      </c>
      <c r="BS110" s="157">
        <f t="shared" si="85"/>
        <v>6.0000000000000002E-6</v>
      </c>
      <c r="BT110" s="157">
        <f t="shared" si="85"/>
        <v>6.0000000000000002E-6</v>
      </c>
      <c r="BU110" s="157">
        <f t="shared" si="85"/>
        <v>6.0000000000000002E-6</v>
      </c>
      <c r="BV110" s="157">
        <f t="shared" si="85"/>
        <v>6.0000000000000002E-6</v>
      </c>
    </row>
    <row r="111" spans="1:74" x14ac:dyDescent="0.25">
      <c r="A111" s="155" t="s">
        <v>227</v>
      </c>
      <c r="B111" s="159" t="s">
        <v>207</v>
      </c>
      <c r="C111" s="170" t="s">
        <v>228</v>
      </c>
      <c r="D111" s="181">
        <v>2.4000000000000001E-5</v>
      </c>
      <c r="E111" s="181">
        <v>2.4000000000000001E-5</v>
      </c>
      <c r="F111" s="181">
        <v>2.4000000000000001E-5</v>
      </c>
      <c r="G111" s="181">
        <v>2.4000000000000001E-5</v>
      </c>
      <c r="H111" s="181">
        <v>2.4000000000000001E-5</v>
      </c>
      <c r="I111" s="181">
        <v>2.4000000000000001E-5</v>
      </c>
      <c r="J111" s="181">
        <v>2.4000000000000001E-5</v>
      </c>
      <c r="K111" s="181">
        <v>2.4000000000000001E-5</v>
      </c>
      <c r="L111" s="181">
        <v>2.4000000000000001E-5</v>
      </c>
      <c r="M111" s="181">
        <v>2.4000000000000001E-5</v>
      </c>
      <c r="N111" s="181">
        <v>2.4000000000000001E-5</v>
      </c>
      <c r="O111" s="181">
        <v>2.4000000000000001E-5</v>
      </c>
      <c r="P111" s="181">
        <v>2.4000000000000001E-5</v>
      </c>
      <c r="Q111" s="181">
        <v>2.4000000000000001E-5</v>
      </c>
      <c r="R111" s="181">
        <v>2.4000000000000001E-5</v>
      </c>
      <c r="S111" s="181">
        <v>2.4000000000000001E-5</v>
      </c>
      <c r="T111" s="181">
        <v>2.4000000000000001E-5</v>
      </c>
      <c r="U111" s="181">
        <v>2.4000000000000001E-5</v>
      </c>
      <c r="V111" s="181">
        <v>2.4000000000000001E-5</v>
      </c>
      <c r="W111" s="181">
        <v>2.4000000000000001E-5</v>
      </c>
      <c r="X111" s="181">
        <v>2.4000000000000001E-5</v>
      </c>
      <c r="Y111" s="181">
        <v>2.4000000000000001E-5</v>
      </c>
      <c r="Z111" s="181">
        <v>2.4000000000000001E-5</v>
      </c>
      <c r="AA111" s="181">
        <v>2.4000000000000001E-5</v>
      </c>
      <c r="AB111" s="181">
        <v>2.4000000000000001E-5</v>
      </c>
      <c r="AC111" s="181">
        <v>2.4000000000000001E-5</v>
      </c>
      <c r="AD111" s="181">
        <v>2.4000000000000001E-5</v>
      </c>
      <c r="AE111" s="181">
        <v>2.4000000000000001E-5</v>
      </c>
      <c r="AF111" s="181">
        <v>2.4000000000000001E-5</v>
      </c>
      <c r="AG111" s="181">
        <v>2.4000000000000001E-5</v>
      </c>
      <c r="AH111" s="181">
        <v>2.4000000000000001E-5</v>
      </c>
      <c r="AI111" s="181">
        <v>2.4000000000000001E-5</v>
      </c>
      <c r="AJ111" s="181">
        <v>2.4000000000000001E-5</v>
      </c>
      <c r="AK111" s="181">
        <v>2.4000000000000001E-5</v>
      </c>
      <c r="AL111" s="181">
        <v>2.4000000000000001E-5</v>
      </c>
      <c r="AM111" s="181">
        <v>2.4000000000000001E-5</v>
      </c>
      <c r="AN111" s="181">
        <v>2.4000000000000001E-5</v>
      </c>
      <c r="AO111" s="181">
        <v>2.4000000000000001E-5</v>
      </c>
      <c r="AP111" s="181">
        <v>2.4000000000000001E-5</v>
      </c>
      <c r="AQ111" s="181">
        <v>2.4000000000000001E-5</v>
      </c>
      <c r="AR111" s="181">
        <v>2.4000000000000001E-5</v>
      </c>
      <c r="AS111" s="157">
        <f t="shared" ref="AS111:BV111" si="86">AR111</f>
        <v>2.4000000000000001E-5</v>
      </c>
      <c r="AT111" s="157">
        <f t="shared" si="86"/>
        <v>2.4000000000000001E-5</v>
      </c>
      <c r="AU111" s="157">
        <f t="shared" si="86"/>
        <v>2.4000000000000001E-5</v>
      </c>
      <c r="AV111" s="157">
        <f t="shared" si="86"/>
        <v>2.4000000000000001E-5</v>
      </c>
      <c r="AW111" s="157">
        <f t="shared" si="86"/>
        <v>2.4000000000000001E-5</v>
      </c>
      <c r="AX111" s="157">
        <f t="shared" si="86"/>
        <v>2.4000000000000001E-5</v>
      </c>
      <c r="AY111" s="157">
        <f t="shared" si="86"/>
        <v>2.4000000000000001E-5</v>
      </c>
      <c r="AZ111" s="157">
        <f t="shared" si="86"/>
        <v>2.4000000000000001E-5</v>
      </c>
      <c r="BA111" s="157">
        <f t="shared" si="86"/>
        <v>2.4000000000000001E-5</v>
      </c>
      <c r="BB111" s="157">
        <f t="shared" si="86"/>
        <v>2.4000000000000001E-5</v>
      </c>
      <c r="BC111" s="157">
        <f t="shared" si="86"/>
        <v>2.4000000000000001E-5</v>
      </c>
      <c r="BD111" s="157">
        <f t="shared" si="86"/>
        <v>2.4000000000000001E-5</v>
      </c>
      <c r="BE111" s="157">
        <f t="shared" si="86"/>
        <v>2.4000000000000001E-5</v>
      </c>
      <c r="BF111" s="157">
        <f t="shared" si="86"/>
        <v>2.4000000000000001E-5</v>
      </c>
      <c r="BG111" s="157">
        <f t="shared" si="86"/>
        <v>2.4000000000000001E-5</v>
      </c>
      <c r="BH111" s="157">
        <f t="shared" si="86"/>
        <v>2.4000000000000001E-5</v>
      </c>
      <c r="BI111" s="157">
        <f t="shared" si="86"/>
        <v>2.4000000000000001E-5</v>
      </c>
      <c r="BJ111" s="157">
        <f t="shared" si="86"/>
        <v>2.4000000000000001E-5</v>
      </c>
      <c r="BK111" s="157">
        <f t="shared" si="86"/>
        <v>2.4000000000000001E-5</v>
      </c>
      <c r="BL111" s="157">
        <f t="shared" si="86"/>
        <v>2.4000000000000001E-5</v>
      </c>
      <c r="BM111" s="157">
        <f t="shared" si="86"/>
        <v>2.4000000000000001E-5</v>
      </c>
      <c r="BN111" s="157">
        <f t="shared" si="86"/>
        <v>2.4000000000000001E-5</v>
      </c>
      <c r="BO111" s="157">
        <f t="shared" si="86"/>
        <v>2.4000000000000001E-5</v>
      </c>
      <c r="BP111" s="157">
        <f t="shared" si="86"/>
        <v>2.4000000000000001E-5</v>
      </c>
      <c r="BQ111" s="157">
        <f t="shared" si="86"/>
        <v>2.4000000000000001E-5</v>
      </c>
      <c r="BR111" s="157">
        <f t="shared" si="86"/>
        <v>2.4000000000000001E-5</v>
      </c>
      <c r="BS111" s="157">
        <f t="shared" si="86"/>
        <v>2.4000000000000001E-5</v>
      </c>
      <c r="BT111" s="157">
        <f t="shared" si="86"/>
        <v>2.4000000000000001E-5</v>
      </c>
      <c r="BU111" s="157">
        <f t="shared" si="86"/>
        <v>2.4000000000000001E-5</v>
      </c>
      <c r="BV111" s="157">
        <f t="shared" si="86"/>
        <v>2.4000000000000001E-5</v>
      </c>
    </row>
    <row r="112" spans="1:74" x14ac:dyDescent="0.25">
      <c r="A112" s="155" t="s">
        <v>225</v>
      </c>
      <c r="B112" s="159" t="s">
        <v>207</v>
      </c>
      <c r="C112" s="162" t="s">
        <v>226</v>
      </c>
      <c r="D112" s="181">
        <v>6.0000000000000002E-6</v>
      </c>
      <c r="E112" s="181">
        <v>6.0000000000000002E-6</v>
      </c>
      <c r="F112" s="181">
        <v>6.0000000000000002E-6</v>
      </c>
      <c r="G112" s="181">
        <v>6.0000000000000002E-6</v>
      </c>
      <c r="H112" s="181">
        <v>6.0000000000000002E-6</v>
      </c>
      <c r="I112" s="181">
        <v>6.0000000000000002E-6</v>
      </c>
      <c r="J112" s="181">
        <v>6.0000000000000002E-6</v>
      </c>
      <c r="K112" s="181">
        <v>6.0000000000000002E-6</v>
      </c>
      <c r="L112" s="181">
        <v>6.0000000000000002E-6</v>
      </c>
      <c r="M112" s="181">
        <v>6.0000000000000002E-6</v>
      </c>
      <c r="N112" s="181">
        <v>6.0000000000000002E-6</v>
      </c>
      <c r="O112" s="181">
        <v>6.0000000000000002E-6</v>
      </c>
      <c r="P112" s="181">
        <v>6.0000000000000002E-6</v>
      </c>
      <c r="Q112" s="181">
        <v>6.0000000000000002E-6</v>
      </c>
      <c r="R112" s="181">
        <v>6.0000000000000002E-6</v>
      </c>
      <c r="S112" s="181">
        <v>6.0000000000000002E-6</v>
      </c>
      <c r="T112" s="181">
        <v>6.0000000000000002E-6</v>
      </c>
      <c r="U112" s="181">
        <v>6.0000000000000002E-6</v>
      </c>
      <c r="V112" s="181">
        <v>6.0000000000000002E-6</v>
      </c>
      <c r="W112" s="181">
        <v>6.0000000000000002E-6</v>
      </c>
      <c r="X112" s="181">
        <v>6.0000000000000002E-6</v>
      </c>
      <c r="Y112" s="181">
        <v>6.0000000000000002E-6</v>
      </c>
      <c r="Z112" s="181">
        <v>6.0000000000000002E-6</v>
      </c>
      <c r="AA112" s="181">
        <v>6.0000000000000002E-6</v>
      </c>
      <c r="AB112" s="181">
        <v>6.0000000000000002E-6</v>
      </c>
      <c r="AC112" s="181">
        <v>6.0000000000000002E-6</v>
      </c>
      <c r="AD112" s="181">
        <v>6.0000000000000002E-6</v>
      </c>
      <c r="AE112" s="181">
        <v>6.0000000000000002E-6</v>
      </c>
      <c r="AF112" s="181">
        <v>6.0000000000000002E-6</v>
      </c>
      <c r="AG112" s="181">
        <v>6.0000000000000002E-6</v>
      </c>
      <c r="AH112" s="181">
        <v>6.0000000000000002E-6</v>
      </c>
      <c r="AI112" s="181">
        <v>6.0000000000000002E-6</v>
      </c>
      <c r="AJ112" s="181">
        <v>6.0000000000000002E-6</v>
      </c>
      <c r="AK112" s="181">
        <v>6.0000000000000002E-6</v>
      </c>
      <c r="AL112" s="181">
        <v>6.0000000000000002E-6</v>
      </c>
      <c r="AM112" s="181">
        <v>6.0000000000000002E-6</v>
      </c>
      <c r="AN112" s="181">
        <v>6.0000000000000002E-6</v>
      </c>
      <c r="AO112" s="181">
        <v>6.0000000000000002E-6</v>
      </c>
      <c r="AP112" s="181">
        <v>6.0000000000000002E-6</v>
      </c>
      <c r="AQ112" s="181">
        <v>6.0000000000000002E-6</v>
      </c>
      <c r="AR112" s="181">
        <v>6.0000000000000002E-6</v>
      </c>
      <c r="AS112" s="157">
        <f t="shared" ref="AS112:BV112" si="87">AR112</f>
        <v>6.0000000000000002E-6</v>
      </c>
      <c r="AT112" s="157">
        <f t="shared" si="87"/>
        <v>6.0000000000000002E-6</v>
      </c>
      <c r="AU112" s="157">
        <f t="shared" si="87"/>
        <v>6.0000000000000002E-6</v>
      </c>
      <c r="AV112" s="157">
        <f t="shared" si="87"/>
        <v>6.0000000000000002E-6</v>
      </c>
      <c r="AW112" s="157">
        <f t="shared" si="87"/>
        <v>6.0000000000000002E-6</v>
      </c>
      <c r="AX112" s="157">
        <f t="shared" si="87"/>
        <v>6.0000000000000002E-6</v>
      </c>
      <c r="AY112" s="157">
        <f t="shared" si="87"/>
        <v>6.0000000000000002E-6</v>
      </c>
      <c r="AZ112" s="157">
        <f t="shared" si="87"/>
        <v>6.0000000000000002E-6</v>
      </c>
      <c r="BA112" s="157">
        <f t="shared" si="87"/>
        <v>6.0000000000000002E-6</v>
      </c>
      <c r="BB112" s="157">
        <f t="shared" si="87"/>
        <v>6.0000000000000002E-6</v>
      </c>
      <c r="BC112" s="157">
        <f t="shared" si="87"/>
        <v>6.0000000000000002E-6</v>
      </c>
      <c r="BD112" s="157">
        <f t="shared" si="87"/>
        <v>6.0000000000000002E-6</v>
      </c>
      <c r="BE112" s="157">
        <f t="shared" si="87"/>
        <v>6.0000000000000002E-6</v>
      </c>
      <c r="BF112" s="157">
        <f t="shared" si="87"/>
        <v>6.0000000000000002E-6</v>
      </c>
      <c r="BG112" s="157">
        <f t="shared" si="87"/>
        <v>6.0000000000000002E-6</v>
      </c>
      <c r="BH112" s="157">
        <f t="shared" si="87"/>
        <v>6.0000000000000002E-6</v>
      </c>
      <c r="BI112" s="157">
        <f t="shared" si="87"/>
        <v>6.0000000000000002E-6</v>
      </c>
      <c r="BJ112" s="157">
        <f t="shared" si="87"/>
        <v>6.0000000000000002E-6</v>
      </c>
      <c r="BK112" s="157">
        <f t="shared" si="87"/>
        <v>6.0000000000000002E-6</v>
      </c>
      <c r="BL112" s="157">
        <f t="shared" si="87"/>
        <v>6.0000000000000002E-6</v>
      </c>
      <c r="BM112" s="157">
        <f t="shared" si="87"/>
        <v>6.0000000000000002E-6</v>
      </c>
      <c r="BN112" s="157">
        <f t="shared" si="87"/>
        <v>6.0000000000000002E-6</v>
      </c>
      <c r="BO112" s="157">
        <f t="shared" si="87"/>
        <v>6.0000000000000002E-6</v>
      </c>
      <c r="BP112" s="157">
        <f t="shared" si="87"/>
        <v>6.0000000000000002E-6</v>
      </c>
      <c r="BQ112" s="157">
        <f t="shared" si="87"/>
        <v>6.0000000000000002E-6</v>
      </c>
      <c r="BR112" s="157">
        <f t="shared" si="87"/>
        <v>6.0000000000000002E-6</v>
      </c>
      <c r="BS112" s="157">
        <f t="shared" si="87"/>
        <v>6.0000000000000002E-6</v>
      </c>
      <c r="BT112" s="157">
        <f t="shared" si="87"/>
        <v>6.0000000000000002E-6</v>
      </c>
      <c r="BU112" s="157">
        <f t="shared" si="87"/>
        <v>6.0000000000000002E-6</v>
      </c>
      <c r="BV112" s="157">
        <f t="shared" si="87"/>
        <v>6.0000000000000002E-6</v>
      </c>
    </row>
    <row r="113" spans="1:74" x14ac:dyDescent="0.25">
      <c r="A113" s="149" t="s">
        <v>14</v>
      </c>
      <c r="B113" s="156" t="s">
        <v>218</v>
      </c>
      <c r="C113" s="159" t="s">
        <v>259</v>
      </c>
      <c r="D113" s="179">
        <v>3.6999999999999998E-5</v>
      </c>
      <c r="E113" s="182">
        <v>3.6999999999999998E-5</v>
      </c>
      <c r="F113" s="182">
        <v>3.6999999999999998E-5</v>
      </c>
      <c r="G113" s="182">
        <v>3.6999999999999998E-5</v>
      </c>
      <c r="H113" s="182">
        <v>3.6999999999999998E-5</v>
      </c>
      <c r="I113" s="182">
        <v>3.6999999999999998E-5</v>
      </c>
      <c r="J113" s="182">
        <v>3.6999999999999998E-5</v>
      </c>
      <c r="K113" s="182">
        <v>3.6999999999999998E-5</v>
      </c>
      <c r="L113" s="182">
        <v>3.6999999999999998E-5</v>
      </c>
      <c r="M113" s="182">
        <v>3.6999999999999998E-5</v>
      </c>
      <c r="N113" s="182">
        <v>3.6999999999999998E-5</v>
      </c>
      <c r="O113" s="182">
        <v>3.6999999999999998E-5</v>
      </c>
      <c r="P113" s="182">
        <v>3.6999999999999998E-5</v>
      </c>
      <c r="Q113" s="182">
        <v>3.6999999999999998E-5</v>
      </c>
      <c r="R113" s="182">
        <v>3.6999999999999998E-5</v>
      </c>
      <c r="S113" s="182">
        <v>3.6999999999999998E-5</v>
      </c>
      <c r="T113" s="182">
        <v>3.6999999999999998E-5</v>
      </c>
      <c r="U113" s="182">
        <v>3.6999999999999998E-5</v>
      </c>
      <c r="V113" s="182">
        <v>3.6999999999999998E-5</v>
      </c>
      <c r="W113" s="182">
        <v>3.6999999999999998E-5</v>
      </c>
      <c r="X113" s="182">
        <v>3.6999999999999998E-5</v>
      </c>
      <c r="Y113" s="182">
        <v>3.6999999999999998E-5</v>
      </c>
      <c r="Z113" s="182">
        <v>3.6999999999999998E-5</v>
      </c>
      <c r="AA113" s="182">
        <v>3.6999999999999998E-5</v>
      </c>
      <c r="AB113" s="182">
        <v>3.6999999999999998E-5</v>
      </c>
      <c r="AC113" s="182">
        <v>3.6999999999999998E-5</v>
      </c>
      <c r="AD113" s="182">
        <v>3.6999999999999998E-5</v>
      </c>
      <c r="AE113" s="182">
        <v>3.6999999999999998E-5</v>
      </c>
      <c r="AF113" s="182">
        <v>3.6999999999999998E-5</v>
      </c>
      <c r="AG113" s="182">
        <v>3.6999999999999998E-5</v>
      </c>
      <c r="AH113" s="182">
        <v>3.6999999999999998E-5</v>
      </c>
      <c r="AI113" s="182">
        <v>3.6999999999999998E-5</v>
      </c>
      <c r="AJ113" s="182">
        <v>3.6999999999999998E-5</v>
      </c>
      <c r="AK113" s="182">
        <v>3.6999999999999998E-5</v>
      </c>
      <c r="AL113" s="182">
        <v>3.6999999999999998E-5</v>
      </c>
      <c r="AM113" s="182">
        <v>3.6999999999999998E-5</v>
      </c>
      <c r="AN113" s="182">
        <v>3.6999999999999998E-5</v>
      </c>
      <c r="AO113" s="182">
        <v>3.6999999999999998E-5</v>
      </c>
      <c r="AP113" s="182">
        <v>3.6999999999999998E-5</v>
      </c>
      <c r="AQ113" s="182">
        <v>3.6999999999999998E-5</v>
      </c>
      <c r="AR113" s="182">
        <v>3.6999999999999998E-5</v>
      </c>
      <c r="AS113" s="157">
        <f t="shared" ref="AS113:BV113" si="88">AR113</f>
        <v>3.6999999999999998E-5</v>
      </c>
      <c r="AT113" s="157">
        <f t="shared" si="88"/>
        <v>3.6999999999999998E-5</v>
      </c>
      <c r="AU113" s="157">
        <f t="shared" si="88"/>
        <v>3.6999999999999998E-5</v>
      </c>
      <c r="AV113" s="157">
        <f t="shared" si="88"/>
        <v>3.6999999999999998E-5</v>
      </c>
      <c r="AW113" s="157">
        <f t="shared" si="88"/>
        <v>3.6999999999999998E-5</v>
      </c>
      <c r="AX113" s="157">
        <f t="shared" si="88"/>
        <v>3.6999999999999998E-5</v>
      </c>
      <c r="AY113" s="157">
        <f t="shared" si="88"/>
        <v>3.6999999999999998E-5</v>
      </c>
      <c r="AZ113" s="157">
        <f t="shared" si="88"/>
        <v>3.6999999999999998E-5</v>
      </c>
      <c r="BA113" s="157">
        <f t="shared" si="88"/>
        <v>3.6999999999999998E-5</v>
      </c>
      <c r="BB113" s="157">
        <f t="shared" si="88"/>
        <v>3.6999999999999998E-5</v>
      </c>
      <c r="BC113" s="157">
        <f t="shared" si="88"/>
        <v>3.6999999999999998E-5</v>
      </c>
      <c r="BD113" s="157">
        <f t="shared" si="88"/>
        <v>3.6999999999999998E-5</v>
      </c>
      <c r="BE113" s="157">
        <f t="shared" si="88"/>
        <v>3.6999999999999998E-5</v>
      </c>
      <c r="BF113" s="157">
        <f t="shared" si="88"/>
        <v>3.6999999999999998E-5</v>
      </c>
      <c r="BG113" s="157">
        <f t="shared" si="88"/>
        <v>3.6999999999999998E-5</v>
      </c>
      <c r="BH113" s="157">
        <f t="shared" si="88"/>
        <v>3.6999999999999998E-5</v>
      </c>
      <c r="BI113" s="157">
        <f t="shared" si="88"/>
        <v>3.6999999999999998E-5</v>
      </c>
      <c r="BJ113" s="157">
        <f t="shared" si="88"/>
        <v>3.6999999999999998E-5</v>
      </c>
      <c r="BK113" s="157">
        <f t="shared" si="88"/>
        <v>3.6999999999999998E-5</v>
      </c>
      <c r="BL113" s="157">
        <f t="shared" si="88"/>
        <v>3.6999999999999998E-5</v>
      </c>
      <c r="BM113" s="157">
        <f t="shared" si="88"/>
        <v>3.6999999999999998E-5</v>
      </c>
      <c r="BN113" s="157">
        <f t="shared" si="88"/>
        <v>3.6999999999999998E-5</v>
      </c>
      <c r="BO113" s="157">
        <f t="shared" si="88"/>
        <v>3.6999999999999998E-5</v>
      </c>
      <c r="BP113" s="157">
        <f t="shared" si="88"/>
        <v>3.6999999999999998E-5</v>
      </c>
      <c r="BQ113" s="157">
        <f t="shared" si="88"/>
        <v>3.6999999999999998E-5</v>
      </c>
      <c r="BR113" s="157">
        <f t="shared" si="88"/>
        <v>3.6999999999999998E-5</v>
      </c>
      <c r="BS113" s="157">
        <f t="shared" si="88"/>
        <v>3.6999999999999998E-5</v>
      </c>
      <c r="BT113" s="157">
        <f t="shared" si="88"/>
        <v>3.6999999999999998E-5</v>
      </c>
      <c r="BU113" s="157">
        <f t="shared" si="88"/>
        <v>3.6999999999999998E-5</v>
      </c>
      <c r="BV113" s="157">
        <f t="shared" si="88"/>
        <v>3.6999999999999998E-5</v>
      </c>
    </row>
    <row r="114" spans="1:74" x14ac:dyDescent="0.25">
      <c r="A114" s="149" t="s">
        <v>216</v>
      </c>
      <c r="B114" s="150" t="s">
        <v>213</v>
      </c>
      <c r="C114" s="159" t="s">
        <v>243</v>
      </c>
      <c r="D114" s="179">
        <v>1.0005836738097224E-4</v>
      </c>
      <c r="E114" s="182">
        <v>1.0005836738097224E-4</v>
      </c>
      <c r="F114" s="182">
        <v>1.0005836738097224E-4</v>
      </c>
      <c r="G114" s="182">
        <v>1.0005836738097224E-4</v>
      </c>
      <c r="H114" s="182">
        <v>1.0005836738097224E-4</v>
      </c>
      <c r="I114" s="182">
        <v>1.0005836738097224E-4</v>
      </c>
      <c r="J114" s="182">
        <v>1.0005836738097224E-4</v>
      </c>
      <c r="K114" s="182">
        <v>1.0005836738097224E-4</v>
      </c>
      <c r="L114" s="182">
        <v>1.0005836738097224E-4</v>
      </c>
      <c r="M114" s="182">
        <v>1.0005836738097224E-4</v>
      </c>
      <c r="N114" s="182">
        <v>1.0005836738097224E-4</v>
      </c>
      <c r="O114" s="182">
        <v>1.0005836738097224E-4</v>
      </c>
      <c r="P114" s="182">
        <v>1.0005836738097224E-4</v>
      </c>
      <c r="Q114" s="182">
        <v>1.0005836738097224E-4</v>
      </c>
      <c r="R114" s="182">
        <v>1.0005836738097224E-4</v>
      </c>
      <c r="S114" s="182">
        <v>1.0005836738097224E-4</v>
      </c>
      <c r="T114" s="182">
        <v>1.0005836738097224E-4</v>
      </c>
      <c r="U114" s="182">
        <v>1.0005836738097224E-4</v>
      </c>
      <c r="V114" s="182">
        <v>1.0005836738097224E-4</v>
      </c>
      <c r="W114" s="182">
        <v>1.0005836738097224E-4</v>
      </c>
      <c r="X114" s="182">
        <v>1.0005836738097224E-4</v>
      </c>
      <c r="Y114" s="182">
        <v>1.0005836738097224E-4</v>
      </c>
      <c r="Z114" s="182">
        <v>1.0005836738097224E-4</v>
      </c>
      <c r="AA114" s="182">
        <v>1.0005836738097224E-4</v>
      </c>
      <c r="AB114" s="182">
        <v>1.0005836738097224E-4</v>
      </c>
      <c r="AC114" s="182">
        <v>1.0005836738097224E-4</v>
      </c>
      <c r="AD114" s="182">
        <v>1.0005836738097224E-4</v>
      </c>
      <c r="AE114" s="182">
        <v>1.0005836738097224E-4</v>
      </c>
      <c r="AF114" s="182">
        <v>1.0005836738097224E-4</v>
      </c>
      <c r="AG114" s="182">
        <v>1.0005836738097224E-4</v>
      </c>
      <c r="AH114" s="182">
        <v>1.0005836738097224E-4</v>
      </c>
      <c r="AI114" s="182">
        <v>1.0005836738097224E-4</v>
      </c>
      <c r="AJ114" s="182">
        <v>1.0005836738097224E-4</v>
      </c>
      <c r="AK114" s="182">
        <v>1.0005836738097224E-4</v>
      </c>
      <c r="AL114" s="182">
        <v>1.0005836738097224E-4</v>
      </c>
      <c r="AM114" s="182">
        <v>1.0005836738097224E-4</v>
      </c>
      <c r="AN114" s="182">
        <v>1.0005836738097224E-4</v>
      </c>
      <c r="AO114" s="182">
        <v>1.0005836738097224E-4</v>
      </c>
      <c r="AP114" s="182">
        <v>1.0005836738097224E-4</v>
      </c>
      <c r="AQ114" s="182">
        <v>1.0005836738097224E-4</v>
      </c>
      <c r="AR114" s="182">
        <v>1.0005836738097224E-4</v>
      </c>
      <c r="AS114" s="157">
        <f t="shared" ref="AS114:BV114" si="89">AR114</f>
        <v>1.0005836738097224E-4</v>
      </c>
      <c r="AT114" s="157">
        <f t="shared" si="89"/>
        <v>1.0005836738097224E-4</v>
      </c>
      <c r="AU114" s="157">
        <f t="shared" si="89"/>
        <v>1.0005836738097224E-4</v>
      </c>
      <c r="AV114" s="157">
        <f t="shared" si="89"/>
        <v>1.0005836738097224E-4</v>
      </c>
      <c r="AW114" s="157">
        <f t="shared" si="89"/>
        <v>1.0005836738097224E-4</v>
      </c>
      <c r="AX114" s="157">
        <f t="shared" si="89"/>
        <v>1.0005836738097224E-4</v>
      </c>
      <c r="AY114" s="157">
        <f t="shared" si="89"/>
        <v>1.0005836738097224E-4</v>
      </c>
      <c r="AZ114" s="157">
        <f t="shared" si="89"/>
        <v>1.0005836738097224E-4</v>
      </c>
      <c r="BA114" s="157">
        <f t="shared" si="89"/>
        <v>1.0005836738097224E-4</v>
      </c>
      <c r="BB114" s="157">
        <f t="shared" si="89"/>
        <v>1.0005836738097224E-4</v>
      </c>
      <c r="BC114" s="157">
        <f t="shared" si="89"/>
        <v>1.0005836738097224E-4</v>
      </c>
      <c r="BD114" s="157">
        <f t="shared" si="89"/>
        <v>1.0005836738097224E-4</v>
      </c>
      <c r="BE114" s="157">
        <f t="shared" si="89"/>
        <v>1.0005836738097224E-4</v>
      </c>
      <c r="BF114" s="157">
        <f t="shared" si="89"/>
        <v>1.0005836738097224E-4</v>
      </c>
      <c r="BG114" s="157">
        <f t="shared" si="89"/>
        <v>1.0005836738097224E-4</v>
      </c>
      <c r="BH114" s="157">
        <f t="shared" si="89"/>
        <v>1.0005836738097224E-4</v>
      </c>
      <c r="BI114" s="157">
        <f t="shared" si="89"/>
        <v>1.0005836738097224E-4</v>
      </c>
      <c r="BJ114" s="157">
        <f t="shared" si="89"/>
        <v>1.0005836738097224E-4</v>
      </c>
      <c r="BK114" s="157">
        <f t="shared" si="89"/>
        <v>1.0005836738097224E-4</v>
      </c>
      <c r="BL114" s="157">
        <f t="shared" si="89"/>
        <v>1.0005836738097224E-4</v>
      </c>
      <c r="BM114" s="157">
        <f t="shared" si="89"/>
        <v>1.0005836738097224E-4</v>
      </c>
      <c r="BN114" s="157">
        <f t="shared" si="89"/>
        <v>1.0005836738097224E-4</v>
      </c>
      <c r="BO114" s="157">
        <f t="shared" si="89"/>
        <v>1.0005836738097224E-4</v>
      </c>
      <c r="BP114" s="157">
        <f t="shared" si="89"/>
        <v>1.0005836738097224E-4</v>
      </c>
      <c r="BQ114" s="157">
        <f t="shared" si="89"/>
        <v>1.0005836738097224E-4</v>
      </c>
      <c r="BR114" s="157">
        <f t="shared" si="89"/>
        <v>1.0005836738097224E-4</v>
      </c>
      <c r="BS114" s="157">
        <f t="shared" si="89"/>
        <v>1.0005836738097224E-4</v>
      </c>
      <c r="BT114" s="157">
        <f t="shared" si="89"/>
        <v>1.0005836738097224E-4</v>
      </c>
      <c r="BU114" s="157">
        <f t="shared" si="89"/>
        <v>1.0005836738097224E-4</v>
      </c>
      <c r="BV114" s="157">
        <f t="shared" si="89"/>
        <v>1.0005836738097224E-4</v>
      </c>
    </row>
    <row r="115" spans="1:74" x14ac:dyDescent="0.25">
      <c r="A115" s="155" t="s">
        <v>228</v>
      </c>
      <c r="B115" s="159" t="s">
        <v>207</v>
      </c>
      <c r="C115" s="159" t="s">
        <v>240</v>
      </c>
      <c r="D115" s="179">
        <v>2.4000000000000001E-5</v>
      </c>
      <c r="E115" s="182">
        <v>2.4000000000000001E-5</v>
      </c>
      <c r="F115" s="182">
        <v>2.4000000000000001E-5</v>
      </c>
      <c r="G115" s="182">
        <v>2.4000000000000001E-5</v>
      </c>
      <c r="H115" s="182">
        <v>2.4000000000000001E-5</v>
      </c>
      <c r="I115" s="182">
        <v>2.4000000000000001E-5</v>
      </c>
      <c r="J115" s="182">
        <v>2.4000000000000001E-5</v>
      </c>
      <c r="K115" s="182">
        <v>2.4000000000000001E-5</v>
      </c>
      <c r="L115" s="182">
        <v>2.4000000000000001E-5</v>
      </c>
      <c r="M115" s="182">
        <v>2.4000000000000001E-5</v>
      </c>
      <c r="N115" s="182">
        <v>2.4000000000000001E-5</v>
      </c>
      <c r="O115" s="182">
        <v>2.4000000000000001E-5</v>
      </c>
      <c r="P115" s="182">
        <v>2.4000000000000001E-5</v>
      </c>
      <c r="Q115" s="182">
        <v>2.4000000000000001E-5</v>
      </c>
      <c r="R115" s="182">
        <v>2.4000000000000001E-5</v>
      </c>
      <c r="S115" s="182">
        <v>2.4000000000000001E-5</v>
      </c>
      <c r="T115" s="182">
        <v>2.4000000000000001E-5</v>
      </c>
      <c r="U115" s="182">
        <v>2.4000000000000001E-5</v>
      </c>
      <c r="V115" s="182">
        <v>2.4000000000000001E-5</v>
      </c>
      <c r="W115" s="182">
        <v>2.4000000000000001E-5</v>
      </c>
      <c r="X115" s="182">
        <v>2.4000000000000001E-5</v>
      </c>
      <c r="Y115" s="182">
        <v>2.4000000000000001E-5</v>
      </c>
      <c r="Z115" s="182">
        <v>2.4000000000000001E-5</v>
      </c>
      <c r="AA115" s="182">
        <v>2.4000000000000001E-5</v>
      </c>
      <c r="AB115" s="182">
        <v>2.4000000000000001E-5</v>
      </c>
      <c r="AC115" s="182">
        <v>2.4000000000000001E-5</v>
      </c>
      <c r="AD115" s="182">
        <v>2.4000000000000001E-5</v>
      </c>
      <c r="AE115" s="182">
        <v>2.4000000000000001E-5</v>
      </c>
      <c r="AF115" s="182">
        <v>2.4000000000000001E-5</v>
      </c>
      <c r="AG115" s="182">
        <v>2.4000000000000001E-5</v>
      </c>
      <c r="AH115" s="182">
        <v>2.4000000000000001E-5</v>
      </c>
      <c r="AI115" s="182">
        <v>2.4000000000000001E-5</v>
      </c>
      <c r="AJ115" s="182">
        <v>2.4000000000000001E-5</v>
      </c>
      <c r="AK115" s="182">
        <v>2.4000000000000001E-5</v>
      </c>
      <c r="AL115" s="182">
        <v>2.4000000000000001E-5</v>
      </c>
      <c r="AM115" s="182">
        <v>2.4000000000000001E-5</v>
      </c>
      <c r="AN115" s="182">
        <v>2.4000000000000001E-5</v>
      </c>
      <c r="AO115" s="182">
        <v>2.4000000000000001E-5</v>
      </c>
      <c r="AP115" s="182">
        <v>2.4000000000000001E-5</v>
      </c>
      <c r="AQ115" s="182">
        <v>2.4000000000000001E-5</v>
      </c>
      <c r="AR115" s="182">
        <v>2.4000000000000001E-5</v>
      </c>
      <c r="AS115" s="157">
        <f t="shared" ref="AS115:BV115" si="90">AR115</f>
        <v>2.4000000000000001E-5</v>
      </c>
      <c r="AT115" s="157">
        <f t="shared" si="90"/>
        <v>2.4000000000000001E-5</v>
      </c>
      <c r="AU115" s="157">
        <f t="shared" si="90"/>
        <v>2.4000000000000001E-5</v>
      </c>
      <c r="AV115" s="157">
        <f t="shared" si="90"/>
        <v>2.4000000000000001E-5</v>
      </c>
      <c r="AW115" s="157">
        <f t="shared" si="90"/>
        <v>2.4000000000000001E-5</v>
      </c>
      <c r="AX115" s="157">
        <f t="shared" si="90"/>
        <v>2.4000000000000001E-5</v>
      </c>
      <c r="AY115" s="157">
        <f t="shared" si="90"/>
        <v>2.4000000000000001E-5</v>
      </c>
      <c r="AZ115" s="157">
        <f t="shared" si="90"/>
        <v>2.4000000000000001E-5</v>
      </c>
      <c r="BA115" s="157">
        <f t="shared" si="90"/>
        <v>2.4000000000000001E-5</v>
      </c>
      <c r="BB115" s="157">
        <f t="shared" si="90"/>
        <v>2.4000000000000001E-5</v>
      </c>
      <c r="BC115" s="157">
        <f t="shared" si="90"/>
        <v>2.4000000000000001E-5</v>
      </c>
      <c r="BD115" s="157">
        <f t="shared" si="90"/>
        <v>2.4000000000000001E-5</v>
      </c>
      <c r="BE115" s="157">
        <f t="shared" si="90"/>
        <v>2.4000000000000001E-5</v>
      </c>
      <c r="BF115" s="157">
        <f t="shared" si="90"/>
        <v>2.4000000000000001E-5</v>
      </c>
      <c r="BG115" s="157">
        <f t="shared" si="90"/>
        <v>2.4000000000000001E-5</v>
      </c>
      <c r="BH115" s="157">
        <f t="shared" si="90"/>
        <v>2.4000000000000001E-5</v>
      </c>
      <c r="BI115" s="157">
        <f t="shared" si="90"/>
        <v>2.4000000000000001E-5</v>
      </c>
      <c r="BJ115" s="157">
        <f t="shared" si="90"/>
        <v>2.4000000000000001E-5</v>
      </c>
      <c r="BK115" s="157">
        <f t="shared" si="90"/>
        <v>2.4000000000000001E-5</v>
      </c>
      <c r="BL115" s="157">
        <f t="shared" si="90"/>
        <v>2.4000000000000001E-5</v>
      </c>
      <c r="BM115" s="157">
        <f t="shared" si="90"/>
        <v>2.4000000000000001E-5</v>
      </c>
      <c r="BN115" s="157">
        <f t="shared" si="90"/>
        <v>2.4000000000000001E-5</v>
      </c>
      <c r="BO115" s="157">
        <f t="shared" si="90"/>
        <v>2.4000000000000001E-5</v>
      </c>
      <c r="BP115" s="157">
        <f t="shared" si="90"/>
        <v>2.4000000000000001E-5</v>
      </c>
      <c r="BQ115" s="157">
        <f t="shared" si="90"/>
        <v>2.4000000000000001E-5</v>
      </c>
      <c r="BR115" s="157">
        <f t="shared" si="90"/>
        <v>2.4000000000000001E-5</v>
      </c>
      <c r="BS115" s="157">
        <f t="shared" si="90"/>
        <v>2.4000000000000001E-5</v>
      </c>
      <c r="BT115" s="157">
        <f t="shared" si="90"/>
        <v>2.4000000000000001E-5</v>
      </c>
      <c r="BU115" s="157">
        <f t="shared" si="90"/>
        <v>2.4000000000000001E-5</v>
      </c>
      <c r="BV115" s="157">
        <f t="shared" si="90"/>
        <v>2.4000000000000001E-5</v>
      </c>
    </row>
    <row r="116" spans="1:74" x14ac:dyDescent="0.25">
      <c r="A116" s="149" t="s">
        <v>222</v>
      </c>
      <c r="B116" s="156" t="s">
        <v>218</v>
      </c>
      <c r="C116" s="159" t="s">
        <v>260</v>
      </c>
      <c r="D116" s="179">
        <v>3.26E-5</v>
      </c>
      <c r="E116" s="179">
        <v>3.2780000000000001E-5</v>
      </c>
      <c r="F116" s="179">
        <v>3.2960000000000003E-5</v>
      </c>
      <c r="G116" s="179">
        <v>3.3140000000000005E-5</v>
      </c>
      <c r="H116" s="179">
        <v>3.3320000000000006E-5</v>
      </c>
      <c r="I116" s="179">
        <v>3.3500000000000008E-5</v>
      </c>
      <c r="J116" s="179">
        <v>3.3559999999999997E-5</v>
      </c>
      <c r="K116" s="179">
        <v>3.362E-5</v>
      </c>
      <c r="L116" s="179">
        <v>3.3680000000000003E-5</v>
      </c>
      <c r="M116" s="179">
        <v>3.3739999999999999E-5</v>
      </c>
      <c r="N116" s="179">
        <v>3.3800000000000002E-5</v>
      </c>
      <c r="O116" s="179">
        <v>3.3439999999999998E-5</v>
      </c>
      <c r="P116" s="179">
        <v>3.3079999999999995E-5</v>
      </c>
      <c r="Q116" s="179">
        <v>3.2719999999999992E-5</v>
      </c>
      <c r="R116" s="179">
        <v>3.2359999999999988E-5</v>
      </c>
      <c r="S116" s="179">
        <v>3.1999999999999985E-5</v>
      </c>
      <c r="T116" s="179">
        <v>3.1999999999999999E-5</v>
      </c>
      <c r="U116" s="179">
        <v>3.2199999999999997E-5</v>
      </c>
      <c r="V116" s="179">
        <v>3.1600000000000002E-5</v>
      </c>
      <c r="W116" s="179">
        <v>3.1999999999999999E-5</v>
      </c>
      <c r="X116" s="179">
        <v>3.2100000000000001E-5</v>
      </c>
      <c r="Y116" s="179">
        <v>3.26E-5</v>
      </c>
      <c r="Z116" s="179">
        <v>3.0499999999999999E-5</v>
      </c>
      <c r="AA116" s="179">
        <v>3.1000000000000001E-5</v>
      </c>
      <c r="AB116" s="179">
        <v>3.1000000000000001E-5</v>
      </c>
      <c r="AC116" s="179">
        <v>3.1000000000000001E-5</v>
      </c>
      <c r="AD116" s="180">
        <v>3.1000000000000001E-5</v>
      </c>
      <c r="AE116" s="180">
        <v>3.1000000000000001E-5</v>
      </c>
      <c r="AF116" s="180">
        <v>3.1000000000000001E-5</v>
      </c>
      <c r="AG116" s="180">
        <v>3.1000000000000001E-5</v>
      </c>
      <c r="AH116" s="180">
        <v>3.1000000000000001E-5</v>
      </c>
      <c r="AI116" s="180">
        <v>3.1000000000000001E-5</v>
      </c>
      <c r="AJ116" s="180">
        <v>3.1000000000000001E-5</v>
      </c>
      <c r="AK116" s="180">
        <v>3.1000000000000001E-5</v>
      </c>
      <c r="AL116" s="180">
        <v>3.1000000000000001E-5</v>
      </c>
      <c r="AM116" s="180">
        <v>3.1000000000000001E-5</v>
      </c>
      <c r="AN116" s="180">
        <v>3.1000000000000001E-5</v>
      </c>
      <c r="AO116" s="180">
        <v>3.1000000000000001E-5</v>
      </c>
      <c r="AP116" s="180">
        <v>3.1000000000000001E-5</v>
      </c>
      <c r="AQ116" s="180">
        <v>3.1000000000000001E-5</v>
      </c>
      <c r="AR116" s="180">
        <v>3.1000000000000001E-5</v>
      </c>
      <c r="AS116" s="157">
        <f t="shared" ref="AS116:BV116" si="91">AR116</f>
        <v>3.1000000000000001E-5</v>
      </c>
      <c r="AT116" s="157">
        <f t="shared" si="91"/>
        <v>3.1000000000000001E-5</v>
      </c>
      <c r="AU116" s="157">
        <f t="shared" si="91"/>
        <v>3.1000000000000001E-5</v>
      </c>
      <c r="AV116" s="157">
        <f t="shared" si="91"/>
        <v>3.1000000000000001E-5</v>
      </c>
      <c r="AW116" s="157">
        <f t="shared" si="91"/>
        <v>3.1000000000000001E-5</v>
      </c>
      <c r="AX116" s="157">
        <f t="shared" si="91"/>
        <v>3.1000000000000001E-5</v>
      </c>
      <c r="AY116" s="157">
        <f t="shared" si="91"/>
        <v>3.1000000000000001E-5</v>
      </c>
      <c r="AZ116" s="157">
        <f t="shared" si="91"/>
        <v>3.1000000000000001E-5</v>
      </c>
      <c r="BA116" s="157">
        <f t="shared" si="91"/>
        <v>3.1000000000000001E-5</v>
      </c>
      <c r="BB116" s="157">
        <f t="shared" si="91"/>
        <v>3.1000000000000001E-5</v>
      </c>
      <c r="BC116" s="157">
        <f t="shared" si="91"/>
        <v>3.1000000000000001E-5</v>
      </c>
      <c r="BD116" s="157">
        <f t="shared" si="91"/>
        <v>3.1000000000000001E-5</v>
      </c>
      <c r="BE116" s="157">
        <f t="shared" si="91"/>
        <v>3.1000000000000001E-5</v>
      </c>
      <c r="BF116" s="157">
        <f t="shared" si="91"/>
        <v>3.1000000000000001E-5</v>
      </c>
      <c r="BG116" s="157">
        <f t="shared" si="91"/>
        <v>3.1000000000000001E-5</v>
      </c>
      <c r="BH116" s="157">
        <f t="shared" si="91"/>
        <v>3.1000000000000001E-5</v>
      </c>
      <c r="BI116" s="157">
        <f t="shared" si="91"/>
        <v>3.1000000000000001E-5</v>
      </c>
      <c r="BJ116" s="157">
        <f t="shared" si="91"/>
        <v>3.1000000000000001E-5</v>
      </c>
      <c r="BK116" s="157">
        <f t="shared" si="91"/>
        <v>3.1000000000000001E-5</v>
      </c>
      <c r="BL116" s="157">
        <f t="shared" si="91"/>
        <v>3.1000000000000001E-5</v>
      </c>
      <c r="BM116" s="157">
        <f t="shared" si="91"/>
        <v>3.1000000000000001E-5</v>
      </c>
      <c r="BN116" s="157">
        <f t="shared" si="91"/>
        <v>3.1000000000000001E-5</v>
      </c>
      <c r="BO116" s="157">
        <f t="shared" si="91"/>
        <v>3.1000000000000001E-5</v>
      </c>
      <c r="BP116" s="157">
        <f t="shared" si="91"/>
        <v>3.1000000000000001E-5</v>
      </c>
      <c r="BQ116" s="157">
        <f t="shared" si="91"/>
        <v>3.1000000000000001E-5</v>
      </c>
      <c r="BR116" s="157">
        <f t="shared" si="91"/>
        <v>3.1000000000000001E-5</v>
      </c>
      <c r="BS116" s="157">
        <f t="shared" si="91"/>
        <v>3.1000000000000001E-5</v>
      </c>
      <c r="BT116" s="157">
        <f t="shared" si="91"/>
        <v>3.1000000000000001E-5</v>
      </c>
      <c r="BU116" s="157">
        <f t="shared" si="91"/>
        <v>3.1000000000000001E-5</v>
      </c>
      <c r="BV116" s="157">
        <f t="shared" si="91"/>
        <v>3.1000000000000001E-5</v>
      </c>
    </row>
    <row r="117" spans="1:74" x14ac:dyDescent="0.25">
      <c r="A117" s="155" t="s">
        <v>229</v>
      </c>
      <c r="B117" s="159" t="s">
        <v>213</v>
      </c>
      <c r="C117" s="159" t="s">
        <v>245</v>
      </c>
      <c r="D117" s="179">
        <v>2.6743075453677172E-5</v>
      </c>
      <c r="E117" s="182">
        <v>2.6743075453677172E-5</v>
      </c>
      <c r="F117" s="182">
        <v>2.6743075453677172E-5</v>
      </c>
      <c r="G117" s="182">
        <v>2.6743075453677172E-5</v>
      </c>
      <c r="H117" s="182">
        <v>2.6743075453677172E-5</v>
      </c>
      <c r="I117" s="182">
        <v>2.6743075453677172E-5</v>
      </c>
      <c r="J117" s="182">
        <v>2.6743075453677172E-5</v>
      </c>
      <c r="K117" s="182">
        <v>2.6743075453677172E-5</v>
      </c>
      <c r="L117" s="182">
        <v>2.6743075453677172E-5</v>
      </c>
      <c r="M117" s="182">
        <v>2.6743075453677172E-5</v>
      </c>
      <c r="N117" s="182">
        <v>2.6743075453677172E-5</v>
      </c>
      <c r="O117" s="182">
        <v>2.6743075453677172E-5</v>
      </c>
      <c r="P117" s="182">
        <v>2.6743075453677172E-5</v>
      </c>
      <c r="Q117" s="182">
        <v>2.6743075453677172E-5</v>
      </c>
      <c r="R117" s="182">
        <v>2.6743075453677172E-5</v>
      </c>
      <c r="S117" s="182">
        <v>2.6743075453677172E-5</v>
      </c>
      <c r="T117" s="182">
        <v>2.6743075453677172E-5</v>
      </c>
      <c r="U117" s="182">
        <v>2.6743075453677172E-5</v>
      </c>
      <c r="V117" s="182">
        <v>2.6743075453677172E-5</v>
      </c>
      <c r="W117" s="182">
        <v>2.6743075453677172E-5</v>
      </c>
      <c r="X117" s="182">
        <v>2.6743075453677172E-5</v>
      </c>
      <c r="Y117" s="182">
        <v>2.6743075453677172E-5</v>
      </c>
      <c r="Z117" s="182">
        <v>2.6743075453677172E-5</v>
      </c>
      <c r="AA117" s="182">
        <v>2.6743075453677172E-5</v>
      </c>
      <c r="AB117" s="182">
        <v>2.6743075453677172E-5</v>
      </c>
      <c r="AC117" s="182">
        <v>2.6743075453677172E-5</v>
      </c>
      <c r="AD117" s="182">
        <v>2.6743075453677172E-5</v>
      </c>
      <c r="AE117" s="182">
        <v>2.6743075453677172E-5</v>
      </c>
      <c r="AF117" s="182">
        <v>2.6743075453677172E-5</v>
      </c>
      <c r="AG117" s="182">
        <v>2.6743075453677172E-5</v>
      </c>
      <c r="AH117" s="182">
        <v>2.6743075453677172E-5</v>
      </c>
      <c r="AI117" s="182">
        <v>2.6743075453677172E-5</v>
      </c>
      <c r="AJ117" s="182">
        <v>2.6743075453677172E-5</v>
      </c>
      <c r="AK117" s="182">
        <v>2.6743075453677172E-5</v>
      </c>
      <c r="AL117" s="182">
        <v>2.6743075453677172E-5</v>
      </c>
      <c r="AM117" s="182">
        <v>2.6743075453677172E-5</v>
      </c>
      <c r="AN117" s="182">
        <v>2.6743075453677172E-5</v>
      </c>
      <c r="AO117" s="182">
        <v>2.6743075453677172E-5</v>
      </c>
      <c r="AP117" s="182">
        <v>2.6743075453677172E-5</v>
      </c>
      <c r="AQ117" s="182">
        <v>2.6743075453677172E-5</v>
      </c>
      <c r="AR117" s="182">
        <v>2.6743075453677172E-5</v>
      </c>
      <c r="AS117" s="157">
        <f t="shared" ref="AS117:BV118" si="92">AR117</f>
        <v>2.6743075453677172E-5</v>
      </c>
      <c r="AT117" s="157">
        <f t="shared" si="92"/>
        <v>2.6743075453677172E-5</v>
      </c>
      <c r="AU117" s="157">
        <f t="shared" si="92"/>
        <v>2.6743075453677172E-5</v>
      </c>
      <c r="AV117" s="157">
        <f t="shared" si="92"/>
        <v>2.6743075453677172E-5</v>
      </c>
      <c r="AW117" s="157">
        <f t="shared" si="92"/>
        <v>2.6743075453677172E-5</v>
      </c>
      <c r="AX117" s="157">
        <f t="shared" si="92"/>
        <v>2.6743075453677172E-5</v>
      </c>
      <c r="AY117" s="157">
        <f t="shared" si="92"/>
        <v>2.6743075453677172E-5</v>
      </c>
      <c r="AZ117" s="157">
        <f t="shared" si="92"/>
        <v>2.6743075453677172E-5</v>
      </c>
      <c r="BA117" s="157">
        <f t="shared" si="92"/>
        <v>2.6743075453677172E-5</v>
      </c>
      <c r="BB117" s="157">
        <f t="shared" si="92"/>
        <v>2.6743075453677172E-5</v>
      </c>
      <c r="BC117" s="157">
        <f t="shared" si="92"/>
        <v>2.6743075453677172E-5</v>
      </c>
      <c r="BD117" s="157">
        <f t="shared" si="92"/>
        <v>2.6743075453677172E-5</v>
      </c>
      <c r="BE117" s="157">
        <f t="shared" si="92"/>
        <v>2.6743075453677172E-5</v>
      </c>
      <c r="BF117" s="157">
        <f t="shared" si="92"/>
        <v>2.6743075453677172E-5</v>
      </c>
      <c r="BG117" s="157">
        <f t="shared" si="92"/>
        <v>2.6743075453677172E-5</v>
      </c>
      <c r="BH117" s="157">
        <f t="shared" si="92"/>
        <v>2.6743075453677172E-5</v>
      </c>
      <c r="BI117" s="157">
        <f t="shared" si="92"/>
        <v>2.6743075453677172E-5</v>
      </c>
      <c r="BJ117" s="157">
        <f t="shared" si="92"/>
        <v>2.6743075453677172E-5</v>
      </c>
      <c r="BK117" s="157">
        <f t="shared" si="92"/>
        <v>2.6743075453677172E-5</v>
      </c>
      <c r="BL117" s="157">
        <f t="shared" si="92"/>
        <v>2.6743075453677172E-5</v>
      </c>
      <c r="BM117" s="157">
        <f t="shared" si="92"/>
        <v>2.6743075453677172E-5</v>
      </c>
      <c r="BN117" s="157">
        <f t="shared" si="92"/>
        <v>2.6743075453677172E-5</v>
      </c>
      <c r="BO117" s="157">
        <f t="shared" si="92"/>
        <v>2.6743075453677172E-5</v>
      </c>
      <c r="BP117" s="157">
        <f t="shared" si="92"/>
        <v>2.6743075453677172E-5</v>
      </c>
      <c r="BQ117" s="157">
        <f t="shared" si="92"/>
        <v>2.6743075453677172E-5</v>
      </c>
      <c r="BR117" s="157">
        <f t="shared" si="92"/>
        <v>2.6743075453677172E-5</v>
      </c>
      <c r="BS117" s="157">
        <f t="shared" si="92"/>
        <v>2.6743075453677172E-5</v>
      </c>
      <c r="BT117" s="157">
        <f t="shared" si="92"/>
        <v>2.6743075453677172E-5</v>
      </c>
      <c r="BU117" s="157">
        <f t="shared" si="92"/>
        <v>2.6743075453677172E-5</v>
      </c>
      <c r="BV117" s="157">
        <f t="shared" si="92"/>
        <v>2.6743075453677172E-5</v>
      </c>
    </row>
    <row r="118" spans="1:74" x14ac:dyDescent="0.25">
      <c r="A118" s="155" t="s">
        <v>230</v>
      </c>
      <c r="B118" s="159" t="s">
        <v>34</v>
      </c>
      <c r="D118" s="182"/>
      <c r="E118" s="182"/>
      <c r="F118" s="182"/>
      <c r="G118" s="182"/>
      <c r="H118" s="182"/>
      <c r="I118" s="182"/>
      <c r="J118" s="182"/>
      <c r="K118" s="182"/>
      <c r="L118" s="182"/>
      <c r="M118" s="182"/>
      <c r="N118" s="182"/>
      <c r="O118" s="182"/>
      <c r="P118" s="182"/>
      <c r="Q118" s="182"/>
      <c r="R118" s="182"/>
      <c r="S118" s="182"/>
      <c r="T118" s="182"/>
      <c r="U118" s="182"/>
      <c r="V118" s="182"/>
      <c r="W118" s="182"/>
      <c r="X118" s="182"/>
      <c r="Y118" s="182"/>
      <c r="Z118" s="182"/>
      <c r="AA118" s="182"/>
      <c r="AB118" s="182"/>
      <c r="AC118" s="182"/>
      <c r="AD118" s="182"/>
      <c r="AE118" s="182"/>
      <c r="AF118" s="182"/>
      <c r="AG118" s="182"/>
      <c r="AH118" s="182"/>
      <c r="AI118" s="182"/>
      <c r="AJ118" s="182"/>
      <c r="AK118" s="182"/>
      <c r="AL118" s="182"/>
      <c r="AM118" s="182"/>
      <c r="AN118" s="182"/>
      <c r="AO118" s="182"/>
      <c r="AP118" s="182"/>
      <c r="AQ118" s="182"/>
      <c r="AR118" s="182"/>
      <c r="AS118" s="157">
        <f t="shared" si="92"/>
        <v>0</v>
      </c>
      <c r="AT118" s="157">
        <f t="shared" si="92"/>
        <v>0</v>
      </c>
      <c r="AU118" s="157">
        <f t="shared" si="92"/>
        <v>0</v>
      </c>
      <c r="AV118" s="157">
        <f t="shared" si="92"/>
        <v>0</v>
      </c>
      <c r="AW118" s="157">
        <f t="shared" si="92"/>
        <v>0</v>
      </c>
      <c r="AX118" s="157">
        <f t="shared" si="92"/>
        <v>0</v>
      </c>
      <c r="AY118" s="157">
        <f t="shared" si="92"/>
        <v>0</v>
      </c>
      <c r="AZ118" s="157">
        <f t="shared" si="92"/>
        <v>0</v>
      </c>
      <c r="BA118" s="157">
        <f t="shared" si="92"/>
        <v>0</v>
      </c>
      <c r="BB118" s="157">
        <f t="shared" si="92"/>
        <v>0</v>
      </c>
      <c r="BC118" s="157">
        <f t="shared" si="92"/>
        <v>0</v>
      </c>
      <c r="BD118" s="157">
        <f t="shared" si="92"/>
        <v>0</v>
      </c>
      <c r="BE118" s="157">
        <f t="shared" si="92"/>
        <v>0</v>
      </c>
      <c r="BF118" s="157">
        <f t="shared" si="92"/>
        <v>0</v>
      </c>
      <c r="BG118" s="157">
        <f t="shared" si="92"/>
        <v>0</v>
      </c>
      <c r="BH118" s="157">
        <f t="shared" si="92"/>
        <v>0</v>
      </c>
      <c r="BI118" s="157">
        <f t="shared" si="92"/>
        <v>0</v>
      </c>
      <c r="BJ118" s="157">
        <f t="shared" si="92"/>
        <v>0</v>
      </c>
      <c r="BK118" s="157">
        <f t="shared" si="92"/>
        <v>0</v>
      </c>
      <c r="BL118" s="157">
        <f t="shared" si="92"/>
        <v>0</v>
      </c>
      <c r="BM118" s="157">
        <f t="shared" si="92"/>
        <v>0</v>
      </c>
      <c r="BN118" s="157">
        <f t="shared" si="92"/>
        <v>0</v>
      </c>
      <c r="BO118" s="157">
        <f t="shared" si="92"/>
        <v>0</v>
      </c>
      <c r="BP118" s="157">
        <f t="shared" si="92"/>
        <v>0</v>
      </c>
      <c r="BQ118" s="157">
        <f t="shared" si="92"/>
        <v>0</v>
      </c>
      <c r="BR118" s="157">
        <f t="shared" si="92"/>
        <v>0</v>
      </c>
      <c r="BS118" s="157">
        <f t="shared" si="92"/>
        <v>0</v>
      </c>
      <c r="BT118" s="157">
        <f t="shared" si="92"/>
        <v>0</v>
      </c>
      <c r="BU118" s="157">
        <f t="shared" si="92"/>
        <v>0</v>
      </c>
      <c r="BV118" s="157">
        <f t="shared" si="92"/>
        <v>0</v>
      </c>
    </row>
    <row r="119" spans="1:74" x14ac:dyDescent="0.25">
      <c r="A119" s="155" t="s">
        <v>232</v>
      </c>
      <c r="B119" s="156" t="s">
        <v>218</v>
      </c>
      <c r="C119" s="170" t="s">
        <v>222</v>
      </c>
      <c r="D119" s="181">
        <v>3.26E-5</v>
      </c>
      <c r="E119" s="181">
        <v>3.2780000000000001E-5</v>
      </c>
      <c r="F119" s="181">
        <v>3.2960000000000003E-5</v>
      </c>
      <c r="G119" s="181">
        <v>3.3140000000000005E-5</v>
      </c>
      <c r="H119" s="181">
        <v>3.3320000000000006E-5</v>
      </c>
      <c r="I119" s="181">
        <v>3.3500000000000008E-5</v>
      </c>
      <c r="J119" s="181">
        <v>3.3559999999999997E-5</v>
      </c>
      <c r="K119" s="181">
        <v>3.362E-5</v>
      </c>
      <c r="L119" s="181">
        <v>3.3680000000000003E-5</v>
      </c>
      <c r="M119" s="181">
        <v>3.3739999999999999E-5</v>
      </c>
      <c r="N119" s="181">
        <v>3.3800000000000002E-5</v>
      </c>
      <c r="O119" s="181">
        <v>3.3439999999999998E-5</v>
      </c>
      <c r="P119" s="181">
        <v>3.3079999999999995E-5</v>
      </c>
      <c r="Q119" s="181">
        <v>3.2719999999999992E-5</v>
      </c>
      <c r="R119" s="181">
        <v>3.2359999999999988E-5</v>
      </c>
      <c r="S119" s="181">
        <v>3.1999999999999985E-5</v>
      </c>
      <c r="T119" s="181">
        <v>3.1999999999999999E-5</v>
      </c>
      <c r="U119" s="181">
        <v>3.2199999999999997E-5</v>
      </c>
      <c r="V119" s="181">
        <v>3.1600000000000002E-5</v>
      </c>
      <c r="W119" s="181">
        <v>3.1999999999999999E-5</v>
      </c>
      <c r="X119" s="181">
        <v>3.2100000000000001E-5</v>
      </c>
      <c r="Y119" s="181">
        <v>3.26E-5</v>
      </c>
      <c r="Z119" s="181">
        <v>3.0499999999999999E-5</v>
      </c>
      <c r="AA119" s="181">
        <v>3.1000000000000001E-5</v>
      </c>
      <c r="AB119" s="181">
        <v>3.1000000000000001E-5</v>
      </c>
      <c r="AC119" s="181">
        <v>3.1000000000000001E-5</v>
      </c>
      <c r="AD119" s="181">
        <v>3.1000000000000001E-5</v>
      </c>
      <c r="AE119" s="181">
        <v>3.1000000000000001E-5</v>
      </c>
      <c r="AF119" s="181">
        <v>3.1000000000000001E-5</v>
      </c>
      <c r="AG119" s="181">
        <v>3.1000000000000001E-5</v>
      </c>
      <c r="AH119" s="181">
        <v>3.1000000000000001E-5</v>
      </c>
      <c r="AI119" s="181">
        <v>3.1000000000000001E-5</v>
      </c>
      <c r="AJ119" s="181">
        <v>3.1000000000000001E-5</v>
      </c>
      <c r="AK119" s="181">
        <v>3.1000000000000001E-5</v>
      </c>
      <c r="AL119" s="181">
        <v>3.1000000000000001E-5</v>
      </c>
      <c r="AM119" s="181">
        <v>3.1000000000000001E-5</v>
      </c>
      <c r="AN119" s="181">
        <v>3.1000000000000001E-5</v>
      </c>
      <c r="AO119" s="181">
        <v>3.1000000000000001E-5</v>
      </c>
      <c r="AP119" s="181">
        <v>3.1000000000000001E-5</v>
      </c>
      <c r="AQ119" s="181">
        <v>3.1000000000000001E-5</v>
      </c>
      <c r="AR119" s="181">
        <v>3.1000000000000001E-5</v>
      </c>
      <c r="AS119" s="157">
        <f t="shared" ref="AS119:BV120" si="93">AR119</f>
        <v>3.1000000000000001E-5</v>
      </c>
      <c r="AT119" s="157">
        <f t="shared" si="93"/>
        <v>3.1000000000000001E-5</v>
      </c>
      <c r="AU119" s="157">
        <f t="shared" si="93"/>
        <v>3.1000000000000001E-5</v>
      </c>
      <c r="AV119" s="157">
        <f t="shared" si="93"/>
        <v>3.1000000000000001E-5</v>
      </c>
      <c r="AW119" s="157">
        <f t="shared" si="93"/>
        <v>3.1000000000000001E-5</v>
      </c>
      <c r="AX119" s="157">
        <f t="shared" si="93"/>
        <v>3.1000000000000001E-5</v>
      </c>
      <c r="AY119" s="157">
        <f t="shared" si="93"/>
        <v>3.1000000000000001E-5</v>
      </c>
      <c r="AZ119" s="157">
        <f t="shared" si="93"/>
        <v>3.1000000000000001E-5</v>
      </c>
      <c r="BA119" s="157">
        <f t="shared" si="93"/>
        <v>3.1000000000000001E-5</v>
      </c>
      <c r="BB119" s="157">
        <f t="shared" si="93"/>
        <v>3.1000000000000001E-5</v>
      </c>
      <c r="BC119" s="157">
        <f t="shared" si="93"/>
        <v>3.1000000000000001E-5</v>
      </c>
      <c r="BD119" s="157">
        <f t="shared" si="93"/>
        <v>3.1000000000000001E-5</v>
      </c>
      <c r="BE119" s="157">
        <f t="shared" si="93"/>
        <v>3.1000000000000001E-5</v>
      </c>
      <c r="BF119" s="157">
        <f t="shared" si="93"/>
        <v>3.1000000000000001E-5</v>
      </c>
      <c r="BG119" s="157">
        <f t="shared" si="93"/>
        <v>3.1000000000000001E-5</v>
      </c>
      <c r="BH119" s="157">
        <f t="shared" si="93"/>
        <v>3.1000000000000001E-5</v>
      </c>
      <c r="BI119" s="157">
        <f t="shared" si="93"/>
        <v>3.1000000000000001E-5</v>
      </c>
      <c r="BJ119" s="157">
        <f t="shared" si="93"/>
        <v>3.1000000000000001E-5</v>
      </c>
      <c r="BK119" s="157">
        <f t="shared" si="93"/>
        <v>3.1000000000000001E-5</v>
      </c>
      <c r="BL119" s="157">
        <f t="shared" si="93"/>
        <v>3.1000000000000001E-5</v>
      </c>
      <c r="BM119" s="157">
        <f t="shared" si="93"/>
        <v>3.1000000000000001E-5</v>
      </c>
      <c r="BN119" s="157">
        <f t="shared" si="93"/>
        <v>3.1000000000000001E-5</v>
      </c>
      <c r="BO119" s="157">
        <f t="shared" si="93"/>
        <v>3.1000000000000001E-5</v>
      </c>
      <c r="BP119" s="157">
        <f t="shared" si="93"/>
        <v>3.1000000000000001E-5</v>
      </c>
      <c r="BQ119" s="157">
        <f t="shared" si="93"/>
        <v>3.1000000000000001E-5</v>
      </c>
      <c r="BR119" s="157">
        <f t="shared" si="93"/>
        <v>3.1000000000000001E-5</v>
      </c>
      <c r="BS119" s="157">
        <f t="shared" si="93"/>
        <v>3.1000000000000001E-5</v>
      </c>
      <c r="BT119" s="157">
        <f t="shared" si="93"/>
        <v>3.1000000000000001E-5</v>
      </c>
      <c r="BU119" s="157">
        <f t="shared" si="93"/>
        <v>3.1000000000000001E-5</v>
      </c>
      <c r="BV119" s="157">
        <f t="shared" si="93"/>
        <v>3.1000000000000001E-5</v>
      </c>
    </row>
    <row r="120" spans="1:74" x14ac:dyDescent="0.25">
      <c r="A120" s="155" t="s">
        <v>233</v>
      </c>
      <c r="B120" s="156" t="s">
        <v>234</v>
      </c>
      <c r="C120" s="170"/>
      <c r="D120" s="181"/>
      <c r="E120" s="181"/>
      <c r="F120" s="181"/>
      <c r="G120" s="181"/>
      <c r="H120" s="181"/>
      <c r="I120" s="181"/>
      <c r="J120" s="181"/>
      <c r="K120" s="181"/>
      <c r="L120" s="181"/>
      <c r="M120" s="181"/>
      <c r="N120" s="181"/>
      <c r="O120" s="181"/>
      <c r="P120" s="181"/>
      <c r="Q120" s="181"/>
      <c r="R120" s="181"/>
      <c r="S120" s="181"/>
      <c r="T120" s="181"/>
      <c r="U120" s="181"/>
      <c r="V120" s="181"/>
      <c r="W120" s="181"/>
      <c r="X120" s="181"/>
      <c r="Y120" s="181"/>
      <c r="Z120" s="181"/>
      <c r="AA120" s="181"/>
      <c r="AB120" s="181"/>
      <c r="AC120" s="181"/>
      <c r="AD120" s="181"/>
      <c r="AE120" s="181"/>
      <c r="AF120" s="181"/>
      <c r="AG120" s="181"/>
      <c r="AH120" s="181"/>
      <c r="AI120" s="181"/>
      <c r="AJ120" s="181"/>
      <c r="AK120" s="181"/>
      <c r="AL120" s="181"/>
      <c r="AM120" s="181"/>
      <c r="AN120" s="181"/>
      <c r="AO120" s="181"/>
      <c r="AP120" s="181"/>
      <c r="AQ120" s="181"/>
      <c r="AR120" s="181"/>
      <c r="AS120" s="157">
        <f t="shared" si="93"/>
        <v>0</v>
      </c>
      <c r="AT120" s="157">
        <f t="shared" si="93"/>
        <v>0</v>
      </c>
      <c r="AU120" s="157">
        <f t="shared" si="93"/>
        <v>0</v>
      </c>
      <c r="AV120" s="157">
        <f t="shared" si="93"/>
        <v>0</v>
      </c>
      <c r="AW120" s="157">
        <f t="shared" si="93"/>
        <v>0</v>
      </c>
      <c r="AX120" s="157">
        <f t="shared" si="93"/>
        <v>0</v>
      </c>
      <c r="AY120" s="157">
        <f t="shared" si="93"/>
        <v>0</v>
      </c>
      <c r="AZ120" s="157">
        <f t="shared" si="93"/>
        <v>0</v>
      </c>
      <c r="BA120" s="157">
        <f t="shared" si="93"/>
        <v>0</v>
      </c>
      <c r="BB120" s="157">
        <f t="shared" si="93"/>
        <v>0</v>
      </c>
      <c r="BC120" s="157">
        <f t="shared" si="93"/>
        <v>0</v>
      </c>
      <c r="BD120" s="157">
        <f t="shared" si="93"/>
        <v>0</v>
      </c>
      <c r="BE120" s="157">
        <f t="shared" si="93"/>
        <v>0</v>
      </c>
      <c r="BF120" s="157">
        <f t="shared" si="93"/>
        <v>0</v>
      </c>
      <c r="BG120" s="157">
        <f t="shared" si="93"/>
        <v>0</v>
      </c>
      <c r="BH120" s="157">
        <f t="shared" si="93"/>
        <v>0</v>
      </c>
      <c r="BI120" s="157">
        <f t="shared" si="93"/>
        <v>0</v>
      </c>
      <c r="BJ120" s="157">
        <f t="shared" si="93"/>
        <v>0</v>
      </c>
      <c r="BK120" s="157">
        <f t="shared" si="93"/>
        <v>0</v>
      </c>
      <c r="BL120" s="157">
        <f t="shared" si="93"/>
        <v>0</v>
      </c>
      <c r="BM120" s="157">
        <f t="shared" si="93"/>
        <v>0</v>
      </c>
      <c r="BN120" s="157">
        <f t="shared" si="93"/>
        <v>0</v>
      </c>
      <c r="BO120" s="157">
        <f t="shared" si="93"/>
        <v>0</v>
      </c>
      <c r="BP120" s="157">
        <f t="shared" si="93"/>
        <v>0</v>
      </c>
      <c r="BQ120" s="157">
        <f t="shared" si="93"/>
        <v>0</v>
      </c>
      <c r="BR120" s="157">
        <f t="shared" si="93"/>
        <v>0</v>
      </c>
      <c r="BS120" s="157">
        <f t="shared" si="93"/>
        <v>0</v>
      </c>
      <c r="BT120" s="157">
        <f t="shared" si="93"/>
        <v>0</v>
      </c>
      <c r="BU120" s="157">
        <f t="shared" si="93"/>
        <v>0</v>
      </c>
      <c r="BV120" s="157">
        <f t="shared" si="93"/>
        <v>0</v>
      </c>
    </row>
    <row r="121" spans="1:74" x14ac:dyDescent="0.25">
      <c r="A121" s="155" t="s">
        <v>235</v>
      </c>
      <c r="B121" s="159" t="s">
        <v>34</v>
      </c>
      <c r="C121" s="159" t="s">
        <v>246</v>
      </c>
      <c r="D121" s="179">
        <v>3.0000000000000001E-5</v>
      </c>
      <c r="E121" s="182">
        <v>3.0000000000000001E-5</v>
      </c>
      <c r="F121" s="182">
        <v>3.0000000000000001E-5</v>
      </c>
      <c r="G121" s="182">
        <v>3.0000000000000001E-5</v>
      </c>
      <c r="H121" s="182">
        <v>3.0000000000000001E-5</v>
      </c>
      <c r="I121" s="182">
        <v>3.0000000000000001E-5</v>
      </c>
      <c r="J121" s="182">
        <v>3.0000000000000001E-5</v>
      </c>
      <c r="K121" s="182">
        <v>3.0000000000000001E-5</v>
      </c>
      <c r="L121" s="182">
        <v>3.0000000000000001E-5</v>
      </c>
      <c r="M121" s="182">
        <v>3.0000000000000001E-5</v>
      </c>
      <c r="N121" s="182">
        <v>3.0000000000000001E-5</v>
      </c>
      <c r="O121" s="182">
        <v>3.0000000000000001E-5</v>
      </c>
      <c r="P121" s="182">
        <v>3.0000000000000001E-5</v>
      </c>
      <c r="Q121" s="182">
        <v>3.0000000000000001E-5</v>
      </c>
      <c r="R121" s="182">
        <v>3.0000000000000001E-5</v>
      </c>
      <c r="S121" s="182">
        <v>3.0000000000000001E-5</v>
      </c>
      <c r="T121" s="182">
        <v>3.0000000000000001E-5</v>
      </c>
      <c r="U121" s="182">
        <v>3.0000000000000001E-5</v>
      </c>
      <c r="V121" s="182">
        <v>3.0000000000000001E-5</v>
      </c>
      <c r="W121" s="182">
        <v>3.0000000000000001E-5</v>
      </c>
      <c r="X121" s="182">
        <v>3.0000000000000001E-5</v>
      </c>
      <c r="Y121" s="182">
        <v>3.0000000000000001E-5</v>
      </c>
      <c r="Z121" s="182">
        <v>3.0000000000000001E-5</v>
      </c>
      <c r="AA121" s="182">
        <v>3.0000000000000001E-5</v>
      </c>
      <c r="AB121" s="182">
        <v>3.0000000000000001E-5</v>
      </c>
      <c r="AC121" s="182">
        <v>3.0000000000000001E-5</v>
      </c>
      <c r="AD121" s="182">
        <v>3.0000000000000001E-5</v>
      </c>
      <c r="AE121" s="182">
        <v>3.0000000000000001E-5</v>
      </c>
      <c r="AF121" s="182">
        <v>3.0000000000000001E-5</v>
      </c>
      <c r="AG121" s="182">
        <v>3.0000000000000001E-5</v>
      </c>
      <c r="AH121" s="182">
        <v>3.0000000000000001E-5</v>
      </c>
      <c r="AI121" s="182">
        <v>3.0000000000000001E-5</v>
      </c>
      <c r="AJ121" s="182">
        <v>3.0000000000000001E-5</v>
      </c>
      <c r="AK121" s="182">
        <v>3.0000000000000001E-5</v>
      </c>
      <c r="AL121" s="182">
        <v>3.0000000000000001E-5</v>
      </c>
      <c r="AM121" s="182">
        <v>3.0000000000000001E-5</v>
      </c>
      <c r="AN121" s="182">
        <v>3.0000000000000001E-5</v>
      </c>
      <c r="AO121" s="182">
        <v>3.0000000000000001E-5</v>
      </c>
      <c r="AP121" s="182">
        <v>3.0000000000000001E-5</v>
      </c>
      <c r="AQ121" s="182">
        <v>3.0000000000000001E-5</v>
      </c>
      <c r="AR121" s="182">
        <v>3.0000000000000001E-5</v>
      </c>
      <c r="AS121" s="157">
        <f t="shared" ref="AS121:BV122" si="94">AR121</f>
        <v>3.0000000000000001E-5</v>
      </c>
      <c r="AT121" s="157">
        <f t="shared" si="94"/>
        <v>3.0000000000000001E-5</v>
      </c>
      <c r="AU121" s="157">
        <f t="shared" si="94"/>
        <v>3.0000000000000001E-5</v>
      </c>
      <c r="AV121" s="157">
        <f t="shared" si="94"/>
        <v>3.0000000000000001E-5</v>
      </c>
      <c r="AW121" s="157">
        <f t="shared" si="94"/>
        <v>3.0000000000000001E-5</v>
      </c>
      <c r="AX121" s="157">
        <f t="shared" si="94"/>
        <v>3.0000000000000001E-5</v>
      </c>
      <c r="AY121" s="157">
        <f t="shared" si="94"/>
        <v>3.0000000000000001E-5</v>
      </c>
      <c r="AZ121" s="157">
        <f t="shared" si="94"/>
        <v>3.0000000000000001E-5</v>
      </c>
      <c r="BA121" s="157">
        <f t="shared" si="94"/>
        <v>3.0000000000000001E-5</v>
      </c>
      <c r="BB121" s="157">
        <f t="shared" si="94"/>
        <v>3.0000000000000001E-5</v>
      </c>
      <c r="BC121" s="157">
        <f t="shared" si="94"/>
        <v>3.0000000000000001E-5</v>
      </c>
      <c r="BD121" s="157">
        <f t="shared" si="94"/>
        <v>3.0000000000000001E-5</v>
      </c>
      <c r="BE121" s="157">
        <f t="shared" si="94"/>
        <v>3.0000000000000001E-5</v>
      </c>
      <c r="BF121" s="157">
        <f t="shared" si="94"/>
        <v>3.0000000000000001E-5</v>
      </c>
      <c r="BG121" s="157">
        <f t="shared" si="94"/>
        <v>3.0000000000000001E-5</v>
      </c>
      <c r="BH121" s="157">
        <f t="shared" si="94"/>
        <v>3.0000000000000001E-5</v>
      </c>
      <c r="BI121" s="157">
        <f t="shared" si="94"/>
        <v>3.0000000000000001E-5</v>
      </c>
      <c r="BJ121" s="157">
        <f t="shared" si="94"/>
        <v>3.0000000000000001E-5</v>
      </c>
      <c r="BK121" s="157">
        <f t="shared" si="94"/>
        <v>3.0000000000000001E-5</v>
      </c>
      <c r="BL121" s="157">
        <f t="shared" si="94"/>
        <v>3.0000000000000001E-5</v>
      </c>
      <c r="BM121" s="157">
        <f t="shared" si="94"/>
        <v>3.0000000000000001E-5</v>
      </c>
      <c r="BN121" s="157">
        <f t="shared" si="94"/>
        <v>3.0000000000000001E-5</v>
      </c>
      <c r="BO121" s="157">
        <f t="shared" si="94"/>
        <v>3.0000000000000001E-5</v>
      </c>
      <c r="BP121" s="157">
        <f t="shared" si="94"/>
        <v>3.0000000000000001E-5</v>
      </c>
      <c r="BQ121" s="157">
        <f t="shared" si="94"/>
        <v>3.0000000000000001E-5</v>
      </c>
      <c r="BR121" s="157">
        <f t="shared" si="94"/>
        <v>3.0000000000000001E-5</v>
      </c>
      <c r="BS121" s="157">
        <f t="shared" si="94"/>
        <v>3.0000000000000001E-5</v>
      </c>
      <c r="BT121" s="157">
        <f t="shared" si="94"/>
        <v>3.0000000000000001E-5</v>
      </c>
      <c r="BU121" s="157">
        <f t="shared" si="94"/>
        <v>3.0000000000000001E-5</v>
      </c>
      <c r="BV121" s="157">
        <f t="shared" si="94"/>
        <v>3.0000000000000001E-5</v>
      </c>
    </row>
    <row r="122" spans="1:74" x14ac:dyDescent="0.25">
      <c r="A122" s="155" t="s">
        <v>15</v>
      </c>
      <c r="B122" s="159" t="s">
        <v>213</v>
      </c>
      <c r="C122" s="159" t="s">
        <v>245</v>
      </c>
      <c r="D122" s="179">
        <v>1.5472779369627503E-4</v>
      </c>
      <c r="E122" s="182">
        <v>1.5472779369627503E-4</v>
      </c>
      <c r="F122" s="182">
        <v>1.5472779369627503E-4</v>
      </c>
      <c r="G122" s="182">
        <v>1.5472779369627503E-4</v>
      </c>
      <c r="H122" s="182">
        <v>1.5472779369627503E-4</v>
      </c>
      <c r="I122" s="182">
        <v>1.5472779369627503E-4</v>
      </c>
      <c r="J122" s="182">
        <v>1.5472779369627503E-4</v>
      </c>
      <c r="K122" s="182">
        <v>1.5472779369627503E-4</v>
      </c>
      <c r="L122" s="182">
        <v>1.5472779369627503E-4</v>
      </c>
      <c r="M122" s="182">
        <v>1.5472779369627503E-4</v>
      </c>
      <c r="N122" s="182">
        <v>1.5472779369627503E-4</v>
      </c>
      <c r="O122" s="182">
        <v>1.5472779369627503E-4</v>
      </c>
      <c r="P122" s="182">
        <v>1.5472779369627503E-4</v>
      </c>
      <c r="Q122" s="182">
        <v>1.5472779369627503E-4</v>
      </c>
      <c r="R122" s="182">
        <v>1.5472779369627503E-4</v>
      </c>
      <c r="S122" s="182">
        <v>1.5472779369627503E-4</v>
      </c>
      <c r="T122" s="182">
        <v>1.5472779369627503E-4</v>
      </c>
      <c r="U122" s="182">
        <v>1.5472779369627503E-4</v>
      </c>
      <c r="V122" s="182">
        <v>1.5472779369627503E-4</v>
      </c>
      <c r="W122" s="182">
        <v>1.5472779369627503E-4</v>
      </c>
      <c r="X122" s="182">
        <v>1.5472779369627503E-4</v>
      </c>
      <c r="Y122" s="182">
        <v>1.5472779369627503E-4</v>
      </c>
      <c r="Z122" s="182">
        <v>1.5472779369627503E-4</v>
      </c>
      <c r="AA122" s="182">
        <v>1.5472779369627503E-4</v>
      </c>
      <c r="AB122" s="182">
        <v>1.5472779369627503E-4</v>
      </c>
      <c r="AC122" s="182">
        <v>1.5472779369627503E-4</v>
      </c>
      <c r="AD122" s="182">
        <v>1.5472779369627503E-4</v>
      </c>
      <c r="AE122" s="182">
        <v>1.5472779369627503E-4</v>
      </c>
      <c r="AF122" s="182">
        <v>1.5472779369627503E-4</v>
      </c>
      <c r="AG122" s="182">
        <v>1.5472779369627503E-4</v>
      </c>
      <c r="AH122" s="182">
        <v>1.5472779369627503E-4</v>
      </c>
      <c r="AI122" s="182">
        <v>1.5472779369627503E-4</v>
      </c>
      <c r="AJ122" s="182">
        <v>1.5472779369627503E-4</v>
      </c>
      <c r="AK122" s="182">
        <v>1.5472779369627503E-4</v>
      </c>
      <c r="AL122" s="182">
        <v>1.5472779369627503E-4</v>
      </c>
      <c r="AM122" s="182">
        <v>1.5472779369627503E-4</v>
      </c>
      <c r="AN122" s="182">
        <v>1.5472779369627503E-4</v>
      </c>
      <c r="AO122" s="182">
        <v>1.5472779369627503E-4</v>
      </c>
      <c r="AP122" s="182">
        <v>1.5472779369627503E-4</v>
      </c>
      <c r="AQ122" s="182">
        <v>1.5472779369627503E-4</v>
      </c>
      <c r="AR122" s="182">
        <v>1.5472779369627503E-4</v>
      </c>
      <c r="AS122" s="157">
        <f>AR122</f>
        <v>1.5472779369627503E-4</v>
      </c>
      <c r="AT122" s="157">
        <f t="shared" si="94"/>
        <v>1.5472779369627503E-4</v>
      </c>
      <c r="AU122" s="157">
        <f t="shared" si="94"/>
        <v>1.5472779369627503E-4</v>
      </c>
      <c r="AV122" s="157">
        <f t="shared" si="94"/>
        <v>1.5472779369627503E-4</v>
      </c>
      <c r="AW122" s="157">
        <f t="shared" si="94"/>
        <v>1.5472779369627503E-4</v>
      </c>
      <c r="AX122" s="157">
        <f t="shared" si="94"/>
        <v>1.5472779369627503E-4</v>
      </c>
      <c r="AY122" s="157">
        <f t="shared" si="94"/>
        <v>1.5472779369627503E-4</v>
      </c>
      <c r="AZ122" s="157">
        <f t="shared" si="94"/>
        <v>1.5472779369627503E-4</v>
      </c>
      <c r="BA122" s="157">
        <f t="shared" si="94"/>
        <v>1.5472779369627503E-4</v>
      </c>
      <c r="BB122" s="157">
        <f t="shared" si="94"/>
        <v>1.5472779369627503E-4</v>
      </c>
      <c r="BC122" s="157">
        <f t="shared" si="94"/>
        <v>1.5472779369627503E-4</v>
      </c>
      <c r="BD122" s="157">
        <f t="shared" si="94"/>
        <v>1.5472779369627503E-4</v>
      </c>
      <c r="BE122" s="157">
        <f t="shared" si="94"/>
        <v>1.5472779369627503E-4</v>
      </c>
      <c r="BF122" s="157">
        <f t="shared" si="94"/>
        <v>1.5472779369627503E-4</v>
      </c>
      <c r="BG122" s="157">
        <f t="shared" si="94"/>
        <v>1.5472779369627503E-4</v>
      </c>
      <c r="BH122" s="157">
        <f t="shared" si="94"/>
        <v>1.5472779369627503E-4</v>
      </c>
      <c r="BI122" s="157">
        <f t="shared" si="94"/>
        <v>1.5472779369627503E-4</v>
      </c>
      <c r="BJ122" s="157">
        <f t="shared" si="94"/>
        <v>1.5472779369627503E-4</v>
      </c>
      <c r="BK122" s="157">
        <f t="shared" si="94"/>
        <v>1.5472779369627503E-4</v>
      </c>
      <c r="BL122" s="157">
        <f t="shared" si="94"/>
        <v>1.5472779369627503E-4</v>
      </c>
      <c r="BM122" s="157">
        <f t="shared" si="94"/>
        <v>1.5472779369627503E-4</v>
      </c>
      <c r="BN122" s="157">
        <f t="shared" si="94"/>
        <v>1.5472779369627503E-4</v>
      </c>
      <c r="BO122" s="157">
        <f t="shared" si="94"/>
        <v>1.5472779369627503E-4</v>
      </c>
      <c r="BP122" s="157">
        <f t="shared" si="94"/>
        <v>1.5472779369627503E-4</v>
      </c>
      <c r="BQ122" s="157">
        <f t="shared" si="94"/>
        <v>1.5472779369627503E-4</v>
      </c>
      <c r="BR122" s="157">
        <f t="shared" si="94"/>
        <v>1.5472779369627503E-4</v>
      </c>
      <c r="BS122" s="157">
        <f t="shared" si="94"/>
        <v>1.5472779369627503E-4</v>
      </c>
      <c r="BT122" s="157">
        <f t="shared" si="94"/>
        <v>1.5472779369627503E-4</v>
      </c>
      <c r="BU122" s="157">
        <f t="shared" si="94"/>
        <v>1.5472779369627503E-4</v>
      </c>
      <c r="BV122" s="157">
        <f t="shared" si="94"/>
        <v>1.5472779369627503E-4</v>
      </c>
    </row>
    <row r="125" spans="1:74" s="176" customFormat="1" x14ac:dyDescent="0.25">
      <c r="A125" s="174" t="s">
        <v>55</v>
      </c>
      <c r="B125" s="175"/>
      <c r="E125" s="183"/>
      <c r="F125" s="183"/>
      <c r="G125" s="183"/>
      <c r="H125" s="183"/>
      <c r="I125" s="175"/>
      <c r="J125" s="175"/>
      <c r="K125" s="175"/>
      <c r="L125" s="175"/>
      <c r="M125" s="175"/>
      <c r="N125" s="175"/>
      <c r="O125" s="175"/>
      <c r="P125" s="175"/>
      <c r="Q125" s="175"/>
      <c r="R125" s="175"/>
      <c r="S125" s="175"/>
      <c r="T125" s="175"/>
      <c r="U125" s="175"/>
      <c r="V125" s="175"/>
      <c r="W125" s="175"/>
      <c r="X125" s="175"/>
      <c r="Y125" s="175"/>
      <c r="Z125" s="175"/>
      <c r="AA125" s="175"/>
      <c r="AB125" s="175"/>
      <c r="AC125" s="175"/>
      <c r="AD125" s="175"/>
      <c r="AE125" s="175"/>
      <c r="AF125" s="175"/>
      <c r="AG125" s="175"/>
      <c r="AH125" s="175"/>
      <c r="AI125" s="175"/>
      <c r="AJ125" s="175"/>
      <c r="AK125" s="175"/>
      <c r="AL125" s="175"/>
      <c r="AM125" s="175"/>
      <c r="AN125" s="175"/>
      <c r="AO125" s="175"/>
      <c r="AP125" s="175"/>
      <c r="AQ125" s="175"/>
      <c r="AR125" s="175"/>
      <c r="AS125" s="175"/>
    </row>
    <row r="126" spans="1:74" s="176" customFormat="1" x14ac:dyDescent="0.25">
      <c r="A126" s="174" t="s">
        <v>19</v>
      </c>
      <c r="B126" s="174" t="s">
        <v>261</v>
      </c>
      <c r="E126" s="183"/>
      <c r="F126" s="183"/>
      <c r="G126" s="183"/>
      <c r="H126" s="183"/>
      <c r="I126" s="175"/>
      <c r="J126" s="175"/>
      <c r="K126" s="175"/>
      <c r="L126" s="175"/>
      <c r="M126" s="175"/>
      <c r="N126" s="175"/>
      <c r="O126" s="175"/>
      <c r="P126" s="175"/>
      <c r="Q126" s="175"/>
      <c r="R126" s="175"/>
      <c r="S126" s="175"/>
      <c r="T126" s="175"/>
      <c r="U126" s="175"/>
      <c r="V126" s="175"/>
      <c r="W126" s="175"/>
      <c r="X126" s="175"/>
      <c r="Y126" s="175"/>
      <c r="Z126" s="175"/>
      <c r="AA126" s="175"/>
      <c r="AB126" s="175"/>
      <c r="AC126" s="175"/>
      <c r="AD126" s="175"/>
      <c r="AE126" s="175"/>
      <c r="AF126" s="175"/>
      <c r="AG126" s="175"/>
      <c r="AH126" s="175"/>
      <c r="AI126" s="175"/>
      <c r="AJ126" s="175"/>
      <c r="AK126" s="175"/>
      <c r="AL126" s="175"/>
      <c r="AM126" s="175"/>
      <c r="AN126" s="175"/>
      <c r="AO126" s="175"/>
      <c r="AP126" s="175"/>
      <c r="AQ126" s="175"/>
      <c r="AR126" s="175"/>
      <c r="AS126" s="175"/>
    </row>
    <row r="127" spans="1:74" s="150" customFormat="1" x14ac:dyDescent="0.25">
      <c r="A127" s="155" t="s">
        <v>206</v>
      </c>
      <c r="B127" s="159" t="s">
        <v>207</v>
      </c>
      <c r="C127" s="159" t="s">
        <v>239</v>
      </c>
      <c r="D127" s="179">
        <v>2.3000000000000001E-4</v>
      </c>
      <c r="E127" s="180">
        <v>2.3000000000000001E-4</v>
      </c>
      <c r="F127" s="180">
        <v>2.3000000000000001E-4</v>
      </c>
      <c r="G127" s="180">
        <v>2.3000000000000001E-4</v>
      </c>
      <c r="H127" s="180">
        <v>2.3000000000000001E-4</v>
      </c>
      <c r="I127" s="180">
        <v>2.3000000000000001E-4</v>
      </c>
      <c r="J127" s="180">
        <v>2.3000000000000001E-4</v>
      </c>
      <c r="K127" s="180">
        <v>2.3000000000000001E-4</v>
      </c>
      <c r="L127" s="180">
        <v>2.3000000000000001E-4</v>
      </c>
      <c r="M127" s="180">
        <v>2.3000000000000001E-4</v>
      </c>
      <c r="N127" s="180">
        <v>2.3000000000000001E-4</v>
      </c>
      <c r="O127" s="180">
        <v>2.3000000000000001E-4</v>
      </c>
      <c r="P127" s="180">
        <v>2.3000000000000001E-4</v>
      </c>
      <c r="Q127" s="180">
        <v>2.3000000000000001E-4</v>
      </c>
      <c r="R127" s="180">
        <v>2.3000000000000001E-4</v>
      </c>
      <c r="S127" s="180">
        <v>2.3000000000000001E-4</v>
      </c>
      <c r="T127" s="180">
        <v>2.3000000000000001E-4</v>
      </c>
      <c r="U127" s="180">
        <v>2.3000000000000001E-4</v>
      </c>
      <c r="V127" s="180">
        <v>2.3000000000000001E-4</v>
      </c>
      <c r="W127" s="180">
        <v>2.3000000000000001E-4</v>
      </c>
      <c r="X127" s="180">
        <v>2.3000000000000001E-4</v>
      </c>
      <c r="Y127" s="180">
        <v>2.3000000000000001E-4</v>
      </c>
      <c r="Z127" s="180">
        <v>2.3000000000000001E-4</v>
      </c>
      <c r="AA127" s="180">
        <v>2.3000000000000001E-4</v>
      </c>
      <c r="AB127" s="180">
        <v>2.3000000000000001E-4</v>
      </c>
      <c r="AC127" s="180">
        <v>2.3000000000000001E-4</v>
      </c>
      <c r="AD127" s="180">
        <v>2.3000000000000001E-4</v>
      </c>
      <c r="AE127" s="180">
        <v>2.3000000000000001E-4</v>
      </c>
      <c r="AF127" s="180">
        <v>2.3000000000000001E-4</v>
      </c>
      <c r="AG127" s="180">
        <v>2.3000000000000001E-4</v>
      </c>
      <c r="AH127" s="180">
        <v>2.3000000000000001E-4</v>
      </c>
      <c r="AI127" s="180">
        <v>2.3000000000000001E-4</v>
      </c>
      <c r="AJ127" s="180">
        <v>2.3000000000000001E-4</v>
      </c>
      <c r="AK127" s="180">
        <v>2.3000000000000001E-4</v>
      </c>
      <c r="AL127" s="180">
        <v>2.3000000000000001E-4</v>
      </c>
      <c r="AM127" s="180">
        <v>2.3000000000000001E-4</v>
      </c>
      <c r="AN127" s="180">
        <v>2.3000000000000001E-4</v>
      </c>
      <c r="AO127" s="180">
        <v>2.3000000000000001E-4</v>
      </c>
      <c r="AP127" s="180">
        <v>2.3000000000000001E-4</v>
      </c>
      <c r="AQ127" s="180">
        <v>2.3000000000000001E-4</v>
      </c>
      <c r="AR127" s="180">
        <v>2.3000000000000001E-4</v>
      </c>
      <c r="AS127" s="157">
        <f t="shared" ref="AS127:BV127" si="95">AR127</f>
        <v>2.3000000000000001E-4</v>
      </c>
      <c r="AT127" s="157">
        <f t="shared" si="95"/>
        <v>2.3000000000000001E-4</v>
      </c>
      <c r="AU127" s="157">
        <f t="shared" si="95"/>
        <v>2.3000000000000001E-4</v>
      </c>
      <c r="AV127" s="157">
        <f t="shared" si="95"/>
        <v>2.3000000000000001E-4</v>
      </c>
      <c r="AW127" s="157">
        <f t="shared" si="95"/>
        <v>2.3000000000000001E-4</v>
      </c>
      <c r="AX127" s="157">
        <f t="shared" si="95"/>
        <v>2.3000000000000001E-4</v>
      </c>
      <c r="AY127" s="157">
        <f t="shared" si="95"/>
        <v>2.3000000000000001E-4</v>
      </c>
      <c r="AZ127" s="157">
        <f t="shared" si="95"/>
        <v>2.3000000000000001E-4</v>
      </c>
      <c r="BA127" s="157">
        <f t="shared" si="95"/>
        <v>2.3000000000000001E-4</v>
      </c>
      <c r="BB127" s="157">
        <f t="shared" si="95"/>
        <v>2.3000000000000001E-4</v>
      </c>
      <c r="BC127" s="157">
        <f t="shared" si="95"/>
        <v>2.3000000000000001E-4</v>
      </c>
      <c r="BD127" s="157">
        <f t="shared" si="95"/>
        <v>2.3000000000000001E-4</v>
      </c>
      <c r="BE127" s="157">
        <f t="shared" si="95"/>
        <v>2.3000000000000001E-4</v>
      </c>
      <c r="BF127" s="157">
        <f t="shared" si="95"/>
        <v>2.3000000000000001E-4</v>
      </c>
      <c r="BG127" s="157">
        <f t="shared" si="95"/>
        <v>2.3000000000000001E-4</v>
      </c>
      <c r="BH127" s="157">
        <f t="shared" si="95"/>
        <v>2.3000000000000001E-4</v>
      </c>
      <c r="BI127" s="157">
        <f t="shared" si="95"/>
        <v>2.3000000000000001E-4</v>
      </c>
      <c r="BJ127" s="157">
        <f t="shared" si="95"/>
        <v>2.3000000000000001E-4</v>
      </c>
      <c r="BK127" s="157">
        <f t="shared" si="95"/>
        <v>2.3000000000000001E-4</v>
      </c>
      <c r="BL127" s="157">
        <f t="shared" si="95"/>
        <v>2.3000000000000001E-4</v>
      </c>
      <c r="BM127" s="157">
        <f t="shared" si="95"/>
        <v>2.3000000000000001E-4</v>
      </c>
      <c r="BN127" s="157">
        <f t="shared" si="95"/>
        <v>2.3000000000000001E-4</v>
      </c>
      <c r="BO127" s="157">
        <f t="shared" si="95"/>
        <v>2.3000000000000001E-4</v>
      </c>
      <c r="BP127" s="157">
        <f t="shared" si="95"/>
        <v>2.3000000000000001E-4</v>
      </c>
      <c r="BQ127" s="157">
        <f t="shared" si="95"/>
        <v>2.3000000000000001E-4</v>
      </c>
      <c r="BR127" s="157">
        <f t="shared" si="95"/>
        <v>2.3000000000000001E-4</v>
      </c>
      <c r="BS127" s="157">
        <f t="shared" si="95"/>
        <v>2.3000000000000001E-4</v>
      </c>
      <c r="BT127" s="157">
        <f t="shared" si="95"/>
        <v>2.3000000000000001E-4</v>
      </c>
      <c r="BU127" s="157">
        <f t="shared" si="95"/>
        <v>2.3000000000000001E-4</v>
      </c>
      <c r="BV127" s="157">
        <f t="shared" si="95"/>
        <v>2.3000000000000001E-4</v>
      </c>
    </row>
    <row r="128" spans="1:74" s="150" customFormat="1" x14ac:dyDescent="0.25">
      <c r="A128" s="155" t="s">
        <v>208</v>
      </c>
      <c r="B128" s="159" t="s">
        <v>207</v>
      </c>
      <c r="C128" s="159" t="s">
        <v>239</v>
      </c>
      <c r="D128" s="179">
        <v>7.1000000000000005E-5</v>
      </c>
      <c r="E128" s="180">
        <v>7.1000000000000005E-5</v>
      </c>
      <c r="F128" s="180">
        <v>7.1000000000000005E-5</v>
      </c>
      <c r="G128" s="180">
        <v>7.1000000000000005E-5</v>
      </c>
      <c r="H128" s="180">
        <v>7.1000000000000005E-5</v>
      </c>
      <c r="I128" s="180">
        <v>7.1000000000000005E-5</v>
      </c>
      <c r="J128" s="180">
        <v>7.1000000000000005E-5</v>
      </c>
      <c r="K128" s="180">
        <v>7.1000000000000005E-5</v>
      </c>
      <c r="L128" s="180">
        <v>7.1000000000000005E-5</v>
      </c>
      <c r="M128" s="180">
        <v>7.1000000000000005E-5</v>
      </c>
      <c r="N128" s="180">
        <v>7.1000000000000005E-5</v>
      </c>
      <c r="O128" s="180">
        <v>7.1000000000000005E-5</v>
      </c>
      <c r="P128" s="180">
        <v>7.1000000000000005E-5</v>
      </c>
      <c r="Q128" s="180">
        <v>7.1000000000000005E-5</v>
      </c>
      <c r="R128" s="180">
        <v>7.1000000000000005E-5</v>
      </c>
      <c r="S128" s="180">
        <v>7.1000000000000005E-5</v>
      </c>
      <c r="T128" s="180">
        <v>7.1000000000000005E-5</v>
      </c>
      <c r="U128" s="180">
        <v>7.1000000000000005E-5</v>
      </c>
      <c r="V128" s="180">
        <v>7.1000000000000005E-5</v>
      </c>
      <c r="W128" s="180">
        <v>7.1000000000000005E-5</v>
      </c>
      <c r="X128" s="180">
        <v>7.1000000000000005E-5</v>
      </c>
      <c r="Y128" s="180">
        <v>7.1000000000000005E-5</v>
      </c>
      <c r="Z128" s="180">
        <v>7.1000000000000005E-5</v>
      </c>
      <c r="AA128" s="180">
        <v>7.1000000000000005E-5</v>
      </c>
      <c r="AB128" s="180">
        <v>7.1000000000000005E-5</v>
      </c>
      <c r="AC128" s="180">
        <v>7.1000000000000005E-5</v>
      </c>
      <c r="AD128" s="180">
        <v>7.1000000000000005E-5</v>
      </c>
      <c r="AE128" s="180">
        <v>7.1000000000000005E-5</v>
      </c>
      <c r="AF128" s="180">
        <v>7.1000000000000005E-5</v>
      </c>
      <c r="AG128" s="180">
        <v>7.1000000000000005E-5</v>
      </c>
      <c r="AH128" s="180">
        <v>7.1000000000000005E-5</v>
      </c>
      <c r="AI128" s="180">
        <v>7.1000000000000005E-5</v>
      </c>
      <c r="AJ128" s="180">
        <v>7.1000000000000005E-5</v>
      </c>
      <c r="AK128" s="180">
        <v>7.1000000000000005E-5</v>
      </c>
      <c r="AL128" s="180">
        <v>7.1000000000000005E-5</v>
      </c>
      <c r="AM128" s="180">
        <v>7.1000000000000005E-5</v>
      </c>
      <c r="AN128" s="180">
        <v>7.1000000000000005E-5</v>
      </c>
      <c r="AO128" s="180">
        <v>7.1000000000000005E-5</v>
      </c>
      <c r="AP128" s="180">
        <v>7.1000000000000005E-5</v>
      </c>
      <c r="AQ128" s="180">
        <v>7.1000000000000005E-5</v>
      </c>
      <c r="AR128" s="180">
        <v>7.1000000000000005E-5</v>
      </c>
      <c r="AS128" s="157">
        <f t="shared" ref="AS128:BV128" si="96">AR128</f>
        <v>7.1000000000000005E-5</v>
      </c>
      <c r="AT128" s="157">
        <f t="shared" si="96"/>
        <v>7.1000000000000005E-5</v>
      </c>
      <c r="AU128" s="157">
        <f t="shared" si="96"/>
        <v>7.1000000000000005E-5</v>
      </c>
      <c r="AV128" s="157">
        <f t="shared" si="96"/>
        <v>7.1000000000000005E-5</v>
      </c>
      <c r="AW128" s="157">
        <f t="shared" si="96"/>
        <v>7.1000000000000005E-5</v>
      </c>
      <c r="AX128" s="157">
        <f t="shared" si="96"/>
        <v>7.1000000000000005E-5</v>
      </c>
      <c r="AY128" s="157">
        <f t="shared" si="96"/>
        <v>7.1000000000000005E-5</v>
      </c>
      <c r="AZ128" s="157">
        <f t="shared" si="96"/>
        <v>7.1000000000000005E-5</v>
      </c>
      <c r="BA128" s="157">
        <f t="shared" si="96"/>
        <v>7.1000000000000005E-5</v>
      </c>
      <c r="BB128" s="157">
        <f t="shared" si="96"/>
        <v>7.1000000000000005E-5</v>
      </c>
      <c r="BC128" s="157">
        <f t="shared" si="96"/>
        <v>7.1000000000000005E-5</v>
      </c>
      <c r="BD128" s="157">
        <f t="shared" si="96"/>
        <v>7.1000000000000005E-5</v>
      </c>
      <c r="BE128" s="157">
        <f t="shared" si="96"/>
        <v>7.1000000000000005E-5</v>
      </c>
      <c r="BF128" s="157">
        <f t="shared" si="96"/>
        <v>7.1000000000000005E-5</v>
      </c>
      <c r="BG128" s="157">
        <f t="shared" si="96"/>
        <v>7.1000000000000005E-5</v>
      </c>
      <c r="BH128" s="157">
        <f t="shared" si="96"/>
        <v>7.1000000000000005E-5</v>
      </c>
      <c r="BI128" s="157">
        <f t="shared" si="96"/>
        <v>7.1000000000000005E-5</v>
      </c>
      <c r="BJ128" s="157">
        <f t="shared" si="96"/>
        <v>7.1000000000000005E-5</v>
      </c>
      <c r="BK128" s="157">
        <f t="shared" si="96"/>
        <v>7.1000000000000005E-5</v>
      </c>
      <c r="BL128" s="157">
        <f t="shared" si="96"/>
        <v>7.1000000000000005E-5</v>
      </c>
      <c r="BM128" s="157">
        <f t="shared" si="96"/>
        <v>7.1000000000000005E-5</v>
      </c>
      <c r="BN128" s="157">
        <f t="shared" si="96"/>
        <v>7.1000000000000005E-5</v>
      </c>
      <c r="BO128" s="157">
        <f t="shared" si="96"/>
        <v>7.1000000000000005E-5</v>
      </c>
      <c r="BP128" s="157">
        <f t="shared" si="96"/>
        <v>7.1000000000000005E-5</v>
      </c>
      <c r="BQ128" s="157">
        <f t="shared" si="96"/>
        <v>7.1000000000000005E-5</v>
      </c>
      <c r="BR128" s="157">
        <f t="shared" si="96"/>
        <v>7.1000000000000005E-5</v>
      </c>
      <c r="BS128" s="157">
        <f t="shared" si="96"/>
        <v>7.1000000000000005E-5</v>
      </c>
      <c r="BT128" s="157">
        <f t="shared" si="96"/>
        <v>7.1000000000000005E-5</v>
      </c>
      <c r="BU128" s="157">
        <f t="shared" si="96"/>
        <v>7.1000000000000005E-5</v>
      </c>
      <c r="BV128" s="157">
        <f t="shared" si="96"/>
        <v>7.1000000000000005E-5</v>
      </c>
    </row>
    <row r="129" spans="1:74" s="150" customFormat="1" x14ac:dyDescent="0.25">
      <c r="A129" s="149" t="s">
        <v>209</v>
      </c>
      <c r="B129" s="150" t="s">
        <v>207</v>
      </c>
      <c r="C129" s="162" t="s">
        <v>12</v>
      </c>
      <c r="D129" s="181">
        <v>4.0000000000000002E-4</v>
      </c>
      <c r="E129" s="181">
        <v>4.0000000000000002E-4</v>
      </c>
      <c r="F129" s="181">
        <v>4.0000000000000002E-4</v>
      </c>
      <c r="G129" s="181">
        <v>4.0000000000000002E-4</v>
      </c>
      <c r="H129" s="181">
        <v>4.0000000000000002E-4</v>
      </c>
      <c r="I129" s="181">
        <v>4.0000000000000002E-4</v>
      </c>
      <c r="J129" s="181">
        <v>4.0000000000000002E-4</v>
      </c>
      <c r="K129" s="181">
        <v>4.0000000000000002E-4</v>
      </c>
      <c r="L129" s="181">
        <v>4.0000000000000002E-4</v>
      </c>
      <c r="M129" s="181">
        <v>4.0000000000000002E-4</v>
      </c>
      <c r="N129" s="181">
        <v>4.0000000000000002E-4</v>
      </c>
      <c r="O129" s="181">
        <v>4.0000000000000002E-4</v>
      </c>
      <c r="P129" s="181">
        <v>4.0000000000000002E-4</v>
      </c>
      <c r="Q129" s="181">
        <v>4.0000000000000002E-4</v>
      </c>
      <c r="R129" s="181">
        <v>4.0000000000000002E-4</v>
      </c>
      <c r="S129" s="181">
        <v>4.0000000000000002E-4</v>
      </c>
      <c r="T129" s="181">
        <v>4.0000000000000002E-4</v>
      </c>
      <c r="U129" s="181">
        <v>4.0000000000000002E-4</v>
      </c>
      <c r="V129" s="181">
        <v>4.0000000000000002E-4</v>
      </c>
      <c r="W129" s="181">
        <v>4.0000000000000002E-4</v>
      </c>
      <c r="X129" s="181">
        <v>4.0000000000000002E-4</v>
      </c>
      <c r="Y129" s="181">
        <v>4.0000000000000002E-4</v>
      </c>
      <c r="Z129" s="181">
        <v>4.0000000000000002E-4</v>
      </c>
      <c r="AA129" s="181">
        <v>4.0000000000000002E-4</v>
      </c>
      <c r="AB129" s="181">
        <v>4.0000000000000002E-4</v>
      </c>
      <c r="AC129" s="181">
        <v>4.0000000000000002E-4</v>
      </c>
      <c r="AD129" s="181">
        <v>4.0000000000000002E-4</v>
      </c>
      <c r="AE129" s="181">
        <v>4.0000000000000002E-4</v>
      </c>
      <c r="AF129" s="181">
        <v>4.0000000000000002E-4</v>
      </c>
      <c r="AG129" s="181">
        <v>4.0000000000000002E-4</v>
      </c>
      <c r="AH129" s="181">
        <v>4.0000000000000002E-4</v>
      </c>
      <c r="AI129" s="181">
        <v>4.0000000000000002E-4</v>
      </c>
      <c r="AJ129" s="181">
        <v>4.0000000000000002E-4</v>
      </c>
      <c r="AK129" s="181">
        <v>4.0000000000000002E-4</v>
      </c>
      <c r="AL129" s="181">
        <v>4.0000000000000002E-4</v>
      </c>
      <c r="AM129" s="181">
        <v>4.0000000000000002E-4</v>
      </c>
      <c r="AN129" s="181">
        <v>4.0000000000000002E-4</v>
      </c>
      <c r="AO129" s="181">
        <v>4.0000000000000002E-4</v>
      </c>
      <c r="AP129" s="181">
        <v>4.0000000000000002E-4</v>
      </c>
      <c r="AQ129" s="181">
        <v>4.0000000000000002E-4</v>
      </c>
      <c r="AR129" s="181">
        <v>4.0000000000000002E-4</v>
      </c>
      <c r="AS129" s="157">
        <f t="shared" ref="AS129:BV129" si="97">AR129</f>
        <v>4.0000000000000002E-4</v>
      </c>
      <c r="AT129" s="157">
        <f t="shared" si="97"/>
        <v>4.0000000000000002E-4</v>
      </c>
      <c r="AU129" s="157">
        <f t="shared" si="97"/>
        <v>4.0000000000000002E-4</v>
      </c>
      <c r="AV129" s="157">
        <f t="shared" si="97"/>
        <v>4.0000000000000002E-4</v>
      </c>
      <c r="AW129" s="157">
        <f t="shared" si="97"/>
        <v>4.0000000000000002E-4</v>
      </c>
      <c r="AX129" s="157">
        <f t="shared" si="97"/>
        <v>4.0000000000000002E-4</v>
      </c>
      <c r="AY129" s="157">
        <f t="shared" si="97"/>
        <v>4.0000000000000002E-4</v>
      </c>
      <c r="AZ129" s="157">
        <f t="shared" si="97"/>
        <v>4.0000000000000002E-4</v>
      </c>
      <c r="BA129" s="157">
        <f t="shared" si="97"/>
        <v>4.0000000000000002E-4</v>
      </c>
      <c r="BB129" s="157">
        <f t="shared" si="97"/>
        <v>4.0000000000000002E-4</v>
      </c>
      <c r="BC129" s="157">
        <f t="shared" si="97"/>
        <v>4.0000000000000002E-4</v>
      </c>
      <c r="BD129" s="157">
        <f t="shared" si="97"/>
        <v>4.0000000000000002E-4</v>
      </c>
      <c r="BE129" s="157">
        <f t="shared" si="97"/>
        <v>4.0000000000000002E-4</v>
      </c>
      <c r="BF129" s="157">
        <f t="shared" si="97"/>
        <v>4.0000000000000002E-4</v>
      </c>
      <c r="BG129" s="157">
        <f t="shared" si="97"/>
        <v>4.0000000000000002E-4</v>
      </c>
      <c r="BH129" s="157">
        <f t="shared" si="97"/>
        <v>4.0000000000000002E-4</v>
      </c>
      <c r="BI129" s="157">
        <f t="shared" si="97"/>
        <v>4.0000000000000002E-4</v>
      </c>
      <c r="BJ129" s="157">
        <f t="shared" si="97"/>
        <v>4.0000000000000002E-4</v>
      </c>
      <c r="BK129" s="157">
        <f t="shared" si="97"/>
        <v>4.0000000000000002E-4</v>
      </c>
      <c r="BL129" s="157">
        <f t="shared" si="97"/>
        <v>4.0000000000000002E-4</v>
      </c>
      <c r="BM129" s="157">
        <f t="shared" si="97"/>
        <v>4.0000000000000002E-4</v>
      </c>
      <c r="BN129" s="157">
        <f t="shared" si="97"/>
        <v>4.0000000000000002E-4</v>
      </c>
      <c r="BO129" s="157">
        <f t="shared" si="97"/>
        <v>4.0000000000000002E-4</v>
      </c>
      <c r="BP129" s="157">
        <f t="shared" si="97"/>
        <v>4.0000000000000002E-4</v>
      </c>
      <c r="BQ129" s="157">
        <f t="shared" si="97"/>
        <v>4.0000000000000002E-4</v>
      </c>
      <c r="BR129" s="157">
        <f t="shared" si="97"/>
        <v>4.0000000000000002E-4</v>
      </c>
      <c r="BS129" s="157">
        <f t="shared" si="97"/>
        <v>4.0000000000000002E-4</v>
      </c>
      <c r="BT129" s="157">
        <f t="shared" si="97"/>
        <v>4.0000000000000002E-4</v>
      </c>
      <c r="BU129" s="157">
        <f t="shared" si="97"/>
        <v>4.0000000000000002E-4</v>
      </c>
      <c r="BV129" s="157">
        <f t="shared" si="97"/>
        <v>4.0000000000000002E-4</v>
      </c>
    </row>
    <row r="130" spans="1:74" x14ac:dyDescent="0.25">
      <c r="A130" s="149" t="s">
        <v>211</v>
      </c>
      <c r="B130" s="150" t="s">
        <v>207</v>
      </c>
      <c r="C130" s="159" t="s">
        <v>240</v>
      </c>
      <c r="D130" s="179">
        <v>1.08E-4</v>
      </c>
      <c r="E130" s="182">
        <v>1.08E-4</v>
      </c>
      <c r="F130" s="182">
        <v>1.08E-4</v>
      </c>
      <c r="G130" s="182">
        <v>1.08E-4</v>
      </c>
      <c r="H130" s="182">
        <v>1.08E-4</v>
      </c>
      <c r="I130" s="182">
        <v>1.08E-4</v>
      </c>
      <c r="J130" s="182">
        <v>1.08E-4</v>
      </c>
      <c r="K130" s="182">
        <v>1.08E-4</v>
      </c>
      <c r="L130" s="182">
        <v>1.08E-4</v>
      </c>
      <c r="M130" s="182">
        <v>1.08E-4</v>
      </c>
      <c r="N130" s="182">
        <v>1.08E-4</v>
      </c>
      <c r="O130" s="182">
        <v>1.08E-4</v>
      </c>
      <c r="P130" s="182">
        <v>1.08E-4</v>
      </c>
      <c r="Q130" s="182">
        <v>1.08E-4</v>
      </c>
      <c r="R130" s="182">
        <v>1.08E-4</v>
      </c>
      <c r="S130" s="182">
        <v>1.08E-4</v>
      </c>
      <c r="T130" s="182">
        <v>1.08E-4</v>
      </c>
      <c r="U130" s="182">
        <v>1.08E-4</v>
      </c>
      <c r="V130" s="182">
        <v>1.08E-4</v>
      </c>
      <c r="W130" s="182">
        <v>1.08E-4</v>
      </c>
      <c r="X130" s="182">
        <v>1.08E-4</v>
      </c>
      <c r="Y130" s="182">
        <v>1.08E-4</v>
      </c>
      <c r="Z130" s="182">
        <v>1.08E-4</v>
      </c>
      <c r="AA130" s="182">
        <v>1.08E-4</v>
      </c>
      <c r="AB130" s="182">
        <v>1.08E-4</v>
      </c>
      <c r="AC130" s="182">
        <v>1.08E-4</v>
      </c>
      <c r="AD130" s="182">
        <v>1.08E-4</v>
      </c>
      <c r="AE130" s="182">
        <v>1.08E-4</v>
      </c>
      <c r="AF130" s="182">
        <v>1.08E-4</v>
      </c>
      <c r="AG130" s="182">
        <v>1.08E-4</v>
      </c>
      <c r="AH130" s="182">
        <v>1.08E-4</v>
      </c>
      <c r="AI130" s="182">
        <v>1.08E-4</v>
      </c>
      <c r="AJ130" s="182">
        <v>1.08E-4</v>
      </c>
      <c r="AK130" s="182">
        <v>1.08E-4</v>
      </c>
      <c r="AL130" s="182">
        <v>1.08E-4</v>
      </c>
      <c r="AM130" s="182">
        <v>1.08E-4</v>
      </c>
      <c r="AN130" s="182">
        <v>1.08E-4</v>
      </c>
      <c r="AO130" s="182">
        <v>1.08E-4</v>
      </c>
      <c r="AP130" s="182">
        <v>1.08E-4</v>
      </c>
      <c r="AQ130" s="182">
        <v>1.08E-4</v>
      </c>
      <c r="AR130" s="182">
        <v>1.08E-4</v>
      </c>
      <c r="AS130" s="157">
        <f t="shared" ref="AS130:BV130" si="98">AR130</f>
        <v>1.08E-4</v>
      </c>
      <c r="AT130" s="157">
        <f t="shared" si="98"/>
        <v>1.08E-4</v>
      </c>
      <c r="AU130" s="157">
        <f t="shared" si="98"/>
        <v>1.08E-4</v>
      </c>
      <c r="AV130" s="157">
        <f t="shared" si="98"/>
        <v>1.08E-4</v>
      </c>
      <c r="AW130" s="157">
        <f t="shared" si="98"/>
        <v>1.08E-4</v>
      </c>
      <c r="AX130" s="157">
        <f t="shared" si="98"/>
        <v>1.08E-4</v>
      </c>
      <c r="AY130" s="157">
        <f t="shared" si="98"/>
        <v>1.08E-4</v>
      </c>
      <c r="AZ130" s="157">
        <f t="shared" si="98"/>
        <v>1.08E-4</v>
      </c>
      <c r="BA130" s="157">
        <f t="shared" si="98"/>
        <v>1.08E-4</v>
      </c>
      <c r="BB130" s="157">
        <f t="shared" si="98"/>
        <v>1.08E-4</v>
      </c>
      <c r="BC130" s="157">
        <f t="shared" si="98"/>
        <v>1.08E-4</v>
      </c>
      <c r="BD130" s="157">
        <f t="shared" si="98"/>
        <v>1.08E-4</v>
      </c>
      <c r="BE130" s="157">
        <f t="shared" si="98"/>
        <v>1.08E-4</v>
      </c>
      <c r="BF130" s="157">
        <f t="shared" si="98"/>
        <v>1.08E-4</v>
      </c>
      <c r="BG130" s="157">
        <f t="shared" si="98"/>
        <v>1.08E-4</v>
      </c>
      <c r="BH130" s="157">
        <f t="shared" si="98"/>
        <v>1.08E-4</v>
      </c>
      <c r="BI130" s="157">
        <f t="shared" si="98"/>
        <v>1.08E-4</v>
      </c>
      <c r="BJ130" s="157">
        <f t="shared" si="98"/>
        <v>1.08E-4</v>
      </c>
      <c r="BK130" s="157">
        <f t="shared" si="98"/>
        <v>1.08E-4</v>
      </c>
      <c r="BL130" s="157">
        <f t="shared" si="98"/>
        <v>1.08E-4</v>
      </c>
      <c r="BM130" s="157">
        <f t="shared" si="98"/>
        <v>1.08E-4</v>
      </c>
      <c r="BN130" s="157">
        <f t="shared" si="98"/>
        <v>1.08E-4</v>
      </c>
      <c r="BO130" s="157">
        <f t="shared" si="98"/>
        <v>1.08E-4</v>
      </c>
      <c r="BP130" s="157">
        <f t="shared" si="98"/>
        <v>1.08E-4</v>
      </c>
      <c r="BQ130" s="157">
        <f t="shared" si="98"/>
        <v>1.08E-4</v>
      </c>
      <c r="BR130" s="157">
        <f t="shared" si="98"/>
        <v>1.08E-4</v>
      </c>
      <c r="BS130" s="157">
        <f t="shared" si="98"/>
        <v>1.08E-4</v>
      </c>
      <c r="BT130" s="157">
        <f t="shared" si="98"/>
        <v>1.08E-4</v>
      </c>
      <c r="BU130" s="157">
        <f t="shared" si="98"/>
        <v>1.08E-4</v>
      </c>
      <c r="BV130" s="157">
        <f t="shared" si="98"/>
        <v>1.08E-4</v>
      </c>
    </row>
    <row r="131" spans="1:74" x14ac:dyDescent="0.25">
      <c r="A131" s="155" t="s">
        <v>212</v>
      </c>
      <c r="B131" s="159" t="s">
        <v>213</v>
      </c>
      <c r="C131" s="159" t="s">
        <v>258</v>
      </c>
      <c r="D131" s="179">
        <v>2.0000000000000002E-5</v>
      </c>
      <c r="E131" s="182">
        <v>2.0000000000000002E-5</v>
      </c>
      <c r="F131" s="182">
        <v>2.0000000000000002E-5</v>
      </c>
      <c r="G131" s="182">
        <v>2.0000000000000002E-5</v>
      </c>
      <c r="H131" s="182">
        <v>2.0000000000000002E-5</v>
      </c>
      <c r="I131" s="182">
        <v>2.0000000000000002E-5</v>
      </c>
      <c r="J131" s="182">
        <v>2.0000000000000002E-5</v>
      </c>
      <c r="K131" s="182">
        <v>2.0000000000000002E-5</v>
      </c>
      <c r="L131" s="182">
        <v>2.0000000000000002E-5</v>
      </c>
      <c r="M131" s="182">
        <v>2.0000000000000002E-5</v>
      </c>
      <c r="N131" s="182">
        <v>2.0000000000000002E-5</v>
      </c>
      <c r="O131" s="182">
        <v>2.0000000000000002E-5</v>
      </c>
      <c r="P131" s="182">
        <v>2.0000000000000002E-5</v>
      </c>
      <c r="Q131" s="182">
        <v>2.0000000000000002E-5</v>
      </c>
      <c r="R131" s="182">
        <v>2.0000000000000002E-5</v>
      </c>
      <c r="S131" s="182">
        <v>2.0000000000000002E-5</v>
      </c>
      <c r="T131" s="182">
        <v>2.0000000000000002E-5</v>
      </c>
      <c r="U131" s="182">
        <v>2.0000000000000002E-5</v>
      </c>
      <c r="V131" s="182">
        <v>2.0000000000000002E-5</v>
      </c>
      <c r="W131" s="182">
        <v>2.0000000000000002E-5</v>
      </c>
      <c r="X131" s="182">
        <v>2.0000000000000002E-5</v>
      </c>
      <c r="Y131" s="182">
        <v>2.0000000000000002E-5</v>
      </c>
      <c r="Z131" s="182">
        <v>2.0000000000000002E-5</v>
      </c>
      <c r="AA131" s="182">
        <v>2.0000000000000002E-5</v>
      </c>
      <c r="AB131" s="182">
        <v>2.0000000000000002E-5</v>
      </c>
      <c r="AC131" s="182">
        <v>2.0000000000000002E-5</v>
      </c>
      <c r="AD131" s="182">
        <v>2.0000000000000002E-5</v>
      </c>
      <c r="AE131" s="182">
        <v>2.0000000000000002E-5</v>
      </c>
      <c r="AF131" s="182">
        <v>2.0000000000000002E-5</v>
      </c>
      <c r="AG131" s="182">
        <v>2.0000000000000002E-5</v>
      </c>
      <c r="AH131" s="182">
        <v>2.0000000000000002E-5</v>
      </c>
      <c r="AI131" s="182">
        <v>2.0000000000000002E-5</v>
      </c>
      <c r="AJ131" s="182">
        <v>2.0000000000000002E-5</v>
      </c>
      <c r="AK131" s="182">
        <v>2.0000000000000002E-5</v>
      </c>
      <c r="AL131" s="182">
        <v>2.0000000000000002E-5</v>
      </c>
      <c r="AM131" s="182">
        <v>2.0000000000000002E-5</v>
      </c>
      <c r="AN131" s="182">
        <v>2.0000000000000002E-5</v>
      </c>
      <c r="AO131" s="182">
        <v>2.0000000000000002E-5</v>
      </c>
      <c r="AP131" s="182">
        <v>2.0000000000000002E-5</v>
      </c>
      <c r="AQ131" s="182">
        <v>2.0000000000000002E-5</v>
      </c>
      <c r="AR131" s="182">
        <v>2.0000000000000002E-5</v>
      </c>
      <c r="AS131" s="157">
        <f t="shared" ref="AS131:BV131" si="99">AR131</f>
        <v>2.0000000000000002E-5</v>
      </c>
      <c r="AT131" s="157">
        <f t="shared" si="99"/>
        <v>2.0000000000000002E-5</v>
      </c>
      <c r="AU131" s="157">
        <f t="shared" si="99"/>
        <v>2.0000000000000002E-5</v>
      </c>
      <c r="AV131" s="157">
        <f t="shared" si="99"/>
        <v>2.0000000000000002E-5</v>
      </c>
      <c r="AW131" s="157">
        <f t="shared" si="99"/>
        <v>2.0000000000000002E-5</v>
      </c>
      <c r="AX131" s="157">
        <f t="shared" si="99"/>
        <v>2.0000000000000002E-5</v>
      </c>
      <c r="AY131" s="157">
        <f t="shared" si="99"/>
        <v>2.0000000000000002E-5</v>
      </c>
      <c r="AZ131" s="157">
        <f t="shared" si="99"/>
        <v>2.0000000000000002E-5</v>
      </c>
      <c r="BA131" s="157">
        <f t="shared" si="99"/>
        <v>2.0000000000000002E-5</v>
      </c>
      <c r="BB131" s="157">
        <f t="shared" si="99"/>
        <v>2.0000000000000002E-5</v>
      </c>
      <c r="BC131" s="157">
        <f t="shared" si="99"/>
        <v>2.0000000000000002E-5</v>
      </c>
      <c r="BD131" s="157">
        <f t="shared" si="99"/>
        <v>2.0000000000000002E-5</v>
      </c>
      <c r="BE131" s="157">
        <f t="shared" si="99"/>
        <v>2.0000000000000002E-5</v>
      </c>
      <c r="BF131" s="157">
        <f t="shared" si="99"/>
        <v>2.0000000000000002E-5</v>
      </c>
      <c r="BG131" s="157">
        <f t="shared" si="99"/>
        <v>2.0000000000000002E-5</v>
      </c>
      <c r="BH131" s="157">
        <f t="shared" si="99"/>
        <v>2.0000000000000002E-5</v>
      </c>
      <c r="BI131" s="157">
        <f t="shared" si="99"/>
        <v>2.0000000000000002E-5</v>
      </c>
      <c r="BJ131" s="157">
        <f t="shared" si="99"/>
        <v>2.0000000000000002E-5</v>
      </c>
      <c r="BK131" s="157">
        <f t="shared" si="99"/>
        <v>2.0000000000000002E-5</v>
      </c>
      <c r="BL131" s="157">
        <f t="shared" si="99"/>
        <v>2.0000000000000002E-5</v>
      </c>
      <c r="BM131" s="157">
        <f t="shared" si="99"/>
        <v>2.0000000000000002E-5</v>
      </c>
      <c r="BN131" s="157">
        <f t="shared" si="99"/>
        <v>2.0000000000000002E-5</v>
      </c>
      <c r="BO131" s="157">
        <f t="shared" si="99"/>
        <v>2.0000000000000002E-5</v>
      </c>
      <c r="BP131" s="157">
        <f t="shared" si="99"/>
        <v>2.0000000000000002E-5</v>
      </c>
      <c r="BQ131" s="157">
        <f t="shared" si="99"/>
        <v>2.0000000000000002E-5</v>
      </c>
      <c r="BR131" s="157">
        <f t="shared" si="99"/>
        <v>2.0000000000000002E-5</v>
      </c>
      <c r="BS131" s="157">
        <f t="shared" si="99"/>
        <v>2.0000000000000002E-5</v>
      </c>
      <c r="BT131" s="157">
        <f t="shared" si="99"/>
        <v>2.0000000000000002E-5</v>
      </c>
      <c r="BU131" s="157">
        <f t="shared" si="99"/>
        <v>2.0000000000000002E-5</v>
      </c>
      <c r="BV131" s="157">
        <f t="shared" si="99"/>
        <v>2.0000000000000002E-5</v>
      </c>
    </row>
    <row r="132" spans="1:74" x14ac:dyDescent="0.25">
      <c r="A132" s="155" t="s">
        <v>214</v>
      </c>
      <c r="B132" s="159" t="s">
        <v>213</v>
      </c>
      <c r="C132" s="159" t="s">
        <v>258</v>
      </c>
      <c r="D132" s="179">
        <v>2.0000000000000002E-5</v>
      </c>
      <c r="E132" s="182">
        <v>2.0000000000000002E-5</v>
      </c>
      <c r="F132" s="182">
        <v>2.0000000000000002E-5</v>
      </c>
      <c r="G132" s="182">
        <v>2.0000000000000002E-5</v>
      </c>
      <c r="H132" s="182">
        <v>2.0000000000000002E-5</v>
      </c>
      <c r="I132" s="182">
        <v>2.0000000000000002E-5</v>
      </c>
      <c r="J132" s="182">
        <v>2.0000000000000002E-5</v>
      </c>
      <c r="K132" s="182">
        <v>2.0000000000000002E-5</v>
      </c>
      <c r="L132" s="182">
        <v>2.0000000000000002E-5</v>
      </c>
      <c r="M132" s="182">
        <v>2.0000000000000002E-5</v>
      </c>
      <c r="N132" s="182">
        <v>2.0000000000000002E-5</v>
      </c>
      <c r="O132" s="182">
        <v>2.0000000000000002E-5</v>
      </c>
      <c r="P132" s="182">
        <v>2.0000000000000002E-5</v>
      </c>
      <c r="Q132" s="182">
        <v>2.0000000000000002E-5</v>
      </c>
      <c r="R132" s="182">
        <v>2.0000000000000002E-5</v>
      </c>
      <c r="S132" s="182">
        <v>2.0000000000000002E-5</v>
      </c>
      <c r="T132" s="182">
        <v>2.0000000000000002E-5</v>
      </c>
      <c r="U132" s="182">
        <v>2.0000000000000002E-5</v>
      </c>
      <c r="V132" s="182">
        <v>2.0000000000000002E-5</v>
      </c>
      <c r="W132" s="182">
        <v>2.0000000000000002E-5</v>
      </c>
      <c r="X132" s="182">
        <v>2.0000000000000002E-5</v>
      </c>
      <c r="Y132" s="182">
        <v>2.0000000000000002E-5</v>
      </c>
      <c r="Z132" s="182">
        <v>2.0000000000000002E-5</v>
      </c>
      <c r="AA132" s="182">
        <v>2.0000000000000002E-5</v>
      </c>
      <c r="AB132" s="182">
        <v>2.0000000000000002E-5</v>
      </c>
      <c r="AC132" s="182">
        <v>2.0000000000000002E-5</v>
      </c>
      <c r="AD132" s="182">
        <v>2.0000000000000002E-5</v>
      </c>
      <c r="AE132" s="182">
        <v>2.0000000000000002E-5</v>
      </c>
      <c r="AF132" s="182">
        <v>2.0000000000000002E-5</v>
      </c>
      <c r="AG132" s="182">
        <v>2.0000000000000002E-5</v>
      </c>
      <c r="AH132" s="182">
        <v>2.0000000000000002E-5</v>
      </c>
      <c r="AI132" s="182">
        <v>2.0000000000000002E-5</v>
      </c>
      <c r="AJ132" s="182">
        <v>2.0000000000000002E-5</v>
      </c>
      <c r="AK132" s="182">
        <v>2.0000000000000002E-5</v>
      </c>
      <c r="AL132" s="182">
        <v>2.0000000000000002E-5</v>
      </c>
      <c r="AM132" s="182">
        <v>2.0000000000000002E-5</v>
      </c>
      <c r="AN132" s="182">
        <v>2.0000000000000002E-5</v>
      </c>
      <c r="AO132" s="182">
        <v>2.0000000000000002E-5</v>
      </c>
      <c r="AP132" s="182">
        <v>2.0000000000000002E-5</v>
      </c>
      <c r="AQ132" s="182">
        <v>2.0000000000000002E-5</v>
      </c>
      <c r="AR132" s="182">
        <v>2.0000000000000002E-5</v>
      </c>
      <c r="AS132" s="157">
        <f t="shared" ref="AS132:BV132" si="100">AR132</f>
        <v>2.0000000000000002E-5</v>
      </c>
      <c r="AT132" s="157">
        <f t="shared" si="100"/>
        <v>2.0000000000000002E-5</v>
      </c>
      <c r="AU132" s="157">
        <f t="shared" si="100"/>
        <v>2.0000000000000002E-5</v>
      </c>
      <c r="AV132" s="157">
        <f t="shared" si="100"/>
        <v>2.0000000000000002E-5</v>
      </c>
      <c r="AW132" s="157">
        <f t="shared" si="100"/>
        <v>2.0000000000000002E-5</v>
      </c>
      <c r="AX132" s="157">
        <f t="shared" si="100"/>
        <v>2.0000000000000002E-5</v>
      </c>
      <c r="AY132" s="157">
        <f t="shared" si="100"/>
        <v>2.0000000000000002E-5</v>
      </c>
      <c r="AZ132" s="157">
        <f t="shared" si="100"/>
        <v>2.0000000000000002E-5</v>
      </c>
      <c r="BA132" s="157">
        <f t="shared" si="100"/>
        <v>2.0000000000000002E-5</v>
      </c>
      <c r="BB132" s="157">
        <f t="shared" si="100"/>
        <v>2.0000000000000002E-5</v>
      </c>
      <c r="BC132" s="157">
        <f t="shared" si="100"/>
        <v>2.0000000000000002E-5</v>
      </c>
      <c r="BD132" s="157">
        <f t="shared" si="100"/>
        <v>2.0000000000000002E-5</v>
      </c>
      <c r="BE132" s="157">
        <f t="shared" si="100"/>
        <v>2.0000000000000002E-5</v>
      </c>
      <c r="BF132" s="157">
        <f t="shared" si="100"/>
        <v>2.0000000000000002E-5</v>
      </c>
      <c r="BG132" s="157">
        <f t="shared" si="100"/>
        <v>2.0000000000000002E-5</v>
      </c>
      <c r="BH132" s="157">
        <f t="shared" si="100"/>
        <v>2.0000000000000002E-5</v>
      </c>
      <c r="BI132" s="157">
        <f t="shared" si="100"/>
        <v>2.0000000000000002E-5</v>
      </c>
      <c r="BJ132" s="157">
        <f t="shared" si="100"/>
        <v>2.0000000000000002E-5</v>
      </c>
      <c r="BK132" s="157">
        <f t="shared" si="100"/>
        <v>2.0000000000000002E-5</v>
      </c>
      <c r="BL132" s="157">
        <f t="shared" si="100"/>
        <v>2.0000000000000002E-5</v>
      </c>
      <c r="BM132" s="157">
        <f t="shared" si="100"/>
        <v>2.0000000000000002E-5</v>
      </c>
      <c r="BN132" s="157">
        <f t="shared" si="100"/>
        <v>2.0000000000000002E-5</v>
      </c>
      <c r="BO132" s="157">
        <f t="shared" si="100"/>
        <v>2.0000000000000002E-5</v>
      </c>
      <c r="BP132" s="157">
        <f t="shared" si="100"/>
        <v>2.0000000000000002E-5</v>
      </c>
      <c r="BQ132" s="157">
        <f t="shared" si="100"/>
        <v>2.0000000000000002E-5</v>
      </c>
      <c r="BR132" s="157">
        <f t="shared" si="100"/>
        <v>2.0000000000000002E-5</v>
      </c>
      <c r="BS132" s="157">
        <f t="shared" si="100"/>
        <v>2.0000000000000002E-5</v>
      </c>
      <c r="BT132" s="157">
        <f t="shared" si="100"/>
        <v>2.0000000000000002E-5</v>
      </c>
      <c r="BU132" s="157">
        <f t="shared" si="100"/>
        <v>2.0000000000000002E-5</v>
      </c>
      <c r="BV132" s="157">
        <f t="shared" si="100"/>
        <v>2.0000000000000002E-5</v>
      </c>
    </row>
    <row r="133" spans="1:74" x14ac:dyDescent="0.25">
      <c r="A133" s="149" t="s">
        <v>215</v>
      </c>
      <c r="B133" s="150" t="s">
        <v>213</v>
      </c>
      <c r="C133" s="162" t="s">
        <v>216</v>
      </c>
      <c r="D133" s="181">
        <v>2.0511965313099309E-5</v>
      </c>
      <c r="E133" s="181">
        <v>2.0678729258734262E-5</v>
      </c>
      <c r="F133" s="181">
        <v>2.0845493204369216E-5</v>
      </c>
      <c r="G133" s="181">
        <v>2.1012257150004169E-5</v>
      </c>
      <c r="H133" s="181">
        <v>2.1262403068456599E-5</v>
      </c>
      <c r="I133" s="181">
        <v>2.1262403068456599E-5</v>
      </c>
      <c r="J133" s="181">
        <v>2.1179021095639119E-5</v>
      </c>
      <c r="K133" s="181">
        <v>2.1512548986909033E-5</v>
      </c>
      <c r="L133" s="181">
        <v>2.2513132660718751E-5</v>
      </c>
      <c r="M133" s="181">
        <v>2.2596514633536231E-5</v>
      </c>
      <c r="N133" s="181">
        <v>2.3013424497623618E-5</v>
      </c>
      <c r="O133" s="181">
        <v>2.2930042524806138E-5</v>
      </c>
      <c r="P133" s="181">
        <v>2.2930042524806138E-5</v>
      </c>
      <c r="Q133" s="181">
        <v>2.2930042524806138E-5</v>
      </c>
      <c r="R133" s="181">
        <v>2.2930042524806138E-5</v>
      </c>
      <c r="S133" s="181">
        <v>2.2930042524806138E-5</v>
      </c>
      <c r="T133" s="181">
        <v>2.2930042524806138E-5</v>
      </c>
      <c r="U133" s="181">
        <v>2.2930042524806138E-5</v>
      </c>
      <c r="V133" s="181">
        <v>2.2930042524806138E-5</v>
      </c>
      <c r="W133" s="181">
        <v>2.2930042524806138E-5</v>
      </c>
      <c r="X133" s="181">
        <v>2.2930042524806138E-5</v>
      </c>
      <c r="Y133" s="181">
        <v>2.2930042524806138E-5</v>
      </c>
      <c r="Z133" s="181">
        <v>2.2930042524806138E-5</v>
      </c>
      <c r="AA133" s="181">
        <v>2.2930042524806138E-5</v>
      </c>
      <c r="AB133" s="181">
        <v>2.2930042524806138E-5</v>
      </c>
      <c r="AC133" s="181">
        <v>2.2930042524806138E-5</v>
      </c>
      <c r="AD133" s="181">
        <v>2.2930042524806138E-5</v>
      </c>
      <c r="AE133" s="181">
        <v>2.2930042524806138E-5</v>
      </c>
      <c r="AF133" s="181">
        <v>2.2930042524806138E-5</v>
      </c>
      <c r="AG133" s="181">
        <v>2.2930042524806138E-5</v>
      </c>
      <c r="AH133" s="181">
        <v>2.2930042524806138E-5</v>
      </c>
      <c r="AI133" s="181">
        <v>2.2930042524806138E-5</v>
      </c>
      <c r="AJ133" s="181">
        <v>2.2930042524806138E-5</v>
      </c>
      <c r="AK133" s="181">
        <v>2.2930042524806138E-5</v>
      </c>
      <c r="AL133" s="181">
        <v>2.2930042524806138E-5</v>
      </c>
      <c r="AM133" s="181">
        <v>2.2930042524806138E-5</v>
      </c>
      <c r="AN133" s="181">
        <v>2.2930042524806138E-5</v>
      </c>
      <c r="AO133" s="181">
        <v>2.2930042524806138E-5</v>
      </c>
      <c r="AP133" s="181">
        <v>2.2930042524806138E-5</v>
      </c>
      <c r="AQ133" s="181">
        <v>2.2930042524806138E-5</v>
      </c>
      <c r="AR133" s="181">
        <v>2.2930042524806138E-5</v>
      </c>
      <c r="AS133" s="157">
        <f t="shared" ref="AS133:BV133" si="101">AR133</f>
        <v>2.2930042524806138E-5</v>
      </c>
      <c r="AT133" s="157">
        <f t="shared" si="101"/>
        <v>2.2930042524806138E-5</v>
      </c>
      <c r="AU133" s="157">
        <f t="shared" si="101"/>
        <v>2.2930042524806138E-5</v>
      </c>
      <c r="AV133" s="157">
        <f t="shared" si="101"/>
        <v>2.2930042524806138E-5</v>
      </c>
      <c r="AW133" s="157">
        <f t="shared" si="101"/>
        <v>2.2930042524806138E-5</v>
      </c>
      <c r="AX133" s="157">
        <f t="shared" si="101"/>
        <v>2.2930042524806138E-5</v>
      </c>
      <c r="AY133" s="157">
        <f t="shared" si="101"/>
        <v>2.2930042524806138E-5</v>
      </c>
      <c r="AZ133" s="157">
        <f t="shared" si="101"/>
        <v>2.2930042524806138E-5</v>
      </c>
      <c r="BA133" s="157">
        <f t="shared" si="101"/>
        <v>2.2930042524806138E-5</v>
      </c>
      <c r="BB133" s="157">
        <f t="shared" si="101"/>
        <v>2.2930042524806138E-5</v>
      </c>
      <c r="BC133" s="157">
        <f t="shared" si="101"/>
        <v>2.2930042524806138E-5</v>
      </c>
      <c r="BD133" s="157">
        <f t="shared" si="101"/>
        <v>2.2930042524806138E-5</v>
      </c>
      <c r="BE133" s="157">
        <f t="shared" si="101"/>
        <v>2.2930042524806138E-5</v>
      </c>
      <c r="BF133" s="157">
        <f t="shared" si="101"/>
        <v>2.2930042524806138E-5</v>
      </c>
      <c r="BG133" s="157">
        <f t="shared" si="101"/>
        <v>2.2930042524806138E-5</v>
      </c>
      <c r="BH133" s="157">
        <f t="shared" si="101"/>
        <v>2.2930042524806138E-5</v>
      </c>
      <c r="BI133" s="157">
        <f t="shared" si="101"/>
        <v>2.2930042524806138E-5</v>
      </c>
      <c r="BJ133" s="157">
        <f t="shared" si="101"/>
        <v>2.2930042524806138E-5</v>
      </c>
      <c r="BK133" s="157">
        <f t="shared" si="101"/>
        <v>2.2930042524806138E-5</v>
      </c>
      <c r="BL133" s="157">
        <f t="shared" si="101"/>
        <v>2.2930042524806138E-5</v>
      </c>
      <c r="BM133" s="157">
        <f t="shared" si="101"/>
        <v>2.2930042524806138E-5</v>
      </c>
      <c r="BN133" s="157">
        <f t="shared" si="101"/>
        <v>2.2930042524806138E-5</v>
      </c>
      <c r="BO133" s="157">
        <f t="shared" si="101"/>
        <v>2.2930042524806138E-5</v>
      </c>
      <c r="BP133" s="157">
        <f t="shared" si="101"/>
        <v>2.2930042524806138E-5</v>
      </c>
      <c r="BQ133" s="157">
        <f t="shared" si="101"/>
        <v>2.2930042524806138E-5</v>
      </c>
      <c r="BR133" s="157">
        <f t="shared" si="101"/>
        <v>2.2930042524806138E-5</v>
      </c>
      <c r="BS133" s="157">
        <f t="shared" si="101"/>
        <v>2.2930042524806138E-5</v>
      </c>
      <c r="BT133" s="157">
        <f t="shared" si="101"/>
        <v>2.2930042524806138E-5</v>
      </c>
      <c r="BU133" s="157">
        <f t="shared" si="101"/>
        <v>2.2930042524806138E-5</v>
      </c>
      <c r="BV133" s="157">
        <f t="shared" si="101"/>
        <v>2.2930042524806138E-5</v>
      </c>
    </row>
    <row r="134" spans="1:74" x14ac:dyDescent="0.25">
      <c r="A134" s="155" t="s">
        <v>217</v>
      </c>
      <c r="B134" s="159" t="s">
        <v>218</v>
      </c>
      <c r="C134" s="159" t="s">
        <v>258</v>
      </c>
      <c r="D134" s="179">
        <v>4.0000000000000003E-5</v>
      </c>
      <c r="E134" s="182">
        <v>4.0000000000000003E-5</v>
      </c>
      <c r="F134" s="182">
        <v>4.0000000000000003E-5</v>
      </c>
      <c r="G134" s="182">
        <v>4.0000000000000003E-5</v>
      </c>
      <c r="H134" s="182">
        <v>4.0000000000000003E-5</v>
      </c>
      <c r="I134" s="182">
        <v>4.0000000000000003E-5</v>
      </c>
      <c r="J134" s="182">
        <v>4.0000000000000003E-5</v>
      </c>
      <c r="K134" s="182">
        <v>4.0000000000000003E-5</v>
      </c>
      <c r="L134" s="182">
        <v>4.0000000000000003E-5</v>
      </c>
      <c r="M134" s="182">
        <v>4.0000000000000003E-5</v>
      </c>
      <c r="N134" s="182">
        <v>4.0000000000000003E-5</v>
      </c>
      <c r="O134" s="182">
        <v>4.0000000000000003E-5</v>
      </c>
      <c r="P134" s="182">
        <v>4.0000000000000003E-5</v>
      </c>
      <c r="Q134" s="182">
        <v>4.0000000000000003E-5</v>
      </c>
      <c r="R134" s="182">
        <v>4.0000000000000003E-5</v>
      </c>
      <c r="S134" s="182">
        <v>4.0000000000000003E-5</v>
      </c>
      <c r="T134" s="182">
        <v>4.0000000000000003E-5</v>
      </c>
      <c r="U134" s="182">
        <v>4.0000000000000003E-5</v>
      </c>
      <c r="V134" s="182">
        <v>4.0000000000000003E-5</v>
      </c>
      <c r="W134" s="182">
        <v>4.0000000000000003E-5</v>
      </c>
      <c r="X134" s="182">
        <v>4.0000000000000003E-5</v>
      </c>
      <c r="Y134" s="182">
        <v>4.0000000000000003E-5</v>
      </c>
      <c r="Z134" s="182">
        <v>4.0000000000000003E-5</v>
      </c>
      <c r="AA134" s="182">
        <v>4.0000000000000003E-5</v>
      </c>
      <c r="AB134" s="182">
        <v>4.0000000000000003E-5</v>
      </c>
      <c r="AC134" s="182">
        <v>4.0000000000000003E-5</v>
      </c>
      <c r="AD134" s="182">
        <v>4.0000000000000003E-5</v>
      </c>
      <c r="AE134" s="182">
        <v>4.0000000000000003E-5</v>
      </c>
      <c r="AF134" s="182">
        <v>4.0000000000000003E-5</v>
      </c>
      <c r="AG134" s="182">
        <v>4.0000000000000003E-5</v>
      </c>
      <c r="AH134" s="182">
        <v>4.0000000000000003E-5</v>
      </c>
      <c r="AI134" s="182">
        <v>4.0000000000000003E-5</v>
      </c>
      <c r="AJ134" s="182">
        <v>4.0000000000000003E-5</v>
      </c>
      <c r="AK134" s="182">
        <v>4.0000000000000003E-5</v>
      </c>
      <c r="AL134" s="182">
        <v>4.0000000000000003E-5</v>
      </c>
      <c r="AM134" s="182">
        <v>4.0000000000000003E-5</v>
      </c>
      <c r="AN134" s="182">
        <v>4.0000000000000003E-5</v>
      </c>
      <c r="AO134" s="182">
        <v>4.0000000000000003E-5</v>
      </c>
      <c r="AP134" s="182">
        <v>4.0000000000000003E-5</v>
      </c>
      <c r="AQ134" s="182">
        <v>4.0000000000000003E-5</v>
      </c>
      <c r="AR134" s="182">
        <v>4.0000000000000003E-5</v>
      </c>
      <c r="AS134" s="157">
        <f t="shared" ref="AS134:BV134" si="102">AR134</f>
        <v>4.0000000000000003E-5</v>
      </c>
      <c r="AT134" s="157">
        <f t="shared" si="102"/>
        <v>4.0000000000000003E-5</v>
      </c>
      <c r="AU134" s="157">
        <f t="shared" si="102"/>
        <v>4.0000000000000003E-5</v>
      </c>
      <c r="AV134" s="157">
        <f t="shared" si="102"/>
        <v>4.0000000000000003E-5</v>
      </c>
      <c r="AW134" s="157">
        <f t="shared" si="102"/>
        <v>4.0000000000000003E-5</v>
      </c>
      <c r="AX134" s="157">
        <f t="shared" si="102"/>
        <v>4.0000000000000003E-5</v>
      </c>
      <c r="AY134" s="157">
        <f t="shared" si="102"/>
        <v>4.0000000000000003E-5</v>
      </c>
      <c r="AZ134" s="157">
        <f t="shared" si="102"/>
        <v>4.0000000000000003E-5</v>
      </c>
      <c r="BA134" s="157">
        <f t="shared" si="102"/>
        <v>4.0000000000000003E-5</v>
      </c>
      <c r="BB134" s="157">
        <f t="shared" si="102"/>
        <v>4.0000000000000003E-5</v>
      </c>
      <c r="BC134" s="157">
        <f t="shared" si="102"/>
        <v>4.0000000000000003E-5</v>
      </c>
      <c r="BD134" s="157">
        <f t="shared" si="102"/>
        <v>4.0000000000000003E-5</v>
      </c>
      <c r="BE134" s="157">
        <f t="shared" si="102"/>
        <v>4.0000000000000003E-5</v>
      </c>
      <c r="BF134" s="157">
        <f t="shared" si="102"/>
        <v>4.0000000000000003E-5</v>
      </c>
      <c r="BG134" s="157">
        <f t="shared" si="102"/>
        <v>4.0000000000000003E-5</v>
      </c>
      <c r="BH134" s="157">
        <f t="shared" si="102"/>
        <v>4.0000000000000003E-5</v>
      </c>
      <c r="BI134" s="157">
        <f t="shared" si="102"/>
        <v>4.0000000000000003E-5</v>
      </c>
      <c r="BJ134" s="157">
        <f t="shared" si="102"/>
        <v>4.0000000000000003E-5</v>
      </c>
      <c r="BK134" s="157">
        <f t="shared" si="102"/>
        <v>4.0000000000000003E-5</v>
      </c>
      <c r="BL134" s="157">
        <f t="shared" si="102"/>
        <v>4.0000000000000003E-5</v>
      </c>
      <c r="BM134" s="157">
        <f t="shared" si="102"/>
        <v>4.0000000000000003E-5</v>
      </c>
      <c r="BN134" s="157">
        <f t="shared" si="102"/>
        <v>4.0000000000000003E-5</v>
      </c>
      <c r="BO134" s="157">
        <f t="shared" si="102"/>
        <v>4.0000000000000003E-5</v>
      </c>
      <c r="BP134" s="157">
        <f t="shared" si="102"/>
        <v>4.0000000000000003E-5</v>
      </c>
      <c r="BQ134" s="157">
        <f t="shared" si="102"/>
        <v>4.0000000000000003E-5</v>
      </c>
      <c r="BR134" s="157">
        <f t="shared" si="102"/>
        <v>4.0000000000000003E-5</v>
      </c>
      <c r="BS134" s="157">
        <f t="shared" si="102"/>
        <v>4.0000000000000003E-5</v>
      </c>
      <c r="BT134" s="157">
        <f t="shared" si="102"/>
        <v>4.0000000000000003E-5</v>
      </c>
      <c r="BU134" s="157">
        <f t="shared" si="102"/>
        <v>4.0000000000000003E-5</v>
      </c>
      <c r="BV134" s="157">
        <f t="shared" si="102"/>
        <v>4.0000000000000003E-5</v>
      </c>
    </row>
    <row r="135" spans="1:74" x14ac:dyDescent="0.25">
      <c r="A135" s="155" t="s">
        <v>12</v>
      </c>
      <c r="B135" s="159" t="s">
        <v>207</v>
      </c>
      <c r="C135" s="159" t="s">
        <v>243</v>
      </c>
      <c r="D135" s="179">
        <v>4.0000000000000002E-4</v>
      </c>
      <c r="E135" s="182">
        <v>4.0000000000000002E-4</v>
      </c>
      <c r="F135" s="182">
        <v>4.0000000000000002E-4</v>
      </c>
      <c r="G135" s="182">
        <v>4.0000000000000002E-4</v>
      </c>
      <c r="H135" s="182">
        <v>4.0000000000000002E-4</v>
      </c>
      <c r="I135" s="182">
        <v>4.0000000000000002E-4</v>
      </c>
      <c r="J135" s="182">
        <v>4.0000000000000002E-4</v>
      </c>
      <c r="K135" s="182">
        <v>4.0000000000000002E-4</v>
      </c>
      <c r="L135" s="182">
        <v>4.0000000000000002E-4</v>
      </c>
      <c r="M135" s="182">
        <v>4.0000000000000002E-4</v>
      </c>
      <c r="N135" s="182">
        <v>4.0000000000000002E-4</v>
      </c>
      <c r="O135" s="182">
        <v>4.0000000000000002E-4</v>
      </c>
      <c r="P135" s="182">
        <v>4.0000000000000002E-4</v>
      </c>
      <c r="Q135" s="182">
        <v>4.0000000000000002E-4</v>
      </c>
      <c r="R135" s="182">
        <v>4.0000000000000002E-4</v>
      </c>
      <c r="S135" s="182">
        <v>4.0000000000000002E-4</v>
      </c>
      <c r="T135" s="182">
        <v>4.0000000000000002E-4</v>
      </c>
      <c r="U135" s="182">
        <v>4.0000000000000002E-4</v>
      </c>
      <c r="V135" s="182">
        <v>4.0000000000000002E-4</v>
      </c>
      <c r="W135" s="182">
        <v>4.0000000000000002E-4</v>
      </c>
      <c r="X135" s="182">
        <v>4.0000000000000002E-4</v>
      </c>
      <c r="Y135" s="182">
        <v>4.0000000000000002E-4</v>
      </c>
      <c r="Z135" s="182">
        <v>4.0000000000000002E-4</v>
      </c>
      <c r="AA135" s="182">
        <v>4.0000000000000002E-4</v>
      </c>
      <c r="AB135" s="182">
        <v>4.0000000000000002E-4</v>
      </c>
      <c r="AC135" s="182">
        <v>4.0000000000000002E-4</v>
      </c>
      <c r="AD135" s="182">
        <v>4.0000000000000002E-4</v>
      </c>
      <c r="AE135" s="182">
        <v>4.0000000000000002E-4</v>
      </c>
      <c r="AF135" s="182">
        <v>4.0000000000000002E-4</v>
      </c>
      <c r="AG135" s="182">
        <v>4.0000000000000002E-4</v>
      </c>
      <c r="AH135" s="182">
        <v>4.0000000000000002E-4</v>
      </c>
      <c r="AI135" s="182">
        <v>4.0000000000000002E-4</v>
      </c>
      <c r="AJ135" s="182">
        <v>4.0000000000000002E-4</v>
      </c>
      <c r="AK135" s="182">
        <v>4.0000000000000002E-4</v>
      </c>
      <c r="AL135" s="182">
        <v>4.0000000000000002E-4</v>
      </c>
      <c r="AM135" s="182">
        <v>4.0000000000000002E-4</v>
      </c>
      <c r="AN135" s="182">
        <v>4.0000000000000002E-4</v>
      </c>
      <c r="AO135" s="182">
        <v>4.0000000000000002E-4</v>
      </c>
      <c r="AP135" s="182">
        <v>4.0000000000000002E-4</v>
      </c>
      <c r="AQ135" s="182">
        <v>4.0000000000000002E-4</v>
      </c>
      <c r="AR135" s="182">
        <v>4.0000000000000002E-4</v>
      </c>
      <c r="AS135" s="157">
        <f t="shared" ref="AS135:BV135" si="103">AR135</f>
        <v>4.0000000000000002E-4</v>
      </c>
      <c r="AT135" s="157">
        <f t="shared" si="103"/>
        <v>4.0000000000000002E-4</v>
      </c>
      <c r="AU135" s="157">
        <f t="shared" si="103"/>
        <v>4.0000000000000002E-4</v>
      </c>
      <c r="AV135" s="157">
        <f t="shared" si="103"/>
        <v>4.0000000000000002E-4</v>
      </c>
      <c r="AW135" s="157">
        <f t="shared" si="103"/>
        <v>4.0000000000000002E-4</v>
      </c>
      <c r="AX135" s="157">
        <f t="shared" si="103"/>
        <v>4.0000000000000002E-4</v>
      </c>
      <c r="AY135" s="157">
        <f t="shared" si="103"/>
        <v>4.0000000000000002E-4</v>
      </c>
      <c r="AZ135" s="157">
        <f t="shared" si="103"/>
        <v>4.0000000000000002E-4</v>
      </c>
      <c r="BA135" s="157">
        <f t="shared" si="103"/>
        <v>4.0000000000000002E-4</v>
      </c>
      <c r="BB135" s="157">
        <f t="shared" si="103"/>
        <v>4.0000000000000002E-4</v>
      </c>
      <c r="BC135" s="157">
        <f t="shared" si="103"/>
        <v>4.0000000000000002E-4</v>
      </c>
      <c r="BD135" s="157">
        <f t="shared" si="103"/>
        <v>4.0000000000000002E-4</v>
      </c>
      <c r="BE135" s="157">
        <f t="shared" si="103"/>
        <v>4.0000000000000002E-4</v>
      </c>
      <c r="BF135" s="157">
        <f t="shared" si="103"/>
        <v>4.0000000000000002E-4</v>
      </c>
      <c r="BG135" s="157">
        <f t="shared" si="103"/>
        <v>4.0000000000000002E-4</v>
      </c>
      <c r="BH135" s="157">
        <f t="shared" si="103"/>
        <v>4.0000000000000002E-4</v>
      </c>
      <c r="BI135" s="157">
        <f t="shared" si="103"/>
        <v>4.0000000000000002E-4</v>
      </c>
      <c r="BJ135" s="157">
        <f t="shared" si="103"/>
        <v>4.0000000000000002E-4</v>
      </c>
      <c r="BK135" s="157">
        <f t="shared" si="103"/>
        <v>4.0000000000000002E-4</v>
      </c>
      <c r="BL135" s="157">
        <f t="shared" si="103"/>
        <v>4.0000000000000002E-4</v>
      </c>
      <c r="BM135" s="157">
        <f t="shared" si="103"/>
        <v>4.0000000000000002E-4</v>
      </c>
      <c r="BN135" s="157">
        <f t="shared" si="103"/>
        <v>4.0000000000000002E-4</v>
      </c>
      <c r="BO135" s="157">
        <f t="shared" si="103"/>
        <v>4.0000000000000002E-4</v>
      </c>
      <c r="BP135" s="157">
        <f t="shared" si="103"/>
        <v>4.0000000000000002E-4</v>
      </c>
      <c r="BQ135" s="157">
        <f t="shared" si="103"/>
        <v>4.0000000000000002E-4</v>
      </c>
      <c r="BR135" s="157">
        <f t="shared" si="103"/>
        <v>4.0000000000000002E-4</v>
      </c>
      <c r="BS135" s="157">
        <f t="shared" si="103"/>
        <v>4.0000000000000002E-4</v>
      </c>
      <c r="BT135" s="157">
        <f t="shared" si="103"/>
        <v>4.0000000000000002E-4</v>
      </c>
      <c r="BU135" s="157">
        <f t="shared" si="103"/>
        <v>4.0000000000000002E-4</v>
      </c>
      <c r="BV135" s="157">
        <f t="shared" si="103"/>
        <v>4.0000000000000002E-4</v>
      </c>
    </row>
    <row r="136" spans="1:74" x14ac:dyDescent="0.25">
      <c r="A136" s="155" t="s">
        <v>2</v>
      </c>
      <c r="B136" s="159" t="s">
        <v>219</v>
      </c>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82"/>
      <c r="AB136" s="182"/>
      <c r="AC136" s="182"/>
      <c r="AD136" s="182"/>
      <c r="AE136" s="182"/>
      <c r="AF136" s="182"/>
      <c r="AG136" s="182"/>
      <c r="AH136" s="182"/>
      <c r="AI136" s="182"/>
      <c r="AJ136" s="182"/>
      <c r="AK136" s="182"/>
      <c r="AL136" s="182"/>
      <c r="AM136" s="182"/>
      <c r="AN136" s="182"/>
      <c r="AO136" s="182"/>
      <c r="AP136" s="182"/>
      <c r="AQ136" s="182"/>
      <c r="AR136" s="182"/>
      <c r="AS136" s="157">
        <f t="shared" ref="AS136:BV136" si="104">AR136</f>
        <v>0</v>
      </c>
      <c r="AT136" s="157">
        <f t="shared" si="104"/>
        <v>0</v>
      </c>
      <c r="AU136" s="157">
        <f t="shared" si="104"/>
        <v>0</v>
      </c>
      <c r="AV136" s="157">
        <f t="shared" si="104"/>
        <v>0</v>
      </c>
      <c r="AW136" s="157">
        <f t="shared" si="104"/>
        <v>0</v>
      </c>
      <c r="AX136" s="157">
        <f t="shared" si="104"/>
        <v>0</v>
      </c>
      <c r="AY136" s="157">
        <f t="shared" si="104"/>
        <v>0</v>
      </c>
      <c r="AZ136" s="157">
        <f t="shared" si="104"/>
        <v>0</v>
      </c>
      <c r="BA136" s="157">
        <f t="shared" si="104"/>
        <v>0</v>
      </c>
      <c r="BB136" s="157">
        <f t="shared" si="104"/>
        <v>0</v>
      </c>
      <c r="BC136" s="157">
        <f t="shared" si="104"/>
        <v>0</v>
      </c>
      <c r="BD136" s="157">
        <f t="shared" si="104"/>
        <v>0</v>
      </c>
      <c r="BE136" s="157">
        <f t="shared" si="104"/>
        <v>0</v>
      </c>
      <c r="BF136" s="157">
        <f t="shared" si="104"/>
        <v>0</v>
      </c>
      <c r="BG136" s="157">
        <f t="shared" si="104"/>
        <v>0</v>
      </c>
      <c r="BH136" s="157">
        <f t="shared" si="104"/>
        <v>0</v>
      </c>
      <c r="BI136" s="157">
        <f t="shared" si="104"/>
        <v>0</v>
      </c>
      <c r="BJ136" s="157">
        <f t="shared" si="104"/>
        <v>0</v>
      </c>
      <c r="BK136" s="157">
        <f t="shared" si="104"/>
        <v>0</v>
      </c>
      <c r="BL136" s="157">
        <f t="shared" si="104"/>
        <v>0</v>
      </c>
      <c r="BM136" s="157">
        <f t="shared" si="104"/>
        <v>0</v>
      </c>
      <c r="BN136" s="157">
        <f t="shared" si="104"/>
        <v>0</v>
      </c>
      <c r="BO136" s="157">
        <f t="shared" si="104"/>
        <v>0</v>
      </c>
      <c r="BP136" s="157">
        <f t="shared" si="104"/>
        <v>0</v>
      </c>
      <c r="BQ136" s="157">
        <f t="shared" si="104"/>
        <v>0</v>
      </c>
      <c r="BR136" s="157">
        <f t="shared" si="104"/>
        <v>0</v>
      </c>
      <c r="BS136" s="157">
        <f t="shared" si="104"/>
        <v>0</v>
      </c>
      <c r="BT136" s="157">
        <f t="shared" si="104"/>
        <v>0</v>
      </c>
      <c r="BU136" s="157">
        <f t="shared" si="104"/>
        <v>0</v>
      </c>
      <c r="BV136" s="157">
        <f t="shared" si="104"/>
        <v>0</v>
      </c>
    </row>
    <row r="137" spans="1:74" x14ac:dyDescent="0.25">
      <c r="A137" s="149" t="s">
        <v>220</v>
      </c>
      <c r="B137" s="156" t="s">
        <v>207</v>
      </c>
      <c r="C137" s="162" t="s">
        <v>223</v>
      </c>
      <c r="D137" s="181">
        <v>2.0000000000000002E-5</v>
      </c>
      <c r="E137" s="181">
        <v>2.0000000000000002E-5</v>
      </c>
      <c r="F137" s="181">
        <v>2.0000000000000002E-5</v>
      </c>
      <c r="G137" s="181">
        <v>2.0000000000000002E-5</v>
      </c>
      <c r="H137" s="181">
        <v>2.0000000000000002E-5</v>
      </c>
      <c r="I137" s="181">
        <v>2.0000000000000002E-5</v>
      </c>
      <c r="J137" s="181">
        <v>2.0000000000000002E-5</v>
      </c>
      <c r="K137" s="181">
        <v>2.0000000000000002E-5</v>
      </c>
      <c r="L137" s="181">
        <v>2.0000000000000002E-5</v>
      </c>
      <c r="M137" s="181">
        <v>2.0000000000000002E-5</v>
      </c>
      <c r="N137" s="181">
        <v>2.0000000000000002E-5</v>
      </c>
      <c r="O137" s="181">
        <v>2.0000000000000002E-5</v>
      </c>
      <c r="P137" s="181">
        <v>2.0000000000000002E-5</v>
      </c>
      <c r="Q137" s="181">
        <v>2.0000000000000002E-5</v>
      </c>
      <c r="R137" s="181">
        <v>2.0000000000000002E-5</v>
      </c>
      <c r="S137" s="181">
        <v>2.0000000000000002E-5</v>
      </c>
      <c r="T137" s="181">
        <v>2.0000000000000002E-5</v>
      </c>
      <c r="U137" s="181">
        <v>2.0000000000000002E-5</v>
      </c>
      <c r="V137" s="181">
        <v>2.0000000000000002E-5</v>
      </c>
      <c r="W137" s="181">
        <v>2.0000000000000002E-5</v>
      </c>
      <c r="X137" s="181">
        <v>2.0000000000000002E-5</v>
      </c>
      <c r="Y137" s="181">
        <v>2.0000000000000002E-5</v>
      </c>
      <c r="Z137" s="181">
        <v>2.0000000000000002E-5</v>
      </c>
      <c r="AA137" s="181">
        <v>2.0000000000000002E-5</v>
      </c>
      <c r="AB137" s="181">
        <v>2.0000000000000002E-5</v>
      </c>
      <c r="AC137" s="181">
        <v>2.0000000000000002E-5</v>
      </c>
      <c r="AD137" s="181">
        <v>2.0000000000000002E-5</v>
      </c>
      <c r="AE137" s="181">
        <v>2.0000000000000002E-5</v>
      </c>
      <c r="AF137" s="181">
        <v>2.0000000000000002E-5</v>
      </c>
      <c r="AG137" s="181">
        <v>2.0000000000000002E-5</v>
      </c>
      <c r="AH137" s="181">
        <v>2.0000000000000002E-5</v>
      </c>
      <c r="AI137" s="181">
        <v>2.0000000000000002E-5</v>
      </c>
      <c r="AJ137" s="181">
        <v>2.0000000000000002E-5</v>
      </c>
      <c r="AK137" s="181">
        <v>2.0000000000000002E-5</v>
      </c>
      <c r="AL137" s="181">
        <v>2.0000000000000002E-5</v>
      </c>
      <c r="AM137" s="181">
        <v>2.0000000000000002E-5</v>
      </c>
      <c r="AN137" s="181">
        <v>2.0000000000000002E-5</v>
      </c>
      <c r="AO137" s="181">
        <v>2.0000000000000002E-5</v>
      </c>
      <c r="AP137" s="181">
        <v>2.0000000000000002E-5</v>
      </c>
      <c r="AQ137" s="181">
        <v>2.0000000000000002E-5</v>
      </c>
      <c r="AR137" s="181">
        <v>2.0000000000000002E-5</v>
      </c>
      <c r="AS137" s="157">
        <f t="shared" ref="AS137:BV137" si="105">AR137</f>
        <v>2.0000000000000002E-5</v>
      </c>
      <c r="AT137" s="157">
        <f t="shared" si="105"/>
        <v>2.0000000000000002E-5</v>
      </c>
      <c r="AU137" s="157">
        <f t="shared" si="105"/>
        <v>2.0000000000000002E-5</v>
      </c>
      <c r="AV137" s="157">
        <f t="shared" si="105"/>
        <v>2.0000000000000002E-5</v>
      </c>
      <c r="AW137" s="157">
        <f t="shared" si="105"/>
        <v>2.0000000000000002E-5</v>
      </c>
      <c r="AX137" s="157">
        <f t="shared" si="105"/>
        <v>2.0000000000000002E-5</v>
      </c>
      <c r="AY137" s="157">
        <f t="shared" si="105"/>
        <v>2.0000000000000002E-5</v>
      </c>
      <c r="AZ137" s="157">
        <f t="shared" si="105"/>
        <v>2.0000000000000002E-5</v>
      </c>
      <c r="BA137" s="157">
        <f t="shared" si="105"/>
        <v>2.0000000000000002E-5</v>
      </c>
      <c r="BB137" s="157">
        <f t="shared" si="105"/>
        <v>2.0000000000000002E-5</v>
      </c>
      <c r="BC137" s="157">
        <f t="shared" si="105"/>
        <v>2.0000000000000002E-5</v>
      </c>
      <c r="BD137" s="157">
        <f t="shared" si="105"/>
        <v>2.0000000000000002E-5</v>
      </c>
      <c r="BE137" s="157">
        <f t="shared" si="105"/>
        <v>2.0000000000000002E-5</v>
      </c>
      <c r="BF137" s="157">
        <f t="shared" si="105"/>
        <v>2.0000000000000002E-5</v>
      </c>
      <c r="BG137" s="157">
        <f t="shared" si="105"/>
        <v>2.0000000000000002E-5</v>
      </c>
      <c r="BH137" s="157">
        <f t="shared" si="105"/>
        <v>2.0000000000000002E-5</v>
      </c>
      <c r="BI137" s="157">
        <f t="shared" si="105"/>
        <v>2.0000000000000002E-5</v>
      </c>
      <c r="BJ137" s="157">
        <f t="shared" si="105"/>
        <v>2.0000000000000002E-5</v>
      </c>
      <c r="BK137" s="157">
        <f t="shared" si="105"/>
        <v>2.0000000000000002E-5</v>
      </c>
      <c r="BL137" s="157">
        <f t="shared" si="105"/>
        <v>2.0000000000000002E-5</v>
      </c>
      <c r="BM137" s="157">
        <f t="shared" si="105"/>
        <v>2.0000000000000002E-5</v>
      </c>
      <c r="BN137" s="157">
        <f t="shared" si="105"/>
        <v>2.0000000000000002E-5</v>
      </c>
      <c r="BO137" s="157">
        <f t="shared" si="105"/>
        <v>2.0000000000000002E-5</v>
      </c>
      <c r="BP137" s="157">
        <f t="shared" si="105"/>
        <v>2.0000000000000002E-5</v>
      </c>
      <c r="BQ137" s="157">
        <f t="shared" si="105"/>
        <v>2.0000000000000002E-5</v>
      </c>
      <c r="BR137" s="157">
        <f t="shared" si="105"/>
        <v>2.0000000000000002E-5</v>
      </c>
      <c r="BS137" s="157">
        <f t="shared" si="105"/>
        <v>2.0000000000000002E-5</v>
      </c>
      <c r="BT137" s="157">
        <f t="shared" si="105"/>
        <v>2.0000000000000002E-5</v>
      </c>
      <c r="BU137" s="157">
        <f t="shared" si="105"/>
        <v>2.0000000000000002E-5</v>
      </c>
      <c r="BV137" s="157">
        <f t="shared" si="105"/>
        <v>2.0000000000000002E-5</v>
      </c>
    </row>
    <row r="138" spans="1:74" x14ac:dyDescent="0.25">
      <c r="A138" s="149" t="s">
        <v>221</v>
      </c>
      <c r="B138" s="156" t="s">
        <v>218</v>
      </c>
      <c r="C138" s="170" t="s">
        <v>222</v>
      </c>
      <c r="D138" s="181">
        <v>2E-8</v>
      </c>
      <c r="E138" s="181">
        <v>2E-8</v>
      </c>
      <c r="F138" s="181">
        <v>2E-8</v>
      </c>
      <c r="G138" s="181">
        <v>2E-8</v>
      </c>
      <c r="H138" s="181">
        <v>2E-8</v>
      </c>
      <c r="I138" s="181">
        <v>2E-8</v>
      </c>
      <c r="J138" s="181">
        <v>2E-8</v>
      </c>
      <c r="K138" s="181">
        <v>2E-8</v>
      </c>
      <c r="L138" s="181">
        <v>2E-8</v>
      </c>
      <c r="M138" s="181">
        <v>2E-8</v>
      </c>
      <c r="N138" s="181">
        <v>2E-8</v>
      </c>
      <c r="O138" s="181">
        <v>2E-8</v>
      </c>
      <c r="P138" s="181">
        <v>2E-8</v>
      </c>
      <c r="Q138" s="181">
        <v>2E-8</v>
      </c>
      <c r="R138" s="181">
        <v>2E-8</v>
      </c>
      <c r="S138" s="181">
        <v>2E-8</v>
      </c>
      <c r="T138" s="181">
        <v>2E-8</v>
      </c>
      <c r="U138" s="181">
        <v>2E-8</v>
      </c>
      <c r="V138" s="181">
        <v>2E-8</v>
      </c>
      <c r="W138" s="181">
        <v>2E-8</v>
      </c>
      <c r="X138" s="181">
        <v>2E-8</v>
      </c>
      <c r="Y138" s="181">
        <v>2E-8</v>
      </c>
      <c r="Z138" s="181">
        <v>2E-8</v>
      </c>
      <c r="AA138" s="181">
        <v>2E-8</v>
      </c>
      <c r="AB138" s="181">
        <v>2E-8</v>
      </c>
      <c r="AC138" s="181">
        <v>2E-8</v>
      </c>
      <c r="AD138" s="181">
        <v>2E-8</v>
      </c>
      <c r="AE138" s="181">
        <v>2E-8</v>
      </c>
      <c r="AF138" s="181">
        <v>2E-8</v>
      </c>
      <c r="AG138" s="181">
        <v>2E-8</v>
      </c>
      <c r="AH138" s="181">
        <v>2E-8</v>
      </c>
      <c r="AI138" s="181">
        <v>2E-8</v>
      </c>
      <c r="AJ138" s="181">
        <v>2E-8</v>
      </c>
      <c r="AK138" s="181">
        <v>2E-8</v>
      </c>
      <c r="AL138" s="181">
        <v>2E-8</v>
      </c>
      <c r="AM138" s="181">
        <v>2E-8</v>
      </c>
      <c r="AN138" s="181">
        <v>2E-8</v>
      </c>
      <c r="AO138" s="181">
        <v>2E-8</v>
      </c>
      <c r="AP138" s="181">
        <v>2E-8</v>
      </c>
      <c r="AQ138" s="181">
        <v>2E-8</v>
      </c>
      <c r="AR138" s="181">
        <v>2E-8</v>
      </c>
      <c r="AS138" s="157">
        <f t="shared" ref="AS138:BV138" si="106">AR138</f>
        <v>2E-8</v>
      </c>
      <c r="AT138" s="157">
        <f t="shared" si="106"/>
        <v>2E-8</v>
      </c>
      <c r="AU138" s="157">
        <f t="shared" si="106"/>
        <v>2E-8</v>
      </c>
      <c r="AV138" s="157">
        <f t="shared" si="106"/>
        <v>2E-8</v>
      </c>
      <c r="AW138" s="157">
        <f t="shared" si="106"/>
        <v>2E-8</v>
      </c>
      <c r="AX138" s="157">
        <f t="shared" si="106"/>
        <v>2E-8</v>
      </c>
      <c r="AY138" s="157">
        <f t="shared" si="106"/>
        <v>2E-8</v>
      </c>
      <c r="AZ138" s="157">
        <f t="shared" si="106"/>
        <v>2E-8</v>
      </c>
      <c r="BA138" s="157">
        <f t="shared" si="106"/>
        <v>2E-8</v>
      </c>
      <c r="BB138" s="157">
        <f t="shared" si="106"/>
        <v>2E-8</v>
      </c>
      <c r="BC138" s="157">
        <f t="shared" si="106"/>
        <v>2E-8</v>
      </c>
      <c r="BD138" s="157">
        <f t="shared" si="106"/>
        <v>2E-8</v>
      </c>
      <c r="BE138" s="157">
        <f t="shared" si="106"/>
        <v>2E-8</v>
      </c>
      <c r="BF138" s="157">
        <f t="shared" si="106"/>
        <v>2E-8</v>
      </c>
      <c r="BG138" s="157">
        <f t="shared" si="106"/>
        <v>2E-8</v>
      </c>
      <c r="BH138" s="157">
        <f t="shared" si="106"/>
        <v>2E-8</v>
      </c>
      <c r="BI138" s="157">
        <f t="shared" si="106"/>
        <v>2E-8</v>
      </c>
      <c r="BJ138" s="157">
        <f t="shared" si="106"/>
        <v>2E-8</v>
      </c>
      <c r="BK138" s="157">
        <f t="shared" si="106"/>
        <v>2E-8</v>
      </c>
      <c r="BL138" s="157">
        <f t="shared" si="106"/>
        <v>2E-8</v>
      </c>
      <c r="BM138" s="157">
        <f t="shared" si="106"/>
        <v>2E-8</v>
      </c>
      <c r="BN138" s="157">
        <f t="shared" si="106"/>
        <v>2E-8</v>
      </c>
      <c r="BO138" s="157">
        <f t="shared" si="106"/>
        <v>2E-8</v>
      </c>
      <c r="BP138" s="157">
        <f t="shared" si="106"/>
        <v>2E-8</v>
      </c>
      <c r="BQ138" s="157">
        <f t="shared" si="106"/>
        <v>2E-8</v>
      </c>
      <c r="BR138" s="157">
        <f t="shared" si="106"/>
        <v>2E-8</v>
      </c>
      <c r="BS138" s="157">
        <f t="shared" si="106"/>
        <v>2E-8</v>
      </c>
      <c r="BT138" s="157">
        <f t="shared" si="106"/>
        <v>2E-8</v>
      </c>
      <c r="BU138" s="157">
        <f t="shared" si="106"/>
        <v>2E-8</v>
      </c>
      <c r="BV138" s="157">
        <f t="shared" si="106"/>
        <v>2E-8</v>
      </c>
    </row>
    <row r="139" spans="1:74" x14ac:dyDescent="0.25">
      <c r="A139" s="149" t="s">
        <v>223</v>
      </c>
      <c r="B139" s="156" t="s">
        <v>207</v>
      </c>
      <c r="C139" s="159" t="s">
        <v>243</v>
      </c>
      <c r="D139" s="179">
        <v>2.0000000000000002E-5</v>
      </c>
      <c r="E139" s="182">
        <v>2.0000000000000002E-5</v>
      </c>
      <c r="F139" s="182">
        <v>2.0000000000000002E-5</v>
      </c>
      <c r="G139" s="182">
        <v>2.0000000000000002E-5</v>
      </c>
      <c r="H139" s="182">
        <v>2.0000000000000002E-5</v>
      </c>
      <c r="I139" s="182">
        <v>2.0000000000000002E-5</v>
      </c>
      <c r="J139" s="182">
        <v>2.0000000000000002E-5</v>
      </c>
      <c r="K139" s="182">
        <v>2.0000000000000002E-5</v>
      </c>
      <c r="L139" s="182">
        <v>2.0000000000000002E-5</v>
      </c>
      <c r="M139" s="182">
        <v>2.0000000000000002E-5</v>
      </c>
      <c r="N139" s="182">
        <v>2.0000000000000002E-5</v>
      </c>
      <c r="O139" s="182">
        <v>2.0000000000000002E-5</v>
      </c>
      <c r="P139" s="182">
        <v>2.0000000000000002E-5</v>
      </c>
      <c r="Q139" s="182">
        <v>2.0000000000000002E-5</v>
      </c>
      <c r="R139" s="182">
        <v>2.0000000000000002E-5</v>
      </c>
      <c r="S139" s="182">
        <v>2.0000000000000002E-5</v>
      </c>
      <c r="T139" s="182">
        <v>2.0000000000000002E-5</v>
      </c>
      <c r="U139" s="182">
        <v>2.0000000000000002E-5</v>
      </c>
      <c r="V139" s="182">
        <v>2.0000000000000002E-5</v>
      </c>
      <c r="W139" s="182">
        <v>2.0000000000000002E-5</v>
      </c>
      <c r="X139" s="182">
        <v>2.0000000000000002E-5</v>
      </c>
      <c r="Y139" s="182">
        <v>2.0000000000000002E-5</v>
      </c>
      <c r="Z139" s="182">
        <v>2.0000000000000002E-5</v>
      </c>
      <c r="AA139" s="182">
        <v>2.0000000000000002E-5</v>
      </c>
      <c r="AB139" s="182">
        <v>2.0000000000000002E-5</v>
      </c>
      <c r="AC139" s="182">
        <v>2.0000000000000002E-5</v>
      </c>
      <c r="AD139" s="182">
        <v>2.0000000000000002E-5</v>
      </c>
      <c r="AE139" s="182">
        <v>2.0000000000000002E-5</v>
      </c>
      <c r="AF139" s="182">
        <v>2.0000000000000002E-5</v>
      </c>
      <c r="AG139" s="182">
        <v>2.0000000000000002E-5</v>
      </c>
      <c r="AH139" s="182">
        <v>2.0000000000000002E-5</v>
      </c>
      <c r="AI139" s="182">
        <v>2.0000000000000002E-5</v>
      </c>
      <c r="AJ139" s="182">
        <v>2.0000000000000002E-5</v>
      </c>
      <c r="AK139" s="182">
        <v>2.0000000000000002E-5</v>
      </c>
      <c r="AL139" s="182">
        <v>2.0000000000000002E-5</v>
      </c>
      <c r="AM139" s="182">
        <v>2.0000000000000002E-5</v>
      </c>
      <c r="AN139" s="182">
        <v>2.0000000000000002E-5</v>
      </c>
      <c r="AO139" s="182">
        <v>2.0000000000000002E-5</v>
      </c>
      <c r="AP139" s="182">
        <v>2.0000000000000002E-5</v>
      </c>
      <c r="AQ139" s="182">
        <v>2.0000000000000002E-5</v>
      </c>
      <c r="AR139" s="182">
        <v>2.0000000000000002E-5</v>
      </c>
      <c r="AS139" s="157">
        <f t="shared" ref="AS139:BV139" si="107">AR139</f>
        <v>2.0000000000000002E-5</v>
      </c>
      <c r="AT139" s="157">
        <f t="shared" si="107"/>
        <v>2.0000000000000002E-5</v>
      </c>
      <c r="AU139" s="157">
        <f t="shared" si="107"/>
        <v>2.0000000000000002E-5</v>
      </c>
      <c r="AV139" s="157">
        <f t="shared" si="107"/>
        <v>2.0000000000000002E-5</v>
      </c>
      <c r="AW139" s="157">
        <f t="shared" si="107"/>
        <v>2.0000000000000002E-5</v>
      </c>
      <c r="AX139" s="157">
        <f t="shared" si="107"/>
        <v>2.0000000000000002E-5</v>
      </c>
      <c r="AY139" s="157">
        <f t="shared" si="107"/>
        <v>2.0000000000000002E-5</v>
      </c>
      <c r="AZ139" s="157">
        <f t="shared" si="107"/>
        <v>2.0000000000000002E-5</v>
      </c>
      <c r="BA139" s="157">
        <f t="shared" si="107"/>
        <v>2.0000000000000002E-5</v>
      </c>
      <c r="BB139" s="157">
        <f t="shared" si="107"/>
        <v>2.0000000000000002E-5</v>
      </c>
      <c r="BC139" s="157">
        <f t="shared" si="107"/>
        <v>2.0000000000000002E-5</v>
      </c>
      <c r="BD139" s="157">
        <f t="shared" si="107"/>
        <v>2.0000000000000002E-5</v>
      </c>
      <c r="BE139" s="157">
        <f t="shared" si="107"/>
        <v>2.0000000000000002E-5</v>
      </c>
      <c r="BF139" s="157">
        <f t="shared" si="107"/>
        <v>2.0000000000000002E-5</v>
      </c>
      <c r="BG139" s="157">
        <f t="shared" si="107"/>
        <v>2.0000000000000002E-5</v>
      </c>
      <c r="BH139" s="157">
        <f t="shared" si="107"/>
        <v>2.0000000000000002E-5</v>
      </c>
      <c r="BI139" s="157">
        <f t="shared" si="107"/>
        <v>2.0000000000000002E-5</v>
      </c>
      <c r="BJ139" s="157">
        <f t="shared" si="107"/>
        <v>2.0000000000000002E-5</v>
      </c>
      <c r="BK139" s="157">
        <f t="shared" si="107"/>
        <v>2.0000000000000002E-5</v>
      </c>
      <c r="BL139" s="157">
        <f t="shared" si="107"/>
        <v>2.0000000000000002E-5</v>
      </c>
      <c r="BM139" s="157">
        <f t="shared" si="107"/>
        <v>2.0000000000000002E-5</v>
      </c>
      <c r="BN139" s="157">
        <f t="shared" si="107"/>
        <v>2.0000000000000002E-5</v>
      </c>
      <c r="BO139" s="157">
        <f t="shared" si="107"/>
        <v>2.0000000000000002E-5</v>
      </c>
      <c r="BP139" s="157">
        <f t="shared" si="107"/>
        <v>2.0000000000000002E-5</v>
      </c>
      <c r="BQ139" s="157">
        <f t="shared" si="107"/>
        <v>2.0000000000000002E-5</v>
      </c>
      <c r="BR139" s="157">
        <f t="shared" si="107"/>
        <v>2.0000000000000002E-5</v>
      </c>
      <c r="BS139" s="157">
        <f t="shared" si="107"/>
        <v>2.0000000000000002E-5</v>
      </c>
      <c r="BT139" s="157">
        <f t="shared" si="107"/>
        <v>2.0000000000000002E-5</v>
      </c>
      <c r="BU139" s="157">
        <f t="shared" si="107"/>
        <v>2.0000000000000002E-5</v>
      </c>
      <c r="BV139" s="157">
        <f t="shared" si="107"/>
        <v>2.0000000000000002E-5</v>
      </c>
    </row>
    <row r="140" spans="1:74" x14ac:dyDescent="0.25">
      <c r="A140" s="149" t="s">
        <v>279</v>
      </c>
      <c r="B140" s="150" t="s">
        <v>207</v>
      </c>
      <c r="C140" s="159" t="s">
        <v>243</v>
      </c>
      <c r="D140" s="179">
        <v>6.3999999999999997E-5</v>
      </c>
      <c r="E140" s="182">
        <v>6.3999999999999997E-5</v>
      </c>
      <c r="F140" s="182">
        <v>6.3999999999999997E-5</v>
      </c>
      <c r="G140" s="182">
        <v>6.3999999999999997E-5</v>
      </c>
      <c r="H140" s="182">
        <v>6.3999999999999997E-5</v>
      </c>
      <c r="I140" s="182">
        <v>6.3999999999999997E-5</v>
      </c>
      <c r="J140" s="182">
        <v>6.3999999999999997E-5</v>
      </c>
      <c r="K140" s="182">
        <v>6.3999999999999997E-5</v>
      </c>
      <c r="L140" s="182">
        <v>6.3999999999999997E-5</v>
      </c>
      <c r="M140" s="182">
        <v>6.3999999999999997E-5</v>
      </c>
      <c r="N140" s="182">
        <v>6.3999999999999997E-5</v>
      </c>
      <c r="O140" s="182">
        <v>6.3999999999999997E-5</v>
      </c>
      <c r="P140" s="182">
        <v>6.3999999999999997E-5</v>
      </c>
      <c r="Q140" s="182">
        <v>6.3999999999999997E-5</v>
      </c>
      <c r="R140" s="182">
        <v>6.3999999999999997E-5</v>
      </c>
      <c r="S140" s="182">
        <v>6.3999999999999997E-5</v>
      </c>
      <c r="T140" s="182">
        <v>6.3999999999999997E-5</v>
      </c>
      <c r="U140" s="182">
        <v>6.3999999999999997E-5</v>
      </c>
      <c r="V140" s="182">
        <v>6.3999999999999997E-5</v>
      </c>
      <c r="W140" s="182">
        <v>6.3999999999999997E-5</v>
      </c>
      <c r="X140" s="182">
        <v>6.3999999999999997E-5</v>
      </c>
      <c r="Y140" s="182">
        <v>6.3999999999999997E-5</v>
      </c>
      <c r="Z140" s="182">
        <v>6.3999999999999997E-5</v>
      </c>
      <c r="AA140" s="182">
        <v>6.3999999999999997E-5</v>
      </c>
      <c r="AB140" s="182">
        <v>6.3999999999999997E-5</v>
      </c>
      <c r="AC140" s="182">
        <v>6.3999999999999997E-5</v>
      </c>
      <c r="AD140" s="182">
        <v>6.3999999999999997E-5</v>
      </c>
      <c r="AE140" s="182">
        <v>6.3999999999999997E-5</v>
      </c>
      <c r="AF140" s="182">
        <v>6.3999999999999997E-5</v>
      </c>
      <c r="AG140" s="182">
        <v>6.3999999999999997E-5</v>
      </c>
      <c r="AH140" s="182">
        <v>6.3999999999999997E-5</v>
      </c>
      <c r="AI140" s="182">
        <v>6.3999999999999997E-5</v>
      </c>
      <c r="AJ140" s="182">
        <v>6.3999999999999997E-5</v>
      </c>
      <c r="AK140" s="182">
        <v>6.3999999999999997E-5</v>
      </c>
      <c r="AL140" s="182">
        <v>6.3999999999999997E-5</v>
      </c>
      <c r="AM140" s="182">
        <v>6.3999999999999997E-5</v>
      </c>
      <c r="AN140" s="182">
        <v>6.3999999999999997E-5</v>
      </c>
      <c r="AO140" s="182">
        <v>6.3999999999999997E-5</v>
      </c>
      <c r="AP140" s="182">
        <v>6.3999999999999997E-5</v>
      </c>
      <c r="AQ140" s="182">
        <v>6.3999999999999997E-5</v>
      </c>
      <c r="AR140" s="182">
        <v>6.3999999999999997E-5</v>
      </c>
      <c r="AS140" s="157">
        <f t="shared" ref="AS140:BV140" si="108">AR140</f>
        <v>6.3999999999999997E-5</v>
      </c>
      <c r="AT140" s="157">
        <f t="shared" si="108"/>
        <v>6.3999999999999997E-5</v>
      </c>
      <c r="AU140" s="157">
        <f t="shared" si="108"/>
        <v>6.3999999999999997E-5</v>
      </c>
      <c r="AV140" s="157">
        <f t="shared" si="108"/>
        <v>6.3999999999999997E-5</v>
      </c>
      <c r="AW140" s="157">
        <f t="shared" si="108"/>
        <v>6.3999999999999997E-5</v>
      </c>
      <c r="AX140" s="157">
        <f t="shared" si="108"/>
        <v>6.3999999999999997E-5</v>
      </c>
      <c r="AY140" s="157">
        <f t="shared" si="108"/>
        <v>6.3999999999999997E-5</v>
      </c>
      <c r="AZ140" s="157">
        <f t="shared" si="108"/>
        <v>6.3999999999999997E-5</v>
      </c>
      <c r="BA140" s="157">
        <f t="shared" si="108"/>
        <v>6.3999999999999997E-5</v>
      </c>
      <c r="BB140" s="157">
        <f t="shared" si="108"/>
        <v>6.3999999999999997E-5</v>
      </c>
      <c r="BC140" s="157">
        <f t="shared" si="108"/>
        <v>6.3999999999999997E-5</v>
      </c>
      <c r="BD140" s="157">
        <f t="shared" si="108"/>
        <v>6.3999999999999997E-5</v>
      </c>
      <c r="BE140" s="157">
        <f t="shared" si="108"/>
        <v>6.3999999999999997E-5</v>
      </c>
      <c r="BF140" s="157">
        <f t="shared" si="108"/>
        <v>6.3999999999999997E-5</v>
      </c>
      <c r="BG140" s="157">
        <f t="shared" si="108"/>
        <v>6.3999999999999997E-5</v>
      </c>
      <c r="BH140" s="157">
        <f t="shared" si="108"/>
        <v>6.3999999999999997E-5</v>
      </c>
      <c r="BI140" s="157">
        <f t="shared" si="108"/>
        <v>6.3999999999999997E-5</v>
      </c>
      <c r="BJ140" s="157">
        <f t="shared" si="108"/>
        <v>6.3999999999999997E-5</v>
      </c>
      <c r="BK140" s="157">
        <f t="shared" si="108"/>
        <v>6.3999999999999997E-5</v>
      </c>
      <c r="BL140" s="157">
        <f t="shared" si="108"/>
        <v>6.3999999999999997E-5</v>
      </c>
      <c r="BM140" s="157">
        <f t="shared" si="108"/>
        <v>6.3999999999999997E-5</v>
      </c>
      <c r="BN140" s="157">
        <f t="shared" si="108"/>
        <v>6.3999999999999997E-5</v>
      </c>
      <c r="BO140" s="157">
        <f t="shared" si="108"/>
        <v>6.3999999999999997E-5</v>
      </c>
      <c r="BP140" s="157">
        <f t="shared" si="108"/>
        <v>6.3999999999999997E-5</v>
      </c>
      <c r="BQ140" s="157">
        <f t="shared" si="108"/>
        <v>6.3999999999999997E-5</v>
      </c>
      <c r="BR140" s="157">
        <f t="shared" si="108"/>
        <v>6.3999999999999997E-5</v>
      </c>
      <c r="BS140" s="157">
        <f t="shared" si="108"/>
        <v>6.3999999999999997E-5</v>
      </c>
      <c r="BT140" s="157">
        <f t="shared" si="108"/>
        <v>6.3999999999999997E-5</v>
      </c>
      <c r="BU140" s="157">
        <f t="shared" si="108"/>
        <v>6.3999999999999997E-5</v>
      </c>
      <c r="BV140" s="157">
        <f t="shared" si="108"/>
        <v>6.3999999999999997E-5</v>
      </c>
    </row>
    <row r="141" spans="1:74" x14ac:dyDescent="0.25">
      <c r="A141" s="149" t="s">
        <v>224</v>
      </c>
      <c r="B141" s="150" t="s">
        <v>207</v>
      </c>
      <c r="C141" s="159" t="s">
        <v>243</v>
      </c>
      <c r="D141" s="179">
        <v>3.1000000000000001E-5</v>
      </c>
      <c r="E141" s="182">
        <v>3.1000000000000001E-5</v>
      </c>
      <c r="F141" s="182">
        <v>3.1000000000000001E-5</v>
      </c>
      <c r="G141" s="182">
        <v>3.1000000000000001E-5</v>
      </c>
      <c r="H141" s="182">
        <v>3.1000000000000001E-5</v>
      </c>
      <c r="I141" s="182">
        <v>3.1000000000000001E-5</v>
      </c>
      <c r="J141" s="182">
        <v>3.1000000000000001E-5</v>
      </c>
      <c r="K141" s="182">
        <v>3.1000000000000001E-5</v>
      </c>
      <c r="L141" s="182">
        <v>3.1000000000000001E-5</v>
      </c>
      <c r="M141" s="182">
        <v>3.1000000000000001E-5</v>
      </c>
      <c r="N141" s="182">
        <v>3.1000000000000001E-5</v>
      </c>
      <c r="O141" s="182">
        <v>3.1000000000000001E-5</v>
      </c>
      <c r="P141" s="182">
        <v>3.1000000000000001E-5</v>
      </c>
      <c r="Q141" s="182">
        <v>3.1000000000000001E-5</v>
      </c>
      <c r="R141" s="182">
        <v>3.1000000000000001E-5</v>
      </c>
      <c r="S141" s="182">
        <v>3.1000000000000001E-5</v>
      </c>
      <c r="T141" s="182">
        <v>3.1000000000000001E-5</v>
      </c>
      <c r="U141" s="182">
        <v>3.1000000000000001E-5</v>
      </c>
      <c r="V141" s="182">
        <v>3.1000000000000001E-5</v>
      </c>
      <c r="W141" s="182">
        <v>3.1000000000000001E-5</v>
      </c>
      <c r="X141" s="182">
        <v>3.1000000000000001E-5</v>
      </c>
      <c r="Y141" s="182">
        <v>3.1000000000000001E-5</v>
      </c>
      <c r="Z141" s="182">
        <v>3.1000000000000001E-5</v>
      </c>
      <c r="AA141" s="182">
        <v>3.1000000000000001E-5</v>
      </c>
      <c r="AB141" s="182">
        <v>3.1000000000000001E-5</v>
      </c>
      <c r="AC141" s="182">
        <v>3.1000000000000001E-5</v>
      </c>
      <c r="AD141" s="182">
        <v>3.1000000000000001E-5</v>
      </c>
      <c r="AE141" s="182">
        <v>3.1000000000000001E-5</v>
      </c>
      <c r="AF141" s="182">
        <v>3.1000000000000001E-5</v>
      </c>
      <c r="AG141" s="182">
        <v>3.1000000000000001E-5</v>
      </c>
      <c r="AH141" s="182">
        <v>3.1000000000000001E-5</v>
      </c>
      <c r="AI141" s="182">
        <v>3.1000000000000001E-5</v>
      </c>
      <c r="AJ141" s="182">
        <v>3.1000000000000001E-5</v>
      </c>
      <c r="AK141" s="182">
        <v>3.1000000000000001E-5</v>
      </c>
      <c r="AL141" s="182">
        <v>3.1000000000000001E-5</v>
      </c>
      <c r="AM141" s="182">
        <v>3.1000000000000001E-5</v>
      </c>
      <c r="AN141" s="182">
        <v>3.1000000000000001E-5</v>
      </c>
      <c r="AO141" s="182">
        <v>3.1000000000000001E-5</v>
      </c>
      <c r="AP141" s="182">
        <v>3.1000000000000001E-5</v>
      </c>
      <c r="AQ141" s="182">
        <v>3.1000000000000001E-5</v>
      </c>
      <c r="AR141" s="182">
        <v>3.1000000000000001E-5</v>
      </c>
      <c r="AS141" s="157">
        <f t="shared" ref="AS141:BV141" si="109">AR141</f>
        <v>3.1000000000000001E-5</v>
      </c>
      <c r="AT141" s="157">
        <f t="shared" si="109"/>
        <v>3.1000000000000001E-5</v>
      </c>
      <c r="AU141" s="157">
        <f t="shared" si="109"/>
        <v>3.1000000000000001E-5</v>
      </c>
      <c r="AV141" s="157">
        <f t="shared" si="109"/>
        <v>3.1000000000000001E-5</v>
      </c>
      <c r="AW141" s="157">
        <f t="shared" si="109"/>
        <v>3.1000000000000001E-5</v>
      </c>
      <c r="AX141" s="157">
        <f t="shared" si="109"/>
        <v>3.1000000000000001E-5</v>
      </c>
      <c r="AY141" s="157">
        <f t="shared" si="109"/>
        <v>3.1000000000000001E-5</v>
      </c>
      <c r="AZ141" s="157">
        <f t="shared" si="109"/>
        <v>3.1000000000000001E-5</v>
      </c>
      <c r="BA141" s="157">
        <f t="shared" si="109"/>
        <v>3.1000000000000001E-5</v>
      </c>
      <c r="BB141" s="157">
        <f t="shared" si="109"/>
        <v>3.1000000000000001E-5</v>
      </c>
      <c r="BC141" s="157">
        <f t="shared" si="109"/>
        <v>3.1000000000000001E-5</v>
      </c>
      <c r="BD141" s="157">
        <f t="shared" si="109"/>
        <v>3.1000000000000001E-5</v>
      </c>
      <c r="BE141" s="157">
        <f t="shared" si="109"/>
        <v>3.1000000000000001E-5</v>
      </c>
      <c r="BF141" s="157">
        <f t="shared" si="109"/>
        <v>3.1000000000000001E-5</v>
      </c>
      <c r="BG141" s="157">
        <f t="shared" si="109"/>
        <v>3.1000000000000001E-5</v>
      </c>
      <c r="BH141" s="157">
        <f t="shared" si="109"/>
        <v>3.1000000000000001E-5</v>
      </c>
      <c r="BI141" s="157">
        <f t="shared" si="109"/>
        <v>3.1000000000000001E-5</v>
      </c>
      <c r="BJ141" s="157">
        <f t="shared" si="109"/>
        <v>3.1000000000000001E-5</v>
      </c>
      <c r="BK141" s="157">
        <f t="shared" si="109"/>
        <v>3.1000000000000001E-5</v>
      </c>
      <c r="BL141" s="157">
        <f t="shared" si="109"/>
        <v>3.1000000000000001E-5</v>
      </c>
      <c r="BM141" s="157">
        <f t="shared" si="109"/>
        <v>3.1000000000000001E-5</v>
      </c>
      <c r="BN141" s="157">
        <f t="shared" si="109"/>
        <v>3.1000000000000001E-5</v>
      </c>
      <c r="BO141" s="157">
        <f t="shared" si="109"/>
        <v>3.1000000000000001E-5</v>
      </c>
      <c r="BP141" s="157">
        <f t="shared" si="109"/>
        <v>3.1000000000000001E-5</v>
      </c>
      <c r="BQ141" s="157">
        <f t="shared" si="109"/>
        <v>3.1000000000000001E-5</v>
      </c>
      <c r="BR141" s="157">
        <f t="shared" si="109"/>
        <v>3.1000000000000001E-5</v>
      </c>
      <c r="BS141" s="157">
        <f t="shared" si="109"/>
        <v>3.1000000000000001E-5</v>
      </c>
      <c r="BT141" s="157">
        <f t="shared" si="109"/>
        <v>3.1000000000000001E-5</v>
      </c>
      <c r="BU141" s="157">
        <f t="shared" si="109"/>
        <v>3.1000000000000001E-5</v>
      </c>
      <c r="BV141" s="157">
        <f t="shared" si="109"/>
        <v>3.1000000000000001E-5</v>
      </c>
    </row>
    <row r="142" spans="1:74" x14ac:dyDescent="0.25">
      <c r="A142" s="155" t="s">
        <v>13</v>
      </c>
      <c r="B142" s="159" t="s">
        <v>207</v>
      </c>
      <c r="C142" s="159" t="s">
        <v>243</v>
      </c>
      <c r="D142" s="179">
        <v>3.1000000000000001E-5</v>
      </c>
      <c r="E142" s="182">
        <v>3.1000000000000001E-5</v>
      </c>
      <c r="F142" s="182">
        <v>3.1000000000000001E-5</v>
      </c>
      <c r="G142" s="182">
        <v>3.1000000000000001E-5</v>
      </c>
      <c r="H142" s="182">
        <v>3.1000000000000001E-5</v>
      </c>
      <c r="I142" s="182">
        <v>3.1000000000000001E-5</v>
      </c>
      <c r="J142" s="182">
        <v>3.1000000000000001E-5</v>
      </c>
      <c r="K142" s="182">
        <v>3.1000000000000001E-5</v>
      </c>
      <c r="L142" s="182">
        <v>3.1000000000000001E-5</v>
      </c>
      <c r="M142" s="182">
        <v>3.1000000000000001E-5</v>
      </c>
      <c r="N142" s="182">
        <v>3.1000000000000001E-5</v>
      </c>
      <c r="O142" s="182">
        <v>3.1000000000000001E-5</v>
      </c>
      <c r="P142" s="182">
        <v>3.1000000000000001E-5</v>
      </c>
      <c r="Q142" s="182">
        <v>3.1000000000000001E-5</v>
      </c>
      <c r="R142" s="182">
        <v>3.1000000000000001E-5</v>
      </c>
      <c r="S142" s="182">
        <v>3.1000000000000001E-5</v>
      </c>
      <c r="T142" s="182">
        <v>3.1000000000000001E-5</v>
      </c>
      <c r="U142" s="182">
        <v>3.1000000000000001E-5</v>
      </c>
      <c r="V142" s="182">
        <v>3.1000000000000001E-5</v>
      </c>
      <c r="W142" s="182">
        <v>3.1000000000000001E-5</v>
      </c>
      <c r="X142" s="182">
        <v>3.1000000000000001E-5</v>
      </c>
      <c r="Y142" s="182">
        <v>3.1000000000000001E-5</v>
      </c>
      <c r="Z142" s="182">
        <v>3.1000000000000001E-5</v>
      </c>
      <c r="AA142" s="182">
        <v>3.1000000000000001E-5</v>
      </c>
      <c r="AB142" s="182">
        <v>3.1000000000000001E-5</v>
      </c>
      <c r="AC142" s="182">
        <v>3.1000000000000001E-5</v>
      </c>
      <c r="AD142" s="182">
        <v>3.1000000000000001E-5</v>
      </c>
      <c r="AE142" s="182">
        <v>3.1000000000000001E-5</v>
      </c>
      <c r="AF142" s="182">
        <v>3.1000000000000001E-5</v>
      </c>
      <c r="AG142" s="182">
        <v>3.1000000000000001E-5</v>
      </c>
      <c r="AH142" s="182">
        <v>3.1000000000000001E-5</v>
      </c>
      <c r="AI142" s="182">
        <v>3.1000000000000001E-5</v>
      </c>
      <c r="AJ142" s="182">
        <v>3.1000000000000001E-5</v>
      </c>
      <c r="AK142" s="182">
        <v>3.1000000000000001E-5</v>
      </c>
      <c r="AL142" s="182">
        <v>3.1000000000000001E-5</v>
      </c>
      <c r="AM142" s="182">
        <v>3.1000000000000001E-5</v>
      </c>
      <c r="AN142" s="182">
        <v>3.1000000000000001E-5</v>
      </c>
      <c r="AO142" s="182">
        <v>3.1000000000000001E-5</v>
      </c>
      <c r="AP142" s="182">
        <v>3.1000000000000001E-5</v>
      </c>
      <c r="AQ142" s="182">
        <v>3.1000000000000001E-5</v>
      </c>
      <c r="AR142" s="182">
        <v>3.1000000000000001E-5</v>
      </c>
      <c r="AS142" s="157">
        <f t="shared" ref="AS142:BV142" si="110">AR142</f>
        <v>3.1000000000000001E-5</v>
      </c>
      <c r="AT142" s="157">
        <f t="shared" si="110"/>
        <v>3.1000000000000001E-5</v>
      </c>
      <c r="AU142" s="157">
        <f t="shared" si="110"/>
        <v>3.1000000000000001E-5</v>
      </c>
      <c r="AV142" s="157">
        <f t="shared" si="110"/>
        <v>3.1000000000000001E-5</v>
      </c>
      <c r="AW142" s="157">
        <f t="shared" si="110"/>
        <v>3.1000000000000001E-5</v>
      </c>
      <c r="AX142" s="157">
        <f t="shared" si="110"/>
        <v>3.1000000000000001E-5</v>
      </c>
      <c r="AY142" s="157">
        <f t="shared" si="110"/>
        <v>3.1000000000000001E-5</v>
      </c>
      <c r="AZ142" s="157">
        <f t="shared" si="110"/>
        <v>3.1000000000000001E-5</v>
      </c>
      <c r="BA142" s="157">
        <f t="shared" si="110"/>
        <v>3.1000000000000001E-5</v>
      </c>
      <c r="BB142" s="157">
        <f t="shared" si="110"/>
        <v>3.1000000000000001E-5</v>
      </c>
      <c r="BC142" s="157">
        <f t="shared" si="110"/>
        <v>3.1000000000000001E-5</v>
      </c>
      <c r="BD142" s="157">
        <f t="shared" si="110"/>
        <v>3.1000000000000001E-5</v>
      </c>
      <c r="BE142" s="157">
        <f t="shared" si="110"/>
        <v>3.1000000000000001E-5</v>
      </c>
      <c r="BF142" s="157">
        <f t="shared" si="110"/>
        <v>3.1000000000000001E-5</v>
      </c>
      <c r="BG142" s="157">
        <f t="shared" si="110"/>
        <v>3.1000000000000001E-5</v>
      </c>
      <c r="BH142" s="157">
        <f t="shared" si="110"/>
        <v>3.1000000000000001E-5</v>
      </c>
      <c r="BI142" s="157">
        <f t="shared" si="110"/>
        <v>3.1000000000000001E-5</v>
      </c>
      <c r="BJ142" s="157">
        <f t="shared" si="110"/>
        <v>3.1000000000000001E-5</v>
      </c>
      <c r="BK142" s="157">
        <f t="shared" si="110"/>
        <v>3.1000000000000001E-5</v>
      </c>
      <c r="BL142" s="157">
        <f t="shared" si="110"/>
        <v>3.1000000000000001E-5</v>
      </c>
      <c r="BM142" s="157">
        <f t="shared" si="110"/>
        <v>3.1000000000000001E-5</v>
      </c>
      <c r="BN142" s="157">
        <f t="shared" si="110"/>
        <v>3.1000000000000001E-5</v>
      </c>
      <c r="BO142" s="157">
        <f t="shared" si="110"/>
        <v>3.1000000000000001E-5</v>
      </c>
      <c r="BP142" s="157">
        <f t="shared" si="110"/>
        <v>3.1000000000000001E-5</v>
      </c>
      <c r="BQ142" s="157">
        <f t="shared" si="110"/>
        <v>3.1000000000000001E-5</v>
      </c>
      <c r="BR142" s="157">
        <f t="shared" si="110"/>
        <v>3.1000000000000001E-5</v>
      </c>
      <c r="BS142" s="157">
        <f t="shared" si="110"/>
        <v>3.1000000000000001E-5</v>
      </c>
      <c r="BT142" s="157">
        <f t="shared" si="110"/>
        <v>3.1000000000000001E-5</v>
      </c>
      <c r="BU142" s="157">
        <f t="shared" si="110"/>
        <v>3.1000000000000001E-5</v>
      </c>
      <c r="BV142" s="157">
        <f t="shared" si="110"/>
        <v>3.1000000000000001E-5</v>
      </c>
    </row>
    <row r="143" spans="1:74" x14ac:dyDescent="0.25">
      <c r="A143" s="155" t="s">
        <v>227</v>
      </c>
      <c r="B143" s="159" t="s">
        <v>207</v>
      </c>
      <c r="C143" s="170" t="s">
        <v>228</v>
      </c>
      <c r="D143" s="181">
        <v>1.08E-4</v>
      </c>
      <c r="E143" s="181">
        <v>1.08E-4</v>
      </c>
      <c r="F143" s="181">
        <v>1.08E-4</v>
      </c>
      <c r="G143" s="181">
        <v>1.08E-4</v>
      </c>
      <c r="H143" s="181">
        <v>1.08E-4</v>
      </c>
      <c r="I143" s="181">
        <v>1.08E-4</v>
      </c>
      <c r="J143" s="181">
        <v>1.08E-4</v>
      </c>
      <c r="K143" s="181">
        <v>1.08E-4</v>
      </c>
      <c r="L143" s="181">
        <v>1.08E-4</v>
      </c>
      <c r="M143" s="181">
        <v>1.08E-4</v>
      </c>
      <c r="N143" s="181">
        <v>1.08E-4</v>
      </c>
      <c r="O143" s="181">
        <v>1.08E-4</v>
      </c>
      <c r="P143" s="181">
        <v>1.08E-4</v>
      </c>
      <c r="Q143" s="181">
        <v>1.08E-4</v>
      </c>
      <c r="R143" s="181">
        <v>1.08E-4</v>
      </c>
      <c r="S143" s="181">
        <v>1.08E-4</v>
      </c>
      <c r="T143" s="181">
        <v>1.08E-4</v>
      </c>
      <c r="U143" s="181">
        <v>1.08E-4</v>
      </c>
      <c r="V143" s="181">
        <v>1.08E-4</v>
      </c>
      <c r="W143" s="181">
        <v>1.08E-4</v>
      </c>
      <c r="X143" s="181">
        <v>1.08E-4</v>
      </c>
      <c r="Y143" s="181">
        <v>1.08E-4</v>
      </c>
      <c r="Z143" s="181">
        <v>1.08E-4</v>
      </c>
      <c r="AA143" s="181">
        <v>1.08E-4</v>
      </c>
      <c r="AB143" s="181">
        <v>1.08E-4</v>
      </c>
      <c r="AC143" s="181">
        <v>1.08E-4</v>
      </c>
      <c r="AD143" s="181">
        <v>1.08E-4</v>
      </c>
      <c r="AE143" s="181">
        <v>1.08E-4</v>
      </c>
      <c r="AF143" s="181">
        <v>1.08E-4</v>
      </c>
      <c r="AG143" s="181">
        <v>1.08E-4</v>
      </c>
      <c r="AH143" s="181">
        <v>1.08E-4</v>
      </c>
      <c r="AI143" s="181">
        <v>1.08E-4</v>
      </c>
      <c r="AJ143" s="181">
        <v>1.08E-4</v>
      </c>
      <c r="AK143" s="181">
        <v>1.08E-4</v>
      </c>
      <c r="AL143" s="181">
        <v>1.08E-4</v>
      </c>
      <c r="AM143" s="181">
        <v>1.08E-4</v>
      </c>
      <c r="AN143" s="181">
        <v>1.08E-4</v>
      </c>
      <c r="AO143" s="181">
        <v>1.08E-4</v>
      </c>
      <c r="AP143" s="181">
        <v>1.08E-4</v>
      </c>
      <c r="AQ143" s="181">
        <v>1.08E-4</v>
      </c>
      <c r="AR143" s="181">
        <v>1.08E-4</v>
      </c>
      <c r="AS143" s="157">
        <f t="shared" ref="AS143:BV143" si="111">AR143</f>
        <v>1.08E-4</v>
      </c>
      <c r="AT143" s="157">
        <f t="shared" si="111"/>
        <v>1.08E-4</v>
      </c>
      <c r="AU143" s="157">
        <f t="shared" si="111"/>
        <v>1.08E-4</v>
      </c>
      <c r="AV143" s="157">
        <f t="shared" si="111"/>
        <v>1.08E-4</v>
      </c>
      <c r="AW143" s="157">
        <f t="shared" si="111"/>
        <v>1.08E-4</v>
      </c>
      <c r="AX143" s="157">
        <f t="shared" si="111"/>
        <v>1.08E-4</v>
      </c>
      <c r="AY143" s="157">
        <f t="shared" si="111"/>
        <v>1.08E-4</v>
      </c>
      <c r="AZ143" s="157">
        <f t="shared" si="111"/>
        <v>1.08E-4</v>
      </c>
      <c r="BA143" s="157">
        <f t="shared" si="111"/>
        <v>1.08E-4</v>
      </c>
      <c r="BB143" s="157">
        <f t="shared" si="111"/>
        <v>1.08E-4</v>
      </c>
      <c r="BC143" s="157">
        <f t="shared" si="111"/>
        <v>1.08E-4</v>
      </c>
      <c r="BD143" s="157">
        <f t="shared" si="111"/>
        <v>1.08E-4</v>
      </c>
      <c r="BE143" s="157">
        <f t="shared" si="111"/>
        <v>1.08E-4</v>
      </c>
      <c r="BF143" s="157">
        <f t="shared" si="111"/>
        <v>1.08E-4</v>
      </c>
      <c r="BG143" s="157">
        <f t="shared" si="111"/>
        <v>1.08E-4</v>
      </c>
      <c r="BH143" s="157">
        <f t="shared" si="111"/>
        <v>1.08E-4</v>
      </c>
      <c r="BI143" s="157">
        <f t="shared" si="111"/>
        <v>1.08E-4</v>
      </c>
      <c r="BJ143" s="157">
        <f t="shared" si="111"/>
        <v>1.08E-4</v>
      </c>
      <c r="BK143" s="157">
        <f t="shared" si="111"/>
        <v>1.08E-4</v>
      </c>
      <c r="BL143" s="157">
        <f t="shared" si="111"/>
        <v>1.08E-4</v>
      </c>
      <c r="BM143" s="157">
        <f t="shared" si="111"/>
        <v>1.08E-4</v>
      </c>
      <c r="BN143" s="157">
        <f t="shared" si="111"/>
        <v>1.08E-4</v>
      </c>
      <c r="BO143" s="157">
        <f t="shared" si="111"/>
        <v>1.08E-4</v>
      </c>
      <c r="BP143" s="157">
        <f t="shared" si="111"/>
        <v>1.08E-4</v>
      </c>
      <c r="BQ143" s="157">
        <f t="shared" si="111"/>
        <v>1.08E-4</v>
      </c>
      <c r="BR143" s="157">
        <f t="shared" si="111"/>
        <v>1.08E-4</v>
      </c>
      <c r="BS143" s="157">
        <f t="shared" si="111"/>
        <v>1.08E-4</v>
      </c>
      <c r="BT143" s="157">
        <f t="shared" si="111"/>
        <v>1.08E-4</v>
      </c>
      <c r="BU143" s="157">
        <f t="shared" si="111"/>
        <v>1.08E-4</v>
      </c>
      <c r="BV143" s="157">
        <f t="shared" si="111"/>
        <v>1.08E-4</v>
      </c>
    </row>
    <row r="144" spans="1:74" x14ac:dyDescent="0.25">
      <c r="A144" s="155" t="s">
        <v>225</v>
      </c>
      <c r="B144" s="159" t="s">
        <v>207</v>
      </c>
      <c r="C144" s="162" t="s">
        <v>226</v>
      </c>
      <c r="D144" s="181">
        <v>3.1000000000000001E-5</v>
      </c>
      <c r="E144" s="181">
        <v>3.1000000000000001E-5</v>
      </c>
      <c r="F144" s="181">
        <v>3.1000000000000001E-5</v>
      </c>
      <c r="G144" s="181">
        <v>3.1000000000000001E-5</v>
      </c>
      <c r="H144" s="181">
        <v>3.1000000000000001E-5</v>
      </c>
      <c r="I144" s="181">
        <v>3.1000000000000001E-5</v>
      </c>
      <c r="J144" s="181">
        <v>3.1000000000000001E-5</v>
      </c>
      <c r="K144" s="181">
        <v>3.1000000000000001E-5</v>
      </c>
      <c r="L144" s="181">
        <v>3.1000000000000001E-5</v>
      </c>
      <c r="M144" s="181">
        <v>3.1000000000000001E-5</v>
      </c>
      <c r="N144" s="181">
        <v>3.1000000000000001E-5</v>
      </c>
      <c r="O144" s="181">
        <v>3.1000000000000001E-5</v>
      </c>
      <c r="P144" s="181">
        <v>3.1000000000000001E-5</v>
      </c>
      <c r="Q144" s="181">
        <v>3.1000000000000001E-5</v>
      </c>
      <c r="R144" s="181">
        <v>3.1000000000000001E-5</v>
      </c>
      <c r="S144" s="181">
        <v>3.1000000000000001E-5</v>
      </c>
      <c r="T144" s="181">
        <v>3.1000000000000001E-5</v>
      </c>
      <c r="U144" s="181">
        <v>3.1000000000000001E-5</v>
      </c>
      <c r="V144" s="181">
        <v>3.1000000000000001E-5</v>
      </c>
      <c r="W144" s="181">
        <v>3.1000000000000001E-5</v>
      </c>
      <c r="X144" s="181">
        <v>3.1000000000000001E-5</v>
      </c>
      <c r="Y144" s="181">
        <v>3.1000000000000001E-5</v>
      </c>
      <c r="Z144" s="181">
        <v>3.1000000000000001E-5</v>
      </c>
      <c r="AA144" s="181">
        <v>3.1000000000000001E-5</v>
      </c>
      <c r="AB144" s="181">
        <v>3.1000000000000001E-5</v>
      </c>
      <c r="AC144" s="181">
        <v>3.1000000000000001E-5</v>
      </c>
      <c r="AD144" s="181">
        <v>3.1000000000000001E-5</v>
      </c>
      <c r="AE144" s="181">
        <v>3.1000000000000001E-5</v>
      </c>
      <c r="AF144" s="181">
        <v>3.1000000000000001E-5</v>
      </c>
      <c r="AG144" s="181">
        <v>3.1000000000000001E-5</v>
      </c>
      <c r="AH144" s="181">
        <v>3.1000000000000001E-5</v>
      </c>
      <c r="AI144" s="181">
        <v>3.1000000000000001E-5</v>
      </c>
      <c r="AJ144" s="181">
        <v>3.1000000000000001E-5</v>
      </c>
      <c r="AK144" s="181">
        <v>3.1000000000000001E-5</v>
      </c>
      <c r="AL144" s="181">
        <v>3.1000000000000001E-5</v>
      </c>
      <c r="AM144" s="181">
        <v>3.1000000000000001E-5</v>
      </c>
      <c r="AN144" s="181">
        <v>3.1000000000000001E-5</v>
      </c>
      <c r="AO144" s="181">
        <v>3.1000000000000001E-5</v>
      </c>
      <c r="AP144" s="181">
        <v>3.1000000000000001E-5</v>
      </c>
      <c r="AQ144" s="181">
        <v>3.1000000000000001E-5</v>
      </c>
      <c r="AR144" s="181">
        <v>3.1000000000000001E-5</v>
      </c>
      <c r="AS144" s="157">
        <f t="shared" ref="AS144:BV144" si="112">AR144</f>
        <v>3.1000000000000001E-5</v>
      </c>
      <c r="AT144" s="157">
        <f t="shared" si="112"/>
        <v>3.1000000000000001E-5</v>
      </c>
      <c r="AU144" s="157">
        <f t="shared" si="112"/>
        <v>3.1000000000000001E-5</v>
      </c>
      <c r="AV144" s="157">
        <f t="shared" si="112"/>
        <v>3.1000000000000001E-5</v>
      </c>
      <c r="AW144" s="157">
        <f t="shared" si="112"/>
        <v>3.1000000000000001E-5</v>
      </c>
      <c r="AX144" s="157">
        <f t="shared" si="112"/>
        <v>3.1000000000000001E-5</v>
      </c>
      <c r="AY144" s="157">
        <f t="shared" si="112"/>
        <v>3.1000000000000001E-5</v>
      </c>
      <c r="AZ144" s="157">
        <f t="shared" si="112"/>
        <v>3.1000000000000001E-5</v>
      </c>
      <c r="BA144" s="157">
        <f t="shared" si="112"/>
        <v>3.1000000000000001E-5</v>
      </c>
      <c r="BB144" s="157">
        <f t="shared" si="112"/>
        <v>3.1000000000000001E-5</v>
      </c>
      <c r="BC144" s="157">
        <f t="shared" si="112"/>
        <v>3.1000000000000001E-5</v>
      </c>
      <c r="BD144" s="157">
        <f t="shared" si="112"/>
        <v>3.1000000000000001E-5</v>
      </c>
      <c r="BE144" s="157">
        <f t="shared" si="112"/>
        <v>3.1000000000000001E-5</v>
      </c>
      <c r="BF144" s="157">
        <f t="shared" si="112"/>
        <v>3.1000000000000001E-5</v>
      </c>
      <c r="BG144" s="157">
        <f t="shared" si="112"/>
        <v>3.1000000000000001E-5</v>
      </c>
      <c r="BH144" s="157">
        <f t="shared" si="112"/>
        <v>3.1000000000000001E-5</v>
      </c>
      <c r="BI144" s="157">
        <f t="shared" si="112"/>
        <v>3.1000000000000001E-5</v>
      </c>
      <c r="BJ144" s="157">
        <f t="shared" si="112"/>
        <v>3.1000000000000001E-5</v>
      </c>
      <c r="BK144" s="157">
        <f t="shared" si="112"/>
        <v>3.1000000000000001E-5</v>
      </c>
      <c r="BL144" s="157">
        <f t="shared" si="112"/>
        <v>3.1000000000000001E-5</v>
      </c>
      <c r="BM144" s="157">
        <f t="shared" si="112"/>
        <v>3.1000000000000001E-5</v>
      </c>
      <c r="BN144" s="157">
        <f t="shared" si="112"/>
        <v>3.1000000000000001E-5</v>
      </c>
      <c r="BO144" s="157">
        <f t="shared" si="112"/>
        <v>3.1000000000000001E-5</v>
      </c>
      <c r="BP144" s="157">
        <f t="shared" si="112"/>
        <v>3.1000000000000001E-5</v>
      </c>
      <c r="BQ144" s="157">
        <f t="shared" si="112"/>
        <v>3.1000000000000001E-5</v>
      </c>
      <c r="BR144" s="157">
        <f t="shared" si="112"/>
        <v>3.1000000000000001E-5</v>
      </c>
      <c r="BS144" s="157">
        <f t="shared" si="112"/>
        <v>3.1000000000000001E-5</v>
      </c>
      <c r="BT144" s="157">
        <f t="shared" si="112"/>
        <v>3.1000000000000001E-5</v>
      </c>
      <c r="BU144" s="157">
        <f t="shared" si="112"/>
        <v>3.1000000000000001E-5</v>
      </c>
      <c r="BV144" s="157">
        <f t="shared" si="112"/>
        <v>3.1000000000000001E-5</v>
      </c>
    </row>
    <row r="145" spans="1:74" x14ac:dyDescent="0.25">
      <c r="A145" s="149" t="s">
        <v>14</v>
      </c>
      <c r="B145" s="156" t="s">
        <v>218</v>
      </c>
      <c r="C145" s="159" t="s">
        <v>259</v>
      </c>
      <c r="D145" s="179">
        <v>3.3000000000000003E-5</v>
      </c>
      <c r="E145" s="182">
        <v>3.3000000000000003E-5</v>
      </c>
      <c r="F145" s="182">
        <v>3.3000000000000003E-5</v>
      </c>
      <c r="G145" s="182">
        <v>3.3000000000000003E-5</v>
      </c>
      <c r="H145" s="182">
        <v>3.3000000000000003E-5</v>
      </c>
      <c r="I145" s="182">
        <v>3.3000000000000003E-5</v>
      </c>
      <c r="J145" s="182">
        <v>3.3000000000000003E-5</v>
      </c>
      <c r="K145" s="182">
        <v>3.3000000000000003E-5</v>
      </c>
      <c r="L145" s="182">
        <v>3.3000000000000003E-5</v>
      </c>
      <c r="M145" s="182">
        <v>3.3000000000000003E-5</v>
      </c>
      <c r="N145" s="182">
        <v>3.3000000000000003E-5</v>
      </c>
      <c r="O145" s="182">
        <v>3.3000000000000003E-5</v>
      </c>
      <c r="P145" s="182">
        <v>3.3000000000000003E-5</v>
      </c>
      <c r="Q145" s="182">
        <v>3.3000000000000003E-5</v>
      </c>
      <c r="R145" s="182">
        <v>3.3000000000000003E-5</v>
      </c>
      <c r="S145" s="182">
        <v>3.3000000000000003E-5</v>
      </c>
      <c r="T145" s="182">
        <v>3.3000000000000003E-5</v>
      </c>
      <c r="U145" s="182">
        <v>3.3000000000000003E-5</v>
      </c>
      <c r="V145" s="182">
        <v>3.3000000000000003E-5</v>
      </c>
      <c r="W145" s="182">
        <v>3.3000000000000003E-5</v>
      </c>
      <c r="X145" s="182">
        <v>3.3000000000000003E-5</v>
      </c>
      <c r="Y145" s="182">
        <v>3.3000000000000003E-5</v>
      </c>
      <c r="Z145" s="182">
        <v>3.3000000000000003E-5</v>
      </c>
      <c r="AA145" s="182">
        <v>3.3000000000000003E-5</v>
      </c>
      <c r="AB145" s="182">
        <v>3.3000000000000003E-5</v>
      </c>
      <c r="AC145" s="182">
        <v>3.3000000000000003E-5</v>
      </c>
      <c r="AD145" s="182">
        <v>3.3000000000000003E-5</v>
      </c>
      <c r="AE145" s="182">
        <v>3.3000000000000003E-5</v>
      </c>
      <c r="AF145" s="182">
        <v>3.3000000000000003E-5</v>
      </c>
      <c r="AG145" s="182">
        <v>3.3000000000000003E-5</v>
      </c>
      <c r="AH145" s="182">
        <v>3.3000000000000003E-5</v>
      </c>
      <c r="AI145" s="182">
        <v>3.3000000000000003E-5</v>
      </c>
      <c r="AJ145" s="182">
        <v>3.3000000000000003E-5</v>
      </c>
      <c r="AK145" s="182">
        <v>3.3000000000000003E-5</v>
      </c>
      <c r="AL145" s="182">
        <v>3.3000000000000003E-5</v>
      </c>
      <c r="AM145" s="182">
        <v>3.3000000000000003E-5</v>
      </c>
      <c r="AN145" s="182">
        <v>3.3000000000000003E-5</v>
      </c>
      <c r="AO145" s="182">
        <v>3.3000000000000003E-5</v>
      </c>
      <c r="AP145" s="182">
        <v>3.3000000000000003E-5</v>
      </c>
      <c r="AQ145" s="182">
        <v>3.3000000000000003E-5</v>
      </c>
      <c r="AR145" s="182">
        <v>3.3000000000000003E-5</v>
      </c>
      <c r="AS145" s="157">
        <f t="shared" ref="AS145:BV145" si="113">AR145</f>
        <v>3.3000000000000003E-5</v>
      </c>
      <c r="AT145" s="157">
        <f t="shared" si="113"/>
        <v>3.3000000000000003E-5</v>
      </c>
      <c r="AU145" s="157">
        <f t="shared" si="113"/>
        <v>3.3000000000000003E-5</v>
      </c>
      <c r="AV145" s="157">
        <f t="shared" si="113"/>
        <v>3.3000000000000003E-5</v>
      </c>
      <c r="AW145" s="157">
        <f t="shared" si="113"/>
        <v>3.3000000000000003E-5</v>
      </c>
      <c r="AX145" s="157">
        <f t="shared" si="113"/>
        <v>3.3000000000000003E-5</v>
      </c>
      <c r="AY145" s="157">
        <f t="shared" si="113"/>
        <v>3.3000000000000003E-5</v>
      </c>
      <c r="AZ145" s="157">
        <f t="shared" si="113"/>
        <v>3.3000000000000003E-5</v>
      </c>
      <c r="BA145" s="157">
        <f t="shared" si="113"/>
        <v>3.3000000000000003E-5</v>
      </c>
      <c r="BB145" s="157">
        <f t="shared" si="113"/>
        <v>3.3000000000000003E-5</v>
      </c>
      <c r="BC145" s="157">
        <f t="shared" si="113"/>
        <v>3.3000000000000003E-5</v>
      </c>
      <c r="BD145" s="157">
        <f t="shared" si="113"/>
        <v>3.3000000000000003E-5</v>
      </c>
      <c r="BE145" s="157">
        <f t="shared" si="113"/>
        <v>3.3000000000000003E-5</v>
      </c>
      <c r="BF145" s="157">
        <f t="shared" si="113"/>
        <v>3.3000000000000003E-5</v>
      </c>
      <c r="BG145" s="157">
        <f t="shared" si="113"/>
        <v>3.3000000000000003E-5</v>
      </c>
      <c r="BH145" s="157">
        <f t="shared" si="113"/>
        <v>3.3000000000000003E-5</v>
      </c>
      <c r="BI145" s="157">
        <f t="shared" si="113"/>
        <v>3.3000000000000003E-5</v>
      </c>
      <c r="BJ145" s="157">
        <f t="shared" si="113"/>
        <v>3.3000000000000003E-5</v>
      </c>
      <c r="BK145" s="157">
        <f t="shared" si="113"/>
        <v>3.3000000000000003E-5</v>
      </c>
      <c r="BL145" s="157">
        <f t="shared" si="113"/>
        <v>3.3000000000000003E-5</v>
      </c>
      <c r="BM145" s="157">
        <f t="shared" si="113"/>
        <v>3.3000000000000003E-5</v>
      </c>
      <c r="BN145" s="157">
        <f t="shared" si="113"/>
        <v>3.3000000000000003E-5</v>
      </c>
      <c r="BO145" s="157">
        <f t="shared" si="113"/>
        <v>3.3000000000000003E-5</v>
      </c>
      <c r="BP145" s="157">
        <f t="shared" si="113"/>
        <v>3.3000000000000003E-5</v>
      </c>
      <c r="BQ145" s="157">
        <f t="shared" si="113"/>
        <v>3.3000000000000003E-5</v>
      </c>
      <c r="BR145" s="157">
        <f t="shared" si="113"/>
        <v>3.3000000000000003E-5</v>
      </c>
      <c r="BS145" s="157">
        <f t="shared" si="113"/>
        <v>3.3000000000000003E-5</v>
      </c>
      <c r="BT145" s="157">
        <f t="shared" si="113"/>
        <v>3.3000000000000003E-5</v>
      </c>
      <c r="BU145" s="157">
        <f t="shared" si="113"/>
        <v>3.3000000000000003E-5</v>
      </c>
      <c r="BV145" s="157">
        <f t="shared" si="113"/>
        <v>3.3000000000000003E-5</v>
      </c>
    </row>
    <row r="146" spans="1:74" x14ac:dyDescent="0.25">
      <c r="A146" s="149" t="s">
        <v>216</v>
      </c>
      <c r="B146" s="150" t="s">
        <v>213</v>
      </c>
      <c r="C146" s="159" t="s">
        <v>262</v>
      </c>
      <c r="D146" s="179">
        <v>2.0511965313099309E-5</v>
      </c>
      <c r="E146" s="179">
        <v>2.0678729258734262E-5</v>
      </c>
      <c r="F146" s="179">
        <v>2.0845493204369216E-5</v>
      </c>
      <c r="G146" s="179">
        <v>2.1012257150004169E-5</v>
      </c>
      <c r="H146" s="179">
        <v>2.1262403068456599E-5</v>
      </c>
      <c r="I146" s="179">
        <v>2.1262403068456599E-5</v>
      </c>
      <c r="J146" s="179">
        <v>2.1179021095639119E-5</v>
      </c>
      <c r="K146" s="179">
        <v>2.1512548986909033E-5</v>
      </c>
      <c r="L146" s="179">
        <v>2.2513132660718751E-5</v>
      </c>
      <c r="M146" s="179">
        <v>2.2596514633536231E-5</v>
      </c>
      <c r="N146" s="179">
        <v>2.3013424497623618E-5</v>
      </c>
      <c r="O146" s="179">
        <v>2.2930042524806138E-5</v>
      </c>
      <c r="P146" s="182">
        <v>2.2930042524806138E-5</v>
      </c>
      <c r="Q146" s="182">
        <v>2.2930042524806138E-5</v>
      </c>
      <c r="R146" s="182">
        <v>2.2930042524806138E-5</v>
      </c>
      <c r="S146" s="182">
        <v>2.2930042524806138E-5</v>
      </c>
      <c r="T146" s="182">
        <v>2.2930042524806138E-5</v>
      </c>
      <c r="U146" s="182">
        <v>2.2930042524806138E-5</v>
      </c>
      <c r="V146" s="182">
        <v>2.2930042524806138E-5</v>
      </c>
      <c r="W146" s="182">
        <v>2.2930042524806138E-5</v>
      </c>
      <c r="X146" s="182">
        <v>2.2930042524806138E-5</v>
      </c>
      <c r="Y146" s="182">
        <v>2.2930042524806138E-5</v>
      </c>
      <c r="Z146" s="182">
        <v>2.2930042524806138E-5</v>
      </c>
      <c r="AA146" s="182">
        <v>2.2930042524806138E-5</v>
      </c>
      <c r="AB146" s="182">
        <v>2.2930042524806138E-5</v>
      </c>
      <c r="AC146" s="182">
        <v>2.2930042524806138E-5</v>
      </c>
      <c r="AD146" s="182">
        <v>2.2930042524806138E-5</v>
      </c>
      <c r="AE146" s="182">
        <v>2.2930042524806138E-5</v>
      </c>
      <c r="AF146" s="182">
        <v>2.2930042524806138E-5</v>
      </c>
      <c r="AG146" s="182">
        <v>2.2930042524806138E-5</v>
      </c>
      <c r="AH146" s="182">
        <v>2.2930042524806138E-5</v>
      </c>
      <c r="AI146" s="182">
        <v>2.2930042524806138E-5</v>
      </c>
      <c r="AJ146" s="182">
        <v>2.2930042524806138E-5</v>
      </c>
      <c r="AK146" s="182">
        <v>2.2930042524806138E-5</v>
      </c>
      <c r="AL146" s="182">
        <v>2.2930042524806138E-5</v>
      </c>
      <c r="AM146" s="182">
        <v>2.2930042524806138E-5</v>
      </c>
      <c r="AN146" s="182">
        <v>2.2930042524806138E-5</v>
      </c>
      <c r="AO146" s="182">
        <v>2.2930042524806138E-5</v>
      </c>
      <c r="AP146" s="182">
        <v>2.2930042524806138E-5</v>
      </c>
      <c r="AQ146" s="182">
        <v>2.2930042524806138E-5</v>
      </c>
      <c r="AR146" s="182">
        <v>2.2930042524806138E-5</v>
      </c>
      <c r="AS146" s="157">
        <f t="shared" ref="AS146:BV146" si="114">AR146</f>
        <v>2.2930042524806138E-5</v>
      </c>
      <c r="AT146" s="157">
        <f t="shared" si="114"/>
        <v>2.2930042524806138E-5</v>
      </c>
      <c r="AU146" s="157">
        <f t="shared" si="114"/>
        <v>2.2930042524806138E-5</v>
      </c>
      <c r="AV146" s="157">
        <f t="shared" si="114"/>
        <v>2.2930042524806138E-5</v>
      </c>
      <c r="AW146" s="157">
        <f t="shared" si="114"/>
        <v>2.2930042524806138E-5</v>
      </c>
      <c r="AX146" s="157">
        <f t="shared" si="114"/>
        <v>2.2930042524806138E-5</v>
      </c>
      <c r="AY146" s="157">
        <f t="shared" si="114"/>
        <v>2.2930042524806138E-5</v>
      </c>
      <c r="AZ146" s="157">
        <f t="shared" si="114"/>
        <v>2.2930042524806138E-5</v>
      </c>
      <c r="BA146" s="157">
        <f t="shared" si="114"/>
        <v>2.2930042524806138E-5</v>
      </c>
      <c r="BB146" s="157">
        <f t="shared" si="114"/>
        <v>2.2930042524806138E-5</v>
      </c>
      <c r="BC146" s="157">
        <f t="shared" si="114"/>
        <v>2.2930042524806138E-5</v>
      </c>
      <c r="BD146" s="157">
        <f t="shared" si="114"/>
        <v>2.2930042524806138E-5</v>
      </c>
      <c r="BE146" s="157">
        <f t="shared" si="114"/>
        <v>2.2930042524806138E-5</v>
      </c>
      <c r="BF146" s="157">
        <f t="shared" si="114"/>
        <v>2.2930042524806138E-5</v>
      </c>
      <c r="BG146" s="157">
        <f t="shared" si="114"/>
        <v>2.2930042524806138E-5</v>
      </c>
      <c r="BH146" s="157">
        <f t="shared" si="114"/>
        <v>2.2930042524806138E-5</v>
      </c>
      <c r="BI146" s="157">
        <f t="shared" si="114"/>
        <v>2.2930042524806138E-5</v>
      </c>
      <c r="BJ146" s="157">
        <f t="shared" si="114"/>
        <v>2.2930042524806138E-5</v>
      </c>
      <c r="BK146" s="157">
        <f t="shared" si="114"/>
        <v>2.2930042524806138E-5</v>
      </c>
      <c r="BL146" s="157">
        <f t="shared" si="114"/>
        <v>2.2930042524806138E-5</v>
      </c>
      <c r="BM146" s="157">
        <f t="shared" si="114"/>
        <v>2.2930042524806138E-5</v>
      </c>
      <c r="BN146" s="157">
        <f t="shared" si="114"/>
        <v>2.2930042524806138E-5</v>
      </c>
      <c r="BO146" s="157">
        <f t="shared" si="114"/>
        <v>2.2930042524806138E-5</v>
      </c>
      <c r="BP146" s="157">
        <f t="shared" si="114"/>
        <v>2.2930042524806138E-5</v>
      </c>
      <c r="BQ146" s="157">
        <f t="shared" si="114"/>
        <v>2.2930042524806138E-5</v>
      </c>
      <c r="BR146" s="157">
        <f t="shared" si="114"/>
        <v>2.2930042524806138E-5</v>
      </c>
      <c r="BS146" s="157">
        <f t="shared" si="114"/>
        <v>2.2930042524806138E-5</v>
      </c>
      <c r="BT146" s="157">
        <f t="shared" si="114"/>
        <v>2.2930042524806138E-5</v>
      </c>
      <c r="BU146" s="157">
        <f t="shared" si="114"/>
        <v>2.2930042524806138E-5</v>
      </c>
      <c r="BV146" s="157">
        <f t="shared" si="114"/>
        <v>2.2930042524806138E-5</v>
      </c>
    </row>
    <row r="147" spans="1:74" x14ac:dyDescent="0.25">
      <c r="A147" s="155" t="s">
        <v>228</v>
      </c>
      <c r="B147" s="159" t="s">
        <v>207</v>
      </c>
      <c r="C147" s="159" t="s">
        <v>240</v>
      </c>
      <c r="D147" s="179">
        <v>1.08E-4</v>
      </c>
      <c r="E147" s="182">
        <v>1.08E-4</v>
      </c>
      <c r="F147" s="182">
        <v>1.08E-4</v>
      </c>
      <c r="G147" s="182">
        <v>1.08E-4</v>
      </c>
      <c r="H147" s="182">
        <v>1.08E-4</v>
      </c>
      <c r="I147" s="182">
        <v>1.08E-4</v>
      </c>
      <c r="J147" s="182">
        <v>1.08E-4</v>
      </c>
      <c r="K147" s="182">
        <v>1.08E-4</v>
      </c>
      <c r="L147" s="182">
        <v>1.08E-4</v>
      </c>
      <c r="M147" s="182">
        <v>1.08E-4</v>
      </c>
      <c r="N147" s="182">
        <v>1.08E-4</v>
      </c>
      <c r="O147" s="182">
        <v>1.08E-4</v>
      </c>
      <c r="P147" s="182">
        <v>1.08E-4</v>
      </c>
      <c r="Q147" s="182">
        <v>1.08E-4</v>
      </c>
      <c r="R147" s="182">
        <v>1.08E-4</v>
      </c>
      <c r="S147" s="182">
        <v>1.08E-4</v>
      </c>
      <c r="T147" s="182">
        <v>1.08E-4</v>
      </c>
      <c r="U147" s="182">
        <v>1.08E-4</v>
      </c>
      <c r="V147" s="182">
        <v>1.08E-4</v>
      </c>
      <c r="W147" s="182">
        <v>1.08E-4</v>
      </c>
      <c r="X147" s="182">
        <v>1.08E-4</v>
      </c>
      <c r="Y147" s="182">
        <v>1.08E-4</v>
      </c>
      <c r="Z147" s="182">
        <v>1.08E-4</v>
      </c>
      <c r="AA147" s="182">
        <v>1.08E-4</v>
      </c>
      <c r="AB147" s="182">
        <v>1.08E-4</v>
      </c>
      <c r="AC147" s="182">
        <v>1.08E-4</v>
      </c>
      <c r="AD147" s="182">
        <v>1.08E-4</v>
      </c>
      <c r="AE147" s="182">
        <v>1.08E-4</v>
      </c>
      <c r="AF147" s="182">
        <v>1.08E-4</v>
      </c>
      <c r="AG147" s="182">
        <v>1.08E-4</v>
      </c>
      <c r="AH147" s="182">
        <v>1.08E-4</v>
      </c>
      <c r="AI147" s="182">
        <v>1.08E-4</v>
      </c>
      <c r="AJ147" s="182">
        <v>1.08E-4</v>
      </c>
      <c r="AK147" s="182">
        <v>1.08E-4</v>
      </c>
      <c r="AL147" s="182">
        <v>1.08E-4</v>
      </c>
      <c r="AM147" s="182">
        <v>1.08E-4</v>
      </c>
      <c r="AN147" s="182">
        <v>1.08E-4</v>
      </c>
      <c r="AO147" s="182">
        <v>1.08E-4</v>
      </c>
      <c r="AP147" s="182">
        <v>1.08E-4</v>
      </c>
      <c r="AQ147" s="182">
        <v>1.08E-4</v>
      </c>
      <c r="AR147" s="182">
        <v>1.08E-4</v>
      </c>
      <c r="AS147" s="157">
        <f t="shared" ref="AS147:BV147" si="115">AR147</f>
        <v>1.08E-4</v>
      </c>
      <c r="AT147" s="157">
        <f t="shared" si="115"/>
        <v>1.08E-4</v>
      </c>
      <c r="AU147" s="157">
        <f t="shared" si="115"/>
        <v>1.08E-4</v>
      </c>
      <c r="AV147" s="157">
        <f t="shared" si="115"/>
        <v>1.08E-4</v>
      </c>
      <c r="AW147" s="157">
        <f t="shared" si="115"/>
        <v>1.08E-4</v>
      </c>
      <c r="AX147" s="157">
        <f t="shared" si="115"/>
        <v>1.08E-4</v>
      </c>
      <c r="AY147" s="157">
        <f t="shared" si="115"/>
        <v>1.08E-4</v>
      </c>
      <c r="AZ147" s="157">
        <f t="shared" si="115"/>
        <v>1.08E-4</v>
      </c>
      <c r="BA147" s="157">
        <f t="shared" si="115"/>
        <v>1.08E-4</v>
      </c>
      <c r="BB147" s="157">
        <f t="shared" si="115"/>
        <v>1.08E-4</v>
      </c>
      <c r="BC147" s="157">
        <f t="shared" si="115"/>
        <v>1.08E-4</v>
      </c>
      <c r="BD147" s="157">
        <f t="shared" si="115"/>
        <v>1.08E-4</v>
      </c>
      <c r="BE147" s="157">
        <f t="shared" si="115"/>
        <v>1.08E-4</v>
      </c>
      <c r="BF147" s="157">
        <f t="shared" si="115"/>
        <v>1.08E-4</v>
      </c>
      <c r="BG147" s="157">
        <f t="shared" si="115"/>
        <v>1.08E-4</v>
      </c>
      <c r="BH147" s="157">
        <f t="shared" si="115"/>
        <v>1.08E-4</v>
      </c>
      <c r="BI147" s="157">
        <f t="shared" si="115"/>
        <v>1.08E-4</v>
      </c>
      <c r="BJ147" s="157">
        <f t="shared" si="115"/>
        <v>1.08E-4</v>
      </c>
      <c r="BK147" s="157">
        <f t="shared" si="115"/>
        <v>1.08E-4</v>
      </c>
      <c r="BL147" s="157">
        <f t="shared" si="115"/>
        <v>1.08E-4</v>
      </c>
      <c r="BM147" s="157">
        <f t="shared" si="115"/>
        <v>1.08E-4</v>
      </c>
      <c r="BN147" s="157">
        <f t="shared" si="115"/>
        <v>1.08E-4</v>
      </c>
      <c r="BO147" s="157">
        <f t="shared" si="115"/>
        <v>1.08E-4</v>
      </c>
      <c r="BP147" s="157">
        <f t="shared" si="115"/>
        <v>1.08E-4</v>
      </c>
      <c r="BQ147" s="157">
        <f t="shared" si="115"/>
        <v>1.08E-4</v>
      </c>
      <c r="BR147" s="157">
        <f t="shared" si="115"/>
        <v>1.08E-4</v>
      </c>
      <c r="BS147" s="157">
        <f t="shared" si="115"/>
        <v>1.08E-4</v>
      </c>
      <c r="BT147" s="157">
        <f t="shared" si="115"/>
        <v>1.08E-4</v>
      </c>
      <c r="BU147" s="157">
        <f t="shared" si="115"/>
        <v>1.08E-4</v>
      </c>
      <c r="BV147" s="157">
        <f t="shared" si="115"/>
        <v>1.08E-4</v>
      </c>
    </row>
    <row r="148" spans="1:74" x14ac:dyDescent="0.25">
      <c r="A148" s="149" t="s">
        <v>222</v>
      </c>
      <c r="B148" s="156" t="s">
        <v>218</v>
      </c>
      <c r="C148" s="184" t="s">
        <v>232</v>
      </c>
      <c r="D148" s="181">
        <v>2E-8</v>
      </c>
      <c r="E148" s="181">
        <v>2E-8</v>
      </c>
      <c r="F148" s="181">
        <v>2E-8</v>
      </c>
      <c r="G148" s="181">
        <v>2E-8</v>
      </c>
      <c r="H148" s="181">
        <v>2E-8</v>
      </c>
      <c r="I148" s="181">
        <v>2E-8</v>
      </c>
      <c r="J148" s="181">
        <v>2E-8</v>
      </c>
      <c r="K148" s="181">
        <v>2E-8</v>
      </c>
      <c r="L148" s="181">
        <v>2E-8</v>
      </c>
      <c r="M148" s="181">
        <v>2E-8</v>
      </c>
      <c r="N148" s="181">
        <v>2E-8</v>
      </c>
      <c r="O148" s="181">
        <v>2E-8</v>
      </c>
      <c r="P148" s="181">
        <v>2E-8</v>
      </c>
      <c r="Q148" s="181">
        <v>2E-8</v>
      </c>
      <c r="R148" s="181">
        <v>2E-8</v>
      </c>
      <c r="S148" s="181">
        <v>2E-8</v>
      </c>
      <c r="T148" s="181">
        <v>2E-8</v>
      </c>
      <c r="U148" s="181">
        <v>2E-8</v>
      </c>
      <c r="V148" s="181">
        <v>2E-8</v>
      </c>
      <c r="W148" s="181">
        <v>2E-8</v>
      </c>
      <c r="X148" s="181">
        <v>2E-8</v>
      </c>
      <c r="Y148" s="181">
        <v>2E-8</v>
      </c>
      <c r="Z148" s="181">
        <v>2E-8</v>
      </c>
      <c r="AA148" s="181">
        <v>2E-8</v>
      </c>
      <c r="AB148" s="181">
        <v>2E-8</v>
      </c>
      <c r="AC148" s="181">
        <v>2E-8</v>
      </c>
      <c r="AD148" s="181">
        <v>2E-8</v>
      </c>
      <c r="AE148" s="181">
        <v>2E-8</v>
      </c>
      <c r="AF148" s="181">
        <v>2E-8</v>
      </c>
      <c r="AG148" s="181">
        <v>2E-8</v>
      </c>
      <c r="AH148" s="181">
        <v>2E-8</v>
      </c>
      <c r="AI148" s="181">
        <v>2E-8</v>
      </c>
      <c r="AJ148" s="181">
        <v>2E-8</v>
      </c>
      <c r="AK148" s="181">
        <v>2E-8</v>
      </c>
      <c r="AL148" s="181">
        <v>2E-8</v>
      </c>
      <c r="AM148" s="181">
        <v>2E-8</v>
      </c>
      <c r="AN148" s="181">
        <v>2E-8</v>
      </c>
      <c r="AO148" s="181">
        <v>2E-8</v>
      </c>
      <c r="AP148" s="181">
        <v>2E-8</v>
      </c>
      <c r="AQ148" s="181">
        <v>2E-8</v>
      </c>
      <c r="AR148" s="181">
        <v>2E-8</v>
      </c>
      <c r="AS148" s="157">
        <f t="shared" ref="AS148:BV148" si="116">AR148</f>
        <v>2E-8</v>
      </c>
      <c r="AT148" s="157">
        <f t="shared" si="116"/>
        <v>2E-8</v>
      </c>
      <c r="AU148" s="157">
        <f t="shared" si="116"/>
        <v>2E-8</v>
      </c>
      <c r="AV148" s="157">
        <f t="shared" si="116"/>
        <v>2E-8</v>
      </c>
      <c r="AW148" s="157">
        <f t="shared" si="116"/>
        <v>2E-8</v>
      </c>
      <c r="AX148" s="157">
        <f t="shared" si="116"/>
        <v>2E-8</v>
      </c>
      <c r="AY148" s="157">
        <f t="shared" si="116"/>
        <v>2E-8</v>
      </c>
      <c r="AZ148" s="157">
        <f t="shared" si="116"/>
        <v>2E-8</v>
      </c>
      <c r="BA148" s="157">
        <f t="shared" si="116"/>
        <v>2E-8</v>
      </c>
      <c r="BB148" s="157">
        <f t="shared" si="116"/>
        <v>2E-8</v>
      </c>
      <c r="BC148" s="157">
        <f t="shared" si="116"/>
        <v>2E-8</v>
      </c>
      <c r="BD148" s="157">
        <f t="shared" si="116"/>
        <v>2E-8</v>
      </c>
      <c r="BE148" s="157">
        <f t="shared" si="116"/>
        <v>2E-8</v>
      </c>
      <c r="BF148" s="157">
        <f t="shared" si="116"/>
        <v>2E-8</v>
      </c>
      <c r="BG148" s="157">
        <f t="shared" si="116"/>
        <v>2E-8</v>
      </c>
      <c r="BH148" s="157">
        <f t="shared" si="116"/>
        <v>2E-8</v>
      </c>
      <c r="BI148" s="157">
        <f t="shared" si="116"/>
        <v>2E-8</v>
      </c>
      <c r="BJ148" s="157">
        <f t="shared" si="116"/>
        <v>2E-8</v>
      </c>
      <c r="BK148" s="157">
        <f t="shared" si="116"/>
        <v>2E-8</v>
      </c>
      <c r="BL148" s="157">
        <f t="shared" si="116"/>
        <v>2E-8</v>
      </c>
      <c r="BM148" s="157">
        <f t="shared" si="116"/>
        <v>2E-8</v>
      </c>
      <c r="BN148" s="157">
        <f t="shared" si="116"/>
        <v>2E-8</v>
      </c>
      <c r="BO148" s="157">
        <f t="shared" si="116"/>
        <v>2E-8</v>
      </c>
      <c r="BP148" s="157">
        <f t="shared" si="116"/>
        <v>2E-8</v>
      </c>
      <c r="BQ148" s="157">
        <f t="shared" si="116"/>
        <v>2E-8</v>
      </c>
      <c r="BR148" s="157">
        <f t="shared" si="116"/>
        <v>2E-8</v>
      </c>
      <c r="BS148" s="157">
        <f t="shared" si="116"/>
        <v>2E-8</v>
      </c>
      <c r="BT148" s="157">
        <f t="shared" si="116"/>
        <v>2E-8</v>
      </c>
      <c r="BU148" s="157">
        <f t="shared" si="116"/>
        <v>2E-8</v>
      </c>
      <c r="BV148" s="157">
        <f t="shared" si="116"/>
        <v>2E-8</v>
      </c>
    </row>
    <row r="149" spans="1:74" x14ac:dyDescent="0.25">
      <c r="A149" s="155" t="s">
        <v>229</v>
      </c>
      <c r="B149" s="159" t="s">
        <v>213</v>
      </c>
      <c r="C149" s="159" t="s">
        <v>245</v>
      </c>
      <c r="D149" s="179">
        <v>2.6743075453677172E-5</v>
      </c>
      <c r="E149" s="182">
        <v>2.6743075453677172E-5</v>
      </c>
      <c r="F149" s="182">
        <v>2.6743075453677172E-5</v>
      </c>
      <c r="G149" s="182">
        <v>2.6743075453677172E-5</v>
      </c>
      <c r="H149" s="182">
        <v>2.6743075453677172E-5</v>
      </c>
      <c r="I149" s="182">
        <v>2.6743075453677172E-5</v>
      </c>
      <c r="J149" s="182">
        <v>2.6743075453677172E-5</v>
      </c>
      <c r="K149" s="182">
        <v>2.6743075453677172E-5</v>
      </c>
      <c r="L149" s="182">
        <v>2.6743075453677172E-5</v>
      </c>
      <c r="M149" s="182">
        <v>2.6743075453677172E-5</v>
      </c>
      <c r="N149" s="182">
        <v>2.6743075453677172E-5</v>
      </c>
      <c r="O149" s="182">
        <v>2.6743075453677172E-5</v>
      </c>
      <c r="P149" s="182">
        <v>2.6743075453677172E-5</v>
      </c>
      <c r="Q149" s="182">
        <v>2.6743075453677172E-5</v>
      </c>
      <c r="R149" s="182">
        <v>2.6743075453677172E-5</v>
      </c>
      <c r="S149" s="182">
        <v>2.6743075453677172E-5</v>
      </c>
      <c r="T149" s="182">
        <v>2.6743075453677172E-5</v>
      </c>
      <c r="U149" s="182">
        <v>2.6743075453677172E-5</v>
      </c>
      <c r="V149" s="182">
        <v>2.6743075453677172E-5</v>
      </c>
      <c r="W149" s="182">
        <v>2.6743075453677172E-5</v>
      </c>
      <c r="X149" s="182">
        <v>2.6743075453677172E-5</v>
      </c>
      <c r="Y149" s="182">
        <v>2.6743075453677172E-5</v>
      </c>
      <c r="Z149" s="182">
        <v>2.6743075453677172E-5</v>
      </c>
      <c r="AA149" s="182">
        <v>2.6743075453677172E-5</v>
      </c>
      <c r="AB149" s="182">
        <v>2.6743075453677172E-5</v>
      </c>
      <c r="AC149" s="182">
        <v>2.6743075453677172E-5</v>
      </c>
      <c r="AD149" s="182">
        <v>2.6743075453677172E-5</v>
      </c>
      <c r="AE149" s="182">
        <v>2.6743075453677172E-5</v>
      </c>
      <c r="AF149" s="182">
        <v>2.6743075453677172E-5</v>
      </c>
      <c r="AG149" s="182">
        <v>2.6743075453677172E-5</v>
      </c>
      <c r="AH149" s="182">
        <v>2.6743075453677172E-5</v>
      </c>
      <c r="AI149" s="182">
        <v>2.6743075453677172E-5</v>
      </c>
      <c r="AJ149" s="182">
        <v>2.6743075453677172E-5</v>
      </c>
      <c r="AK149" s="182">
        <v>2.6743075453677172E-5</v>
      </c>
      <c r="AL149" s="182">
        <v>2.6743075453677172E-5</v>
      </c>
      <c r="AM149" s="182">
        <v>2.6743075453677172E-5</v>
      </c>
      <c r="AN149" s="182">
        <v>2.6743075453677172E-5</v>
      </c>
      <c r="AO149" s="182">
        <v>2.6743075453677172E-5</v>
      </c>
      <c r="AP149" s="182">
        <v>2.6743075453677172E-5</v>
      </c>
      <c r="AQ149" s="182">
        <v>2.6743075453677172E-5</v>
      </c>
      <c r="AR149" s="182">
        <v>2.6743075453677172E-5</v>
      </c>
      <c r="AS149" s="157">
        <f t="shared" ref="AS149:BV149" si="117">AR149</f>
        <v>2.6743075453677172E-5</v>
      </c>
      <c r="AT149" s="157">
        <f t="shared" si="117"/>
        <v>2.6743075453677172E-5</v>
      </c>
      <c r="AU149" s="157">
        <f t="shared" si="117"/>
        <v>2.6743075453677172E-5</v>
      </c>
      <c r="AV149" s="157">
        <f t="shared" si="117"/>
        <v>2.6743075453677172E-5</v>
      </c>
      <c r="AW149" s="157">
        <f t="shared" si="117"/>
        <v>2.6743075453677172E-5</v>
      </c>
      <c r="AX149" s="157">
        <f t="shared" si="117"/>
        <v>2.6743075453677172E-5</v>
      </c>
      <c r="AY149" s="157">
        <f t="shared" si="117"/>
        <v>2.6743075453677172E-5</v>
      </c>
      <c r="AZ149" s="157">
        <f t="shared" si="117"/>
        <v>2.6743075453677172E-5</v>
      </c>
      <c r="BA149" s="157">
        <f t="shared" si="117"/>
        <v>2.6743075453677172E-5</v>
      </c>
      <c r="BB149" s="157">
        <f t="shared" si="117"/>
        <v>2.6743075453677172E-5</v>
      </c>
      <c r="BC149" s="157">
        <f t="shared" si="117"/>
        <v>2.6743075453677172E-5</v>
      </c>
      <c r="BD149" s="157">
        <f t="shared" si="117"/>
        <v>2.6743075453677172E-5</v>
      </c>
      <c r="BE149" s="157">
        <f t="shared" si="117"/>
        <v>2.6743075453677172E-5</v>
      </c>
      <c r="BF149" s="157">
        <f t="shared" si="117"/>
        <v>2.6743075453677172E-5</v>
      </c>
      <c r="BG149" s="157">
        <f t="shared" si="117"/>
        <v>2.6743075453677172E-5</v>
      </c>
      <c r="BH149" s="157">
        <f t="shared" si="117"/>
        <v>2.6743075453677172E-5</v>
      </c>
      <c r="BI149" s="157">
        <f t="shared" si="117"/>
        <v>2.6743075453677172E-5</v>
      </c>
      <c r="BJ149" s="157">
        <f t="shared" si="117"/>
        <v>2.6743075453677172E-5</v>
      </c>
      <c r="BK149" s="157">
        <f t="shared" si="117"/>
        <v>2.6743075453677172E-5</v>
      </c>
      <c r="BL149" s="157">
        <f t="shared" si="117"/>
        <v>2.6743075453677172E-5</v>
      </c>
      <c r="BM149" s="157">
        <f t="shared" si="117"/>
        <v>2.6743075453677172E-5</v>
      </c>
      <c r="BN149" s="157">
        <f t="shared" si="117"/>
        <v>2.6743075453677172E-5</v>
      </c>
      <c r="BO149" s="157">
        <f t="shared" si="117"/>
        <v>2.6743075453677172E-5</v>
      </c>
      <c r="BP149" s="157">
        <f t="shared" si="117"/>
        <v>2.6743075453677172E-5</v>
      </c>
      <c r="BQ149" s="157">
        <f t="shared" si="117"/>
        <v>2.6743075453677172E-5</v>
      </c>
      <c r="BR149" s="157">
        <f t="shared" si="117"/>
        <v>2.6743075453677172E-5</v>
      </c>
      <c r="BS149" s="157">
        <f t="shared" si="117"/>
        <v>2.6743075453677172E-5</v>
      </c>
      <c r="BT149" s="157">
        <f t="shared" si="117"/>
        <v>2.6743075453677172E-5</v>
      </c>
      <c r="BU149" s="157">
        <f t="shared" si="117"/>
        <v>2.6743075453677172E-5</v>
      </c>
      <c r="BV149" s="157">
        <f t="shared" si="117"/>
        <v>2.6743075453677172E-5</v>
      </c>
    </row>
    <row r="150" spans="1:74" x14ac:dyDescent="0.25">
      <c r="A150" s="155" t="s">
        <v>230</v>
      </c>
      <c r="B150" s="159" t="s">
        <v>34</v>
      </c>
      <c r="D150" s="182"/>
      <c r="E150" s="182"/>
      <c r="F150" s="182"/>
      <c r="G150" s="182"/>
      <c r="H150" s="182"/>
      <c r="I150" s="182"/>
      <c r="J150" s="182"/>
      <c r="K150" s="182"/>
      <c r="L150" s="182"/>
      <c r="M150" s="182"/>
      <c r="N150" s="182"/>
      <c r="O150" s="182"/>
      <c r="P150" s="182"/>
      <c r="Q150" s="182"/>
      <c r="R150" s="182"/>
      <c r="S150" s="182"/>
      <c r="T150" s="182"/>
      <c r="U150" s="182"/>
      <c r="V150" s="182"/>
      <c r="W150" s="182"/>
      <c r="X150" s="182"/>
      <c r="Y150" s="182"/>
      <c r="Z150" s="182"/>
      <c r="AA150" s="182"/>
      <c r="AB150" s="182"/>
      <c r="AC150" s="182"/>
      <c r="AD150" s="182"/>
      <c r="AE150" s="182"/>
      <c r="AF150" s="182"/>
      <c r="AG150" s="182"/>
      <c r="AH150" s="182"/>
      <c r="AI150" s="182"/>
      <c r="AJ150" s="182"/>
      <c r="AK150" s="182"/>
      <c r="AL150" s="182"/>
      <c r="AM150" s="182"/>
      <c r="AN150" s="182"/>
      <c r="AO150" s="182"/>
      <c r="AP150" s="182"/>
      <c r="AQ150" s="182"/>
      <c r="AR150" s="182"/>
      <c r="AS150" s="157">
        <f t="shared" ref="AS150:BV150" si="118">AR150</f>
        <v>0</v>
      </c>
      <c r="AT150" s="157">
        <f t="shared" si="118"/>
        <v>0</v>
      </c>
      <c r="AU150" s="157">
        <f t="shared" si="118"/>
        <v>0</v>
      </c>
      <c r="AV150" s="157">
        <f t="shared" si="118"/>
        <v>0</v>
      </c>
      <c r="AW150" s="157">
        <f t="shared" si="118"/>
        <v>0</v>
      </c>
      <c r="AX150" s="157">
        <f t="shared" si="118"/>
        <v>0</v>
      </c>
      <c r="AY150" s="157">
        <f t="shared" si="118"/>
        <v>0</v>
      </c>
      <c r="AZ150" s="157">
        <f t="shared" si="118"/>
        <v>0</v>
      </c>
      <c r="BA150" s="157">
        <f t="shared" si="118"/>
        <v>0</v>
      </c>
      <c r="BB150" s="157">
        <f t="shared" si="118"/>
        <v>0</v>
      </c>
      <c r="BC150" s="157">
        <f t="shared" si="118"/>
        <v>0</v>
      </c>
      <c r="BD150" s="157">
        <f t="shared" si="118"/>
        <v>0</v>
      </c>
      <c r="BE150" s="157">
        <f t="shared" si="118"/>
        <v>0</v>
      </c>
      <c r="BF150" s="157">
        <f t="shared" si="118"/>
        <v>0</v>
      </c>
      <c r="BG150" s="157">
        <f t="shared" si="118"/>
        <v>0</v>
      </c>
      <c r="BH150" s="157">
        <f t="shared" si="118"/>
        <v>0</v>
      </c>
      <c r="BI150" s="157">
        <f t="shared" si="118"/>
        <v>0</v>
      </c>
      <c r="BJ150" s="157">
        <f t="shared" si="118"/>
        <v>0</v>
      </c>
      <c r="BK150" s="157">
        <f t="shared" si="118"/>
        <v>0</v>
      </c>
      <c r="BL150" s="157">
        <f t="shared" si="118"/>
        <v>0</v>
      </c>
      <c r="BM150" s="157">
        <f t="shared" si="118"/>
        <v>0</v>
      </c>
      <c r="BN150" s="157">
        <f t="shared" si="118"/>
        <v>0</v>
      </c>
      <c r="BO150" s="157">
        <f t="shared" si="118"/>
        <v>0</v>
      </c>
      <c r="BP150" s="157">
        <f t="shared" si="118"/>
        <v>0</v>
      </c>
      <c r="BQ150" s="157">
        <f t="shared" si="118"/>
        <v>0</v>
      </c>
      <c r="BR150" s="157">
        <f t="shared" si="118"/>
        <v>0</v>
      </c>
      <c r="BS150" s="157">
        <f t="shared" si="118"/>
        <v>0</v>
      </c>
      <c r="BT150" s="157">
        <f t="shared" si="118"/>
        <v>0</v>
      </c>
      <c r="BU150" s="157">
        <f t="shared" si="118"/>
        <v>0</v>
      </c>
      <c r="BV150" s="157">
        <f t="shared" si="118"/>
        <v>0</v>
      </c>
    </row>
    <row r="151" spans="1:74" x14ac:dyDescent="0.25">
      <c r="A151" s="155" t="s">
        <v>232</v>
      </c>
      <c r="B151" s="156" t="s">
        <v>218</v>
      </c>
      <c r="C151" s="159" t="s">
        <v>243</v>
      </c>
      <c r="D151" s="179">
        <v>2E-8</v>
      </c>
      <c r="E151" s="182">
        <v>2E-8</v>
      </c>
      <c r="F151" s="182">
        <v>2E-8</v>
      </c>
      <c r="G151" s="182">
        <v>2E-8</v>
      </c>
      <c r="H151" s="182">
        <v>2E-8</v>
      </c>
      <c r="I151" s="182">
        <v>2E-8</v>
      </c>
      <c r="J151" s="182">
        <v>2E-8</v>
      </c>
      <c r="K151" s="182">
        <v>2E-8</v>
      </c>
      <c r="L151" s="182">
        <v>2E-8</v>
      </c>
      <c r="M151" s="182">
        <v>2E-8</v>
      </c>
      <c r="N151" s="182">
        <v>2E-8</v>
      </c>
      <c r="O151" s="182">
        <v>2E-8</v>
      </c>
      <c r="P151" s="182">
        <v>2E-8</v>
      </c>
      <c r="Q151" s="182">
        <v>2E-8</v>
      </c>
      <c r="R151" s="182">
        <v>2E-8</v>
      </c>
      <c r="S151" s="182">
        <v>2E-8</v>
      </c>
      <c r="T151" s="182">
        <v>2E-8</v>
      </c>
      <c r="U151" s="182">
        <v>2E-8</v>
      </c>
      <c r="V151" s="182">
        <v>2E-8</v>
      </c>
      <c r="W151" s="182">
        <v>2E-8</v>
      </c>
      <c r="X151" s="182">
        <v>2E-8</v>
      </c>
      <c r="Y151" s="182">
        <v>2E-8</v>
      </c>
      <c r="Z151" s="182">
        <v>2E-8</v>
      </c>
      <c r="AA151" s="182">
        <v>2E-8</v>
      </c>
      <c r="AB151" s="182">
        <v>2E-8</v>
      </c>
      <c r="AC151" s="182">
        <v>2E-8</v>
      </c>
      <c r="AD151" s="182">
        <v>2E-8</v>
      </c>
      <c r="AE151" s="182">
        <v>2E-8</v>
      </c>
      <c r="AF151" s="182">
        <v>2E-8</v>
      </c>
      <c r="AG151" s="182">
        <v>2E-8</v>
      </c>
      <c r="AH151" s="182">
        <v>2E-8</v>
      </c>
      <c r="AI151" s="182">
        <v>2E-8</v>
      </c>
      <c r="AJ151" s="182">
        <v>2E-8</v>
      </c>
      <c r="AK151" s="182">
        <v>2E-8</v>
      </c>
      <c r="AL151" s="182">
        <v>2E-8</v>
      </c>
      <c r="AM151" s="182">
        <v>2E-8</v>
      </c>
      <c r="AN151" s="182">
        <v>2E-8</v>
      </c>
      <c r="AO151" s="182">
        <v>2E-8</v>
      </c>
      <c r="AP151" s="182">
        <v>2E-8</v>
      </c>
      <c r="AQ151" s="182">
        <v>2E-8</v>
      </c>
      <c r="AR151" s="182">
        <v>2E-8</v>
      </c>
      <c r="AS151" s="157">
        <f>AR151</f>
        <v>2E-8</v>
      </c>
      <c r="AT151" s="157">
        <f t="shared" ref="AT151:BV151" si="119">AS151</f>
        <v>2E-8</v>
      </c>
      <c r="AU151" s="157">
        <f t="shared" si="119"/>
        <v>2E-8</v>
      </c>
      <c r="AV151" s="157">
        <f t="shared" si="119"/>
        <v>2E-8</v>
      </c>
      <c r="AW151" s="157">
        <f t="shared" si="119"/>
        <v>2E-8</v>
      </c>
      <c r="AX151" s="157">
        <f t="shared" si="119"/>
        <v>2E-8</v>
      </c>
      <c r="AY151" s="157">
        <f t="shared" si="119"/>
        <v>2E-8</v>
      </c>
      <c r="AZ151" s="157">
        <f t="shared" si="119"/>
        <v>2E-8</v>
      </c>
      <c r="BA151" s="157">
        <f t="shared" si="119"/>
        <v>2E-8</v>
      </c>
      <c r="BB151" s="157">
        <f t="shared" si="119"/>
        <v>2E-8</v>
      </c>
      <c r="BC151" s="157">
        <f t="shared" si="119"/>
        <v>2E-8</v>
      </c>
      <c r="BD151" s="157">
        <f t="shared" si="119"/>
        <v>2E-8</v>
      </c>
      <c r="BE151" s="157">
        <f t="shared" si="119"/>
        <v>2E-8</v>
      </c>
      <c r="BF151" s="157">
        <f t="shared" si="119"/>
        <v>2E-8</v>
      </c>
      <c r="BG151" s="157">
        <f t="shared" si="119"/>
        <v>2E-8</v>
      </c>
      <c r="BH151" s="157">
        <f t="shared" si="119"/>
        <v>2E-8</v>
      </c>
      <c r="BI151" s="157">
        <f t="shared" si="119"/>
        <v>2E-8</v>
      </c>
      <c r="BJ151" s="157">
        <f t="shared" si="119"/>
        <v>2E-8</v>
      </c>
      <c r="BK151" s="157">
        <f t="shared" si="119"/>
        <v>2E-8</v>
      </c>
      <c r="BL151" s="157">
        <f t="shared" si="119"/>
        <v>2E-8</v>
      </c>
      <c r="BM151" s="157">
        <f t="shared" si="119"/>
        <v>2E-8</v>
      </c>
      <c r="BN151" s="157">
        <f t="shared" si="119"/>
        <v>2E-8</v>
      </c>
      <c r="BO151" s="157">
        <f t="shared" si="119"/>
        <v>2E-8</v>
      </c>
      <c r="BP151" s="157">
        <f t="shared" si="119"/>
        <v>2E-8</v>
      </c>
      <c r="BQ151" s="157">
        <f t="shared" si="119"/>
        <v>2E-8</v>
      </c>
      <c r="BR151" s="157">
        <f t="shared" si="119"/>
        <v>2E-8</v>
      </c>
      <c r="BS151" s="157">
        <f t="shared" si="119"/>
        <v>2E-8</v>
      </c>
      <c r="BT151" s="157">
        <f t="shared" si="119"/>
        <v>2E-8</v>
      </c>
      <c r="BU151" s="157">
        <f t="shared" si="119"/>
        <v>2E-8</v>
      </c>
      <c r="BV151" s="157">
        <f t="shared" si="119"/>
        <v>2E-8</v>
      </c>
    </row>
    <row r="152" spans="1:74" x14ac:dyDescent="0.25">
      <c r="A152" s="155" t="s">
        <v>233</v>
      </c>
      <c r="B152" s="156" t="s">
        <v>234</v>
      </c>
      <c r="D152" s="182"/>
      <c r="E152" s="182"/>
      <c r="F152" s="182"/>
      <c r="G152" s="182"/>
      <c r="H152" s="182"/>
      <c r="I152" s="182"/>
      <c r="J152" s="182"/>
      <c r="K152" s="182"/>
      <c r="L152" s="182"/>
      <c r="M152" s="182"/>
      <c r="N152" s="182"/>
      <c r="O152" s="182"/>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182"/>
      <c r="AK152" s="182"/>
      <c r="AL152" s="182"/>
      <c r="AM152" s="182"/>
      <c r="AN152" s="182"/>
      <c r="AO152" s="182"/>
      <c r="AP152" s="182"/>
      <c r="AQ152" s="182"/>
      <c r="AR152" s="182"/>
      <c r="AS152" s="157">
        <f t="shared" ref="AS152:BV152" si="120">AR152</f>
        <v>0</v>
      </c>
      <c r="AT152" s="157">
        <f t="shared" si="120"/>
        <v>0</v>
      </c>
      <c r="AU152" s="157">
        <f t="shared" si="120"/>
        <v>0</v>
      </c>
      <c r="AV152" s="157">
        <f t="shared" si="120"/>
        <v>0</v>
      </c>
      <c r="AW152" s="157">
        <f t="shared" si="120"/>
        <v>0</v>
      </c>
      <c r="AX152" s="157">
        <f t="shared" si="120"/>
        <v>0</v>
      </c>
      <c r="AY152" s="157">
        <f t="shared" si="120"/>
        <v>0</v>
      </c>
      <c r="AZ152" s="157">
        <f t="shared" si="120"/>
        <v>0</v>
      </c>
      <c r="BA152" s="157">
        <f t="shared" si="120"/>
        <v>0</v>
      </c>
      <c r="BB152" s="157">
        <f t="shared" si="120"/>
        <v>0</v>
      </c>
      <c r="BC152" s="157">
        <f t="shared" si="120"/>
        <v>0</v>
      </c>
      <c r="BD152" s="157">
        <f t="shared" si="120"/>
        <v>0</v>
      </c>
      <c r="BE152" s="157">
        <f t="shared" si="120"/>
        <v>0</v>
      </c>
      <c r="BF152" s="157">
        <f t="shared" si="120"/>
        <v>0</v>
      </c>
      <c r="BG152" s="157">
        <f t="shared" si="120"/>
        <v>0</v>
      </c>
      <c r="BH152" s="157">
        <f t="shared" si="120"/>
        <v>0</v>
      </c>
      <c r="BI152" s="157">
        <f t="shared" si="120"/>
        <v>0</v>
      </c>
      <c r="BJ152" s="157">
        <f t="shared" si="120"/>
        <v>0</v>
      </c>
      <c r="BK152" s="157">
        <f t="shared" si="120"/>
        <v>0</v>
      </c>
      <c r="BL152" s="157">
        <f t="shared" si="120"/>
        <v>0</v>
      </c>
      <c r="BM152" s="157">
        <f t="shared" si="120"/>
        <v>0</v>
      </c>
      <c r="BN152" s="157">
        <f t="shared" si="120"/>
        <v>0</v>
      </c>
      <c r="BO152" s="157">
        <f t="shared" si="120"/>
        <v>0</v>
      </c>
      <c r="BP152" s="157">
        <f t="shared" si="120"/>
        <v>0</v>
      </c>
      <c r="BQ152" s="157">
        <f t="shared" si="120"/>
        <v>0</v>
      </c>
      <c r="BR152" s="157">
        <f t="shared" si="120"/>
        <v>0</v>
      </c>
      <c r="BS152" s="157">
        <f t="shared" si="120"/>
        <v>0</v>
      </c>
      <c r="BT152" s="157">
        <f t="shared" si="120"/>
        <v>0</v>
      </c>
      <c r="BU152" s="157">
        <f t="shared" si="120"/>
        <v>0</v>
      </c>
      <c r="BV152" s="157">
        <f t="shared" si="120"/>
        <v>0</v>
      </c>
    </row>
    <row r="153" spans="1:74" x14ac:dyDescent="0.25">
      <c r="A153" s="155" t="s">
        <v>235</v>
      </c>
      <c r="B153" s="159" t="s">
        <v>34</v>
      </c>
      <c r="C153" s="159" t="s">
        <v>246</v>
      </c>
      <c r="D153" s="179">
        <v>3.9999999999999998E-6</v>
      </c>
      <c r="E153" s="182">
        <v>3.9999999999999998E-6</v>
      </c>
      <c r="F153" s="182">
        <v>3.9999999999999998E-6</v>
      </c>
      <c r="G153" s="182">
        <v>3.9999999999999998E-6</v>
      </c>
      <c r="H153" s="182">
        <v>3.9999999999999998E-6</v>
      </c>
      <c r="I153" s="182">
        <v>3.9999999999999998E-6</v>
      </c>
      <c r="J153" s="182">
        <v>3.9999999999999998E-6</v>
      </c>
      <c r="K153" s="182">
        <v>3.9999999999999998E-6</v>
      </c>
      <c r="L153" s="182">
        <v>3.9999999999999998E-6</v>
      </c>
      <c r="M153" s="182">
        <v>3.9999999999999998E-6</v>
      </c>
      <c r="N153" s="182">
        <v>3.9999999999999998E-6</v>
      </c>
      <c r="O153" s="182">
        <v>3.9999999999999998E-6</v>
      </c>
      <c r="P153" s="182">
        <v>3.9999999999999998E-6</v>
      </c>
      <c r="Q153" s="182">
        <v>3.9999999999999998E-6</v>
      </c>
      <c r="R153" s="182">
        <v>3.9999999999999998E-6</v>
      </c>
      <c r="S153" s="182">
        <v>3.9999999999999998E-6</v>
      </c>
      <c r="T153" s="182">
        <v>3.9999999999999998E-6</v>
      </c>
      <c r="U153" s="182">
        <v>3.9999999999999998E-6</v>
      </c>
      <c r="V153" s="182">
        <v>3.9999999999999998E-6</v>
      </c>
      <c r="W153" s="182">
        <v>3.9999999999999998E-6</v>
      </c>
      <c r="X153" s="182">
        <v>3.9999999999999998E-6</v>
      </c>
      <c r="Y153" s="182">
        <v>3.9999999999999998E-6</v>
      </c>
      <c r="Z153" s="182">
        <v>3.9999999999999998E-6</v>
      </c>
      <c r="AA153" s="182">
        <v>3.9999999999999998E-6</v>
      </c>
      <c r="AB153" s="182">
        <v>3.9999999999999998E-6</v>
      </c>
      <c r="AC153" s="182">
        <v>3.9999999999999998E-6</v>
      </c>
      <c r="AD153" s="182">
        <v>3.9999999999999998E-6</v>
      </c>
      <c r="AE153" s="182">
        <v>3.9999999999999998E-6</v>
      </c>
      <c r="AF153" s="182">
        <v>3.9999999999999998E-6</v>
      </c>
      <c r="AG153" s="182">
        <v>3.9999999999999998E-6</v>
      </c>
      <c r="AH153" s="182">
        <v>3.9999999999999998E-6</v>
      </c>
      <c r="AI153" s="182">
        <v>3.9999999999999998E-6</v>
      </c>
      <c r="AJ153" s="182">
        <v>3.9999999999999998E-6</v>
      </c>
      <c r="AK153" s="182">
        <v>3.9999999999999998E-6</v>
      </c>
      <c r="AL153" s="182">
        <v>3.9999999999999998E-6</v>
      </c>
      <c r="AM153" s="182">
        <v>3.9999999999999998E-6</v>
      </c>
      <c r="AN153" s="182">
        <v>3.9999999999999998E-6</v>
      </c>
      <c r="AO153" s="182">
        <v>3.9999999999999998E-6</v>
      </c>
      <c r="AP153" s="182">
        <v>3.9999999999999998E-6</v>
      </c>
      <c r="AQ153" s="182">
        <v>3.9999999999999998E-6</v>
      </c>
      <c r="AR153" s="182">
        <v>3.9999999999999998E-6</v>
      </c>
      <c r="AS153" s="157">
        <f>AR153</f>
        <v>3.9999999999999998E-6</v>
      </c>
      <c r="AT153" s="157">
        <f t="shared" ref="AT153:BV153" si="121">AS153</f>
        <v>3.9999999999999998E-6</v>
      </c>
      <c r="AU153" s="157">
        <f t="shared" si="121"/>
        <v>3.9999999999999998E-6</v>
      </c>
      <c r="AV153" s="157">
        <f t="shared" si="121"/>
        <v>3.9999999999999998E-6</v>
      </c>
      <c r="AW153" s="157">
        <f t="shared" si="121"/>
        <v>3.9999999999999998E-6</v>
      </c>
      <c r="AX153" s="157">
        <f t="shared" si="121"/>
        <v>3.9999999999999998E-6</v>
      </c>
      <c r="AY153" s="157">
        <f t="shared" si="121"/>
        <v>3.9999999999999998E-6</v>
      </c>
      <c r="AZ153" s="157">
        <f t="shared" si="121"/>
        <v>3.9999999999999998E-6</v>
      </c>
      <c r="BA153" s="157">
        <f t="shared" si="121"/>
        <v>3.9999999999999998E-6</v>
      </c>
      <c r="BB153" s="157">
        <f t="shared" si="121"/>
        <v>3.9999999999999998E-6</v>
      </c>
      <c r="BC153" s="157">
        <f t="shared" si="121"/>
        <v>3.9999999999999998E-6</v>
      </c>
      <c r="BD153" s="157">
        <f t="shared" si="121"/>
        <v>3.9999999999999998E-6</v>
      </c>
      <c r="BE153" s="157">
        <f t="shared" si="121"/>
        <v>3.9999999999999998E-6</v>
      </c>
      <c r="BF153" s="157">
        <f t="shared" si="121"/>
        <v>3.9999999999999998E-6</v>
      </c>
      <c r="BG153" s="157">
        <f t="shared" si="121"/>
        <v>3.9999999999999998E-6</v>
      </c>
      <c r="BH153" s="157">
        <f t="shared" si="121"/>
        <v>3.9999999999999998E-6</v>
      </c>
      <c r="BI153" s="157">
        <f t="shared" si="121"/>
        <v>3.9999999999999998E-6</v>
      </c>
      <c r="BJ153" s="157">
        <f t="shared" si="121"/>
        <v>3.9999999999999998E-6</v>
      </c>
      <c r="BK153" s="157">
        <f t="shared" si="121"/>
        <v>3.9999999999999998E-6</v>
      </c>
      <c r="BL153" s="157">
        <f t="shared" si="121"/>
        <v>3.9999999999999998E-6</v>
      </c>
      <c r="BM153" s="157">
        <f t="shared" si="121"/>
        <v>3.9999999999999998E-6</v>
      </c>
      <c r="BN153" s="157">
        <f t="shared" si="121"/>
        <v>3.9999999999999998E-6</v>
      </c>
      <c r="BO153" s="157">
        <f t="shared" si="121"/>
        <v>3.9999999999999998E-6</v>
      </c>
      <c r="BP153" s="157">
        <f t="shared" si="121"/>
        <v>3.9999999999999998E-6</v>
      </c>
      <c r="BQ153" s="157">
        <f t="shared" si="121"/>
        <v>3.9999999999999998E-6</v>
      </c>
      <c r="BR153" s="157">
        <f t="shared" si="121"/>
        <v>3.9999999999999998E-6</v>
      </c>
      <c r="BS153" s="157">
        <f t="shared" si="121"/>
        <v>3.9999999999999998E-6</v>
      </c>
      <c r="BT153" s="157">
        <f t="shared" si="121"/>
        <v>3.9999999999999998E-6</v>
      </c>
      <c r="BU153" s="157">
        <f t="shared" si="121"/>
        <v>3.9999999999999998E-6</v>
      </c>
      <c r="BV153" s="157">
        <f t="shared" si="121"/>
        <v>3.9999999999999998E-6</v>
      </c>
    </row>
    <row r="154" spans="1:74" x14ac:dyDescent="0.25">
      <c r="A154" s="155" t="s">
        <v>15</v>
      </c>
      <c r="B154" s="159" t="s">
        <v>213</v>
      </c>
      <c r="C154" s="159" t="s">
        <v>245</v>
      </c>
      <c r="D154" s="179">
        <v>1.0315186246418338E-4</v>
      </c>
      <c r="E154" s="182">
        <v>1.0315186246418338E-4</v>
      </c>
      <c r="F154" s="182">
        <v>1.0315186246418338E-4</v>
      </c>
      <c r="G154" s="182">
        <v>1.0315186246418338E-4</v>
      </c>
      <c r="H154" s="182">
        <v>1.0315186246418338E-4</v>
      </c>
      <c r="I154" s="182">
        <v>1.0315186246418338E-4</v>
      </c>
      <c r="J154" s="182">
        <v>1.0315186246418338E-4</v>
      </c>
      <c r="K154" s="182">
        <v>1.0315186246418338E-4</v>
      </c>
      <c r="L154" s="182">
        <v>1.0315186246418338E-4</v>
      </c>
      <c r="M154" s="182">
        <v>1.0315186246418338E-4</v>
      </c>
      <c r="N154" s="182">
        <v>1.0315186246418338E-4</v>
      </c>
      <c r="O154" s="182">
        <v>1.0315186246418338E-4</v>
      </c>
      <c r="P154" s="182">
        <v>1.0315186246418338E-4</v>
      </c>
      <c r="Q154" s="182">
        <v>1.0315186246418338E-4</v>
      </c>
      <c r="R154" s="182">
        <v>1.0315186246418338E-4</v>
      </c>
      <c r="S154" s="182">
        <v>1.0315186246418338E-4</v>
      </c>
      <c r="T154" s="182">
        <v>1.0315186246418338E-4</v>
      </c>
      <c r="U154" s="182">
        <v>1.0315186246418338E-4</v>
      </c>
      <c r="V154" s="182">
        <v>1.0315186246418338E-4</v>
      </c>
      <c r="W154" s="182">
        <v>1.0315186246418338E-4</v>
      </c>
      <c r="X154" s="182">
        <v>1.0315186246418338E-4</v>
      </c>
      <c r="Y154" s="182">
        <v>1.0315186246418338E-4</v>
      </c>
      <c r="Z154" s="182">
        <v>1.0315186246418338E-4</v>
      </c>
      <c r="AA154" s="182">
        <v>1.0315186246418338E-4</v>
      </c>
      <c r="AB154" s="182">
        <v>1.0315186246418338E-4</v>
      </c>
      <c r="AC154" s="182">
        <v>1.0315186246418338E-4</v>
      </c>
      <c r="AD154" s="182">
        <v>1.0315186246418338E-4</v>
      </c>
      <c r="AE154" s="182">
        <v>1.0315186246418338E-4</v>
      </c>
      <c r="AF154" s="182">
        <v>1.0315186246418338E-4</v>
      </c>
      <c r="AG154" s="182">
        <v>1.0315186246418338E-4</v>
      </c>
      <c r="AH154" s="182">
        <v>1.0315186246418338E-4</v>
      </c>
      <c r="AI154" s="182">
        <v>1.0315186246418338E-4</v>
      </c>
      <c r="AJ154" s="182">
        <v>1.0315186246418338E-4</v>
      </c>
      <c r="AK154" s="182">
        <v>1.0315186246418338E-4</v>
      </c>
      <c r="AL154" s="182">
        <v>1.0315186246418338E-4</v>
      </c>
      <c r="AM154" s="182">
        <v>1.0315186246418338E-4</v>
      </c>
      <c r="AN154" s="182">
        <v>1.0315186246418338E-4</v>
      </c>
      <c r="AO154" s="182">
        <v>1.0315186246418338E-4</v>
      </c>
      <c r="AP154" s="182">
        <v>1.0315186246418338E-4</v>
      </c>
      <c r="AQ154" s="182">
        <v>1.0315186246418338E-4</v>
      </c>
      <c r="AR154" s="182">
        <v>1.0315186246418338E-4</v>
      </c>
      <c r="AS154" s="157">
        <f>AR154</f>
        <v>1.0315186246418338E-4</v>
      </c>
      <c r="AT154" s="157">
        <f t="shared" ref="AT154:BV154" si="122">AS154</f>
        <v>1.0315186246418338E-4</v>
      </c>
      <c r="AU154" s="157">
        <f t="shared" si="122"/>
        <v>1.0315186246418338E-4</v>
      </c>
      <c r="AV154" s="157">
        <f t="shared" si="122"/>
        <v>1.0315186246418338E-4</v>
      </c>
      <c r="AW154" s="157">
        <f t="shared" si="122"/>
        <v>1.0315186246418338E-4</v>
      </c>
      <c r="AX154" s="157">
        <f t="shared" si="122"/>
        <v>1.0315186246418338E-4</v>
      </c>
      <c r="AY154" s="157">
        <f t="shared" si="122"/>
        <v>1.0315186246418338E-4</v>
      </c>
      <c r="AZ154" s="157">
        <f t="shared" si="122"/>
        <v>1.0315186246418338E-4</v>
      </c>
      <c r="BA154" s="157">
        <f t="shared" si="122"/>
        <v>1.0315186246418338E-4</v>
      </c>
      <c r="BB154" s="157">
        <f t="shared" si="122"/>
        <v>1.0315186246418338E-4</v>
      </c>
      <c r="BC154" s="157">
        <f t="shared" si="122"/>
        <v>1.0315186246418338E-4</v>
      </c>
      <c r="BD154" s="157">
        <f t="shared" si="122"/>
        <v>1.0315186246418338E-4</v>
      </c>
      <c r="BE154" s="157">
        <f t="shared" si="122"/>
        <v>1.0315186246418338E-4</v>
      </c>
      <c r="BF154" s="157">
        <f t="shared" si="122"/>
        <v>1.0315186246418338E-4</v>
      </c>
      <c r="BG154" s="157">
        <f t="shared" si="122"/>
        <v>1.0315186246418338E-4</v>
      </c>
      <c r="BH154" s="157">
        <f t="shared" si="122"/>
        <v>1.0315186246418338E-4</v>
      </c>
      <c r="BI154" s="157">
        <f t="shared" si="122"/>
        <v>1.0315186246418338E-4</v>
      </c>
      <c r="BJ154" s="157">
        <f t="shared" si="122"/>
        <v>1.0315186246418338E-4</v>
      </c>
      <c r="BK154" s="157">
        <f t="shared" si="122"/>
        <v>1.0315186246418338E-4</v>
      </c>
      <c r="BL154" s="157">
        <f t="shared" si="122"/>
        <v>1.0315186246418338E-4</v>
      </c>
      <c r="BM154" s="157">
        <f t="shared" si="122"/>
        <v>1.0315186246418338E-4</v>
      </c>
      <c r="BN154" s="157">
        <f t="shared" si="122"/>
        <v>1.0315186246418338E-4</v>
      </c>
      <c r="BO154" s="157">
        <f t="shared" si="122"/>
        <v>1.0315186246418338E-4</v>
      </c>
      <c r="BP154" s="157">
        <f t="shared" si="122"/>
        <v>1.0315186246418338E-4</v>
      </c>
      <c r="BQ154" s="157">
        <f t="shared" si="122"/>
        <v>1.0315186246418338E-4</v>
      </c>
      <c r="BR154" s="157">
        <f t="shared" si="122"/>
        <v>1.0315186246418338E-4</v>
      </c>
      <c r="BS154" s="157">
        <f t="shared" si="122"/>
        <v>1.0315186246418338E-4</v>
      </c>
      <c r="BT154" s="157">
        <f t="shared" si="122"/>
        <v>1.0315186246418338E-4</v>
      </c>
      <c r="BU154" s="157">
        <f t="shared" si="122"/>
        <v>1.0315186246418338E-4</v>
      </c>
      <c r="BV154" s="157">
        <f t="shared" si="122"/>
        <v>1.0315186246418338E-4</v>
      </c>
    </row>
    <row r="155" spans="1:74" x14ac:dyDescent="0.25">
      <c r="A155" s="155"/>
      <c r="D155" s="166"/>
      <c r="E155" s="185"/>
      <c r="F155" s="185"/>
      <c r="G155" s="185"/>
      <c r="H155" s="185"/>
      <c r="I155" s="166"/>
      <c r="J155" s="166"/>
      <c r="K155" s="166"/>
      <c r="L155" s="166"/>
      <c r="M155" s="166"/>
      <c r="N155" s="166"/>
      <c r="O155" s="166"/>
      <c r="P155" s="166"/>
      <c r="Q155" s="166"/>
      <c r="R155" s="166"/>
      <c r="S155" s="166"/>
      <c r="T155" s="166"/>
      <c r="U155" s="166"/>
      <c r="V155" s="166"/>
      <c r="W155" s="166"/>
      <c r="X155" s="166"/>
      <c r="Y155" s="166"/>
      <c r="Z155" s="166"/>
      <c r="AA155" s="166"/>
      <c r="AB155" s="166"/>
      <c r="AC155" s="166"/>
      <c r="AD155" s="166"/>
      <c r="AE155" s="166"/>
      <c r="AF155" s="166"/>
      <c r="AG155" s="166"/>
      <c r="AH155" s="166"/>
      <c r="AI155" s="166"/>
      <c r="AJ155" s="166"/>
      <c r="AK155" s="166"/>
      <c r="AL155" s="166"/>
      <c r="AM155" s="166"/>
      <c r="AN155" s="166"/>
      <c r="AO155" s="166"/>
      <c r="AP155" s="166"/>
      <c r="AQ155" s="166"/>
      <c r="AR155" s="166"/>
      <c r="AS155" s="166"/>
    </row>
    <row r="156" spans="1:74" x14ac:dyDescent="0.25">
      <c r="A156" s="155" t="s">
        <v>263</v>
      </c>
      <c r="B156" s="159" t="s">
        <v>213</v>
      </c>
      <c r="C156" s="186" t="s">
        <v>264</v>
      </c>
      <c r="D156" s="179">
        <v>2.9999999999999997E-4</v>
      </c>
      <c r="E156" s="182">
        <v>2.9999999999999997E-4</v>
      </c>
      <c r="F156" s="182">
        <v>2.9999999999999997E-4</v>
      </c>
      <c r="G156" s="182">
        <v>2.9999999999999997E-4</v>
      </c>
      <c r="H156" s="182">
        <v>2.9999999999999997E-4</v>
      </c>
      <c r="I156" s="182">
        <v>2.9999999999999997E-4</v>
      </c>
      <c r="J156" s="182">
        <v>2.9999999999999997E-4</v>
      </c>
      <c r="K156" s="182">
        <v>2.9999999999999997E-4</v>
      </c>
      <c r="L156" s="182">
        <v>2.9999999999999997E-4</v>
      </c>
      <c r="M156" s="182">
        <v>2.9999999999999997E-4</v>
      </c>
      <c r="N156" s="182">
        <v>2.9999999999999997E-4</v>
      </c>
      <c r="O156" s="182">
        <v>2.9999999999999997E-4</v>
      </c>
      <c r="P156" s="182">
        <v>2.9999999999999997E-4</v>
      </c>
      <c r="Q156" s="182">
        <v>2.9999999999999997E-4</v>
      </c>
      <c r="R156" s="182">
        <v>2.9999999999999997E-4</v>
      </c>
      <c r="S156" s="182">
        <v>2.9999999999999997E-4</v>
      </c>
      <c r="T156" s="182">
        <v>2.9999999999999997E-4</v>
      </c>
      <c r="U156" s="182">
        <v>2.9999999999999997E-4</v>
      </c>
      <c r="V156" s="182">
        <v>2.9999999999999997E-4</v>
      </c>
      <c r="W156" s="182">
        <v>2.9999999999999997E-4</v>
      </c>
      <c r="X156" s="182">
        <v>2.9999999999999997E-4</v>
      </c>
      <c r="Y156" s="182">
        <v>2.9999999999999997E-4</v>
      </c>
      <c r="Z156" s="182">
        <v>2.9999999999999997E-4</v>
      </c>
      <c r="AA156" s="182">
        <v>2.9999999999999997E-4</v>
      </c>
      <c r="AB156" s="182">
        <v>2.9999999999999997E-4</v>
      </c>
      <c r="AC156" s="182">
        <v>2.9999999999999997E-4</v>
      </c>
      <c r="AD156" s="182">
        <v>2.9999999999999997E-4</v>
      </c>
      <c r="AE156" s="182">
        <v>2.9999999999999997E-4</v>
      </c>
      <c r="AF156" s="182">
        <v>2.9999999999999997E-4</v>
      </c>
      <c r="AG156" s="182">
        <v>2.9999999999999997E-4</v>
      </c>
      <c r="AH156" s="182">
        <v>2.9999999999999997E-4</v>
      </c>
      <c r="AI156" s="182">
        <v>2.9999999999999997E-4</v>
      </c>
      <c r="AJ156" s="182">
        <v>2.9999999999999997E-4</v>
      </c>
      <c r="AK156" s="182">
        <v>2.9999999999999997E-4</v>
      </c>
      <c r="AL156" s="182">
        <v>2.9999999999999997E-4</v>
      </c>
      <c r="AM156" s="182">
        <v>2.9999999999999997E-4</v>
      </c>
      <c r="AN156" s="182">
        <v>2.9999999999999997E-4</v>
      </c>
      <c r="AO156" s="182">
        <v>2.9999999999999997E-4</v>
      </c>
      <c r="AP156" s="182">
        <v>2.9999999999999997E-4</v>
      </c>
      <c r="AQ156" s="182">
        <v>2.9999999999999997E-4</v>
      </c>
      <c r="AR156" s="182">
        <v>2.9999999999999997E-4</v>
      </c>
      <c r="AS156" s="157">
        <f t="shared" ref="AS156:BV156" si="123">AR156</f>
        <v>2.9999999999999997E-4</v>
      </c>
      <c r="AT156" s="157">
        <f t="shared" si="123"/>
        <v>2.9999999999999997E-4</v>
      </c>
      <c r="AU156" s="157">
        <f t="shared" si="123"/>
        <v>2.9999999999999997E-4</v>
      </c>
      <c r="AV156" s="157">
        <f t="shared" si="123"/>
        <v>2.9999999999999997E-4</v>
      </c>
      <c r="AW156" s="157">
        <f t="shared" si="123"/>
        <v>2.9999999999999997E-4</v>
      </c>
      <c r="AX156" s="157">
        <f t="shared" si="123"/>
        <v>2.9999999999999997E-4</v>
      </c>
      <c r="AY156" s="157">
        <f t="shared" si="123"/>
        <v>2.9999999999999997E-4</v>
      </c>
      <c r="AZ156" s="157">
        <f t="shared" si="123"/>
        <v>2.9999999999999997E-4</v>
      </c>
      <c r="BA156" s="157">
        <f t="shared" si="123"/>
        <v>2.9999999999999997E-4</v>
      </c>
      <c r="BB156" s="157">
        <f t="shared" si="123"/>
        <v>2.9999999999999997E-4</v>
      </c>
      <c r="BC156" s="157">
        <f t="shared" si="123"/>
        <v>2.9999999999999997E-4</v>
      </c>
      <c r="BD156" s="157">
        <f t="shared" si="123"/>
        <v>2.9999999999999997E-4</v>
      </c>
      <c r="BE156" s="157">
        <f t="shared" si="123"/>
        <v>2.9999999999999997E-4</v>
      </c>
      <c r="BF156" s="157">
        <f t="shared" si="123"/>
        <v>2.9999999999999997E-4</v>
      </c>
      <c r="BG156" s="157">
        <f t="shared" si="123"/>
        <v>2.9999999999999997E-4</v>
      </c>
      <c r="BH156" s="157">
        <f t="shared" si="123"/>
        <v>2.9999999999999997E-4</v>
      </c>
      <c r="BI156" s="157">
        <f t="shared" si="123"/>
        <v>2.9999999999999997E-4</v>
      </c>
      <c r="BJ156" s="157">
        <f t="shared" si="123"/>
        <v>2.9999999999999997E-4</v>
      </c>
      <c r="BK156" s="157">
        <f t="shared" si="123"/>
        <v>2.9999999999999997E-4</v>
      </c>
      <c r="BL156" s="157">
        <f t="shared" si="123"/>
        <v>2.9999999999999997E-4</v>
      </c>
      <c r="BM156" s="157">
        <f t="shared" si="123"/>
        <v>2.9999999999999997E-4</v>
      </c>
      <c r="BN156" s="157">
        <f t="shared" si="123"/>
        <v>2.9999999999999997E-4</v>
      </c>
      <c r="BO156" s="157">
        <f t="shared" si="123"/>
        <v>2.9999999999999997E-4</v>
      </c>
      <c r="BP156" s="157">
        <f t="shared" si="123"/>
        <v>2.9999999999999997E-4</v>
      </c>
      <c r="BQ156" s="157">
        <f t="shared" si="123"/>
        <v>2.9999999999999997E-4</v>
      </c>
      <c r="BR156" s="157">
        <f t="shared" si="123"/>
        <v>2.9999999999999997E-4</v>
      </c>
      <c r="BS156" s="157">
        <f t="shared" si="123"/>
        <v>2.9999999999999997E-4</v>
      </c>
      <c r="BT156" s="157">
        <f t="shared" si="123"/>
        <v>2.9999999999999997E-4</v>
      </c>
      <c r="BU156" s="157">
        <f t="shared" si="123"/>
        <v>2.9999999999999997E-4</v>
      </c>
      <c r="BV156" s="157">
        <f t="shared" si="123"/>
        <v>2.9999999999999997E-4</v>
      </c>
    </row>
    <row r="157" spans="1:74" x14ac:dyDescent="0.25">
      <c r="A157" s="155" t="s">
        <v>265</v>
      </c>
      <c r="B157" s="159" t="s">
        <v>213</v>
      </c>
      <c r="C157" s="186" t="s">
        <v>248</v>
      </c>
      <c r="D157" s="185">
        <v>3.3837166407430699E-3</v>
      </c>
      <c r="E157" s="185">
        <v>3.7388637393200165E-3</v>
      </c>
      <c r="F157" s="185">
        <v>3.6468009412292E-3</v>
      </c>
      <c r="G157" s="185">
        <v>3.70831669200545E-3</v>
      </c>
      <c r="H157" s="185">
        <v>3.3901958847743618E-3</v>
      </c>
      <c r="I157" s="185">
        <v>3.2687115567790808E-3</v>
      </c>
      <c r="J157" s="185">
        <v>3.4338612516957088E-3</v>
      </c>
      <c r="K157" s="185">
        <v>3.4113237914625183E-3</v>
      </c>
      <c r="L157" s="185">
        <v>3.5700168650310928E-3</v>
      </c>
      <c r="M157" s="185">
        <v>3.740345835224312E-3</v>
      </c>
      <c r="N157" s="185">
        <v>3.640152448708983E-3</v>
      </c>
      <c r="O157" s="185">
        <v>3.6706491412559056E-3</v>
      </c>
      <c r="P157" s="185">
        <v>3.5730521380010955E-3</v>
      </c>
      <c r="Q157" s="185">
        <v>3.6161594036402444E-3</v>
      </c>
      <c r="R157" s="185">
        <v>3.1889527829166492E-3</v>
      </c>
      <c r="S157" s="185">
        <v>3.4336930543372832E-3</v>
      </c>
      <c r="T157" s="185">
        <v>3.2886860044852016E-3</v>
      </c>
      <c r="U157" s="185">
        <v>3.232453728162409E-3</v>
      </c>
      <c r="V157" s="185">
        <v>3.50553339484584E-3</v>
      </c>
      <c r="W157" s="185">
        <v>3.3936814725106716E-3</v>
      </c>
      <c r="X157" s="185">
        <v>4.1212389144696443E-3</v>
      </c>
      <c r="Y157" s="185">
        <v>3.8022588109376944E-3</v>
      </c>
      <c r="Z157" s="185">
        <v>4.0356200851624857E-3</v>
      </c>
      <c r="AA157" s="185">
        <v>3.7749011865572022E-3</v>
      </c>
      <c r="AB157" s="185">
        <v>3.9323463276169819E-3</v>
      </c>
      <c r="AC157" s="185">
        <v>4.1972544691443537E-3</v>
      </c>
      <c r="AD157" s="185">
        <v>3.7820264871543819E-3</v>
      </c>
      <c r="AE157" s="185">
        <v>3.7083690307596743E-3</v>
      </c>
      <c r="AF157" s="185">
        <v>3.7083690307596743E-3</v>
      </c>
      <c r="AG157" s="185">
        <v>3.7083690307596743E-3</v>
      </c>
      <c r="AH157" s="185">
        <v>3.7083690307596743E-3</v>
      </c>
      <c r="AI157" s="185">
        <v>3.7083690307596743E-3</v>
      </c>
      <c r="AJ157" s="185">
        <v>3.7083690307596743E-3</v>
      </c>
      <c r="AK157" s="185">
        <v>3.7083690307596743E-3</v>
      </c>
      <c r="AL157" s="185">
        <v>3.7083690307596743E-3</v>
      </c>
      <c r="AM157" s="185">
        <v>3.7083690307596743E-3</v>
      </c>
      <c r="AN157" s="185">
        <v>3.7083690307596743E-3</v>
      </c>
      <c r="AO157" s="185">
        <v>3.7083690307596743E-3</v>
      </c>
      <c r="AP157" s="185">
        <v>3.7083690307596743E-3</v>
      </c>
      <c r="AQ157" s="185">
        <v>3.7083690307596743E-3</v>
      </c>
      <c r="AR157" s="185">
        <v>3.7083690307596743E-3</v>
      </c>
      <c r="AS157" s="157">
        <f t="shared" ref="AS157:BV157" si="124">AR157</f>
        <v>3.7083690307596743E-3</v>
      </c>
      <c r="AT157" s="157">
        <f t="shared" si="124"/>
        <v>3.7083690307596743E-3</v>
      </c>
      <c r="AU157" s="157">
        <f t="shared" si="124"/>
        <v>3.7083690307596743E-3</v>
      </c>
      <c r="AV157" s="157">
        <f t="shared" si="124"/>
        <v>3.7083690307596743E-3</v>
      </c>
      <c r="AW157" s="157">
        <f t="shared" si="124"/>
        <v>3.7083690307596743E-3</v>
      </c>
      <c r="AX157" s="157">
        <f t="shared" si="124"/>
        <v>3.7083690307596743E-3</v>
      </c>
      <c r="AY157" s="157">
        <f t="shared" si="124"/>
        <v>3.7083690307596743E-3</v>
      </c>
      <c r="AZ157" s="157">
        <f t="shared" si="124"/>
        <v>3.7083690307596743E-3</v>
      </c>
      <c r="BA157" s="157">
        <f t="shared" si="124"/>
        <v>3.7083690307596743E-3</v>
      </c>
      <c r="BB157" s="157">
        <f t="shared" si="124"/>
        <v>3.7083690307596743E-3</v>
      </c>
      <c r="BC157" s="157">
        <f t="shared" si="124"/>
        <v>3.7083690307596743E-3</v>
      </c>
      <c r="BD157" s="157">
        <f t="shared" si="124"/>
        <v>3.7083690307596743E-3</v>
      </c>
      <c r="BE157" s="157">
        <f t="shared" si="124"/>
        <v>3.7083690307596743E-3</v>
      </c>
      <c r="BF157" s="157">
        <f t="shared" si="124"/>
        <v>3.7083690307596743E-3</v>
      </c>
      <c r="BG157" s="157">
        <f t="shared" si="124"/>
        <v>3.7083690307596743E-3</v>
      </c>
      <c r="BH157" s="157">
        <f t="shared" si="124"/>
        <v>3.7083690307596743E-3</v>
      </c>
      <c r="BI157" s="157">
        <f t="shared" si="124"/>
        <v>3.7083690307596743E-3</v>
      </c>
      <c r="BJ157" s="157">
        <f t="shared" si="124"/>
        <v>3.7083690307596743E-3</v>
      </c>
      <c r="BK157" s="157">
        <f t="shared" si="124"/>
        <v>3.7083690307596743E-3</v>
      </c>
      <c r="BL157" s="157">
        <f t="shared" si="124"/>
        <v>3.7083690307596743E-3</v>
      </c>
      <c r="BM157" s="157">
        <f t="shared" si="124"/>
        <v>3.7083690307596743E-3</v>
      </c>
      <c r="BN157" s="157">
        <f t="shared" si="124"/>
        <v>3.7083690307596743E-3</v>
      </c>
      <c r="BO157" s="157">
        <f t="shared" si="124"/>
        <v>3.7083690307596743E-3</v>
      </c>
      <c r="BP157" s="157">
        <f t="shared" si="124"/>
        <v>3.7083690307596743E-3</v>
      </c>
      <c r="BQ157" s="157">
        <f t="shared" si="124"/>
        <v>3.7083690307596743E-3</v>
      </c>
      <c r="BR157" s="157">
        <f t="shared" si="124"/>
        <v>3.7083690307596743E-3</v>
      </c>
      <c r="BS157" s="157">
        <f t="shared" si="124"/>
        <v>3.7083690307596743E-3</v>
      </c>
      <c r="BT157" s="157">
        <f t="shared" si="124"/>
        <v>3.7083690307596743E-3</v>
      </c>
      <c r="BU157" s="157">
        <f t="shared" si="124"/>
        <v>3.7083690307596743E-3</v>
      </c>
      <c r="BV157" s="157">
        <f t="shared" si="124"/>
        <v>3.7083690307596743E-3</v>
      </c>
    </row>
    <row r="158" spans="1:74" x14ac:dyDescent="0.25">
      <c r="D158" s="166"/>
      <c r="E158" s="166"/>
      <c r="F158" s="166"/>
      <c r="G158" s="166"/>
      <c r="H158" s="166"/>
      <c r="I158" s="166"/>
      <c r="J158" s="166"/>
      <c r="K158" s="166"/>
      <c r="L158" s="166"/>
      <c r="M158" s="166"/>
      <c r="N158" s="166"/>
      <c r="O158" s="166"/>
      <c r="P158" s="166"/>
      <c r="Q158" s="166"/>
      <c r="R158" s="166"/>
      <c r="S158" s="166"/>
      <c r="T158" s="166"/>
      <c r="U158" s="166"/>
      <c r="V158" s="166"/>
      <c r="W158" s="166"/>
      <c r="X158" s="166"/>
      <c r="Y158" s="166"/>
      <c r="Z158" s="166"/>
      <c r="AA158" s="166"/>
      <c r="AB158" s="166"/>
      <c r="AC158" s="166"/>
      <c r="AD158" s="166"/>
      <c r="AE158" s="166"/>
      <c r="AF158" s="166"/>
      <c r="AG158" s="166"/>
      <c r="AH158" s="166"/>
      <c r="AI158" s="166"/>
      <c r="AJ158" s="166"/>
      <c r="AK158" s="166"/>
      <c r="AL158" s="166"/>
      <c r="AM158" s="166"/>
      <c r="AN158" s="166"/>
      <c r="AO158" s="166"/>
      <c r="AP158" s="166"/>
      <c r="AQ158" s="166"/>
      <c r="AR158" s="166"/>
      <c r="AS158" s="166"/>
    </row>
    <row r="159" spans="1:74" x14ac:dyDescent="0.25">
      <c r="A159" s="149"/>
      <c r="B159" s="150"/>
      <c r="C159" s="150"/>
      <c r="D159" s="166"/>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c r="AJ159" s="166"/>
      <c r="AK159" s="166"/>
      <c r="AL159" s="166"/>
      <c r="AM159" s="166"/>
      <c r="AN159" s="166"/>
      <c r="AO159" s="166"/>
      <c r="AP159" s="166"/>
      <c r="AQ159" s="166"/>
      <c r="AR159" s="166"/>
      <c r="AS159" s="166"/>
    </row>
    <row r="160" spans="1:74" s="176" customFormat="1" x14ac:dyDescent="0.25">
      <c r="A160" s="174" t="s">
        <v>55</v>
      </c>
      <c r="B160" s="175"/>
      <c r="E160" s="183"/>
      <c r="F160" s="183"/>
      <c r="G160" s="183"/>
      <c r="H160" s="183"/>
      <c r="I160" s="175"/>
      <c r="J160" s="175"/>
      <c r="K160" s="175"/>
      <c r="L160" s="175"/>
      <c r="M160" s="175"/>
      <c r="N160" s="175"/>
      <c r="O160" s="175"/>
      <c r="P160" s="175"/>
      <c r="Q160" s="175"/>
      <c r="R160" s="175"/>
      <c r="S160" s="175"/>
      <c r="T160" s="175"/>
      <c r="U160" s="175"/>
      <c r="V160" s="175"/>
      <c r="W160" s="175"/>
      <c r="X160" s="175"/>
      <c r="Y160" s="175"/>
      <c r="Z160" s="175"/>
      <c r="AA160" s="175"/>
      <c r="AB160" s="175"/>
      <c r="AC160" s="175"/>
      <c r="AD160" s="175"/>
      <c r="AE160" s="175"/>
      <c r="AF160" s="175"/>
      <c r="AG160" s="175"/>
      <c r="AH160" s="175"/>
      <c r="AI160" s="175"/>
      <c r="AJ160" s="175"/>
      <c r="AK160" s="175"/>
      <c r="AL160" s="175"/>
      <c r="AM160" s="175"/>
      <c r="AN160" s="175"/>
      <c r="AO160" s="175"/>
      <c r="AP160" s="175"/>
      <c r="AQ160" s="175"/>
      <c r="AR160" s="175"/>
      <c r="AS160" s="175"/>
    </row>
    <row r="161" spans="1:74" s="176" customFormat="1" x14ac:dyDescent="0.25">
      <c r="A161" s="174" t="s">
        <v>266</v>
      </c>
      <c r="B161" s="174" t="s">
        <v>267</v>
      </c>
      <c r="E161" s="183"/>
      <c r="F161" s="183"/>
      <c r="G161" s="183"/>
      <c r="H161" s="183"/>
      <c r="I161" s="175"/>
      <c r="J161" s="175"/>
      <c r="K161" s="175"/>
      <c r="L161" s="175"/>
      <c r="M161" s="175"/>
      <c r="N161" s="175"/>
      <c r="O161" s="175"/>
      <c r="P161" s="175"/>
      <c r="Q161" s="175"/>
      <c r="R161" s="175"/>
      <c r="S161" s="175"/>
      <c r="T161" s="175"/>
      <c r="U161" s="175"/>
      <c r="V161" s="175"/>
      <c r="W161" s="175"/>
      <c r="X161" s="175"/>
      <c r="Y161" s="175"/>
      <c r="Z161" s="175"/>
      <c r="AA161" s="175"/>
      <c r="AB161" s="175"/>
      <c r="AC161" s="175"/>
      <c r="AD161" s="175"/>
      <c r="AE161" s="175"/>
      <c r="AF161" s="175"/>
      <c r="AG161" s="175"/>
      <c r="AH161" s="175"/>
      <c r="AI161" s="175"/>
      <c r="AJ161" s="175"/>
      <c r="AK161" s="175"/>
      <c r="AL161" s="175"/>
      <c r="AM161" s="175"/>
      <c r="AN161" s="175"/>
      <c r="AO161" s="175"/>
      <c r="AP161" s="175"/>
      <c r="AQ161" s="175"/>
      <c r="AR161" s="175"/>
      <c r="AS161" s="175"/>
    </row>
    <row r="162" spans="1:74" x14ac:dyDescent="0.25">
      <c r="A162" s="155" t="s">
        <v>250</v>
      </c>
      <c r="B162" s="159" t="s">
        <v>213</v>
      </c>
      <c r="C162" s="159" t="s">
        <v>268</v>
      </c>
      <c r="D162" s="187">
        <v>4.8381311277270598</v>
      </c>
      <c r="E162" s="187">
        <v>4.4040794774593852</v>
      </c>
      <c r="F162" s="187">
        <v>3.9968080609103755</v>
      </c>
      <c r="G162" s="187">
        <v>3.2257166769727865</v>
      </c>
      <c r="H162" s="187">
        <v>3.0580437081408616</v>
      </c>
      <c r="I162" s="187">
        <v>2.90448121088661</v>
      </c>
      <c r="J162" s="187">
        <v>2.8396862867835053</v>
      </c>
      <c r="K162" s="187">
        <v>2.7312282596045727</v>
      </c>
      <c r="L162" s="187">
        <v>2.8094927893474053</v>
      </c>
      <c r="M162" s="187">
        <v>2.226677542052049</v>
      </c>
      <c r="N162" s="187">
        <v>2.0867078081834869</v>
      </c>
      <c r="O162" s="187">
        <v>1.5531382673236922</v>
      </c>
      <c r="P162" s="187">
        <v>1.2700533322687966</v>
      </c>
      <c r="Q162" s="187">
        <v>1.2464577779396675</v>
      </c>
      <c r="R162" s="187">
        <v>1.3549882084466831</v>
      </c>
      <c r="S162" s="187">
        <v>1.3197562004966024</v>
      </c>
      <c r="T162" s="187">
        <v>0.97531805477581734</v>
      </c>
      <c r="U162" s="187">
        <v>0.81849840715069322</v>
      </c>
      <c r="V162" s="187">
        <v>0.82915846702591356</v>
      </c>
      <c r="W162" s="187">
        <v>0.8249024482023245</v>
      </c>
      <c r="X162" s="187">
        <v>0.62333288771434703</v>
      </c>
      <c r="Y162" s="187">
        <v>0.56355077227403927</v>
      </c>
      <c r="Z162" s="187">
        <v>0.63140576070948784</v>
      </c>
      <c r="AA162" s="187">
        <v>0.53707018678200635</v>
      </c>
      <c r="AB162" s="187">
        <v>0.37479269650785529</v>
      </c>
      <c r="AC162" s="187">
        <v>0.33097668147863296</v>
      </c>
      <c r="AD162" s="187">
        <v>0.2337151079114263</v>
      </c>
      <c r="AE162" s="187">
        <v>0.22685032604894206</v>
      </c>
      <c r="AF162" s="187">
        <v>0.22685032604894206</v>
      </c>
      <c r="AG162" s="187">
        <v>0.22685032604894206</v>
      </c>
      <c r="AH162" s="187">
        <v>0.22685032604894206</v>
      </c>
      <c r="AI162" s="187">
        <v>0.22685032604894206</v>
      </c>
      <c r="AJ162" s="187">
        <v>0.22685032604894206</v>
      </c>
      <c r="AK162" s="187">
        <v>0.22685032604894206</v>
      </c>
      <c r="AL162" s="187">
        <v>0.22685032604894206</v>
      </c>
      <c r="AM162" s="187">
        <v>0.22685032604894206</v>
      </c>
      <c r="AN162" s="187">
        <v>0.22685032604894206</v>
      </c>
      <c r="AO162" s="187">
        <v>0.22685032604894206</v>
      </c>
      <c r="AP162" s="187">
        <v>0.22685032604894206</v>
      </c>
      <c r="AQ162" s="187">
        <v>0.22685032604894206</v>
      </c>
      <c r="AR162" s="187">
        <v>0.22685032604894206</v>
      </c>
      <c r="AS162" s="157">
        <f>AR162</f>
        <v>0.22685032604894206</v>
      </c>
      <c r="AT162" s="157">
        <f t="shared" ref="AT162:BV162" si="125">AS162</f>
        <v>0.22685032604894206</v>
      </c>
      <c r="AU162" s="157">
        <f t="shared" si="125"/>
        <v>0.22685032604894206</v>
      </c>
      <c r="AV162" s="157">
        <f t="shared" si="125"/>
        <v>0.22685032604894206</v>
      </c>
      <c r="AW162" s="157">
        <f t="shared" si="125"/>
        <v>0.22685032604894206</v>
      </c>
      <c r="AX162" s="157">
        <f t="shared" si="125"/>
        <v>0.22685032604894206</v>
      </c>
      <c r="AY162" s="157">
        <f t="shared" si="125"/>
        <v>0.22685032604894206</v>
      </c>
      <c r="AZ162" s="157">
        <f t="shared" si="125"/>
        <v>0.22685032604894206</v>
      </c>
      <c r="BA162" s="157">
        <f t="shared" si="125"/>
        <v>0.22685032604894206</v>
      </c>
      <c r="BB162" s="157">
        <f t="shared" si="125"/>
        <v>0.22685032604894206</v>
      </c>
      <c r="BC162" s="157">
        <f t="shared" si="125"/>
        <v>0.22685032604894206</v>
      </c>
      <c r="BD162" s="157">
        <f t="shared" si="125"/>
        <v>0.22685032604894206</v>
      </c>
      <c r="BE162" s="157">
        <f t="shared" si="125"/>
        <v>0.22685032604894206</v>
      </c>
      <c r="BF162" s="157">
        <f t="shared" si="125"/>
        <v>0.22685032604894206</v>
      </c>
      <c r="BG162" s="157">
        <f t="shared" si="125"/>
        <v>0.22685032604894206</v>
      </c>
      <c r="BH162" s="157">
        <f t="shared" si="125"/>
        <v>0.22685032604894206</v>
      </c>
      <c r="BI162" s="157">
        <f t="shared" si="125"/>
        <v>0.22685032604894206</v>
      </c>
      <c r="BJ162" s="157">
        <f t="shared" si="125"/>
        <v>0.22685032604894206</v>
      </c>
      <c r="BK162" s="157">
        <f t="shared" si="125"/>
        <v>0.22685032604894206</v>
      </c>
      <c r="BL162" s="157">
        <f t="shared" si="125"/>
        <v>0.22685032604894206</v>
      </c>
      <c r="BM162" s="157">
        <f t="shared" si="125"/>
        <v>0.22685032604894206</v>
      </c>
      <c r="BN162" s="157">
        <f t="shared" si="125"/>
        <v>0.22685032604894206</v>
      </c>
      <c r="BO162" s="157">
        <f t="shared" si="125"/>
        <v>0.22685032604894206</v>
      </c>
      <c r="BP162" s="157">
        <f t="shared" si="125"/>
        <v>0.22685032604894206</v>
      </c>
      <c r="BQ162" s="157">
        <f t="shared" si="125"/>
        <v>0.22685032604894206</v>
      </c>
      <c r="BR162" s="157">
        <f t="shared" si="125"/>
        <v>0.22685032604894206</v>
      </c>
      <c r="BS162" s="157">
        <f t="shared" si="125"/>
        <v>0.22685032604894206</v>
      </c>
      <c r="BT162" s="157">
        <f t="shared" si="125"/>
        <v>0.22685032604894206</v>
      </c>
      <c r="BU162" s="157">
        <f t="shared" si="125"/>
        <v>0.22685032604894206</v>
      </c>
      <c r="BV162" s="157">
        <f t="shared" si="125"/>
        <v>0.22685032604894206</v>
      </c>
    </row>
    <row r="163" spans="1:74" x14ac:dyDescent="0.25">
      <c r="A163" s="155" t="s">
        <v>269</v>
      </c>
      <c r="B163" s="159" t="s">
        <v>213</v>
      </c>
      <c r="C163" s="159" t="s">
        <v>270</v>
      </c>
      <c r="D163" s="187">
        <v>117.1164154245937</v>
      </c>
      <c r="E163" s="187">
        <v>96.404575958335499</v>
      </c>
      <c r="F163" s="187">
        <v>88.923870317665617</v>
      </c>
      <c r="G163" s="187">
        <v>91.768115775315636</v>
      </c>
      <c r="H163" s="187">
        <v>75.393198051133723</v>
      </c>
      <c r="I163" s="187">
        <v>41.835023844115014</v>
      </c>
      <c r="J163" s="187">
        <v>28.964157310531341</v>
      </c>
      <c r="K163" s="187">
        <v>27.647744605443975</v>
      </c>
      <c r="L163" s="187">
        <v>27.284683459688846</v>
      </c>
      <c r="M163" s="187">
        <v>29.372577448757596</v>
      </c>
      <c r="N163" s="187">
        <v>41.502974546536386</v>
      </c>
      <c r="O163" s="187">
        <v>34.650335186707508</v>
      </c>
      <c r="P163" s="187">
        <v>40.012857059913692</v>
      </c>
      <c r="Q163" s="187">
        <v>47.388111301649289</v>
      </c>
      <c r="R163" s="187">
        <v>41.733123544414404</v>
      </c>
      <c r="S163" s="187">
        <v>27.397465449429976</v>
      </c>
      <c r="T163" s="187">
        <v>29.752842540512873</v>
      </c>
      <c r="U163" s="187">
        <v>43.264644001030831</v>
      </c>
      <c r="V163" s="187">
        <v>43.264644001030831</v>
      </c>
      <c r="W163" s="187">
        <v>43.264644001030831</v>
      </c>
      <c r="X163" s="187">
        <v>43.264644001030831</v>
      </c>
      <c r="Y163" s="187">
        <v>43.264644001030831</v>
      </c>
      <c r="Z163" s="187">
        <v>43.264644001030831</v>
      </c>
      <c r="AA163" s="187">
        <v>43.264644001030831</v>
      </c>
      <c r="AB163" s="187">
        <v>43.264644001030831</v>
      </c>
      <c r="AC163" s="187">
        <v>43.264644001030831</v>
      </c>
      <c r="AD163" s="187">
        <v>43.264644001030831</v>
      </c>
      <c r="AE163" s="187">
        <v>43.264644001030831</v>
      </c>
      <c r="AF163" s="187">
        <v>43.264644001030831</v>
      </c>
      <c r="AG163" s="187">
        <v>43.264644001030831</v>
      </c>
      <c r="AH163" s="187">
        <v>43.264644001030831</v>
      </c>
      <c r="AI163" s="187">
        <v>43.264644001030831</v>
      </c>
      <c r="AJ163" s="187">
        <v>43.264644001030831</v>
      </c>
      <c r="AK163" s="187">
        <v>43.264644001030831</v>
      </c>
      <c r="AL163" s="187">
        <v>43.264644001030831</v>
      </c>
      <c r="AM163" s="187">
        <v>43.264644001030831</v>
      </c>
      <c r="AN163" s="187">
        <v>43.264644001030831</v>
      </c>
      <c r="AO163" s="187">
        <v>43.264644001030831</v>
      </c>
      <c r="AP163" s="187">
        <v>43.264644001030831</v>
      </c>
      <c r="AQ163" s="187">
        <v>43.264644001030831</v>
      </c>
      <c r="AR163" s="187">
        <v>43.264644001030831</v>
      </c>
      <c r="AS163" s="157">
        <f>AR163</f>
        <v>43.264644001030831</v>
      </c>
      <c r="AT163" s="157">
        <f t="shared" ref="AT163:BV163" si="126">AS163</f>
        <v>43.264644001030831</v>
      </c>
      <c r="AU163" s="157">
        <f t="shared" si="126"/>
        <v>43.264644001030831</v>
      </c>
      <c r="AV163" s="157">
        <f t="shared" si="126"/>
        <v>43.264644001030831</v>
      </c>
      <c r="AW163" s="157">
        <f t="shared" si="126"/>
        <v>43.264644001030831</v>
      </c>
      <c r="AX163" s="157">
        <f t="shared" si="126"/>
        <v>43.264644001030831</v>
      </c>
      <c r="AY163" s="157">
        <f t="shared" si="126"/>
        <v>43.264644001030831</v>
      </c>
      <c r="AZ163" s="157">
        <f t="shared" si="126"/>
        <v>43.264644001030831</v>
      </c>
      <c r="BA163" s="157">
        <f t="shared" si="126"/>
        <v>43.264644001030831</v>
      </c>
      <c r="BB163" s="157">
        <f t="shared" si="126"/>
        <v>43.264644001030831</v>
      </c>
      <c r="BC163" s="157">
        <f t="shared" si="126"/>
        <v>43.264644001030831</v>
      </c>
      <c r="BD163" s="157">
        <f t="shared" si="126"/>
        <v>43.264644001030831</v>
      </c>
      <c r="BE163" s="157">
        <f t="shared" si="126"/>
        <v>43.264644001030831</v>
      </c>
      <c r="BF163" s="157">
        <f t="shared" si="126"/>
        <v>43.264644001030831</v>
      </c>
      <c r="BG163" s="157">
        <f t="shared" si="126"/>
        <v>43.264644001030831</v>
      </c>
      <c r="BH163" s="157">
        <f t="shared" si="126"/>
        <v>43.264644001030831</v>
      </c>
      <c r="BI163" s="157">
        <f t="shared" si="126"/>
        <v>43.264644001030831</v>
      </c>
      <c r="BJ163" s="157">
        <f t="shared" si="126"/>
        <v>43.264644001030831</v>
      </c>
      <c r="BK163" s="157">
        <f t="shared" si="126"/>
        <v>43.264644001030831</v>
      </c>
      <c r="BL163" s="157">
        <f t="shared" si="126"/>
        <v>43.264644001030831</v>
      </c>
      <c r="BM163" s="157">
        <f t="shared" si="126"/>
        <v>43.264644001030831</v>
      </c>
      <c r="BN163" s="157">
        <f t="shared" si="126"/>
        <v>43.264644001030831</v>
      </c>
      <c r="BO163" s="157">
        <f t="shared" si="126"/>
        <v>43.264644001030831</v>
      </c>
      <c r="BP163" s="157">
        <f t="shared" si="126"/>
        <v>43.264644001030831</v>
      </c>
      <c r="BQ163" s="157">
        <f t="shared" si="126"/>
        <v>43.264644001030831</v>
      </c>
      <c r="BR163" s="157">
        <f t="shared" si="126"/>
        <v>43.264644001030831</v>
      </c>
      <c r="BS163" s="157">
        <f t="shared" si="126"/>
        <v>43.264644001030831</v>
      </c>
      <c r="BT163" s="157">
        <f t="shared" si="126"/>
        <v>43.264644001030831</v>
      </c>
      <c r="BU163" s="157">
        <f t="shared" si="126"/>
        <v>43.264644001030831</v>
      </c>
      <c r="BV163" s="157">
        <f t="shared" si="126"/>
        <v>43.264644001030831</v>
      </c>
    </row>
    <row r="166" spans="1:74" s="190" customFormat="1" x14ac:dyDescent="0.25">
      <c r="A166" s="188" t="s">
        <v>271</v>
      </c>
      <c r="B166" s="189"/>
      <c r="I166" s="189"/>
      <c r="J166" s="189"/>
      <c r="K166" s="189"/>
      <c r="L166" s="189"/>
      <c r="M166" s="189"/>
      <c r="N166" s="189"/>
      <c r="O166" s="189"/>
      <c r="P166" s="189"/>
      <c r="Q166" s="189"/>
      <c r="R166" s="189"/>
      <c r="S166" s="189"/>
      <c r="T166" s="189"/>
      <c r="U166" s="189"/>
      <c r="V166" s="189"/>
      <c r="W166" s="189"/>
      <c r="X166" s="189"/>
      <c r="Y166" s="189"/>
      <c r="Z166" s="189"/>
      <c r="AA166" s="189"/>
      <c r="AB166" s="189"/>
      <c r="AC166" s="189"/>
      <c r="AD166" s="189"/>
      <c r="AE166" s="189"/>
      <c r="AF166" s="189"/>
      <c r="AG166" s="189"/>
      <c r="AH166" s="189"/>
      <c r="AI166" s="189"/>
      <c r="AJ166" s="189"/>
      <c r="AK166" s="189"/>
      <c r="AL166" s="189"/>
      <c r="AM166" s="189"/>
      <c r="AN166" s="189"/>
      <c r="AO166" s="189"/>
      <c r="AP166" s="189"/>
      <c r="AQ166" s="189"/>
      <c r="AR166" s="189"/>
      <c r="AS166" s="189"/>
    </row>
    <row r="167" spans="1:74" s="190" customFormat="1" x14ac:dyDescent="0.25">
      <c r="A167" s="188"/>
      <c r="B167" s="188" t="s">
        <v>202</v>
      </c>
      <c r="I167" s="189"/>
      <c r="J167" s="189"/>
      <c r="K167" s="189"/>
      <c r="L167" s="189"/>
      <c r="M167" s="189"/>
      <c r="N167" s="189"/>
      <c r="O167" s="189"/>
      <c r="P167" s="189"/>
      <c r="Q167" s="189"/>
      <c r="R167" s="189"/>
      <c r="S167" s="189"/>
      <c r="T167" s="189"/>
      <c r="U167" s="189"/>
      <c r="V167" s="189"/>
      <c r="W167" s="189"/>
      <c r="X167" s="189"/>
      <c r="Y167" s="189"/>
      <c r="Z167" s="189"/>
      <c r="AA167" s="189"/>
      <c r="AB167" s="189"/>
      <c r="AC167" s="189"/>
      <c r="AD167" s="189"/>
      <c r="AE167" s="189"/>
      <c r="AF167" s="189"/>
      <c r="AG167" s="189"/>
      <c r="AH167" s="189"/>
      <c r="AI167" s="189"/>
      <c r="AJ167" s="189"/>
      <c r="AK167" s="189"/>
      <c r="AL167" s="189"/>
      <c r="AM167" s="189"/>
      <c r="AN167" s="189"/>
      <c r="AO167" s="189"/>
      <c r="AP167" s="189"/>
      <c r="AQ167" s="189"/>
      <c r="AR167" s="189"/>
      <c r="AS167" s="189"/>
    </row>
    <row r="168" spans="1:74" x14ac:dyDescent="0.25">
      <c r="A168" s="155" t="s">
        <v>206</v>
      </c>
      <c r="C168" s="150"/>
      <c r="D168" s="165">
        <v>7.0544696618805011E-2</v>
      </c>
      <c r="E168" s="165">
        <v>7.0544696618805011E-2</v>
      </c>
      <c r="F168" s="165">
        <v>7.0544696618805011E-2</v>
      </c>
      <c r="G168" s="165">
        <v>7.0544696618805011E-2</v>
      </c>
      <c r="H168" s="165">
        <v>7.0544696618805011E-2</v>
      </c>
      <c r="I168" s="165">
        <v>7.0544696618805011E-2</v>
      </c>
      <c r="J168" s="165">
        <v>7.0537157107231921E-2</v>
      </c>
      <c r="K168" s="165">
        <v>7.0555937582650094E-2</v>
      </c>
      <c r="L168" s="165">
        <v>7.0530945844771667E-2</v>
      </c>
      <c r="M168" s="165">
        <v>7.057697160883282E-2</v>
      </c>
      <c r="N168" s="165">
        <v>7.0545992115637321E-2</v>
      </c>
      <c r="O168" s="165">
        <v>7.0550041585805384E-2</v>
      </c>
      <c r="P168" s="165">
        <v>7.0561400980109545E-2</v>
      </c>
      <c r="Q168" s="165">
        <v>7.0548143486469483E-2</v>
      </c>
      <c r="R168" s="165">
        <v>7.0564663951120168E-2</v>
      </c>
      <c r="S168" s="165">
        <v>7.05814701897019E-2</v>
      </c>
      <c r="T168" s="165">
        <v>7.0550506756756767E-2</v>
      </c>
      <c r="U168" s="165">
        <v>7.0551232166018163E-2</v>
      </c>
      <c r="V168" s="165">
        <v>7.055714285714286E-2</v>
      </c>
      <c r="W168" s="165">
        <v>7.057723292469352E-2</v>
      </c>
      <c r="X168" s="165">
        <v>7.0564102564102574E-2</v>
      </c>
      <c r="Y168" s="165">
        <v>7.056854838709678E-2</v>
      </c>
      <c r="Z168" s="165">
        <v>7.0520381036774479E-2</v>
      </c>
      <c r="AA168" s="165">
        <v>7.0577925270403144E-2</v>
      </c>
      <c r="AB168" s="165">
        <v>7.0575370464997456E-2</v>
      </c>
      <c r="AC168" s="165">
        <v>7.0559178204555609E-2</v>
      </c>
      <c r="AD168" s="165">
        <v>7.057102641836295E-2</v>
      </c>
      <c r="AE168" s="165">
        <v>7.0547754034016572E-2</v>
      </c>
      <c r="AF168" s="165">
        <v>7.0547754034016572E-2</v>
      </c>
      <c r="AG168" s="165">
        <v>7.0547754034016572E-2</v>
      </c>
      <c r="AH168" s="165">
        <v>7.0547754034016572E-2</v>
      </c>
      <c r="AI168" s="165">
        <v>7.0547754034016572E-2</v>
      </c>
      <c r="AJ168" s="165">
        <v>7.0547754034016572E-2</v>
      </c>
      <c r="AK168" s="165">
        <v>7.0547754034016572E-2</v>
      </c>
      <c r="AL168" s="165">
        <v>7.0547754034016572E-2</v>
      </c>
      <c r="AM168" s="165">
        <v>7.0547754034016572E-2</v>
      </c>
      <c r="AN168" s="165">
        <v>7.0547754034016572E-2</v>
      </c>
      <c r="AO168" s="165">
        <v>7.0547754034016572E-2</v>
      </c>
      <c r="AP168" s="165">
        <v>7.0547754034016572E-2</v>
      </c>
      <c r="AQ168" s="165">
        <v>7.0547754034016572E-2</v>
      </c>
      <c r="AR168" s="165">
        <v>7.0547754034016572E-2</v>
      </c>
      <c r="AS168" s="157">
        <f t="shared" ref="AS168:BV168" si="127">AR168</f>
        <v>7.0547754034016572E-2</v>
      </c>
      <c r="AT168" s="157">
        <f t="shared" si="127"/>
        <v>7.0547754034016572E-2</v>
      </c>
      <c r="AU168" s="157">
        <f t="shared" si="127"/>
        <v>7.0547754034016572E-2</v>
      </c>
      <c r="AV168" s="157">
        <f t="shared" si="127"/>
        <v>7.0547754034016572E-2</v>
      </c>
      <c r="AW168" s="157">
        <f t="shared" si="127"/>
        <v>7.0547754034016572E-2</v>
      </c>
      <c r="AX168" s="157">
        <f t="shared" si="127"/>
        <v>7.0547754034016572E-2</v>
      </c>
      <c r="AY168" s="157">
        <f t="shared" si="127"/>
        <v>7.0547754034016572E-2</v>
      </c>
      <c r="AZ168" s="157">
        <f t="shared" si="127"/>
        <v>7.0547754034016572E-2</v>
      </c>
      <c r="BA168" s="157">
        <f t="shared" si="127"/>
        <v>7.0547754034016572E-2</v>
      </c>
      <c r="BB168" s="157">
        <f t="shared" si="127"/>
        <v>7.0547754034016572E-2</v>
      </c>
      <c r="BC168" s="157">
        <f t="shared" si="127"/>
        <v>7.0547754034016572E-2</v>
      </c>
      <c r="BD168" s="157">
        <f t="shared" si="127"/>
        <v>7.0547754034016572E-2</v>
      </c>
      <c r="BE168" s="157">
        <f t="shared" si="127"/>
        <v>7.0547754034016572E-2</v>
      </c>
      <c r="BF168" s="157">
        <f t="shared" si="127"/>
        <v>7.0547754034016572E-2</v>
      </c>
      <c r="BG168" s="157">
        <f t="shared" si="127"/>
        <v>7.0547754034016572E-2</v>
      </c>
      <c r="BH168" s="157">
        <f t="shared" si="127"/>
        <v>7.0547754034016572E-2</v>
      </c>
      <c r="BI168" s="157">
        <f t="shared" si="127"/>
        <v>7.0547754034016572E-2</v>
      </c>
      <c r="BJ168" s="157">
        <f t="shared" si="127"/>
        <v>7.0547754034016572E-2</v>
      </c>
      <c r="BK168" s="157">
        <f t="shared" si="127"/>
        <v>7.0547754034016572E-2</v>
      </c>
      <c r="BL168" s="157">
        <f t="shared" si="127"/>
        <v>7.0547754034016572E-2</v>
      </c>
      <c r="BM168" s="157">
        <f t="shared" si="127"/>
        <v>7.0547754034016572E-2</v>
      </c>
      <c r="BN168" s="157">
        <f t="shared" si="127"/>
        <v>7.0547754034016572E-2</v>
      </c>
      <c r="BO168" s="157">
        <f t="shared" si="127"/>
        <v>7.0547754034016572E-2</v>
      </c>
      <c r="BP168" s="157">
        <f t="shared" si="127"/>
        <v>7.0547754034016572E-2</v>
      </c>
      <c r="BQ168" s="157">
        <f t="shared" si="127"/>
        <v>7.0547754034016572E-2</v>
      </c>
      <c r="BR168" s="157">
        <f t="shared" si="127"/>
        <v>7.0547754034016572E-2</v>
      </c>
      <c r="BS168" s="157">
        <f t="shared" si="127"/>
        <v>7.0547754034016572E-2</v>
      </c>
      <c r="BT168" s="157">
        <f t="shared" si="127"/>
        <v>7.0547754034016572E-2</v>
      </c>
      <c r="BU168" s="157">
        <f t="shared" si="127"/>
        <v>7.0547754034016572E-2</v>
      </c>
      <c r="BV168" s="157">
        <f t="shared" si="127"/>
        <v>7.0547754034016572E-2</v>
      </c>
    </row>
    <row r="169" spans="1:74" x14ac:dyDescent="0.25">
      <c r="A169" s="155" t="s">
        <v>208</v>
      </c>
      <c r="C169" s="150"/>
      <c r="D169" s="165">
        <v>7.0387526137350068E-2</v>
      </c>
      <c r="E169" s="165">
        <v>7.0387526137350068E-2</v>
      </c>
      <c r="F169" s="165">
        <v>7.0387526137350068E-2</v>
      </c>
      <c r="G169" s="165">
        <v>7.0387526137350068E-2</v>
      </c>
      <c r="H169" s="165">
        <v>7.0387526137350068E-2</v>
      </c>
      <c r="I169" s="165">
        <v>7.0387526137350068E-2</v>
      </c>
      <c r="J169" s="165">
        <v>7.0387700990050844E-2</v>
      </c>
      <c r="K169" s="165">
        <v>7.0387561033420254E-2</v>
      </c>
      <c r="L169" s="165">
        <v>7.0387595754499307E-2</v>
      </c>
      <c r="M169" s="165">
        <v>7.0388109000825774E-2</v>
      </c>
      <c r="N169" s="165">
        <v>7.0387861677160102E-2</v>
      </c>
      <c r="O169" s="165">
        <v>7.038766164708854E-2</v>
      </c>
      <c r="P169" s="165">
        <v>6.8449106435268872E-2</v>
      </c>
      <c r="Q169" s="165">
        <v>6.8449074802353335E-2</v>
      </c>
      <c r="R169" s="165">
        <v>6.8449231891022991E-2</v>
      </c>
      <c r="S169" s="165">
        <v>6.844885998589674E-2</v>
      </c>
      <c r="T169" s="165">
        <v>6.8449089228254351E-2</v>
      </c>
      <c r="U169" s="165">
        <v>6.8448909129256275E-2</v>
      </c>
      <c r="V169" s="165">
        <v>6.844912385752186E-2</v>
      </c>
      <c r="W169" s="165">
        <v>6.844907291205557E-2</v>
      </c>
      <c r="X169" s="165">
        <v>6.8448873072360611E-2</v>
      </c>
      <c r="Y169" s="165">
        <v>6.8448760759375782E-2</v>
      </c>
      <c r="Z169" s="165">
        <v>6.8449310384507897E-2</v>
      </c>
      <c r="AA169" s="165">
        <v>6.84489029436392E-2</v>
      </c>
      <c r="AB169" s="165">
        <v>6.8449049551762967E-2</v>
      </c>
      <c r="AC169" s="165">
        <v>6.8448884545662614E-2</v>
      </c>
      <c r="AD169" s="165">
        <v>6.8448862506745436E-2</v>
      </c>
      <c r="AE169" s="165">
        <v>6.8448992662138136E-2</v>
      </c>
      <c r="AF169" s="165">
        <v>6.8448992662138136E-2</v>
      </c>
      <c r="AG169" s="165">
        <v>6.8448992662138136E-2</v>
      </c>
      <c r="AH169" s="165">
        <v>6.8448992662138136E-2</v>
      </c>
      <c r="AI169" s="165">
        <v>6.8448992662138136E-2</v>
      </c>
      <c r="AJ169" s="165">
        <v>6.8448992662138136E-2</v>
      </c>
      <c r="AK169" s="165">
        <v>6.8448992662138136E-2</v>
      </c>
      <c r="AL169" s="165">
        <v>6.8448992662138136E-2</v>
      </c>
      <c r="AM169" s="165">
        <v>6.8448992662138136E-2</v>
      </c>
      <c r="AN169" s="165">
        <v>6.8448992662138136E-2</v>
      </c>
      <c r="AO169" s="165">
        <v>6.8448992662138136E-2</v>
      </c>
      <c r="AP169" s="165">
        <v>6.8448992662138136E-2</v>
      </c>
      <c r="AQ169" s="165">
        <v>6.8448992662138136E-2</v>
      </c>
      <c r="AR169" s="165">
        <v>6.8448992662138136E-2</v>
      </c>
      <c r="AS169" s="157">
        <f t="shared" ref="AS169:BV169" si="128">AR169</f>
        <v>6.8448992662138136E-2</v>
      </c>
      <c r="AT169" s="157">
        <f t="shared" si="128"/>
        <v>6.8448992662138136E-2</v>
      </c>
      <c r="AU169" s="157">
        <f t="shared" si="128"/>
        <v>6.8448992662138136E-2</v>
      </c>
      <c r="AV169" s="157">
        <f t="shared" si="128"/>
        <v>6.8448992662138136E-2</v>
      </c>
      <c r="AW169" s="157">
        <f t="shared" si="128"/>
        <v>6.8448992662138136E-2</v>
      </c>
      <c r="AX169" s="157">
        <f t="shared" si="128"/>
        <v>6.8448992662138136E-2</v>
      </c>
      <c r="AY169" s="157">
        <f t="shared" si="128"/>
        <v>6.8448992662138136E-2</v>
      </c>
      <c r="AZ169" s="157">
        <f t="shared" si="128"/>
        <v>6.8448992662138136E-2</v>
      </c>
      <c r="BA169" s="157">
        <f t="shared" si="128"/>
        <v>6.8448992662138136E-2</v>
      </c>
      <c r="BB169" s="157">
        <f t="shared" si="128"/>
        <v>6.8448992662138136E-2</v>
      </c>
      <c r="BC169" s="157">
        <f t="shared" si="128"/>
        <v>6.8448992662138136E-2</v>
      </c>
      <c r="BD169" s="157">
        <f t="shared" si="128"/>
        <v>6.8448992662138136E-2</v>
      </c>
      <c r="BE169" s="157">
        <f t="shared" si="128"/>
        <v>6.8448992662138136E-2</v>
      </c>
      <c r="BF169" s="157">
        <f t="shared" si="128"/>
        <v>6.8448992662138136E-2</v>
      </c>
      <c r="BG169" s="157">
        <f t="shared" si="128"/>
        <v>6.8448992662138136E-2</v>
      </c>
      <c r="BH169" s="157">
        <f t="shared" si="128"/>
        <v>6.8448992662138136E-2</v>
      </c>
      <c r="BI169" s="157">
        <f t="shared" si="128"/>
        <v>6.8448992662138136E-2</v>
      </c>
      <c r="BJ169" s="157">
        <f t="shared" si="128"/>
        <v>6.8448992662138136E-2</v>
      </c>
      <c r="BK169" s="157">
        <f t="shared" si="128"/>
        <v>6.8448992662138136E-2</v>
      </c>
      <c r="BL169" s="157">
        <f t="shared" si="128"/>
        <v>6.8448992662138136E-2</v>
      </c>
      <c r="BM169" s="157">
        <f t="shared" si="128"/>
        <v>6.8448992662138136E-2</v>
      </c>
      <c r="BN169" s="157">
        <f t="shared" si="128"/>
        <v>6.8448992662138136E-2</v>
      </c>
      <c r="BO169" s="157">
        <f t="shared" si="128"/>
        <v>6.8448992662138136E-2</v>
      </c>
      <c r="BP169" s="157">
        <f t="shared" si="128"/>
        <v>6.8448992662138136E-2</v>
      </c>
      <c r="BQ169" s="157">
        <f t="shared" si="128"/>
        <v>6.8448992662138136E-2</v>
      </c>
      <c r="BR169" s="157">
        <f t="shared" si="128"/>
        <v>6.8448992662138136E-2</v>
      </c>
      <c r="BS169" s="157">
        <f t="shared" si="128"/>
        <v>6.8448992662138136E-2</v>
      </c>
      <c r="BT169" s="157">
        <f t="shared" si="128"/>
        <v>6.8448992662138136E-2</v>
      </c>
      <c r="BU169" s="157">
        <f t="shared" si="128"/>
        <v>6.8448992662138136E-2</v>
      </c>
      <c r="BV169" s="157">
        <f t="shared" si="128"/>
        <v>6.8448992662138136E-2</v>
      </c>
    </row>
    <row r="170" spans="1:74" x14ac:dyDescent="0.25">
      <c r="A170" s="149" t="s">
        <v>209</v>
      </c>
      <c r="B170" s="150"/>
      <c r="C170" s="150"/>
      <c r="D170" s="165">
        <v>7.4244372161799493E-2</v>
      </c>
      <c r="E170" s="165">
        <v>7.4244372161799493E-2</v>
      </c>
      <c r="F170" s="165">
        <v>7.4244372161799493E-2</v>
      </c>
      <c r="G170" s="165">
        <v>7.4244372161799493E-2</v>
      </c>
      <c r="H170" s="165">
        <v>7.4244372161799493E-2</v>
      </c>
      <c r="I170" s="165">
        <v>7.4244372161799493E-2</v>
      </c>
      <c r="J170" s="165">
        <v>7.4244372161799493E-2</v>
      </c>
      <c r="K170" s="165">
        <v>7.4244372161799493E-2</v>
      </c>
      <c r="L170" s="165">
        <v>7.4244372161799493E-2</v>
      </c>
      <c r="M170" s="165">
        <v>7.4244372161799493E-2</v>
      </c>
      <c r="N170" s="165">
        <v>7.4244372161799493E-2</v>
      </c>
      <c r="O170" s="165">
        <v>7.4244372161799493E-2</v>
      </c>
      <c r="P170" s="165">
        <v>7.4244372161799493E-2</v>
      </c>
      <c r="Q170" s="165">
        <v>7.4244372161799493E-2</v>
      </c>
      <c r="R170" s="165">
        <v>7.4244372161799493E-2</v>
      </c>
      <c r="S170" s="165">
        <v>7.4244372161799493E-2</v>
      </c>
      <c r="T170" s="165">
        <v>7.4244372161799493E-2</v>
      </c>
      <c r="U170" s="165">
        <v>7.4244372161799493E-2</v>
      </c>
      <c r="V170" s="165">
        <v>7.4244372161799493E-2</v>
      </c>
      <c r="W170" s="165">
        <v>7.4244372161799493E-2</v>
      </c>
      <c r="X170" s="165">
        <v>7.4244372161799493E-2</v>
      </c>
      <c r="Y170" s="165">
        <v>7.4244372161799493E-2</v>
      </c>
      <c r="Z170" s="165">
        <v>7.4244372161799493E-2</v>
      </c>
      <c r="AA170" s="165">
        <v>7.4244372161799493E-2</v>
      </c>
      <c r="AB170" s="165">
        <v>7.4244372161799493E-2</v>
      </c>
      <c r="AC170" s="165">
        <v>7.4244372161799493E-2</v>
      </c>
      <c r="AD170" s="165">
        <v>7.4244372161799493E-2</v>
      </c>
      <c r="AE170" s="165">
        <v>7.4244372161799493E-2</v>
      </c>
      <c r="AF170" s="165">
        <v>7.4244372161799493E-2</v>
      </c>
      <c r="AG170" s="165">
        <v>7.4244372161799493E-2</v>
      </c>
      <c r="AH170" s="165">
        <v>7.4244372161799493E-2</v>
      </c>
      <c r="AI170" s="165">
        <v>7.4244372161799493E-2</v>
      </c>
      <c r="AJ170" s="165">
        <v>7.4244372161799493E-2</v>
      </c>
      <c r="AK170" s="165">
        <v>7.4244372161799493E-2</v>
      </c>
      <c r="AL170" s="165">
        <v>7.4244372161799493E-2</v>
      </c>
      <c r="AM170" s="165">
        <v>7.4244372161799493E-2</v>
      </c>
      <c r="AN170" s="165">
        <v>7.4244372161799493E-2</v>
      </c>
      <c r="AO170" s="165">
        <v>7.4244372161799493E-2</v>
      </c>
      <c r="AP170" s="165">
        <v>7.4244372161799493E-2</v>
      </c>
      <c r="AQ170" s="165">
        <v>7.4244372161799493E-2</v>
      </c>
      <c r="AR170" s="165">
        <v>7.4244372161799493E-2</v>
      </c>
      <c r="AS170" s="157">
        <f t="shared" ref="AS170:BV170" si="129">AR170</f>
        <v>7.4244372161799493E-2</v>
      </c>
      <c r="AT170" s="157">
        <f t="shared" si="129"/>
        <v>7.4244372161799493E-2</v>
      </c>
      <c r="AU170" s="157">
        <f t="shared" si="129"/>
        <v>7.4244372161799493E-2</v>
      </c>
      <c r="AV170" s="157">
        <f t="shared" si="129"/>
        <v>7.4244372161799493E-2</v>
      </c>
      <c r="AW170" s="157">
        <f t="shared" si="129"/>
        <v>7.4244372161799493E-2</v>
      </c>
      <c r="AX170" s="157">
        <f t="shared" si="129"/>
        <v>7.4244372161799493E-2</v>
      </c>
      <c r="AY170" s="157">
        <f t="shared" si="129"/>
        <v>7.4244372161799493E-2</v>
      </c>
      <c r="AZ170" s="157">
        <f t="shared" si="129"/>
        <v>7.4244372161799493E-2</v>
      </c>
      <c r="BA170" s="157">
        <f t="shared" si="129"/>
        <v>7.4244372161799493E-2</v>
      </c>
      <c r="BB170" s="157">
        <f t="shared" si="129"/>
        <v>7.4244372161799493E-2</v>
      </c>
      <c r="BC170" s="157">
        <f t="shared" si="129"/>
        <v>7.4244372161799493E-2</v>
      </c>
      <c r="BD170" s="157">
        <f t="shared" si="129"/>
        <v>7.4244372161799493E-2</v>
      </c>
      <c r="BE170" s="157">
        <f t="shared" si="129"/>
        <v>7.4244372161799493E-2</v>
      </c>
      <c r="BF170" s="157">
        <f t="shared" si="129"/>
        <v>7.4244372161799493E-2</v>
      </c>
      <c r="BG170" s="157">
        <f t="shared" si="129"/>
        <v>7.4244372161799493E-2</v>
      </c>
      <c r="BH170" s="157">
        <f t="shared" si="129"/>
        <v>7.4244372161799493E-2</v>
      </c>
      <c r="BI170" s="157">
        <f t="shared" si="129"/>
        <v>7.4244372161799493E-2</v>
      </c>
      <c r="BJ170" s="157">
        <f t="shared" si="129"/>
        <v>7.4244372161799493E-2</v>
      </c>
      <c r="BK170" s="157">
        <f t="shared" si="129"/>
        <v>7.4244372161799493E-2</v>
      </c>
      <c r="BL170" s="157">
        <f t="shared" si="129"/>
        <v>7.4244372161799493E-2</v>
      </c>
      <c r="BM170" s="157">
        <f t="shared" si="129"/>
        <v>7.4244372161799493E-2</v>
      </c>
      <c r="BN170" s="157">
        <f t="shared" si="129"/>
        <v>7.4244372161799493E-2</v>
      </c>
      <c r="BO170" s="157">
        <f t="shared" si="129"/>
        <v>7.4244372161799493E-2</v>
      </c>
      <c r="BP170" s="157">
        <f t="shared" si="129"/>
        <v>7.4244372161799493E-2</v>
      </c>
      <c r="BQ170" s="157">
        <f t="shared" si="129"/>
        <v>7.4244372161799493E-2</v>
      </c>
      <c r="BR170" s="157">
        <f t="shared" si="129"/>
        <v>7.4244372161799493E-2</v>
      </c>
      <c r="BS170" s="157">
        <f t="shared" si="129"/>
        <v>7.4244372161799493E-2</v>
      </c>
      <c r="BT170" s="157">
        <f t="shared" si="129"/>
        <v>7.4244372161799493E-2</v>
      </c>
      <c r="BU170" s="157">
        <f t="shared" si="129"/>
        <v>7.4244372161799493E-2</v>
      </c>
      <c r="BV170" s="157">
        <f t="shared" si="129"/>
        <v>7.4244372161799493E-2</v>
      </c>
    </row>
    <row r="171" spans="1:74" x14ac:dyDescent="0.25">
      <c r="A171" s="149" t="s">
        <v>211</v>
      </c>
      <c r="B171" s="150"/>
      <c r="C171" s="150"/>
      <c r="D171" s="165">
        <v>6.1427408122131752E-2</v>
      </c>
      <c r="E171" s="165">
        <v>6.1427408122131752E-2</v>
      </c>
      <c r="F171" s="165">
        <v>6.1427408122131752E-2</v>
      </c>
      <c r="G171" s="165">
        <v>6.1427408122131752E-2</v>
      </c>
      <c r="H171" s="165">
        <v>6.1427408122131752E-2</v>
      </c>
      <c r="I171" s="165">
        <v>6.1427408122131752E-2</v>
      </c>
      <c r="J171" s="165">
        <v>6.1427408122131752E-2</v>
      </c>
      <c r="K171" s="165">
        <v>6.1427408122131752E-2</v>
      </c>
      <c r="L171" s="165">
        <v>6.1427408122131752E-2</v>
      </c>
      <c r="M171" s="165">
        <v>6.1427408122131752E-2</v>
      </c>
      <c r="N171" s="165">
        <v>6.1427408122131752E-2</v>
      </c>
      <c r="O171" s="165">
        <v>6.1427408122131752E-2</v>
      </c>
      <c r="P171" s="165">
        <v>6.1427408122131752E-2</v>
      </c>
      <c r="Q171" s="165">
        <v>6.1427408122131752E-2</v>
      </c>
      <c r="R171" s="165">
        <v>6.1427408122131752E-2</v>
      </c>
      <c r="S171" s="165">
        <v>6.1427408122131752E-2</v>
      </c>
      <c r="T171" s="165">
        <v>6.1427408122131752E-2</v>
      </c>
      <c r="U171" s="165">
        <v>6.1427408122131752E-2</v>
      </c>
      <c r="V171" s="165">
        <v>6.1427408122131752E-2</v>
      </c>
      <c r="W171" s="165">
        <v>6.1427408122131752E-2</v>
      </c>
      <c r="X171" s="165">
        <v>6.1427408122131752E-2</v>
      </c>
      <c r="Y171" s="165">
        <v>6.1427408122131752E-2</v>
      </c>
      <c r="Z171" s="165">
        <v>6.1427736540965582E-2</v>
      </c>
      <c r="AA171" s="165">
        <v>6.1427736540965582E-2</v>
      </c>
      <c r="AB171" s="165">
        <v>6.1427736540965582E-2</v>
      </c>
      <c r="AC171" s="165">
        <v>6.1427736540965582E-2</v>
      </c>
      <c r="AD171" s="165">
        <v>6.1426351412625008E-2</v>
      </c>
      <c r="AE171" s="165">
        <v>6.1426351412625008E-2</v>
      </c>
      <c r="AF171" s="165">
        <v>6.1426351412625008E-2</v>
      </c>
      <c r="AG171" s="165">
        <v>6.1426351412625008E-2</v>
      </c>
      <c r="AH171" s="165">
        <v>6.1426351412625008E-2</v>
      </c>
      <c r="AI171" s="165">
        <v>6.1426351412625008E-2</v>
      </c>
      <c r="AJ171" s="165">
        <v>6.1426351412625008E-2</v>
      </c>
      <c r="AK171" s="165">
        <v>6.1426351412625008E-2</v>
      </c>
      <c r="AL171" s="165">
        <v>6.1426351412625008E-2</v>
      </c>
      <c r="AM171" s="165">
        <v>6.1426351412625008E-2</v>
      </c>
      <c r="AN171" s="165">
        <v>6.1426351412625008E-2</v>
      </c>
      <c r="AO171" s="165">
        <v>6.1426351412625008E-2</v>
      </c>
      <c r="AP171" s="165">
        <v>6.1426351412625008E-2</v>
      </c>
      <c r="AQ171" s="165">
        <v>6.1426351412625008E-2</v>
      </c>
      <c r="AR171" s="165">
        <v>6.1426351412625008E-2</v>
      </c>
      <c r="AS171" s="157">
        <f t="shared" ref="AS171:BV171" si="130">AR171</f>
        <v>6.1426351412625008E-2</v>
      </c>
      <c r="AT171" s="157">
        <f t="shared" si="130"/>
        <v>6.1426351412625008E-2</v>
      </c>
      <c r="AU171" s="157">
        <f t="shared" si="130"/>
        <v>6.1426351412625008E-2</v>
      </c>
      <c r="AV171" s="157">
        <f t="shared" si="130"/>
        <v>6.1426351412625008E-2</v>
      </c>
      <c r="AW171" s="157">
        <f t="shared" si="130"/>
        <v>6.1426351412625008E-2</v>
      </c>
      <c r="AX171" s="157">
        <f t="shared" si="130"/>
        <v>6.1426351412625008E-2</v>
      </c>
      <c r="AY171" s="157">
        <f t="shared" si="130"/>
        <v>6.1426351412625008E-2</v>
      </c>
      <c r="AZ171" s="157">
        <f t="shared" si="130"/>
        <v>6.1426351412625008E-2</v>
      </c>
      <c r="BA171" s="157">
        <f t="shared" si="130"/>
        <v>6.1426351412625008E-2</v>
      </c>
      <c r="BB171" s="157">
        <f t="shared" si="130"/>
        <v>6.1426351412625008E-2</v>
      </c>
      <c r="BC171" s="157">
        <f t="shared" si="130"/>
        <v>6.1426351412625008E-2</v>
      </c>
      <c r="BD171" s="157">
        <f t="shared" si="130"/>
        <v>6.1426351412625008E-2</v>
      </c>
      <c r="BE171" s="157">
        <f t="shared" si="130"/>
        <v>6.1426351412625008E-2</v>
      </c>
      <c r="BF171" s="157">
        <f t="shared" si="130"/>
        <v>6.1426351412625008E-2</v>
      </c>
      <c r="BG171" s="157">
        <f t="shared" si="130"/>
        <v>6.1426351412625008E-2</v>
      </c>
      <c r="BH171" s="157">
        <f t="shared" si="130"/>
        <v>6.1426351412625008E-2</v>
      </c>
      <c r="BI171" s="157">
        <f t="shared" si="130"/>
        <v>6.1426351412625008E-2</v>
      </c>
      <c r="BJ171" s="157">
        <f t="shared" si="130"/>
        <v>6.1426351412625008E-2</v>
      </c>
      <c r="BK171" s="157">
        <f t="shared" si="130"/>
        <v>6.1426351412625008E-2</v>
      </c>
      <c r="BL171" s="157">
        <f t="shared" si="130"/>
        <v>6.1426351412625008E-2</v>
      </c>
      <c r="BM171" s="157">
        <f t="shared" si="130"/>
        <v>6.1426351412625008E-2</v>
      </c>
      <c r="BN171" s="157">
        <f t="shared" si="130"/>
        <v>6.1426351412625008E-2</v>
      </c>
      <c r="BO171" s="157">
        <f t="shared" si="130"/>
        <v>6.1426351412625008E-2</v>
      </c>
      <c r="BP171" s="157">
        <f t="shared" si="130"/>
        <v>6.1426351412625008E-2</v>
      </c>
      <c r="BQ171" s="157">
        <f t="shared" si="130"/>
        <v>6.1426351412625008E-2</v>
      </c>
      <c r="BR171" s="157">
        <f t="shared" si="130"/>
        <v>6.1426351412625008E-2</v>
      </c>
      <c r="BS171" s="157">
        <f t="shared" si="130"/>
        <v>6.1426351412625008E-2</v>
      </c>
      <c r="BT171" s="157">
        <f t="shared" si="130"/>
        <v>6.1426351412625008E-2</v>
      </c>
      <c r="BU171" s="157">
        <f t="shared" si="130"/>
        <v>6.1426351412625008E-2</v>
      </c>
      <c r="BV171" s="157">
        <f t="shared" si="130"/>
        <v>6.1426351412625008E-2</v>
      </c>
    </row>
    <row r="172" spans="1:74" x14ac:dyDescent="0.25">
      <c r="A172" s="155" t="s">
        <v>212</v>
      </c>
      <c r="C172" s="150"/>
      <c r="D172" s="165">
        <v>7.9069682467386798E-2</v>
      </c>
      <c r="E172" s="165">
        <v>7.8954055882881014E-2</v>
      </c>
      <c r="F172" s="165">
        <v>7.8838766974825669E-2</v>
      </c>
      <c r="G172" s="165">
        <v>7.8723814266149647E-2</v>
      </c>
      <c r="H172" s="165">
        <v>7.8609196288383962E-2</v>
      </c>
      <c r="I172" s="165">
        <v>7.8494911581599283E-2</v>
      </c>
      <c r="J172" s="165">
        <v>8.0484517100192679E-2</v>
      </c>
      <c r="K172" s="165">
        <v>8.1432885829493096E-2</v>
      </c>
      <c r="L172" s="165">
        <v>7.8202985489173565E-2</v>
      </c>
      <c r="M172" s="165">
        <v>7.9327181926145018E-2</v>
      </c>
      <c r="N172" s="165">
        <v>8.0091975639588225E-2</v>
      </c>
      <c r="O172" s="165">
        <v>7.9958948753608206E-2</v>
      </c>
      <c r="P172" s="165">
        <v>8.0127601178990121E-2</v>
      </c>
      <c r="Q172" s="165">
        <v>8.1989862470665781E-2</v>
      </c>
      <c r="R172" s="165">
        <v>8.2650362961002519E-2</v>
      </c>
      <c r="S172" s="165">
        <v>8.3828873070901838E-2</v>
      </c>
      <c r="T172" s="165">
        <v>8.4163103508091114E-2</v>
      </c>
      <c r="U172" s="165">
        <v>8.5582184843443168E-2</v>
      </c>
      <c r="V172" s="165">
        <v>8.4548441907527708E-2</v>
      </c>
      <c r="W172" s="165">
        <v>8.1551085528052555E-2</v>
      </c>
      <c r="X172" s="165">
        <v>8.1571494077919054E-2</v>
      </c>
      <c r="Y172" s="165">
        <v>8.3496895533151316E-2</v>
      </c>
      <c r="Z172" s="165">
        <v>8.1958094040299578E-2</v>
      </c>
      <c r="AA172" s="165">
        <v>8.0877278405640629E-2</v>
      </c>
      <c r="AB172" s="165">
        <v>8.0993584032994795E-2</v>
      </c>
      <c r="AC172" s="165">
        <v>8.0767021208888012E-2</v>
      </c>
      <c r="AD172" s="165">
        <v>8.0439232589319384E-2</v>
      </c>
      <c r="AE172" s="165">
        <v>8.1579674842975874E-2</v>
      </c>
      <c r="AF172" s="165">
        <v>8.1579674842975874E-2</v>
      </c>
      <c r="AG172" s="165">
        <v>8.1579674842975874E-2</v>
      </c>
      <c r="AH172" s="165">
        <v>8.1579674842975874E-2</v>
      </c>
      <c r="AI172" s="165">
        <v>8.1579674842975874E-2</v>
      </c>
      <c r="AJ172" s="165">
        <v>8.1579674842975874E-2</v>
      </c>
      <c r="AK172" s="165">
        <v>8.1579674842975874E-2</v>
      </c>
      <c r="AL172" s="165">
        <v>8.1579674842975874E-2</v>
      </c>
      <c r="AM172" s="165">
        <v>8.1579674842975874E-2</v>
      </c>
      <c r="AN172" s="165">
        <v>8.1579674842975874E-2</v>
      </c>
      <c r="AO172" s="165">
        <v>8.1579674842975874E-2</v>
      </c>
      <c r="AP172" s="165">
        <v>8.1579674842975874E-2</v>
      </c>
      <c r="AQ172" s="165">
        <v>8.1579674842975874E-2</v>
      </c>
      <c r="AR172" s="165">
        <v>8.1579674842975874E-2</v>
      </c>
      <c r="AS172" s="157">
        <f t="shared" ref="AS172:BV172" si="131">AR172</f>
        <v>8.1579674842975874E-2</v>
      </c>
      <c r="AT172" s="157">
        <f t="shared" si="131"/>
        <v>8.1579674842975874E-2</v>
      </c>
      <c r="AU172" s="157">
        <f t="shared" si="131"/>
        <v>8.1579674842975874E-2</v>
      </c>
      <c r="AV172" s="157">
        <f t="shared" si="131"/>
        <v>8.1579674842975874E-2</v>
      </c>
      <c r="AW172" s="157">
        <f t="shared" si="131"/>
        <v>8.1579674842975874E-2</v>
      </c>
      <c r="AX172" s="157">
        <f t="shared" si="131"/>
        <v>8.1579674842975874E-2</v>
      </c>
      <c r="AY172" s="157">
        <f t="shared" si="131"/>
        <v>8.1579674842975874E-2</v>
      </c>
      <c r="AZ172" s="157">
        <f t="shared" si="131"/>
        <v>8.1579674842975874E-2</v>
      </c>
      <c r="BA172" s="157">
        <f t="shared" si="131"/>
        <v>8.1579674842975874E-2</v>
      </c>
      <c r="BB172" s="157">
        <f t="shared" si="131"/>
        <v>8.1579674842975874E-2</v>
      </c>
      <c r="BC172" s="157">
        <f t="shared" si="131"/>
        <v>8.1579674842975874E-2</v>
      </c>
      <c r="BD172" s="157">
        <f t="shared" si="131"/>
        <v>8.1579674842975874E-2</v>
      </c>
      <c r="BE172" s="157">
        <f t="shared" si="131"/>
        <v>8.1579674842975874E-2</v>
      </c>
      <c r="BF172" s="157">
        <f t="shared" si="131"/>
        <v>8.1579674842975874E-2</v>
      </c>
      <c r="BG172" s="157">
        <f t="shared" si="131"/>
        <v>8.1579674842975874E-2</v>
      </c>
      <c r="BH172" s="157">
        <f t="shared" si="131"/>
        <v>8.1579674842975874E-2</v>
      </c>
      <c r="BI172" s="157">
        <f t="shared" si="131"/>
        <v>8.1579674842975874E-2</v>
      </c>
      <c r="BJ172" s="157">
        <f t="shared" si="131"/>
        <v>8.1579674842975874E-2</v>
      </c>
      <c r="BK172" s="157">
        <f t="shared" si="131"/>
        <v>8.1579674842975874E-2</v>
      </c>
      <c r="BL172" s="157">
        <f t="shared" si="131"/>
        <v>8.1579674842975874E-2</v>
      </c>
      <c r="BM172" s="157">
        <f t="shared" si="131"/>
        <v>8.1579674842975874E-2</v>
      </c>
      <c r="BN172" s="157">
        <f t="shared" si="131"/>
        <v>8.1579674842975874E-2</v>
      </c>
      <c r="BO172" s="157">
        <f t="shared" si="131"/>
        <v>8.1579674842975874E-2</v>
      </c>
      <c r="BP172" s="157">
        <f t="shared" si="131"/>
        <v>8.1579674842975874E-2</v>
      </c>
      <c r="BQ172" s="157">
        <f t="shared" si="131"/>
        <v>8.1579674842975874E-2</v>
      </c>
      <c r="BR172" s="157">
        <f t="shared" si="131"/>
        <v>8.1579674842975874E-2</v>
      </c>
      <c r="BS172" s="157">
        <f t="shared" si="131"/>
        <v>8.1579674842975874E-2</v>
      </c>
      <c r="BT172" s="157">
        <f t="shared" si="131"/>
        <v>8.1579674842975874E-2</v>
      </c>
      <c r="BU172" s="157">
        <f t="shared" si="131"/>
        <v>8.1579674842975874E-2</v>
      </c>
      <c r="BV172" s="157">
        <f t="shared" si="131"/>
        <v>8.1579674842975874E-2</v>
      </c>
    </row>
    <row r="173" spans="1:74" x14ac:dyDescent="0.25">
      <c r="A173" s="155" t="s">
        <v>214</v>
      </c>
      <c r="C173" s="150"/>
      <c r="D173" s="165">
        <v>0.11005896687927426</v>
      </c>
      <c r="E173" s="165">
        <v>0.11005896707370726</v>
      </c>
      <c r="F173" s="165">
        <v>0.11005896726814027</v>
      </c>
      <c r="G173" s="165">
        <v>0.11005896746257328</v>
      </c>
      <c r="H173" s="165">
        <v>0.11005896765700629</v>
      </c>
      <c r="I173" s="165">
        <v>0.1100589678514393</v>
      </c>
      <c r="J173" s="165">
        <v>0.11005896670553743</v>
      </c>
      <c r="K173" s="165">
        <v>0.11005896676044352</v>
      </c>
      <c r="L173" s="165">
        <v>0.1100589665637436</v>
      </c>
      <c r="M173" s="165">
        <v>0.11005896589385057</v>
      </c>
      <c r="N173" s="165">
        <v>0.11005896543936709</v>
      </c>
      <c r="O173" s="165">
        <v>0.11005896652585481</v>
      </c>
      <c r="P173" s="165">
        <v>0.11005896629550976</v>
      </c>
      <c r="Q173" s="165">
        <v>0.11005896655734179</v>
      </c>
      <c r="R173" s="165">
        <v>0.1100589667316114</v>
      </c>
      <c r="S173" s="165">
        <v>0.11005896611747185</v>
      </c>
      <c r="T173" s="165">
        <v>0.1100589786035286</v>
      </c>
      <c r="U173" s="165">
        <v>0.11005898048751428</v>
      </c>
      <c r="V173" s="165">
        <v>0.11005897316757957</v>
      </c>
      <c r="W173" s="165">
        <v>0.11005895843000511</v>
      </c>
      <c r="X173" s="165">
        <v>0.11005898524737921</v>
      </c>
      <c r="Y173" s="165">
        <v>0.11005897874386295</v>
      </c>
      <c r="Z173" s="165">
        <v>0.11005896989140068</v>
      </c>
      <c r="AA173" s="165">
        <v>0.1100589468098807</v>
      </c>
      <c r="AB173" s="165">
        <v>0.11005895716733316</v>
      </c>
      <c r="AC173" s="165">
        <v>0.11005896964909377</v>
      </c>
      <c r="AD173" s="165">
        <v>0.110058948582673</v>
      </c>
      <c r="AE173" s="165">
        <v>0.11005897557611631</v>
      </c>
      <c r="AF173" s="165">
        <v>0.11005897557611631</v>
      </c>
      <c r="AG173" s="165">
        <v>0.11005897557611631</v>
      </c>
      <c r="AH173" s="165">
        <v>0.11005897557611631</v>
      </c>
      <c r="AI173" s="165">
        <v>0.11005897557611631</v>
      </c>
      <c r="AJ173" s="165">
        <v>0.11005897557611631</v>
      </c>
      <c r="AK173" s="165">
        <v>0.11005897557611631</v>
      </c>
      <c r="AL173" s="165">
        <v>0.11005897557611631</v>
      </c>
      <c r="AM173" s="165">
        <v>0.11005897557611631</v>
      </c>
      <c r="AN173" s="165">
        <v>0.11005897557611631</v>
      </c>
      <c r="AO173" s="165">
        <v>0.11005897557611631</v>
      </c>
      <c r="AP173" s="165">
        <v>0.11005897557611631</v>
      </c>
      <c r="AQ173" s="165">
        <v>0.11005897557611631</v>
      </c>
      <c r="AR173" s="165">
        <v>0.11005897557611631</v>
      </c>
      <c r="AS173" s="157">
        <f t="shared" ref="AS173:BV173" si="132">AR173</f>
        <v>0.11005897557611631</v>
      </c>
      <c r="AT173" s="157">
        <f t="shared" si="132"/>
        <v>0.11005897557611631</v>
      </c>
      <c r="AU173" s="157">
        <f t="shared" si="132"/>
        <v>0.11005897557611631</v>
      </c>
      <c r="AV173" s="157">
        <f t="shared" si="132"/>
        <v>0.11005897557611631</v>
      </c>
      <c r="AW173" s="157">
        <f t="shared" si="132"/>
        <v>0.11005897557611631</v>
      </c>
      <c r="AX173" s="157">
        <f t="shared" si="132"/>
        <v>0.11005897557611631</v>
      </c>
      <c r="AY173" s="157">
        <f t="shared" si="132"/>
        <v>0.11005897557611631</v>
      </c>
      <c r="AZ173" s="157">
        <f t="shared" si="132"/>
        <v>0.11005897557611631</v>
      </c>
      <c r="BA173" s="157">
        <f t="shared" si="132"/>
        <v>0.11005897557611631</v>
      </c>
      <c r="BB173" s="157">
        <f t="shared" si="132"/>
        <v>0.11005897557611631</v>
      </c>
      <c r="BC173" s="157">
        <f t="shared" si="132"/>
        <v>0.11005897557611631</v>
      </c>
      <c r="BD173" s="157">
        <f t="shared" si="132"/>
        <v>0.11005897557611631</v>
      </c>
      <c r="BE173" s="157">
        <f t="shared" si="132"/>
        <v>0.11005897557611631</v>
      </c>
      <c r="BF173" s="157">
        <f t="shared" si="132"/>
        <v>0.11005897557611631</v>
      </c>
      <c r="BG173" s="157">
        <f t="shared" si="132"/>
        <v>0.11005897557611631</v>
      </c>
      <c r="BH173" s="157">
        <f t="shared" si="132"/>
        <v>0.11005897557611631</v>
      </c>
      <c r="BI173" s="157">
        <f t="shared" si="132"/>
        <v>0.11005897557611631</v>
      </c>
      <c r="BJ173" s="157">
        <f t="shared" si="132"/>
        <v>0.11005897557611631</v>
      </c>
      <c r="BK173" s="157">
        <f t="shared" si="132"/>
        <v>0.11005897557611631</v>
      </c>
      <c r="BL173" s="157">
        <f t="shared" si="132"/>
        <v>0.11005897557611631</v>
      </c>
      <c r="BM173" s="157">
        <f t="shared" si="132"/>
        <v>0.11005897557611631</v>
      </c>
      <c r="BN173" s="157">
        <f t="shared" si="132"/>
        <v>0.11005897557611631</v>
      </c>
      <c r="BO173" s="157">
        <f t="shared" si="132"/>
        <v>0.11005897557611631</v>
      </c>
      <c r="BP173" s="157">
        <f t="shared" si="132"/>
        <v>0.11005897557611631</v>
      </c>
      <c r="BQ173" s="157">
        <f t="shared" si="132"/>
        <v>0.11005897557611631</v>
      </c>
      <c r="BR173" s="157">
        <f t="shared" si="132"/>
        <v>0.11005897557611631</v>
      </c>
      <c r="BS173" s="157">
        <f t="shared" si="132"/>
        <v>0.11005897557611631</v>
      </c>
      <c r="BT173" s="157">
        <f t="shared" si="132"/>
        <v>0.11005897557611631</v>
      </c>
      <c r="BU173" s="157">
        <f t="shared" si="132"/>
        <v>0.11005897557611631</v>
      </c>
      <c r="BV173" s="157">
        <f t="shared" si="132"/>
        <v>0.11005897557611631</v>
      </c>
    </row>
    <row r="174" spans="1:74" x14ac:dyDescent="0.25">
      <c r="A174" s="149" t="s">
        <v>215</v>
      </c>
      <c r="B174" s="150"/>
      <c r="C174" s="150"/>
      <c r="D174" s="165">
        <v>8.4669648012979798E-2</v>
      </c>
      <c r="E174" s="165">
        <v>8.4763618733123366E-2</v>
      </c>
      <c r="F174" s="165">
        <v>8.4857589453490215E-2</v>
      </c>
      <c r="G174" s="165">
        <v>8.4951560174080371E-2</v>
      </c>
      <c r="H174" s="165">
        <v>8.5045530894893806E-2</v>
      </c>
      <c r="I174" s="165">
        <v>8.5139501615930535E-2</v>
      </c>
      <c r="J174" s="165">
        <v>8.4134444555794233E-2</v>
      </c>
      <c r="K174" s="165">
        <v>8.4450211712153056E-2</v>
      </c>
      <c r="L174" s="165">
        <v>8.0962821708620361E-2</v>
      </c>
      <c r="M174" s="165">
        <v>8.1483050770451718E-2</v>
      </c>
      <c r="N174" s="165">
        <v>8.0059986510225084E-2</v>
      </c>
      <c r="O174" s="165">
        <v>8.2119182170518515E-2</v>
      </c>
      <c r="P174" s="165">
        <v>8.3126805820462626E-2</v>
      </c>
      <c r="Q174" s="165">
        <v>8.3651533025754732E-2</v>
      </c>
      <c r="R174" s="165">
        <v>8.3173233808404343E-2</v>
      </c>
      <c r="S174" s="165">
        <v>8.3303051192369498E-2</v>
      </c>
      <c r="T174" s="165">
        <v>8.3393330223555259E-2</v>
      </c>
      <c r="U174" s="165">
        <v>8.3377563905847649E-2</v>
      </c>
      <c r="V174" s="165">
        <v>8.3411679359558191E-2</v>
      </c>
      <c r="W174" s="165">
        <v>8.3380981828234321E-2</v>
      </c>
      <c r="X174" s="165">
        <v>8.3508013586894372E-2</v>
      </c>
      <c r="Y174" s="165">
        <v>8.3309824540335656E-2</v>
      </c>
      <c r="Z174" s="165">
        <v>8.3278284216720927E-2</v>
      </c>
      <c r="AA174" s="165">
        <v>8.4628461014660719E-2</v>
      </c>
      <c r="AB174" s="165">
        <v>8.124285509656981E-2</v>
      </c>
      <c r="AC174" s="165">
        <v>8.1676976297178072E-2</v>
      </c>
      <c r="AD174" s="165">
        <v>8.1764678751483758E-2</v>
      </c>
      <c r="AE174" s="165">
        <v>8.2196107424975309E-2</v>
      </c>
      <c r="AF174" s="165">
        <v>8.2196107424975309E-2</v>
      </c>
      <c r="AG174" s="165">
        <v>8.2196107424975309E-2</v>
      </c>
      <c r="AH174" s="165">
        <v>8.2196107424975309E-2</v>
      </c>
      <c r="AI174" s="165">
        <v>8.2196107424975309E-2</v>
      </c>
      <c r="AJ174" s="165">
        <v>8.2196107424975309E-2</v>
      </c>
      <c r="AK174" s="165">
        <v>8.2196107424975309E-2</v>
      </c>
      <c r="AL174" s="165">
        <v>8.2196107424975309E-2</v>
      </c>
      <c r="AM174" s="165">
        <v>8.2196107424975309E-2</v>
      </c>
      <c r="AN174" s="165">
        <v>8.2196107424975309E-2</v>
      </c>
      <c r="AO174" s="165">
        <v>8.2196107424975309E-2</v>
      </c>
      <c r="AP174" s="165">
        <v>8.2196107424975309E-2</v>
      </c>
      <c r="AQ174" s="165">
        <v>8.2196107424975309E-2</v>
      </c>
      <c r="AR174" s="165">
        <v>8.2196107424975309E-2</v>
      </c>
      <c r="AS174" s="157">
        <f t="shared" ref="AS174:BV174" si="133">AR174</f>
        <v>8.2196107424975309E-2</v>
      </c>
      <c r="AT174" s="157">
        <f t="shared" si="133"/>
        <v>8.2196107424975309E-2</v>
      </c>
      <c r="AU174" s="157">
        <f t="shared" si="133"/>
        <v>8.2196107424975309E-2</v>
      </c>
      <c r="AV174" s="157">
        <f t="shared" si="133"/>
        <v>8.2196107424975309E-2</v>
      </c>
      <c r="AW174" s="157">
        <f t="shared" si="133"/>
        <v>8.2196107424975309E-2</v>
      </c>
      <c r="AX174" s="157">
        <f t="shared" si="133"/>
        <v>8.2196107424975309E-2</v>
      </c>
      <c r="AY174" s="157">
        <f t="shared" si="133"/>
        <v>8.2196107424975309E-2</v>
      </c>
      <c r="AZ174" s="157">
        <f t="shared" si="133"/>
        <v>8.2196107424975309E-2</v>
      </c>
      <c r="BA174" s="157">
        <f t="shared" si="133"/>
        <v>8.2196107424975309E-2</v>
      </c>
      <c r="BB174" s="157">
        <f t="shared" si="133"/>
        <v>8.2196107424975309E-2</v>
      </c>
      <c r="BC174" s="157">
        <f t="shared" si="133"/>
        <v>8.2196107424975309E-2</v>
      </c>
      <c r="BD174" s="157">
        <f t="shared" si="133"/>
        <v>8.2196107424975309E-2</v>
      </c>
      <c r="BE174" s="157">
        <f t="shared" si="133"/>
        <v>8.2196107424975309E-2</v>
      </c>
      <c r="BF174" s="157">
        <f t="shared" si="133"/>
        <v>8.2196107424975309E-2</v>
      </c>
      <c r="BG174" s="157">
        <f t="shared" si="133"/>
        <v>8.2196107424975309E-2</v>
      </c>
      <c r="BH174" s="157">
        <f t="shared" si="133"/>
        <v>8.2196107424975309E-2</v>
      </c>
      <c r="BI174" s="157">
        <f t="shared" si="133"/>
        <v>8.2196107424975309E-2</v>
      </c>
      <c r="BJ174" s="157">
        <f t="shared" si="133"/>
        <v>8.2196107424975309E-2</v>
      </c>
      <c r="BK174" s="157">
        <f t="shared" si="133"/>
        <v>8.2196107424975309E-2</v>
      </c>
      <c r="BL174" s="157">
        <f t="shared" si="133"/>
        <v>8.2196107424975309E-2</v>
      </c>
      <c r="BM174" s="157">
        <f t="shared" si="133"/>
        <v>8.2196107424975309E-2</v>
      </c>
      <c r="BN174" s="157">
        <f t="shared" si="133"/>
        <v>8.2196107424975309E-2</v>
      </c>
      <c r="BO174" s="157">
        <f t="shared" si="133"/>
        <v>8.2196107424975309E-2</v>
      </c>
      <c r="BP174" s="157">
        <f t="shared" si="133"/>
        <v>8.2196107424975309E-2</v>
      </c>
      <c r="BQ174" s="157">
        <f t="shared" si="133"/>
        <v>8.2196107424975309E-2</v>
      </c>
      <c r="BR174" s="157">
        <f t="shared" si="133"/>
        <v>8.2196107424975309E-2</v>
      </c>
      <c r="BS174" s="157">
        <f t="shared" si="133"/>
        <v>8.2196107424975309E-2</v>
      </c>
      <c r="BT174" s="157">
        <f t="shared" si="133"/>
        <v>8.2196107424975309E-2</v>
      </c>
      <c r="BU174" s="157">
        <f t="shared" si="133"/>
        <v>8.2196107424975309E-2</v>
      </c>
      <c r="BV174" s="157">
        <f t="shared" si="133"/>
        <v>8.2196107424975309E-2</v>
      </c>
    </row>
    <row r="175" spans="1:74" x14ac:dyDescent="0.25">
      <c r="A175" s="155" t="s">
        <v>217</v>
      </c>
      <c r="C175" s="150"/>
      <c r="D175" s="165">
        <v>3.6915636754433108E-2</v>
      </c>
      <c r="E175" s="165">
        <v>3.6915636689798026E-2</v>
      </c>
      <c r="F175" s="165">
        <v>3.6915636625162951E-2</v>
      </c>
      <c r="G175" s="165">
        <v>3.6915636560527876E-2</v>
      </c>
      <c r="H175" s="165">
        <v>3.6915636495892801E-2</v>
      </c>
      <c r="I175" s="165">
        <v>3.6915636431257712E-2</v>
      </c>
      <c r="J175" s="165">
        <v>3.6915636358937777E-2</v>
      </c>
      <c r="K175" s="165">
        <v>3.6915636670680117E-2</v>
      </c>
      <c r="L175" s="165">
        <v>3.5893417523108817E-2</v>
      </c>
      <c r="M175" s="165">
        <v>3.5893416553719325E-2</v>
      </c>
      <c r="N175" s="165">
        <v>3.5893417007309844E-2</v>
      </c>
      <c r="O175" s="165">
        <v>3.5893417352737059E-2</v>
      </c>
      <c r="P175" s="165">
        <v>3.5893417543440012E-2</v>
      </c>
      <c r="Q175" s="165">
        <v>3.5893416415481647E-2</v>
      </c>
      <c r="R175" s="165">
        <v>3.5893416826550666E-2</v>
      </c>
      <c r="S175" s="165">
        <v>3.5893416417395518E-2</v>
      </c>
      <c r="T175" s="165">
        <v>3.5893419913036281E-2</v>
      </c>
      <c r="U175" s="165">
        <v>3.5893407906881634E-2</v>
      </c>
      <c r="V175" s="165">
        <v>3.5893424274743173E-2</v>
      </c>
      <c r="W175" s="165">
        <v>3.5893431794472561E-2</v>
      </c>
      <c r="X175" s="165">
        <v>3.5893418614582853E-2</v>
      </c>
      <c r="Y175" s="165">
        <v>3.5893419555865204E-2</v>
      </c>
      <c r="Z175" s="165">
        <v>3.5893421571805299E-2</v>
      </c>
      <c r="AA175" s="165">
        <v>3.5893408401858437E-2</v>
      </c>
      <c r="AB175" s="165">
        <v>3.5893414267523037E-2</v>
      </c>
      <c r="AC175" s="165">
        <v>3.5893400998692281E-2</v>
      </c>
      <c r="AD175" s="165">
        <v>3.5893429673934947E-2</v>
      </c>
      <c r="AE175" s="165">
        <v>3.5893399475731148E-2</v>
      </c>
      <c r="AF175" s="165">
        <v>3.5893399475731148E-2</v>
      </c>
      <c r="AG175" s="165">
        <v>3.5893399475731148E-2</v>
      </c>
      <c r="AH175" s="165">
        <v>3.5893399475731148E-2</v>
      </c>
      <c r="AI175" s="165">
        <v>3.5893399475731148E-2</v>
      </c>
      <c r="AJ175" s="165">
        <v>3.5893399475731148E-2</v>
      </c>
      <c r="AK175" s="165">
        <v>3.5893399475731148E-2</v>
      </c>
      <c r="AL175" s="165">
        <v>3.5893399475731148E-2</v>
      </c>
      <c r="AM175" s="165">
        <v>3.5893399475731148E-2</v>
      </c>
      <c r="AN175" s="165">
        <v>3.5893399475731148E-2</v>
      </c>
      <c r="AO175" s="165">
        <v>3.5893399475731148E-2</v>
      </c>
      <c r="AP175" s="165">
        <v>3.5893399475731148E-2</v>
      </c>
      <c r="AQ175" s="165">
        <v>3.5893399475731148E-2</v>
      </c>
      <c r="AR175" s="165">
        <v>3.5893399475731148E-2</v>
      </c>
      <c r="AS175" s="157">
        <f t="shared" ref="AS175:BV175" si="134">AR175</f>
        <v>3.5893399475731148E-2</v>
      </c>
      <c r="AT175" s="157">
        <f t="shared" si="134"/>
        <v>3.5893399475731148E-2</v>
      </c>
      <c r="AU175" s="157">
        <f t="shared" si="134"/>
        <v>3.5893399475731148E-2</v>
      </c>
      <c r="AV175" s="157">
        <f t="shared" si="134"/>
        <v>3.5893399475731148E-2</v>
      </c>
      <c r="AW175" s="157">
        <f t="shared" si="134"/>
        <v>3.5893399475731148E-2</v>
      </c>
      <c r="AX175" s="157">
        <f t="shared" si="134"/>
        <v>3.5893399475731148E-2</v>
      </c>
      <c r="AY175" s="157">
        <f t="shared" si="134"/>
        <v>3.5893399475731148E-2</v>
      </c>
      <c r="AZ175" s="157">
        <f t="shared" si="134"/>
        <v>3.5893399475731148E-2</v>
      </c>
      <c r="BA175" s="157">
        <f t="shared" si="134"/>
        <v>3.5893399475731148E-2</v>
      </c>
      <c r="BB175" s="157">
        <f t="shared" si="134"/>
        <v>3.5893399475731148E-2</v>
      </c>
      <c r="BC175" s="157">
        <f t="shared" si="134"/>
        <v>3.5893399475731148E-2</v>
      </c>
      <c r="BD175" s="157">
        <f t="shared" si="134"/>
        <v>3.5893399475731148E-2</v>
      </c>
      <c r="BE175" s="157">
        <f t="shared" si="134"/>
        <v>3.5893399475731148E-2</v>
      </c>
      <c r="BF175" s="157">
        <f t="shared" si="134"/>
        <v>3.5893399475731148E-2</v>
      </c>
      <c r="BG175" s="157">
        <f t="shared" si="134"/>
        <v>3.5893399475731148E-2</v>
      </c>
      <c r="BH175" s="157">
        <f t="shared" si="134"/>
        <v>3.5893399475731148E-2</v>
      </c>
      <c r="BI175" s="157">
        <f t="shared" si="134"/>
        <v>3.5893399475731148E-2</v>
      </c>
      <c r="BJ175" s="157">
        <f t="shared" si="134"/>
        <v>3.5893399475731148E-2</v>
      </c>
      <c r="BK175" s="157">
        <f t="shared" si="134"/>
        <v>3.5893399475731148E-2</v>
      </c>
      <c r="BL175" s="157">
        <f t="shared" si="134"/>
        <v>3.5893399475731148E-2</v>
      </c>
      <c r="BM175" s="157">
        <f t="shared" si="134"/>
        <v>3.5893399475731148E-2</v>
      </c>
      <c r="BN175" s="157">
        <f t="shared" si="134"/>
        <v>3.5893399475731148E-2</v>
      </c>
      <c r="BO175" s="157">
        <f t="shared" si="134"/>
        <v>3.5893399475731148E-2</v>
      </c>
      <c r="BP175" s="157">
        <f t="shared" si="134"/>
        <v>3.5893399475731148E-2</v>
      </c>
      <c r="BQ175" s="157">
        <f t="shared" si="134"/>
        <v>3.5893399475731148E-2</v>
      </c>
      <c r="BR175" s="157">
        <f t="shared" si="134"/>
        <v>3.5893399475731148E-2</v>
      </c>
      <c r="BS175" s="157">
        <f t="shared" si="134"/>
        <v>3.5893399475731148E-2</v>
      </c>
      <c r="BT175" s="157">
        <f t="shared" si="134"/>
        <v>3.5893399475731148E-2</v>
      </c>
      <c r="BU175" s="157">
        <f t="shared" si="134"/>
        <v>3.5893399475731148E-2</v>
      </c>
      <c r="BV175" s="157">
        <f t="shared" si="134"/>
        <v>3.5893399475731148E-2</v>
      </c>
    </row>
    <row r="176" spans="1:74" x14ac:dyDescent="0.25">
      <c r="A176" s="155" t="s">
        <v>12</v>
      </c>
      <c r="C176" s="150"/>
      <c r="D176" s="165">
        <v>6.9545029789487622E-2</v>
      </c>
      <c r="E176" s="165">
        <v>6.9545029789487622E-2</v>
      </c>
      <c r="F176" s="165">
        <v>6.9545029789487622E-2</v>
      </c>
      <c r="G176" s="165">
        <v>6.9545029789487622E-2</v>
      </c>
      <c r="H176" s="165">
        <v>6.9545029789487622E-2</v>
      </c>
      <c r="I176" s="165">
        <v>6.9545029789487622E-2</v>
      </c>
      <c r="J176" s="165">
        <v>6.9545081669367514E-2</v>
      </c>
      <c r="K176" s="165">
        <v>6.9544982086588686E-2</v>
      </c>
      <c r="L176" s="165">
        <v>6.9544935999769186E-2</v>
      </c>
      <c r="M176" s="165">
        <v>6.9544906229613165E-2</v>
      </c>
      <c r="N176" s="165">
        <v>6.9545118551339213E-2</v>
      </c>
      <c r="O176" s="165">
        <v>6.9544866769800692E-2</v>
      </c>
      <c r="P176" s="165">
        <v>7.0235068234452872E-2</v>
      </c>
      <c r="Q176" s="165">
        <v>7.0234951432833093E-2</v>
      </c>
      <c r="R176" s="165">
        <v>7.0234989879409349E-2</v>
      </c>
      <c r="S176" s="165">
        <v>7.0235121730838804E-2</v>
      </c>
      <c r="T176" s="165">
        <v>7.0234982052601258E-2</v>
      </c>
      <c r="U176" s="165">
        <v>7.0234959052084836E-2</v>
      </c>
      <c r="V176" s="165">
        <v>7.0235095524537938E-2</v>
      </c>
      <c r="W176" s="165">
        <v>7.0235033370456126E-2</v>
      </c>
      <c r="X176" s="165">
        <v>7.0235084381457882E-2</v>
      </c>
      <c r="Y176" s="165">
        <v>7.0234914482216443E-2</v>
      </c>
      <c r="Z176" s="165">
        <v>7.0234891798950996E-2</v>
      </c>
      <c r="AA176" s="165">
        <v>7.0235055820346906E-2</v>
      </c>
      <c r="AB176" s="165">
        <v>7.0234888528053971E-2</v>
      </c>
      <c r="AC176" s="165">
        <v>7.0235109017354053E-2</v>
      </c>
      <c r="AD176" s="165">
        <v>7.0235041146056221E-2</v>
      </c>
      <c r="AE176" s="165">
        <v>7.0235021184098384E-2</v>
      </c>
      <c r="AF176" s="165">
        <v>7.0235021184098384E-2</v>
      </c>
      <c r="AG176" s="165">
        <v>7.0235021184098384E-2</v>
      </c>
      <c r="AH176" s="165">
        <v>7.0235021184098384E-2</v>
      </c>
      <c r="AI176" s="165">
        <v>7.0235021184098384E-2</v>
      </c>
      <c r="AJ176" s="165">
        <v>7.0235021184098384E-2</v>
      </c>
      <c r="AK176" s="165">
        <v>7.0235021184098384E-2</v>
      </c>
      <c r="AL176" s="165">
        <v>7.0235021184098384E-2</v>
      </c>
      <c r="AM176" s="165">
        <v>7.0235021184098384E-2</v>
      </c>
      <c r="AN176" s="165">
        <v>7.0235021184098384E-2</v>
      </c>
      <c r="AO176" s="165">
        <v>7.0235021184098384E-2</v>
      </c>
      <c r="AP176" s="165">
        <v>7.0235021184098384E-2</v>
      </c>
      <c r="AQ176" s="165">
        <v>7.0235021184098384E-2</v>
      </c>
      <c r="AR176" s="165">
        <v>7.0235021184098384E-2</v>
      </c>
      <c r="AS176" s="157">
        <f t="shared" ref="AS176:BV176" si="135">AR176</f>
        <v>7.0235021184098384E-2</v>
      </c>
      <c r="AT176" s="157">
        <f t="shared" si="135"/>
        <v>7.0235021184098384E-2</v>
      </c>
      <c r="AU176" s="157">
        <f t="shared" si="135"/>
        <v>7.0235021184098384E-2</v>
      </c>
      <c r="AV176" s="157">
        <f t="shared" si="135"/>
        <v>7.0235021184098384E-2</v>
      </c>
      <c r="AW176" s="157">
        <f t="shared" si="135"/>
        <v>7.0235021184098384E-2</v>
      </c>
      <c r="AX176" s="157">
        <f t="shared" si="135"/>
        <v>7.0235021184098384E-2</v>
      </c>
      <c r="AY176" s="157">
        <f t="shared" si="135"/>
        <v>7.0235021184098384E-2</v>
      </c>
      <c r="AZ176" s="157">
        <f t="shared" si="135"/>
        <v>7.0235021184098384E-2</v>
      </c>
      <c r="BA176" s="157">
        <f t="shared" si="135"/>
        <v>7.0235021184098384E-2</v>
      </c>
      <c r="BB176" s="157">
        <f t="shared" si="135"/>
        <v>7.0235021184098384E-2</v>
      </c>
      <c r="BC176" s="157">
        <f t="shared" si="135"/>
        <v>7.0235021184098384E-2</v>
      </c>
      <c r="BD176" s="157">
        <f t="shared" si="135"/>
        <v>7.0235021184098384E-2</v>
      </c>
      <c r="BE176" s="157">
        <f t="shared" si="135"/>
        <v>7.0235021184098384E-2</v>
      </c>
      <c r="BF176" s="157">
        <f t="shared" si="135"/>
        <v>7.0235021184098384E-2</v>
      </c>
      <c r="BG176" s="157">
        <f t="shared" si="135"/>
        <v>7.0235021184098384E-2</v>
      </c>
      <c r="BH176" s="157">
        <f t="shared" si="135"/>
        <v>7.0235021184098384E-2</v>
      </c>
      <c r="BI176" s="157">
        <f t="shared" si="135"/>
        <v>7.0235021184098384E-2</v>
      </c>
      <c r="BJ176" s="157">
        <f t="shared" si="135"/>
        <v>7.0235021184098384E-2</v>
      </c>
      <c r="BK176" s="157">
        <f t="shared" si="135"/>
        <v>7.0235021184098384E-2</v>
      </c>
      <c r="BL176" s="157">
        <f t="shared" si="135"/>
        <v>7.0235021184098384E-2</v>
      </c>
      <c r="BM176" s="157">
        <f t="shared" si="135"/>
        <v>7.0235021184098384E-2</v>
      </c>
      <c r="BN176" s="157">
        <f t="shared" si="135"/>
        <v>7.0235021184098384E-2</v>
      </c>
      <c r="BO176" s="157">
        <f t="shared" si="135"/>
        <v>7.0235021184098384E-2</v>
      </c>
      <c r="BP176" s="157">
        <f t="shared" si="135"/>
        <v>7.0235021184098384E-2</v>
      </c>
      <c r="BQ176" s="157">
        <f t="shared" si="135"/>
        <v>7.0235021184098384E-2</v>
      </c>
      <c r="BR176" s="157">
        <f t="shared" si="135"/>
        <v>7.0235021184098384E-2</v>
      </c>
      <c r="BS176" s="157">
        <f t="shared" si="135"/>
        <v>7.0235021184098384E-2</v>
      </c>
      <c r="BT176" s="157">
        <f t="shared" si="135"/>
        <v>7.0235021184098384E-2</v>
      </c>
      <c r="BU176" s="157">
        <f t="shared" si="135"/>
        <v>7.0235021184098384E-2</v>
      </c>
      <c r="BV176" s="157">
        <f t="shared" si="135"/>
        <v>7.0235021184098384E-2</v>
      </c>
    </row>
    <row r="177" spans="1:74" x14ac:dyDescent="0.25">
      <c r="A177" s="155" t="s">
        <v>2</v>
      </c>
      <c r="C177" s="150"/>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57">
        <f t="shared" ref="AS177:BV177" si="136">AR177</f>
        <v>0</v>
      </c>
      <c r="AT177" s="157">
        <f t="shared" si="136"/>
        <v>0</v>
      </c>
      <c r="AU177" s="157">
        <f t="shared" si="136"/>
        <v>0</v>
      </c>
      <c r="AV177" s="157">
        <f t="shared" si="136"/>
        <v>0</v>
      </c>
      <c r="AW177" s="157">
        <f t="shared" si="136"/>
        <v>0</v>
      </c>
      <c r="AX177" s="157">
        <f t="shared" si="136"/>
        <v>0</v>
      </c>
      <c r="AY177" s="157">
        <f t="shared" si="136"/>
        <v>0</v>
      </c>
      <c r="AZ177" s="157">
        <f t="shared" si="136"/>
        <v>0</v>
      </c>
      <c r="BA177" s="157">
        <f t="shared" si="136"/>
        <v>0</v>
      </c>
      <c r="BB177" s="157">
        <f t="shared" si="136"/>
        <v>0</v>
      </c>
      <c r="BC177" s="157">
        <f t="shared" si="136"/>
        <v>0</v>
      </c>
      <c r="BD177" s="157">
        <f t="shared" si="136"/>
        <v>0</v>
      </c>
      <c r="BE177" s="157">
        <f t="shared" si="136"/>
        <v>0</v>
      </c>
      <c r="BF177" s="157">
        <f t="shared" si="136"/>
        <v>0</v>
      </c>
      <c r="BG177" s="157">
        <f t="shared" si="136"/>
        <v>0</v>
      </c>
      <c r="BH177" s="157">
        <f t="shared" si="136"/>
        <v>0</v>
      </c>
      <c r="BI177" s="157">
        <f t="shared" si="136"/>
        <v>0</v>
      </c>
      <c r="BJ177" s="157">
        <f t="shared" si="136"/>
        <v>0</v>
      </c>
      <c r="BK177" s="157">
        <f t="shared" si="136"/>
        <v>0</v>
      </c>
      <c r="BL177" s="157">
        <f t="shared" si="136"/>
        <v>0</v>
      </c>
      <c r="BM177" s="157">
        <f t="shared" si="136"/>
        <v>0</v>
      </c>
      <c r="BN177" s="157">
        <f t="shared" si="136"/>
        <v>0</v>
      </c>
      <c r="BO177" s="157">
        <f t="shared" si="136"/>
        <v>0</v>
      </c>
      <c r="BP177" s="157">
        <f t="shared" si="136"/>
        <v>0</v>
      </c>
      <c r="BQ177" s="157">
        <f t="shared" si="136"/>
        <v>0</v>
      </c>
      <c r="BR177" s="157">
        <f t="shared" si="136"/>
        <v>0</v>
      </c>
      <c r="BS177" s="157">
        <f t="shared" si="136"/>
        <v>0</v>
      </c>
      <c r="BT177" s="157">
        <f t="shared" si="136"/>
        <v>0</v>
      </c>
      <c r="BU177" s="157">
        <f t="shared" si="136"/>
        <v>0</v>
      </c>
      <c r="BV177" s="157">
        <f t="shared" si="136"/>
        <v>0</v>
      </c>
    </row>
    <row r="178" spans="1:74" x14ac:dyDescent="0.25">
      <c r="A178" s="149" t="s">
        <v>220</v>
      </c>
      <c r="B178" s="156"/>
      <c r="C178" s="150"/>
      <c r="D178" s="165">
        <v>7.0926315828688483E-2</v>
      </c>
      <c r="E178" s="165">
        <v>7.0926315828688483E-2</v>
      </c>
      <c r="F178" s="165">
        <v>7.0926315828688483E-2</v>
      </c>
      <c r="G178" s="165">
        <v>7.0926315828688483E-2</v>
      </c>
      <c r="H178" s="165">
        <v>7.0926315828688483E-2</v>
      </c>
      <c r="I178" s="165">
        <v>7.0926315828688483E-2</v>
      </c>
      <c r="J178" s="165">
        <v>7.0926315828688483E-2</v>
      </c>
      <c r="K178" s="165">
        <v>7.0926315828688483E-2</v>
      </c>
      <c r="L178" s="165">
        <v>7.0926315828688483E-2</v>
      </c>
      <c r="M178" s="165">
        <v>7.0926315828688483E-2</v>
      </c>
      <c r="N178" s="165">
        <v>7.0926315828688483E-2</v>
      </c>
      <c r="O178" s="165">
        <v>7.0926315828688483E-2</v>
      </c>
      <c r="P178" s="165">
        <v>7.0926315828688483E-2</v>
      </c>
      <c r="Q178" s="165">
        <v>7.0926315828688483E-2</v>
      </c>
      <c r="R178" s="165">
        <v>7.0926315828688483E-2</v>
      </c>
      <c r="S178" s="165">
        <v>7.0926315828688483E-2</v>
      </c>
      <c r="T178" s="165">
        <v>7.0926315828688483E-2</v>
      </c>
      <c r="U178" s="165">
        <v>7.0926315828688483E-2</v>
      </c>
      <c r="V178" s="165">
        <v>7.0926315828688483E-2</v>
      </c>
      <c r="W178" s="165">
        <v>7.0926315828688483E-2</v>
      </c>
      <c r="X178" s="165">
        <v>7.0926315828688483E-2</v>
      </c>
      <c r="Y178" s="165">
        <v>7.0926315828688483E-2</v>
      </c>
      <c r="Z178" s="165">
        <v>7.0926315828688483E-2</v>
      </c>
      <c r="AA178" s="165">
        <v>7.0926315828688483E-2</v>
      </c>
      <c r="AB178" s="165">
        <v>7.0926315828688483E-2</v>
      </c>
      <c r="AC178" s="165">
        <v>7.0926315828688483E-2</v>
      </c>
      <c r="AD178" s="165">
        <v>7.0926315828688483E-2</v>
      </c>
      <c r="AE178" s="165">
        <v>7.0926315828688483E-2</v>
      </c>
      <c r="AF178" s="165">
        <v>7.0926315828688483E-2</v>
      </c>
      <c r="AG178" s="165">
        <v>7.0926315828688483E-2</v>
      </c>
      <c r="AH178" s="165">
        <v>7.0926315828688483E-2</v>
      </c>
      <c r="AI178" s="165">
        <v>7.0926315828688483E-2</v>
      </c>
      <c r="AJ178" s="165">
        <v>7.0926315828688483E-2</v>
      </c>
      <c r="AK178" s="165">
        <v>7.0926315828688483E-2</v>
      </c>
      <c r="AL178" s="165">
        <v>7.0926315828688483E-2</v>
      </c>
      <c r="AM178" s="165">
        <v>7.0926315828688483E-2</v>
      </c>
      <c r="AN178" s="165">
        <v>7.0926315828688483E-2</v>
      </c>
      <c r="AO178" s="165">
        <v>7.0926315828688483E-2</v>
      </c>
      <c r="AP178" s="165">
        <v>7.0926315828688483E-2</v>
      </c>
      <c r="AQ178" s="165">
        <v>7.0926315828688483E-2</v>
      </c>
      <c r="AR178" s="165">
        <v>7.0926315828688483E-2</v>
      </c>
      <c r="AS178" s="157">
        <f t="shared" ref="AS178:BV178" si="137">AR178</f>
        <v>7.0926315828688483E-2</v>
      </c>
      <c r="AT178" s="157">
        <f t="shared" si="137"/>
        <v>7.0926315828688483E-2</v>
      </c>
      <c r="AU178" s="157">
        <f t="shared" si="137"/>
        <v>7.0926315828688483E-2</v>
      </c>
      <c r="AV178" s="157">
        <f t="shared" si="137"/>
        <v>7.0926315828688483E-2</v>
      </c>
      <c r="AW178" s="157">
        <f t="shared" si="137"/>
        <v>7.0926315828688483E-2</v>
      </c>
      <c r="AX178" s="157">
        <f t="shared" si="137"/>
        <v>7.0926315828688483E-2</v>
      </c>
      <c r="AY178" s="157">
        <f t="shared" si="137"/>
        <v>7.0926315828688483E-2</v>
      </c>
      <c r="AZ178" s="157">
        <f t="shared" si="137"/>
        <v>7.0926315828688483E-2</v>
      </c>
      <c r="BA178" s="157">
        <f t="shared" si="137"/>
        <v>7.0926315828688483E-2</v>
      </c>
      <c r="BB178" s="157">
        <f t="shared" si="137"/>
        <v>7.0926315828688483E-2</v>
      </c>
      <c r="BC178" s="157">
        <f t="shared" si="137"/>
        <v>7.0926315828688483E-2</v>
      </c>
      <c r="BD178" s="157">
        <f t="shared" si="137"/>
        <v>7.0926315828688483E-2</v>
      </c>
      <c r="BE178" s="157">
        <f t="shared" si="137"/>
        <v>7.0926315828688483E-2</v>
      </c>
      <c r="BF178" s="157">
        <f t="shared" si="137"/>
        <v>7.0926315828688483E-2</v>
      </c>
      <c r="BG178" s="157">
        <f t="shared" si="137"/>
        <v>7.0926315828688483E-2</v>
      </c>
      <c r="BH178" s="157">
        <f t="shared" si="137"/>
        <v>7.0926315828688483E-2</v>
      </c>
      <c r="BI178" s="157">
        <f t="shared" si="137"/>
        <v>7.0926315828688483E-2</v>
      </c>
      <c r="BJ178" s="157">
        <f t="shared" si="137"/>
        <v>7.0926315828688483E-2</v>
      </c>
      <c r="BK178" s="157">
        <f t="shared" si="137"/>
        <v>7.0926315828688483E-2</v>
      </c>
      <c r="BL178" s="157">
        <f t="shared" si="137"/>
        <v>7.0926315828688483E-2</v>
      </c>
      <c r="BM178" s="157">
        <f t="shared" si="137"/>
        <v>7.0926315828688483E-2</v>
      </c>
      <c r="BN178" s="157">
        <f t="shared" si="137"/>
        <v>7.0926315828688483E-2</v>
      </c>
      <c r="BO178" s="157">
        <f t="shared" si="137"/>
        <v>7.0926315828688483E-2</v>
      </c>
      <c r="BP178" s="157">
        <f t="shared" si="137"/>
        <v>7.0926315828688483E-2</v>
      </c>
      <c r="BQ178" s="157">
        <f t="shared" si="137"/>
        <v>7.0926315828688483E-2</v>
      </c>
      <c r="BR178" s="157">
        <f t="shared" si="137"/>
        <v>7.0926315828688483E-2</v>
      </c>
      <c r="BS178" s="157">
        <f t="shared" si="137"/>
        <v>7.0926315828688483E-2</v>
      </c>
      <c r="BT178" s="157">
        <f t="shared" si="137"/>
        <v>7.0926315828688483E-2</v>
      </c>
      <c r="BU178" s="157">
        <f t="shared" si="137"/>
        <v>7.0926315828688483E-2</v>
      </c>
      <c r="BV178" s="157">
        <f t="shared" si="137"/>
        <v>7.0926315828688483E-2</v>
      </c>
    </row>
    <row r="179" spans="1:74" x14ac:dyDescent="0.25">
      <c r="A179" s="149" t="s">
        <v>221</v>
      </c>
      <c r="B179" s="156"/>
      <c r="C179" s="150"/>
      <c r="D179" s="165">
        <v>4.3360869813937844E-2</v>
      </c>
      <c r="E179" s="165">
        <v>4.3543378975413639E-2</v>
      </c>
      <c r="F179" s="165">
        <v>4.3725888137030815E-2</v>
      </c>
      <c r="G179" s="165">
        <v>4.3908397298789377E-2</v>
      </c>
      <c r="H179" s="165">
        <v>4.4090906460689319E-2</v>
      </c>
      <c r="I179" s="165">
        <v>4.4273415622730634E-2</v>
      </c>
      <c r="J179" s="165">
        <v>4.3277244399331963E-2</v>
      </c>
      <c r="K179" s="165">
        <v>4.2751401516451848E-2</v>
      </c>
      <c r="L179" s="165">
        <v>3.9563416715295181E-2</v>
      </c>
      <c r="M179" s="165">
        <v>4.25067004568506E-2</v>
      </c>
      <c r="N179" s="165">
        <v>3.9697676025390954E-2</v>
      </c>
      <c r="O179" s="165">
        <v>3.8798097813802689E-2</v>
      </c>
      <c r="P179" s="165">
        <v>3.9133481687923917E-2</v>
      </c>
      <c r="Q179" s="165">
        <v>3.9934990495230346E-2</v>
      </c>
      <c r="R179" s="165">
        <v>4.0117257866493505E-2</v>
      </c>
      <c r="S179" s="165">
        <v>4.0393527151583203E-2</v>
      </c>
      <c r="T179" s="165">
        <v>4.1233788317944289E-2</v>
      </c>
      <c r="U179" s="165">
        <v>4.1434438811343101E-2</v>
      </c>
      <c r="V179" s="165">
        <v>4.0070936599287725E-2</v>
      </c>
      <c r="W179" s="165">
        <v>4.053025284195956E-2</v>
      </c>
      <c r="X179" s="165">
        <v>4.3354845383235217E-2</v>
      </c>
      <c r="Y179" s="165">
        <v>4.3224970892610626E-2</v>
      </c>
      <c r="Z179" s="165">
        <v>4.8156725585780456E-2</v>
      </c>
      <c r="AA179" s="165">
        <v>4.8825271260910165E-2</v>
      </c>
      <c r="AB179" s="165">
        <v>4.8547965665922871E-2</v>
      </c>
      <c r="AC179" s="165">
        <v>4.9175051720593277E-2</v>
      </c>
      <c r="AD179" s="165">
        <v>4.9921693957213457E-2</v>
      </c>
      <c r="AE179" s="165">
        <v>5.0566331040311205E-2</v>
      </c>
      <c r="AF179" s="165">
        <v>5.0566331040311205E-2</v>
      </c>
      <c r="AG179" s="165">
        <v>5.0566331040311205E-2</v>
      </c>
      <c r="AH179" s="165">
        <v>5.0566331040311205E-2</v>
      </c>
      <c r="AI179" s="165">
        <v>5.0566331040311205E-2</v>
      </c>
      <c r="AJ179" s="165">
        <v>5.0566331040311205E-2</v>
      </c>
      <c r="AK179" s="165">
        <v>5.0566331040311205E-2</v>
      </c>
      <c r="AL179" s="165">
        <v>5.0566331040311205E-2</v>
      </c>
      <c r="AM179" s="165">
        <v>5.0566331040311205E-2</v>
      </c>
      <c r="AN179" s="165">
        <v>5.0566331040311205E-2</v>
      </c>
      <c r="AO179" s="165">
        <v>5.0566331040311205E-2</v>
      </c>
      <c r="AP179" s="165">
        <v>5.0566331040311205E-2</v>
      </c>
      <c r="AQ179" s="165">
        <v>5.0566331040311205E-2</v>
      </c>
      <c r="AR179" s="165">
        <v>5.0566331040311205E-2</v>
      </c>
      <c r="AS179" s="157">
        <f t="shared" ref="AS179:BV179" si="138">AR179</f>
        <v>5.0566331040311205E-2</v>
      </c>
      <c r="AT179" s="157">
        <f t="shared" si="138"/>
        <v>5.0566331040311205E-2</v>
      </c>
      <c r="AU179" s="157">
        <f t="shared" si="138"/>
        <v>5.0566331040311205E-2</v>
      </c>
      <c r="AV179" s="157">
        <f t="shared" si="138"/>
        <v>5.0566331040311205E-2</v>
      </c>
      <c r="AW179" s="157">
        <f t="shared" si="138"/>
        <v>5.0566331040311205E-2</v>
      </c>
      <c r="AX179" s="157">
        <f t="shared" si="138"/>
        <v>5.0566331040311205E-2</v>
      </c>
      <c r="AY179" s="157">
        <f t="shared" si="138"/>
        <v>5.0566331040311205E-2</v>
      </c>
      <c r="AZ179" s="157">
        <f t="shared" si="138"/>
        <v>5.0566331040311205E-2</v>
      </c>
      <c r="BA179" s="157">
        <f t="shared" si="138"/>
        <v>5.0566331040311205E-2</v>
      </c>
      <c r="BB179" s="157">
        <f t="shared" si="138"/>
        <v>5.0566331040311205E-2</v>
      </c>
      <c r="BC179" s="157">
        <f t="shared" si="138"/>
        <v>5.0566331040311205E-2</v>
      </c>
      <c r="BD179" s="157">
        <f t="shared" si="138"/>
        <v>5.0566331040311205E-2</v>
      </c>
      <c r="BE179" s="157">
        <f t="shared" si="138"/>
        <v>5.0566331040311205E-2</v>
      </c>
      <c r="BF179" s="157">
        <f t="shared" si="138"/>
        <v>5.0566331040311205E-2</v>
      </c>
      <c r="BG179" s="157">
        <f t="shared" si="138"/>
        <v>5.0566331040311205E-2</v>
      </c>
      <c r="BH179" s="157">
        <f t="shared" si="138"/>
        <v>5.0566331040311205E-2</v>
      </c>
      <c r="BI179" s="157">
        <f t="shared" si="138"/>
        <v>5.0566331040311205E-2</v>
      </c>
      <c r="BJ179" s="157">
        <f t="shared" si="138"/>
        <v>5.0566331040311205E-2</v>
      </c>
      <c r="BK179" s="157">
        <f t="shared" si="138"/>
        <v>5.0566331040311205E-2</v>
      </c>
      <c r="BL179" s="157">
        <f t="shared" si="138"/>
        <v>5.0566331040311205E-2</v>
      </c>
      <c r="BM179" s="157">
        <f t="shared" si="138"/>
        <v>5.0566331040311205E-2</v>
      </c>
      <c r="BN179" s="157">
        <f t="shared" si="138"/>
        <v>5.0566331040311205E-2</v>
      </c>
      <c r="BO179" s="157">
        <f t="shared" si="138"/>
        <v>5.0566331040311205E-2</v>
      </c>
      <c r="BP179" s="157">
        <f t="shared" si="138"/>
        <v>5.0566331040311205E-2</v>
      </c>
      <c r="BQ179" s="157">
        <f t="shared" si="138"/>
        <v>5.0566331040311205E-2</v>
      </c>
      <c r="BR179" s="157">
        <f t="shared" si="138"/>
        <v>5.0566331040311205E-2</v>
      </c>
      <c r="BS179" s="157">
        <f t="shared" si="138"/>
        <v>5.0566331040311205E-2</v>
      </c>
      <c r="BT179" s="157">
        <f t="shared" si="138"/>
        <v>5.0566331040311205E-2</v>
      </c>
      <c r="BU179" s="157">
        <f t="shared" si="138"/>
        <v>5.0566331040311205E-2</v>
      </c>
      <c r="BV179" s="157">
        <f t="shared" si="138"/>
        <v>5.0566331040311205E-2</v>
      </c>
    </row>
    <row r="180" spans="1:74" x14ac:dyDescent="0.25">
      <c r="A180" s="149" t="s">
        <v>223</v>
      </c>
      <c r="B180" s="156"/>
      <c r="C180" s="156"/>
      <c r="D180" s="165">
        <v>6.682047596868991E-2</v>
      </c>
      <c r="E180" s="165">
        <v>6.682047596868991E-2</v>
      </c>
      <c r="F180" s="165">
        <v>6.682047596868991E-2</v>
      </c>
      <c r="G180" s="165">
        <v>6.682047596868991E-2</v>
      </c>
      <c r="H180" s="165">
        <v>6.682047596868991E-2</v>
      </c>
      <c r="I180" s="165">
        <v>6.682047596868991E-2</v>
      </c>
      <c r="J180" s="165">
        <v>6.6820488716409901E-2</v>
      </c>
      <c r="K180" s="165">
        <v>6.68204838987565E-2</v>
      </c>
      <c r="L180" s="165">
        <v>6.6820505255906382E-2</v>
      </c>
      <c r="M180" s="165">
        <v>6.682050002244265E-2</v>
      </c>
      <c r="N180" s="165">
        <v>6.6820544015017649E-2</v>
      </c>
      <c r="O180" s="165">
        <v>6.6820633927679091E-2</v>
      </c>
      <c r="P180" s="165">
        <v>6.6171524409407753E-2</v>
      </c>
      <c r="Q180" s="165">
        <v>6.6171381411793712E-2</v>
      </c>
      <c r="R180" s="165">
        <v>6.6171428571428562E-2</v>
      </c>
      <c r="S180" s="165">
        <v>6.6171451731451725E-2</v>
      </c>
      <c r="T180" s="165">
        <v>6.6171428571428562E-2</v>
      </c>
      <c r="U180" s="165">
        <v>6.6171428571428562E-2</v>
      </c>
      <c r="V180" s="165">
        <v>6.6171405906735953E-2</v>
      </c>
      <c r="W180" s="165">
        <v>6.6171473332178876E-2</v>
      </c>
      <c r="X180" s="165">
        <v>6.6171384993098215E-2</v>
      </c>
      <c r="Y180" s="165">
        <v>6.6171428571428562E-2</v>
      </c>
      <c r="Z180" s="165">
        <v>6.6171472510368617E-2</v>
      </c>
      <c r="AA180" s="165">
        <v>6.6171450051418404E-2</v>
      </c>
      <c r="AB180" s="165">
        <v>6.6171470251618958E-2</v>
      </c>
      <c r="AC180" s="165">
        <v>6.6171491685726766E-2</v>
      </c>
      <c r="AD180" s="165">
        <v>6.6171408165782652E-2</v>
      </c>
      <c r="AE180" s="165">
        <v>6.6171408030455986E-2</v>
      </c>
      <c r="AF180" s="165">
        <v>6.6171408030455986E-2</v>
      </c>
      <c r="AG180" s="165">
        <v>6.6171408030455986E-2</v>
      </c>
      <c r="AH180" s="165">
        <v>6.6171408030455986E-2</v>
      </c>
      <c r="AI180" s="165">
        <v>6.6171408030455986E-2</v>
      </c>
      <c r="AJ180" s="165">
        <v>6.6171408030455986E-2</v>
      </c>
      <c r="AK180" s="165">
        <v>6.6171408030455986E-2</v>
      </c>
      <c r="AL180" s="165">
        <v>6.6171408030455986E-2</v>
      </c>
      <c r="AM180" s="165">
        <v>6.6171408030455986E-2</v>
      </c>
      <c r="AN180" s="165">
        <v>6.6171408030455986E-2</v>
      </c>
      <c r="AO180" s="165">
        <v>6.6171408030455986E-2</v>
      </c>
      <c r="AP180" s="165">
        <v>6.6171408030455986E-2</v>
      </c>
      <c r="AQ180" s="165">
        <v>6.6171408030455986E-2</v>
      </c>
      <c r="AR180" s="165">
        <v>6.6171408030455986E-2</v>
      </c>
      <c r="AS180" s="157">
        <f t="shared" ref="AS180:BV180" si="139">AR180</f>
        <v>6.6171408030455986E-2</v>
      </c>
      <c r="AT180" s="157">
        <f t="shared" si="139"/>
        <v>6.6171408030455986E-2</v>
      </c>
      <c r="AU180" s="157">
        <f t="shared" si="139"/>
        <v>6.6171408030455986E-2</v>
      </c>
      <c r="AV180" s="157">
        <f t="shared" si="139"/>
        <v>6.6171408030455986E-2</v>
      </c>
      <c r="AW180" s="157">
        <f t="shared" si="139"/>
        <v>6.6171408030455986E-2</v>
      </c>
      <c r="AX180" s="157">
        <f t="shared" si="139"/>
        <v>6.6171408030455986E-2</v>
      </c>
      <c r="AY180" s="157">
        <f t="shared" si="139"/>
        <v>6.6171408030455986E-2</v>
      </c>
      <c r="AZ180" s="157">
        <f t="shared" si="139"/>
        <v>6.6171408030455986E-2</v>
      </c>
      <c r="BA180" s="157">
        <f t="shared" si="139"/>
        <v>6.6171408030455986E-2</v>
      </c>
      <c r="BB180" s="157">
        <f t="shared" si="139"/>
        <v>6.6171408030455986E-2</v>
      </c>
      <c r="BC180" s="157">
        <f t="shared" si="139"/>
        <v>6.6171408030455986E-2</v>
      </c>
      <c r="BD180" s="157">
        <f t="shared" si="139"/>
        <v>6.6171408030455986E-2</v>
      </c>
      <c r="BE180" s="157">
        <f t="shared" si="139"/>
        <v>6.6171408030455986E-2</v>
      </c>
      <c r="BF180" s="157">
        <f t="shared" si="139"/>
        <v>6.6171408030455986E-2</v>
      </c>
      <c r="BG180" s="157">
        <f t="shared" si="139"/>
        <v>6.6171408030455986E-2</v>
      </c>
      <c r="BH180" s="157">
        <f t="shared" si="139"/>
        <v>6.6171408030455986E-2</v>
      </c>
      <c r="BI180" s="157">
        <f t="shared" si="139"/>
        <v>6.6171408030455986E-2</v>
      </c>
      <c r="BJ180" s="157">
        <f t="shared" si="139"/>
        <v>6.6171408030455986E-2</v>
      </c>
      <c r="BK180" s="157">
        <f t="shared" si="139"/>
        <v>6.6171408030455986E-2</v>
      </c>
      <c r="BL180" s="157">
        <f t="shared" si="139"/>
        <v>6.6171408030455986E-2</v>
      </c>
      <c r="BM180" s="157">
        <f t="shared" si="139"/>
        <v>6.6171408030455986E-2</v>
      </c>
      <c r="BN180" s="157">
        <f t="shared" si="139"/>
        <v>6.6171408030455986E-2</v>
      </c>
      <c r="BO180" s="157">
        <f t="shared" si="139"/>
        <v>6.6171408030455986E-2</v>
      </c>
      <c r="BP180" s="157">
        <f t="shared" si="139"/>
        <v>6.6171408030455986E-2</v>
      </c>
      <c r="BQ180" s="157">
        <f t="shared" si="139"/>
        <v>6.6171408030455986E-2</v>
      </c>
      <c r="BR180" s="157">
        <f t="shared" si="139"/>
        <v>6.6171408030455986E-2</v>
      </c>
      <c r="BS180" s="157">
        <f t="shared" si="139"/>
        <v>6.6171408030455986E-2</v>
      </c>
      <c r="BT180" s="157">
        <f t="shared" si="139"/>
        <v>6.6171408030455986E-2</v>
      </c>
      <c r="BU180" s="157">
        <f t="shared" si="139"/>
        <v>6.6171408030455986E-2</v>
      </c>
      <c r="BV180" s="157">
        <f t="shared" si="139"/>
        <v>6.6171408030455986E-2</v>
      </c>
    </row>
    <row r="181" spans="1:74" x14ac:dyDescent="0.25">
      <c r="A181" s="149" t="s">
        <v>279</v>
      </c>
      <c r="B181" s="150"/>
      <c r="C181" s="150"/>
      <c r="D181" s="165">
        <v>7.5629044218115352E-2</v>
      </c>
      <c r="E181" s="165">
        <v>7.5629044124606623E-2</v>
      </c>
      <c r="F181" s="165">
        <v>7.5629044031097881E-2</v>
      </c>
      <c r="G181" s="165">
        <v>7.5629043937589152E-2</v>
      </c>
      <c r="H181" s="165">
        <v>7.5629043844080424E-2</v>
      </c>
      <c r="I181" s="165">
        <v>7.5629043750571681E-2</v>
      </c>
      <c r="J181" s="165">
        <v>7.5629043582813429E-2</v>
      </c>
      <c r="K181" s="165">
        <v>7.5629030029777417E-2</v>
      </c>
      <c r="L181" s="165">
        <v>7.4258820686866844E-2</v>
      </c>
      <c r="M181" s="165">
        <v>7.4258821701058977E-2</v>
      </c>
      <c r="N181" s="165">
        <v>7.4258820594561403E-2</v>
      </c>
      <c r="O181" s="165">
        <v>7.4258821131410427E-2</v>
      </c>
      <c r="P181" s="165">
        <v>7.4258820290991456E-2</v>
      </c>
      <c r="Q181" s="165">
        <v>7.4258823261709017E-2</v>
      </c>
      <c r="R181" s="165">
        <v>7.4258820810821136E-2</v>
      </c>
      <c r="S181" s="165">
        <v>7.4258832926937329E-2</v>
      </c>
      <c r="T181" s="165">
        <v>7.4258835413609309E-2</v>
      </c>
      <c r="U181" s="165">
        <v>7.4258809666008924E-2</v>
      </c>
      <c r="V181" s="165">
        <v>7.4258816710636805E-2</v>
      </c>
      <c r="W181" s="165">
        <v>7.4258813171681759E-2</v>
      </c>
      <c r="X181" s="165">
        <v>7.4258830425409775E-2</v>
      </c>
      <c r="Y181" s="165">
        <v>7.4258809406683585E-2</v>
      </c>
      <c r="Z181" s="165">
        <v>7.4258776849610381E-2</v>
      </c>
      <c r="AA181" s="165">
        <v>7.4258813837745491E-2</v>
      </c>
      <c r="AB181" s="165">
        <v>7.4258813837745491E-2</v>
      </c>
      <c r="AC181" s="165">
        <v>7.4258813837745491E-2</v>
      </c>
      <c r="AD181" s="165">
        <v>7.42587860301228E-2</v>
      </c>
      <c r="AE181" s="165">
        <v>7.42587860301228E-2</v>
      </c>
      <c r="AF181" s="165">
        <v>7.42587860301228E-2</v>
      </c>
      <c r="AG181" s="165">
        <v>7.42587860301228E-2</v>
      </c>
      <c r="AH181" s="165">
        <v>7.42587860301228E-2</v>
      </c>
      <c r="AI181" s="165">
        <v>7.42587860301228E-2</v>
      </c>
      <c r="AJ181" s="165">
        <v>7.42587860301228E-2</v>
      </c>
      <c r="AK181" s="165">
        <v>7.42587860301228E-2</v>
      </c>
      <c r="AL181" s="165">
        <v>7.42587860301228E-2</v>
      </c>
      <c r="AM181" s="165">
        <v>7.42587860301228E-2</v>
      </c>
      <c r="AN181" s="165">
        <v>7.42587860301228E-2</v>
      </c>
      <c r="AO181" s="165">
        <v>7.42587860301228E-2</v>
      </c>
      <c r="AP181" s="165">
        <v>7.42587860301228E-2</v>
      </c>
      <c r="AQ181" s="165">
        <v>7.42587860301228E-2</v>
      </c>
      <c r="AR181" s="165">
        <v>7.42587860301228E-2</v>
      </c>
      <c r="AS181" s="157">
        <f t="shared" ref="AS181:BV181" si="140">AR181</f>
        <v>7.42587860301228E-2</v>
      </c>
      <c r="AT181" s="157">
        <f t="shared" si="140"/>
        <v>7.42587860301228E-2</v>
      </c>
      <c r="AU181" s="157">
        <f t="shared" si="140"/>
        <v>7.42587860301228E-2</v>
      </c>
      <c r="AV181" s="157">
        <f t="shared" si="140"/>
        <v>7.42587860301228E-2</v>
      </c>
      <c r="AW181" s="157">
        <f t="shared" si="140"/>
        <v>7.42587860301228E-2</v>
      </c>
      <c r="AX181" s="157">
        <f t="shared" si="140"/>
        <v>7.42587860301228E-2</v>
      </c>
      <c r="AY181" s="157">
        <f t="shared" si="140"/>
        <v>7.42587860301228E-2</v>
      </c>
      <c r="AZ181" s="157">
        <f t="shared" si="140"/>
        <v>7.42587860301228E-2</v>
      </c>
      <c r="BA181" s="157">
        <f t="shared" si="140"/>
        <v>7.42587860301228E-2</v>
      </c>
      <c r="BB181" s="157">
        <f t="shared" si="140"/>
        <v>7.42587860301228E-2</v>
      </c>
      <c r="BC181" s="157">
        <f t="shared" si="140"/>
        <v>7.42587860301228E-2</v>
      </c>
      <c r="BD181" s="157">
        <f t="shared" si="140"/>
        <v>7.42587860301228E-2</v>
      </c>
      <c r="BE181" s="157">
        <f t="shared" si="140"/>
        <v>7.42587860301228E-2</v>
      </c>
      <c r="BF181" s="157">
        <f t="shared" si="140"/>
        <v>7.42587860301228E-2</v>
      </c>
      <c r="BG181" s="157">
        <f t="shared" si="140"/>
        <v>7.42587860301228E-2</v>
      </c>
      <c r="BH181" s="157">
        <f t="shared" si="140"/>
        <v>7.42587860301228E-2</v>
      </c>
      <c r="BI181" s="157">
        <f t="shared" si="140"/>
        <v>7.42587860301228E-2</v>
      </c>
      <c r="BJ181" s="157">
        <f t="shared" si="140"/>
        <v>7.42587860301228E-2</v>
      </c>
      <c r="BK181" s="157">
        <f t="shared" si="140"/>
        <v>7.42587860301228E-2</v>
      </c>
      <c r="BL181" s="157">
        <f t="shared" si="140"/>
        <v>7.42587860301228E-2</v>
      </c>
      <c r="BM181" s="157">
        <f t="shared" si="140"/>
        <v>7.42587860301228E-2</v>
      </c>
      <c r="BN181" s="157">
        <f t="shared" si="140"/>
        <v>7.42587860301228E-2</v>
      </c>
      <c r="BO181" s="157">
        <f t="shared" si="140"/>
        <v>7.42587860301228E-2</v>
      </c>
      <c r="BP181" s="157">
        <f t="shared" si="140"/>
        <v>7.42587860301228E-2</v>
      </c>
      <c r="BQ181" s="157">
        <f t="shared" si="140"/>
        <v>7.42587860301228E-2</v>
      </c>
      <c r="BR181" s="157">
        <f t="shared" si="140"/>
        <v>7.42587860301228E-2</v>
      </c>
      <c r="BS181" s="157">
        <f t="shared" si="140"/>
        <v>7.42587860301228E-2</v>
      </c>
      <c r="BT181" s="157">
        <f t="shared" si="140"/>
        <v>7.42587860301228E-2</v>
      </c>
      <c r="BU181" s="157">
        <f t="shared" si="140"/>
        <v>7.42587860301228E-2</v>
      </c>
      <c r="BV181" s="157">
        <f t="shared" si="140"/>
        <v>7.42587860301228E-2</v>
      </c>
    </row>
    <row r="182" spans="1:74" x14ac:dyDescent="0.25">
      <c r="A182" s="149" t="s">
        <v>224</v>
      </c>
      <c r="B182" s="150"/>
      <c r="C182" s="150"/>
      <c r="D182" s="165">
        <v>6.6184075769899903E-2</v>
      </c>
      <c r="E182" s="165">
        <v>6.618407719997714E-2</v>
      </c>
      <c r="F182" s="165">
        <v>6.6184078630054446E-2</v>
      </c>
      <c r="G182" s="165">
        <v>6.6184080060131822E-2</v>
      </c>
      <c r="H182" s="165">
        <v>6.6184081490209254E-2</v>
      </c>
      <c r="I182" s="165">
        <v>6.6184082920286727E-2</v>
      </c>
      <c r="J182" s="165">
        <v>6.6184075085528718E-2</v>
      </c>
      <c r="K182" s="165">
        <v>6.6184070080580318E-2</v>
      </c>
      <c r="L182" s="165">
        <v>6.6184084734805693E-2</v>
      </c>
      <c r="M182" s="165">
        <v>6.6184077214893125E-2</v>
      </c>
      <c r="N182" s="165">
        <v>6.6184074031553033E-2</v>
      </c>
      <c r="O182" s="165">
        <v>6.6184072826963841E-2</v>
      </c>
      <c r="P182" s="165">
        <v>6.618407846063365E-2</v>
      </c>
      <c r="Q182" s="165">
        <v>6.6184075768659478E-2</v>
      </c>
      <c r="R182" s="165">
        <v>6.6184066739625819E-2</v>
      </c>
      <c r="S182" s="165">
        <v>6.6184054447475882E-2</v>
      </c>
      <c r="T182" s="165">
        <v>6.6184137096129164E-2</v>
      </c>
      <c r="U182" s="165">
        <v>6.6184114841347161E-2</v>
      </c>
      <c r="V182" s="165">
        <v>6.6184051198450319E-2</v>
      </c>
      <c r="W182" s="165">
        <v>6.6184098471461672E-2</v>
      </c>
      <c r="X182" s="165">
        <v>6.6184072260915772E-2</v>
      </c>
      <c r="Y182" s="165">
        <v>6.6184085390768255E-2</v>
      </c>
      <c r="Z182" s="165">
        <v>6.6184032119116804E-2</v>
      </c>
      <c r="AA182" s="165">
        <v>6.6184058959639233E-2</v>
      </c>
      <c r="AB182" s="165">
        <v>6.6449891054308152E-2</v>
      </c>
      <c r="AC182" s="165">
        <v>6.6438780689901819E-2</v>
      </c>
      <c r="AD182" s="165">
        <v>6.6565131193606436E-2</v>
      </c>
      <c r="AE182" s="165">
        <v>6.6605465198467481E-2</v>
      </c>
      <c r="AF182" s="165">
        <v>6.6605465198467481E-2</v>
      </c>
      <c r="AG182" s="165">
        <v>6.6605465198467481E-2</v>
      </c>
      <c r="AH182" s="165">
        <v>6.6605465198467481E-2</v>
      </c>
      <c r="AI182" s="165">
        <v>6.6605465198467481E-2</v>
      </c>
      <c r="AJ182" s="165">
        <v>6.6605465198467481E-2</v>
      </c>
      <c r="AK182" s="165">
        <v>6.6605465198467481E-2</v>
      </c>
      <c r="AL182" s="165">
        <v>6.6605465198467481E-2</v>
      </c>
      <c r="AM182" s="165">
        <v>6.6605465198467481E-2</v>
      </c>
      <c r="AN182" s="165">
        <v>6.6605465198467481E-2</v>
      </c>
      <c r="AO182" s="165">
        <v>6.6605465198467481E-2</v>
      </c>
      <c r="AP182" s="165">
        <v>6.6605465198467481E-2</v>
      </c>
      <c r="AQ182" s="165">
        <v>6.6605465198467481E-2</v>
      </c>
      <c r="AR182" s="165">
        <v>6.6605465198467481E-2</v>
      </c>
      <c r="AS182" s="157">
        <f t="shared" ref="AS182:BV182" si="141">AR182</f>
        <v>6.6605465198467481E-2</v>
      </c>
      <c r="AT182" s="157">
        <f t="shared" si="141"/>
        <v>6.6605465198467481E-2</v>
      </c>
      <c r="AU182" s="157">
        <f t="shared" si="141"/>
        <v>6.6605465198467481E-2</v>
      </c>
      <c r="AV182" s="157">
        <f t="shared" si="141"/>
        <v>6.6605465198467481E-2</v>
      </c>
      <c r="AW182" s="157">
        <f t="shared" si="141"/>
        <v>6.6605465198467481E-2</v>
      </c>
      <c r="AX182" s="157">
        <f t="shared" si="141"/>
        <v>6.6605465198467481E-2</v>
      </c>
      <c r="AY182" s="157">
        <f t="shared" si="141"/>
        <v>6.6605465198467481E-2</v>
      </c>
      <c r="AZ182" s="157">
        <f t="shared" si="141"/>
        <v>6.6605465198467481E-2</v>
      </c>
      <c r="BA182" s="157">
        <f t="shared" si="141"/>
        <v>6.6605465198467481E-2</v>
      </c>
      <c r="BB182" s="157">
        <f t="shared" si="141"/>
        <v>6.6605465198467481E-2</v>
      </c>
      <c r="BC182" s="157">
        <f t="shared" si="141"/>
        <v>6.6605465198467481E-2</v>
      </c>
      <c r="BD182" s="157">
        <f t="shared" si="141"/>
        <v>6.6605465198467481E-2</v>
      </c>
      <c r="BE182" s="157">
        <f t="shared" si="141"/>
        <v>6.6605465198467481E-2</v>
      </c>
      <c r="BF182" s="157">
        <f t="shared" si="141"/>
        <v>6.6605465198467481E-2</v>
      </c>
      <c r="BG182" s="157">
        <f t="shared" si="141"/>
        <v>6.6605465198467481E-2</v>
      </c>
      <c r="BH182" s="157">
        <f t="shared" si="141"/>
        <v>6.6605465198467481E-2</v>
      </c>
      <c r="BI182" s="157">
        <f t="shared" si="141"/>
        <v>6.6605465198467481E-2</v>
      </c>
      <c r="BJ182" s="157">
        <f t="shared" si="141"/>
        <v>6.6605465198467481E-2</v>
      </c>
      <c r="BK182" s="157">
        <f t="shared" si="141"/>
        <v>6.6605465198467481E-2</v>
      </c>
      <c r="BL182" s="157">
        <f t="shared" si="141"/>
        <v>6.6605465198467481E-2</v>
      </c>
      <c r="BM182" s="157">
        <f t="shared" si="141"/>
        <v>6.6605465198467481E-2</v>
      </c>
      <c r="BN182" s="157">
        <f t="shared" si="141"/>
        <v>6.6605465198467481E-2</v>
      </c>
      <c r="BO182" s="157">
        <f t="shared" si="141"/>
        <v>6.6605465198467481E-2</v>
      </c>
      <c r="BP182" s="157">
        <f t="shared" si="141"/>
        <v>6.6605465198467481E-2</v>
      </c>
      <c r="BQ182" s="157">
        <f t="shared" si="141"/>
        <v>6.6605465198467481E-2</v>
      </c>
      <c r="BR182" s="157">
        <f t="shared" si="141"/>
        <v>6.6605465198467481E-2</v>
      </c>
      <c r="BS182" s="157">
        <f t="shared" si="141"/>
        <v>6.6605465198467481E-2</v>
      </c>
      <c r="BT182" s="157">
        <f t="shared" si="141"/>
        <v>6.6605465198467481E-2</v>
      </c>
      <c r="BU182" s="157">
        <f t="shared" si="141"/>
        <v>6.6605465198467481E-2</v>
      </c>
      <c r="BV182" s="157">
        <f t="shared" si="141"/>
        <v>6.6605465198467481E-2</v>
      </c>
    </row>
    <row r="183" spans="1:74" x14ac:dyDescent="0.25">
      <c r="A183" s="155" t="s">
        <v>13</v>
      </c>
      <c r="C183" s="150"/>
      <c r="D183" s="165">
        <v>7.1173734607240011E-2</v>
      </c>
      <c r="E183" s="165">
        <v>7.1173736145131672E-2</v>
      </c>
      <c r="F183" s="165">
        <v>7.1173737683023403E-2</v>
      </c>
      <c r="G183" s="165">
        <v>7.1173739220915203E-2</v>
      </c>
      <c r="H183" s="165">
        <v>7.1173740758807058E-2</v>
      </c>
      <c r="I183" s="165">
        <v>7.1173742296698969E-2</v>
      </c>
      <c r="J183" s="165">
        <v>7.1173733871273667E-2</v>
      </c>
      <c r="K183" s="165">
        <v>7.1173728488999069E-2</v>
      </c>
      <c r="L183" s="165">
        <v>7.1173744248015647E-2</v>
      </c>
      <c r="M183" s="165">
        <v>7.1173736161172188E-2</v>
      </c>
      <c r="N183" s="165">
        <v>7.1173732737838086E-2</v>
      </c>
      <c r="O183" s="165">
        <v>7.1173731442434163E-2</v>
      </c>
      <c r="P183" s="165">
        <v>7.1173737500829864E-2</v>
      </c>
      <c r="Q183" s="165">
        <v>7.1173734605906078E-2</v>
      </c>
      <c r="R183" s="165">
        <v>7.1173724896167911E-2</v>
      </c>
      <c r="S183" s="165">
        <v>7.1173711677305115E-2</v>
      </c>
      <c r="T183" s="165">
        <v>7.1173800556892028E-2</v>
      </c>
      <c r="U183" s="165">
        <v>7.1173776624308113E-2</v>
      </c>
      <c r="V183" s="165">
        <v>7.1173708183333489E-2</v>
      </c>
      <c r="W183" s="165">
        <v>7.117375902028672E-2</v>
      </c>
      <c r="X183" s="165">
        <v>7.1173730833711368E-2</v>
      </c>
      <c r="Y183" s="165">
        <v>7.117374495343165E-2</v>
      </c>
      <c r="Z183" s="165">
        <v>7.1173687665597091E-2</v>
      </c>
      <c r="AA183" s="165">
        <v>7.1173716529643286E-2</v>
      </c>
      <c r="AB183" s="165">
        <v>7.1459589872074347E-2</v>
      </c>
      <c r="AC183" s="165">
        <v>7.1447641890351452E-2</v>
      </c>
      <c r="AD183" s="165">
        <v>7.1583518037499419E-2</v>
      </c>
      <c r="AE183" s="165">
        <v>7.1626892848195692E-2</v>
      </c>
      <c r="AF183" s="165">
        <v>7.1626892848195692E-2</v>
      </c>
      <c r="AG183" s="165">
        <v>7.1626892848195692E-2</v>
      </c>
      <c r="AH183" s="165">
        <v>7.1626892848195692E-2</v>
      </c>
      <c r="AI183" s="165">
        <v>7.1626892848195692E-2</v>
      </c>
      <c r="AJ183" s="165">
        <v>7.1626892848195692E-2</v>
      </c>
      <c r="AK183" s="165">
        <v>7.1626892848195692E-2</v>
      </c>
      <c r="AL183" s="165">
        <v>7.1626892848195692E-2</v>
      </c>
      <c r="AM183" s="165">
        <v>7.1626892848195692E-2</v>
      </c>
      <c r="AN183" s="165">
        <v>7.1626892848195692E-2</v>
      </c>
      <c r="AO183" s="165">
        <v>7.1626892848195692E-2</v>
      </c>
      <c r="AP183" s="165">
        <v>7.1626892848195692E-2</v>
      </c>
      <c r="AQ183" s="165">
        <v>7.1626892848195692E-2</v>
      </c>
      <c r="AR183" s="165">
        <v>7.1626892848195692E-2</v>
      </c>
      <c r="AS183" s="157">
        <f t="shared" ref="AS183:BV183" si="142">AR183</f>
        <v>7.1626892848195692E-2</v>
      </c>
      <c r="AT183" s="157">
        <f t="shared" si="142"/>
        <v>7.1626892848195692E-2</v>
      </c>
      <c r="AU183" s="157">
        <f t="shared" si="142"/>
        <v>7.1626892848195692E-2</v>
      </c>
      <c r="AV183" s="157">
        <f t="shared" si="142"/>
        <v>7.1626892848195692E-2</v>
      </c>
      <c r="AW183" s="157">
        <f t="shared" si="142"/>
        <v>7.1626892848195692E-2</v>
      </c>
      <c r="AX183" s="157">
        <f t="shared" si="142"/>
        <v>7.1626892848195692E-2</v>
      </c>
      <c r="AY183" s="157">
        <f t="shared" si="142"/>
        <v>7.1626892848195692E-2</v>
      </c>
      <c r="AZ183" s="157">
        <f t="shared" si="142"/>
        <v>7.1626892848195692E-2</v>
      </c>
      <c r="BA183" s="157">
        <f t="shared" si="142"/>
        <v>7.1626892848195692E-2</v>
      </c>
      <c r="BB183" s="157">
        <f t="shared" si="142"/>
        <v>7.1626892848195692E-2</v>
      </c>
      <c r="BC183" s="157">
        <f t="shared" si="142"/>
        <v>7.1626892848195692E-2</v>
      </c>
      <c r="BD183" s="157">
        <f t="shared" si="142"/>
        <v>7.1626892848195692E-2</v>
      </c>
      <c r="BE183" s="157">
        <f t="shared" si="142"/>
        <v>7.1626892848195692E-2</v>
      </c>
      <c r="BF183" s="157">
        <f t="shared" si="142"/>
        <v>7.1626892848195692E-2</v>
      </c>
      <c r="BG183" s="157">
        <f t="shared" si="142"/>
        <v>7.1626892848195692E-2</v>
      </c>
      <c r="BH183" s="157">
        <f t="shared" si="142"/>
        <v>7.1626892848195692E-2</v>
      </c>
      <c r="BI183" s="157">
        <f t="shared" si="142"/>
        <v>7.1626892848195692E-2</v>
      </c>
      <c r="BJ183" s="157">
        <f t="shared" si="142"/>
        <v>7.1626892848195692E-2</v>
      </c>
      <c r="BK183" s="157">
        <f t="shared" si="142"/>
        <v>7.1626892848195692E-2</v>
      </c>
      <c r="BL183" s="157">
        <f t="shared" si="142"/>
        <v>7.1626892848195692E-2</v>
      </c>
      <c r="BM183" s="157">
        <f t="shared" si="142"/>
        <v>7.1626892848195692E-2</v>
      </c>
      <c r="BN183" s="157">
        <f t="shared" si="142"/>
        <v>7.1626892848195692E-2</v>
      </c>
      <c r="BO183" s="157">
        <f t="shared" si="142"/>
        <v>7.1626892848195692E-2</v>
      </c>
      <c r="BP183" s="157">
        <f t="shared" si="142"/>
        <v>7.1626892848195692E-2</v>
      </c>
      <c r="BQ183" s="157">
        <f t="shared" si="142"/>
        <v>7.1626892848195692E-2</v>
      </c>
      <c r="BR183" s="157">
        <f t="shared" si="142"/>
        <v>7.1626892848195692E-2</v>
      </c>
      <c r="BS183" s="157">
        <f t="shared" si="142"/>
        <v>7.1626892848195692E-2</v>
      </c>
      <c r="BT183" s="157">
        <f t="shared" si="142"/>
        <v>7.1626892848195692E-2</v>
      </c>
      <c r="BU183" s="157">
        <f t="shared" si="142"/>
        <v>7.1626892848195692E-2</v>
      </c>
      <c r="BV183" s="157">
        <f t="shared" si="142"/>
        <v>7.1626892848195692E-2</v>
      </c>
    </row>
    <row r="184" spans="1:74" x14ac:dyDescent="0.25">
      <c r="A184" s="155" t="s">
        <v>227</v>
      </c>
      <c r="C184" s="150"/>
      <c r="D184" s="165">
        <v>5.6428552456839302E-2</v>
      </c>
      <c r="E184" s="165">
        <v>5.6428552456839302E-2</v>
      </c>
      <c r="F184" s="165">
        <v>5.6428552456839302E-2</v>
      </c>
      <c r="G184" s="165">
        <v>5.6428552456839302E-2</v>
      </c>
      <c r="H184" s="165">
        <v>5.6428552456839302E-2</v>
      </c>
      <c r="I184" s="165">
        <v>5.6428552456839302E-2</v>
      </c>
      <c r="J184" s="165">
        <v>5.6428552456839302E-2</v>
      </c>
      <c r="K184" s="165">
        <v>5.6428552456839302E-2</v>
      </c>
      <c r="L184" s="165">
        <v>5.6428552456839302E-2</v>
      </c>
      <c r="M184" s="165">
        <v>5.6428552456839302E-2</v>
      </c>
      <c r="N184" s="165">
        <v>5.6428552456839302E-2</v>
      </c>
      <c r="O184" s="165">
        <v>5.6428552456839302E-2</v>
      </c>
      <c r="P184" s="165">
        <v>5.6428552456839302E-2</v>
      </c>
      <c r="Q184" s="165">
        <v>5.6529676494613379E-2</v>
      </c>
      <c r="R184" s="165">
        <v>5.6530067848684633E-2</v>
      </c>
      <c r="S184" s="165">
        <v>5.6530067848684633E-2</v>
      </c>
      <c r="T184" s="165">
        <v>5.6530067848684633E-2</v>
      </c>
      <c r="U184" s="165">
        <v>5.6530067848684633E-2</v>
      </c>
      <c r="V184" s="165">
        <v>5.6530067848684633E-2</v>
      </c>
      <c r="W184" s="165">
        <v>5.6530067848684633E-2</v>
      </c>
      <c r="X184" s="165">
        <v>5.6530067848684633E-2</v>
      </c>
      <c r="Y184" s="165">
        <v>5.6530067848684633E-2</v>
      </c>
      <c r="Z184" s="165">
        <v>5.6530067848684633E-2</v>
      </c>
      <c r="AA184" s="165">
        <v>5.6530067848684633E-2</v>
      </c>
      <c r="AB184" s="165">
        <v>5.6530067848684633E-2</v>
      </c>
      <c r="AC184" s="165">
        <v>5.6530067848684633E-2</v>
      </c>
      <c r="AD184" s="165">
        <v>5.6530067848684633E-2</v>
      </c>
      <c r="AE184" s="165">
        <v>5.6530067848684633E-2</v>
      </c>
      <c r="AF184" s="165">
        <v>5.6530067848684633E-2</v>
      </c>
      <c r="AG184" s="165">
        <v>5.6530067848684633E-2</v>
      </c>
      <c r="AH184" s="165">
        <v>5.6530067848684633E-2</v>
      </c>
      <c r="AI184" s="165">
        <v>5.6530067848684633E-2</v>
      </c>
      <c r="AJ184" s="165">
        <v>5.6530067848684633E-2</v>
      </c>
      <c r="AK184" s="165">
        <v>5.6530067848684633E-2</v>
      </c>
      <c r="AL184" s="165">
        <v>5.6530067848684633E-2</v>
      </c>
      <c r="AM184" s="165">
        <v>5.6530067848684633E-2</v>
      </c>
      <c r="AN184" s="165">
        <v>5.6530067848684633E-2</v>
      </c>
      <c r="AO184" s="165">
        <v>5.6530067848684633E-2</v>
      </c>
      <c r="AP184" s="165">
        <v>5.6530067848684633E-2</v>
      </c>
      <c r="AQ184" s="165">
        <v>5.6530067848684633E-2</v>
      </c>
      <c r="AR184" s="165">
        <v>5.6530067848684633E-2</v>
      </c>
      <c r="AS184" s="157">
        <f t="shared" ref="AS184:BV184" si="143">AR184</f>
        <v>5.6530067848684633E-2</v>
      </c>
      <c r="AT184" s="157">
        <f t="shared" si="143"/>
        <v>5.6530067848684633E-2</v>
      </c>
      <c r="AU184" s="157">
        <f t="shared" si="143"/>
        <v>5.6530067848684633E-2</v>
      </c>
      <c r="AV184" s="157">
        <f t="shared" si="143"/>
        <v>5.6530067848684633E-2</v>
      </c>
      <c r="AW184" s="157">
        <f t="shared" si="143"/>
        <v>5.6530067848684633E-2</v>
      </c>
      <c r="AX184" s="157">
        <f t="shared" si="143"/>
        <v>5.6530067848684633E-2</v>
      </c>
      <c r="AY184" s="157">
        <f t="shared" si="143"/>
        <v>5.6530067848684633E-2</v>
      </c>
      <c r="AZ184" s="157">
        <f t="shared" si="143"/>
        <v>5.6530067848684633E-2</v>
      </c>
      <c r="BA184" s="157">
        <f t="shared" si="143"/>
        <v>5.6530067848684633E-2</v>
      </c>
      <c r="BB184" s="157">
        <f t="shared" si="143"/>
        <v>5.6530067848684633E-2</v>
      </c>
      <c r="BC184" s="157">
        <f t="shared" si="143"/>
        <v>5.6530067848684633E-2</v>
      </c>
      <c r="BD184" s="157">
        <f t="shared" si="143"/>
        <v>5.6530067848684633E-2</v>
      </c>
      <c r="BE184" s="157">
        <f t="shared" si="143"/>
        <v>5.6530067848684633E-2</v>
      </c>
      <c r="BF184" s="157">
        <f t="shared" si="143"/>
        <v>5.6530067848684633E-2</v>
      </c>
      <c r="BG184" s="157">
        <f t="shared" si="143"/>
        <v>5.6530067848684633E-2</v>
      </c>
      <c r="BH184" s="157">
        <f t="shared" si="143"/>
        <v>5.6530067848684633E-2</v>
      </c>
      <c r="BI184" s="157">
        <f t="shared" si="143"/>
        <v>5.6530067848684633E-2</v>
      </c>
      <c r="BJ184" s="157">
        <f t="shared" si="143"/>
        <v>5.6530067848684633E-2</v>
      </c>
      <c r="BK184" s="157">
        <f t="shared" si="143"/>
        <v>5.6530067848684633E-2</v>
      </c>
      <c r="BL184" s="157">
        <f t="shared" si="143"/>
        <v>5.6530067848684633E-2</v>
      </c>
      <c r="BM184" s="157">
        <f t="shared" si="143"/>
        <v>5.6530067848684633E-2</v>
      </c>
      <c r="BN184" s="157">
        <f t="shared" si="143"/>
        <v>5.6530067848684633E-2</v>
      </c>
      <c r="BO184" s="157">
        <f t="shared" si="143"/>
        <v>5.6530067848684633E-2</v>
      </c>
      <c r="BP184" s="157">
        <f t="shared" si="143"/>
        <v>5.6530067848684633E-2</v>
      </c>
      <c r="BQ184" s="157">
        <f t="shared" si="143"/>
        <v>5.6530067848684633E-2</v>
      </c>
      <c r="BR184" s="157">
        <f t="shared" si="143"/>
        <v>5.6530067848684633E-2</v>
      </c>
      <c r="BS184" s="157">
        <f t="shared" si="143"/>
        <v>5.6530067848684633E-2</v>
      </c>
      <c r="BT184" s="157">
        <f t="shared" si="143"/>
        <v>5.6530067848684633E-2</v>
      </c>
      <c r="BU184" s="157">
        <f t="shared" si="143"/>
        <v>5.6530067848684633E-2</v>
      </c>
      <c r="BV184" s="157">
        <f t="shared" si="143"/>
        <v>5.6530067848684633E-2</v>
      </c>
    </row>
    <row r="185" spans="1:74" x14ac:dyDescent="0.25">
      <c r="A185" s="155" t="s">
        <v>225</v>
      </c>
      <c r="C185" s="150"/>
      <c r="D185" s="165">
        <v>7.1173734607240011E-2</v>
      </c>
      <c r="E185" s="165">
        <v>7.1173736145131672E-2</v>
      </c>
      <c r="F185" s="165">
        <v>7.1173737683023403E-2</v>
      </c>
      <c r="G185" s="165">
        <v>7.1173739220915203E-2</v>
      </c>
      <c r="H185" s="165">
        <v>7.1173740758807058E-2</v>
      </c>
      <c r="I185" s="165">
        <v>7.1173742296698969E-2</v>
      </c>
      <c r="J185" s="165">
        <v>7.1173733871273667E-2</v>
      </c>
      <c r="K185" s="165">
        <v>7.1173728488999069E-2</v>
      </c>
      <c r="L185" s="165">
        <v>7.1173744248015647E-2</v>
      </c>
      <c r="M185" s="165">
        <v>7.1173736161172188E-2</v>
      </c>
      <c r="N185" s="165">
        <v>7.1173732737838086E-2</v>
      </c>
      <c r="O185" s="165">
        <v>7.1173731442434163E-2</v>
      </c>
      <c r="P185" s="165">
        <v>7.1173737500829864E-2</v>
      </c>
      <c r="Q185" s="165">
        <v>7.1173734605906078E-2</v>
      </c>
      <c r="R185" s="165">
        <v>7.1173724896167911E-2</v>
      </c>
      <c r="S185" s="165">
        <v>7.1173711677305115E-2</v>
      </c>
      <c r="T185" s="165">
        <v>7.1173800556892028E-2</v>
      </c>
      <c r="U185" s="165">
        <v>7.1173776624308113E-2</v>
      </c>
      <c r="V185" s="165">
        <v>7.1173708183333489E-2</v>
      </c>
      <c r="W185" s="165">
        <v>7.117375902028672E-2</v>
      </c>
      <c r="X185" s="165">
        <v>7.1173730833711368E-2</v>
      </c>
      <c r="Y185" s="165">
        <v>7.117374495343165E-2</v>
      </c>
      <c r="Z185" s="165">
        <v>7.1173687665597091E-2</v>
      </c>
      <c r="AA185" s="165">
        <v>7.1173716529643286E-2</v>
      </c>
      <c r="AB185" s="165">
        <v>7.1459589872074347E-2</v>
      </c>
      <c r="AC185" s="165">
        <v>7.1447641890351452E-2</v>
      </c>
      <c r="AD185" s="165">
        <v>7.1583518037499419E-2</v>
      </c>
      <c r="AE185" s="165">
        <v>7.1626892848195692E-2</v>
      </c>
      <c r="AF185" s="165">
        <v>7.1626892848195692E-2</v>
      </c>
      <c r="AG185" s="165">
        <v>7.1626892848195692E-2</v>
      </c>
      <c r="AH185" s="165">
        <v>7.1626892848195692E-2</v>
      </c>
      <c r="AI185" s="165">
        <v>7.1626892848195692E-2</v>
      </c>
      <c r="AJ185" s="165">
        <v>7.1626892848195692E-2</v>
      </c>
      <c r="AK185" s="165">
        <v>7.1626892848195692E-2</v>
      </c>
      <c r="AL185" s="165">
        <v>7.1626892848195692E-2</v>
      </c>
      <c r="AM185" s="165">
        <v>7.1626892848195692E-2</v>
      </c>
      <c r="AN185" s="165">
        <v>7.1626892848195692E-2</v>
      </c>
      <c r="AO185" s="165">
        <v>7.1626892848195692E-2</v>
      </c>
      <c r="AP185" s="165">
        <v>7.1626892848195692E-2</v>
      </c>
      <c r="AQ185" s="165">
        <v>7.1626892848195692E-2</v>
      </c>
      <c r="AR185" s="165">
        <v>7.1626892848195692E-2</v>
      </c>
      <c r="AS185" s="157">
        <f t="shared" ref="AS185:BV185" si="144">AR185</f>
        <v>7.1626892848195692E-2</v>
      </c>
      <c r="AT185" s="157">
        <f t="shared" si="144"/>
        <v>7.1626892848195692E-2</v>
      </c>
      <c r="AU185" s="157">
        <f t="shared" si="144"/>
        <v>7.1626892848195692E-2</v>
      </c>
      <c r="AV185" s="157">
        <f t="shared" si="144"/>
        <v>7.1626892848195692E-2</v>
      </c>
      <c r="AW185" s="157">
        <f t="shared" si="144"/>
        <v>7.1626892848195692E-2</v>
      </c>
      <c r="AX185" s="157">
        <f t="shared" si="144"/>
        <v>7.1626892848195692E-2</v>
      </c>
      <c r="AY185" s="157">
        <f t="shared" si="144"/>
        <v>7.1626892848195692E-2</v>
      </c>
      <c r="AZ185" s="157">
        <f t="shared" si="144"/>
        <v>7.1626892848195692E-2</v>
      </c>
      <c r="BA185" s="157">
        <f t="shared" si="144"/>
        <v>7.1626892848195692E-2</v>
      </c>
      <c r="BB185" s="157">
        <f t="shared" si="144"/>
        <v>7.1626892848195692E-2</v>
      </c>
      <c r="BC185" s="157">
        <f t="shared" si="144"/>
        <v>7.1626892848195692E-2</v>
      </c>
      <c r="BD185" s="157">
        <f t="shared" si="144"/>
        <v>7.1626892848195692E-2</v>
      </c>
      <c r="BE185" s="157">
        <f t="shared" si="144"/>
        <v>7.1626892848195692E-2</v>
      </c>
      <c r="BF185" s="157">
        <f t="shared" si="144"/>
        <v>7.1626892848195692E-2</v>
      </c>
      <c r="BG185" s="157">
        <f t="shared" si="144"/>
        <v>7.1626892848195692E-2</v>
      </c>
      <c r="BH185" s="157">
        <f t="shared" si="144"/>
        <v>7.1626892848195692E-2</v>
      </c>
      <c r="BI185" s="157">
        <f t="shared" si="144"/>
        <v>7.1626892848195692E-2</v>
      </c>
      <c r="BJ185" s="157">
        <f t="shared" si="144"/>
        <v>7.1626892848195692E-2</v>
      </c>
      <c r="BK185" s="157">
        <f t="shared" si="144"/>
        <v>7.1626892848195692E-2</v>
      </c>
      <c r="BL185" s="157">
        <f t="shared" si="144"/>
        <v>7.1626892848195692E-2</v>
      </c>
      <c r="BM185" s="157">
        <f t="shared" si="144"/>
        <v>7.1626892848195692E-2</v>
      </c>
      <c r="BN185" s="157">
        <f t="shared" si="144"/>
        <v>7.1626892848195692E-2</v>
      </c>
      <c r="BO185" s="157">
        <f t="shared" si="144"/>
        <v>7.1626892848195692E-2</v>
      </c>
      <c r="BP185" s="157">
        <f t="shared" si="144"/>
        <v>7.1626892848195692E-2</v>
      </c>
      <c r="BQ185" s="157">
        <f t="shared" si="144"/>
        <v>7.1626892848195692E-2</v>
      </c>
      <c r="BR185" s="157">
        <f t="shared" si="144"/>
        <v>7.1626892848195692E-2</v>
      </c>
      <c r="BS185" s="157">
        <f t="shared" si="144"/>
        <v>7.1626892848195692E-2</v>
      </c>
      <c r="BT185" s="157">
        <f t="shared" si="144"/>
        <v>7.1626892848195692E-2</v>
      </c>
      <c r="BU185" s="157">
        <f t="shared" si="144"/>
        <v>7.1626892848195692E-2</v>
      </c>
      <c r="BV185" s="157">
        <f t="shared" si="144"/>
        <v>7.1626892848195692E-2</v>
      </c>
    </row>
    <row r="186" spans="1:74" x14ac:dyDescent="0.25">
      <c r="A186" s="149" t="s">
        <v>14</v>
      </c>
      <c r="B186" s="156"/>
      <c r="C186" s="150"/>
      <c r="D186" s="165">
        <v>5.0884034060787661E-2</v>
      </c>
      <c r="E186" s="165">
        <v>5.080872200921533E-2</v>
      </c>
      <c r="F186" s="165">
        <v>5.0733632562740778E-2</v>
      </c>
      <c r="G186" s="165">
        <v>5.0658764735866273E-2</v>
      </c>
      <c r="H186" s="165">
        <v>5.0584117548902727E-2</v>
      </c>
      <c r="I186" s="165">
        <v>5.0509690027926962E-2</v>
      </c>
      <c r="J186" s="165">
        <v>5.0472765645024356E-2</v>
      </c>
      <c r="K186" s="165">
        <v>5.045270042630548E-2</v>
      </c>
      <c r="L186" s="165">
        <v>5.0385550289870684E-2</v>
      </c>
      <c r="M186" s="165">
        <v>5.0443961569483581E-2</v>
      </c>
      <c r="N186" s="165">
        <v>5.0659506393256851E-2</v>
      </c>
      <c r="O186" s="165">
        <v>5.0563545142469413E-2</v>
      </c>
      <c r="P186" s="165">
        <v>5.0546715697022571E-2</v>
      </c>
      <c r="Q186" s="165">
        <v>5.0385318609503758E-2</v>
      </c>
      <c r="R186" s="165">
        <v>5.0347658470392923E-2</v>
      </c>
      <c r="S186" s="165">
        <v>5.0269095405659998E-2</v>
      </c>
      <c r="T186" s="165">
        <v>5.0254891822230627E-2</v>
      </c>
      <c r="U186" s="165">
        <v>5.0462665427550374E-2</v>
      </c>
      <c r="V186" s="165">
        <v>5.0057851325731519E-2</v>
      </c>
      <c r="W186" s="165">
        <v>5.0034906876201039E-2</v>
      </c>
      <c r="X186" s="165">
        <v>4.9926715324116293E-2</v>
      </c>
      <c r="Y186" s="165">
        <v>4.988537678850781E-2</v>
      </c>
      <c r="Z186" s="165">
        <v>4.9664693747516531E-2</v>
      </c>
      <c r="AA186" s="165">
        <v>4.9525397315490056E-2</v>
      </c>
      <c r="AB186" s="165">
        <v>4.9325027501187835E-2</v>
      </c>
      <c r="AC186" s="165">
        <v>4.9022590682876281E-2</v>
      </c>
      <c r="AD186" s="165">
        <v>4.9286363711235813E-2</v>
      </c>
      <c r="AE186" s="165">
        <v>4.9047599452087906E-2</v>
      </c>
      <c r="AF186" s="165">
        <v>4.9047599452087906E-2</v>
      </c>
      <c r="AG186" s="165">
        <v>4.9047599452087906E-2</v>
      </c>
      <c r="AH186" s="165">
        <v>4.9047599452087906E-2</v>
      </c>
      <c r="AI186" s="165">
        <v>4.9047599452087906E-2</v>
      </c>
      <c r="AJ186" s="165">
        <v>4.9047599452087906E-2</v>
      </c>
      <c r="AK186" s="165">
        <v>4.9047599452087906E-2</v>
      </c>
      <c r="AL186" s="165">
        <v>4.9047599452087906E-2</v>
      </c>
      <c r="AM186" s="165">
        <v>4.9047599452087906E-2</v>
      </c>
      <c r="AN186" s="165">
        <v>4.9047599452087906E-2</v>
      </c>
      <c r="AO186" s="165">
        <v>4.9047599452087906E-2</v>
      </c>
      <c r="AP186" s="165">
        <v>4.9047599452087906E-2</v>
      </c>
      <c r="AQ186" s="165">
        <v>4.9047599452087906E-2</v>
      </c>
      <c r="AR186" s="165">
        <v>4.9047599452087906E-2</v>
      </c>
      <c r="AS186" s="157">
        <f t="shared" ref="AS186:BV186" si="145">AR186</f>
        <v>4.9047599452087906E-2</v>
      </c>
      <c r="AT186" s="157">
        <f t="shared" si="145"/>
        <v>4.9047599452087906E-2</v>
      </c>
      <c r="AU186" s="157">
        <f t="shared" si="145"/>
        <v>4.9047599452087906E-2</v>
      </c>
      <c r="AV186" s="157">
        <f t="shared" si="145"/>
        <v>4.9047599452087906E-2</v>
      </c>
      <c r="AW186" s="157">
        <f t="shared" si="145"/>
        <v>4.9047599452087906E-2</v>
      </c>
      <c r="AX186" s="157">
        <f t="shared" si="145"/>
        <v>4.9047599452087906E-2</v>
      </c>
      <c r="AY186" s="157">
        <f t="shared" si="145"/>
        <v>4.9047599452087906E-2</v>
      </c>
      <c r="AZ186" s="157">
        <f t="shared" si="145"/>
        <v>4.9047599452087906E-2</v>
      </c>
      <c r="BA186" s="157">
        <f t="shared" si="145"/>
        <v>4.9047599452087906E-2</v>
      </c>
      <c r="BB186" s="157">
        <f t="shared" si="145"/>
        <v>4.9047599452087906E-2</v>
      </c>
      <c r="BC186" s="157">
        <f t="shared" si="145"/>
        <v>4.9047599452087906E-2</v>
      </c>
      <c r="BD186" s="157">
        <f t="shared" si="145"/>
        <v>4.9047599452087906E-2</v>
      </c>
      <c r="BE186" s="157">
        <f t="shared" si="145"/>
        <v>4.9047599452087906E-2</v>
      </c>
      <c r="BF186" s="157">
        <f t="shared" si="145"/>
        <v>4.9047599452087906E-2</v>
      </c>
      <c r="BG186" s="157">
        <f t="shared" si="145"/>
        <v>4.9047599452087906E-2</v>
      </c>
      <c r="BH186" s="157">
        <f t="shared" si="145"/>
        <v>4.9047599452087906E-2</v>
      </c>
      <c r="BI186" s="157">
        <f t="shared" si="145"/>
        <v>4.9047599452087906E-2</v>
      </c>
      <c r="BJ186" s="157">
        <f t="shared" si="145"/>
        <v>4.9047599452087906E-2</v>
      </c>
      <c r="BK186" s="157">
        <f t="shared" si="145"/>
        <v>4.9047599452087906E-2</v>
      </c>
      <c r="BL186" s="157">
        <f t="shared" si="145"/>
        <v>4.9047599452087906E-2</v>
      </c>
      <c r="BM186" s="157">
        <f t="shared" si="145"/>
        <v>4.9047599452087906E-2</v>
      </c>
      <c r="BN186" s="157">
        <f t="shared" si="145"/>
        <v>4.9047599452087906E-2</v>
      </c>
      <c r="BO186" s="157">
        <f t="shared" si="145"/>
        <v>4.9047599452087906E-2</v>
      </c>
      <c r="BP186" s="157">
        <f t="shared" si="145"/>
        <v>4.9047599452087906E-2</v>
      </c>
      <c r="BQ186" s="157">
        <f t="shared" si="145"/>
        <v>4.9047599452087906E-2</v>
      </c>
      <c r="BR186" s="157">
        <f t="shared" si="145"/>
        <v>4.9047599452087906E-2</v>
      </c>
      <c r="BS186" s="157">
        <f t="shared" si="145"/>
        <v>4.9047599452087906E-2</v>
      </c>
      <c r="BT186" s="157">
        <f t="shared" si="145"/>
        <v>4.9047599452087906E-2</v>
      </c>
      <c r="BU186" s="157">
        <f t="shared" si="145"/>
        <v>4.9047599452087906E-2</v>
      </c>
      <c r="BV186" s="157">
        <f t="shared" si="145"/>
        <v>4.9047599452087906E-2</v>
      </c>
    </row>
    <row r="187" spans="1:74" x14ac:dyDescent="0.25">
      <c r="A187" s="149" t="s">
        <v>216</v>
      </c>
      <c r="B187" s="150"/>
      <c r="C187" s="171"/>
      <c r="D187" s="165">
        <v>8.4669648012979798E-2</v>
      </c>
      <c r="E187" s="165">
        <v>8.4763618733123366E-2</v>
      </c>
      <c r="F187" s="165">
        <v>8.4857589453490215E-2</v>
      </c>
      <c r="G187" s="165">
        <v>8.4951560174080371E-2</v>
      </c>
      <c r="H187" s="165">
        <v>8.5045530894893806E-2</v>
      </c>
      <c r="I187" s="165">
        <v>8.5139501615930535E-2</v>
      </c>
      <c r="J187" s="165">
        <v>8.4134444555794233E-2</v>
      </c>
      <c r="K187" s="165">
        <v>8.4450211712153056E-2</v>
      </c>
      <c r="L187" s="165">
        <v>8.0962821708620361E-2</v>
      </c>
      <c r="M187" s="165">
        <v>8.1483050770451718E-2</v>
      </c>
      <c r="N187" s="165">
        <v>8.0059986510225084E-2</v>
      </c>
      <c r="O187" s="165">
        <v>8.2119182170518515E-2</v>
      </c>
      <c r="P187" s="165">
        <v>8.3126805820462626E-2</v>
      </c>
      <c r="Q187" s="165">
        <v>8.3651533025754732E-2</v>
      </c>
      <c r="R187" s="165">
        <v>8.3173233808404343E-2</v>
      </c>
      <c r="S187" s="165">
        <v>8.3303051192369498E-2</v>
      </c>
      <c r="T187" s="165">
        <v>8.3393330223555259E-2</v>
      </c>
      <c r="U187" s="165">
        <v>8.3377563905847649E-2</v>
      </c>
      <c r="V187" s="165">
        <v>8.3411679359558191E-2</v>
      </c>
      <c r="W187" s="165">
        <v>8.3380981828234321E-2</v>
      </c>
      <c r="X187" s="165">
        <v>8.3508013586894372E-2</v>
      </c>
      <c r="Y187" s="165">
        <v>8.3309824540335656E-2</v>
      </c>
      <c r="Z187" s="165">
        <v>8.3278284216720927E-2</v>
      </c>
      <c r="AA187" s="165">
        <v>8.4628461014660719E-2</v>
      </c>
      <c r="AB187" s="165">
        <v>8.124285509656981E-2</v>
      </c>
      <c r="AC187" s="165">
        <v>8.1676976297178072E-2</v>
      </c>
      <c r="AD187" s="165">
        <v>8.1764678751483758E-2</v>
      </c>
      <c r="AE187" s="165">
        <v>8.2196107424975309E-2</v>
      </c>
      <c r="AF187" s="165">
        <v>8.2196107424975309E-2</v>
      </c>
      <c r="AG187" s="165">
        <v>8.2196107424975309E-2</v>
      </c>
      <c r="AH187" s="165">
        <v>8.2196107424975309E-2</v>
      </c>
      <c r="AI187" s="165">
        <v>8.2196107424975309E-2</v>
      </c>
      <c r="AJ187" s="165">
        <v>8.2196107424975309E-2</v>
      </c>
      <c r="AK187" s="165">
        <v>8.2196107424975309E-2</v>
      </c>
      <c r="AL187" s="165">
        <v>8.2196107424975309E-2</v>
      </c>
      <c r="AM187" s="165">
        <v>8.2196107424975309E-2</v>
      </c>
      <c r="AN187" s="165">
        <v>8.2196107424975309E-2</v>
      </c>
      <c r="AO187" s="165">
        <v>8.2196107424975309E-2</v>
      </c>
      <c r="AP187" s="165">
        <v>8.2196107424975309E-2</v>
      </c>
      <c r="AQ187" s="165">
        <v>8.2196107424975309E-2</v>
      </c>
      <c r="AR187" s="165">
        <v>8.2196107424975309E-2</v>
      </c>
      <c r="AS187" s="157">
        <f t="shared" ref="AS187:BV187" si="146">AR187</f>
        <v>8.2196107424975309E-2</v>
      </c>
      <c r="AT187" s="157">
        <f t="shared" si="146"/>
        <v>8.2196107424975309E-2</v>
      </c>
      <c r="AU187" s="157">
        <f t="shared" si="146"/>
        <v>8.2196107424975309E-2</v>
      </c>
      <c r="AV187" s="157">
        <f t="shared" si="146"/>
        <v>8.2196107424975309E-2</v>
      </c>
      <c r="AW187" s="157">
        <f t="shared" si="146"/>
        <v>8.2196107424975309E-2</v>
      </c>
      <c r="AX187" s="157">
        <f t="shared" si="146"/>
        <v>8.2196107424975309E-2</v>
      </c>
      <c r="AY187" s="157">
        <f t="shared" si="146"/>
        <v>8.2196107424975309E-2</v>
      </c>
      <c r="AZ187" s="157">
        <f t="shared" si="146"/>
        <v>8.2196107424975309E-2</v>
      </c>
      <c r="BA187" s="157">
        <f t="shared" si="146"/>
        <v>8.2196107424975309E-2</v>
      </c>
      <c r="BB187" s="157">
        <f t="shared" si="146"/>
        <v>8.2196107424975309E-2</v>
      </c>
      <c r="BC187" s="157">
        <f t="shared" si="146"/>
        <v>8.2196107424975309E-2</v>
      </c>
      <c r="BD187" s="157">
        <f t="shared" si="146"/>
        <v>8.2196107424975309E-2</v>
      </c>
      <c r="BE187" s="157">
        <f t="shared" si="146"/>
        <v>8.2196107424975309E-2</v>
      </c>
      <c r="BF187" s="157">
        <f t="shared" si="146"/>
        <v>8.2196107424975309E-2</v>
      </c>
      <c r="BG187" s="157">
        <f t="shared" si="146"/>
        <v>8.2196107424975309E-2</v>
      </c>
      <c r="BH187" s="157">
        <f t="shared" si="146"/>
        <v>8.2196107424975309E-2</v>
      </c>
      <c r="BI187" s="157">
        <f t="shared" si="146"/>
        <v>8.2196107424975309E-2</v>
      </c>
      <c r="BJ187" s="157">
        <f t="shared" si="146"/>
        <v>8.2196107424975309E-2</v>
      </c>
      <c r="BK187" s="157">
        <f t="shared" si="146"/>
        <v>8.2196107424975309E-2</v>
      </c>
      <c r="BL187" s="157">
        <f t="shared" si="146"/>
        <v>8.2196107424975309E-2</v>
      </c>
      <c r="BM187" s="157">
        <f t="shared" si="146"/>
        <v>8.2196107424975309E-2</v>
      </c>
      <c r="BN187" s="157">
        <f t="shared" si="146"/>
        <v>8.2196107424975309E-2</v>
      </c>
      <c r="BO187" s="157">
        <f t="shared" si="146"/>
        <v>8.2196107424975309E-2</v>
      </c>
      <c r="BP187" s="157">
        <f t="shared" si="146"/>
        <v>8.2196107424975309E-2</v>
      </c>
      <c r="BQ187" s="157">
        <f t="shared" si="146"/>
        <v>8.2196107424975309E-2</v>
      </c>
      <c r="BR187" s="157">
        <f t="shared" si="146"/>
        <v>8.2196107424975309E-2</v>
      </c>
      <c r="BS187" s="157">
        <f t="shared" si="146"/>
        <v>8.2196107424975309E-2</v>
      </c>
      <c r="BT187" s="157">
        <f t="shared" si="146"/>
        <v>8.2196107424975309E-2</v>
      </c>
      <c r="BU187" s="157">
        <f t="shared" si="146"/>
        <v>8.2196107424975309E-2</v>
      </c>
      <c r="BV187" s="157">
        <f t="shared" si="146"/>
        <v>8.2196107424975309E-2</v>
      </c>
    </row>
    <row r="188" spans="1:74" x14ac:dyDescent="0.25">
      <c r="A188" s="155" t="s">
        <v>228</v>
      </c>
      <c r="C188" s="150"/>
      <c r="D188" s="165">
        <v>5.9341945678437827E-2</v>
      </c>
      <c r="E188" s="165">
        <v>5.9341947701401741E-2</v>
      </c>
      <c r="F188" s="165">
        <v>5.9341949724365788E-2</v>
      </c>
      <c r="G188" s="165">
        <v>5.9341951747329973E-2</v>
      </c>
      <c r="H188" s="165">
        <v>5.9341953770294296E-2</v>
      </c>
      <c r="I188" s="165">
        <v>5.9341955793258738E-2</v>
      </c>
      <c r="J188" s="165">
        <v>5.9341948341031549E-2</v>
      </c>
      <c r="K188" s="165">
        <v>5.9341952022520093E-2</v>
      </c>
      <c r="L188" s="165">
        <v>5.9857777214651499E-2</v>
      </c>
      <c r="M188" s="165">
        <v>5.9857766399607715E-2</v>
      </c>
      <c r="N188" s="165">
        <v>5.9857766397253279E-2</v>
      </c>
      <c r="O188" s="165">
        <v>5.9857761469151567E-2</v>
      </c>
      <c r="P188" s="165">
        <v>5.9857772727671905E-2</v>
      </c>
      <c r="Q188" s="165">
        <v>5.9857762186262486E-2</v>
      </c>
      <c r="R188" s="165">
        <v>5.9857764363268735E-2</v>
      </c>
      <c r="S188" s="165">
        <v>5.985775273523862E-2</v>
      </c>
      <c r="T188" s="165">
        <v>5.9857742592133653E-2</v>
      </c>
      <c r="U188" s="165">
        <v>5.9857846442529061E-2</v>
      </c>
      <c r="V188" s="165">
        <v>5.9857725653359922E-2</v>
      </c>
      <c r="W188" s="165">
        <v>5.9857869132092109E-2</v>
      </c>
      <c r="X188" s="165">
        <v>5.9857810547601559E-2</v>
      </c>
      <c r="Y188" s="165">
        <v>5.9857731382435463E-2</v>
      </c>
      <c r="Z188" s="165">
        <v>5.9857814030780346E-2</v>
      </c>
      <c r="AA188" s="165">
        <v>5.9857814030780346E-2</v>
      </c>
      <c r="AB188" s="165">
        <v>5.9857814030780346E-2</v>
      </c>
      <c r="AC188" s="165">
        <v>5.9857814030780346E-2</v>
      </c>
      <c r="AD188" s="165">
        <v>5.9858185914249296E-2</v>
      </c>
      <c r="AE188" s="165">
        <v>5.9858104375493833E-2</v>
      </c>
      <c r="AF188" s="165">
        <v>5.9858104375493833E-2</v>
      </c>
      <c r="AG188" s="165">
        <v>5.9858104375493833E-2</v>
      </c>
      <c r="AH188" s="165">
        <v>5.9858104375493833E-2</v>
      </c>
      <c r="AI188" s="165">
        <v>5.9858104375493833E-2</v>
      </c>
      <c r="AJ188" s="165">
        <v>5.9858104375493833E-2</v>
      </c>
      <c r="AK188" s="165">
        <v>5.9858104375493833E-2</v>
      </c>
      <c r="AL188" s="165">
        <v>5.9858104375493833E-2</v>
      </c>
      <c r="AM188" s="165">
        <v>5.9858104375493833E-2</v>
      </c>
      <c r="AN188" s="165">
        <v>5.9858104375493833E-2</v>
      </c>
      <c r="AO188" s="165">
        <v>5.9858104375493833E-2</v>
      </c>
      <c r="AP188" s="165">
        <v>5.9858104375493833E-2</v>
      </c>
      <c r="AQ188" s="165">
        <v>5.9858104375493833E-2</v>
      </c>
      <c r="AR188" s="165">
        <v>5.9858104375493833E-2</v>
      </c>
      <c r="AS188" s="157">
        <f t="shared" ref="AS188:BV188" si="147">AR188</f>
        <v>5.9858104375493833E-2</v>
      </c>
      <c r="AT188" s="157">
        <f t="shared" si="147"/>
        <v>5.9858104375493833E-2</v>
      </c>
      <c r="AU188" s="157">
        <f t="shared" si="147"/>
        <v>5.9858104375493833E-2</v>
      </c>
      <c r="AV188" s="157">
        <f t="shared" si="147"/>
        <v>5.9858104375493833E-2</v>
      </c>
      <c r="AW188" s="157">
        <f t="shared" si="147"/>
        <v>5.9858104375493833E-2</v>
      </c>
      <c r="AX188" s="157">
        <f t="shared" si="147"/>
        <v>5.9858104375493833E-2</v>
      </c>
      <c r="AY188" s="157">
        <f t="shared" si="147"/>
        <v>5.9858104375493833E-2</v>
      </c>
      <c r="AZ188" s="157">
        <f t="shared" si="147"/>
        <v>5.9858104375493833E-2</v>
      </c>
      <c r="BA188" s="157">
        <f t="shared" si="147"/>
        <v>5.9858104375493833E-2</v>
      </c>
      <c r="BB188" s="157">
        <f t="shared" si="147"/>
        <v>5.9858104375493833E-2</v>
      </c>
      <c r="BC188" s="157">
        <f t="shared" si="147"/>
        <v>5.9858104375493833E-2</v>
      </c>
      <c r="BD188" s="157">
        <f t="shared" si="147"/>
        <v>5.9858104375493833E-2</v>
      </c>
      <c r="BE188" s="157">
        <f t="shared" si="147"/>
        <v>5.9858104375493833E-2</v>
      </c>
      <c r="BF188" s="157">
        <f t="shared" si="147"/>
        <v>5.9858104375493833E-2</v>
      </c>
      <c r="BG188" s="157">
        <f t="shared" si="147"/>
        <v>5.9858104375493833E-2</v>
      </c>
      <c r="BH188" s="157">
        <f t="shared" si="147"/>
        <v>5.9858104375493833E-2</v>
      </c>
      <c r="BI188" s="157">
        <f t="shared" si="147"/>
        <v>5.9858104375493833E-2</v>
      </c>
      <c r="BJ188" s="157">
        <f t="shared" si="147"/>
        <v>5.9858104375493833E-2</v>
      </c>
      <c r="BK188" s="157">
        <f t="shared" si="147"/>
        <v>5.9858104375493833E-2</v>
      </c>
      <c r="BL188" s="157">
        <f t="shared" si="147"/>
        <v>5.9858104375493833E-2</v>
      </c>
      <c r="BM188" s="157">
        <f t="shared" si="147"/>
        <v>5.9858104375493833E-2</v>
      </c>
      <c r="BN188" s="157">
        <f t="shared" si="147"/>
        <v>5.9858104375493833E-2</v>
      </c>
      <c r="BO188" s="157">
        <f t="shared" si="147"/>
        <v>5.9858104375493833E-2</v>
      </c>
      <c r="BP188" s="157">
        <f t="shared" si="147"/>
        <v>5.9858104375493833E-2</v>
      </c>
      <c r="BQ188" s="157">
        <f t="shared" si="147"/>
        <v>5.9858104375493833E-2</v>
      </c>
      <c r="BR188" s="157">
        <f t="shared" si="147"/>
        <v>5.9858104375493833E-2</v>
      </c>
      <c r="BS188" s="157">
        <f t="shared" si="147"/>
        <v>5.9858104375493833E-2</v>
      </c>
      <c r="BT188" s="157">
        <f t="shared" si="147"/>
        <v>5.9858104375493833E-2</v>
      </c>
      <c r="BU188" s="157">
        <f t="shared" si="147"/>
        <v>5.9858104375493833E-2</v>
      </c>
      <c r="BV188" s="157">
        <f t="shared" si="147"/>
        <v>5.9858104375493833E-2</v>
      </c>
    </row>
    <row r="189" spans="1:74" x14ac:dyDescent="0.25">
      <c r="A189" s="149" t="s">
        <v>222</v>
      </c>
      <c r="B189" s="156"/>
      <c r="C189" s="171"/>
      <c r="D189" s="165">
        <v>4.3360869813937844E-2</v>
      </c>
      <c r="E189" s="165">
        <v>4.3543378975413639E-2</v>
      </c>
      <c r="F189" s="165">
        <v>4.3725888137030815E-2</v>
      </c>
      <c r="G189" s="165">
        <v>4.3908397298789377E-2</v>
      </c>
      <c r="H189" s="165">
        <v>4.4090906460689319E-2</v>
      </c>
      <c r="I189" s="165">
        <v>4.4273415622730634E-2</v>
      </c>
      <c r="J189" s="165">
        <v>4.3277244399331963E-2</v>
      </c>
      <c r="K189" s="165">
        <v>4.2751401516451848E-2</v>
      </c>
      <c r="L189" s="165">
        <v>3.9563416715295181E-2</v>
      </c>
      <c r="M189" s="165">
        <v>4.25067004568506E-2</v>
      </c>
      <c r="N189" s="165">
        <v>3.9697676025390954E-2</v>
      </c>
      <c r="O189" s="165">
        <v>3.8798097813802689E-2</v>
      </c>
      <c r="P189" s="165">
        <v>3.9133481687923917E-2</v>
      </c>
      <c r="Q189" s="165">
        <v>3.9934990495230346E-2</v>
      </c>
      <c r="R189" s="165">
        <v>4.0117257866493505E-2</v>
      </c>
      <c r="S189" s="165">
        <v>4.0393527151583203E-2</v>
      </c>
      <c r="T189" s="165">
        <v>4.1233788317944289E-2</v>
      </c>
      <c r="U189" s="165">
        <v>4.1434438811343101E-2</v>
      </c>
      <c r="V189" s="165">
        <v>4.0070936599287725E-2</v>
      </c>
      <c r="W189" s="165">
        <v>4.053025284195956E-2</v>
      </c>
      <c r="X189" s="165">
        <v>4.3354845383235217E-2</v>
      </c>
      <c r="Y189" s="165">
        <v>4.3224970892610626E-2</v>
      </c>
      <c r="Z189" s="165">
        <v>4.8156725585780456E-2</v>
      </c>
      <c r="AA189" s="165">
        <v>4.8825271260910165E-2</v>
      </c>
      <c r="AB189" s="165">
        <v>4.8547965665922871E-2</v>
      </c>
      <c r="AC189" s="165">
        <v>4.9175051720593277E-2</v>
      </c>
      <c r="AD189" s="165">
        <v>4.9921693957213457E-2</v>
      </c>
      <c r="AE189" s="165">
        <v>5.0566331040311205E-2</v>
      </c>
      <c r="AF189" s="165">
        <v>5.0566331040311205E-2</v>
      </c>
      <c r="AG189" s="165">
        <v>5.0566331040311205E-2</v>
      </c>
      <c r="AH189" s="165">
        <v>5.0566331040311205E-2</v>
      </c>
      <c r="AI189" s="165">
        <v>5.0566331040311205E-2</v>
      </c>
      <c r="AJ189" s="165">
        <v>5.0566331040311205E-2</v>
      </c>
      <c r="AK189" s="165">
        <v>5.0566331040311205E-2</v>
      </c>
      <c r="AL189" s="165">
        <v>5.0566331040311205E-2</v>
      </c>
      <c r="AM189" s="165">
        <v>5.0566331040311205E-2</v>
      </c>
      <c r="AN189" s="165">
        <v>5.0566331040311205E-2</v>
      </c>
      <c r="AO189" s="165">
        <v>5.0566331040311205E-2</v>
      </c>
      <c r="AP189" s="165">
        <v>5.0566331040311205E-2</v>
      </c>
      <c r="AQ189" s="165">
        <v>5.0566331040311205E-2</v>
      </c>
      <c r="AR189" s="165">
        <v>5.0566331040311205E-2</v>
      </c>
      <c r="AS189" s="157">
        <f t="shared" ref="AS189:BV189" si="148">AR189</f>
        <v>5.0566331040311205E-2</v>
      </c>
      <c r="AT189" s="157">
        <f t="shared" si="148"/>
        <v>5.0566331040311205E-2</v>
      </c>
      <c r="AU189" s="157">
        <f t="shared" si="148"/>
        <v>5.0566331040311205E-2</v>
      </c>
      <c r="AV189" s="157">
        <f t="shared" si="148"/>
        <v>5.0566331040311205E-2</v>
      </c>
      <c r="AW189" s="157">
        <f t="shared" si="148"/>
        <v>5.0566331040311205E-2</v>
      </c>
      <c r="AX189" s="157">
        <f t="shared" si="148"/>
        <v>5.0566331040311205E-2</v>
      </c>
      <c r="AY189" s="157">
        <f t="shared" si="148"/>
        <v>5.0566331040311205E-2</v>
      </c>
      <c r="AZ189" s="157">
        <f t="shared" si="148"/>
        <v>5.0566331040311205E-2</v>
      </c>
      <c r="BA189" s="157">
        <f t="shared" si="148"/>
        <v>5.0566331040311205E-2</v>
      </c>
      <c r="BB189" s="157">
        <f t="shared" si="148"/>
        <v>5.0566331040311205E-2</v>
      </c>
      <c r="BC189" s="157">
        <f t="shared" si="148"/>
        <v>5.0566331040311205E-2</v>
      </c>
      <c r="BD189" s="157">
        <f t="shared" si="148"/>
        <v>5.0566331040311205E-2</v>
      </c>
      <c r="BE189" s="157">
        <f t="shared" si="148"/>
        <v>5.0566331040311205E-2</v>
      </c>
      <c r="BF189" s="157">
        <f t="shared" si="148"/>
        <v>5.0566331040311205E-2</v>
      </c>
      <c r="BG189" s="157">
        <f t="shared" si="148"/>
        <v>5.0566331040311205E-2</v>
      </c>
      <c r="BH189" s="157">
        <f t="shared" si="148"/>
        <v>5.0566331040311205E-2</v>
      </c>
      <c r="BI189" s="157">
        <f t="shared" si="148"/>
        <v>5.0566331040311205E-2</v>
      </c>
      <c r="BJ189" s="157">
        <f t="shared" si="148"/>
        <v>5.0566331040311205E-2</v>
      </c>
      <c r="BK189" s="157">
        <f t="shared" si="148"/>
        <v>5.0566331040311205E-2</v>
      </c>
      <c r="BL189" s="157">
        <f t="shared" si="148"/>
        <v>5.0566331040311205E-2</v>
      </c>
      <c r="BM189" s="157">
        <f t="shared" si="148"/>
        <v>5.0566331040311205E-2</v>
      </c>
      <c r="BN189" s="157">
        <f t="shared" si="148"/>
        <v>5.0566331040311205E-2</v>
      </c>
      <c r="BO189" s="157">
        <f t="shared" si="148"/>
        <v>5.0566331040311205E-2</v>
      </c>
      <c r="BP189" s="157">
        <f t="shared" si="148"/>
        <v>5.0566331040311205E-2</v>
      </c>
      <c r="BQ189" s="157">
        <f t="shared" si="148"/>
        <v>5.0566331040311205E-2</v>
      </c>
      <c r="BR189" s="157">
        <f t="shared" si="148"/>
        <v>5.0566331040311205E-2</v>
      </c>
      <c r="BS189" s="157">
        <f t="shared" si="148"/>
        <v>5.0566331040311205E-2</v>
      </c>
      <c r="BT189" s="157">
        <f t="shared" si="148"/>
        <v>5.0566331040311205E-2</v>
      </c>
      <c r="BU189" s="157">
        <f t="shared" si="148"/>
        <v>5.0566331040311205E-2</v>
      </c>
      <c r="BV189" s="157">
        <f t="shared" si="148"/>
        <v>5.0566331040311205E-2</v>
      </c>
    </row>
    <row r="190" spans="1:74" x14ac:dyDescent="0.25">
      <c r="A190" s="155" t="s">
        <v>229</v>
      </c>
      <c r="C190" s="150"/>
      <c r="D190" s="165">
        <v>8.5100286532951291E-2</v>
      </c>
      <c r="E190" s="165">
        <v>8.5100286532951291E-2</v>
      </c>
      <c r="F190" s="165">
        <v>8.5100286532951291E-2</v>
      </c>
      <c r="G190" s="165">
        <v>8.5100286532951291E-2</v>
      </c>
      <c r="H190" s="165">
        <v>8.5100286532951291E-2</v>
      </c>
      <c r="I190" s="165">
        <v>8.5100286532951291E-2</v>
      </c>
      <c r="J190" s="165">
        <v>8.5100286532951291E-2</v>
      </c>
      <c r="K190" s="165">
        <v>8.5100286532951291E-2</v>
      </c>
      <c r="L190" s="165">
        <v>8.5100286532951291E-2</v>
      </c>
      <c r="M190" s="165">
        <v>8.5100286532951291E-2</v>
      </c>
      <c r="N190" s="165">
        <v>8.5100286532951291E-2</v>
      </c>
      <c r="O190" s="165">
        <v>8.5100286532951291E-2</v>
      </c>
      <c r="P190" s="165">
        <v>8.5100286532951291E-2</v>
      </c>
      <c r="Q190" s="165">
        <v>8.5100286532951291E-2</v>
      </c>
      <c r="R190" s="165">
        <v>8.5100286532951291E-2</v>
      </c>
      <c r="S190" s="165">
        <v>8.5100285874548598E-2</v>
      </c>
      <c r="T190" s="165">
        <v>8.5100287711537839E-2</v>
      </c>
      <c r="U190" s="165">
        <v>8.5100288058758883E-2</v>
      </c>
      <c r="V190" s="165">
        <v>8.5100284223571604E-2</v>
      </c>
      <c r="W190" s="165">
        <v>8.5100284751351105E-2</v>
      </c>
      <c r="X190" s="165">
        <v>8.510028951724552E-2</v>
      </c>
      <c r="Y190" s="165">
        <v>8.5100289109879601E-2</v>
      </c>
      <c r="Z190" s="165">
        <v>8.5100287371040334E-2</v>
      </c>
      <c r="AA190" s="165">
        <v>8.5100284351395258E-2</v>
      </c>
      <c r="AB190" s="165">
        <v>8.5100286957734222E-2</v>
      </c>
      <c r="AC190" s="165">
        <v>8.5100284933278411E-2</v>
      </c>
      <c r="AD190" s="165">
        <v>8.51002886580806E-2</v>
      </c>
      <c r="AE190" s="165">
        <v>8.5100284039712912E-2</v>
      </c>
      <c r="AF190" s="165">
        <v>8.5100284039712912E-2</v>
      </c>
      <c r="AG190" s="165">
        <v>8.5100284039712912E-2</v>
      </c>
      <c r="AH190" s="165">
        <v>8.5100284039712912E-2</v>
      </c>
      <c r="AI190" s="165">
        <v>8.5100284039712912E-2</v>
      </c>
      <c r="AJ190" s="165">
        <v>8.5100284039712912E-2</v>
      </c>
      <c r="AK190" s="165">
        <v>8.5100284039712912E-2</v>
      </c>
      <c r="AL190" s="165">
        <v>8.5100284039712912E-2</v>
      </c>
      <c r="AM190" s="165">
        <v>8.5100284039712912E-2</v>
      </c>
      <c r="AN190" s="165">
        <v>8.5100284039712912E-2</v>
      </c>
      <c r="AO190" s="165">
        <v>8.5100284039712912E-2</v>
      </c>
      <c r="AP190" s="165">
        <v>8.5100284039712912E-2</v>
      </c>
      <c r="AQ190" s="165">
        <v>8.5100284039712912E-2</v>
      </c>
      <c r="AR190" s="165">
        <v>8.5100284039712912E-2</v>
      </c>
      <c r="AS190" s="157">
        <f t="shared" ref="AS190:BV190" si="149">AR190</f>
        <v>8.5100284039712912E-2</v>
      </c>
      <c r="AT190" s="157">
        <f t="shared" si="149"/>
        <v>8.5100284039712912E-2</v>
      </c>
      <c r="AU190" s="157">
        <f t="shared" si="149"/>
        <v>8.5100284039712912E-2</v>
      </c>
      <c r="AV190" s="157">
        <f t="shared" si="149"/>
        <v>8.5100284039712912E-2</v>
      </c>
      <c r="AW190" s="157">
        <f t="shared" si="149"/>
        <v>8.5100284039712912E-2</v>
      </c>
      <c r="AX190" s="157">
        <f t="shared" si="149"/>
        <v>8.5100284039712912E-2</v>
      </c>
      <c r="AY190" s="157">
        <f t="shared" si="149"/>
        <v>8.5100284039712912E-2</v>
      </c>
      <c r="AZ190" s="157">
        <f t="shared" si="149"/>
        <v>8.5100284039712912E-2</v>
      </c>
      <c r="BA190" s="157">
        <f t="shared" si="149"/>
        <v>8.5100284039712912E-2</v>
      </c>
      <c r="BB190" s="157">
        <f t="shared" si="149"/>
        <v>8.5100284039712912E-2</v>
      </c>
      <c r="BC190" s="157">
        <f t="shared" si="149"/>
        <v>8.5100284039712912E-2</v>
      </c>
      <c r="BD190" s="157">
        <f t="shared" si="149"/>
        <v>8.5100284039712912E-2</v>
      </c>
      <c r="BE190" s="157">
        <f t="shared" si="149"/>
        <v>8.5100284039712912E-2</v>
      </c>
      <c r="BF190" s="157">
        <f t="shared" si="149"/>
        <v>8.5100284039712912E-2</v>
      </c>
      <c r="BG190" s="157">
        <f t="shared" si="149"/>
        <v>8.5100284039712912E-2</v>
      </c>
      <c r="BH190" s="157">
        <f t="shared" si="149"/>
        <v>8.5100284039712912E-2</v>
      </c>
      <c r="BI190" s="157">
        <f t="shared" si="149"/>
        <v>8.5100284039712912E-2</v>
      </c>
      <c r="BJ190" s="157">
        <f t="shared" si="149"/>
        <v>8.5100284039712912E-2</v>
      </c>
      <c r="BK190" s="157">
        <f t="shared" si="149"/>
        <v>8.5100284039712912E-2</v>
      </c>
      <c r="BL190" s="157">
        <f t="shared" si="149"/>
        <v>8.5100284039712912E-2</v>
      </c>
      <c r="BM190" s="157">
        <f t="shared" si="149"/>
        <v>8.5100284039712912E-2</v>
      </c>
      <c r="BN190" s="157">
        <f t="shared" si="149"/>
        <v>8.5100284039712912E-2</v>
      </c>
      <c r="BO190" s="157">
        <f t="shared" si="149"/>
        <v>8.5100284039712912E-2</v>
      </c>
      <c r="BP190" s="157">
        <f t="shared" si="149"/>
        <v>8.5100284039712912E-2</v>
      </c>
      <c r="BQ190" s="157">
        <f t="shared" si="149"/>
        <v>8.5100284039712912E-2</v>
      </c>
      <c r="BR190" s="157">
        <f t="shared" si="149"/>
        <v>8.5100284039712912E-2</v>
      </c>
      <c r="BS190" s="157">
        <f t="shared" si="149"/>
        <v>8.5100284039712912E-2</v>
      </c>
      <c r="BT190" s="157">
        <f t="shared" si="149"/>
        <v>8.5100284039712912E-2</v>
      </c>
      <c r="BU190" s="157">
        <f t="shared" si="149"/>
        <v>8.5100284039712912E-2</v>
      </c>
      <c r="BV190" s="157">
        <f t="shared" si="149"/>
        <v>8.5100284039712912E-2</v>
      </c>
    </row>
    <row r="191" spans="1:74" x14ac:dyDescent="0.25">
      <c r="A191" s="155" t="s">
        <v>230</v>
      </c>
      <c r="C191" s="150"/>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57">
        <f t="shared" ref="AS191:BV191" si="150">AR191</f>
        <v>0</v>
      </c>
      <c r="AT191" s="157">
        <f t="shared" si="150"/>
        <v>0</v>
      </c>
      <c r="AU191" s="157">
        <f t="shared" si="150"/>
        <v>0</v>
      </c>
      <c r="AV191" s="157">
        <f t="shared" si="150"/>
        <v>0</v>
      </c>
      <c r="AW191" s="157">
        <f t="shared" si="150"/>
        <v>0</v>
      </c>
      <c r="AX191" s="157">
        <f t="shared" si="150"/>
        <v>0</v>
      </c>
      <c r="AY191" s="157">
        <f t="shared" si="150"/>
        <v>0</v>
      </c>
      <c r="AZ191" s="157">
        <f t="shared" si="150"/>
        <v>0</v>
      </c>
      <c r="BA191" s="157">
        <f t="shared" si="150"/>
        <v>0</v>
      </c>
      <c r="BB191" s="157">
        <f t="shared" si="150"/>
        <v>0</v>
      </c>
      <c r="BC191" s="157">
        <f t="shared" si="150"/>
        <v>0</v>
      </c>
      <c r="BD191" s="157">
        <f t="shared" si="150"/>
        <v>0</v>
      </c>
      <c r="BE191" s="157">
        <f t="shared" si="150"/>
        <v>0</v>
      </c>
      <c r="BF191" s="157">
        <f t="shared" si="150"/>
        <v>0</v>
      </c>
      <c r="BG191" s="157">
        <f t="shared" si="150"/>
        <v>0</v>
      </c>
      <c r="BH191" s="157">
        <f t="shared" si="150"/>
        <v>0</v>
      </c>
      <c r="BI191" s="157">
        <f t="shared" si="150"/>
        <v>0</v>
      </c>
      <c r="BJ191" s="157">
        <f t="shared" si="150"/>
        <v>0</v>
      </c>
      <c r="BK191" s="157">
        <f t="shared" si="150"/>
        <v>0</v>
      </c>
      <c r="BL191" s="157">
        <f t="shared" si="150"/>
        <v>0</v>
      </c>
      <c r="BM191" s="157">
        <f t="shared" si="150"/>
        <v>0</v>
      </c>
      <c r="BN191" s="157">
        <f t="shared" si="150"/>
        <v>0</v>
      </c>
      <c r="BO191" s="157">
        <f t="shared" si="150"/>
        <v>0</v>
      </c>
      <c r="BP191" s="157">
        <f t="shared" si="150"/>
        <v>0</v>
      </c>
      <c r="BQ191" s="157">
        <f t="shared" si="150"/>
        <v>0</v>
      </c>
      <c r="BR191" s="157">
        <f t="shared" si="150"/>
        <v>0</v>
      </c>
      <c r="BS191" s="157">
        <f t="shared" si="150"/>
        <v>0</v>
      </c>
      <c r="BT191" s="157">
        <f t="shared" si="150"/>
        <v>0</v>
      </c>
      <c r="BU191" s="157">
        <f t="shared" si="150"/>
        <v>0</v>
      </c>
      <c r="BV191" s="157">
        <f t="shared" si="150"/>
        <v>0</v>
      </c>
    </row>
    <row r="192" spans="1:74" x14ac:dyDescent="0.25">
      <c r="A192" s="155" t="s">
        <v>232</v>
      </c>
      <c r="B192" s="156"/>
      <c r="C192" s="162" t="s">
        <v>222</v>
      </c>
      <c r="D192" s="164">
        <v>4.3360869813937844E-2</v>
      </c>
      <c r="E192" s="164">
        <v>4.3543378975413639E-2</v>
      </c>
      <c r="F192" s="164">
        <v>4.3725888137030815E-2</v>
      </c>
      <c r="G192" s="164">
        <v>4.3908397298789377E-2</v>
      </c>
      <c r="H192" s="164">
        <v>4.4090906460689319E-2</v>
      </c>
      <c r="I192" s="164">
        <v>4.4273415622730634E-2</v>
      </c>
      <c r="J192" s="164">
        <v>4.3277244399331963E-2</v>
      </c>
      <c r="K192" s="164">
        <v>4.2751401516451848E-2</v>
      </c>
      <c r="L192" s="164">
        <v>3.9563416715295181E-2</v>
      </c>
      <c r="M192" s="164">
        <v>4.25067004568506E-2</v>
      </c>
      <c r="N192" s="164">
        <v>3.9697676025390954E-2</v>
      </c>
      <c r="O192" s="164">
        <v>3.8798097813802689E-2</v>
      </c>
      <c r="P192" s="164">
        <v>3.9133481687923917E-2</v>
      </c>
      <c r="Q192" s="164">
        <v>3.9934990495230346E-2</v>
      </c>
      <c r="R192" s="164">
        <v>4.0117257866493505E-2</v>
      </c>
      <c r="S192" s="164">
        <v>4.0393527151583203E-2</v>
      </c>
      <c r="T192" s="164">
        <v>4.1233788317944289E-2</v>
      </c>
      <c r="U192" s="164">
        <v>4.1434438811343101E-2</v>
      </c>
      <c r="V192" s="164">
        <v>4.0070936599287725E-2</v>
      </c>
      <c r="W192" s="164">
        <v>4.053025284195956E-2</v>
      </c>
      <c r="X192" s="164">
        <v>4.3354845383235217E-2</v>
      </c>
      <c r="Y192" s="164">
        <v>4.3224970892610626E-2</v>
      </c>
      <c r="Z192" s="164">
        <v>4.8156725585780456E-2</v>
      </c>
      <c r="AA192" s="164">
        <v>4.8825271260910165E-2</v>
      </c>
      <c r="AB192" s="164">
        <v>4.8547965665922871E-2</v>
      </c>
      <c r="AC192" s="164">
        <v>4.9175051720593277E-2</v>
      </c>
      <c r="AD192" s="164">
        <v>4.9921693957213457E-2</v>
      </c>
      <c r="AE192" s="164">
        <v>5.0566331040311205E-2</v>
      </c>
      <c r="AF192" s="164">
        <v>5.0566331040311205E-2</v>
      </c>
      <c r="AG192" s="164">
        <v>5.0566331040311205E-2</v>
      </c>
      <c r="AH192" s="164">
        <v>5.0566331040311205E-2</v>
      </c>
      <c r="AI192" s="164">
        <v>5.0566331040311205E-2</v>
      </c>
      <c r="AJ192" s="164">
        <v>5.0566331040311205E-2</v>
      </c>
      <c r="AK192" s="164">
        <v>5.0566331040311205E-2</v>
      </c>
      <c r="AL192" s="164">
        <v>5.0566331040311205E-2</v>
      </c>
      <c r="AM192" s="164">
        <v>5.0566331040311205E-2</v>
      </c>
      <c r="AN192" s="164">
        <v>5.0566331040311205E-2</v>
      </c>
      <c r="AO192" s="164">
        <v>5.0566331040311205E-2</v>
      </c>
      <c r="AP192" s="164">
        <v>5.0566331040311205E-2</v>
      </c>
      <c r="AQ192" s="164">
        <v>5.0566331040311205E-2</v>
      </c>
      <c r="AR192" s="164">
        <v>5.0566331040311205E-2</v>
      </c>
      <c r="AS192" s="157">
        <f>AR192</f>
        <v>5.0566331040311205E-2</v>
      </c>
      <c r="AT192" s="157">
        <f t="shared" ref="AT192:BV192" si="151">AS192</f>
        <v>5.0566331040311205E-2</v>
      </c>
      <c r="AU192" s="157">
        <f t="shared" si="151"/>
        <v>5.0566331040311205E-2</v>
      </c>
      <c r="AV192" s="157">
        <f t="shared" si="151"/>
        <v>5.0566331040311205E-2</v>
      </c>
      <c r="AW192" s="157">
        <f t="shared" si="151"/>
        <v>5.0566331040311205E-2</v>
      </c>
      <c r="AX192" s="157">
        <f t="shared" si="151"/>
        <v>5.0566331040311205E-2</v>
      </c>
      <c r="AY192" s="157">
        <f t="shared" si="151"/>
        <v>5.0566331040311205E-2</v>
      </c>
      <c r="AZ192" s="157">
        <f t="shared" si="151"/>
        <v>5.0566331040311205E-2</v>
      </c>
      <c r="BA192" s="157">
        <f t="shared" si="151"/>
        <v>5.0566331040311205E-2</v>
      </c>
      <c r="BB192" s="157">
        <f t="shared" si="151"/>
        <v>5.0566331040311205E-2</v>
      </c>
      <c r="BC192" s="157">
        <f t="shared" si="151"/>
        <v>5.0566331040311205E-2</v>
      </c>
      <c r="BD192" s="157">
        <f t="shared" si="151"/>
        <v>5.0566331040311205E-2</v>
      </c>
      <c r="BE192" s="157">
        <f t="shared" si="151"/>
        <v>5.0566331040311205E-2</v>
      </c>
      <c r="BF192" s="157">
        <f t="shared" si="151"/>
        <v>5.0566331040311205E-2</v>
      </c>
      <c r="BG192" s="157">
        <f t="shared" si="151"/>
        <v>5.0566331040311205E-2</v>
      </c>
      <c r="BH192" s="157">
        <f t="shared" si="151"/>
        <v>5.0566331040311205E-2</v>
      </c>
      <c r="BI192" s="157">
        <f t="shared" si="151"/>
        <v>5.0566331040311205E-2</v>
      </c>
      <c r="BJ192" s="157">
        <f t="shared" si="151"/>
        <v>5.0566331040311205E-2</v>
      </c>
      <c r="BK192" s="157">
        <f t="shared" si="151"/>
        <v>5.0566331040311205E-2</v>
      </c>
      <c r="BL192" s="157">
        <f t="shared" si="151"/>
        <v>5.0566331040311205E-2</v>
      </c>
      <c r="BM192" s="157">
        <f t="shared" si="151"/>
        <v>5.0566331040311205E-2</v>
      </c>
      <c r="BN192" s="157">
        <f t="shared" si="151"/>
        <v>5.0566331040311205E-2</v>
      </c>
      <c r="BO192" s="157">
        <f t="shared" si="151"/>
        <v>5.0566331040311205E-2</v>
      </c>
      <c r="BP192" s="157">
        <f t="shared" si="151"/>
        <v>5.0566331040311205E-2</v>
      </c>
      <c r="BQ192" s="157">
        <f t="shared" si="151"/>
        <v>5.0566331040311205E-2</v>
      </c>
      <c r="BR192" s="157">
        <f t="shared" si="151"/>
        <v>5.0566331040311205E-2</v>
      </c>
      <c r="BS192" s="157">
        <f t="shared" si="151"/>
        <v>5.0566331040311205E-2</v>
      </c>
      <c r="BT192" s="157">
        <f t="shared" si="151"/>
        <v>5.0566331040311205E-2</v>
      </c>
      <c r="BU192" s="157">
        <f t="shared" si="151"/>
        <v>5.0566331040311205E-2</v>
      </c>
      <c r="BV192" s="157">
        <f t="shared" si="151"/>
        <v>5.0566331040311205E-2</v>
      </c>
    </row>
    <row r="193" spans="1:74" x14ac:dyDescent="0.25">
      <c r="A193" s="155" t="s">
        <v>233</v>
      </c>
      <c r="B193" s="156"/>
      <c r="C193" s="162"/>
      <c r="D193" s="164"/>
      <c r="E193" s="164"/>
      <c r="F193" s="164"/>
      <c r="G193" s="164"/>
      <c r="H193" s="164"/>
      <c r="I193" s="164"/>
      <c r="J193" s="164"/>
      <c r="K193" s="164"/>
      <c r="L193" s="164"/>
      <c r="M193" s="164"/>
      <c r="N193" s="164"/>
      <c r="O193" s="164"/>
      <c r="P193" s="164"/>
      <c r="Q193" s="164"/>
      <c r="R193" s="164"/>
      <c r="S193" s="164"/>
      <c r="T193" s="164"/>
      <c r="U193" s="164"/>
      <c r="V193" s="164"/>
      <c r="W193" s="164"/>
      <c r="X193" s="164"/>
      <c r="Y193" s="164"/>
      <c r="Z193" s="164"/>
      <c r="AA193" s="164"/>
      <c r="AB193" s="164"/>
      <c r="AC193" s="164"/>
      <c r="AD193" s="164"/>
      <c r="AE193" s="164"/>
      <c r="AF193" s="164"/>
      <c r="AG193" s="164"/>
      <c r="AH193" s="164"/>
      <c r="AI193" s="164"/>
      <c r="AJ193" s="164"/>
      <c r="AK193" s="164"/>
      <c r="AL193" s="164"/>
      <c r="AM193" s="164"/>
      <c r="AN193" s="164"/>
      <c r="AO193" s="164"/>
      <c r="AP193" s="164"/>
      <c r="AQ193" s="164"/>
      <c r="AR193" s="164"/>
      <c r="AS193" s="157">
        <f t="shared" ref="AS193:BV193" si="152">AR193</f>
        <v>0</v>
      </c>
      <c r="AT193" s="157">
        <f t="shared" si="152"/>
        <v>0</v>
      </c>
      <c r="AU193" s="157">
        <f t="shared" si="152"/>
        <v>0</v>
      </c>
      <c r="AV193" s="157">
        <f t="shared" si="152"/>
        <v>0</v>
      </c>
      <c r="AW193" s="157">
        <f t="shared" si="152"/>
        <v>0</v>
      </c>
      <c r="AX193" s="157">
        <f t="shared" si="152"/>
        <v>0</v>
      </c>
      <c r="AY193" s="157">
        <f t="shared" si="152"/>
        <v>0</v>
      </c>
      <c r="AZ193" s="157">
        <f t="shared" si="152"/>
        <v>0</v>
      </c>
      <c r="BA193" s="157">
        <f t="shared" si="152"/>
        <v>0</v>
      </c>
      <c r="BB193" s="157">
        <f t="shared" si="152"/>
        <v>0</v>
      </c>
      <c r="BC193" s="157">
        <f t="shared" si="152"/>
        <v>0</v>
      </c>
      <c r="BD193" s="157">
        <f t="shared" si="152"/>
        <v>0</v>
      </c>
      <c r="BE193" s="157">
        <f t="shared" si="152"/>
        <v>0</v>
      </c>
      <c r="BF193" s="157">
        <f t="shared" si="152"/>
        <v>0</v>
      </c>
      <c r="BG193" s="157">
        <f t="shared" si="152"/>
        <v>0</v>
      </c>
      <c r="BH193" s="157">
        <f t="shared" si="152"/>
        <v>0</v>
      </c>
      <c r="BI193" s="157">
        <f t="shared" si="152"/>
        <v>0</v>
      </c>
      <c r="BJ193" s="157">
        <f t="shared" si="152"/>
        <v>0</v>
      </c>
      <c r="BK193" s="157">
        <f t="shared" si="152"/>
        <v>0</v>
      </c>
      <c r="BL193" s="157">
        <f t="shared" si="152"/>
        <v>0</v>
      </c>
      <c r="BM193" s="157">
        <f t="shared" si="152"/>
        <v>0</v>
      </c>
      <c r="BN193" s="157">
        <f t="shared" si="152"/>
        <v>0</v>
      </c>
      <c r="BO193" s="157">
        <f t="shared" si="152"/>
        <v>0</v>
      </c>
      <c r="BP193" s="157">
        <f t="shared" si="152"/>
        <v>0</v>
      </c>
      <c r="BQ193" s="157">
        <f t="shared" si="152"/>
        <v>0</v>
      </c>
      <c r="BR193" s="157">
        <f t="shared" si="152"/>
        <v>0</v>
      </c>
      <c r="BS193" s="157">
        <f t="shared" si="152"/>
        <v>0</v>
      </c>
      <c r="BT193" s="157">
        <f t="shared" si="152"/>
        <v>0</v>
      </c>
      <c r="BU193" s="157">
        <f t="shared" si="152"/>
        <v>0</v>
      </c>
      <c r="BV193" s="157">
        <f t="shared" si="152"/>
        <v>0</v>
      </c>
    </row>
    <row r="194" spans="1:74" x14ac:dyDescent="0.25">
      <c r="A194" s="155" t="s">
        <v>235</v>
      </c>
      <c r="B194" s="156"/>
      <c r="C194" s="150"/>
      <c r="D194" s="165">
        <v>7.8799999999999995E-2</v>
      </c>
      <c r="E194" s="165">
        <v>7.8799999999999995E-2</v>
      </c>
      <c r="F194" s="165">
        <v>7.8799999999999995E-2</v>
      </c>
      <c r="G194" s="165">
        <v>7.8799999999999995E-2</v>
      </c>
      <c r="H194" s="165">
        <v>7.8799999999999995E-2</v>
      </c>
      <c r="I194" s="165">
        <v>7.7600000000000002E-2</v>
      </c>
      <c r="J194" s="165">
        <v>7.7600000000000002E-2</v>
      </c>
      <c r="K194" s="165">
        <v>7.7600000000000002E-2</v>
      </c>
      <c r="L194" s="165">
        <v>7.7600000000000002E-2</v>
      </c>
      <c r="M194" s="165">
        <v>7.7600000000000002E-2</v>
      </c>
      <c r="N194" s="165">
        <v>7.7600000000000002E-2</v>
      </c>
      <c r="O194" s="165">
        <v>7.8600000000000003E-2</v>
      </c>
      <c r="P194" s="165">
        <v>8.0600000000000005E-2</v>
      </c>
      <c r="Q194" s="165">
        <v>8.2600000000000007E-2</v>
      </c>
      <c r="R194" s="165">
        <v>8.1500000000000003E-2</v>
      </c>
      <c r="S194" s="165">
        <v>8.1199999999999994E-2</v>
      </c>
      <c r="T194" s="165">
        <v>8.3799999999999999E-2</v>
      </c>
      <c r="U194" s="165">
        <v>8.77E-2</v>
      </c>
      <c r="V194" s="165">
        <v>8.6300000000000002E-2</v>
      </c>
      <c r="W194" s="165">
        <v>7.9200000000000007E-2</v>
      </c>
      <c r="X194" s="165">
        <v>8.0100000000000005E-2</v>
      </c>
      <c r="Y194" s="165">
        <v>8.0100000000000005E-2</v>
      </c>
      <c r="Z194" s="165">
        <v>8.0100000000000005E-2</v>
      </c>
      <c r="AA194" s="165">
        <v>8.0100000000000005E-2</v>
      </c>
      <c r="AB194" s="165">
        <v>8.0100000000000005E-2</v>
      </c>
      <c r="AC194" s="165">
        <v>8.0100000000000005E-2</v>
      </c>
      <c r="AD194" s="165">
        <v>8.0100000000000005E-2</v>
      </c>
      <c r="AE194" s="165">
        <v>8.0100000000000005E-2</v>
      </c>
      <c r="AF194" s="165">
        <v>8.0100000000000005E-2</v>
      </c>
      <c r="AG194" s="165">
        <v>8.0100000000000005E-2</v>
      </c>
      <c r="AH194" s="165">
        <v>8.0100000000000005E-2</v>
      </c>
      <c r="AI194" s="165">
        <v>8.0100000000000005E-2</v>
      </c>
      <c r="AJ194" s="165">
        <v>8.0100000000000005E-2</v>
      </c>
      <c r="AK194" s="165">
        <v>8.0100000000000005E-2</v>
      </c>
      <c r="AL194" s="165">
        <v>8.0100000000000005E-2</v>
      </c>
      <c r="AM194" s="165">
        <v>8.0100000000000005E-2</v>
      </c>
      <c r="AN194" s="165">
        <v>8.0100000000000005E-2</v>
      </c>
      <c r="AO194" s="165">
        <v>8.0100000000000005E-2</v>
      </c>
      <c r="AP194" s="165">
        <v>8.0100000000000005E-2</v>
      </c>
      <c r="AQ194" s="165">
        <v>8.0100000000000005E-2</v>
      </c>
      <c r="AR194" s="165">
        <v>8.0100000000000005E-2</v>
      </c>
      <c r="AS194" s="157">
        <f>AR194</f>
        <v>8.0100000000000005E-2</v>
      </c>
      <c r="AT194" s="157">
        <f t="shared" ref="AT194:BV194" si="153">AS194</f>
        <v>8.0100000000000005E-2</v>
      </c>
      <c r="AU194" s="157">
        <f t="shared" si="153"/>
        <v>8.0100000000000005E-2</v>
      </c>
      <c r="AV194" s="157">
        <f t="shared" si="153"/>
        <v>8.0100000000000005E-2</v>
      </c>
      <c r="AW194" s="157">
        <f t="shared" si="153"/>
        <v>8.0100000000000005E-2</v>
      </c>
      <c r="AX194" s="157">
        <f t="shared" si="153"/>
        <v>8.0100000000000005E-2</v>
      </c>
      <c r="AY194" s="157">
        <f t="shared" si="153"/>
        <v>8.0100000000000005E-2</v>
      </c>
      <c r="AZ194" s="157">
        <f t="shared" si="153"/>
        <v>8.0100000000000005E-2</v>
      </c>
      <c r="BA194" s="157">
        <f t="shared" si="153"/>
        <v>8.0100000000000005E-2</v>
      </c>
      <c r="BB194" s="157">
        <f t="shared" si="153"/>
        <v>8.0100000000000005E-2</v>
      </c>
      <c r="BC194" s="157">
        <f t="shared" si="153"/>
        <v>8.0100000000000005E-2</v>
      </c>
      <c r="BD194" s="157">
        <f t="shared" si="153"/>
        <v>8.0100000000000005E-2</v>
      </c>
      <c r="BE194" s="157">
        <f t="shared" si="153"/>
        <v>8.0100000000000005E-2</v>
      </c>
      <c r="BF194" s="157">
        <f t="shared" si="153"/>
        <v>8.0100000000000005E-2</v>
      </c>
      <c r="BG194" s="157">
        <f t="shared" si="153"/>
        <v>8.0100000000000005E-2</v>
      </c>
      <c r="BH194" s="157">
        <f t="shared" si="153"/>
        <v>8.0100000000000005E-2</v>
      </c>
      <c r="BI194" s="157">
        <f t="shared" si="153"/>
        <v>8.0100000000000005E-2</v>
      </c>
      <c r="BJ194" s="157">
        <f t="shared" si="153"/>
        <v>8.0100000000000005E-2</v>
      </c>
      <c r="BK194" s="157">
        <f t="shared" si="153"/>
        <v>8.0100000000000005E-2</v>
      </c>
      <c r="BL194" s="157">
        <f t="shared" si="153"/>
        <v>8.0100000000000005E-2</v>
      </c>
      <c r="BM194" s="157">
        <f t="shared" si="153"/>
        <v>8.0100000000000005E-2</v>
      </c>
      <c r="BN194" s="157">
        <f t="shared" si="153"/>
        <v>8.0100000000000005E-2</v>
      </c>
      <c r="BO194" s="157">
        <f t="shared" si="153"/>
        <v>8.0100000000000005E-2</v>
      </c>
      <c r="BP194" s="157">
        <f t="shared" si="153"/>
        <v>8.0100000000000005E-2</v>
      </c>
      <c r="BQ194" s="157">
        <f t="shared" si="153"/>
        <v>8.0100000000000005E-2</v>
      </c>
      <c r="BR194" s="157">
        <f t="shared" si="153"/>
        <v>8.0100000000000005E-2</v>
      </c>
      <c r="BS194" s="157">
        <f t="shared" si="153"/>
        <v>8.0100000000000005E-2</v>
      </c>
      <c r="BT194" s="157">
        <f t="shared" si="153"/>
        <v>8.0100000000000005E-2</v>
      </c>
      <c r="BU194" s="157">
        <f t="shared" si="153"/>
        <v>8.0100000000000005E-2</v>
      </c>
      <c r="BV194" s="157">
        <f t="shared" si="153"/>
        <v>8.0100000000000005E-2</v>
      </c>
    </row>
    <row r="195" spans="1:74" x14ac:dyDescent="0.25">
      <c r="A195" s="155" t="s">
        <v>15</v>
      </c>
      <c r="C195" s="150"/>
      <c r="D195" s="165">
        <v>8.0229226361031511E-2</v>
      </c>
      <c r="E195" s="165">
        <v>8.0229226361031511E-2</v>
      </c>
      <c r="F195" s="165">
        <v>8.0229226361031511E-2</v>
      </c>
      <c r="G195" s="165">
        <v>8.0229226361031511E-2</v>
      </c>
      <c r="H195" s="165">
        <v>8.0229226361031511E-2</v>
      </c>
      <c r="I195" s="165">
        <v>8.0229226361031511E-2</v>
      </c>
      <c r="J195" s="165">
        <v>8.0229226361031511E-2</v>
      </c>
      <c r="K195" s="165">
        <v>8.0229226361031511E-2</v>
      </c>
      <c r="L195" s="165">
        <v>8.0229226361031511E-2</v>
      </c>
      <c r="M195" s="165">
        <v>8.0229226361031511E-2</v>
      </c>
      <c r="N195" s="165">
        <v>8.0229226361031511E-2</v>
      </c>
      <c r="O195" s="165">
        <v>8.0229226361031511E-2</v>
      </c>
      <c r="P195" s="165">
        <v>8.0229226361031511E-2</v>
      </c>
      <c r="Q195" s="165">
        <v>8.0229226361031511E-2</v>
      </c>
      <c r="R195" s="165">
        <v>8.0229226361031511E-2</v>
      </c>
      <c r="S195" s="165">
        <v>8.0229225599945359E-2</v>
      </c>
      <c r="T195" s="165">
        <v>8.0229224830047449E-2</v>
      </c>
      <c r="U195" s="165">
        <v>8.0229227628241279E-2</v>
      </c>
      <c r="V195" s="165">
        <v>8.0229228484891113E-2</v>
      </c>
      <c r="W195" s="165">
        <v>8.0229228242383363E-2</v>
      </c>
      <c r="X195" s="165">
        <v>8.0229227693076638E-2</v>
      </c>
      <c r="Y195" s="165">
        <v>8.0229226807342083E-2</v>
      </c>
      <c r="Z195" s="165">
        <v>8.0229223597351337E-2</v>
      </c>
      <c r="AA195" s="165">
        <v>8.0229224530824844E-2</v>
      </c>
      <c r="AB195" s="165">
        <v>8.022922770971995E-2</v>
      </c>
      <c r="AC195" s="165">
        <v>8.0229226791940181E-2</v>
      </c>
      <c r="AD195" s="165">
        <v>8.0229228731096294E-2</v>
      </c>
      <c r="AE195" s="165">
        <v>8.0229226361031511E-2</v>
      </c>
      <c r="AF195" s="165">
        <v>8.0229226361031511E-2</v>
      </c>
      <c r="AG195" s="165">
        <v>8.0229226361031511E-2</v>
      </c>
      <c r="AH195" s="165">
        <v>8.0229226361031511E-2</v>
      </c>
      <c r="AI195" s="165">
        <v>8.0229226361031511E-2</v>
      </c>
      <c r="AJ195" s="165">
        <v>8.0229226361031511E-2</v>
      </c>
      <c r="AK195" s="165">
        <v>8.0229226361031511E-2</v>
      </c>
      <c r="AL195" s="165">
        <v>8.0229226361031511E-2</v>
      </c>
      <c r="AM195" s="165">
        <v>8.0229226361031511E-2</v>
      </c>
      <c r="AN195" s="165">
        <v>8.0229226361031511E-2</v>
      </c>
      <c r="AO195" s="165">
        <v>8.0229226361031511E-2</v>
      </c>
      <c r="AP195" s="165">
        <v>8.0229226361031511E-2</v>
      </c>
      <c r="AQ195" s="165">
        <v>8.0229226361031511E-2</v>
      </c>
      <c r="AR195" s="165">
        <v>8.0229226361031511E-2</v>
      </c>
      <c r="AS195" s="157">
        <f>AR195</f>
        <v>8.0229226361031511E-2</v>
      </c>
      <c r="AT195" s="157">
        <f t="shared" ref="AT195:BV197" si="154">AS195</f>
        <v>8.0229226361031511E-2</v>
      </c>
      <c r="AU195" s="157">
        <f t="shared" si="154"/>
        <v>8.0229226361031511E-2</v>
      </c>
      <c r="AV195" s="157">
        <f t="shared" si="154"/>
        <v>8.0229226361031511E-2</v>
      </c>
      <c r="AW195" s="157">
        <f t="shared" si="154"/>
        <v>8.0229226361031511E-2</v>
      </c>
      <c r="AX195" s="157">
        <f t="shared" si="154"/>
        <v>8.0229226361031511E-2</v>
      </c>
      <c r="AY195" s="157">
        <f t="shared" si="154"/>
        <v>8.0229226361031511E-2</v>
      </c>
      <c r="AZ195" s="157">
        <f t="shared" si="154"/>
        <v>8.0229226361031511E-2</v>
      </c>
      <c r="BA195" s="157">
        <f t="shared" si="154"/>
        <v>8.0229226361031511E-2</v>
      </c>
      <c r="BB195" s="157">
        <f t="shared" si="154"/>
        <v>8.0229226361031511E-2</v>
      </c>
      <c r="BC195" s="157">
        <f t="shared" si="154"/>
        <v>8.0229226361031511E-2</v>
      </c>
      <c r="BD195" s="157">
        <f t="shared" si="154"/>
        <v>8.0229226361031511E-2</v>
      </c>
      <c r="BE195" s="157">
        <f t="shared" si="154"/>
        <v>8.0229226361031511E-2</v>
      </c>
      <c r="BF195" s="157">
        <f t="shared" si="154"/>
        <v>8.0229226361031511E-2</v>
      </c>
      <c r="BG195" s="157">
        <f t="shared" si="154"/>
        <v>8.0229226361031511E-2</v>
      </c>
      <c r="BH195" s="157">
        <f t="shared" si="154"/>
        <v>8.0229226361031511E-2</v>
      </c>
      <c r="BI195" s="157">
        <f t="shared" si="154"/>
        <v>8.0229226361031511E-2</v>
      </c>
      <c r="BJ195" s="157">
        <f t="shared" si="154"/>
        <v>8.0229226361031511E-2</v>
      </c>
      <c r="BK195" s="157">
        <f t="shared" si="154"/>
        <v>8.0229226361031511E-2</v>
      </c>
      <c r="BL195" s="157">
        <f t="shared" si="154"/>
        <v>8.0229226361031511E-2</v>
      </c>
      <c r="BM195" s="157">
        <f t="shared" si="154"/>
        <v>8.0229226361031511E-2</v>
      </c>
      <c r="BN195" s="157">
        <f t="shared" si="154"/>
        <v>8.0229226361031511E-2</v>
      </c>
      <c r="BO195" s="157">
        <f t="shared" si="154"/>
        <v>8.0229226361031511E-2</v>
      </c>
      <c r="BP195" s="157">
        <f t="shared" si="154"/>
        <v>8.0229226361031511E-2</v>
      </c>
      <c r="BQ195" s="157">
        <f t="shared" si="154"/>
        <v>8.0229226361031511E-2</v>
      </c>
      <c r="BR195" s="157">
        <f t="shared" si="154"/>
        <v>8.0229226361031511E-2</v>
      </c>
      <c r="BS195" s="157">
        <f t="shared" si="154"/>
        <v>8.0229226361031511E-2</v>
      </c>
      <c r="BT195" s="157">
        <f t="shared" si="154"/>
        <v>8.0229226361031511E-2</v>
      </c>
      <c r="BU195" s="157">
        <f t="shared" si="154"/>
        <v>8.0229226361031511E-2</v>
      </c>
      <c r="BV195" s="157">
        <f t="shared" si="154"/>
        <v>8.0229226361031511E-2</v>
      </c>
    </row>
    <row r="196" spans="1:74" x14ac:dyDescent="0.25">
      <c r="A196" s="155"/>
      <c r="C196" s="150"/>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row>
    <row r="197" spans="1:74" x14ac:dyDescent="0.25">
      <c r="A197" s="155" t="s">
        <v>252</v>
      </c>
      <c r="C197" s="150" t="s">
        <v>330</v>
      </c>
      <c r="D197" s="165">
        <v>0.11897860881224318</v>
      </c>
      <c r="E197" s="165"/>
      <c r="F197" s="165"/>
      <c r="G197" s="165"/>
      <c r="H197" s="165"/>
      <c r="I197" s="165">
        <v>0.11713527935574124</v>
      </c>
      <c r="J197" s="165">
        <v>0.11734056309775029</v>
      </c>
      <c r="K197" s="165">
        <v>0.11801864460249979</v>
      </c>
      <c r="L197" s="165">
        <v>0.11762878603437499</v>
      </c>
      <c r="M197" s="165">
        <v>0.11768615341125506</v>
      </c>
      <c r="N197" s="165">
        <v>0.11925321112316893</v>
      </c>
      <c r="O197" s="165">
        <v>0.11755536554938165</v>
      </c>
      <c r="P197" s="165">
        <v>0.11670009364618829</v>
      </c>
      <c r="Q197" s="165">
        <v>0.11698142530726552</v>
      </c>
      <c r="R197" s="165">
        <v>0.11670529930410405</v>
      </c>
      <c r="S197" s="165">
        <v>0.1158625079448274</v>
      </c>
      <c r="T197" s="165">
        <v>0.11477044271336097</v>
      </c>
      <c r="U197" s="165">
        <v>0.11096354233789828</v>
      </c>
      <c r="V197" s="165">
        <v>0.11166903544038929</v>
      </c>
      <c r="W197" s="165">
        <v>0.11134848360202593</v>
      </c>
      <c r="X197" s="165">
        <v>0.1135500119869484</v>
      </c>
      <c r="Y197" s="165">
        <v>0.11509781501214085</v>
      </c>
      <c r="Z197" s="165">
        <v>0.1163601979365093</v>
      </c>
      <c r="AA197" s="165">
        <v>0.11433577979265507</v>
      </c>
      <c r="AB197" s="165">
        <v>0.11646130626178476</v>
      </c>
      <c r="AC197" s="165">
        <v>0.11908795324650769</v>
      </c>
      <c r="AD197" s="165">
        <v>0.11760527715486406</v>
      </c>
      <c r="AE197" s="165">
        <v>0.11762761817978779</v>
      </c>
      <c r="AF197" s="165">
        <v>0.11762761817978779</v>
      </c>
      <c r="AG197" s="165">
        <v>0.11762761817978779</v>
      </c>
      <c r="AH197" s="165">
        <v>0.11762761817978779</v>
      </c>
      <c r="AI197" s="165">
        <v>0.11762761817978779</v>
      </c>
      <c r="AJ197" s="165">
        <v>0.11762761817978779</v>
      </c>
      <c r="AK197" s="165">
        <v>0.11762761817978779</v>
      </c>
      <c r="AL197" s="165">
        <v>0.11762761817978779</v>
      </c>
      <c r="AM197" s="165">
        <v>0.11762761817978779</v>
      </c>
      <c r="AN197" s="165">
        <v>0.11762761817978779</v>
      </c>
      <c r="AO197" s="165">
        <v>0.11762761817978779</v>
      </c>
      <c r="AP197" s="165">
        <v>0.11762761817978779</v>
      </c>
      <c r="AQ197" s="165">
        <v>0.11762761817978779</v>
      </c>
      <c r="AR197" s="165">
        <v>0.11762761817978779</v>
      </c>
      <c r="AS197" s="157">
        <f>AR197</f>
        <v>0.11762761817978779</v>
      </c>
      <c r="AT197" s="157">
        <f t="shared" si="154"/>
        <v>0.11762761817978779</v>
      </c>
      <c r="AU197" s="157">
        <f t="shared" si="154"/>
        <v>0.11762761817978779</v>
      </c>
      <c r="AV197" s="157">
        <f t="shared" si="154"/>
        <v>0.11762761817978779</v>
      </c>
      <c r="AW197" s="157">
        <f t="shared" si="154"/>
        <v>0.11762761817978779</v>
      </c>
      <c r="AX197" s="157">
        <f t="shared" si="154"/>
        <v>0.11762761817978779</v>
      </c>
      <c r="AY197" s="157">
        <f t="shared" si="154"/>
        <v>0.11762761817978779</v>
      </c>
      <c r="AZ197" s="157">
        <f t="shared" si="154"/>
        <v>0.11762761817978779</v>
      </c>
      <c r="BA197" s="157">
        <f t="shared" si="154"/>
        <v>0.11762761817978779</v>
      </c>
      <c r="BB197" s="157">
        <f t="shared" si="154"/>
        <v>0.11762761817978779</v>
      </c>
      <c r="BC197" s="157">
        <f t="shared" si="154"/>
        <v>0.11762761817978779</v>
      </c>
      <c r="BD197" s="157">
        <f t="shared" si="154"/>
        <v>0.11762761817978779</v>
      </c>
      <c r="BE197" s="157">
        <f t="shared" si="154"/>
        <v>0.11762761817978779</v>
      </c>
      <c r="BF197" s="157">
        <f t="shared" si="154"/>
        <v>0.11762761817978779</v>
      </c>
      <c r="BG197" s="157">
        <f t="shared" si="154"/>
        <v>0.11762761817978779</v>
      </c>
      <c r="BH197" s="157">
        <f t="shared" si="154"/>
        <v>0.11762761817978779</v>
      </c>
      <c r="BI197" s="157">
        <f t="shared" si="154"/>
        <v>0.11762761817978779</v>
      </c>
      <c r="BJ197" s="157">
        <f t="shared" si="154"/>
        <v>0.11762761817978779</v>
      </c>
      <c r="BK197" s="157">
        <f t="shared" si="154"/>
        <v>0.11762761817978779</v>
      </c>
      <c r="BL197" s="157">
        <f t="shared" si="154"/>
        <v>0.11762761817978779</v>
      </c>
      <c r="BM197" s="157">
        <f t="shared" si="154"/>
        <v>0.11762761817978779</v>
      </c>
      <c r="BN197" s="157">
        <f t="shared" si="154"/>
        <v>0.11762761817978779</v>
      </c>
      <c r="BO197" s="157">
        <f t="shared" si="154"/>
        <v>0.11762761817978779</v>
      </c>
      <c r="BP197" s="157">
        <f t="shared" si="154"/>
        <v>0.11762761817978779</v>
      </c>
      <c r="BQ197" s="157">
        <f t="shared" si="154"/>
        <v>0.11762761817978779</v>
      </c>
      <c r="BR197" s="157">
        <f t="shared" si="154"/>
        <v>0.11762761817978779</v>
      </c>
      <c r="BS197" s="157">
        <f t="shared" si="154"/>
        <v>0.11762761817978779</v>
      </c>
      <c r="BT197" s="157">
        <f t="shared" si="154"/>
        <v>0.11762761817978779</v>
      </c>
      <c r="BU197" s="157">
        <f t="shared" si="154"/>
        <v>0.11762761817978779</v>
      </c>
      <c r="BV197" s="157">
        <f t="shared" si="154"/>
        <v>0.11762761817978779</v>
      </c>
    </row>
    <row r="198" spans="1:74" x14ac:dyDescent="0.25">
      <c r="A198" s="155"/>
      <c r="C198" s="150"/>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row>
    <row r="199" spans="1:74" x14ac:dyDescent="0.25">
      <c r="A199" s="155"/>
      <c r="C199" s="150"/>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row>
    <row r="200" spans="1:74" s="190" customFormat="1" x14ac:dyDescent="0.25">
      <c r="A200" s="188" t="s">
        <v>272</v>
      </c>
      <c r="B200" s="189"/>
      <c r="I200" s="189"/>
      <c r="J200" s="189"/>
      <c r="K200" s="189"/>
      <c r="L200" s="189"/>
      <c r="M200" s="189"/>
      <c r="N200" s="189"/>
      <c r="O200" s="189"/>
      <c r="P200" s="189"/>
      <c r="Q200" s="189"/>
      <c r="R200" s="189"/>
      <c r="S200" s="189"/>
      <c r="T200" s="189"/>
      <c r="U200" s="189"/>
      <c r="V200" s="189"/>
      <c r="W200" s="189"/>
      <c r="X200" s="189"/>
      <c r="Y200" s="189"/>
      <c r="Z200" s="189"/>
      <c r="AA200" s="189"/>
      <c r="AB200" s="189"/>
      <c r="AC200" s="189"/>
      <c r="AD200" s="189"/>
      <c r="AE200" s="189"/>
      <c r="AF200" s="189"/>
      <c r="AG200" s="189"/>
      <c r="AH200" s="189"/>
      <c r="AI200" s="189"/>
      <c r="AJ200" s="189"/>
      <c r="AK200" s="189"/>
      <c r="AL200" s="189"/>
      <c r="AM200" s="189"/>
      <c r="AN200" s="189"/>
      <c r="AO200" s="189"/>
      <c r="AP200" s="189"/>
      <c r="AQ200" s="189"/>
      <c r="AR200" s="189"/>
      <c r="AS200" s="189"/>
    </row>
    <row r="201" spans="1:74" s="190" customFormat="1" x14ac:dyDescent="0.25">
      <c r="A201" s="188"/>
      <c r="B201" s="188" t="s">
        <v>202</v>
      </c>
      <c r="I201" s="189"/>
      <c r="J201" s="189"/>
      <c r="K201" s="189"/>
      <c r="L201" s="189"/>
      <c r="M201" s="189"/>
      <c r="N201" s="189"/>
      <c r="O201" s="189"/>
      <c r="P201" s="189"/>
      <c r="Q201" s="189"/>
      <c r="R201" s="189"/>
      <c r="S201" s="189"/>
      <c r="T201" s="189"/>
      <c r="U201" s="189"/>
      <c r="V201" s="189"/>
      <c r="W201" s="189"/>
      <c r="X201" s="189"/>
      <c r="Y201" s="189"/>
      <c r="Z201" s="189"/>
      <c r="AA201" s="189"/>
      <c r="AB201" s="189"/>
      <c r="AC201" s="189"/>
      <c r="AD201" s="189"/>
      <c r="AE201" s="189"/>
      <c r="AF201" s="189"/>
      <c r="AG201" s="189"/>
      <c r="AH201" s="189"/>
      <c r="AI201" s="189"/>
      <c r="AJ201" s="189"/>
      <c r="AK201" s="189"/>
      <c r="AL201" s="189"/>
      <c r="AM201" s="189"/>
      <c r="AN201" s="189"/>
      <c r="AO201" s="189"/>
      <c r="AP201" s="189"/>
      <c r="AQ201" s="189"/>
      <c r="AR201" s="189"/>
      <c r="AS201" s="189"/>
    </row>
    <row r="202" spans="1:74" s="150" customFormat="1" x14ac:dyDescent="0.25">
      <c r="A202" s="149" t="s">
        <v>215</v>
      </c>
      <c r="B202" s="159"/>
      <c r="D202" s="165">
        <v>8.3632018372545816E-2</v>
      </c>
      <c r="E202" s="165">
        <v>8.2384716489436294E-2</v>
      </c>
      <c r="F202" s="165">
        <v>8.1176714815077392E-2</v>
      </c>
      <c r="G202" s="165">
        <v>8.0006184740623099E-2</v>
      </c>
      <c r="H202" s="165">
        <v>7.8871409369636158E-2</v>
      </c>
      <c r="I202" s="165">
        <v>7.7770775115573898E-2</v>
      </c>
      <c r="J202" s="165">
        <v>8.4267114033029153E-2</v>
      </c>
      <c r="K202" s="165">
        <v>8.3774010581871033E-2</v>
      </c>
      <c r="L202" s="165">
        <v>8.3877989423793042E-2</v>
      </c>
      <c r="M202" s="165">
        <v>8.4074887154213712E-2</v>
      </c>
      <c r="N202" s="165">
        <v>8.2463674785295996E-2</v>
      </c>
      <c r="O202" s="165">
        <v>8.444613141164016E-2</v>
      </c>
      <c r="P202" s="165">
        <v>8.2803367040753195E-2</v>
      </c>
      <c r="Q202" s="165">
        <v>8.2059191878182711E-2</v>
      </c>
      <c r="R202" s="165">
        <v>8.6179407422692256E-2</v>
      </c>
      <c r="S202" s="165">
        <v>8.652239170600233E-2</v>
      </c>
      <c r="T202" s="165">
        <v>8.6484490303817677E-2</v>
      </c>
      <c r="U202" s="165">
        <v>8.6410078347192609E-2</v>
      </c>
      <c r="V202" s="165">
        <v>8.622415942042215E-2</v>
      </c>
      <c r="W202" s="165">
        <v>8.6621820685283651E-2</v>
      </c>
      <c r="X202" s="165">
        <v>8.6433668339346681E-2</v>
      </c>
      <c r="Y202" s="165">
        <v>8.626328048500595E-2</v>
      </c>
      <c r="Z202" s="165">
        <v>8.6018543022166577E-2</v>
      </c>
      <c r="AA202" s="165">
        <v>8.7046642771508004E-2</v>
      </c>
      <c r="AB202" s="165">
        <v>8.3050728644982891E-2</v>
      </c>
      <c r="AC202" s="165">
        <v>8.4960199713814813E-2</v>
      </c>
      <c r="AD202" s="165">
        <v>8.4506850003477366E-2</v>
      </c>
      <c r="AE202" s="165">
        <v>8.5115909578859963E-2</v>
      </c>
      <c r="AF202" s="165">
        <v>8.5115909578859963E-2</v>
      </c>
      <c r="AG202" s="165">
        <v>8.5115909578859963E-2</v>
      </c>
      <c r="AH202" s="165">
        <v>8.5115909578859963E-2</v>
      </c>
      <c r="AI202" s="165">
        <v>8.5115909578859963E-2</v>
      </c>
      <c r="AJ202" s="165">
        <v>8.5115909578859963E-2</v>
      </c>
      <c r="AK202" s="165">
        <v>8.5115909578859963E-2</v>
      </c>
      <c r="AL202" s="165">
        <v>8.5115909578859963E-2</v>
      </c>
      <c r="AM202" s="165">
        <v>8.5115909578859963E-2</v>
      </c>
      <c r="AN202" s="165">
        <v>8.5115909578859963E-2</v>
      </c>
      <c r="AO202" s="165">
        <v>8.5115909578859963E-2</v>
      </c>
      <c r="AP202" s="165">
        <v>8.5115909578859963E-2</v>
      </c>
      <c r="AQ202" s="165">
        <v>8.5115909578859963E-2</v>
      </c>
      <c r="AR202" s="165">
        <v>8.5115909578859963E-2</v>
      </c>
      <c r="AS202" s="157">
        <f t="shared" ref="AS202:BV202" si="155">AR202</f>
        <v>8.5115909578859963E-2</v>
      </c>
      <c r="AT202" s="157">
        <f t="shared" si="155"/>
        <v>8.5115909578859963E-2</v>
      </c>
      <c r="AU202" s="157">
        <f t="shared" si="155"/>
        <v>8.5115909578859963E-2</v>
      </c>
      <c r="AV202" s="157">
        <f t="shared" si="155"/>
        <v>8.5115909578859963E-2</v>
      </c>
      <c r="AW202" s="157">
        <f t="shared" si="155"/>
        <v>8.5115909578859963E-2</v>
      </c>
      <c r="AX202" s="157">
        <f t="shared" si="155"/>
        <v>8.5115909578859963E-2</v>
      </c>
      <c r="AY202" s="157">
        <f t="shared" si="155"/>
        <v>8.5115909578859963E-2</v>
      </c>
      <c r="AZ202" s="157">
        <f t="shared" si="155"/>
        <v>8.5115909578859963E-2</v>
      </c>
      <c r="BA202" s="157">
        <f t="shared" si="155"/>
        <v>8.5115909578859963E-2</v>
      </c>
      <c r="BB202" s="157">
        <f t="shared" si="155"/>
        <v>8.5115909578859963E-2</v>
      </c>
      <c r="BC202" s="157">
        <f t="shared" si="155"/>
        <v>8.5115909578859963E-2</v>
      </c>
      <c r="BD202" s="157">
        <f t="shared" si="155"/>
        <v>8.5115909578859963E-2</v>
      </c>
      <c r="BE202" s="157">
        <f t="shared" si="155"/>
        <v>8.5115909578859963E-2</v>
      </c>
      <c r="BF202" s="157">
        <f t="shared" si="155"/>
        <v>8.5115909578859963E-2</v>
      </c>
      <c r="BG202" s="157">
        <f t="shared" si="155"/>
        <v>8.5115909578859963E-2</v>
      </c>
      <c r="BH202" s="157">
        <f t="shared" si="155"/>
        <v>8.5115909578859963E-2</v>
      </c>
      <c r="BI202" s="157">
        <f t="shared" si="155"/>
        <v>8.5115909578859963E-2</v>
      </c>
      <c r="BJ202" s="157">
        <f t="shared" si="155"/>
        <v>8.5115909578859963E-2</v>
      </c>
      <c r="BK202" s="157">
        <f t="shared" si="155"/>
        <v>8.5115909578859963E-2</v>
      </c>
      <c r="BL202" s="157">
        <f t="shared" si="155"/>
        <v>8.5115909578859963E-2</v>
      </c>
      <c r="BM202" s="157">
        <f t="shared" si="155"/>
        <v>8.5115909578859963E-2</v>
      </c>
      <c r="BN202" s="157">
        <f t="shared" si="155"/>
        <v>8.5115909578859963E-2</v>
      </c>
      <c r="BO202" s="157">
        <f t="shared" si="155"/>
        <v>8.5115909578859963E-2</v>
      </c>
      <c r="BP202" s="157">
        <f t="shared" si="155"/>
        <v>8.5115909578859963E-2</v>
      </c>
      <c r="BQ202" s="157">
        <f t="shared" si="155"/>
        <v>8.5115909578859963E-2</v>
      </c>
      <c r="BR202" s="157">
        <f t="shared" si="155"/>
        <v>8.5115909578859963E-2</v>
      </c>
      <c r="BS202" s="157">
        <f t="shared" si="155"/>
        <v>8.5115909578859963E-2</v>
      </c>
      <c r="BT202" s="157">
        <f t="shared" si="155"/>
        <v>8.5115909578859963E-2</v>
      </c>
      <c r="BU202" s="157">
        <f t="shared" si="155"/>
        <v>8.5115909578859963E-2</v>
      </c>
      <c r="BV202" s="157">
        <f t="shared" si="155"/>
        <v>8.5115909578859963E-2</v>
      </c>
    </row>
    <row r="203" spans="1:74" s="150" customFormat="1" x14ac:dyDescent="0.25">
      <c r="A203" s="149" t="s">
        <v>216</v>
      </c>
      <c r="B203" s="159"/>
      <c r="D203" s="165">
        <v>8.3632018372545816E-2</v>
      </c>
      <c r="E203" s="165">
        <v>8.2384716489436294E-2</v>
      </c>
      <c r="F203" s="165">
        <v>8.1176714815077392E-2</v>
      </c>
      <c r="G203" s="165">
        <v>8.0006184740623099E-2</v>
      </c>
      <c r="H203" s="165">
        <v>7.8871409369636158E-2</v>
      </c>
      <c r="I203" s="165">
        <v>7.7770775115573898E-2</v>
      </c>
      <c r="J203" s="165">
        <v>8.4267114033029153E-2</v>
      </c>
      <c r="K203" s="165">
        <v>8.3774010581871033E-2</v>
      </c>
      <c r="L203" s="165">
        <v>8.3877989423793042E-2</v>
      </c>
      <c r="M203" s="165">
        <v>8.4074887154213712E-2</v>
      </c>
      <c r="N203" s="165">
        <v>8.2463674785295996E-2</v>
      </c>
      <c r="O203" s="165">
        <v>8.444613141164016E-2</v>
      </c>
      <c r="P203" s="165">
        <v>8.2803367040753195E-2</v>
      </c>
      <c r="Q203" s="165">
        <v>8.2059191878182711E-2</v>
      </c>
      <c r="R203" s="165">
        <v>8.6179407422692256E-2</v>
      </c>
      <c r="S203" s="165">
        <v>8.652239170600233E-2</v>
      </c>
      <c r="T203" s="165">
        <v>8.6484490303817677E-2</v>
      </c>
      <c r="U203" s="165">
        <v>8.6410078347192609E-2</v>
      </c>
      <c r="V203" s="165">
        <v>8.622415942042215E-2</v>
      </c>
      <c r="W203" s="165">
        <v>8.6621820685283651E-2</v>
      </c>
      <c r="X203" s="165">
        <v>8.6433668339346681E-2</v>
      </c>
      <c r="Y203" s="165">
        <v>8.626328048500595E-2</v>
      </c>
      <c r="Z203" s="165">
        <v>8.6018543022166577E-2</v>
      </c>
      <c r="AA203" s="165">
        <v>8.7046642771508004E-2</v>
      </c>
      <c r="AB203" s="165">
        <v>8.3050728644982891E-2</v>
      </c>
      <c r="AC203" s="165">
        <v>8.4960199713814813E-2</v>
      </c>
      <c r="AD203" s="165">
        <v>8.4506850003477366E-2</v>
      </c>
      <c r="AE203" s="165">
        <v>8.5115909578859963E-2</v>
      </c>
      <c r="AF203" s="165">
        <v>8.5115909578859963E-2</v>
      </c>
      <c r="AG203" s="165">
        <v>8.5115909578859963E-2</v>
      </c>
      <c r="AH203" s="165">
        <v>8.5115909578859963E-2</v>
      </c>
      <c r="AI203" s="165">
        <v>8.5115909578859963E-2</v>
      </c>
      <c r="AJ203" s="165">
        <v>8.5115909578859963E-2</v>
      </c>
      <c r="AK203" s="165">
        <v>8.5115909578859963E-2</v>
      </c>
      <c r="AL203" s="165">
        <v>8.5115909578859963E-2</v>
      </c>
      <c r="AM203" s="165">
        <v>8.5115909578859963E-2</v>
      </c>
      <c r="AN203" s="165">
        <v>8.5115909578859963E-2</v>
      </c>
      <c r="AO203" s="165">
        <v>8.5115909578859963E-2</v>
      </c>
      <c r="AP203" s="165">
        <v>8.5115909578859963E-2</v>
      </c>
      <c r="AQ203" s="165">
        <v>8.5115909578859963E-2</v>
      </c>
      <c r="AR203" s="165">
        <v>8.5115909578859963E-2</v>
      </c>
      <c r="AS203" s="157">
        <f t="shared" ref="AS203:BV203" si="156">AR203</f>
        <v>8.5115909578859963E-2</v>
      </c>
      <c r="AT203" s="157">
        <f t="shared" si="156"/>
        <v>8.5115909578859963E-2</v>
      </c>
      <c r="AU203" s="157">
        <f t="shared" si="156"/>
        <v>8.5115909578859963E-2</v>
      </c>
      <c r="AV203" s="157">
        <f t="shared" si="156"/>
        <v>8.5115909578859963E-2</v>
      </c>
      <c r="AW203" s="157">
        <f t="shared" si="156"/>
        <v>8.5115909578859963E-2</v>
      </c>
      <c r="AX203" s="157">
        <f t="shared" si="156"/>
        <v>8.5115909578859963E-2</v>
      </c>
      <c r="AY203" s="157">
        <f t="shared" si="156"/>
        <v>8.5115909578859963E-2</v>
      </c>
      <c r="AZ203" s="157">
        <f t="shared" si="156"/>
        <v>8.5115909578859963E-2</v>
      </c>
      <c r="BA203" s="157">
        <f t="shared" si="156"/>
        <v>8.5115909578859963E-2</v>
      </c>
      <c r="BB203" s="157">
        <f t="shared" si="156"/>
        <v>8.5115909578859963E-2</v>
      </c>
      <c r="BC203" s="157">
        <f t="shared" si="156"/>
        <v>8.5115909578859963E-2</v>
      </c>
      <c r="BD203" s="157">
        <f t="shared" si="156"/>
        <v>8.5115909578859963E-2</v>
      </c>
      <c r="BE203" s="157">
        <f t="shared" si="156"/>
        <v>8.5115909578859963E-2</v>
      </c>
      <c r="BF203" s="157">
        <f t="shared" si="156"/>
        <v>8.5115909578859963E-2</v>
      </c>
      <c r="BG203" s="157">
        <f t="shared" si="156"/>
        <v>8.5115909578859963E-2</v>
      </c>
      <c r="BH203" s="157">
        <f t="shared" si="156"/>
        <v>8.5115909578859963E-2</v>
      </c>
      <c r="BI203" s="157">
        <f t="shared" si="156"/>
        <v>8.5115909578859963E-2</v>
      </c>
      <c r="BJ203" s="157">
        <f t="shared" si="156"/>
        <v>8.5115909578859963E-2</v>
      </c>
      <c r="BK203" s="157">
        <f t="shared" si="156"/>
        <v>8.5115909578859963E-2</v>
      </c>
      <c r="BL203" s="157">
        <f t="shared" si="156"/>
        <v>8.5115909578859963E-2</v>
      </c>
      <c r="BM203" s="157">
        <f t="shared" si="156"/>
        <v>8.5115909578859963E-2</v>
      </c>
      <c r="BN203" s="157">
        <f t="shared" si="156"/>
        <v>8.5115909578859963E-2</v>
      </c>
      <c r="BO203" s="157">
        <f t="shared" si="156"/>
        <v>8.5115909578859963E-2</v>
      </c>
      <c r="BP203" s="157">
        <f t="shared" si="156"/>
        <v>8.5115909578859963E-2</v>
      </c>
      <c r="BQ203" s="157">
        <f t="shared" si="156"/>
        <v>8.5115909578859963E-2</v>
      </c>
      <c r="BR203" s="157">
        <f t="shared" si="156"/>
        <v>8.5115909578859963E-2</v>
      </c>
      <c r="BS203" s="157">
        <f t="shared" si="156"/>
        <v>8.5115909578859963E-2</v>
      </c>
      <c r="BT203" s="157">
        <f t="shared" si="156"/>
        <v>8.5115909578859963E-2</v>
      </c>
      <c r="BU203" s="157">
        <f t="shared" si="156"/>
        <v>8.5115909578859963E-2</v>
      </c>
      <c r="BV203" s="157">
        <f t="shared" si="156"/>
        <v>8.5115909578859963E-2</v>
      </c>
    </row>
    <row r="204" spans="1:74" s="150" customFormat="1" x14ac:dyDescent="0.25">
      <c r="A204" s="155" t="s">
        <v>221</v>
      </c>
      <c r="B204" s="156"/>
      <c r="D204" s="165">
        <v>5.5522546836572505E-2</v>
      </c>
      <c r="E204" s="165">
        <v>5.391444109256667E-2</v>
      </c>
      <c r="F204" s="165">
        <v>5.2409179666567281E-2</v>
      </c>
      <c r="G204" s="165">
        <v>5.0997202351366885E-2</v>
      </c>
      <c r="H204" s="165">
        <v>4.9670098257920001E-2</v>
      </c>
      <c r="I204" s="165">
        <v>4.8420438142417505E-2</v>
      </c>
      <c r="J204" s="165">
        <v>5.3927676717434335E-2</v>
      </c>
      <c r="K204" s="165">
        <v>5.3819200355667077E-2</v>
      </c>
      <c r="L204" s="165">
        <v>5.2562294929161452E-2</v>
      </c>
      <c r="M204" s="165">
        <v>5.807285139766357E-2</v>
      </c>
      <c r="N204" s="165">
        <v>5.1483356752044934E-2</v>
      </c>
      <c r="O204" s="165">
        <v>4.8838352034878262E-2</v>
      </c>
      <c r="P204" s="165">
        <v>4.9011467972470926E-2</v>
      </c>
      <c r="Q204" s="165">
        <v>5.0933398044429236E-2</v>
      </c>
      <c r="R204" s="165">
        <v>5.1186923578186432E-2</v>
      </c>
      <c r="S204" s="165">
        <v>5.1874447198119185E-2</v>
      </c>
      <c r="T204" s="165">
        <v>5.4548095921855423E-2</v>
      </c>
      <c r="U204" s="165">
        <v>5.4617024243686967E-2</v>
      </c>
      <c r="V204" s="165">
        <v>5.2585914801690628E-2</v>
      </c>
      <c r="W204" s="165">
        <v>5.4208705616701422E-2</v>
      </c>
      <c r="X204" s="165">
        <v>5.727688954036269E-2</v>
      </c>
      <c r="Y204" s="165">
        <v>5.6862489488493977E-2</v>
      </c>
      <c r="Z204" s="165">
        <v>5.2872272396697013E-2</v>
      </c>
      <c r="AA204" s="165">
        <v>5.7674947327603102E-2</v>
      </c>
      <c r="AB204" s="165">
        <v>5.62181727614973E-2</v>
      </c>
      <c r="AC204" s="165">
        <v>5.7188085947293292E-2</v>
      </c>
      <c r="AD204" s="165">
        <v>5.5470207689506085E-2</v>
      </c>
      <c r="AE204" s="165">
        <v>5.7596120406349295E-2</v>
      </c>
      <c r="AF204" s="165">
        <v>5.7596120406349295E-2</v>
      </c>
      <c r="AG204" s="165">
        <v>5.7596120406349295E-2</v>
      </c>
      <c r="AH204" s="165">
        <v>5.7596120406349295E-2</v>
      </c>
      <c r="AI204" s="165">
        <v>5.7596120406349295E-2</v>
      </c>
      <c r="AJ204" s="165">
        <v>5.7596120406349295E-2</v>
      </c>
      <c r="AK204" s="165">
        <v>5.7596120406349295E-2</v>
      </c>
      <c r="AL204" s="165">
        <v>5.7596120406349295E-2</v>
      </c>
      <c r="AM204" s="165">
        <v>5.7596120406349295E-2</v>
      </c>
      <c r="AN204" s="165">
        <v>5.7596120406349295E-2</v>
      </c>
      <c r="AO204" s="165">
        <v>5.7596120406349295E-2</v>
      </c>
      <c r="AP204" s="165">
        <v>5.7596120406349295E-2</v>
      </c>
      <c r="AQ204" s="165">
        <v>5.7596120406349295E-2</v>
      </c>
      <c r="AR204" s="165">
        <v>5.7596120406349295E-2</v>
      </c>
      <c r="AS204" s="157">
        <f t="shared" ref="AS204:BV204" si="157">AR204</f>
        <v>5.7596120406349295E-2</v>
      </c>
      <c r="AT204" s="157">
        <f t="shared" si="157"/>
        <v>5.7596120406349295E-2</v>
      </c>
      <c r="AU204" s="157">
        <f t="shared" si="157"/>
        <v>5.7596120406349295E-2</v>
      </c>
      <c r="AV204" s="157">
        <f t="shared" si="157"/>
        <v>5.7596120406349295E-2</v>
      </c>
      <c r="AW204" s="157">
        <f t="shared" si="157"/>
        <v>5.7596120406349295E-2</v>
      </c>
      <c r="AX204" s="157">
        <f t="shared" si="157"/>
        <v>5.7596120406349295E-2</v>
      </c>
      <c r="AY204" s="157">
        <f t="shared" si="157"/>
        <v>5.7596120406349295E-2</v>
      </c>
      <c r="AZ204" s="157">
        <f t="shared" si="157"/>
        <v>5.7596120406349295E-2</v>
      </c>
      <c r="BA204" s="157">
        <f t="shared" si="157"/>
        <v>5.7596120406349295E-2</v>
      </c>
      <c r="BB204" s="157">
        <f t="shared" si="157"/>
        <v>5.7596120406349295E-2</v>
      </c>
      <c r="BC204" s="157">
        <f t="shared" si="157"/>
        <v>5.7596120406349295E-2</v>
      </c>
      <c r="BD204" s="157">
        <f t="shared" si="157"/>
        <v>5.7596120406349295E-2</v>
      </c>
      <c r="BE204" s="157">
        <f t="shared" si="157"/>
        <v>5.7596120406349295E-2</v>
      </c>
      <c r="BF204" s="157">
        <f t="shared" si="157"/>
        <v>5.7596120406349295E-2</v>
      </c>
      <c r="BG204" s="157">
        <f t="shared" si="157"/>
        <v>5.7596120406349295E-2</v>
      </c>
      <c r="BH204" s="157">
        <f t="shared" si="157"/>
        <v>5.7596120406349295E-2</v>
      </c>
      <c r="BI204" s="157">
        <f t="shared" si="157"/>
        <v>5.7596120406349295E-2</v>
      </c>
      <c r="BJ204" s="157">
        <f t="shared" si="157"/>
        <v>5.7596120406349295E-2</v>
      </c>
      <c r="BK204" s="157">
        <f t="shared" si="157"/>
        <v>5.7596120406349295E-2</v>
      </c>
      <c r="BL204" s="157">
        <f t="shared" si="157"/>
        <v>5.7596120406349295E-2</v>
      </c>
      <c r="BM204" s="157">
        <f t="shared" si="157"/>
        <v>5.7596120406349295E-2</v>
      </c>
      <c r="BN204" s="157">
        <f t="shared" si="157"/>
        <v>5.7596120406349295E-2</v>
      </c>
      <c r="BO204" s="157">
        <f t="shared" si="157"/>
        <v>5.7596120406349295E-2</v>
      </c>
      <c r="BP204" s="157">
        <f t="shared" si="157"/>
        <v>5.7596120406349295E-2</v>
      </c>
      <c r="BQ204" s="157">
        <f t="shared" si="157"/>
        <v>5.7596120406349295E-2</v>
      </c>
      <c r="BR204" s="157">
        <f t="shared" si="157"/>
        <v>5.7596120406349295E-2</v>
      </c>
      <c r="BS204" s="157">
        <f t="shared" si="157"/>
        <v>5.7596120406349295E-2</v>
      </c>
      <c r="BT204" s="157">
        <f t="shared" si="157"/>
        <v>5.7596120406349295E-2</v>
      </c>
      <c r="BU204" s="157">
        <f t="shared" si="157"/>
        <v>5.7596120406349295E-2</v>
      </c>
      <c r="BV204" s="157">
        <f t="shared" si="157"/>
        <v>5.7596120406349295E-2</v>
      </c>
    </row>
    <row r="205" spans="1:74" s="150" customFormat="1" x14ac:dyDescent="0.25">
      <c r="A205" s="149" t="s">
        <v>222</v>
      </c>
      <c r="B205" s="156"/>
      <c r="D205" s="165">
        <v>5.5522546836572505E-2</v>
      </c>
      <c r="E205" s="165">
        <v>5.391444109256667E-2</v>
      </c>
      <c r="F205" s="165">
        <v>5.2409179666567281E-2</v>
      </c>
      <c r="G205" s="165">
        <v>5.0997202351366885E-2</v>
      </c>
      <c r="H205" s="165">
        <v>4.9670098257920001E-2</v>
      </c>
      <c r="I205" s="165">
        <v>4.8420438142417505E-2</v>
      </c>
      <c r="J205" s="165">
        <v>5.3927676717434335E-2</v>
      </c>
      <c r="K205" s="165">
        <v>5.3819200355667077E-2</v>
      </c>
      <c r="L205" s="165">
        <v>5.2562294929161452E-2</v>
      </c>
      <c r="M205" s="165">
        <v>5.807285139766357E-2</v>
      </c>
      <c r="N205" s="165">
        <v>5.1483356752044934E-2</v>
      </c>
      <c r="O205" s="165">
        <v>4.8838352034878262E-2</v>
      </c>
      <c r="P205" s="165">
        <v>4.9011467972470926E-2</v>
      </c>
      <c r="Q205" s="165">
        <v>5.0933398044429236E-2</v>
      </c>
      <c r="R205" s="165">
        <v>5.1186923578186432E-2</v>
      </c>
      <c r="S205" s="165">
        <v>5.1874447198119185E-2</v>
      </c>
      <c r="T205" s="165">
        <v>5.4548095921855423E-2</v>
      </c>
      <c r="U205" s="165">
        <v>5.4617024243686967E-2</v>
      </c>
      <c r="V205" s="165">
        <v>5.2585914801690628E-2</v>
      </c>
      <c r="W205" s="165">
        <v>5.4208705616701422E-2</v>
      </c>
      <c r="X205" s="165">
        <v>5.727688954036269E-2</v>
      </c>
      <c r="Y205" s="165">
        <v>5.6862489488493977E-2</v>
      </c>
      <c r="Z205" s="165">
        <v>5.2872272396697013E-2</v>
      </c>
      <c r="AA205" s="165">
        <v>5.7674947327603102E-2</v>
      </c>
      <c r="AB205" s="165">
        <v>5.62181727614973E-2</v>
      </c>
      <c r="AC205" s="165">
        <v>5.7188085947293292E-2</v>
      </c>
      <c r="AD205" s="165">
        <v>5.5470207689506085E-2</v>
      </c>
      <c r="AE205" s="165">
        <v>5.7596120406349295E-2</v>
      </c>
      <c r="AF205" s="165">
        <v>5.7596120406349295E-2</v>
      </c>
      <c r="AG205" s="165">
        <v>5.7596120406349295E-2</v>
      </c>
      <c r="AH205" s="165">
        <v>5.7596120406349295E-2</v>
      </c>
      <c r="AI205" s="165">
        <v>5.7596120406349295E-2</v>
      </c>
      <c r="AJ205" s="165">
        <v>5.7596120406349295E-2</v>
      </c>
      <c r="AK205" s="165">
        <v>5.7596120406349295E-2</v>
      </c>
      <c r="AL205" s="165">
        <v>5.7596120406349295E-2</v>
      </c>
      <c r="AM205" s="165">
        <v>5.7596120406349295E-2</v>
      </c>
      <c r="AN205" s="165">
        <v>5.7596120406349295E-2</v>
      </c>
      <c r="AO205" s="165">
        <v>5.7596120406349295E-2</v>
      </c>
      <c r="AP205" s="165">
        <v>5.7596120406349295E-2</v>
      </c>
      <c r="AQ205" s="165">
        <v>5.7596120406349295E-2</v>
      </c>
      <c r="AR205" s="165">
        <v>5.7596120406349295E-2</v>
      </c>
      <c r="AS205" s="157">
        <f t="shared" ref="AS205:BV205" si="158">AR205</f>
        <v>5.7596120406349295E-2</v>
      </c>
      <c r="AT205" s="157">
        <f t="shared" si="158"/>
        <v>5.7596120406349295E-2</v>
      </c>
      <c r="AU205" s="157">
        <f t="shared" si="158"/>
        <v>5.7596120406349295E-2</v>
      </c>
      <c r="AV205" s="157">
        <f t="shared" si="158"/>
        <v>5.7596120406349295E-2</v>
      </c>
      <c r="AW205" s="157">
        <f t="shared" si="158"/>
        <v>5.7596120406349295E-2</v>
      </c>
      <c r="AX205" s="157">
        <f t="shared" si="158"/>
        <v>5.7596120406349295E-2</v>
      </c>
      <c r="AY205" s="157">
        <f t="shared" si="158"/>
        <v>5.7596120406349295E-2</v>
      </c>
      <c r="AZ205" s="157">
        <f t="shared" si="158"/>
        <v>5.7596120406349295E-2</v>
      </c>
      <c r="BA205" s="157">
        <f t="shared" si="158"/>
        <v>5.7596120406349295E-2</v>
      </c>
      <c r="BB205" s="157">
        <f t="shared" si="158"/>
        <v>5.7596120406349295E-2</v>
      </c>
      <c r="BC205" s="157">
        <f t="shared" si="158"/>
        <v>5.7596120406349295E-2</v>
      </c>
      <c r="BD205" s="157">
        <f t="shared" si="158"/>
        <v>5.7596120406349295E-2</v>
      </c>
      <c r="BE205" s="157">
        <f t="shared" si="158"/>
        <v>5.7596120406349295E-2</v>
      </c>
      <c r="BF205" s="157">
        <f t="shared" si="158"/>
        <v>5.7596120406349295E-2</v>
      </c>
      <c r="BG205" s="157">
        <f t="shared" si="158"/>
        <v>5.7596120406349295E-2</v>
      </c>
      <c r="BH205" s="157">
        <f t="shared" si="158"/>
        <v>5.7596120406349295E-2</v>
      </c>
      <c r="BI205" s="157">
        <f t="shared" si="158"/>
        <v>5.7596120406349295E-2</v>
      </c>
      <c r="BJ205" s="157">
        <f t="shared" si="158"/>
        <v>5.7596120406349295E-2</v>
      </c>
      <c r="BK205" s="157">
        <f t="shared" si="158"/>
        <v>5.7596120406349295E-2</v>
      </c>
      <c r="BL205" s="157">
        <f t="shared" si="158"/>
        <v>5.7596120406349295E-2</v>
      </c>
      <c r="BM205" s="157">
        <f t="shared" si="158"/>
        <v>5.7596120406349295E-2</v>
      </c>
      <c r="BN205" s="157">
        <f t="shared" si="158"/>
        <v>5.7596120406349295E-2</v>
      </c>
      <c r="BO205" s="157">
        <f t="shared" si="158"/>
        <v>5.7596120406349295E-2</v>
      </c>
      <c r="BP205" s="157">
        <f t="shared" si="158"/>
        <v>5.7596120406349295E-2</v>
      </c>
      <c r="BQ205" s="157">
        <f t="shared" si="158"/>
        <v>5.7596120406349295E-2</v>
      </c>
      <c r="BR205" s="157">
        <f t="shared" si="158"/>
        <v>5.7596120406349295E-2</v>
      </c>
      <c r="BS205" s="157">
        <f t="shared" si="158"/>
        <v>5.7596120406349295E-2</v>
      </c>
      <c r="BT205" s="157">
        <f t="shared" si="158"/>
        <v>5.7596120406349295E-2</v>
      </c>
      <c r="BU205" s="157">
        <f t="shared" si="158"/>
        <v>5.7596120406349295E-2</v>
      </c>
      <c r="BV205" s="157">
        <f t="shared" si="158"/>
        <v>5.7596120406349295E-2</v>
      </c>
    </row>
    <row r="206" spans="1:74" s="150" customFormat="1" x14ac:dyDescent="0.25">
      <c r="A206" s="149" t="s">
        <v>14</v>
      </c>
      <c r="B206" s="156"/>
      <c r="D206" s="165">
        <v>5.5082969731883882E-2</v>
      </c>
      <c r="E206" s="165">
        <v>5.3244012560827648E-2</v>
      </c>
      <c r="F206" s="165">
        <v>5.1521098775080702E-2</v>
      </c>
      <c r="G206" s="165">
        <v>4.9903580337757936E-2</v>
      </c>
      <c r="H206" s="165">
        <v>4.8382073287570562E-2</v>
      </c>
      <c r="I206" s="165">
        <v>4.69482755654652E-2</v>
      </c>
      <c r="J206" s="165">
        <v>5.2341766991427521E-2</v>
      </c>
      <c r="K206" s="165">
        <v>5.4193468621539863E-2</v>
      </c>
      <c r="L206" s="165">
        <v>5.4354131399971722E-2</v>
      </c>
      <c r="M206" s="165">
        <v>5.4834827869281302E-2</v>
      </c>
      <c r="N206" s="165">
        <v>5.4570178060992403E-2</v>
      </c>
      <c r="O206" s="165">
        <v>5.4162368393067609E-2</v>
      </c>
      <c r="P206" s="165">
        <v>5.4154196666775449E-2</v>
      </c>
      <c r="Q206" s="165">
        <v>5.3912954139749211E-2</v>
      </c>
      <c r="R206" s="165">
        <v>5.4214073741352301E-2</v>
      </c>
      <c r="S206" s="165">
        <v>5.4429354258786054E-2</v>
      </c>
      <c r="T206" s="165">
        <v>6.267340828895808E-2</v>
      </c>
      <c r="U206" s="165">
        <v>5.8997362935451499E-2</v>
      </c>
      <c r="V206" s="165">
        <v>5.8999780312178576E-2</v>
      </c>
      <c r="W206" s="165">
        <v>5.9302335888554908E-2</v>
      </c>
      <c r="X206" s="165">
        <v>5.9573282899728436E-2</v>
      </c>
      <c r="Y206" s="165">
        <v>5.9078089521124665E-2</v>
      </c>
      <c r="Z206" s="165">
        <v>5.8843545325263556E-2</v>
      </c>
      <c r="AA206" s="165">
        <v>5.8775422866520488E-2</v>
      </c>
      <c r="AB206" s="165">
        <v>5.9607124559253877E-2</v>
      </c>
      <c r="AC206" s="165">
        <v>5.8078246657143277E-2</v>
      </c>
      <c r="AD206" s="165">
        <v>5.7847889948348628E-2</v>
      </c>
      <c r="AE206" s="165">
        <v>5.8210465685313899E-2</v>
      </c>
      <c r="AF206" s="165">
        <v>5.8210465685313899E-2</v>
      </c>
      <c r="AG206" s="165">
        <v>5.8210465685313899E-2</v>
      </c>
      <c r="AH206" s="165">
        <v>5.8210465685313899E-2</v>
      </c>
      <c r="AI206" s="165">
        <v>5.8210465685313899E-2</v>
      </c>
      <c r="AJ206" s="165">
        <v>5.8210465685313899E-2</v>
      </c>
      <c r="AK206" s="165">
        <v>5.8210465685313899E-2</v>
      </c>
      <c r="AL206" s="165">
        <v>5.8210465685313899E-2</v>
      </c>
      <c r="AM206" s="165">
        <v>5.8210465685313899E-2</v>
      </c>
      <c r="AN206" s="165">
        <v>5.8210465685313899E-2</v>
      </c>
      <c r="AO206" s="165">
        <v>5.8210465685313899E-2</v>
      </c>
      <c r="AP206" s="165">
        <v>5.8210465685313899E-2</v>
      </c>
      <c r="AQ206" s="165">
        <v>5.8210465685313899E-2</v>
      </c>
      <c r="AR206" s="165">
        <v>5.8210465685313899E-2</v>
      </c>
      <c r="AS206" s="157">
        <f t="shared" ref="AS206:BV206" si="159">AR206</f>
        <v>5.8210465685313899E-2</v>
      </c>
      <c r="AT206" s="157">
        <f t="shared" si="159"/>
        <v>5.8210465685313899E-2</v>
      </c>
      <c r="AU206" s="157">
        <f t="shared" si="159"/>
        <v>5.8210465685313899E-2</v>
      </c>
      <c r="AV206" s="157">
        <f t="shared" si="159"/>
        <v>5.8210465685313899E-2</v>
      </c>
      <c r="AW206" s="157">
        <f t="shared" si="159"/>
        <v>5.8210465685313899E-2</v>
      </c>
      <c r="AX206" s="157">
        <f t="shared" si="159"/>
        <v>5.8210465685313899E-2</v>
      </c>
      <c r="AY206" s="157">
        <f t="shared" si="159"/>
        <v>5.8210465685313899E-2</v>
      </c>
      <c r="AZ206" s="157">
        <f t="shared" si="159"/>
        <v>5.8210465685313899E-2</v>
      </c>
      <c r="BA206" s="157">
        <f t="shared" si="159"/>
        <v>5.8210465685313899E-2</v>
      </c>
      <c r="BB206" s="157">
        <f t="shared" si="159"/>
        <v>5.8210465685313899E-2</v>
      </c>
      <c r="BC206" s="157">
        <f t="shared" si="159"/>
        <v>5.8210465685313899E-2</v>
      </c>
      <c r="BD206" s="157">
        <f t="shared" si="159"/>
        <v>5.8210465685313899E-2</v>
      </c>
      <c r="BE206" s="157">
        <f t="shared" si="159"/>
        <v>5.8210465685313899E-2</v>
      </c>
      <c r="BF206" s="157">
        <f t="shared" si="159"/>
        <v>5.8210465685313899E-2</v>
      </c>
      <c r="BG206" s="157">
        <f t="shared" si="159"/>
        <v>5.8210465685313899E-2</v>
      </c>
      <c r="BH206" s="157">
        <f t="shared" si="159"/>
        <v>5.8210465685313899E-2</v>
      </c>
      <c r="BI206" s="157">
        <f t="shared" si="159"/>
        <v>5.8210465685313899E-2</v>
      </c>
      <c r="BJ206" s="157">
        <f t="shared" si="159"/>
        <v>5.8210465685313899E-2</v>
      </c>
      <c r="BK206" s="157">
        <f t="shared" si="159"/>
        <v>5.8210465685313899E-2</v>
      </c>
      <c r="BL206" s="157">
        <f t="shared" si="159"/>
        <v>5.8210465685313899E-2</v>
      </c>
      <c r="BM206" s="157">
        <f t="shared" si="159"/>
        <v>5.8210465685313899E-2</v>
      </c>
      <c r="BN206" s="157">
        <f t="shared" si="159"/>
        <v>5.8210465685313899E-2</v>
      </c>
      <c r="BO206" s="157">
        <f t="shared" si="159"/>
        <v>5.8210465685313899E-2</v>
      </c>
      <c r="BP206" s="157">
        <f t="shared" si="159"/>
        <v>5.8210465685313899E-2</v>
      </c>
      <c r="BQ206" s="157">
        <f t="shared" si="159"/>
        <v>5.8210465685313899E-2</v>
      </c>
      <c r="BR206" s="157">
        <f t="shared" si="159"/>
        <v>5.8210465685313899E-2</v>
      </c>
      <c r="BS206" s="157">
        <f t="shared" si="159"/>
        <v>5.8210465685313899E-2</v>
      </c>
      <c r="BT206" s="157">
        <f t="shared" si="159"/>
        <v>5.8210465685313899E-2</v>
      </c>
      <c r="BU206" s="157">
        <f t="shared" si="159"/>
        <v>5.8210465685313899E-2</v>
      </c>
      <c r="BV206" s="157">
        <f t="shared" si="159"/>
        <v>5.8210465685313899E-2</v>
      </c>
    </row>
    <row r="207" spans="1:74" x14ac:dyDescent="0.25">
      <c r="A207" s="155"/>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row>
    <row r="208" spans="1:74" x14ac:dyDescent="0.25">
      <c r="A208" s="155"/>
      <c r="C208" s="150"/>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c r="AA208" s="166"/>
      <c r="AB208" s="166"/>
      <c r="AC208" s="166"/>
      <c r="AD208" s="166"/>
      <c r="AE208" s="166"/>
      <c r="AF208" s="166"/>
      <c r="AG208" s="166"/>
      <c r="AH208" s="166"/>
      <c r="AI208" s="166"/>
      <c r="AJ208" s="166"/>
      <c r="AK208" s="166"/>
      <c r="AL208" s="166"/>
      <c r="AM208" s="166"/>
      <c r="AN208" s="166"/>
      <c r="AO208" s="166"/>
      <c r="AP208" s="166"/>
      <c r="AQ208" s="166"/>
      <c r="AR208" s="166"/>
      <c r="AS208" s="166"/>
    </row>
    <row r="209" spans="1:74" s="190" customFormat="1" x14ac:dyDescent="0.25">
      <c r="A209" s="188" t="s">
        <v>273</v>
      </c>
      <c r="B209" s="189"/>
      <c r="I209" s="189"/>
      <c r="J209" s="189"/>
      <c r="K209" s="189"/>
      <c r="L209" s="189"/>
      <c r="M209" s="189"/>
      <c r="N209" s="189"/>
      <c r="O209" s="189"/>
      <c r="P209" s="189"/>
      <c r="Q209" s="189"/>
      <c r="R209" s="189"/>
      <c r="S209" s="189"/>
      <c r="T209" s="189"/>
      <c r="U209" s="189"/>
      <c r="V209" s="189"/>
      <c r="W209" s="189"/>
      <c r="X209" s="189"/>
      <c r="Y209" s="189"/>
      <c r="Z209" s="189"/>
      <c r="AA209" s="189"/>
      <c r="AB209" s="189"/>
      <c r="AC209" s="189"/>
      <c r="AD209" s="189"/>
      <c r="AE209" s="189"/>
      <c r="AF209" s="189"/>
      <c r="AG209" s="189"/>
      <c r="AH209" s="189"/>
      <c r="AI209" s="189"/>
      <c r="AJ209" s="189"/>
      <c r="AK209" s="189"/>
      <c r="AL209" s="189"/>
      <c r="AM209" s="189"/>
      <c r="AN209" s="189"/>
      <c r="AO209" s="189"/>
      <c r="AP209" s="189"/>
      <c r="AQ209" s="189"/>
      <c r="AR209" s="189"/>
      <c r="AS209" s="189"/>
    </row>
    <row r="210" spans="1:74" s="190" customFormat="1" x14ac:dyDescent="0.25">
      <c r="A210" s="188"/>
      <c r="B210" s="188" t="s">
        <v>274</v>
      </c>
      <c r="I210" s="189"/>
      <c r="J210" s="189"/>
      <c r="K210" s="189"/>
      <c r="L210" s="189"/>
      <c r="M210" s="189"/>
      <c r="N210" s="189"/>
      <c r="O210" s="189"/>
      <c r="P210" s="189"/>
      <c r="Q210" s="189"/>
      <c r="R210" s="189"/>
      <c r="S210" s="189"/>
      <c r="T210" s="189"/>
      <c r="U210" s="189"/>
      <c r="V210" s="189"/>
      <c r="W210" s="189"/>
      <c r="X210" s="189"/>
      <c r="Y210" s="189"/>
      <c r="Z210" s="189"/>
      <c r="AA210" s="189"/>
      <c r="AB210" s="189"/>
      <c r="AC210" s="189"/>
      <c r="AD210" s="189"/>
      <c r="AE210" s="189"/>
      <c r="AF210" s="189"/>
      <c r="AG210" s="189"/>
      <c r="AH210" s="189"/>
      <c r="AI210" s="189"/>
      <c r="AJ210" s="189"/>
      <c r="AK210" s="189"/>
      <c r="AL210" s="189"/>
      <c r="AM210" s="189"/>
      <c r="AN210" s="189"/>
      <c r="AO210" s="189"/>
      <c r="AP210" s="189"/>
      <c r="AQ210" s="189"/>
      <c r="AR210" s="189"/>
      <c r="AS210" s="189"/>
    </row>
    <row r="211" spans="1:74" x14ac:dyDescent="0.25">
      <c r="A211" s="155" t="s">
        <v>206</v>
      </c>
      <c r="C211" s="150"/>
      <c r="D211" s="185">
        <v>6.5622973598888375E-5</v>
      </c>
      <c r="E211" s="185">
        <v>6.5622973598888375E-5</v>
      </c>
      <c r="F211" s="185">
        <v>6.5622973598888375E-5</v>
      </c>
      <c r="G211" s="185">
        <v>6.5622973598888375E-5</v>
      </c>
      <c r="H211" s="185">
        <v>6.5622973598888375E-5</v>
      </c>
      <c r="I211" s="185">
        <v>6.5622973598888375E-5</v>
      </c>
      <c r="J211" s="185">
        <v>6.5615960099750625E-5</v>
      </c>
      <c r="K211" s="185">
        <v>6.5633430309441942E-5</v>
      </c>
      <c r="L211" s="185">
        <v>6.5610182181182944E-5</v>
      </c>
      <c r="M211" s="185">
        <v>6.5652996845425867E-5</v>
      </c>
      <c r="N211" s="185">
        <v>6.562417871222077E-5</v>
      </c>
      <c r="O211" s="185">
        <v>6.5627945661214307E-5</v>
      </c>
      <c r="P211" s="185">
        <v>6.5638512539636787E-5</v>
      </c>
      <c r="Q211" s="185">
        <v>6.5626179987413481E-5</v>
      </c>
      <c r="R211" s="185">
        <v>6.5641547861507128E-5</v>
      </c>
      <c r="S211" s="185">
        <v>6.5657181571815714E-5</v>
      </c>
      <c r="T211" s="185">
        <v>6.5628378378378382E-5</v>
      </c>
      <c r="U211" s="185">
        <v>6.5629053177691313E-5</v>
      </c>
      <c r="V211" s="185">
        <v>6.5634551495016608E-5</v>
      </c>
      <c r="W211" s="185">
        <v>6.5653239929947468E-5</v>
      </c>
      <c r="X211" s="185">
        <v>6.5641025641025643E-5</v>
      </c>
      <c r="Y211" s="185">
        <v>6.5645161290322582E-5</v>
      </c>
      <c r="Z211" s="185">
        <v>6.5600354452813463E-5</v>
      </c>
      <c r="AA211" s="185">
        <v>6.5653883972468049E-5</v>
      </c>
      <c r="AB211" s="185">
        <v>6.565150740929996E-5</v>
      </c>
      <c r="AC211" s="185">
        <v>6.5636444841447078E-5</v>
      </c>
      <c r="AD211" s="185">
        <v>6.5647466435686465E-5</v>
      </c>
      <c r="AE211" s="185">
        <v>6.5625817706061929E-5</v>
      </c>
      <c r="AF211" s="185">
        <v>6.5625817706061929E-5</v>
      </c>
      <c r="AG211" s="185">
        <v>6.5625817706061929E-5</v>
      </c>
      <c r="AH211" s="185">
        <v>6.5625817706061929E-5</v>
      </c>
      <c r="AI211" s="185">
        <v>6.5625817706061929E-5</v>
      </c>
      <c r="AJ211" s="185">
        <v>6.5625817706061929E-5</v>
      </c>
      <c r="AK211" s="185">
        <v>6.5625817706061929E-5</v>
      </c>
      <c r="AL211" s="185">
        <v>6.5625817706061929E-5</v>
      </c>
      <c r="AM211" s="185">
        <v>6.5625817706061929E-5</v>
      </c>
      <c r="AN211" s="185">
        <v>6.5625817706061929E-5</v>
      </c>
      <c r="AO211" s="185">
        <v>6.5625817706061929E-5</v>
      </c>
      <c r="AP211" s="185">
        <v>6.5625817706061929E-5</v>
      </c>
      <c r="AQ211" s="185">
        <v>6.5625817706061929E-5</v>
      </c>
      <c r="AR211" s="185">
        <v>6.5625817706061929E-5</v>
      </c>
      <c r="AS211" s="205">
        <f t="shared" ref="AS211:BV211" si="160">AR211</f>
        <v>6.5625817706061929E-5</v>
      </c>
      <c r="AT211" s="205">
        <f t="shared" si="160"/>
        <v>6.5625817706061929E-5</v>
      </c>
      <c r="AU211" s="205">
        <f t="shared" si="160"/>
        <v>6.5625817706061929E-5</v>
      </c>
      <c r="AV211" s="205">
        <f t="shared" si="160"/>
        <v>6.5625817706061929E-5</v>
      </c>
      <c r="AW211" s="205">
        <f t="shared" si="160"/>
        <v>6.5625817706061929E-5</v>
      </c>
      <c r="AX211" s="205">
        <f t="shared" si="160"/>
        <v>6.5625817706061929E-5</v>
      </c>
      <c r="AY211" s="205">
        <f t="shared" si="160"/>
        <v>6.5625817706061929E-5</v>
      </c>
      <c r="AZ211" s="205">
        <f t="shared" si="160"/>
        <v>6.5625817706061929E-5</v>
      </c>
      <c r="BA211" s="205">
        <f t="shared" si="160"/>
        <v>6.5625817706061929E-5</v>
      </c>
      <c r="BB211" s="205">
        <f t="shared" si="160"/>
        <v>6.5625817706061929E-5</v>
      </c>
      <c r="BC211" s="205">
        <f t="shared" si="160"/>
        <v>6.5625817706061929E-5</v>
      </c>
      <c r="BD211" s="205">
        <f t="shared" si="160"/>
        <v>6.5625817706061929E-5</v>
      </c>
      <c r="BE211" s="205">
        <f t="shared" si="160"/>
        <v>6.5625817706061929E-5</v>
      </c>
      <c r="BF211" s="205">
        <f t="shared" si="160"/>
        <v>6.5625817706061929E-5</v>
      </c>
      <c r="BG211" s="205">
        <f t="shared" si="160"/>
        <v>6.5625817706061929E-5</v>
      </c>
      <c r="BH211" s="205">
        <f t="shared" si="160"/>
        <v>6.5625817706061929E-5</v>
      </c>
      <c r="BI211" s="205">
        <f t="shared" si="160"/>
        <v>6.5625817706061929E-5</v>
      </c>
      <c r="BJ211" s="205">
        <f t="shared" si="160"/>
        <v>6.5625817706061929E-5</v>
      </c>
      <c r="BK211" s="205">
        <f t="shared" si="160"/>
        <v>6.5625817706061929E-5</v>
      </c>
      <c r="BL211" s="205">
        <f t="shared" si="160"/>
        <v>6.5625817706061929E-5</v>
      </c>
      <c r="BM211" s="205">
        <f t="shared" si="160"/>
        <v>6.5625817706061929E-5</v>
      </c>
      <c r="BN211" s="205">
        <f t="shared" si="160"/>
        <v>6.5625817706061929E-5</v>
      </c>
      <c r="BO211" s="205">
        <f t="shared" si="160"/>
        <v>6.5625817706061929E-5</v>
      </c>
      <c r="BP211" s="205">
        <f t="shared" si="160"/>
        <v>6.5625817706061929E-5</v>
      </c>
      <c r="BQ211" s="205">
        <f t="shared" si="160"/>
        <v>6.5625817706061929E-5</v>
      </c>
      <c r="BR211" s="205">
        <f t="shared" si="160"/>
        <v>6.5625817706061929E-5</v>
      </c>
      <c r="BS211" s="205">
        <f t="shared" si="160"/>
        <v>6.5625817706061929E-5</v>
      </c>
      <c r="BT211" s="205">
        <f t="shared" si="160"/>
        <v>6.5625817706061929E-5</v>
      </c>
      <c r="BU211" s="205">
        <f t="shared" si="160"/>
        <v>6.5625817706061929E-5</v>
      </c>
      <c r="BV211" s="205">
        <f t="shared" si="160"/>
        <v>6.5625817706061929E-5</v>
      </c>
    </row>
    <row r="212" spans="1:74" x14ac:dyDescent="0.25">
      <c r="A212" s="155" t="s">
        <v>208</v>
      </c>
      <c r="C212" s="150"/>
      <c r="D212" s="185">
        <v>7.9735869452466869E-7</v>
      </c>
      <c r="E212" s="185">
        <v>7.9735869452466869E-7</v>
      </c>
      <c r="F212" s="185">
        <v>7.9735869452466869E-7</v>
      </c>
      <c r="G212" s="185">
        <v>7.9735869452466869E-7</v>
      </c>
      <c r="H212" s="185">
        <v>7.9735869452466869E-7</v>
      </c>
      <c r="I212" s="185">
        <v>7.9735869452466869E-7</v>
      </c>
      <c r="J212" s="185">
        <v>7.9736067527791972E-7</v>
      </c>
      <c r="K212" s="185">
        <v>7.9735908983171374E-7</v>
      </c>
      <c r="L212" s="185">
        <v>7.9735948315643742E-7</v>
      </c>
      <c r="M212" s="185">
        <v>7.9736529727497939E-7</v>
      </c>
      <c r="N212" s="185">
        <v>7.9736249556157934E-7</v>
      </c>
      <c r="O212" s="185">
        <v>7.9736022959592476E-7</v>
      </c>
      <c r="P212" s="185">
        <v>7.7540003383703026E-7</v>
      </c>
      <c r="Q212" s="185">
        <v>7.7539967549540893E-7</v>
      </c>
      <c r="R212" s="185">
        <v>7.7540145501549478E-7</v>
      </c>
      <c r="S212" s="185">
        <v>7.7539724202773649E-7</v>
      </c>
      <c r="T212" s="185">
        <v>7.7539983891381881E-7</v>
      </c>
      <c r="U212" s="185">
        <v>7.7539779872985618E-7</v>
      </c>
      <c r="V212" s="185">
        <v>7.754002311984898E-7</v>
      </c>
      <c r="W212" s="185">
        <v>7.7539965408187943E-7</v>
      </c>
      <c r="X212" s="185">
        <v>7.7539739027283511E-7</v>
      </c>
      <c r="Y212" s="185">
        <v>7.7539611797730377E-7</v>
      </c>
      <c r="Z212" s="185">
        <v>7.7540234419950352E-7</v>
      </c>
      <c r="AA212" s="185">
        <v>7.7539772865841272E-7</v>
      </c>
      <c r="AB212" s="185">
        <v>7.7539938945356478E-7</v>
      </c>
      <c r="AC212" s="185">
        <v>7.7539752024383434E-7</v>
      </c>
      <c r="AD212" s="185">
        <v>7.7539727058422559E-7</v>
      </c>
      <c r="AE212" s="185">
        <v>7.7539874500078363E-7</v>
      </c>
      <c r="AF212" s="185">
        <v>7.7539874500078363E-7</v>
      </c>
      <c r="AG212" s="185">
        <v>7.7539874500078363E-7</v>
      </c>
      <c r="AH212" s="185">
        <v>7.7539874500078363E-7</v>
      </c>
      <c r="AI212" s="185">
        <v>7.7539874500078363E-7</v>
      </c>
      <c r="AJ212" s="185">
        <v>7.7539874500078363E-7</v>
      </c>
      <c r="AK212" s="185">
        <v>7.7539874500078363E-7</v>
      </c>
      <c r="AL212" s="185">
        <v>7.7539874500078363E-7</v>
      </c>
      <c r="AM212" s="185">
        <v>7.7539874500078363E-7</v>
      </c>
      <c r="AN212" s="185">
        <v>7.7539874500078363E-7</v>
      </c>
      <c r="AO212" s="185">
        <v>7.7539874500078363E-7</v>
      </c>
      <c r="AP212" s="185">
        <v>7.7539874500078363E-7</v>
      </c>
      <c r="AQ212" s="185">
        <v>7.7539874500078363E-7</v>
      </c>
      <c r="AR212" s="185">
        <v>7.7539874500078363E-7</v>
      </c>
      <c r="AS212" s="205">
        <f t="shared" ref="AS212:BV212" si="161">AR212</f>
        <v>7.7539874500078363E-7</v>
      </c>
      <c r="AT212" s="205">
        <f t="shared" si="161"/>
        <v>7.7539874500078363E-7</v>
      </c>
      <c r="AU212" s="205">
        <f t="shared" si="161"/>
        <v>7.7539874500078363E-7</v>
      </c>
      <c r="AV212" s="205">
        <f t="shared" si="161"/>
        <v>7.7539874500078363E-7</v>
      </c>
      <c r="AW212" s="205">
        <f t="shared" si="161"/>
        <v>7.7539874500078363E-7</v>
      </c>
      <c r="AX212" s="205">
        <f t="shared" si="161"/>
        <v>7.7539874500078363E-7</v>
      </c>
      <c r="AY212" s="205">
        <f t="shared" si="161"/>
        <v>7.7539874500078363E-7</v>
      </c>
      <c r="AZ212" s="205">
        <f t="shared" si="161"/>
        <v>7.7539874500078363E-7</v>
      </c>
      <c r="BA212" s="205">
        <f t="shared" si="161"/>
        <v>7.7539874500078363E-7</v>
      </c>
      <c r="BB212" s="205">
        <f t="shared" si="161"/>
        <v>7.7539874500078363E-7</v>
      </c>
      <c r="BC212" s="205">
        <f t="shared" si="161"/>
        <v>7.7539874500078363E-7</v>
      </c>
      <c r="BD212" s="205">
        <f t="shared" si="161"/>
        <v>7.7539874500078363E-7</v>
      </c>
      <c r="BE212" s="205">
        <f t="shared" si="161"/>
        <v>7.7539874500078363E-7</v>
      </c>
      <c r="BF212" s="205">
        <f t="shared" si="161"/>
        <v>7.7539874500078363E-7</v>
      </c>
      <c r="BG212" s="205">
        <f t="shared" si="161"/>
        <v>7.7539874500078363E-7</v>
      </c>
      <c r="BH212" s="205">
        <f t="shared" si="161"/>
        <v>7.7539874500078363E-7</v>
      </c>
      <c r="BI212" s="205">
        <f t="shared" si="161"/>
        <v>7.7539874500078363E-7</v>
      </c>
      <c r="BJ212" s="205">
        <f t="shared" si="161"/>
        <v>7.7539874500078363E-7</v>
      </c>
      <c r="BK212" s="205">
        <f t="shared" si="161"/>
        <v>7.7539874500078363E-7</v>
      </c>
      <c r="BL212" s="205">
        <f t="shared" si="161"/>
        <v>7.7539874500078363E-7</v>
      </c>
      <c r="BM212" s="205">
        <f t="shared" si="161"/>
        <v>7.7539874500078363E-7</v>
      </c>
      <c r="BN212" s="205">
        <f t="shared" si="161"/>
        <v>7.7539874500078363E-7</v>
      </c>
      <c r="BO212" s="205">
        <f t="shared" si="161"/>
        <v>7.7539874500078363E-7</v>
      </c>
      <c r="BP212" s="205">
        <f t="shared" si="161"/>
        <v>7.7539874500078363E-7</v>
      </c>
      <c r="BQ212" s="205">
        <f t="shared" si="161"/>
        <v>7.7539874500078363E-7</v>
      </c>
      <c r="BR212" s="205">
        <f t="shared" si="161"/>
        <v>7.7539874500078363E-7</v>
      </c>
      <c r="BS212" s="205">
        <f t="shared" si="161"/>
        <v>7.7539874500078363E-7</v>
      </c>
      <c r="BT212" s="205">
        <f t="shared" si="161"/>
        <v>7.7539874500078363E-7</v>
      </c>
      <c r="BU212" s="205">
        <f t="shared" si="161"/>
        <v>7.7539874500078363E-7</v>
      </c>
      <c r="BV212" s="205">
        <f t="shared" si="161"/>
        <v>7.7539874500078363E-7</v>
      </c>
    </row>
    <row r="213" spans="1:74" x14ac:dyDescent="0.25">
      <c r="A213" s="149" t="s">
        <v>209</v>
      </c>
      <c r="B213" s="150"/>
      <c r="C213" s="150"/>
      <c r="D213" s="185">
        <v>3.9913102253513877E-6</v>
      </c>
      <c r="E213" s="185">
        <v>3.9913102253513877E-6</v>
      </c>
      <c r="F213" s="185">
        <v>3.9913102253513877E-6</v>
      </c>
      <c r="G213" s="185">
        <v>3.9913102253513877E-6</v>
      </c>
      <c r="H213" s="185">
        <v>3.9913102253513877E-6</v>
      </c>
      <c r="I213" s="185">
        <v>3.9913102253513877E-6</v>
      </c>
      <c r="J213" s="185">
        <v>3.9913102253513877E-6</v>
      </c>
      <c r="K213" s="185">
        <v>3.9913102253513877E-6</v>
      </c>
      <c r="L213" s="185">
        <v>3.9913102253513877E-6</v>
      </c>
      <c r="M213" s="185">
        <v>3.9913102253513877E-6</v>
      </c>
      <c r="N213" s="185">
        <v>3.9913102253513877E-6</v>
      </c>
      <c r="O213" s="185">
        <v>3.9913102253513877E-6</v>
      </c>
      <c r="P213" s="185">
        <v>3.9913102253513877E-6</v>
      </c>
      <c r="Q213" s="185">
        <v>3.9913102253513877E-6</v>
      </c>
      <c r="R213" s="185">
        <v>3.9913102253513877E-6</v>
      </c>
      <c r="S213" s="185">
        <v>3.9913102253513877E-6</v>
      </c>
      <c r="T213" s="185">
        <v>3.9913102253513877E-6</v>
      </c>
      <c r="U213" s="185">
        <v>3.9913102253513877E-6</v>
      </c>
      <c r="V213" s="185">
        <v>3.9913102253513877E-6</v>
      </c>
      <c r="W213" s="185">
        <v>3.9913102253513877E-6</v>
      </c>
      <c r="X213" s="185">
        <v>3.9913102253513877E-6</v>
      </c>
      <c r="Y213" s="185">
        <v>3.9913102253513877E-6</v>
      </c>
      <c r="Z213" s="185">
        <v>3.9913102253513877E-6</v>
      </c>
      <c r="AA213" s="185">
        <v>3.9913102253513877E-6</v>
      </c>
      <c r="AB213" s="185">
        <v>3.9913102253513877E-6</v>
      </c>
      <c r="AC213" s="185">
        <v>3.9913102253513877E-6</v>
      </c>
      <c r="AD213" s="185">
        <v>3.9913102253513877E-6</v>
      </c>
      <c r="AE213" s="185">
        <v>3.9913102253513877E-6</v>
      </c>
      <c r="AF213" s="185">
        <v>3.9913102253513877E-6</v>
      </c>
      <c r="AG213" s="185">
        <v>3.9913102253513877E-6</v>
      </c>
      <c r="AH213" s="185">
        <v>3.9913102253513877E-6</v>
      </c>
      <c r="AI213" s="185">
        <v>3.9913102253513877E-6</v>
      </c>
      <c r="AJ213" s="185">
        <v>3.9913102253513877E-6</v>
      </c>
      <c r="AK213" s="185">
        <v>3.9913102253513877E-6</v>
      </c>
      <c r="AL213" s="185">
        <v>3.9913102253513877E-6</v>
      </c>
      <c r="AM213" s="185">
        <v>3.9913102253513877E-6</v>
      </c>
      <c r="AN213" s="185">
        <v>3.9913102253513877E-6</v>
      </c>
      <c r="AO213" s="185">
        <v>3.9913102253513877E-6</v>
      </c>
      <c r="AP213" s="185">
        <v>3.9913102253513877E-6</v>
      </c>
      <c r="AQ213" s="185">
        <v>3.9913102253513877E-6</v>
      </c>
      <c r="AR213" s="185">
        <v>3.9913102253513877E-6</v>
      </c>
      <c r="AS213" s="205">
        <f t="shared" ref="AS213:BV213" si="162">AR213</f>
        <v>3.9913102253513877E-6</v>
      </c>
      <c r="AT213" s="205">
        <f t="shared" si="162"/>
        <v>3.9913102253513877E-6</v>
      </c>
      <c r="AU213" s="205">
        <f t="shared" si="162"/>
        <v>3.9913102253513877E-6</v>
      </c>
      <c r="AV213" s="205">
        <f t="shared" si="162"/>
        <v>3.9913102253513877E-6</v>
      </c>
      <c r="AW213" s="205">
        <f t="shared" si="162"/>
        <v>3.9913102253513877E-6</v>
      </c>
      <c r="AX213" s="205">
        <f t="shared" si="162"/>
        <v>3.9913102253513877E-6</v>
      </c>
      <c r="AY213" s="205">
        <f t="shared" si="162"/>
        <v>3.9913102253513877E-6</v>
      </c>
      <c r="AZ213" s="205">
        <f t="shared" si="162"/>
        <v>3.9913102253513877E-6</v>
      </c>
      <c r="BA213" s="205">
        <f t="shared" si="162"/>
        <v>3.9913102253513877E-6</v>
      </c>
      <c r="BB213" s="205">
        <f t="shared" si="162"/>
        <v>3.9913102253513877E-6</v>
      </c>
      <c r="BC213" s="205">
        <f t="shared" si="162"/>
        <v>3.9913102253513877E-6</v>
      </c>
      <c r="BD213" s="205">
        <f t="shared" si="162"/>
        <v>3.9913102253513877E-6</v>
      </c>
      <c r="BE213" s="205">
        <f t="shared" si="162"/>
        <v>3.9913102253513877E-6</v>
      </c>
      <c r="BF213" s="205">
        <f t="shared" si="162"/>
        <v>3.9913102253513877E-6</v>
      </c>
      <c r="BG213" s="205">
        <f t="shared" si="162"/>
        <v>3.9913102253513877E-6</v>
      </c>
      <c r="BH213" s="205">
        <f t="shared" si="162"/>
        <v>3.9913102253513877E-6</v>
      </c>
      <c r="BI213" s="205">
        <f t="shared" si="162"/>
        <v>3.9913102253513877E-6</v>
      </c>
      <c r="BJ213" s="205">
        <f t="shared" si="162"/>
        <v>3.9913102253513877E-6</v>
      </c>
      <c r="BK213" s="205">
        <f t="shared" si="162"/>
        <v>3.9913102253513877E-6</v>
      </c>
      <c r="BL213" s="205">
        <f t="shared" si="162"/>
        <v>3.9913102253513877E-6</v>
      </c>
      <c r="BM213" s="205">
        <f t="shared" si="162"/>
        <v>3.9913102253513877E-6</v>
      </c>
      <c r="BN213" s="205">
        <f t="shared" si="162"/>
        <v>3.9913102253513877E-6</v>
      </c>
      <c r="BO213" s="205">
        <f t="shared" si="162"/>
        <v>3.9913102253513877E-6</v>
      </c>
      <c r="BP213" s="205">
        <f t="shared" si="162"/>
        <v>3.9913102253513877E-6</v>
      </c>
      <c r="BQ213" s="205">
        <f t="shared" si="162"/>
        <v>3.9913102253513877E-6</v>
      </c>
      <c r="BR213" s="205">
        <f t="shared" si="162"/>
        <v>3.9913102253513877E-6</v>
      </c>
      <c r="BS213" s="205">
        <f t="shared" si="162"/>
        <v>3.9913102253513877E-6</v>
      </c>
      <c r="BT213" s="205">
        <f t="shared" si="162"/>
        <v>3.9913102253513877E-6</v>
      </c>
      <c r="BU213" s="205">
        <f t="shared" si="162"/>
        <v>3.9913102253513877E-6</v>
      </c>
      <c r="BV213" s="205">
        <f t="shared" si="162"/>
        <v>3.9913102253513877E-6</v>
      </c>
    </row>
    <row r="214" spans="1:74" x14ac:dyDescent="0.25">
      <c r="A214" s="149" t="s">
        <v>211</v>
      </c>
      <c r="B214" s="150"/>
      <c r="C214" s="150"/>
      <c r="D214" s="185">
        <v>8.4387967654903379E-7</v>
      </c>
      <c r="E214" s="185">
        <v>8.4387967654903379E-7</v>
      </c>
      <c r="F214" s="185">
        <v>8.4387967654903379E-7</v>
      </c>
      <c r="G214" s="185">
        <v>8.4387967654903379E-7</v>
      </c>
      <c r="H214" s="185">
        <v>8.4387967654903379E-7</v>
      </c>
      <c r="I214" s="185">
        <v>8.4387967654903379E-7</v>
      </c>
      <c r="J214" s="185">
        <v>8.4387967654903379E-7</v>
      </c>
      <c r="K214" s="185">
        <v>8.4387967654903379E-7</v>
      </c>
      <c r="L214" s="185">
        <v>8.4387967654903379E-7</v>
      </c>
      <c r="M214" s="185">
        <v>8.4387967654903379E-7</v>
      </c>
      <c r="N214" s="185">
        <v>8.4387967654903379E-7</v>
      </c>
      <c r="O214" s="185">
        <v>8.4387967654903379E-7</v>
      </c>
      <c r="P214" s="185">
        <v>8.4387967654903379E-7</v>
      </c>
      <c r="Q214" s="185">
        <v>8.4387967654903379E-7</v>
      </c>
      <c r="R214" s="185">
        <v>8.4387967654903379E-7</v>
      </c>
      <c r="S214" s="185">
        <v>8.4387967654903379E-7</v>
      </c>
      <c r="T214" s="185">
        <v>8.4387967654903379E-7</v>
      </c>
      <c r="U214" s="185">
        <v>8.4387967654903379E-7</v>
      </c>
      <c r="V214" s="185">
        <v>8.4387967654903379E-7</v>
      </c>
      <c r="W214" s="185">
        <v>8.4387967654903379E-7</v>
      </c>
      <c r="X214" s="185">
        <v>8.4387967654903379E-7</v>
      </c>
      <c r="Y214" s="185">
        <v>8.4387967654903379E-7</v>
      </c>
      <c r="Z214" s="185">
        <v>8.438841883132077E-7</v>
      </c>
      <c r="AA214" s="185">
        <v>8.438841883132077E-7</v>
      </c>
      <c r="AB214" s="185">
        <v>8.438841883132077E-7</v>
      </c>
      <c r="AC214" s="185">
        <v>8.438841883132077E-7</v>
      </c>
      <c r="AD214" s="185">
        <v>8.4386515964682317E-7</v>
      </c>
      <c r="AE214" s="185">
        <v>8.4386515964682317E-7</v>
      </c>
      <c r="AF214" s="185">
        <v>8.4386515964682317E-7</v>
      </c>
      <c r="AG214" s="185">
        <v>8.4386515964682317E-7</v>
      </c>
      <c r="AH214" s="185">
        <v>8.4386515964682317E-7</v>
      </c>
      <c r="AI214" s="185">
        <v>8.4386515964682317E-7</v>
      </c>
      <c r="AJ214" s="185">
        <v>8.4386515964682317E-7</v>
      </c>
      <c r="AK214" s="185">
        <v>8.4386515964682317E-7</v>
      </c>
      <c r="AL214" s="185">
        <v>8.4386515964682317E-7</v>
      </c>
      <c r="AM214" s="185">
        <v>8.4386515964682317E-7</v>
      </c>
      <c r="AN214" s="185">
        <v>8.4386515964682317E-7</v>
      </c>
      <c r="AO214" s="185">
        <v>8.4386515964682317E-7</v>
      </c>
      <c r="AP214" s="185">
        <v>8.4386515964682317E-7</v>
      </c>
      <c r="AQ214" s="185">
        <v>8.4386515964682317E-7</v>
      </c>
      <c r="AR214" s="185">
        <v>8.4386515964682317E-7</v>
      </c>
      <c r="AS214" s="205">
        <f t="shared" ref="AS214:BV214" si="163">AR214</f>
        <v>8.4386515964682317E-7</v>
      </c>
      <c r="AT214" s="205">
        <f t="shared" si="163"/>
        <v>8.4386515964682317E-7</v>
      </c>
      <c r="AU214" s="205">
        <f t="shared" si="163"/>
        <v>8.4386515964682317E-7</v>
      </c>
      <c r="AV214" s="205">
        <f t="shared" si="163"/>
        <v>8.4386515964682317E-7</v>
      </c>
      <c r="AW214" s="205">
        <f t="shared" si="163"/>
        <v>8.4386515964682317E-7</v>
      </c>
      <c r="AX214" s="205">
        <f t="shared" si="163"/>
        <v>8.4386515964682317E-7</v>
      </c>
      <c r="AY214" s="205">
        <f t="shared" si="163"/>
        <v>8.4386515964682317E-7</v>
      </c>
      <c r="AZ214" s="205">
        <f t="shared" si="163"/>
        <v>8.4386515964682317E-7</v>
      </c>
      <c r="BA214" s="205">
        <f t="shared" si="163"/>
        <v>8.4386515964682317E-7</v>
      </c>
      <c r="BB214" s="205">
        <f t="shared" si="163"/>
        <v>8.4386515964682317E-7</v>
      </c>
      <c r="BC214" s="205">
        <f t="shared" si="163"/>
        <v>8.4386515964682317E-7</v>
      </c>
      <c r="BD214" s="205">
        <f t="shared" si="163"/>
        <v>8.4386515964682317E-7</v>
      </c>
      <c r="BE214" s="205">
        <f t="shared" si="163"/>
        <v>8.4386515964682317E-7</v>
      </c>
      <c r="BF214" s="205">
        <f t="shared" si="163"/>
        <v>8.4386515964682317E-7</v>
      </c>
      <c r="BG214" s="205">
        <f t="shared" si="163"/>
        <v>8.4386515964682317E-7</v>
      </c>
      <c r="BH214" s="205">
        <f t="shared" si="163"/>
        <v>8.4386515964682317E-7</v>
      </c>
      <c r="BI214" s="205">
        <f t="shared" si="163"/>
        <v>8.4386515964682317E-7</v>
      </c>
      <c r="BJ214" s="205">
        <f t="shared" si="163"/>
        <v>8.4386515964682317E-7</v>
      </c>
      <c r="BK214" s="205">
        <f t="shared" si="163"/>
        <v>8.4386515964682317E-7</v>
      </c>
      <c r="BL214" s="205">
        <f t="shared" si="163"/>
        <v>8.4386515964682317E-7</v>
      </c>
      <c r="BM214" s="205">
        <f t="shared" si="163"/>
        <v>8.4386515964682317E-7</v>
      </c>
      <c r="BN214" s="205">
        <f t="shared" si="163"/>
        <v>8.4386515964682317E-7</v>
      </c>
      <c r="BO214" s="205">
        <f t="shared" si="163"/>
        <v>8.4386515964682317E-7</v>
      </c>
      <c r="BP214" s="205">
        <f t="shared" si="163"/>
        <v>8.4386515964682317E-7</v>
      </c>
      <c r="BQ214" s="205">
        <f t="shared" si="163"/>
        <v>8.4386515964682317E-7</v>
      </c>
      <c r="BR214" s="205">
        <f t="shared" si="163"/>
        <v>8.4386515964682317E-7</v>
      </c>
      <c r="BS214" s="205">
        <f t="shared" si="163"/>
        <v>8.4386515964682317E-7</v>
      </c>
      <c r="BT214" s="205">
        <f t="shared" si="163"/>
        <v>8.4386515964682317E-7</v>
      </c>
      <c r="BU214" s="205">
        <f t="shared" si="163"/>
        <v>8.4386515964682317E-7</v>
      </c>
      <c r="BV214" s="205">
        <f t="shared" si="163"/>
        <v>8.4386515964682317E-7</v>
      </c>
    </row>
    <row r="215" spans="1:74" x14ac:dyDescent="0.25">
      <c r="A215" s="155" t="s">
        <v>212</v>
      </c>
      <c r="C215" s="150"/>
      <c r="D215" s="185">
        <v>1.085624930902336E-6</v>
      </c>
      <c r="E215" s="185">
        <v>1.0840373805429888E-6</v>
      </c>
      <c r="F215" s="185">
        <v>1.0824544664735791E-6</v>
      </c>
      <c r="G215" s="185">
        <v>1.0808761684139539E-6</v>
      </c>
      <c r="H215" s="185">
        <v>1.079302466202068E-6</v>
      </c>
      <c r="I215" s="185">
        <v>1.0777333397931252E-6</v>
      </c>
      <c r="J215" s="185">
        <v>1.1050505780346821E-6</v>
      </c>
      <c r="K215" s="185">
        <v>1.1180716589861751E-6</v>
      </c>
      <c r="L215" s="185">
        <v>1.0737252012243509E-6</v>
      </c>
      <c r="M215" s="185">
        <v>1.0891603925786501E-6</v>
      </c>
      <c r="N215" s="185">
        <v>1.099660992763225E-6</v>
      </c>
      <c r="O215" s="185">
        <v>1.097834536662813E-6</v>
      </c>
      <c r="P215" s="185">
        <v>1.1001501306039834E-6</v>
      </c>
      <c r="Q215" s="185">
        <v>1.1257189355240153E-6</v>
      </c>
      <c r="R215" s="185">
        <v>1.1347875921419111E-6</v>
      </c>
      <c r="S215" s="185">
        <v>1.150968508982634E-6</v>
      </c>
      <c r="T215" s="185">
        <v>1.1555574852369488E-6</v>
      </c>
      <c r="U215" s="185">
        <v>1.1750414394980755E-6</v>
      </c>
      <c r="V215" s="185">
        <v>1.1608481726434009E-6</v>
      </c>
      <c r="W215" s="185">
        <v>1.1196945381425979E-6</v>
      </c>
      <c r="X215" s="185">
        <v>1.1199747470652502E-6</v>
      </c>
      <c r="Y215" s="185">
        <v>1.1464104649860592E-6</v>
      </c>
      <c r="Z215" s="185">
        <v>1.1252827557020538E-6</v>
      </c>
      <c r="AA215" s="185">
        <v>1.1104431817708095E-6</v>
      </c>
      <c r="AB215" s="185">
        <v>1.1120400553729264E-6</v>
      </c>
      <c r="AC215" s="185">
        <v>1.1089293529824441E-6</v>
      </c>
      <c r="AD215" s="185">
        <v>1.1044288227366507E-6</v>
      </c>
      <c r="AE215" s="185">
        <v>1.1200870687822775E-6</v>
      </c>
      <c r="AF215" s="185">
        <v>1.1200870687822775E-6</v>
      </c>
      <c r="AG215" s="185">
        <v>1.1200870687822775E-6</v>
      </c>
      <c r="AH215" s="185">
        <v>1.1200870687822775E-6</v>
      </c>
      <c r="AI215" s="185">
        <v>1.1200870687822775E-6</v>
      </c>
      <c r="AJ215" s="185">
        <v>1.1200870687822775E-6</v>
      </c>
      <c r="AK215" s="185">
        <v>1.1200870687822775E-6</v>
      </c>
      <c r="AL215" s="185">
        <v>1.1200870687822775E-6</v>
      </c>
      <c r="AM215" s="185">
        <v>1.1200870687822775E-6</v>
      </c>
      <c r="AN215" s="185">
        <v>1.1200870687822775E-6</v>
      </c>
      <c r="AO215" s="185">
        <v>1.1200870687822775E-6</v>
      </c>
      <c r="AP215" s="185">
        <v>1.1200870687822775E-6</v>
      </c>
      <c r="AQ215" s="185">
        <v>1.1200870687822775E-6</v>
      </c>
      <c r="AR215" s="185">
        <v>1.1200870687822775E-6</v>
      </c>
      <c r="AS215" s="205">
        <f t="shared" ref="AS215:BV215" si="164">AR215</f>
        <v>1.1200870687822775E-6</v>
      </c>
      <c r="AT215" s="205">
        <f t="shared" si="164"/>
        <v>1.1200870687822775E-6</v>
      </c>
      <c r="AU215" s="205">
        <f t="shared" si="164"/>
        <v>1.1200870687822775E-6</v>
      </c>
      <c r="AV215" s="205">
        <f t="shared" si="164"/>
        <v>1.1200870687822775E-6</v>
      </c>
      <c r="AW215" s="205">
        <f t="shared" si="164"/>
        <v>1.1200870687822775E-6</v>
      </c>
      <c r="AX215" s="205">
        <f t="shared" si="164"/>
        <v>1.1200870687822775E-6</v>
      </c>
      <c r="AY215" s="205">
        <f t="shared" si="164"/>
        <v>1.1200870687822775E-6</v>
      </c>
      <c r="AZ215" s="205">
        <f t="shared" si="164"/>
        <v>1.1200870687822775E-6</v>
      </c>
      <c r="BA215" s="205">
        <f t="shared" si="164"/>
        <v>1.1200870687822775E-6</v>
      </c>
      <c r="BB215" s="205">
        <f t="shared" si="164"/>
        <v>1.1200870687822775E-6</v>
      </c>
      <c r="BC215" s="205">
        <f t="shared" si="164"/>
        <v>1.1200870687822775E-6</v>
      </c>
      <c r="BD215" s="205">
        <f t="shared" si="164"/>
        <v>1.1200870687822775E-6</v>
      </c>
      <c r="BE215" s="205">
        <f t="shared" si="164"/>
        <v>1.1200870687822775E-6</v>
      </c>
      <c r="BF215" s="205">
        <f t="shared" si="164"/>
        <v>1.1200870687822775E-6</v>
      </c>
      <c r="BG215" s="205">
        <f t="shared" si="164"/>
        <v>1.1200870687822775E-6</v>
      </c>
      <c r="BH215" s="205">
        <f t="shared" si="164"/>
        <v>1.1200870687822775E-6</v>
      </c>
      <c r="BI215" s="205">
        <f t="shared" si="164"/>
        <v>1.1200870687822775E-6</v>
      </c>
      <c r="BJ215" s="205">
        <f t="shared" si="164"/>
        <v>1.1200870687822775E-6</v>
      </c>
      <c r="BK215" s="205">
        <f t="shared" si="164"/>
        <v>1.1200870687822775E-6</v>
      </c>
      <c r="BL215" s="205">
        <f t="shared" si="164"/>
        <v>1.1200870687822775E-6</v>
      </c>
      <c r="BM215" s="205">
        <f t="shared" si="164"/>
        <v>1.1200870687822775E-6</v>
      </c>
      <c r="BN215" s="205">
        <f t="shared" si="164"/>
        <v>1.1200870687822775E-6</v>
      </c>
      <c r="BO215" s="205">
        <f t="shared" si="164"/>
        <v>1.1200870687822775E-6</v>
      </c>
      <c r="BP215" s="205">
        <f t="shared" si="164"/>
        <v>1.1200870687822775E-6</v>
      </c>
      <c r="BQ215" s="205">
        <f t="shared" si="164"/>
        <v>1.1200870687822775E-6</v>
      </c>
      <c r="BR215" s="205">
        <f t="shared" si="164"/>
        <v>1.1200870687822775E-6</v>
      </c>
      <c r="BS215" s="205">
        <f t="shared" si="164"/>
        <v>1.1200870687822775E-6</v>
      </c>
      <c r="BT215" s="205">
        <f t="shared" si="164"/>
        <v>1.1200870687822775E-6</v>
      </c>
      <c r="BU215" s="205">
        <f t="shared" si="164"/>
        <v>1.1200870687822775E-6</v>
      </c>
      <c r="BV215" s="205">
        <f t="shared" si="164"/>
        <v>1.1200870687822775E-6</v>
      </c>
    </row>
    <row r="216" spans="1:74" x14ac:dyDescent="0.25">
      <c r="A216" s="155" t="s">
        <v>214</v>
      </c>
      <c r="C216" s="150"/>
      <c r="D216" s="185">
        <v>1.0405827312884424E-6</v>
      </c>
      <c r="E216" s="185">
        <v>1.0405827331267627E-6</v>
      </c>
      <c r="F216" s="185">
        <v>1.040582734965083E-6</v>
      </c>
      <c r="G216" s="185">
        <v>1.0405827368034032E-6</v>
      </c>
      <c r="H216" s="185">
        <v>1.0405827386417235E-6</v>
      </c>
      <c r="I216" s="185">
        <v>1.0405827404800438E-6</v>
      </c>
      <c r="J216" s="185">
        <v>1.0405827296457999E-6</v>
      </c>
      <c r="K216" s="185">
        <v>1.0405827301649246E-6</v>
      </c>
      <c r="L216" s="185">
        <v>1.0405827283051712E-6</v>
      </c>
      <c r="M216" s="185">
        <v>1.0405827219714836E-6</v>
      </c>
      <c r="N216" s="185">
        <v>1.0405827176744446E-6</v>
      </c>
      <c r="O216" s="185">
        <v>1.0405827279469411E-6</v>
      </c>
      <c r="P216" s="185">
        <v>1.0405827257690807E-6</v>
      </c>
      <c r="Q216" s="185">
        <v>1.0405827282446435E-6</v>
      </c>
      <c r="R216" s="185">
        <v>1.0405827298923233E-6</v>
      </c>
      <c r="S216" s="185">
        <v>1.0405827240857723E-6</v>
      </c>
      <c r="T216" s="185">
        <v>1.0405828421386253E-6</v>
      </c>
      <c r="U216" s="185">
        <v>1.0405828599512854E-6</v>
      </c>
      <c r="V216" s="185">
        <v>1.0405827907429522E-6</v>
      </c>
      <c r="W216" s="185">
        <v>1.0405826514025066E-6</v>
      </c>
      <c r="X216" s="185">
        <v>1.0405829049547356E-6</v>
      </c>
      <c r="Y216" s="185">
        <v>1.0405828434654549E-6</v>
      </c>
      <c r="Z216" s="185">
        <v>1.0405827597674191E-6</v>
      </c>
      <c r="AA216" s="185">
        <v>1.0405825415368488E-6</v>
      </c>
      <c r="AB216" s="185">
        <v>1.0405826394642279E-6</v>
      </c>
      <c r="AC216" s="185">
        <v>1.0405827574764618E-6</v>
      </c>
      <c r="AD216" s="185">
        <v>1.0405825582982004E-6</v>
      </c>
      <c r="AE216" s="185">
        <v>1.0405828135151244E-6</v>
      </c>
      <c r="AF216" s="185">
        <v>1.0405828135151244E-6</v>
      </c>
      <c r="AG216" s="185">
        <v>1.0405828135151244E-6</v>
      </c>
      <c r="AH216" s="185">
        <v>1.0405828135151244E-6</v>
      </c>
      <c r="AI216" s="185">
        <v>1.0405828135151244E-6</v>
      </c>
      <c r="AJ216" s="185">
        <v>1.0405828135151244E-6</v>
      </c>
      <c r="AK216" s="185">
        <v>1.0405828135151244E-6</v>
      </c>
      <c r="AL216" s="185">
        <v>1.0405828135151244E-6</v>
      </c>
      <c r="AM216" s="185">
        <v>1.0405828135151244E-6</v>
      </c>
      <c r="AN216" s="185">
        <v>1.0405828135151244E-6</v>
      </c>
      <c r="AO216" s="185">
        <v>1.0405828135151244E-6</v>
      </c>
      <c r="AP216" s="185">
        <v>1.0405828135151244E-6</v>
      </c>
      <c r="AQ216" s="185">
        <v>1.0405828135151244E-6</v>
      </c>
      <c r="AR216" s="185">
        <v>1.0405828135151244E-6</v>
      </c>
      <c r="AS216" s="205">
        <f t="shared" ref="AS216:BV216" si="165">AR216</f>
        <v>1.0405828135151244E-6</v>
      </c>
      <c r="AT216" s="205">
        <f t="shared" si="165"/>
        <v>1.0405828135151244E-6</v>
      </c>
      <c r="AU216" s="205">
        <f t="shared" si="165"/>
        <v>1.0405828135151244E-6</v>
      </c>
      <c r="AV216" s="205">
        <f t="shared" si="165"/>
        <v>1.0405828135151244E-6</v>
      </c>
      <c r="AW216" s="205">
        <f t="shared" si="165"/>
        <v>1.0405828135151244E-6</v>
      </c>
      <c r="AX216" s="205">
        <f t="shared" si="165"/>
        <v>1.0405828135151244E-6</v>
      </c>
      <c r="AY216" s="205">
        <f t="shared" si="165"/>
        <v>1.0405828135151244E-6</v>
      </c>
      <c r="AZ216" s="205">
        <f t="shared" si="165"/>
        <v>1.0405828135151244E-6</v>
      </c>
      <c r="BA216" s="205">
        <f t="shared" si="165"/>
        <v>1.0405828135151244E-6</v>
      </c>
      <c r="BB216" s="205">
        <f t="shared" si="165"/>
        <v>1.0405828135151244E-6</v>
      </c>
      <c r="BC216" s="205">
        <f t="shared" si="165"/>
        <v>1.0405828135151244E-6</v>
      </c>
      <c r="BD216" s="205">
        <f t="shared" si="165"/>
        <v>1.0405828135151244E-6</v>
      </c>
      <c r="BE216" s="205">
        <f t="shared" si="165"/>
        <v>1.0405828135151244E-6</v>
      </c>
      <c r="BF216" s="205">
        <f t="shared" si="165"/>
        <v>1.0405828135151244E-6</v>
      </c>
      <c r="BG216" s="205">
        <f t="shared" si="165"/>
        <v>1.0405828135151244E-6</v>
      </c>
      <c r="BH216" s="205">
        <f t="shared" si="165"/>
        <v>1.0405828135151244E-6</v>
      </c>
      <c r="BI216" s="205">
        <f t="shared" si="165"/>
        <v>1.0405828135151244E-6</v>
      </c>
      <c r="BJ216" s="205">
        <f t="shared" si="165"/>
        <v>1.0405828135151244E-6</v>
      </c>
      <c r="BK216" s="205">
        <f t="shared" si="165"/>
        <v>1.0405828135151244E-6</v>
      </c>
      <c r="BL216" s="205">
        <f t="shared" si="165"/>
        <v>1.0405828135151244E-6</v>
      </c>
      <c r="BM216" s="205">
        <f t="shared" si="165"/>
        <v>1.0405828135151244E-6</v>
      </c>
      <c r="BN216" s="205">
        <f t="shared" si="165"/>
        <v>1.0405828135151244E-6</v>
      </c>
      <c r="BO216" s="205">
        <f t="shared" si="165"/>
        <v>1.0405828135151244E-6</v>
      </c>
      <c r="BP216" s="205">
        <f t="shared" si="165"/>
        <v>1.0405828135151244E-6</v>
      </c>
      <c r="BQ216" s="205">
        <f t="shared" si="165"/>
        <v>1.0405828135151244E-6</v>
      </c>
      <c r="BR216" s="205">
        <f t="shared" si="165"/>
        <v>1.0405828135151244E-6</v>
      </c>
      <c r="BS216" s="205">
        <f t="shared" si="165"/>
        <v>1.0405828135151244E-6</v>
      </c>
      <c r="BT216" s="205">
        <f t="shared" si="165"/>
        <v>1.0405828135151244E-6</v>
      </c>
      <c r="BU216" s="205">
        <f t="shared" si="165"/>
        <v>1.0405828135151244E-6</v>
      </c>
      <c r="BV216" s="205">
        <f t="shared" si="165"/>
        <v>1.0405828135151244E-6</v>
      </c>
    </row>
    <row r="217" spans="1:74" x14ac:dyDescent="0.25">
      <c r="A217" s="149" t="s">
        <v>215</v>
      </c>
      <c r="B217" s="150"/>
      <c r="C217" s="150"/>
      <c r="D217" s="185">
        <v>2.6978417357471459E-6</v>
      </c>
      <c r="E217" s="185">
        <v>2.6978417389524566E-6</v>
      </c>
      <c r="F217" s="185">
        <v>2.6978417421577673E-6</v>
      </c>
      <c r="G217" s="185">
        <v>2.6978417453630777E-6</v>
      </c>
      <c r="H217" s="185">
        <v>2.6978417485683884E-6</v>
      </c>
      <c r="I217" s="185">
        <v>2.6978417517736996E-6</v>
      </c>
      <c r="J217" s="185">
        <v>2.6978416771201585E-6</v>
      </c>
      <c r="K217" s="185">
        <v>2.6978417006865027E-6</v>
      </c>
      <c r="L217" s="185">
        <v>2.5839792853072992E-6</v>
      </c>
      <c r="M217" s="185">
        <v>2.5889967163973347E-6</v>
      </c>
      <c r="N217" s="185">
        <v>2.5889967532216271E-6</v>
      </c>
      <c r="O217" s="185">
        <v>2.5889967567509678E-6</v>
      </c>
      <c r="P217" s="185">
        <v>2.5889967473666931E-6</v>
      </c>
      <c r="Q217" s="185">
        <v>2.5889967649113162E-6</v>
      </c>
      <c r="R217" s="185">
        <v>2.5889967529541222E-6</v>
      </c>
      <c r="S217" s="185">
        <v>2.5889967686127557E-6</v>
      </c>
      <c r="T217" s="185">
        <v>2.5889971681382565E-6</v>
      </c>
      <c r="U217" s="185">
        <v>2.5889975690344362E-6</v>
      </c>
      <c r="V217" s="185">
        <v>2.588997293722101E-6</v>
      </c>
      <c r="W217" s="185">
        <v>2.5889972199744079E-6</v>
      </c>
      <c r="X217" s="185">
        <v>2.5889975645349421E-6</v>
      </c>
      <c r="Y217" s="185">
        <v>2.5889969367003036E-6</v>
      </c>
      <c r="Z217" s="185">
        <v>2.5889973423615687E-6</v>
      </c>
      <c r="AA217" s="185">
        <v>2.5889961470582676E-6</v>
      </c>
      <c r="AB217" s="185">
        <v>2.5888323445489533E-6</v>
      </c>
      <c r="AC217" s="185">
        <v>2.5888319141025715E-6</v>
      </c>
      <c r="AD217" s="185">
        <v>2.5888327551652638E-6</v>
      </c>
      <c r="AE217" s="185">
        <v>2.5888327551652638E-6</v>
      </c>
      <c r="AF217" s="185">
        <v>2.5888327551652638E-6</v>
      </c>
      <c r="AG217" s="185">
        <v>2.5888327551652638E-6</v>
      </c>
      <c r="AH217" s="185">
        <v>2.5888327551652638E-6</v>
      </c>
      <c r="AI217" s="185">
        <v>2.5888327551652638E-6</v>
      </c>
      <c r="AJ217" s="185">
        <v>2.5888327551652638E-6</v>
      </c>
      <c r="AK217" s="185">
        <v>2.5888327551652638E-6</v>
      </c>
      <c r="AL217" s="185">
        <v>2.5888327551652638E-6</v>
      </c>
      <c r="AM217" s="185">
        <v>2.5888327551652638E-6</v>
      </c>
      <c r="AN217" s="185">
        <v>2.5888327551652638E-6</v>
      </c>
      <c r="AO217" s="185">
        <v>2.5888327551652638E-6</v>
      </c>
      <c r="AP217" s="185">
        <v>2.5888327551652638E-6</v>
      </c>
      <c r="AQ217" s="185">
        <v>2.5888327551652638E-6</v>
      </c>
      <c r="AR217" s="185">
        <v>2.5888327551652638E-6</v>
      </c>
      <c r="AS217" s="205">
        <f t="shared" ref="AS217:BV217" si="166">AR217</f>
        <v>2.5888327551652638E-6</v>
      </c>
      <c r="AT217" s="205">
        <f t="shared" si="166"/>
        <v>2.5888327551652638E-6</v>
      </c>
      <c r="AU217" s="205">
        <f t="shared" si="166"/>
        <v>2.5888327551652638E-6</v>
      </c>
      <c r="AV217" s="205">
        <f t="shared" si="166"/>
        <v>2.5888327551652638E-6</v>
      </c>
      <c r="AW217" s="205">
        <f t="shared" si="166"/>
        <v>2.5888327551652638E-6</v>
      </c>
      <c r="AX217" s="205">
        <f t="shared" si="166"/>
        <v>2.5888327551652638E-6</v>
      </c>
      <c r="AY217" s="205">
        <f t="shared" si="166"/>
        <v>2.5888327551652638E-6</v>
      </c>
      <c r="AZ217" s="205">
        <f t="shared" si="166"/>
        <v>2.5888327551652638E-6</v>
      </c>
      <c r="BA217" s="205">
        <f t="shared" si="166"/>
        <v>2.5888327551652638E-6</v>
      </c>
      <c r="BB217" s="205">
        <f t="shared" si="166"/>
        <v>2.5888327551652638E-6</v>
      </c>
      <c r="BC217" s="205">
        <f t="shared" si="166"/>
        <v>2.5888327551652638E-6</v>
      </c>
      <c r="BD217" s="205">
        <f t="shared" si="166"/>
        <v>2.5888327551652638E-6</v>
      </c>
      <c r="BE217" s="205">
        <f t="shared" si="166"/>
        <v>2.5888327551652638E-6</v>
      </c>
      <c r="BF217" s="205">
        <f t="shared" si="166"/>
        <v>2.5888327551652638E-6</v>
      </c>
      <c r="BG217" s="205">
        <f t="shared" si="166"/>
        <v>2.5888327551652638E-6</v>
      </c>
      <c r="BH217" s="205">
        <f t="shared" si="166"/>
        <v>2.5888327551652638E-6</v>
      </c>
      <c r="BI217" s="205">
        <f t="shared" si="166"/>
        <v>2.5888327551652638E-6</v>
      </c>
      <c r="BJ217" s="205">
        <f t="shared" si="166"/>
        <v>2.5888327551652638E-6</v>
      </c>
      <c r="BK217" s="205">
        <f t="shared" si="166"/>
        <v>2.5888327551652638E-6</v>
      </c>
      <c r="BL217" s="205">
        <f t="shared" si="166"/>
        <v>2.5888327551652638E-6</v>
      </c>
      <c r="BM217" s="205">
        <f t="shared" si="166"/>
        <v>2.5888327551652638E-6</v>
      </c>
      <c r="BN217" s="205">
        <f t="shared" si="166"/>
        <v>2.5888327551652638E-6</v>
      </c>
      <c r="BO217" s="205">
        <f t="shared" si="166"/>
        <v>2.5888327551652638E-6</v>
      </c>
      <c r="BP217" s="205">
        <f t="shared" si="166"/>
        <v>2.5888327551652638E-6</v>
      </c>
      <c r="BQ217" s="205">
        <f t="shared" si="166"/>
        <v>2.5888327551652638E-6</v>
      </c>
      <c r="BR217" s="205">
        <f t="shared" si="166"/>
        <v>2.5888327551652638E-6</v>
      </c>
      <c r="BS217" s="205">
        <f t="shared" si="166"/>
        <v>2.5888327551652638E-6</v>
      </c>
      <c r="BT217" s="205">
        <f t="shared" si="166"/>
        <v>2.5888327551652638E-6</v>
      </c>
      <c r="BU217" s="205">
        <f t="shared" si="166"/>
        <v>2.5888327551652638E-6</v>
      </c>
      <c r="BV217" s="205">
        <f t="shared" si="166"/>
        <v>2.5888327551652638E-6</v>
      </c>
    </row>
    <row r="218" spans="1:74" x14ac:dyDescent="0.25">
      <c r="A218" s="155" t="s">
        <v>217</v>
      </c>
      <c r="C218" s="150"/>
      <c r="D218" s="185">
        <v>2.1493820526598605E-6</v>
      </c>
      <c r="E218" s="185">
        <v>2.1493820488965372E-6</v>
      </c>
      <c r="F218" s="185">
        <v>2.1493820451332142E-6</v>
      </c>
      <c r="G218" s="185">
        <v>2.1493820413698909E-6</v>
      </c>
      <c r="H218" s="185">
        <v>2.149382037606568E-6</v>
      </c>
      <c r="I218" s="185">
        <v>2.1493820338432438E-6</v>
      </c>
      <c r="J218" s="185">
        <v>2.1493820296324762E-6</v>
      </c>
      <c r="K218" s="185">
        <v>2.1493820477834131E-6</v>
      </c>
      <c r="L218" s="185">
        <v>2.0898641934852297E-6</v>
      </c>
      <c r="M218" s="185">
        <v>2.0898641370433379E-6</v>
      </c>
      <c r="N218" s="185">
        <v>2.0898641634532658E-6</v>
      </c>
      <c r="O218" s="185">
        <v>2.0898641835654765E-6</v>
      </c>
      <c r="P218" s="185">
        <v>2.0898641946689964E-6</v>
      </c>
      <c r="Q218" s="185">
        <v>2.0898641289945649E-6</v>
      </c>
      <c r="R218" s="185">
        <v>2.0898641529287141E-6</v>
      </c>
      <c r="S218" s="185">
        <v>2.0898641291059984E-6</v>
      </c>
      <c r="T218" s="185">
        <v>2.0898643326367556E-6</v>
      </c>
      <c r="U218" s="185">
        <v>2.0898636335884501E-6</v>
      </c>
      <c r="V218" s="185">
        <v>2.0898645865934891E-6</v>
      </c>
      <c r="W218" s="185">
        <v>2.0898650244234388E-6</v>
      </c>
      <c r="X218" s="185">
        <v>2.0898642570353919E-6</v>
      </c>
      <c r="Y218" s="185">
        <v>2.0898643118407691E-6</v>
      </c>
      <c r="Z218" s="185">
        <v>2.0898644292171934E-6</v>
      </c>
      <c r="AA218" s="185">
        <v>2.0898636624080604E-6</v>
      </c>
      <c r="AB218" s="185">
        <v>2.0898640039314725E-6</v>
      </c>
      <c r="AC218" s="185">
        <v>2.0898632313649071E-6</v>
      </c>
      <c r="AD218" s="185">
        <v>2.0898649009569112E-6</v>
      </c>
      <c r="AE218" s="185">
        <v>2.0898631426917697E-6</v>
      </c>
      <c r="AF218" s="185">
        <v>2.0898631426917697E-6</v>
      </c>
      <c r="AG218" s="185">
        <v>2.0898631426917697E-6</v>
      </c>
      <c r="AH218" s="185">
        <v>2.0898631426917697E-6</v>
      </c>
      <c r="AI218" s="185">
        <v>2.0898631426917697E-6</v>
      </c>
      <c r="AJ218" s="185">
        <v>2.0898631426917697E-6</v>
      </c>
      <c r="AK218" s="185">
        <v>2.0898631426917697E-6</v>
      </c>
      <c r="AL218" s="185">
        <v>2.0898631426917697E-6</v>
      </c>
      <c r="AM218" s="185">
        <v>2.0898631426917697E-6</v>
      </c>
      <c r="AN218" s="185">
        <v>2.0898631426917697E-6</v>
      </c>
      <c r="AO218" s="185">
        <v>2.0898631426917697E-6</v>
      </c>
      <c r="AP218" s="185">
        <v>2.0898631426917697E-6</v>
      </c>
      <c r="AQ218" s="185">
        <v>2.0898631426917697E-6</v>
      </c>
      <c r="AR218" s="185">
        <v>2.0898631426917697E-6</v>
      </c>
      <c r="AS218" s="205">
        <f t="shared" ref="AS218:BV218" si="167">AR218</f>
        <v>2.0898631426917697E-6</v>
      </c>
      <c r="AT218" s="205">
        <f t="shared" si="167"/>
        <v>2.0898631426917697E-6</v>
      </c>
      <c r="AU218" s="205">
        <f t="shared" si="167"/>
        <v>2.0898631426917697E-6</v>
      </c>
      <c r="AV218" s="205">
        <f t="shared" si="167"/>
        <v>2.0898631426917697E-6</v>
      </c>
      <c r="AW218" s="205">
        <f t="shared" si="167"/>
        <v>2.0898631426917697E-6</v>
      </c>
      <c r="AX218" s="205">
        <f t="shared" si="167"/>
        <v>2.0898631426917697E-6</v>
      </c>
      <c r="AY218" s="205">
        <f t="shared" si="167"/>
        <v>2.0898631426917697E-6</v>
      </c>
      <c r="AZ218" s="205">
        <f t="shared" si="167"/>
        <v>2.0898631426917697E-6</v>
      </c>
      <c r="BA218" s="205">
        <f t="shared" si="167"/>
        <v>2.0898631426917697E-6</v>
      </c>
      <c r="BB218" s="205">
        <f t="shared" si="167"/>
        <v>2.0898631426917697E-6</v>
      </c>
      <c r="BC218" s="205">
        <f t="shared" si="167"/>
        <v>2.0898631426917697E-6</v>
      </c>
      <c r="BD218" s="205">
        <f t="shared" si="167"/>
        <v>2.0898631426917697E-6</v>
      </c>
      <c r="BE218" s="205">
        <f t="shared" si="167"/>
        <v>2.0898631426917697E-6</v>
      </c>
      <c r="BF218" s="205">
        <f t="shared" si="167"/>
        <v>2.0898631426917697E-6</v>
      </c>
      <c r="BG218" s="205">
        <f t="shared" si="167"/>
        <v>2.0898631426917697E-6</v>
      </c>
      <c r="BH218" s="205">
        <f t="shared" si="167"/>
        <v>2.0898631426917697E-6</v>
      </c>
      <c r="BI218" s="205">
        <f t="shared" si="167"/>
        <v>2.0898631426917697E-6</v>
      </c>
      <c r="BJ218" s="205">
        <f t="shared" si="167"/>
        <v>2.0898631426917697E-6</v>
      </c>
      <c r="BK218" s="205">
        <f t="shared" si="167"/>
        <v>2.0898631426917697E-6</v>
      </c>
      <c r="BL218" s="205">
        <f t="shared" si="167"/>
        <v>2.0898631426917697E-6</v>
      </c>
      <c r="BM218" s="205">
        <f t="shared" si="167"/>
        <v>2.0898631426917697E-6</v>
      </c>
      <c r="BN218" s="205">
        <f t="shared" si="167"/>
        <v>2.0898631426917697E-6</v>
      </c>
      <c r="BO218" s="205">
        <f t="shared" si="167"/>
        <v>2.0898631426917697E-6</v>
      </c>
      <c r="BP218" s="205">
        <f t="shared" si="167"/>
        <v>2.0898631426917697E-6</v>
      </c>
      <c r="BQ218" s="205">
        <f t="shared" si="167"/>
        <v>2.0898631426917697E-6</v>
      </c>
      <c r="BR218" s="205">
        <f t="shared" si="167"/>
        <v>2.0898631426917697E-6</v>
      </c>
      <c r="BS218" s="205">
        <f t="shared" si="167"/>
        <v>2.0898631426917697E-6</v>
      </c>
      <c r="BT218" s="205">
        <f t="shared" si="167"/>
        <v>2.0898631426917697E-6</v>
      </c>
      <c r="BU218" s="205">
        <f t="shared" si="167"/>
        <v>2.0898631426917697E-6</v>
      </c>
      <c r="BV218" s="205">
        <f t="shared" si="167"/>
        <v>2.0898631426917697E-6</v>
      </c>
    </row>
    <row r="219" spans="1:74" x14ac:dyDescent="0.25">
      <c r="A219" s="155" t="s">
        <v>12</v>
      </c>
      <c r="C219" s="150"/>
      <c r="D219" s="185">
        <v>3.4384717330861912E-6</v>
      </c>
      <c r="E219" s="185">
        <v>3.4384717330861912E-6</v>
      </c>
      <c r="F219" s="185">
        <v>3.4384717330861912E-6</v>
      </c>
      <c r="G219" s="185">
        <v>3.4384717330861912E-6</v>
      </c>
      <c r="H219" s="185">
        <v>3.4384717330861912E-6</v>
      </c>
      <c r="I219" s="185">
        <v>3.4384717330861912E-6</v>
      </c>
      <c r="J219" s="185">
        <v>3.4384742981508849E-6</v>
      </c>
      <c r="K219" s="185">
        <v>3.4384693745413738E-6</v>
      </c>
      <c r="L219" s="185">
        <v>3.4384670958993689E-6</v>
      </c>
      <c r="M219" s="185">
        <v>3.4384656239920265E-6</v>
      </c>
      <c r="N219" s="185">
        <v>3.4384761216833145E-6</v>
      </c>
      <c r="O219" s="185">
        <v>3.4384636730050162E-6</v>
      </c>
      <c r="P219" s="185">
        <v>3.4725888755324284E-6</v>
      </c>
      <c r="Q219" s="185">
        <v>3.4725831005824543E-6</v>
      </c>
      <c r="R219" s="185">
        <v>3.4725850014726555E-6</v>
      </c>
      <c r="S219" s="185">
        <v>3.4725915205210271E-6</v>
      </c>
      <c r="T219" s="185">
        <v>3.472584614496642E-6</v>
      </c>
      <c r="U219" s="185">
        <v>3.4725834772963879E-6</v>
      </c>
      <c r="V219" s="185">
        <v>3.4725902248191619E-6</v>
      </c>
      <c r="W219" s="185">
        <v>3.4725871517734818E-6</v>
      </c>
      <c r="X219" s="185">
        <v>3.4725896738787727E-6</v>
      </c>
      <c r="Y219" s="185">
        <v>3.4725812736560547E-6</v>
      </c>
      <c r="Z219" s="185">
        <v>3.4725801521414435E-6</v>
      </c>
      <c r="AA219" s="185">
        <v>3.4725882617494942E-6</v>
      </c>
      <c r="AB219" s="185">
        <v>3.4725799904205121E-6</v>
      </c>
      <c r="AC219" s="185">
        <v>3.4725908919360926E-6</v>
      </c>
      <c r="AD219" s="185">
        <v>3.4725875362176499E-6</v>
      </c>
      <c r="AE219" s="185">
        <v>3.4725865492509613E-6</v>
      </c>
      <c r="AF219" s="185">
        <v>3.4725865492509613E-6</v>
      </c>
      <c r="AG219" s="185">
        <v>3.4725865492509613E-6</v>
      </c>
      <c r="AH219" s="185">
        <v>3.4725865492509613E-6</v>
      </c>
      <c r="AI219" s="185">
        <v>3.4725865492509613E-6</v>
      </c>
      <c r="AJ219" s="185">
        <v>3.4725865492509613E-6</v>
      </c>
      <c r="AK219" s="185">
        <v>3.4725865492509613E-6</v>
      </c>
      <c r="AL219" s="185">
        <v>3.4725865492509613E-6</v>
      </c>
      <c r="AM219" s="185">
        <v>3.4725865492509613E-6</v>
      </c>
      <c r="AN219" s="185">
        <v>3.4725865492509613E-6</v>
      </c>
      <c r="AO219" s="185">
        <v>3.4725865492509613E-6</v>
      </c>
      <c r="AP219" s="185">
        <v>3.4725865492509613E-6</v>
      </c>
      <c r="AQ219" s="185">
        <v>3.4725865492509613E-6</v>
      </c>
      <c r="AR219" s="185">
        <v>3.4725865492509613E-6</v>
      </c>
      <c r="AS219" s="205">
        <f t="shared" ref="AS219:BV219" si="168">AR219</f>
        <v>3.4725865492509613E-6</v>
      </c>
      <c r="AT219" s="205">
        <f t="shared" si="168"/>
        <v>3.4725865492509613E-6</v>
      </c>
      <c r="AU219" s="205">
        <f t="shared" si="168"/>
        <v>3.4725865492509613E-6</v>
      </c>
      <c r="AV219" s="205">
        <f t="shared" si="168"/>
        <v>3.4725865492509613E-6</v>
      </c>
      <c r="AW219" s="205">
        <f t="shared" si="168"/>
        <v>3.4725865492509613E-6</v>
      </c>
      <c r="AX219" s="205">
        <f t="shared" si="168"/>
        <v>3.4725865492509613E-6</v>
      </c>
      <c r="AY219" s="205">
        <f t="shared" si="168"/>
        <v>3.4725865492509613E-6</v>
      </c>
      <c r="AZ219" s="205">
        <f t="shared" si="168"/>
        <v>3.4725865492509613E-6</v>
      </c>
      <c r="BA219" s="205">
        <f t="shared" si="168"/>
        <v>3.4725865492509613E-6</v>
      </c>
      <c r="BB219" s="205">
        <f t="shared" si="168"/>
        <v>3.4725865492509613E-6</v>
      </c>
      <c r="BC219" s="205">
        <f t="shared" si="168"/>
        <v>3.4725865492509613E-6</v>
      </c>
      <c r="BD219" s="205">
        <f t="shared" si="168"/>
        <v>3.4725865492509613E-6</v>
      </c>
      <c r="BE219" s="205">
        <f t="shared" si="168"/>
        <v>3.4725865492509613E-6</v>
      </c>
      <c r="BF219" s="205">
        <f t="shared" si="168"/>
        <v>3.4725865492509613E-6</v>
      </c>
      <c r="BG219" s="205">
        <f t="shared" si="168"/>
        <v>3.4725865492509613E-6</v>
      </c>
      <c r="BH219" s="205">
        <f t="shared" si="168"/>
        <v>3.4725865492509613E-6</v>
      </c>
      <c r="BI219" s="205">
        <f t="shared" si="168"/>
        <v>3.4725865492509613E-6</v>
      </c>
      <c r="BJ219" s="205">
        <f t="shared" si="168"/>
        <v>3.4725865492509613E-6</v>
      </c>
      <c r="BK219" s="205">
        <f t="shared" si="168"/>
        <v>3.4725865492509613E-6</v>
      </c>
      <c r="BL219" s="205">
        <f t="shared" si="168"/>
        <v>3.4725865492509613E-6</v>
      </c>
      <c r="BM219" s="205">
        <f t="shared" si="168"/>
        <v>3.4725865492509613E-6</v>
      </c>
      <c r="BN219" s="205">
        <f t="shared" si="168"/>
        <v>3.4725865492509613E-6</v>
      </c>
      <c r="BO219" s="205">
        <f t="shared" si="168"/>
        <v>3.4725865492509613E-6</v>
      </c>
      <c r="BP219" s="205">
        <f t="shared" si="168"/>
        <v>3.4725865492509613E-6</v>
      </c>
      <c r="BQ219" s="205">
        <f t="shared" si="168"/>
        <v>3.4725865492509613E-6</v>
      </c>
      <c r="BR219" s="205">
        <f t="shared" si="168"/>
        <v>3.4725865492509613E-6</v>
      </c>
      <c r="BS219" s="205">
        <f t="shared" si="168"/>
        <v>3.4725865492509613E-6</v>
      </c>
      <c r="BT219" s="205">
        <f t="shared" si="168"/>
        <v>3.4725865492509613E-6</v>
      </c>
      <c r="BU219" s="205">
        <f t="shared" si="168"/>
        <v>3.4725865492509613E-6</v>
      </c>
      <c r="BV219" s="205">
        <f t="shared" si="168"/>
        <v>3.4725865492509613E-6</v>
      </c>
    </row>
    <row r="220" spans="1:74" x14ac:dyDescent="0.25">
      <c r="A220" s="155" t="s">
        <v>2</v>
      </c>
      <c r="C220" s="150"/>
      <c r="D220" s="185"/>
      <c r="E220" s="185"/>
      <c r="F220" s="185"/>
      <c r="G220" s="185"/>
      <c r="H220" s="185"/>
      <c r="I220" s="185"/>
      <c r="J220" s="185"/>
      <c r="K220" s="185"/>
      <c r="L220" s="185"/>
      <c r="M220" s="185"/>
      <c r="N220" s="185"/>
      <c r="O220" s="185"/>
      <c r="P220" s="185"/>
      <c r="Q220" s="185"/>
      <c r="R220" s="185"/>
      <c r="S220" s="185"/>
      <c r="T220" s="185"/>
      <c r="U220" s="185"/>
      <c r="V220" s="185"/>
      <c r="W220" s="185"/>
      <c r="X220" s="185"/>
      <c r="Y220" s="185"/>
      <c r="Z220" s="185"/>
      <c r="AA220" s="185"/>
      <c r="AB220" s="185"/>
      <c r="AC220" s="185"/>
      <c r="AD220" s="185"/>
      <c r="AE220" s="185"/>
      <c r="AF220" s="185"/>
      <c r="AG220" s="185"/>
      <c r="AH220" s="185"/>
      <c r="AI220" s="185"/>
      <c r="AJ220" s="185"/>
      <c r="AK220" s="185"/>
      <c r="AL220" s="185"/>
      <c r="AM220" s="185"/>
      <c r="AN220" s="185"/>
      <c r="AO220" s="185"/>
      <c r="AP220" s="185"/>
      <c r="AQ220" s="185"/>
      <c r="AR220" s="185"/>
      <c r="AS220" s="205">
        <f t="shared" ref="AS220:BV220" si="169">AR220</f>
        <v>0</v>
      </c>
      <c r="AT220" s="205">
        <f t="shared" si="169"/>
        <v>0</v>
      </c>
      <c r="AU220" s="205">
        <f t="shared" si="169"/>
        <v>0</v>
      </c>
      <c r="AV220" s="205">
        <f t="shared" si="169"/>
        <v>0</v>
      </c>
      <c r="AW220" s="205">
        <f t="shared" si="169"/>
        <v>0</v>
      </c>
      <c r="AX220" s="205">
        <f t="shared" si="169"/>
        <v>0</v>
      </c>
      <c r="AY220" s="205">
        <f t="shared" si="169"/>
        <v>0</v>
      </c>
      <c r="AZ220" s="205">
        <f t="shared" si="169"/>
        <v>0</v>
      </c>
      <c r="BA220" s="205">
        <f t="shared" si="169"/>
        <v>0</v>
      </c>
      <c r="BB220" s="205">
        <f t="shared" si="169"/>
        <v>0</v>
      </c>
      <c r="BC220" s="205">
        <f t="shared" si="169"/>
        <v>0</v>
      </c>
      <c r="BD220" s="205">
        <f t="shared" si="169"/>
        <v>0</v>
      </c>
      <c r="BE220" s="205">
        <f t="shared" si="169"/>
        <v>0</v>
      </c>
      <c r="BF220" s="205">
        <f t="shared" si="169"/>
        <v>0</v>
      </c>
      <c r="BG220" s="205">
        <f t="shared" si="169"/>
        <v>0</v>
      </c>
      <c r="BH220" s="205">
        <f t="shared" si="169"/>
        <v>0</v>
      </c>
      <c r="BI220" s="205">
        <f t="shared" si="169"/>
        <v>0</v>
      </c>
      <c r="BJ220" s="205">
        <f t="shared" si="169"/>
        <v>0</v>
      </c>
      <c r="BK220" s="205">
        <f t="shared" si="169"/>
        <v>0</v>
      </c>
      <c r="BL220" s="205">
        <f t="shared" si="169"/>
        <v>0</v>
      </c>
      <c r="BM220" s="205">
        <f t="shared" si="169"/>
        <v>0</v>
      </c>
      <c r="BN220" s="205">
        <f t="shared" si="169"/>
        <v>0</v>
      </c>
      <c r="BO220" s="205">
        <f t="shared" si="169"/>
        <v>0</v>
      </c>
      <c r="BP220" s="205">
        <f t="shared" si="169"/>
        <v>0</v>
      </c>
      <c r="BQ220" s="205">
        <f t="shared" si="169"/>
        <v>0</v>
      </c>
      <c r="BR220" s="205">
        <f t="shared" si="169"/>
        <v>0</v>
      </c>
      <c r="BS220" s="205">
        <f t="shared" si="169"/>
        <v>0</v>
      </c>
      <c r="BT220" s="205">
        <f t="shared" si="169"/>
        <v>0</v>
      </c>
      <c r="BU220" s="205">
        <f t="shared" si="169"/>
        <v>0</v>
      </c>
      <c r="BV220" s="205">
        <f t="shared" si="169"/>
        <v>0</v>
      </c>
    </row>
    <row r="221" spans="1:74" x14ac:dyDescent="0.25">
      <c r="A221" s="149" t="s">
        <v>220</v>
      </c>
      <c r="B221" s="156"/>
      <c r="C221" s="150"/>
      <c r="D221" s="185">
        <v>4.7002197368249499E-6</v>
      </c>
      <c r="E221" s="185">
        <v>4.7002197368249499E-6</v>
      </c>
      <c r="F221" s="185">
        <v>4.7002197368249499E-6</v>
      </c>
      <c r="G221" s="185">
        <v>4.7002197368249499E-6</v>
      </c>
      <c r="H221" s="185">
        <v>4.7002197368249499E-6</v>
      </c>
      <c r="I221" s="185">
        <v>4.7002197368249499E-6</v>
      </c>
      <c r="J221" s="185">
        <v>4.7002197368249499E-6</v>
      </c>
      <c r="K221" s="185">
        <v>4.7002197368249499E-6</v>
      </c>
      <c r="L221" s="185">
        <v>4.7002197368249499E-6</v>
      </c>
      <c r="M221" s="185">
        <v>4.7002197368249499E-6</v>
      </c>
      <c r="N221" s="185">
        <v>4.7002197368249499E-6</v>
      </c>
      <c r="O221" s="185">
        <v>4.7002197368249499E-6</v>
      </c>
      <c r="P221" s="185">
        <v>4.7002197368249499E-6</v>
      </c>
      <c r="Q221" s="185">
        <v>4.7002197368249499E-6</v>
      </c>
      <c r="R221" s="185">
        <v>4.7002197368249499E-6</v>
      </c>
      <c r="S221" s="185">
        <v>4.7002197368249499E-6</v>
      </c>
      <c r="T221" s="185">
        <v>4.7002197368249499E-6</v>
      </c>
      <c r="U221" s="185">
        <v>4.7002197368249499E-6</v>
      </c>
      <c r="V221" s="185">
        <v>4.7002197368249499E-6</v>
      </c>
      <c r="W221" s="185">
        <v>4.7002197368249499E-6</v>
      </c>
      <c r="X221" s="185">
        <v>4.7002197368249499E-6</v>
      </c>
      <c r="Y221" s="185">
        <v>4.7002197368249499E-6</v>
      </c>
      <c r="Z221" s="185">
        <v>4.7002197368249499E-6</v>
      </c>
      <c r="AA221" s="185">
        <v>4.7002197368249499E-6</v>
      </c>
      <c r="AB221" s="185">
        <v>4.7002197368249499E-6</v>
      </c>
      <c r="AC221" s="185">
        <v>4.7002197368249499E-6</v>
      </c>
      <c r="AD221" s="185">
        <v>4.7002197368249499E-6</v>
      </c>
      <c r="AE221" s="185">
        <v>4.7002197368249499E-6</v>
      </c>
      <c r="AF221" s="185">
        <v>4.7002197368249499E-6</v>
      </c>
      <c r="AG221" s="185">
        <v>4.7002197368249499E-6</v>
      </c>
      <c r="AH221" s="185">
        <v>4.7002197368249499E-6</v>
      </c>
      <c r="AI221" s="185">
        <v>4.7002197368249499E-6</v>
      </c>
      <c r="AJ221" s="185">
        <v>4.7002197368249499E-6</v>
      </c>
      <c r="AK221" s="185">
        <v>4.7002197368249499E-6</v>
      </c>
      <c r="AL221" s="185">
        <v>4.7002197368249499E-6</v>
      </c>
      <c r="AM221" s="185">
        <v>4.7002197368249499E-6</v>
      </c>
      <c r="AN221" s="185">
        <v>4.7002197368249499E-6</v>
      </c>
      <c r="AO221" s="185">
        <v>4.7002197368249499E-6</v>
      </c>
      <c r="AP221" s="185">
        <v>4.7002197368249499E-6</v>
      </c>
      <c r="AQ221" s="185">
        <v>4.7002197368249499E-6</v>
      </c>
      <c r="AR221" s="185">
        <v>4.7002197368249499E-6</v>
      </c>
      <c r="AS221" s="205">
        <f t="shared" ref="AS221:BV221" si="170">AR221</f>
        <v>4.7002197368249499E-6</v>
      </c>
      <c r="AT221" s="205">
        <f t="shared" si="170"/>
        <v>4.7002197368249499E-6</v>
      </c>
      <c r="AU221" s="205">
        <f t="shared" si="170"/>
        <v>4.7002197368249499E-6</v>
      </c>
      <c r="AV221" s="205">
        <f t="shared" si="170"/>
        <v>4.7002197368249499E-6</v>
      </c>
      <c r="AW221" s="205">
        <f t="shared" si="170"/>
        <v>4.7002197368249499E-6</v>
      </c>
      <c r="AX221" s="205">
        <f t="shared" si="170"/>
        <v>4.7002197368249499E-6</v>
      </c>
      <c r="AY221" s="205">
        <f t="shared" si="170"/>
        <v>4.7002197368249499E-6</v>
      </c>
      <c r="AZ221" s="205">
        <f t="shared" si="170"/>
        <v>4.7002197368249499E-6</v>
      </c>
      <c r="BA221" s="205">
        <f t="shared" si="170"/>
        <v>4.7002197368249499E-6</v>
      </c>
      <c r="BB221" s="205">
        <f t="shared" si="170"/>
        <v>4.7002197368249499E-6</v>
      </c>
      <c r="BC221" s="205">
        <f t="shared" si="170"/>
        <v>4.7002197368249499E-6</v>
      </c>
      <c r="BD221" s="205">
        <f t="shared" si="170"/>
        <v>4.7002197368249499E-6</v>
      </c>
      <c r="BE221" s="205">
        <f t="shared" si="170"/>
        <v>4.7002197368249499E-6</v>
      </c>
      <c r="BF221" s="205">
        <f t="shared" si="170"/>
        <v>4.7002197368249499E-6</v>
      </c>
      <c r="BG221" s="205">
        <f t="shared" si="170"/>
        <v>4.7002197368249499E-6</v>
      </c>
      <c r="BH221" s="205">
        <f t="shared" si="170"/>
        <v>4.7002197368249499E-6</v>
      </c>
      <c r="BI221" s="205">
        <f t="shared" si="170"/>
        <v>4.7002197368249499E-6</v>
      </c>
      <c r="BJ221" s="205">
        <f t="shared" si="170"/>
        <v>4.7002197368249499E-6</v>
      </c>
      <c r="BK221" s="205">
        <f t="shared" si="170"/>
        <v>4.7002197368249499E-6</v>
      </c>
      <c r="BL221" s="205">
        <f t="shared" si="170"/>
        <v>4.7002197368249499E-6</v>
      </c>
      <c r="BM221" s="205">
        <f t="shared" si="170"/>
        <v>4.7002197368249499E-6</v>
      </c>
      <c r="BN221" s="205">
        <f t="shared" si="170"/>
        <v>4.7002197368249499E-6</v>
      </c>
      <c r="BO221" s="205">
        <f t="shared" si="170"/>
        <v>4.7002197368249499E-6</v>
      </c>
      <c r="BP221" s="205">
        <f t="shared" si="170"/>
        <v>4.7002197368249499E-6</v>
      </c>
      <c r="BQ221" s="205">
        <f t="shared" si="170"/>
        <v>4.7002197368249499E-6</v>
      </c>
      <c r="BR221" s="205">
        <f t="shared" si="170"/>
        <v>4.7002197368249499E-6</v>
      </c>
      <c r="BS221" s="205">
        <f t="shared" si="170"/>
        <v>4.7002197368249499E-6</v>
      </c>
      <c r="BT221" s="205">
        <f t="shared" si="170"/>
        <v>4.7002197368249499E-6</v>
      </c>
      <c r="BU221" s="205">
        <f t="shared" si="170"/>
        <v>4.7002197368249499E-6</v>
      </c>
      <c r="BV221" s="205">
        <f t="shared" si="170"/>
        <v>4.7002197368249499E-6</v>
      </c>
    </row>
    <row r="222" spans="1:74" x14ac:dyDescent="0.25">
      <c r="A222" s="149" t="s">
        <v>221</v>
      </c>
      <c r="B222" s="156"/>
      <c r="C222" s="150"/>
      <c r="D222" s="185">
        <v>7.8121255546175339E-7</v>
      </c>
      <c r="E222" s="185">
        <v>7.8552599932377603E-7</v>
      </c>
      <c r="F222" s="185">
        <v>7.8983944318914021E-7</v>
      </c>
      <c r="G222" s="185">
        <v>7.9415288705784583E-7</v>
      </c>
      <c r="H222" s="185">
        <v>7.9846633092989289E-7</v>
      </c>
      <c r="I222" s="185">
        <v>8.0277977480528118E-7</v>
      </c>
      <c r="J222" s="185">
        <v>8.0421758803781983E-7</v>
      </c>
      <c r="K222" s="185">
        <v>8.0565540367559155E-7</v>
      </c>
      <c r="L222" s="185">
        <v>7.9247058823529418E-7</v>
      </c>
      <c r="M222" s="185">
        <v>7.9388235020978218E-7</v>
      </c>
      <c r="N222" s="185">
        <v>7.952941150204448E-7</v>
      </c>
      <c r="O222" s="185">
        <v>7.8682352713814762E-7</v>
      </c>
      <c r="P222" s="185">
        <v>7.7835293895449792E-7</v>
      </c>
      <c r="Q222" s="185">
        <v>7.6988235294117628E-7</v>
      </c>
      <c r="R222" s="185">
        <v>7.6141176470588203E-7</v>
      </c>
      <c r="S222" s="185">
        <v>7.5294117445097356E-7</v>
      </c>
      <c r="T222" s="185">
        <v>7.5294117456631351E-7</v>
      </c>
      <c r="U222" s="185">
        <v>7.5764706237625108E-7</v>
      </c>
      <c r="V222" s="185">
        <v>7.4352938549604349E-7</v>
      </c>
      <c r="W222" s="185">
        <v>7.5294109837812189E-7</v>
      </c>
      <c r="X222" s="185">
        <v>7.5529419656202649E-7</v>
      </c>
      <c r="Y222" s="185">
        <v>7.6705880963440799E-7</v>
      </c>
      <c r="Z222" s="185">
        <v>8.4534374376200815E-7</v>
      </c>
      <c r="AA222" s="185">
        <v>8.5920167265093158E-7</v>
      </c>
      <c r="AB222" s="185">
        <v>8.5920167265093158E-7</v>
      </c>
      <c r="AC222" s="185">
        <v>8.5920167265093158E-7</v>
      </c>
      <c r="AD222" s="185">
        <v>8.5920178120384003E-7</v>
      </c>
      <c r="AE222" s="185">
        <v>8.5920178120384003E-7</v>
      </c>
      <c r="AF222" s="185">
        <v>8.5920178120384003E-7</v>
      </c>
      <c r="AG222" s="185">
        <v>8.5920178120384003E-7</v>
      </c>
      <c r="AH222" s="185">
        <v>8.5920178120384003E-7</v>
      </c>
      <c r="AI222" s="185">
        <v>8.5920178120384003E-7</v>
      </c>
      <c r="AJ222" s="185">
        <v>8.5920178120384003E-7</v>
      </c>
      <c r="AK222" s="185">
        <v>8.5920178120384003E-7</v>
      </c>
      <c r="AL222" s="185">
        <v>8.5920178120384003E-7</v>
      </c>
      <c r="AM222" s="185">
        <v>8.5920178120384003E-7</v>
      </c>
      <c r="AN222" s="185">
        <v>8.5920178120384003E-7</v>
      </c>
      <c r="AO222" s="185">
        <v>8.5920178120384003E-7</v>
      </c>
      <c r="AP222" s="185">
        <v>8.5920178120384003E-7</v>
      </c>
      <c r="AQ222" s="185">
        <v>8.5920178120384003E-7</v>
      </c>
      <c r="AR222" s="185">
        <v>8.5920178120384003E-7</v>
      </c>
      <c r="AS222" s="205">
        <f t="shared" ref="AS222:BV222" si="171">AR222</f>
        <v>8.5920178120384003E-7</v>
      </c>
      <c r="AT222" s="205">
        <f t="shared" si="171"/>
        <v>8.5920178120384003E-7</v>
      </c>
      <c r="AU222" s="205">
        <f t="shared" si="171"/>
        <v>8.5920178120384003E-7</v>
      </c>
      <c r="AV222" s="205">
        <f t="shared" si="171"/>
        <v>8.5920178120384003E-7</v>
      </c>
      <c r="AW222" s="205">
        <f t="shared" si="171"/>
        <v>8.5920178120384003E-7</v>
      </c>
      <c r="AX222" s="205">
        <f t="shared" si="171"/>
        <v>8.5920178120384003E-7</v>
      </c>
      <c r="AY222" s="205">
        <f t="shared" si="171"/>
        <v>8.5920178120384003E-7</v>
      </c>
      <c r="AZ222" s="205">
        <f t="shared" si="171"/>
        <v>8.5920178120384003E-7</v>
      </c>
      <c r="BA222" s="205">
        <f t="shared" si="171"/>
        <v>8.5920178120384003E-7</v>
      </c>
      <c r="BB222" s="205">
        <f t="shared" si="171"/>
        <v>8.5920178120384003E-7</v>
      </c>
      <c r="BC222" s="205">
        <f t="shared" si="171"/>
        <v>8.5920178120384003E-7</v>
      </c>
      <c r="BD222" s="205">
        <f t="shared" si="171"/>
        <v>8.5920178120384003E-7</v>
      </c>
      <c r="BE222" s="205">
        <f t="shared" si="171"/>
        <v>8.5920178120384003E-7</v>
      </c>
      <c r="BF222" s="205">
        <f t="shared" si="171"/>
        <v>8.5920178120384003E-7</v>
      </c>
      <c r="BG222" s="205">
        <f t="shared" si="171"/>
        <v>8.5920178120384003E-7</v>
      </c>
      <c r="BH222" s="205">
        <f t="shared" si="171"/>
        <v>8.5920178120384003E-7</v>
      </c>
      <c r="BI222" s="205">
        <f t="shared" si="171"/>
        <v>8.5920178120384003E-7</v>
      </c>
      <c r="BJ222" s="205">
        <f t="shared" si="171"/>
        <v>8.5920178120384003E-7</v>
      </c>
      <c r="BK222" s="205">
        <f t="shared" si="171"/>
        <v>8.5920178120384003E-7</v>
      </c>
      <c r="BL222" s="205">
        <f t="shared" si="171"/>
        <v>8.5920178120384003E-7</v>
      </c>
      <c r="BM222" s="205">
        <f t="shared" si="171"/>
        <v>8.5920178120384003E-7</v>
      </c>
      <c r="BN222" s="205">
        <f t="shared" si="171"/>
        <v>8.5920178120384003E-7</v>
      </c>
      <c r="BO222" s="205">
        <f t="shared" si="171"/>
        <v>8.5920178120384003E-7</v>
      </c>
      <c r="BP222" s="205">
        <f t="shared" si="171"/>
        <v>8.5920178120384003E-7</v>
      </c>
      <c r="BQ222" s="205">
        <f t="shared" si="171"/>
        <v>8.5920178120384003E-7</v>
      </c>
      <c r="BR222" s="205">
        <f t="shared" si="171"/>
        <v>8.5920178120384003E-7</v>
      </c>
      <c r="BS222" s="205">
        <f t="shared" si="171"/>
        <v>8.5920178120384003E-7</v>
      </c>
      <c r="BT222" s="205">
        <f t="shared" si="171"/>
        <v>8.5920178120384003E-7</v>
      </c>
      <c r="BU222" s="205">
        <f t="shared" si="171"/>
        <v>8.5920178120384003E-7</v>
      </c>
      <c r="BV222" s="205">
        <f t="shared" si="171"/>
        <v>8.5920178120384003E-7</v>
      </c>
    </row>
    <row r="223" spans="1:74" x14ac:dyDescent="0.25">
      <c r="A223" s="149" t="s">
        <v>223</v>
      </c>
      <c r="B223" s="156"/>
      <c r="C223" s="156"/>
      <c r="D223" s="185">
        <v>2.8851673561610499E-6</v>
      </c>
      <c r="E223" s="185">
        <v>2.8851673561610499E-6</v>
      </c>
      <c r="F223" s="185">
        <v>2.8851673561610499E-6</v>
      </c>
      <c r="G223" s="185">
        <v>2.8851673561610499E-6</v>
      </c>
      <c r="H223" s="185">
        <v>2.8851673561610499E-6</v>
      </c>
      <c r="I223" s="185">
        <v>2.8851673561610499E-6</v>
      </c>
      <c r="J223" s="185">
        <v>2.8851679065807387E-6</v>
      </c>
      <c r="K223" s="185">
        <v>2.8851676985646159E-6</v>
      </c>
      <c r="L223" s="185">
        <v>2.8851686207213464E-6</v>
      </c>
      <c r="M223" s="185">
        <v>2.8851683947514104E-6</v>
      </c>
      <c r="N223" s="185">
        <v>2.8851702942581023E-6</v>
      </c>
      <c r="O223" s="185">
        <v>2.8851741764973704E-6</v>
      </c>
      <c r="P223" s="185">
        <v>2.8571469952248602E-6</v>
      </c>
      <c r="Q223" s="185">
        <v>2.8571408208891936E-6</v>
      </c>
      <c r="R223" s="185">
        <v>2.8571428571428573E-6</v>
      </c>
      <c r="S223" s="185">
        <v>2.8571438571438574E-6</v>
      </c>
      <c r="T223" s="185">
        <v>2.8571428571428573E-6</v>
      </c>
      <c r="U223" s="185">
        <v>2.8571428571428573E-6</v>
      </c>
      <c r="V223" s="185">
        <v>2.857141878529187E-6</v>
      </c>
      <c r="W223" s="185">
        <v>2.8571447898177412E-6</v>
      </c>
      <c r="X223" s="185">
        <v>2.8571409755223756E-6</v>
      </c>
      <c r="Y223" s="185">
        <v>2.8571428571428573E-6</v>
      </c>
      <c r="Z223" s="185">
        <v>2.8571447543337056E-6</v>
      </c>
      <c r="AA223" s="185">
        <v>2.8571437846035586E-6</v>
      </c>
      <c r="AB223" s="185">
        <v>2.8571446568056545E-6</v>
      </c>
      <c r="AC223" s="185">
        <v>2.8571455822852664E-6</v>
      </c>
      <c r="AD223" s="185">
        <v>2.8571419760700631E-6</v>
      </c>
      <c r="AE223" s="185">
        <v>2.8571419702269423E-6</v>
      </c>
      <c r="AF223" s="185">
        <v>2.8571419702269423E-6</v>
      </c>
      <c r="AG223" s="185">
        <v>2.8571419702269423E-6</v>
      </c>
      <c r="AH223" s="185">
        <v>2.8571419702269423E-6</v>
      </c>
      <c r="AI223" s="185">
        <v>2.8571419702269423E-6</v>
      </c>
      <c r="AJ223" s="185">
        <v>2.8571419702269423E-6</v>
      </c>
      <c r="AK223" s="185">
        <v>2.8571419702269423E-6</v>
      </c>
      <c r="AL223" s="185">
        <v>2.8571419702269423E-6</v>
      </c>
      <c r="AM223" s="185">
        <v>2.8571419702269423E-6</v>
      </c>
      <c r="AN223" s="185">
        <v>2.8571419702269423E-6</v>
      </c>
      <c r="AO223" s="185">
        <v>2.8571419702269423E-6</v>
      </c>
      <c r="AP223" s="185">
        <v>2.8571419702269423E-6</v>
      </c>
      <c r="AQ223" s="185">
        <v>2.8571419702269423E-6</v>
      </c>
      <c r="AR223" s="185">
        <v>2.8571419702269423E-6</v>
      </c>
      <c r="AS223" s="205">
        <f t="shared" ref="AS223:BV223" si="172">AR223</f>
        <v>2.8571419702269423E-6</v>
      </c>
      <c r="AT223" s="205">
        <f t="shared" si="172"/>
        <v>2.8571419702269423E-6</v>
      </c>
      <c r="AU223" s="205">
        <f t="shared" si="172"/>
        <v>2.8571419702269423E-6</v>
      </c>
      <c r="AV223" s="205">
        <f t="shared" si="172"/>
        <v>2.8571419702269423E-6</v>
      </c>
      <c r="AW223" s="205">
        <f t="shared" si="172"/>
        <v>2.8571419702269423E-6</v>
      </c>
      <c r="AX223" s="205">
        <f t="shared" si="172"/>
        <v>2.8571419702269423E-6</v>
      </c>
      <c r="AY223" s="205">
        <f t="shared" si="172"/>
        <v>2.8571419702269423E-6</v>
      </c>
      <c r="AZ223" s="205">
        <f t="shared" si="172"/>
        <v>2.8571419702269423E-6</v>
      </c>
      <c r="BA223" s="205">
        <f t="shared" si="172"/>
        <v>2.8571419702269423E-6</v>
      </c>
      <c r="BB223" s="205">
        <f t="shared" si="172"/>
        <v>2.8571419702269423E-6</v>
      </c>
      <c r="BC223" s="205">
        <f t="shared" si="172"/>
        <v>2.8571419702269423E-6</v>
      </c>
      <c r="BD223" s="205">
        <f t="shared" si="172"/>
        <v>2.8571419702269423E-6</v>
      </c>
      <c r="BE223" s="205">
        <f t="shared" si="172"/>
        <v>2.8571419702269423E-6</v>
      </c>
      <c r="BF223" s="205">
        <f t="shared" si="172"/>
        <v>2.8571419702269423E-6</v>
      </c>
      <c r="BG223" s="205">
        <f t="shared" si="172"/>
        <v>2.8571419702269423E-6</v>
      </c>
      <c r="BH223" s="205">
        <f t="shared" si="172"/>
        <v>2.8571419702269423E-6</v>
      </c>
      <c r="BI223" s="205">
        <f t="shared" si="172"/>
        <v>2.8571419702269423E-6</v>
      </c>
      <c r="BJ223" s="205">
        <f t="shared" si="172"/>
        <v>2.8571419702269423E-6</v>
      </c>
      <c r="BK223" s="205">
        <f t="shared" si="172"/>
        <v>2.8571419702269423E-6</v>
      </c>
      <c r="BL223" s="205">
        <f t="shared" si="172"/>
        <v>2.8571419702269423E-6</v>
      </c>
      <c r="BM223" s="205">
        <f t="shared" si="172"/>
        <v>2.8571419702269423E-6</v>
      </c>
      <c r="BN223" s="205">
        <f t="shared" si="172"/>
        <v>2.8571419702269423E-6</v>
      </c>
      <c r="BO223" s="205">
        <f t="shared" si="172"/>
        <v>2.8571419702269423E-6</v>
      </c>
      <c r="BP223" s="205">
        <f t="shared" si="172"/>
        <v>2.8571419702269423E-6</v>
      </c>
      <c r="BQ223" s="205">
        <f t="shared" si="172"/>
        <v>2.8571419702269423E-6</v>
      </c>
      <c r="BR223" s="205">
        <f t="shared" si="172"/>
        <v>2.8571419702269423E-6</v>
      </c>
      <c r="BS223" s="205">
        <f t="shared" si="172"/>
        <v>2.8571419702269423E-6</v>
      </c>
      <c r="BT223" s="205">
        <f t="shared" si="172"/>
        <v>2.8571419702269423E-6</v>
      </c>
      <c r="BU223" s="205">
        <f t="shared" si="172"/>
        <v>2.8571419702269423E-6</v>
      </c>
      <c r="BV223" s="205">
        <f t="shared" si="172"/>
        <v>2.8571419702269423E-6</v>
      </c>
    </row>
    <row r="224" spans="1:74" x14ac:dyDescent="0.25">
      <c r="A224" s="149" t="s">
        <v>279</v>
      </c>
      <c r="B224" s="150"/>
      <c r="C224" s="150"/>
      <c r="D224" s="185">
        <v>2.875629057723017E-6</v>
      </c>
      <c r="E224" s="185">
        <v>2.8756290541675522E-6</v>
      </c>
      <c r="F224" s="185">
        <v>2.8756290506120869E-6</v>
      </c>
      <c r="G224" s="185">
        <v>2.8756290470566217E-6</v>
      </c>
      <c r="H224" s="185">
        <v>2.8756290435011568E-6</v>
      </c>
      <c r="I224" s="185">
        <v>2.8756290399456911E-6</v>
      </c>
      <c r="J224" s="185">
        <v>2.8756290335670507E-6</v>
      </c>
      <c r="K224" s="185">
        <v>2.8756285182424877E-6</v>
      </c>
      <c r="L224" s="185">
        <v>2.8235293036831497E-6</v>
      </c>
      <c r="M224" s="185">
        <v>2.8235293422455884E-6</v>
      </c>
      <c r="N224" s="185">
        <v>2.8235293001734373E-6</v>
      </c>
      <c r="O224" s="185">
        <v>2.8235293205859475E-6</v>
      </c>
      <c r="P224" s="185">
        <v>2.8235292886308541E-6</v>
      </c>
      <c r="Q224" s="185">
        <v>2.8235294015858939E-6</v>
      </c>
      <c r="R224" s="185">
        <v>2.8235293083962409E-6</v>
      </c>
      <c r="S224" s="185">
        <v>2.8235297690850697E-6</v>
      </c>
      <c r="T224" s="185">
        <v>2.8235298636353346E-6</v>
      </c>
      <c r="U224" s="185">
        <v>2.8235288846391223E-6</v>
      </c>
      <c r="V224" s="185">
        <v>2.8235291524956956E-6</v>
      </c>
      <c r="W224" s="185">
        <v>2.8235290179346673E-6</v>
      </c>
      <c r="X224" s="185">
        <v>2.8235296739699532E-6</v>
      </c>
      <c r="Y224" s="185">
        <v>2.8235288747788435E-6</v>
      </c>
      <c r="Z224" s="185">
        <v>2.8235276368673148E-6</v>
      </c>
      <c r="AA224" s="185">
        <v>2.8235290432602849E-6</v>
      </c>
      <c r="AB224" s="185">
        <v>2.8235290432602849E-6</v>
      </c>
      <c r="AC224" s="185">
        <v>2.8235290432602849E-6</v>
      </c>
      <c r="AD224" s="185">
        <v>2.8235279859362284E-6</v>
      </c>
      <c r="AE224" s="185">
        <v>2.8235279859362284E-6</v>
      </c>
      <c r="AF224" s="185">
        <v>2.8235279859362284E-6</v>
      </c>
      <c r="AG224" s="185">
        <v>2.8235279859362284E-6</v>
      </c>
      <c r="AH224" s="185">
        <v>2.8235279859362284E-6</v>
      </c>
      <c r="AI224" s="185">
        <v>2.8235279859362284E-6</v>
      </c>
      <c r="AJ224" s="185">
        <v>2.8235279859362284E-6</v>
      </c>
      <c r="AK224" s="185">
        <v>2.8235279859362284E-6</v>
      </c>
      <c r="AL224" s="185">
        <v>2.8235279859362284E-6</v>
      </c>
      <c r="AM224" s="185">
        <v>2.8235279859362284E-6</v>
      </c>
      <c r="AN224" s="185">
        <v>2.8235279859362284E-6</v>
      </c>
      <c r="AO224" s="185">
        <v>2.8235279859362284E-6</v>
      </c>
      <c r="AP224" s="185">
        <v>2.8235279859362284E-6</v>
      </c>
      <c r="AQ224" s="185">
        <v>2.8235279859362284E-6</v>
      </c>
      <c r="AR224" s="185">
        <v>2.8235279859362284E-6</v>
      </c>
      <c r="AS224" s="205">
        <f t="shared" ref="AS224:BV224" si="173">AR224</f>
        <v>2.8235279859362284E-6</v>
      </c>
      <c r="AT224" s="205">
        <f t="shared" si="173"/>
        <v>2.8235279859362284E-6</v>
      </c>
      <c r="AU224" s="205">
        <f t="shared" si="173"/>
        <v>2.8235279859362284E-6</v>
      </c>
      <c r="AV224" s="205">
        <f t="shared" si="173"/>
        <v>2.8235279859362284E-6</v>
      </c>
      <c r="AW224" s="205">
        <f t="shared" si="173"/>
        <v>2.8235279859362284E-6</v>
      </c>
      <c r="AX224" s="205">
        <f t="shared" si="173"/>
        <v>2.8235279859362284E-6</v>
      </c>
      <c r="AY224" s="205">
        <f t="shared" si="173"/>
        <v>2.8235279859362284E-6</v>
      </c>
      <c r="AZ224" s="205">
        <f t="shared" si="173"/>
        <v>2.8235279859362284E-6</v>
      </c>
      <c r="BA224" s="205">
        <f t="shared" si="173"/>
        <v>2.8235279859362284E-6</v>
      </c>
      <c r="BB224" s="205">
        <f t="shared" si="173"/>
        <v>2.8235279859362284E-6</v>
      </c>
      <c r="BC224" s="205">
        <f t="shared" si="173"/>
        <v>2.8235279859362284E-6</v>
      </c>
      <c r="BD224" s="205">
        <f t="shared" si="173"/>
        <v>2.8235279859362284E-6</v>
      </c>
      <c r="BE224" s="205">
        <f t="shared" si="173"/>
        <v>2.8235279859362284E-6</v>
      </c>
      <c r="BF224" s="205">
        <f t="shared" si="173"/>
        <v>2.8235279859362284E-6</v>
      </c>
      <c r="BG224" s="205">
        <f t="shared" si="173"/>
        <v>2.8235279859362284E-6</v>
      </c>
      <c r="BH224" s="205">
        <f t="shared" si="173"/>
        <v>2.8235279859362284E-6</v>
      </c>
      <c r="BI224" s="205">
        <f t="shared" si="173"/>
        <v>2.8235279859362284E-6</v>
      </c>
      <c r="BJ224" s="205">
        <f t="shared" si="173"/>
        <v>2.8235279859362284E-6</v>
      </c>
      <c r="BK224" s="205">
        <f t="shared" si="173"/>
        <v>2.8235279859362284E-6</v>
      </c>
      <c r="BL224" s="205">
        <f t="shared" si="173"/>
        <v>2.8235279859362284E-6</v>
      </c>
      <c r="BM224" s="205">
        <f t="shared" si="173"/>
        <v>2.8235279859362284E-6</v>
      </c>
      <c r="BN224" s="205">
        <f t="shared" si="173"/>
        <v>2.8235279859362284E-6</v>
      </c>
      <c r="BO224" s="205">
        <f t="shared" si="173"/>
        <v>2.8235279859362284E-6</v>
      </c>
      <c r="BP224" s="205">
        <f t="shared" si="173"/>
        <v>2.8235279859362284E-6</v>
      </c>
      <c r="BQ224" s="205">
        <f t="shared" si="173"/>
        <v>2.8235279859362284E-6</v>
      </c>
      <c r="BR224" s="205">
        <f t="shared" si="173"/>
        <v>2.8235279859362284E-6</v>
      </c>
      <c r="BS224" s="205">
        <f t="shared" si="173"/>
        <v>2.8235279859362284E-6</v>
      </c>
      <c r="BT224" s="205">
        <f t="shared" si="173"/>
        <v>2.8235279859362284E-6</v>
      </c>
      <c r="BU224" s="205">
        <f t="shared" si="173"/>
        <v>2.8235279859362284E-6</v>
      </c>
      <c r="BV224" s="205">
        <f t="shared" si="173"/>
        <v>2.8235279859362284E-6</v>
      </c>
    </row>
    <row r="225" spans="1:74" x14ac:dyDescent="0.25">
      <c r="A225" s="149" t="s">
        <v>224</v>
      </c>
      <c r="B225" s="150"/>
      <c r="C225" s="150"/>
      <c r="D225" s="185">
        <v>1.5511892758570288E-7</v>
      </c>
      <c r="E225" s="185">
        <v>1.5511893093744642E-7</v>
      </c>
      <c r="F225" s="185">
        <v>1.5511893428919012E-7</v>
      </c>
      <c r="G225" s="185">
        <v>1.5511893764093396E-7</v>
      </c>
      <c r="H225" s="185">
        <v>1.5511894099267795E-7</v>
      </c>
      <c r="I225" s="185">
        <v>1.55118944344422E-7</v>
      </c>
      <c r="J225" s="185">
        <v>1.5511892598170795E-7</v>
      </c>
      <c r="K225" s="185">
        <v>1.5511891425136013E-7</v>
      </c>
      <c r="L225" s="185">
        <v>1.5511894859720082E-7</v>
      </c>
      <c r="M225" s="185">
        <v>1.5511893097240577E-7</v>
      </c>
      <c r="N225" s="185">
        <v>1.551189235114524E-7</v>
      </c>
      <c r="O225" s="185">
        <v>1.5511892068819648E-7</v>
      </c>
      <c r="P225" s="185">
        <v>1.5511893389211013E-7</v>
      </c>
      <c r="Q225" s="185">
        <v>1.5511892758279565E-7</v>
      </c>
      <c r="R225" s="185">
        <v>1.5511890642099801E-7</v>
      </c>
      <c r="S225" s="185">
        <v>1.551188776112716E-7</v>
      </c>
      <c r="T225" s="185">
        <v>1.5511907131905274E-7</v>
      </c>
      <c r="U225" s="185">
        <v>1.5511901915940744E-7</v>
      </c>
      <c r="V225" s="185">
        <v>1.5511886999636795E-7</v>
      </c>
      <c r="W225" s="185">
        <v>1.5511898079248832E-7</v>
      </c>
      <c r="X225" s="185">
        <v>1.5511891936152134E-7</v>
      </c>
      <c r="Y225" s="185">
        <v>1.551189501346131E-7</v>
      </c>
      <c r="Z225" s="185">
        <v>1.5511882527918E-7</v>
      </c>
      <c r="AA225" s="185">
        <v>1.5511888818665447E-7</v>
      </c>
      <c r="AB225" s="185">
        <v>1.5574193215853472E-7</v>
      </c>
      <c r="AC225" s="185">
        <v>1.5571589224195739E-7</v>
      </c>
      <c r="AD225" s="185">
        <v>1.5601202623501508E-7</v>
      </c>
      <c r="AE225" s="185">
        <v>1.5610655905890815E-7</v>
      </c>
      <c r="AF225" s="185">
        <v>1.5610655905890815E-7</v>
      </c>
      <c r="AG225" s="185">
        <v>1.5610655905890815E-7</v>
      </c>
      <c r="AH225" s="185">
        <v>1.5610655905890815E-7</v>
      </c>
      <c r="AI225" s="185">
        <v>1.5610655905890815E-7</v>
      </c>
      <c r="AJ225" s="185">
        <v>1.5610655905890815E-7</v>
      </c>
      <c r="AK225" s="185">
        <v>1.5610655905890815E-7</v>
      </c>
      <c r="AL225" s="185">
        <v>1.5610655905890815E-7</v>
      </c>
      <c r="AM225" s="185">
        <v>1.5610655905890815E-7</v>
      </c>
      <c r="AN225" s="185">
        <v>1.5610655905890815E-7</v>
      </c>
      <c r="AO225" s="185">
        <v>1.5610655905890815E-7</v>
      </c>
      <c r="AP225" s="185">
        <v>1.5610655905890815E-7</v>
      </c>
      <c r="AQ225" s="185">
        <v>1.5610655905890815E-7</v>
      </c>
      <c r="AR225" s="185">
        <v>1.5610655905890815E-7</v>
      </c>
      <c r="AS225" s="205">
        <f t="shared" ref="AS225:BV225" si="174">AR225</f>
        <v>1.5610655905890815E-7</v>
      </c>
      <c r="AT225" s="205">
        <f t="shared" si="174"/>
        <v>1.5610655905890815E-7</v>
      </c>
      <c r="AU225" s="205">
        <f t="shared" si="174"/>
        <v>1.5610655905890815E-7</v>
      </c>
      <c r="AV225" s="205">
        <f t="shared" si="174"/>
        <v>1.5610655905890815E-7</v>
      </c>
      <c r="AW225" s="205">
        <f t="shared" si="174"/>
        <v>1.5610655905890815E-7</v>
      </c>
      <c r="AX225" s="205">
        <f t="shared" si="174"/>
        <v>1.5610655905890815E-7</v>
      </c>
      <c r="AY225" s="205">
        <f t="shared" si="174"/>
        <v>1.5610655905890815E-7</v>
      </c>
      <c r="AZ225" s="205">
        <f t="shared" si="174"/>
        <v>1.5610655905890815E-7</v>
      </c>
      <c r="BA225" s="205">
        <f t="shared" si="174"/>
        <v>1.5610655905890815E-7</v>
      </c>
      <c r="BB225" s="205">
        <f t="shared" si="174"/>
        <v>1.5610655905890815E-7</v>
      </c>
      <c r="BC225" s="205">
        <f t="shared" si="174"/>
        <v>1.5610655905890815E-7</v>
      </c>
      <c r="BD225" s="205">
        <f t="shared" si="174"/>
        <v>1.5610655905890815E-7</v>
      </c>
      <c r="BE225" s="205">
        <f t="shared" si="174"/>
        <v>1.5610655905890815E-7</v>
      </c>
      <c r="BF225" s="205">
        <f t="shared" si="174"/>
        <v>1.5610655905890815E-7</v>
      </c>
      <c r="BG225" s="205">
        <f t="shared" si="174"/>
        <v>1.5610655905890815E-7</v>
      </c>
      <c r="BH225" s="205">
        <f t="shared" si="174"/>
        <v>1.5610655905890815E-7</v>
      </c>
      <c r="BI225" s="205">
        <f t="shared" si="174"/>
        <v>1.5610655905890815E-7</v>
      </c>
      <c r="BJ225" s="205">
        <f t="shared" si="174"/>
        <v>1.5610655905890815E-7</v>
      </c>
      <c r="BK225" s="205">
        <f t="shared" si="174"/>
        <v>1.5610655905890815E-7</v>
      </c>
      <c r="BL225" s="205">
        <f t="shared" si="174"/>
        <v>1.5610655905890815E-7</v>
      </c>
      <c r="BM225" s="205">
        <f t="shared" si="174"/>
        <v>1.5610655905890815E-7</v>
      </c>
      <c r="BN225" s="205">
        <f t="shared" si="174"/>
        <v>1.5610655905890815E-7</v>
      </c>
      <c r="BO225" s="205">
        <f t="shared" si="174"/>
        <v>1.5610655905890815E-7</v>
      </c>
      <c r="BP225" s="205">
        <f t="shared" si="174"/>
        <v>1.5610655905890815E-7</v>
      </c>
      <c r="BQ225" s="205">
        <f t="shared" si="174"/>
        <v>1.5610655905890815E-7</v>
      </c>
      <c r="BR225" s="205">
        <f t="shared" si="174"/>
        <v>1.5610655905890815E-7</v>
      </c>
      <c r="BS225" s="205">
        <f t="shared" si="174"/>
        <v>1.5610655905890815E-7</v>
      </c>
      <c r="BT225" s="205">
        <f t="shared" si="174"/>
        <v>1.5610655905890815E-7</v>
      </c>
      <c r="BU225" s="205">
        <f t="shared" si="174"/>
        <v>1.5610655905890815E-7</v>
      </c>
      <c r="BV225" s="205">
        <f t="shared" si="174"/>
        <v>1.5610655905890815E-7</v>
      </c>
    </row>
    <row r="226" spans="1:74" x14ac:dyDescent="0.25">
      <c r="A226" s="155" t="s">
        <v>13</v>
      </c>
      <c r="C226" s="150"/>
      <c r="D226" s="185">
        <v>1.5511892758570288E-7</v>
      </c>
      <c r="E226" s="185">
        <v>1.5511893093744642E-7</v>
      </c>
      <c r="F226" s="185">
        <v>1.5511893428919012E-7</v>
      </c>
      <c r="G226" s="185">
        <v>1.5511893764093396E-7</v>
      </c>
      <c r="H226" s="185">
        <v>1.5511894099267795E-7</v>
      </c>
      <c r="I226" s="185">
        <v>1.55118944344422E-7</v>
      </c>
      <c r="J226" s="185">
        <v>1.5511892598170795E-7</v>
      </c>
      <c r="K226" s="185">
        <v>1.5511891425136013E-7</v>
      </c>
      <c r="L226" s="185">
        <v>1.5511894859720082E-7</v>
      </c>
      <c r="M226" s="185">
        <v>1.5511893097240577E-7</v>
      </c>
      <c r="N226" s="185">
        <v>1.551189235114524E-7</v>
      </c>
      <c r="O226" s="185">
        <v>1.5511892068819648E-7</v>
      </c>
      <c r="P226" s="185">
        <v>1.5511893389211013E-7</v>
      </c>
      <c r="Q226" s="185">
        <v>1.5511892758279565E-7</v>
      </c>
      <c r="R226" s="185">
        <v>1.5511890642099801E-7</v>
      </c>
      <c r="S226" s="185">
        <v>1.551188776112716E-7</v>
      </c>
      <c r="T226" s="185">
        <v>1.5511907131905274E-7</v>
      </c>
      <c r="U226" s="185">
        <v>1.5511901915940744E-7</v>
      </c>
      <c r="V226" s="185">
        <v>1.5511886999636795E-7</v>
      </c>
      <c r="W226" s="185">
        <v>1.5511898079248832E-7</v>
      </c>
      <c r="X226" s="185">
        <v>1.5511891936152134E-7</v>
      </c>
      <c r="Y226" s="185">
        <v>1.551189501346131E-7</v>
      </c>
      <c r="Z226" s="185">
        <v>1.5511882527918E-7</v>
      </c>
      <c r="AA226" s="185">
        <v>1.5511888818665447E-7</v>
      </c>
      <c r="AB226" s="185">
        <v>1.5574193215853472E-7</v>
      </c>
      <c r="AC226" s="185">
        <v>1.5571589224195739E-7</v>
      </c>
      <c r="AD226" s="185">
        <v>1.5601202623501508E-7</v>
      </c>
      <c r="AE226" s="185">
        <v>1.5610655905890815E-7</v>
      </c>
      <c r="AF226" s="185">
        <v>1.5610655905890815E-7</v>
      </c>
      <c r="AG226" s="185">
        <v>1.5610655905890815E-7</v>
      </c>
      <c r="AH226" s="185">
        <v>1.5610655905890815E-7</v>
      </c>
      <c r="AI226" s="185">
        <v>1.5610655905890815E-7</v>
      </c>
      <c r="AJ226" s="185">
        <v>1.5610655905890815E-7</v>
      </c>
      <c r="AK226" s="185">
        <v>1.5610655905890815E-7</v>
      </c>
      <c r="AL226" s="185">
        <v>1.5610655905890815E-7</v>
      </c>
      <c r="AM226" s="185">
        <v>1.5610655905890815E-7</v>
      </c>
      <c r="AN226" s="185">
        <v>1.5610655905890815E-7</v>
      </c>
      <c r="AO226" s="185">
        <v>1.5610655905890815E-7</v>
      </c>
      <c r="AP226" s="185">
        <v>1.5610655905890815E-7</v>
      </c>
      <c r="AQ226" s="185">
        <v>1.5610655905890815E-7</v>
      </c>
      <c r="AR226" s="185">
        <v>1.5610655905890815E-7</v>
      </c>
      <c r="AS226" s="205">
        <f t="shared" ref="AS226:BV226" si="175">AR226</f>
        <v>1.5610655905890815E-7</v>
      </c>
      <c r="AT226" s="205">
        <f t="shared" si="175"/>
        <v>1.5610655905890815E-7</v>
      </c>
      <c r="AU226" s="205">
        <f t="shared" si="175"/>
        <v>1.5610655905890815E-7</v>
      </c>
      <c r="AV226" s="205">
        <f t="shared" si="175"/>
        <v>1.5610655905890815E-7</v>
      </c>
      <c r="AW226" s="205">
        <f t="shared" si="175"/>
        <v>1.5610655905890815E-7</v>
      </c>
      <c r="AX226" s="205">
        <f t="shared" si="175"/>
        <v>1.5610655905890815E-7</v>
      </c>
      <c r="AY226" s="205">
        <f t="shared" si="175"/>
        <v>1.5610655905890815E-7</v>
      </c>
      <c r="AZ226" s="205">
        <f t="shared" si="175"/>
        <v>1.5610655905890815E-7</v>
      </c>
      <c r="BA226" s="205">
        <f t="shared" si="175"/>
        <v>1.5610655905890815E-7</v>
      </c>
      <c r="BB226" s="205">
        <f t="shared" si="175"/>
        <v>1.5610655905890815E-7</v>
      </c>
      <c r="BC226" s="205">
        <f t="shared" si="175"/>
        <v>1.5610655905890815E-7</v>
      </c>
      <c r="BD226" s="205">
        <f t="shared" si="175"/>
        <v>1.5610655905890815E-7</v>
      </c>
      <c r="BE226" s="205">
        <f t="shared" si="175"/>
        <v>1.5610655905890815E-7</v>
      </c>
      <c r="BF226" s="205">
        <f t="shared" si="175"/>
        <v>1.5610655905890815E-7</v>
      </c>
      <c r="BG226" s="205">
        <f t="shared" si="175"/>
        <v>1.5610655905890815E-7</v>
      </c>
      <c r="BH226" s="205">
        <f t="shared" si="175"/>
        <v>1.5610655905890815E-7</v>
      </c>
      <c r="BI226" s="205">
        <f t="shared" si="175"/>
        <v>1.5610655905890815E-7</v>
      </c>
      <c r="BJ226" s="205">
        <f t="shared" si="175"/>
        <v>1.5610655905890815E-7</v>
      </c>
      <c r="BK226" s="205">
        <f t="shared" si="175"/>
        <v>1.5610655905890815E-7</v>
      </c>
      <c r="BL226" s="205">
        <f t="shared" si="175"/>
        <v>1.5610655905890815E-7</v>
      </c>
      <c r="BM226" s="205">
        <f t="shared" si="175"/>
        <v>1.5610655905890815E-7</v>
      </c>
      <c r="BN226" s="205">
        <f t="shared" si="175"/>
        <v>1.5610655905890815E-7</v>
      </c>
      <c r="BO226" s="205">
        <f t="shared" si="175"/>
        <v>1.5610655905890815E-7</v>
      </c>
      <c r="BP226" s="205">
        <f t="shared" si="175"/>
        <v>1.5610655905890815E-7</v>
      </c>
      <c r="BQ226" s="205">
        <f t="shared" si="175"/>
        <v>1.5610655905890815E-7</v>
      </c>
      <c r="BR226" s="205">
        <f t="shared" si="175"/>
        <v>1.5610655905890815E-7</v>
      </c>
      <c r="BS226" s="205">
        <f t="shared" si="175"/>
        <v>1.5610655905890815E-7</v>
      </c>
      <c r="BT226" s="205">
        <f t="shared" si="175"/>
        <v>1.5610655905890815E-7</v>
      </c>
      <c r="BU226" s="205">
        <f t="shared" si="175"/>
        <v>1.5610655905890815E-7</v>
      </c>
      <c r="BV226" s="205">
        <f t="shared" si="175"/>
        <v>1.5610655905890815E-7</v>
      </c>
    </row>
    <row r="227" spans="1:74" x14ac:dyDescent="0.25">
      <c r="A227" s="155" t="s">
        <v>227</v>
      </c>
      <c r="C227" s="150"/>
      <c r="D227" s="185">
        <v>8.9391766268260293E-7</v>
      </c>
      <c r="E227" s="185">
        <v>8.9391766268260293E-7</v>
      </c>
      <c r="F227" s="185">
        <v>8.9391766268260293E-7</v>
      </c>
      <c r="G227" s="185">
        <v>8.9391766268260293E-7</v>
      </c>
      <c r="H227" s="185">
        <v>8.9391766268260293E-7</v>
      </c>
      <c r="I227" s="185">
        <v>8.9391766268260293E-7</v>
      </c>
      <c r="J227" s="185">
        <v>8.9391766268260293E-7</v>
      </c>
      <c r="K227" s="185">
        <v>8.9391766268260293E-7</v>
      </c>
      <c r="L227" s="185">
        <v>8.9391766268260293E-7</v>
      </c>
      <c r="M227" s="185">
        <v>8.9391766268260293E-7</v>
      </c>
      <c r="N227" s="185">
        <v>8.9391766268260293E-7</v>
      </c>
      <c r="O227" s="185">
        <v>8.9391766268260293E-7</v>
      </c>
      <c r="P227" s="185">
        <v>8.9391766268260293E-7</v>
      </c>
      <c r="Q227" s="185">
        <v>8.9551962763743971E-7</v>
      </c>
      <c r="R227" s="185">
        <v>8.9552582730589518E-7</v>
      </c>
      <c r="S227" s="185">
        <v>8.9552582730589518E-7</v>
      </c>
      <c r="T227" s="185">
        <v>8.9552582730589518E-7</v>
      </c>
      <c r="U227" s="185">
        <v>8.9552582730589518E-7</v>
      </c>
      <c r="V227" s="185">
        <v>8.9552582730589518E-7</v>
      </c>
      <c r="W227" s="185">
        <v>8.9552582730589518E-7</v>
      </c>
      <c r="X227" s="185">
        <v>8.9552582730589518E-7</v>
      </c>
      <c r="Y227" s="185">
        <v>8.9552582730589518E-7</v>
      </c>
      <c r="Z227" s="185">
        <v>8.9552582730589518E-7</v>
      </c>
      <c r="AA227" s="185">
        <v>8.9552582730589518E-7</v>
      </c>
      <c r="AB227" s="185">
        <v>8.9552582730589518E-7</v>
      </c>
      <c r="AC227" s="185">
        <v>8.9552582730589518E-7</v>
      </c>
      <c r="AD227" s="185">
        <v>8.9552582730589518E-7</v>
      </c>
      <c r="AE227" s="185">
        <v>8.9552582730589518E-7</v>
      </c>
      <c r="AF227" s="185">
        <v>8.9552582730589518E-7</v>
      </c>
      <c r="AG227" s="185">
        <v>8.9552582730589518E-7</v>
      </c>
      <c r="AH227" s="185">
        <v>8.9552582730589518E-7</v>
      </c>
      <c r="AI227" s="185">
        <v>8.9552582730589518E-7</v>
      </c>
      <c r="AJ227" s="185">
        <v>8.9552582730589518E-7</v>
      </c>
      <c r="AK227" s="185">
        <v>8.9552582730589518E-7</v>
      </c>
      <c r="AL227" s="185">
        <v>8.9552582730589518E-7</v>
      </c>
      <c r="AM227" s="185">
        <v>8.9552582730589518E-7</v>
      </c>
      <c r="AN227" s="185">
        <v>8.9552582730589518E-7</v>
      </c>
      <c r="AO227" s="185">
        <v>8.9552582730589518E-7</v>
      </c>
      <c r="AP227" s="185">
        <v>8.9552582730589518E-7</v>
      </c>
      <c r="AQ227" s="185">
        <v>8.9552582730589518E-7</v>
      </c>
      <c r="AR227" s="185">
        <v>8.9552582730589518E-7</v>
      </c>
      <c r="AS227" s="205">
        <f t="shared" ref="AS227:BV227" si="176">AR227</f>
        <v>8.9552582730589518E-7</v>
      </c>
      <c r="AT227" s="205">
        <f t="shared" si="176"/>
        <v>8.9552582730589518E-7</v>
      </c>
      <c r="AU227" s="205">
        <f t="shared" si="176"/>
        <v>8.9552582730589518E-7</v>
      </c>
      <c r="AV227" s="205">
        <f t="shared" si="176"/>
        <v>8.9552582730589518E-7</v>
      </c>
      <c r="AW227" s="205">
        <f t="shared" si="176"/>
        <v>8.9552582730589518E-7</v>
      </c>
      <c r="AX227" s="205">
        <f t="shared" si="176"/>
        <v>8.9552582730589518E-7</v>
      </c>
      <c r="AY227" s="205">
        <f t="shared" si="176"/>
        <v>8.9552582730589518E-7</v>
      </c>
      <c r="AZ227" s="205">
        <f t="shared" si="176"/>
        <v>8.9552582730589518E-7</v>
      </c>
      <c r="BA227" s="205">
        <f t="shared" si="176"/>
        <v>8.9552582730589518E-7</v>
      </c>
      <c r="BB227" s="205">
        <f t="shared" si="176"/>
        <v>8.9552582730589518E-7</v>
      </c>
      <c r="BC227" s="205">
        <f t="shared" si="176"/>
        <v>8.9552582730589518E-7</v>
      </c>
      <c r="BD227" s="205">
        <f t="shared" si="176"/>
        <v>8.9552582730589518E-7</v>
      </c>
      <c r="BE227" s="205">
        <f t="shared" si="176"/>
        <v>8.9552582730589518E-7</v>
      </c>
      <c r="BF227" s="205">
        <f t="shared" si="176"/>
        <v>8.9552582730589518E-7</v>
      </c>
      <c r="BG227" s="205">
        <f t="shared" si="176"/>
        <v>8.9552582730589518E-7</v>
      </c>
      <c r="BH227" s="205">
        <f t="shared" si="176"/>
        <v>8.9552582730589518E-7</v>
      </c>
      <c r="BI227" s="205">
        <f t="shared" si="176"/>
        <v>8.9552582730589518E-7</v>
      </c>
      <c r="BJ227" s="205">
        <f t="shared" si="176"/>
        <v>8.9552582730589518E-7</v>
      </c>
      <c r="BK227" s="205">
        <f t="shared" si="176"/>
        <v>8.9552582730589518E-7</v>
      </c>
      <c r="BL227" s="205">
        <f t="shared" si="176"/>
        <v>8.9552582730589518E-7</v>
      </c>
      <c r="BM227" s="205">
        <f t="shared" si="176"/>
        <v>8.9552582730589518E-7</v>
      </c>
      <c r="BN227" s="205">
        <f t="shared" si="176"/>
        <v>8.9552582730589518E-7</v>
      </c>
      <c r="BO227" s="205">
        <f t="shared" si="176"/>
        <v>8.9552582730589518E-7</v>
      </c>
      <c r="BP227" s="205">
        <f t="shared" si="176"/>
        <v>8.9552582730589518E-7</v>
      </c>
      <c r="BQ227" s="205">
        <f t="shared" si="176"/>
        <v>8.9552582730589518E-7</v>
      </c>
      <c r="BR227" s="205">
        <f t="shared" si="176"/>
        <v>8.9552582730589518E-7</v>
      </c>
      <c r="BS227" s="205">
        <f t="shared" si="176"/>
        <v>8.9552582730589518E-7</v>
      </c>
      <c r="BT227" s="205">
        <f t="shared" si="176"/>
        <v>8.9552582730589518E-7</v>
      </c>
      <c r="BU227" s="205">
        <f t="shared" si="176"/>
        <v>8.9552582730589518E-7</v>
      </c>
      <c r="BV227" s="205">
        <f t="shared" si="176"/>
        <v>8.9552582730589518E-7</v>
      </c>
    </row>
    <row r="228" spans="1:74" x14ac:dyDescent="0.25">
      <c r="A228" s="155" t="s">
        <v>225</v>
      </c>
      <c r="C228" s="150"/>
      <c r="D228" s="185">
        <v>1.5511892758570288E-7</v>
      </c>
      <c r="E228" s="185">
        <v>1.5511893093744642E-7</v>
      </c>
      <c r="F228" s="185">
        <v>1.5511893428919012E-7</v>
      </c>
      <c r="G228" s="185">
        <v>1.5511893764093396E-7</v>
      </c>
      <c r="H228" s="185">
        <v>1.5511894099267795E-7</v>
      </c>
      <c r="I228" s="185">
        <v>1.55118944344422E-7</v>
      </c>
      <c r="J228" s="185">
        <v>1.5511892598170795E-7</v>
      </c>
      <c r="K228" s="185">
        <v>1.5511891425136013E-7</v>
      </c>
      <c r="L228" s="185">
        <v>1.5511894859720082E-7</v>
      </c>
      <c r="M228" s="185">
        <v>1.5511893097240577E-7</v>
      </c>
      <c r="N228" s="185">
        <v>1.551189235114524E-7</v>
      </c>
      <c r="O228" s="185">
        <v>1.5511892068819648E-7</v>
      </c>
      <c r="P228" s="185">
        <v>1.5511893389211013E-7</v>
      </c>
      <c r="Q228" s="185">
        <v>1.5511892758279565E-7</v>
      </c>
      <c r="R228" s="185">
        <v>1.5511890642099801E-7</v>
      </c>
      <c r="S228" s="185">
        <v>1.551188776112716E-7</v>
      </c>
      <c r="T228" s="185">
        <v>1.5511907131905274E-7</v>
      </c>
      <c r="U228" s="185">
        <v>1.5511901915940744E-7</v>
      </c>
      <c r="V228" s="185">
        <v>1.5511886999636795E-7</v>
      </c>
      <c r="W228" s="185">
        <v>1.5511898079248832E-7</v>
      </c>
      <c r="X228" s="185">
        <v>1.5511891936152134E-7</v>
      </c>
      <c r="Y228" s="185">
        <v>1.551189501346131E-7</v>
      </c>
      <c r="Z228" s="185">
        <v>1.5511882527918E-7</v>
      </c>
      <c r="AA228" s="185">
        <v>1.5511888818665447E-7</v>
      </c>
      <c r="AB228" s="185">
        <v>1.5574193215853472E-7</v>
      </c>
      <c r="AC228" s="185">
        <v>1.5571589224195739E-7</v>
      </c>
      <c r="AD228" s="185">
        <v>1.5601202623501508E-7</v>
      </c>
      <c r="AE228" s="185">
        <v>1.5610655905890815E-7</v>
      </c>
      <c r="AF228" s="185">
        <v>1.5610655905890815E-7</v>
      </c>
      <c r="AG228" s="185">
        <v>1.5610655905890815E-7</v>
      </c>
      <c r="AH228" s="185">
        <v>1.5610655905890815E-7</v>
      </c>
      <c r="AI228" s="185">
        <v>1.5610655905890815E-7</v>
      </c>
      <c r="AJ228" s="185">
        <v>1.5610655905890815E-7</v>
      </c>
      <c r="AK228" s="185">
        <v>1.5610655905890815E-7</v>
      </c>
      <c r="AL228" s="185">
        <v>1.5610655905890815E-7</v>
      </c>
      <c r="AM228" s="185">
        <v>1.5610655905890815E-7</v>
      </c>
      <c r="AN228" s="185">
        <v>1.5610655905890815E-7</v>
      </c>
      <c r="AO228" s="185">
        <v>1.5610655905890815E-7</v>
      </c>
      <c r="AP228" s="185">
        <v>1.5610655905890815E-7</v>
      </c>
      <c r="AQ228" s="185">
        <v>1.5610655905890815E-7</v>
      </c>
      <c r="AR228" s="185">
        <v>1.5610655905890815E-7</v>
      </c>
      <c r="AS228" s="205">
        <f t="shared" ref="AS228:BV228" si="177">AR228</f>
        <v>1.5610655905890815E-7</v>
      </c>
      <c r="AT228" s="205">
        <f t="shared" si="177"/>
        <v>1.5610655905890815E-7</v>
      </c>
      <c r="AU228" s="205">
        <f t="shared" si="177"/>
        <v>1.5610655905890815E-7</v>
      </c>
      <c r="AV228" s="205">
        <f t="shared" si="177"/>
        <v>1.5610655905890815E-7</v>
      </c>
      <c r="AW228" s="205">
        <f t="shared" si="177"/>
        <v>1.5610655905890815E-7</v>
      </c>
      <c r="AX228" s="205">
        <f t="shared" si="177"/>
        <v>1.5610655905890815E-7</v>
      </c>
      <c r="AY228" s="205">
        <f t="shared" si="177"/>
        <v>1.5610655905890815E-7</v>
      </c>
      <c r="AZ228" s="205">
        <f t="shared" si="177"/>
        <v>1.5610655905890815E-7</v>
      </c>
      <c r="BA228" s="205">
        <f t="shared" si="177"/>
        <v>1.5610655905890815E-7</v>
      </c>
      <c r="BB228" s="205">
        <f t="shared" si="177"/>
        <v>1.5610655905890815E-7</v>
      </c>
      <c r="BC228" s="205">
        <f t="shared" si="177"/>
        <v>1.5610655905890815E-7</v>
      </c>
      <c r="BD228" s="205">
        <f t="shared" si="177"/>
        <v>1.5610655905890815E-7</v>
      </c>
      <c r="BE228" s="205">
        <f t="shared" si="177"/>
        <v>1.5610655905890815E-7</v>
      </c>
      <c r="BF228" s="205">
        <f t="shared" si="177"/>
        <v>1.5610655905890815E-7</v>
      </c>
      <c r="BG228" s="205">
        <f t="shared" si="177"/>
        <v>1.5610655905890815E-7</v>
      </c>
      <c r="BH228" s="205">
        <f t="shared" si="177"/>
        <v>1.5610655905890815E-7</v>
      </c>
      <c r="BI228" s="205">
        <f t="shared" si="177"/>
        <v>1.5610655905890815E-7</v>
      </c>
      <c r="BJ228" s="205">
        <f t="shared" si="177"/>
        <v>1.5610655905890815E-7</v>
      </c>
      <c r="BK228" s="205">
        <f t="shared" si="177"/>
        <v>1.5610655905890815E-7</v>
      </c>
      <c r="BL228" s="205">
        <f t="shared" si="177"/>
        <v>1.5610655905890815E-7</v>
      </c>
      <c r="BM228" s="205">
        <f t="shared" si="177"/>
        <v>1.5610655905890815E-7</v>
      </c>
      <c r="BN228" s="205">
        <f t="shared" si="177"/>
        <v>1.5610655905890815E-7</v>
      </c>
      <c r="BO228" s="205">
        <f t="shared" si="177"/>
        <v>1.5610655905890815E-7</v>
      </c>
      <c r="BP228" s="205">
        <f t="shared" si="177"/>
        <v>1.5610655905890815E-7</v>
      </c>
      <c r="BQ228" s="205">
        <f t="shared" si="177"/>
        <v>1.5610655905890815E-7</v>
      </c>
      <c r="BR228" s="205">
        <f t="shared" si="177"/>
        <v>1.5610655905890815E-7</v>
      </c>
      <c r="BS228" s="205">
        <f t="shared" si="177"/>
        <v>1.5610655905890815E-7</v>
      </c>
      <c r="BT228" s="205">
        <f t="shared" si="177"/>
        <v>1.5610655905890815E-7</v>
      </c>
      <c r="BU228" s="205">
        <f t="shared" si="177"/>
        <v>1.5610655905890815E-7</v>
      </c>
      <c r="BV228" s="205">
        <f t="shared" si="177"/>
        <v>1.5610655905890815E-7</v>
      </c>
    </row>
    <row r="229" spans="1:74" x14ac:dyDescent="0.25">
      <c r="A229" s="149" t="s">
        <v>14</v>
      </c>
      <c r="B229" s="156"/>
      <c r="C229" s="150"/>
      <c r="D229" s="185">
        <v>9.79354158611298E-7</v>
      </c>
      <c r="E229" s="185">
        <v>9.7790464360600569E-7</v>
      </c>
      <c r="F229" s="185">
        <v>9.7645941303358648E-7</v>
      </c>
      <c r="G229" s="185">
        <v>9.7501844792637525E-7</v>
      </c>
      <c r="H229" s="185">
        <v>9.7358172942850527E-7</v>
      </c>
      <c r="I229" s="185">
        <v>9.7214923879508428E-7</v>
      </c>
      <c r="J229" s="185">
        <v>9.7112860770900535E-7</v>
      </c>
      <c r="K229" s="185">
        <v>9.7061909838669733E-7</v>
      </c>
      <c r="L229" s="185">
        <v>9.693476550317785E-7</v>
      </c>
      <c r="M229" s="185">
        <v>9.7036454270111921E-7</v>
      </c>
      <c r="N229" s="185">
        <v>9.7394051232794818E-7</v>
      </c>
      <c r="O229" s="185">
        <v>9.7138356351785468E-7</v>
      </c>
      <c r="P229" s="185">
        <v>9.7138356667125818E-7</v>
      </c>
      <c r="Q229" s="185">
        <v>9.6858638743455478E-7</v>
      </c>
      <c r="R229" s="185">
        <v>9.6833289572591836E-7</v>
      </c>
      <c r="S229" s="185">
        <v>9.6706745968712354E-7</v>
      </c>
      <c r="T229" s="185">
        <v>9.670674287828192E-7</v>
      </c>
      <c r="U229" s="185">
        <v>9.7087377090997642E-7</v>
      </c>
      <c r="V229" s="185">
        <v>9.6329083616292674E-7</v>
      </c>
      <c r="W229" s="185">
        <v>9.6278946445229952E-7</v>
      </c>
      <c r="X229" s="185">
        <v>9.6053998074030376E-7</v>
      </c>
      <c r="Y229" s="185">
        <v>9.595435413772697E-7</v>
      </c>
      <c r="Z229" s="185">
        <v>9.5508515933911687E-7</v>
      </c>
      <c r="AA229" s="185">
        <v>9.5238092844104533E-7</v>
      </c>
      <c r="AB229" s="185">
        <v>9.4871796761961505E-7</v>
      </c>
      <c r="AC229" s="185">
        <v>9.4291540484527353E-7</v>
      </c>
      <c r="AD229" s="185">
        <v>9.479888954209107E-7</v>
      </c>
      <c r="AE229" s="185">
        <v>9.433964311112741E-7</v>
      </c>
      <c r="AF229" s="185">
        <v>9.433964311112741E-7</v>
      </c>
      <c r="AG229" s="185">
        <v>9.433964311112741E-7</v>
      </c>
      <c r="AH229" s="185">
        <v>9.433964311112741E-7</v>
      </c>
      <c r="AI229" s="185">
        <v>9.433964311112741E-7</v>
      </c>
      <c r="AJ229" s="185">
        <v>9.433964311112741E-7</v>
      </c>
      <c r="AK229" s="185">
        <v>9.433964311112741E-7</v>
      </c>
      <c r="AL229" s="185">
        <v>9.433964311112741E-7</v>
      </c>
      <c r="AM229" s="185">
        <v>9.433964311112741E-7</v>
      </c>
      <c r="AN229" s="185">
        <v>9.433964311112741E-7</v>
      </c>
      <c r="AO229" s="185">
        <v>9.433964311112741E-7</v>
      </c>
      <c r="AP229" s="185">
        <v>9.433964311112741E-7</v>
      </c>
      <c r="AQ229" s="185">
        <v>9.433964311112741E-7</v>
      </c>
      <c r="AR229" s="185">
        <v>9.433964311112741E-7</v>
      </c>
      <c r="AS229" s="205">
        <f t="shared" ref="AS229:BV229" si="178">AR229</f>
        <v>9.433964311112741E-7</v>
      </c>
      <c r="AT229" s="205">
        <f t="shared" si="178"/>
        <v>9.433964311112741E-7</v>
      </c>
      <c r="AU229" s="205">
        <f t="shared" si="178"/>
        <v>9.433964311112741E-7</v>
      </c>
      <c r="AV229" s="205">
        <f t="shared" si="178"/>
        <v>9.433964311112741E-7</v>
      </c>
      <c r="AW229" s="205">
        <f t="shared" si="178"/>
        <v>9.433964311112741E-7</v>
      </c>
      <c r="AX229" s="205">
        <f t="shared" si="178"/>
        <v>9.433964311112741E-7</v>
      </c>
      <c r="AY229" s="205">
        <f t="shared" si="178"/>
        <v>9.433964311112741E-7</v>
      </c>
      <c r="AZ229" s="205">
        <f t="shared" si="178"/>
        <v>9.433964311112741E-7</v>
      </c>
      <c r="BA229" s="205">
        <f t="shared" si="178"/>
        <v>9.433964311112741E-7</v>
      </c>
      <c r="BB229" s="205">
        <f t="shared" si="178"/>
        <v>9.433964311112741E-7</v>
      </c>
      <c r="BC229" s="205">
        <f t="shared" si="178"/>
        <v>9.433964311112741E-7</v>
      </c>
      <c r="BD229" s="205">
        <f t="shared" si="178"/>
        <v>9.433964311112741E-7</v>
      </c>
      <c r="BE229" s="205">
        <f t="shared" si="178"/>
        <v>9.433964311112741E-7</v>
      </c>
      <c r="BF229" s="205">
        <f t="shared" si="178"/>
        <v>9.433964311112741E-7</v>
      </c>
      <c r="BG229" s="205">
        <f t="shared" si="178"/>
        <v>9.433964311112741E-7</v>
      </c>
      <c r="BH229" s="205">
        <f t="shared" si="178"/>
        <v>9.433964311112741E-7</v>
      </c>
      <c r="BI229" s="205">
        <f t="shared" si="178"/>
        <v>9.433964311112741E-7</v>
      </c>
      <c r="BJ229" s="205">
        <f t="shared" si="178"/>
        <v>9.433964311112741E-7</v>
      </c>
      <c r="BK229" s="205">
        <f t="shared" si="178"/>
        <v>9.433964311112741E-7</v>
      </c>
      <c r="BL229" s="205">
        <f t="shared" si="178"/>
        <v>9.433964311112741E-7</v>
      </c>
      <c r="BM229" s="205">
        <f t="shared" si="178"/>
        <v>9.433964311112741E-7</v>
      </c>
      <c r="BN229" s="205">
        <f t="shared" si="178"/>
        <v>9.433964311112741E-7</v>
      </c>
      <c r="BO229" s="205">
        <f t="shared" si="178"/>
        <v>9.433964311112741E-7</v>
      </c>
      <c r="BP229" s="205">
        <f t="shared" si="178"/>
        <v>9.433964311112741E-7</v>
      </c>
      <c r="BQ229" s="205">
        <f t="shared" si="178"/>
        <v>9.433964311112741E-7</v>
      </c>
      <c r="BR229" s="205">
        <f t="shared" si="178"/>
        <v>9.433964311112741E-7</v>
      </c>
      <c r="BS229" s="205">
        <f t="shared" si="178"/>
        <v>9.433964311112741E-7</v>
      </c>
      <c r="BT229" s="205">
        <f t="shared" si="178"/>
        <v>9.433964311112741E-7</v>
      </c>
      <c r="BU229" s="205">
        <f t="shared" si="178"/>
        <v>9.433964311112741E-7</v>
      </c>
      <c r="BV229" s="205">
        <f t="shared" si="178"/>
        <v>9.433964311112741E-7</v>
      </c>
    </row>
    <row r="230" spans="1:74" x14ac:dyDescent="0.25">
      <c r="A230" s="149" t="s">
        <v>216</v>
      </c>
      <c r="B230" s="150"/>
      <c r="C230" s="150"/>
      <c r="D230" s="185">
        <v>2.6978417357471459E-6</v>
      </c>
      <c r="E230" s="185">
        <v>2.6978417389524566E-6</v>
      </c>
      <c r="F230" s="185">
        <v>2.6978417421577673E-6</v>
      </c>
      <c r="G230" s="185">
        <v>2.6978417453630777E-6</v>
      </c>
      <c r="H230" s="185">
        <v>2.6978417485683884E-6</v>
      </c>
      <c r="I230" s="185">
        <v>2.6978417517736996E-6</v>
      </c>
      <c r="J230" s="185">
        <v>2.6978416771201585E-6</v>
      </c>
      <c r="K230" s="185">
        <v>2.6978417006865027E-6</v>
      </c>
      <c r="L230" s="185">
        <v>2.5839792853072992E-6</v>
      </c>
      <c r="M230" s="185">
        <v>2.5889967163973347E-6</v>
      </c>
      <c r="N230" s="185">
        <v>2.5889967532216271E-6</v>
      </c>
      <c r="O230" s="185">
        <v>2.5889967567509678E-6</v>
      </c>
      <c r="P230" s="185">
        <v>2.5889967473666931E-6</v>
      </c>
      <c r="Q230" s="185">
        <v>2.5889967649113162E-6</v>
      </c>
      <c r="R230" s="185">
        <v>2.5889967529541222E-6</v>
      </c>
      <c r="S230" s="185">
        <v>2.5889967686127557E-6</v>
      </c>
      <c r="T230" s="185">
        <v>2.5889971681382565E-6</v>
      </c>
      <c r="U230" s="185">
        <v>2.5889975690344362E-6</v>
      </c>
      <c r="V230" s="185">
        <v>2.588997293722101E-6</v>
      </c>
      <c r="W230" s="185">
        <v>2.5889972199744079E-6</v>
      </c>
      <c r="X230" s="185">
        <v>2.5889975645349421E-6</v>
      </c>
      <c r="Y230" s="185">
        <v>2.5889969367003036E-6</v>
      </c>
      <c r="Z230" s="185">
        <v>2.5889973423615687E-6</v>
      </c>
      <c r="AA230" s="185">
        <v>2.5889961470582676E-6</v>
      </c>
      <c r="AB230" s="185">
        <v>2.5888323445489533E-6</v>
      </c>
      <c r="AC230" s="185">
        <v>2.5888319141025715E-6</v>
      </c>
      <c r="AD230" s="185">
        <v>2.5888327551652638E-6</v>
      </c>
      <c r="AE230" s="185">
        <v>2.5888327551652638E-6</v>
      </c>
      <c r="AF230" s="185">
        <v>2.5888327551652638E-6</v>
      </c>
      <c r="AG230" s="185">
        <v>2.5888327551652638E-6</v>
      </c>
      <c r="AH230" s="185">
        <v>2.5888327551652638E-6</v>
      </c>
      <c r="AI230" s="185">
        <v>2.5888327551652638E-6</v>
      </c>
      <c r="AJ230" s="185">
        <v>2.5888327551652638E-6</v>
      </c>
      <c r="AK230" s="185">
        <v>2.5888327551652638E-6</v>
      </c>
      <c r="AL230" s="185">
        <v>2.5888327551652638E-6</v>
      </c>
      <c r="AM230" s="185">
        <v>2.5888327551652638E-6</v>
      </c>
      <c r="AN230" s="185">
        <v>2.5888327551652638E-6</v>
      </c>
      <c r="AO230" s="185">
        <v>2.5888327551652638E-6</v>
      </c>
      <c r="AP230" s="185">
        <v>2.5888327551652638E-6</v>
      </c>
      <c r="AQ230" s="185">
        <v>2.5888327551652638E-6</v>
      </c>
      <c r="AR230" s="185">
        <v>2.5888327551652638E-6</v>
      </c>
      <c r="AS230" s="205">
        <f t="shared" ref="AS230:BV230" si="179">AR230</f>
        <v>2.5888327551652638E-6</v>
      </c>
      <c r="AT230" s="205">
        <f t="shared" si="179"/>
        <v>2.5888327551652638E-6</v>
      </c>
      <c r="AU230" s="205">
        <f t="shared" si="179"/>
        <v>2.5888327551652638E-6</v>
      </c>
      <c r="AV230" s="205">
        <f t="shared" si="179"/>
        <v>2.5888327551652638E-6</v>
      </c>
      <c r="AW230" s="205">
        <f t="shared" si="179"/>
        <v>2.5888327551652638E-6</v>
      </c>
      <c r="AX230" s="205">
        <f t="shared" si="179"/>
        <v>2.5888327551652638E-6</v>
      </c>
      <c r="AY230" s="205">
        <f t="shared" si="179"/>
        <v>2.5888327551652638E-6</v>
      </c>
      <c r="AZ230" s="205">
        <f t="shared" si="179"/>
        <v>2.5888327551652638E-6</v>
      </c>
      <c r="BA230" s="205">
        <f t="shared" si="179"/>
        <v>2.5888327551652638E-6</v>
      </c>
      <c r="BB230" s="205">
        <f t="shared" si="179"/>
        <v>2.5888327551652638E-6</v>
      </c>
      <c r="BC230" s="205">
        <f t="shared" si="179"/>
        <v>2.5888327551652638E-6</v>
      </c>
      <c r="BD230" s="205">
        <f t="shared" si="179"/>
        <v>2.5888327551652638E-6</v>
      </c>
      <c r="BE230" s="205">
        <f t="shared" si="179"/>
        <v>2.5888327551652638E-6</v>
      </c>
      <c r="BF230" s="205">
        <f t="shared" si="179"/>
        <v>2.5888327551652638E-6</v>
      </c>
      <c r="BG230" s="205">
        <f t="shared" si="179"/>
        <v>2.5888327551652638E-6</v>
      </c>
      <c r="BH230" s="205">
        <f t="shared" si="179"/>
        <v>2.5888327551652638E-6</v>
      </c>
      <c r="BI230" s="205">
        <f t="shared" si="179"/>
        <v>2.5888327551652638E-6</v>
      </c>
      <c r="BJ230" s="205">
        <f t="shared" si="179"/>
        <v>2.5888327551652638E-6</v>
      </c>
      <c r="BK230" s="205">
        <f t="shared" si="179"/>
        <v>2.5888327551652638E-6</v>
      </c>
      <c r="BL230" s="205">
        <f t="shared" si="179"/>
        <v>2.5888327551652638E-6</v>
      </c>
      <c r="BM230" s="205">
        <f t="shared" si="179"/>
        <v>2.5888327551652638E-6</v>
      </c>
      <c r="BN230" s="205">
        <f t="shared" si="179"/>
        <v>2.5888327551652638E-6</v>
      </c>
      <c r="BO230" s="205">
        <f t="shared" si="179"/>
        <v>2.5888327551652638E-6</v>
      </c>
      <c r="BP230" s="205">
        <f t="shared" si="179"/>
        <v>2.5888327551652638E-6</v>
      </c>
      <c r="BQ230" s="205">
        <f t="shared" si="179"/>
        <v>2.5888327551652638E-6</v>
      </c>
      <c r="BR230" s="205">
        <f t="shared" si="179"/>
        <v>2.5888327551652638E-6</v>
      </c>
      <c r="BS230" s="205">
        <f t="shared" si="179"/>
        <v>2.5888327551652638E-6</v>
      </c>
      <c r="BT230" s="205">
        <f t="shared" si="179"/>
        <v>2.5888327551652638E-6</v>
      </c>
      <c r="BU230" s="205">
        <f t="shared" si="179"/>
        <v>2.5888327551652638E-6</v>
      </c>
      <c r="BV230" s="205">
        <f t="shared" si="179"/>
        <v>2.5888327551652638E-6</v>
      </c>
    </row>
    <row r="231" spans="1:74" x14ac:dyDescent="0.25">
      <c r="A231" s="155" t="s">
        <v>228</v>
      </c>
      <c r="C231" s="150"/>
      <c r="D231" s="185">
        <v>9.4007042658911426E-7</v>
      </c>
      <c r="E231" s="185">
        <v>9.4007045863606721E-7</v>
      </c>
      <c r="F231" s="185">
        <v>9.4007049068302249E-7</v>
      </c>
      <c r="G231" s="185">
        <v>9.4007052272997989E-7</v>
      </c>
      <c r="H231" s="185">
        <v>9.4007055477693941E-7</v>
      </c>
      <c r="I231" s="185">
        <v>9.4007058682390094E-7</v>
      </c>
      <c r="J231" s="185">
        <v>9.4007046876881668E-7</v>
      </c>
      <c r="K231" s="185">
        <v>9.4007052708942734E-7</v>
      </c>
      <c r="L231" s="185">
        <v>9.4824201528160799E-7</v>
      </c>
      <c r="M231" s="185">
        <v>9.482418439541817E-7</v>
      </c>
      <c r="N231" s="185">
        <v>9.4824184391688377E-7</v>
      </c>
      <c r="O231" s="185">
        <v>9.482417658479457E-7</v>
      </c>
      <c r="P231" s="185">
        <v>9.4824194420074309E-7</v>
      </c>
      <c r="Q231" s="185">
        <v>9.4824177720811866E-7</v>
      </c>
      <c r="R231" s="185">
        <v>9.4824181169534642E-7</v>
      </c>
      <c r="S231" s="185">
        <v>9.482416274889288E-7</v>
      </c>
      <c r="T231" s="185">
        <v>9.4824146680607779E-7</v>
      </c>
      <c r="U231" s="185">
        <v>9.4824311196085648E-7</v>
      </c>
      <c r="V231" s="185">
        <v>9.4824119846906824E-7</v>
      </c>
      <c r="W231" s="185">
        <v>9.4824347139947907E-7</v>
      </c>
      <c r="X231" s="185">
        <v>9.4824254332834167E-7</v>
      </c>
      <c r="Y231" s="185">
        <v>9.4824128922670058E-7</v>
      </c>
      <c r="Z231" s="185">
        <v>9.4824259850741151E-7</v>
      </c>
      <c r="AA231" s="185">
        <v>9.4824259850741151E-7</v>
      </c>
      <c r="AB231" s="185">
        <v>9.4824259850741151E-7</v>
      </c>
      <c r="AC231" s="185">
        <v>9.4824259850741151E-7</v>
      </c>
      <c r="AD231" s="185">
        <v>9.4824848973068197E-7</v>
      </c>
      <c r="AE231" s="185">
        <v>9.4824719802762522E-7</v>
      </c>
      <c r="AF231" s="185">
        <v>9.4824719802762522E-7</v>
      </c>
      <c r="AG231" s="185">
        <v>9.4824719802762522E-7</v>
      </c>
      <c r="AH231" s="185">
        <v>9.4824719802762522E-7</v>
      </c>
      <c r="AI231" s="185">
        <v>9.4824719802762522E-7</v>
      </c>
      <c r="AJ231" s="185">
        <v>9.4824719802762522E-7</v>
      </c>
      <c r="AK231" s="185">
        <v>9.4824719802762522E-7</v>
      </c>
      <c r="AL231" s="185">
        <v>9.4824719802762522E-7</v>
      </c>
      <c r="AM231" s="185">
        <v>9.4824719802762522E-7</v>
      </c>
      <c r="AN231" s="185">
        <v>9.4824719802762522E-7</v>
      </c>
      <c r="AO231" s="185">
        <v>9.4824719802762522E-7</v>
      </c>
      <c r="AP231" s="185">
        <v>9.4824719802762522E-7</v>
      </c>
      <c r="AQ231" s="185">
        <v>9.4824719802762522E-7</v>
      </c>
      <c r="AR231" s="185">
        <v>9.4824719802762522E-7</v>
      </c>
      <c r="AS231" s="205">
        <f t="shared" ref="AS231:BV231" si="180">AR231</f>
        <v>9.4824719802762522E-7</v>
      </c>
      <c r="AT231" s="205">
        <f t="shared" si="180"/>
        <v>9.4824719802762522E-7</v>
      </c>
      <c r="AU231" s="205">
        <f t="shared" si="180"/>
        <v>9.4824719802762522E-7</v>
      </c>
      <c r="AV231" s="205">
        <f t="shared" si="180"/>
        <v>9.4824719802762522E-7</v>
      </c>
      <c r="AW231" s="205">
        <f t="shared" si="180"/>
        <v>9.4824719802762522E-7</v>
      </c>
      <c r="AX231" s="205">
        <f t="shared" si="180"/>
        <v>9.4824719802762522E-7</v>
      </c>
      <c r="AY231" s="205">
        <f t="shared" si="180"/>
        <v>9.4824719802762522E-7</v>
      </c>
      <c r="AZ231" s="205">
        <f t="shared" si="180"/>
        <v>9.4824719802762522E-7</v>
      </c>
      <c r="BA231" s="205">
        <f t="shared" si="180"/>
        <v>9.4824719802762522E-7</v>
      </c>
      <c r="BB231" s="205">
        <f t="shared" si="180"/>
        <v>9.4824719802762522E-7</v>
      </c>
      <c r="BC231" s="205">
        <f t="shared" si="180"/>
        <v>9.4824719802762522E-7</v>
      </c>
      <c r="BD231" s="205">
        <f t="shared" si="180"/>
        <v>9.4824719802762522E-7</v>
      </c>
      <c r="BE231" s="205">
        <f t="shared" si="180"/>
        <v>9.4824719802762522E-7</v>
      </c>
      <c r="BF231" s="205">
        <f t="shared" si="180"/>
        <v>9.4824719802762522E-7</v>
      </c>
      <c r="BG231" s="205">
        <f t="shared" si="180"/>
        <v>9.4824719802762522E-7</v>
      </c>
      <c r="BH231" s="205">
        <f t="shared" si="180"/>
        <v>9.4824719802762522E-7</v>
      </c>
      <c r="BI231" s="205">
        <f t="shared" si="180"/>
        <v>9.4824719802762522E-7</v>
      </c>
      <c r="BJ231" s="205">
        <f t="shared" si="180"/>
        <v>9.4824719802762522E-7</v>
      </c>
      <c r="BK231" s="205">
        <f t="shared" si="180"/>
        <v>9.4824719802762522E-7</v>
      </c>
      <c r="BL231" s="205">
        <f t="shared" si="180"/>
        <v>9.4824719802762522E-7</v>
      </c>
      <c r="BM231" s="205">
        <f t="shared" si="180"/>
        <v>9.4824719802762522E-7</v>
      </c>
      <c r="BN231" s="205">
        <f t="shared" si="180"/>
        <v>9.4824719802762522E-7</v>
      </c>
      <c r="BO231" s="205">
        <f t="shared" si="180"/>
        <v>9.4824719802762522E-7</v>
      </c>
      <c r="BP231" s="205">
        <f t="shared" si="180"/>
        <v>9.4824719802762522E-7</v>
      </c>
      <c r="BQ231" s="205">
        <f t="shared" si="180"/>
        <v>9.4824719802762522E-7</v>
      </c>
      <c r="BR231" s="205">
        <f t="shared" si="180"/>
        <v>9.4824719802762522E-7</v>
      </c>
      <c r="BS231" s="205">
        <f t="shared" si="180"/>
        <v>9.4824719802762522E-7</v>
      </c>
      <c r="BT231" s="205">
        <f t="shared" si="180"/>
        <v>9.4824719802762522E-7</v>
      </c>
      <c r="BU231" s="205">
        <f t="shared" si="180"/>
        <v>9.4824719802762522E-7</v>
      </c>
      <c r="BV231" s="205">
        <f t="shared" si="180"/>
        <v>9.4824719802762522E-7</v>
      </c>
    </row>
    <row r="232" spans="1:74" x14ac:dyDescent="0.25">
      <c r="A232" s="149" t="s">
        <v>222</v>
      </c>
      <c r="B232" s="156"/>
      <c r="C232" s="150"/>
      <c r="D232" s="185">
        <v>7.8121255546175339E-7</v>
      </c>
      <c r="E232" s="185">
        <v>7.8552599932377603E-7</v>
      </c>
      <c r="F232" s="185">
        <v>7.8983944318914021E-7</v>
      </c>
      <c r="G232" s="185">
        <v>7.9415288705784583E-7</v>
      </c>
      <c r="H232" s="185">
        <v>7.9846633092989289E-7</v>
      </c>
      <c r="I232" s="185">
        <v>8.0277977480528118E-7</v>
      </c>
      <c r="J232" s="185">
        <v>8.0421758803781983E-7</v>
      </c>
      <c r="K232" s="185">
        <v>8.0565540367559155E-7</v>
      </c>
      <c r="L232" s="185">
        <v>7.9247058823529418E-7</v>
      </c>
      <c r="M232" s="185">
        <v>7.9388235020978218E-7</v>
      </c>
      <c r="N232" s="185">
        <v>7.952941150204448E-7</v>
      </c>
      <c r="O232" s="185">
        <v>7.8682352713814762E-7</v>
      </c>
      <c r="P232" s="185">
        <v>7.7835293895449792E-7</v>
      </c>
      <c r="Q232" s="185">
        <v>7.6988235294117628E-7</v>
      </c>
      <c r="R232" s="185">
        <v>7.6141176470588203E-7</v>
      </c>
      <c r="S232" s="185">
        <v>7.5294117445097356E-7</v>
      </c>
      <c r="T232" s="185">
        <v>7.5294117456631351E-7</v>
      </c>
      <c r="U232" s="185">
        <v>7.5764706237625108E-7</v>
      </c>
      <c r="V232" s="185">
        <v>7.4352938549604349E-7</v>
      </c>
      <c r="W232" s="185">
        <v>7.5294109837812189E-7</v>
      </c>
      <c r="X232" s="185">
        <v>7.5529419656202649E-7</v>
      </c>
      <c r="Y232" s="185">
        <v>7.6705880963440799E-7</v>
      </c>
      <c r="Z232" s="185">
        <v>8.4534374376200815E-7</v>
      </c>
      <c r="AA232" s="185">
        <v>8.5920167265093158E-7</v>
      </c>
      <c r="AB232" s="185">
        <v>8.5920167265093158E-7</v>
      </c>
      <c r="AC232" s="185">
        <v>8.5920167265093158E-7</v>
      </c>
      <c r="AD232" s="185">
        <v>8.5920178120384003E-7</v>
      </c>
      <c r="AE232" s="185">
        <v>8.5920178120384003E-7</v>
      </c>
      <c r="AF232" s="185">
        <v>8.5920178120384003E-7</v>
      </c>
      <c r="AG232" s="185">
        <v>8.5920178120384003E-7</v>
      </c>
      <c r="AH232" s="185">
        <v>8.5920178120384003E-7</v>
      </c>
      <c r="AI232" s="185">
        <v>8.5920178120384003E-7</v>
      </c>
      <c r="AJ232" s="185">
        <v>8.5920178120384003E-7</v>
      </c>
      <c r="AK232" s="185">
        <v>8.5920178120384003E-7</v>
      </c>
      <c r="AL232" s="185">
        <v>8.5920178120384003E-7</v>
      </c>
      <c r="AM232" s="185">
        <v>8.5920178120384003E-7</v>
      </c>
      <c r="AN232" s="185">
        <v>8.5920178120384003E-7</v>
      </c>
      <c r="AO232" s="185">
        <v>8.5920178120384003E-7</v>
      </c>
      <c r="AP232" s="185">
        <v>8.5920178120384003E-7</v>
      </c>
      <c r="AQ232" s="185">
        <v>8.5920178120384003E-7</v>
      </c>
      <c r="AR232" s="185">
        <v>8.5920178120384003E-7</v>
      </c>
      <c r="AS232" s="205">
        <f t="shared" ref="AS232:BV232" si="181">AR232</f>
        <v>8.5920178120384003E-7</v>
      </c>
      <c r="AT232" s="205">
        <f t="shared" si="181"/>
        <v>8.5920178120384003E-7</v>
      </c>
      <c r="AU232" s="205">
        <f t="shared" si="181"/>
        <v>8.5920178120384003E-7</v>
      </c>
      <c r="AV232" s="205">
        <f t="shared" si="181"/>
        <v>8.5920178120384003E-7</v>
      </c>
      <c r="AW232" s="205">
        <f t="shared" si="181"/>
        <v>8.5920178120384003E-7</v>
      </c>
      <c r="AX232" s="205">
        <f t="shared" si="181"/>
        <v>8.5920178120384003E-7</v>
      </c>
      <c r="AY232" s="205">
        <f t="shared" si="181"/>
        <v>8.5920178120384003E-7</v>
      </c>
      <c r="AZ232" s="205">
        <f t="shared" si="181"/>
        <v>8.5920178120384003E-7</v>
      </c>
      <c r="BA232" s="205">
        <f t="shared" si="181"/>
        <v>8.5920178120384003E-7</v>
      </c>
      <c r="BB232" s="205">
        <f t="shared" si="181"/>
        <v>8.5920178120384003E-7</v>
      </c>
      <c r="BC232" s="205">
        <f t="shared" si="181"/>
        <v>8.5920178120384003E-7</v>
      </c>
      <c r="BD232" s="205">
        <f t="shared" si="181"/>
        <v>8.5920178120384003E-7</v>
      </c>
      <c r="BE232" s="205">
        <f t="shared" si="181"/>
        <v>8.5920178120384003E-7</v>
      </c>
      <c r="BF232" s="205">
        <f t="shared" si="181"/>
        <v>8.5920178120384003E-7</v>
      </c>
      <c r="BG232" s="205">
        <f t="shared" si="181"/>
        <v>8.5920178120384003E-7</v>
      </c>
      <c r="BH232" s="205">
        <f t="shared" si="181"/>
        <v>8.5920178120384003E-7</v>
      </c>
      <c r="BI232" s="205">
        <f t="shared" si="181"/>
        <v>8.5920178120384003E-7</v>
      </c>
      <c r="BJ232" s="205">
        <f t="shared" si="181"/>
        <v>8.5920178120384003E-7</v>
      </c>
      <c r="BK232" s="205">
        <f t="shared" si="181"/>
        <v>8.5920178120384003E-7</v>
      </c>
      <c r="BL232" s="205">
        <f t="shared" si="181"/>
        <v>8.5920178120384003E-7</v>
      </c>
      <c r="BM232" s="205">
        <f t="shared" si="181"/>
        <v>8.5920178120384003E-7</v>
      </c>
      <c r="BN232" s="205">
        <f t="shared" si="181"/>
        <v>8.5920178120384003E-7</v>
      </c>
      <c r="BO232" s="205">
        <f t="shared" si="181"/>
        <v>8.5920178120384003E-7</v>
      </c>
      <c r="BP232" s="205">
        <f t="shared" si="181"/>
        <v>8.5920178120384003E-7</v>
      </c>
      <c r="BQ232" s="205">
        <f t="shared" si="181"/>
        <v>8.5920178120384003E-7</v>
      </c>
      <c r="BR232" s="205">
        <f t="shared" si="181"/>
        <v>8.5920178120384003E-7</v>
      </c>
      <c r="BS232" s="205">
        <f t="shared" si="181"/>
        <v>8.5920178120384003E-7</v>
      </c>
      <c r="BT232" s="205">
        <f t="shared" si="181"/>
        <v>8.5920178120384003E-7</v>
      </c>
      <c r="BU232" s="205">
        <f t="shared" si="181"/>
        <v>8.5920178120384003E-7</v>
      </c>
      <c r="BV232" s="205">
        <f t="shared" si="181"/>
        <v>8.5920178120384003E-7</v>
      </c>
    </row>
    <row r="233" spans="1:74" x14ac:dyDescent="0.25">
      <c r="A233" s="155" t="s">
        <v>229</v>
      </c>
      <c r="C233" s="150"/>
      <c r="D233" s="185">
        <v>1.910219675262655E-6</v>
      </c>
      <c r="E233" s="185">
        <v>1.910219675262655E-6</v>
      </c>
      <c r="F233" s="185">
        <v>1.910219675262655E-6</v>
      </c>
      <c r="G233" s="185">
        <v>1.910219675262655E-6</v>
      </c>
      <c r="H233" s="185">
        <v>1.910219675262655E-6</v>
      </c>
      <c r="I233" s="185">
        <v>1.910219675262655E-6</v>
      </c>
      <c r="J233" s="185">
        <v>1.910219675262655E-6</v>
      </c>
      <c r="K233" s="185">
        <v>1.910219675262655E-6</v>
      </c>
      <c r="L233" s="185">
        <v>1.910219675262655E-6</v>
      </c>
      <c r="M233" s="185">
        <v>1.910219675262655E-6</v>
      </c>
      <c r="N233" s="185">
        <v>1.910219675262655E-6</v>
      </c>
      <c r="O233" s="185">
        <v>1.910219675262655E-6</v>
      </c>
      <c r="P233" s="185">
        <v>1.910219675262655E-6</v>
      </c>
      <c r="Q233" s="185">
        <v>1.910219675262655E-6</v>
      </c>
      <c r="R233" s="185">
        <v>1.910219675262655E-6</v>
      </c>
      <c r="S233" s="185">
        <v>1.9102196604836949E-6</v>
      </c>
      <c r="T233" s="185">
        <v>1.9102197017180211E-6</v>
      </c>
      <c r="U233" s="185">
        <v>1.9102197095119837E-6</v>
      </c>
      <c r="V233" s="185">
        <v>1.9102196234247274E-6</v>
      </c>
      <c r="W233" s="185">
        <v>1.9102196352716296E-6</v>
      </c>
      <c r="X233" s="185">
        <v>1.9102197422501803E-6</v>
      </c>
      <c r="Y233" s="185">
        <v>1.910219733106164E-6</v>
      </c>
      <c r="Z233" s="185">
        <v>1.9102196940749794E-6</v>
      </c>
      <c r="AA233" s="185">
        <v>1.9102196262939452E-6</v>
      </c>
      <c r="AB233" s="185">
        <v>1.9102196847976257E-6</v>
      </c>
      <c r="AC233" s="185">
        <v>1.9102196393552953E-6</v>
      </c>
      <c r="AD233" s="185">
        <v>1.9102197229647723E-6</v>
      </c>
      <c r="AE233" s="185">
        <v>1.9102196192977084E-6</v>
      </c>
      <c r="AF233" s="185">
        <v>1.9102196192977084E-6</v>
      </c>
      <c r="AG233" s="185">
        <v>1.9102196192977084E-6</v>
      </c>
      <c r="AH233" s="185">
        <v>1.9102196192977084E-6</v>
      </c>
      <c r="AI233" s="185">
        <v>1.9102196192977084E-6</v>
      </c>
      <c r="AJ233" s="185">
        <v>1.9102196192977084E-6</v>
      </c>
      <c r="AK233" s="185">
        <v>1.9102196192977084E-6</v>
      </c>
      <c r="AL233" s="185">
        <v>1.9102196192977084E-6</v>
      </c>
      <c r="AM233" s="185">
        <v>1.9102196192977084E-6</v>
      </c>
      <c r="AN233" s="185">
        <v>1.9102196192977084E-6</v>
      </c>
      <c r="AO233" s="185">
        <v>1.9102196192977084E-6</v>
      </c>
      <c r="AP233" s="185">
        <v>1.9102196192977084E-6</v>
      </c>
      <c r="AQ233" s="185">
        <v>1.9102196192977084E-6</v>
      </c>
      <c r="AR233" s="185">
        <v>1.9102196192977084E-6</v>
      </c>
      <c r="AS233" s="205">
        <f t="shared" ref="AS233:BV233" si="182">AR233</f>
        <v>1.9102196192977084E-6</v>
      </c>
      <c r="AT233" s="205">
        <f t="shared" si="182"/>
        <v>1.9102196192977084E-6</v>
      </c>
      <c r="AU233" s="205">
        <f t="shared" si="182"/>
        <v>1.9102196192977084E-6</v>
      </c>
      <c r="AV233" s="205">
        <f t="shared" si="182"/>
        <v>1.9102196192977084E-6</v>
      </c>
      <c r="AW233" s="205">
        <f t="shared" si="182"/>
        <v>1.9102196192977084E-6</v>
      </c>
      <c r="AX233" s="205">
        <f t="shared" si="182"/>
        <v>1.9102196192977084E-6</v>
      </c>
      <c r="AY233" s="205">
        <f t="shared" si="182"/>
        <v>1.9102196192977084E-6</v>
      </c>
      <c r="AZ233" s="205">
        <f t="shared" si="182"/>
        <v>1.9102196192977084E-6</v>
      </c>
      <c r="BA233" s="205">
        <f t="shared" si="182"/>
        <v>1.9102196192977084E-6</v>
      </c>
      <c r="BB233" s="205">
        <f t="shared" si="182"/>
        <v>1.9102196192977084E-6</v>
      </c>
      <c r="BC233" s="205">
        <f t="shared" si="182"/>
        <v>1.9102196192977084E-6</v>
      </c>
      <c r="BD233" s="205">
        <f t="shared" si="182"/>
        <v>1.9102196192977084E-6</v>
      </c>
      <c r="BE233" s="205">
        <f t="shared" si="182"/>
        <v>1.9102196192977084E-6</v>
      </c>
      <c r="BF233" s="205">
        <f t="shared" si="182"/>
        <v>1.9102196192977084E-6</v>
      </c>
      <c r="BG233" s="205">
        <f t="shared" si="182"/>
        <v>1.9102196192977084E-6</v>
      </c>
      <c r="BH233" s="205">
        <f t="shared" si="182"/>
        <v>1.9102196192977084E-6</v>
      </c>
      <c r="BI233" s="205">
        <f t="shared" si="182"/>
        <v>1.9102196192977084E-6</v>
      </c>
      <c r="BJ233" s="205">
        <f t="shared" si="182"/>
        <v>1.9102196192977084E-6</v>
      </c>
      <c r="BK233" s="205">
        <f t="shared" si="182"/>
        <v>1.9102196192977084E-6</v>
      </c>
      <c r="BL233" s="205">
        <f t="shared" si="182"/>
        <v>1.9102196192977084E-6</v>
      </c>
      <c r="BM233" s="205">
        <f t="shared" si="182"/>
        <v>1.9102196192977084E-6</v>
      </c>
      <c r="BN233" s="205">
        <f t="shared" si="182"/>
        <v>1.9102196192977084E-6</v>
      </c>
      <c r="BO233" s="205">
        <f t="shared" si="182"/>
        <v>1.9102196192977084E-6</v>
      </c>
      <c r="BP233" s="205">
        <f t="shared" si="182"/>
        <v>1.9102196192977084E-6</v>
      </c>
      <c r="BQ233" s="205">
        <f t="shared" si="182"/>
        <v>1.9102196192977084E-6</v>
      </c>
      <c r="BR233" s="205">
        <f t="shared" si="182"/>
        <v>1.9102196192977084E-6</v>
      </c>
      <c r="BS233" s="205">
        <f t="shared" si="182"/>
        <v>1.9102196192977084E-6</v>
      </c>
      <c r="BT233" s="205">
        <f t="shared" si="182"/>
        <v>1.9102196192977084E-6</v>
      </c>
      <c r="BU233" s="205">
        <f t="shared" si="182"/>
        <v>1.9102196192977084E-6</v>
      </c>
      <c r="BV233" s="205">
        <f t="shared" si="182"/>
        <v>1.9102196192977084E-6</v>
      </c>
    </row>
    <row r="234" spans="1:74" x14ac:dyDescent="0.25">
      <c r="A234" s="155" t="s">
        <v>230</v>
      </c>
      <c r="C234" s="150"/>
      <c r="D234" s="185"/>
      <c r="E234" s="185"/>
      <c r="F234" s="185"/>
      <c r="G234" s="185"/>
      <c r="H234" s="185"/>
      <c r="I234" s="185"/>
      <c r="J234" s="185"/>
      <c r="K234" s="185"/>
      <c r="L234" s="185"/>
      <c r="M234" s="185"/>
      <c r="N234" s="185"/>
      <c r="O234" s="185"/>
      <c r="P234" s="185"/>
      <c r="Q234" s="185"/>
      <c r="R234" s="185"/>
      <c r="S234" s="185"/>
      <c r="T234" s="185"/>
      <c r="U234" s="185"/>
      <c r="V234" s="185"/>
      <c r="W234" s="185"/>
      <c r="X234" s="185"/>
      <c r="Y234" s="185"/>
      <c r="Z234" s="185"/>
      <c r="AA234" s="185"/>
      <c r="AB234" s="185"/>
      <c r="AC234" s="185"/>
      <c r="AD234" s="185"/>
      <c r="AE234" s="185"/>
      <c r="AF234" s="185"/>
      <c r="AG234" s="185"/>
      <c r="AH234" s="185"/>
      <c r="AI234" s="185"/>
      <c r="AJ234" s="185"/>
      <c r="AK234" s="185"/>
      <c r="AL234" s="185"/>
      <c r="AM234" s="185"/>
      <c r="AN234" s="185"/>
      <c r="AO234" s="185"/>
      <c r="AP234" s="185"/>
      <c r="AQ234" s="185"/>
      <c r="AR234" s="185"/>
      <c r="AS234" s="205">
        <f t="shared" ref="AS234:BV234" si="183">AR234</f>
        <v>0</v>
      </c>
      <c r="AT234" s="205">
        <f t="shared" si="183"/>
        <v>0</v>
      </c>
      <c r="AU234" s="205">
        <f t="shared" si="183"/>
        <v>0</v>
      </c>
      <c r="AV234" s="205">
        <f t="shared" si="183"/>
        <v>0</v>
      </c>
      <c r="AW234" s="205">
        <f t="shared" si="183"/>
        <v>0</v>
      </c>
      <c r="AX234" s="205">
        <f t="shared" si="183"/>
        <v>0</v>
      </c>
      <c r="AY234" s="205">
        <f t="shared" si="183"/>
        <v>0</v>
      </c>
      <c r="AZ234" s="205">
        <f t="shared" si="183"/>
        <v>0</v>
      </c>
      <c r="BA234" s="205">
        <f t="shared" si="183"/>
        <v>0</v>
      </c>
      <c r="BB234" s="205">
        <f t="shared" si="183"/>
        <v>0</v>
      </c>
      <c r="BC234" s="205">
        <f t="shared" si="183"/>
        <v>0</v>
      </c>
      <c r="BD234" s="205">
        <f t="shared" si="183"/>
        <v>0</v>
      </c>
      <c r="BE234" s="205">
        <f t="shared" si="183"/>
        <v>0</v>
      </c>
      <c r="BF234" s="205">
        <f t="shared" si="183"/>
        <v>0</v>
      </c>
      <c r="BG234" s="205">
        <f t="shared" si="183"/>
        <v>0</v>
      </c>
      <c r="BH234" s="205">
        <f t="shared" si="183"/>
        <v>0</v>
      </c>
      <c r="BI234" s="205">
        <f t="shared" si="183"/>
        <v>0</v>
      </c>
      <c r="BJ234" s="205">
        <f t="shared" si="183"/>
        <v>0</v>
      </c>
      <c r="BK234" s="205">
        <f t="shared" si="183"/>
        <v>0</v>
      </c>
      <c r="BL234" s="205">
        <f t="shared" si="183"/>
        <v>0</v>
      </c>
      <c r="BM234" s="205">
        <f t="shared" si="183"/>
        <v>0</v>
      </c>
      <c r="BN234" s="205">
        <f t="shared" si="183"/>
        <v>0</v>
      </c>
      <c r="BO234" s="205">
        <f t="shared" si="183"/>
        <v>0</v>
      </c>
      <c r="BP234" s="205">
        <f t="shared" si="183"/>
        <v>0</v>
      </c>
      <c r="BQ234" s="205">
        <f t="shared" si="183"/>
        <v>0</v>
      </c>
      <c r="BR234" s="205">
        <f t="shared" si="183"/>
        <v>0</v>
      </c>
      <c r="BS234" s="205">
        <f t="shared" si="183"/>
        <v>0</v>
      </c>
      <c r="BT234" s="205">
        <f t="shared" si="183"/>
        <v>0</v>
      </c>
      <c r="BU234" s="205">
        <f t="shared" si="183"/>
        <v>0</v>
      </c>
      <c r="BV234" s="205">
        <f t="shared" si="183"/>
        <v>0</v>
      </c>
    </row>
    <row r="235" spans="1:74" x14ac:dyDescent="0.25">
      <c r="A235" s="155" t="s">
        <v>232</v>
      </c>
      <c r="B235" s="156"/>
      <c r="C235" s="150"/>
      <c r="D235" s="185">
        <v>8.7446351931330464E-7</v>
      </c>
      <c r="E235" s="185">
        <v>8.7929184549356224E-7</v>
      </c>
      <c r="F235" s="185">
        <v>8.8412017167381983E-7</v>
      </c>
      <c r="G235" s="185">
        <v>8.8894849785407733E-7</v>
      </c>
      <c r="H235" s="185">
        <v>8.9377682403433492E-7</v>
      </c>
      <c r="I235" s="185">
        <v>8.9860515021459242E-7</v>
      </c>
      <c r="J235" s="185">
        <v>9.0021459227467803E-7</v>
      </c>
      <c r="K235" s="185">
        <v>9.0182403433476397E-7</v>
      </c>
      <c r="L235" s="185">
        <v>8.9336870026525203E-7</v>
      </c>
      <c r="M235" s="185">
        <v>9.3514412416851437E-7</v>
      </c>
      <c r="N235" s="185">
        <v>9.3680709534368085E-7</v>
      </c>
      <c r="O235" s="185">
        <v>9.2682926829268296E-7</v>
      </c>
      <c r="P235" s="185">
        <v>9.1685144124168507E-7</v>
      </c>
      <c r="Q235" s="185">
        <v>9.0687361419068718E-7</v>
      </c>
      <c r="R235" s="185">
        <v>8.9689578713968929E-7</v>
      </c>
      <c r="S235" s="185">
        <v>8.8691796008869141E-7</v>
      </c>
      <c r="T235" s="185">
        <v>8.8691796008869183E-7</v>
      </c>
      <c r="U235" s="185">
        <v>8.9246119733924611E-7</v>
      </c>
      <c r="V235" s="185">
        <v>8.7583148558758328E-7</v>
      </c>
      <c r="W235" s="185">
        <v>8.8691796008869183E-7</v>
      </c>
      <c r="X235" s="185">
        <v>8.8968957871396907E-7</v>
      </c>
      <c r="Y235" s="185">
        <v>9.0354767184035476E-7</v>
      </c>
      <c r="Z235" s="185">
        <v>8.4534368070953444E-7</v>
      </c>
      <c r="AA235" s="185">
        <v>8.5920177383592024E-7</v>
      </c>
      <c r="AB235" s="185">
        <v>8.5920177383592024E-7</v>
      </c>
      <c r="AC235" s="185">
        <v>8.5920177383592024E-7</v>
      </c>
      <c r="AD235" s="185">
        <v>8.5920177383592024E-7</v>
      </c>
      <c r="AE235" s="185">
        <v>8.5920177383592024E-7</v>
      </c>
      <c r="AF235" s="185">
        <v>8.5920177383592024E-7</v>
      </c>
      <c r="AG235" s="185">
        <v>8.5920177383592024E-7</v>
      </c>
      <c r="AH235" s="185">
        <v>8.5920177383592024E-7</v>
      </c>
      <c r="AI235" s="185">
        <v>8.5920177383592024E-7</v>
      </c>
      <c r="AJ235" s="185">
        <v>8.5920177383592024E-7</v>
      </c>
      <c r="AK235" s="185">
        <v>8.5920177383592024E-7</v>
      </c>
      <c r="AL235" s="185">
        <v>8.5920177383592024E-7</v>
      </c>
      <c r="AM235" s="185">
        <v>8.5920177383592024E-7</v>
      </c>
      <c r="AN235" s="185">
        <v>8.5920177383592024E-7</v>
      </c>
      <c r="AO235" s="185">
        <v>8.5920177383592024E-7</v>
      </c>
      <c r="AP235" s="185">
        <v>8.5920177383592024E-7</v>
      </c>
      <c r="AQ235" s="185">
        <v>8.5920177383592024E-7</v>
      </c>
      <c r="AR235" s="185">
        <v>8.5920177383592024E-7</v>
      </c>
      <c r="AS235" s="205">
        <f>AR235</f>
        <v>8.5920177383592024E-7</v>
      </c>
      <c r="AT235" s="205">
        <f t="shared" ref="AT235:BV235" si="184">AS235</f>
        <v>8.5920177383592024E-7</v>
      </c>
      <c r="AU235" s="205">
        <f t="shared" si="184"/>
        <v>8.5920177383592024E-7</v>
      </c>
      <c r="AV235" s="205">
        <f t="shared" si="184"/>
        <v>8.5920177383592024E-7</v>
      </c>
      <c r="AW235" s="205">
        <f t="shared" si="184"/>
        <v>8.5920177383592024E-7</v>
      </c>
      <c r="AX235" s="205">
        <f t="shared" si="184"/>
        <v>8.5920177383592024E-7</v>
      </c>
      <c r="AY235" s="205">
        <f t="shared" si="184"/>
        <v>8.5920177383592024E-7</v>
      </c>
      <c r="AZ235" s="205">
        <f t="shared" si="184"/>
        <v>8.5920177383592024E-7</v>
      </c>
      <c r="BA235" s="205">
        <f t="shared" si="184"/>
        <v>8.5920177383592024E-7</v>
      </c>
      <c r="BB235" s="205">
        <f t="shared" si="184"/>
        <v>8.5920177383592024E-7</v>
      </c>
      <c r="BC235" s="205">
        <f t="shared" si="184"/>
        <v>8.5920177383592024E-7</v>
      </c>
      <c r="BD235" s="205">
        <f t="shared" si="184"/>
        <v>8.5920177383592024E-7</v>
      </c>
      <c r="BE235" s="205">
        <f t="shared" si="184"/>
        <v>8.5920177383592024E-7</v>
      </c>
      <c r="BF235" s="205">
        <f t="shared" si="184"/>
        <v>8.5920177383592024E-7</v>
      </c>
      <c r="BG235" s="205">
        <f t="shared" si="184"/>
        <v>8.5920177383592024E-7</v>
      </c>
      <c r="BH235" s="205">
        <f t="shared" si="184"/>
        <v>8.5920177383592024E-7</v>
      </c>
      <c r="BI235" s="205">
        <f t="shared" si="184"/>
        <v>8.5920177383592024E-7</v>
      </c>
      <c r="BJ235" s="205">
        <f t="shared" si="184"/>
        <v>8.5920177383592024E-7</v>
      </c>
      <c r="BK235" s="205">
        <f t="shared" si="184"/>
        <v>8.5920177383592024E-7</v>
      </c>
      <c r="BL235" s="205">
        <f t="shared" si="184"/>
        <v>8.5920177383592024E-7</v>
      </c>
      <c r="BM235" s="205">
        <f t="shared" si="184"/>
        <v>8.5920177383592024E-7</v>
      </c>
      <c r="BN235" s="205">
        <f t="shared" si="184"/>
        <v>8.5920177383592024E-7</v>
      </c>
      <c r="BO235" s="205">
        <f t="shared" si="184"/>
        <v>8.5920177383592024E-7</v>
      </c>
      <c r="BP235" s="205">
        <f t="shared" si="184"/>
        <v>8.5920177383592024E-7</v>
      </c>
      <c r="BQ235" s="205">
        <f t="shared" si="184"/>
        <v>8.5920177383592024E-7</v>
      </c>
      <c r="BR235" s="205">
        <f t="shared" si="184"/>
        <v>8.5920177383592024E-7</v>
      </c>
      <c r="BS235" s="205">
        <f t="shared" si="184"/>
        <v>8.5920177383592024E-7</v>
      </c>
      <c r="BT235" s="205">
        <f t="shared" si="184"/>
        <v>8.5920177383592024E-7</v>
      </c>
      <c r="BU235" s="205">
        <f t="shared" si="184"/>
        <v>8.5920177383592024E-7</v>
      </c>
      <c r="BV235" s="205">
        <f t="shared" si="184"/>
        <v>8.5920177383592024E-7</v>
      </c>
    </row>
    <row r="236" spans="1:74" x14ac:dyDescent="0.25">
      <c r="A236" s="155" t="s">
        <v>233</v>
      </c>
      <c r="B236" s="156"/>
      <c r="C236" s="150"/>
      <c r="D236" s="185"/>
      <c r="E236" s="185"/>
      <c r="F236" s="185"/>
      <c r="G236" s="185"/>
      <c r="H236" s="185"/>
      <c r="I236" s="185"/>
      <c r="J236" s="185"/>
      <c r="K236" s="185"/>
      <c r="L236" s="185"/>
      <c r="M236" s="185"/>
      <c r="N236" s="185"/>
      <c r="O236" s="185"/>
      <c r="P236" s="185"/>
      <c r="Q236" s="185"/>
      <c r="R236" s="185"/>
      <c r="S236" s="185"/>
      <c r="T236" s="185"/>
      <c r="U236" s="185"/>
      <c r="V236" s="185"/>
      <c r="W236" s="185"/>
      <c r="X236" s="185"/>
      <c r="Y236" s="185"/>
      <c r="Z236" s="185"/>
      <c r="AA236" s="185"/>
      <c r="AB236" s="185"/>
      <c r="AC236" s="185"/>
      <c r="AD236" s="185"/>
      <c r="AE236" s="185"/>
      <c r="AF236" s="185"/>
      <c r="AG236" s="185"/>
      <c r="AH236" s="185"/>
      <c r="AI236" s="185"/>
      <c r="AJ236" s="185"/>
      <c r="AK236" s="185"/>
      <c r="AL236" s="185"/>
      <c r="AM236" s="185"/>
      <c r="AN236" s="185"/>
      <c r="AO236" s="185"/>
      <c r="AP236" s="185"/>
      <c r="AQ236" s="185"/>
      <c r="AR236" s="185"/>
      <c r="AS236" s="205">
        <f t="shared" ref="AS236:BV236" si="185">AR236</f>
        <v>0</v>
      </c>
      <c r="AT236" s="205">
        <f t="shared" si="185"/>
        <v>0</v>
      </c>
      <c r="AU236" s="205">
        <f t="shared" si="185"/>
        <v>0</v>
      </c>
      <c r="AV236" s="205">
        <f t="shared" si="185"/>
        <v>0</v>
      </c>
      <c r="AW236" s="205">
        <f t="shared" si="185"/>
        <v>0</v>
      </c>
      <c r="AX236" s="205">
        <f t="shared" si="185"/>
        <v>0</v>
      </c>
      <c r="AY236" s="205">
        <f t="shared" si="185"/>
        <v>0</v>
      </c>
      <c r="AZ236" s="205">
        <f t="shared" si="185"/>
        <v>0</v>
      </c>
      <c r="BA236" s="205">
        <f t="shared" si="185"/>
        <v>0</v>
      </c>
      <c r="BB236" s="205">
        <f t="shared" si="185"/>
        <v>0</v>
      </c>
      <c r="BC236" s="205">
        <f t="shared" si="185"/>
        <v>0</v>
      </c>
      <c r="BD236" s="205">
        <f t="shared" si="185"/>
        <v>0</v>
      </c>
      <c r="BE236" s="205">
        <f t="shared" si="185"/>
        <v>0</v>
      </c>
      <c r="BF236" s="205">
        <f t="shared" si="185"/>
        <v>0</v>
      </c>
      <c r="BG236" s="205">
        <f t="shared" si="185"/>
        <v>0</v>
      </c>
      <c r="BH236" s="205">
        <f t="shared" si="185"/>
        <v>0</v>
      </c>
      <c r="BI236" s="205">
        <f t="shared" si="185"/>
        <v>0</v>
      </c>
      <c r="BJ236" s="205">
        <f t="shared" si="185"/>
        <v>0</v>
      </c>
      <c r="BK236" s="205">
        <f t="shared" si="185"/>
        <v>0</v>
      </c>
      <c r="BL236" s="205">
        <f t="shared" si="185"/>
        <v>0</v>
      </c>
      <c r="BM236" s="205">
        <f t="shared" si="185"/>
        <v>0</v>
      </c>
      <c r="BN236" s="205">
        <f t="shared" si="185"/>
        <v>0</v>
      </c>
      <c r="BO236" s="205">
        <f t="shared" si="185"/>
        <v>0</v>
      </c>
      <c r="BP236" s="205">
        <f t="shared" si="185"/>
        <v>0</v>
      </c>
      <c r="BQ236" s="205">
        <f t="shared" si="185"/>
        <v>0</v>
      </c>
      <c r="BR236" s="205">
        <f t="shared" si="185"/>
        <v>0</v>
      </c>
      <c r="BS236" s="205">
        <f t="shared" si="185"/>
        <v>0</v>
      </c>
      <c r="BT236" s="205">
        <f t="shared" si="185"/>
        <v>0</v>
      </c>
      <c r="BU236" s="205">
        <f t="shared" si="185"/>
        <v>0</v>
      </c>
      <c r="BV236" s="205">
        <f t="shared" si="185"/>
        <v>0</v>
      </c>
    </row>
    <row r="237" spans="1:74" x14ac:dyDescent="0.25">
      <c r="A237" s="155" t="s">
        <v>235</v>
      </c>
      <c r="B237" s="156"/>
      <c r="C237" s="150"/>
      <c r="D237" s="185">
        <v>3.0000000000000001E-5</v>
      </c>
      <c r="E237" s="185">
        <v>3.0000000000000001E-5</v>
      </c>
      <c r="F237" s="185">
        <v>3.0000000000000001E-5</v>
      </c>
      <c r="G237" s="185">
        <v>3.0000000000000001E-5</v>
      </c>
      <c r="H237" s="185">
        <v>3.0000000000000001E-5</v>
      </c>
      <c r="I237" s="185">
        <v>3.0000000000000001E-5</v>
      </c>
      <c r="J237" s="185">
        <v>3.0000000000000001E-5</v>
      </c>
      <c r="K237" s="185">
        <v>3.0000000000000001E-5</v>
      </c>
      <c r="L237" s="185">
        <v>3.0000000000000001E-5</v>
      </c>
      <c r="M237" s="185">
        <v>3.0000000000000001E-5</v>
      </c>
      <c r="N237" s="185">
        <v>3.0000000000000001E-5</v>
      </c>
      <c r="O237" s="185">
        <v>3.0000000000000001E-5</v>
      </c>
      <c r="P237" s="185">
        <v>3.0000000000000001E-5</v>
      </c>
      <c r="Q237" s="185">
        <v>3.0000000000000001E-5</v>
      </c>
      <c r="R237" s="185">
        <v>3.0000000000000001E-5</v>
      </c>
      <c r="S237" s="185">
        <v>3.0000000000000001E-5</v>
      </c>
      <c r="T237" s="185">
        <v>3.0000000000000001E-5</v>
      </c>
      <c r="U237" s="185">
        <v>3.0000000000000001E-5</v>
      </c>
      <c r="V237" s="185">
        <v>3.0000000000000001E-5</v>
      </c>
      <c r="W237" s="185">
        <v>3.0000000000000001E-5</v>
      </c>
      <c r="X237" s="185">
        <v>3.0000000000000001E-5</v>
      </c>
      <c r="Y237" s="185">
        <v>3.0000000000000001E-5</v>
      </c>
      <c r="Z237" s="185">
        <v>3.0000000000000001E-5</v>
      </c>
      <c r="AA237" s="185">
        <v>3.0000000000000001E-5</v>
      </c>
      <c r="AB237" s="185">
        <v>3.0000000000000001E-5</v>
      </c>
      <c r="AC237" s="185">
        <v>3.0000000000000001E-5</v>
      </c>
      <c r="AD237" s="185">
        <v>3.0000000000000001E-5</v>
      </c>
      <c r="AE237" s="185">
        <v>3.0000000000000001E-5</v>
      </c>
      <c r="AF237" s="185">
        <v>3.0000000000000001E-5</v>
      </c>
      <c r="AG237" s="185">
        <v>3.0000000000000001E-5</v>
      </c>
      <c r="AH237" s="185">
        <v>3.0000000000000001E-5</v>
      </c>
      <c r="AI237" s="185">
        <v>3.0000000000000001E-5</v>
      </c>
      <c r="AJ237" s="185">
        <v>3.0000000000000001E-5</v>
      </c>
      <c r="AK237" s="185">
        <v>3.0000000000000001E-5</v>
      </c>
      <c r="AL237" s="185">
        <v>3.0000000000000001E-5</v>
      </c>
      <c r="AM237" s="185">
        <v>3.0000000000000001E-5</v>
      </c>
      <c r="AN237" s="185">
        <v>3.0000000000000001E-5</v>
      </c>
      <c r="AO237" s="185">
        <v>3.0000000000000001E-5</v>
      </c>
      <c r="AP237" s="185">
        <v>3.0000000000000001E-5</v>
      </c>
      <c r="AQ237" s="185">
        <v>3.0000000000000001E-5</v>
      </c>
      <c r="AR237" s="185">
        <v>3.0000000000000001E-5</v>
      </c>
      <c r="AS237" s="205">
        <f>AR237</f>
        <v>3.0000000000000001E-5</v>
      </c>
      <c r="AT237" s="205">
        <f t="shared" ref="AT237:BV237" si="186">AS237</f>
        <v>3.0000000000000001E-5</v>
      </c>
      <c r="AU237" s="205">
        <f t="shared" si="186"/>
        <v>3.0000000000000001E-5</v>
      </c>
      <c r="AV237" s="205">
        <f t="shared" si="186"/>
        <v>3.0000000000000001E-5</v>
      </c>
      <c r="AW237" s="205">
        <f t="shared" si="186"/>
        <v>3.0000000000000001E-5</v>
      </c>
      <c r="AX237" s="205">
        <f t="shared" si="186"/>
        <v>3.0000000000000001E-5</v>
      </c>
      <c r="AY237" s="205">
        <f t="shared" si="186"/>
        <v>3.0000000000000001E-5</v>
      </c>
      <c r="AZ237" s="205">
        <f t="shared" si="186"/>
        <v>3.0000000000000001E-5</v>
      </c>
      <c r="BA237" s="205">
        <f t="shared" si="186"/>
        <v>3.0000000000000001E-5</v>
      </c>
      <c r="BB237" s="205">
        <f t="shared" si="186"/>
        <v>3.0000000000000001E-5</v>
      </c>
      <c r="BC237" s="205">
        <f t="shared" si="186"/>
        <v>3.0000000000000001E-5</v>
      </c>
      <c r="BD237" s="205">
        <f t="shared" si="186"/>
        <v>3.0000000000000001E-5</v>
      </c>
      <c r="BE237" s="205">
        <f t="shared" si="186"/>
        <v>3.0000000000000001E-5</v>
      </c>
      <c r="BF237" s="205">
        <f t="shared" si="186"/>
        <v>3.0000000000000001E-5</v>
      </c>
      <c r="BG237" s="205">
        <f t="shared" si="186"/>
        <v>3.0000000000000001E-5</v>
      </c>
      <c r="BH237" s="205">
        <f t="shared" si="186"/>
        <v>3.0000000000000001E-5</v>
      </c>
      <c r="BI237" s="205">
        <f t="shared" si="186"/>
        <v>3.0000000000000001E-5</v>
      </c>
      <c r="BJ237" s="205">
        <f t="shared" si="186"/>
        <v>3.0000000000000001E-5</v>
      </c>
      <c r="BK237" s="205">
        <f t="shared" si="186"/>
        <v>3.0000000000000001E-5</v>
      </c>
      <c r="BL237" s="205">
        <f t="shared" si="186"/>
        <v>3.0000000000000001E-5</v>
      </c>
      <c r="BM237" s="205">
        <f t="shared" si="186"/>
        <v>3.0000000000000001E-5</v>
      </c>
      <c r="BN237" s="205">
        <f t="shared" si="186"/>
        <v>3.0000000000000001E-5</v>
      </c>
      <c r="BO237" s="205">
        <f t="shared" si="186"/>
        <v>3.0000000000000001E-5</v>
      </c>
      <c r="BP237" s="205">
        <f t="shared" si="186"/>
        <v>3.0000000000000001E-5</v>
      </c>
      <c r="BQ237" s="205">
        <f t="shared" si="186"/>
        <v>3.0000000000000001E-5</v>
      </c>
      <c r="BR237" s="205">
        <f t="shared" si="186"/>
        <v>3.0000000000000001E-5</v>
      </c>
      <c r="BS237" s="205">
        <f t="shared" si="186"/>
        <v>3.0000000000000001E-5</v>
      </c>
      <c r="BT237" s="205">
        <f t="shared" si="186"/>
        <v>3.0000000000000001E-5</v>
      </c>
      <c r="BU237" s="205">
        <f t="shared" si="186"/>
        <v>3.0000000000000001E-5</v>
      </c>
      <c r="BV237" s="205">
        <f t="shared" si="186"/>
        <v>3.0000000000000001E-5</v>
      </c>
    </row>
    <row r="238" spans="1:74" x14ac:dyDescent="0.25">
      <c r="A238" s="155" t="s">
        <v>15</v>
      </c>
      <c r="C238" s="150"/>
      <c r="D238" s="185">
        <v>8.5959885386819455E-6</v>
      </c>
      <c r="E238" s="185">
        <v>8.5959885386819455E-6</v>
      </c>
      <c r="F238" s="185">
        <v>8.5959885386819455E-6</v>
      </c>
      <c r="G238" s="185">
        <v>8.5959885386819455E-6</v>
      </c>
      <c r="H238" s="185">
        <v>8.5959885386819455E-6</v>
      </c>
      <c r="I238" s="185">
        <v>8.5959885386819455E-6</v>
      </c>
      <c r="J238" s="185">
        <v>8.5959885386819455E-6</v>
      </c>
      <c r="K238" s="185">
        <v>8.5959885386819455E-6</v>
      </c>
      <c r="L238" s="185">
        <v>8.5959885386819455E-6</v>
      </c>
      <c r="M238" s="185">
        <v>8.5959885386819455E-6</v>
      </c>
      <c r="N238" s="185">
        <v>8.5959885386819455E-6</v>
      </c>
      <c r="O238" s="185">
        <v>8.5959885386819455E-6</v>
      </c>
      <c r="P238" s="185">
        <v>8.5959885386819455E-6</v>
      </c>
      <c r="Q238" s="185">
        <v>8.5959885386819455E-6</v>
      </c>
      <c r="R238" s="185">
        <v>8.5959885386819455E-6</v>
      </c>
      <c r="S238" s="185">
        <v>8.5959884571370011E-6</v>
      </c>
      <c r="T238" s="185">
        <v>8.5959883746479403E-6</v>
      </c>
      <c r="U238" s="185">
        <v>8.5959886744544219E-6</v>
      </c>
      <c r="V238" s="185">
        <v>8.5959887662383327E-6</v>
      </c>
      <c r="W238" s="185">
        <v>8.5959887402553599E-6</v>
      </c>
      <c r="X238" s="185">
        <v>8.5959886814010662E-6</v>
      </c>
      <c r="Y238" s="185">
        <v>8.5959885865009364E-6</v>
      </c>
      <c r="Z238" s="185">
        <v>8.5959882425733556E-6</v>
      </c>
      <c r="AA238" s="185">
        <v>8.5959883425883751E-6</v>
      </c>
      <c r="AB238" s="185">
        <v>8.5959886831842806E-6</v>
      </c>
      <c r="AC238" s="185">
        <v>8.5959885848507332E-6</v>
      </c>
      <c r="AD238" s="185">
        <v>8.5959887926174594E-6</v>
      </c>
      <c r="AE238" s="185">
        <v>8.5959885386819455E-6</v>
      </c>
      <c r="AF238" s="185">
        <v>8.5959885386819455E-6</v>
      </c>
      <c r="AG238" s="185">
        <v>8.5959885386819455E-6</v>
      </c>
      <c r="AH238" s="185">
        <v>8.5959885386819455E-6</v>
      </c>
      <c r="AI238" s="185">
        <v>8.5959885386819455E-6</v>
      </c>
      <c r="AJ238" s="185">
        <v>8.5959885386819455E-6</v>
      </c>
      <c r="AK238" s="185">
        <v>8.5959885386819455E-6</v>
      </c>
      <c r="AL238" s="185">
        <v>8.5959885386819455E-6</v>
      </c>
      <c r="AM238" s="185">
        <v>8.5959885386819455E-6</v>
      </c>
      <c r="AN238" s="185">
        <v>8.5959885386819455E-6</v>
      </c>
      <c r="AO238" s="185">
        <v>8.5959885386819455E-6</v>
      </c>
      <c r="AP238" s="185">
        <v>8.5959885386819455E-6</v>
      </c>
      <c r="AQ238" s="185">
        <v>8.5959885386819455E-6</v>
      </c>
      <c r="AR238" s="185">
        <v>8.5959885386819455E-6</v>
      </c>
      <c r="AS238" s="205">
        <f>AR238</f>
        <v>8.5959885386819455E-6</v>
      </c>
      <c r="AT238" s="205">
        <f t="shared" ref="AT238:BV238" si="187">AS238</f>
        <v>8.5959885386819455E-6</v>
      </c>
      <c r="AU238" s="205">
        <f t="shared" si="187"/>
        <v>8.5959885386819455E-6</v>
      </c>
      <c r="AV238" s="205">
        <f t="shared" si="187"/>
        <v>8.5959885386819455E-6</v>
      </c>
      <c r="AW238" s="205">
        <f t="shared" si="187"/>
        <v>8.5959885386819455E-6</v>
      </c>
      <c r="AX238" s="205">
        <f t="shared" si="187"/>
        <v>8.5959885386819455E-6</v>
      </c>
      <c r="AY238" s="205">
        <f t="shared" si="187"/>
        <v>8.5959885386819455E-6</v>
      </c>
      <c r="AZ238" s="205">
        <f t="shared" si="187"/>
        <v>8.5959885386819455E-6</v>
      </c>
      <c r="BA238" s="205">
        <f t="shared" si="187"/>
        <v>8.5959885386819455E-6</v>
      </c>
      <c r="BB238" s="205">
        <f t="shared" si="187"/>
        <v>8.5959885386819455E-6</v>
      </c>
      <c r="BC238" s="205">
        <f t="shared" si="187"/>
        <v>8.5959885386819455E-6</v>
      </c>
      <c r="BD238" s="205">
        <f t="shared" si="187"/>
        <v>8.5959885386819455E-6</v>
      </c>
      <c r="BE238" s="205">
        <f t="shared" si="187"/>
        <v>8.5959885386819455E-6</v>
      </c>
      <c r="BF238" s="205">
        <f t="shared" si="187"/>
        <v>8.5959885386819455E-6</v>
      </c>
      <c r="BG238" s="205">
        <f t="shared" si="187"/>
        <v>8.5959885386819455E-6</v>
      </c>
      <c r="BH238" s="205">
        <f t="shared" si="187"/>
        <v>8.5959885386819455E-6</v>
      </c>
      <c r="BI238" s="205">
        <f t="shared" si="187"/>
        <v>8.5959885386819455E-6</v>
      </c>
      <c r="BJ238" s="205">
        <f t="shared" si="187"/>
        <v>8.5959885386819455E-6</v>
      </c>
      <c r="BK238" s="205">
        <f t="shared" si="187"/>
        <v>8.5959885386819455E-6</v>
      </c>
      <c r="BL238" s="205">
        <f t="shared" si="187"/>
        <v>8.5959885386819455E-6</v>
      </c>
      <c r="BM238" s="205">
        <f t="shared" si="187"/>
        <v>8.5959885386819455E-6</v>
      </c>
      <c r="BN238" s="205">
        <f t="shared" si="187"/>
        <v>8.5959885386819455E-6</v>
      </c>
      <c r="BO238" s="205">
        <f t="shared" si="187"/>
        <v>8.5959885386819455E-6</v>
      </c>
      <c r="BP238" s="205">
        <f t="shared" si="187"/>
        <v>8.5959885386819455E-6</v>
      </c>
      <c r="BQ238" s="205">
        <f t="shared" si="187"/>
        <v>8.5959885386819455E-6</v>
      </c>
      <c r="BR238" s="205">
        <f t="shared" si="187"/>
        <v>8.5959885386819455E-6</v>
      </c>
      <c r="BS238" s="205">
        <f t="shared" si="187"/>
        <v>8.5959885386819455E-6</v>
      </c>
      <c r="BT238" s="205">
        <f t="shared" si="187"/>
        <v>8.5959885386819455E-6</v>
      </c>
      <c r="BU238" s="205">
        <f t="shared" si="187"/>
        <v>8.5959885386819455E-6</v>
      </c>
      <c r="BV238" s="205">
        <f t="shared" si="187"/>
        <v>8.5959885386819455E-6</v>
      </c>
    </row>
    <row r="239" spans="1:74" x14ac:dyDescent="0.25">
      <c r="A239" s="155"/>
      <c r="C239" s="150"/>
      <c r="D239" s="165"/>
      <c r="E239" s="165"/>
      <c r="F239" s="165"/>
      <c r="G239" s="165"/>
      <c r="H239" s="165"/>
      <c r="I239" s="165"/>
      <c r="J239" s="165"/>
      <c r="K239" s="165"/>
      <c r="L239" s="165"/>
      <c r="M239" s="165"/>
      <c r="N239" s="165"/>
      <c r="O239" s="165"/>
      <c r="P239" s="165"/>
      <c r="Q239" s="165"/>
      <c r="R239" s="165"/>
      <c r="S239" s="165"/>
      <c r="T239" s="165"/>
      <c r="U239" s="165"/>
      <c r="V239" s="165"/>
      <c r="W239" s="165"/>
      <c r="X239" s="165"/>
      <c r="Y239" s="165"/>
      <c r="Z239" s="165"/>
      <c r="AA239" s="165"/>
      <c r="AB239" s="165"/>
      <c r="AC239" s="165"/>
      <c r="AD239" s="165"/>
      <c r="AE239" s="165"/>
      <c r="AF239" s="165"/>
      <c r="AG239" s="165"/>
      <c r="AH239" s="165"/>
      <c r="AI239" s="165"/>
      <c r="AJ239" s="165"/>
      <c r="AK239" s="165"/>
      <c r="AL239" s="165"/>
      <c r="AM239" s="165"/>
      <c r="AN239" s="165"/>
      <c r="AO239" s="165"/>
      <c r="AP239" s="165"/>
      <c r="AQ239" s="165"/>
      <c r="AR239" s="165"/>
      <c r="AS239" s="165"/>
    </row>
    <row r="240" spans="1:74" x14ac:dyDescent="0.25">
      <c r="A240" s="155"/>
      <c r="C240" s="150"/>
      <c r="D240" s="165"/>
      <c r="E240" s="165"/>
      <c r="F240" s="165"/>
      <c r="G240" s="165"/>
      <c r="H240" s="165"/>
      <c r="I240" s="165"/>
      <c r="J240" s="165"/>
      <c r="K240" s="165"/>
      <c r="L240" s="165"/>
      <c r="M240" s="165"/>
      <c r="N240" s="165"/>
      <c r="O240" s="165"/>
      <c r="P240" s="165"/>
      <c r="Q240" s="165"/>
      <c r="R240" s="165"/>
      <c r="S240" s="165"/>
      <c r="T240" s="165"/>
      <c r="U240" s="165"/>
      <c r="V240" s="165"/>
      <c r="W240" s="165"/>
      <c r="X240" s="165"/>
      <c r="Y240" s="165"/>
      <c r="Z240" s="165"/>
      <c r="AA240" s="165"/>
      <c r="AB240" s="165"/>
      <c r="AC240" s="165"/>
      <c r="AD240" s="165"/>
      <c r="AE240" s="165"/>
      <c r="AF240" s="165"/>
      <c r="AG240" s="165"/>
      <c r="AH240" s="165"/>
      <c r="AI240" s="165"/>
      <c r="AJ240" s="165"/>
      <c r="AK240" s="165"/>
      <c r="AL240" s="165"/>
      <c r="AM240" s="165"/>
      <c r="AN240" s="165"/>
      <c r="AO240" s="165"/>
      <c r="AP240" s="165"/>
      <c r="AQ240" s="165"/>
      <c r="AR240" s="165"/>
      <c r="AS240" s="165"/>
    </row>
    <row r="241" spans="1:74" s="190" customFormat="1" x14ac:dyDescent="0.25">
      <c r="A241" s="188" t="s">
        <v>275</v>
      </c>
      <c r="B241" s="189"/>
      <c r="I241" s="189"/>
      <c r="J241" s="189"/>
      <c r="K241" s="189"/>
      <c r="L241" s="189"/>
      <c r="M241" s="189"/>
      <c r="N241" s="189"/>
      <c r="O241" s="189"/>
      <c r="P241" s="189"/>
      <c r="Q241" s="189"/>
      <c r="R241" s="189"/>
      <c r="S241" s="189"/>
      <c r="T241" s="189"/>
      <c r="U241" s="189"/>
      <c r="V241" s="189"/>
      <c r="W241" s="189"/>
      <c r="X241" s="189"/>
      <c r="Y241" s="189"/>
      <c r="Z241" s="189"/>
      <c r="AA241" s="189"/>
      <c r="AB241" s="189"/>
      <c r="AC241" s="189"/>
      <c r="AD241" s="189"/>
      <c r="AE241" s="189"/>
      <c r="AF241" s="189"/>
      <c r="AG241" s="189"/>
      <c r="AH241" s="189"/>
      <c r="AI241" s="189"/>
      <c r="AJ241" s="189"/>
      <c r="AK241" s="189"/>
      <c r="AL241" s="189"/>
      <c r="AM241" s="189"/>
      <c r="AN241" s="189"/>
      <c r="AO241" s="189"/>
      <c r="AP241" s="189"/>
      <c r="AQ241" s="189"/>
      <c r="AR241" s="189"/>
      <c r="AS241" s="189"/>
    </row>
    <row r="242" spans="1:74" s="190" customFormat="1" x14ac:dyDescent="0.25">
      <c r="A242" s="188"/>
      <c r="B242" s="188" t="s">
        <v>276</v>
      </c>
      <c r="I242" s="189"/>
      <c r="J242" s="189"/>
      <c r="K242" s="189"/>
      <c r="L242" s="189"/>
      <c r="M242" s="189"/>
      <c r="N242" s="189"/>
      <c r="O242" s="189"/>
      <c r="P242" s="189"/>
      <c r="Q242" s="189"/>
      <c r="R242" s="189"/>
      <c r="S242" s="189"/>
      <c r="T242" s="189"/>
      <c r="U242" s="189"/>
      <c r="V242" s="189"/>
      <c r="W242" s="189"/>
      <c r="X242" s="189"/>
      <c r="Y242" s="189"/>
      <c r="Z242" s="189"/>
      <c r="AA242" s="189"/>
      <c r="AB242" s="189"/>
      <c r="AC242" s="189"/>
      <c r="AD242" s="189"/>
      <c r="AE242" s="189"/>
      <c r="AF242" s="189"/>
      <c r="AG242" s="189"/>
      <c r="AH242" s="189"/>
      <c r="AI242" s="189"/>
      <c r="AJ242" s="189"/>
      <c r="AK242" s="189"/>
      <c r="AL242" s="189"/>
      <c r="AM242" s="189"/>
      <c r="AN242" s="189"/>
      <c r="AO242" s="189"/>
      <c r="AP242" s="189"/>
      <c r="AQ242" s="189"/>
      <c r="AR242" s="189"/>
      <c r="AS242" s="189"/>
    </row>
    <row r="243" spans="1:74" x14ac:dyDescent="0.25">
      <c r="A243" s="155" t="s">
        <v>206</v>
      </c>
      <c r="C243" s="150"/>
      <c r="D243" s="185">
        <v>6.8605836035201485E-6</v>
      </c>
      <c r="E243" s="185">
        <v>6.8605836035201485E-6</v>
      </c>
      <c r="F243" s="185">
        <v>6.8605836035201485E-6</v>
      </c>
      <c r="G243" s="185">
        <v>6.8605836035201485E-6</v>
      </c>
      <c r="H243" s="185">
        <v>6.8605836035201485E-6</v>
      </c>
      <c r="I243" s="185">
        <v>6.8605836035201485E-6</v>
      </c>
      <c r="J243" s="185">
        <v>6.8598503740648378E-6</v>
      </c>
      <c r="K243" s="185">
        <v>6.8616768050780214E-6</v>
      </c>
      <c r="L243" s="185">
        <v>6.8592463189418524E-6</v>
      </c>
      <c r="M243" s="185">
        <v>6.8637223974763407E-6</v>
      </c>
      <c r="N243" s="185">
        <v>6.8607095926412618E-6</v>
      </c>
      <c r="O243" s="185">
        <v>6.861103410036041E-6</v>
      </c>
      <c r="P243" s="185">
        <v>6.8622081291438451E-6</v>
      </c>
      <c r="Q243" s="185">
        <v>6.8609188168659543E-6</v>
      </c>
      <c r="R243" s="185">
        <v>6.8625254582484726E-6</v>
      </c>
      <c r="S243" s="185">
        <v>6.8641598915989156E-6</v>
      </c>
      <c r="T243" s="185">
        <v>6.8611486486486491E-6</v>
      </c>
      <c r="U243" s="185">
        <v>6.8612191958495469E-6</v>
      </c>
      <c r="V243" s="185">
        <v>6.8617940199335545E-6</v>
      </c>
      <c r="W243" s="185">
        <v>6.8637478108581439E-6</v>
      </c>
      <c r="X243" s="185">
        <v>6.8624708624708626E-6</v>
      </c>
      <c r="Y243" s="185">
        <v>6.8629032258064517E-6</v>
      </c>
      <c r="Z243" s="185">
        <v>6.858218874612317E-6</v>
      </c>
      <c r="AA243" s="185">
        <v>6.8638151425762047E-6</v>
      </c>
      <c r="AB243" s="185">
        <v>6.8635666836995401E-6</v>
      </c>
      <c r="AC243" s="185">
        <v>6.861991960696739E-6</v>
      </c>
      <c r="AD243" s="185">
        <v>6.863144218276312E-6</v>
      </c>
      <c r="AE243" s="185">
        <v>6.860880941997383E-6</v>
      </c>
      <c r="AF243" s="185">
        <v>6.860880941997383E-6</v>
      </c>
      <c r="AG243" s="185">
        <v>6.860880941997383E-6</v>
      </c>
      <c r="AH243" s="185">
        <v>6.860880941997383E-6</v>
      </c>
      <c r="AI243" s="185">
        <v>6.860880941997383E-6</v>
      </c>
      <c r="AJ243" s="185">
        <v>6.860880941997383E-6</v>
      </c>
      <c r="AK243" s="185">
        <v>6.860880941997383E-6</v>
      </c>
      <c r="AL243" s="185">
        <v>6.860880941997383E-6</v>
      </c>
      <c r="AM243" s="185">
        <v>6.860880941997383E-6</v>
      </c>
      <c r="AN243" s="185">
        <v>6.860880941997383E-6</v>
      </c>
      <c r="AO243" s="185">
        <v>6.860880941997383E-6</v>
      </c>
      <c r="AP243" s="185">
        <v>6.860880941997383E-6</v>
      </c>
      <c r="AQ243" s="185">
        <v>6.860880941997383E-6</v>
      </c>
      <c r="AR243" s="185">
        <v>6.860880941997383E-6</v>
      </c>
      <c r="AS243" s="206">
        <f t="shared" ref="AS243:BV243" si="188">AR243</f>
        <v>6.860880941997383E-6</v>
      </c>
      <c r="AT243" s="206">
        <f t="shared" si="188"/>
        <v>6.860880941997383E-6</v>
      </c>
      <c r="AU243" s="206">
        <f t="shared" si="188"/>
        <v>6.860880941997383E-6</v>
      </c>
      <c r="AV243" s="206">
        <f t="shared" si="188"/>
        <v>6.860880941997383E-6</v>
      </c>
      <c r="AW243" s="206">
        <f t="shared" si="188"/>
        <v>6.860880941997383E-6</v>
      </c>
      <c r="AX243" s="206">
        <f t="shared" si="188"/>
        <v>6.860880941997383E-6</v>
      </c>
      <c r="AY243" s="206">
        <f t="shared" si="188"/>
        <v>6.860880941997383E-6</v>
      </c>
      <c r="AZ243" s="206">
        <f t="shared" si="188"/>
        <v>6.860880941997383E-6</v>
      </c>
      <c r="BA243" s="206">
        <f t="shared" si="188"/>
        <v>6.860880941997383E-6</v>
      </c>
      <c r="BB243" s="206">
        <f t="shared" si="188"/>
        <v>6.860880941997383E-6</v>
      </c>
      <c r="BC243" s="206">
        <f t="shared" si="188"/>
        <v>6.860880941997383E-6</v>
      </c>
      <c r="BD243" s="206">
        <f t="shared" si="188"/>
        <v>6.860880941997383E-6</v>
      </c>
      <c r="BE243" s="206">
        <f t="shared" si="188"/>
        <v>6.860880941997383E-6</v>
      </c>
      <c r="BF243" s="206">
        <f t="shared" si="188"/>
        <v>6.860880941997383E-6</v>
      </c>
      <c r="BG243" s="206">
        <f t="shared" si="188"/>
        <v>6.860880941997383E-6</v>
      </c>
      <c r="BH243" s="206">
        <f t="shared" si="188"/>
        <v>6.860880941997383E-6</v>
      </c>
      <c r="BI243" s="206">
        <f t="shared" si="188"/>
        <v>6.860880941997383E-6</v>
      </c>
      <c r="BJ243" s="206">
        <f t="shared" si="188"/>
        <v>6.860880941997383E-6</v>
      </c>
      <c r="BK243" s="206">
        <f t="shared" si="188"/>
        <v>6.860880941997383E-6</v>
      </c>
      <c r="BL243" s="206">
        <f t="shared" si="188"/>
        <v>6.860880941997383E-6</v>
      </c>
      <c r="BM243" s="206">
        <f t="shared" si="188"/>
        <v>6.860880941997383E-6</v>
      </c>
      <c r="BN243" s="206">
        <f t="shared" si="188"/>
        <v>6.860880941997383E-6</v>
      </c>
      <c r="BO243" s="206">
        <f t="shared" si="188"/>
        <v>6.860880941997383E-6</v>
      </c>
      <c r="BP243" s="206">
        <f t="shared" si="188"/>
        <v>6.860880941997383E-6</v>
      </c>
      <c r="BQ243" s="206">
        <f t="shared" si="188"/>
        <v>6.860880941997383E-6</v>
      </c>
      <c r="BR243" s="206">
        <f t="shared" si="188"/>
        <v>6.860880941997383E-6</v>
      </c>
      <c r="BS243" s="206">
        <f t="shared" si="188"/>
        <v>6.860880941997383E-6</v>
      </c>
      <c r="BT243" s="206">
        <f t="shared" si="188"/>
        <v>6.860880941997383E-6</v>
      </c>
      <c r="BU243" s="206">
        <f t="shared" si="188"/>
        <v>6.860880941997383E-6</v>
      </c>
      <c r="BV243" s="206">
        <f t="shared" si="188"/>
        <v>6.860880941997383E-6</v>
      </c>
    </row>
    <row r="244" spans="1:74" x14ac:dyDescent="0.25">
      <c r="A244" s="155" t="s">
        <v>208</v>
      </c>
      <c r="C244" s="150"/>
      <c r="D244" s="185">
        <v>1.9521540452155684E-6</v>
      </c>
      <c r="E244" s="185">
        <v>1.9521540452155684E-6</v>
      </c>
      <c r="F244" s="185">
        <v>1.9521540452155684E-6</v>
      </c>
      <c r="G244" s="185">
        <v>1.9521540452155684E-6</v>
      </c>
      <c r="H244" s="185">
        <v>1.9521540452155684E-6</v>
      </c>
      <c r="I244" s="185">
        <v>1.9521540452155684E-6</v>
      </c>
      <c r="J244" s="185">
        <v>1.9521588946459413E-6</v>
      </c>
      <c r="K244" s="185">
        <v>1.9521550130362648E-6</v>
      </c>
      <c r="L244" s="185">
        <v>1.9521559760036919E-6</v>
      </c>
      <c r="M244" s="185">
        <v>1.9521702105697773E-6</v>
      </c>
      <c r="N244" s="185">
        <v>1.9521633512024873E-6</v>
      </c>
      <c r="O244" s="185">
        <v>1.9521578034934713E-6</v>
      </c>
      <c r="P244" s="185">
        <v>1.8983931862906604E-6</v>
      </c>
      <c r="Q244" s="185">
        <v>1.8983923089715184E-6</v>
      </c>
      <c r="R244" s="185">
        <v>1.8983966657275909E-6</v>
      </c>
      <c r="S244" s="185">
        <v>1.8983863511713548E-6</v>
      </c>
      <c r="T244" s="185">
        <v>1.8983927090648671E-6</v>
      </c>
      <c r="U244" s="185">
        <v>1.898387714131717E-6</v>
      </c>
      <c r="V244" s="185">
        <v>1.8983936694859577E-6</v>
      </c>
      <c r="W244" s="185">
        <v>1.8983922565452912E-6</v>
      </c>
      <c r="X244" s="185">
        <v>1.8983867141162517E-6</v>
      </c>
      <c r="Y244" s="185">
        <v>1.8983835991858128E-6</v>
      </c>
      <c r="Z244" s="185">
        <v>1.8983988426953363E-6</v>
      </c>
      <c r="AA244" s="185">
        <v>1.8983875425774933E-6</v>
      </c>
      <c r="AB244" s="185">
        <v>1.898391608662176E-6</v>
      </c>
      <c r="AC244" s="185">
        <v>1.8983870323211118E-6</v>
      </c>
      <c r="AD244" s="185">
        <v>1.898386421085518E-6</v>
      </c>
      <c r="AE244" s="185">
        <v>1.8983900308639875E-6</v>
      </c>
      <c r="AF244" s="185">
        <v>1.8983900308639875E-6</v>
      </c>
      <c r="AG244" s="185">
        <v>1.8983900308639875E-6</v>
      </c>
      <c r="AH244" s="185">
        <v>1.8983900308639875E-6</v>
      </c>
      <c r="AI244" s="185">
        <v>1.8983900308639875E-6</v>
      </c>
      <c r="AJ244" s="185">
        <v>1.8983900308639875E-6</v>
      </c>
      <c r="AK244" s="185">
        <v>1.8983900308639875E-6</v>
      </c>
      <c r="AL244" s="185">
        <v>1.8983900308639875E-6</v>
      </c>
      <c r="AM244" s="185">
        <v>1.8983900308639875E-6</v>
      </c>
      <c r="AN244" s="185">
        <v>1.8983900308639875E-6</v>
      </c>
      <c r="AO244" s="185">
        <v>1.8983900308639875E-6</v>
      </c>
      <c r="AP244" s="185">
        <v>1.8983900308639875E-6</v>
      </c>
      <c r="AQ244" s="185">
        <v>1.8983900308639875E-6</v>
      </c>
      <c r="AR244" s="185">
        <v>1.8983900308639875E-6</v>
      </c>
      <c r="AS244" s="206">
        <f t="shared" ref="AS244:BV244" si="189">AR244</f>
        <v>1.8983900308639875E-6</v>
      </c>
      <c r="AT244" s="206">
        <f t="shared" si="189"/>
        <v>1.8983900308639875E-6</v>
      </c>
      <c r="AU244" s="206">
        <f t="shared" si="189"/>
        <v>1.8983900308639875E-6</v>
      </c>
      <c r="AV244" s="206">
        <f t="shared" si="189"/>
        <v>1.8983900308639875E-6</v>
      </c>
      <c r="AW244" s="206">
        <f t="shared" si="189"/>
        <v>1.8983900308639875E-6</v>
      </c>
      <c r="AX244" s="206">
        <f t="shared" si="189"/>
        <v>1.8983900308639875E-6</v>
      </c>
      <c r="AY244" s="206">
        <f t="shared" si="189"/>
        <v>1.8983900308639875E-6</v>
      </c>
      <c r="AZ244" s="206">
        <f t="shared" si="189"/>
        <v>1.8983900308639875E-6</v>
      </c>
      <c r="BA244" s="206">
        <f t="shared" si="189"/>
        <v>1.8983900308639875E-6</v>
      </c>
      <c r="BB244" s="206">
        <f t="shared" si="189"/>
        <v>1.8983900308639875E-6</v>
      </c>
      <c r="BC244" s="206">
        <f t="shared" si="189"/>
        <v>1.8983900308639875E-6</v>
      </c>
      <c r="BD244" s="206">
        <f t="shared" si="189"/>
        <v>1.8983900308639875E-6</v>
      </c>
      <c r="BE244" s="206">
        <f t="shared" si="189"/>
        <v>1.8983900308639875E-6</v>
      </c>
      <c r="BF244" s="206">
        <f t="shared" si="189"/>
        <v>1.8983900308639875E-6</v>
      </c>
      <c r="BG244" s="206">
        <f t="shared" si="189"/>
        <v>1.8983900308639875E-6</v>
      </c>
      <c r="BH244" s="206">
        <f t="shared" si="189"/>
        <v>1.8983900308639875E-6</v>
      </c>
      <c r="BI244" s="206">
        <f t="shared" si="189"/>
        <v>1.8983900308639875E-6</v>
      </c>
      <c r="BJ244" s="206">
        <f t="shared" si="189"/>
        <v>1.8983900308639875E-6</v>
      </c>
      <c r="BK244" s="206">
        <f t="shared" si="189"/>
        <v>1.8983900308639875E-6</v>
      </c>
      <c r="BL244" s="206">
        <f t="shared" si="189"/>
        <v>1.8983900308639875E-6</v>
      </c>
      <c r="BM244" s="206">
        <f t="shared" si="189"/>
        <v>1.8983900308639875E-6</v>
      </c>
      <c r="BN244" s="206">
        <f t="shared" si="189"/>
        <v>1.8983900308639875E-6</v>
      </c>
      <c r="BO244" s="206">
        <f t="shared" si="189"/>
        <v>1.8983900308639875E-6</v>
      </c>
      <c r="BP244" s="206">
        <f t="shared" si="189"/>
        <v>1.8983900308639875E-6</v>
      </c>
      <c r="BQ244" s="206">
        <f t="shared" si="189"/>
        <v>1.8983900308639875E-6</v>
      </c>
      <c r="BR244" s="206">
        <f t="shared" si="189"/>
        <v>1.8983900308639875E-6</v>
      </c>
      <c r="BS244" s="206">
        <f t="shared" si="189"/>
        <v>1.8983900308639875E-6</v>
      </c>
      <c r="BT244" s="206">
        <f t="shared" si="189"/>
        <v>1.8983900308639875E-6</v>
      </c>
      <c r="BU244" s="206">
        <f t="shared" si="189"/>
        <v>1.8983900308639875E-6</v>
      </c>
      <c r="BV244" s="206">
        <f t="shared" si="189"/>
        <v>1.8983900308639875E-6</v>
      </c>
    </row>
    <row r="245" spans="1:74" x14ac:dyDescent="0.25">
      <c r="A245" s="149" t="s">
        <v>209</v>
      </c>
      <c r="B245" s="150"/>
      <c r="C245" s="150"/>
      <c r="D245" s="185">
        <v>1.2003940527372594E-5</v>
      </c>
      <c r="E245" s="185">
        <v>1.2003940527372594E-5</v>
      </c>
      <c r="F245" s="185">
        <v>1.2003940527372594E-5</v>
      </c>
      <c r="G245" s="185">
        <v>1.2003940527372594E-5</v>
      </c>
      <c r="H245" s="185">
        <v>1.2003940527372594E-5</v>
      </c>
      <c r="I245" s="185">
        <v>1.2003940527372594E-5</v>
      </c>
      <c r="J245" s="185">
        <v>1.2003940527372594E-5</v>
      </c>
      <c r="K245" s="185">
        <v>1.2003940527372594E-5</v>
      </c>
      <c r="L245" s="185">
        <v>1.2003940527372594E-5</v>
      </c>
      <c r="M245" s="185">
        <v>1.2003940527372594E-5</v>
      </c>
      <c r="N245" s="185">
        <v>1.2003940527372594E-5</v>
      </c>
      <c r="O245" s="185">
        <v>1.2003940527372594E-5</v>
      </c>
      <c r="P245" s="185">
        <v>1.2003940527372594E-5</v>
      </c>
      <c r="Q245" s="185">
        <v>1.2003940527372594E-5</v>
      </c>
      <c r="R245" s="185">
        <v>1.2003940527372594E-5</v>
      </c>
      <c r="S245" s="185">
        <v>1.2003940527372594E-5</v>
      </c>
      <c r="T245" s="185">
        <v>1.2003940527372594E-5</v>
      </c>
      <c r="U245" s="185">
        <v>1.2003940527372594E-5</v>
      </c>
      <c r="V245" s="185">
        <v>1.2003940527372594E-5</v>
      </c>
      <c r="W245" s="185">
        <v>1.2003940527372594E-5</v>
      </c>
      <c r="X245" s="185">
        <v>1.2003940527372594E-5</v>
      </c>
      <c r="Y245" s="185">
        <v>1.2003940527372594E-5</v>
      </c>
      <c r="Z245" s="185">
        <v>1.2003940527372594E-5</v>
      </c>
      <c r="AA245" s="185">
        <v>1.2003940527372594E-5</v>
      </c>
      <c r="AB245" s="185">
        <v>1.2003940527372594E-5</v>
      </c>
      <c r="AC245" s="185">
        <v>1.2003940527372594E-5</v>
      </c>
      <c r="AD245" s="185">
        <v>1.2003940527372594E-5</v>
      </c>
      <c r="AE245" s="185">
        <v>1.2003940527372594E-5</v>
      </c>
      <c r="AF245" s="185">
        <v>1.2003940527372594E-5</v>
      </c>
      <c r="AG245" s="185">
        <v>1.2003940527372594E-5</v>
      </c>
      <c r="AH245" s="185">
        <v>1.2003940527372594E-5</v>
      </c>
      <c r="AI245" s="185">
        <v>1.2003940527372594E-5</v>
      </c>
      <c r="AJ245" s="185">
        <v>1.2003940527372594E-5</v>
      </c>
      <c r="AK245" s="185">
        <v>1.2003940527372594E-5</v>
      </c>
      <c r="AL245" s="185">
        <v>1.2003940527372594E-5</v>
      </c>
      <c r="AM245" s="185">
        <v>1.2003940527372594E-5</v>
      </c>
      <c r="AN245" s="185">
        <v>1.2003940527372594E-5</v>
      </c>
      <c r="AO245" s="185">
        <v>1.2003940527372594E-5</v>
      </c>
      <c r="AP245" s="185">
        <v>1.2003940527372594E-5</v>
      </c>
      <c r="AQ245" s="185">
        <v>1.2003940527372594E-5</v>
      </c>
      <c r="AR245" s="185">
        <v>1.2003940527372594E-5</v>
      </c>
      <c r="AS245" s="206">
        <f t="shared" ref="AS245:BV245" si="190">AR245</f>
        <v>1.2003940527372594E-5</v>
      </c>
      <c r="AT245" s="206">
        <f t="shared" si="190"/>
        <v>1.2003940527372594E-5</v>
      </c>
      <c r="AU245" s="206">
        <f t="shared" si="190"/>
        <v>1.2003940527372594E-5</v>
      </c>
      <c r="AV245" s="206">
        <f t="shared" si="190"/>
        <v>1.2003940527372594E-5</v>
      </c>
      <c r="AW245" s="206">
        <f t="shared" si="190"/>
        <v>1.2003940527372594E-5</v>
      </c>
      <c r="AX245" s="206">
        <f t="shared" si="190"/>
        <v>1.2003940527372594E-5</v>
      </c>
      <c r="AY245" s="206">
        <f t="shared" si="190"/>
        <v>1.2003940527372594E-5</v>
      </c>
      <c r="AZ245" s="206">
        <f t="shared" si="190"/>
        <v>1.2003940527372594E-5</v>
      </c>
      <c r="BA245" s="206">
        <f t="shared" si="190"/>
        <v>1.2003940527372594E-5</v>
      </c>
      <c r="BB245" s="206">
        <f t="shared" si="190"/>
        <v>1.2003940527372594E-5</v>
      </c>
      <c r="BC245" s="206">
        <f t="shared" si="190"/>
        <v>1.2003940527372594E-5</v>
      </c>
      <c r="BD245" s="206">
        <f t="shared" si="190"/>
        <v>1.2003940527372594E-5</v>
      </c>
      <c r="BE245" s="206">
        <f t="shared" si="190"/>
        <v>1.2003940527372594E-5</v>
      </c>
      <c r="BF245" s="206">
        <f t="shared" si="190"/>
        <v>1.2003940527372594E-5</v>
      </c>
      <c r="BG245" s="206">
        <f t="shared" si="190"/>
        <v>1.2003940527372594E-5</v>
      </c>
      <c r="BH245" s="206">
        <f t="shared" si="190"/>
        <v>1.2003940527372594E-5</v>
      </c>
      <c r="BI245" s="206">
        <f t="shared" si="190"/>
        <v>1.2003940527372594E-5</v>
      </c>
      <c r="BJ245" s="206">
        <f t="shared" si="190"/>
        <v>1.2003940527372594E-5</v>
      </c>
      <c r="BK245" s="206">
        <f t="shared" si="190"/>
        <v>1.2003940527372594E-5</v>
      </c>
      <c r="BL245" s="206">
        <f t="shared" si="190"/>
        <v>1.2003940527372594E-5</v>
      </c>
      <c r="BM245" s="206">
        <f t="shared" si="190"/>
        <v>1.2003940527372594E-5</v>
      </c>
      <c r="BN245" s="206">
        <f t="shared" si="190"/>
        <v>1.2003940527372594E-5</v>
      </c>
      <c r="BO245" s="206">
        <f t="shared" si="190"/>
        <v>1.2003940527372594E-5</v>
      </c>
      <c r="BP245" s="206">
        <f t="shared" si="190"/>
        <v>1.2003940527372594E-5</v>
      </c>
      <c r="BQ245" s="206">
        <f t="shared" si="190"/>
        <v>1.2003940527372594E-5</v>
      </c>
      <c r="BR245" s="206">
        <f t="shared" si="190"/>
        <v>1.2003940527372594E-5</v>
      </c>
      <c r="BS245" s="206">
        <f t="shared" si="190"/>
        <v>1.2003940527372594E-5</v>
      </c>
      <c r="BT245" s="206">
        <f t="shared" si="190"/>
        <v>1.2003940527372594E-5</v>
      </c>
      <c r="BU245" s="206">
        <f t="shared" si="190"/>
        <v>1.2003940527372594E-5</v>
      </c>
      <c r="BV245" s="206">
        <f t="shared" si="190"/>
        <v>1.2003940527372594E-5</v>
      </c>
    </row>
    <row r="246" spans="1:74" x14ac:dyDescent="0.25">
      <c r="A246" s="149" t="s">
        <v>211</v>
      </c>
      <c r="B246" s="150"/>
      <c r="C246" s="150"/>
      <c r="D246" s="185">
        <v>3.7974585444706518E-6</v>
      </c>
      <c r="E246" s="185">
        <v>3.7974585444706518E-6</v>
      </c>
      <c r="F246" s="185">
        <v>3.7974585444706518E-6</v>
      </c>
      <c r="G246" s="185">
        <v>3.7974585444706518E-6</v>
      </c>
      <c r="H246" s="185">
        <v>3.7974585444706518E-6</v>
      </c>
      <c r="I246" s="185">
        <v>3.7974585444706518E-6</v>
      </c>
      <c r="J246" s="185">
        <v>3.7974585444706518E-6</v>
      </c>
      <c r="K246" s="185">
        <v>3.7974585444706518E-6</v>
      </c>
      <c r="L246" s="185">
        <v>3.7974585444706518E-6</v>
      </c>
      <c r="M246" s="185">
        <v>3.7974585444706518E-6</v>
      </c>
      <c r="N246" s="185">
        <v>3.7974585444706518E-6</v>
      </c>
      <c r="O246" s="185">
        <v>3.7974585444706518E-6</v>
      </c>
      <c r="P246" s="185">
        <v>3.7974585444706518E-6</v>
      </c>
      <c r="Q246" s="185">
        <v>3.7974585444706518E-6</v>
      </c>
      <c r="R246" s="185">
        <v>3.7974585444706518E-6</v>
      </c>
      <c r="S246" s="185">
        <v>3.7974585444706518E-6</v>
      </c>
      <c r="T246" s="185">
        <v>3.7974585444706518E-6</v>
      </c>
      <c r="U246" s="185">
        <v>3.7974585444706518E-6</v>
      </c>
      <c r="V246" s="185">
        <v>3.7974585444706518E-6</v>
      </c>
      <c r="W246" s="185">
        <v>3.7974585444706518E-6</v>
      </c>
      <c r="X246" s="185">
        <v>3.7974585444706518E-6</v>
      </c>
      <c r="Y246" s="185">
        <v>3.7974585444706518E-6</v>
      </c>
      <c r="Z246" s="185">
        <v>3.7974788474094342E-6</v>
      </c>
      <c r="AA246" s="185">
        <v>3.7974788474094342E-6</v>
      </c>
      <c r="AB246" s="185">
        <v>3.7974788474094342E-6</v>
      </c>
      <c r="AC246" s="185">
        <v>3.7974788474094342E-6</v>
      </c>
      <c r="AD246" s="185">
        <v>3.7973932184107038E-6</v>
      </c>
      <c r="AE246" s="185">
        <v>3.7973932184107038E-6</v>
      </c>
      <c r="AF246" s="185">
        <v>3.7973932184107038E-6</v>
      </c>
      <c r="AG246" s="185">
        <v>3.7973932184107038E-6</v>
      </c>
      <c r="AH246" s="185">
        <v>3.7973932184107038E-6</v>
      </c>
      <c r="AI246" s="185">
        <v>3.7973932184107038E-6</v>
      </c>
      <c r="AJ246" s="185">
        <v>3.7973932184107038E-6</v>
      </c>
      <c r="AK246" s="185">
        <v>3.7973932184107038E-6</v>
      </c>
      <c r="AL246" s="185">
        <v>3.7973932184107038E-6</v>
      </c>
      <c r="AM246" s="185">
        <v>3.7973932184107038E-6</v>
      </c>
      <c r="AN246" s="185">
        <v>3.7973932184107038E-6</v>
      </c>
      <c r="AO246" s="185">
        <v>3.7973932184107038E-6</v>
      </c>
      <c r="AP246" s="185">
        <v>3.7973932184107038E-6</v>
      </c>
      <c r="AQ246" s="185">
        <v>3.7973932184107038E-6</v>
      </c>
      <c r="AR246" s="185">
        <v>3.7973932184107038E-6</v>
      </c>
      <c r="AS246" s="206">
        <f t="shared" ref="AS246:BV246" si="191">AR246</f>
        <v>3.7973932184107038E-6</v>
      </c>
      <c r="AT246" s="206">
        <f t="shared" si="191"/>
        <v>3.7973932184107038E-6</v>
      </c>
      <c r="AU246" s="206">
        <f t="shared" si="191"/>
        <v>3.7973932184107038E-6</v>
      </c>
      <c r="AV246" s="206">
        <f t="shared" si="191"/>
        <v>3.7973932184107038E-6</v>
      </c>
      <c r="AW246" s="206">
        <f t="shared" si="191"/>
        <v>3.7973932184107038E-6</v>
      </c>
      <c r="AX246" s="206">
        <f t="shared" si="191"/>
        <v>3.7973932184107038E-6</v>
      </c>
      <c r="AY246" s="206">
        <f t="shared" si="191"/>
        <v>3.7973932184107038E-6</v>
      </c>
      <c r="AZ246" s="206">
        <f t="shared" si="191"/>
        <v>3.7973932184107038E-6</v>
      </c>
      <c r="BA246" s="206">
        <f t="shared" si="191"/>
        <v>3.7973932184107038E-6</v>
      </c>
      <c r="BB246" s="206">
        <f t="shared" si="191"/>
        <v>3.7973932184107038E-6</v>
      </c>
      <c r="BC246" s="206">
        <f t="shared" si="191"/>
        <v>3.7973932184107038E-6</v>
      </c>
      <c r="BD246" s="206">
        <f t="shared" si="191"/>
        <v>3.7973932184107038E-6</v>
      </c>
      <c r="BE246" s="206">
        <f t="shared" si="191"/>
        <v>3.7973932184107038E-6</v>
      </c>
      <c r="BF246" s="206">
        <f t="shared" si="191"/>
        <v>3.7973932184107038E-6</v>
      </c>
      <c r="BG246" s="206">
        <f t="shared" si="191"/>
        <v>3.7973932184107038E-6</v>
      </c>
      <c r="BH246" s="206">
        <f t="shared" si="191"/>
        <v>3.7973932184107038E-6</v>
      </c>
      <c r="BI246" s="206">
        <f t="shared" si="191"/>
        <v>3.7973932184107038E-6</v>
      </c>
      <c r="BJ246" s="206">
        <f t="shared" si="191"/>
        <v>3.7973932184107038E-6</v>
      </c>
      <c r="BK246" s="206">
        <f t="shared" si="191"/>
        <v>3.7973932184107038E-6</v>
      </c>
      <c r="BL246" s="206">
        <f t="shared" si="191"/>
        <v>3.7973932184107038E-6</v>
      </c>
      <c r="BM246" s="206">
        <f t="shared" si="191"/>
        <v>3.7973932184107038E-6</v>
      </c>
      <c r="BN246" s="206">
        <f t="shared" si="191"/>
        <v>3.7973932184107038E-6</v>
      </c>
      <c r="BO246" s="206">
        <f t="shared" si="191"/>
        <v>3.7973932184107038E-6</v>
      </c>
      <c r="BP246" s="206">
        <f t="shared" si="191"/>
        <v>3.7973932184107038E-6</v>
      </c>
      <c r="BQ246" s="206">
        <f t="shared" si="191"/>
        <v>3.7973932184107038E-6</v>
      </c>
      <c r="BR246" s="206">
        <f t="shared" si="191"/>
        <v>3.7973932184107038E-6</v>
      </c>
      <c r="BS246" s="206">
        <f t="shared" si="191"/>
        <v>3.7973932184107038E-6</v>
      </c>
      <c r="BT246" s="206">
        <f t="shared" si="191"/>
        <v>3.7973932184107038E-6</v>
      </c>
      <c r="BU246" s="206">
        <f t="shared" si="191"/>
        <v>3.7973932184107038E-6</v>
      </c>
      <c r="BV246" s="206">
        <f t="shared" si="191"/>
        <v>3.7973932184107038E-6</v>
      </c>
    </row>
    <row r="247" spans="1:74" x14ac:dyDescent="0.25">
      <c r="A247" s="155" t="s">
        <v>212</v>
      </c>
      <c r="C247" s="150"/>
      <c r="D247" s="185">
        <v>7.2374995393489069E-7</v>
      </c>
      <c r="E247" s="185">
        <v>7.2269158702865921E-7</v>
      </c>
      <c r="F247" s="185">
        <v>7.2163631098238606E-7</v>
      </c>
      <c r="G247" s="185">
        <v>7.2058411227596937E-7</v>
      </c>
      <c r="H247" s="185">
        <v>7.1953497746804541E-7</v>
      </c>
      <c r="I247" s="185">
        <v>7.1848889319541688E-7</v>
      </c>
      <c r="J247" s="185">
        <v>7.3670038535645475E-7</v>
      </c>
      <c r="K247" s="185">
        <v>7.453811059907835E-7</v>
      </c>
      <c r="L247" s="185">
        <v>7.1581680081623403E-7</v>
      </c>
      <c r="M247" s="185">
        <v>7.2610692838576682E-7</v>
      </c>
      <c r="N247" s="185">
        <v>7.3310732850881664E-7</v>
      </c>
      <c r="O247" s="185">
        <v>7.3188969110854199E-7</v>
      </c>
      <c r="P247" s="185">
        <v>7.3343342040265568E-7</v>
      </c>
      <c r="Q247" s="185">
        <v>7.5047929034934349E-7</v>
      </c>
      <c r="R247" s="185">
        <v>7.5652506142794078E-7</v>
      </c>
      <c r="S247" s="185">
        <v>7.6731233932175597E-7</v>
      </c>
      <c r="T247" s="185">
        <v>7.7037165682463259E-7</v>
      </c>
      <c r="U247" s="185">
        <v>7.833609596653838E-7</v>
      </c>
      <c r="V247" s="185">
        <v>7.7389878176226733E-7</v>
      </c>
      <c r="W247" s="185">
        <v>7.4646302542839876E-7</v>
      </c>
      <c r="X247" s="185">
        <v>7.4664983137683352E-7</v>
      </c>
      <c r="Y247" s="185">
        <v>7.6427364332403948E-7</v>
      </c>
      <c r="Z247" s="185">
        <v>7.5018850380136923E-7</v>
      </c>
      <c r="AA247" s="185">
        <v>7.4029545451387303E-7</v>
      </c>
      <c r="AB247" s="185">
        <v>7.413600369152842E-7</v>
      </c>
      <c r="AC247" s="185">
        <v>7.3928623532162953E-7</v>
      </c>
      <c r="AD247" s="185">
        <v>7.3628588182443376E-7</v>
      </c>
      <c r="AE247" s="185">
        <v>7.4672471252151824E-7</v>
      </c>
      <c r="AF247" s="185">
        <v>7.4672471252151824E-7</v>
      </c>
      <c r="AG247" s="185">
        <v>7.4672471252151824E-7</v>
      </c>
      <c r="AH247" s="185">
        <v>7.4672471252151824E-7</v>
      </c>
      <c r="AI247" s="185">
        <v>7.4672471252151824E-7</v>
      </c>
      <c r="AJ247" s="185">
        <v>7.4672471252151824E-7</v>
      </c>
      <c r="AK247" s="185">
        <v>7.4672471252151824E-7</v>
      </c>
      <c r="AL247" s="185">
        <v>7.4672471252151824E-7</v>
      </c>
      <c r="AM247" s="185">
        <v>7.4672471252151824E-7</v>
      </c>
      <c r="AN247" s="185">
        <v>7.4672471252151824E-7</v>
      </c>
      <c r="AO247" s="185">
        <v>7.4672471252151824E-7</v>
      </c>
      <c r="AP247" s="185">
        <v>7.4672471252151824E-7</v>
      </c>
      <c r="AQ247" s="185">
        <v>7.4672471252151824E-7</v>
      </c>
      <c r="AR247" s="185">
        <v>7.4672471252151824E-7</v>
      </c>
      <c r="AS247" s="206">
        <f t="shared" ref="AS247:BV247" si="192">AR247</f>
        <v>7.4672471252151824E-7</v>
      </c>
      <c r="AT247" s="206">
        <f t="shared" si="192"/>
        <v>7.4672471252151824E-7</v>
      </c>
      <c r="AU247" s="206">
        <f t="shared" si="192"/>
        <v>7.4672471252151824E-7</v>
      </c>
      <c r="AV247" s="206">
        <f t="shared" si="192"/>
        <v>7.4672471252151824E-7</v>
      </c>
      <c r="AW247" s="206">
        <f t="shared" si="192"/>
        <v>7.4672471252151824E-7</v>
      </c>
      <c r="AX247" s="206">
        <f t="shared" si="192"/>
        <v>7.4672471252151824E-7</v>
      </c>
      <c r="AY247" s="206">
        <f t="shared" si="192"/>
        <v>7.4672471252151824E-7</v>
      </c>
      <c r="AZ247" s="206">
        <f t="shared" si="192"/>
        <v>7.4672471252151824E-7</v>
      </c>
      <c r="BA247" s="206">
        <f t="shared" si="192"/>
        <v>7.4672471252151824E-7</v>
      </c>
      <c r="BB247" s="206">
        <f t="shared" si="192"/>
        <v>7.4672471252151824E-7</v>
      </c>
      <c r="BC247" s="206">
        <f t="shared" si="192"/>
        <v>7.4672471252151824E-7</v>
      </c>
      <c r="BD247" s="206">
        <f t="shared" si="192"/>
        <v>7.4672471252151824E-7</v>
      </c>
      <c r="BE247" s="206">
        <f t="shared" si="192"/>
        <v>7.4672471252151824E-7</v>
      </c>
      <c r="BF247" s="206">
        <f t="shared" si="192"/>
        <v>7.4672471252151824E-7</v>
      </c>
      <c r="BG247" s="206">
        <f t="shared" si="192"/>
        <v>7.4672471252151824E-7</v>
      </c>
      <c r="BH247" s="206">
        <f t="shared" si="192"/>
        <v>7.4672471252151824E-7</v>
      </c>
      <c r="BI247" s="206">
        <f t="shared" si="192"/>
        <v>7.4672471252151824E-7</v>
      </c>
      <c r="BJ247" s="206">
        <f t="shared" si="192"/>
        <v>7.4672471252151824E-7</v>
      </c>
      <c r="BK247" s="206">
        <f t="shared" si="192"/>
        <v>7.4672471252151824E-7</v>
      </c>
      <c r="BL247" s="206">
        <f t="shared" si="192"/>
        <v>7.4672471252151824E-7</v>
      </c>
      <c r="BM247" s="206">
        <f t="shared" si="192"/>
        <v>7.4672471252151824E-7</v>
      </c>
      <c r="BN247" s="206">
        <f t="shared" si="192"/>
        <v>7.4672471252151824E-7</v>
      </c>
      <c r="BO247" s="206">
        <f t="shared" si="192"/>
        <v>7.4672471252151824E-7</v>
      </c>
      <c r="BP247" s="206">
        <f t="shared" si="192"/>
        <v>7.4672471252151824E-7</v>
      </c>
      <c r="BQ247" s="206">
        <f t="shared" si="192"/>
        <v>7.4672471252151824E-7</v>
      </c>
      <c r="BR247" s="206">
        <f t="shared" si="192"/>
        <v>7.4672471252151824E-7</v>
      </c>
      <c r="BS247" s="206">
        <f t="shared" si="192"/>
        <v>7.4672471252151824E-7</v>
      </c>
      <c r="BT247" s="206">
        <f t="shared" si="192"/>
        <v>7.4672471252151824E-7</v>
      </c>
      <c r="BU247" s="206">
        <f t="shared" si="192"/>
        <v>7.4672471252151824E-7</v>
      </c>
      <c r="BV247" s="206">
        <f t="shared" si="192"/>
        <v>7.4672471252151824E-7</v>
      </c>
    </row>
    <row r="248" spans="1:74" x14ac:dyDescent="0.25">
      <c r="A248" s="155" t="s">
        <v>214</v>
      </c>
      <c r="C248" s="150"/>
      <c r="D248" s="185">
        <v>6.9372182085896159E-7</v>
      </c>
      <c r="E248" s="185">
        <v>6.9372182208450846E-7</v>
      </c>
      <c r="F248" s="185">
        <v>6.9372182331005534E-7</v>
      </c>
      <c r="G248" s="185">
        <v>6.9372182453560222E-7</v>
      </c>
      <c r="H248" s="185">
        <v>6.9372182576114899E-7</v>
      </c>
      <c r="I248" s="185">
        <v>6.9372182698669587E-7</v>
      </c>
      <c r="J248" s="185">
        <v>6.9372181976386657E-7</v>
      </c>
      <c r="K248" s="185">
        <v>6.9372182010994973E-7</v>
      </c>
      <c r="L248" s="185">
        <v>6.9372181887011414E-7</v>
      </c>
      <c r="M248" s="185">
        <v>6.9372181464765575E-7</v>
      </c>
      <c r="N248" s="185">
        <v>6.9372181178296311E-7</v>
      </c>
      <c r="O248" s="185">
        <v>6.9372181863129416E-7</v>
      </c>
      <c r="P248" s="185">
        <v>6.9372181717938715E-7</v>
      </c>
      <c r="Q248" s="185">
        <v>6.9372181882976234E-7</v>
      </c>
      <c r="R248" s="185">
        <v>6.9372181992821563E-7</v>
      </c>
      <c r="S248" s="185">
        <v>6.9372181605718157E-7</v>
      </c>
      <c r="T248" s="185">
        <v>6.9372189475908354E-7</v>
      </c>
      <c r="U248" s="185">
        <v>6.9372190663419027E-7</v>
      </c>
      <c r="V248" s="185">
        <v>6.9372186049530148E-7</v>
      </c>
      <c r="W248" s="185">
        <v>6.9372176760167111E-7</v>
      </c>
      <c r="X248" s="185">
        <v>6.937219366364905E-7</v>
      </c>
      <c r="Y248" s="185">
        <v>6.9372189564363666E-7</v>
      </c>
      <c r="Z248" s="185">
        <v>6.9372183984494612E-7</v>
      </c>
      <c r="AA248" s="185">
        <v>6.9372169435789911E-7</v>
      </c>
      <c r="AB248" s="185">
        <v>6.9372175964281857E-7</v>
      </c>
      <c r="AC248" s="185">
        <v>6.9372183831764121E-7</v>
      </c>
      <c r="AD248" s="185">
        <v>6.9372170553213361E-7</v>
      </c>
      <c r="AE248" s="185">
        <v>6.9372187567674965E-7</v>
      </c>
      <c r="AF248" s="185">
        <v>6.9372187567674965E-7</v>
      </c>
      <c r="AG248" s="185">
        <v>6.9372187567674965E-7</v>
      </c>
      <c r="AH248" s="185">
        <v>6.9372187567674965E-7</v>
      </c>
      <c r="AI248" s="185">
        <v>6.9372187567674965E-7</v>
      </c>
      <c r="AJ248" s="185">
        <v>6.9372187567674965E-7</v>
      </c>
      <c r="AK248" s="185">
        <v>6.9372187567674965E-7</v>
      </c>
      <c r="AL248" s="185">
        <v>6.9372187567674965E-7</v>
      </c>
      <c r="AM248" s="185">
        <v>6.9372187567674965E-7</v>
      </c>
      <c r="AN248" s="185">
        <v>6.9372187567674965E-7</v>
      </c>
      <c r="AO248" s="185">
        <v>6.9372187567674965E-7</v>
      </c>
      <c r="AP248" s="185">
        <v>6.9372187567674965E-7</v>
      </c>
      <c r="AQ248" s="185">
        <v>6.9372187567674965E-7</v>
      </c>
      <c r="AR248" s="185">
        <v>6.9372187567674965E-7</v>
      </c>
      <c r="AS248" s="206">
        <f t="shared" ref="AS248:BV248" si="193">AR248</f>
        <v>6.9372187567674965E-7</v>
      </c>
      <c r="AT248" s="206">
        <f t="shared" si="193"/>
        <v>6.9372187567674965E-7</v>
      </c>
      <c r="AU248" s="206">
        <f t="shared" si="193"/>
        <v>6.9372187567674965E-7</v>
      </c>
      <c r="AV248" s="206">
        <f t="shared" si="193"/>
        <v>6.9372187567674965E-7</v>
      </c>
      <c r="AW248" s="206">
        <f t="shared" si="193"/>
        <v>6.9372187567674965E-7</v>
      </c>
      <c r="AX248" s="206">
        <f t="shared" si="193"/>
        <v>6.9372187567674965E-7</v>
      </c>
      <c r="AY248" s="206">
        <f t="shared" si="193"/>
        <v>6.9372187567674965E-7</v>
      </c>
      <c r="AZ248" s="206">
        <f t="shared" si="193"/>
        <v>6.9372187567674965E-7</v>
      </c>
      <c r="BA248" s="206">
        <f t="shared" si="193"/>
        <v>6.9372187567674965E-7</v>
      </c>
      <c r="BB248" s="206">
        <f t="shared" si="193"/>
        <v>6.9372187567674965E-7</v>
      </c>
      <c r="BC248" s="206">
        <f t="shared" si="193"/>
        <v>6.9372187567674965E-7</v>
      </c>
      <c r="BD248" s="206">
        <f t="shared" si="193"/>
        <v>6.9372187567674965E-7</v>
      </c>
      <c r="BE248" s="206">
        <f t="shared" si="193"/>
        <v>6.9372187567674965E-7</v>
      </c>
      <c r="BF248" s="206">
        <f t="shared" si="193"/>
        <v>6.9372187567674965E-7</v>
      </c>
      <c r="BG248" s="206">
        <f t="shared" si="193"/>
        <v>6.9372187567674965E-7</v>
      </c>
      <c r="BH248" s="206">
        <f t="shared" si="193"/>
        <v>6.9372187567674965E-7</v>
      </c>
      <c r="BI248" s="206">
        <f t="shared" si="193"/>
        <v>6.9372187567674965E-7</v>
      </c>
      <c r="BJ248" s="206">
        <f t="shared" si="193"/>
        <v>6.9372187567674965E-7</v>
      </c>
      <c r="BK248" s="206">
        <f t="shared" si="193"/>
        <v>6.9372187567674965E-7</v>
      </c>
      <c r="BL248" s="206">
        <f t="shared" si="193"/>
        <v>6.9372187567674965E-7</v>
      </c>
      <c r="BM248" s="206">
        <f t="shared" si="193"/>
        <v>6.9372187567674965E-7</v>
      </c>
      <c r="BN248" s="206">
        <f t="shared" si="193"/>
        <v>6.9372187567674965E-7</v>
      </c>
      <c r="BO248" s="206">
        <f t="shared" si="193"/>
        <v>6.9372187567674965E-7</v>
      </c>
      <c r="BP248" s="206">
        <f t="shared" si="193"/>
        <v>6.9372187567674965E-7</v>
      </c>
      <c r="BQ248" s="206">
        <f t="shared" si="193"/>
        <v>6.9372187567674965E-7</v>
      </c>
      <c r="BR248" s="206">
        <f t="shared" si="193"/>
        <v>6.9372187567674965E-7</v>
      </c>
      <c r="BS248" s="206">
        <f t="shared" si="193"/>
        <v>6.9372187567674965E-7</v>
      </c>
      <c r="BT248" s="206">
        <f t="shared" si="193"/>
        <v>6.9372187567674965E-7</v>
      </c>
      <c r="BU248" s="206">
        <f t="shared" si="193"/>
        <v>6.9372187567674965E-7</v>
      </c>
      <c r="BV248" s="206">
        <f t="shared" si="193"/>
        <v>6.9372187567674965E-7</v>
      </c>
    </row>
    <row r="249" spans="1:74" x14ac:dyDescent="0.25">
      <c r="A249" s="149" t="s">
        <v>215</v>
      </c>
      <c r="B249" s="150"/>
      <c r="C249" s="150"/>
      <c r="D249" s="185">
        <v>5.5305755582816489E-7</v>
      </c>
      <c r="E249" s="185">
        <v>5.5755395938350764E-7</v>
      </c>
      <c r="F249" s="185">
        <v>5.6205036294953486E-7</v>
      </c>
      <c r="G249" s="185">
        <v>5.6654676652624635E-7</v>
      </c>
      <c r="H249" s="185">
        <v>5.7329137157078249E-7</v>
      </c>
      <c r="I249" s="185">
        <v>5.7329137225191111E-7</v>
      </c>
      <c r="J249" s="185">
        <v>5.7104315499043336E-7</v>
      </c>
      <c r="K249" s="185">
        <v>5.8003596564759817E-7</v>
      </c>
      <c r="L249" s="185">
        <v>5.8139533919414227E-7</v>
      </c>
      <c r="M249" s="185">
        <v>5.8468175845306478E-7</v>
      </c>
      <c r="N249" s="185">
        <v>5.9546925324097432E-7</v>
      </c>
      <c r="O249" s="185">
        <v>5.9331175675543012E-7</v>
      </c>
      <c r="P249" s="185">
        <v>5.9331175460486715E-7</v>
      </c>
      <c r="Q249" s="185">
        <v>5.9331175862550999E-7</v>
      </c>
      <c r="R249" s="185">
        <v>5.9331175588531965E-7</v>
      </c>
      <c r="S249" s="185">
        <v>5.9331175947375652E-7</v>
      </c>
      <c r="T249" s="185">
        <v>5.933118510316838E-7</v>
      </c>
      <c r="U249" s="185">
        <v>5.9331194290372498E-7</v>
      </c>
      <c r="V249" s="185">
        <v>5.9331187981131484E-7</v>
      </c>
      <c r="W249" s="185">
        <v>5.9331186291080176E-7</v>
      </c>
      <c r="X249" s="185">
        <v>5.9331194187259091E-7</v>
      </c>
      <c r="Y249" s="185">
        <v>5.9331179799381954E-7</v>
      </c>
      <c r="Z249" s="185">
        <v>5.9331189095785941E-7</v>
      </c>
      <c r="AA249" s="185">
        <v>5.9331161703418625E-7</v>
      </c>
      <c r="AB249" s="185">
        <v>5.932740789591351E-7</v>
      </c>
      <c r="AC249" s="185">
        <v>5.9327398031517265E-7</v>
      </c>
      <c r="AD249" s="185">
        <v>5.9327417305870628E-7</v>
      </c>
      <c r="AE249" s="185">
        <v>5.9327417305870628E-7</v>
      </c>
      <c r="AF249" s="185">
        <v>5.9327417305870628E-7</v>
      </c>
      <c r="AG249" s="185">
        <v>5.9327417305870628E-7</v>
      </c>
      <c r="AH249" s="185">
        <v>5.9327417305870628E-7</v>
      </c>
      <c r="AI249" s="185">
        <v>5.9327417305870628E-7</v>
      </c>
      <c r="AJ249" s="185">
        <v>5.9327417305870628E-7</v>
      </c>
      <c r="AK249" s="185">
        <v>5.9327417305870628E-7</v>
      </c>
      <c r="AL249" s="185">
        <v>5.9327417305870628E-7</v>
      </c>
      <c r="AM249" s="185">
        <v>5.9327417305870628E-7</v>
      </c>
      <c r="AN249" s="185">
        <v>5.9327417305870628E-7</v>
      </c>
      <c r="AO249" s="185">
        <v>5.9327417305870628E-7</v>
      </c>
      <c r="AP249" s="185">
        <v>5.9327417305870628E-7</v>
      </c>
      <c r="AQ249" s="185">
        <v>5.9327417305870628E-7</v>
      </c>
      <c r="AR249" s="185">
        <v>5.9327417305870628E-7</v>
      </c>
      <c r="AS249" s="206">
        <f t="shared" ref="AS249:BV249" si="194">AR249</f>
        <v>5.9327417305870628E-7</v>
      </c>
      <c r="AT249" s="206">
        <f t="shared" si="194"/>
        <v>5.9327417305870628E-7</v>
      </c>
      <c r="AU249" s="206">
        <f t="shared" si="194"/>
        <v>5.9327417305870628E-7</v>
      </c>
      <c r="AV249" s="206">
        <f t="shared" si="194"/>
        <v>5.9327417305870628E-7</v>
      </c>
      <c r="AW249" s="206">
        <f t="shared" si="194"/>
        <v>5.9327417305870628E-7</v>
      </c>
      <c r="AX249" s="206">
        <f t="shared" si="194"/>
        <v>5.9327417305870628E-7</v>
      </c>
      <c r="AY249" s="206">
        <f t="shared" si="194"/>
        <v>5.9327417305870628E-7</v>
      </c>
      <c r="AZ249" s="206">
        <f t="shared" si="194"/>
        <v>5.9327417305870628E-7</v>
      </c>
      <c r="BA249" s="206">
        <f t="shared" si="194"/>
        <v>5.9327417305870628E-7</v>
      </c>
      <c r="BB249" s="206">
        <f t="shared" si="194"/>
        <v>5.9327417305870628E-7</v>
      </c>
      <c r="BC249" s="206">
        <f t="shared" si="194"/>
        <v>5.9327417305870628E-7</v>
      </c>
      <c r="BD249" s="206">
        <f t="shared" si="194"/>
        <v>5.9327417305870628E-7</v>
      </c>
      <c r="BE249" s="206">
        <f t="shared" si="194"/>
        <v>5.9327417305870628E-7</v>
      </c>
      <c r="BF249" s="206">
        <f t="shared" si="194"/>
        <v>5.9327417305870628E-7</v>
      </c>
      <c r="BG249" s="206">
        <f t="shared" si="194"/>
        <v>5.9327417305870628E-7</v>
      </c>
      <c r="BH249" s="206">
        <f t="shared" si="194"/>
        <v>5.9327417305870628E-7</v>
      </c>
      <c r="BI249" s="206">
        <f t="shared" si="194"/>
        <v>5.9327417305870628E-7</v>
      </c>
      <c r="BJ249" s="206">
        <f t="shared" si="194"/>
        <v>5.9327417305870628E-7</v>
      </c>
      <c r="BK249" s="206">
        <f t="shared" si="194"/>
        <v>5.9327417305870628E-7</v>
      </c>
      <c r="BL249" s="206">
        <f t="shared" si="194"/>
        <v>5.9327417305870628E-7</v>
      </c>
      <c r="BM249" s="206">
        <f t="shared" si="194"/>
        <v>5.9327417305870628E-7</v>
      </c>
      <c r="BN249" s="206">
        <f t="shared" si="194"/>
        <v>5.9327417305870628E-7</v>
      </c>
      <c r="BO249" s="206">
        <f t="shared" si="194"/>
        <v>5.9327417305870628E-7</v>
      </c>
      <c r="BP249" s="206">
        <f t="shared" si="194"/>
        <v>5.9327417305870628E-7</v>
      </c>
      <c r="BQ249" s="206">
        <f t="shared" si="194"/>
        <v>5.9327417305870628E-7</v>
      </c>
      <c r="BR249" s="206">
        <f t="shared" si="194"/>
        <v>5.9327417305870628E-7</v>
      </c>
      <c r="BS249" s="206">
        <f t="shared" si="194"/>
        <v>5.9327417305870628E-7</v>
      </c>
      <c r="BT249" s="206">
        <f t="shared" si="194"/>
        <v>5.9327417305870628E-7</v>
      </c>
      <c r="BU249" s="206">
        <f t="shared" si="194"/>
        <v>5.9327417305870628E-7</v>
      </c>
      <c r="BV249" s="206">
        <f t="shared" si="194"/>
        <v>5.9327417305870628E-7</v>
      </c>
    </row>
    <row r="250" spans="1:74" x14ac:dyDescent="0.25">
      <c r="A250" s="155" t="s">
        <v>217</v>
      </c>
      <c r="C250" s="150"/>
      <c r="D250" s="185">
        <v>2.1493820526598605E-6</v>
      </c>
      <c r="E250" s="185">
        <v>2.1493820488965372E-6</v>
      </c>
      <c r="F250" s="185">
        <v>2.1493820451332142E-6</v>
      </c>
      <c r="G250" s="185">
        <v>2.1493820413698909E-6</v>
      </c>
      <c r="H250" s="185">
        <v>2.149382037606568E-6</v>
      </c>
      <c r="I250" s="185">
        <v>2.1493820338432438E-6</v>
      </c>
      <c r="J250" s="185">
        <v>2.1493820296324762E-6</v>
      </c>
      <c r="K250" s="185">
        <v>2.1493820477834131E-6</v>
      </c>
      <c r="L250" s="185">
        <v>2.0898641934852297E-6</v>
      </c>
      <c r="M250" s="185">
        <v>2.0898641370433379E-6</v>
      </c>
      <c r="N250" s="185">
        <v>2.0898641634532658E-6</v>
      </c>
      <c r="O250" s="185">
        <v>2.0898641835654765E-6</v>
      </c>
      <c r="P250" s="185">
        <v>2.0898641946689964E-6</v>
      </c>
      <c r="Q250" s="185">
        <v>2.0898641289945649E-6</v>
      </c>
      <c r="R250" s="185">
        <v>2.0898641529287141E-6</v>
      </c>
      <c r="S250" s="185">
        <v>2.0898641291059984E-6</v>
      </c>
      <c r="T250" s="185">
        <v>2.0898643326367556E-6</v>
      </c>
      <c r="U250" s="185">
        <v>2.0898636335884501E-6</v>
      </c>
      <c r="V250" s="185">
        <v>2.0898645865934891E-6</v>
      </c>
      <c r="W250" s="185">
        <v>2.0898650244234388E-6</v>
      </c>
      <c r="X250" s="185">
        <v>2.0898642570353919E-6</v>
      </c>
      <c r="Y250" s="185">
        <v>2.0898643118407691E-6</v>
      </c>
      <c r="Z250" s="185">
        <v>2.0898644292171934E-6</v>
      </c>
      <c r="AA250" s="185">
        <v>2.0898636624080604E-6</v>
      </c>
      <c r="AB250" s="185">
        <v>2.0898640039314725E-6</v>
      </c>
      <c r="AC250" s="185">
        <v>2.0898632313649071E-6</v>
      </c>
      <c r="AD250" s="185">
        <v>2.0898649009569112E-6</v>
      </c>
      <c r="AE250" s="185">
        <v>2.0898631426917697E-6</v>
      </c>
      <c r="AF250" s="185">
        <v>2.0898631426917697E-6</v>
      </c>
      <c r="AG250" s="185">
        <v>2.0898631426917697E-6</v>
      </c>
      <c r="AH250" s="185">
        <v>2.0898631426917697E-6</v>
      </c>
      <c r="AI250" s="185">
        <v>2.0898631426917697E-6</v>
      </c>
      <c r="AJ250" s="185">
        <v>2.0898631426917697E-6</v>
      </c>
      <c r="AK250" s="185">
        <v>2.0898631426917697E-6</v>
      </c>
      <c r="AL250" s="185">
        <v>2.0898631426917697E-6</v>
      </c>
      <c r="AM250" s="185">
        <v>2.0898631426917697E-6</v>
      </c>
      <c r="AN250" s="185">
        <v>2.0898631426917697E-6</v>
      </c>
      <c r="AO250" s="185">
        <v>2.0898631426917697E-6</v>
      </c>
      <c r="AP250" s="185">
        <v>2.0898631426917697E-6</v>
      </c>
      <c r="AQ250" s="185">
        <v>2.0898631426917697E-6</v>
      </c>
      <c r="AR250" s="185">
        <v>2.0898631426917697E-6</v>
      </c>
      <c r="AS250" s="206">
        <f t="shared" ref="AS250:BV250" si="195">AR250</f>
        <v>2.0898631426917697E-6</v>
      </c>
      <c r="AT250" s="206">
        <f t="shared" si="195"/>
        <v>2.0898631426917697E-6</v>
      </c>
      <c r="AU250" s="206">
        <f t="shared" si="195"/>
        <v>2.0898631426917697E-6</v>
      </c>
      <c r="AV250" s="206">
        <f t="shared" si="195"/>
        <v>2.0898631426917697E-6</v>
      </c>
      <c r="AW250" s="206">
        <f t="shared" si="195"/>
        <v>2.0898631426917697E-6</v>
      </c>
      <c r="AX250" s="206">
        <f t="shared" si="195"/>
        <v>2.0898631426917697E-6</v>
      </c>
      <c r="AY250" s="206">
        <f t="shared" si="195"/>
        <v>2.0898631426917697E-6</v>
      </c>
      <c r="AZ250" s="206">
        <f t="shared" si="195"/>
        <v>2.0898631426917697E-6</v>
      </c>
      <c r="BA250" s="206">
        <f t="shared" si="195"/>
        <v>2.0898631426917697E-6</v>
      </c>
      <c r="BB250" s="206">
        <f t="shared" si="195"/>
        <v>2.0898631426917697E-6</v>
      </c>
      <c r="BC250" s="206">
        <f t="shared" si="195"/>
        <v>2.0898631426917697E-6</v>
      </c>
      <c r="BD250" s="206">
        <f t="shared" si="195"/>
        <v>2.0898631426917697E-6</v>
      </c>
      <c r="BE250" s="206">
        <f t="shared" si="195"/>
        <v>2.0898631426917697E-6</v>
      </c>
      <c r="BF250" s="206">
        <f t="shared" si="195"/>
        <v>2.0898631426917697E-6</v>
      </c>
      <c r="BG250" s="206">
        <f t="shared" si="195"/>
        <v>2.0898631426917697E-6</v>
      </c>
      <c r="BH250" s="206">
        <f t="shared" si="195"/>
        <v>2.0898631426917697E-6</v>
      </c>
      <c r="BI250" s="206">
        <f t="shared" si="195"/>
        <v>2.0898631426917697E-6</v>
      </c>
      <c r="BJ250" s="206">
        <f t="shared" si="195"/>
        <v>2.0898631426917697E-6</v>
      </c>
      <c r="BK250" s="206">
        <f t="shared" si="195"/>
        <v>2.0898631426917697E-6</v>
      </c>
      <c r="BL250" s="206">
        <f t="shared" si="195"/>
        <v>2.0898631426917697E-6</v>
      </c>
      <c r="BM250" s="206">
        <f t="shared" si="195"/>
        <v>2.0898631426917697E-6</v>
      </c>
      <c r="BN250" s="206">
        <f t="shared" si="195"/>
        <v>2.0898631426917697E-6</v>
      </c>
      <c r="BO250" s="206">
        <f t="shared" si="195"/>
        <v>2.0898631426917697E-6</v>
      </c>
      <c r="BP250" s="206">
        <f t="shared" si="195"/>
        <v>2.0898631426917697E-6</v>
      </c>
      <c r="BQ250" s="206">
        <f t="shared" si="195"/>
        <v>2.0898631426917697E-6</v>
      </c>
      <c r="BR250" s="206">
        <f t="shared" si="195"/>
        <v>2.0898631426917697E-6</v>
      </c>
      <c r="BS250" s="206">
        <f t="shared" si="195"/>
        <v>2.0898631426917697E-6</v>
      </c>
      <c r="BT250" s="206">
        <f t="shared" si="195"/>
        <v>2.0898631426917697E-6</v>
      </c>
      <c r="BU250" s="206">
        <f t="shared" si="195"/>
        <v>2.0898631426917697E-6</v>
      </c>
      <c r="BV250" s="206">
        <f t="shared" si="195"/>
        <v>2.0898631426917697E-6</v>
      </c>
    </row>
    <row r="251" spans="1:74" x14ac:dyDescent="0.25">
      <c r="A251" s="155" t="s">
        <v>12</v>
      </c>
      <c r="C251" s="150"/>
      <c r="D251" s="185">
        <v>1.0341268370184033E-5</v>
      </c>
      <c r="E251" s="185">
        <v>1.0341268370184033E-5</v>
      </c>
      <c r="F251" s="185">
        <v>1.0341268370184033E-5</v>
      </c>
      <c r="G251" s="185">
        <v>1.0341268370184033E-5</v>
      </c>
      <c r="H251" s="185">
        <v>1.0341268370184033E-5</v>
      </c>
      <c r="I251" s="185">
        <v>1.0341268370184033E-5</v>
      </c>
      <c r="J251" s="185">
        <v>1.0341276084664316E-5</v>
      </c>
      <c r="K251" s="185">
        <v>1.0341261276816161E-5</v>
      </c>
      <c r="L251" s="185">
        <v>1.0341254423757502E-5</v>
      </c>
      <c r="M251" s="185">
        <v>1.03412499969685E-5</v>
      </c>
      <c r="N251" s="185">
        <v>1.0341281568972375E-5</v>
      </c>
      <c r="O251" s="185">
        <v>1.0341244129338394E-5</v>
      </c>
      <c r="P251" s="185">
        <v>1.0443876317390763E-5</v>
      </c>
      <c r="Q251" s="185">
        <v>1.0443858949120162E-5</v>
      </c>
      <c r="R251" s="185">
        <v>1.0443864666083176E-5</v>
      </c>
      <c r="S251" s="185">
        <v>1.044388427224369E-5</v>
      </c>
      <c r="T251" s="185">
        <v>1.044386350224554E-5</v>
      </c>
      <c r="U251" s="185">
        <v>1.04438600820944E-5</v>
      </c>
      <c r="V251" s="185">
        <v>1.0443880375395977E-5</v>
      </c>
      <c r="W251" s="185">
        <v>1.0443871133153329E-5</v>
      </c>
      <c r="X251" s="185">
        <v>1.04438787184324E-5</v>
      </c>
      <c r="Y251" s="185">
        <v>1.0443853454604676E-5</v>
      </c>
      <c r="Z251" s="185">
        <v>1.0443850081628401E-5</v>
      </c>
      <c r="AA251" s="185">
        <v>1.0443874471427051E-5</v>
      </c>
      <c r="AB251" s="185">
        <v>1.0443849595249662E-5</v>
      </c>
      <c r="AC251" s="185">
        <v>1.0443882381762683E-5</v>
      </c>
      <c r="AD251" s="185">
        <v>1.0443872289376391E-5</v>
      </c>
      <c r="AE251" s="185">
        <v>1.0443869321055523E-5</v>
      </c>
      <c r="AF251" s="185">
        <v>1.0443869321055523E-5</v>
      </c>
      <c r="AG251" s="185">
        <v>1.0443869321055523E-5</v>
      </c>
      <c r="AH251" s="185">
        <v>1.0443869321055523E-5</v>
      </c>
      <c r="AI251" s="185">
        <v>1.0443869321055523E-5</v>
      </c>
      <c r="AJ251" s="185">
        <v>1.0443869321055523E-5</v>
      </c>
      <c r="AK251" s="185">
        <v>1.0443869321055523E-5</v>
      </c>
      <c r="AL251" s="185">
        <v>1.0443869321055523E-5</v>
      </c>
      <c r="AM251" s="185">
        <v>1.0443869321055523E-5</v>
      </c>
      <c r="AN251" s="185">
        <v>1.0443869321055523E-5</v>
      </c>
      <c r="AO251" s="185">
        <v>1.0443869321055523E-5</v>
      </c>
      <c r="AP251" s="185">
        <v>1.0443869321055523E-5</v>
      </c>
      <c r="AQ251" s="185">
        <v>1.0443869321055523E-5</v>
      </c>
      <c r="AR251" s="185">
        <v>1.0443869321055523E-5</v>
      </c>
      <c r="AS251" s="206">
        <f t="shared" ref="AS251:BV251" si="196">AR251</f>
        <v>1.0443869321055523E-5</v>
      </c>
      <c r="AT251" s="206">
        <f t="shared" si="196"/>
        <v>1.0443869321055523E-5</v>
      </c>
      <c r="AU251" s="206">
        <f t="shared" si="196"/>
        <v>1.0443869321055523E-5</v>
      </c>
      <c r="AV251" s="206">
        <f t="shared" si="196"/>
        <v>1.0443869321055523E-5</v>
      </c>
      <c r="AW251" s="206">
        <f t="shared" si="196"/>
        <v>1.0443869321055523E-5</v>
      </c>
      <c r="AX251" s="206">
        <f t="shared" si="196"/>
        <v>1.0443869321055523E-5</v>
      </c>
      <c r="AY251" s="206">
        <f t="shared" si="196"/>
        <v>1.0443869321055523E-5</v>
      </c>
      <c r="AZ251" s="206">
        <f t="shared" si="196"/>
        <v>1.0443869321055523E-5</v>
      </c>
      <c r="BA251" s="206">
        <f t="shared" si="196"/>
        <v>1.0443869321055523E-5</v>
      </c>
      <c r="BB251" s="206">
        <f t="shared" si="196"/>
        <v>1.0443869321055523E-5</v>
      </c>
      <c r="BC251" s="206">
        <f t="shared" si="196"/>
        <v>1.0443869321055523E-5</v>
      </c>
      <c r="BD251" s="206">
        <f t="shared" si="196"/>
        <v>1.0443869321055523E-5</v>
      </c>
      <c r="BE251" s="206">
        <f t="shared" si="196"/>
        <v>1.0443869321055523E-5</v>
      </c>
      <c r="BF251" s="206">
        <f t="shared" si="196"/>
        <v>1.0443869321055523E-5</v>
      </c>
      <c r="BG251" s="206">
        <f t="shared" si="196"/>
        <v>1.0443869321055523E-5</v>
      </c>
      <c r="BH251" s="206">
        <f t="shared" si="196"/>
        <v>1.0443869321055523E-5</v>
      </c>
      <c r="BI251" s="206">
        <f t="shared" si="196"/>
        <v>1.0443869321055523E-5</v>
      </c>
      <c r="BJ251" s="206">
        <f t="shared" si="196"/>
        <v>1.0443869321055523E-5</v>
      </c>
      <c r="BK251" s="206">
        <f t="shared" si="196"/>
        <v>1.0443869321055523E-5</v>
      </c>
      <c r="BL251" s="206">
        <f t="shared" si="196"/>
        <v>1.0443869321055523E-5</v>
      </c>
      <c r="BM251" s="206">
        <f t="shared" si="196"/>
        <v>1.0443869321055523E-5</v>
      </c>
      <c r="BN251" s="206">
        <f t="shared" si="196"/>
        <v>1.0443869321055523E-5</v>
      </c>
      <c r="BO251" s="206">
        <f t="shared" si="196"/>
        <v>1.0443869321055523E-5</v>
      </c>
      <c r="BP251" s="206">
        <f t="shared" si="196"/>
        <v>1.0443869321055523E-5</v>
      </c>
      <c r="BQ251" s="206">
        <f t="shared" si="196"/>
        <v>1.0443869321055523E-5</v>
      </c>
      <c r="BR251" s="206">
        <f t="shared" si="196"/>
        <v>1.0443869321055523E-5</v>
      </c>
      <c r="BS251" s="206">
        <f t="shared" si="196"/>
        <v>1.0443869321055523E-5</v>
      </c>
      <c r="BT251" s="206">
        <f t="shared" si="196"/>
        <v>1.0443869321055523E-5</v>
      </c>
      <c r="BU251" s="206">
        <f t="shared" si="196"/>
        <v>1.0443869321055523E-5</v>
      </c>
      <c r="BV251" s="206">
        <f t="shared" si="196"/>
        <v>1.0443869321055523E-5</v>
      </c>
    </row>
    <row r="252" spans="1:74" x14ac:dyDescent="0.25">
      <c r="A252" s="155" t="s">
        <v>2</v>
      </c>
      <c r="C252" s="150"/>
      <c r="D252" s="185"/>
      <c r="E252" s="185"/>
      <c r="F252" s="185"/>
      <c r="G252" s="185"/>
      <c r="H252" s="185"/>
      <c r="I252" s="185"/>
      <c r="J252" s="185"/>
      <c r="K252" s="185"/>
      <c r="L252" s="185"/>
      <c r="M252" s="185"/>
      <c r="N252" s="185"/>
      <c r="O252" s="185"/>
      <c r="P252" s="185"/>
      <c r="Q252" s="185"/>
      <c r="R252" s="185"/>
      <c r="S252" s="185"/>
      <c r="T252" s="185"/>
      <c r="U252" s="185"/>
      <c r="V252" s="185"/>
      <c r="W252" s="185"/>
      <c r="X252" s="185"/>
      <c r="Y252" s="185"/>
      <c r="Z252" s="185"/>
      <c r="AA252" s="185"/>
      <c r="AB252" s="185"/>
      <c r="AC252" s="185"/>
      <c r="AD252" s="185"/>
      <c r="AE252" s="185"/>
      <c r="AF252" s="185"/>
      <c r="AG252" s="185"/>
      <c r="AH252" s="185"/>
      <c r="AI252" s="185"/>
      <c r="AJ252" s="185"/>
      <c r="AK252" s="185"/>
      <c r="AL252" s="185"/>
      <c r="AM252" s="185"/>
      <c r="AN252" s="185"/>
      <c r="AO252" s="185"/>
      <c r="AP252" s="185"/>
      <c r="AQ252" s="185"/>
      <c r="AR252" s="185"/>
      <c r="AS252" s="206">
        <f t="shared" ref="AS252:BV252" si="197">AR252</f>
        <v>0</v>
      </c>
      <c r="AT252" s="206">
        <f t="shared" si="197"/>
        <v>0</v>
      </c>
      <c r="AU252" s="206">
        <f t="shared" si="197"/>
        <v>0</v>
      </c>
      <c r="AV252" s="206">
        <f t="shared" si="197"/>
        <v>0</v>
      </c>
      <c r="AW252" s="206">
        <f t="shared" si="197"/>
        <v>0</v>
      </c>
      <c r="AX252" s="206">
        <f t="shared" si="197"/>
        <v>0</v>
      </c>
      <c r="AY252" s="206">
        <f t="shared" si="197"/>
        <v>0</v>
      </c>
      <c r="AZ252" s="206">
        <f t="shared" si="197"/>
        <v>0</v>
      </c>
      <c r="BA252" s="206">
        <f t="shared" si="197"/>
        <v>0</v>
      </c>
      <c r="BB252" s="206">
        <f t="shared" si="197"/>
        <v>0</v>
      </c>
      <c r="BC252" s="206">
        <f t="shared" si="197"/>
        <v>0</v>
      </c>
      <c r="BD252" s="206">
        <f t="shared" si="197"/>
        <v>0</v>
      </c>
      <c r="BE252" s="206">
        <f t="shared" si="197"/>
        <v>0</v>
      </c>
      <c r="BF252" s="206">
        <f t="shared" si="197"/>
        <v>0</v>
      </c>
      <c r="BG252" s="206">
        <f t="shared" si="197"/>
        <v>0</v>
      </c>
      <c r="BH252" s="206">
        <f t="shared" si="197"/>
        <v>0</v>
      </c>
      <c r="BI252" s="206">
        <f t="shared" si="197"/>
        <v>0</v>
      </c>
      <c r="BJ252" s="206">
        <f t="shared" si="197"/>
        <v>0</v>
      </c>
      <c r="BK252" s="206">
        <f t="shared" si="197"/>
        <v>0</v>
      </c>
      <c r="BL252" s="206">
        <f t="shared" si="197"/>
        <v>0</v>
      </c>
      <c r="BM252" s="206">
        <f t="shared" si="197"/>
        <v>0</v>
      </c>
      <c r="BN252" s="206">
        <f t="shared" si="197"/>
        <v>0</v>
      </c>
      <c r="BO252" s="206">
        <f t="shared" si="197"/>
        <v>0</v>
      </c>
      <c r="BP252" s="206">
        <f t="shared" si="197"/>
        <v>0</v>
      </c>
      <c r="BQ252" s="206">
        <f t="shared" si="197"/>
        <v>0</v>
      </c>
      <c r="BR252" s="206">
        <f t="shared" si="197"/>
        <v>0</v>
      </c>
      <c r="BS252" s="206">
        <f t="shared" si="197"/>
        <v>0</v>
      </c>
      <c r="BT252" s="206">
        <f t="shared" si="197"/>
        <v>0</v>
      </c>
      <c r="BU252" s="206">
        <f t="shared" si="197"/>
        <v>0</v>
      </c>
      <c r="BV252" s="206">
        <f t="shared" si="197"/>
        <v>0</v>
      </c>
    </row>
    <row r="253" spans="1:74" x14ac:dyDescent="0.25">
      <c r="A253" s="149" t="s">
        <v>220</v>
      </c>
      <c r="B253" s="156"/>
      <c r="C253" s="150"/>
      <c r="D253" s="185">
        <v>9.4004394736498995E-7</v>
      </c>
      <c r="E253" s="185">
        <v>9.4004394736498995E-7</v>
      </c>
      <c r="F253" s="185">
        <v>9.4004394736498995E-7</v>
      </c>
      <c r="G253" s="185">
        <v>9.4004394736498995E-7</v>
      </c>
      <c r="H253" s="185">
        <v>9.4004394736498995E-7</v>
      </c>
      <c r="I253" s="185">
        <v>9.4004394736498995E-7</v>
      </c>
      <c r="J253" s="185">
        <v>9.4004394736498995E-7</v>
      </c>
      <c r="K253" s="185">
        <v>9.4004394736498995E-7</v>
      </c>
      <c r="L253" s="185">
        <v>9.4004394736498995E-7</v>
      </c>
      <c r="M253" s="185">
        <v>9.4004394736498995E-7</v>
      </c>
      <c r="N253" s="185">
        <v>9.4004394736498995E-7</v>
      </c>
      <c r="O253" s="185">
        <v>9.4004394736498995E-7</v>
      </c>
      <c r="P253" s="185">
        <v>9.4004394736498995E-7</v>
      </c>
      <c r="Q253" s="185">
        <v>9.4004394736498995E-7</v>
      </c>
      <c r="R253" s="185">
        <v>9.4004394736498995E-7</v>
      </c>
      <c r="S253" s="185">
        <v>9.4004394736498995E-7</v>
      </c>
      <c r="T253" s="185">
        <v>9.4004394736498995E-7</v>
      </c>
      <c r="U253" s="185">
        <v>9.4004394736498995E-7</v>
      </c>
      <c r="V253" s="185">
        <v>9.4004394736498995E-7</v>
      </c>
      <c r="W253" s="185">
        <v>9.4004394736498995E-7</v>
      </c>
      <c r="X253" s="185">
        <v>9.4004394736498995E-7</v>
      </c>
      <c r="Y253" s="185">
        <v>9.4004394736498995E-7</v>
      </c>
      <c r="Z253" s="185">
        <v>9.4004394736498995E-7</v>
      </c>
      <c r="AA253" s="185">
        <v>9.4004394736498995E-7</v>
      </c>
      <c r="AB253" s="185">
        <v>9.4004394736498995E-7</v>
      </c>
      <c r="AC253" s="185">
        <v>9.4004394736498995E-7</v>
      </c>
      <c r="AD253" s="185">
        <v>9.4004394736498995E-7</v>
      </c>
      <c r="AE253" s="185">
        <v>9.4004394736498995E-7</v>
      </c>
      <c r="AF253" s="185">
        <v>9.4004394736498995E-7</v>
      </c>
      <c r="AG253" s="185">
        <v>9.4004394736498995E-7</v>
      </c>
      <c r="AH253" s="185">
        <v>9.4004394736498995E-7</v>
      </c>
      <c r="AI253" s="185">
        <v>9.4004394736498995E-7</v>
      </c>
      <c r="AJ253" s="185">
        <v>9.4004394736498995E-7</v>
      </c>
      <c r="AK253" s="185">
        <v>9.4004394736498995E-7</v>
      </c>
      <c r="AL253" s="185">
        <v>9.4004394736498995E-7</v>
      </c>
      <c r="AM253" s="185">
        <v>9.4004394736498995E-7</v>
      </c>
      <c r="AN253" s="185">
        <v>9.4004394736498995E-7</v>
      </c>
      <c r="AO253" s="185">
        <v>9.4004394736498995E-7</v>
      </c>
      <c r="AP253" s="185">
        <v>9.4004394736498995E-7</v>
      </c>
      <c r="AQ253" s="185">
        <v>9.4004394736498995E-7</v>
      </c>
      <c r="AR253" s="185">
        <v>9.4004394736498995E-7</v>
      </c>
      <c r="AS253" s="206">
        <f t="shared" ref="AS253:BV253" si="198">AR253</f>
        <v>9.4004394736498995E-7</v>
      </c>
      <c r="AT253" s="206">
        <f t="shared" si="198"/>
        <v>9.4004394736498995E-7</v>
      </c>
      <c r="AU253" s="206">
        <f t="shared" si="198"/>
        <v>9.4004394736498995E-7</v>
      </c>
      <c r="AV253" s="206">
        <f t="shared" si="198"/>
        <v>9.4004394736498995E-7</v>
      </c>
      <c r="AW253" s="206">
        <f t="shared" si="198"/>
        <v>9.4004394736498995E-7</v>
      </c>
      <c r="AX253" s="206">
        <f t="shared" si="198"/>
        <v>9.4004394736498995E-7</v>
      </c>
      <c r="AY253" s="206">
        <f t="shared" si="198"/>
        <v>9.4004394736498995E-7</v>
      </c>
      <c r="AZ253" s="206">
        <f t="shared" si="198"/>
        <v>9.4004394736498995E-7</v>
      </c>
      <c r="BA253" s="206">
        <f t="shared" si="198"/>
        <v>9.4004394736498995E-7</v>
      </c>
      <c r="BB253" s="206">
        <f t="shared" si="198"/>
        <v>9.4004394736498995E-7</v>
      </c>
      <c r="BC253" s="206">
        <f t="shared" si="198"/>
        <v>9.4004394736498995E-7</v>
      </c>
      <c r="BD253" s="206">
        <f t="shared" si="198"/>
        <v>9.4004394736498995E-7</v>
      </c>
      <c r="BE253" s="206">
        <f t="shared" si="198"/>
        <v>9.4004394736498995E-7</v>
      </c>
      <c r="BF253" s="206">
        <f t="shared" si="198"/>
        <v>9.4004394736498995E-7</v>
      </c>
      <c r="BG253" s="206">
        <f t="shared" si="198"/>
        <v>9.4004394736498995E-7</v>
      </c>
      <c r="BH253" s="206">
        <f t="shared" si="198"/>
        <v>9.4004394736498995E-7</v>
      </c>
      <c r="BI253" s="206">
        <f t="shared" si="198"/>
        <v>9.4004394736498995E-7</v>
      </c>
      <c r="BJ253" s="206">
        <f t="shared" si="198"/>
        <v>9.4004394736498995E-7</v>
      </c>
      <c r="BK253" s="206">
        <f t="shared" si="198"/>
        <v>9.4004394736498995E-7</v>
      </c>
      <c r="BL253" s="206">
        <f t="shared" si="198"/>
        <v>9.4004394736498995E-7</v>
      </c>
      <c r="BM253" s="206">
        <f t="shared" si="198"/>
        <v>9.4004394736498995E-7</v>
      </c>
      <c r="BN253" s="206">
        <f t="shared" si="198"/>
        <v>9.4004394736498995E-7</v>
      </c>
      <c r="BO253" s="206">
        <f t="shared" si="198"/>
        <v>9.4004394736498995E-7</v>
      </c>
      <c r="BP253" s="206">
        <f t="shared" si="198"/>
        <v>9.4004394736498995E-7</v>
      </c>
      <c r="BQ253" s="206">
        <f t="shared" si="198"/>
        <v>9.4004394736498995E-7</v>
      </c>
      <c r="BR253" s="206">
        <f t="shared" si="198"/>
        <v>9.4004394736498995E-7</v>
      </c>
      <c r="BS253" s="206">
        <f t="shared" si="198"/>
        <v>9.4004394736498995E-7</v>
      </c>
      <c r="BT253" s="206">
        <f t="shared" si="198"/>
        <v>9.4004394736498995E-7</v>
      </c>
      <c r="BU253" s="206">
        <f t="shared" si="198"/>
        <v>9.4004394736498995E-7</v>
      </c>
      <c r="BV253" s="206">
        <f t="shared" si="198"/>
        <v>9.4004394736498995E-7</v>
      </c>
    </row>
    <row r="254" spans="1:74" x14ac:dyDescent="0.25">
      <c r="A254" s="149" t="s">
        <v>221</v>
      </c>
      <c r="B254" s="156"/>
      <c r="C254" s="150"/>
      <c r="D254" s="185">
        <v>4.7927150641825361E-10</v>
      </c>
      <c r="E254" s="185">
        <v>4.792715066038902E-10</v>
      </c>
      <c r="F254" s="185">
        <v>4.792715067895268E-10</v>
      </c>
      <c r="G254" s="185">
        <v>4.792715069751634E-10</v>
      </c>
      <c r="H254" s="185">
        <v>4.792715071608E-10</v>
      </c>
      <c r="I254" s="185">
        <v>4.7927150734643639E-10</v>
      </c>
      <c r="J254" s="185">
        <v>4.7927150657796181E-10</v>
      </c>
      <c r="K254" s="185">
        <v>4.7927150724306455E-10</v>
      </c>
      <c r="L254" s="185">
        <v>4.7058823529411763E-10</v>
      </c>
      <c r="M254" s="185">
        <v>4.705882336750339E-10</v>
      </c>
      <c r="N254" s="185">
        <v>4.7058823373990813E-10</v>
      </c>
      <c r="O254" s="185">
        <v>4.7058823393429888E-10</v>
      </c>
      <c r="P254" s="185">
        <v>4.7058823395072431E-10</v>
      </c>
      <c r="Q254" s="185">
        <v>4.7058823529411763E-10</v>
      </c>
      <c r="R254" s="185">
        <v>4.7058823529411763E-10</v>
      </c>
      <c r="S254" s="185">
        <v>4.7058823403185863E-10</v>
      </c>
      <c r="T254" s="185">
        <v>4.7058823410394597E-10</v>
      </c>
      <c r="U254" s="185">
        <v>4.7058823750077712E-10</v>
      </c>
      <c r="V254" s="185">
        <v>4.7058821866838196E-10</v>
      </c>
      <c r="W254" s="185">
        <v>4.7058818648632621E-10</v>
      </c>
      <c r="X254" s="185">
        <v>4.7058828446232178E-10</v>
      </c>
      <c r="Y254" s="185">
        <v>4.7058822676957547E-10</v>
      </c>
      <c r="Z254" s="185">
        <v>5.5432376640131688E-10</v>
      </c>
      <c r="AA254" s="185">
        <v>5.5432365977479457E-10</v>
      </c>
      <c r="AB254" s="185">
        <v>5.5432365977479457E-10</v>
      </c>
      <c r="AC254" s="185">
        <v>5.5432365977479457E-10</v>
      </c>
      <c r="AD254" s="185">
        <v>5.5432372980892911E-10</v>
      </c>
      <c r="AE254" s="185">
        <v>5.5432372980892911E-10</v>
      </c>
      <c r="AF254" s="185">
        <v>5.5432372980892911E-10</v>
      </c>
      <c r="AG254" s="185">
        <v>5.5432372980892911E-10</v>
      </c>
      <c r="AH254" s="185">
        <v>5.5432372980892911E-10</v>
      </c>
      <c r="AI254" s="185">
        <v>5.5432372980892911E-10</v>
      </c>
      <c r="AJ254" s="185">
        <v>5.5432372980892911E-10</v>
      </c>
      <c r="AK254" s="185">
        <v>5.5432372980892911E-10</v>
      </c>
      <c r="AL254" s="185">
        <v>5.5432372980892911E-10</v>
      </c>
      <c r="AM254" s="185">
        <v>5.5432372980892911E-10</v>
      </c>
      <c r="AN254" s="185">
        <v>5.5432372980892911E-10</v>
      </c>
      <c r="AO254" s="185">
        <v>5.5432372980892911E-10</v>
      </c>
      <c r="AP254" s="185">
        <v>5.5432372980892911E-10</v>
      </c>
      <c r="AQ254" s="185">
        <v>5.5432372980892911E-10</v>
      </c>
      <c r="AR254" s="185">
        <v>5.5432372980892911E-10</v>
      </c>
      <c r="AS254" s="206">
        <f t="shared" ref="AS254:BV254" si="199">AR254</f>
        <v>5.5432372980892911E-10</v>
      </c>
      <c r="AT254" s="206">
        <f t="shared" si="199"/>
        <v>5.5432372980892911E-10</v>
      </c>
      <c r="AU254" s="206">
        <f t="shared" si="199"/>
        <v>5.5432372980892911E-10</v>
      </c>
      <c r="AV254" s="206">
        <f t="shared" si="199"/>
        <v>5.5432372980892911E-10</v>
      </c>
      <c r="AW254" s="206">
        <f t="shared" si="199"/>
        <v>5.5432372980892911E-10</v>
      </c>
      <c r="AX254" s="206">
        <f t="shared" si="199"/>
        <v>5.5432372980892911E-10</v>
      </c>
      <c r="AY254" s="206">
        <f t="shared" si="199"/>
        <v>5.5432372980892911E-10</v>
      </c>
      <c r="AZ254" s="206">
        <f t="shared" si="199"/>
        <v>5.5432372980892911E-10</v>
      </c>
      <c r="BA254" s="206">
        <f t="shared" si="199"/>
        <v>5.5432372980892911E-10</v>
      </c>
      <c r="BB254" s="206">
        <f t="shared" si="199"/>
        <v>5.5432372980892911E-10</v>
      </c>
      <c r="BC254" s="206">
        <f t="shared" si="199"/>
        <v>5.5432372980892911E-10</v>
      </c>
      <c r="BD254" s="206">
        <f t="shared" si="199"/>
        <v>5.5432372980892911E-10</v>
      </c>
      <c r="BE254" s="206">
        <f t="shared" si="199"/>
        <v>5.5432372980892911E-10</v>
      </c>
      <c r="BF254" s="206">
        <f t="shared" si="199"/>
        <v>5.5432372980892911E-10</v>
      </c>
      <c r="BG254" s="206">
        <f t="shared" si="199"/>
        <v>5.5432372980892911E-10</v>
      </c>
      <c r="BH254" s="206">
        <f t="shared" si="199"/>
        <v>5.5432372980892911E-10</v>
      </c>
      <c r="BI254" s="206">
        <f t="shared" si="199"/>
        <v>5.5432372980892911E-10</v>
      </c>
      <c r="BJ254" s="206">
        <f t="shared" si="199"/>
        <v>5.5432372980892911E-10</v>
      </c>
      <c r="BK254" s="206">
        <f t="shared" si="199"/>
        <v>5.5432372980892911E-10</v>
      </c>
      <c r="BL254" s="206">
        <f t="shared" si="199"/>
        <v>5.5432372980892911E-10</v>
      </c>
      <c r="BM254" s="206">
        <f t="shared" si="199"/>
        <v>5.5432372980892911E-10</v>
      </c>
      <c r="BN254" s="206">
        <f t="shared" si="199"/>
        <v>5.5432372980892911E-10</v>
      </c>
      <c r="BO254" s="206">
        <f t="shared" si="199"/>
        <v>5.5432372980892911E-10</v>
      </c>
      <c r="BP254" s="206">
        <f t="shared" si="199"/>
        <v>5.5432372980892911E-10</v>
      </c>
      <c r="BQ254" s="206">
        <f t="shared" si="199"/>
        <v>5.5432372980892911E-10</v>
      </c>
      <c r="BR254" s="206">
        <f t="shared" si="199"/>
        <v>5.5432372980892911E-10</v>
      </c>
      <c r="BS254" s="206">
        <f t="shared" si="199"/>
        <v>5.5432372980892911E-10</v>
      </c>
      <c r="BT254" s="206">
        <f t="shared" si="199"/>
        <v>5.5432372980892911E-10</v>
      </c>
      <c r="BU254" s="206">
        <f t="shared" si="199"/>
        <v>5.5432372980892911E-10</v>
      </c>
      <c r="BV254" s="206">
        <f t="shared" si="199"/>
        <v>5.5432372980892911E-10</v>
      </c>
    </row>
    <row r="255" spans="1:74" x14ac:dyDescent="0.25">
      <c r="A255" s="149" t="s">
        <v>223</v>
      </c>
      <c r="B255" s="156"/>
      <c r="C255" s="156"/>
      <c r="D255" s="185">
        <v>5.7703347123220997E-7</v>
      </c>
      <c r="E255" s="185">
        <v>5.7703347123220997E-7</v>
      </c>
      <c r="F255" s="185">
        <v>5.7703347123220997E-7</v>
      </c>
      <c r="G255" s="185">
        <v>5.7703347123220997E-7</v>
      </c>
      <c r="H255" s="185">
        <v>5.7703347123220997E-7</v>
      </c>
      <c r="I255" s="185">
        <v>5.7703347123220997E-7</v>
      </c>
      <c r="J255" s="185">
        <v>5.7703358131614773E-7</v>
      </c>
      <c r="K255" s="185">
        <v>5.7703353971292323E-7</v>
      </c>
      <c r="L255" s="185">
        <v>5.7703372414426939E-7</v>
      </c>
      <c r="M255" s="185">
        <v>5.7703367895028206E-7</v>
      </c>
      <c r="N255" s="185">
        <v>5.7703405885162051E-7</v>
      </c>
      <c r="O255" s="185">
        <v>5.770348352994741E-7</v>
      </c>
      <c r="P255" s="185">
        <v>5.7142939904497212E-7</v>
      </c>
      <c r="Q255" s="185">
        <v>5.7142816417783874E-7</v>
      </c>
      <c r="R255" s="185">
        <v>5.7142857142857149E-7</v>
      </c>
      <c r="S255" s="185">
        <v>5.7142877142877148E-7</v>
      </c>
      <c r="T255" s="185">
        <v>5.7142857142857149E-7</v>
      </c>
      <c r="U255" s="185">
        <v>5.7142857142857149E-7</v>
      </c>
      <c r="V255" s="185">
        <v>5.7142837570583738E-7</v>
      </c>
      <c r="W255" s="185">
        <v>5.7142895796354821E-7</v>
      </c>
      <c r="X255" s="185">
        <v>5.714281951044751E-7</v>
      </c>
      <c r="Y255" s="185">
        <v>5.7142857142857149E-7</v>
      </c>
      <c r="Z255" s="185">
        <v>5.7142895086674111E-7</v>
      </c>
      <c r="AA255" s="185">
        <v>5.7142875692071175E-7</v>
      </c>
      <c r="AB255" s="185">
        <v>5.7142893136113098E-7</v>
      </c>
      <c r="AC255" s="185">
        <v>5.7142911645705326E-7</v>
      </c>
      <c r="AD255" s="185">
        <v>5.7142839521401264E-7</v>
      </c>
      <c r="AE255" s="185">
        <v>5.714283940453885E-7</v>
      </c>
      <c r="AF255" s="185">
        <v>5.714283940453885E-7</v>
      </c>
      <c r="AG255" s="185">
        <v>5.714283940453885E-7</v>
      </c>
      <c r="AH255" s="185">
        <v>5.714283940453885E-7</v>
      </c>
      <c r="AI255" s="185">
        <v>5.714283940453885E-7</v>
      </c>
      <c r="AJ255" s="185">
        <v>5.714283940453885E-7</v>
      </c>
      <c r="AK255" s="185">
        <v>5.714283940453885E-7</v>
      </c>
      <c r="AL255" s="185">
        <v>5.714283940453885E-7</v>
      </c>
      <c r="AM255" s="185">
        <v>5.714283940453885E-7</v>
      </c>
      <c r="AN255" s="185">
        <v>5.714283940453885E-7</v>
      </c>
      <c r="AO255" s="185">
        <v>5.714283940453885E-7</v>
      </c>
      <c r="AP255" s="185">
        <v>5.714283940453885E-7</v>
      </c>
      <c r="AQ255" s="185">
        <v>5.714283940453885E-7</v>
      </c>
      <c r="AR255" s="185">
        <v>5.714283940453885E-7</v>
      </c>
      <c r="AS255" s="206">
        <f t="shared" ref="AS255:BV255" si="200">AR255</f>
        <v>5.714283940453885E-7</v>
      </c>
      <c r="AT255" s="206">
        <f t="shared" si="200"/>
        <v>5.714283940453885E-7</v>
      </c>
      <c r="AU255" s="206">
        <f t="shared" si="200"/>
        <v>5.714283940453885E-7</v>
      </c>
      <c r="AV255" s="206">
        <f t="shared" si="200"/>
        <v>5.714283940453885E-7</v>
      </c>
      <c r="AW255" s="206">
        <f t="shared" si="200"/>
        <v>5.714283940453885E-7</v>
      </c>
      <c r="AX255" s="206">
        <f t="shared" si="200"/>
        <v>5.714283940453885E-7</v>
      </c>
      <c r="AY255" s="206">
        <f t="shared" si="200"/>
        <v>5.714283940453885E-7</v>
      </c>
      <c r="AZ255" s="206">
        <f t="shared" si="200"/>
        <v>5.714283940453885E-7</v>
      </c>
      <c r="BA255" s="206">
        <f t="shared" si="200"/>
        <v>5.714283940453885E-7</v>
      </c>
      <c r="BB255" s="206">
        <f t="shared" si="200"/>
        <v>5.714283940453885E-7</v>
      </c>
      <c r="BC255" s="206">
        <f t="shared" si="200"/>
        <v>5.714283940453885E-7</v>
      </c>
      <c r="BD255" s="206">
        <f t="shared" si="200"/>
        <v>5.714283940453885E-7</v>
      </c>
      <c r="BE255" s="206">
        <f t="shared" si="200"/>
        <v>5.714283940453885E-7</v>
      </c>
      <c r="BF255" s="206">
        <f t="shared" si="200"/>
        <v>5.714283940453885E-7</v>
      </c>
      <c r="BG255" s="206">
        <f t="shared" si="200"/>
        <v>5.714283940453885E-7</v>
      </c>
      <c r="BH255" s="206">
        <f t="shared" si="200"/>
        <v>5.714283940453885E-7</v>
      </c>
      <c r="BI255" s="206">
        <f t="shared" si="200"/>
        <v>5.714283940453885E-7</v>
      </c>
      <c r="BJ255" s="206">
        <f t="shared" si="200"/>
        <v>5.714283940453885E-7</v>
      </c>
      <c r="BK255" s="206">
        <f t="shared" si="200"/>
        <v>5.714283940453885E-7</v>
      </c>
      <c r="BL255" s="206">
        <f t="shared" si="200"/>
        <v>5.714283940453885E-7</v>
      </c>
      <c r="BM255" s="206">
        <f t="shared" si="200"/>
        <v>5.714283940453885E-7</v>
      </c>
      <c r="BN255" s="206">
        <f t="shared" si="200"/>
        <v>5.714283940453885E-7</v>
      </c>
      <c r="BO255" s="206">
        <f t="shared" si="200"/>
        <v>5.714283940453885E-7</v>
      </c>
      <c r="BP255" s="206">
        <f t="shared" si="200"/>
        <v>5.714283940453885E-7</v>
      </c>
      <c r="BQ255" s="206">
        <f t="shared" si="200"/>
        <v>5.714283940453885E-7</v>
      </c>
      <c r="BR255" s="206">
        <f t="shared" si="200"/>
        <v>5.714283940453885E-7</v>
      </c>
      <c r="BS255" s="206">
        <f t="shared" si="200"/>
        <v>5.714283940453885E-7</v>
      </c>
      <c r="BT255" s="206">
        <f t="shared" si="200"/>
        <v>5.714283940453885E-7</v>
      </c>
      <c r="BU255" s="206">
        <f t="shared" si="200"/>
        <v>5.714283940453885E-7</v>
      </c>
      <c r="BV255" s="206">
        <f t="shared" si="200"/>
        <v>5.714283940453885E-7</v>
      </c>
    </row>
    <row r="256" spans="1:74" x14ac:dyDescent="0.25">
      <c r="A256" s="149" t="s">
        <v>279</v>
      </c>
      <c r="B256" s="150"/>
      <c r="C256" s="150"/>
      <c r="D256" s="185">
        <v>1.5336688307856089E-6</v>
      </c>
      <c r="E256" s="185">
        <v>1.5336688288893609E-6</v>
      </c>
      <c r="F256" s="185">
        <v>1.5336688269931129E-6</v>
      </c>
      <c r="G256" s="185">
        <v>1.5336688250968649E-6</v>
      </c>
      <c r="H256" s="185">
        <v>1.5336688232006169E-6</v>
      </c>
      <c r="I256" s="185">
        <v>1.5336688213043685E-6</v>
      </c>
      <c r="J256" s="185">
        <v>1.5336688179024269E-6</v>
      </c>
      <c r="K256" s="185">
        <v>1.5336685430626598E-6</v>
      </c>
      <c r="L256" s="185">
        <v>1.5058822952976799E-6</v>
      </c>
      <c r="M256" s="185">
        <v>1.5058823158643137E-6</v>
      </c>
      <c r="N256" s="185">
        <v>1.5058822934258332E-6</v>
      </c>
      <c r="O256" s="185">
        <v>1.5058823043125054E-6</v>
      </c>
      <c r="P256" s="185">
        <v>1.5058822872697887E-6</v>
      </c>
      <c r="Q256" s="185">
        <v>1.5058823475124766E-6</v>
      </c>
      <c r="R256" s="185">
        <v>1.5058822978113285E-6</v>
      </c>
      <c r="S256" s="185">
        <v>1.5058825435120371E-6</v>
      </c>
      <c r="T256" s="185">
        <v>1.5058825939388451E-6</v>
      </c>
      <c r="U256" s="185">
        <v>1.5058820718075319E-6</v>
      </c>
      <c r="V256" s="185">
        <v>1.5058822146643708E-6</v>
      </c>
      <c r="W256" s="185">
        <v>1.5058821428984892E-6</v>
      </c>
      <c r="X256" s="185">
        <v>1.5058824927839748E-6</v>
      </c>
      <c r="Y256" s="185">
        <v>1.5058820665487164E-6</v>
      </c>
      <c r="Z256" s="185">
        <v>1.5058814063292345E-6</v>
      </c>
      <c r="AA256" s="185">
        <v>1.5058821564054852E-6</v>
      </c>
      <c r="AB256" s="185">
        <v>1.5058821564054852E-6</v>
      </c>
      <c r="AC256" s="185">
        <v>1.5058821564054852E-6</v>
      </c>
      <c r="AD256" s="185">
        <v>1.5058815924993217E-6</v>
      </c>
      <c r="AE256" s="185">
        <v>1.5058815924993217E-6</v>
      </c>
      <c r="AF256" s="185">
        <v>1.5058815924993217E-6</v>
      </c>
      <c r="AG256" s="185">
        <v>1.5058815924993217E-6</v>
      </c>
      <c r="AH256" s="185">
        <v>1.5058815924993217E-6</v>
      </c>
      <c r="AI256" s="185">
        <v>1.5058815924993217E-6</v>
      </c>
      <c r="AJ256" s="185">
        <v>1.5058815924993217E-6</v>
      </c>
      <c r="AK256" s="185">
        <v>1.5058815924993217E-6</v>
      </c>
      <c r="AL256" s="185">
        <v>1.5058815924993217E-6</v>
      </c>
      <c r="AM256" s="185">
        <v>1.5058815924993217E-6</v>
      </c>
      <c r="AN256" s="185">
        <v>1.5058815924993217E-6</v>
      </c>
      <c r="AO256" s="185">
        <v>1.5058815924993217E-6</v>
      </c>
      <c r="AP256" s="185">
        <v>1.5058815924993217E-6</v>
      </c>
      <c r="AQ256" s="185">
        <v>1.5058815924993217E-6</v>
      </c>
      <c r="AR256" s="185">
        <v>1.5058815924993217E-6</v>
      </c>
      <c r="AS256" s="206">
        <f t="shared" ref="AS256:BV256" si="201">AR256</f>
        <v>1.5058815924993217E-6</v>
      </c>
      <c r="AT256" s="206">
        <f t="shared" si="201"/>
        <v>1.5058815924993217E-6</v>
      </c>
      <c r="AU256" s="206">
        <f t="shared" si="201"/>
        <v>1.5058815924993217E-6</v>
      </c>
      <c r="AV256" s="206">
        <f t="shared" si="201"/>
        <v>1.5058815924993217E-6</v>
      </c>
      <c r="AW256" s="206">
        <f t="shared" si="201"/>
        <v>1.5058815924993217E-6</v>
      </c>
      <c r="AX256" s="206">
        <f t="shared" si="201"/>
        <v>1.5058815924993217E-6</v>
      </c>
      <c r="AY256" s="206">
        <f t="shared" si="201"/>
        <v>1.5058815924993217E-6</v>
      </c>
      <c r="AZ256" s="206">
        <f t="shared" si="201"/>
        <v>1.5058815924993217E-6</v>
      </c>
      <c r="BA256" s="206">
        <f t="shared" si="201"/>
        <v>1.5058815924993217E-6</v>
      </c>
      <c r="BB256" s="206">
        <f t="shared" si="201"/>
        <v>1.5058815924993217E-6</v>
      </c>
      <c r="BC256" s="206">
        <f t="shared" si="201"/>
        <v>1.5058815924993217E-6</v>
      </c>
      <c r="BD256" s="206">
        <f t="shared" si="201"/>
        <v>1.5058815924993217E-6</v>
      </c>
      <c r="BE256" s="206">
        <f t="shared" si="201"/>
        <v>1.5058815924993217E-6</v>
      </c>
      <c r="BF256" s="206">
        <f t="shared" si="201"/>
        <v>1.5058815924993217E-6</v>
      </c>
      <c r="BG256" s="206">
        <f t="shared" si="201"/>
        <v>1.5058815924993217E-6</v>
      </c>
      <c r="BH256" s="206">
        <f t="shared" si="201"/>
        <v>1.5058815924993217E-6</v>
      </c>
      <c r="BI256" s="206">
        <f t="shared" si="201"/>
        <v>1.5058815924993217E-6</v>
      </c>
      <c r="BJ256" s="206">
        <f t="shared" si="201"/>
        <v>1.5058815924993217E-6</v>
      </c>
      <c r="BK256" s="206">
        <f t="shared" si="201"/>
        <v>1.5058815924993217E-6</v>
      </c>
      <c r="BL256" s="206">
        <f t="shared" si="201"/>
        <v>1.5058815924993217E-6</v>
      </c>
      <c r="BM256" s="206">
        <f t="shared" si="201"/>
        <v>1.5058815924993217E-6</v>
      </c>
      <c r="BN256" s="206">
        <f t="shared" si="201"/>
        <v>1.5058815924993217E-6</v>
      </c>
      <c r="BO256" s="206">
        <f t="shared" si="201"/>
        <v>1.5058815924993217E-6</v>
      </c>
      <c r="BP256" s="206">
        <f t="shared" si="201"/>
        <v>1.5058815924993217E-6</v>
      </c>
      <c r="BQ256" s="206">
        <f t="shared" si="201"/>
        <v>1.5058815924993217E-6</v>
      </c>
      <c r="BR256" s="206">
        <f t="shared" si="201"/>
        <v>1.5058815924993217E-6</v>
      </c>
      <c r="BS256" s="206">
        <f t="shared" si="201"/>
        <v>1.5058815924993217E-6</v>
      </c>
      <c r="BT256" s="206">
        <f t="shared" si="201"/>
        <v>1.5058815924993217E-6</v>
      </c>
      <c r="BU256" s="206">
        <f t="shared" si="201"/>
        <v>1.5058815924993217E-6</v>
      </c>
      <c r="BV256" s="206">
        <f t="shared" si="201"/>
        <v>1.5058815924993217E-6</v>
      </c>
    </row>
    <row r="257" spans="1:74" x14ac:dyDescent="0.25">
      <c r="A257" s="149" t="s">
        <v>224</v>
      </c>
      <c r="B257" s="150"/>
      <c r="C257" s="150"/>
      <c r="D257" s="185">
        <v>8.0144779252613155E-7</v>
      </c>
      <c r="E257" s="185">
        <v>8.0144780984347325E-7</v>
      </c>
      <c r="F257" s="185">
        <v>8.0144782716081569E-7</v>
      </c>
      <c r="G257" s="185">
        <v>8.0144784447815876E-7</v>
      </c>
      <c r="H257" s="185">
        <v>8.0144786179550268E-7</v>
      </c>
      <c r="I257" s="185">
        <v>8.0144787911284713E-7</v>
      </c>
      <c r="J257" s="185">
        <v>8.0144778423882441E-7</v>
      </c>
      <c r="K257" s="185">
        <v>8.0144772363202736E-7</v>
      </c>
      <c r="L257" s="185">
        <v>8.014479010855376E-7</v>
      </c>
      <c r="M257" s="185">
        <v>8.0144781002409646E-7</v>
      </c>
      <c r="N257" s="185">
        <v>8.0144777147583742E-7</v>
      </c>
      <c r="O257" s="185">
        <v>8.0144775688901516E-7</v>
      </c>
      <c r="P257" s="185">
        <v>8.0144782510923561E-7</v>
      </c>
      <c r="Q257" s="185">
        <v>8.0144779251111091E-7</v>
      </c>
      <c r="R257" s="185">
        <v>8.0144768317515639E-7</v>
      </c>
      <c r="S257" s="185">
        <v>8.0144753432490333E-7</v>
      </c>
      <c r="T257" s="185">
        <v>8.0144853514843908E-7</v>
      </c>
      <c r="U257" s="185">
        <v>8.0144826565693835E-7</v>
      </c>
      <c r="V257" s="185">
        <v>8.0144749498123439E-7</v>
      </c>
      <c r="W257" s="185">
        <v>8.014480674278563E-7</v>
      </c>
      <c r="X257" s="185">
        <v>8.0144775003452693E-7</v>
      </c>
      <c r="Y257" s="185">
        <v>8.0144790902883438E-7</v>
      </c>
      <c r="Z257" s="185">
        <v>8.0144726394243002E-7</v>
      </c>
      <c r="AA257" s="185">
        <v>8.0144758896438143E-7</v>
      </c>
      <c r="AB257" s="185">
        <v>8.0466664948576274E-7</v>
      </c>
      <c r="AC257" s="185">
        <v>8.0453210991677986E-7</v>
      </c>
      <c r="AD257" s="185">
        <v>8.0606213554757786E-7</v>
      </c>
      <c r="AE257" s="185">
        <v>8.0655055513769212E-7</v>
      </c>
      <c r="AF257" s="185">
        <v>8.0655055513769212E-7</v>
      </c>
      <c r="AG257" s="185">
        <v>8.0655055513769212E-7</v>
      </c>
      <c r="AH257" s="185">
        <v>8.0655055513769212E-7</v>
      </c>
      <c r="AI257" s="185">
        <v>8.0655055513769212E-7</v>
      </c>
      <c r="AJ257" s="185">
        <v>8.0655055513769212E-7</v>
      </c>
      <c r="AK257" s="185">
        <v>8.0655055513769212E-7</v>
      </c>
      <c r="AL257" s="185">
        <v>8.0655055513769212E-7</v>
      </c>
      <c r="AM257" s="185">
        <v>8.0655055513769212E-7</v>
      </c>
      <c r="AN257" s="185">
        <v>8.0655055513769212E-7</v>
      </c>
      <c r="AO257" s="185">
        <v>8.0655055513769212E-7</v>
      </c>
      <c r="AP257" s="185">
        <v>8.0655055513769212E-7</v>
      </c>
      <c r="AQ257" s="185">
        <v>8.0655055513769212E-7</v>
      </c>
      <c r="AR257" s="185">
        <v>8.0655055513769212E-7</v>
      </c>
      <c r="AS257" s="206">
        <f t="shared" ref="AS257:BV257" si="202">AR257</f>
        <v>8.0655055513769212E-7</v>
      </c>
      <c r="AT257" s="206">
        <f t="shared" si="202"/>
        <v>8.0655055513769212E-7</v>
      </c>
      <c r="AU257" s="206">
        <f t="shared" si="202"/>
        <v>8.0655055513769212E-7</v>
      </c>
      <c r="AV257" s="206">
        <f t="shared" si="202"/>
        <v>8.0655055513769212E-7</v>
      </c>
      <c r="AW257" s="206">
        <f t="shared" si="202"/>
        <v>8.0655055513769212E-7</v>
      </c>
      <c r="AX257" s="206">
        <f t="shared" si="202"/>
        <v>8.0655055513769212E-7</v>
      </c>
      <c r="AY257" s="206">
        <f t="shared" si="202"/>
        <v>8.0655055513769212E-7</v>
      </c>
      <c r="AZ257" s="206">
        <f t="shared" si="202"/>
        <v>8.0655055513769212E-7</v>
      </c>
      <c r="BA257" s="206">
        <f t="shared" si="202"/>
        <v>8.0655055513769212E-7</v>
      </c>
      <c r="BB257" s="206">
        <f t="shared" si="202"/>
        <v>8.0655055513769212E-7</v>
      </c>
      <c r="BC257" s="206">
        <f t="shared" si="202"/>
        <v>8.0655055513769212E-7</v>
      </c>
      <c r="BD257" s="206">
        <f t="shared" si="202"/>
        <v>8.0655055513769212E-7</v>
      </c>
      <c r="BE257" s="206">
        <f t="shared" si="202"/>
        <v>8.0655055513769212E-7</v>
      </c>
      <c r="BF257" s="206">
        <f t="shared" si="202"/>
        <v>8.0655055513769212E-7</v>
      </c>
      <c r="BG257" s="206">
        <f t="shared" si="202"/>
        <v>8.0655055513769212E-7</v>
      </c>
      <c r="BH257" s="206">
        <f t="shared" si="202"/>
        <v>8.0655055513769212E-7</v>
      </c>
      <c r="BI257" s="206">
        <f t="shared" si="202"/>
        <v>8.0655055513769212E-7</v>
      </c>
      <c r="BJ257" s="206">
        <f t="shared" si="202"/>
        <v>8.0655055513769212E-7</v>
      </c>
      <c r="BK257" s="206">
        <f t="shared" si="202"/>
        <v>8.0655055513769212E-7</v>
      </c>
      <c r="BL257" s="206">
        <f t="shared" si="202"/>
        <v>8.0655055513769212E-7</v>
      </c>
      <c r="BM257" s="206">
        <f t="shared" si="202"/>
        <v>8.0655055513769212E-7</v>
      </c>
      <c r="BN257" s="206">
        <f t="shared" si="202"/>
        <v>8.0655055513769212E-7</v>
      </c>
      <c r="BO257" s="206">
        <f t="shared" si="202"/>
        <v>8.0655055513769212E-7</v>
      </c>
      <c r="BP257" s="206">
        <f t="shared" si="202"/>
        <v>8.0655055513769212E-7</v>
      </c>
      <c r="BQ257" s="206">
        <f t="shared" si="202"/>
        <v>8.0655055513769212E-7</v>
      </c>
      <c r="BR257" s="206">
        <f t="shared" si="202"/>
        <v>8.0655055513769212E-7</v>
      </c>
      <c r="BS257" s="206">
        <f t="shared" si="202"/>
        <v>8.0655055513769212E-7</v>
      </c>
      <c r="BT257" s="206">
        <f t="shared" si="202"/>
        <v>8.0655055513769212E-7</v>
      </c>
      <c r="BU257" s="206">
        <f t="shared" si="202"/>
        <v>8.0655055513769212E-7</v>
      </c>
      <c r="BV257" s="206">
        <f t="shared" si="202"/>
        <v>8.0655055513769212E-7</v>
      </c>
    </row>
    <row r="258" spans="1:74" x14ac:dyDescent="0.25">
      <c r="A258" s="155" t="s">
        <v>13</v>
      </c>
      <c r="C258" s="150"/>
      <c r="D258" s="185">
        <v>8.0144779252613155E-7</v>
      </c>
      <c r="E258" s="185">
        <v>8.0144780984347325E-7</v>
      </c>
      <c r="F258" s="185">
        <v>8.0144782716081569E-7</v>
      </c>
      <c r="G258" s="185">
        <v>8.0144784447815876E-7</v>
      </c>
      <c r="H258" s="185">
        <v>8.0144786179550268E-7</v>
      </c>
      <c r="I258" s="185">
        <v>8.0144787911284713E-7</v>
      </c>
      <c r="J258" s="185">
        <v>8.0144778423882441E-7</v>
      </c>
      <c r="K258" s="185">
        <v>8.0144772363202736E-7</v>
      </c>
      <c r="L258" s="185">
        <v>8.014479010855376E-7</v>
      </c>
      <c r="M258" s="185">
        <v>8.0144781002409646E-7</v>
      </c>
      <c r="N258" s="185">
        <v>8.0144777147583742E-7</v>
      </c>
      <c r="O258" s="185">
        <v>8.0144775688901516E-7</v>
      </c>
      <c r="P258" s="185">
        <v>8.0144782510923561E-7</v>
      </c>
      <c r="Q258" s="185">
        <v>8.0144779251111091E-7</v>
      </c>
      <c r="R258" s="185">
        <v>8.0144768317515639E-7</v>
      </c>
      <c r="S258" s="185">
        <v>8.0144753432490333E-7</v>
      </c>
      <c r="T258" s="185">
        <v>8.0144853514843908E-7</v>
      </c>
      <c r="U258" s="185">
        <v>8.0144826565693835E-7</v>
      </c>
      <c r="V258" s="185">
        <v>8.0144749498123439E-7</v>
      </c>
      <c r="W258" s="185">
        <v>8.014480674278563E-7</v>
      </c>
      <c r="X258" s="185">
        <v>8.0144775003452693E-7</v>
      </c>
      <c r="Y258" s="185">
        <v>8.0144790902883438E-7</v>
      </c>
      <c r="Z258" s="185">
        <v>8.0144726394243002E-7</v>
      </c>
      <c r="AA258" s="185">
        <v>8.0144758896438143E-7</v>
      </c>
      <c r="AB258" s="185">
        <v>8.0466664948576274E-7</v>
      </c>
      <c r="AC258" s="185">
        <v>8.0453210991677986E-7</v>
      </c>
      <c r="AD258" s="185">
        <v>8.0606213554757786E-7</v>
      </c>
      <c r="AE258" s="185">
        <v>8.0655055513769212E-7</v>
      </c>
      <c r="AF258" s="185">
        <v>8.0655055513769212E-7</v>
      </c>
      <c r="AG258" s="185">
        <v>8.0655055513769212E-7</v>
      </c>
      <c r="AH258" s="185">
        <v>8.0655055513769212E-7</v>
      </c>
      <c r="AI258" s="185">
        <v>8.0655055513769212E-7</v>
      </c>
      <c r="AJ258" s="185">
        <v>8.0655055513769212E-7</v>
      </c>
      <c r="AK258" s="185">
        <v>8.0655055513769212E-7</v>
      </c>
      <c r="AL258" s="185">
        <v>8.0655055513769212E-7</v>
      </c>
      <c r="AM258" s="185">
        <v>8.0655055513769212E-7</v>
      </c>
      <c r="AN258" s="185">
        <v>8.0655055513769212E-7</v>
      </c>
      <c r="AO258" s="185">
        <v>8.0655055513769212E-7</v>
      </c>
      <c r="AP258" s="185">
        <v>8.0655055513769212E-7</v>
      </c>
      <c r="AQ258" s="185">
        <v>8.0655055513769212E-7</v>
      </c>
      <c r="AR258" s="185">
        <v>8.0655055513769212E-7</v>
      </c>
      <c r="AS258" s="206">
        <f t="shared" ref="AS258:BV258" si="203">AR258</f>
        <v>8.0655055513769212E-7</v>
      </c>
      <c r="AT258" s="206">
        <f t="shared" si="203"/>
        <v>8.0655055513769212E-7</v>
      </c>
      <c r="AU258" s="206">
        <f t="shared" si="203"/>
        <v>8.0655055513769212E-7</v>
      </c>
      <c r="AV258" s="206">
        <f t="shared" si="203"/>
        <v>8.0655055513769212E-7</v>
      </c>
      <c r="AW258" s="206">
        <f t="shared" si="203"/>
        <v>8.0655055513769212E-7</v>
      </c>
      <c r="AX258" s="206">
        <f t="shared" si="203"/>
        <v>8.0655055513769212E-7</v>
      </c>
      <c r="AY258" s="206">
        <f t="shared" si="203"/>
        <v>8.0655055513769212E-7</v>
      </c>
      <c r="AZ258" s="206">
        <f t="shared" si="203"/>
        <v>8.0655055513769212E-7</v>
      </c>
      <c r="BA258" s="206">
        <f t="shared" si="203"/>
        <v>8.0655055513769212E-7</v>
      </c>
      <c r="BB258" s="206">
        <f t="shared" si="203"/>
        <v>8.0655055513769212E-7</v>
      </c>
      <c r="BC258" s="206">
        <f t="shared" si="203"/>
        <v>8.0655055513769212E-7</v>
      </c>
      <c r="BD258" s="206">
        <f t="shared" si="203"/>
        <v>8.0655055513769212E-7</v>
      </c>
      <c r="BE258" s="206">
        <f t="shared" si="203"/>
        <v>8.0655055513769212E-7</v>
      </c>
      <c r="BF258" s="206">
        <f t="shared" si="203"/>
        <v>8.0655055513769212E-7</v>
      </c>
      <c r="BG258" s="206">
        <f t="shared" si="203"/>
        <v>8.0655055513769212E-7</v>
      </c>
      <c r="BH258" s="206">
        <f t="shared" si="203"/>
        <v>8.0655055513769212E-7</v>
      </c>
      <c r="BI258" s="206">
        <f t="shared" si="203"/>
        <v>8.0655055513769212E-7</v>
      </c>
      <c r="BJ258" s="206">
        <f t="shared" si="203"/>
        <v>8.0655055513769212E-7</v>
      </c>
      <c r="BK258" s="206">
        <f t="shared" si="203"/>
        <v>8.0655055513769212E-7</v>
      </c>
      <c r="BL258" s="206">
        <f t="shared" si="203"/>
        <v>8.0655055513769212E-7</v>
      </c>
      <c r="BM258" s="206">
        <f t="shared" si="203"/>
        <v>8.0655055513769212E-7</v>
      </c>
      <c r="BN258" s="206">
        <f t="shared" si="203"/>
        <v>8.0655055513769212E-7</v>
      </c>
      <c r="BO258" s="206">
        <f t="shared" si="203"/>
        <v>8.0655055513769212E-7</v>
      </c>
      <c r="BP258" s="206">
        <f t="shared" si="203"/>
        <v>8.0655055513769212E-7</v>
      </c>
      <c r="BQ258" s="206">
        <f t="shared" si="203"/>
        <v>8.0655055513769212E-7</v>
      </c>
      <c r="BR258" s="206">
        <f t="shared" si="203"/>
        <v>8.0655055513769212E-7</v>
      </c>
      <c r="BS258" s="206">
        <f t="shared" si="203"/>
        <v>8.0655055513769212E-7</v>
      </c>
      <c r="BT258" s="206">
        <f t="shared" si="203"/>
        <v>8.0655055513769212E-7</v>
      </c>
      <c r="BU258" s="206">
        <f t="shared" si="203"/>
        <v>8.0655055513769212E-7</v>
      </c>
      <c r="BV258" s="206">
        <f t="shared" si="203"/>
        <v>8.0655055513769212E-7</v>
      </c>
    </row>
    <row r="259" spans="1:74" x14ac:dyDescent="0.25">
      <c r="A259" s="155" t="s">
        <v>227</v>
      </c>
      <c r="C259" s="150"/>
      <c r="D259" s="185">
        <v>4.0226294820717126E-6</v>
      </c>
      <c r="E259" s="185">
        <v>4.0226294820717126E-6</v>
      </c>
      <c r="F259" s="185">
        <v>4.0226294820717126E-6</v>
      </c>
      <c r="G259" s="185">
        <v>4.0226294820717126E-6</v>
      </c>
      <c r="H259" s="185">
        <v>4.0226294820717126E-6</v>
      </c>
      <c r="I259" s="185">
        <v>4.0226294820717126E-6</v>
      </c>
      <c r="J259" s="185">
        <v>4.0226294820717126E-6</v>
      </c>
      <c r="K259" s="185">
        <v>4.0226294820717126E-6</v>
      </c>
      <c r="L259" s="185">
        <v>4.0226294820717126E-6</v>
      </c>
      <c r="M259" s="185">
        <v>4.0226294820717126E-6</v>
      </c>
      <c r="N259" s="185">
        <v>4.0226294820717126E-6</v>
      </c>
      <c r="O259" s="185">
        <v>4.0226294820717126E-6</v>
      </c>
      <c r="P259" s="185">
        <v>4.0226294820717126E-6</v>
      </c>
      <c r="Q259" s="185">
        <v>4.0298383243684784E-6</v>
      </c>
      <c r="R259" s="185">
        <v>4.0298662228765281E-6</v>
      </c>
      <c r="S259" s="185">
        <v>4.0298662228765281E-6</v>
      </c>
      <c r="T259" s="185">
        <v>4.0298662228765281E-6</v>
      </c>
      <c r="U259" s="185">
        <v>4.0298662228765281E-6</v>
      </c>
      <c r="V259" s="185">
        <v>4.0298662228765281E-6</v>
      </c>
      <c r="W259" s="185">
        <v>4.0298662228765281E-6</v>
      </c>
      <c r="X259" s="185">
        <v>4.0298662228765281E-6</v>
      </c>
      <c r="Y259" s="185">
        <v>4.0298662228765281E-6</v>
      </c>
      <c r="Z259" s="185">
        <v>4.0298662228765281E-6</v>
      </c>
      <c r="AA259" s="185">
        <v>4.0298662228765281E-6</v>
      </c>
      <c r="AB259" s="185">
        <v>4.0298662228765281E-6</v>
      </c>
      <c r="AC259" s="185">
        <v>4.0298662228765281E-6</v>
      </c>
      <c r="AD259" s="185">
        <v>4.0298662228765281E-6</v>
      </c>
      <c r="AE259" s="185">
        <v>4.0298662228765281E-6</v>
      </c>
      <c r="AF259" s="185">
        <v>4.0298662228765281E-6</v>
      </c>
      <c r="AG259" s="185">
        <v>4.0298662228765281E-6</v>
      </c>
      <c r="AH259" s="185">
        <v>4.0298662228765281E-6</v>
      </c>
      <c r="AI259" s="185">
        <v>4.0298662228765281E-6</v>
      </c>
      <c r="AJ259" s="185">
        <v>4.0298662228765281E-6</v>
      </c>
      <c r="AK259" s="185">
        <v>4.0298662228765281E-6</v>
      </c>
      <c r="AL259" s="185">
        <v>4.0298662228765281E-6</v>
      </c>
      <c r="AM259" s="185">
        <v>4.0298662228765281E-6</v>
      </c>
      <c r="AN259" s="185">
        <v>4.0298662228765281E-6</v>
      </c>
      <c r="AO259" s="185">
        <v>4.0298662228765281E-6</v>
      </c>
      <c r="AP259" s="185">
        <v>4.0298662228765281E-6</v>
      </c>
      <c r="AQ259" s="185">
        <v>4.0298662228765281E-6</v>
      </c>
      <c r="AR259" s="185">
        <v>4.0298662228765281E-6</v>
      </c>
      <c r="AS259" s="206">
        <f t="shared" ref="AS259:BV259" si="204">AR259</f>
        <v>4.0298662228765281E-6</v>
      </c>
      <c r="AT259" s="206">
        <f t="shared" si="204"/>
        <v>4.0298662228765281E-6</v>
      </c>
      <c r="AU259" s="206">
        <f t="shared" si="204"/>
        <v>4.0298662228765281E-6</v>
      </c>
      <c r="AV259" s="206">
        <f t="shared" si="204"/>
        <v>4.0298662228765281E-6</v>
      </c>
      <c r="AW259" s="206">
        <f t="shared" si="204"/>
        <v>4.0298662228765281E-6</v>
      </c>
      <c r="AX259" s="206">
        <f t="shared" si="204"/>
        <v>4.0298662228765281E-6</v>
      </c>
      <c r="AY259" s="206">
        <f t="shared" si="204"/>
        <v>4.0298662228765281E-6</v>
      </c>
      <c r="AZ259" s="206">
        <f t="shared" si="204"/>
        <v>4.0298662228765281E-6</v>
      </c>
      <c r="BA259" s="206">
        <f t="shared" si="204"/>
        <v>4.0298662228765281E-6</v>
      </c>
      <c r="BB259" s="206">
        <f t="shared" si="204"/>
        <v>4.0298662228765281E-6</v>
      </c>
      <c r="BC259" s="206">
        <f t="shared" si="204"/>
        <v>4.0298662228765281E-6</v>
      </c>
      <c r="BD259" s="206">
        <f t="shared" si="204"/>
        <v>4.0298662228765281E-6</v>
      </c>
      <c r="BE259" s="206">
        <f t="shared" si="204"/>
        <v>4.0298662228765281E-6</v>
      </c>
      <c r="BF259" s="206">
        <f t="shared" si="204"/>
        <v>4.0298662228765281E-6</v>
      </c>
      <c r="BG259" s="206">
        <f t="shared" si="204"/>
        <v>4.0298662228765281E-6</v>
      </c>
      <c r="BH259" s="206">
        <f t="shared" si="204"/>
        <v>4.0298662228765281E-6</v>
      </c>
      <c r="BI259" s="206">
        <f t="shared" si="204"/>
        <v>4.0298662228765281E-6</v>
      </c>
      <c r="BJ259" s="206">
        <f t="shared" si="204"/>
        <v>4.0298662228765281E-6</v>
      </c>
      <c r="BK259" s="206">
        <f t="shared" si="204"/>
        <v>4.0298662228765281E-6</v>
      </c>
      <c r="BL259" s="206">
        <f t="shared" si="204"/>
        <v>4.0298662228765281E-6</v>
      </c>
      <c r="BM259" s="206">
        <f t="shared" si="204"/>
        <v>4.0298662228765281E-6</v>
      </c>
      <c r="BN259" s="206">
        <f t="shared" si="204"/>
        <v>4.0298662228765281E-6</v>
      </c>
      <c r="BO259" s="206">
        <f t="shared" si="204"/>
        <v>4.0298662228765281E-6</v>
      </c>
      <c r="BP259" s="206">
        <f t="shared" si="204"/>
        <v>4.0298662228765281E-6</v>
      </c>
      <c r="BQ259" s="206">
        <f t="shared" si="204"/>
        <v>4.0298662228765281E-6</v>
      </c>
      <c r="BR259" s="206">
        <f t="shared" si="204"/>
        <v>4.0298662228765281E-6</v>
      </c>
      <c r="BS259" s="206">
        <f t="shared" si="204"/>
        <v>4.0298662228765281E-6</v>
      </c>
      <c r="BT259" s="206">
        <f t="shared" si="204"/>
        <v>4.0298662228765281E-6</v>
      </c>
      <c r="BU259" s="206">
        <f t="shared" si="204"/>
        <v>4.0298662228765281E-6</v>
      </c>
      <c r="BV259" s="206">
        <f t="shared" si="204"/>
        <v>4.0298662228765281E-6</v>
      </c>
    </row>
    <row r="260" spans="1:74" x14ac:dyDescent="0.25">
      <c r="A260" s="155" t="s">
        <v>225</v>
      </c>
      <c r="C260" s="150"/>
      <c r="D260" s="185">
        <v>8.0144779252613155E-7</v>
      </c>
      <c r="E260" s="185">
        <v>8.0144780984347325E-7</v>
      </c>
      <c r="F260" s="185">
        <v>8.0144782716081569E-7</v>
      </c>
      <c r="G260" s="185">
        <v>8.0144784447815876E-7</v>
      </c>
      <c r="H260" s="185">
        <v>8.0144786179550268E-7</v>
      </c>
      <c r="I260" s="185">
        <v>8.0144787911284713E-7</v>
      </c>
      <c r="J260" s="185">
        <v>8.0144778423882441E-7</v>
      </c>
      <c r="K260" s="185">
        <v>8.0144772363202736E-7</v>
      </c>
      <c r="L260" s="185">
        <v>8.014479010855376E-7</v>
      </c>
      <c r="M260" s="185">
        <v>8.0144781002409646E-7</v>
      </c>
      <c r="N260" s="185">
        <v>8.0144777147583742E-7</v>
      </c>
      <c r="O260" s="185">
        <v>8.0144775688901516E-7</v>
      </c>
      <c r="P260" s="185">
        <v>8.0144782510923561E-7</v>
      </c>
      <c r="Q260" s="185">
        <v>8.0144779251111091E-7</v>
      </c>
      <c r="R260" s="185">
        <v>8.0144768317515639E-7</v>
      </c>
      <c r="S260" s="185">
        <v>8.0144753432490333E-7</v>
      </c>
      <c r="T260" s="185">
        <v>8.0144853514843908E-7</v>
      </c>
      <c r="U260" s="185">
        <v>8.0144826565693835E-7</v>
      </c>
      <c r="V260" s="185">
        <v>8.0144749498123439E-7</v>
      </c>
      <c r="W260" s="185">
        <v>8.014480674278563E-7</v>
      </c>
      <c r="X260" s="185">
        <v>8.0144775003452693E-7</v>
      </c>
      <c r="Y260" s="185">
        <v>8.0144790902883438E-7</v>
      </c>
      <c r="Z260" s="185">
        <v>8.0144726394243002E-7</v>
      </c>
      <c r="AA260" s="185">
        <v>8.0144758896438143E-7</v>
      </c>
      <c r="AB260" s="185">
        <v>8.0466664948576274E-7</v>
      </c>
      <c r="AC260" s="185">
        <v>8.0453210991677986E-7</v>
      </c>
      <c r="AD260" s="185">
        <v>8.0606213554757786E-7</v>
      </c>
      <c r="AE260" s="185">
        <v>8.0655055513769212E-7</v>
      </c>
      <c r="AF260" s="185">
        <v>8.0655055513769212E-7</v>
      </c>
      <c r="AG260" s="185">
        <v>8.0655055513769212E-7</v>
      </c>
      <c r="AH260" s="185">
        <v>8.0655055513769212E-7</v>
      </c>
      <c r="AI260" s="185">
        <v>8.0655055513769212E-7</v>
      </c>
      <c r="AJ260" s="185">
        <v>8.0655055513769212E-7</v>
      </c>
      <c r="AK260" s="185">
        <v>8.0655055513769212E-7</v>
      </c>
      <c r="AL260" s="185">
        <v>8.0655055513769212E-7</v>
      </c>
      <c r="AM260" s="185">
        <v>8.0655055513769212E-7</v>
      </c>
      <c r="AN260" s="185">
        <v>8.0655055513769212E-7</v>
      </c>
      <c r="AO260" s="185">
        <v>8.0655055513769212E-7</v>
      </c>
      <c r="AP260" s="185">
        <v>8.0655055513769212E-7</v>
      </c>
      <c r="AQ260" s="185">
        <v>8.0655055513769212E-7</v>
      </c>
      <c r="AR260" s="185">
        <v>8.0655055513769212E-7</v>
      </c>
      <c r="AS260" s="206">
        <f t="shared" ref="AS260:BV260" si="205">AR260</f>
        <v>8.0655055513769212E-7</v>
      </c>
      <c r="AT260" s="206">
        <f t="shared" si="205"/>
        <v>8.0655055513769212E-7</v>
      </c>
      <c r="AU260" s="206">
        <f t="shared" si="205"/>
        <v>8.0655055513769212E-7</v>
      </c>
      <c r="AV260" s="206">
        <f t="shared" si="205"/>
        <v>8.0655055513769212E-7</v>
      </c>
      <c r="AW260" s="206">
        <f t="shared" si="205"/>
        <v>8.0655055513769212E-7</v>
      </c>
      <c r="AX260" s="206">
        <f t="shared" si="205"/>
        <v>8.0655055513769212E-7</v>
      </c>
      <c r="AY260" s="206">
        <f t="shared" si="205"/>
        <v>8.0655055513769212E-7</v>
      </c>
      <c r="AZ260" s="206">
        <f t="shared" si="205"/>
        <v>8.0655055513769212E-7</v>
      </c>
      <c r="BA260" s="206">
        <f t="shared" si="205"/>
        <v>8.0655055513769212E-7</v>
      </c>
      <c r="BB260" s="206">
        <f t="shared" si="205"/>
        <v>8.0655055513769212E-7</v>
      </c>
      <c r="BC260" s="206">
        <f t="shared" si="205"/>
        <v>8.0655055513769212E-7</v>
      </c>
      <c r="BD260" s="206">
        <f t="shared" si="205"/>
        <v>8.0655055513769212E-7</v>
      </c>
      <c r="BE260" s="206">
        <f t="shared" si="205"/>
        <v>8.0655055513769212E-7</v>
      </c>
      <c r="BF260" s="206">
        <f t="shared" si="205"/>
        <v>8.0655055513769212E-7</v>
      </c>
      <c r="BG260" s="206">
        <f t="shared" si="205"/>
        <v>8.0655055513769212E-7</v>
      </c>
      <c r="BH260" s="206">
        <f t="shared" si="205"/>
        <v>8.0655055513769212E-7</v>
      </c>
      <c r="BI260" s="206">
        <f t="shared" si="205"/>
        <v>8.0655055513769212E-7</v>
      </c>
      <c r="BJ260" s="206">
        <f t="shared" si="205"/>
        <v>8.0655055513769212E-7</v>
      </c>
      <c r="BK260" s="206">
        <f t="shared" si="205"/>
        <v>8.0655055513769212E-7</v>
      </c>
      <c r="BL260" s="206">
        <f t="shared" si="205"/>
        <v>8.0655055513769212E-7</v>
      </c>
      <c r="BM260" s="206">
        <f t="shared" si="205"/>
        <v>8.0655055513769212E-7</v>
      </c>
      <c r="BN260" s="206">
        <f t="shared" si="205"/>
        <v>8.0655055513769212E-7</v>
      </c>
      <c r="BO260" s="206">
        <f t="shared" si="205"/>
        <v>8.0655055513769212E-7</v>
      </c>
      <c r="BP260" s="206">
        <f t="shared" si="205"/>
        <v>8.0655055513769212E-7</v>
      </c>
      <c r="BQ260" s="206">
        <f t="shared" si="205"/>
        <v>8.0655055513769212E-7</v>
      </c>
      <c r="BR260" s="206">
        <f t="shared" si="205"/>
        <v>8.0655055513769212E-7</v>
      </c>
      <c r="BS260" s="206">
        <f t="shared" si="205"/>
        <v>8.0655055513769212E-7</v>
      </c>
      <c r="BT260" s="206">
        <f t="shared" si="205"/>
        <v>8.0655055513769212E-7</v>
      </c>
      <c r="BU260" s="206">
        <f t="shared" si="205"/>
        <v>8.0655055513769212E-7</v>
      </c>
      <c r="BV260" s="206">
        <f t="shared" si="205"/>
        <v>8.0655055513769212E-7</v>
      </c>
    </row>
    <row r="261" spans="1:74" x14ac:dyDescent="0.25">
      <c r="A261" s="149" t="s">
        <v>14</v>
      </c>
      <c r="B261" s="156"/>
      <c r="C261" s="150"/>
      <c r="D261" s="185">
        <v>8.7347803335602258E-7</v>
      </c>
      <c r="E261" s="185">
        <v>8.7218522267562679E-7</v>
      </c>
      <c r="F261" s="185">
        <v>8.708962332461718E-7</v>
      </c>
      <c r="G261" s="185">
        <v>8.6961104815055106E-7</v>
      </c>
      <c r="H261" s="185">
        <v>8.6832965057136967E-7</v>
      </c>
      <c r="I261" s="185">
        <v>8.6705202379021054E-7</v>
      </c>
      <c r="J261" s="185">
        <v>8.6614173119992384E-7</v>
      </c>
      <c r="K261" s="185">
        <v>8.6568730396651396E-7</v>
      </c>
      <c r="L261" s="185">
        <v>8.6455331394726193E-7</v>
      </c>
      <c r="M261" s="185">
        <v>8.6546026781451174E-7</v>
      </c>
      <c r="N261" s="185">
        <v>8.6864964613033235E-7</v>
      </c>
      <c r="O261" s="185">
        <v>8.6636912421862735E-7</v>
      </c>
      <c r="P261" s="185">
        <v>8.6636912703112222E-7</v>
      </c>
      <c r="Q261" s="185">
        <v>8.6387434554973826E-7</v>
      </c>
      <c r="R261" s="185">
        <v>8.6364825835014342E-7</v>
      </c>
      <c r="S261" s="185">
        <v>8.6251962620743449E-7</v>
      </c>
      <c r="T261" s="185">
        <v>8.625195986441362E-7</v>
      </c>
      <c r="U261" s="185">
        <v>8.6591444432511414E-7</v>
      </c>
      <c r="V261" s="185">
        <v>8.5915128630747526E-7</v>
      </c>
      <c r="W261" s="185">
        <v>8.5870411694394287E-7</v>
      </c>
      <c r="X261" s="185">
        <v>8.5669782066027099E-7</v>
      </c>
      <c r="Y261" s="185">
        <v>8.5580910447161907E-7</v>
      </c>
      <c r="Z261" s="185">
        <v>8.5183270968083418E-7</v>
      </c>
      <c r="AA261" s="185">
        <v>8.4942082806904052E-7</v>
      </c>
      <c r="AB261" s="185">
        <v>8.4615386301208915E-7</v>
      </c>
      <c r="AC261" s="185">
        <v>8.409786043214603E-7</v>
      </c>
      <c r="AD261" s="185">
        <v>8.4550360942946101E-7</v>
      </c>
      <c r="AE261" s="185">
        <v>8.4140762774789318E-7</v>
      </c>
      <c r="AF261" s="185">
        <v>8.4140762774789318E-7</v>
      </c>
      <c r="AG261" s="185">
        <v>8.4140762774789318E-7</v>
      </c>
      <c r="AH261" s="185">
        <v>8.4140762774789318E-7</v>
      </c>
      <c r="AI261" s="185">
        <v>8.4140762774789318E-7</v>
      </c>
      <c r="AJ261" s="185">
        <v>8.4140762774789318E-7</v>
      </c>
      <c r="AK261" s="185">
        <v>8.4140762774789318E-7</v>
      </c>
      <c r="AL261" s="185">
        <v>8.4140762774789318E-7</v>
      </c>
      <c r="AM261" s="185">
        <v>8.4140762774789318E-7</v>
      </c>
      <c r="AN261" s="185">
        <v>8.4140762774789318E-7</v>
      </c>
      <c r="AO261" s="185">
        <v>8.4140762774789318E-7</v>
      </c>
      <c r="AP261" s="185">
        <v>8.4140762774789318E-7</v>
      </c>
      <c r="AQ261" s="185">
        <v>8.4140762774789318E-7</v>
      </c>
      <c r="AR261" s="185">
        <v>8.4140762774789318E-7</v>
      </c>
      <c r="AS261" s="206">
        <f t="shared" ref="AS261:BV261" si="206">AR261</f>
        <v>8.4140762774789318E-7</v>
      </c>
      <c r="AT261" s="206">
        <f t="shared" si="206"/>
        <v>8.4140762774789318E-7</v>
      </c>
      <c r="AU261" s="206">
        <f t="shared" si="206"/>
        <v>8.4140762774789318E-7</v>
      </c>
      <c r="AV261" s="206">
        <f t="shared" si="206"/>
        <v>8.4140762774789318E-7</v>
      </c>
      <c r="AW261" s="206">
        <f t="shared" si="206"/>
        <v>8.4140762774789318E-7</v>
      </c>
      <c r="AX261" s="206">
        <f t="shared" si="206"/>
        <v>8.4140762774789318E-7</v>
      </c>
      <c r="AY261" s="206">
        <f t="shared" si="206"/>
        <v>8.4140762774789318E-7</v>
      </c>
      <c r="AZ261" s="206">
        <f t="shared" si="206"/>
        <v>8.4140762774789318E-7</v>
      </c>
      <c r="BA261" s="206">
        <f t="shared" si="206"/>
        <v>8.4140762774789318E-7</v>
      </c>
      <c r="BB261" s="206">
        <f t="shared" si="206"/>
        <v>8.4140762774789318E-7</v>
      </c>
      <c r="BC261" s="206">
        <f t="shared" si="206"/>
        <v>8.4140762774789318E-7</v>
      </c>
      <c r="BD261" s="206">
        <f t="shared" si="206"/>
        <v>8.4140762774789318E-7</v>
      </c>
      <c r="BE261" s="206">
        <f t="shared" si="206"/>
        <v>8.4140762774789318E-7</v>
      </c>
      <c r="BF261" s="206">
        <f t="shared" si="206"/>
        <v>8.4140762774789318E-7</v>
      </c>
      <c r="BG261" s="206">
        <f t="shared" si="206"/>
        <v>8.4140762774789318E-7</v>
      </c>
      <c r="BH261" s="206">
        <f t="shared" si="206"/>
        <v>8.4140762774789318E-7</v>
      </c>
      <c r="BI261" s="206">
        <f t="shared" si="206"/>
        <v>8.4140762774789318E-7</v>
      </c>
      <c r="BJ261" s="206">
        <f t="shared" si="206"/>
        <v>8.4140762774789318E-7</v>
      </c>
      <c r="BK261" s="206">
        <f t="shared" si="206"/>
        <v>8.4140762774789318E-7</v>
      </c>
      <c r="BL261" s="206">
        <f t="shared" si="206"/>
        <v>8.4140762774789318E-7</v>
      </c>
      <c r="BM261" s="206">
        <f t="shared" si="206"/>
        <v>8.4140762774789318E-7</v>
      </c>
      <c r="BN261" s="206">
        <f t="shared" si="206"/>
        <v>8.4140762774789318E-7</v>
      </c>
      <c r="BO261" s="206">
        <f t="shared" si="206"/>
        <v>8.4140762774789318E-7</v>
      </c>
      <c r="BP261" s="206">
        <f t="shared" si="206"/>
        <v>8.4140762774789318E-7</v>
      </c>
      <c r="BQ261" s="206">
        <f t="shared" si="206"/>
        <v>8.4140762774789318E-7</v>
      </c>
      <c r="BR261" s="206">
        <f t="shared" si="206"/>
        <v>8.4140762774789318E-7</v>
      </c>
      <c r="BS261" s="206">
        <f t="shared" si="206"/>
        <v>8.4140762774789318E-7</v>
      </c>
      <c r="BT261" s="206">
        <f t="shared" si="206"/>
        <v>8.4140762774789318E-7</v>
      </c>
      <c r="BU261" s="206">
        <f t="shared" si="206"/>
        <v>8.4140762774789318E-7</v>
      </c>
      <c r="BV261" s="206">
        <f t="shared" si="206"/>
        <v>8.4140762774789318E-7</v>
      </c>
    </row>
    <row r="262" spans="1:74" x14ac:dyDescent="0.25">
      <c r="A262" s="149" t="s">
        <v>216</v>
      </c>
      <c r="B262" s="150"/>
      <c r="C262" s="150"/>
      <c r="D262" s="185">
        <v>5.5305755582816489E-7</v>
      </c>
      <c r="E262" s="185">
        <v>5.5755395938350764E-7</v>
      </c>
      <c r="F262" s="185">
        <v>5.6205036294953486E-7</v>
      </c>
      <c r="G262" s="185">
        <v>5.6654676652624635E-7</v>
      </c>
      <c r="H262" s="185">
        <v>5.7329137157078249E-7</v>
      </c>
      <c r="I262" s="185">
        <v>5.7329137225191111E-7</v>
      </c>
      <c r="J262" s="185">
        <v>5.7104315499043336E-7</v>
      </c>
      <c r="K262" s="185">
        <v>5.8003596564759817E-7</v>
      </c>
      <c r="L262" s="185">
        <v>5.8139533919414227E-7</v>
      </c>
      <c r="M262" s="185">
        <v>5.8468175845306478E-7</v>
      </c>
      <c r="N262" s="185">
        <v>5.9546925324097432E-7</v>
      </c>
      <c r="O262" s="185">
        <v>5.9331175675543012E-7</v>
      </c>
      <c r="P262" s="185">
        <v>5.9331175460486715E-7</v>
      </c>
      <c r="Q262" s="185">
        <v>5.9331175862550999E-7</v>
      </c>
      <c r="R262" s="185">
        <v>5.9331175588531965E-7</v>
      </c>
      <c r="S262" s="185">
        <v>5.9331175947375652E-7</v>
      </c>
      <c r="T262" s="185">
        <v>5.933118510316838E-7</v>
      </c>
      <c r="U262" s="185">
        <v>5.9331194290372498E-7</v>
      </c>
      <c r="V262" s="185">
        <v>5.9331187981131484E-7</v>
      </c>
      <c r="W262" s="185">
        <v>5.9331186291080176E-7</v>
      </c>
      <c r="X262" s="185">
        <v>5.9331194187259091E-7</v>
      </c>
      <c r="Y262" s="185">
        <v>5.9331179799381954E-7</v>
      </c>
      <c r="Z262" s="185">
        <v>5.9331189095785941E-7</v>
      </c>
      <c r="AA262" s="185">
        <v>5.9331161703418625E-7</v>
      </c>
      <c r="AB262" s="185">
        <v>5.932740789591351E-7</v>
      </c>
      <c r="AC262" s="185">
        <v>5.9327398031517265E-7</v>
      </c>
      <c r="AD262" s="185">
        <v>5.9327417305870628E-7</v>
      </c>
      <c r="AE262" s="185">
        <v>5.9327417305870628E-7</v>
      </c>
      <c r="AF262" s="185">
        <v>5.9327417305870628E-7</v>
      </c>
      <c r="AG262" s="185">
        <v>5.9327417305870628E-7</v>
      </c>
      <c r="AH262" s="185">
        <v>5.9327417305870628E-7</v>
      </c>
      <c r="AI262" s="185">
        <v>5.9327417305870628E-7</v>
      </c>
      <c r="AJ262" s="185">
        <v>5.9327417305870628E-7</v>
      </c>
      <c r="AK262" s="185">
        <v>5.9327417305870628E-7</v>
      </c>
      <c r="AL262" s="185">
        <v>5.9327417305870628E-7</v>
      </c>
      <c r="AM262" s="185">
        <v>5.9327417305870628E-7</v>
      </c>
      <c r="AN262" s="185">
        <v>5.9327417305870628E-7</v>
      </c>
      <c r="AO262" s="185">
        <v>5.9327417305870628E-7</v>
      </c>
      <c r="AP262" s="185">
        <v>5.9327417305870628E-7</v>
      </c>
      <c r="AQ262" s="185">
        <v>5.9327417305870628E-7</v>
      </c>
      <c r="AR262" s="185">
        <v>5.9327417305870628E-7</v>
      </c>
      <c r="AS262" s="206">
        <f t="shared" ref="AS262:BV262" si="207">AR262</f>
        <v>5.9327417305870628E-7</v>
      </c>
      <c r="AT262" s="206">
        <f t="shared" si="207"/>
        <v>5.9327417305870628E-7</v>
      </c>
      <c r="AU262" s="206">
        <f t="shared" si="207"/>
        <v>5.9327417305870628E-7</v>
      </c>
      <c r="AV262" s="206">
        <f t="shared" si="207"/>
        <v>5.9327417305870628E-7</v>
      </c>
      <c r="AW262" s="206">
        <f t="shared" si="207"/>
        <v>5.9327417305870628E-7</v>
      </c>
      <c r="AX262" s="206">
        <f t="shared" si="207"/>
        <v>5.9327417305870628E-7</v>
      </c>
      <c r="AY262" s="206">
        <f t="shared" si="207"/>
        <v>5.9327417305870628E-7</v>
      </c>
      <c r="AZ262" s="206">
        <f t="shared" si="207"/>
        <v>5.9327417305870628E-7</v>
      </c>
      <c r="BA262" s="206">
        <f t="shared" si="207"/>
        <v>5.9327417305870628E-7</v>
      </c>
      <c r="BB262" s="206">
        <f t="shared" si="207"/>
        <v>5.9327417305870628E-7</v>
      </c>
      <c r="BC262" s="206">
        <f t="shared" si="207"/>
        <v>5.9327417305870628E-7</v>
      </c>
      <c r="BD262" s="206">
        <f t="shared" si="207"/>
        <v>5.9327417305870628E-7</v>
      </c>
      <c r="BE262" s="206">
        <f t="shared" si="207"/>
        <v>5.9327417305870628E-7</v>
      </c>
      <c r="BF262" s="206">
        <f t="shared" si="207"/>
        <v>5.9327417305870628E-7</v>
      </c>
      <c r="BG262" s="206">
        <f t="shared" si="207"/>
        <v>5.9327417305870628E-7</v>
      </c>
      <c r="BH262" s="206">
        <f t="shared" si="207"/>
        <v>5.9327417305870628E-7</v>
      </c>
      <c r="BI262" s="206">
        <f t="shared" si="207"/>
        <v>5.9327417305870628E-7</v>
      </c>
      <c r="BJ262" s="206">
        <f t="shared" si="207"/>
        <v>5.9327417305870628E-7</v>
      </c>
      <c r="BK262" s="206">
        <f t="shared" si="207"/>
        <v>5.9327417305870628E-7</v>
      </c>
      <c r="BL262" s="206">
        <f t="shared" si="207"/>
        <v>5.9327417305870628E-7</v>
      </c>
      <c r="BM262" s="206">
        <f t="shared" si="207"/>
        <v>5.9327417305870628E-7</v>
      </c>
      <c r="BN262" s="206">
        <f t="shared" si="207"/>
        <v>5.9327417305870628E-7</v>
      </c>
      <c r="BO262" s="206">
        <f t="shared" si="207"/>
        <v>5.9327417305870628E-7</v>
      </c>
      <c r="BP262" s="206">
        <f t="shared" si="207"/>
        <v>5.9327417305870628E-7</v>
      </c>
      <c r="BQ262" s="206">
        <f t="shared" si="207"/>
        <v>5.9327417305870628E-7</v>
      </c>
      <c r="BR262" s="206">
        <f t="shared" si="207"/>
        <v>5.9327417305870628E-7</v>
      </c>
      <c r="BS262" s="206">
        <f t="shared" si="207"/>
        <v>5.9327417305870628E-7</v>
      </c>
      <c r="BT262" s="206">
        <f t="shared" si="207"/>
        <v>5.9327417305870628E-7</v>
      </c>
      <c r="BU262" s="206">
        <f t="shared" si="207"/>
        <v>5.9327417305870628E-7</v>
      </c>
      <c r="BV262" s="206">
        <f t="shared" si="207"/>
        <v>5.9327417305870628E-7</v>
      </c>
    </row>
    <row r="263" spans="1:74" x14ac:dyDescent="0.25">
      <c r="A263" s="155" t="s">
        <v>228</v>
      </c>
      <c r="C263" s="150"/>
      <c r="D263" s="185">
        <v>4.2303169196510135E-6</v>
      </c>
      <c r="E263" s="185">
        <v>4.2303170638623021E-6</v>
      </c>
      <c r="F263" s="185">
        <v>4.2303172080736009E-6</v>
      </c>
      <c r="G263" s="185">
        <v>4.2303173522849091E-6</v>
      </c>
      <c r="H263" s="185">
        <v>4.2303174964962274E-6</v>
      </c>
      <c r="I263" s="185">
        <v>4.2303176407075542E-6</v>
      </c>
      <c r="J263" s="185">
        <v>4.2303171094596747E-6</v>
      </c>
      <c r="K263" s="185">
        <v>4.2303173719024225E-6</v>
      </c>
      <c r="L263" s="185">
        <v>4.2670890687672356E-6</v>
      </c>
      <c r="M263" s="185">
        <v>4.2670882977938177E-6</v>
      </c>
      <c r="N263" s="185">
        <v>4.2670882976259764E-6</v>
      </c>
      <c r="O263" s="185">
        <v>4.2670879463157555E-6</v>
      </c>
      <c r="P263" s="185">
        <v>4.2670887489033433E-6</v>
      </c>
      <c r="Q263" s="185">
        <v>4.2670879974365334E-6</v>
      </c>
      <c r="R263" s="185">
        <v>4.2670881526290587E-6</v>
      </c>
      <c r="S263" s="185">
        <v>4.2670873237001795E-6</v>
      </c>
      <c r="T263" s="185">
        <v>4.2670866006273497E-6</v>
      </c>
      <c r="U263" s="185">
        <v>4.2670940038238536E-6</v>
      </c>
      <c r="V263" s="185">
        <v>4.2670853931108063E-6</v>
      </c>
      <c r="W263" s="185">
        <v>4.2670956212976553E-6</v>
      </c>
      <c r="X263" s="185">
        <v>4.2670914449775371E-6</v>
      </c>
      <c r="Y263" s="185">
        <v>4.2670858015201517E-6</v>
      </c>
      <c r="Z263" s="185">
        <v>4.2670916932833516E-6</v>
      </c>
      <c r="AA263" s="185">
        <v>4.2670916932833516E-6</v>
      </c>
      <c r="AB263" s="185">
        <v>4.2670916932833516E-6</v>
      </c>
      <c r="AC263" s="185">
        <v>4.2670916932833516E-6</v>
      </c>
      <c r="AD263" s="185">
        <v>4.2671182037880687E-6</v>
      </c>
      <c r="AE263" s="185">
        <v>4.267112391124313E-6</v>
      </c>
      <c r="AF263" s="185">
        <v>4.267112391124313E-6</v>
      </c>
      <c r="AG263" s="185">
        <v>4.267112391124313E-6</v>
      </c>
      <c r="AH263" s="185">
        <v>4.267112391124313E-6</v>
      </c>
      <c r="AI263" s="185">
        <v>4.267112391124313E-6</v>
      </c>
      <c r="AJ263" s="185">
        <v>4.267112391124313E-6</v>
      </c>
      <c r="AK263" s="185">
        <v>4.267112391124313E-6</v>
      </c>
      <c r="AL263" s="185">
        <v>4.267112391124313E-6</v>
      </c>
      <c r="AM263" s="185">
        <v>4.267112391124313E-6</v>
      </c>
      <c r="AN263" s="185">
        <v>4.267112391124313E-6</v>
      </c>
      <c r="AO263" s="185">
        <v>4.267112391124313E-6</v>
      </c>
      <c r="AP263" s="185">
        <v>4.267112391124313E-6</v>
      </c>
      <c r="AQ263" s="185">
        <v>4.267112391124313E-6</v>
      </c>
      <c r="AR263" s="185">
        <v>4.267112391124313E-6</v>
      </c>
      <c r="AS263" s="206">
        <f t="shared" ref="AS263:BV263" si="208">AR263</f>
        <v>4.267112391124313E-6</v>
      </c>
      <c r="AT263" s="206">
        <f t="shared" si="208"/>
        <v>4.267112391124313E-6</v>
      </c>
      <c r="AU263" s="206">
        <f t="shared" si="208"/>
        <v>4.267112391124313E-6</v>
      </c>
      <c r="AV263" s="206">
        <f t="shared" si="208"/>
        <v>4.267112391124313E-6</v>
      </c>
      <c r="AW263" s="206">
        <f t="shared" si="208"/>
        <v>4.267112391124313E-6</v>
      </c>
      <c r="AX263" s="206">
        <f t="shared" si="208"/>
        <v>4.267112391124313E-6</v>
      </c>
      <c r="AY263" s="206">
        <f t="shared" si="208"/>
        <v>4.267112391124313E-6</v>
      </c>
      <c r="AZ263" s="206">
        <f t="shared" si="208"/>
        <v>4.267112391124313E-6</v>
      </c>
      <c r="BA263" s="206">
        <f t="shared" si="208"/>
        <v>4.267112391124313E-6</v>
      </c>
      <c r="BB263" s="206">
        <f t="shared" si="208"/>
        <v>4.267112391124313E-6</v>
      </c>
      <c r="BC263" s="206">
        <f t="shared" si="208"/>
        <v>4.267112391124313E-6</v>
      </c>
      <c r="BD263" s="206">
        <f t="shared" si="208"/>
        <v>4.267112391124313E-6</v>
      </c>
      <c r="BE263" s="206">
        <f t="shared" si="208"/>
        <v>4.267112391124313E-6</v>
      </c>
      <c r="BF263" s="206">
        <f t="shared" si="208"/>
        <v>4.267112391124313E-6</v>
      </c>
      <c r="BG263" s="206">
        <f t="shared" si="208"/>
        <v>4.267112391124313E-6</v>
      </c>
      <c r="BH263" s="206">
        <f t="shared" si="208"/>
        <v>4.267112391124313E-6</v>
      </c>
      <c r="BI263" s="206">
        <f t="shared" si="208"/>
        <v>4.267112391124313E-6</v>
      </c>
      <c r="BJ263" s="206">
        <f t="shared" si="208"/>
        <v>4.267112391124313E-6</v>
      </c>
      <c r="BK263" s="206">
        <f t="shared" si="208"/>
        <v>4.267112391124313E-6</v>
      </c>
      <c r="BL263" s="206">
        <f t="shared" si="208"/>
        <v>4.267112391124313E-6</v>
      </c>
      <c r="BM263" s="206">
        <f t="shared" si="208"/>
        <v>4.267112391124313E-6</v>
      </c>
      <c r="BN263" s="206">
        <f t="shared" si="208"/>
        <v>4.267112391124313E-6</v>
      </c>
      <c r="BO263" s="206">
        <f t="shared" si="208"/>
        <v>4.267112391124313E-6</v>
      </c>
      <c r="BP263" s="206">
        <f t="shared" si="208"/>
        <v>4.267112391124313E-6</v>
      </c>
      <c r="BQ263" s="206">
        <f t="shared" si="208"/>
        <v>4.267112391124313E-6</v>
      </c>
      <c r="BR263" s="206">
        <f t="shared" si="208"/>
        <v>4.267112391124313E-6</v>
      </c>
      <c r="BS263" s="206">
        <f t="shared" si="208"/>
        <v>4.267112391124313E-6</v>
      </c>
      <c r="BT263" s="206">
        <f t="shared" si="208"/>
        <v>4.267112391124313E-6</v>
      </c>
      <c r="BU263" s="206">
        <f t="shared" si="208"/>
        <v>4.267112391124313E-6</v>
      </c>
      <c r="BV263" s="206">
        <f t="shared" si="208"/>
        <v>4.267112391124313E-6</v>
      </c>
    </row>
    <row r="264" spans="1:74" x14ac:dyDescent="0.25">
      <c r="A264" s="149" t="s">
        <v>222</v>
      </c>
      <c r="B264" s="156"/>
      <c r="C264" s="150"/>
      <c r="D264" s="185">
        <v>4.7927150641825361E-10</v>
      </c>
      <c r="E264" s="185">
        <v>4.792715066038902E-10</v>
      </c>
      <c r="F264" s="185">
        <v>4.792715067895268E-10</v>
      </c>
      <c r="G264" s="185">
        <v>4.792715069751634E-10</v>
      </c>
      <c r="H264" s="185">
        <v>4.792715071608E-10</v>
      </c>
      <c r="I264" s="185">
        <v>4.7927150734643639E-10</v>
      </c>
      <c r="J264" s="185">
        <v>4.7927150657796181E-10</v>
      </c>
      <c r="K264" s="185">
        <v>4.7927150724306455E-10</v>
      </c>
      <c r="L264" s="185">
        <v>4.7058823529411763E-10</v>
      </c>
      <c r="M264" s="185">
        <v>4.705882336750339E-10</v>
      </c>
      <c r="N264" s="185">
        <v>4.7058823373990813E-10</v>
      </c>
      <c r="O264" s="185">
        <v>4.7058823393429888E-10</v>
      </c>
      <c r="P264" s="185">
        <v>4.7058823395072431E-10</v>
      </c>
      <c r="Q264" s="185">
        <v>4.7058823529411763E-10</v>
      </c>
      <c r="R264" s="185">
        <v>4.7058823529411763E-10</v>
      </c>
      <c r="S264" s="185">
        <v>4.7058823403185863E-10</v>
      </c>
      <c r="T264" s="185">
        <v>4.7058823410394597E-10</v>
      </c>
      <c r="U264" s="185">
        <v>4.7058823750077712E-10</v>
      </c>
      <c r="V264" s="185">
        <v>4.7058821866838196E-10</v>
      </c>
      <c r="W264" s="185">
        <v>4.7058818648632621E-10</v>
      </c>
      <c r="X264" s="185">
        <v>4.7058828446232178E-10</v>
      </c>
      <c r="Y264" s="185">
        <v>4.7058822676957547E-10</v>
      </c>
      <c r="Z264" s="185">
        <v>5.5432376640131688E-10</v>
      </c>
      <c r="AA264" s="185">
        <v>5.5432365977479457E-10</v>
      </c>
      <c r="AB264" s="185">
        <v>5.5432365977479457E-10</v>
      </c>
      <c r="AC264" s="185">
        <v>5.5432365977479457E-10</v>
      </c>
      <c r="AD264" s="185">
        <v>5.5432372980892911E-10</v>
      </c>
      <c r="AE264" s="185">
        <v>5.5432372980892911E-10</v>
      </c>
      <c r="AF264" s="185">
        <v>5.5432372980892911E-10</v>
      </c>
      <c r="AG264" s="185">
        <v>5.5432372980892911E-10</v>
      </c>
      <c r="AH264" s="185">
        <v>5.5432372980892911E-10</v>
      </c>
      <c r="AI264" s="185">
        <v>5.5432372980892911E-10</v>
      </c>
      <c r="AJ264" s="185">
        <v>5.5432372980892911E-10</v>
      </c>
      <c r="AK264" s="185">
        <v>5.5432372980892911E-10</v>
      </c>
      <c r="AL264" s="185">
        <v>5.5432372980892911E-10</v>
      </c>
      <c r="AM264" s="185">
        <v>5.5432372980892911E-10</v>
      </c>
      <c r="AN264" s="185">
        <v>5.5432372980892911E-10</v>
      </c>
      <c r="AO264" s="185">
        <v>5.5432372980892911E-10</v>
      </c>
      <c r="AP264" s="185">
        <v>5.5432372980892911E-10</v>
      </c>
      <c r="AQ264" s="185">
        <v>5.5432372980892911E-10</v>
      </c>
      <c r="AR264" s="185">
        <v>5.5432372980892911E-10</v>
      </c>
      <c r="AS264" s="206">
        <f t="shared" ref="AS264:BV264" si="209">AR264</f>
        <v>5.5432372980892911E-10</v>
      </c>
      <c r="AT264" s="206">
        <f t="shared" si="209"/>
        <v>5.5432372980892911E-10</v>
      </c>
      <c r="AU264" s="206">
        <f t="shared" si="209"/>
        <v>5.5432372980892911E-10</v>
      </c>
      <c r="AV264" s="206">
        <f t="shared" si="209"/>
        <v>5.5432372980892911E-10</v>
      </c>
      <c r="AW264" s="206">
        <f t="shared" si="209"/>
        <v>5.5432372980892911E-10</v>
      </c>
      <c r="AX264" s="206">
        <f t="shared" si="209"/>
        <v>5.5432372980892911E-10</v>
      </c>
      <c r="AY264" s="206">
        <f t="shared" si="209"/>
        <v>5.5432372980892911E-10</v>
      </c>
      <c r="AZ264" s="206">
        <f t="shared" si="209"/>
        <v>5.5432372980892911E-10</v>
      </c>
      <c r="BA264" s="206">
        <f t="shared" si="209"/>
        <v>5.5432372980892911E-10</v>
      </c>
      <c r="BB264" s="206">
        <f t="shared" si="209"/>
        <v>5.5432372980892911E-10</v>
      </c>
      <c r="BC264" s="206">
        <f t="shared" si="209"/>
        <v>5.5432372980892911E-10</v>
      </c>
      <c r="BD264" s="206">
        <f t="shared" si="209"/>
        <v>5.5432372980892911E-10</v>
      </c>
      <c r="BE264" s="206">
        <f t="shared" si="209"/>
        <v>5.5432372980892911E-10</v>
      </c>
      <c r="BF264" s="206">
        <f t="shared" si="209"/>
        <v>5.5432372980892911E-10</v>
      </c>
      <c r="BG264" s="206">
        <f t="shared" si="209"/>
        <v>5.5432372980892911E-10</v>
      </c>
      <c r="BH264" s="206">
        <f t="shared" si="209"/>
        <v>5.5432372980892911E-10</v>
      </c>
      <c r="BI264" s="206">
        <f t="shared" si="209"/>
        <v>5.5432372980892911E-10</v>
      </c>
      <c r="BJ264" s="206">
        <f t="shared" si="209"/>
        <v>5.5432372980892911E-10</v>
      </c>
      <c r="BK264" s="206">
        <f t="shared" si="209"/>
        <v>5.5432372980892911E-10</v>
      </c>
      <c r="BL264" s="206">
        <f t="shared" si="209"/>
        <v>5.5432372980892911E-10</v>
      </c>
      <c r="BM264" s="206">
        <f t="shared" si="209"/>
        <v>5.5432372980892911E-10</v>
      </c>
      <c r="BN264" s="206">
        <f t="shared" si="209"/>
        <v>5.5432372980892911E-10</v>
      </c>
      <c r="BO264" s="206">
        <f t="shared" si="209"/>
        <v>5.5432372980892911E-10</v>
      </c>
      <c r="BP264" s="206">
        <f t="shared" si="209"/>
        <v>5.5432372980892911E-10</v>
      </c>
      <c r="BQ264" s="206">
        <f t="shared" si="209"/>
        <v>5.5432372980892911E-10</v>
      </c>
      <c r="BR264" s="206">
        <f t="shared" si="209"/>
        <v>5.5432372980892911E-10</v>
      </c>
      <c r="BS264" s="206">
        <f t="shared" si="209"/>
        <v>5.5432372980892911E-10</v>
      </c>
      <c r="BT264" s="206">
        <f t="shared" si="209"/>
        <v>5.5432372980892911E-10</v>
      </c>
      <c r="BU264" s="206">
        <f t="shared" si="209"/>
        <v>5.5432372980892911E-10</v>
      </c>
      <c r="BV264" s="206">
        <f t="shared" si="209"/>
        <v>5.5432372980892911E-10</v>
      </c>
    </row>
    <row r="265" spans="1:74" x14ac:dyDescent="0.25">
      <c r="A265" s="155" t="s">
        <v>229</v>
      </c>
      <c r="C265" s="150"/>
      <c r="D265" s="185">
        <v>1.910219675262655E-6</v>
      </c>
      <c r="E265" s="185">
        <v>1.910219675262655E-6</v>
      </c>
      <c r="F265" s="185">
        <v>1.910219675262655E-6</v>
      </c>
      <c r="G265" s="185">
        <v>1.910219675262655E-6</v>
      </c>
      <c r="H265" s="185">
        <v>1.910219675262655E-6</v>
      </c>
      <c r="I265" s="185">
        <v>1.910219675262655E-6</v>
      </c>
      <c r="J265" s="185">
        <v>1.910219675262655E-6</v>
      </c>
      <c r="K265" s="185">
        <v>1.910219675262655E-6</v>
      </c>
      <c r="L265" s="185">
        <v>1.910219675262655E-6</v>
      </c>
      <c r="M265" s="185">
        <v>1.910219675262655E-6</v>
      </c>
      <c r="N265" s="185">
        <v>1.910219675262655E-6</v>
      </c>
      <c r="O265" s="185">
        <v>1.910219675262655E-6</v>
      </c>
      <c r="P265" s="185">
        <v>1.910219675262655E-6</v>
      </c>
      <c r="Q265" s="185">
        <v>1.910219675262655E-6</v>
      </c>
      <c r="R265" s="185">
        <v>1.910219675262655E-6</v>
      </c>
      <c r="S265" s="185">
        <v>1.9102196604836949E-6</v>
      </c>
      <c r="T265" s="185">
        <v>1.9102197017180211E-6</v>
      </c>
      <c r="U265" s="185">
        <v>1.9102197095119837E-6</v>
      </c>
      <c r="V265" s="185">
        <v>1.9102196234247274E-6</v>
      </c>
      <c r="W265" s="185">
        <v>1.9102196352716296E-6</v>
      </c>
      <c r="X265" s="185">
        <v>1.9102197422501803E-6</v>
      </c>
      <c r="Y265" s="185">
        <v>1.910219733106164E-6</v>
      </c>
      <c r="Z265" s="185">
        <v>1.9102196940749794E-6</v>
      </c>
      <c r="AA265" s="185">
        <v>1.9102196262939452E-6</v>
      </c>
      <c r="AB265" s="185">
        <v>1.9102196847976257E-6</v>
      </c>
      <c r="AC265" s="185">
        <v>1.9102196393552953E-6</v>
      </c>
      <c r="AD265" s="185">
        <v>1.9102197229647723E-6</v>
      </c>
      <c r="AE265" s="185">
        <v>1.9102196192977084E-6</v>
      </c>
      <c r="AF265" s="185">
        <v>1.9102196192977084E-6</v>
      </c>
      <c r="AG265" s="185">
        <v>1.9102196192977084E-6</v>
      </c>
      <c r="AH265" s="185">
        <v>1.9102196192977084E-6</v>
      </c>
      <c r="AI265" s="185">
        <v>1.9102196192977084E-6</v>
      </c>
      <c r="AJ265" s="185">
        <v>1.9102196192977084E-6</v>
      </c>
      <c r="AK265" s="185">
        <v>1.9102196192977084E-6</v>
      </c>
      <c r="AL265" s="185">
        <v>1.9102196192977084E-6</v>
      </c>
      <c r="AM265" s="185">
        <v>1.9102196192977084E-6</v>
      </c>
      <c r="AN265" s="185">
        <v>1.9102196192977084E-6</v>
      </c>
      <c r="AO265" s="185">
        <v>1.9102196192977084E-6</v>
      </c>
      <c r="AP265" s="185">
        <v>1.9102196192977084E-6</v>
      </c>
      <c r="AQ265" s="185">
        <v>1.9102196192977084E-6</v>
      </c>
      <c r="AR265" s="185">
        <v>1.9102196192977084E-6</v>
      </c>
      <c r="AS265" s="206">
        <f t="shared" ref="AS265:BV265" si="210">AR265</f>
        <v>1.9102196192977084E-6</v>
      </c>
      <c r="AT265" s="206">
        <f t="shared" si="210"/>
        <v>1.9102196192977084E-6</v>
      </c>
      <c r="AU265" s="206">
        <f t="shared" si="210"/>
        <v>1.9102196192977084E-6</v>
      </c>
      <c r="AV265" s="206">
        <f t="shared" si="210"/>
        <v>1.9102196192977084E-6</v>
      </c>
      <c r="AW265" s="206">
        <f t="shared" si="210"/>
        <v>1.9102196192977084E-6</v>
      </c>
      <c r="AX265" s="206">
        <f t="shared" si="210"/>
        <v>1.9102196192977084E-6</v>
      </c>
      <c r="AY265" s="206">
        <f t="shared" si="210"/>
        <v>1.9102196192977084E-6</v>
      </c>
      <c r="AZ265" s="206">
        <f t="shared" si="210"/>
        <v>1.9102196192977084E-6</v>
      </c>
      <c r="BA265" s="206">
        <f t="shared" si="210"/>
        <v>1.9102196192977084E-6</v>
      </c>
      <c r="BB265" s="206">
        <f t="shared" si="210"/>
        <v>1.9102196192977084E-6</v>
      </c>
      <c r="BC265" s="206">
        <f t="shared" si="210"/>
        <v>1.9102196192977084E-6</v>
      </c>
      <c r="BD265" s="206">
        <f t="shared" si="210"/>
        <v>1.9102196192977084E-6</v>
      </c>
      <c r="BE265" s="206">
        <f t="shared" si="210"/>
        <v>1.9102196192977084E-6</v>
      </c>
      <c r="BF265" s="206">
        <f t="shared" si="210"/>
        <v>1.9102196192977084E-6</v>
      </c>
      <c r="BG265" s="206">
        <f t="shared" si="210"/>
        <v>1.9102196192977084E-6</v>
      </c>
      <c r="BH265" s="206">
        <f t="shared" si="210"/>
        <v>1.9102196192977084E-6</v>
      </c>
      <c r="BI265" s="206">
        <f t="shared" si="210"/>
        <v>1.9102196192977084E-6</v>
      </c>
      <c r="BJ265" s="206">
        <f t="shared" si="210"/>
        <v>1.9102196192977084E-6</v>
      </c>
      <c r="BK265" s="206">
        <f t="shared" si="210"/>
        <v>1.9102196192977084E-6</v>
      </c>
      <c r="BL265" s="206">
        <f t="shared" si="210"/>
        <v>1.9102196192977084E-6</v>
      </c>
      <c r="BM265" s="206">
        <f t="shared" si="210"/>
        <v>1.9102196192977084E-6</v>
      </c>
      <c r="BN265" s="206">
        <f t="shared" si="210"/>
        <v>1.9102196192977084E-6</v>
      </c>
      <c r="BO265" s="206">
        <f t="shared" si="210"/>
        <v>1.9102196192977084E-6</v>
      </c>
      <c r="BP265" s="206">
        <f t="shared" si="210"/>
        <v>1.9102196192977084E-6</v>
      </c>
      <c r="BQ265" s="206">
        <f t="shared" si="210"/>
        <v>1.9102196192977084E-6</v>
      </c>
      <c r="BR265" s="206">
        <f t="shared" si="210"/>
        <v>1.9102196192977084E-6</v>
      </c>
      <c r="BS265" s="206">
        <f t="shared" si="210"/>
        <v>1.9102196192977084E-6</v>
      </c>
      <c r="BT265" s="206">
        <f t="shared" si="210"/>
        <v>1.9102196192977084E-6</v>
      </c>
      <c r="BU265" s="206">
        <f t="shared" si="210"/>
        <v>1.9102196192977084E-6</v>
      </c>
      <c r="BV265" s="206">
        <f t="shared" si="210"/>
        <v>1.9102196192977084E-6</v>
      </c>
    </row>
    <row r="266" spans="1:74" x14ac:dyDescent="0.25">
      <c r="A266" s="155" t="s">
        <v>230</v>
      </c>
      <c r="C266" s="150"/>
      <c r="D266" s="185"/>
      <c r="E266" s="185"/>
      <c r="F266" s="185"/>
      <c r="G266" s="185"/>
      <c r="H266" s="185"/>
      <c r="I266" s="185"/>
      <c r="J266" s="185"/>
      <c r="K266" s="185"/>
      <c r="L266" s="185"/>
      <c r="M266" s="185"/>
      <c r="N266" s="185"/>
      <c r="O266" s="185"/>
      <c r="P266" s="185"/>
      <c r="Q266" s="185"/>
      <c r="R266" s="185"/>
      <c r="S266" s="185"/>
      <c r="T266" s="185"/>
      <c r="U266" s="185"/>
      <c r="V266" s="185"/>
      <c r="W266" s="185"/>
      <c r="X266" s="185"/>
      <c r="Y266" s="185"/>
      <c r="Z266" s="185"/>
      <c r="AA266" s="185"/>
      <c r="AB266" s="185"/>
      <c r="AC266" s="185"/>
      <c r="AD266" s="185"/>
      <c r="AE266" s="185"/>
      <c r="AF266" s="185"/>
      <c r="AG266" s="185"/>
      <c r="AH266" s="185"/>
      <c r="AI266" s="185"/>
      <c r="AJ266" s="185"/>
      <c r="AK266" s="185"/>
      <c r="AL266" s="185"/>
      <c r="AM266" s="185"/>
      <c r="AN266" s="185"/>
      <c r="AO266" s="185"/>
      <c r="AP266" s="185"/>
      <c r="AQ266" s="185"/>
      <c r="AR266" s="185"/>
      <c r="AS266" s="206">
        <f t="shared" ref="AS266:BV266" si="211">AR266</f>
        <v>0</v>
      </c>
      <c r="AT266" s="206">
        <f t="shared" si="211"/>
        <v>0</v>
      </c>
      <c r="AU266" s="206">
        <f t="shared" si="211"/>
        <v>0</v>
      </c>
      <c r="AV266" s="206">
        <f t="shared" si="211"/>
        <v>0</v>
      </c>
      <c r="AW266" s="206">
        <f t="shared" si="211"/>
        <v>0</v>
      </c>
      <c r="AX266" s="206">
        <f t="shared" si="211"/>
        <v>0</v>
      </c>
      <c r="AY266" s="206">
        <f t="shared" si="211"/>
        <v>0</v>
      </c>
      <c r="AZ266" s="206">
        <f t="shared" si="211"/>
        <v>0</v>
      </c>
      <c r="BA266" s="206">
        <f t="shared" si="211"/>
        <v>0</v>
      </c>
      <c r="BB266" s="206">
        <f t="shared" si="211"/>
        <v>0</v>
      </c>
      <c r="BC266" s="206">
        <f t="shared" si="211"/>
        <v>0</v>
      </c>
      <c r="BD266" s="206">
        <f t="shared" si="211"/>
        <v>0</v>
      </c>
      <c r="BE266" s="206">
        <f t="shared" si="211"/>
        <v>0</v>
      </c>
      <c r="BF266" s="206">
        <f t="shared" si="211"/>
        <v>0</v>
      </c>
      <c r="BG266" s="206">
        <f t="shared" si="211"/>
        <v>0</v>
      </c>
      <c r="BH266" s="206">
        <f t="shared" si="211"/>
        <v>0</v>
      </c>
      <c r="BI266" s="206">
        <f t="shared" si="211"/>
        <v>0</v>
      </c>
      <c r="BJ266" s="206">
        <f t="shared" si="211"/>
        <v>0</v>
      </c>
      <c r="BK266" s="206">
        <f t="shared" si="211"/>
        <v>0</v>
      </c>
      <c r="BL266" s="206">
        <f t="shared" si="211"/>
        <v>0</v>
      </c>
      <c r="BM266" s="206">
        <f t="shared" si="211"/>
        <v>0</v>
      </c>
      <c r="BN266" s="206">
        <f t="shared" si="211"/>
        <v>0</v>
      </c>
      <c r="BO266" s="206">
        <f t="shared" si="211"/>
        <v>0</v>
      </c>
      <c r="BP266" s="206">
        <f t="shared" si="211"/>
        <v>0</v>
      </c>
      <c r="BQ266" s="206">
        <f t="shared" si="211"/>
        <v>0</v>
      </c>
      <c r="BR266" s="206">
        <f t="shared" si="211"/>
        <v>0</v>
      </c>
      <c r="BS266" s="206">
        <f t="shared" si="211"/>
        <v>0</v>
      </c>
      <c r="BT266" s="206">
        <f t="shared" si="211"/>
        <v>0</v>
      </c>
      <c r="BU266" s="206">
        <f t="shared" si="211"/>
        <v>0</v>
      </c>
      <c r="BV266" s="206">
        <f t="shared" si="211"/>
        <v>0</v>
      </c>
    </row>
    <row r="267" spans="1:74" x14ac:dyDescent="0.25">
      <c r="A267" s="155" t="s">
        <v>232</v>
      </c>
      <c r="B267" s="156"/>
      <c r="C267" s="150"/>
      <c r="D267" s="185">
        <v>5.36480686695279E-10</v>
      </c>
      <c r="E267" s="185">
        <v>5.36480686695279E-10</v>
      </c>
      <c r="F267" s="185">
        <v>5.36480686695279E-10</v>
      </c>
      <c r="G267" s="185">
        <v>5.36480686695279E-10</v>
      </c>
      <c r="H267" s="185">
        <v>5.36480686695279E-10</v>
      </c>
      <c r="I267" s="185">
        <v>5.36480686695279E-10</v>
      </c>
      <c r="J267" s="185">
        <v>5.36480686695279E-10</v>
      </c>
      <c r="K267" s="185">
        <v>5.36480686695279E-10</v>
      </c>
      <c r="L267" s="185">
        <v>5.3050397877984079E-10</v>
      </c>
      <c r="M267" s="185">
        <v>5.5432372505543243E-10</v>
      </c>
      <c r="N267" s="185">
        <v>5.5432372505543243E-10</v>
      </c>
      <c r="O267" s="185">
        <v>5.5432372505543243E-10</v>
      </c>
      <c r="P267" s="185">
        <v>5.5432372505543243E-10</v>
      </c>
      <c r="Q267" s="185">
        <v>5.5432372505543243E-10</v>
      </c>
      <c r="R267" s="185">
        <v>5.5432372505543243E-10</v>
      </c>
      <c r="S267" s="185">
        <v>5.5432372505543243E-10</v>
      </c>
      <c r="T267" s="185">
        <v>5.5432372505543243E-10</v>
      </c>
      <c r="U267" s="185">
        <v>5.5432372505543243E-10</v>
      </c>
      <c r="V267" s="185">
        <v>5.5432372505543243E-10</v>
      </c>
      <c r="W267" s="185">
        <v>5.5432372505543243E-10</v>
      </c>
      <c r="X267" s="185">
        <v>5.5432372505543243E-10</v>
      </c>
      <c r="Y267" s="185">
        <v>5.5432372505543243E-10</v>
      </c>
      <c r="Z267" s="185">
        <v>5.5432372505543243E-10</v>
      </c>
      <c r="AA267" s="185">
        <v>5.5432372505543243E-10</v>
      </c>
      <c r="AB267" s="185">
        <v>5.5432372505543243E-10</v>
      </c>
      <c r="AC267" s="185">
        <v>5.5432372505543243E-10</v>
      </c>
      <c r="AD267" s="185">
        <v>5.5432372505543243E-10</v>
      </c>
      <c r="AE267" s="185">
        <v>5.5432372505543243E-10</v>
      </c>
      <c r="AF267" s="185">
        <v>5.5432372505543243E-10</v>
      </c>
      <c r="AG267" s="185">
        <v>5.5432372505543243E-10</v>
      </c>
      <c r="AH267" s="185">
        <v>5.5432372505543243E-10</v>
      </c>
      <c r="AI267" s="185">
        <v>5.5432372505543243E-10</v>
      </c>
      <c r="AJ267" s="185">
        <v>5.5432372505543243E-10</v>
      </c>
      <c r="AK267" s="185">
        <v>5.5432372505543243E-10</v>
      </c>
      <c r="AL267" s="185">
        <v>5.5432372505543243E-10</v>
      </c>
      <c r="AM267" s="185">
        <v>5.5432372505543243E-10</v>
      </c>
      <c r="AN267" s="185">
        <v>5.5432372505543243E-10</v>
      </c>
      <c r="AO267" s="185">
        <v>5.5432372505543243E-10</v>
      </c>
      <c r="AP267" s="185">
        <v>5.5432372505543243E-10</v>
      </c>
      <c r="AQ267" s="185">
        <v>5.5432372505543243E-10</v>
      </c>
      <c r="AR267" s="185">
        <v>5.5432372505543243E-10</v>
      </c>
      <c r="AS267" s="206">
        <f>AR267</f>
        <v>5.5432372505543243E-10</v>
      </c>
      <c r="AT267" s="206">
        <f t="shared" ref="AT267:BV267" si="212">AS267</f>
        <v>5.5432372505543243E-10</v>
      </c>
      <c r="AU267" s="206">
        <f t="shared" si="212"/>
        <v>5.5432372505543243E-10</v>
      </c>
      <c r="AV267" s="206">
        <f t="shared" si="212"/>
        <v>5.5432372505543243E-10</v>
      </c>
      <c r="AW267" s="206">
        <f t="shared" si="212"/>
        <v>5.5432372505543243E-10</v>
      </c>
      <c r="AX267" s="206">
        <f t="shared" si="212"/>
        <v>5.5432372505543243E-10</v>
      </c>
      <c r="AY267" s="206">
        <f t="shared" si="212"/>
        <v>5.5432372505543243E-10</v>
      </c>
      <c r="AZ267" s="206">
        <f t="shared" si="212"/>
        <v>5.5432372505543243E-10</v>
      </c>
      <c r="BA267" s="206">
        <f t="shared" si="212"/>
        <v>5.5432372505543243E-10</v>
      </c>
      <c r="BB267" s="206">
        <f t="shared" si="212"/>
        <v>5.5432372505543243E-10</v>
      </c>
      <c r="BC267" s="206">
        <f t="shared" si="212"/>
        <v>5.5432372505543243E-10</v>
      </c>
      <c r="BD267" s="206">
        <f t="shared" si="212"/>
        <v>5.5432372505543243E-10</v>
      </c>
      <c r="BE267" s="206">
        <f t="shared" si="212"/>
        <v>5.5432372505543243E-10</v>
      </c>
      <c r="BF267" s="206">
        <f t="shared" si="212"/>
        <v>5.5432372505543243E-10</v>
      </c>
      <c r="BG267" s="206">
        <f t="shared" si="212"/>
        <v>5.5432372505543243E-10</v>
      </c>
      <c r="BH267" s="206">
        <f t="shared" si="212"/>
        <v>5.5432372505543243E-10</v>
      </c>
      <c r="BI267" s="206">
        <f t="shared" si="212"/>
        <v>5.5432372505543243E-10</v>
      </c>
      <c r="BJ267" s="206">
        <f t="shared" si="212"/>
        <v>5.5432372505543243E-10</v>
      </c>
      <c r="BK267" s="206">
        <f t="shared" si="212"/>
        <v>5.5432372505543243E-10</v>
      </c>
      <c r="BL267" s="206">
        <f t="shared" si="212"/>
        <v>5.5432372505543243E-10</v>
      </c>
      <c r="BM267" s="206">
        <f t="shared" si="212"/>
        <v>5.5432372505543243E-10</v>
      </c>
      <c r="BN267" s="206">
        <f t="shared" si="212"/>
        <v>5.5432372505543243E-10</v>
      </c>
      <c r="BO267" s="206">
        <f t="shared" si="212"/>
        <v>5.5432372505543243E-10</v>
      </c>
      <c r="BP267" s="206">
        <f t="shared" si="212"/>
        <v>5.5432372505543243E-10</v>
      </c>
      <c r="BQ267" s="206">
        <f t="shared" si="212"/>
        <v>5.5432372505543243E-10</v>
      </c>
      <c r="BR267" s="206">
        <f t="shared" si="212"/>
        <v>5.5432372505543243E-10</v>
      </c>
      <c r="BS267" s="206">
        <f t="shared" si="212"/>
        <v>5.5432372505543243E-10</v>
      </c>
      <c r="BT267" s="206">
        <f t="shared" si="212"/>
        <v>5.5432372505543243E-10</v>
      </c>
      <c r="BU267" s="206">
        <f t="shared" si="212"/>
        <v>5.5432372505543243E-10</v>
      </c>
      <c r="BV267" s="206">
        <f t="shared" si="212"/>
        <v>5.5432372505543243E-10</v>
      </c>
    </row>
    <row r="268" spans="1:74" x14ac:dyDescent="0.25">
      <c r="A268" s="155" t="s">
        <v>233</v>
      </c>
      <c r="B268" s="156"/>
      <c r="C268" s="150"/>
      <c r="D268" s="185"/>
      <c r="E268" s="185"/>
      <c r="F268" s="185"/>
      <c r="G268" s="185"/>
      <c r="H268" s="185"/>
      <c r="I268" s="185"/>
      <c r="J268" s="185"/>
      <c r="K268" s="185"/>
      <c r="L268" s="185"/>
      <c r="M268" s="185"/>
      <c r="N268" s="185"/>
      <c r="O268" s="185"/>
      <c r="P268" s="185"/>
      <c r="Q268" s="185"/>
      <c r="R268" s="185"/>
      <c r="S268" s="185"/>
      <c r="T268" s="185"/>
      <c r="U268" s="185"/>
      <c r="V268" s="185"/>
      <c r="W268" s="185"/>
      <c r="X268" s="185"/>
      <c r="Y268" s="185"/>
      <c r="Z268" s="185"/>
      <c r="AA268" s="185"/>
      <c r="AB268" s="185"/>
      <c r="AC268" s="185"/>
      <c r="AD268" s="185"/>
      <c r="AE268" s="185"/>
      <c r="AF268" s="185"/>
      <c r="AG268" s="185"/>
      <c r="AH268" s="185"/>
      <c r="AI268" s="185"/>
      <c r="AJ268" s="185"/>
      <c r="AK268" s="185"/>
      <c r="AL268" s="185"/>
      <c r="AM268" s="185"/>
      <c r="AN268" s="185"/>
      <c r="AO268" s="185"/>
      <c r="AP268" s="185"/>
      <c r="AQ268" s="185"/>
      <c r="AR268" s="185"/>
      <c r="AS268" s="206">
        <f t="shared" ref="AS268:BV268" si="213">AR268</f>
        <v>0</v>
      </c>
      <c r="AT268" s="206">
        <f t="shared" si="213"/>
        <v>0</v>
      </c>
      <c r="AU268" s="206">
        <f t="shared" si="213"/>
        <v>0</v>
      </c>
      <c r="AV268" s="206">
        <f t="shared" si="213"/>
        <v>0</v>
      </c>
      <c r="AW268" s="206">
        <f t="shared" si="213"/>
        <v>0</v>
      </c>
      <c r="AX268" s="206">
        <f t="shared" si="213"/>
        <v>0</v>
      </c>
      <c r="AY268" s="206">
        <f t="shared" si="213"/>
        <v>0</v>
      </c>
      <c r="AZ268" s="206">
        <f t="shared" si="213"/>
        <v>0</v>
      </c>
      <c r="BA268" s="206">
        <f t="shared" si="213"/>
        <v>0</v>
      </c>
      <c r="BB268" s="206">
        <f t="shared" si="213"/>
        <v>0</v>
      </c>
      <c r="BC268" s="206">
        <f t="shared" si="213"/>
        <v>0</v>
      </c>
      <c r="BD268" s="206">
        <f t="shared" si="213"/>
        <v>0</v>
      </c>
      <c r="BE268" s="206">
        <f t="shared" si="213"/>
        <v>0</v>
      </c>
      <c r="BF268" s="206">
        <f t="shared" si="213"/>
        <v>0</v>
      </c>
      <c r="BG268" s="206">
        <f t="shared" si="213"/>
        <v>0</v>
      </c>
      <c r="BH268" s="206">
        <f t="shared" si="213"/>
        <v>0</v>
      </c>
      <c r="BI268" s="206">
        <f t="shared" si="213"/>
        <v>0</v>
      </c>
      <c r="BJ268" s="206">
        <f t="shared" si="213"/>
        <v>0</v>
      </c>
      <c r="BK268" s="206">
        <f t="shared" si="213"/>
        <v>0</v>
      </c>
      <c r="BL268" s="206">
        <f t="shared" si="213"/>
        <v>0</v>
      </c>
      <c r="BM268" s="206">
        <f t="shared" si="213"/>
        <v>0</v>
      </c>
      <c r="BN268" s="206">
        <f t="shared" si="213"/>
        <v>0</v>
      </c>
      <c r="BO268" s="206">
        <f t="shared" si="213"/>
        <v>0</v>
      </c>
      <c r="BP268" s="206">
        <f t="shared" si="213"/>
        <v>0</v>
      </c>
      <c r="BQ268" s="206">
        <f t="shared" si="213"/>
        <v>0</v>
      </c>
      <c r="BR268" s="206">
        <f t="shared" si="213"/>
        <v>0</v>
      </c>
      <c r="BS268" s="206">
        <f t="shared" si="213"/>
        <v>0</v>
      </c>
      <c r="BT268" s="206">
        <f t="shared" si="213"/>
        <v>0</v>
      </c>
      <c r="BU268" s="206">
        <f t="shared" si="213"/>
        <v>0</v>
      </c>
      <c r="BV268" s="206">
        <f t="shared" si="213"/>
        <v>0</v>
      </c>
    </row>
    <row r="269" spans="1:74" x14ac:dyDescent="0.25">
      <c r="A269" s="155" t="s">
        <v>235</v>
      </c>
      <c r="B269" s="156"/>
      <c r="C269" s="150"/>
      <c r="D269" s="185">
        <v>3.9999999999999998E-6</v>
      </c>
      <c r="E269" s="185">
        <v>3.9999999999999998E-6</v>
      </c>
      <c r="F269" s="185">
        <v>3.9999999999999998E-6</v>
      </c>
      <c r="G269" s="185">
        <v>3.9999999999999998E-6</v>
      </c>
      <c r="H269" s="185">
        <v>3.9999999999999998E-6</v>
      </c>
      <c r="I269" s="185">
        <v>3.9999999999999998E-6</v>
      </c>
      <c r="J269" s="185">
        <v>3.9999999999999998E-6</v>
      </c>
      <c r="K269" s="185">
        <v>3.9999999999999998E-6</v>
      </c>
      <c r="L269" s="185">
        <v>3.9999999999999998E-6</v>
      </c>
      <c r="M269" s="185">
        <v>3.9999999999999998E-6</v>
      </c>
      <c r="N269" s="185">
        <v>3.9999999999999998E-6</v>
      </c>
      <c r="O269" s="185">
        <v>3.9999999999999998E-6</v>
      </c>
      <c r="P269" s="185">
        <v>3.9999999999999998E-6</v>
      </c>
      <c r="Q269" s="185">
        <v>3.9999999999999998E-6</v>
      </c>
      <c r="R269" s="185">
        <v>3.9999999999999998E-6</v>
      </c>
      <c r="S269" s="185">
        <v>3.9999999999999998E-6</v>
      </c>
      <c r="T269" s="185">
        <v>3.9999999999999998E-6</v>
      </c>
      <c r="U269" s="185">
        <v>3.9999999999999998E-6</v>
      </c>
      <c r="V269" s="185">
        <v>3.9999999999999998E-6</v>
      </c>
      <c r="W269" s="185">
        <v>3.9999999999999998E-6</v>
      </c>
      <c r="X269" s="185">
        <v>3.9999999999999998E-6</v>
      </c>
      <c r="Y269" s="185">
        <v>3.9999999999999998E-6</v>
      </c>
      <c r="Z269" s="185">
        <v>3.9999999999999998E-6</v>
      </c>
      <c r="AA269" s="185">
        <v>3.9999999999999998E-6</v>
      </c>
      <c r="AB269" s="185">
        <v>3.9999999999999998E-6</v>
      </c>
      <c r="AC269" s="185">
        <v>3.9999999999999998E-6</v>
      </c>
      <c r="AD269" s="185">
        <v>3.9999999999999998E-6</v>
      </c>
      <c r="AE269" s="185">
        <v>3.9999999999999998E-6</v>
      </c>
      <c r="AF269" s="185">
        <v>3.9999999999999998E-6</v>
      </c>
      <c r="AG269" s="185">
        <v>3.9999999999999998E-6</v>
      </c>
      <c r="AH269" s="185">
        <v>3.9999999999999998E-6</v>
      </c>
      <c r="AI269" s="185">
        <v>3.9999999999999998E-6</v>
      </c>
      <c r="AJ269" s="185">
        <v>3.9999999999999998E-6</v>
      </c>
      <c r="AK269" s="185">
        <v>3.9999999999999998E-6</v>
      </c>
      <c r="AL269" s="185">
        <v>3.9999999999999998E-6</v>
      </c>
      <c r="AM269" s="185">
        <v>3.9999999999999998E-6</v>
      </c>
      <c r="AN269" s="185">
        <v>3.9999999999999998E-6</v>
      </c>
      <c r="AO269" s="185">
        <v>3.9999999999999998E-6</v>
      </c>
      <c r="AP269" s="185">
        <v>3.9999999999999998E-6</v>
      </c>
      <c r="AQ269" s="185">
        <v>3.9999999999999998E-6</v>
      </c>
      <c r="AR269" s="185">
        <v>3.9999999999999998E-6</v>
      </c>
      <c r="AS269" s="206">
        <f>AR269</f>
        <v>3.9999999999999998E-6</v>
      </c>
      <c r="AT269" s="206">
        <f t="shared" ref="AT269:BV269" si="214">AS269</f>
        <v>3.9999999999999998E-6</v>
      </c>
      <c r="AU269" s="206">
        <f t="shared" si="214"/>
        <v>3.9999999999999998E-6</v>
      </c>
      <c r="AV269" s="206">
        <f t="shared" si="214"/>
        <v>3.9999999999999998E-6</v>
      </c>
      <c r="AW269" s="206">
        <f t="shared" si="214"/>
        <v>3.9999999999999998E-6</v>
      </c>
      <c r="AX269" s="206">
        <f t="shared" si="214"/>
        <v>3.9999999999999998E-6</v>
      </c>
      <c r="AY269" s="206">
        <f t="shared" si="214"/>
        <v>3.9999999999999998E-6</v>
      </c>
      <c r="AZ269" s="206">
        <f t="shared" si="214"/>
        <v>3.9999999999999998E-6</v>
      </c>
      <c r="BA269" s="206">
        <f t="shared" si="214"/>
        <v>3.9999999999999998E-6</v>
      </c>
      <c r="BB269" s="206">
        <f t="shared" si="214"/>
        <v>3.9999999999999998E-6</v>
      </c>
      <c r="BC269" s="206">
        <f t="shared" si="214"/>
        <v>3.9999999999999998E-6</v>
      </c>
      <c r="BD269" s="206">
        <f t="shared" si="214"/>
        <v>3.9999999999999998E-6</v>
      </c>
      <c r="BE269" s="206">
        <f t="shared" si="214"/>
        <v>3.9999999999999998E-6</v>
      </c>
      <c r="BF269" s="206">
        <f t="shared" si="214"/>
        <v>3.9999999999999998E-6</v>
      </c>
      <c r="BG269" s="206">
        <f t="shared" si="214"/>
        <v>3.9999999999999998E-6</v>
      </c>
      <c r="BH269" s="206">
        <f t="shared" si="214"/>
        <v>3.9999999999999998E-6</v>
      </c>
      <c r="BI269" s="206">
        <f t="shared" si="214"/>
        <v>3.9999999999999998E-6</v>
      </c>
      <c r="BJ269" s="206">
        <f t="shared" si="214"/>
        <v>3.9999999999999998E-6</v>
      </c>
      <c r="BK269" s="206">
        <f t="shared" si="214"/>
        <v>3.9999999999999998E-6</v>
      </c>
      <c r="BL269" s="206">
        <f t="shared" si="214"/>
        <v>3.9999999999999998E-6</v>
      </c>
      <c r="BM269" s="206">
        <f t="shared" si="214"/>
        <v>3.9999999999999998E-6</v>
      </c>
      <c r="BN269" s="206">
        <f t="shared" si="214"/>
        <v>3.9999999999999998E-6</v>
      </c>
      <c r="BO269" s="206">
        <f t="shared" si="214"/>
        <v>3.9999999999999998E-6</v>
      </c>
      <c r="BP269" s="206">
        <f t="shared" si="214"/>
        <v>3.9999999999999998E-6</v>
      </c>
      <c r="BQ269" s="206">
        <f t="shared" si="214"/>
        <v>3.9999999999999998E-6</v>
      </c>
      <c r="BR269" s="206">
        <f t="shared" si="214"/>
        <v>3.9999999999999998E-6</v>
      </c>
      <c r="BS269" s="206">
        <f t="shared" si="214"/>
        <v>3.9999999999999998E-6</v>
      </c>
      <c r="BT269" s="206">
        <f t="shared" si="214"/>
        <v>3.9999999999999998E-6</v>
      </c>
      <c r="BU269" s="206">
        <f t="shared" si="214"/>
        <v>3.9999999999999998E-6</v>
      </c>
      <c r="BV269" s="206">
        <f t="shared" si="214"/>
        <v>3.9999999999999998E-6</v>
      </c>
    </row>
    <row r="270" spans="1:74" x14ac:dyDescent="0.25">
      <c r="A270" s="155" t="s">
        <v>15</v>
      </c>
      <c r="C270" s="150"/>
      <c r="D270" s="185">
        <v>5.7306590257879659E-6</v>
      </c>
      <c r="E270" s="185">
        <v>5.7306590257879659E-6</v>
      </c>
      <c r="F270" s="185">
        <v>5.7306590257879659E-6</v>
      </c>
      <c r="G270" s="185">
        <v>5.7306590257879659E-6</v>
      </c>
      <c r="H270" s="185">
        <v>5.7306590257879659E-6</v>
      </c>
      <c r="I270" s="185">
        <v>5.7306590257879659E-6</v>
      </c>
      <c r="J270" s="185">
        <v>5.7306590257879659E-6</v>
      </c>
      <c r="K270" s="185">
        <v>5.7306590257879659E-6</v>
      </c>
      <c r="L270" s="185">
        <v>5.7306590257879659E-6</v>
      </c>
      <c r="M270" s="185">
        <v>5.7306590257879659E-6</v>
      </c>
      <c r="N270" s="185">
        <v>5.7306590257879659E-6</v>
      </c>
      <c r="O270" s="185">
        <v>5.7306590257879659E-6</v>
      </c>
      <c r="P270" s="185">
        <v>5.7306590257879659E-6</v>
      </c>
      <c r="Q270" s="185">
        <v>5.7306590257879659E-6</v>
      </c>
      <c r="R270" s="185">
        <v>5.7306590257879659E-6</v>
      </c>
      <c r="S270" s="185">
        <v>5.7306589714246697E-6</v>
      </c>
      <c r="T270" s="185">
        <v>5.7306589164319611E-6</v>
      </c>
      <c r="U270" s="185">
        <v>5.7306591163029493E-6</v>
      </c>
      <c r="V270" s="185">
        <v>5.7306591774922232E-6</v>
      </c>
      <c r="W270" s="185">
        <v>5.730659160170241E-6</v>
      </c>
      <c r="X270" s="185">
        <v>5.7306591209340461E-6</v>
      </c>
      <c r="Y270" s="185">
        <v>5.7306590576672926E-6</v>
      </c>
      <c r="Z270" s="185">
        <v>5.7306588283822391E-6</v>
      </c>
      <c r="AA270" s="185">
        <v>5.7306588950589185E-6</v>
      </c>
      <c r="AB270" s="185">
        <v>5.7306591221228551E-6</v>
      </c>
      <c r="AC270" s="185">
        <v>5.7306590565671569E-6</v>
      </c>
      <c r="AD270" s="185">
        <v>5.7306591950783077E-6</v>
      </c>
      <c r="AE270" s="185">
        <v>5.7306590257879659E-6</v>
      </c>
      <c r="AF270" s="185">
        <v>5.7306590257879659E-6</v>
      </c>
      <c r="AG270" s="185">
        <v>5.7306590257879659E-6</v>
      </c>
      <c r="AH270" s="185">
        <v>5.7306590257879659E-6</v>
      </c>
      <c r="AI270" s="185">
        <v>5.7306590257879659E-6</v>
      </c>
      <c r="AJ270" s="185">
        <v>5.7306590257879659E-6</v>
      </c>
      <c r="AK270" s="185">
        <v>5.7306590257879659E-6</v>
      </c>
      <c r="AL270" s="185">
        <v>5.7306590257879659E-6</v>
      </c>
      <c r="AM270" s="185">
        <v>5.7306590257879659E-6</v>
      </c>
      <c r="AN270" s="185">
        <v>5.7306590257879659E-6</v>
      </c>
      <c r="AO270" s="185">
        <v>5.7306590257879659E-6</v>
      </c>
      <c r="AP270" s="185">
        <v>5.7306590257879659E-6</v>
      </c>
      <c r="AQ270" s="185">
        <v>5.7306590257879659E-6</v>
      </c>
      <c r="AR270" s="185">
        <v>5.7306590257879659E-6</v>
      </c>
      <c r="AS270" s="206">
        <f>AR270</f>
        <v>5.7306590257879659E-6</v>
      </c>
      <c r="AT270" s="206">
        <f t="shared" ref="AT270:BV270" si="215">AS270</f>
        <v>5.7306590257879659E-6</v>
      </c>
      <c r="AU270" s="206">
        <f t="shared" si="215"/>
        <v>5.7306590257879659E-6</v>
      </c>
      <c r="AV270" s="206">
        <f t="shared" si="215"/>
        <v>5.7306590257879659E-6</v>
      </c>
      <c r="AW270" s="206">
        <f t="shared" si="215"/>
        <v>5.7306590257879659E-6</v>
      </c>
      <c r="AX270" s="206">
        <f t="shared" si="215"/>
        <v>5.7306590257879659E-6</v>
      </c>
      <c r="AY270" s="206">
        <f t="shared" si="215"/>
        <v>5.7306590257879659E-6</v>
      </c>
      <c r="AZ270" s="206">
        <f t="shared" si="215"/>
        <v>5.7306590257879659E-6</v>
      </c>
      <c r="BA270" s="206">
        <f t="shared" si="215"/>
        <v>5.7306590257879659E-6</v>
      </c>
      <c r="BB270" s="206">
        <f t="shared" si="215"/>
        <v>5.7306590257879659E-6</v>
      </c>
      <c r="BC270" s="206">
        <f t="shared" si="215"/>
        <v>5.7306590257879659E-6</v>
      </c>
      <c r="BD270" s="206">
        <f t="shared" si="215"/>
        <v>5.7306590257879659E-6</v>
      </c>
      <c r="BE270" s="206">
        <f t="shared" si="215"/>
        <v>5.7306590257879659E-6</v>
      </c>
      <c r="BF270" s="206">
        <f t="shared" si="215"/>
        <v>5.7306590257879659E-6</v>
      </c>
      <c r="BG270" s="206">
        <f t="shared" si="215"/>
        <v>5.7306590257879659E-6</v>
      </c>
      <c r="BH270" s="206">
        <f t="shared" si="215"/>
        <v>5.7306590257879659E-6</v>
      </c>
      <c r="BI270" s="206">
        <f t="shared" si="215"/>
        <v>5.7306590257879659E-6</v>
      </c>
      <c r="BJ270" s="206">
        <f t="shared" si="215"/>
        <v>5.7306590257879659E-6</v>
      </c>
      <c r="BK270" s="206">
        <f t="shared" si="215"/>
        <v>5.7306590257879659E-6</v>
      </c>
      <c r="BL270" s="206">
        <f t="shared" si="215"/>
        <v>5.7306590257879659E-6</v>
      </c>
      <c r="BM270" s="206">
        <f t="shared" si="215"/>
        <v>5.7306590257879659E-6</v>
      </c>
      <c r="BN270" s="206">
        <f t="shared" si="215"/>
        <v>5.7306590257879659E-6</v>
      </c>
      <c r="BO270" s="206">
        <f t="shared" si="215"/>
        <v>5.7306590257879659E-6</v>
      </c>
      <c r="BP270" s="206">
        <f t="shared" si="215"/>
        <v>5.7306590257879659E-6</v>
      </c>
      <c r="BQ270" s="206">
        <f t="shared" si="215"/>
        <v>5.7306590257879659E-6</v>
      </c>
      <c r="BR270" s="206">
        <f t="shared" si="215"/>
        <v>5.7306590257879659E-6</v>
      </c>
      <c r="BS270" s="206">
        <f t="shared" si="215"/>
        <v>5.7306590257879659E-6</v>
      </c>
      <c r="BT270" s="206">
        <f t="shared" si="215"/>
        <v>5.7306590257879659E-6</v>
      </c>
      <c r="BU270" s="206">
        <f t="shared" si="215"/>
        <v>5.7306590257879659E-6</v>
      </c>
      <c r="BV270" s="206">
        <f t="shared" si="215"/>
        <v>5.7306590257879659E-6</v>
      </c>
    </row>
    <row r="271" spans="1:74" x14ac:dyDescent="0.25">
      <c r="A271" s="155"/>
      <c r="C271" s="150"/>
      <c r="D271" s="165"/>
      <c r="E271" s="165"/>
      <c r="F271" s="165"/>
      <c r="G271" s="165"/>
      <c r="H271" s="165"/>
      <c r="I271" s="165"/>
      <c r="J271" s="165"/>
      <c r="K271" s="165"/>
      <c r="L271" s="165"/>
      <c r="M271" s="165"/>
      <c r="N271" s="165"/>
      <c r="O271" s="165"/>
      <c r="P271" s="165"/>
      <c r="Q271" s="165"/>
      <c r="R271" s="165"/>
      <c r="S271" s="165"/>
      <c r="T271" s="165"/>
      <c r="U271" s="165"/>
      <c r="V271" s="165"/>
      <c r="W271" s="165"/>
      <c r="X271" s="165"/>
      <c r="Y271" s="165"/>
      <c r="Z271" s="165"/>
      <c r="AA271" s="165"/>
      <c r="AB271" s="165"/>
      <c r="AC271" s="165"/>
      <c r="AD271" s="165"/>
      <c r="AE271" s="165"/>
      <c r="AF271" s="165"/>
      <c r="AG271" s="165"/>
      <c r="AH271" s="165"/>
      <c r="AI271" s="165"/>
      <c r="AJ271" s="165"/>
      <c r="AK271" s="165"/>
      <c r="AL271" s="165"/>
      <c r="AM271" s="165"/>
      <c r="AN271" s="165"/>
      <c r="AO271" s="165"/>
      <c r="AP271" s="165"/>
      <c r="AQ271" s="165"/>
      <c r="AR271" s="165"/>
      <c r="AS271" s="165"/>
    </row>
    <row r="272" spans="1:74" x14ac:dyDescent="0.25">
      <c r="A272" s="155"/>
      <c r="C272" s="150"/>
      <c r="D272" s="165"/>
      <c r="E272" s="165"/>
      <c r="F272" s="165"/>
      <c r="G272" s="165"/>
      <c r="H272" s="165"/>
      <c r="I272" s="165"/>
      <c r="J272" s="165"/>
      <c r="K272" s="165"/>
      <c r="L272" s="165"/>
      <c r="M272" s="165"/>
      <c r="N272" s="165"/>
      <c r="O272" s="165"/>
      <c r="P272" s="165"/>
      <c r="Q272" s="165"/>
      <c r="R272" s="165"/>
      <c r="S272" s="165"/>
      <c r="T272" s="165"/>
      <c r="U272" s="165"/>
      <c r="V272" s="165"/>
      <c r="W272" s="165"/>
      <c r="X272" s="165"/>
      <c r="Y272" s="165"/>
      <c r="Z272" s="165"/>
      <c r="AA272" s="165"/>
      <c r="AB272" s="165"/>
      <c r="AC272" s="165"/>
      <c r="AD272" s="165"/>
      <c r="AE272" s="165"/>
      <c r="AF272" s="165"/>
      <c r="AG272" s="165"/>
      <c r="AH272" s="165"/>
      <c r="AI272" s="165"/>
      <c r="AJ272" s="165"/>
      <c r="AK272" s="165"/>
      <c r="AL272" s="165"/>
      <c r="AM272" s="165"/>
      <c r="AN272" s="165"/>
      <c r="AO272" s="165"/>
      <c r="AP272" s="165"/>
      <c r="AQ272" s="165"/>
      <c r="AR272" s="165"/>
      <c r="AS272" s="165"/>
    </row>
    <row r="273" spans="1:74" s="196" customFormat="1" x14ac:dyDescent="0.25">
      <c r="A273" s="194" t="s">
        <v>273</v>
      </c>
      <c r="B273" s="195"/>
      <c r="I273" s="195"/>
      <c r="J273" s="195"/>
      <c r="K273" s="195"/>
      <c r="L273" s="195"/>
      <c r="M273" s="195"/>
      <c r="N273" s="195"/>
      <c r="O273" s="195"/>
      <c r="P273" s="195"/>
      <c r="Q273" s="195"/>
      <c r="R273" s="195"/>
      <c r="S273" s="195"/>
      <c r="T273" s="195"/>
      <c r="U273" s="195"/>
      <c r="V273" s="195"/>
      <c r="W273" s="195"/>
      <c r="X273" s="195"/>
      <c r="Y273" s="195"/>
      <c r="Z273" s="195"/>
      <c r="AA273" s="195"/>
      <c r="AB273" s="195"/>
      <c r="AC273" s="195"/>
      <c r="AD273" s="195"/>
      <c r="AE273" s="195"/>
      <c r="AF273" s="195"/>
      <c r="AG273" s="195"/>
      <c r="AH273" s="195"/>
      <c r="AI273" s="195"/>
      <c r="AJ273" s="195"/>
      <c r="AK273" s="195"/>
      <c r="AL273" s="195"/>
      <c r="AM273" s="195"/>
      <c r="AN273" s="195"/>
      <c r="AO273" s="195"/>
      <c r="AP273" s="195"/>
      <c r="AQ273" s="195"/>
      <c r="AR273" s="195"/>
      <c r="AS273" s="195"/>
    </row>
    <row r="274" spans="1:74" s="196" customFormat="1" x14ac:dyDescent="0.25">
      <c r="A274" s="194"/>
      <c r="B274" s="194" t="s">
        <v>278</v>
      </c>
      <c r="I274" s="195"/>
      <c r="J274" s="195"/>
      <c r="K274" s="195"/>
      <c r="L274" s="195"/>
      <c r="M274" s="195"/>
      <c r="N274" s="195"/>
      <c r="O274" s="195"/>
      <c r="P274" s="195"/>
      <c r="Q274" s="195"/>
      <c r="R274" s="195"/>
      <c r="S274" s="195"/>
      <c r="T274" s="195"/>
      <c r="U274" s="195"/>
      <c r="V274" s="195"/>
      <c r="W274" s="195"/>
      <c r="X274" s="195"/>
      <c r="Y274" s="195"/>
      <c r="Z274" s="195"/>
      <c r="AA274" s="195"/>
      <c r="AB274" s="195"/>
      <c r="AC274" s="195"/>
      <c r="AD274" s="195"/>
      <c r="AE274" s="195"/>
      <c r="AF274" s="195"/>
      <c r="AG274" s="195"/>
      <c r="AH274" s="195"/>
      <c r="AI274" s="195"/>
      <c r="AJ274" s="195"/>
      <c r="AK274" s="195"/>
      <c r="AL274" s="195"/>
      <c r="AM274" s="195"/>
      <c r="AN274" s="195"/>
      <c r="AO274" s="195"/>
      <c r="AP274" s="195"/>
      <c r="AQ274" s="195"/>
      <c r="AR274" s="195"/>
      <c r="AS274" s="195"/>
    </row>
    <row r="275" spans="1:74" x14ac:dyDescent="0.25">
      <c r="A275" s="155" t="s">
        <v>206</v>
      </c>
      <c r="C275" s="150"/>
      <c r="D275" s="185">
        <f>D211*D$47</f>
        <v>1.8374432607688746E-3</v>
      </c>
      <c r="E275" s="185">
        <f t="shared" ref="E275:AR275" si="216">E211*E$47</f>
        <v>1.8374432607688746E-3</v>
      </c>
      <c r="F275" s="185">
        <f t="shared" si="216"/>
        <v>1.8374432607688746E-3</v>
      </c>
      <c r="G275" s="185">
        <f t="shared" si="216"/>
        <v>1.8374432607688746E-3</v>
      </c>
      <c r="H275" s="185">
        <f t="shared" si="216"/>
        <v>1.8374432607688746E-3</v>
      </c>
      <c r="I275" s="185">
        <f t="shared" si="216"/>
        <v>1.8374432607688746E-3</v>
      </c>
      <c r="J275" s="185">
        <f t="shared" si="216"/>
        <v>1.8372468827930176E-3</v>
      </c>
      <c r="K275" s="185">
        <f t="shared" si="216"/>
        <v>1.8377360486643744E-3</v>
      </c>
      <c r="L275" s="185">
        <f t="shared" si="216"/>
        <v>1.8370851010731225E-3</v>
      </c>
      <c r="M275" s="185">
        <f t="shared" si="216"/>
        <v>1.8382839116719242E-3</v>
      </c>
      <c r="N275" s="185">
        <f t="shared" si="216"/>
        <v>1.8374770039421816E-3</v>
      </c>
      <c r="O275" s="185">
        <f t="shared" si="216"/>
        <v>1.8375824785140005E-3</v>
      </c>
      <c r="P275" s="185">
        <f t="shared" si="216"/>
        <v>1.83787835110983E-3</v>
      </c>
      <c r="Q275" s="185">
        <f t="shared" si="216"/>
        <v>1.8375330396475775E-3</v>
      </c>
      <c r="R275" s="185">
        <f t="shared" si="216"/>
        <v>1.8379633401221997E-3</v>
      </c>
      <c r="S275" s="185">
        <f t="shared" si="216"/>
        <v>1.8384010840108399E-3</v>
      </c>
      <c r="T275" s="185">
        <f t="shared" si="216"/>
        <v>1.8375945945945946E-3</v>
      </c>
      <c r="U275" s="185">
        <f t="shared" si="216"/>
        <v>1.8376134889753568E-3</v>
      </c>
      <c r="V275" s="185">
        <f t="shared" si="216"/>
        <v>1.837767441860465E-3</v>
      </c>
      <c r="W275" s="185">
        <f t="shared" si="216"/>
        <v>1.838290718038529E-3</v>
      </c>
      <c r="X275" s="185">
        <f t="shared" si="216"/>
        <v>1.8379487179487181E-3</v>
      </c>
      <c r="Y275" s="185">
        <f t="shared" si="216"/>
        <v>1.8380645161290322E-3</v>
      </c>
      <c r="Z275" s="185">
        <f t="shared" si="216"/>
        <v>1.8368099246787769E-3</v>
      </c>
      <c r="AA275" s="185">
        <f t="shared" si="216"/>
        <v>1.8383087512291053E-3</v>
      </c>
      <c r="AB275" s="185">
        <f t="shared" si="216"/>
        <v>1.8382422074603988E-3</v>
      </c>
      <c r="AC275" s="185">
        <f t="shared" si="216"/>
        <v>1.8378204555605181E-3</v>
      </c>
      <c r="AD275" s="185">
        <f t="shared" si="216"/>
        <v>1.838129060199221E-3</v>
      </c>
      <c r="AE275" s="185">
        <f t="shared" si="216"/>
        <v>1.8375228957697341E-3</v>
      </c>
      <c r="AF275" s="185">
        <f t="shared" si="216"/>
        <v>1.8375228957697341E-3</v>
      </c>
      <c r="AG275" s="185">
        <f t="shared" si="216"/>
        <v>1.8375228957697341E-3</v>
      </c>
      <c r="AH275" s="185">
        <f t="shared" si="216"/>
        <v>1.8375228957697341E-3</v>
      </c>
      <c r="AI275" s="185">
        <f t="shared" si="216"/>
        <v>1.8375228957697341E-3</v>
      </c>
      <c r="AJ275" s="185">
        <f t="shared" si="216"/>
        <v>1.8375228957697341E-3</v>
      </c>
      <c r="AK275" s="185">
        <f t="shared" si="216"/>
        <v>1.8375228957697341E-3</v>
      </c>
      <c r="AL275" s="185">
        <f t="shared" si="216"/>
        <v>1.8375228957697341E-3</v>
      </c>
      <c r="AM275" s="185">
        <f t="shared" si="216"/>
        <v>1.8375228957697341E-3</v>
      </c>
      <c r="AN275" s="185">
        <f t="shared" si="216"/>
        <v>1.8375228957697341E-3</v>
      </c>
      <c r="AO275" s="185">
        <f t="shared" si="216"/>
        <v>1.8375228957697341E-3</v>
      </c>
      <c r="AP275" s="185">
        <f t="shared" si="216"/>
        <v>1.8375228957697341E-3</v>
      </c>
      <c r="AQ275" s="185">
        <f t="shared" si="216"/>
        <v>1.8375228957697341E-3</v>
      </c>
      <c r="AR275" s="185">
        <f t="shared" si="216"/>
        <v>1.8375228957697341E-3</v>
      </c>
      <c r="AS275" s="205">
        <f t="shared" ref="AS275:BV275" si="217">AR275</f>
        <v>1.8375228957697341E-3</v>
      </c>
      <c r="AT275" s="205">
        <f t="shared" si="217"/>
        <v>1.8375228957697341E-3</v>
      </c>
      <c r="AU275" s="205">
        <f t="shared" si="217"/>
        <v>1.8375228957697341E-3</v>
      </c>
      <c r="AV275" s="205">
        <f t="shared" si="217"/>
        <v>1.8375228957697341E-3</v>
      </c>
      <c r="AW275" s="205">
        <f t="shared" si="217"/>
        <v>1.8375228957697341E-3</v>
      </c>
      <c r="AX275" s="205">
        <f t="shared" si="217"/>
        <v>1.8375228957697341E-3</v>
      </c>
      <c r="AY275" s="205">
        <f t="shared" si="217"/>
        <v>1.8375228957697341E-3</v>
      </c>
      <c r="AZ275" s="205">
        <f t="shared" si="217"/>
        <v>1.8375228957697341E-3</v>
      </c>
      <c r="BA275" s="205">
        <f t="shared" si="217"/>
        <v>1.8375228957697341E-3</v>
      </c>
      <c r="BB275" s="205">
        <f t="shared" si="217"/>
        <v>1.8375228957697341E-3</v>
      </c>
      <c r="BC275" s="205">
        <f t="shared" si="217"/>
        <v>1.8375228957697341E-3</v>
      </c>
      <c r="BD275" s="205">
        <f t="shared" si="217"/>
        <v>1.8375228957697341E-3</v>
      </c>
      <c r="BE275" s="205">
        <f t="shared" si="217"/>
        <v>1.8375228957697341E-3</v>
      </c>
      <c r="BF275" s="205">
        <f t="shared" si="217"/>
        <v>1.8375228957697341E-3</v>
      </c>
      <c r="BG275" s="205">
        <f t="shared" si="217"/>
        <v>1.8375228957697341E-3</v>
      </c>
      <c r="BH275" s="205">
        <f t="shared" si="217"/>
        <v>1.8375228957697341E-3</v>
      </c>
      <c r="BI275" s="205">
        <f t="shared" si="217"/>
        <v>1.8375228957697341E-3</v>
      </c>
      <c r="BJ275" s="205">
        <f t="shared" si="217"/>
        <v>1.8375228957697341E-3</v>
      </c>
      <c r="BK275" s="205">
        <f t="shared" si="217"/>
        <v>1.8375228957697341E-3</v>
      </c>
      <c r="BL275" s="205">
        <f t="shared" si="217"/>
        <v>1.8375228957697341E-3</v>
      </c>
      <c r="BM275" s="205">
        <f t="shared" si="217"/>
        <v>1.8375228957697341E-3</v>
      </c>
      <c r="BN275" s="205">
        <f t="shared" si="217"/>
        <v>1.8375228957697341E-3</v>
      </c>
      <c r="BO275" s="205">
        <f t="shared" si="217"/>
        <v>1.8375228957697341E-3</v>
      </c>
      <c r="BP275" s="205">
        <f t="shared" si="217"/>
        <v>1.8375228957697341E-3</v>
      </c>
      <c r="BQ275" s="205">
        <f t="shared" si="217"/>
        <v>1.8375228957697341E-3</v>
      </c>
      <c r="BR275" s="205">
        <f t="shared" si="217"/>
        <v>1.8375228957697341E-3</v>
      </c>
      <c r="BS275" s="205">
        <f t="shared" si="217"/>
        <v>1.8375228957697341E-3</v>
      </c>
      <c r="BT275" s="205">
        <f t="shared" si="217"/>
        <v>1.8375228957697341E-3</v>
      </c>
      <c r="BU275" s="205">
        <f t="shared" si="217"/>
        <v>1.8375228957697341E-3</v>
      </c>
      <c r="BV275" s="205">
        <f t="shared" si="217"/>
        <v>1.8375228957697341E-3</v>
      </c>
    </row>
    <row r="276" spans="1:74" x14ac:dyDescent="0.25">
      <c r="A276" s="155" t="s">
        <v>208</v>
      </c>
      <c r="C276" s="150"/>
      <c r="D276" s="185">
        <f t="shared" ref="D276:AR276" si="218">D212*D$47</f>
        <v>2.2326043446690723E-5</v>
      </c>
      <c r="E276" s="185">
        <f t="shared" si="218"/>
        <v>2.2326043446690723E-5</v>
      </c>
      <c r="F276" s="185">
        <f t="shared" si="218"/>
        <v>2.2326043446690723E-5</v>
      </c>
      <c r="G276" s="185">
        <f t="shared" si="218"/>
        <v>2.2326043446690723E-5</v>
      </c>
      <c r="H276" s="185">
        <f t="shared" si="218"/>
        <v>2.2326043446690723E-5</v>
      </c>
      <c r="I276" s="185">
        <f t="shared" si="218"/>
        <v>2.2326043446690723E-5</v>
      </c>
      <c r="J276" s="185">
        <f t="shared" si="218"/>
        <v>2.2326098907781751E-5</v>
      </c>
      <c r="K276" s="185">
        <f t="shared" si="218"/>
        <v>2.2326054515287984E-5</v>
      </c>
      <c r="L276" s="185">
        <f t="shared" si="218"/>
        <v>2.2326065528380247E-5</v>
      </c>
      <c r="M276" s="185">
        <f t="shared" si="218"/>
        <v>2.2326228323699424E-5</v>
      </c>
      <c r="N276" s="185">
        <f t="shared" si="218"/>
        <v>2.232614987572422E-5</v>
      </c>
      <c r="O276" s="185">
        <f t="shared" si="218"/>
        <v>2.2326086428685893E-5</v>
      </c>
      <c r="P276" s="185">
        <f t="shared" si="218"/>
        <v>2.1711200947436848E-5</v>
      </c>
      <c r="Q276" s="185">
        <f t="shared" si="218"/>
        <v>2.1711190913871449E-5</v>
      </c>
      <c r="R276" s="185">
        <f t="shared" si="218"/>
        <v>2.1711240740433853E-5</v>
      </c>
      <c r="S276" s="185">
        <f t="shared" si="218"/>
        <v>2.1711122776776622E-5</v>
      </c>
      <c r="T276" s="185">
        <f t="shared" si="218"/>
        <v>2.1711195489586927E-5</v>
      </c>
      <c r="U276" s="185">
        <f t="shared" si="218"/>
        <v>2.1711138364435973E-5</v>
      </c>
      <c r="V276" s="185">
        <f t="shared" si="218"/>
        <v>2.1711206473557716E-5</v>
      </c>
      <c r="W276" s="185">
        <f t="shared" si="218"/>
        <v>2.1711190314292624E-5</v>
      </c>
      <c r="X276" s="185">
        <f t="shared" si="218"/>
        <v>2.1711126927639381E-5</v>
      </c>
      <c r="Y276" s="185">
        <f t="shared" si="218"/>
        <v>2.1711091303364506E-5</v>
      </c>
      <c r="Z276" s="185">
        <f t="shared" si="218"/>
        <v>2.1711265637586098E-5</v>
      </c>
      <c r="AA276" s="185">
        <f t="shared" si="218"/>
        <v>2.1711136402435556E-5</v>
      </c>
      <c r="AB276" s="185">
        <f t="shared" si="218"/>
        <v>2.1711182904699815E-5</v>
      </c>
      <c r="AC276" s="185">
        <f t="shared" si="218"/>
        <v>2.1711130566827362E-5</v>
      </c>
      <c r="AD276" s="185">
        <f t="shared" si="218"/>
        <v>2.1711123576358316E-5</v>
      </c>
      <c r="AE276" s="185">
        <f t="shared" si="218"/>
        <v>2.1711164860021941E-5</v>
      </c>
      <c r="AF276" s="185">
        <f t="shared" si="218"/>
        <v>2.1711164860021941E-5</v>
      </c>
      <c r="AG276" s="185">
        <f t="shared" si="218"/>
        <v>2.1711164860021941E-5</v>
      </c>
      <c r="AH276" s="185">
        <f t="shared" si="218"/>
        <v>2.1711164860021941E-5</v>
      </c>
      <c r="AI276" s="185">
        <f t="shared" si="218"/>
        <v>2.1711164860021941E-5</v>
      </c>
      <c r="AJ276" s="185">
        <f t="shared" si="218"/>
        <v>2.1711164860021941E-5</v>
      </c>
      <c r="AK276" s="185">
        <f t="shared" si="218"/>
        <v>2.1711164860021941E-5</v>
      </c>
      <c r="AL276" s="185">
        <f t="shared" si="218"/>
        <v>2.1711164860021941E-5</v>
      </c>
      <c r="AM276" s="185">
        <f t="shared" si="218"/>
        <v>2.1711164860021941E-5</v>
      </c>
      <c r="AN276" s="185">
        <f t="shared" si="218"/>
        <v>2.1711164860021941E-5</v>
      </c>
      <c r="AO276" s="185">
        <f t="shared" si="218"/>
        <v>2.1711164860021941E-5</v>
      </c>
      <c r="AP276" s="185">
        <f t="shared" si="218"/>
        <v>2.1711164860021941E-5</v>
      </c>
      <c r="AQ276" s="185">
        <f t="shared" si="218"/>
        <v>2.1711164860021941E-5</v>
      </c>
      <c r="AR276" s="185">
        <f t="shared" si="218"/>
        <v>2.1711164860021941E-5</v>
      </c>
      <c r="AS276" s="205">
        <f t="shared" ref="AS276:BV276" si="219">AR276</f>
        <v>2.1711164860021941E-5</v>
      </c>
      <c r="AT276" s="205">
        <f t="shared" si="219"/>
        <v>2.1711164860021941E-5</v>
      </c>
      <c r="AU276" s="205">
        <f t="shared" si="219"/>
        <v>2.1711164860021941E-5</v>
      </c>
      <c r="AV276" s="205">
        <f t="shared" si="219"/>
        <v>2.1711164860021941E-5</v>
      </c>
      <c r="AW276" s="205">
        <f t="shared" si="219"/>
        <v>2.1711164860021941E-5</v>
      </c>
      <c r="AX276" s="205">
        <f t="shared" si="219"/>
        <v>2.1711164860021941E-5</v>
      </c>
      <c r="AY276" s="205">
        <f t="shared" si="219"/>
        <v>2.1711164860021941E-5</v>
      </c>
      <c r="AZ276" s="205">
        <f t="shared" si="219"/>
        <v>2.1711164860021941E-5</v>
      </c>
      <c r="BA276" s="205">
        <f t="shared" si="219"/>
        <v>2.1711164860021941E-5</v>
      </c>
      <c r="BB276" s="205">
        <f t="shared" si="219"/>
        <v>2.1711164860021941E-5</v>
      </c>
      <c r="BC276" s="205">
        <f t="shared" si="219"/>
        <v>2.1711164860021941E-5</v>
      </c>
      <c r="BD276" s="205">
        <f t="shared" si="219"/>
        <v>2.1711164860021941E-5</v>
      </c>
      <c r="BE276" s="205">
        <f t="shared" si="219"/>
        <v>2.1711164860021941E-5</v>
      </c>
      <c r="BF276" s="205">
        <f t="shared" si="219"/>
        <v>2.1711164860021941E-5</v>
      </c>
      <c r="BG276" s="205">
        <f t="shared" si="219"/>
        <v>2.1711164860021941E-5</v>
      </c>
      <c r="BH276" s="205">
        <f t="shared" si="219"/>
        <v>2.1711164860021941E-5</v>
      </c>
      <c r="BI276" s="205">
        <f t="shared" si="219"/>
        <v>2.1711164860021941E-5</v>
      </c>
      <c r="BJ276" s="205">
        <f t="shared" si="219"/>
        <v>2.1711164860021941E-5</v>
      </c>
      <c r="BK276" s="205">
        <f t="shared" si="219"/>
        <v>2.1711164860021941E-5</v>
      </c>
      <c r="BL276" s="205">
        <f t="shared" si="219"/>
        <v>2.1711164860021941E-5</v>
      </c>
      <c r="BM276" s="205">
        <f t="shared" si="219"/>
        <v>2.1711164860021941E-5</v>
      </c>
      <c r="BN276" s="205">
        <f t="shared" si="219"/>
        <v>2.1711164860021941E-5</v>
      </c>
      <c r="BO276" s="205">
        <f t="shared" si="219"/>
        <v>2.1711164860021941E-5</v>
      </c>
      <c r="BP276" s="205">
        <f t="shared" si="219"/>
        <v>2.1711164860021941E-5</v>
      </c>
      <c r="BQ276" s="205">
        <f t="shared" si="219"/>
        <v>2.1711164860021941E-5</v>
      </c>
      <c r="BR276" s="205">
        <f t="shared" si="219"/>
        <v>2.1711164860021941E-5</v>
      </c>
      <c r="BS276" s="205">
        <f t="shared" si="219"/>
        <v>2.1711164860021941E-5</v>
      </c>
      <c r="BT276" s="205">
        <f t="shared" si="219"/>
        <v>2.1711164860021941E-5</v>
      </c>
      <c r="BU276" s="205">
        <f t="shared" si="219"/>
        <v>2.1711164860021941E-5</v>
      </c>
      <c r="BV276" s="205">
        <f t="shared" si="219"/>
        <v>2.1711164860021941E-5</v>
      </c>
    </row>
    <row r="277" spans="1:74" x14ac:dyDescent="0.25">
      <c r="A277" s="149" t="s">
        <v>209</v>
      </c>
      <c r="B277" s="150"/>
      <c r="C277" s="150"/>
      <c r="D277" s="185">
        <f t="shared" ref="D277:AR277" si="220">D213*D$47</f>
        <v>1.1175668630983885E-4</v>
      </c>
      <c r="E277" s="185">
        <f t="shared" si="220"/>
        <v>1.1175668630983885E-4</v>
      </c>
      <c r="F277" s="185">
        <f t="shared" si="220"/>
        <v>1.1175668630983885E-4</v>
      </c>
      <c r="G277" s="185">
        <f t="shared" si="220"/>
        <v>1.1175668630983885E-4</v>
      </c>
      <c r="H277" s="185">
        <f t="shared" si="220"/>
        <v>1.1175668630983885E-4</v>
      </c>
      <c r="I277" s="185">
        <f t="shared" si="220"/>
        <v>1.1175668630983885E-4</v>
      </c>
      <c r="J277" s="185">
        <f t="shared" si="220"/>
        <v>1.1175668630983885E-4</v>
      </c>
      <c r="K277" s="185">
        <f t="shared" si="220"/>
        <v>1.1175668630983885E-4</v>
      </c>
      <c r="L277" s="185">
        <f t="shared" si="220"/>
        <v>1.1175668630983885E-4</v>
      </c>
      <c r="M277" s="185">
        <f t="shared" si="220"/>
        <v>1.1175668630983885E-4</v>
      </c>
      <c r="N277" s="185">
        <f t="shared" si="220"/>
        <v>1.1175668630983885E-4</v>
      </c>
      <c r="O277" s="185">
        <f t="shared" si="220"/>
        <v>1.1175668630983885E-4</v>
      </c>
      <c r="P277" s="185">
        <f t="shared" si="220"/>
        <v>1.1175668630983885E-4</v>
      </c>
      <c r="Q277" s="185">
        <f t="shared" si="220"/>
        <v>1.1175668630983885E-4</v>
      </c>
      <c r="R277" s="185">
        <f t="shared" si="220"/>
        <v>1.1175668630983885E-4</v>
      </c>
      <c r="S277" s="185">
        <f t="shared" si="220"/>
        <v>1.1175668630983885E-4</v>
      </c>
      <c r="T277" s="185">
        <f t="shared" si="220"/>
        <v>1.1175668630983885E-4</v>
      </c>
      <c r="U277" s="185">
        <f t="shared" si="220"/>
        <v>1.1175668630983885E-4</v>
      </c>
      <c r="V277" s="185">
        <f t="shared" si="220"/>
        <v>1.1175668630983885E-4</v>
      </c>
      <c r="W277" s="185">
        <f t="shared" si="220"/>
        <v>1.1175668630983885E-4</v>
      </c>
      <c r="X277" s="185">
        <f t="shared" si="220"/>
        <v>1.1175668630983885E-4</v>
      </c>
      <c r="Y277" s="185">
        <f t="shared" si="220"/>
        <v>1.1175668630983885E-4</v>
      </c>
      <c r="Z277" s="185">
        <f t="shared" si="220"/>
        <v>1.1175668630983885E-4</v>
      </c>
      <c r="AA277" s="185">
        <f t="shared" si="220"/>
        <v>1.1175668630983885E-4</v>
      </c>
      <c r="AB277" s="185">
        <f t="shared" si="220"/>
        <v>1.1175668630983885E-4</v>
      </c>
      <c r="AC277" s="185">
        <f t="shared" si="220"/>
        <v>1.1175668630983885E-4</v>
      </c>
      <c r="AD277" s="185">
        <f t="shared" si="220"/>
        <v>1.1175668630983885E-4</v>
      </c>
      <c r="AE277" s="185">
        <f t="shared" si="220"/>
        <v>1.1175668630983885E-4</v>
      </c>
      <c r="AF277" s="185">
        <f t="shared" si="220"/>
        <v>1.1175668630983885E-4</v>
      </c>
      <c r="AG277" s="185">
        <f t="shared" si="220"/>
        <v>1.1175668630983885E-4</v>
      </c>
      <c r="AH277" s="185">
        <f t="shared" si="220"/>
        <v>1.1175668630983885E-4</v>
      </c>
      <c r="AI277" s="185">
        <f t="shared" si="220"/>
        <v>1.1175668630983885E-4</v>
      </c>
      <c r="AJ277" s="185">
        <f t="shared" si="220"/>
        <v>1.1175668630983885E-4</v>
      </c>
      <c r="AK277" s="185">
        <f t="shared" si="220"/>
        <v>1.1175668630983885E-4</v>
      </c>
      <c r="AL277" s="185">
        <f t="shared" si="220"/>
        <v>1.1175668630983885E-4</v>
      </c>
      <c r="AM277" s="185">
        <f t="shared" si="220"/>
        <v>1.1175668630983885E-4</v>
      </c>
      <c r="AN277" s="185">
        <f t="shared" si="220"/>
        <v>1.1175668630983885E-4</v>
      </c>
      <c r="AO277" s="185">
        <f t="shared" si="220"/>
        <v>1.1175668630983885E-4</v>
      </c>
      <c r="AP277" s="185">
        <f t="shared" si="220"/>
        <v>1.1175668630983885E-4</v>
      </c>
      <c r="AQ277" s="185">
        <f t="shared" si="220"/>
        <v>1.1175668630983885E-4</v>
      </c>
      <c r="AR277" s="185">
        <f t="shared" si="220"/>
        <v>1.1175668630983885E-4</v>
      </c>
      <c r="AS277" s="205">
        <f t="shared" ref="AS277:BV277" si="221">AR277</f>
        <v>1.1175668630983885E-4</v>
      </c>
      <c r="AT277" s="205">
        <f t="shared" si="221"/>
        <v>1.1175668630983885E-4</v>
      </c>
      <c r="AU277" s="205">
        <f t="shared" si="221"/>
        <v>1.1175668630983885E-4</v>
      </c>
      <c r="AV277" s="205">
        <f t="shared" si="221"/>
        <v>1.1175668630983885E-4</v>
      </c>
      <c r="AW277" s="205">
        <f t="shared" si="221"/>
        <v>1.1175668630983885E-4</v>
      </c>
      <c r="AX277" s="205">
        <f t="shared" si="221"/>
        <v>1.1175668630983885E-4</v>
      </c>
      <c r="AY277" s="205">
        <f t="shared" si="221"/>
        <v>1.1175668630983885E-4</v>
      </c>
      <c r="AZ277" s="205">
        <f t="shared" si="221"/>
        <v>1.1175668630983885E-4</v>
      </c>
      <c r="BA277" s="205">
        <f t="shared" si="221"/>
        <v>1.1175668630983885E-4</v>
      </c>
      <c r="BB277" s="205">
        <f t="shared" si="221"/>
        <v>1.1175668630983885E-4</v>
      </c>
      <c r="BC277" s="205">
        <f t="shared" si="221"/>
        <v>1.1175668630983885E-4</v>
      </c>
      <c r="BD277" s="205">
        <f t="shared" si="221"/>
        <v>1.1175668630983885E-4</v>
      </c>
      <c r="BE277" s="205">
        <f t="shared" si="221"/>
        <v>1.1175668630983885E-4</v>
      </c>
      <c r="BF277" s="205">
        <f t="shared" si="221"/>
        <v>1.1175668630983885E-4</v>
      </c>
      <c r="BG277" s="205">
        <f t="shared" si="221"/>
        <v>1.1175668630983885E-4</v>
      </c>
      <c r="BH277" s="205">
        <f t="shared" si="221"/>
        <v>1.1175668630983885E-4</v>
      </c>
      <c r="BI277" s="205">
        <f t="shared" si="221"/>
        <v>1.1175668630983885E-4</v>
      </c>
      <c r="BJ277" s="205">
        <f t="shared" si="221"/>
        <v>1.1175668630983885E-4</v>
      </c>
      <c r="BK277" s="205">
        <f t="shared" si="221"/>
        <v>1.1175668630983885E-4</v>
      </c>
      <c r="BL277" s="205">
        <f t="shared" si="221"/>
        <v>1.1175668630983885E-4</v>
      </c>
      <c r="BM277" s="205">
        <f t="shared" si="221"/>
        <v>1.1175668630983885E-4</v>
      </c>
      <c r="BN277" s="205">
        <f t="shared" si="221"/>
        <v>1.1175668630983885E-4</v>
      </c>
      <c r="BO277" s="205">
        <f t="shared" si="221"/>
        <v>1.1175668630983885E-4</v>
      </c>
      <c r="BP277" s="205">
        <f t="shared" si="221"/>
        <v>1.1175668630983885E-4</v>
      </c>
      <c r="BQ277" s="205">
        <f t="shared" si="221"/>
        <v>1.1175668630983885E-4</v>
      </c>
      <c r="BR277" s="205">
        <f t="shared" si="221"/>
        <v>1.1175668630983885E-4</v>
      </c>
      <c r="BS277" s="205">
        <f t="shared" si="221"/>
        <v>1.1175668630983885E-4</v>
      </c>
      <c r="BT277" s="205">
        <f t="shared" si="221"/>
        <v>1.1175668630983885E-4</v>
      </c>
      <c r="BU277" s="205">
        <f t="shared" si="221"/>
        <v>1.1175668630983885E-4</v>
      </c>
      <c r="BV277" s="205">
        <f t="shared" si="221"/>
        <v>1.1175668630983885E-4</v>
      </c>
    </row>
    <row r="278" spans="1:74" x14ac:dyDescent="0.25">
      <c r="A278" s="149" t="s">
        <v>211</v>
      </c>
      <c r="B278" s="150"/>
      <c r="C278" s="150"/>
      <c r="D278" s="185">
        <f t="shared" ref="D278:AR278" si="222">D214*D$47</f>
        <v>2.3628630943372945E-5</v>
      </c>
      <c r="E278" s="185">
        <f t="shared" si="222"/>
        <v>2.3628630943372945E-5</v>
      </c>
      <c r="F278" s="185">
        <f t="shared" si="222"/>
        <v>2.3628630943372945E-5</v>
      </c>
      <c r="G278" s="185">
        <f t="shared" si="222"/>
        <v>2.3628630943372945E-5</v>
      </c>
      <c r="H278" s="185">
        <f t="shared" si="222"/>
        <v>2.3628630943372945E-5</v>
      </c>
      <c r="I278" s="185">
        <f t="shared" si="222"/>
        <v>2.3628630943372945E-5</v>
      </c>
      <c r="J278" s="185">
        <f t="shared" si="222"/>
        <v>2.3628630943372945E-5</v>
      </c>
      <c r="K278" s="185">
        <f t="shared" si="222"/>
        <v>2.3628630943372945E-5</v>
      </c>
      <c r="L278" s="185">
        <f t="shared" si="222"/>
        <v>2.3628630943372945E-5</v>
      </c>
      <c r="M278" s="185">
        <f t="shared" si="222"/>
        <v>2.3628630943372945E-5</v>
      </c>
      <c r="N278" s="185">
        <f t="shared" si="222"/>
        <v>2.3628630943372945E-5</v>
      </c>
      <c r="O278" s="185">
        <f t="shared" si="222"/>
        <v>2.3628630943372945E-5</v>
      </c>
      <c r="P278" s="185">
        <f t="shared" si="222"/>
        <v>2.3628630943372945E-5</v>
      </c>
      <c r="Q278" s="185">
        <f t="shared" si="222"/>
        <v>2.3628630943372945E-5</v>
      </c>
      <c r="R278" s="185">
        <f t="shared" si="222"/>
        <v>2.3628630943372945E-5</v>
      </c>
      <c r="S278" s="185">
        <f t="shared" si="222"/>
        <v>2.3628630943372945E-5</v>
      </c>
      <c r="T278" s="185">
        <f t="shared" si="222"/>
        <v>2.3628630943372945E-5</v>
      </c>
      <c r="U278" s="185">
        <f t="shared" si="222"/>
        <v>2.3628630943372945E-5</v>
      </c>
      <c r="V278" s="185">
        <f t="shared" si="222"/>
        <v>2.3628630943372945E-5</v>
      </c>
      <c r="W278" s="185">
        <f t="shared" si="222"/>
        <v>2.3628630943372945E-5</v>
      </c>
      <c r="X278" s="185">
        <f t="shared" si="222"/>
        <v>2.3628630943372945E-5</v>
      </c>
      <c r="Y278" s="185">
        <f t="shared" si="222"/>
        <v>2.3628630943372945E-5</v>
      </c>
      <c r="Z278" s="185">
        <f t="shared" si="222"/>
        <v>2.3628757272769816E-5</v>
      </c>
      <c r="AA278" s="185">
        <f t="shared" si="222"/>
        <v>2.3628757272769816E-5</v>
      </c>
      <c r="AB278" s="185">
        <f t="shared" si="222"/>
        <v>2.3628757272769816E-5</v>
      </c>
      <c r="AC278" s="185">
        <f t="shared" si="222"/>
        <v>2.3628757272769816E-5</v>
      </c>
      <c r="AD278" s="185">
        <f t="shared" si="222"/>
        <v>2.3628224470111049E-5</v>
      </c>
      <c r="AE278" s="185">
        <f t="shared" si="222"/>
        <v>2.3628224470111049E-5</v>
      </c>
      <c r="AF278" s="185">
        <f t="shared" si="222"/>
        <v>2.3628224470111049E-5</v>
      </c>
      <c r="AG278" s="185">
        <f t="shared" si="222"/>
        <v>2.3628224470111049E-5</v>
      </c>
      <c r="AH278" s="185">
        <f t="shared" si="222"/>
        <v>2.3628224470111049E-5</v>
      </c>
      <c r="AI278" s="185">
        <f t="shared" si="222"/>
        <v>2.3628224470111049E-5</v>
      </c>
      <c r="AJ278" s="185">
        <f t="shared" si="222"/>
        <v>2.3628224470111049E-5</v>
      </c>
      <c r="AK278" s="185">
        <f t="shared" si="222"/>
        <v>2.3628224470111049E-5</v>
      </c>
      <c r="AL278" s="185">
        <f t="shared" si="222"/>
        <v>2.3628224470111049E-5</v>
      </c>
      <c r="AM278" s="185">
        <f t="shared" si="222"/>
        <v>2.3628224470111049E-5</v>
      </c>
      <c r="AN278" s="185">
        <f t="shared" si="222"/>
        <v>2.3628224470111049E-5</v>
      </c>
      <c r="AO278" s="185">
        <f t="shared" si="222"/>
        <v>2.3628224470111049E-5</v>
      </c>
      <c r="AP278" s="185">
        <f t="shared" si="222"/>
        <v>2.3628224470111049E-5</v>
      </c>
      <c r="AQ278" s="185">
        <f t="shared" si="222"/>
        <v>2.3628224470111049E-5</v>
      </c>
      <c r="AR278" s="185">
        <f t="shared" si="222"/>
        <v>2.3628224470111049E-5</v>
      </c>
      <c r="AS278" s="205">
        <f t="shared" ref="AS278:BV278" si="223">AR278</f>
        <v>2.3628224470111049E-5</v>
      </c>
      <c r="AT278" s="205">
        <f t="shared" si="223"/>
        <v>2.3628224470111049E-5</v>
      </c>
      <c r="AU278" s="205">
        <f t="shared" si="223"/>
        <v>2.3628224470111049E-5</v>
      </c>
      <c r="AV278" s="205">
        <f t="shared" si="223"/>
        <v>2.3628224470111049E-5</v>
      </c>
      <c r="AW278" s="205">
        <f t="shared" si="223"/>
        <v>2.3628224470111049E-5</v>
      </c>
      <c r="AX278" s="205">
        <f t="shared" si="223"/>
        <v>2.3628224470111049E-5</v>
      </c>
      <c r="AY278" s="205">
        <f t="shared" si="223"/>
        <v>2.3628224470111049E-5</v>
      </c>
      <c r="AZ278" s="205">
        <f t="shared" si="223"/>
        <v>2.3628224470111049E-5</v>
      </c>
      <c r="BA278" s="205">
        <f t="shared" si="223"/>
        <v>2.3628224470111049E-5</v>
      </c>
      <c r="BB278" s="205">
        <f t="shared" si="223"/>
        <v>2.3628224470111049E-5</v>
      </c>
      <c r="BC278" s="205">
        <f t="shared" si="223"/>
        <v>2.3628224470111049E-5</v>
      </c>
      <c r="BD278" s="205">
        <f t="shared" si="223"/>
        <v>2.3628224470111049E-5</v>
      </c>
      <c r="BE278" s="205">
        <f t="shared" si="223"/>
        <v>2.3628224470111049E-5</v>
      </c>
      <c r="BF278" s="205">
        <f t="shared" si="223"/>
        <v>2.3628224470111049E-5</v>
      </c>
      <c r="BG278" s="205">
        <f t="shared" si="223"/>
        <v>2.3628224470111049E-5</v>
      </c>
      <c r="BH278" s="205">
        <f t="shared" si="223"/>
        <v>2.3628224470111049E-5</v>
      </c>
      <c r="BI278" s="205">
        <f t="shared" si="223"/>
        <v>2.3628224470111049E-5</v>
      </c>
      <c r="BJ278" s="205">
        <f t="shared" si="223"/>
        <v>2.3628224470111049E-5</v>
      </c>
      <c r="BK278" s="205">
        <f t="shared" si="223"/>
        <v>2.3628224470111049E-5</v>
      </c>
      <c r="BL278" s="205">
        <f t="shared" si="223"/>
        <v>2.3628224470111049E-5</v>
      </c>
      <c r="BM278" s="205">
        <f t="shared" si="223"/>
        <v>2.3628224470111049E-5</v>
      </c>
      <c r="BN278" s="205">
        <f t="shared" si="223"/>
        <v>2.3628224470111049E-5</v>
      </c>
      <c r="BO278" s="205">
        <f t="shared" si="223"/>
        <v>2.3628224470111049E-5</v>
      </c>
      <c r="BP278" s="205">
        <f t="shared" si="223"/>
        <v>2.3628224470111049E-5</v>
      </c>
      <c r="BQ278" s="205">
        <f t="shared" si="223"/>
        <v>2.3628224470111049E-5</v>
      </c>
      <c r="BR278" s="205">
        <f t="shared" si="223"/>
        <v>2.3628224470111049E-5</v>
      </c>
      <c r="BS278" s="205">
        <f t="shared" si="223"/>
        <v>2.3628224470111049E-5</v>
      </c>
      <c r="BT278" s="205">
        <f t="shared" si="223"/>
        <v>2.3628224470111049E-5</v>
      </c>
      <c r="BU278" s="205">
        <f t="shared" si="223"/>
        <v>2.3628224470111049E-5</v>
      </c>
      <c r="BV278" s="205">
        <f t="shared" si="223"/>
        <v>2.3628224470111049E-5</v>
      </c>
    </row>
    <row r="279" spans="1:74" x14ac:dyDescent="0.25">
      <c r="A279" s="155" t="s">
        <v>212</v>
      </c>
      <c r="C279" s="150"/>
      <c r="D279" s="185">
        <f t="shared" ref="D279:AR279" si="224">D215*D$47</f>
        <v>3.0397498065265409E-5</v>
      </c>
      <c r="E279" s="185">
        <f t="shared" si="224"/>
        <v>3.0353046655203686E-5</v>
      </c>
      <c r="F279" s="185">
        <f t="shared" si="224"/>
        <v>3.0308725061260213E-5</v>
      </c>
      <c r="G279" s="185">
        <f t="shared" si="224"/>
        <v>3.0264532715590709E-5</v>
      </c>
      <c r="H279" s="185">
        <f t="shared" si="224"/>
        <v>3.0220469053657906E-5</v>
      </c>
      <c r="I279" s="185">
        <f t="shared" si="224"/>
        <v>3.0176533514207507E-5</v>
      </c>
      <c r="J279" s="185">
        <f t="shared" si="224"/>
        <v>3.0941416184971096E-5</v>
      </c>
      <c r="K279" s="185">
        <f t="shared" si="224"/>
        <v>3.13060064516129E-5</v>
      </c>
      <c r="L279" s="185">
        <f t="shared" si="224"/>
        <v>3.0064305634281825E-5</v>
      </c>
      <c r="M279" s="185">
        <f t="shared" si="224"/>
        <v>3.0496490992202205E-5</v>
      </c>
      <c r="N279" s="185">
        <f t="shared" si="224"/>
        <v>3.0790507797370296E-5</v>
      </c>
      <c r="O279" s="185">
        <f t="shared" si="224"/>
        <v>3.0739367026558768E-5</v>
      </c>
      <c r="P279" s="185">
        <f t="shared" si="224"/>
        <v>3.0804203656911537E-5</v>
      </c>
      <c r="Q279" s="185">
        <f t="shared" si="224"/>
        <v>3.1520130194672429E-5</v>
      </c>
      <c r="R279" s="185">
        <f t="shared" si="224"/>
        <v>3.1774052579973508E-5</v>
      </c>
      <c r="S279" s="185">
        <f t="shared" si="224"/>
        <v>3.2227118251513753E-5</v>
      </c>
      <c r="T279" s="185">
        <f t="shared" si="224"/>
        <v>3.2355609586634565E-5</v>
      </c>
      <c r="U279" s="185">
        <f t="shared" si="224"/>
        <v>3.2901160305946119E-5</v>
      </c>
      <c r="V279" s="185">
        <f t="shared" si="224"/>
        <v>3.2503748834015226E-5</v>
      </c>
      <c r="W279" s="185">
        <f t="shared" si="224"/>
        <v>3.1351447067992739E-5</v>
      </c>
      <c r="X279" s="185">
        <f t="shared" si="224"/>
        <v>3.1359292917827007E-5</v>
      </c>
      <c r="Y279" s="185">
        <f t="shared" si="224"/>
        <v>3.2099493019609661E-5</v>
      </c>
      <c r="Z279" s="185">
        <f t="shared" si="224"/>
        <v>3.1507917159657508E-5</v>
      </c>
      <c r="AA279" s="185">
        <f t="shared" si="224"/>
        <v>3.1092409089582664E-5</v>
      </c>
      <c r="AB279" s="185">
        <f t="shared" si="224"/>
        <v>3.1137121550441936E-5</v>
      </c>
      <c r="AC279" s="185">
        <f t="shared" si="224"/>
        <v>3.1050021883508436E-5</v>
      </c>
      <c r="AD279" s="185">
        <f t="shared" si="224"/>
        <v>3.0924007036626223E-5</v>
      </c>
      <c r="AE279" s="185">
        <f t="shared" si="224"/>
        <v>3.1362437925903767E-5</v>
      </c>
      <c r="AF279" s="185">
        <f t="shared" si="224"/>
        <v>3.1362437925903767E-5</v>
      </c>
      <c r="AG279" s="185">
        <f t="shared" si="224"/>
        <v>3.1362437925903767E-5</v>
      </c>
      <c r="AH279" s="185">
        <f t="shared" si="224"/>
        <v>3.1362437925903767E-5</v>
      </c>
      <c r="AI279" s="185">
        <f t="shared" si="224"/>
        <v>3.1362437925903767E-5</v>
      </c>
      <c r="AJ279" s="185">
        <f t="shared" si="224"/>
        <v>3.1362437925903767E-5</v>
      </c>
      <c r="AK279" s="185">
        <f t="shared" si="224"/>
        <v>3.1362437925903767E-5</v>
      </c>
      <c r="AL279" s="185">
        <f t="shared" si="224"/>
        <v>3.1362437925903767E-5</v>
      </c>
      <c r="AM279" s="185">
        <f t="shared" si="224"/>
        <v>3.1362437925903767E-5</v>
      </c>
      <c r="AN279" s="185">
        <f t="shared" si="224"/>
        <v>3.1362437925903767E-5</v>
      </c>
      <c r="AO279" s="185">
        <f t="shared" si="224"/>
        <v>3.1362437925903767E-5</v>
      </c>
      <c r="AP279" s="185">
        <f t="shared" si="224"/>
        <v>3.1362437925903767E-5</v>
      </c>
      <c r="AQ279" s="185">
        <f t="shared" si="224"/>
        <v>3.1362437925903767E-5</v>
      </c>
      <c r="AR279" s="185">
        <f t="shared" si="224"/>
        <v>3.1362437925903767E-5</v>
      </c>
      <c r="AS279" s="205">
        <f t="shared" ref="AS279:BV279" si="225">AR279</f>
        <v>3.1362437925903767E-5</v>
      </c>
      <c r="AT279" s="205">
        <f t="shared" si="225"/>
        <v>3.1362437925903767E-5</v>
      </c>
      <c r="AU279" s="205">
        <f t="shared" si="225"/>
        <v>3.1362437925903767E-5</v>
      </c>
      <c r="AV279" s="205">
        <f t="shared" si="225"/>
        <v>3.1362437925903767E-5</v>
      </c>
      <c r="AW279" s="205">
        <f t="shared" si="225"/>
        <v>3.1362437925903767E-5</v>
      </c>
      <c r="AX279" s="205">
        <f t="shared" si="225"/>
        <v>3.1362437925903767E-5</v>
      </c>
      <c r="AY279" s="205">
        <f t="shared" si="225"/>
        <v>3.1362437925903767E-5</v>
      </c>
      <c r="AZ279" s="205">
        <f t="shared" si="225"/>
        <v>3.1362437925903767E-5</v>
      </c>
      <c r="BA279" s="205">
        <f t="shared" si="225"/>
        <v>3.1362437925903767E-5</v>
      </c>
      <c r="BB279" s="205">
        <f t="shared" si="225"/>
        <v>3.1362437925903767E-5</v>
      </c>
      <c r="BC279" s="205">
        <f t="shared" si="225"/>
        <v>3.1362437925903767E-5</v>
      </c>
      <c r="BD279" s="205">
        <f t="shared" si="225"/>
        <v>3.1362437925903767E-5</v>
      </c>
      <c r="BE279" s="205">
        <f t="shared" si="225"/>
        <v>3.1362437925903767E-5</v>
      </c>
      <c r="BF279" s="205">
        <f t="shared" si="225"/>
        <v>3.1362437925903767E-5</v>
      </c>
      <c r="BG279" s="205">
        <f t="shared" si="225"/>
        <v>3.1362437925903767E-5</v>
      </c>
      <c r="BH279" s="205">
        <f t="shared" si="225"/>
        <v>3.1362437925903767E-5</v>
      </c>
      <c r="BI279" s="205">
        <f t="shared" si="225"/>
        <v>3.1362437925903767E-5</v>
      </c>
      <c r="BJ279" s="205">
        <f t="shared" si="225"/>
        <v>3.1362437925903767E-5</v>
      </c>
      <c r="BK279" s="205">
        <f t="shared" si="225"/>
        <v>3.1362437925903767E-5</v>
      </c>
      <c r="BL279" s="205">
        <f t="shared" si="225"/>
        <v>3.1362437925903767E-5</v>
      </c>
      <c r="BM279" s="205">
        <f t="shared" si="225"/>
        <v>3.1362437925903767E-5</v>
      </c>
      <c r="BN279" s="205">
        <f t="shared" si="225"/>
        <v>3.1362437925903767E-5</v>
      </c>
      <c r="BO279" s="205">
        <f t="shared" si="225"/>
        <v>3.1362437925903767E-5</v>
      </c>
      <c r="BP279" s="205">
        <f t="shared" si="225"/>
        <v>3.1362437925903767E-5</v>
      </c>
      <c r="BQ279" s="205">
        <f t="shared" si="225"/>
        <v>3.1362437925903767E-5</v>
      </c>
      <c r="BR279" s="205">
        <f t="shared" si="225"/>
        <v>3.1362437925903767E-5</v>
      </c>
      <c r="BS279" s="205">
        <f t="shared" si="225"/>
        <v>3.1362437925903767E-5</v>
      </c>
      <c r="BT279" s="205">
        <f t="shared" si="225"/>
        <v>3.1362437925903767E-5</v>
      </c>
      <c r="BU279" s="205">
        <f t="shared" si="225"/>
        <v>3.1362437925903767E-5</v>
      </c>
      <c r="BV279" s="205">
        <f t="shared" si="225"/>
        <v>3.1362437925903767E-5</v>
      </c>
    </row>
    <row r="280" spans="1:74" x14ac:dyDescent="0.25">
      <c r="A280" s="155" t="s">
        <v>214</v>
      </c>
      <c r="C280" s="150"/>
      <c r="D280" s="185">
        <f t="shared" ref="D280:AR280" si="226">D216*D$47</f>
        <v>2.9136316476076387E-5</v>
      </c>
      <c r="E280" s="185">
        <f t="shared" si="226"/>
        <v>2.9136316527549356E-5</v>
      </c>
      <c r="F280" s="185">
        <f t="shared" si="226"/>
        <v>2.9136316579022322E-5</v>
      </c>
      <c r="G280" s="185">
        <f t="shared" si="226"/>
        <v>2.9136316630495291E-5</v>
      </c>
      <c r="H280" s="185">
        <f t="shared" si="226"/>
        <v>2.9136316681968257E-5</v>
      </c>
      <c r="I280" s="185">
        <f t="shared" si="226"/>
        <v>2.9136316733441226E-5</v>
      </c>
      <c r="J280" s="185">
        <f t="shared" si="226"/>
        <v>2.9136316430082397E-5</v>
      </c>
      <c r="K280" s="185">
        <f t="shared" si="226"/>
        <v>2.9136316444617888E-5</v>
      </c>
      <c r="L280" s="185">
        <f t="shared" si="226"/>
        <v>2.9136316392544793E-5</v>
      </c>
      <c r="M280" s="185">
        <f t="shared" si="226"/>
        <v>2.9136316215201542E-5</v>
      </c>
      <c r="N280" s="185">
        <f t="shared" si="226"/>
        <v>2.9136316094884449E-5</v>
      </c>
      <c r="O280" s="185">
        <f t="shared" si="226"/>
        <v>2.9136316382514351E-5</v>
      </c>
      <c r="P280" s="185">
        <f t="shared" si="226"/>
        <v>2.913631632153426E-5</v>
      </c>
      <c r="Q280" s="185">
        <f t="shared" si="226"/>
        <v>2.9136316390850019E-5</v>
      </c>
      <c r="R280" s="185">
        <f t="shared" si="226"/>
        <v>2.9136316436985054E-5</v>
      </c>
      <c r="S280" s="185">
        <f t="shared" si="226"/>
        <v>2.9136316274401624E-5</v>
      </c>
      <c r="T280" s="185">
        <f t="shared" si="226"/>
        <v>2.9136319579881506E-5</v>
      </c>
      <c r="U280" s="185">
        <f t="shared" si="226"/>
        <v>2.913632007863599E-5</v>
      </c>
      <c r="V280" s="185">
        <f t="shared" si="226"/>
        <v>2.913631814080266E-5</v>
      </c>
      <c r="W280" s="185">
        <f t="shared" si="226"/>
        <v>2.9136314239270185E-5</v>
      </c>
      <c r="X280" s="185">
        <f t="shared" si="226"/>
        <v>2.9136321338732597E-5</v>
      </c>
      <c r="Y280" s="185">
        <f t="shared" si="226"/>
        <v>2.9136319617032737E-5</v>
      </c>
      <c r="Z280" s="185">
        <f t="shared" si="226"/>
        <v>2.9136317273487735E-5</v>
      </c>
      <c r="AA280" s="185">
        <f t="shared" si="226"/>
        <v>2.9136311163031766E-5</v>
      </c>
      <c r="AB280" s="185">
        <f t="shared" si="226"/>
        <v>2.9136313904998383E-5</v>
      </c>
      <c r="AC280" s="185">
        <f t="shared" si="226"/>
        <v>2.9136317209340931E-5</v>
      </c>
      <c r="AD280" s="185">
        <f t="shared" si="226"/>
        <v>2.9136311632349612E-5</v>
      </c>
      <c r="AE280" s="185">
        <f t="shared" si="226"/>
        <v>2.9136318778423485E-5</v>
      </c>
      <c r="AF280" s="185">
        <f t="shared" si="226"/>
        <v>2.9136318778423485E-5</v>
      </c>
      <c r="AG280" s="185">
        <f t="shared" si="226"/>
        <v>2.9136318778423485E-5</v>
      </c>
      <c r="AH280" s="185">
        <f t="shared" si="226"/>
        <v>2.9136318778423485E-5</v>
      </c>
      <c r="AI280" s="185">
        <f t="shared" si="226"/>
        <v>2.9136318778423485E-5</v>
      </c>
      <c r="AJ280" s="185">
        <f t="shared" si="226"/>
        <v>2.9136318778423485E-5</v>
      </c>
      <c r="AK280" s="185">
        <f t="shared" si="226"/>
        <v>2.9136318778423485E-5</v>
      </c>
      <c r="AL280" s="185">
        <f t="shared" si="226"/>
        <v>2.9136318778423485E-5</v>
      </c>
      <c r="AM280" s="185">
        <f t="shared" si="226"/>
        <v>2.9136318778423485E-5</v>
      </c>
      <c r="AN280" s="185">
        <f t="shared" si="226"/>
        <v>2.9136318778423485E-5</v>
      </c>
      <c r="AO280" s="185">
        <f t="shared" si="226"/>
        <v>2.9136318778423485E-5</v>
      </c>
      <c r="AP280" s="185">
        <f t="shared" si="226"/>
        <v>2.9136318778423485E-5</v>
      </c>
      <c r="AQ280" s="185">
        <f t="shared" si="226"/>
        <v>2.9136318778423485E-5</v>
      </c>
      <c r="AR280" s="185">
        <f t="shared" si="226"/>
        <v>2.9136318778423485E-5</v>
      </c>
      <c r="AS280" s="205">
        <f t="shared" ref="AS280:BV280" si="227">AR280</f>
        <v>2.9136318778423485E-5</v>
      </c>
      <c r="AT280" s="205">
        <f t="shared" si="227"/>
        <v>2.9136318778423485E-5</v>
      </c>
      <c r="AU280" s="205">
        <f t="shared" si="227"/>
        <v>2.9136318778423485E-5</v>
      </c>
      <c r="AV280" s="205">
        <f t="shared" si="227"/>
        <v>2.9136318778423485E-5</v>
      </c>
      <c r="AW280" s="205">
        <f t="shared" si="227"/>
        <v>2.9136318778423485E-5</v>
      </c>
      <c r="AX280" s="205">
        <f t="shared" si="227"/>
        <v>2.9136318778423485E-5</v>
      </c>
      <c r="AY280" s="205">
        <f t="shared" si="227"/>
        <v>2.9136318778423485E-5</v>
      </c>
      <c r="AZ280" s="205">
        <f t="shared" si="227"/>
        <v>2.9136318778423485E-5</v>
      </c>
      <c r="BA280" s="205">
        <f t="shared" si="227"/>
        <v>2.9136318778423485E-5</v>
      </c>
      <c r="BB280" s="205">
        <f t="shared" si="227"/>
        <v>2.9136318778423485E-5</v>
      </c>
      <c r="BC280" s="205">
        <f t="shared" si="227"/>
        <v>2.9136318778423485E-5</v>
      </c>
      <c r="BD280" s="205">
        <f t="shared" si="227"/>
        <v>2.9136318778423485E-5</v>
      </c>
      <c r="BE280" s="205">
        <f t="shared" si="227"/>
        <v>2.9136318778423485E-5</v>
      </c>
      <c r="BF280" s="205">
        <f t="shared" si="227"/>
        <v>2.9136318778423485E-5</v>
      </c>
      <c r="BG280" s="205">
        <f t="shared" si="227"/>
        <v>2.9136318778423485E-5</v>
      </c>
      <c r="BH280" s="205">
        <f t="shared" si="227"/>
        <v>2.9136318778423485E-5</v>
      </c>
      <c r="BI280" s="205">
        <f t="shared" si="227"/>
        <v>2.9136318778423485E-5</v>
      </c>
      <c r="BJ280" s="205">
        <f t="shared" si="227"/>
        <v>2.9136318778423485E-5</v>
      </c>
      <c r="BK280" s="205">
        <f t="shared" si="227"/>
        <v>2.9136318778423485E-5</v>
      </c>
      <c r="BL280" s="205">
        <f t="shared" si="227"/>
        <v>2.9136318778423485E-5</v>
      </c>
      <c r="BM280" s="205">
        <f t="shared" si="227"/>
        <v>2.9136318778423485E-5</v>
      </c>
      <c r="BN280" s="205">
        <f t="shared" si="227"/>
        <v>2.9136318778423485E-5</v>
      </c>
      <c r="BO280" s="205">
        <f t="shared" si="227"/>
        <v>2.9136318778423485E-5</v>
      </c>
      <c r="BP280" s="205">
        <f t="shared" si="227"/>
        <v>2.9136318778423485E-5</v>
      </c>
      <c r="BQ280" s="205">
        <f t="shared" si="227"/>
        <v>2.9136318778423485E-5</v>
      </c>
      <c r="BR280" s="205">
        <f t="shared" si="227"/>
        <v>2.9136318778423485E-5</v>
      </c>
      <c r="BS280" s="205">
        <f t="shared" si="227"/>
        <v>2.9136318778423485E-5</v>
      </c>
      <c r="BT280" s="205">
        <f t="shared" si="227"/>
        <v>2.9136318778423485E-5</v>
      </c>
      <c r="BU280" s="205">
        <f t="shared" si="227"/>
        <v>2.9136318778423485E-5</v>
      </c>
      <c r="BV280" s="205">
        <f t="shared" si="227"/>
        <v>2.9136318778423485E-5</v>
      </c>
    </row>
    <row r="281" spans="1:74" x14ac:dyDescent="0.25">
      <c r="A281" s="149" t="s">
        <v>215</v>
      </c>
      <c r="B281" s="150"/>
      <c r="C281" s="150"/>
      <c r="D281" s="185">
        <f t="shared" ref="D281:AR281" si="228">D217*D$47</f>
        <v>7.5539568600920088E-5</v>
      </c>
      <c r="E281" s="185">
        <f t="shared" si="228"/>
        <v>7.5539568690668785E-5</v>
      </c>
      <c r="F281" s="185">
        <f t="shared" si="228"/>
        <v>7.5539568780417482E-5</v>
      </c>
      <c r="G281" s="185">
        <f t="shared" si="228"/>
        <v>7.5539568870166179E-5</v>
      </c>
      <c r="H281" s="185">
        <f t="shared" si="228"/>
        <v>7.5539568959914877E-5</v>
      </c>
      <c r="I281" s="185">
        <f t="shared" si="228"/>
        <v>7.5539569049663588E-5</v>
      </c>
      <c r="J281" s="185">
        <f t="shared" si="228"/>
        <v>7.5539566959364435E-5</v>
      </c>
      <c r="K281" s="185">
        <f t="shared" si="228"/>
        <v>7.5539567619222075E-5</v>
      </c>
      <c r="L281" s="185">
        <f t="shared" si="228"/>
        <v>7.2351419988604372E-5</v>
      </c>
      <c r="M281" s="185">
        <f t="shared" si="228"/>
        <v>7.2491908059125378E-5</v>
      </c>
      <c r="N281" s="185">
        <f t="shared" si="228"/>
        <v>7.2491909090205561E-5</v>
      </c>
      <c r="O281" s="185">
        <f t="shared" si="228"/>
        <v>7.2491909189027092E-5</v>
      </c>
      <c r="P281" s="185">
        <f t="shared" si="228"/>
        <v>7.2491908926267402E-5</v>
      </c>
      <c r="Q281" s="185">
        <f t="shared" si="228"/>
        <v>7.2491909417516859E-5</v>
      </c>
      <c r="R281" s="185">
        <f t="shared" si="228"/>
        <v>7.2491909082715418E-5</v>
      </c>
      <c r="S281" s="185">
        <f t="shared" si="228"/>
        <v>7.2491909521157168E-5</v>
      </c>
      <c r="T281" s="185">
        <f t="shared" si="228"/>
        <v>7.2491920707871185E-5</v>
      </c>
      <c r="U281" s="185">
        <f t="shared" si="228"/>
        <v>7.249193193296421E-5</v>
      </c>
      <c r="V281" s="185">
        <f t="shared" si="228"/>
        <v>7.2491924224218825E-5</v>
      </c>
      <c r="W281" s="185">
        <f t="shared" si="228"/>
        <v>7.2491922159283417E-5</v>
      </c>
      <c r="X281" s="185">
        <f t="shared" si="228"/>
        <v>7.2491931806978387E-5</v>
      </c>
      <c r="Y281" s="185">
        <f t="shared" si="228"/>
        <v>7.2491914227608501E-5</v>
      </c>
      <c r="Z281" s="185">
        <f t="shared" si="228"/>
        <v>7.2491925586123921E-5</v>
      </c>
      <c r="AA281" s="185">
        <f t="shared" si="228"/>
        <v>7.2491892117631498E-5</v>
      </c>
      <c r="AB281" s="185">
        <f t="shared" si="228"/>
        <v>7.2487305647370693E-5</v>
      </c>
      <c r="AC281" s="185">
        <f t="shared" si="228"/>
        <v>7.2487293594872005E-5</v>
      </c>
      <c r="AD281" s="185">
        <f t="shared" si="228"/>
        <v>7.2487317144627385E-5</v>
      </c>
      <c r="AE281" s="185">
        <f t="shared" si="228"/>
        <v>7.2487317144627385E-5</v>
      </c>
      <c r="AF281" s="185">
        <f t="shared" si="228"/>
        <v>7.2487317144627385E-5</v>
      </c>
      <c r="AG281" s="185">
        <f t="shared" si="228"/>
        <v>7.2487317144627385E-5</v>
      </c>
      <c r="AH281" s="185">
        <f t="shared" si="228"/>
        <v>7.2487317144627385E-5</v>
      </c>
      <c r="AI281" s="185">
        <f t="shared" si="228"/>
        <v>7.2487317144627385E-5</v>
      </c>
      <c r="AJ281" s="185">
        <f t="shared" si="228"/>
        <v>7.2487317144627385E-5</v>
      </c>
      <c r="AK281" s="185">
        <f t="shared" si="228"/>
        <v>7.2487317144627385E-5</v>
      </c>
      <c r="AL281" s="185">
        <f t="shared" si="228"/>
        <v>7.2487317144627385E-5</v>
      </c>
      <c r="AM281" s="185">
        <f t="shared" si="228"/>
        <v>7.2487317144627385E-5</v>
      </c>
      <c r="AN281" s="185">
        <f t="shared" si="228"/>
        <v>7.2487317144627385E-5</v>
      </c>
      <c r="AO281" s="185">
        <f t="shared" si="228"/>
        <v>7.2487317144627385E-5</v>
      </c>
      <c r="AP281" s="185">
        <f t="shared" si="228"/>
        <v>7.2487317144627385E-5</v>
      </c>
      <c r="AQ281" s="185">
        <f t="shared" si="228"/>
        <v>7.2487317144627385E-5</v>
      </c>
      <c r="AR281" s="185">
        <f t="shared" si="228"/>
        <v>7.2487317144627385E-5</v>
      </c>
      <c r="AS281" s="205">
        <f t="shared" ref="AS281:BV281" si="229">AR281</f>
        <v>7.2487317144627385E-5</v>
      </c>
      <c r="AT281" s="205">
        <f t="shared" si="229"/>
        <v>7.2487317144627385E-5</v>
      </c>
      <c r="AU281" s="205">
        <f t="shared" si="229"/>
        <v>7.2487317144627385E-5</v>
      </c>
      <c r="AV281" s="205">
        <f t="shared" si="229"/>
        <v>7.2487317144627385E-5</v>
      </c>
      <c r="AW281" s="205">
        <f t="shared" si="229"/>
        <v>7.2487317144627385E-5</v>
      </c>
      <c r="AX281" s="205">
        <f t="shared" si="229"/>
        <v>7.2487317144627385E-5</v>
      </c>
      <c r="AY281" s="205">
        <f t="shared" si="229"/>
        <v>7.2487317144627385E-5</v>
      </c>
      <c r="AZ281" s="205">
        <f t="shared" si="229"/>
        <v>7.2487317144627385E-5</v>
      </c>
      <c r="BA281" s="205">
        <f t="shared" si="229"/>
        <v>7.2487317144627385E-5</v>
      </c>
      <c r="BB281" s="205">
        <f t="shared" si="229"/>
        <v>7.2487317144627385E-5</v>
      </c>
      <c r="BC281" s="205">
        <f t="shared" si="229"/>
        <v>7.2487317144627385E-5</v>
      </c>
      <c r="BD281" s="205">
        <f t="shared" si="229"/>
        <v>7.2487317144627385E-5</v>
      </c>
      <c r="BE281" s="205">
        <f t="shared" si="229"/>
        <v>7.2487317144627385E-5</v>
      </c>
      <c r="BF281" s="205">
        <f t="shared" si="229"/>
        <v>7.2487317144627385E-5</v>
      </c>
      <c r="BG281" s="205">
        <f t="shared" si="229"/>
        <v>7.2487317144627385E-5</v>
      </c>
      <c r="BH281" s="205">
        <f t="shared" si="229"/>
        <v>7.2487317144627385E-5</v>
      </c>
      <c r="BI281" s="205">
        <f t="shared" si="229"/>
        <v>7.2487317144627385E-5</v>
      </c>
      <c r="BJ281" s="205">
        <f t="shared" si="229"/>
        <v>7.2487317144627385E-5</v>
      </c>
      <c r="BK281" s="205">
        <f t="shared" si="229"/>
        <v>7.2487317144627385E-5</v>
      </c>
      <c r="BL281" s="205">
        <f t="shared" si="229"/>
        <v>7.2487317144627385E-5</v>
      </c>
      <c r="BM281" s="205">
        <f t="shared" si="229"/>
        <v>7.2487317144627385E-5</v>
      </c>
      <c r="BN281" s="205">
        <f t="shared" si="229"/>
        <v>7.2487317144627385E-5</v>
      </c>
      <c r="BO281" s="205">
        <f t="shared" si="229"/>
        <v>7.2487317144627385E-5</v>
      </c>
      <c r="BP281" s="205">
        <f t="shared" si="229"/>
        <v>7.2487317144627385E-5</v>
      </c>
      <c r="BQ281" s="205">
        <f t="shared" si="229"/>
        <v>7.2487317144627385E-5</v>
      </c>
      <c r="BR281" s="205">
        <f t="shared" si="229"/>
        <v>7.2487317144627385E-5</v>
      </c>
      <c r="BS281" s="205">
        <f t="shared" si="229"/>
        <v>7.2487317144627385E-5</v>
      </c>
      <c r="BT281" s="205">
        <f t="shared" si="229"/>
        <v>7.2487317144627385E-5</v>
      </c>
      <c r="BU281" s="205">
        <f t="shared" si="229"/>
        <v>7.2487317144627385E-5</v>
      </c>
      <c r="BV281" s="205">
        <f t="shared" si="229"/>
        <v>7.2487317144627385E-5</v>
      </c>
    </row>
    <row r="282" spans="1:74" x14ac:dyDescent="0.25">
      <c r="A282" s="155" t="s">
        <v>217</v>
      </c>
      <c r="C282" s="150"/>
      <c r="D282" s="185">
        <f t="shared" ref="D282:AR282" si="230">D218*D$47</f>
        <v>6.0182697474476097E-5</v>
      </c>
      <c r="E282" s="185">
        <f t="shared" si="230"/>
        <v>6.0182697369103044E-5</v>
      </c>
      <c r="F282" s="185">
        <f t="shared" si="230"/>
        <v>6.0182697263729997E-5</v>
      </c>
      <c r="G282" s="185">
        <f t="shared" si="230"/>
        <v>6.0182697158356944E-5</v>
      </c>
      <c r="H282" s="185">
        <f t="shared" si="230"/>
        <v>6.0182697052983904E-5</v>
      </c>
      <c r="I282" s="185">
        <f t="shared" si="230"/>
        <v>6.018269694761083E-5</v>
      </c>
      <c r="J282" s="185">
        <f t="shared" si="230"/>
        <v>6.0182696829709333E-5</v>
      </c>
      <c r="K282" s="185">
        <f t="shared" si="230"/>
        <v>6.0182697337935565E-5</v>
      </c>
      <c r="L282" s="185">
        <f t="shared" si="230"/>
        <v>5.8516197417586436E-5</v>
      </c>
      <c r="M282" s="185">
        <f t="shared" si="230"/>
        <v>5.8516195837213464E-5</v>
      </c>
      <c r="N282" s="185">
        <f t="shared" si="230"/>
        <v>5.8516196576691441E-5</v>
      </c>
      <c r="O282" s="185">
        <f t="shared" si="230"/>
        <v>5.8516197139833341E-5</v>
      </c>
      <c r="P282" s="185">
        <f t="shared" si="230"/>
        <v>5.8516197450731899E-5</v>
      </c>
      <c r="Q282" s="185">
        <f t="shared" si="230"/>
        <v>5.8516195611847819E-5</v>
      </c>
      <c r="R282" s="185">
        <f t="shared" si="230"/>
        <v>5.8516196282003997E-5</v>
      </c>
      <c r="S282" s="185">
        <f t="shared" si="230"/>
        <v>5.8516195614967956E-5</v>
      </c>
      <c r="T282" s="185">
        <f t="shared" si="230"/>
        <v>5.8516201313829159E-5</v>
      </c>
      <c r="U282" s="185">
        <f t="shared" si="230"/>
        <v>5.8516181740476604E-5</v>
      </c>
      <c r="V282" s="185">
        <f t="shared" si="230"/>
        <v>5.8516208424617693E-5</v>
      </c>
      <c r="W282" s="185">
        <f t="shared" si="230"/>
        <v>5.8516220683856287E-5</v>
      </c>
      <c r="X282" s="185">
        <f t="shared" si="230"/>
        <v>5.8516199196990974E-5</v>
      </c>
      <c r="Y282" s="185">
        <f t="shared" si="230"/>
        <v>5.851620073154153E-5</v>
      </c>
      <c r="Z282" s="185">
        <f t="shared" si="230"/>
        <v>5.8516204018081414E-5</v>
      </c>
      <c r="AA282" s="185">
        <f t="shared" si="230"/>
        <v>5.8516182547425696E-5</v>
      </c>
      <c r="AB282" s="185">
        <f t="shared" si="230"/>
        <v>5.8516192110081227E-5</v>
      </c>
      <c r="AC282" s="185">
        <f t="shared" si="230"/>
        <v>5.8516170478217399E-5</v>
      </c>
      <c r="AD282" s="185">
        <f t="shared" si="230"/>
        <v>5.8516217226793513E-5</v>
      </c>
      <c r="AE282" s="185">
        <f t="shared" si="230"/>
        <v>5.8516167995369548E-5</v>
      </c>
      <c r="AF282" s="185">
        <f t="shared" si="230"/>
        <v>5.8516167995369548E-5</v>
      </c>
      <c r="AG282" s="185">
        <f t="shared" si="230"/>
        <v>5.8516167995369548E-5</v>
      </c>
      <c r="AH282" s="185">
        <f t="shared" si="230"/>
        <v>5.8516167995369548E-5</v>
      </c>
      <c r="AI282" s="185">
        <f t="shared" si="230"/>
        <v>5.8516167995369548E-5</v>
      </c>
      <c r="AJ282" s="185">
        <f t="shared" si="230"/>
        <v>5.8516167995369548E-5</v>
      </c>
      <c r="AK282" s="185">
        <f t="shared" si="230"/>
        <v>5.8516167995369548E-5</v>
      </c>
      <c r="AL282" s="185">
        <f t="shared" si="230"/>
        <v>5.8516167995369548E-5</v>
      </c>
      <c r="AM282" s="185">
        <f t="shared" si="230"/>
        <v>5.8516167995369548E-5</v>
      </c>
      <c r="AN282" s="185">
        <f t="shared" si="230"/>
        <v>5.8516167995369548E-5</v>
      </c>
      <c r="AO282" s="185">
        <f t="shared" si="230"/>
        <v>5.8516167995369548E-5</v>
      </c>
      <c r="AP282" s="185">
        <f t="shared" si="230"/>
        <v>5.8516167995369548E-5</v>
      </c>
      <c r="AQ282" s="185">
        <f t="shared" si="230"/>
        <v>5.8516167995369548E-5</v>
      </c>
      <c r="AR282" s="185">
        <f t="shared" si="230"/>
        <v>5.8516167995369548E-5</v>
      </c>
      <c r="AS282" s="205">
        <f t="shared" ref="AS282:BV282" si="231">AR282</f>
        <v>5.8516167995369548E-5</v>
      </c>
      <c r="AT282" s="205">
        <f t="shared" si="231"/>
        <v>5.8516167995369548E-5</v>
      </c>
      <c r="AU282" s="205">
        <f t="shared" si="231"/>
        <v>5.8516167995369548E-5</v>
      </c>
      <c r="AV282" s="205">
        <f t="shared" si="231"/>
        <v>5.8516167995369548E-5</v>
      </c>
      <c r="AW282" s="205">
        <f t="shared" si="231"/>
        <v>5.8516167995369548E-5</v>
      </c>
      <c r="AX282" s="205">
        <f t="shared" si="231"/>
        <v>5.8516167995369548E-5</v>
      </c>
      <c r="AY282" s="205">
        <f t="shared" si="231"/>
        <v>5.8516167995369548E-5</v>
      </c>
      <c r="AZ282" s="205">
        <f t="shared" si="231"/>
        <v>5.8516167995369548E-5</v>
      </c>
      <c r="BA282" s="205">
        <f t="shared" si="231"/>
        <v>5.8516167995369548E-5</v>
      </c>
      <c r="BB282" s="205">
        <f t="shared" si="231"/>
        <v>5.8516167995369548E-5</v>
      </c>
      <c r="BC282" s="205">
        <f t="shared" si="231"/>
        <v>5.8516167995369548E-5</v>
      </c>
      <c r="BD282" s="205">
        <f t="shared" si="231"/>
        <v>5.8516167995369548E-5</v>
      </c>
      <c r="BE282" s="205">
        <f t="shared" si="231"/>
        <v>5.8516167995369548E-5</v>
      </c>
      <c r="BF282" s="205">
        <f t="shared" si="231"/>
        <v>5.8516167995369548E-5</v>
      </c>
      <c r="BG282" s="205">
        <f t="shared" si="231"/>
        <v>5.8516167995369548E-5</v>
      </c>
      <c r="BH282" s="205">
        <f t="shared" si="231"/>
        <v>5.8516167995369548E-5</v>
      </c>
      <c r="BI282" s="205">
        <f t="shared" si="231"/>
        <v>5.8516167995369548E-5</v>
      </c>
      <c r="BJ282" s="205">
        <f t="shared" si="231"/>
        <v>5.8516167995369548E-5</v>
      </c>
      <c r="BK282" s="205">
        <f t="shared" si="231"/>
        <v>5.8516167995369548E-5</v>
      </c>
      <c r="BL282" s="205">
        <f t="shared" si="231"/>
        <v>5.8516167995369548E-5</v>
      </c>
      <c r="BM282" s="205">
        <f t="shared" si="231"/>
        <v>5.8516167995369548E-5</v>
      </c>
      <c r="BN282" s="205">
        <f t="shared" si="231"/>
        <v>5.8516167995369548E-5</v>
      </c>
      <c r="BO282" s="205">
        <f t="shared" si="231"/>
        <v>5.8516167995369548E-5</v>
      </c>
      <c r="BP282" s="205">
        <f t="shared" si="231"/>
        <v>5.8516167995369548E-5</v>
      </c>
      <c r="BQ282" s="205">
        <f t="shared" si="231"/>
        <v>5.8516167995369548E-5</v>
      </c>
      <c r="BR282" s="205">
        <f t="shared" si="231"/>
        <v>5.8516167995369548E-5</v>
      </c>
      <c r="BS282" s="205">
        <f t="shared" si="231"/>
        <v>5.8516167995369548E-5</v>
      </c>
      <c r="BT282" s="205">
        <f t="shared" si="231"/>
        <v>5.8516167995369548E-5</v>
      </c>
      <c r="BU282" s="205">
        <f t="shared" si="231"/>
        <v>5.8516167995369548E-5</v>
      </c>
      <c r="BV282" s="205">
        <f t="shared" si="231"/>
        <v>5.8516167995369548E-5</v>
      </c>
    </row>
    <row r="283" spans="1:74" x14ac:dyDescent="0.25">
      <c r="A283" s="155" t="s">
        <v>12</v>
      </c>
      <c r="C283" s="150"/>
      <c r="D283" s="185">
        <f t="shared" ref="D283:AR283" si="232">D219*D$47</f>
        <v>9.6277208526413354E-5</v>
      </c>
      <c r="E283" s="185">
        <f t="shared" si="232"/>
        <v>9.6277208526413354E-5</v>
      </c>
      <c r="F283" s="185">
        <f t="shared" si="232"/>
        <v>9.6277208526413354E-5</v>
      </c>
      <c r="G283" s="185">
        <f t="shared" si="232"/>
        <v>9.6277208526413354E-5</v>
      </c>
      <c r="H283" s="185">
        <f t="shared" si="232"/>
        <v>9.6277208526413354E-5</v>
      </c>
      <c r="I283" s="185">
        <f t="shared" si="232"/>
        <v>9.6277208526413354E-5</v>
      </c>
      <c r="J283" s="185">
        <f t="shared" si="232"/>
        <v>9.6277280348224778E-5</v>
      </c>
      <c r="K283" s="185">
        <f t="shared" si="232"/>
        <v>9.6277142487158465E-5</v>
      </c>
      <c r="L283" s="185">
        <f t="shared" si="232"/>
        <v>9.6277078685182325E-5</v>
      </c>
      <c r="M283" s="185">
        <f t="shared" si="232"/>
        <v>9.6277037471776739E-5</v>
      </c>
      <c r="N283" s="185">
        <f t="shared" si="232"/>
        <v>9.6277331407132802E-5</v>
      </c>
      <c r="O283" s="185">
        <f t="shared" si="232"/>
        <v>9.6276982844140449E-5</v>
      </c>
      <c r="P283" s="185">
        <f t="shared" si="232"/>
        <v>9.723248851490799E-5</v>
      </c>
      <c r="Q283" s="185">
        <f t="shared" si="232"/>
        <v>9.7232326816308723E-5</v>
      </c>
      <c r="R283" s="185">
        <f t="shared" si="232"/>
        <v>9.7232380041234356E-5</v>
      </c>
      <c r="S283" s="185">
        <f t="shared" si="232"/>
        <v>9.7232562574588755E-5</v>
      </c>
      <c r="T283" s="185">
        <f t="shared" si="232"/>
        <v>9.7232369205905981E-5</v>
      </c>
      <c r="U283" s="185">
        <f t="shared" si="232"/>
        <v>9.7232337364298857E-5</v>
      </c>
      <c r="V283" s="185">
        <f t="shared" si="232"/>
        <v>9.7232526294936526E-5</v>
      </c>
      <c r="W283" s="185">
        <f t="shared" si="232"/>
        <v>9.7232440249657497E-5</v>
      </c>
      <c r="X283" s="185">
        <f t="shared" si="232"/>
        <v>9.7232510868605632E-5</v>
      </c>
      <c r="Y283" s="185">
        <f t="shared" si="232"/>
        <v>9.7232275662369525E-5</v>
      </c>
      <c r="Z283" s="185">
        <f t="shared" si="232"/>
        <v>9.7232244259960423E-5</v>
      </c>
      <c r="AA283" s="185">
        <f t="shared" si="232"/>
        <v>9.7232471328985844E-5</v>
      </c>
      <c r="AB283" s="185">
        <f t="shared" si="232"/>
        <v>9.7232239731774342E-5</v>
      </c>
      <c r="AC283" s="185">
        <f t="shared" si="232"/>
        <v>9.7232544974210596E-5</v>
      </c>
      <c r="AD283" s="185">
        <f t="shared" si="232"/>
        <v>9.7232451014094202E-5</v>
      </c>
      <c r="AE283" s="185">
        <f t="shared" si="232"/>
        <v>9.7232423379026912E-5</v>
      </c>
      <c r="AF283" s="185">
        <f t="shared" si="232"/>
        <v>9.7232423379026912E-5</v>
      </c>
      <c r="AG283" s="185">
        <f t="shared" si="232"/>
        <v>9.7232423379026912E-5</v>
      </c>
      <c r="AH283" s="185">
        <f t="shared" si="232"/>
        <v>9.7232423379026912E-5</v>
      </c>
      <c r="AI283" s="185">
        <f t="shared" si="232"/>
        <v>9.7232423379026912E-5</v>
      </c>
      <c r="AJ283" s="185">
        <f t="shared" si="232"/>
        <v>9.7232423379026912E-5</v>
      </c>
      <c r="AK283" s="185">
        <f t="shared" si="232"/>
        <v>9.7232423379026912E-5</v>
      </c>
      <c r="AL283" s="185">
        <f t="shared" si="232"/>
        <v>9.7232423379026912E-5</v>
      </c>
      <c r="AM283" s="185">
        <f t="shared" si="232"/>
        <v>9.7232423379026912E-5</v>
      </c>
      <c r="AN283" s="185">
        <f t="shared" si="232"/>
        <v>9.7232423379026912E-5</v>
      </c>
      <c r="AO283" s="185">
        <f t="shared" si="232"/>
        <v>9.7232423379026912E-5</v>
      </c>
      <c r="AP283" s="185">
        <f t="shared" si="232"/>
        <v>9.7232423379026912E-5</v>
      </c>
      <c r="AQ283" s="185">
        <f t="shared" si="232"/>
        <v>9.7232423379026912E-5</v>
      </c>
      <c r="AR283" s="185">
        <f t="shared" si="232"/>
        <v>9.7232423379026912E-5</v>
      </c>
      <c r="AS283" s="205">
        <f t="shared" ref="AS283:BV283" si="233">AR283</f>
        <v>9.7232423379026912E-5</v>
      </c>
      <c r="AT283" s="205">
        <f t="shared" si="233"/>
        <v>9.7232423379026912E-5</v>
      </c>
      <c r="AU283" s="205">
        <f t="shared" si="233"/>
        <v>9.7232423379026912E-5</v>
      </c>
      <c r="AV283" s="205">
        <f t="shared" si="233"/>
        <v>9.7232423379026912E-5</v>
      </c>
      <c r="AW283" s="205">
        <f t="shared" si="233"/>
        <v>9.7232423379026912E-5</v>
      </c>
      <c r="AX283" s="205">
        <f t="shared" si="233"/>
        <v>9.7232423379026912E-5</v>
      </c>
      <c r="AY283" s="205">
        <f t="shared" si="233"/>
        <v>9.7232423379026912E-5</v>
      </c>
      <c r="AZ283" s="205">
        <f t="shared" si="233"/>
        <v>9.7232423379026912E-5</v>
      </c>
      <c r="BA283" s="205">
        <f t="shared" si="233"/>
        <v>9.7232423379026912E-5</v>
      </c>
      <c r="BB283" s="205">
        <f t="shared" si="233"/>
        <v>9.7232423379026912E-5</v>
      </c>
      <c r="BC283" s="205">
        <f t="shared" si="233"/>
        <v>9.7232423379026912E-5</v>
      </c>
      <c r="BD283" s="205">
        <f t="shared" si="233"/>
        <v>9.7232423379026912E-5</v>
      </c>
      <c r="BE283" s="205">
        <f t="shared" si="233"/>
        <v>9.7232423379026912E-5</v>
      </c>
      <c r="BF283" s="205">
        <f t="shared" si="233"/>
        <v>9.7232423379026912E-5</v>
      </c>
      <c r="BG283" s="205">
        <f t="shared" si="233"/>
        <v>9.7232423379026912E-5</v>
      </c>
      <c r="BH283" s="205">
        <f t="shared" si="233"/>
        <v>9.7232423379026912E-5</v>
      </c>
      <c r="BI283" s="205">
        <f t="shared" si="233"/>
        <v>9.7232423379026912E-5</v>
      </c>
      <c r="BJ283" s="205">
        <f t="shared" si="233"/>
        <v>9.7232423379026912E-5</v>
      </c>
      <c r="BK283" s="205">
        <f t="shared" si="233"/>
        <v>9.7232423379026912E-5</v>
      </c>
      <c r="BL283" s="205">
        <f t="shared" si="233"/>
        <v>9.7232423379026912E-5</v>
      </c>
      <c r="BM283" s="205">
        <f t="shared" si="233"/>
        <v>9.7232423379026912E-5</v>
      </c>
      <c r="BN283" s="205">
        <f t="shared" si="233"/>
        <v>9.7232423379026912E-5</v>
      </c>
      <c r="BO283" s="205">
        <f t="shared" si="233"/>
        <v>9.7232423379026912E-5</v>
      </c>
      <c r="BP283" s="205">
        <f t="shared" si="233"/>
        <v>9.7232423379026912E-5</v>
      </c>
      <c r="BQ283" s="205">
        <f t="shared" si="233"/>
        <v>9.7232423379026912E-5</v>
      </c>
      <c r="BR283" s="205">
        <f t="shared" si="233"/>
        <v>9.7232423379026912E-5</v>
      </c>
      <c r="BS283" s="205">
        <f t="shared" si="233"/>
        <v>9.7232423379026912E-5</v>
      </c>
      <c r="BT283" s="205">
        <f t="shared" si="233"/>
        <v>9.7232423379026912E-5</v>
      </c>
      <c r="BU283" s="205">
        <f t="shared" si="233"/>
        <v>9.7232423379026912E-5</v>
      </c>
      <c r="BV283" s="205">
        <f t="shared" si="233"/>
        <v>9.7232423379026912E-5</v>
      </c>
    </row>
    <row r="284" spans="1:74" x14ac:dyDescent="0.25">
      <c r="A284" s="155" t="s">
        <v>2</v>
      </c>
      <c r="C284" s="150"/>
      <c r="D284" s="185">
        <f t="shared" ref="D284:AR284" si="234">D220*D$47</f>
        <v>0</v>
      </c>
      <c r="E284" s="185">
        <f t="shared" si="234"/>
        <v>0</v>
      </c>
      <c r="F284" s="185">
        <f t="shared" si="234"/>
        <v>0</v>
      </c>
      <c r="G284" s="185">
        <f t="shared" si="234"/>
        <v>0</v>
      </c>
      <c r="H284" s="185">
        <f t="shared" si="234"/>
        <v>0</v>
      </c>
      <c r="I284" s="185">
        <f t="shared" si="234"/>
        <v>0</v>
      </c>
      <c r="J284" s="185">
        <f t="shared" si="234"/>
        <v>0</v>
      </c>
      <c r="K284" s="185">
        <f t="shared" si="234"/>
        <v>0</v>
      </c>
      <c r="L284" s="185">
        <f t="shared" si="234"/>
        <v>0</v>
      </c>
      <c r="M284" s="185">
        <f t="shared" si="234"/>
        <v>0</v>
      </c>
      <c r="N284" s="185">
        <f t="shared" si="234"/>
        <v>0</v>
      </c>
      <c r="O284" s="185">
        <f t="shared" si="234"/>
        <v>0</v>
      </c>
      <c r="P284" s="185">
        <f t="shared" si="234"/>
        <v>0</v>
      </c>
      <c r="Q284" s="185">
        <f t="shared" si="234"/>
        <v>0</v>
      </c>
      <c r="R284" s="185">
        <f t="shared" si="234"/>
        <v>0</v>
      </c>
      <c r="S284" s="185">
        <f t="shared" si="234"/>
        <v>0</v>
      </c>
      <c r="T284" s="185">
        <f t="shared" si="234"/>
        <v>0</v>
      </c>
      <c r="U284" s="185">
        <f t="shared" si="234"/>
        <v>0</v>
      </c>
      <c r="V284" s="185">
        <f t="shared" si="234"/>
        <v>0</v>
      </c>
      <c r="W284" s="185">
        <f t="shared" si="234"/>
        <v>0</v>
      </c>
      <c r="X284" s="185">
        <f t="shared" si="234"/>
        <v>0</v>
      </c>
      <c r="Y284" s="185">
        <f t="shared" si="234"/>
        <v>0</v>
      </c>
      <c r="Z284" s="185">
        <f t="shared" si="234"/>
        <v>0</v>
      </c>
      <c r="AA284" s="185">
        <f t="shared" si="234"/>
        <v>0</v>
      </c>
      <c r="AB284" s="185">
        <f t="shared" si="234"/>
        <v>0</v>
      </c>
      <c r="AC284" s="185">
        <f t="shared" si="234"/>
        <v>0</v>
      </c>
      <c r="AD284" s="185">
        <f t="shared" si="234"/>
        <v>0</v>
      </c>
      <c r="AE284" s="185">
        <f t="shared" si="234"/>
        <v>0</v>
      </c>
      <c r="AF284" s="185">
        <f t="shared" si="234"/>
        <v>0</v>
      </c>
      <c r="AG284" s="185">
        <f t="shared" si="234"/>
        <v>0</v>
      </c>
      <c r="AH284" s="185">
        <f t="shared" si="234"/>
        <v>0</v>
      </c>
      <c r="AI284" s="185">
        <f t="shared" si="234"/>
        <v>0</v>
      </c>
      <c r="AJ284" s="185">
        <f t="shared" si="234"/>
        <v>0</v>
      </c>
      <c r="AK284" s="185">
        <f t="shared" si="234"/>
        <v>0</v>
      </c>
      <c r="AL284" s="185">
        <f t="shared" si="234"/>
        <v>0</v>
      </c>
      <c r="AM284" s="185">
        <f t="shared" si="234"/>
        <v>0</v>
      </c>
      <c r="AN284" s="185">
        <f t="shared" si="234"/>
        <v>0</v>
      </c>
      <c r="AO284" s="185">
        <f t="shared" si="234"/>
        <v>0</v>
      </c>
      <c r="AP284" s="185">
        <f t="shared" si="234"/>
        <v>0</v>
      </c>
      <c r="AQ284" s="185">
        <f t="shared" si="234"/>
        <v>0</v>
      </c>
      <c r="AR284" s="185">
        <f t="shared" si="234"/>
        <v>0</v>
      </c>
      <c r="AS284" s="205">
        <f t="shared" ref="AS284:BV284" si="235">AR284</f>
        <v>0</v>
      </c>
      <c r="AT284" s="205">
        <f t="shared" si="235"/>
        <v>0</v>
      </c>
      <c r="AU284" s="205">
        <f t="shared" si="235"/>
        <v>0</v>
      </c>
      <c r="AV284" s="205">
        <f t="shared" si="235"/>
        <v>0</v>
      </c>
      <c r="AW284" s="205">
        <f t="shared" si="235"/>
        <v>0</v>
      </c>
      <c r="AX284" s="205">
        <f t="shared" si="235"/>
        <v>0</v>
      </c>
      <c r="AY284" s="205">
        <f t="shared" si="235"/>
        <v>0</v>
      </c>
      <c r="AZ284" s="205">
        <f t="shared" si="235"/>
        <v>0</v>
      </c>
      <c r="BA284" s="205">
        <f t="shared" si="235"/>
        <v>0</v>
      </c>
      <c r="BB284" s="205">
        <f t="shared" si="235"/>
        <v>0</v>
      </c>
      <c r="BC284" s="205">
        <f t="shared" si="235"/>
        <v>0</v>
      </c>
      <c r="BD284" s="205">
        <f t="shared" si="235"/>
        <v>0</v>
      </c>
      <c r="BE284" s="205">
        <f t="shared" si="235"/>
        <v>0</v>
      </c>
      <c r="BF284" s="205">
        <f t="shared" si="235"/>
        <v>0</v>
      </c>
      <c r="BG284" s="205">
        <f t="shared" si="235"/>
        <v>0</v>
      </c>
      <c r="BH284" s="205">
        <f t="shared" si="235"/>
        <v>0</v>
      </c>
      <c r="BI284" s="205">
        <f t="shared" si="235"/>
        <v>0</v>
      </c>
      <c r="BJ284" s="205">
        <f t="shared" si="235"/>
        <v>0</v>
      </c>
      <c r="BK284" s="205">
        <f t="shared" si="235"/>
        <v>0</v>
      </c>
      <c r="BL284" s="205">
        <f t="shared" si="235"/>
        <v>0</v>
      </c>
      <c r="BM284" s="205">
        <f t="shared" si="235"/>
        <v>0</v>
      </c>
      <c r="BN284" s="205">
        <f t="shared" si="235"/>
        <v>0</v>
      </c>
      <c r="BO284" s="205">
        <f t="shared" si="235"/>
        <v>0</v>
      </c>
      <c r="BP284" s="205">
        <f t="shared" si="235"/>
        <v>0</v>
      </c>
      <c r="BQ284" s="205">
        <f t="shared" si="235"/>
        <v>0</v>
      </c>
      <c r="BR284" s="205">
        <f t="shared" si="235"/>
        <v>0</v>
      </c>
      <c r="BS284" s="205">
        <f t="shared" si="235"/>
        <v>0</v>
      </c>
      <c r="BT284" s="205">
        <f t="shared" si="235"/>
        <v>0</v>
      </c>
      <c r="BU284" s="205">
        <f t="shared" si="235"/>
        <v>0</v>
      </c>
      <c r="BV284" s="205">
        <f t="shared" si="235"/>
        <v>0</v>
      </c>
    </row>
    <row r="285" spans="1:74" x14ac:dyDescent="0.25">
      <c r="A285" s="149" t="s">
        <v>220</v>
      </c>
      <c r="B285" s="156"/>
      <c r="C285" s="150"/>
      <c r="D285" s="185">
        <f t="shared" ref="D285:AR285" si="236">D221*D$47</f>
        <v>1.3160615263109861E-4</v>
      </c>
      <c r="E285" s="185">
        <f t="shared" si="236"/>
        <v>1.3160615263109861E-4</v>
      </c>
      <c r="F285" s="185">
        <f t="shared" si="236"/>
        <v>1.3160615263109861E-4</v>
      </c>
      <c r="G285" s="185">
        <f t="shared" si="236"/>
        <v>1.3160615263109861E-4</v>
      </c>
      <c r="H285" s="185">
        <f t="shared" si="236"/>
        <v>1.3160615263109861E-4</v>
      </c>
      <c r="I285" s="185">
        <f t="shared" si="236"/>
        <v>1.3160615263109861E-4</v>
      </c>
      <c r="J285" s="185">
        <f t="shared" si="236"/>
        <v>1.3160615263109861E-4</v>
      </c>
      <c r="K285" s="185">
        <f t="shared" si="236"/>
        <v>1.3160615263109861E-4</v>
      </c>
      <c r="L285" s="185">
        <f t="shared" si="236"/>
        <v>1.3160615263109861E-4</v>
      </c>
      <c r="M285" s="185">
        <f t="shared" si="236"/>
        <v>1.3160615263109861E-4</v>
      </c>
      <c r="N285" s="185">
        <f t="shared" si="236"/>
        <v>1.3160615263109861E-4</v>
      </c>
      <c r="O285" s="185">
        <f t="shared" si="236"/>
        <v>1.3160615263109861E-4</v>
      </c>
      <c r="P285" s="185">
        <f t="shared" si="236"/>
        <v>1.3160615263109861E-4</v>
      </c>
      <c r="Q285" s="185">
        <f t="shared" si="236"/>
        <v>1.3160615263109861E-4</v>
      </c>
      <c r="R285" s="185">
        <f t="shared" si="236"/>
        <v>1.3160615263109861E-4</v>
      </c>
      <c r="S285" s="185">
        <f t="shared" si="236"/>
        <v>1.3160615263109861E-4</v>
      </c>
      <c r="T285" s="185">
        <f t="shared" si="236"/>
        <v>1.3160615263109861E-4</v>
      </c>
      <c r="U285" s="185">
        <f t="shared" si="236"/>
        <v>1.3160615263109861E-4</v>
      </c>
      <c r="V285" s="185">
        <f t="shared" si="236"/>
        <v>1.3160615263109861E-4</v>
      </c>
      <c r="W285" s="185">
        <f t="shared" si="236"/>
        <v>1.3160615263109861E-4</v>
      </c>
      <c r="X285" s="185">
        <f t="shared" si="236"/>
        <v>1.3160615263109861E-4</v>
      </c>
      <c r="Y285" s="185">
        <f t="shared" si="236"/>
        <v>1.3160615263109861E-4</v>
      </c>
      <c r="Z285" s="185">
        <f t="shared" si="236"/>
        <v>1.3160615263109861E-4</v>
      </c>
      <c r="AA285" s="185">
        <f t="shared" si="236"/>
        <v>1.3160615263109861E-4</v>
      </c>
      <c r="AB285" s="185">
        <f t="shared" si="236"/>
        <v>1.3160615263109861E-4</v>
      </c>
      <c r="AC285" s="185">
        <f t="shared" si="236"/>
        <v>1.3160615263109861E-4</v>
      </c>
      <c r="AD285" s="185">
        <f t="shared" si="236"/>
        <v>1.3160615263109861E-4</v>
      </c>
      <c r="AE285" s="185">
        <f t="shared" si="236"/>
        <v>1.3160615263109861E-4</v>
      </c>
      <c r="AF285" s="185">
        <f t="shared" si="236"/>
        <v>1.3160615263109861E-4</v>
      </c>
      <c r="AG285" s="185">
        <f t="shared" si="236"/>
        <v>1.3160615263109861E-4</v>
      </c>
      <c r="AH285" s="185">
        <f t="shared" si="236"/>
        <v>1.3160615263109861E-4</v>
      </c>
      <c r="AI285" s="185">
        <f t="shared" si="236"/>
        <v>1.3160615263109861E-4</v>
      </c>
      <c r="AJ285" s="185">
        <f t="shared" si="236"/>
        <v>1.3160615263109861E-4</v>
      </c>
      <c r="AK285" s="185">
        <f t="shared" si="236"/>
        <v>1.3160615263109861E-4</v>
      </c>
      <c r="AL285" s="185">
        <f t="shared" si="236"/>
        <v>1.3160615263109861E-4</v>
      </c>
      <c r="AM285" s="185">
        <f t="shared" si="236"/>
        <v>1.3160615263109861E-4</v>
      </c>
      <c r="AN285" s="185">
        <f t="shared" si="236"/>
        <v>1.3160615263109861E-4</v>
      </c>
      <c r="AO285" s="185">
        <f t="shared" si="236"/>
        <v>1.3160615263109861E-4</v>
      </c>
      <c r="AP285" s="185">
        <f t="shared" si="236"/>
        <v>1.3160615263109861E-4</v>
      </c>
      <c r="AQ285" s="185">
        <f t="shared" si="236"/>
        <v>1.3160615263109861E-4</v>
      </c>
      <c r="AR285" s="185">
        <f t="shared" si="236"/>
        <v>1.3160615263109861E-4</v>
      </c>
      <c r="AS285" s="205">
        <f t="shared" ref="AS285:BV285" si="237">AR285</f>
        <v>1.3160615263109861E-4</v>
      </c>
      <c r="AT285" s="205">
        <f t="shared" si="237"/>
        <v>1.3160615263109861E-4</v>
      </c>
      <c r="AU285" s="205">
        <f t="shared" si="237"/>
        <v>1.3160615263109861E-4</v>
      </c>
      <c r="AV285" s="205">
        <f t="shared" si="237"/>
        <v>1.3160615263109861E-4</v>
      </c>
      <c r="AW285" s="205">
        <f t="shared" si="237"/>
        <v>1.3160615263109861E-4</v>
      </c>
      <c r="AX285" s="205">
        <f t="shared" si="237"/>
        <v>1.3160615263109861E-4</v>
      </c>
      <c r="AY285" s="205">
        <f t="shared" si="237"/>
        <v>1.3160615263109861E-4</v>
      </c>
      <c r="AZ285" s="205">
        <f t="shared" si="237"/>
        <v>1.3160615263109861E-4</v>
      </c>
      <c r="BA285" s="205">
        <f t="shared" si="237"/>
        <v>1.3160615263109861E-4</v>
      </c>
      <c r="BB285" s="205">
        <f t="shared" si="237"/>
        <v>1.3160615263109861E-4</v>
      </c>
      <c r="BC285" s="205">
        <f t="shared" si="237"/>
        <v>1.3160615263109861E-4</v>
      </c>
      <c r="BD285" s="205">
        <f t="shared" si="237"/>
        <v>1.3160615263109861E-4</v>
      </c>
      <c r="BE285" s="205">
        <f t="shared" si="237"/>
        <v>1.3160615263109861E-4</v>
      </c>
      <c r="BF285" s="205">
        <f t="shared" si="237"/>
        <v>1.3160615263109861E-4</v>
      </c>
      <c r="BG285" s="205">
        <f t="shared" si="237"/>
        <v>1.3160615263109861E-4</v>
      </c>
      <c r="BH285" s="205">
        <f t="shared" si="237"/>
        <v>1.3160615263109861E-4</v>
      </c>
      <c r="BI285" s="205">
        <f t="shared" si="237"/>
        <v>1.3160615263109861E-4</v>
      </c>
      <c r="BJ285" s="205">
        <f t="shared" si="237"/>
        <v>1.3160615263109861E-4</v>
      </c>
      <c r="BK285" s="205">
        <f t="shared" si="237"/>
        <v>1.3160615263109861E-4</v>
      </c>
      <c r="BL285" s="205">
        <f t="shared" si="237"/>
        <v>1.3160615263109861E-4</v>
      </c>
      <c r="BM285" s="205">
        <f t="shared" si="237"/>
        <v>1.3160615263109861E-4</v>
      </c>
      <c r="BN285" s="205">
        <f t="shared" si="237"/>
        <v>1.3160615263109861E-4</v>
      </c>
      <c r="BO285" s="205">
        <f t="shared" si="237"/>
        <v>1.3160615263109861E-4</v>
      </c>
      <c r="BP285" s="205">
        <f t="shared" si="237"/>
        <v>1.3160615263109861E-4</v>
      </c>
      <c r="BQ285" s="205">
        <f t="shared" si="237"/>
        <v>1.3160615263109861E-4</v>
      </c>
      <c r="BR285" s="205">
        <f t="shared" si="237"/>
        <v>1.3160615263109861E-4</v>
      </c>
      <c r="BS285" s="205">
        <f t="shared" si="237"/>
        <v>1.3160615263109861E-4</v>
      </c>
      <c r="BT285" s="205">
        <f t="shared" si="237"/>
        <v>1.3160615263109861E-4</v>
      </c>
      <c r="BU285" s="205">
        <f t="shared" si="237"/>
        <v>1.3160615263109861E-4</v>
      </c>
      <c r="BV285" s="205">
        <f t="shared" si="237"/>
        <v>1.3160615263109861E-4</v>
      </c>
    </row>
    <row r="286" spans="1:74" x14ac:dyDescent="0.25">
      <c r="A286" s="149" t="s">
        <v>221</v>
      </c>
      <c r="B286" s="156"/>
      <c r="C286" s="150"/>
      <c r="D286" s="185">
        <f t="shared" ref="D286:AR286" si="238">D222*D$47</f>
        <v>2.1873951552929095E-5</v>
      </c>
      <c r="E286" s="185">
        <f t="shared" si="238"/>
        <v>2.1994727981065728E-5</v>
      </c>
      <c r="F286" s="185">
        <f t="shared" si="238"/>
        <v>2.2115504409295925E-5</v>
      </c>
      <c r="G286" s="185">
        <f t="shared" si="238"/>
        <v>2.2236280837619682E-5</v>
      </c>
      <c r="H286" s="185">
        <f t="shared" si="238"/>
        <v>2.2357057266037001E-5</v>
      </c>
      <c r="I286" s="185">
        <f t="shared" si="238"/>
        <v>2.2477833694547874E-5</v>
      </c>
      <c r="J286" s="185">
        <f t="shared" si="238"/>
        <v>2.2518092465058956E-5</v>
      </c>
      <c r="K286" s="185">
        <f t="shared" si="238"/>
        <v>2.2558351302916563E-5</v>
      </c>
      <c r="L286" s="185">
        <f t="shared" si="238"/>
        <v>2.2189176470588238E-5</v>
      </c>
      <c r="M286" s="185">
        <f t="shared" si="238"/>
        <v>2.2228705805873902E-5</v>
      </c>
      <c r="N286" s="185">
        <f t="shared" si="238"/>
        <v>2.2268235220572455E-5</v>
      </c>
      <c r="O286" s="185">
        <f t="shared" si="238"/>
        <v>2.2031058759868132E-5</v>
      </c>
      <c r="P286" s="185">
        <f t="shared" si="238"/>
        <v>2.1793882290725942E-5</v>
      </c>
      <c r="Q286" s="185">
        <f t="shared" si="238"/>
        <v>2.1556705882352937E-5</v>
      </c>
      <c r="R286" s="185">
        <f t="shared" si="238"/>
        <v>2.1319529411764695E-5</v>
      </c>
      <c r="S286" s="185">
        <f t="shared" si="238"/>
        <v>2.108235288462726E-5</v>
      </c>
      <c r="T286" s="185">
        <f t="shared" si="238"/>
        <v>2.108235288785678E-5</v>
      </c>
      <c r="U286" s="185">
        <f t="shared" si="238"/>
        <v>2.121411774653503E-5</v>
      </c>
      <c r="V286" s="185">
        <f t="shared" si="238"/>
        <v>2.0818822793889217E-5</v>
      </c>
      <c r="W286" s="185">
        <f t="shared" si="238"/>
        <v>2.1082350754587412E-5</v>
      </c>
      <c r="X286" s="185">
        <f t="shared" si="238"/>
        <v>2.1148237503736741E-5</v>
      </c>
      <c r="Y286" s="185">
        <f t="shared" si="238"/>
        <v>2.1477646669763424E-5</v>
      </c>
      <c r="Z286" s="185">
        <f t="shared" si="238"/>
        <v>2.3669624825336229E-5</v>
      </c>
      <c r="AA286" s="185">
        <f t="shared" si="238"/>
        <v>2.4057646834226084E-5</v>
      </c>
      <c r="AB286" s="185">
        <f t="shared" si="238"/>
        <v>2.4057646834226084E-5</v>
      </c>
      <c r="AC286" s="185">
        <f t="shared" si="238"/>
        <v>2.4057646834226084E-5</v>
      </c>
      <c r="AD286" s="185">
        <f t="shared" si="238"/>
        <v>2.4057649873707521E-5</v>
      </c>
      <c r="AE286" s="185">
        <f t="shared" si="238"/>
        <v>2.4057649873707521E-5</v>
      </c>
      <c r="AF286" s="185">
        <f t="shared" si="238"/>
        <v>2.4057649873707521E-5</v>
      </c>
      <c r="AG286" s="185">
        <f t="shared" si="238"/>
        <v>2.4057649873707521E-5</v>
      </c>
      <c r="AH286" s="185">
        <f t="shared" si="238"/>
        <v>2.4057649873707521E-5</v>
      </c>
      <c r="AI286" s="185">
        <f t="shared" si="238"/>
        <v>2.4057649873707521E-5</v>
      </c>
      <c r="AJ286" s="185">
        <f t="shared" si="238"/>
        <v>2.4057649873707521E-5</v>
      </c>
      <c r="AK286" s="185">
        <f t="shared" si="238"/>
        <v>2.4057649873707521E-5</v>
      </c>
      <c r="AL286" s="185">
        <f t="shared" si="238"/>
        <v>2.4057649873707521E-5</v>
      </c>
      <c r="AM286" s="185">
        <f t="shared" si="238"/>
        <v>2.4057649873707521E-5</v>
      </c>
      <c r="AN286" s="185">
        <f t="shared" si="238"/>
        <v>2.4057649873707521E-5</v>
      </c>
      <c r="AO286" s="185">
        <f t="shared" si="238"/>
        <v>2.4057649873707521E-5</v>
      </c>
      <c r="AP286" s="185">
        <f t="shared" si="238"/>
        <v>2.4057649873707521E-5</v>
      </c>
      <c r="AQ286" s="185">
        <f t="shared" si="238"/>
        <v>2.4057649873707521E-5</v>
      </c>
      <c r="AR286" s="185">
        <f t="shared" si="238"/>
        <v>2.4057649873707521E-5</v>
      </c>
      <c r="AS286" s="205">
        <f t="shared" ref="AS286:BV286" si="239">AR286</f>
        <v>2.4057649873707521E-5</v>
      </c>
      <c r="AT286" s="205">
        <f t="shared" si="239"/>
        <v>2.4057649873707521E-5</v>
      </c>
      <c r="AU286" s="205">
        <f t="shared" si="239"/>
        <v>2.4057649873707521E-5</v>
      </c>
      <c r="AV286" s="205">
        <f t="shared" si="239"/>
        <v>2.4057649873707521E-5</v>
      </c>
      <c r="AW286" s="205">
        <f t="shared" si="239"/>
        <v>2.4057649873707521E-5</v>
      </c>
      <c r="AX286" s="205">
        <f t="shared" si="239"/>
        <v>2.4057649873707521E-5</v>
      </c>
      <c r="AY286" s="205">
        <f t="shared" si="239"/>
        <v>2.4057649873707521E-5</v>
      </c>
      <c r="AZ286" s="205">
        <f t="shared" si="239"/>
        <v>2.4057649873707521E-5</v>
      </c>
      <c r="BA286" s="205">
        <f t="shared" si="239"/>
        <v>2.4057649873707521E-5</v>
      </c>
      <c r="BB286" s="205">
        <f t="shared" si="239"/>
        <v>2.4057649873707521E-5</v>
      </c>
      <c r="BC286" s="205">
        <f t="shared" si="239"/>
        <v>2.4057649873707521E-5</v>
      </c>
      <c r="BD286" s="205">
        <f t="shared" si="239"/>
        <v>2.4057649873707521E-5</v>
      </c>
      <c r="BE286" s="205">
        <f t="shared" si="239"/>
        <v>2.4057649873707521E-5</v>
      </c>
      <c r="BF286" s="205">
        <f t="shared" si="239"/>
        <v>2.4057649873707521E-5</v>
      </c>
      <c r="BG286" s="205">
        <f t="shared" si="239"/>
        <v>2.4057649873707521E-5</v>
      </c>
      <c r="BH286" s="205">
        <f t="shared" si="239"/>
        <v>2.4057649873707521E-5</v>
      </c>
      <c r="BI286" s="205">
        <f t="shared" si="239"/>
        <v>2.4057649873707521E-5</v>
      </c>
      <c r="BJ286" s="205">
        <f t="shared" si="239"/>
        <v>2.4057649873707521E-5</v>
      </c>
      <c r="BK286" s="205">
        <f t="shared" si="239"/>
        <v>2.4057649873707521E-5</v>
      </c>
      <c r="BL286" s="205">
        <f t="shared" si="239"/>
        <v>2.4057649873707521E-5</v>
      </c>
      <c r="BM286" s="205">
        <f t="shared" si="239"/>
        <v>2.4057649873707521E-5</v>
      </c>
      <c r="BN286" s="205">
        <f t="shared" si="239"/>
        <v>2.4057649873707521E-5</v>
      </c>
      <c r="BO286" s="205">
        <f t="shared" si="239"/>
        <v>2.4057649873707521E-5</v>
      </c>
      <c r="BP286" s="205">
        <f t="shared" si="239"/>
        <v>2.4057649873707521E-5</v>
      </c>
      <c r="BQ286" s="205">
        <f t="shared" si="239"/>
        <v>2.4057649873707521E-5</v>
      </c>
      <c r="BR286" s="205">
        <f t="shared" si="239"/>
        <v>2.4057649873707521E-5</v>
      </c>
      <c r="BS286" s="205">
        <f t="shared" si="239"/>
        <v>2.4057649873707521E-5</v>
      </c>
      <c r="BT286" s="205">
        <f t="shared" si="239"/>
        <v>2.4057649873707521E-5</v>
      </c>
      <c r="BU286" s="205">
        <f t="shared" si="239"/>
        <v>2.4057649873707521E-5</v>
      </c>
      <c r="BV286" s="205">
        <f t="shared" si="239"/>
        <v>2.4057649873707521E-5</v>
      </c>
    </row>
    <row r="287" spans="1:74" x14ac:dyDescent="0.25">
      <c r="A287" s="149" t="s">
        <v>223</v>
      </c>
      <c r="B287" s="156"/>
      <c r="C287" s="156"/>
      <c r="D287" s="185">
        <f t="shared" ref="D287:AR287" si="240">D223*D$47</f>
        <v>8.0784685972509391E-5</v>
      </c>
      <c r="E287" s="185">
        <f t="shared" si="240"/>
        <v>8.0784685972509391E-5</v>
      </c>
      <c r="F287" s="185">
        <f t="shared" si="240"/>
        <v>8.0784685972509391E-5</v>
      </c>
      <c r="G287" s="185">
        <f t="shared" si="240"/>
        <v>8.0784685972509391E-5</v>
      </c>
      <c r="H287" s="185">
        <f t="shared" si="240"/>
        <v>8.0784685972509391E-5</v>
      </c>
      <c r="I287" s="185">
        <f t="shared" si="240"/>
        <v>8.0784685972509391E-5</v>
      </c>
      <c r="J287" s="185">
        <f t="shared" si="240"/>
        <v>8.0784701384260679E-5</v>
      </c>
      <c r="K287" s="185">
        <f t="shared" si="240"/>
        <v>8.0784695559809244E-5</v>
      </c>
      <c r="L287" s="185">
        <f t="shared" si="240"/>
        <v>8.0784721380197701E-5</v>
      </c>
      <c r="M287" s="185">
        <f t="shared" si="240"/>
        <v>8.0784715053039489E-5</v>
      </c>
      <c r="N287" s="185">
        <f t="shared" si="240"/>
        <v>8.0784768239226863E-5</v>
      </c>
      <c r="O287" s="185">
        <f t="shared" si="240"/>
        <v>8.0784876941926374E-5</v>
      </c>
      <c r="P287" s="185">
        <f t="shared" si="240"/>
        <v>8.0000115866296083E-5</v>
      </c>
      <c r="Q287" s="185">
        <f t="shared" si="240"/>
        <v>7.999994298489742E-5</v>
      </c>
      <c r="R287" s="185">
        <f t="shared" si="240"/>
        <v>8.0000000000000007E-5</v>
      </c>
      <c r="S287" s="185">
        <f t="shared" si="240"/>
        <v>8.0000028000028003E-5</v>
      </c>
      <c r="T287" s="185">
        <f t="shared" si="240"/>
        <v>8.0000000000000007E-5</v>
      </c>
      <c r="U287" s="185">
        <f t="shared" si="240"/>
        <v>8.0000000000000007E-5</v>
      </c>
      <c r="V287" s="185">
        <f t="shared" si="240"/>
        <v>7.9999972598817243E-5</v>
      </c>
      <c r="W287" s="185">
        <f t="shared" si="240"/>
        <v>8.0000054114896747E-5</v>
      </c>
      <c r="X287" s="185">
        <f t="shared" si="240"/>
        <v>7.9999947314626514E-5</v>
      </c>
      <c r="Y287" s="185">
        <f t="shared" si="240"/>
        <v>8.0000000000000007E-5</v>
      </c>
      <c r="Z287" s="185">
        <f t="shared" si="240"/>
        <v>8.0000053121343756E-5</v>
      </c>
      <c r="AA287" s="185">
        <f t="shared" si="240"/>
        <v>8.0000025968899645E-5</v>
      </c>
      <c r="AB287" s="185">
        <f t="shared" si="240"/>
        <v>8.0000050390558323E-5</v>
      </c>
      <c r="AC287" s="185">
        <f t="shared" si="240"/>
        <v>8.0000076303987454E-5</v>
      </c>
      <c r="AD287" s="185">
        <f t="shared" si="240"/>
        <v>7.9999975329961764E-5</v>
      </c>
      <c r="AE287" s="185">
        <f t="shared" si="240"/>
        <v>7.9999975166354382E-5</v>
      </c>
      <c r="AF287" s="185">
        <f t="shared" si="240"/>
        <v>7.9999975166354382E-5</v>
      </c>
      <c r="AG287" s="185">
        <f t="shared" si="240"/>
        <v>7.9999975166354382E-5</v>
      </c>
      <c r="AH287" s="185">
        <f t="shared" si="240"/>
        <v>7.9999975166354382E-5</v>
      </c>
      <c r="AI287" s="185">
        <f t="shared" si="240"/>
        <v>7.9999975166354382E-5</v>
      </c>
      <c r="AJ287" s="185">
        <f t="shared" si="240"/>
        <v>7.9999975166354382E-5</v>
      </c>
      <c r="AK287" s="185">
        <f t="shared" si="240"/>
        <v>7.9999975166354382E-5</v>
      </c>
      <c r="AL287" s="185">
        <f t="shared" si="240"/>
        <v>7.9999975166354382E-5</v>
      </c>
      <c r="AM287" s="185">
        <f t="shared" si="240"/>
        <v>7.9999975166354382E-5</v>
      </c>
      <c r="AN287" s="185">
        <f t="shared" si="240"/>
        <v>7.9999975166354382E-5</v>
      </c>
      <c r="AO287" s="185">
        <f t="shared" si="240"/>
        <v>7.9999975166354382E-5</v>
      </c>
      <c r="AP287" s="185">
        <f t="shared" si="240"/>
        <v>7.9999975166354382E-5</v>
      </c>
      <c r="AQ287" s="185">
        <f t="shared" si="240"/>
        <v>7.9999975166354382E-5</v>
      </c>
      <c r="AR287" s="185">
        <f t="shared" si="240"/>
        <v>7.9999975166354382E-5</v>
      </c>
      <c r="AS287" s="205">
        <f t="shared" ref="AS287:BV287" si="241">AR287</f>
        <v>7.9999975166354382E-5</v>
      </c>
      <c r="AT287" s="205">
        <f t="shared" si="241"/>
        <v>7.9999975166354382E-5</v>
      </c>
      <c r="AU287" s="205">
        <f t="shared" si="241"/>
        <v>7.9999975166354382E-5</v>
      </c>
      <c r="AV287" s="205">
        <f t="shared" si="241"/>
        <v>7.9999975166354382E-5</v>
      </c>
      <c r="AW287" s="205">
        <f t="shared" si="241"/>
        <v>7.9999975166354382E-5</v>
      </c>
      <c r="AX287" s="205">
        <f t="shared" si="241"/>
        <v>7.9999975166354382E-5</v>
      </c>
      <c r="AY287" s="205">
        <f t="shared" si="241"/>
        <v>7.9999975166354382E-5</v>
      </c>
      <c r="AZ287" s="205">
        <f t="shared" si="241"/>
        <v>7.9999975166354382E-5</v>
      </c>
      <c r="BA287" s="205">
        <f t="shared" si="241"/>
        <v>7.9999975166354382E-5</v>
      </c>
      <c r="BB287" s="205">
        <f t="shared" si="241"/>
        <v>7.9999975166354382E-5</v>
      </c>
      <c r="BC287" s="205">
        <f t="shared" si="241"/>
        <v>7.9999975166354382E-5</v>
      </c>
      <c r="BD287" s="205">
        <f t="shared" si="241"/>
        <v>7.9999975166354382E-5</v>
      </c>
      <c r="BE287" s="205">
        <f t="shared" si="241"/>
        <v>7.9999975166354382E-5</v>
      </c>
      <c r="BF287" s="205">
        <f t="shared" si="241"/>
        <v>7.9999975166354382E-5</v>
      </c>
      <c r="BG287" s="205">
        <f t="shared" si="241"/>
        <v>7.9999975166354382E-5</v>
      </c>
      <c r="BH287" s="205">
        <f t="shared" si="241"/>
        <v>7.9999975166354382E-5</v>
      </c>
      <c r="BI287" s="205">
        <f t="shared" si="241"/>
        <v>7.9999975166354382E-5</v>
      </c>
      <c r="BJ287" s="205">
        <f t="shared" si="241"/>
        <v>7.9999975166354382E-5</v>
      </c>
      <c r="BK287" s="205">
        <f t="shared" si="241"/>
        <v>7.9999975166354382E-5</v>
      </c>
      <c r="BL287" s="205">
        <f t="shared" si="241"/>
        <v>7.9999975166354382E-5</v>
      </c>
      <c r="BM287" s="205">
        <f t="shared" si="241"/>
        <v>7.9999975166354382E-5</v>
      </c>
      <c r="BN287" s="205">
        <f t="shared" si="241"/>
        <v>7.9999975166354382E-5</v>
      </c>
      <c r="BO287" s="205">
        <f t="shared" si="241"/>
        <v>7.9999975166354382E-5</v>
      </c>
      <c r="BP287" s="205">
        <f t="shared" si="241"/>
        <v>7.9999975166354382E-5</v>
      </c>
      <c r="BQ287" s="205">
        <f t="shared" si="241"/>
        <v>7.9999975166354382E-5</v>
      </c>
      <c r="BR287" s="205">
        <f t="shared" si="241"/>
        <v>7.9999975166354382E-5</v>
      </c>
      <c r="BS287" s="205">
        <f t="shared" si="241"/>
        <v>7.9999975166354382E-5</v>
      </c>
      <c r="BT287" s="205">
        <f t="shared" si="241"/>
        <v>7.9999975166354382E-5</v>
      </c>
      <c r="BU287" s="205">
        <f t="shared" si="241"/>
        <v>7.9999975166354382E-5</v>
      </c>
      <c r="BV287" s="205">
        <f t="shared" si="241"/>
        <v>7.9999975166354382E-5</v>
      </c>
    </row>
    <row r="288" spans="1:74" x14ac:dyDescent="0.25">
      <c r="A288" s="149" t="s">
        <v>279</v>
      </c>
      <c r="B288" s="150"/>
      <c r="C288" s="150"/>
      <c r="D288" s="185">
        <f t="shared" ref="D288:AR288" si="242">D224*D$47</f>
        <v>8.0517613616244474E-5</v>
      </c>
      <c r="E288" s="185">
        <f t="shared" si="242"/>
        <v>8.0517613516691458E-5</v>
      </c>
      <c r="F288" s="185">
        <f t="shared" si="242"/>
        <v>8.0517613417138429E-5</v>
      </c>
      <c r="G288" s="185">
        <f t="shared" si="242"/>
        <v>8.0517613317585414E-5</v>
      </c>
      <c r="H288" s="185">
        <f t="shared" si="242"/>
        <v>8.0517613218032398E-5</v>
      </c>
      <c r="I288" s="185">
        <f t="shared" si="242"/>
        <v>8.0517613118479355E-5</v>
      </c>
      <c r="J288" s="185">
        <f t="shared" si="242"/>
        <v>8.0517612939877417E-5</v>
      </c>
      <c r="K288" s="185">
        <f t="shared" si="242"/>
        <v>8.051759851078965E-5</v>
      </c>
      <c r="L288" s="185">
        <f t="shared" si="242"/>
        <v>7.9058820503128196E-5</v>
      </c>
      <c r="M288" s="185">
        <f t="shared" si="242"/>
        <v>7.905882158287648E-5</v>
      </c>
      <c r="N288" s="185">
        <f t="shared" si="242"/>
        <v>7.9058820404856247E-5</v>
      </c>
      <c r="O288" s="185">
        <f t="shared" si="242"/>
        <v>7.9058820976406528E-5</v>
      </c>
      <c r="P288" s="185">
        <f t="shared" si="242"/>
        <v>7.9058820081663914E-5</v>
      </c>
      <c r="Q288" s="185">
        <f t="shared" si="242"/>
        <v>7.9058823244405034E-5</v>
      </c>
      <c r="R288" s="185">
        <f t="shared" si="242"/>
        <v>7.9058820635094751E-5</v>
      </c>
      <c r="S288" s="185">
        <f t="shared" si="242"/>
        <v>7.9058833534381953E-5</v>
      </c>
      <c r="T288" s="185">
        <f t="shared" si="242"/>
        <v>7.9058836181789365E-5</v>
      </c>
      <c r="U288" s="185">
        <f t="shared" si="242"/>
        <v>7.9058808769895416E-5</v>
      </c>
      <c r="V288" s="185">
        <f t="shared" si="242"/>
        <v>7.9058816269879476E-5</v>
      </c>
      <c r="W288" s="185">
        <f t="shared" si="242"/>
        <v>7.9058812502170688E-5</v>
      </c>
      <c r="X288" s="185">
        <f t="shared" si="242"/>
        <v>7.9058830871158687E-5</v>
      </c>
      <c r="Y288" s="185">
        <f t="shared" si="242"/>
        <v>7.9058808493807616E-5</v>
      </c>
      <c r="Z288" s="185">
        <f t="shared" si="242"/>
        <v>7.9058773832284818E-5</v>
      </c>
      <c r="AA288" s="185">
        <f t="shared" si="242"/>
        <v>7.9058813211287983E-5</v>
      </c>
      <c r="AB288" s="185">
        <f t="shared" si="242"/>
        <v>7.9058813211287983E-5</v>
      </c>
      <c r="AC288" s="185">
        <f t="shared" si="242"/>
        <v>7.9058813211287983E-5</v>
      </c>
      <c r="AD288" s="185">
        <f t="shared" si="242"/>
        <v>7.9058783606214395E-5</v>
      </c>
      <c r="AE288" s="185">
        <f t="shared" si="242"/>
        <v>7.9058783606214395E-5</v>
      </c>
      <c r="AF288" s="185">
        <f t="shared" si="242"/>
        <v>7.9058783606214395E-5</v>
      </c>
      <c r="AG288" s="185">
        <f t="shared" si="242"/>
        <v>7.9058783606214395E-5</v>
      </c>
      <c r="AH288" s="185">
        <f t="shared" si="242"/>
        <v>7.9058783606214395E-5</v>
      </c>
      <c r="AI288" s="185">
        <f t="shared" si="242"/>
        <v>7.9058783606214395E-5</v>
      </c>
      <c r="AJ288" s="185">
        <f t="shared" si="242"/>
        <v>7.9058783606214395E-5</v>
      </c>
      <c r="AK288" s="185">
        <f t="shared" si="242"/>
        <v>7.9058783606214395E-5</v>
      </c>
      <c r="AL288" s="185">
        <f t="shared" si="242"/>
        <v>7.9058783606214395E-5</v>
      </c>
      <c r="AM288" s="185">
        <f t="shared" si="242"/>
        <v>7.9058783606214395E-5</v>
      </c>
      <c r="AN288" s="185">
        <f t="shared" si="242"/>
        <v>7.9058783606214395E-5</v>
      </c>
      <c r="AO288" s="185">
        <f t="shared" si="242"/>
        <v>7.9058783606214395E-5</v>
      </c>
      <c r="AP288" s="185">
        <f t="shared" si="242"/>
        <v>7.9058783606214395E-5</v>
      </c>
      <c r="AQ288" s="185">
        <f t="shared" si="242"/>
        <v>7.9058783606214395E-5</v>
      </c>
      <c r="AR288" s="185">
        <f t="shared" si="242"/>
        <v>7.9058783606214395E-5</v>
      </c>
      <c r="AS288" s="205">
        <f t="shared" ref="AS288:BV288" si="243">AR288</f>
        <v>7.9058783606214395E-5</v>
      </c>
      <c r="AT288" s="205">
        <f t="shared" si="243"/>
        <v>7.9058783606214395E-5</v>
      </c>
      <c r="AU288" s="205">
        <f t="shared" si="243"/>
        <v>7.9058783606214395E-5</v>
      </c>
      <c r="AV288" s="205">
        <f t="shared" si="243"/>
        <v>7.9058783606214395E-5</v>
      </c>
      <c r="AW288" s="205">
        <f t="shared" si="243"/>
        <v>7.9058783606214395E-5</v>
      </c>
      <c r="AX288" s="205">
        <f t="shared" si="243"/>
        <v>7.9058783606214395E-5</v>
      </c>
      <c r="AY288" s="205">
        <f t="shared" si="243"/>
        <v>7.9058783606214395E-5</v>
      </c>
      <c r="AZ288" s="205">
        <f t="shared" si="243"/>
        <v>7.9058783606214395E-5</v>
      </c>
      <c r="BA288" s="205">
        <f t="shared" si="243"/>
        <v>7.9058783606214395E-5</v>
      </c>
      <c r="BB288" s="205">
        <f t="shared" si="243"/>
        <v>7.9058783606214395E-5</v>
      </c>
      <c r="BC288" s="205">
        <f t="shared" si="243"/>
        <v>7.9058783606214395E-5</v>
      </c>
      <c r="BD288" s="205">
        <f t="shared" si="243"/>
        <v>7.9058783606214395E-5</v>
      </c>
      <c r="BE288" s="205">
        <f t="shared" si="243"/>
        <v>7.9058783606214395E-5</v>
      </c>
      <c r="BF288" s="205">
        <f t="shared" si="243"/>
        <v>7.9058783606214395E-5</v>
      </c>
      <c r="BG288" s="205">
        <f t="shared" si="243"/>
        <v>7.9058783606214395E-5</v>
      </c>
      <c r="BH288" s="205">
        <f t="shared" si="243"/>
        <v>7.9058783606214395E-5</v>
      </c>
      <c r="BI288" s="205">
        <f t="shared" si="243"/>
        <v>7.9058783606214395E-5</v>
      </c>
      <c r="BJ288" s="205">
        <f t="shared" si="243"/>
        <v>7.9058783606214395E-5</v>
      </c>
      <c r="BK288" s="205">
        <f t="shared" si="243"/>
        <v>7.9058783606214395E-5</v>
      </c>
      <c r="BL288" s="205">
        <f t="shared" si="243"/>
        <v>7.9058783606214395E-5</v>
      </c>
      <c r="BM288" s="205">
        <f t="shared" si="243"/>
        <v>7.9058783606214395E-5</v>
      </c>
      <c r="BN288" s="205">
        <f t="shared" si="243"/>
        <v>7.9058783606214395E-5</v>
      </c>
      <c r="BO288" s="205">
        <f t="shared" si="243"/>
        <v>7.9058783606214395E-5</v>
      </c>
      <c r="BP288" s="205">
        <f t="shared" si="243"/>
        <v>7.9058783606214395E-5</v>
      </c>
      <c r="BQ288" s="205">
        <f t="shared" si="243"/>
        <v>7.9058783606214395E-5</v>
      </c>
      <c r="BR288" s="205">
        <f t="shared" si="243"/>
        <v>7.9058783606214395E-5</v>
      </c>
      <c r="BS288" s="205">
        <f t="shared" si="243"/>
        <v>7.9058783606214395E-5</v>
      </c>
      <c r="BT288" s="205">
        <f t="shared" si="243"/>
        <v>7.9058783606214395E-5</v>
      </c>
      <c r="BU288" s="205">
        <f t="shared" si="243"/>
        <v>7.9058783606214395E-5</v>
      </c>
      <c r="BV288" s="205">
        <f t="shared" si="243"/>
        <v>7.9058783606214395E-5</v>
      </c>
    </row>
    <row r="289" spans="1:74" x14ac:dyDescent="0.25">
      <c r="A289" s="149" t="s">
        <v>224</v>
      </c>
      <c r="B289" s="150"/>
      <c r="C289" s="150"/>
      <c r="D289" s="185">
        <f t="shared" ref="D289:AR289" si="244">D225*D$47</f>
        <v>4.3433299723996804E-6</v>
      </c>
      <c r="E289" s="185">
        <f t="shared" si="244"/>
        <v>4.3433300662485E-6</v>
      </c>
      <c r="F289" s="185">
        <f t="shared" si="244"/>
        <v>4.3433301600973238E-6</v>
      </c>
      <c r="G289" s="185">
        <f t="shared" si="244"/>
        <v>4.343330253946151E-6</v>
      </c>
      <c r="H289" s="185">
        <f t="shared" si="244"/>
        <v>4.3433303477949824E-6</v>
      </c>
      <c r="I289" s="185">
        <f t="shared" si="244"/>
        <v>4.3433304416438164E-6</v>
      </c>
      <c r="J289" s="185">
        <f t="shared" si="244"/>
        <v>4.3433299274878226E-6</v>
      </c>
      <c r="K289" s="185">
        <f t="shared" si="244"/>
        <v>4.3433295990380833E-6</v>
      </c>
      <c r="L289" s="185">
        <f t="shared" si="244"/>
        <v>4.3433305607216232E-6</v>
      </c>
      <c r="M289" s="185">
        <f t="shared" si="244"/>
        <v>4.3433300672273617E-6</v>
      </c>
      <c r="N289" s="185">
        <f t="shared" si="244"/>
        <v>4.3433298583206673E-6</v>
      </c>
      <c r="O289" s="185">
        <f t="shared" si="244"/>
        <v>4.3433297792695014E-6</v>
      </c>
      <c r="P289" s="185">
        <f t="shared" si="244"/>
        <v>4.3433301489790838E-6</v>
      </c>
      <c r="Q289" s="185">
        <f t="shared" si="244"/>
        <v>4.343329972318278E-6</v>
      </c>
      <c r="R289" s="185">
        <f t="shared" si="244"/>
        <v>4.3433293797879443E-6</v>
      </c>
      <c r="S289" s="185">
        <f t="shared" si="244"/>
        <v>4.3433285731156045E-6</v>
      </c>
      <c r="T289" s="185">
        <f t="shared" si="244"/>
        <v>4.3433339969334765E-6</v>
      </c>
      <c r="U289" s="185">
        <f t="shared" si="244"/>
        <v>4.3433325364634082E-6</v>
      </c>
      <c r="V289" s="185">
        <f t="shared" si="244"/>
        <v>4.3433283598983026E-6</v>
      </c>
      <c r="W289" s="185">
        <f t="shared" si="244"/>
        <v>4.3433314621896731E-6</v>
      </c>
      <c r="X289" s="185">
        <f t="shared" si="244"/>
        <v>4.3433297421225971E-6</v>
      </c>
      <c r="Y289" s="185">
        <f t="shared" si="244"/>
        <v>4.3433306037691666E-6</v>
      </c>
      <c r="Z289" s="185">
        <f t="shared" si="244"/>
        <v>4.3433271078170401E-6</v>
      </c>
      <c r="AA289" s="185">
        <f t="shared" si="244"/>
        <v>4.3433288692263255E-6</v>
      </c>
      <c r="AB289" s="185">
        <f t="shared" si="244"/>
        <v>4.3607741004389726E-6</v>
      </c>
      <c r="AC289" s="185">
        <f t="shared" si="244"/>
        <v>4.360044982774807E-6</v>
      </c>
      <c r="AD289" s="185">
        <f t="shared" si="244"/>
        <v>4.3683367345804224E-6</v>
      </c>
      <c r="AE289" s="185">
        <f t="shared" si="244"/>
        <v>4.3709836536494278E-6</v>
      </c>
      <c r="AF289" s="185">
        <f t="shared" si="244"/>
        <v>4.3709836536494278E-6</v>
      </c>
      <c r="AG289" s="185">
        <f t="shared" si="244"/>
        <v>4.3709836536494278E-6</v>
      </c>
      <c r="AH289" s="185">
        <f t="shared" si="244"/>
        <v>4.3709836536494278E-6</v>
      </c>
      <c r="AI289" s="185">
        <f t="shared" si="244"/>
        <v>4.3709836536494278E-6</v>
      </c>
      <c r="AJ289" s="185">
        <f t="shared" si="244"/>
        <v>4.3709836536494278E-6</v>
      </c>
      <c r="AK289" s="185">
        <f t="shared" si="244"/>
        <v>4.3709836536494278E-6</v>
      </c>
      <c r="AL289" s="185">
        <f t="shared" si="244"/>
        <v>4.3709836536494278E-6</v>
      </c>
      <c r="AM289" s="185">
        <f t="shared" si="244"/>
        <v>4.3709836536494278E-6</v>
      </c>
      <c r="AN289" s="185">
        <f t="shared" si="244"/>
        <v>4.3709836536494278E-6</v>
      </c>
      <c r="AO289" s="185">
        <f t="shared" si="244"/>
        <v>4.3709836536494278E-6</v>
      </c>
      <c r="AP289" s="185">
        <f t="shared" si="244"/>
        <v>4.3709836536494278E-6</v>
      </c>
      <c r="AQ289" s="185">
        <f t="shared" si="244"/>
        <v>4.3709836536494278E-6</v>
      </c>
      <c r="AR289" s="185">
        <f t="shared" si="244"/>
        <v>4.3709836536494278E-6</v>
      </c>
      <c r="AS289" s="205">
        <f t="shared" ref="AS289:BV289" si="245">AR289</f>
        <v>4.3709836536494278E-6</v>
      </c>
      <c r="AT289" s="205">
        <f t="shared" si="245"/>
        <v>4.3709836536494278E-6</v>
      </c>
      <c r="AU289" s="205">
        <f t="shared" si="245"/>
        <v>4.3709836536494278E-6</v>
      </c>
      <c r="AV289" s="205">
        <f t="shared" si="245"/>
        <v>4.3709836536494278E-6</v>
      </c>
      <c r="AW289" s="205">
        <f t="shared" si="245"/>
        <v>4.3709836536494278E-6</v>
      </c>
      <c r="AX289" s="205">
        <f t="shared" si="245"/>
        <v>4.3709836536494278E-6</v>
      </c>
      <c r="AY289" s="205">
        <f t="shared" si="245"/>
        <v>4.3709836536494278E-6</v>
      </c>
      <c r="AZ289" s="205">
        <f t="shared" si="245"/>
        <v>4.3709836536494278E-6</v>
      </c>
      <c r="BA289" s="205">
        <f t="shared" si="245"/>
        <v>4.3709836536494278E-6</v>
      </c>
      <c r="BB289" s="205">
        <f t="shared" si="245"/>
        <v>4.3709836536494278E-6</v>
      </c>
      <c r="BC289" s="205">
        <f t="shared" si="245"/>
        <v>4.3709836536494278E-6</v>
      </c>
      <c r="BD289" s="205">
        <f t="shared" si="245"/>
        <v>4.3709836536494278E-6</v>
      </c>
      <c r="BE289" s="205">
        <f t="shared" si="245"/>
        <v>4.3709836536494278E-6</v>
      </c>
      <c r="BF289" s="205">
        <f t="shared" si="245"/>
        <v>4.3709836536494278E-6</v>
      </c>
      <c r="BG289" s="205">
        <f t="shared" si="245"/>
        <v>4.3709836536494278E-6</v>
      </c>
      <c r="BH289" s="205">
        <f t="shared" si="245"/>
        <v>4.3709836536494278E-6</v>
      </c>
      <c r="BI289" s="205">
        <f t="shared" si="245"/>
        <v>4.3709836536494278E-6</v>
      </c>
      <c r="BJ289" s="205">
        <f t="shared" si="245"/>
        <v>4.3709836536494278E-6</v>
      </c>
      <c r="BK289" s="205">
        <f t="shared" si="245"/>
        <v>4.3709836536494278E-6</v>
      </c>
      <c r="BL289" s="205">
        <f t="shared" si="245"/>
        <v>4.3709836536494278E-6</v>
      </c>
      <c r="BM289" s="205">
        <f t="shared" si="245"/>
        <v>4.3709836536494278E-6</v>
      </c>
      <c r="BN289" s="205">
        <f t="shared" si="245"/>
        <v>4.3709836536494278E-6</v>
      </c>
      <c r="BO289" s="205">
        <f t="shared" si="245"/>
        <v>4.3709836536494278E-6</v>
      </c>
      <c r="BP289" s="205">
        <f t="shared" si="245"/>
        <v>4.3709836536494278E-6</v>
      </c>
      <c r="BQ289" s="205">
        <f t="shared" si="245"/>
        <v>4.3709836536494278E-6</v>
      </c>
      <c r="BR289" s="205">
        <f t="shared" si="245"/>
        <v>4.3709836536494278E-6</v>
      </c>
      <c r="BS289" s="205">
        <f t="shared" si="245"/>
        <v>4.3709836536494278E-6</v>
      </c>
      <c r="BT289" s="205">
        <f t="shared" si="245"/>
        <v>4.3709836536494278E-6</v>
      </c>
      <c r="BU289" s="205">
        <f t="shared" si="245"/>
        <v>4.3709836536494278E-6</v>
      </c>
      <c r="BV289" s="205">
        <f t="shared" si="245"/>
        <v>4.3709836536494278E-6</v>
      </c>
    </row>
    <row r="290" spans="1:74" x14ac:dyDescent="0.25">
      <c r="A290" s="155" t="s">
        <v>13</v>
      </c>
      <c r="C290" s="150"/>
      <c r="D290" s="185">
        <f t="shared" ref="D290:AR290" si="246">D226*D$47</f>
        <v>4.3433299723996804E-6</v>
      </c>
      <c r="E290" s="185">
        <f t="shared" si="246"/>
        <v>4.3433300662485E-6</v>
      </c>
      <c r="F290" s="185">
        <f t="shared" si="246"/>
        <v>4.3433301600973238E-6</v>
      </c>
      <c r="G290" s="185">
        <f t="shared" si="246"/>
        <v>4.343330253946151E-6</v>
      </c>
      <c r="H290" s="185">
        <f t="shared" si="246"/>
        <v>4.3433303477949824E-6</v>
      </c>
      <c r="I290" s="185">
        <f t="shared" si="246"/>
        <v>4.3433304416438164E-6</v>
      </c>
      <c r="J290" s="185">
        <f t="shared" si="246"/>
        <v>4.3433299274878226E-6</v>
      </c>
      <c r="K290" s="185">
        <f t="shared" si="246"/>
        <v>4.3433295990380833E-6</v>
      </c>
      <c r="L290" s="185">
        <f t="shared" si="246"/>
        <v>4.3433305607216232E-6</v>
      </c>
      <c r="M290" s="185">
        <f t="shared" si="246"/>
        <v>4.3433300672273617E-6</v>
      </c>
      <c r="N290" s="185">
        <f t="shared" si="246"/>
        <v>4.3433298583206673E-6</v>
      </c>
      <c r="O290" s="185">
        <f t="shared" si="246"/>
        <v>4.3433297792695014E-6</v>
      </c>
      <c r="P290" s="185">
        <f t="shared" si="246"/>
        <v>4.3433301489790838E-6</v>
      </c>
      <c r="Q290" s="185">
        <f t="shared" si="246"/>
        <v>4.343329972318278E-6</v>
      </c>
      <c r="R290" s="185">
        <f t="shared" si="246"/>
        <v>4.3433293797879443E-6</v>
      </c>
      <c r="S290" s="185">
        <f t="shared" si="246"/>
        <v>4.3433285731156045E-6</v>
      </c>
      <c r="T290" s="185">
        <f t="shared" si="246"/>
        <v>4.3433339969334765E-6</v>
      </c>
      <c r="U290" s="185">
        <f t="shared" si="246"/>
        <v>4.3433325364634082E-6</v>
      </c>
      <c r="V290" s="185">
        <f t="shared" si="246"/>
        <v>4.3433283598983026E-6</v>
      </c>
      <c r="W290" s="185">
        <f t="shared" si="246"/>
        <v>4.3433314621896731E-6</v>
      </c>
      <c r="X290" s="185">
        <f t="shared" si="246"/>
        <v>4.3433297421225971E-6</v>
      </c>
      <c r="Y290" s="185">
        <f t="shared" si="246"/>
        <v>4.3433306037691666E-6</v>
      </c>
      <c r="Z290" s="185">
        <f t="shared" si="246"/>
        <v>4.3433271078170401E-6</v>
      </c>
      <c r="AA290" s="185">
        <f t="shared" si="246"/>
        <v>4.3433288692263255E-6</v>
      </c>
      <c r="AB290" s="185">
        <f t="shared" si="246"/>
        <v>4.3607741004389726E-6</v>
      </c>
      <c r="AC290" s="185">
        <f t="shared" si="246"/>
        <v>4.360044982774807E-6</v>
      </c>
      <c r="AD290" s="185">
        <f t="shared" si="246"/>
        <v>4.3683367345804224E-6</v>
      </c>
      <c r="AE290" s="185">
        <f t="shared" si="246"/>
        <v>4.3709836536494278E-6</v>
      </c>
      <c r="AF290" s="185">
        <f t="shared" si="246"/>
        <v>4.3709836536494278E-6</v>
      </c>
      <c r="AG290" s="185">
        <f t="shared" si="246"/>
        <v>4.3709836536494278E-6</v>
      </c>
      <c r="AH290" s="185">
        <f t="shared" si="246"/>
        <v>4.3709836536494278E-6</v>
      </c>
      <c r="AI290" s="185">
        <f t="shared" si="246"/>
        <v>4.3709836536494278E-6</v>
      </c>
      <c r="AJ290" s="185">
        <f t="shared" si="246"/>
        <v>4.3709836536494278E-6</v>
      </c>
      <c r="AK290" s="185">
        <f t="shared" si="246"/>
        <v>4.3709836536494278E-6</v>
      </c>
      <c r="AL290" s="185">
        <f t="shared" si="246"/>
        <v>4.3709836536494278E-6</v>
      </c>
      <c r="AM290" s="185">
        <f t="shared" si="246"/>
        <v>4.3709836536494278E-6</v>
      </c>
      <c r="AN290" s="185">
        <f t="shared" si="246"/>
        <v>4.3709836536494278E-6</v>
      </c>
      <c r="AO290" s="185">
        <f t="shared" si="246"/>
        <v>4.3709836536494278E-6</v>
      </c>
      <c r="AP290" s="185">
        <f t="shared" si="246"/>
        <v>4.3709836536494278E-6</v>
      </c>
      <c r="AQ290" s="185">
        <f t="shared" si="246"/>
        <v>4.3709836536494278E-6</v>
      </c>
      <c r="AR290" s="185">
        <f t="shared" si="246"/>
        <v>4.3709836536494278E-6</v>
      </c>
      <c r="AS290" s="205">
        <f t="shared" ref="AS290:BV290" si="247">AR290</f>
        <v>4.3709836536494278E-6</v>
      </c>
      <c r="AT290" s="205">
        <f t="shared" si="247"/>
        <v>4.3709836536494278E-6</v>
      </c>
      <c r="AU290" s="205">
        <f t="shared" si="247"/>
        <v>4.3709836536494278E-6</v>
      </c>
      <c r="AV290" s="205">
        <f t="shared" si="247"/>
        <v>4.3709836536494278E-6</v>
      </c>
      <c r="AW290" s="205">
        <f t="shared" si="247"/>
        <v>4.3709836536494278E-6</v>
      </c>
      <c r="AX290" s="205">
        <f t="shared" si="247"/>
        <v>4.3709836536494278E-6</v>
      </c>
      <c r="AY290" s="205">
        <f t="shared" si="247"/>
        <v>4.3709836536494278E-6</v>
      </c>
      <c r="AZ290" s="205">
        <f t="shared" si="247"/>
        <v>4.3709836536494278E-6</v>
      </c>
      <c r="BA290" s="205">
        <f t="shared" si="247"/>
        <v>4.3709836536494278E-6</v>
      </c>
      <c r="BB290" s="205">
        <f t="shared" si="247"/>
        <v>4.3709836536494278E-6</v>
      </c>
      <c r="BC290" s="205">
        <f t="shared" si="247"/>
        <v>4.3709836536494278E-6</v>
      </c>
      <c r="BD290" s="205">
        <f t="shared" si="247"/>
        <v>4.3709836536494278E-6</v>
      </c>
      <c r="BE290" s="205">
        <f t="shared" si="247"/>
        <v>4.3709836536494278E-6</v>
      </c>
      <c r="BF290" s="205">
        <f t="shared" si="247"/>
        <v>4.3709836536494278E-6</v>
      </c>
      <c r="BG290" s="205">
        <f t="shared" si="247"/>
        <v>4.3709836536494278E-6</v>
      </c>
      <c r="BH290" s="205">
        <f t="shared" si="247"/>
        <v>4.3709836536494278E-6</v>
      </c>
      <c r="BI290" s="205">
        <f t="shared" si="247"/>
        <v>4.3709836536494278E-6</v>
      </c>
      <c r="BJ290" s="205">
        <f t="shared" si="247"/>
        <v>4.3709836536494278E-6</v>
      </c>
      <c r="BK290" s="205">
        <f t="shared" si="247"/>
        <v>4.3709836536494278E-6</v>
      </c>
      <c r="BL290" s="205">
        <f t="shared" si="247"/>
        <v>4.3709836536494278E-6</v>
      </c>
      <c r="BM290" s="205">
        <f t="shared" si="247"/>
        <v>4.3709836536494278E-6</v>
      </c>
      <c r="BN290" s="205">
        <f t="shared" si="247"/>
        <v>4.3709836536494278E-6</v>
      </c>
      <c r="BO290" s="205">
        <f t="shared" si="247"/>
        <v>4.3709836536494278E-6</v>
      </c>
      <c r="BP290" s="205">
        <f t="shared" si="247"/>
        <v>4.3709836536494278E-6</v>
      </c>
      <c r="BQ290" s="205">
        <f t="shared" si="247"/>
        <v>4.3709836536494278E-6</v>
      </c>
      <c r="BR290" s="205">
        <f t="shared" si="247"/>
        <v>4.3709836536494278E-6</v>
      </c>
      <c r="BS290" s="205">
        <f t="shared" si="247"/>
        <v>4.3709836536494278E-6</v>
      </c>
      <c r="BT290" s="205">
        <f t="shared" si="247"/>
        <v>4.3709836536494278E-6</v>
      </c>
      <c r="BU290" s="205">
        <f t="shared" si="247"/>
        <v>4.3709836536494278E-6</v>
      </c>
      <c r="BV290" s="205">
        <f t="shared" si="247"/>
        <v>4.3709836536494278E-6</v>
      </c>
    </row>
    <row r="291" spans="1:74" x14ac:dyDescent="0.25">
      <c r="A291" s="155" t="s">
        <v>227</v>
      </c>
      <c r="C291" s="150"/>
      <c r="D291" s="185">
        <f t="shared" ref="D291:AR291" si="248">D227*D$47</f>
        <v>2.5029694555112883E-5</v>
      </c>
      <c r="E291" s="185">
        <f t="shared" si="248"/>
        <v>2.5029694555112883E-5</v>
      </c>
      <c r="F291" s="185">
        <f t="shared" si="248"/>
        <v>2.5029694555112883E-5</v>
      </c>
      <c r="G291" s="185">
        <f t="shared" si="248"/>
        <v>2.5029694555112883E-5</v>
      </c>
      <c r="H291" s="185">
        <f t="shared" si="248"/>
        <v>2.5029694555112883E-5</v>
      </c>
      <c r="I291" s="185">
        <f t="shared" si="248"/>
        <v>2.5029694555112883E-5</v>
      </c>
      <c r="J291" s="185">
        <f t="shared" si="248"/>
        <v>2.5029694555112883E-5</v>
      </c>
      <c r="K291" s="185">
        <f t="shared" si="248"/>
        <v>2.5029694555112883E-5</v>
      </c>
      <c r="L291" s="185">
        <f t="shared" si="248"/>
        <v>2.5029694555112883E-5</v>
      </c>
      <c r="M291" s="185">
        <f t="shared" si="248"/>
        <v>2.5029694555112883E-5</v>
      </c>
      <c r="N291" s="185">
        <f t="shared" si="248"/>
        <v>2.5029694555112883E-5</v>
      </c>
      <c r="O291" s="185">
        <f t="shared" si="248"/>
        <v>2.5029694555112883E-5</v>
      </c>
      <c r="P291" s="185">
        <f t="shared" si="248"/>
        <v>2.5029694555112883E-5</v>
      </c>
      <c r="Q291" s="185">
        <f t="shared" si="248"/>
        <v>2.5074549573848311E-5</v>
      </c>
      <c r="R291" s="185">
        <f t="shared" si="248"/>
        <v>2.5074723164565066E-5</v>
      </c>
      <c r="S291" s="185">
        <f t="shared" si="248"/>
        <v>2.5074723164565066E-5</v>
      </c>
      <c r="T291" s="185">
        <f t="shared" si="248"/>
        <v>2.5074723164565066E-5</v>
      </c>
      <c r="U291" s="185">
        <f t="shared" si="248"/>
        <v>2.5074723164565066E-5</v>
      </c>
      <c r="V291" s="185">
        <f t="shared" si="248"/>
        <v>2.5074723164565066E-5</v>
      </c>
      <c r="W291" s="185">
        <f t="shared" si="248"/>
        <v>2.5074723164565066E-5</v>
      </c>
      <c r="X291" s="185">
        <f t="shared" si="248"/>
        <v>2.5074723164565066E-5</v>
      </c>
      <c r="Y291" s="185">
        <f t="shared" si="248"/>
        <v>2.5074723164565066E-5</v>
      </c>
      <c r="Z291" s="185">
        <f t="shared" si="248"/>
        <v>2.5074723164565066E-5</v>
      </c>
      <c r="AA291" s="185">
        <f t="shared" si="248"/>
        <v>2.5074723164565066E-5</v>
      </c>
      <c r="AB291" s="185">
        <f t="shared" si="248"/>
        <v>2.5074723164565066E-5</v>
      </c>
      <c r="AC291" s="185">
        <f t="shared" si="248"/>
        <v>2.5074723164565066E-5</v>
      </c>
      <c r="AD291" s="185">
        <f t="shared" si="248"/>
        <v>2.5074723164565066E-5</v>
      </c>
      <c r="AE291" s="185">
        <f t="shared" si="248"/>
        <v>2.5074723164565066E-5</v>
      </c>
      <c r="AF291" s="185">
        <f t="shared" si="248"/>
        <v>2.5074723164565066E-5</v>
      </c>
      <c r="AG291" s="185">
        <f t="shared" si="248"/>
        <v>2.5074723164565066E-5</v>
      </c>
      <c r="AH291" s="185">
        <f t="shared" si="248"/>
        <v>2.5074723164565066E-5</v>
      </c>
      <c r="AI291" s="185">
        <f t="shared" si="248"/>
        <v>2.5074723164565066E-5</v>
      </c>
      <c r="AJ291" s="185">
        <f t="shared" si="248"/>
        <v>2.5074723164565066E-5</v>
      </c>
      <c r="AK291" s="185">
        <f t="shared" si="248"/>
        <v>2.5074723164565066E-5</v>
      </c>
      <c r="AL291" s="185">
        <f t="shared" si="248"/>
        <v>2.5074723164565066E-5</v>
      </c>
      <c r="AM291" s="185">
        <f t="shared" si="248"/>
        <v>2.5074723164565066E-5</v>
      </c>
      <c r="AN291" s="185">
        <f t="shared" si="248"/>
        <v>2.5074723164565066E-5</v>
      </c>
      <c r="AO291" s="185">
        <f t="shared" si="248"/>
        <v>2.5074723164565066E-5</v>
      </c>
      <c r="AP291" s="185">
        <f t="shared" si="248"/>
        <v>2.5074723164565066E-5</v>
      </c>
      <c r="AQ291" s="185">
        <f t="shared" si="248"/>
        <v>2.5074723164565066E-5</v>
      </c>
      <c r="AR291" s="185">
        <f t="shared" si="248"/>
        <v>2.5074723164565066E-5</v>
      </c>
      <c r="AS291" s="205">
        <f t="shared" ref="AS291:BV291" si="249">AR291</f>
        <v>2.5074723164565066E-5</v>
      </c>
      <c r="AT291" s="205">
        <f t="shared" si="249"/>
        <v>2.5074723164565066E-5</v>
      </c>
      <c r="AU291" s="205">
        <f t="shared" si="249"/>
        <v>2.5074723164565066E-5</v>
      </c>
      <c r="AV291" s="205">
        <f t="shared" si="249"/>
        <v>2.5074723164565066E-5</v>
      </c>
      <c r="AW291" s="205">
        <f t="shared" si="249"/>
        <v>2.5074723164565066E-5</v>
      </c>
      <c r="AX291" s="205">
        <f t="shared" si="249"/>
        <v>2.5074723164565066E-5</v>
      </c>
      <c r="AY291" s="205">
        <f t="shared" si="249"/>
        <v>2.5074723164565066E-5</v>
      </c>
      <c r="AZ291" s="205">
        <f t="shared" si="249"/>
        <v>2.5074723164565066E-5</v>
      </c>
      <c r="BA291" s="205">
        <f t="shared" si="249"/>
        <v>2.5074723164565066E-5</v>
      </c>
      <c r="BB291" s="205">
        <f t="shared" si="249"/>
        <v>2.5074723164565066E-5</v>
      </c>
      <c r="BC291" s="205">
        <f t="shared" si="249"/>
        <v>2.5074723164565066E-5</v>
      </c>
      <c r="BD291" s="205">
        <f t="shared" si="249"/>
        <v>2.5074723164565066E-5</v>
      </c>
      <c r="BE291" s="205">
        <f t="shared" si="249"/>
        <v>2.5074723164565066E-5</v>
      </c>
      <c r="BF291" s="205">
        <f t="shared" si="249"/>
        <v>2.5074723164565066E-5</v>
      </c>
      <c r="BG291" s="205">
        <f t="shared" si="249"/>
        <v>2.5074723164565066E-5</v>
      </c>
      <c r="BH291" s="205">
        <f t="shared" si="249"/>
        <v>2.5074723164565066E-5</v>
      </c>
      <c r="BI291" s="205">
        <f t="shared" si="249"/>
        <v>2.5074723164565066E-5</v>
      </c>
      <c r="BJ291" s="205">
        <f t="shared" si="249"/>
        <v>2.5074723164565066E-5</v>
      </c>
      <c r="BK291" s="205">
        <f t="shared" si="249"/>
        <v>2.5074723164565066E-5</v>
      </c>
      <c r="BL291" s="205">
        <f t="shared" si="249"/>
        <v>2.5074723164565066E-5</v>
      </c>
      <c r="BM291" s="205">
        <f t="shared" si="249"/>
        <v>2.5074723164565066E-5</v>
      </c>
      <c r="BN291" s="205">
        <f t="shared" si="249"/>
        <v>2.5074723164565066E-5</v>
      </c>
      <c r="BO291" s="205">
        <f t="shared" si="249"/>
        <v>2.5074723164565066E-5</v>
      </c>
      <c r="BP291" s="205">
        <f t="shared" si="249"/>
        <v>2.5074723164565066E-5</v>
      </c>
      <c r="BQ291" s="205">
        <f t="shared" si="249"/>
        <v>2.5074723164565066E-5</v>
      </c>
      <c r="BR291" s="205">
        <f t="shared" si="249"/>
        <v>2.5074723164565066E-5</v>
      </c>
      <c r="BS291" s="205">
        <f t="shared" si="249"/>
        <v>2.5074723164565066E-5</v>
      </c>
      <c r="BT291" s="205">
        <f t="shared" si="249"/>
        <v>2.5074723164565066E-5</v>
      </c>
      <c r="BU291" s="205">
        <f t="shared" si="249"/>
        <v>2.5074723164565066E-5</v>
      </c>
      <c r="BV291" s="205">
        <f t="shared" si="249"/>
        <v>2.5074723164565066E-5</v>
      </c>
    </row>
    <row r="292" spans="1:74" x14ac:dyDescent="0.25">
      <c r="A292" s="155" t="s">
        <v>225</v>
      </c>
      <c r="C292" s="150"/>
      <c r="D292" s="185">
        <f t="shared" ref="D292:AR292" si="250">D228*D$47</f>
        <v>4.3433299723996804E-6</v>
      </c>
      <c r="E292" s="185">
        <f t="shared" si="250"/>
        <v>4.3433300662485E-6</v>
      </c>
      <c r="F292" s="185">
        <f t="shared" si="250"/>
        <v>4.3433301600973238E-6</v>
      </c>
      <c r="G292" s="185">
        <f t="shared" si="250"/>
        <v>4.343330253946151E-6</v>
      </c>
      <c r="H292" s="185">
        <f t="shared" si="250"/>
        <v>4.3433303477949824E-6</v>
      </c>
      <c r="I292" s="185">
        <f t="shared" si="250"/>
        <v>4.3433304416438164E-6</v>
      </c>
      <c r="J292" s="185">
        <f t="shared" si="250"/>
        <v>4.3433299274878226E-6</v>
      </c>
      <c r="K292" s="185">
        <f t="shared" si="250"/>
        <v>4.3433295990380833E-6</v>
      </c>
      <c r="L292" s="185">
        <f t="shared" si="250"/>
        <v>4.3433305607216232E-6</v>
      </c>
      <c r="M292" s="185">
        <f t="shared" si="250"/>
        <v>4.3433300672273617E-6</v>
      </c>
      <c r="N292" s="185">
        <f t="shared" si="250"/>
        <v>4.3433298583206673E-6</v>
      </c>
      <c r="O292" s="185">
        <f t="shared" si="250"/>
        <v>4.3433297792695014E-6</v>
      </c>
      <c r="P292" s="185">
        <f t="shared" si="250"/>
        <v>4.3433301489790838E-6</v>
      </c>
      <c r="Q292" s="185">
        <f t="shared" si="250"/>
        <v>4.343329972318278E-6</v>
      </c>
      <c r="R292" s="185">
        <f t="shared" si="250"/>
        <v>4.3433293797879443E-6</v>
      </c>
      <c r="S292" s="185">
        <f t="shared" si="250"/>
        <v>4.3433285731156045E-6</v>
      </c>
      <c r="T292" s="185">
        <f t="shared" si="250"/>
        <v>4.3433339969334765E-6</v>
      </c>
      <c r="U292" s="185">
        <f t="shared" si="250"/>
        <v>4.3433325364634082E-6</v>
      </c>
      <c r="V292" s="185">
        <f t="shared" si="250"/>
        <v>4.3433283598983026E-6</v>
      </c>
      <c r="W292" s="185">
        <f t="shared" si="250"/>
        <v>4.3433314621896731E-6</v>
      </c>
      <c r="X292" s="185">
        <f t="shared" si="250"/>
        <v>4.3433297421225971E-6</v>
      </c>
      <c r="Y292" s="185">
        <f t="shared" si="250"/>
        <v>4.3433306037691666E-6</v>
      </c>
      <c r="Z292" s="185">
        <f t="shared" si="250"/>
        <v>4.3433271078170401E-6</v>
      </c>
      <c r="AA292" s="185">
        <f t="shared" si="250"/>
        <v>4.3433288692263255E-6</v>
      </c>
      <c r="AB292" s="185">
        <f t="shared" si="250"/>
        <v>4.3607741004389726E-6</v>
      </c>
      <c r="AC292" s="185">
        <f t="shared" si="250"/>
        <v>4.360044982774807E-6</v>
      </c>
      <c r="AD292" s="185">
        <f t="shared" si="250"/>
        <v>4.3683367345804224E-6</v>
      </c>
      <c r="AE292" s="185">
        <f t="shared" si="250"/>
        <v>4.3709836536494278E-6</v>
      </c>
      <c r="AF292" s="185">
        <f t="shared" si="250"/>
        <v>4.3709836536494278E-6</v>
      </c>
      <c r="AG292" s="185">
        <f t="shared" si="250"/>
        <v>4.3709836536494278E-6</v>
      </c>
      <c r="AH292" s="185">
        <f t="shared" si="250"/>
        <v>4.3709836536494278E-6</v>
      </c>
      <c r="AI292" s="185">
        <f t="shared" si="250"/>
        <v>4.3709836536494278E-6</v>
      </c>
      <c r="AJ292" s="185">
        <f t="shared" si="250"/>
        <v>4.3709836536494278E-6</v>
      </c>
      <c r="AK292" s="185">
        <f t="shared" si="250"/>
        <v>4.3709836536494278E-6</v>
      </c>
      <c r="AL292" s="185">
        <f t="shared" si="250"/>
        <v>4.3709836536494278E-6</v>
      </c>
      <c r="AM292" s="185">
        <f t="shared" si="250"/>
        <v>4.3709836536494278E-6</v>
      </c>
      <c r="AN292" s="185">
        <f t="shared" si="250"/>
        <v>4.3709836536494278E-6</v>
      </c>
      <c r="AO292" s="185">
        <f t="shared" si="250"/>
        <v>4.3709836536494278E-6</v>
      </c>
      <c r="AP292" s="185">
        <f t="shared" si="250"/>
        <v>4.3709836536494278E-6</v>
      </c>
      <c r="AQ292" s="185">
        <f t="shared" si="250"/>
        <v>4.3709836536494278E-6</v>
      </c>
      <c r="AR292" s="185">
        <f t="shared" si="250"/>
        <v>4.3709836536494278E-6</v>
      </c>
      <c r="AS292" s="205">
        <f t="shared" ref="AS292:BV292" si="251">AR292</f>
        <v>4.3709836536494278E-6</v>
      </c>
      <c r="AT292" s="205">
        <f t="shared" si="251"/>
        <v>4.3709836536494278E-6</v>
      </c>
      <c r="AU292" s="205">
        <f t="shared" si="251"/>
        <v>4.3709836536494278E-6</v>
      </c>
      <c r="AV292" s="205">
        <f t="shared" si="251"/>
        <v>4.3709836536494278E-6</v>
      </c>
      <c r="AW292" s="205">
        <f t="shared" si="251"/>
        <v>4.3709836536494278E-6</v>
      </c>
      <c r="AX292" s="205">
        <f t="shared" si="251"/>
        <v>4.3709836536494278E-6</v>
      </c>
      <c r="AY292" s="205">
        <f t="shared" si="251"/>
        <v>4.3709836536494278E-6</v>
      </c>
      <c r="AZ292" s="205">
        <f t="shared" si="251"/>
        <v>4.3709836536494278E-6</v>
      </c>
      <c r="BA292" s="205">
        <f t="shared" si="251"/>
        <v>4.3709836536494278E-6</v>
      </c>
      <c r="BB292" s="205">
        <f t="shared" si="251"/>
        <v>4.3709836536494278E-6</v>
      </c>
      <c r="BC292" s="205">
        <f t="shared" si="251"/>
        <v>4.3709836536494278E-6</v>
      </c>
      <c r="BD292" s="205">
        <f t="shared" si="251"/>
        <v>4.3709836536494278E-6</v>
      </c>
      <c r="BE292" s="205">
        <f t="shared" si="251"/>
        <v>4.3709836536494278E-6</v>
      </c>
      <c r="BF292" s="205">
        <f t="shared" si="251"/>
        <v>4.3709836536494278E-6</v>
      </c>
      <c r="BG292" s="205">
        <f t="shared" si="251"/>
        <v>4.3709836536494278E-6</v>
      </c>
      <c r="BH292" s="205">
        <f t="shared" si="251"/>
        <v>4.3709836536494278E-6</v>
      </c>
      <c r="BI292" s="205">
        <f t="shared" si="251"/>
        <v>4.3709836536494278E-6</v>
      </c>
      <c r="BJ292" s="205">
        <f t="shared" si="251"/>
        <v>4.3709836536494278E-6</v>
      </c>
      <c r="BK292" s="205">
        <f t="shared" si="251"/>
        <v>4.3709836536494278E-6</v>
      </c>
      <c r="BL292" s="205">
        <f t="shared" si="251"/>
        <v>4.3709836536494278E-6</v>
      </c>
      <c r="BM292" s="205">
        <f t="shared" si="251"/>
        <v>4.3709836536494278E-6</v>
      </c>
      <c r="BN292" s="205">
        <f t="shared" si="251"/>
        <v>4.3709836536494278E-6</v>
      </c>
      <c r="BO292" s="205">
        <f t="shared" si="251"/>
        <v>4.3709836536494278E-6</v>
      </c>
      <c r="BP292" s="205">
        <f t="shared" si="251"/>
        <v>4.3709836536494278E-6</v>
      </c>
      <c r="BQ292" s="205">
        <f t="shared" si="251"/>
        <v>4.3709836536494278E-6</v>
      </c>
      <c r="BR292" s="205">
        <f t="shared" si="251"/>
        <v>4.3709836536494278E-6</v>
      </c>
      <c r="BS292" s="205">
        <f t="shared" si="251"/>
        <v>4.3709836536494278E-6</v>
      </c>
      <c r="BT292" s="205">
        <f t="shared" si="251"/>
        <v>4.3709836536494278E-6</v>
      </c>
      <c r="BU292" s="205">
        <f t="shared" si="251"/>
        <v>4.3709836536494278E-6</v>
      </c>
      <c r="BV292" s="205">
        <f t="shared" si="251"/>
        <v>4.3709836536494278E-6</v>
      </c>
    </row>
    <row r="293" spans="1:74" x14ac:dyDescent="0.25">
      <c r="A293" s="149" t="s">
        <v>14</v>
      </c>
      <c r="B293" s="156"/>
      <c r="C293" s="150"/>
      <c r="D293" s="185">
        <f t="shared" ref="D293:AR293" si="252">D229*D$47</f>
        <v>2.7421916441116344E-5</v>
      </c>
      <c r="E293" s="185">
        <f t="shared" si="252"/>
        <v>2.7381330020968159E-5</v>
      </c>
      <c r="F293" s="185">
        <f t="shared" si="252"/>
        <v>2.7340863564940422E-5</v>
      </c>
      <c r="G293" s="185">
        <f t="shared" si="252"/>
        <v>2.7300516541938508E-5</v>
      </c>
      <c r="H293" s="185">
        <f t="shared" si="252"/>
        <v>2.7260288423998148E-5</v>
      </c>
      <c r="I293" s="185">
        <f t="shared" si="252"/>
        <v>2.7220178686262361E-5</v>
      </c>
      <c r="J293" s="185">
        <f t="shared" si="252"/>
        <v>2.7191601015852149E-5</v>
      </c>
      <c r="K293" s="185">
        <f t="shared" si="252"/>
        <v>2.7177334754827524E-5</v>
      </c>
      <c r="L293" s="185">
        <f t="shared" si="252"/>
        <v>2.7141734340889796E-5</v>
      </c>
      <c r="M293" s="185">
        <f t="shared" si="252"/>
        <v>2.7170207195631338E-5</v>
      </c>
      <c r="N293" s="185">
        <f t="shared" si="252"/>
        <v>2.727033434518255E-5</v>
      </c>
      <c r="O293" s="185">
        <f t="shared" si="252"/>
        <v>2.7198739778499933E-5</v>
      </c>
      <c r="P293" s="185">
        <f t="shared" si="252"/>
        <v>2.719873986679523E-5</v>
      </c>
      <c r="Q293" s="185">
        <f t="shared" si="252"/>
        <v>2.7120418848167532E-5</v>
      </c>
      <c r="R293" s="185">
        <f t="shared" si="252"/>
        <v>2.7113321080325714E-5</v>
      </c>
      <c r="S293" s="185">
        <f t="shared" si="252"/>
        <v>2.7077888871239459E-5</v>
      </c>
      <c r="T293" s="185">
        <f t="shared" si="252"/>
        <v>2.7077888005918938E-5</v>
      </c>
      <c r="U293" s="185">
        <f t="shared" si="252"/>
        <v>2.7184465585479339E-5</v>
      </c>
      <c r="V293" s="185">
        <f t="shared" si="252"/>
        <v>2.6972143412561949E-5</v>
      </c>
      <c r="W293" s="185">
        <f t="shared" si="252"/>
        <v>2.6958105004664386E-5</v>
      </c>
      <c r="X293" s="185">
        <f t="shared" si="252"/>
        <v>2.6895119460728506E-5</v>
      </c>
      <c r="Y293" s="185">
        <f t="shared" si="252"/>
        <v>2.6867219158563552E-5</v>
      </c>
      <c r="Z293" s="185">
        <f t="shared" si="252"/>
        <v>2.6742384461495272E-5</v>
      </c>
      <c r="AA293" s="185">
        <f t="shared" si="252"/>
        <v>2.6666665996349268E-5</v>
      </c>
      <c r="AB293" s="185">
        <f t="shared" si="252"/>
        <v>2.6564103093349221E-5</v>
      </c>
      <c r="AC293" s="185">
        <f t="shared" si="252"/>
        <v>2.6401631335667657E-5</v>
      </c>
      <c r="AD293" s="185">
        <f t="shared" si="252"/>
        <v>2.6543689071785498E-5</v>
      </c>
      <c r="AE293" s="185">
        <f t="shared" si="252"/>
        <v>2.6415100071115674E-5</v>
      </c>
      <c r="AF293" s="185">
        <f t="shared" si="252"/>
        <v>2.6415100071115674E-5</v>
      </c>
      <c r="AG293" s="185">
        <f t="shared" si="252"/>
        <v>2.6415100071115674E-5</v>
      </c>
      <c r="AH293" s="185">
        <f t="shared" si="252"/>
        <v>2.6415100071115674E-5</v>
      </c>
      <c r="AI293" s="185">
        <f t="shared" si="252"/>
        <v>2.6415100071115674E-5</v>
      </c>
      <c r="AJ293" s="185">
        <f t="shared" si="252"/>
        <v>2.6415100071115674E-5</v>
      </c>
      <c r="AK293" s="185">
        <f t="shared" si="252"/>
        <v>2.6415100071115674E-5</v>
      </c>
      <c r="AL293" s="185">
        <f t="shared" si="252"/>
        <v>2.6415100071115674E-5</v>
      </c>
      <c r="AM293" s="185">
        <f t="shared" si="252"/>
        <v>2.6415100071115674E-5</v>
      </c>
      <c r="AN293" s="185">
        <f t="shared" si="252"/>
        <v>2.6415100071115674E-5</v>
      </c>
      <c r="AO293" s="185">
        <f t="shared" si="252"/>
        <v>2.6415100071115674E-5</v>
      </c>
      <c r="AP293" s="185">
        <f t="shared" si="252"/>
        <v>2.6415100071115674E-5</v>
      </c>
      <c r="AQ293" s="185">
        <f t="shared" si="252"/>
        <v>2.6415100071115674E-5</v>
      </c>
      <c r="AR293" s="185">
        <f t="shared" si="252"/>
        <v>2.6415100071115674E-5</v>
      </c>
      <c r="AS293" s="205">
        <f t="shared" ref="AS293:BV293" si="253">AR293</f>
        <v>2.6415100071115674E-5</v>
      </c>
      <c r="AT293" s="205">
        <f t="shared" si="253"/>
        <v>2.6415100071115674E-5</v>
      </c>
      <c r="AU293" s="205">
        <f t="shared" si="253"/>
        <v>2.6415100071115674E-5</v>
      </c>
      <c r="AV293" s="205">
        <f t="shared" si="253"/>
        <v>2.6415100071115674E-5</v>
      </c>
      <c r="AW293" s="205">
        <f t="shared" si="253"/>
        <v>2.6415100071115674E-5</v>
      </c>
      <c r="AX293" s="205">
        <f t="shared" si="253"/>
        <v>2.6415100071115674E-5</v>
      </c>
      <c r="AY293" s="205">
        <f t="shared" si="253"/>
        <v>2.6415100071115674E-5</v>
      </c>
      <c r="AZ293" s="205">
        <f t="shared" si="253"/>
        <v>2.6415100071115674E-5</v>
      </c>
      <c r="BA293" s="205">
        <f t="shared" si="253"/>
        <v>2.6415100071115674E-5</v>
      </c>
      <c r="BB293" s="205">
        <f t="shared" si="253"/>
        <v>2.6415100071115674E-5</v>
      </c>
      <c r="BC293" s="205">
        <f t="shared" si="253"/>
        <v>2.6415100071115674E-5</v>
      </c>
      <c r="BD293" s="205">
        <f t="shared" si="253"/>
        <v>2.6415100071115674E-5</v>
      </c>
      <c r="BE293" s="205">
        <f t="shared" si="253"/>
        <v>2.6415100071115674E-5</v>
      </c>
      <c r="BF293" s="205">
        <f t="shared" si="253"/>
        <v>2.6415100071115674E-5</v>
      </c>
      <c r="BG293" s="205">
        <f t="shared" si="253"/>
        <v>2.6415100071115674E-5</v>
      </c>
      <c r="BH293" s="205">
        <f t="shared" si="253"/>
        <v>2.6415100071115674E-5</v>
      </c>
      <c r="BI293" s="205">
        <f t="shared" si="253"/>
        <v>2.6415100071115674E-5</v>
      </c>
      <c r="BJ293" s="205">
        <f t="shared" si="253"/>
        <v>2.6415100071115674E-5</v>
      </c>
      <c r="BK293" s="205">
        <f t="shared" si="253"/>
        <v>2.6415100071115674E-5</v>
      </c>
      <c r="BL293" s="205">
        <f t="shared" si="253"/>
        <v>2.6415100071115674E-5</v>
      </c>
      <c r="BM293" s="205">
        <f t="shared" si="253"/>
        <v>2.6415100071115674E-5</v>
      </c>
      <c r="BN293" s="205">
        <f t="shared" si="253"/>
        <v>2.6415100071115674E-5</v>
      </c>
      <c r="BO293" s="205">
        <f t="shared" si="253"/>
        <v>2.6415100071115674E-5</v>
      </c>
      <c r="BP293" s="205">
        <f t="shared" si="253"/>
        <v>2.6415100071115674E-5</v>
      </c>
      <c r="BQ293" s="205">
        <f t="shared" si="253"/>
        <v>2.6415100071115674E-5</v>
      </c>
      <c r="BR293" s="205">
        <f t="shared" si="253"/>
        <v>2.6415100071115674E-5</v>
      </c>
      <c r="BS293" s="205">
        <f t="shared" si="253"/>
        <v>2.6415100071115674E-5</v>
      </c>
      <c r="BT293" s="205">
        <f t="shared" si="253"/>
        <v>2.6415100071115674E-5</v>
      </c>
      <c r="BU293" s="205">
        <f t="shared" si="253"/>
        <v>2.6415100071115674E-5</v>
      </c>
      <c r="BV293" s="205">
        <f t="shared" si="253"/>
        <v>2.6415100071115674E-5</v>
      </c>
    </row>
    <row r="294" spans="1:74" x14ac:dyDescent="0.25">
      <c r="A294" s="149" t="s">
        <v>216</v>
      </c>
      <c r="B294" s="150"/>
      <c r="C294" s="150"/>
      <c r="D294" s="185">
        <f t="shared" ref="D294:AR294" si="254">D230*D$47</f>
        <v>7.5539568600920088E-5</v>
      </c>
      <c r="E294" s="185">
        <f t="shared" si="254"/>
        <v>7.5539568690668785E-5</v>
      </c>
      <c r="F294" s="185">
        <f t="shared" si="254"/>
        <v>7.5539568780417482E-5</v>
      </c>
      <c r="G294" s="185">
        <f t="shared" si="254"/>
        <v>7.5539568870166179E-5</v>
      </c>
      <c r="H294" s="185">
        <f t="shared" si="254"/>
        <v>7.5539568959914877E-5</v>
      </c>
      <c r="I294" s="185">
        <f t="shared" si="254"/>
        <v>7.5539569049663588E-5</v>
      </c>
      <c r="J294" s="185">
        <f t="shared" si="254"/>
        <v>7.5539566959364435E-5</v>
      </c>
      <c r="K294" s="185">
        <f t="shared" si="254"/>
        <v>7.5539567619222075E-5</v>
      </c>
      <c r="L294" s="185">
        <f t="shared" si="254"/>
        <v>7.2351419988604372E-5</v>
      </c>
      <c r="M294" s="185">
        <f t="shared" si="254"/>
        <v>7.2491908059125378E-5</v>
      </c>
      <c r="N294" s="185">
        <f t="shared" si="254"/>
        <v>7.2491909090205561E-5</v>
      </c>
      <c r="O294" s="185">
        <f t="shared" si="254"/>
        <v>7.2491909189027092E-5</v>
      </c>
      <c r="P294" s="185">
        <f t="shared" si="254"/>
        <v>7.2491908926267402E-5</v>
      </c>
      <c r="Q294" s="185">
        <f t="shared" si="254"/>
        <v>7.2491909417516859E-5</v>
      </c>
      <c r="R294" s="185">
        <f t="shared" si="254"/>
        <v>7.2491909082715418E-5</v>
      </c>
      <c r="S294" s="185">
        <f t="shared" si="254"/>
        <v>7.2491909521157168E-5</v>
      </c>
      <c r="T294" s="185">
        <f t="shared" si="254"/>
        <v>7.2491920707871185E-5</v>
      </c>
      <c r="U294" s="185">
        <f t="shared" si="254"/>
        <v>7.249193193296421E-5</v>
      </c>
      <c r="V294" s="185">
        <f t="shared" si="254"/>
        <v>7.2491924224218825E-5</v>
      </c>
      <c r="W294" s="185">
        <f t="shared" si="254"/>
        <v>7.2491922159283417E-5</v>
      </c>
      <c r="X294" s="185">
        <f t="shared" si="254"/>
        <v>7.2491931806978387E-5</v>
      </c>
      <c r="Y294" s="185">
        <f t="shared" si="254"/>
        <v>7.2491914227608501E-5</v>
      </c>
      <c r="Z294" s="185">
        <f t="shared" si="254"/>
        <v>7.2491925586123921E-5</v>
      </c>
      <c r="AA294" s="185">
        <f t="shared" si="254"/>
        <v>7.2491892117631498E-5</v>
      </c>
      <c r="AB294" s="185">
        <f t="shared" si="254"/>
        <v>7.2487305647370693E-5</v>
      </c>
      <c r="AC294" s="185">
        <f t="shared" si="254"/>
        <v>7.2487293594872005E-5</v>
      </c>
      <c r="AD294" s="185">
        <f t="shared" si="254"/>
        <v>7.2487317144627385E-5</v>
      </c>
      <c r="AE294" s="185">
        <f t="shared" si="254"/>
        <v>7.2487317144627385E-5</v>
      </c>
      <c r="AF294" s="185">
        <f t="shared" si="254"/>
        <v>7.2487317144627385E-5</v>
      </c>
      <c r="AG294" s="185">
        <f t="shared" si="254"/>
        <v>7.2487317144627385E-5</v>
      </c>
      <c r="AH294" s="185">
        <f t="shared" si="254"/>
        <v>7.2487317144627385E-5</v>
      </c>
      <c r="AI294" s="185">
        <f t="shared" si="254"/>
        <v>7.2487317144627385E-5</v>
      </c>
      <c r="AJ294" s="185">
        <f t="shared" si="254"/>
        <v>7.2487317144627385E-5</v>
      </c>
      <c r="AK294" s="185">
        <f t="shared" si="254"/>
        <v>7.2487317144627385E-5</v>
      </c>
      <c r="AL294" s="185">
        <f t="shared" si="254"/>
        <v>7.2487317144627385E-5</v>
      </c>
      <c r="AM294" s="185">
        <f t="shared" si="254"/>
        <v>7.2487317144627385E-5</v>
      </c>
      <c r="AN294" s="185">
        <f t="shared" si="254"/>
        <v>7.2487317144627385E-5</v>
      </c>
      <c r="AO294" s="185">
        <f t="shared" si="254"/>
        <v>7.2487317144627385E-5</v>
      </c>
      <c r="AP294" s="185">
        <f t="shared" si="254"/>
        <v>7.2487317144627385E-5</v>
      </c>
      <c r="AQ294" s="185">
        <f t="shared" si="254"/>
        <v>7.2487317144627385E-5</v>
      </c>
      <c r="AR294" s="185">
        <f t="shared" si="254"/>
        <v>7.2487317144627385E-5</v>
      </c>
      <c r="AS294" s="205">
        <f t="shared" ref="AS294:BV294" si="255">AR294</f>
        <v>7.2487317144627385E-5</v>
      </c>
      <c r="AT294" s="205">
        <f t="shared" si="255"/>
        <v>7.2487317144627385E-5</v>
      </c>
      <c r="AU294" s="205">
        <f t="shared" si="255"/>
        <v>7.2487317144627385E-5</v>
      </c>
      <c r="AV294" s="205">
        <f t="shared" si="255"/>
        <v>7.2487317144627385E-5</v>
      </c>
      <c r="AW294" s="205">
        <f t="shared" si="255"/>
        <v>7.2487317144627385E-5</v>
      </c>
      <c r="AX294" s="205">
        <f t="shared" si="255"/>
        <v>7.2487317144627385E-5</v>
      </c>
      <c r="AY294" s="205">
        <f t="shared" si="255"/>
        <v>7.2487317144627385E-5</v>
      </c>
      <c r="AZ294" s="205">
        <f t="shared" si="255"/>
        <v>7.2487317144627385E-5</v>
      </c>
      <c r="BA294" s="205">
        <f t="shared" si="255"/>
        <v>7.2487317144627385E-5</v>
      </c>
      <c r="BB294" s="205">
        <f t="shared" si="255"/>
        <v>7.2487317144627385E-5</v>
      </c>
      <c r="BC294" s="205">
        <f t="shared" si="255"/>
        <v>7.2487317144627385E-5</v>
      </c>
      <c r="BD294" s="205">
        <f t="shared" si="255"/>
        <v>7.2487317144627385E-5</v>
      </c>
      <c r="BE294" s="205">
        <f t="shared" si="255"/>
        <v>7.2487317144627385E-5</v>
      </c>
      <c r="BF294" s="205">
        <f t="shared" si="255"/>
        <v>7.2487317144627385E-5</v>
      </c>
      <c r="BG294" s="205">
        <f t="shared" si="255"/>
        <v>7.2487317144627385E-5</v>
      </c>
      <c r="BH294" s="205">
        <f t="shared" si="255"/>
        <v>7.2487317144627385E-5</v>
      </c>
      <c r="BI294" s="205">
        <f t="shared" si="255"/>
        <v>7.2487317144627385E-5</v>
      </c>
      <c r="BJ294" s="205">
        <f t="shared" si="255"/>
        <v>7.2487317144627385E-5</v>
      </c>
      <c r="BK294" s="205">
        <f t="shared" si="255"/>
        <v>7.2487317144627385E-5</v>
      </c>
      <c r="BL294" s="205">
        <f t="shared" si="255"/>
        <v>7.2487317144627385E-5</v>
      </c>
      <c r="BM294" s="205">
        <f t="shared" si="255"/>
        <v>7.2487317144627385E-5</v>
      </c>
      <c r="BN294" s="205">
        <f t="shared" si="255"/>
        <v>7.2487317144627385E-5</v>
      </c>
      <c r="BO294" s="205">
        <f t="shared" si="255"/>
        <v>7.2487317144627385E-5</v>
      </c>
      <c r="BP294" s="205">
        <f t="shared" si="255"/>
        <v>7.2487317144627385E-5</v>
      </c>
      <c r="BQ294" s="205">
        <f t="shared" si="255"/>
        <v>7.2487317144627385E-5</v>
      </c>
      <c r="BR294" s="205">
        <f t="shared" si="255"/>
        <v>7.2487317144627385E-5</v>
      </c>
      <c r="BS294" s="205">
        <f t="shared" si="255"/>
        <v>7.2487317144627385E-5</v>
      </c>
      <c r="BT294" s="205">
        <f t="shared" si="255"/>
        <v>7.2487317144627385E-5</v>
      </c>
      <c r="BU294" s="205">
        <f t="shared" si="255"/>
        <v>7.2487317144627385E-5</v>
      </c>
      <c r="BV294" s="205">
        <f t="shared" si="255"/>
        <v>7.2487317144627385E-5</v>
      </c>
    </row>
    <row r="295" spans="1:74" x14ac:dyDescent="0.25">
      <c r="A295" s="155" t="s">
        <v>228</v>
      </c>
      <c r="C295" s="150"/>
      <c r="D295" s="185">
        <f t="shared" ref="D295:AR295" si="256">D231*D$47</f>
        <v>2.6321971944495198E-5</v>
      </c>
      <c r="E295" s="185">
        <f t="shared" si="256"/>
        <v>2.6321972841809881E-5</v>
      </c>
      <c r="F295" s="185">
        <f t="shared" si="256"/>
        <v>2.6321973739124628E-5</v>
      </c>
      <c r="G295" s="185">
        <f t="shared" si="256"/>
        <v>2.6321974636439437E-5</v>
      </c>
      <c r="H295" s="185">
        <f t="shared" si="256"/>
        <v>2.6321975533754303E-5</v>
      </c>
      <c r="I295" s="185">
        <f t="shared" si="256"/>
        <v>2.6321976431069227E-5</v>
      </c>
      <c r="J295" s="185">
        <f t="shared" si="256"/>
        <v>2.6321973125526867E-5</v>
      </c>
      <c r="K295" s="185">
        <f t="shared" si="256"/>
        <v>2.6321974758503966E-5</v>
      </c>
      <c r="L295" s="185">
        <f t="shared" si="256"/>
        <v>2.6550776427885023E-5</v>
      </c>
      <c r="M295" s="185">
        <f t="shared" si="256"/>
        <v>2.6550771630717088E-5</v>
      </c>
      <c r="N295" s="185">
        <f t="shared" si="256"/>
        <v>2.6550771629672747E-5</v>
      </c>
      <c r="O295" s="185">
        <f t="shared" si="256"/>
        <v>2.655076944374248E-5</v>
      </c>
      <c r="P295" s="185">
        <f t="shared" si="256"/>
        <v>2.6550774437620808E-5</v>
      </c>
      <c r="Q295" s="185">
        <f t="shared" si="256"/>
        <v>2.6550769761827323E-5</v>
      </c>
      <c r="R295" s="185">
        <f t="shared" si="256"/>
        <v>2.6550770727469701E-5</v>
      </c>
      <c r="S295" s="185">
        <f t="shared" si="256"/>
        <v>2.6550765569690007E-5</v>
      </c>
      <c r="T295" s="185">
        <f t="shared" si="256"/>
        <v>2.6550761070570177E-5</v>
      </c>
      <c r="U295" s="185">
        <f t="shared" si="256"/>
        <v>2.6550807134903982E-5</v>
      </c>
      <c r="V295" s="185">
        <f t="shared" si="256"/>
        <v>2.655075355713391E-5</v>
      </c>
      <c r="W295" s="185">
        <f t="shared" si="256"/>
        <v>2.6550817199185415E-5</v>
      </c>
      <c r="X295" s="185">
        <f t="shared" si="256"/>
        <v>2.6550791213193567E-5</v>
      </c>
      <c r="Y295" s="185">
        <f t="shared" si="256"/>
        <v>2.6550756098347616E-5</v>
      </c>
      <c r="Z295" s="185">
        <f t="shared" si="256"/>
        <v>2.6550792758207524E-5</v>
      </c>
      <c r="AA295" s="185">
        <f t="shared" si="256"/>
        <v>2.6550792758207524E-5</v>
      </c>
      <c r="AB295" s="185">
        <f t="shared" si="256"/>
        <v>2.6550792758207524E-5</v>
      </c>
      <c r="AC295" s="185">
        <f t="shared" si="256"/>
        <v>2.6550792758207524E-5</v>
      </c>
      <c r="AD295" s="185">
        <f t="shared" si="256"/>
        <v>2.6550957712459096E-5</v>
      </c>
      <c r="AE295" s="185">
        <f t="shared" si="256"/>
        <v>2.6550921544773507E-5</v>
      </c>
      <c r="AF295" s="185">
        <f t="shared" si="256"/>
        <v>2.6550921544773507E-5</v>
      </c>
      <c r="AG295" s="185">
        <f t="shared" si="256"/>
        <v>2.6550921544773507E-5</v>
      </c>
      <c r="AH295" s="185">
        <f t="shared" si="256"/>
        <v>2.6550921544773507E-5</v>
      </c>
      <c r="AI295" s="185">
        <f t="shared" si="256"/>
        <v>2.6550921544773507E-5</v>
      </c>
      <c r="AJ295" s="185">
        <f t="shared" si="256"/>
        <v>2.6550921544773507E-5</v>
      </c>
      <c r="AK295" s="185">
        <f t="shared" si="256"/>
        <v>2.6550921544773507E-5</v>
      </c>
      <c r="AL295" s="185">
        <f t="shared" si="256"/>
        <v>2.6550921544773507E-5</v>
      </c>
      <c r="AM295" s="185">
        <f t="shared" si="256"/>
        <v>2.6550921544773507E-5</v>
      </c>
      <c r="AN295" s="185">
        <f t="shared" si="256"/>
        <v>2.6550921544773507E-5</v>
      </c>
      <c r="AO295" s="185">
        <f t="shared" si="256"/>
        <v>2.6550921544773507E-5</v>
      </c>
      <c r="AP295" s="185">
        <f t="shared" si="256"/>
        <v>2.6550921544773507E-5</v>
      </c>
      <c r="AQ295" s="185">
        <f t="shared" si="256"/>
        <v>2.6550921544773507E-5</v>
      </c>
      <c r="AR295" s="185">
        <f t="shared" si="256"/>
        <v>2.6550921544773507E-5</v>
      </c>
      <c r="AS295" s="205">
        <f t="shared" ref="AS295:BV295" si="257">AR295</f>
        <v>2.6550921544773507E-5</v>
      </c>
      <c r="AT295" s="205">
        <f t="shared" si="257"/>
        <v>2.6550921544773507E-5</v>
      </c>
      <c r="AU295" s="205">
        <f t="shared" si="257"/>
        <v>2.6550921544773507E-5</v>
      </c>
      <c r="AV295" s="205">
        <f t="shared" si="257"/>
        <v>2.6550921544773507E-5</v>
      </c>
      <c r="AW295" s="205">
        <f t="shared" si="257"/>
        <v>2.6550921544773507E-5</v>
      </c>
      <c r="AX295" s="205">
        <f t="shared" si="257"/>
        <v>2.6550921544773507E-5</v>
      </c>
      <c r="AY295" s="205">
        <f t="shared" si="257"/>
        <v>2.6550921544773507E-5</v>
      </c>
      <c r="AZ295" s="205">
        <f t="shared" si="257"/>
        <v>2.6550921544773507E-5</v>
      </c>
      <c r="BA295" s="205">
        <f t="shared" si="257"/>
        <v>2.6550921544773507E-5</v>
      </c>
      <c r="BB295" s="205">
        <f t="shared" si="257"/>
        <v>2.6550921544773507E-5</v>
      </c>
      <c r="BC295" s="205">
        <f t="shared" si="257"/>
        <v>2.6550921544773507E-5</v>
      </c>
      <c r="BD295" s="205">
        <f t="shared" si="257"/>
        <v>2.6550921544773507E-5</v>
      </c>
      <c r="BE295" s="205">
        <f t="shared" si="257"/>
        <v>2.6550921544773507E-5</v>
      </c>
      <c r="BF295" s="205">
        <f t="shared" si="257"/>
        <v>2.6550921544773507E-5</v>
      </c>
      <c r="BG295" s="205">
        <f t="shared" si="257"/>
        <v>2.6550921544773507E-5</v>
      </c>
      <c r="BH295" s="205">
        <f t="shared" si="257"/>
        <v>2.6550921544773507E-5</v>
      </c>
      <c r="BI295" s="205">
        <f t="shared" si="257"/>
        <v>2.6550921544773507E-5</v>
      </c>
      <c r="BJ295" s="205">
        <f t="shared" si="257"/>
        <v>2.6550921544773507E-5</v>
      </c>
      <c r="BK295" s="205">
        <f t="shared" si="257"/>
        <v>2.6550921544773507E-5</v>
      </c>
      <c r="BL295" s="205">
        <f t="shared" si="257"/>
        <v>2.6550921544773507E-5</v>
      </c>
      <c r="BM295" s="205">
        <f t="shared" si="257"/>
        <v>2.6550921544773507E-5</v>
      </c>
      <c r="BN295" s="205">
        <f t="shared" si="257"/>
        <v>2.6550921544773507E-5</v>
      </c>
      <c r="BO295" s="205">
        <f t="shared" si="257"/>
        <v>2.6550921544773507E-5</v>
      </c>
      <c r="BP295" s="205">
        <f t="shared" si="257"/>
        <v>2.6550921544773507E-5</v>
      </c>
      <c r="BQ295" s="205">
        <f t="shared" si="257"/>
        <v>2.6550921544773507E-5</v>
      </c>
      <c r="BR295" s="205">
        <f t="shared" si="257"/>
        <v>2.6550921544773507E-5</v>
      </c>
      <c r="BS295" s="205">
        <f t="shared" si="257"/>
        <v>2.6550921544773507E-5</v>
      </c>
      <c r="BT295" s="205">
        <f t="shared" si="257"/>
        <v>2.6550921544773507E-5</v>
      </c>
      <c r="BU295" s="205">
        <f t="shared" si="257"/>
        <v>2.6550921544773507E-5</v>
      </c>
      <c r="BV295" s="205">
        <f t="shared" si="257"/>
        <v>2.6550921544773507E-5</v>
      </c>
    </row>
    <row r="296" spans="1:74" x14ac:dyDescent="0.25">
      <c r="A296" s="149" t="s">
        <v>222</v>
      </c>
      <c r="B296" s="156"/>
      <c r="C296" s="150"/>
      <c r="D296" s="185">
        <f t="shared" ref="D296:AR296" si="258">D232*D$47</f>
        <v>2.1873951552929095E-5</v>
      </c>
      <c r="E296" s="185">
        <f t="shared" si="258"/>
        <v>2.1994727981065728E-5</v>
      </c>
      <c r="F296" s="185">
        <f t="shared" si="258"/>
        <v>2.2115504409295925E-5</v>
      </c>
      <c r="G296" s="185">
        <f t="shared" si="258"/>
        <v>2.2236280837619682E-5</v>
      </c>
      <c r="H296" s="185">
        <f t="shared" si="258"/>
        <v>2.2357057266037001E-5</v>
      </c>
      <c r="I296" s="185">
        <f t="shared" si="258"/>
        <v>2.2477833694547874E-5</v>
      </c>
      <c r="J296" s="185">
        <f t="shared" si="258"/>
        <v>2.2518092465058956E-5</v>
      </c>
      <c r="K296" s="185">
        <f t="shared" si="258"/>
        <v>2.2558351302916563E-5</v>
      </c>
      <c r="L296" s="185">
        <f t="shared" si="258"/>
        <v>2.2189176470588238E-5</v>
      </c>
      <c r="M296" s="185">
        <f t="shared" si="258"/>
        <v>2.2228705805873902E-5</v>
      </c>
      <c r="N296" s="185">
        <f t="shared" si="258"/>
        <v>2.2268235220572455E-5</v>
      </c>
      <c r="O296" s="185">
        <f t="shared" si="258"/>
        <v>2.2031058759868132E-5</v>
      </c>
      <c r="P296" s="185">
        <f t="shared" si="258"/>
        <v>2.1793882290725942E-5</v>
      </c>
      <c r="Q296" s="185">
        <f t="shared" si="258"/>
        <v>2.1556705882352937E-5</v>
      </c>
      <c r="R296" s="185">
        <f t="shared" si="258"/>
        <v>2.1319529411764695E-5</v>
      </c>
      <c r="S296" s="185">
        <f t="shared" si="258"/>
        <v>2.108235288462726E-5</v>
      </c>
      <c r="T296" s="185">
        <f t="shared" si="258"/>
        <v>2.108235288785678E-5</v>
      </c>
      <c r="U296" s="185">
        <f t="shared" si="258"/>
        <v>2.121411774653503E-5</v>
      </c>
      <c r="V296" s="185">
        <f t="shared" si="258"/>
        <v>2.0818822793889217E-5</v>
      </c>
      <c r="W296" s="185">
        <f t="shared" si="258"/>
        <v>2.1082350754587412E-5</v>
      </c>
      <c r="X296" s="185">
        <f t="shared" si="258"/>
        <v>2.1148237503736741E-5</v>
      </c>
      <c r="Y296" s="185">
        <f t="shared" si="258"/>
        <v>2.1477646669763424E-5</v>
      </c>
      <c r="Z296" s="185">
        <f t="shared" si="258"/>
        <v>2.3669624825336229E-5</v>
      </c>
      <c r="AA296" s="185">
        <f t="shared" si="258"/>
        <v>2.4057646834226084E-5</v>
      </c>
      <c r="AB296" s="185">
        <f t="shared" si="258"/>
        <v>2.4057646834226084E-5</v>
      </c>
      <c r="AC296" s="185">
        <f t="shared" si="258"/>
        <v>2.4057646834226084E-5</v>
      </c>
      <c r="AD296" s="185">
        <f t="shared" si="258"/>
        <v>2.4057649873707521E-5</v>
      </c>
      <c r="AE296" s="185">
        <f t="shared" si="258"/>
        <v>2.4057649873707521E-5</v>
      </c>
      <c r="AF296" s="185">
        <f t="shared" si="258"/>
        <v>2.4057649873707521E-5</v>
      </c>
      <c r="AG296" s="185">
        <f t="shared" si="258"/>
        <v>2.4057649873707521E-5</v>
      </c>
      <c r="AH296" s="185">
        <f t="shared" si="258"/>
        <v>2.4057649873707521E-5</v>
      </c>
      <c r="AI296" s="185">
        <f t="shared" si="258"/>
        <v>2.4057649873707521E-5</v>
      </c>
      <c r="AJ296" s="185">
        <f t="shared" si="258"/>
        <v>2.4057649873707521E-5</v>
      </c>
      <c r="AK296" s="185">
        <f t="shared" si="258"/>
        <v>2.4057649873707521E-5</v>
      </c>
      <c r="AL296" s="185">
        <f t="shared" si="258"/>
        <v>2.4057649873707521E-5</v>
      </c>
      <c r="AM296" s="185">
        <f t="shared" si="258"/>
        <v>2.4057649873707521E-5</v>
      </c>
      <c r="AN296" s="185">
        <f t="shared" si="258"/>
        <v>2.4057649873707521E-5</v>
      </c>
      <c r="AO296" s="185">
        <f t="shared" si="258"/>
        <v>2.4057649873707521E-5</v>
      </c>
      <c r="AP296" s="185">
        <f t="shared" si="258"/>
        <v>2.4057649873707521E-5</v>
      </c>
      <c r="AQ296" s="185">
        <f t="shared" si="258"/>
        <v>2.4057649873707521E-5</v>
      </c>
      <c r="AR296" s="185">
        <f t="shared" si="258"/>
        <v>2.4057649873707521E-5</v>
      </c>
      <c r="AS296" s="205">
        <f t="shared" ref="AS296:BV296" si="259">AR296</f>
        <v>2.4057649873707521E-5</v>
      </c>
      <c r="AT296" s="205">
        <f t="shared" si="259"/>
        <v>2.4057649873707521E-5</v>
      </c>
      <c r="AU296" s="205">
        <f t="shared" si="259"/>
        <v>2.4057649873707521E-5</v>
      </c>
      <c r="AV296" s="205">
        <f t="shared" si="259"/>
        <v>2.4057649873707521E-5</v>
      </c>
      <c r="AW296" s="205">
        <f t="shared" si="259"/>
        <v>2.4057649873707521E-5</v>
      </c>
      <c r="AX296" s="205">
        <f t="shared" si="259"/>
        <v>2.4057649873707521E-5</v>
      </c>
      <c r="AY296" s="205">
        <f t="shared" si="259"/>
        <v>2.4057649873707521E-5</v>
      </c>
      <c r="AZ296" s="205">
        <f t="shared" si="259"/>
        <v>2.4057649873707521E-5</v>
      </c>
      <c r="BA296" s="205">
        <f t="shared" si="259"/>
        <v>2.4057649873707521E-5</v>
      </c>
      <c r="BB296" s="205">
        <f t="shared" si="259"/>
        <v>2.4057649873707521E-5</v>
      </c>
      <c r="BC296" s="205">
        <f t="shared" si="259"/>
        <v>2.4057649873707521E-5</v>
      </c>
      <c r="BD296" s="205">
        <f t="shared" si="259"/>
        <v>2.4057649873707521E-5</v>
      </c>
      <c r="BE296" s="205">
        <f t="shared" si="259"/>
        <v>2.4057649873707521E-5</v>
      </c>
      <c r="BF296" s="205">
        <f t="shared" si="259"/>
        <v>2.4057649873707521E-5</v>
      </c>
      <c r="BG296" s="205">
        <f t="shared" si="259"/>
        <v>2.4057649873707521E-5</v>
      </c>
      <c r="BH296" s="205">
        <f t="shared" si="259"/>
        <v>2.4057649873707521E-5</v>
      </c>
      <c r="BI296" s="205">
        <f t="shared" si="259"/>
        <v>2.4057649873707521E-5</v>
      </c>
      <c r="BJ296" s="205">
        <f t="shared" si="259"/>
        <v>2.4057649873707521E-5</v>
      </c>
      <c r="BK296" s="205">
        <f t="shared" si="259"/>
        <v>2.4057649873707521E-5</v>
      </c>
      <c r="BL296" s="205">
        <f t="shared" si="259"/>
        <v>2.4057649873707521E-5</v>
      </c>
      <c r="BM296" s="205">
        <f t="shared" si="259"/>
        <v>2.4057649873707521E-5</v>
      </c>
      <c r="BN296" s="205">
        <f t="shared" si="259"/>
        <v>2.4057649873707521E-5</v>
      </c>
      <c r="BO296" s="205">
        <f t="shared" si="259"/>
        <v>2.4057649873707521E-5</v>
      </c>
      <c r="BP296" s="205">
        <f t="shared" si="259"/>
        <v>2.4057649873707521E-5</v>
      </c>
      <c r="BQ296" s="205">
        <f t="shared" si="259"/>
        <v>2.4057649873707521E-5</v>
      </c>
      <c r="BR296" s="205">
        <f t="shared" si="259"/>
        <v>2.4057649873707521E-5</v>
      </c>
      <c r="BS296" s="205">
        <f t="shared" si="259"/>
        <v>2.4057649873707521E-5</v>
      </c>
      <c r="BT296" s="205">
        <f t="shared" si="259"/>
        <v>2.4057649873707521E-5</v>
      </c>
      <c r="BU296" s="205">
        <f t="shared" si="259"/>
        <v>2.4057649873707521E-5</v>
      </c>
      <c r="BV296" s="205">
        <f t="shared" si="259"/>
        <v>2.4057649873707521E-5</v>
      </c>
    </row>
    <row r="297" spans="1:74" x14ac:dyDescent="0.25">
      <c r="A297" s="155" t="s">
        <v>229</v>
      </c>
      <c r="C297" s="150"/>
      <c r="D297" s="185">
        <f t="shared" ref="D297:AR297" si="260">D233*D$47</f>
        <v>5.3486150907354344E-5</v>
      </c>
      <c r="E297" s="185">
        <f t="shared" si="260"/>
        <v>5.3486150907354344E-5</v>
      </c>
      <c r="F297" s="185">
        <f t="shared" si="260"/>
        <v>5.3486150907354344E-5</v>
      </c>
      <c r="G297" s="185">
        <f t="shared" si="260"/>
        <v>5.3486150907354344E-5</v>
      </c>
      <c r="H297" s="185">
        <f t="shared" si="260"/>
        <v>5.3486150907354344E-5</v>
      </c>
      <c r="I297" s="185">
        <f t="shared" si="260"/>
        <v>5.3486150907354344E-5</v>
      </c>
      <c r="J297" s="185">
        <f t="shared" si="260"/>
        <v>5.3486150907354344E-5</v>
      </c>
      <c r="K297" s="185">
        <f t="shared" si="260"/>
        <v>5.3486150907354344E-5</v>
      </c>
      <c r="L297" s="185">
        <f t="shared" si="260"/>
        <v>5.3486150907354344E-5</v>
      </c>
      <c r="M297" s="185">
        <f t="shared" si="260"/>
        <v>5.3486150907354344E-5</v>
      </c>
      <c r="N297" s="185">
        <f t="shared" si="260"/>
        <v>5.3486150907354344E-5</v>
      </c>
      <c r="O297" s="185">
        <f t="shared" si="260"/>
        <v>5.3486150907354344E-5</v>
      </c>
      <c r="P297" s="185">
        <f t="shared" si="260"/>
        <v>5.3486150907354344E-5</v>
      </c>
      <c r="Q297" s="185">
        <f t="shared" si="260"/>
        <v>5.3486150907354344E-5</v>
      </c>
      <c r="R297" s="185">
        <f t="shared" si="260"/>
        <v>5.3486150907354344E-5</v>
      </c>
      <c r="S297" s="185">
        <f t="shared" si="260"/>
        <v>5.3486150493543458E-5</v>
      </c>
      <c r="T297" s="185">
        <f t="shared" si="260"/>
        <v>5.3486151648104592E-5</v>
      </c>
      <c r="U297" s="185">
        <f t="shared" si="260"/>
        <v>5.3486151866335543E-5</v>
      </c>
      <c r="V297" s="185">
        <f t="shared" si="260"/>
        <v>5.3486149455892367E-5</v>
      </c>
      <c r="W297" s="185">
        <f t="shared" si="260"/>
        <v>5.3486149787605627E-5</v>
      </c>
      <c r="X297" s="185">
        <f t="shared" si="260"/>
        <v>5.3486152783005047E-5</v>
      </c>
      <c r="Y297" s="185">
        <f t="shared" si="260"/>
        <v>5.3486152526972588E-5</v>
      </c>
      <c r="Z297" s="185">
        <f t="shared" si="260"/>
        <v>5.3486151434099421E-5</v>
      </c>
      <c r="AA297" s="185">
        <f t="shared" si="260"/>
        <v>5.3486149536230467E-5</v>
      </c>
      <c r="AB297" s="185">
        <f t="shared" si="260"/>
        <v>5.3486151174333518E-5</v>
      </c>
      <c r="AC297" s="185">
        <f t="shared" si="260"/>
        <v>5.3486149901948272E-5</v>
      </c>
      <c r="AD297" s="185">
        <f t="shared" si="260"/>
        <v>5.3486152243013629E-5</v>
      </c>
      <c r="AE297" s="185">
        <f t="shared" si="260"/>
        <v>5.3486149340335836E-5</v>
      </c>
      <c r="AF297" s="185">
        <f t="shared" si="260"/>
        <v>5.3486149340335836E-5</v>
      </c>
      <c r="AG297" s="185">
        <f t="shared" si="260"/>
        <v>5.3486149340335836E-5</v>
      </c>
      <c r="AH297" s="185">
        <f t="shared" si="260"/>
        <v>5.3486149340335836E-5</v>
      </c>
      <c r="AI297" s="185">
        <f t="shared" si="260"/>
        <v>5.3486149340335836E-5</v>
      </c>
      <c r="AJ297" s="185">
        <f t="shared" si="260"/>
        <v>5.3486149340335836E-5</v>
      </c>
      <c r="AK297" s="185">
        <f t="shared" si="260"/>
        <v>5.3486149340335836E-5</v>
      </c>
      <c r="AL297" s="185">
        <f t="shared" si="260"/>
        <v>5.3486149340335836E-5</v>
      </c>
      <c r="AM297" s="185">
        <f t="shared" si="260"/>
        <v>5.3486149340335836E-5</v>
      </c>
      <c r="AN297" s="185">
        <f t="shared" si="260"/>
        <v>5.3486149340335836E-5</v>
      </c>
      <c r="AO297" s="185">
        <f t="shared" si="260"/>
        <v>5.3486149340335836E-5</v>
      </c>
      <c r="AP297" s="185">
        <f t="shared" si="260"/>
        <v>5.3486149340335836E-5</v>
      </c>
      <c r="AQ297" s="185">
        <f t="shared" si="260"/>
        <v>5.3486149340335836E-5</v>
      </c>
      <c r="AR297" s="185">
        <f t="shared" si="260"/>
        <v>5.3486149340335836E-5</v>
      </c>
      <c r="AS297" s="205">
        <f t="shared" ref="AS297:BV297" si="261">AR297</f>
        <v>5.3486149340335836E-5</v>
      </c>
      <c r="AT297" s="205">
        <f t="shared" si="261"/>
        <v>5.3486149340335836E-5</v>
      </c>
      <c r="AU297" s="205">
        <f t="shared" si="261"/>
        <v>5.3486149340335836E-5</v>
      </c>
      <c r="AV297" s="205">
        <f t="shared" si="261"/>
        <v>5.3486149340335836E-5</v>
      </c>
      <c r="AW297" s="205">
        <f t="shared" si="261"/>
        <v>5.3486149340335836E-5</v>
      </c>
      <c r="AX297" s="205">
        <f t="shared" si="261"/>
        <v>5.3486149340335836E-5</v>
      </c>
      <c r="AY297" s="205">
        <f t="shared" si="261"/>
        <v>5.3486149340335836E-5</v>
      </c>
      <c r="AZ297" s="205">
        <f t="shared" si="261"/>
        <v>5.3486149340335836E-5</v>
      </c>
      <c r="BA297" s="205">
        <f t="shared" si="261"/>
        <v>5.3486149340335836E-5</v>
      </c>
      <c r="BB297" s="205">
        <f t="shared" si="261"/>
        <v>5.3486149340335836E-5</v>
      </c>
      <c r="BC297" s="205">
        <f t="shared" si="261"/>
        <v>5.3486149340335836E-5</v>
      </c>
      <c r="BD297" s="205">
        <f t="shared" si="261"/>
        <v>5.3486149340335836E-5</v>
      </c>
      <c r="BE297" s="205">
        <f t="shared" si="261"/>
        <v>5.3486149340335836E-5</v>
      </c>
      <c r="BF297" s="205">
        <f t="shared" si="261"/>
        <v>5.3486149340335836E-5</v>
      </c>
      <c r="BG297" s="205">
        <f t="shared" si="261"/>
        <v>5.3486149340335836E-5</v>
      </c>
      <c r="BH297" s="205">
        <f t="shared" si="261"/>
        <v>5.3486149340335836E-5</v>
      </c>
      <c r="BI297" s="205">
        <f t="shared" si="261"/>
        <v>5.3486149340335836E-5</v>
      </c>
      <c r="BJ297" s="205">
        <f t="shared" si="261"/>
        <v>5.3486149340335836E-5</v>
      </c>
      <c r="BK297" s="205">
        <f t="shared" si="261"/>
        <v>5.3486149340335836E-5</v>
      </c>
      <c r="BL297" s="205">
        <f t="shared" si="261"/>
        <v>5.3486149340335836E-5</v>
      </c>
      <c r="BM297" s="205">
        <f t="shared" si="261"/>
        <v>5.3486149340335836E-5</v>
      </c>
      <c r="BN297" s="205">
        <f t="shared" si="261"/>
        <v>5.3486149340335836E-5</v>
      </c>
      <c r="BO297" s="205">
        <f t="shared" si="261"/>
        <v>5.3486149340335836E-5</v>
      </c>
      <c r="BP297" s="205">
        <f t="shared" si="261"/>
        <v>5.3486149340335836E-5</v>
      </c>
      <c r="BQ297" s="205">
        <f t="shared" si="261"/>
        <v>5.3486149340335836E-5</v>
      </c>
      <c r="BR297" s="205">
        <f t="shared" si="261"/>
        <v>5.3486149340335836E-5</v>
      </c>
      <c r="BS297" s="205">
        <f t="shared" si="261"/>
        <v>5.3486149340335836E-5</v>
      </c>
      <c r="BT297" s="205">
        <f t="shared" si="261"/>
        <v>5.3486149340335836E-5</v>
      </c>
      <c r="BU297" s="205">
        <f t="shared" si="261"/>
        <v>5.3486149340335836E-5</v>
      </c>
      <c r="BV297" s="205">
        <f t="shared" si="261"/>
        <v>5.3486149340335836E-5</v>
      </c>
    </row>
    <row r="298" spans="1:74" x14ac:dyDescent="0.25">
      <c r="A298" s="155" t="s">
        <v>230</v>
      </c>
      <c r="C298" s="150"/>
      <c r="D298" s="185">
        <f t="shared" ref="D298:AR298" si="262">D234*D$47</f>
        <v>0</v>
      </c>
      <c r="E298" s="185">
        <f t="shared" si="262"/>
        <v>0</v>
      </c>
      <c r="F298" s="185">
        <f t="shared" si="262"/>
        <v>0</v>
      </c>
      <c r="G298" s="185">
        <f t="shared" si="262"/>
        <v>0</v>
      </c>
      <c r="H298" s="185">
        <f t="shared" si="262"/>
        <v>0</v>
      </c>
      <c r="I298" s="185">
        <f t="shared" si="262"/>
        <v>0</v>
      </c>
      <c r="J298" s="185">
        <f t="shared" si="262"/>
        <v>0</v>
      </c>
      <c r="K298" s="185">
        <f t="shared" si="262"/>
        <v>0</v>
      </c>
      <c r="L298" s="185">
        <f t="shared" si="262"/>
        <v>0</v>
      </c>
      <c r="M298" s="185">
        <f t="shared" si="262"/>
        <v>0</v>
      </c>
      <c r="N298" s="185">
        <f t="shared" si="262"/>
        <v>0</v>
      </c>
      <c r="O298" s="185">
        <f t="shared" si="262"/>
        <v>0</v>
      </c>
      <c r="P298" s="185">
        <f t="shared" si="262"/>
        <v>0</v>
      </c>
      <c r="Q298" s="185">
        <f t="shared" si="262"/>
        <v>0</v>
      </c>
      <c r="R298" s="185">
        <f t="shared" si="262"/>
        <v>0</v>
      </c>
      <c r="S298" s="185">
        <f t="shared" si="262"/>
        <v>0</v>
      </c>
      <c r="T298" s="185">
        <f t="shared" si="262"/>
        <v>0</v>
      </c>
      <c r="U298" s="185">
        <f t="shared" si="262"/>
        <v>0</v>
      </c>
      <c r="V298" s="185">
        <f t="shared" si="262"/>
        <v>0</v>
      </c>
      <c r="W298" s="185">
        <f t="shared" si="262"/>
        <v>0</v>
      </c>
      <c r="X298" s="185">
        <f t="shared" si="262"/>
        <v>0</v>
      </c>
      <c r="Y298" s="185">
        <f t="shared" si="262"/>
        <v>0</v>
      </c>
      <c r="Z298" s="185">
        <f t="shared" si="262"/>
        <v>0</v>
      </c>
      <c r="AA298" s="185">
        <f t="shared" si="262"/>
        <v>0</v>
      </c>
      <c r="AB298" s="185">
        <f t="shared" si="262"/>
        <v>0</v>
      </c>
      <c r="AC298" s="185">
        <f t="shared" si="262"/>
        <v>0</v>
      </c>
      <c r="AD298" s="185">
        <f t="shared" si="262"/>
        <v>0</v>
      </c>
      <c r="AE298" s="185">
        <f t="shared" si="262"/>
        <v>0</v>
      </c>
      <c r="AF298" s="185">
        <f t="shared" si="262"/>
        <v>0</v>
      </c>
      <c r="AG298" s="185">
        <f t="shared" si="262"/>
        <v>0</v>
      </c>
      <c r="AH298" s="185">
        <f t="shared" si="262"/>
        <v>0</v>
      </c>
      <c r="AI298" s="185">
        <f t="shared" si="262"/>
        <v>0</v>
      </c>
      <c r="AJ298" s="185">
        <f t="shared" si="262"/>
        <v>0</v>
      </c>
      <c r="AK298" s="185">
        <f t="shared" si="262"/>
        <v>0</v>
      </c>
      <c r="AL298" s="185">
        <f t="shared" si="262"/>
        <v>0</v>
      </c>
      <c r="AM298" s="185">
        <f t="shared" si="262"/>
        <v>0</v>
      </c>
      <c r="AN298" s="185">
        <f t="shared" si="262"/>
        <v>0</v>
      </c>
      <c r="AO298" s="185">
        <f t="shared" si="262"/>
        <v>0</v>
      </c>
      <c r="AP298" s="185">
        <f t="shared" si="262"/>
        <v>0</v>
      </c>
      <c r="AQ298" s="185">
        <f t="shared" si="262"/>
        <v>0</v>
      </c>
      <c r="AR298" s="185">
        <f t="shared" si="262"/>
        <v>0</v>
      </c>
      <c r="AS298" s="205">
        <f t="shared" ref="AS298:BV298" si="263">AR298</f>
        <v>0</v>
      </c>
      <c r="AT298" s="205">
        <f t="shared" si="263"/>
        <v>0</v>
      </c>
      <c r="AU298" s="205">
        <f t="shared" si="263"/>
        <v>0</v>
      </c>
      <c r="AV298" s="205">
        <f t="shared" si="263"/>
        <v>0</v>
      </c>
      <c r="AW298" s="205">
        <f t="shared" si="263"/>
        <v>0</v>
      </c>
      <c r="AX298" s="205">
        <f t="shared" si="263"/>
        <v>0</v>
      </c>
      <c r="AY298" s="205">
        <f t="shared" si="263"/>
        <v>0</v>
      </c>
      <c r="AZ298" s="205">
        <f t="shared" si="263"/>
        <v>0</v>
      </c>
      <c r="BA298" s="205">
        <f t="shared" si="263"/>
        <v>0</v>
      </c>
      <c r="BB298" s="205">
        <f t="shared" si="263"/>
        <v>0</v>
      </c>
      <c r="BC298" s="205">
        <f t="shared" si="263"/>
        <v>0</v>
      </c>
      <c r="BD298" s="205">
        <f t="shared" si="263"/>
        <v>0</v>
      </c>
      <c r="BE298" s="205">
        <f t="shared" si="263"/>
        <v>0</v>
      </c>
      <c r="BF298" s="205">
        <f t="shared" si="263"/>
        <v>0</v>
      </c>
      <c r="BG298" s="205">
        <f t="shared" si="263"/>
        <v>0</v>
      </c>
      <c r="BH298" s="205">
        <f t="shared" si="263"/>
        <v>0</v>
      </c>
      <c r="BI298" s="205">
        <f t="shared" si="263"/>
        <v>0</v>
      </c>
      <c r="BJ298" s="205">
        <f t="shared" si="263"/>
        <v>0</v>
      </c>
      <c r="BK298" s="205">
        <f t="shared" si="263"/>
        <v>0</v>
      </c>
      <c r="BL298" s="205">
        <f t="shared" si="263"/>
        <v>0</v>
      </c>
      <c r="BM298" s="205">
        <f t="shared" si="263"/>
        <v>0</v>
      </c>
      <c r="BN298" s="205">
        <f t="shared" si="263"/>
        <v>0</v>
      </c>
      <c r="BO298" s="205">
        <f t="shared" si="263"/>
        <v>0</v>
      </c>
      <c r="BP298" s="205">
        <f t="shared" si="263"/>
        <v>0</v>
      </c>
      <c r="BQ298" s="205">
        <f t="shared" si="263"/>
        <v>0</v>
      </c>
      <c r="BR298" s="205">
        <f t="shared" si="263"/>
        <v>0</v>
      </c>
      <c r="BS298" s="205">
        <f t="shared" si="263"/>
        <v>0</v>
      </c>
      <c r="BT298" s="205">
        <f t="shared" si="263"/>
        <v>0</v>
      </c>
      <c r="BU298" s="205">
        <f t="shared" si="263"/>
        <v>0</v>
      </c>
      <c r="BV298" s="205">
        <f t="shared" si="263"/>
        <v>0</v>
      </c>
    </row>
    <row r="299" spans="1:74" x14ac:dyDescent="0.25">
      <c r="A299" s="155" t="s">
        <v>232</v>
      </c>
      <c r="B299" s="156"/>
      <c r="C299" s="150"/>
      <c r="D299" s="185">
        <f t="shared" ref="D299:AR299" si="264">D235*D$47</f>
        <v>2.4484978540772529E-5</v>
      </c>
      <c r="E299" s="185">
        <f t="shared" si="264"/>
        <v>2.4620171673819743E-5</v>
      </c>
      <c r="F299" s="185">
        <f t="shared" si="264"/>
        <v>2.4755364806866955E-5</v>
      </c>
      <c r="G299" s="185">
        <f t="shared" si="264"/>
        <v>2.4890557939914166E-5</v>
      </c>
      <c r="H299" s="185">
        <f t="shared" si="264"/>
        <v>2.5025751072961378E-5</v>
      </c>
      <c r="I299" s="185">
        <f t="shared" si="264"/>
        <v>2.5160944206008589E-5</v>
      </c>
      <c r="J299" s="185">
        <f t="shared" si="264"/>
        <v>2.5206008583690984E-5</v>
      </c>
      <c r="K299" s="185">
        <f t="shared" si="264"/>
        <v>2.5251072961373392E-5</v>
      </c>
      <c r="L299" s="185">
        <f t="shared" si="264"/>
        <v>2.5014323607427057E-5</v>
      </c>
      <c r="M299" s="185">
        <f t="shared" si="264"/>
        <v>2.6184035476718404E-5</v>
      </c>
      <c r="N299" s="185">
        <f t="shared" si="264"/>
        <v>2.6230598669623062E-5</v>
      </c>
      <c r="O299" s="185">
        <f t="shared" si="264"/>
        <v>2.5951219512195123E-5</v>
      </c>
      <c r="P299" s="185">
        <f t="shared" si="264"/>
        <v>2.5671840354767183E-5</v>
      </c>
      <c r="Q299" s="185">
        <f t="shared" si="264"/>
        <v>2.539246119733924E-5</v>
      </c>
      <c r="R299" s="185">
        <f t="shared" si="264"/>
        <v>2.5113082039911301E-5</v>
      </c>
      <c r="S299" s="185">
        <f t="shared" si="264"/>
        <v>2.4833702882483361E-5</v>
      </c>
      <c r="T299" s="185">
        <f t="shared" si="264"/>
        <v>2.4833702882483371E-5</v>
      </c>
      <c r="U299" s="185">
        <f t="shared" si="264"/>
        <v>2.4988913525498891E-5</v>
      </c>
      <c r="V299" s="185">
        <f t="shared" si="264"/>
        <v>2.4523281596452332E-5</v>
      </c>
      <c r="W299" s="185">
        <f t="shared" si="264"/>
        <v>2.4833702882483371E-5</v>
      </c>
      <c r="X299" s="185">
        <f t="shared" si="264"/>
        <v>2.4911308203991133E-5</v>
      </c>
      <c r="Y299" s="185">
        <f t="shared" si="264"/>
        <v>2.5299334811529934E-5</v>
      </c>
      <c r="Z299" s="185">
        <f t="shared" si="264"/>
        <v>2.3669623059866965E-5</v>
      </c>
      <c r="AA299" s="185">
        <f t="shared" si="264"/>
        <v>2.4057649667405766E-5</v>
      </c>
      <c r="AB299" s="185">
        <f t="shared" si="264"/>
        <v>2.4057649667405766E-5</v>
      </c>
      <c r="AC299" s="185">
        <f t="shared" si="264"/>
        <v>2.4057649667405766E-5</v>
      </c>
      <c r="AD299" s="185">
        <f t="shared" si="264"/>
        <v>2.4057649667405766E-5</v>
      </c>
      <c r="AE299" s="185">
        <f t="shared" si="264"/>
        <v>2.4057649667405766E-5</v>
      </c>
      <c r="AF299" s="185">
        <f t="shared" si="264"/>
        <v>2.4057649667405766E-5</v>
      </c>
      <c r="AG299" s="185">
        <f t="shared" si="264"/>
        <v>2.4057649667405766E-5</v>
      </c>
      <c r="AH299" s="185">
        <f t="shared" si="264"/>
        <v>2.4057649667405766E-5</v>
      </c>
      <c r="AI299" s="185">
        <f t="shared" si="264"/>
        <v>2.4057649667405766E-5</v>
      </c>
      <c r="AJ299" s="185">
        <f t="shared" si="264"/>
        <v>2.4057649667405766E-5</v>
      </c>
      <c r="AK299" s="185">
        <f t="shared" si="264"/>
        <v>2.4057649667405766E-5</v>
      </c>
      <c r="AL299" s="185">
        <f t="shared" si="264"/>
        <v>2.4057649667405766E-5</v>
      </c>
      <c r="AM299" s="185">
        <f t="shared" si="264"/>
        <v>2.4057649667405766E-5</v>
      </c>
      <c r="AN299" s="185">
        <f t="shared" si="264"/>
        <v>2.4057649667405766E-5</v>
      </c>
      <c r="AO299" s="185">
        <f t="shared" si="264"/>
        <v>2.4057649667405766E-5</v>
      </c>
      <c r="AP299" s="185">
        <f t="shared" si="264"/>
        <v>2.4057649667405766E-5</v>
      </c>
      <c r="AQ299" s="185">
        <f t="shared" si="264"/>
        <v>2.4057649667405766E-5</v>
      </c>
      <c r="AR299" s="185">
        <f t="shared" si="264"/>
        <v>2.4057649667405766E-5</v>
      </c>
      <c r="AS299" s="205">
        <f>AR299</f>
        <v>2.4057649667405766E-5</v>
      </c>
      <c r="AT299" s="205">
        <f t="shared" ref="AT299:BV299" si="265">AS299</f>
        <v>2.4057649667405766E-5</v>
      </c>
      <c r="AU299" s="205">
        <f t="shared" si="265"/>
        <v>2.4057649667405766E-5</v>
      </c>
      <c r="AV299" s="205">
        <f t="shared" si="265"/>
        <v>2.4057649667405766E-5</v>
      </c>
      <c r="AW299" s="205">
        <f t="shared" si="265"/>
        <v>2.4057649667405766E-5</v>
      </c>
      <c r="AX299" s="205">
        <f t="shared" si="265"/>
        <v>2.4057649667405766E-5</v>
      </c>
      <c r="AY299" s="205">
        <f t="shared" si="265"/>
        <v>2.4057649667405766E-5</v>
      </c>
      <c r="AZ299" s="205">
        <f t="shared" si="265"/>
        <v>2.4057649667405766E-5</v>
      </c>
      <c r="BA299" s="205">
        <f t="shared" si="265"/>
        <v>2.4057649667405766E-5</v>
      </c>
      <c r="BB299" s="205">
        <f t="shared" si="265"/>
        <v>2.4057649667405766E-5</v>
      </c>
      <c r="BC299" s="205">
        <f t="shared" si="265"/>
        <v>2.4057649667405766E-5</v>
      </c>
      <c r="BD299" s="205">
        <f t="shared" si="265"/>
        <v>2.4057649667405766E-5</v>
      </c>
      <c r="BE299" s="205">
        <f t="shared" si="265"/>
        <v>2.4057649667405766E-5</v>
      </c>
      <c r="BF299" s="205">
        <f t="shared" si="265"/>
        <v>2.4057649667405766E-5</v>
      </c>
      <c r="BG299" s="205">
        <f t="shared" si="265"/>
        <v>2.4057649667405766E-5</v>
      </c>
      <c r="BH299" s="205">
        <f t="shared" si="265"/>
        <v>2.4057649667405766E-5</v>
      </c>
      <c r="BI299" s="205">
        <f t="shared" si="265"/>
        <v>2.4057649667405766E-5</v>
      </c>
      <c r="BJ299" s="205">
        <f t="shared" si="265"/>
        <v>2.4057649667405766E-5</v>
      </c>
      <c r="BK299" s="205">
        <f t="shared" si="265"/>
        <v>2.4057649667405766E-5</v>
      </c>
      <c r="BL299" s="205">
        <f t="shared" si="265"/>
        <v>2.4057649667405766E-5</v>
      </c>
      <c r="BM299" s="205">
        <f t="shared" si="265"/>
        <v>2.4057649667405766E-5</v>
      </c>
      <c r="BN299" s="205">
        <f t="shared" si="265"/>
        <v>2.4057649667405766E-5</v>
      </c>
      <c r="BO299" s="205">
        <f t="shared" si="265"/>
        <v>2.4057649667405766E-5</v>
      </c>
      <c r="BP299" s="205">
        <f t="shared" si="265"/>
        <v>2.4057649667405766E-5</v>
      </c>
      <c r="BQ299" s="205">
        <f t="shared" si="265"/>
        <v>2.4057649667405766E-5</v>
      </c>
      <c r="BR299" s="205">
        <f t="shared" si="265"/>
        <v>2.4057649667405766E-5</v>
      </c>
      <c r="BS299" s="205">
        <f t="shared" si="265"/>
        <v>2.4057649667405766E-5</v>
      </c>
      <c r="BT299" s="205">
        <f t="shared" si="265"/>
        <v>2.4057649667405766E-5</v>
      </c>
      <c r="BU299" s="205">
        <f t="shared" si="265"/>
        <v>2.4057649667405766E-5</v>
      </c>
      <c r="BV299" s="205">
        <f t="shared" si="265"/>
        <v>2.4057649667405766E-5</v>
      </c>
    </row>
    <row r="300" spans="1:74" x14ac:dyDescent="0.25">
      <c r="A300" s="155" t="s">
        <v>233</v>
      </c>
      <c r="B300" s="156"/>
      <c r="C300" s="150"/>
      <c r="D300" s="185">
        <f t="shared" ref="D300:AR300" si="266">D236*D$47</f>
        <v>0</v>
      </c>
      <c r="E300" s="185">
        <f t="shared" si="266"/>
        <v>0</v>
      </c>
      <c r="F300" s="185">
        <f t="shared" si="266"/>
        <v>0</v>
      </c>
      <c r="G300" s="185">
        <f t="shared" si="266"/>
        <v>0</v>
      </c>
      <c r="H300" s="185">
        <f t="shared" si="266"/>
        <v>0</v>
      </c>
      <c r="I300" s="185">
        <f t="shared" si="266"/>
        <v>0</v>
      </c>
      <c r="J300" s="185">
        <f t="shared" si="266"/>
        <v>0</v>
      </c>
      <c r="K300" s="185">
        <f t="shared" si="266"/>
        <v>0</v>
      </c>
      <c r="L300" s="185">
        <f t="shared" si="266"/>
        <v>0</v>
      </c>
      <c r="M300" s="185">
        <f t="shared" si="266"/>
        <v>0</v>
      </c>
      <c r="N300" s="185">
        <f t="shared" si="266"/>
        <v>0</v>
      </c>
      <c r="O300" s="185">
        <f t="shared" si="266"/>
        <v>0</v>
      </c>
      <c r="P300" s="185">
        <f t="shared" si="266"/>
        <v>0</v>
      </c>
      <c r="Q300" s="185">
        <f t="shared" si="266"/>
        <v>0</v>
      </c>
      <c r="R300" s="185">
        <f t="shared" si="266"/>
        <v>0</v>
      </c>
      <c r="S300" s="185">
        <f t="shared" si="266"/>
        <v>0</v>
      </c>
      <c r="T300" s="185">
        <f t="shared" si="266"/>
        <v>0</v>
      </c>
      <c r="U300" s="185">
        <f t="shared" si="266"/>
        <v>0</v>
      </c>
      <c r="V300" s="185">
        <f t="shared" si="266"/>
        <v>0</v>
      </c>
      <c r="W300" s="185">
        <f t="shared" si="266"/>
        <v>0</v>
      </c>
      <c r="X300" s="185">
        <f t="shared" si="266"/>
        <v>0</v>
      </c>
      <c r="Y300" s="185">
        <f t="shared" si="266"/>
        <v>0</v>
      </c>
      <c r="Z300" s="185">
        <f t="shared" si="266"/>
        <v>0</v>
      </c>
      <c r="AA300" s="185">
        <f t="shared" si="266"/>
        <v>0</v>
      </c>
      <c r="AB300" s="185">
        <f t="shared" si="266"/>
        <v>0</v>
      </c>
      <c r="AC300" s="185">
        <f t="shared" si="266"/>
        <v>0</v>
      </c>
      <c r="AD300" s="185">
        <f t="shared" si="266"/>
        <v>0</v>
      </c>
      <c r="AE300" s="185">
        <f t="shared" si="266"/>
        <v>0</v>
      </c>
      <c r="AF300" s="185">
        <f t="shared" si="266"/>
        <v>0</v>
      </c>
      <c r="AG300" s="185">
        <f t="shared" si="266"/>
        <v>0</v>
      </c>
      <c r="AH300" s="185">
        <f t="shared" si="266"/>
        <v>0</v>
      </c>
      <c r="AI300" s="185">
        <f t="shared" si="266"/>
        <v>0</v>
      </c>
      <c r="AJ300" s="185">
        <f t="shared" si="266"/>
        <v>0</v>
      </c>
      <c r="AK300" s="185">
        <f t="shared" si="266"/>
        <v>0</v>
      </c>
      <c r="AL300" s="185">
        <f t="shared" si="266"/>
        <v>0</v>
      </c>
      <c r="AM300" s="185">
        <f t="shared" si="266"/>
        <v>0</v>
      </c>
      <c r="AN300" s="185">
        <f t="shared" si="266"/>
        <v>0</v>
      </c>
      <c r="AO300" s="185">
        <f t="shared" si="266"/>
        <v>0</v>
      </c>
      <c r="AP300" s="185">
        <f t="shared" si="266"/>
        <v>0</v>
      </c>
      <c r="AQ300" s="185">
        <f t="shared" si="266"/>
        <v>0</v>
      </c>
      <c r="AR300" s="185">
        <f t="shared" si="266"/>
        <v>0</v>
      </c>
      <c r="AS300" s="205">
        <f t="shared" ref="AS300:BV300" si="267">AR300</f>
        <v>0</v>
      </c>
      <c r="AT300" s="205">
        <f t="shared" si="267"/>
        <v>0</v>
      </c>
      <c r="AU300" s="205">
        <f t="shared" si="267"/>
        <v>0</v>
      </c>
      <c r="AV300" s="205">
        <f t="shared" si="267"/>
        <v>0</v>
      </c>
      <c r="AW300" s="205">
        <f t="shared" si="267"/>
        <v>0</v>
      </c>
      <c r="AX300" s="205">
        <f t="shared" si="267"/>
        <v>0</v>
      </c>
      <c r="AY300" s="205">
        <f t="shared" si="267"/>
        <v>0</v>
      </c>
      <c r="AZ300" s="205">
        <f t="shared" si="267"/>
        <v>0</v>
      </c>
      <c r="BA300" s="205">
        <f t="shared" si="267"/>
        <v>0</v>
      </c>
      <c r="BB300" s="205">
        <f t="shared" si="267"/>
        <v>0</v>
      </c>
      <c r="BC300" s="205">
        <f t="shared" si="267"/>
        <v>0</v>
      </c>
      <c r="BD300" s="205">
        <f t="shared" si="267"/>
        <v>0</v>
      </c>
      <c r="BE300" s="205">
        <f t="shared" si="267"/>
        <v>0</v>
      </c>
      <c r="BF300" s="205">
        <f t="shared" si="267"/>
        <v>0</v>
      </c>
      <c r="BG300" s="205">
        <f t="shared" si="267"/>
        <v>0</v>
      </c>
      <c r="BH300" s="205">
        <f t="shared" si="267"/>
        <v>0</v>
      </c>
      <c r="BI300" s="205">
        <f t="shared" si="267"/>
        <v>0</v>
      </c>
      <c r="BJ300" s="205">
        <f t="shared" si="267"/>
        <v>0</v>
      </c>
      <c r="BK300" s="205">
        <f t="shared" si="267"/>
        <v>0</v>
      </c>
      <c r="BL300" s="205">
        <f t="shared" si="267"/>
        <v>0</v>
      </c>
      <c r="BM300" s="205">
        <f t="shared" si="267"/>
        <v>0</v>
      </c>
      <c r="BN300" s="205">
        <f t="shared" si="267"/>
        <v>0</v>
      </c>
      <c r="BO300" s="205">
        <f t="shared" si="267"/>
        <v>0</v>
      </c>
      <c r="BP300" s="205">
        <f t="shared" si="267"/>
        <v>0</v>
      </c>
      <c r="BQ300" s="205">
        <f t="shared" si="267"/>
        <v>0</v>
      </c>
      <c r="BR300" s="205">
        <f t="shared" si="267"/>
        <v>0</v>
      </c>
      <c r="BS300" s="205">
        <f t="shared" si="267"/>
        <v>0</v>
      </c>
      <c r="BT300" s="205">
        <f t="shared" si="267"/>
        <v>0</v>
      </c>
      <c r="BU300" s="205">
        <f t="shared" si="267"/>
        <v>0</v>
      </c>
      <c r="BV300" s="205">
        <f t="shared" si="267"/>
        <v>0</v>
      </c>
    </row>
    <row r="301" spans="1:74" x14ac:dyDescent="0.25">
      <c r="A301" s="155" t="s">
        <v>235</v>
      </c>
      <c r="B301" s="156"/>
      <c r="C301" s="150"/>
      <c r="D301" s="185">
        <f t="shared" ref="D301:AR301" si="268">D237*D$47</f>
        <v>8.4000000000000003E-4</v>
      </c>
      <c r="E301" s="185">
        <f t="shared" si="268"/>
        <v>8.4000000000000003E-4</v>
      </c>
      <c r="F301" s="185">
        <f t="shared" si="268"/>
        <v>8.4000000000000003E-4</v>
      </c>
      <c r="G301" s="185">
        <f t="shared" si="268"/>
        <v>8.4000000000000003E-4</v>
      </c>
      <c r="H301" s="185">
        <f t="shared" si="268"/>
        <v>8.4000000000000003E-4</v>
      </c>
      <c r="I301" s="185">
        <f t="shared" si="268"/>
        <v>8.4000000000000003E-4</v>
      </c>
      <c r="J301" s="185">
        <f t="shared" si="268"/>
        <v>8.4000000000000003E-4</v>
      </c>
      <c r="K301" s="185">
        <f t="shared" si="268"/>
        <v>8.4000000000000003E-4</v>
      </c>
      <c r="L301" s="185">
        <f t="shared" si="268"/>
        <v>8.4000000000000003E-4</v>
      </c>
      <c r="M301" s="185">
        <f t="shared" si="268"/>
        <v>8.4000000000000003E-4</v>
      </c>
      <c r="N301" s="185">
        <f t="shared" si="268"/>
        <v>8.4000000000000003E-4</v>
      </c>
      <c r="O301" s="185">
        <f t="shared" si="268"/>
        <v>8.4000000000000003E-4</v>
      </c>
      <c r="P301" s="185">
        <f t="shared" si="268"/>
        <v>8.4000000000000003E-4</v>
      </c>
      <c r="Q301" s="185">
        <f t="shared" si="268"/>
        <v>8.4000000000000003E-4</v>
      </c>
      <c r="R301" s="185">
        <f t="shared" si="268"/>
        <v>8.4000000000000003E-4</v>
      </c>
      <c r="S301" s="185">
        <f t="shared" si="268"/>
        <v>8.4000000000000003E-4</v>
      </c>
      <c r="T301" s="185">
        <f t="shared" si="268"/>
        <v>8.4000000000000003E-4</v>
      </c>
      <c r="U301" s="185">
        <f t="shared" si="268"/>
        <v>8.4000000000000003E-4</v>
      </c>
      <c r="V301" s="185">
        <f t="shared" si="268"/>
        <v>8.4000000000000003E-4</v>
      </c>
      <c r="W301" s="185">
        <f t="shared" si="268"/>
        <v>8.4000000000000003E-4</v>
      </c>
      <c r="X301" s="185">
        <f t="shared" si="268"/>
        <v>8.4000000000000003E-4</v>
      </c>
      <c r="Y301" s="185">
        <f t="shared" si="268"/>
        <v>8.4000000000000003E-4</v>
      </c>
      <c r="Z301" s="185">
        <f t="shared" si="268"/>
        <v>8.4000000000000003E-4</v>
      </c>
      <c r="AA301" s="185">
        <f t="shared" si="268"/>
        <v>8.4000000000000003E-4</v>
      </c>
      <c r="AB301" s="185">
        <f t="shared" si="268"/>
        <v>8.4000000000000003E-4</v>
      </c>
      <c r="AC301" s="185">
        <f t="shared" si="268"/>
        <v>8.4000000000000003E-4</v>
      </c>
      <c r="AD301" s="185">
        <f t="shared" si="268"/>
        <v>8.4000000000000003E-4</v>
      </c>
      <c r="AE301" s="185">
        <f t="shared" si="268"/>
        <v>8.4000000000000003E-4</v>
      </c>
      <c r="AF301" s="185">
        <f t="shared" si="268"/>
        <v>8.4000000000000003E-4</v>
      </c>
      <c r="AG301" s="185">
        <f t="shared" si="268"/>
        <v>8.4000000000000003E-4</v>
      </c>
      <c r="AH301" s="185">
        <f t="shared" si="268"/>
        <v>8.4000000000000003E-4</v>
      </c>
      <c r="AI301" s="185">
        <f t="shared" si="268"/>
        <v>8.4000000000000003E-4</v>
      </c>
      <c r="AJ301" s="185">
        <f t="shared" si="268"/>
        <v>8.4000000000000003E-4</v>
      </c>
      <c r="AK301" s="185">
        <f t="shared" si="268"/>
        <v>8.4000000000000003E-4</v>
      </c>
      <c r="AL301" s="185">
        <f t="shared" si="268"/>
        <v>8.4000000000000003E-4</v>
      </c>
      <c r="AM301" s="185">
        <f t="shared" si="268"/>
        <v>8.4000000000000003E-4</v>
      </c>
      <c r="AN301" s="185">
        <f t="shared" si="268"/>
        <v>8.4000000000000003E-4</v>
      </c>
      <c r="AO301" s="185">
        <f t="shared" si="268"/>
        <v>8.4000000000000003E-4</v>
      </c>
      <c r="AP301" s="185">
        <f t="shared" si="268"/>
        <v>8.4000000000000003E-4</v>
      </c>
      <c r="AQ301" s="185">
        <f t="shared" si="268"/>
        <v>8.4000000000000003E-4</v>
      </c>
      <c r="AR301" s="185">
        <f t="shared" si="268"/>
        <v>8.4000000000000003E-4</v>
      </c>
      <c r="AS301" s="205">
        <f>AR301</f>
        <v>8.4000000000000003E-4</v>
      </c>
      <c r="AT301" s="205">
        <f t="shared" ref="AT301:BV301" si="269">AS301</f>
        <v>8.4000000000000003E-4</v>
      </c>
      <c r="AU301" s="205">
        <f t="shared" si="269"/>
        <v>8.4000000000000003E-4</v>
      </c>
      <c r="AV301" s="205">
        <f t="shared" si="269"/>
        <v>8.4000000000000003E-4</v>
      </c>
      <c r="AW301" s="205">
        <f t="shared" si="269"/>
        <v>8.4000000000000003E-4</v>
      </c>
      <c r="AX301" s="205">
        <f t="shared" si="269"/>
        <v>8.4000000000000003E-4</v>
      </c>
      <c r="AY301" s="205">
        <f t="shared" si="269"/>
        <v>8.4000000000000003E-4</v>
      </c>
      <c r="AZ301" s="205">
        <f t="shared" si="269"/>
        <v>8.4000000000000003E-4</v>
      </c>
      <c r="BA301" s="205">
        <f t="shared" si="269"/>
        <v>8.4000000000000003E-4</v>
      </c>
      <c r="BB301" s="205">
        <f t="shared" si="269"/>
        <v>8.4000000000000003E-4</v>
      </c>
      <c r="BC301" s="205">
        <f t="shared" si="269"/>
        <v>8.4000000000000003E-4</v>
      </c>
      <c r="BD301" s="205">
        <f t="shared" si="269"/>
        <v>8.4000000000000003E-4</v>
      </c>
      <c r="BE301" s="205">
        <f t="shared" si="269"/>
        <v>8.4000000000000003E-4</v>
      </c>
      <c r="BF301" s="205">
        <f t="shared" si="269"/>
        <v>8.4000000000000003E-4</v>
      </c>
      <c r="BG301" s="205">
        <f t="shared" si="269"/>
        <v>8.4000000000000003E-4</v>
      </c>
      <c r="BH301" s="205">
        <f t="shared" si="269"/>
        <v>8.4000000000000003E-4</v>
      </c>
      <c r="BI301" s="205">
        <f t="shared" si="269"/>
        <v>8.4000000000000003E-4</v>
      </c>
      <c r="BJ301" s="205">
        <f t="shared" si="269"/>
        <v>8.4000000000000003E-4</v>
      </c>
      <c r="BK301" s="205">
        <f t="shared" si="269"/>
        <v>8.4000000000000003E-4</v>
      </c>
      <c r="BL301" s="205">
        <f t="shared" si="269"/>
        <v>8.4000000000000003E-4</v>
      </c>
      <c r="BM301" s="205">
        <f t="shared" si="269"/>
        <v>8.4000000000000003E-4</v>
      </c>
      <c r="BN301" s="205">
        <f t="shared" si="269"/>
        <v>8.4000000000000003E-4</v>
      </c>
      <c r="BO301" s="205">
        <f t="shared" si="269"/>
        <v>8.4000000000000003E-4</v>
      </c>
      <c r="BP301" s="205">
        <f t="shared" si="269"/>
        <v>8.4000000000000003E-4</v>
      </c>
      <c r="BQ301" s="205">
        <f t="shared" si="269"/>
        <v>8.4000000000000003E-4</v>
      </c>
      <c r="BR301" s="205">
        <f t="shared" si="269"/>
        <v>8.4000000000000003E-4</v>
      </c>
      <c r="BS301" s="205">
        <f t="shared" si="269"/>
        <v>8.4000000000000003E-4</v>
      </c>
      <c r="BT301" s="205">
        <f t="shared" si="269"/>
        <v>8.4000000000000003E-4</v>
      </c>
      <c r="BU301" s="205">
        <f t="shared" si="269"/>
        <v>8.4000000000000003E-4</v>
      </c>
      <c r="BV301" s="205">
        <f t="shared" si="269"/>
        <v>8.4000000000000003E-4</v>
      </c>
    </row>
    <row r="302" spans="1:74" x14ac:dyDescent="0.25">
      <c r="A302" s="155" t="s">
        <v>15</v>
      </c>
      <c r="C302" s="150"/>
      <c r="D302" s="185">
        <f t="shared" ref="D302:AR302" si="270">D238*D$47</f>
        <v>2.4068767908309448E-4</v>
      </c>
      <c r="E302" s="185">
        <f t="shared" si="270"/>
        <v>2.4068767908309448E-4</v>
      </c>
      <c r="F302" s="185">
        <f t="shared" si="270"/>
        <v>2.4068767908309448E-4</v>
      </c>
      <c r="G302" s="185">
        <f t="shared" si="270"/>
        <v>2.4068767908309448E-4</v>
      </c>
      <c r="H302" s="185">
        <f t="shared" si="270"/>
        <v>2.4068767908309448E-4</v>
      </c>
      <c r="I302" s="185">
        <f t="shared" si="270"/>
        <v>2.4068767908309448E-4</v>
      </c>
      <c r="J302" s="185">
        <f t="shared" si="270"/>
        <v>2.4068767908309448E-4</v>
      </c>
      <c r="K302" s="185">
        <f t="shared" si="270"/>
        <v>2.4068767908309448E-4</v>
      </c>
      <c r="L302" s="185">
        <f t="shared" si="270"/>
        <v>2.4068767908309448E-4</v>
      </c>
      <c r="M302" s="185">
        <f t="shared" si="270"/>
        <v>2.4068767908309448E-4</v>
      </c>
      <c r="N302" s="185">
        <f t="shared" si="270"/>
        <v>2.4068767908309448E-4</v>
      </c>
      <c r="O302" s="185">
        <f t="shared" si="270"/>
        <v>2.4068767908309448E-4</v>
      </c>
      <c r="P302" s="185">
        <f t="shared" si="270"/>
        <v>2.4068767908309448E-4</v>
      </c>
      <c r="Q302" s="185">
        <f t="shared" si="270"/>
        <v>2.4068767908309448E-4</v>
      </c>
      <c r="R302" s="185">
        <f t="shared" si="270"/>
        <v>2.4068767908309448E-4</v>
      </c>
      <c r="S302" s="185">
        <f t="shared" si="270"/>
        <v>2.4068767679983602E-4</v>
      </c>
      <c r="T302" s="185">
        <f t="shared" si="270"/>
        <v>2.4068767449014232E-4</v>
      </c>
      <c r="U302" s="185">
        <f t="shared" si="270"/>
        <v>2.4068768288472382E-4</v>
      </c>
      <c r="V302" s="185">
        <f t="shared" si="270"/>
        <v>2.4068768545467331E-4</v>
      </c>
      <c r="W302" s="185">
        <f t="shared" si="270"/>
        <v>2.4068768472715007E-4</v>
      </c>
      <c r="X302" s="185">
        <f t="shared" si="270"/>
        <v>2.4068768307922985E-4</v>
      </c>
      <c r="Y302" s="185">
        <f t="shared" si="270"/>
        <v>2.4068768042202621E-4</v>
      </c>
      <c r="Z302" s="185">
        <f t="shared" si="270"/>
        <v>2.4068767079205396E-4</v>
      </c>
      <c r="AA302" s="185">
        <f t="shared" si="270"/>
        <v>2.406876735924745E-4</v>
      </c>
      <c r="AB302" s="185">
        <f t="shared" si="270"/>
        <v>2.4068768312915986E-4</v>
      </c>
      <c r="AC302" s="185">
        <f t="shared" si="270"/>
        <v>2.4068768037582052E-4</v>
      </c>
      <c r="AD302" s="185">
        <f t="shared" si="270"/>
        <v>2.4068768619328886E-4</v>
      </c>
      <c r="AE302" s="185">
        <f t="shared" si="270"/>
        <v>2.4068767908309448E-4</v>
      </c>
      <c r="AF302" s="185">
        <f t="shared" si="270"/>
        <v>2.4068767908309448E-4</v>
      </c>
      <c r="AG302" s="185">
        <f t="shared" si="270"/>
        <v>2.4068767908309448E-4</v>
      </c>
      <c r="AH302" s="185">
        <f t="shared" si="270"/>
        <v>2.4068767908309448E-4</v>
      </c>
      <c r="AI302" s="185">
        <f t="shared" si="270"/>
        <v>2.4068767908309448E-4</v>
      </c>
      <c r="AJ302" s="185">
        <f t="shared" si="270"/>
        <v>2.4068767908309448E-4</v>
      </c>
      <c r="AK302" s="185">
        <f t="shared" si="270"/>
        <v>2.4068767908309448E-4</v>
      </c>
      <c r="AL302" s="185">
        <f t="shared" si="270"/>
        <v>2.4068767908309448E-4</v>
      </c>
      <c r="AM302" s="185">
        <f t="shared" si="270"/>
        <v>2.4068767908309448E-4</v>
      </c>
      <c r="AN302" s="185">
        <f t="shared" si="270"/>
        <v>2.4068767908309448E-4</v>
      </c>
      <c r="AO302" s="185">
        <f t="shared" si="270"/>
        <v>2.4068767908309448E-4</v>
      </c>
      <c r="AP302" s="185">
        <f t="shared" si="270"/>
        <v>2.4068767908309448E-4</v>
      </c>
      <c r="AQ302" s="185">
        <f t="shared" si="270"/>
        <v>2.4068767908309448E-4</v>
      </c>
      <c r="AR302" s="185">
        <f t="shared" si="270"/>
        <v>2.4068767908309448E-4</v>
      </c>
      <c r="AS302" s="205">
        <f>AR302</f>
        <v>2.4068767908309448E-4</v>
      </c>
      <c r="AT302" s="205">
        <f t="shared" ref="AT302:BV302" si="271">AS302</f>
        <v>2.4068767908309448E-4</v>
      </c>
      <c r="AU302" s="205">
        <f t="shared" si="271"/>
        <v>2.4068767908309448E-4</v>
      </c>
      <c r="AV302" s="205">
        <f t="shared" si="271"/>
        <v>2.4068767908309448E-4</v>
      </c>
      <c r="AW302" s="205">
        <f t="shared" si="271"/>
        <v>2.4068767908309448E-4</v>
      </c>
      <c r="AX302" s="205">
        <f t="shared" si="271"/>
        <v>2.4068767908309448E-4</v>
      </c>
      <c r="AY302" s="205">
        <f t="shared" si="271"/>
        <v>2.4068767908309448E-4</v>
      </c>
      <c r="AZ302" s="205">
        <f t="shared" si="271"/>
        <v>2.4068767908309448E-4</v>
      </c>
      <c r="BA302" s="205">
        <f t="shared" si="271"/>
        <v>2.4068767908309448E-4</v>
      </c>
      <c r="BB302" s="205">
        <f t="shared" si="271"/>
        <v>2.4068767908309448E-4</v>
      </c>
      <c r="BC302" s="205">
        <f t="shared" si="271"/>
        <v>2.4068767908309448E-4</v>
      </c>
      <c r="BD302" s="205">
        <f t="shared" si="271"/>
        <v>2.4068767908309448E-4</v>
      </c>
      <c r="BE302" s="205">
        <f t="shared" si="271"/>
        <v>2.4068767908309448E-4</v>
      </c>
      <c r="BF302" s="205">
        <f t="shared" si="271"/>
        <v>2.4068767908309448E-4</v>
      </c>
      <c r="BG302" s="205">
        <f t="shared" si="271"/>
        <v>2.4068767908309448E-4</v>
      </c>
      <c r="BH302" s="205">
        <f t="shared" si="271"/>
        <v>2.4068767908309448E-4</v>
      </c>
      <c r="BI302" s="205">
        <f t="shared" si="271"/>
        <v>2.4068767908309448E-4</v>
      </c>
      <c r="BJ302" s="205">
        <f t="shared" si="271"/>
        <v>2.4068767908309448E-4</v>
      </c>
      <c r="BK302" s="205">
        <f t="shared" si="271"/>
        <v>2.4068767908309448E-4</v>
      </c>
      <c r="BL302" s="205">
        <f t="shared" si="271"/>
        <v>2.4068767908309448E-4</v>
      </c>
      <c r="BM302" s="205">
        <f t="shared" si="271"/>
        <v>2.4068767908309448E-4</v>
      </c>
      <c r="BN302" s="205">
        <f t="shared" si="271"/>
        <v>2.4068767908309448E-4</v>
      </c>
      <c r="BO302" s="205">
        <f t="shared" si="271"/>
        <v>2.4068767908309448E-4</v>
      </c>
      <c r="BP302" s="205">
        <f t="shared" si="271"/>
        <v>2.4068767908309448E-4</v>
      </c>
      <c r="BQ302" s="205">
        <f t="shared" si="271"/>
        <v>2.4068767908309448E-4</v>
      </c>
      <c r="BR302" s="205">
        <f t="shared" si="271"/>
        <v>2.4068767908309448E-4</v>
      </c>
      <c r="BS302" s="205">
        <f t="shared" si="271"/>
        <v>2.4068767908309448E-4</v>
      </c>
      <c r="BT302" s="205">
        <f t="shared" si="271"/>
        <v>2.4068767908309448E-4</v>
      </c>
      <c r="BU302" s="205">
        <f t="shared" si="271"/>
        <v>2.4068767908309448E-4</v>
      </c>
      <c r="BV302" s="205">
        <f t="shared" si="271"/>
        <v>2.4068767908309448E-4</v>
      </c>
    </row>
    <row r="303" spans="1:74" x14ac:dyDescent="0.25">
      <c r="A303" s="155"/>
      <c r="C303" s="150"/>
      <c r="D303" s="165"/>
      <c r="E303" s="165"/>
      <c r="F303" s="165"/>
      <c r="G303" s="165"/>
      <c r="H303" s="165"/>
      <c r="I303" s="165"/>
      <c r="J303" s="165"/>
      <c r="K303" s="165"/>
      <c r="L303" s="165"/>
      <c r="M303" s="165"/>
      <c r="N303" s="165"/>
      <c r="O303" s="165"/>
      <c r="P303" s="165"/>
      <c r="Q303" s="165"/>
      <c r="R303" s="165"/>
      <c r="S303" s="165"/>
      <c r="T303" s="165"/>
      <c r="U303" s="165"/>
      <c r="V303" s="165"/>
      <c r="W303" s="165"/>
      <c r="X303" s="165"/>
      <c r="Y303" s="165"/>
      <c r="Z303" s="165"/>
      <c r="AA303" s="165"/>
      <c r="AB303" s="165"/>
      <c r="AC303" s="165"/>
      <c r="AD303" s="165"/>
      <c r="AE303" s="165"/>
      <c r="AF303" s="165"/>
      <c r="AG303" s="165"/>
      <c r="AH303" s="165"/>
      <c r="AI303" s="165"/>
      <c r="AJ303" s="165"/>
      <c r="AK303" s="165"/>
      <c r="AL303" s="165"/>
      <c r="AM303" s="165"/>
      <c r="AN303" s="165"/>
      <c r="AO303" s="165"/>
      <c r="AP303" s="165"/>
      <c r="AQ303" s="165"/>
      <c r="AR303" s="165"/>
      <c r="AS303" s="165"/>
    </row>
    <row r="304" spans="1:74" x14ac:dyDescent="0.25">
      <c r="A304" s="155"/>
      <c r="C304" s="150"/>
      <c r="D304" s="165"/>
      <c r="E304" s="165"/>
      <c r="F304" s="165"/>
      <c r="G304" s="165"/>
      <c r="H304" s="165"/>
      <c r="I304" s="165"/>
      <c r="J304" s="165"/>
      <c r="K304" s="165"/>
      <c r="L304" s="165"/>
      <c r="M304" s="165"/>
      <c r="N304" s="165"/>
      <c r="O304" s="165"/>
      <c r="P304" s="165"/>
      <c r="Q304" s="165"/>
      <c r="R304" s="165"/>
      <c r="S304" s="165"/>
      <c r="T304" s="165"/>
      <c r="U304" s="165"/>
      <c r="V304" s="165"/>
      <c r="W304" s="165"/>
      <c r="X304" s="165"/>
      <c r="Y304" s="165"/>
      <c r="Z304" s="165"/>
      <c r="AA304" s="165"/>
      <c r="AB304" s="165"/>
      <c r="AC304" s="165"/>
      <c r="AD304" s="165"/>
      <c r="AE304" s="165"/>
      <c r="AF304" s="165"/>
      <c r="AG304" s="165"/>
      <c r="AH304" s="165"/>
      <c r="AI304" s="165"/>
      <c r="AJ304" s="165"/>
      <c r="AK304" s="165"/>
      <c r="AL304" s="165"/>
      <c r="AM304" s="165"/>
      <c r="AN304" s="165"/>
      <c r="AO304" s="165"/>
      <c r="AP304" s="165"/>
      <c r="AQ304" s="165"/>
      <c r="AR304" s="165"/>
      <c r="AS304" s="165"/>
    </row>
    <row r="305" spans="1:74" s="196" customFormat="1" x14ac:dyDescent="0.25">
      <c r="A305" s="194" t="s">
        <v>275</v>
      </c>
      <c r="B305" s="195"/>
      <c r="I305" s="195"/>
      <c r="J305" s="195"/>
      <c r="K305" s="195"/>
      <c r="L305" s="195"/>
      <c r="M305" s="195"/>
      <c r="N305" s="195"/>
      <c r="O305" s="195"/>
      <c r="P305" s="195"/>
      <c r="Q305" s="195"/>
      <c r="R305" s="195"/>
      <c r="S305" s="195"/>
      <c r="T305" s="195"/>
      <c r="U305" s="195"/>
      <c r="V305" s="195"/>
      <c r="W305" s="195"/>
      <c r="X305" s="195"/>
      <c r="Y305" s="195"/>
      <c r="Z305" s="195"/>
      <c r="AA305" s="195"/>
      <c r="AB305" s="195"/>
      <c r="AC305" s="195"/>
      <c r="AD305" s="195"/>
      <c r="AE305" s="195"/>
      <c r="AF305" s="195"/>
      <c r="AG305" s="195"/>
      <c r="AH305" s="195"/>
      <c r="AI305" s="195"/>
      <c r="AJ305" s="195"/>
      <c r="AK305" s="195"/>
      <c r="AL305" s="195"/>
      <c r="AM305" s="195"/>
      <c r="AN305" s="195"/>
      <c r="AO305" s="195"/>
      <c r="AP305" s="195"/>
      <c r="AQ305" s="195"/>
      <c r="AR305" s="195"/>
      <c r="AS305" s="195"/>
    </row>
    <row r="306" spans="1:74" s="196" customFormat="1" x14ac:dyDescent="0.25">
      <c r="A306" s="194"/>
      <c r="B306" s="194" t="s">
        <v>278</v>
      </c>
      <c r="I306" s="195"/>
      <c r="J306" s="195"/>
      <c r="K306" s="195"/>
      <c r="L306" s="195"/>
      <c r="M306" s="195"/>
      <c r="N306" s="195"/>
      <c r="O306" s="195"/>
      <c r="P306" s="195"/>
      <c r="Q306" s="195"/>
      <c r="R306" s="195"/>
      <c r="S306" s="195"/>
      <c r="T306" s="195"/>
      <c r="U306" s="195"/>
      <c r="V306" s="195"/>
      <c r="W306" s="195"/>
      <c r="X306" s="195"/>
      <c r="Y306" s="195"/>
      <c r="Z306" s="195"/>
      <c r="AA306" s="195"/>
      <c r="AB306" s="195"/>
      <c r="AC306" s="195"/>
      <c r="AD306" s="195"/>
      <c r="AE306" s="195"/>
      <c r="AF306" s="195"/>
      <c r="AG306" s="195"/>
      <c r="AH306" s="195"/>
      <c r="AI306" s="195"/>
      <c r="AJ306" s="195"/>
      <c r="AK306" s="195"/>
      <c r="AL306" s="195"/>
      <c r="AM306" s="195"/>
      <c r="AN306" s="195"/>
      <c r="AO306" s="195"/>
      <c r="AP306" s="195"/>
      <c r="AQ306" s="195"/>
      <c r="AR306" s="195"/>
      <c r="AS306" s="195"/>
    </row>
    <row r="307" spans="1:74" x14ac:dyDescent="0.25">
      <c r="A307" s="155" t="s">
        <v>206</v>
      </c>
      <c r="C307" s="150"/>
      <c r="D307" s="185">
        <f>D243*D$48</f>
        <v>1.8180546549328392E-3</v>
      </c>
      <c r="E307" s="185">
        <f t="shared" ref="E307:AR307" si="272">E243*E$48</f>
        <v>1.8180546549328392E-3</v>
      </c>
      <c r="F307" s="185">
        <f t="shared" si="272"/>
        <v>1.8180546549328392E-3</v>
      </c>
      <c r="G307" s="185">
        <f t="shared" si="272"/>
        <v>1.8180546549328392E-3</v>
      </c>
      <c r="H307" s="185">
        <f t="shared" si="272"/>
        <v>1.8180546549328392E-3</v>
      </c>
      <c r="I307" s="185">
        <f t="shared" si="272"/>
        <v>1.8180546549328392E-3</v>
      </c>
      <c r="J307" s="185">
        <f t="shared" si="272"/>
        <v>1.8178603491271819E-3</v>
      </c>
      <c r="K307" s="185">
        <f t="shared" si="272"/>
        <v>1.8183443533456756E-3</v>
      </c>
      <c r="L307" s="185">
        <f t="shared" si="272"/>
        <v>1.8177002745195909E-3</v>
      </c>
      <c r="M307" s="185">
        <f t="shared" si="272"/>
        <v>1.8188864353312303E-3</v>
      </c>
      <c r="N307" s="185">
        <f t="shared" si="272"/>
        <v>1.8180880420499343E-3</v>
      </c>
      <c r="O307" s="185">
        <f t="shared" si="272"/>
        <v>1.8181924036595508E-3</v>
      </c>
      <c r="P307" s="185">
        <f t="shared" si="272"/>
        <v>1.818485154223119E-3</v>
      </c>
      <c r="Q307" s="185">
        <f t="shared" si="272"/>
        <v>1.8181434864694779E-3</v>
      </c>
      <c r="R307" s="185">
        <f t="shared" si="272"/>
        <v>1.8185692464358452E-3</v>
      </c>
      <c r="S307" s="185">
        <f t="shared" si="272"/>
        <v>1.8190023712737126E-3</v>
      </c>
      <c r="T307" s="185">
        <f t="shared" si="272"/>
        <v>1.8182043918918919E-3</v>
      </c>
      <c r="U307" s="185">
        <f t="shared" si="272"/>
        <v>1.81822308690013E-3</v>
      </c>
      <c r="V307" s="185">
        <f t="shared" si="272"/>
        <v>1.8183754152823919E-3</v>
      </c>
      <c r="W307" s="185">
        <f t="shared" si="272"/>
        <v>1.8188931698774082E-3</v>
      </c>
      <c r="X307" s="185">
        <f t="shared" si="272"/>
        <v>1.8185547785547786E-3</v>
      </c>
      <c r="Y307" s="185">
        <f t="shared" si="272"/>
        <v>1.8186693548387096E-3</v>
      </c>
      <c r="Z307" s="185">
        <f t="shared" si="272"/>
        <v>1.817428001772264E-3</v>
      </c>
      <c r="AA307" s="185">
        <f t="shared" si="272"/>
        <v>1.8189110127826943E-3</v>
      </c>
      <c r="AB307" s="185">
        <f t="shared" si="272"/>
        <v>1.8188451711803782E-3</v>
      </c>
      <c r="AC307" s="185">
        <f t="shared" si="272"/>
        <v>1.8184278695846359E-3</v>
      </c>
      <c r="AD307" s="185">
        <f t="shared" si="272"/>
        <v>1.8187332178432227E-3</v>
      </c>
      <c r="AE307" s="185">
        <f t="shared" si="272"/>
        <v>1.8181334496293064E-3</v>
      </c>
      <c r="AF307" s="185">
        <f t="shared" si="272"/>
        <v>1.8181334496293064E-3</v>
      </c>
      <c r="AG307" s="185">
        <f t="shared" si="272"/>
        <v>1.8181334496293064E-3</v>
      </c>
      <c r="AH307" s="185">
        <f t="shared" si="272"/>
        <v>1.8181334496293064E-3</v>
      </c>
      <c r="AI307" s="185">
        <f t="shared" si="272"/>
        <v>1.8181334496293064E-3</v>
      </c>
      <c r="AJ307" s="185">
        <f t="shared" si="272"/>
        <v>1.8181334496293064E-3</v>
      </c>
      <c r="AK307" s="185">
        <f t="shared" si="272"/>
        <v>1.8181334496293064E-3</v>
      </c>
      <c r="AL307" s="185">
        <f t="shared" si="272"/>
        <v>1.8181334496293064E-3</v>
      </c>
      <c r="AM307" s="185">
        <f t="shared" si="272"/>
        <v>1.8181334496293064E-3</v>
      </c>
      <c r="AN307" s="185">
        <f t="shared" si="272"/>
        <v>1.8181334496293064E-3</v>
      </c>
      <c r="AO307" s="185">
        <f t="shared" si="272"/>
        <v>1.8181334496293064E-3</v>
      </c>
      <c r="AP307" s="185">
        <f t="shared" si="272"/>
        <v>1.8181334496293064E-3</v>
      </c>
      <c r="AQ307" s="185">
        <f t="shared" si="272"/>
        <v>1.8181334496293064E-3</v>
      </c>
      <c r="AR307" s="185">
        <f t="shared" si="272"/>
        <v>1.8181334496293064E-3</v>
      </c>
      <c r="AS307" s="206">
        <f t="shared" ref="AS307:BV307" si="273">AR307</f>
        <v>1.8181334496293064E-3</v>
      </c>
      <c r="AT307" s="206">
        <f t="shared" si="273"/>
        <v>1.8181334496293064E-3</v>
      </c>
      <c r="AU307" s="206">
        <f t="shared" si="273"/>
        <v>1.8181334496293064E-3</v>
      </c>
      <c r="AV307" s="206">
        <f t="shared" si="273"/>
        <v>1.8181334496293064E-3</v>
      </c>
      <c r="AW307" s="206">
        <f t="shared" si="273"/>
        <v>1.8181334496293064E-3</v>
      </c>
      <c r="AX307" s="206">
        <f t="shared" si="273"/>
        <v>1.8181334496293064E-3</v>
      </c>
      <c r="AY307" s="206">
        <f t="shared" si="273"/>
        <v>1.8181334496293064E-3</v>
      </c>
      <c r="AZ307" s="206">
        <f t="shared" si="273"/>
        <v>1.8181334496293064E-3</v>
      </c>
      <c r="BA307" s="206">
        <f t="shared" si="273"/>
        <v>1.8181334496293064E-3</v>
      </c>
      <c r="BB307" s="206">
        <f t="shared" si="273"/>
        <v>1.8181334496293064E-3</v>
      </c>
      <c r="BC307" s="206">
        <f t="shared" si="273"/>
        <v>1.8181334496293064E-3</v>
      </c>
      <c r="BD307" s="206">
        <f t="shared" si="273"/>
        <v>1.8181334496293064E-3</v>
      </c>
      <c r="BE307" s="206">
        <f t="shared" si="273"/>
        <v>1.8181334496293064E-3</v>
      </c>
      <c r="BF307" s="206">
        <f t="shared" si="273"/>
        <v>1.8181334496293064E-3</v>
      </c>
      <c r="BG307" s="206">
        <f t="shared" si="273"/>
        <v>1.8181334496293064E-3</v>
      </c>
      <c r="BH307" s="206">
        <f t="shared" si="273"/>
        <v>1.8181334496293064E-3</v>
      </c>
      <c r="BI307" s="206">
        <f t="shared" si="273"/>
        <v>1.8181334496293064E-3</v>
      </c>
      <c r="BJ307" s="206">
        <f t="shared" si="273"/>
        <v>1.8181334496293064E-3</v>
      </c>
      <c r="BK307" s="206">
        <f t="shared" si="273"/>
        <v>1.8181334496293064E-3</v>
      </c>
      <c r="BL307" s="206">
        <f t="shared" si="273"/>
        <v>1.8181334496293064E-3</v>
      </c>
      <c r="BM307" s="206">
        <f t="shared" si="273"/>
        <v>1.8181334496293064E-3</v>
      </c>
      <c r="BN307" s="206">
        <f t="shared" si="273"/>
        <v>1.8181334496293064E-3</v>
      </c>
      <c r="BO307" s="206">
        <f t="shared" si="273"/>
        <v>1.8181334496293064E-3</v>
      </c>
      <c r="BP307" s="206">
        <f t="shared" si="273"/>
        <v>1.8181334496293064E-3</v>
      </c>
      <c r="BQ307" s="206">
        <f t="shared" si="273"/>
        <v>1.8181334496293064E-3</v>
      </c>
      <c r="BR307" s="206">
        <f t="shared" si="273"/>
        <v>1.8181334496293064E-3</v>
      </c>
      <c r="BS307" s="206">
        <f t="shared" si="273"/>
        <v>1.8181334496293064E-3</v>
      </c>
      <c r="BT307" s="206">
        <f t="shared" si="273"/>
        <v>1.8181334496293064E-3</v>
      </c>
      <c r="BU307" s="206">
        <f t="shared" si="273"/>
        <v>1.8181334496293064E-3</v>
      </c>
      <c r="BV307" s="206">
        <f t="shared" si="273"/>
        <v>1.8181334496293064E-3</v>
      </c>
    </row>
    <row r="308" spans="1:74" x14ac:dyDescent="0.25">
      <c r="A308" s="155" t="s">
        <v>208</v>
      </c>
      <c r="C308" s="150"/>
      <c r="D308" s="185">
        <f t="shared" ref="D308:AR308" si="274">D244*D$48</f>
        <v>5.1732082198212564E-4</v>
      </c>
      <c r="E308" s="185">
        <f t="shared" si="274"/>
        <v>5.1732082198212564E-4</v>
      </c>
      <c r="F308" s="185">
        <f t="shared" si="274"/>
        <v>5.1732082198212564E-4</v>
      </c>
      <c r="G308" s="185">
        <f t="shared" si="274"/>
        <v>5.1732082198212564E-4</v>
      </c>
      <c r="H308" s="185">
        <f t="shared" si="274"/>
        <v>5.1732082198212564E-4</v>
      </c>
      <c r="I308" s="185">
        <f t="shared" si="274"/>
        <v>5.1732082198212564E-4</v>
      </c>
      <c r="J308" s="185">
        <f t="shared" si="274"/>
        <v>5.173221070811744E-4</v>
      </c>
      <c r="K308" s="185">
        <f t="shared" si="274"/>
        <v>5.1732107845461016E-4</v>
      </c>
      <c r="L308" s="185">
        <f t="shared" si="274"/>
        <v>5.173213336409784E-4</v>
      </c>
      <c r="M308" s="185">
        <f t="shared" si="274"/>
        <v>5.1732510580099103E-4</v>
      </c>
      <c r="N308" s="185">
        <f t="shared" si="274"/>
        <v>5.1732328806865918E-4</v>
      </c>
      <c r="O308" s="185">
        <f t="shared" si="274"/>
        <v>5.1732181792576992E-4</v>
      </c>
      <c r="P308" s="185">
        <f t="shared" si="274"/>
        <v>5.0307419436702503E-4</v>
      </c>
      <c r="Q308" s="185">
        <f t="shared" si="274"/>
        <v>5.030739618774524E-4</v>
      </c>
      <c r="R308" s="185">
        <f t="shared" si="274"/>
        <v>5.0307511641781155E-4</v>
      </c>
      <c r="S308" s="185">
        <f t="shared" si="274"/>
        <v>5.0307238306040905E-4</v>
      </c>
      <c r="T308" s="185">
        <f t="shared" si="274"/>
        <v>5.0307406790218979E-4</v>
      </c>
      <c r="U308" s="185">
        <f t="shared" si="274"/>
        <v>5.0307274424490499E-4</v>
      </c>
      <c r="V308" s="185">
        <f t="shared" si="274"/>
        <v>5.0307432241377878E-4</v>
      </c>
      <c r="W308" s="185">
        <f t="shared" si="274"/>
        <v>5.0307394798450214E-4</v>
      </c>
      <c r="X308" s="185">
        <f t="shared" si="274"/>
        <v>5.0307247924080668E-4</v>
      </c>
      <c r="Y308" s="185">
        <f t="shared" si="274"/>
        <v>5.030716537842404E-4</v>
      </c>
      <c r="Z308" s="185">
        <f t="shared" si="274"/>
        <v>5.0307569331426414E-4</v>
      </c>
      <c r="AA308" s="185">
        <f t="shared" si="274"/>
        <v>5.0307269878303569E-4</v>
      </c>
      <c r="AB308" s="185">
        <f t="shared" si="274"/>
        <v>5.0307377629547662E-4</v>
      </c>
      <c r="AC308" s="185">
        <f t="shared" si="274"/>
        <v>5.0307256356509457E-4</v>
      </c>
      <c r="AD308" s="185">
        <f t="shared" si="274"/>
        <v>5.0307240158766224E-4</v>
      </c>
      <c r="AE308" s="185">
        <f t="shared" si="274"/>
        <v>5.0307335817895669E-4</v>
      </c>
      <c r="AF308" s="185">
        <f t="shared" si="274"/>
        <v>5.0307335817895669E-4</v>
      </c>
      <c r="AG308" s="185">
        <f t="shared" si="274"/>
        <v>5.0307335817895669E-4</v>
      </c>
      <c r="AH308" s="185">
        <f t="shared" si="274"/>
        <v>5.0307335817895669E-4</v>
      </c>
      <c r="AI308" s="185">
        <f t="shared" si="274"/>
        <v>5.0307335817895669E-4</v>
      </c>
      <c r="AJ308" s="185">
        <f t="shared" si="274"/>
        <v>5.0307335817895669E-4</v>
      </c>
      <c r="AK308" s="185">
        <f t="shared" si="274"/>
        <v>5.0307335817895669E-4</v>
      </c>
      <c r="AL308" s="185">
        <f t="shared" si="274"/>
        <v>5.0307335817895669E-4</v>
      </c>
      <c r="AM308" s="185">
        <f t="shared" si="274"/>
        <v>5.0307335817895669E-4</v>
      </c>
      <c r="AN308" s="185">
        <f t="shared" si="274"/>
        <v>5.0307335817895669E-4</v>
      </c>
      <c r="AO308" s="185">
        <f t="shared" si="274"/>
        <v>5.0307335817895669E-4</v>
      </c>
      <c r="AP308" s="185">
        <f t="shared" si="274"/>
        <v>5.0307335817895669E-4</v>
      </c>
      <c r="AQ308" s="185">
        <f t="shared" si="274"/>
        <v>5.0307335817895669E-4</v>
      </c>
      <c r="AR308" s="185">
        <f t="shared" si="274"/>
        <v>5.0307335817895669E-4</v>
      </c>
      <c r="AS308" s="206">
        <f t="shared" ref="AS308:BV308" si="275">AR308</f>
        <v>5.0307335817895669E-4</v>
      </c>
      <c r="AT308" s="206">
        <f t="shared" si="275"/>
        <v>5.0307335817895669E-4</v>
      </c>
      <c r="AU308" s="206">
        <f t="shared" si="275"/>
        <v>5.0307335817895669E-4</v>
      </c>
      <c r="AV308" s="206">
        <f t="shared" si="275"/>
        <v>5.0307335817895669E-4</v>
      </c>
      <c r="AW308" s="206">
        <f t="shared" si="275"/>
        <v>5.0307335817895669E-4</v>
      </c>
      <c r="AX308" s="206">
        <f t="shared" si="275"/>
        <v>5.0307335817895669E-4</v>
      </c>
      <c r="AY308" s="206">
        <f t="shared" si="275"/>
        <v>5.0307335817895669E-4</v>
      </c>
      <c r="AZ308" s="206">
        <f t="shared" si="275"/>
        <v>5.0307335817895669E-4</v>
      </c>
      <c r="BA308" s="206">
        <f t="shared" si="275"/>
        <v>5.0307335817895669E-4</v>
      </c>
      <c r="BB308" s="206">
        <f t="shared" si="275"/>
        <v>5.0307335817895669E-4</v>
      </c>
      <c r="BC308" s="206">
        <f t="shared" si="275"/>
        <v>5.0307335817895669E-4</v>
      </c>
      <c r="BD308" s="206">
        <f t="shared" si="275"/>
        <v>5.0307335817895669E-4</v>
      </c>
      <c r="BE308" s="206">
        <f t="shared" si="275"/>
        <v>5.0307335817895669E-4</v>
      </c>
      <c r="BF308" s="206">
        <f t="shared" si="275"/>
        <v>5.0307335817895669E-4</v>
      </c>
      <c r="BG308" s="206">
        <f t="shared" si="275"/>
        <v>5.0307335817895669E-4</v>
      </c>
      <c r="BH308" s="206">
        <f t="shared" si="275"/>
        <v>5.0307335817895669E-4</v>
      </c>
      <c r="BI308" s="206">
        <f t="shared" si="275"/>
        <v>5.0307335817895669E-4</v>
      </c>
      <c r="BJ308" s="206">
        <f t="shared" si="275"/>
        <v>5.0307335817895669E-4</v>
      </c>
      <c r="BK308" s="206">
        <f t="shared" si="275"/>
        <v>5.0307335817895669E-4</v>
      </c>
      <c r="BL308" s="206">
        <f t="shared" si="275"/>
        <v>5.0307335817895669E-4</v>
      </c>
      <c r="BM308" s="206">
        <f t="shared" si="275"/>
        <v>5.0307335817895669E-4</v>
      </c>
      <c r="BN308" s="206">
        <f t="shared" si="275"/>
        <v>5.0307335817895669E-4</v>
      </c>
      <c r="BO308" s="206">
        <f t="shared" si="275"/>
        <v>5.0307335817895669E-4</v>
      </c>
      <c r="BP308" s="206">
        <f t="shared" si="275"/>
        <v>5.0307335817895669E-4</v>
      </c>
      <c r="BQ308" s="206">
        <f t="shared" si="275"/>
        <v>5.0307335817895669E-4</v>
      </c>
      <c r="BR308" s="206">
        <f t="shared" si="275"/>
        <v>5.0307335817895669E-4</v>
      </c>
      <c r="BS308" s="206">
        <f t="shared" si="275"/>
        <v>5.0307335817895669E-4</v>
      </c>
      <c r="BT308" s="206">
        <f t="shared" si="275"/>
        <v>5.0307335817895669E-4</v>
      </c>
      <c r="BU308" s="206">
        <f t="shared" si="275"/>
        <v>5.0307335817895669E-4</v>
      </c>
      <c r="BV308" s="206">
        <f t="shared" si="275"/>
        <v>5.0307335817895669E-4</v>
      </c>
    </row>
    <row r="309" spans="1:74" x14ac:dyDescent="0.25">
      <c r="A309" s="149" t="s">
        <v>209</v>
      </c>
      <c r="B309" s="150"/>
      <c r="C309" s="150"/>
      <c r="D309" s="185">
        <f t="shared" ref="D309:AR309" si="276">D245*D$48</f>
        <v>3.1810442397537373E-3</v>
      </c>
      <c r="E309" s="185">
        <f t="shared" si="276"/>
        <v>3.1810442397537373E-3</v>
      </c>
      <c r="F309" s="185">
        <f t="shared" si="276"/>
        <v>3.1810442397537373E-3</v>
      </c>
      <c r="G309" s="185">
        <f t="shared" si="276"/>
        <v>3.1810442397537373E-3</v>
      </c>
      <c r="H309" s="185">
        <f t="shared" si="276"/>
        <v>3.1810442397537373E-3</v>
      </c>
      <c r="I309" s="185">
        <f t="shared" si="276"/>
        <v>3.1810442397537373E-3</v>
      </c>
      <c r="J309" s="185">
        <f t="shared" si="276"/>
        <v>3.1810442397537373E-3</v>
      </c>
      <c r="K309" s="185">
        <f t="shared" si="276"/>
        <v>3.1810442397537373E-3</v>
      </c>
      <c r="L309" s="185">
        <f t="shared" si="276"/>
        <v>3.1810442397537373E-3</v>
      </c>
      <c r="M309" s="185">
        <f t="shared" si="276"/>
        <v>3.1810442397537373E-3</v>
      </c>
      <c r="N309" s="185">
        <f t="shared" si="276"/>
        <v>3.1810442397537373E-3</v>
      </c>
      <c r="O309" s="185">
        <f t="shared" si="276"/>
        <v>3.1810442397537373E-3</v>
      </c>
      <c r="P309" s="185">
        <f t="shared" si="276"/>
        <v>3.1810442397537373E-3</v>
      </c>
      <c r="Q309" s="185">
        <f t="shared" si="276"/>
        <v>3.1810442397537373E-3</v>
      </c>
      <c r="R309" s="185">
        <f t="shared" si="276"/>
        <v>3.1810442397537373E-3</v>
      </c>
      <c r="S309" s="185">
        <f t="shared" si="276"/>
        <v>3.1810442397537373E-3</v>
      </c>
      <c r="T309" s="185">
        <f t="shared" si="276"/>
        <v>3.1810442397537373E-3</v>
      </c>
      <c r="U309" s="185">
        <f t="shared" si="276"/>
        <v>3.1810442397537373E-3</v>
      </c>
      <c r="V309" s="185">
        <f t="shared" si="276"/>
        <v>3.1810442397537373E-3</v>
      </c>
      <c r="W309" s="185">
        <f t="shared" si="276"/>
        <v>3.1810442397537373E-3</v>
      </c>
      <c r="X309" s="185">
        <f t="shared" si="276"/>
        <v>3.1810442397537373E-3</v>
      </c>
      <c r="Y309" s="185">
        <f t="shared" si="276"/>
        <v>3.1810442397537373E-3</v>
      </c>
      <c r="Z309" s="185">
        <f t="shared" si="276"/>
        <v>3.1810442397537373E-3</v>
      </c>
      <c r="AA309" s="185">
        <f t="shared" si="276"/>
        <v>3.1810442397537373E-3</v>
      </c>
      <c r="AB309" s="185">
        <f t="shared" si="276"/>
        <v>3.1810442397537373E-3</v>
      </c>
      <c r="AC309" s="185">
        <f t="shared" si="276"/>
        <v>3.1810442397537373E-3</v>
      </c>
      <c r="AD309" s="185">
        <f t="shared" si="276"/>
        <v>3.1810442397537373E-3</v>
      </c>
      <c r="AE309" s="185">
        <f t="shared" si="276"/>
        <v>3.1810442397537373E-3</v>
      </c>
      <c r="AF309" s="185">
        <f t="shared" si="276"/>
        <v>3.1810442397537373E-3</v>
      </c>
      <c r="AG309" s="185">
        <f t="shared" si="276"/>
        <v>3.1810442397537373E-3</v>
      </c>
      <c r="AH309" s="185">
        <f t="shared" si="276"/>
        <v>3.1810442397537373E-3</v>
      </c>
      <c r="AI309" s="185">
        <f t="shared" si="276"/>
        <v>3.1810442397537373E-3</v>
      </c>
      <c r="AJ309" s="185">
        <f t="shared" si="276"/>
        <v>3.1810442397537373E-3</v>
      </c>
      <c r="AK309" s="185">
        <f t="shared" si="276"/>
        <v>3.1810442397537373E-3</v>
      </c>
      <c r="AL309" s="185">
        <f t="shared" si="276"/>
        <v>3.1810442397537373E-3</v>
      </c>
      <c r="AM309" s="185">
        <f t="shared" si="276"/>
        <v>3.1810442397537373E-3</v>
      </c>
      <c r="AN309" s="185">
        <f t="shared" si="276"/>
        <v>3.1810442397537373E-3</v>
      </c>
      <c r="AO309" s="185">
        <f t="shared" si="276"/>
        <v>3.1810442397537373E-3</v>
      </c>
      <c r="AP309" s="185">
        <f t="shared" si="276"/>
        <v>3.1810442397537373E-3</v>
      </c>
      <c r="AQ309" s="185">
        <f t="shared" si="276"/>
        <v>3.1810442397537373E-3</v>
      </c>
      <c r="AR309" s="185">
        <f t="shared" si="276"/>
        <v>3.1810442397537373E-3</v>
      </c>
      <c r="AS309" s="206">
        <f t="shared" ref="AS309:BV309" si="277">AR309</f>
        <v>3.1810442397537373E-3</v>
      </c>
      <c r="AT309" s="206">
        <f t="shared" si="277"/>
        <v>3.1810442397537373E-3</v>
      </c>
      <c r="AU309" s="206">
        <f t="shared" si="277"/>
        <v>3.1810442397537373E-3</v>
      </c>
      <c r="AV309" s="206">
        <f t="shared" si="277"/>
        <v>3.1810442397537373E-3</v>
      </c>
      <c r="AW309" s="206">
        <f t="shared" si="277"/>
        <v>3.1810442397537373E-3</v>
      </c>
      <c r="AX309" s="206">
        <f t="shared" si="277"/>
        <v>3.1810442397537373E-3</v>
      </c>
      <c r="AY309" s="206">
        <f t="shared" si="277"/>
        <v>3.1810442397537373E-3</v>
      </c>
      <c r="AZ309" s="206">
        <f t="shared" si="277"/>
        <v>3.1810442397537373E-3</v>
      </c>
      <c r="BA309" s="206">
        <f t="shared" si="277"/>
        <v>3.1810442397537373E-3</v>
      </c>
      <c r="BB309" s="206">
        <f t="shared" si="277"/>
        <v>3.1810442397537373E-3</v>
      </c>
      <c r="BC309" s="206">
        <f t="shared" si="277"/>
        <v>3.1810442397537373E-3</v>
      </c>
      <c r="BD309" s="206">
        <f t="shared" si="277"/>
        <v>3.1810442397537373E-3</v>
      </c>
      <c r="BE309" s="206">
        <f t="shared" si="277"/>
        <v>3.1810442397537373E-3</v>
      </c>
      <c r="BF309" s="206">
        <f t="shared" si="277"/>
        <v>3.1810442397537373E-3</v>
      </c>
      <c r="BG309" s="206">
        <f t="shared" si="277"/>
        <v>3.1810442397537373E-3</v>
      </c>
      <c r="BH309" s="206">
        <f t="shared" si="277"/>
        <v>3.1810442397537373E-3</v>
      </c>
      <c r="BI309" s="206">
        <f t="shared" si="277"/>
        <v>3.1810442397537373E-3</v>
      </c>
      <c r="BJ309" s="206">
        <f t="shared" si="277"/>
        <v>3.1810442397537373E-3</v>
      </c>
      <c r="BK309" s="206">
        <f t="shared" si="277"/>
        <v>3.1810442397537373E-3</v>
      </c>
      <c r="BL309" s="206">
        <f t="shared" si="277"/>
        <v>3.1810442397537373E-3</v>
      </c>
      <c r="BM309" s="206">
        <f t="shared" si="277"/>
        <v>3.1810442397537373E-3</v>
      </c>
      <c r="BN309" s="206">
        <f t="shared" si="277"/>
        <v>3.1810442397537373E-3</v>
      </c>
      <c r="BO309" s="206">
        <f t="shared" si="277"/>
        <v>3.1810442397537373E-3</v>
      </c>
      <c r="BP309" s="206">
        <f t="shared" si="277"/>
        <v>3.1810442397537373E-3</v>
      </c>
      <c r="BQ309" s="206">
        <f t="shared" si="277"/>
        <v>3.1810442397537373E-3</v>
      </c>
      <c r="BR309" s="206">
        <f t="shared" si="277"/>
        <v>3.1810442397537373E-3</v>
      </c>
      <c r="BS309" s="206">
        <f t="shared" si="277"/>
        <v>3.1810442397537373E-3</v>
      </c>
      <c r="BT309" s="206">
        <f t="shared" si="277"/>
        <v>3.1810442397537373E-3</v>
      </c>
      <c r="BU309" s="206">
        <f t="shared" si="277"/>
        <v>3.1810442397537373E-3</v>
      </c>
      <c r="BV309" s="206">
        <f t="shared" si="277"/>
        <v>3.1810442397537373E-3</v>
      </c>
    </row>
    <row r="310" spans="1:74" x14ac:dyDescent="0.25">
      <c r="A310" s="149" t="s">
        <v>211</v>
      </c>
      <c r="B310" s="150"/>
      <c r="C310" s="150"/>
      <c r="D310" s="185">
        <f t="shared" ref="D310:AR310" si="278">D246*D$48</f>
        <v>1.0063265142847228E-3</v>
      </c>
      <c r="E310" s="185">
        <f t="shared" si="278"/>
        <v>1.0063265142847228E-3</v>
      </c>
      <c r="F310" s="185">
        <f t="shared" si="278"/>
        <v>1.0063265142847228E-3</v>
      </c>
      <c r="G310" s="185">
        <f t="shared" si="278"/>
        <v>1.0063265142847228E-3</v>
      </c>
      <c r="H310" s="185">
        <f t="shared" si="278"/>
        <v>1.0063265142847228E-3</v>
      </c>
      <c r="I310" s="185">
        <f t="shared" si="278"/>
        <v>1.0063265142847228E-3</v>
      </c>
      <c r="J310" s="185">
        <f t="shared" si="278"/>
        <v>1.0063265142847228E-3</v>
      </c>
      <c r="K310" s="185">
        <f t="shared" si="278"/>
        <v>1.0063265142847228E-3</v>
      </c>
      <c r="L310" s="185">
        <f t="shared" si="278"/>
        <v>1.0063265142847228E-3</v>
      </c>
      <c r="M310" s="185">
        <f t="shared" si="278"/>
        <v>1.0063265142847228E-3</v>
      </c>
      <c r="N310" s="185">
        <f t="shared" si="278"/>
        <v>1.0063265142847228E-3</v>
      </c>
      <c r="O310" s="185">
        <f t="shared" si="278"/>
        <v>1.0063265142847228E-3</v>
      </c>
      <c r="P310" s="185">
        <f t="shared" si="278"/>
        <v>1.0063265142847228E-3</v>
      </c>
      <c r="Q310" s="185">
        <f t="shared" si="278"/>
        <v>1.0063265142847228E-3</v>
      </c>
      <c r="R310" s="185">
        <f t="shared" si="278"/>
        <v>1.0063265142847228E-3</v>
      </c>
      <c r="S310" s="185">
        <f t="shared" si="278"/>
        <v>1.0063265142847228E-3</v>
      </c>
      <c r="T310" s="185">
        <f t="shared" si="278"/>
        <v>1.0063265142847228E-3</v>
      </c>
      <c r="U310" s="185">
        <f t="shared" si="278"/>
        <v>1.0063265142847228E-3</v>
      </c>
      <c r="V310" s="185">
        <f t="shared" si="278"/>
        <v>1.0063265142847228E-3</v>
      </c>
      <c r="W310" s="185">
        <f t="shared" si="278"/>
        <v>1.0063265142847228E-3</v>
      </c>
      <c r="X310" s="185">
        <f t="shared" si="278"/>
        <v>1.0063265142847228E-3</v>
      </c>
      <c r="Y310" s="185">
        <f t="shared" si="278"/>
        <v>1.0063265142847228E-3</v>
      </c>
      <c r="Z310" s="185">
        <f t="shared" si="278"/>
        <v>1.0063318945635002E-3</v>
      </c>
      <c r="AA310" s="185">
        <f t="shared" si="278"/>
        <v>1.0063318945635002E-3</v>
      </c>
      <c r="AB310" s="185">
        <f t="shared" si="278"/>
        <v>1.0063318945635002E-3</v>
      </c>
      <c r="AC310" s="185">
        <f t="shared" si="278"/>
        <v>1.0063318945635002E-3</v>
      </c>
      <c r="AD310" s="185">
        <f t="shared" si="278"/>
        <v>1.0063092028788365E-3</v>
      </c>
      <c r="AE310" s="185">
        <f t="shared" si="278"/>
        <v>1.0063092028788365E-3</v>
      </c>
      <c r="AF310" s="185">
        <f t="shared" si="278"/>
        <v>1.0063092028788365E-3</v>
      </c>
      <c r="AG310" s="185">
        <f t="shared" si="278"/>
        <v>1.0063092028788365E-3</v>
      </c>
      <c r="AH310" s="185">
        <f t="shared" si="278"/>
        <v>1.0063092028788365E-3</v>
      </c>
      <c r="AI310" s="185">
        <f t="shared" si="278"/>
        <v>1.0063092028788365E-3</v>
      </c>
      <c r="AJ310" s="185">
        <f t="shared" si="278"/>
        <v>1.0063092028788365E-3</v>
      </c>
      <c r="AK310" s="185">
        <f t="shared" si="278"/>
        <v>1.0063092028788365E-3</v>
      </c>
      <c r="AL310" s="185">
        <f t="shared" si="278"/>
        <v>1.0063092028788365E-3</v>
      </c>
      <c r="AM310" s="185">
        <f t="shared" si="278"/>
        <v>1.0063092028788365E-3</v>
      </c>
      <c r="AN310" s="185">
        <f t="shared" si="278"/>
        <v>1.0063092028788365E-3</v>
      </c>
      <c r="AO310" s="185">
        <f t="shared" si="278"/>
        <v>1.0063092028788365E-3</v>
      </c>
      <c r="AP310" s="185">
        <f t="shared" si="278"/>
        <v>1.0063092028788365E-3</v>
      </c>
      <c r="AQ310" s="185">
        <f t="shared" si="278"/>
        <v>1.0063092028788365E-3</v>
      </c>
      <c r="AR310" s="185">
        <f t="shared" si="278"/>
        <v>1.0063092028788365E-3</v>
      </c>
      <c r="AS310" s="206">
        <f t="shared" ref="AS310:BV310" si="279">AR310</f>
        <v>1.0063092028788365E-3</v>
      </c>
      <c r="AT310" s="206">
        <f t="shared" si="279"/>
        <v>1.0063092028788365E-3</v>
      </c>
      <c r="AU310" s="206">
        <f t="shared" si="279"/>
        <v>1.0063092028788365E-3</v>
      </c>
      <c r="AV310" s="206">
        <f t="shared" si="279"/>
        <v>1.0063092028788365E-3</v>
      </c>
      <c r="AW310" s="206">
        <f t="shared" si="279"/>
        <v>1.0063092028788365E-3</v>
      </c>
      <c r="AX310" s="206">
        <f t="shared" si="279"/>
        <v>1.0063092028788365E-3</v>
      </c>
      <c r="AY310" s="206">
        <f t="shared" si="279"/>
        <v>1.0063092028788365E-3</v>
      </c>
      <c r="AZ310" s="206">
        <f t="shared" si="279"/>
        <v>1.0063092028788365E-3</v>
      </c>
      <c r="BA310" s="206">
        <f t="shared" si="279"/>
        <v>1.0063092028788365E-3</v>
      </c>
      <c r="BB310" s="206">
        <f t="shared" si="279"/>
        <v>1.0063092028788365E-3</v>
      </c>
      <c r="BC310" s="206">
        <f t="shared" si="279"/>
        <v>1.0063092028788365E-3</v>
      </c>
      <c r="BD310" s="206">
        <f t="shared" si="279"/>
        <v>1.0063092028788365E-3</v>
      </c>
      <c r="BE310" s="206">
        <f t="shared" si="279"/>
        <v>1.0063092028788365E-3</v>
      </c>
      <c r="BF310" s="206">
        <f t="shared" si="279"/>
        <v>1.0063092028788365E-3</v>
      </c>
      <c r="BG310" s="206">
        <f t="shared" si="279"/>
        <v>1.0063092028788365E-3</v>
      </c>
      <c r="BH310" s="206">
        <f t="shared" si="279"/>
        <v>1.0063092028788365E-3</v>
      </c>
      <c r="BI310" s="206">
        <f t="shared" si="279"/>
        <v>1.0063092028788365E-3</v>
      </c>
      <c r="BJ310" s="206">
        <f t="shared" si="279"/>
        <v>1.0063092028788365E-3</v>
      </c>
      <c r="BK310" s="206">
        <f t="shared" si="279"/>
        <v>1.0063092028788365E-3</v>
      </c>
      <c r="BL310" s="206">
        <f t="shared" si="279"/>
        <v>1.0063092028788365E-3</v>
      </c>
      <c r="BM310" s="206">
        <f t="shared" si="279"/>
        <v>1.0063092028788365E-3</v>
      </c>
      <c r="BN310" s="206">
        <f t="shared" si="279"/>
        <v>1.0063092028788365E-3</v>
      </c>
      <c r="BO310" s="206">
        <f t="shared" si="279"/>
        <v>1.0063092028788365E-3</v>
      </c>
      <c r="BP310" s="206">
        <f t="shared" si="279"/>
        <v>1.0063092028788365E-3</v>
      </c>
      <c r="BQ310" s="206">
        <f t="shared" si="279"/>
        <v>1.0063092028788365E-3</v>
      </c>
      <c r="BR310" s="206">
        <f t="shared" si="279"/>
        <v>1.0063092028788365E-3</v>
      </c>
      <c r="BS310" s="206">
        <f t="shared" si="279"/>
        <v>1.0063092028788365E-3</v>
      </c>
      <c r="BT310" s="206">
        <f t="shared" si="279"/>
        <v>1.0063092028788365E-3</v>
      </c>
      <c r="BU310" s="206">
        <f t="shared" si="279"/>
        <v>1.0063092028788365E-3</v>
      </c>
      <c r="BV310" s="206">
        <f t="shared" si="279"/>
        <v>1.0063092028788365E-3</v>
      </c>
    </row>
    <row r="311" spans="1:74" x14ac:dyDescent="0.25">
      <c r="A311" s="155" t="s">
        <v>212</v>
      </c>
      <c r="C311" s="150"/>
      <c r="D311" s="185">
        <f t="shared" ref="D311:AR311" si="280">D247*D$48</f>
        <v>1.9179373779274603E-4</v>
      </c>
      <c r="E311" s="185">
        <f t="shared" si="280"/>
        <v>1.9151327056259469E-4</v>
      </c>
      <c r="F311" s="185">
        <f t="shared" si="280"/>
        <v>1.912336224103323E-4</v>
      </c>
      <c r="G311" s="185">
        <f t="shared" si="280"/>
        <v>1.9095478975313188E-4</v>
      </c>
      <c r="H311" s="185">
        <f t="shared" si="280"/>
        <v>1.9067676902903203E-4</v>
      </c>
      <c r="I311" s="185">
        <f t="shared" si="280"/>
        <v>1.9039955669678546E-4</v>
      </c>
      <c r="J311" s="185">
        <f t="shared" si="280"/>
        <v>1.9522560211946051E-4</v>
      </c>
      <c r="K311" s="185">
        <f t="shared" si="280"/>
        <v>1.9752599308755763E-4</v>
      </c>
      <c r="L311" s="185">
        <f t="shared" si="280"/>
        <v>1.8969145221630203E-4</v>
      </c>
      <c r="M311" s="185">
        <f t="shared" si="280"/>
        <v>1.9241833602222822E-4</v>
      </c>
      <c r="N311" s="185">
        <f t="shared" si="280"/>
        <v>1.9427344205483641E-4</v>
      </c>
      <c r="O311" s="185">
        <f t="shared" si="280"/>
        <v>1.9395076814376363E-4</v>
      </c>
      <c r="P311" s="185">
        <f t="shared" si="280"/>
        <v>1.9435985640670376E-4</v>
      </c>
      <c r="Q311" s="185">
        <f t="shared" si="280"/>
        <v>1.9887701194257602E-4</v>
      </c>
      <c r="R311" s="185">
        <f t="shared" si="280"/>
        <v>2.004791412784043E-4</v>
      </c>
      <c r="S311" s="185">
        <f t="shared" si="280"/>
        <v>2.0333776992026534E-4</v>
      </c>
      <c r="T311" s="185">
        <f t="shared" si="280"/>
        <v>2.0414848905852764E-4</v>
      </c>
      <c r="U311" s="185">
        <f t="shared" si="280"/>
        <v>2.075906543113267E-4</v>
      </c>
      <c r="V311" s="185">
        <f t="shared" si="280"/>
        <v>2.0508317716700085E-4</v>
      </c>
      <c r="W311" s="185">
        <f t="shared" si="280"/>
        <v>1.9781270173852567E-4</v>
      </c>
      <c r="X311" s="185">
        <f t="shared" si="280"/>
        <v>1.9786220531486088E-4</v>
      </c>
      <c r="Y311" s="185">
        <f t="shared" si="280"/>
        <v>2.0253251548087045E-4</v>
      </c>
      <c r="Z311" s="185">
        <f t="shared" si="280"/>
        <v>1.9879995350736285E-4</v>
      </c>
      <c r="AA311" s="185">
        <f t="shared" si="280"/>
        <v>1.9617829544617634E-4</v>
      </c>
      <c r="AB311" s="185">
        <f t="shared" si="280"/>
        <v>1.9646040978255031E-4</v>
      </c>
      <c r="AC311" s="185">
        <f t="shared" si="280"/>
        <v>1.9591085236023183E-4</v>
      </c>
      <c r="AD311" s="185">
        <f t="shared" si="280"/>
        <v>1.9511575868347495E-4</v>
      </c>
      <c r="AE311" s="185">
        <f t="shared" si="280"/>
        <v>1.9788204881820233E-4</v>
      </c>
      <c r="AF311" s="185">
        <f t="shared" si="280"/>
        <v>1.9788204881820233E-4</v>
      </c>
      <c r="AG311" s="185">
        <f t="shared" si="280"/>
        <v>1.9788204881820233E-4</v>
      </c>
      <c r="AH311" s="185">
        <f t="shared" si="280"/>
        <v>1.9788204881820233E-4</v>
      </c>
      <c r="AI311" s="185">
        <f t="shared" si="280"/>
        <v>1.9788204881820233E-4</v>
      </c>
      <c r="AJ311" s="185">
        <f t="shared" si="280"/>
        <v>1.9788204881820233E-4</v>
      </c>
      <c r="AK311" s="185">
        <f t="shared" si="280"/>
        <v>1.9788204881820233E-4</v>
      </c>
      <c r="AL311" s="185">
        <f t="shared" si="280"/>
        <v>1.9788204881820233E-4</v>
      </c>
      <c r="AM311" s="185">
        <f t="shared" si="280"/>
        <v>1.9788204881820233E-4</v>
      </c>
      <c r="AN311" s="185">
        <f t="shared" si="280"/>
        <v>1.9788204881820233E-4</v>
      </c>
      <c r="AO311" s="185">
        <f t="shared" si="280"/>
        <v>1.9788204881820233E-4</v>
      </c>
      <c r="AP311" s="185">
        <f t="shared" si="280"/>
        <v>1.9788204881820233E-4</v>
      </c>
      <c r="AQ311" s="185">
        <f t="shared" si="280"/>
        <v>1.9788204881820233E-4</v>
      </c>
      <c r="AR311" s="185">
        <f t="shared" si="280"/>
        <v>1.9788204881820233E-4</v>
      </c>
      <c r="AS311" s="206">
        <f t="shared" ref="AS311:BV311" si="281">AR311</f>
        <v>1.9788204881820233E-4</v>
      </c>
      <c r="AT311" s="206">
        <f t="shared" si="281"/>
        <v>1.9788204881820233E-4</v>
      </c>
      <c r="AU311" s="206">
        <f t="shared" si="281"/>
        <v>1.9788204881820233E-4</v>
      </c>
      <c r="AV311" s="206">
        <f t="shared" si="281"/>
        <v>1.9788204881820233E-4</v>
      </c>
      <c r="AW311" s="206">
        <f t="shared" si="281"/>
        <v>1.9788204881820233E-4</v>
      </c>
      <c r="AX311" s="206">
        <f t="shared" si="281"/>
        <v>1.9788204881820233E-4</v>
      </c>
      <c r="AY311" s="206">
        <f t="shared" si="281"/>
        <v>1.9788204881820233E-4</v>
      </c>
      <c r="AZ311" s="206">
        <f t="shared" si="281"/>
        <v>1.9788204881820233E-4</v>
      </c>
      <c r="BA311" s="206">
        <f t="shared" si="281"/>
        <v>1.9788204881820233E-4</v>
      </c>
      <c r="BB311" s="206">
        <f t="shared" si="281"/>
        <v>1.9788204881820233E-4</v>
      </c>
      <c r="BC311" s="206">
        <f t="shared" si="281"/>
        <v>1.9788204881820233E-4</v>
      </c>
      <c r="BD311" s="206">
        <f t="shared" si="281"/>
        <v>1.9788204881820233E-4</v>
      </c>
      <c r="BE311" s="206">
        <f t="shared" si="281"/>
        <v>1.9788204881820233E-4</v>
      </c>
      <c r="BF311" s="206">
        <f t="shared" si="281"/>
        <v>1.9788204881820233E-4</v>
      </c>
      <c r="BG311" s="206">
        <f t="shared" si="281"/>
        <v>1.9788204881820233E-4</v>
      </c>
      <c r="BH311" s="206">
        <f t="shared" si="281"/>
        <v>1.9788204881820233E-4</v>
      </c>
      <c r="BI311" s="206">
        <f t="shared" si="281"/>
        <v>1.9788204881820233E-4</v>
      </c>
      <c r="BJ311" s="206">
        <f t="shared" si="281"/>
        <v>1.9788204881820233E-4</v>
      </c>
      <c r="BK311" s="206">
        <f t="shared" si="281"/>
        <v>1.9788204881820233E-4</v>
      </c>
      <c r="BL311" s="206">
        <f t="shared" si="281"/>
        <v>1.9788204881820233E-4</v>
      </c>
      <c r="BM311" s="206">
        <f t="shared" si="281"/>
        <v>1.9788204881820233E-4</v>
      </c>
      <c r="BN311" s="206">
        <f t="shared" si="281"/>
        <v>1.9788204881820233E-4</v>
      </c>
      <c r="BO311" s="206">
        <f t="shared" si="281"/>
        <v>1.9788204881820233E-4</v>
      </c>
      <c r="BP311" s="206">
        <f t="shared" si="281"/>
        <v>1.9788204881820233E-4</v>
      </c>
      <c r="BQ311" s="206">
        <f t="shared" si="281"/>
        <v>1.9788204881820233E-4</v>
      </c>
      <c r="BR311" s="206">
        <f t="shared" si="281"/>
        <v>1.9788204881820233E-4</v>
      </c>
      <c r="BS311" s="206">
        <f t="shared" si="281"/>
        <v>1.9788204881820233E-4</v>
      </c>
      <c r="BT311" s="206">
        <f t="shared" si="281"/>
        <v>1.9788204881820233E-4</v>
      </c>
      <c r="BU311" s="206">
        <f t="shared" si="281"/>
        <v>1.9788204881820233E-4</v>
      </c>
      <c r="BV311" s="206">
        <f t="shared" si="281"/>
        <v>1.9788204881820233E-4</v>
      </c>
    </row>
    <row r="312" spans="1:74" x14ac:dyDescent="0.25">
      <c r="A312" s="155" t="s">
        <v>214</v>
      </c>
      <c r="C312" s="150"/>
      <c r="D312" s="185">
        <f t="shared" ref="D312:AR312" si="282">D248*D$48</f>
        <v>1.8383628252762482E-4</v>
      </c>
      <c r="E312" s="185">
        <f t="shared" si="282"/>
        <v>1.8383628285239474E-4</v>
      </c>
      <c r="F312" s="185">
        <f t="shared" si="282"/>
        <v>1.8383628317716465E-4</v>
      </c>
      <c r="G312" s="185">
        <f t="shared" si="282"/>
        <v>1.8383628350193459E-4</v>
      </c>
      <c r="H312" s="185">
        <f t="shared" si="282"/>
        <v>1.8383628382670448E-4</v>
      </c>
      <c r="I312" s="185">
        <f t="shared" si="282"/>
        <v>1.838362841514744E-4</v>
      </c>
      <c r="J312" s="185">
        <f t="shared" si="282"/>
        <v>1.8383628223742464E-4</v>
      </c>
      <c r="K312" s="185">
        <f t="shared" si="282"/>
        <v>1.8383628232913668E-4</v>
      </c>
      <c r="L312" s="185">
        <f t="shared" si="282"/>
        <v>1.8383628200058024E-4</v>
      </c>
      <c r="M312" s="185">
        <f t="shared" si="282"/>
        <v>1.8383628088162877E-4</v>
      </c>
      <c r="N312" s="185">
        <f t="shared" si="282"/>
        <v>1.8383628012248523E-4</v>
      </c>
      <c r="O312" s="185">
        <f t="shared" si="282"/>
        <v>1.8383628193729295E-4</v>
      </c>
      <c r="P312" s="185">
        <f t="shared" si="282"/>
        <v>1.838362815525376E-4</v>
      </c>
      <c r="Q312" s="185">
        <f t="shared" si="282"/>
        <v>1.8383628198988703E-4</v>
      </c>
      <c r="R312" s="185">
        <f t="shared" si="282"/>
        <v>1.8383628228097715E-4</v>
      </c>
      <c r="S312" s="185">
        <f t="shared" si="282"/>
        <v>1.8383628125515311E-4</v>
      </c>
      <c r="T312" s="185">
        <f t="shared" si="282"/>
        <v>1.8383630211115713E-4</v>
      </c>
      <c r="U312" s="185">
        <f t="shared" si="282"/>
        <v>1.8383630525806041E-4</v>
      </c>
      <c r="V312" s="185">
        <f t="shared" si="282"/>
        <v>1.8383629303125488E-4</v>
      </c>
      <c r="W312" s="185">
        <f t="shared" si="282"/>
        <v>1.8383626841444285E-4</v>
      </c>
      <c r="X312" s="185">
        <f t="shared" si="282"/>
        <v>1.8383631320866998E-4</v>
      </c>
      <c r="Y312" s="185">
        <f t="shared" si="282"/>
        <v>1.8383630234556373E-4</v>
      </c>
      <c r="Z312" s="185">
        <f t="shared" si="282"/>
        <v>1.8383628755891073E-4</v>
      </c>
      <c r="AA312" s="185">
        <f t="shared" si="282"/>
        <v>1.8383624900484327E-4</v>
      </c>
      <c r="AB312" s="185">
        <f t="shared" si="282"/>
        <v>1.8383626630534691E-4</v>
      </c>
      <c r="AC312" s="185">
        <f t="shared" si="282"/>
        <v>1.8383628715417492E-4</v>
      </c>
      <c r="AD312" s="185">
        <f t="shared" si="282"/>
        <v>1.838362519660154E-4</v>
      </c>
      <c r="AE312" s="185">
        <f t="shared" si="282"/>
        <v>1.8383629705433867E-4</v>
      </c>
      <c r="AF312" s="185">
        <f t="shared" si="282"/>
        <v>1.8383629705433867E-4</v>
      </c>
      <c r="AG312" s="185">
        <f t="shared" si="282"/>
        <v>1.8383629705433867E-4</v>
      </c>
      <c r="AH312" s="185">
        <f t="shared" si="282"/>
        <v>1.8383629705433867E-4</v>
      </c>
      <c r="AI312" s="185">
        <f t="shared" si="282"/>
        <v>1.8383629705433867E-4</v>
      </c>
      <c r="AJ312" s="185">
        <f t="shared" si="282"/>
        <v>1.8383629705433867E-4</v>
      </c>
      <c r="AK312" s="185">
        <f t="shared" si="282"/>
        <v>1.8383629705433867E-4</v>
      </c>
      <c r="AL312" s="185">
        <f t="shared" si="282"/>
        <v>1.8383629705433867E-4</v>
      </c>
      <c r="AM312" s="185">
        <f t="shared" si="282"/>
        <v>1.8383629705433867E-4</v>
      </c>
      <c r="AN312" s="185">
        <f t="shared" si="282"/>
        <v>1.8383629705433867E-4</v>
      </c>
      <c r="AO312" s="185">
        <f t="shared" si="282"/>
        <v>1.8383629705433867E-4</v>
      </c>
      <c r="AP312" s="185">
        <f t="shared" si="282"/>
        <v>1.8383629705433867E-4</v>
      </c>
      <c r="AQ312" s="185">
        <f t="shared" si="282"/>
        <v>1.8383629705433867E-4</v>
      </c>
      <c r="AR312" s="185">
        <f t="shared" si="282"/>
        <v>1.8383629705433867E-4</v>
      </c>
      <c r="AS312" s="206">
        <f t="shared" ref="AS312:BV312" si="283">AR312</f>
        <v>1.8383629705433867E-4</v>
      </c>
      <c r="AT312" s="206">
        <f t="shared" si="283"/>
        <v>1.8383629705433867E-4</v>
      </c>
      <c r="AU312" s="206">
        <f t="shared" si="283"/>
        <v>1.8383629705433867E-4</v>
      </c>
      <c r="AV312" s="206">
        <f t="shared" si="283"/>
        <v>1.8383629705433867E-4</v>
      </c>
      <c r="AW312" s="206">
        <f t="shared" si="283"/>
        <v>1.8383629705433867E-4</v>
      </c>
      <c r="AX312" s="206">
        <f t="shared" si="283"/>
        <v>1.8383629705433867E-4</v>
      </c>
      <c r="AY312" s="206">
        <f t="shared" si="283"/>
        <v>1.8383629705433867E-4</v>
      </c>
      <c r="AZ312" s="206">
        <f t="shared" si="283"/>
        <v>1.8383629705433867E-4</v>
      </c>
      <c r="BA312" s="206">
        <f t="shared" si="283"/>
        <v>1.8383629705433867E-4</v>
      </c>
      <c r="BB312" s="206">
        <f t="shared" si="283"/>
        <v>1.8383629705433867E-4</v>
      </c>
      <c r="BC312" s="206">
        <f t="shared" si="283"/>
        <v>1.8383629705433867E-4</v>
      </c>
      <c r="BD312" s="206">
        <f t="shared" si="283"/>
        <v>1.8383629705433867E-4</v>
      </c>
      <c r="BE312" s="206">
        <f t="shared" si="283"/>
        <v>1.8383629705433867E-4</v>
      </c>
      <c r="BF312" s="206">
        <f t="shared" si="283"/>
        <v>1.8383629705433867E-4</v>
      </c>
      <c r="BG312" s="206">
        <f t="shared" si="283"/>
        <v>1.8383629705433867E-4</v>
      </c>
      <c r="BH312" s="206">
        <f t="shared" si="283"/>
        <v>1.8383629705433867E-4</v>
      </c>
      <c r="BI312" s="206">
        <f t="shared" si="283"/>
        <v>1.8383629705433867E-4</v>
      </c>
      <c r="BJ312" s="206">
        <f t="shared" si="283"/>
        <v>1.8383629705433867E-4</v>
      </c>
      <c r="BK312" s="206">
        <f t="shared" si="283"/>
        <v>1.8383629705433867E-4</v>
      </c>
      <c r="BL312" s="206">
        <f t="shared" si="283"/>
        <v>1.8383629705433867E-4</v>
      </c>
      <c r="BM312" s="206">
        <f t="shared" si="283"/>
        <v>1.8383629705433867E-4</v>
      </c>
      <c r="BN312" s="206">
        <f t="shared" si="283"/>
        <v>1.8383629705433867E-4</v>
      </c>
      <c r="BO312" s="206">
        <f t="shared" si="283"/>
        <v>1.8383629705433867E-4</v>
      </c>
      <c r="BP312" s="206">
        <f t="shared" si="283"/>
        <v>1.8383629705433867E-4</v>
      </c>
      <c r="BQ312" s="206">
        <f t="shared" si="283"/>
        <v>1.8383629705433867E-4</v>
      </c>
      <c r="BR312" s="206">
        <f t="shared" si="283"/>
        <v>1.8383629705433867E-4</v>
      </c>
      <c r="BS312" s="206">
        <f t="shared" si="283"/>
        <v>1.8383629705433867E-4</v>
      </c>
      <c r="BT312" s="206">
        <f t="shared" si="283"/>
        <v>1.8383629705433867E-4</v>
      </c>
      <c r="BU312" s="206">
        <f t="shared" si="283"/>
        <v>1.8383629705433867E-4</v>
      </c>
      <c r="BV312" s="206">
        <f t="shared" si="283"/>
        <v>1.8383629705433867E-4</v>
      </c>
    </row>
    <row r="313" spans="1:74" x14ac:dyDescent="0.25">
      <c r="A313" s="149" t="s">
        <v>215</v>
      </c>
      <c r="B313" s="150"/>
      <c r="C313" s="150"/>
      <c r="D313" s="185">
        <f t="shared" ref="D313:AR313" si="284">D249*D$48</f>
        <v>1.465602522944637E-4</v>
      </c>
      <c r="E313" s="185">
        <f t="shared" si="284"/>
        <v>1.4775179923662952E-4</v>
      </c>
      <c r="F313" s="185">
        <f t="shared" si="284"/>
        <v>1.4894334618162673E-4</v>
      </c>
      <c r="G313" s="185">
        <f t="shared" si="284"/>
        <v>1.5013489312945528E-4</v>
      </c>
      <c r="H313" s="185">
        <f t="shared" si="284"/>
        <v>1.5192221346625737E-4</v>
      </c>
      <c r="I313" s="185">
        <f t="shared" si="284"/>
        <v>1.5192221364675645E-4</v>
      </c>
      <c r="J313" s="185">
        <f t="shared" si="284"/>
        <v>1.5132643607246483E-4</v>
      </c>
      <c r="K313" s="185">
        <f t="shared" si="284"/>
        <v>1.5370953089661351E-4</v>
      </c>
      <c r="L313" s="185">
        <f t="shared" si="284"/>
        <v>1.540697648864477E-4</v>
      </c>
      <c r="M313" s="185">
        <f t="shared" si="284"/>
        <v>1.5494066599006217E-4</v>
      </c>
      <c r="N313" s="185">
        <f t="shared" si="284"/>
        <v>1.5779935210885821E-4</v>
      </c>
      <c r="O313" s="185">
        <f t="shared" si="284"/>
        <v>1.5722761554018899E-4</v>
      </c>
      <c r="P313" s="185">
        <f t="shared" si="284"/>
        <v>1.572276149702898E-4</v>
      </c>
      <c r="Q313" s="185">
        <f t="shared" si="284"/>
        <v>1.5722761603576015E-4</v>
      </c>
      <c r="R313" s="185">
        <f t="shared" si="284"/>
        <v>1.5722761530960971E-4</v>
      </c>
      <c r="S313" s="185">
        <f t="shared" si="284"/>
        <v>1.5722761626054549E-4</v>
      </c>
      <c r="T313" s="185">
        <f t="shared" si="284"/>
        <v>1.5722764052339619E-4</v>
      </c>
      <c r="U313" s="185">
        <f t="shared" si="284"/>
        <v>1.5722766486948712E-4</v>
      </c>
      <c r="V313" s="185">
        <f t="shared" si="284"/>
        <v>1.5722764814999843E-4</v>
      </c>
      <c r="W313" s="185">
        <f t="shared" si="284"/>
        <v>1.5722764367136246E-4</v>
      </c>
      <c r="X313" s="185">
        <f t="shared" si="284"/>
        <v>1.572276645962366E-4</v>
      </c>
      <c r="Y313" s="185">
        <f t="shared" si="284"/>
        <v>1.5722762646836218E-4</v>
      </c>
      <c r="Z313" s="185">
        <f t="shared" si="284"/>
        <v>1.5722765110383273E-4</v>
      </c>
      <c r="AA313" s="185">
        <f t="shared" si="284"/>
        <v>1.5722757851405935E-4</v>
      </c>
      <c r="AB313" s="185">
        <f t="shared" si="284"/>
        <v>1.5721763092417081E-4</v>
      </c>
      <c r="AC313" s="185">
        <f t="shared" si="284"/>
        <v>1.5721760478352076E-4</v>
      </c>
      <c r="AD313" s="185">
        <f t="shared" si="284"/>
        <v>1.5721765586055716E-4</v>
      </c>
      <c r="AE313" s="185">
        <f t="shared" si="284"/>
        <v>1.5721765586055716E-4</v>
      </c>
      <c r="AF313" s="185">
        <f t="shared" si="284"/>
        <v>1.5721765586055716E-4</v>
      </c>
      <c r="AG313" s="185">
        <f t="shared" si="284"/>
        <v>1.5721765586055716E-4</v>
      </c>
      <c r="AH313" s="185">
        <f t="shared" si="284"/>
        <v>1.5721765586055716E-4</v>
      </c>
      <c r="AI313" s="185">
        <f t="shared" si="284"/>
        <v>1.5721765586055716E-4</v>
      </c>
      <c r="AJ313" s="185">
        <f t="shared" si="284"/>
        <v>1.5721765586055716E-4</v>
      </c>
      <c r="AK313" s="185">
        <f t="shared" si="284"/>
        <v>1.5721765586055716E-4</v>
      </c>
      <c r="AL313" s="185">
        <f t="shared" si="284"/>
        <v>1.5721765586055716E-4</v>
      </c>
      <c r="AM313" s="185">
        <f t="shared" si="284"/>
        <v>1.5721765586055716E-4</v>
      </c>
      <c r="AN313" s="185">
        <f t="shared" si="284"/>
        <v>1.5721765586055716E-4</v>
      </c>
      <c r="AO313" s="185">
        <f t="shared" si="284"/>
        <v>1.5721765586055716E-4</v>
      </c>
      <c r="AP313" s="185">
        <f t="shared" si="284"/>
        <v>1.5721765586055716E-4</v>
      </c>
      <c r="AQ313" s="185">
        <f t="shared" si="284"/>
        <v>1.5721765586055716E-4</v>
      </c>
      <c r="AR313" s="185">
        <f t="shared" si="284"/>
        <v>1.5721765586055716E-4</v>
      </c>
      <c r="AS313" s="206">
        <f t="shared" ref="AS313:BV313" si="285">AR313</f>
        <v>1.5721765586055716E-4</v>
      </c>
      <c r="AT313" s="206">
        <f t="shared" si="285"/>
        <v>1.5721765586055716E-4</v>
      </c>
      <c r="AU313" s="206">
        <f t="shared" si="285"/>
        <v>1.5721765586055716E-4</v>
      </c>
      <c r="AV313" s="206">
        <f t="shared" si="285"/>
        <v>1.5721765586055716E-4</v>
      </c>
      <c r="AW313" s="206">
        <f t="shared" si="285"/>
        <v>1.5721765586055716E-4</v>
      </c>
      <c r="AX313" s="206">
        <f t="shared" si="285"/>
        <v>1.5721765586055716E-4</v>
      </c>
      <c r="AY313" s="206">
        <f t="shared" si="285"/>
        <v>1.5721765586055716E-4</v>
      </c>
      <c r="AZ313" s="206">
        <f t="shared" si="285"/>
        <v>1.5721765586055716E-4</v>
      </c>
      <c r="BA313" s="206">
        <f t="shared" si="285"/>
        <v>1.5721765586055716E-4</v>
      </c>
      <c r="BB313" s="206">
        <f t="shared" si="285"/>
        <v>1.5721765586055716E-4</v>
      </c>
      <c r="BC313" s="206">
        <f t="shared" si="285"/>
        <v>1.5721765586055716E-4</v>
      </c>
      <c r="BD313" s="206">
        <f t="shared" si="285"/>
        <v>1.5721765586055716E-4</v>
      </c>
      <c r="BE313" s="206">
        <f t="shared" si="285"/>
        <v>1.5721765586055716E-4</v>
      </c>
      <c r="BF313" s="206">
        <f t="shared" si="285"/>
        <v>1.5721765586055716E-4</v>
      </c>
      <c r="BG313" s="206">
        <f t="shared" si="285"/>
        <v>1.5721765586055716E-4</v>
      </c>
      <c r="BH313" s="206">
        <f t="shared" si="285"/>
        <v>1.5721765586055716E-4</v>
      </c>
      <c r="BI313" s="206">
        <f t="shared" si="285"/>
        <v>1.5721765586055716E-4</v>
      </c>
      <c r="BJ313" s="206">
        <f t="shared" si="285"/>
        <v>1.5721765586055716E-4</v>
      </c>
      <c r="BK313" s="206">
        <f t="shared" si="285"/>
        <v>1.5721765586055716E-4</v>
      </c>
      <c r="BL313" s="206">
        <f t="shared" si="285"/>
        <v>1.5721765586055716E-4</v>
      </c>
      <c r="BM313" s="206">
        <f t="shared" si="285"/>
        <v>1.5721765586055716E-4</v>
      </c>
      <c r="BN313" s="206">
        <f t="shared" si="285"/>
        <v>1.5721765586055716E-4</v>
      </c>
      <c r="BO313" s="206">
        <f t="shared" si="285"/>
        <v>1.5721765586055716E-4</v>
      </c>
      <c r="BP313" s="206">
        <f t="shared" si="285"/>
        <v>1.5721765586055716E-4</v>
      </c>
      <c r="BQ313" s="206">
        <f t="shared" si="285"/>
        <v>1.5721765586055716E-4</v>
      </c>
      <c r="BR313" s="206">
        <f t="shared" si="285"/>
        <v>1.5721765586055716E-4</v>
      </c>
      <c r="BS313" s="206">
        <f t="shared" si="285"/>
        <v>1.5721765586055716E-4</v>
      </c>
      <c r="BT313" s="206">
        <f t="shared" si="285"/>
        <v>1.5721765586055716E-4</v>
      </c>
      <c r="BU313" s="206">
        <f t="shared" si="285"/>
        <v>1.5721765586055716E-4</v>
      </c>
      <c r="BV313" s="206">
        <f t="shared" si="285"/>
        <v>1.5721765586055716E-4</v>
      </c>
    </row>
    <row r="314" spans="1:74" x14ac:dyDescent="0.25">
      <c r="A314" s="155" t="s">
        <v>217</v>
      </c>
      <c r="C314" s="150"/>
      <c r="D314" s="185">
        <f t="shared" ref="D314:AR314" si="286">D250*D$48</f>
        <v>5.69586243954863E-4</v>
      </c>
      <c r="E314" s="185">
        <f t="shared" si="286"/>
        <v>5.695862429575824E-4</v>
      </c>
      <c r="F314" s="185">
        <f t="shared" si="286"/>
        <v>5.695862419603018E-4</v>
      </c>
      <c r="G314" s="185">
        <f t="shared" si="286"/>
        <v>5.6958624096302109E-4</v>
      </c>
      <c r="H314" s="185">
        <f t="shared" si="286"/>
        <v>5.6958623996574049E-4</v>
      </c>
      <c r="I314" s="185">
        <f t="shared" si="286"/>
        <v>5.6958623896845957E-4</v>
      </c>
      <c r="J314" s="185">
        <f t="shared" si="286"/>
        <v>5.6958623785260617E-4</v>
      </c>
      <c r="K314" s="185">
        <f t="shared" si="286"/>
        <v>5.6958624266260449E-4</v>
      </c>
      <c r="L314" s="185">
        <f t="shared" si="286"/>
        <v>5.5381401127358593E-4</v>
      </c>
      <c r="M314" s="185">
        <f t="shared" si="286"/>
        <v>5.5381399631648451E-4</v>
      </c>
      <c r="N314" s="185">
        <f t="shared" si="286"/>
        <v>5.5381400331511546E-4</v>
      </c>
      <c r="O314" s="185">
        <f t="shared" si="286"/>
        <v>5.5381400864485124E-4</v>
      </c>
      <c r="P314" s="185">
        <f t="shared" si="286"/>
        <v>5.53814011587284E-4</v>
      </c>
      <c r="Q314" s="185">
        <f t="shared" si="286"/>
        <v>5.538139941835597E-4</v>
      </c>
      <c r="R314" s="185">
        <f t="shared" si="286"/>
        <v>5.5381400052610923E-4</v>
      </c>
      <c r="S314" s="185">
        <f t="shared" si="286"/>
        <v>5.5381399421308957E-4</v>
      </c>
      <c r="T314" s="185">
        <f t="shared" si="286"/>
        <v>5.5381404814874022E-4</v>
      </c>
      <c r="U314" s="185">
        <f t="shared" si="286"/>
        <v>5.5381386290093929E-4</v>
      </c>
      <c r="V314" s="185">
        <f t="shared" si="286"/>
        <v>5.5381411544727459E-4</v>
      </c>
      <c r="W314" s="185">
        <f t="shared" si="286"/>
        <v>5.5381423147221132E-4</v>
      </c>
      <c r="X314" s="185">
        <f t="shared" si="286"/>
        <v>5.538140281143789E-4</v>
      </c>
      <c r="Y314" s="185">
        <f t="shared" si="286"/>
        <v>5.5381404263780379E-4</v>
      </c>
      <c r="Z314" s="185">
        <f t="shared" si="286"/>
        <v>5.5381407374255624E-4</v>
      </c>
      <c r="AA314" s="185">
        <f t="shared" si="286"/>
        <v>5.5381387053813605E-4</v>
      </c>
      <c r="AB314" s="185">
        <f t="shared" si="286"/>
        <v>5.5381396104184019E-4</v>
      </c>
      <c r="AC314" s="185">
        <f t="shared" si="286"/>
        <v>5.5381375631170034E-4</v>
      </c>
      <c r="AD314" s="185">
        <f t="shared" si="286"/>
        <v>5.5381419875358143E-4</v>
      </c>
      <c r="AE314" s="185">
        <f t="shared" si="286"/>
        <v>5.5381373281331893E-4</v>
      </c>
      <c r="AF314" s="185">
        <f t="shared" si="286"/>
        <v>5.5381373281331893E-4</v>
      </c>
      <c r="AG314" s="185">
        <f t="shared" si="286"/>
        <v>5.5381373281331893E-4</v>
      </c>
      <c r="AH314" s="185">
        <f t="shared" si="286"/>
        <v>5.5381373281331893E-4</v>
      </c>
      <c r="AI314" s="185">
        <f t="shared" si="286"/>
        <v>5.5381373281331893E-4</v>
      </c>
      <c r="AJ314" s="185">
        <f t="shared" si="286"/>
        <v>5.5381373281331893E-4</v>
      </c>
      <c r="AK314" s="185">
        <f t="shared" si="286"/>
        <v>5.5381373281331893E-4</v>
      </c>
      <c r="AL314" s="185">
        <f t="shared" si="286"/>
        <v>5.5381373281331893E-4</v>
      </c>
      <c r="AM314" s="185">
        <f t="shared" si="286"/>
        <v>5.5381373281331893E-4</v>
      </c>
      <c r="AN314" s="185">
        <f t="shared" si="286"/>
        <v>5.5381373281331893E-4</v>
      </c>
      <c r="AO314" s="185">
        <f t="shared" si="286"/>
        <v>5.5381373281331893E-4</v>
      </c>
      <c r="AP314" s="185">
        <f t="shared" si="286"/>
        <v>5.5381373281331893E-4</v>
      </c>
      <c r="AQ314" s="185">
        <f t="shared" si="286"/>
        <v>5.5381373281331893E-4</v>
      </c>
      <c r="AR314" s="185">
        <f t="shared" si="286"/>
        <v>5.5381373281331893E-4</v>
      </c>
      <c r="AS314" s="206">
        <f t="shared" ref="AS314:BV314" si="287">AR314</f>
        <v>5.5381373281331893E-4</v>
      </c>
      <c r="AT314" s="206">
        <f t="shared" si="287"/>
        <v>5.5381373281331893E-4</v>
      </c>
      <c r="AU314" s="206">
        <f t="shared" si="287"/>
        <v>5.5381373281331893E-4</v>
      </c>
      <c r="AV314" s="206">
        <f t="shared" si="287"/>
        <v>5.5381373281331893E-4</v>
      </c>
      <c r="AW314" s="206">
        <f t="shared" si="287"/>
        <v>5.5381373281331893E-4</v>
      </c>
      <c r="AX314" s="206">
        <f t="shared" si="287"/>
        <v>5.5381373281331893E-4</v>
      </c>
      <c r="AY314" s="206">
        <f t="shared" si="287"/>
        <v>5.5381373281331893E-4</v>
      </c>
      <c r="AZ314" s="206">
        <f t="shared" si="287"/>
        <v>5.5381373281331893E-4</v>
      </c>
      <c r="BA314" s="206">
        <f t="shared" si="287"/>
        <v>5.5381373281331893E-4</v>
      </c>
      <c r="BB314" s="206">
        <f t="shared" si="287"/>
        <v>5.5381373281331893E-4</v>
      </c>
      <c r="BC314" s="206">
        <f t="shared" si="287"/>
        <v>5.5381373281331893E-4</v>
      </c>
      <c r="BD314" s="206">
        <f t="shared" si="287"/>
        <v>5.5381373281331893E-4</v>
      </c>
      <c r="BE314" s="206">
        <f t="shared" si="287"/>
        <v>5.5381373281331893E-4</v>
      </c>
      <c r="BF314" s="206">
        <f t="shared" si="287"/>
        <v>5.5381373281331893E-4</v>
      </c>
      <c r="BG314" s="206">
        <f t="shared" si="287"/>
        <v>5.5381373281331893E-4</v>
      </c>
      <c r="BH314" s="206">
        <f t="shared" si="287"/>
        <v>5.5381373281331893E-4</v>
      </c>
      <c r="BI314" s="206">
        <f t="shared" si="287"/>
        <v>5.5381373281331893E-4</v>
      </c>
      <c r="BJ314" s="206">
        <f t="shared" si="287"/>
        <v>5.5381373281331893E-4</v>
      </c>
      <c r="BK314" s="206">
        <f t="shared" si="287"/>
        <v>5.5381373281331893E-4</v>
      </c>
      <c r="BL314" s="206">
        <f t="shared" si="287"/>
        <v>5.5381373281331893E-4</v>
      </c>
      <c r="BM314" s="206">
        <f t="shared" si="287"/>
        <v>5.5381373281331893E-4</v>
      </c>
      <c r="BN314" s="206">
        <f t="shared" si="287"/>
        <v>5.5381373281331893E-4</v>
      </c>
      <c r="BO314" s="206">
        <f t="shared" si="287"/>
        <v>5.5381373281331893E-4</v>
      </c>
      <c r="BP314" s="206">
        <f t="shared" si="287"/>
        <v>5.5381373281331893E-4</v>
      </c>
      <c r="BQ314" s="206">
        <f t="shared" si="287"/>
        <v>5.5381373281331893E-4</v>
      </c>
      <c r="BR314" s="206">
        <f t="shared" si="287"/>
        <v>5.5381373281331893E-4</v>
      </c>
      <c r="BS314" s="206">
        <f t="shared" si="287"/>
        <v>5.5381373281331893E-4</v>
      </c>
      <c r="BT314" s="206">
        <f t="shared" si="287"/>
        <v>5.5381373281331893E-4</v>
      </c>
      <c r="BU314" s="206">
        <f t="shared" si="287"/>
        <v>5.5381373281331893E-4</v>
      </c>
      <c r="BV314" s="206">
        <f t="shared" si="287"/>
        <v>5.5381373281331893E-4</v>
      </c>
    </row>
    <row r="315" spans="1:74" x14ac:dyDescent="0.25">
      <c r="A315" s="155" t="s">
        <v>12</v>
      </c>
      <c r="C315" s="150"/>
      <c r="D315" s="185">
        <f t="shared" ref="D315:AR315" si="288">D251*D$48</f>
        <v>2.7404361180987688E-3</v>
      </c>
      <c r="E315" s="185">
        <f t="shared" si="288"/>
        <v>2.7404361180987688E-3</v>
      </c>
      <c r="F315" s="185">
        <f t="shared" si="288"/>
        <v>2.7404361180987688E-3</v>
      </c>
      <c r="G315" s="185">
        <f t="shared" si="288"/>
        <v>2.7404361180987688E-3</v>
      </c>
      <c r="H315" s="185">
        <f t="shared" si="288"/>
        <v>2.7404361180987688E-3</v>
      </c>
      <c r="I315" s="185">
        <f t="shared" si="288"/>
        <v>2.7404361180987688E-3</v>
      </c>
      <c r="J315" s="185">
        <f t="shared" si="288"/>
        <v>2.7404381624360438E-3</v>
      </c>
      <c r="K315" s="185">
        <f t="shared" si="288"/>
        <v>2.7404342383562826E-3</v>
      </c>
      <c r="L315" s="185">
        <f t="shared" si="288"/>
        <v>2.740432422295738E-3</v>
      </c>
      <c r="M315" s="185">
        <f t="shared" si="288"/>
        <v>2.7404312491966527E-3</v>
      </c>
      <c r="N315" s="185">
        <f t="shared" si="288"/>
        <v>2.7404396157776792E-3</v>
      </c>
      <c r="O315" s="185">
        <f t="shared" si="288"/>
        <v>2.7404296942746746E-3</v>
      </c>
      <c r="P315" s="185">
        <f t="shared" si="288"/>
        <v>2.7676272241085524E-3</v>
      </c>
      <c r="Q315" s="185">
        <f t="shared" si="288"/>
        <v>2.7676226215168427E-3</v>
      </c>
      <c r="R315" s="185">
        <f t="shared" si="288"/>
        <v>2.7676241365120415E-3</v>
      </c>
      <c r="S315" s="185">
        <f t="shared" si="288"/>
        <v>2.7676293321445781E-3</v>
      </c>
      <c r="T315" s="185">
        <f t="shared" si="288"/>
        <v>2.7676238280950681E-3</v>
      </c>
      <c r="U315" s="185">
        <f t="shared" si="288"/>
        <v>2.767622921755016E-3</v>
      </c>
      <c r="V315" s="185">
        <f t="shared" si="288"/>
        <v>2.7676282994799337E-3</v>
      </c>
      <c r="W315" s="185">
        <f t="shared" si="288"/>
        <v>2.7676258502856324E-3</v>
      </c>
      <c r="X315" s="185">
        <f t="shared" si="288"/>
        <v>2.767627860384586E-3</v>
      </c>
      <c r="Y315" s="185">
        <f t="shared" si="288"/>
        <v>2.7676211654702391E-3</v>
      </c>
      <c r="Z315" s="185">
        <f t="shared" si="288"/>
        <v>2.767620271631526E-3</v>
      </c>
      <c r="AA315" s="185">
        <f t="shared" si="288"/>
        <v>2.7676267349281687E-3</v>
      </c>
      <c r="AB315" s="185">
        <f t="shared" si="288"/>
        <v>2.7676201427411602E-3</v>
      </c>
      <c r="AC315" s="185">
        <f t="shared" si="288"/>
        <v>2.7676288311671111E-3</v>
      </c>
      <c r="AD315" s="185">
        <f t="shared" si="288"/>
        <v>2.7676261566847438E-3</v>
      </c>
      <c r="AE315" s="185">
        <f t="shared" si="288"/>
        <v>2.7676253700797135E-3</v>
      </c>
      <c r="AF315" s="185">
        <f t="shared" si="288"/>
        <v>2.7676253700797135E-3</v>
      </c>
      <c r="AG315" s="185">
        <f t="shared" si="288"/>
        <v>2.7676253700797135E-3</v>
      </c>
      <c r="AH315" s="185">
        <f t="shared" si="288"/>
        <v>2.7676253700797135E-3</v>
      </c>
      <c r="AI315" s="185">
        <f t="shared" si="288"/>
        <v>2.7676253700797135E-3</v>
      </c>
      <c r="AJ315" s="185">
        <f t="shared" si="288"/>
        <v>2.7676253700797135E-3</v>
      </c>
      <c r="AK315" s="185">
        <f t="shared" si="288"/>
        <v>2.7676253700797135E-3</v>
      </c>
      <c r="AL315" s="185">
        <f t="shared" si="288"/>
        <v>2.7676253700797135E-3</v>
      </c>
      <c r="AM315" s="185">
        <f t="shared" si="288"/>
        <v>2.7676253700797135E-3</v>
      </c>
      <c r="AN315" s="185">
        <f t="shared" si="288"/>
        <v>2.7676253700797135E-3</v>
      </c>
      <c r="AO315" s="185">
        <f t="shared" si="288"/>
        <v>2.7676253700797135E-3</v>
      </c>
      <c r="AP315" s="185">
        <f t="shared" si="288"/>
        <v>2.7676253700797135E-3</v>
      </c>
      <c r="AQ315" s="185">
        <f t="shared" si="288"/>
        <v>2.7676253700797135E-3</v>
      </c>
      <c r="AR315" s="185">
        <f t="shared" si="288"/>
        <v>2.7676253700797135E-3</v>
      </c>
      <c r="AS315" s="206">
        <f t="shared" ref="AS315:BV315" si="289">AR315</f>
        <v>2.7676253700797135E-3</v>
      </c>
      <c r="AT315" s="206">
        <f t="shared" si="289"/>
        <v>2.7676253700797135E-3</v>
      </c>
      <c r="AU315" s="206">
        <f t="shared" si="289"/>
        <v>2.7676253700797135E-3</v>
      </c>
      <c r="AV315" s="206">
        <f t="shared" si="289"/>
        <v>2.7676253700797135E-3</v>
      </c>
      <c r="AW315" s="206">
        <f t="shared" si="289"/>
        <v>2.7676253700797135E-3</v>
      </c>
      <c r="AX315" s="206">
        <f t="shared" si="289"/>
        <v>2.7676253700797135E-3</v>
      </c>
      <c r="AY315" s="206">
        <f t="shared" si="289"/>
        <v>2.7676253700797135E-3</v>
      </c>
      <c r="AZ315" s="206">
        <f t="shared" si="289"/>
        <v>2.7676253700797135E-3</v>
      </c>
      <c r="BA315" s="206">
        <f t="shared" si="289"/>
        <v>2.7676253700797135E-3</v>
      </c>
      <c r="BB315" s="206">
        <f t="shared" si="289"/>
        <v>2.7676253700797135E-3</v>
      </c>
      <c r="BC315" s="206">
        <f t="shared" si="289"/>
        <v>2.7676253700797135E-3</v>
      </c>
      <c r="BD315" s="206">
        <f t="shared" si="289"/>
        <v>2.7676253700797135E-3</v>
      </c>
      <c r="BE315" s="206">
        <f t="shared" si="289"/>
        <v>2.7676253700797135E-3</v>
      </c>
      <c r="BF315" s="206">
        <f t="shared" si="289"/>
        <v>2.7676253700797135E-3</v>
      </c>
      <c r="BG315" s="206">
        <f t="shared" si="289"/>
        <v>2.7676253700797135E-3</v>
      </c>
      <c r="BH315" s="206">
        <f t="shared" si="289"/>
        <v>2.7676253700797135E-3</v>
      </c>
      <c r="BI315" s="206">
        <f t="shared" si="289"/>
        <v>2.7676253700797135E-3</v>
      </c>
      <c r="BJ315" s="206">
        <f t="shared" si="289"/>
        <v>2.7676253700797135E-3</v>
      </c>
      <c r="BK315" s="206">
        <f t="shared" si="289"/>
        <v>2.7676253700797135E-3</v>
      </c>
      <c r="BL315" s="206">
        <f t="shared" si="289"/>
        <v>2.7676253700797135E-3</v>
      </c>
      <c r="BM315" s="206">
        <f t="shared" si="289"/>
        <v>2.7676253700797135E-3</v>
      </c>
      <c r="BN315" s="206">
        <f t="shared" si="289"/>
        <v>2.7676253700797135E-3</v>
      </c>
      <c r="BO315" s="206">
        <f t="shared" si="289"/>
        <v>2.7676253700797135E-3</v>
      </c>
      <c r="BP315" s="206">
        <f t="shared" si="289"/>
        <v>2.7676253700797135E-3</v>
      </c>
      <c r="BQ315" s="206">
        <f t="shared" si="289"/>
        <v>2.7676253700797135E-3</v>
      </c>
      <c r="BR315" s="206">
        <f t="shared" si="289"/>
        <v>2.7676253700797135E-3</v>
      </c>
      <c r="BS315" s="206">
        <f t="shared" si="289"/>
        <v>2.7676253700797135E-3</v>
      </c>
      <c r="BT315" s="206">
        <f t="shared" si="289"/>
        <v>2.7676253700797135E-3</v>
      </c>
      <c r="BU315" s="206">
        <f t="shared" si="289"/>
        <v>2.7676253700797135E-3</v>
      </c>
      <c r="BV315" s="206">
        <f t="shared" si="289"/>
        <v>2.7676253700797135E-3</v>
      </c>
    </row>
    <row r="316" spans="1:74" x14ac:dyDescent="0.25">
      <c r="A316" s="155" t="s">
        <v>2</v>
      </c>
      <c r="C316" s="150"/>
      <c r="D316" s="185">
        <f t="shared" ref="D316:AR316" si="290">D252*D$48</f>
        <v>0</v>
      </c>
      <c r="E316" s="185">
        <f t="shared" si="290"/>
        <v>0</v>
      </c>
      <c r="F316" s="185">
        <f t="shared" si="290"/>
        <v>0</v>
      </c>
      <c r="G316" s="185">
        <f t="shared" si="290"/>
        <v>0</v>
      </c>
      <c r="H316" s="185">
        <f t="shared" si="290"/>
        <v>0</v>
      </c>
      <c r="I316" s="185">
        <f t="shared" si="290"/>
        <v>0</v>
      </c>
      <c r="J316" s="185">
        <f t="shared" si="290"/>
        <v>0</v>
      </c>
      <c r="K316" s="185">
        <f t="shared" si="290"/>
        <v>0</v>
      </c>
      <c r="L316" s="185">
        <f t="shared" si="290"/>
        <v>0</v>
      </c>
      <c r="M316" s="185">
        <f t="shared" si="290"/>
        <v>0</v>
      </c>
      <c r="N316" s="185">
        <f t="shared" si="290"/>
        <v>0</v>
      </c>
      <c r="O316" s="185">
        <f t="shared" si="290"/>
        <v>0</v>
      </c>
      <c r="P316" s="185">
        <f t="shared" si="290"/>
        <v>0</v>
      </c>
      <c r="Q316" s="185">
        <f t="shared" si="290"/>
        <v>0</v>
      </c>
      <c r="R316" s="185">
        <f t="shared" si="290"/>
        <v>0</v>
      </c>
      <c r="S316" s="185">
        <f t="shared" si="290"/>
        <v>0</v>
      </c>
      <c r="T316" s="185">
        <f t="shared" si="290"/>
        <v>0</v>
      </c>
      <c r="U316" s="185">
        <f t="shared" si="290"/>
        <v>0</v>
      </c>
      <c r="V316" s="185">
        <f t="shared" si="290"/>
        <v>0</v>
      </c>
      <c r="W316" s="185">
        <f t="shared" si="290"/>
        <v>0</v>
      </c>
      <c r="X316" s="185">
        <f t="shared" si="290"/>
        <v>0</v>
      </c>
      <c r="Y316" s="185">
        <f t="shared" si="290"/>
        <v>0</v>
      </c>
      <c r="Z316" s="185">
        <f t="shared" si="290"/>
        <v>0</v>
      </c>
      <c r="AA316" s="185">
        <f t="shared" si="290"/>
        <v>0</v>
      </c>
      <c r="AB316" s="185">
        <f t="shared" si="290"/>
        <v>0</v>
      </c>
      <c r="AC316" s="185">
        <f t="shared" si="290"/>
        <v>0</v>
      </c>
      <c r="AD316" s="185">
        <f t="shared" si="290"/>
        <v>0</v>
      </c>
      <c r="AE316" s="185">
        <f t="shared" si="290"/>
        <v>0</v>
      </c>
      <c r="AF316" s="185">
        <f t="shared" si="290"/>
        <v>0</v>
      </c>
      <c r="AG316" s="185">
        <f t="shared" si="290"/>
        <v>0</v>
      </c>
      <c r="AH316" s="185">
        <f t="shared" si="290"/>
        <v>0</v>
      </c>
      <c r="AI316" s="185">
        <f t="shared" si="290"/>
        <v>0</v>
      </c>
      <c r="AJ316" s="185">
        <f t="shared" si="290"/>
        <v>0</v>
      </c>
      <c r="AK316" s="185">
        <f t="shared" si="290"/>
        <v>0</v>
      </c>
      <c r="AL316" s="185">
        <f t="shared" si="290"/>
        <v>0</v>
      </c>
      <c r="AM316" s="185">
        <f t="shared" si="290"/>
        <v>0</v>
      </c>
      <c r="AN316" s="185">
        <f t="shared" si="290"/>
        <v>0</v>
      </c>
      <c r="AO316" s="185">
        <f t="shared" si="290"/>
        <v>0</v>
      </c>
      <c r="AP316" s="185">
        <f t="shared" si="290"/>
        <v>0</v>
      </c>
      <c r="AQ316" s="185">
        <f t="shared" si="290"/>
        <v>0</v>
      </c>
      <c r="AR316" s="185">
        <f t="shared" si="290"/>
        <v>0</v>
      </c>
      <c r="AS316" s="206">
        <f t="shared" ref="AS316:BV316" si="291">AR316</f>
        <v>0</v>
      </c>
      <c r="AT316" s="206">
        <f t="shared" si="291"/>
        <v>0</v>
      </c>
      <c r="AU316" s="206">
        <f t="shared" si="291"/>
        <v>0</v>
      </c>
      <c r="AV316" s="206">
        <f t="shared" si="291"/>
        <v>0</v>
      </c>
      <c r="AW316" s="206">
        <f t="shared" si="291"/>
        <v>0</v>
      </c>
      <c r="AX316" s="206">
        <f t="shared" si="291"/>
        <v>0</v>
      </c>
      <c r="AY316" s="206">
        <f t="shared" si="291"/>
        <v>0</v>
      </c>
      <c r="AZ316" s="206">
        <f t="shared" si="291"/>
        <v>0</v>
      </c>
      <c r="BA316" s="206">
        <f t="shared" si="291"/>
        <v>0</v>
      </c>
      <c r="BB316" s="206">
        <f t="shared" si="291"/>
        <v>0</v>
      </c>
      <c r="BC316" s="206">
        <f t="shared" si="291"/>
        <v>0</v>
      </c>
      <c r="BD316" s="206">
        <f t="shared" si="291"/>
        <v>0</v>
      </c>
      <c r="BE316" s="206">
        <f t="shared" si="291"/>
        <v>0</v>
      </c>
      <c r="BF316" s="206">
        <f t="shared" si="291"/>
        <v>0</v>
      </c>
      <c r="BG316" s="206">
        <f t="shared" si="291"/>
        <v>0</v>
      </c>
      <c r="BH316" s="206">
        <f t="shared" si="291"/>
        <v>0</v>
      </c>
      <c r="BI316" s="206">
        <f t="shared" si="291"/>
        <v>0</v>
      </c>
      <c r="BJ316" s="206">
        <f t="shared" si="291"/>
        <v>0</v>
      </c>
      <c r="BK316" s="206">
        <f t="shared" si="291"/>
        <v>0</v>
      </c>
      <c r="BL316" s="206">
        <f t="shared" si="291"/>
        <v>0</v>
      </c>
      <c r="BM316" s="206">
        <f t="shared" si="291"/>
        <v>0</v>
      </c>
      <c r="BN316" s="206">
        <f t="shared" si="291"/>
        <v>0</v>
      </c>
      <c r="BO316" s="206">
        <f t="shared" si="291"/>
        <v>0</v>
      </c>
      <c r="BP316" s="206">
        <f t="shared" si="291"/>
        <v>0</v>
      </c>
      <c r="BQ316" s="206">
        <f t="shared" si="291"/>
        <v>0</v>
      </c>
      <c r="BR316" s="206">
        <f t="shared" si="291"/>
        <v>0</v>
      </c>
      <c r="BS316" s="206">
        <f t="shared" si="291"/>
        <v>0</v>
      </c>
      <c r="BT316" s="206">
        <f t="shared" si="291"/>
        <v>0</v>
      </c>
      <c r="BU316" s="206">
        <f t="shared" si="291"/>
        <v>0</v>
      </c>
      <c r="BV316" s="206">
        <f t="shared" si="291"/>
        <v>0</v>
      </c>
    </row>
    <row r="317" spans="1:74" x14ac:dyDescent="0.25">
      <c r="A317" s="149" t="s">
        <v>220</v>
      </c>
      <c r="B317" s="156"/>
      <c r="C317" s="150"/>
      <c r="D317" s="185">
        <f t="shared" ref="D317:AR317" si="292">D253*D$48</f>
        <v>2.4911164605172231E-4</v>
      </c>
      <c r="E317" s="185">
        <f t="shared" si="292"/>
        <v>2.4911164605172231E-4</v>
      </c>
      <c r="F317" s="185">
        <f t="shared" si="292"/>
        <v>2.4911164605172231E-4</v>
      </c>
      <c r="G317" s="185">
        <f t="shared" si="292"/>
        <v>2.4911164605172231E-4</v>
      </c>
      <c r="H317" s="185">
        <f t="shared" si="292"/>
        <v>2.4911164605172231E-4</v>
      </c>
      <c r="I317" s="185">
        <f t="shared" si="292"/>
        <v>2.4911164605172231E-4</v>
      </c>
      <c r="J317" s="185">
        <f t="shared" si="292"/>
        <v>2.4911164605172231E-4</v>
      </c>
      <c r="K317" s="185">
        <f t="shared" si="292"/>
        <v>2.4911164605172231E-4</v>
      </c>
      <c r="L317" s="185">
        <f t="shared" si="292"/>
        <v>2.4911164605172231E-4</v>
      </c>
      <c r="M317" s="185">
        <f t="shared" si="292"/>
        <v>2.4911164605172231E-4</v>
      </c>
      <c r="N317" s="185">
        <f t="shared" si="292"/>
        <v>2.4911164605172231E-4</v>
      </c>
      <c r="O317" s="185">
        <f t="shared" si="292"/>
        <v>2.4911164605172231E-4</v>
      </c>
      <c r="P317" s="185">
        <f t="shared" si="292"/>
        <v>2.4911164605172231E-4</v>
      </c>
      <c r="Q317" s="185">
        <f t="shared" si="292"/>
        <v>2.4911164605172231E-4</v>
      </c>
      <c r="R317" s="185">
        <f t="shared" si="292"/>
        <v>2.4911164605172231E-4</v>
      </c>
      <c r="S317" s="185">
        <f t="shared" si="292"/>
        <v>2.4911164605172231E-4</v>
      </c>
      <c r="T317" s="185">
        <f t="shared" si="292"/>
        <v>2.4911164605172231E-4</v>
      </c>
      <c r="U317" s="185">
        <f t="shared" si="292"/>
        <v>2.4911164605172231E-4</v>
      </c>
      <c r="V317" s="185">
        <f t="shared" si="292"/>
        <v>2.4911164605172231E-4</v>
      </c>
      <c r="W317" s="185">
        <f t="shared" si="292"/>
        <v>2.4911164605172231E-4</v>
      </c>
      <c r="X317" s="185">
        <f t="shared" si="292"/>
        <v>2.4911164605172231E-4</v>
      </c>
      <c r="Y317" s="185">
        <f t="shared" si="292"/>
        <v>2.4911164605172231E-4</v>
      </c>
      <c r="Z317" s="185">
        <f t="shared" si="292"/>
        <v>2.4911164605172231E-4</v>
      </c>
      <c r="AA317" s="185">
        <f t="shared" si="292"/>
        <v>2.4911164605172231E-4</v>
      </c>
      <c r="AB317" s="185">
        <f t="shared" si="292"/>
        <v>2.4911164605172231E-4</v>
      </c>
      <c r="AC317" s="185">
        <f t="shared" si="292"/>
        <v>2.4911164605172231E-4</v>
      </c>
      <c r="AD317" s="185">
        <f t="shared" si="292"/>
        <v>2.4911164605172231E-4</v>
      </c>
      <c r="AE317" s="185">
        <f t="shared" si="292"/>
        <v>2.4911164605172231E-4</v>
      </c>
      <c r="AF317" s="185">
        <f t="shared" si="292"/>
        <v>2.4911164605172231E-4</v>
      </c>
      <c r="AG317" s="185">
        <f t="shared" si="292"/>
        <v>2.4911164605172231E-4</v>
      </c>
      <c r="AH317" s="185">
        <f t="shared" si="292"/>
        <v>2.4911164605172231E-4</v>
      </c>
      <c r="AI317" s="185">
        <f t="shared" si="292"/>
        <v>2.4911164605172231E-4</v>
      </c>
      <c r="AJ317" s="185">
        <f t="shared" si="292"/>
        <v>2.4911164605172231E-4</v>
      </c>
      <c r="AK317" s="185">
        <f t="shared" si="292"/>
        <v>2.4911164605172231E-4</v>
      </c>
      <c r="AL317" s="185">
        <f t="shared" si="292"/>
        <v>2.4911164605172231E-4</v>
      </c>
      <c r="AM317" s="185">
        <f t="shared" si="292"/>
        <v>2.4911164605172231E-4</v>
      </c>
      <c r="AN317" s="185">
        <f t="shared" si="292"/>
        <v>2.4911164605172231E-4</v>
      </c>
      <c r="AO317" s="185">
        <f t="shared" si="292"/>
        <v>2.4911164605172231E-4</v>
      </c>
      <c r="AP317" s="185">
        <f t="shared" si="292"/>
        <v>2.4911164605172231E-4</v>
      </c>
      <c r="AQ317" s="185">
        <f t="shared" si="292"/>
        <v>2.4911164605172231E-4</v>
      </c>
      <c r="AR317" s="185">
        <f t="shared" si="292"/>
        <v>2.4911164605172231E-4</v>
      </c>
      <c r="AS317" s="206">
        <f t="shared" ref="AS317:BV317" si="293">AR317</f>
        <v>2.4911164605172231E-4</v>
      </c>
      <c r="AT317" s="206">
        <f t="shared" si="293"/>
        <v>2.4911164605172231E-4</v>
      </c>
      <c r="AU317" s="206">
        <f t="shared" si="293"/>
        <v>2.4911164605172231E-4</v>
      </c>
      <c r="AV317" s="206">
        <f t="shared" si="293"/>
        <v>2.4911164605172231E-4</v>
      </c>
      <c r="AW317" s="206">
        <f t="shared" si="293"/>
        <v>2.4911164605172231E-4</v>
      </c>
      <c r="AX317" s="206">
        <f t="shared" si="293"/>
        <v>2.4911164605172231E-4</v>
      </c>
      <c r="AY317" s="206">
        <f t="shared" si="293"/>
        <v>2.4911164605172231E-4</v>
      </c>
      <c r="AZ317" s="206">
        <f t="shared" si="293"/>
        <v>2.4911164605172231E-4</v>
      </c>
      <c r="BA317" s="206">
        <f t="shared" si="293"/>
        <v>2.4911164605172231E-4</v>
      </c>
      <c r="BB317" s="206">
        <f t="shared" si="293"/>
        <v>2.4911164605172231E-4</v>
      </c>
      <c r="BC317" s="206">
        <f t="shared" si="293"/>
        <v>2.4911164605172231E-4</v>
      </c>
      <c r="BD317" s="206">
        <f t="shared" si="293"/>
        <v>2.4911164605172231E-4</v>
      </c>
      <c r="BE317" s="206">
        <f t="shared" si="293"/>
        <v>2.4911164605172231E-4</v>
      </c>
      <c r="BF317" s="206">
        <f t="shared" si="293"/>
        <v>2.4911164605172231E-4</v>
      </c>
      <c r="BG317" s="206">
        <f t="shared" si="293"/>
        <v>2.4911164605172231E-4</v>
      </c>
      <c r="BH317" s="206">
        <f t="shared" si="293"/>
        <v>2.4911164605172231E-4</v>
      </c>
      <c r="BI317" s="206">
        <f t="shared" si="293"/>
        <v>2.4911164605172231E-4</v>
      </c>
      <c r="BJ317" s="206">
        <f t="shared" si="293"/>
        <v>2.4911164605172231E-4</v>
      </c>
      <c r="BK317" s="206">
        <f t="shared" si="293"/>
        <v>2.4911164605172231E-4</v>
      </c>
      <c r="BL317" s="206">
        <f t="shared" si="293"/>
        <v>2.4911164605172231E-4</v>
      </c>
      <c r="BM317" s="206">
        <f t="shared" si="293"/>
        <v>2.4911164605172231E-4</v>
      </c>
      <c r="BN317" s="206">
        <f t="shared" si="293"/>
        <v>2.4911164605172231E-4</v>
      </c>
      <c r="BO317" s="206">
        <f t="shared" si="293"/>
        <v>2.4911164605172231E-4</v>
      </c>
      <c r="BP317" s="206">
        <f t="shared" si="293"/>
        <v>2.4911164605172231E-4</v>
      </c>
      <c r="BQ317" s="206">
        <f t="shared" si="293"/>
        <v>2.4911164605172231E-4</v>
      </c>
      <c r="BR317" s="206">
        <f t="shared" si="293"/>
        <v>2.4911164605172231E-4</v>
      </c>
      <c r="BS317" s="206">
        <f t="shared" si="293"/>
        <v>2.4911164605172231E-4</v>
      </c>
      <c r="BT317" s="206">
        <f t="shared" si="293"/>
        <v>2.4911164605172231E-4</v>
      </c>
      <c r="BU317" s="206">
        <f t="shared" si="293"/>
        <v>2.4911164605172231E-4</v>
      </c>
      <c r="BV317" s="206">
        <f t="shared" si="293"/>
        <v>2.4911164605172231E-4</v>
      </c>
    </row>
    <row r="318" spans="1:74" x14ac:dyDescent="0.25">
      <c r="A318" s="149" t="s">
        <v>221</v>
      </c>
      <c r="B318" s="156"/>
      <c r="C318" s="150"/>
      <c r="D318" s="185">
        <f t="shared" ref="D318:AR318" si="294">D254*D$48</f>
        <v>1.270069492008372E-7</v>
      </c>
      <c r="E318" s="185">
        <f t="shared" si="294"/>
        <v>1.2700694925003091E-7</v>
      </c>
      <c r="F318" s="185">
        <f t="shared" si="294"/>
        <v>1.270069492992246E-7</v>
      </c>
      <c r="G318" s="185">
        <f t="shared" si="294"/>
        <v>1.2700694934841829E-7</v>
      </c>
      <c r="H318" s="185">
        <f t="shared" si="294"/>
        <v>1.27006949397612E-7</v>
      </c>
      <c r="I318" s="185">
        <f t="shared" si="294"/>
        <v>1.2700694944680564E-7</v>
      </c>
      <c r="J318" s="185">
        <f t="shared" si="294"/>
        <v>1.2700694924315989E-7</v>
      </c>
      <c r="K318" s="185">
        <f t="shared" si="294"/>
        <v>1.2700694941941212E-7</v>
      </c>
      <c r="L318" s="185">
        <f t="shared" si="294"/>
        <v>1.2470588235294119E-7</v>
      </c>
      <c r="M318" s="185">
        <f t="shared" si="294"/>
        <v>1.2470588192388398E-7</v>
      </c>
      <c r="N318" s="185">
        <f t="shared" si="294"/>
        <v>1.2470588194107565E-7</v>
      </c>
      <c r="O318" s="185">
        <f t="shared" si="294"/>
        <v>1.247058819925892E-7</v>
      </c>
      <c r="P318" s="185">
        <f t="shared" si="294"/>
        <v>1.2470588199694195E-7</v>
      </c>
      <c r="Q318" s="185">
        <f t="shared" si="294"/>
        <v>1.2470588235294119E-7</v>
      </c>
      <c r="R318" s="185">
        <f t="shared" si="294"/>
        <v>1.2470588235294119E-7</v>
      </c>
      <c r="S318" s="185">
        <f t="shared" si="294"/>
        <v>1.2470588201844253E-7</v>
      </c>
      <c r="T318" s="185">
        <f t="shared" si="294"/>
        <v>1.2470588203754569E-7</v>
      </c>
      <c r="U318" s="185">
        <f t="shared" si="294"/>
        <v>1.2470588293770595E-7</v>
      </c>
      <c r="V318" s="185">
        <f t="shared" si="294"/>
        <v>1.2470587794712123E-7</v>
      </c>
      <c r="W318" s="185">
        <f t="shared" si="294"/>
        <v>1.2470586941887643E-7</v>
      </c>
      <c r="X318" s="185">
        <f t="shared" si="294"/>
        <v>1.2470589538251528E-7</v>
      </c>
      <c r="Y318" s="185">
        <f t="shared" si="294"/>
        <v>1.2470588009393751E-7</v>
      </c>
      <c r="Z318" s="185">
        <f t="shared" si="294"/>
        <v>1.4689579809634897E-7</v>
      </c>
      <c r="AA318" s="185">
        <f t="shared" si="294"/>
        <v>1.4689576984032056E-7</v>
      </c>
      <c r="AB318" s="185">
        <f t="shared" si="294"/>
        <v>1.4689576984032056E-7</v>
      </c>
      <c r="AC318" s="185">
        <f t="shared" si="294"/>
        <v>1.4689576984032056E-7</v>
      </c>
      <c r="AD318" s="185">
        <f t="shared" si="294"/>
        <v>1.4689578839936621E-7</v>
      </c>
      <c r="AE318" s="185">
        <f t="shared" si="294"/>
        <v>1.4689578839936621E-7</v>
      </c>
      <c r="AF318" s="185">
        <f t="shared" si="294"/>
        <v>1.4689578839936621E-7</v>
      </c>
      <c r="AG318" s="185">
        <f t="shared" si="294"/>
        <v>1.4689578839936621E-7</v>
      </c>
      <c r="AH318" s="185">
        <f t="shared" si="294"/>
        <v>1.4689578839936621E-7</v>
      </c>
      <c r="AI318" s="185">
        <f t="shared" si="294"/>
        <v>1.4689578839936621E-7</v>
      </c>
      <c r="AJ318" s="185">
        <f t="shared" si="294"/>
        <v>1.4689578839936621E-7</v>
      </c>
      <c r="AK318" s="185">
        <f t="shared" si="294"/>
        <v>1.4689578839936621E-7</v>
      </c>
      <c r="AL318" s="185">
        <f t="shared" si="294"/>
        <v>1.4689578839936621E-7</v>
      </c>
      <c r="AM318" s="185">
        <f t="shared" si="294"/>
        <v>1.4689578839936621E-7</v>
      </c>
      <c r="AN318" s="185">
        <f t="shared" si="294"/>
        <v>1.4689578839936621E-7</v>
      </c>
      <c r="AO318" s="185">
        <f t="shared" si="294"/>
        <v>1.4689578839936621E-7</v>
      </c>
      <c r="AP318" s="185">
        <f t="shared" si="294"/>
        <v>1.4689578839936621E-7</v>
      </c>
      <c r="AQ318" s="185">
        <f t="shared" si="294"/>
        <v>1.4689578839936621E-7</v>
      </c>
      <c r="AR318" s="185">
        <f t="shared" si="294"/>
        <v>1.4689578839936621E-7</v>
      </c>
      <c r="AS318" s="206">
        <f t="shared" ref="AS318:BV318" si="295">AR318</f>
        <v>1.4689578839936621E-7</v>
      </c>
      <c r="AT318" s="206">
        <f t="shared" si="295"/>
        <v>1.4689578839936621E-7</v>
      </c>
      <c r="AU318" s="206">
        <f t="shared" si="295"/>
        <v>1.4689578839936621E-7</v>
      </c>
      <c r="AV318" s="206">
        <f t="shared" si="295"/>
        <v>1.4689578839936621E-7</v>
      </c>
      <c r="AW318" s="206">
        <f t="shared" si="295"/>
        <v>1.4689578839936621E-7</v>
      </c>
      <c r="AX318" s="206">
        <f t="shared" si="295"/>
        <v>1.4689578839936621E-7</v>
      </c>
      <c r="AY318" s="206">
        <f t="shared" si="295"/>
        <v>1.4689578839936621E-7</v>
      </c>
      <c r="AZ318" s="206">
        <f t="shared" si="295"/>
        <v>1.4689578839936621E-7</v>
      </c>
      <c r="BA318" s="206">
        <f t="shared" si="295"/>
        <v>1.4689578839936621E-7</v>
      </c>
      <c r="BB318" s="206">
        <f t="shared" si="295"/>
        <v>1.4689578839936621E-7</v>
      </c>
      <c r="BC318" s="206">
        <f t="shared" si="295"/>
        <v>1.4689578839936621E-7</v>
      </c>
      <c r="BD318" s="206">
        <f t="shared" si="295"/>
        <v>1.4689578839936621E-7</v>
      </c>
      <c r="BE318" s="206">
        <f t="shared" si="295"/>
        <v>1.4689578839936621E-7</v>
      </c>
      <c r="BF318" s="206">
        <f t="shared" si="295"/>
        <v>1.4689578839936621E-7</v>
      </c>
      <c r="BG318" s="206">
        <f t="shared" si="295"/>
        <v>1.4689578839936621E-7</v>
      </c>
      <c r="BH318" s="206">
        <f t="shared" si="295"/>
        <v>1.4689578839936621E-7</v>
      </c>
      <c r="BI318" s="206">
        <f t="shared" si="295"/>
        <v>1.4689578839936621E-7</v>
      </c>
      <c r="BJ318" s="206">
        <f t="shared" si="295"/>
        <v>1.4689578839936621E-7</v>
      </c>
      <c r="BK318" s="206">
        <f t="shared" si="295"/>
        <v>1.4689578839936621E-7</v>
      </c>
      <c r="BL318" s="206">
        <f t="shared" si="295"/>
        <v>1.4689578839936621E-7</v>
      </c>
      <c r="BM318" s="206">
        <f t="shared" si="295"/>
        <v>1.4689578839936621E-7</v>
      </c>
      <c r="BN318" s="206">
        <f t="shared" si="295"/>
        <v>1.4689578839936621E-7</v>
      </c>
      <c r="BO318" s="206">
        <f t="shared" si="295"/>
        <v>1.4689578839936621E-7</v>
      </c>
      <c r="BP318" s="206">
        <f t="shared" si="295"/>
        <v>1.4689578839936621E-7</v>
      </c>
      <c r="BQ318" s="206">
        <f t="shared" si="295"/>
        <v>1.4689578839936621E-7</v>
      </c>
      <c r="BR318" s="206">
        <f t="shared" si="295"/>
        <v>1.4689578839936621E-7</v>
      </c>
      <c r="BS318" s="206">
        <f t="shared" si="295"/>
        <v>1.4689578839936621E-7</v>
      </c>
      <c r="BT318" s="206">
        <f t="shared" si="295"/>
        <v>1.4689578839936621E-7</v>
      </c>
      <c r="BU318" s="206">
        <f t="shared" si="295"/>
        <v>1.4689578839936621E-7</v>
      </c>
      <c r="BV318" s="206">
        <f t="shared" si="295"/>
        <v>1.4689578839936621E-7</v>
      </c>
    </row>
    <row r="319" spans="1:74" x14ac:dyDescent="0.25">
      <c r="A319" s="149" t="s">
        <v>223</v>
      </c>
      <c r="B319" s="156"/>
      <c r="C319" s="156"/>
      <c r="D319" s="185">
        <f t="shared" ref="D319:AR319" si="296">D255*D$48</f>
        <v>1.5291386987653565E-4</v>
      </c>
      <c r="E319" s="185">
        <f t="shared" si="296"/>
        <v>1.5291386987653565E-4</v>
      </c>
      <c r="F319" s="185">
        <f t="shared" si="296"/>
        <v>1.5291386987653565E-4</v>
      </c>
      <c r="G319" s="185">
        <f t="shared" si="296"/>
        <v>1.5291386987653565E-4</v>
      </c>
      <c r="H319" s="185">
        <f t="shared" si="296"/>
        <v>1.5291386987653565E-4</v>
      </c>
      <c r="I319" s="185">
        <f t="shared" si="296"/>
        <v>1.5291386987653565E-4</v>
      </c>
      <c r="J319" s="185">
        <f t="shared" si="296"/>
        <v>1.5291389904877915E-4</v>
      </c>
      <c r="K319" s="185">
        <f t="shared" si="296"/>
        <v>1.5291388802392465E-4</v>
      </c>
      <c r="L319" s="185">
        <f t="shared" si="296"/>
        <v>1.5291393689823138E-4</v>
      </c>
      <c r="M319" s="185">
        <f t="shared" si="296"/>
        <v>1.5291392492182475E-4</v>
      </c>
      <c r="N319" s="185">
        <f t="shared" si="296"/>
        <v>1.5291402559567945E-4</v>
      </c>
      <c r="O319" s="185">
        <f t="shared" si="296"/>
        <v>1.5291423135436064E-4</v>
      </c>
      <c r="P319" s="185">
        <f t="shared" si="296"/>
        <v>1.514287907469176E-4</v>
      </c>
      <c r="Q319" s="185">
        <f t="shared" si="296"/>
        <v>1.5142846350712727E-4</v>
      </c>
      <c r="R319" s="185">
        <f t="shared" si="296"/>
        <v>1.5142857142857145E-4</v>
      </c>
      <c r="S319" s="185">
        <f t="shared" si="296"/>
        <v>1.5142862442862445E-4</v>
      </c>
      <c r="T319" s="185">
        <f t="shared" si="296"/>
        <v>1.5142857142857145E-4</v>
      </c>
      <c r="U319" s="185">
        <f t="shared" si="296"/>
        <v>1.5142857142857145E-4</v>
      </c>
      <c r="V319" s="185">
        <f t="shared" si="296"/>
        <v>1.514285195620469E-4</v>
      </c>
      <c r="W319" s="185">
        <f t="shared" si="296"/>
        <v>1.5142867386034028E-4</v>
      </c>
      <c r="X319" s="185">
        <f t="shared" si="296"/>
        <v>1.5142847170268589E-4</v>
      </c>
      <c r="Y319" s="185">
        <f t="shared" si="296"/>
        <v>1.5142857142857145E-4</v>
      </c>
      <c r="Z319" s="185">
        <f t="shared" si="296"/>
        <v>1.5142867197968639E-4</v>
      </c>
      <c r="AA319" s="185">
        <f t="shared" si="296"/>
        <v>1.514286205839886E-4</v>
      </c>
      <c r="AB319" s="185">
        <f t="shared" si="296"/>
        <v>1.514286668106997E-4</v>
      </c>
      <c r="AC319" s="185">
        <f t="shared" si="296"/>
        <v>1.5142871586111911E-4</v>
      </c>
      <c r="AD319" s="185">
        <f t="shared" si="296"/>
        <v>1.5142852473171335E-4</v>
      </c>
      <c r="AE319" s="185">
        <f t="shared" si="296"/>
        <v>1.5142852442202794E-4</v>
      </c>
      <c r="AF319" s="185">
        <f t="shared" si="296"/>
        <v>1.5142852442202794E-4</v>
      </c>
      <c r="AG319" s="185">
        <f t="shared" si="296"/>
        <v>1.5142852442202794E-4</v>
      </c>
      <c r="AH319" s="185">
        <f t="shared" si="296"/>
        <v>1.5142852442202794E-4</v>
      </c>
      <c r="AI319" s="185">
        <f t="shared" si="296"/>
        <v>1.5142852442202794E-4</v>
      </c>
      <c r="AJ319" s="185">
        <f t="shared" si="296"/>
        <v>1.5142852442202794E-4</v>
      </c>
      <c r="AK319" s="185">
        <f t="shared" si="296"/>
        <v>1.5142852442202794E-4</v>
      </c>
      <c r="AL319" s="185">
        <f t="shared" si="296"/>
        <v>1.5142852442202794E-4</v>
      </c>
      <c r="AM319" s="185">
        <f t="shared" si="296"/>
        <v>1.5142852442202794E-4</v>
      </c>
      <c r="AN319" s="185">
        <f t="shared" si="296"/>
        <v>1.5142852442202794E-4</v>
      </c>
      <c r="AO319" s="185">
        <f t="shared" si="296"/>
        <v>1.5142852442202794E-4</v>
      </c>
      <c r="AP319" s="185">
        <f t="shared" si="296"/>
        <v>1.5142852442202794E-4</v>
      </c>
      <c r="AQ319" s="185">
        <f t="shared" si="296"/>
        <v>1.5142852442202794E-4</v>
      </c>
      <c r="AR319" s="185">
        <f t="shared" si="296"/>
        <v>1.5142852442202794E-4</v>
      </c>
      <c r="AS319" s="206">
        <f t="shared" ref="AS319:BV319" si="297">AR319</f>
        <v>1.5142852442202794E-4</v>
      </c>
      <c r="AT319" s="206">
        <f t="shared" si="297"/>
        <v>1.5142852442202794E-4</v>
      </c>
      <c r="AU319" s="206">
        <f t="shared" si="297"/>
        <v>1.5142852442202794E-4</v>
      </c>
      <c r="AV319" s="206">
        <f t="shared" si="297"/>
        <v>1.5142852442202794E-4</v>
      </c>
      <c r="AW319" s="206">
        <f t="shared" si="297"/>
        <v>1.5142852442202794E-4</v>
      </c>
      <c r="AX319" s="206">
        <f t="shared" si="297"/>
        <v>1.5142852442202794E-4</v>
      </c>
      <c r="AY319" s="206">
        <f t="shared" si="297"/>
        <v>1.5142852442202794E-4</v>
      </c>
      <c r="AZ319" s="206">
        <f t="shared" si="297"/>
        <v>1.5142852442202794E-4</v>
      </c>
      <c r="BA319" s="206">
        <f t="shared" si="297"/>
        <v>1.5142852442202794E-4</v>
      </c>
      <c r="BB319" s="206">
        <f t="shared" si="297"/>
        <v>1.5142852442202794E-4</v>
      </c>
      <c r="BC319" s="206">
        <f t="shared" si="297"/>
        <v>1.5142852442202794E-4</v>
      </c>
      <c r="BD319" s="206">
        <f t="shared" si="297"/>
        <v>1.5142852442202794E-4</v>
      </c>
      <c r="BE319" s="206">
        <f t="shared" si="297"/>
        <v>1.5142852442202794E-4</v>
      </c>
      <c r="BF319" s="206">
        <f t="shared" si="297"/>
        <v>1.5142852442202794E-4</v>
      </c>
      <c r="BG319" s="206">
        <f t="shared" si="297"/>
        <v>1.5142852442202794E-4</v>
      </c>
      <c r="BH319" s="206">
        <f t="shared" si="297"/>
        <v>1.5142852442202794E-4</v>
      </c>
      <c r="BI319" s="206">
        <f t="shared" si="297"/>
        <v>1.5142852442202794E-4</v>
      </c>
      <c r="BJ319" s="206">
        <f t="shared" si="297"/>
        <v>1.5142852442202794E-4</v>
      </c>
      <c r="BK319" s="206">
        <f t="shared" si="297"/>
        <v>1.5142852442202794E-4</v>
      </c>
      <c r="BL319" s="206">
        <f t="shared" si="297"/>
        <v>1.5142852442202794E-4</v>
      </c>
      <c r="BM319" s="206">
        <f t="shared" si="297"/>
        <v>1.5142852442202794E-4</v>
      </c>
      <c r="BN319" s="206">
        <f t="shared" si="297"/>
        <v>1.5142852442202794E-4</v>
      </c>
      <c r="BO319" s="206">
        <f t="shared" si="297"/>
        <v>1.5142852442202794E-4</v>
      </c>
      <c r="BP319" s="206">
        <f t="shared" si="297"/>
        <v>1.5142852442202794E-4</v>
      </c>
      <c r="BQ319" s="206">
        <f t="shared" si="297"/>
        <v>1.5142852442202794E-4</v>
      </c>
      <c r="BR319" s="206">
        <f t="shared" si="297"/>
        <v>1.5142852442202794E-4</v>
      </c>
      <c r="BS319" s="206">
        <f t="shared" si="297"/>
        <v>1.5142852442202794E-4</v>
      </c>
      <c r="BT319" s="206">
        <f t="shared" si="297"/>
        <v>1.5142852442202794E-4</v>
      </c>
      <c r="BU319" s="206">
        <f t="shared" si="297"/>
        <v>1.5142852442202794E-4</v>
      </c>
      <c r="BV319" s="206">
        <f t="shared" si="297"/>
        <v>1.5142852442202794E-4</v>
      </c>
    </row>
    <row r="320" spans="1:74" x14ac:dyDescent="0.25">
      <c r="A320" s="149" t="s">
        <v>279</v>
      </c>
      <c r="B320" s="150"/>
      <c r="C320" s="150"/>
      <c r="D320" s="185">
        <f t="shared" ref="D320:AR320" si="298">D256*D$48</f>
        <v>4.0642224015818634E-4</v>
      </c>
      <c r="E320" s="185">
        <f t="shared" si="298"/>
        <v>4.0642223965568064E-4</v>
      </c>
      <c r="F320" s="185">
        <f t="shared" si="298"/>
        <v>4.0642223915317494E-4</v>
      </c>
      <c r="G320" s="185">
        <f t="shared" si="298"/>
        <v>4.0642223865066919E-4</v>
      </c>
      <c r="H320" s="185">
        <f t="shared" si="298"/>
        <v>4.0642223814816349E-4</v>
      </c>
      <c r="I320" s="185">
        <f t="shared" si="298"/>
        <v>4.0642223764565763E-4</v>
      </c>
      <c r="J320" s="185">
        <f t="shared" si="298"/>
        <v>4.0642223674414315E-4</v>
      </c>
      <c r="K320" s="185">
        <f t="shared" si="298"/>
        <v>4.0642216391160486E-4</v>
      </c>
      <c r="L320" s="185">
        <f t="shared" si="298"/>
        <v>3.9905880825388519E-4</v>
      </c>
      <c r="M320" s="185">
        <f t="shared" si="298"/>
        <v>3.990588137040431E-4</v>
      </c>
      <c r="N320" s="185">
        <f t="shared" si="298"/>
        <v>3.9905880775784579E-4</v>
      </c>
      <c r="O320" s="185">
        <f t="shared" si="298"/>
        <v>3.9905881064281393E-4</v>
      </c>
      <c r="P320" s="185">
        <f t="shared" si="298"/>
        <v>3.9905880612649399E-4</v>
      </c>
      <c r="Q320" s="185">
        <f t="shared" si="298"/>
        <v>3.9905882209080628E-4</v>
      </c>
      <c r="R320" s="185">
        <f t="shared" si="298"/>
        <v>3.9905880892000204E-4</v>
      </c>
      <c r="S320" s="185">
        <f t="shared" si="298"/>
        <v>3.9905887403068982E-4</v>
      </c>
      <c r="T320" s="185">
        <f t="shared" si="298"/>
        <v>3.9905888739379396E-4</v>
      </c>
      <c r="U320" s="185">
        <f t="shared" si="298"/>
        <v>3.9905874902899593E-4</v>
      </c>
      <c r="V320" s="185">
        <f t="shared" si="298"/>
        <v>3.9905878688605825E-4</v>
      </c>
      <c r="W320" s="185">
        <f t="shared" si="298"/>
        <v>3.9905876786809966E-4</v>
      </c>
      <c r="X320" s="185">
        <f t="shared" si="298"/>
        <v>3.9905886058775334E-4</v>
      </c>
      <c r="Y320" s="185">
        <f t="shared" si="298"/>
        <v>3.9905874763540984E-4</v>
      </c>
      <c r="Z320" s="185">
        <f t="shared" si="298"/>
        <v>3.9905857267724714E-4</v>
      </c>
      <c r="AA320" s="185">
        <f t="shared" si="298"/>
        <v>3.9905877144745359E-4</v>
      </c>
      <c r="AB320" s="185">
        <f t="shared" si="298"/>
        <v>3.9905877144745359E-4</v>
      </c>
      <c r="AC320" s="185">
        <f t="shared" si="298"/>
        <v>3.9905877144745359E-4</v>
      </c>
      <c r="AD320" s="185">
        <f t="shared" si="298"/>
        <v>3.9905862201232022E-4</v>
      </c>
      <c r="AE320" s="185">
        <f t="shared" si="298"/>
        <v>3.9905862201232022E-4</v>
      </c>
      <c r="AF320" s="185">
        <f t="shared" si="298"/>
        <v>3.9905862201232022E-4</v>
      </c>
      <c r="AG320" s="185">
        <f t="shared" si="298"/>
        <v>3.9905862201232022E-4</v>
      </c>
      <c r="AH320" s="185">
        <f t="shared" si="298"/>
        <v>3.9905862201232022E-4</v>
      </c>
      <c r="AI320" s="185">
        <f t="shared" si="298"/>
        <v>3.9905862201232022E-4</v>
      </c>
      <c r="AJ320" s="185">
        <f t="shared" si="298"/>
        <v>3.9905862201232022E-4</v>
      </c>
      <c r="AK320" s="185">
        <f t="shared" si="298"/>
        <v>3.9905862201232022E-4</v>
      </c>
      <c r="AL320" s="185">
        <f t="shared" si="298"/>
        <v>3.9905862201232022E-4</v>
      </c>
      <c r="AM320" s="185">
        <f t="shared" si="298"/>
        <v>3.9905862201232022E-4</v>
      </c>
      <c r="AN320" s="185">
        <f t="shared" si="298"/>
        <v>3.9905862201232022E-4</v>
      </c>
      <c r="AO320" s="185">
        <f t="shared" si="298"/>
        <v>3.9905862201232022E-4</v>
      </c>
      <c r="AP320" s="185">
        <f t="shared" si="298"/>
        <v>3.9905862201232022E-4</v>
      </c>
      <c r="AQ320" s="185">
        <f t="shared" si="298"/>
        <v>3.9905862201232022E-4</v>
      </c>
      <c r="AR320" s="185">
        <f t="shared" si="298"/>
        <v>3.9905862201232022E-4</v>
      </c>
      <c r="AS320" s="206">
        <f t="shared" ref="AS320:BV320" si="299">AR320</f>
        <v>3.9905862201232022E-4</v>
      </c>
      <c r="AT320" s="206">
        <f t="shared" si="299"/>
        <v>3.9905862201232022E-4</v>
      </c>
      <c r="AU320" s="206">
        <f t="shared" si="299"/>
        <v>3.9905862201232022E-4</v>
      </c>
      <c r="AV320" s="206">
        <f t="shared" si="299"/>
        <v>3.9905862201232022E-4</v>
      </c>
      <c r="AW320" s="206">
        <f t="shared" si="299"/>
        <v>3.9905862201232022E-4</v>
      </c>
      <c r="AX320" s="206">
        <f t="shared" si="299"/>
        <v>3.9905862201232022E-4</v>
      </c>
      <c r="AY320" s="206">
        <f t="shared" si="299"/>
        <v>3.9905862201232022E-4</v>
      </c>
      <c r="AZ320" s="206">
        <f t="shared" si="299"/>
        <v>3.9905862201232022E-4</v>
      </c>
      <c r="BA320" s="206">
        <f t="shared" si="299"/>
        <v>3.9905862201232022E-4</v>
      </c>
      <c r="BB320" s="206">
        <f t="shared" si="299"/>
        <v>3.9905862201232022E-4</v>
      </c>
      <c r="BC320" s="206">
        <f t="shared" si="299"/>
        <v>3.9905862201232022E-4</v>
      </c>
      <c r="BD320" s="206">
        <f t="shared" si="299"/>
        <v>3.9905862201232022E-4</v>
      </c>
      <c r="BE320" s="206">
        <f t="shared" si="299"/>
        <v>3.9905862201232022E-4</v>
      </c>
      <c r="BF320" s="206">
        <f t="shared" si="299"/>
        <v>3.9905862201232022E-4</v>
      </c>
      <c r="BG320" s="206">
        <f t="shared" si="299"/>
        <v>3.9905862201232022E-4</v>
      </c>
      <c r="BH320" s="206">
        <f t="shared" si="299"/>
        <v>3.9905862201232022E-4</v>
      </c>
      <c r="BI320" s="206">
        <f t="shared" si="299"/>
        <v>3.9905862201232022E-4</v>
      </c>
      <c r="BJ320" s="206">
        <f t="shared" si="299"/>
        <v>3.9905862201232022E-4</v>
      </c>
      <c r="BK320" s="206">
        <f t="shared" si="299"/>
        <v>3.9905862201232022E-4</v>
      </c>
      <c r="BL320" s="206">
        <f t="shared" si="299"/>
        <v>3.9905862201232022E-4</v>
      </c>
      <c r="BM320" s="206">
        <f t="shared" si="299"/>
        <v>3.9905862201232022E-4</v>
      </c>
      <c r="BN320" s="206">
        <f t="shared" si="299"/>
        <v>3.9905862201232022E-4</v>
      </c>
      <c r="BO320" s="206">
        <f t="shared" si="299"/>
        <v>3.9905862201232022E-4</v>
      </c>
      <c r="BP320" s="206">
        <f t="shared" si="299"/>
        <v>3.9905862201232022E-4</v>
      </c>
      <c r="BQ320" s="206">
        <f t="shared" si="299"/>
        <v>3.9905862201232022E-4</v>
      </c>
      <c r="BR320" s="206">
        <f t="shared" si="299"/>
        <v>3.9905862201232022E-4</v>
      </c>
      <c r="BS320" s="206">
        <f t="shared" si="299"/>
        <v>3.9905862201232022E-4</v>
      </c>
      <c r="BT320" s="206">
        <f t="shared" si="299"/>
        <v>3.9905862201232022E-4</v>
      </c>
      <c r="BU320" s="206">
        <f t="shared" si="299"/>
        <v>3.9905862201232022E-4</v>
      </c>
      <c r="BV320" s="206">
        <f t="shared" si="299"/>
        <v>3.9905862201232022E-4</v>
      </c>
    </row>
    <row r="321" spans="1:74" x14ac:dyDescent="0.25">
      <c r="A321" s="149" t="s">
        <v>224</v>
      </c>
      <c r="B321" s="150"/>
      <c r="C321" s="150"/>
      <c r="D321" s="185">
        <f t="shared" ref="D321:AR321" si="300">D257*D$48</f>
        <v>2.1238366501942485E-4</v>
      </c>
      <c r="E321" s="185">
        <f t="shared" si="300"/>
        <v>2.1238366960852042E-4</v>
      </c>
      <c r="F321" s="185">
        <f t="shared" si="300"/>
        <v>2.1238367419761615E-4</v>
      </c>
      <c r="G321" s="185">
        <f t="shared" si="300"/>
        <v>2.1238367878671208E-4</v>
      </c>
      <c r="H321" s="185">
        <f t="shared" si="300"/>
        <v>2.1238368337580821E-4</v>
      </c>
      <c r="I321" s="185">
        <f t="shared" si="300"/>
        <v>2.1238368796490449E-4</v>
      </c>
      <c r="J321" s="185">
        <f t="shared" si="300"/>
        <v>2.1238366282328846E-4</v>
      </c>
      <c r="K321" s="185">
        <f t="shared" si="300"/>
        <v>2.1238364676248725E-4</v>
      </c>
      <c r="L321" s="185">
        <f t="shared" si="300"/>
        <v>2.1238369378766747E-4</v>
      </c>
      <c r="M321" s="185">
        <f t="shared" si="300"/>
        <v>2.1238366965638556E-4</v>
      </c>
      <c r="N321" s="185">
        <f t="shared" si="300"/>
        <v>2.1238365944109691E-4</v>
      </c>
      <c r="O321" s="185">
        <f t="shared" si="300"/>
        <v>2.1238365557558903E-4</v>
      </c>
      <c r="P321" s="185">
        <f t="shared" si="300"/>
        <v>2.1238367365394745E-4</v>
      </c>
      <c r="Q321" s="185">
        <f t="shared" si="300"/>
        <v>2.1238366501544439E-4</v>
      </c>
      <c r="R321" s="185">
        <f t="shared" si="300"/>
        <v>2.1238363604141644E-4</v>
      </c>
      <c r="S321" s="185">
        <f t="shared" si="300"/>
        <v>2.1238359659609939E-4</v>
      </c>
      <c r="T321" s="185">
        <f t="shared" si="300"/>
        <v>2.1238386181433636E-4</v>
      </c>
      <c r="U321" s="185">
        <f t="shared" si="300"/>
        <v>2.1238379039908867E-4</v>
      </c>
      <c r="V321" s="185">
        <f t="shared" si="300"/>
        <v>2.1238358617002711E-4</v>
      </c>
      <c r="W321" s="185">
        <f t="shared" si="300"/>
        <v>2.1238373786838192E-4</v>
      </c>
      <c r="X321" s="185">
        <f t="shared" si="300"/>
        <v>2.1238365375914964E-4</v>
      </c>
      <c r="Y321" s="185">
        <f t="shared" si="300"/>
        <v>2.1238369589264111E-4</v>
      </c>
      <c r="Z321" s="185">
        <f t="shared" si="300"/>
        <v>2.1238352494474397E-4</v>
      </c>
      <c r="AA321" s="185">
        <f t="shared" si="300"/>
        <v>2.1238361107556107E-4</v>
      </c>
      <c r="AB321" s="185">
        <f t="shared" si="300"/>
        <v>2.1323666211372713E-4</v>
      </c>
      <c r="AC321" s="185">
        <f t="shared" si="300"/>
        <v>2.1320100912794666E-4</v>
      </c>
      <c r="AD321" s="185">
        <f t="shared" si="300"/>
        <v>2.1360646592010813E-4</v>
      </c>
      <c r="AE321" s="185">
        <f t="shared" si="300"/>
        <v>2.1373589711148842E-4</v>
      </c>
      <c r="AF321" s="185">
        <f t="shared" si="300"/>
        <v>2.1373589711148842E-4</v>
      </c>
      <c r="AG321" s="185">
        <f t="shared" si="300"/>
        <v>2.1373589711148842E-4</v>
      </c>
      <c r="AH321" s="185">
        <f t="shared" si="300"/>
        <v>2.1373589711148842E-4</v>
      </c>
      <c r="AI321" s="185">
        <f t="shared" si="300"/>
        <v>2.1373589711148842E-4</v>
      </c>
      <c r="AJ321" s="185">
        <f t="shared" si="300"/>
        <v>2.1373589711148842E-4</v>
      </c>
      <c r="AK321" s="185">
        <f t="shared" si="300"/>
        <v>2.1373589711148842E-4</v>
      </c>
      <c r="AL321" s="185">
        <f t="shared" si="300"/>
        <v>2.1373589711148842E-4</v>
      </c>
      <c r="AM321" s="185">
        <f t="shared" si="300"/>
        <v>2.1373589711148842E-4</v>
      </c>
      <c r="AN321" s="185">
        <f t="shared" si="300"/>
        <v>2.1373589711148842E-4</v>
      </c>
      <c r="AO321" s="185">
        <f t="shared" si="300"/>
        <v>2.1373589711148842E-4</v>
      </c>
      <c r="AP321" s="185">
        <f t="shared" si="300"/>
        <v>2.1373589711148842E-4</v>
      </c>
      <c r="AQ321" s="185">
        <f t="shared" si="300"/>
        <v>2.1373589711148842E-4</v>
      </c>
      <c r="AR321" s="185">
        <f t="shared" si="300"/>
        <v>2.1373589711148842E-4</v>
      </c>
      <c r="AS321" s="206">
        <f t="shared" ref="AS321:BV321" si="301">AR321</f>
        <v>2.1373589711148842E-4</v>
      </c>
      <c r="AT321" s="206">
        <f t="shared" si="301"/>
        <v>2.1373589711148842E-4</v>
      </c>
      <c r="AU321" s="206">
        <f t="shared" si="301"/>
        <v>2.1373589711148842E-4</v>
      </c>
      <c r="AV321" s="206">
        <f t="shared" si="301"/>
        <v>2.1373589711148842E-4</v>
      </c>
      <c r="AW321" s="206">
        <f t="shared" si="301"/>
        <v>2.1373589711148842E-4</v>
      </c>
      <c r="AX321" s="206">
        <f t="shared" si="301"/>
        <v>2.1373589711148842E-4</v>
      </c>
      <c r="AY321" s="206">
        <f t="shared" si="301"/>
        <v>2.1373589711148842E-4</v>
      </c>
      <c r="AZ321" s="206">
        <f t="shared" si="301"/>
        <v>2.1373589711148842E-4</v>
      </c>
      <c r="BA321" s="206">
        <f t="shared" si="301"/>
        <v>2.1373589711148842E-4</v>
      </c>
      <c r="BB321" s="206">
        <f t="shared" si="301"/>
        <v>2.1373589711148842E-4</v>
      </c>
      <c r="BC321" s="206">
        <f t="shared" si="301"/>
        <v>2.1373589711148842E-4</v>
      </c>
      <c r="BD321" s="206">
        <f t="shared" si="301"/>
        <v>2.1373589711148842E-4</v>
      </c>
      <c r="BE321" s="206">
        <f t="shared" si="301"/>
        <v>2.1373589711148842E-4</v>
      </c>
      <c r="BF321" s="206">
        <f t="shared" si="301"/>
        <v>2.1373589711148842E-4</v>
      </c>
      <c r="BG321" s="206">
        <f t="shared" si="301"/>
        <v>2.1373589711148842E-4</v>
      </c>
      <c r="BH321" s="206">
        <f t="shared" si="301"/>
        <v>2.1373589711148842E-4</v>
      </c>
      <c r="BI321" s="206">
        <f t="shared" si="301"/>
        <v>2.1373589711148842E-4</v>
      </c>
      <c r="BJ321" s="206">
        <f t="shared" si="301"/>
        <v>2.1373589711148842E-4</v>
      </c>
      <c r="BK321" s="206">
        <f t="shared" si="301"/>
        <v>2.1373589711148842E-4</v>
      </c>
      <c r="BL321" s="206">
        <f t="shared" si="301"/>
        <v>2.1373589711148842E-4</v>
      </c>
      <c r="BM321" s="206">
        <f t="shared" si="301"/>
        <v>2.1373589711148842E-4</v>
      </c>
      <c r="BN321" s="206">
        <f t="shared" si="301"/>
        <v>2.1373589711148842E-4</v>
      </c>
      <c r="BO321" s="206">
        <f t="shared" si="301"/>
        <v>2.1373589711148842E-4</v>
      </c>
      <c r="BP321" s="206">
        <f t="shared" si="301"/>
        <v>2.1373589711148842E-4</v>
      </c>
      <c r="BQ321" s="206">
        <f t="shared" si="301"/>
        <v>2.1373589711148842E-4</v>
      </c>
      <c r="BR321" s="206">
        <f t="shared" si="301"/>
        <v>2.1373589711148842E-4</v>
      </c>
      <c r="BS321" s="206">
        <f t="shared" si="301"/>
        <v>2.1373589711148842E-4</v>
      </c>
      <c r="BT321" s="206">
        <f t="shared" si="301"/>
        <v>2.1373589711148842E-4</v>
      </c>
      <c r="BU321" s="206">
        <f t="shared" si="301"/>
        <v>2.1373589711148842E-4</v>
      </c>
      <c r="BV321" s="206">
        <f t="shared" si="301"/>
        <v>2.1373589711148842E-4</v>
      </c>
    </row>
    <row r="322" spans="1:74" x14ac:dyDescent="0.25">
      <c r="A322" s="155" t="s">
        <v>13</v>
      </c>
      <c r="C322" s="150"/>
      <c r="D322" s="185">
        <f t="shared" ref="D322:AR322" si="302">D258*D$48</f>
        <v>2.1238366501942485E-4</v>
      </c>
      <c r="E322" s="185">
        <f t="shared" si="302"/>
        <v>2.1238366960852042E-4</v>
      </c>
      <c r="F322" s="185">
        <f t="shared" si="302"/>
        <v>2.1238367419761615E-4</v>
      </c>
      <c r="G322" s="185">
        <f t="shared" si="302"/>
        <v>2.1238367878671208E-4</v>
      </c>
      <c r="H322" s="185">
        <f t="shared" si="302"/>
        <v>2.1238368337580821E-4</v>
      </c>
      <c r="I322" s="185">
        <f t="shared" si="302"/>
        <v>2.1238368796490449E-4</v>
      </c>
      <c r="J322" s="185">
        <f t="shared" si="302"/>
        <v>2.1238366282328846E-4</v>
      </c>
      <c r="K322" s="185">
        <f t="shared" si="302"/>
        <v>2.1238364676248725E-4</v>
      </c>
      <c r="L322" s="185">
        <f t="shared" si="302"/>
        <v>2.1238369378766747E-4</v>
      </c>
      <c r="M322" s="185">
        <f t="shared" si="302"/>
        <v>2.1238366965638556E-4</v>
      </c>
      <c r="N322" s="185">
        <f t="shared" si="302"/>
        <v>2.1238365944109691E-4</v>
      </c>
      <c r="O322" s="185">
        <f t="shared" si="302"/>
        <v>2.1238365557558903E-4</v>
      </c>
      <c r="P322" s="185">
        <f t="shared" si="302"/>
        <v>2.1238367365394745E-4</v>
      </c>
      <c r="Q322" s="185">
        <f t="shared" si="302"/>
        <v>2.1238366501544439E-4</v>
      </c>
      <c r="R322" s="185">
        <f t="shared" si="302"/>
        <v>2.1238363604141644E-4</v>
      </c>
      <c r="S322" s="185">
        <f t="shared" si="302"/>
        <v>2.1238359659609939E-4</v>
      </c>
      <c r="T322" s="185">
        <f t="shared" si="302"/>
        <v>2.1238386181433636E-4</v>
      </c>
      <c r="U322" s="185">
        <f t="shared" si="302"/>
        <v>2.1238379039908867E-4</v>
      </c>
      <c r="V322" s="185">
        <f t="shared" si="302"/>
        <v>2.1238358617002711E-4</v>
      </c>
      <c r="W322" s="185">
        <f t="shared" si="302"/>
        <v>2.1238373786838192E-4</v>
      </c>
      <c r="X322" s="185">
        <f t="shared" si="302"/>
        <v>2.1238365375914964E-4</v>
      </c>
      <c r="Y322" s="185">
        <f t="shared" si="302"/>
        <v>2.1238369589264111E-4</v>
      </c>
      <c r="Z322" s="185">
        <f t="shared" si="302"/>
        <v>2.1238352494474397E-4</v>
      </c>
      <c r="AA322" s="185">
        <f t="shared" si="302"/>
        <v>2.1238361107556107E-4</v>
      </c>
      <c r="AB322" s="185">
        <f t="shared" si="302"/>
        <v>2.1323666211372713E-4</v>
      </c>
      <c r="AC322" s="185">
        <f t="shared" si="302"/>
        <v>2.1320100912794666E-4</v>
      </c>
      <c r="AD322" s="185">
        <f t="shared" si="302"/>
        <v>2.1360646592010813E-4</v>
      </c>
      <c r="AE322" s="185">
        <f t="shared" si="302"/>
        <v>2.1373589711148842E-4</v>
      </c>
      <c r="AF322" s="185">
        <f t="shared" si="302"/>
        <v>2.1373589711148842E-4</v>
      </c>
      <c r="AG322" s="185">
        <f t="shared" si="302"/>
        <v>2.1373589711148842E-4</v>
      </c>
      <c r="AH322" s="185">
        <f t="shared" si="302"/>
        <v>2.1373589711148842E-4</v>
      </c>
      <c r="AI322" s="185">
        <f t="shared" si="302"/>
        <v>2.1373589711148842E-4</v>
      </c>
      <c r="AJ322" s="185">
        <f t="shared" si="302"/>
        <v>2.1373589711148842E-4</v>
      </c>
      <c r="AK322" s="185">
        <f t="shared" si="302"/>
        <v>2.1373589711148842E-4</v>
      </c>
      <c r="AL322" s="185">
        <f t="shared" si="302"/>
        <v>2.1373589711148842E-4</v>
      </c>
      <c r="AM322" s="185">
        <f t="shared" si="302"/>
        <v>2.1373589711148842E-4</v>
      </c>
      <c r="AN322" s="185">
        <f t="shared" si="302"/>
        <v>2.1373589711148842E-4</v>
      </c>
      <c r="AO322" s="185">
        <f t="shared" si="302"/>
        <v>2.1373589711148842E-4</v>
      </c>
      <c r="AP322" s="185">
        <f t="shared" si="302"/>
        <v>2.1373589711148842E-4</v>
      </c>
      <c r="AQ322" s="185">
        <f t="shared" si="302"/>
        <v>2.1373589711148842E-4</v>
      </c>
      <c r="AR322" s="185">
        <f t="shared" si="302"/>
        <v>2.1373589711148842E-4</v>
      </c>
      <c r="AS322" s="206">
        <f t="shared" ref="AS322:BV322" si="303">AR322</f>
        <v>2.1373589711148842E-4</v>
      </c>
      <c r="AT322" s="206">
        <f t="shared" si="303"/>
        <v>2.1373589711148842E-4</v>
      </c>
      <c r="AU322" s="206">
        <f t="shared" si="303"/>
        <v>2.1373589711148842E-4</v>
      </c>
      <c r="AV322" s="206">
        <f t="shared" si="303"/>
        <v>2.1373589711148842E-4</v>
      </c>
      <c r="AW322" s="206">
        <f t="shared" si="303"/>
        <v>2.1373589711148842E-4</v>
      </c>
      <c r="AX322" s="206">
        <f t="shared" si="303"/>
        <v>2.1373589711148842E-4</v>
      </c>
      <c r="AY322" s="206">
        <f t="shared" si="303"/>
        <v>2.1373589711148842E-4</v>
      </c>
      <c r="AZ322" s="206">
        <f t="shared" si="303"/>
        <v>2.1373589711148842E-4</v>
      </c>
      <c r="BA322" s="206">
        <f t="shared" si="303"/>
        <v>2.1373589711148842E-4</v>
      </c>
      <c r="BB322" s="206">
        <f t="shared" si="303"/>
        <v>2.1373589711148842E-4</v>
      </c>
      <c r="BC322" s="206">
        <f t="shared" si="303"/>
        <v>2.1373589711148842E-4</v>
      </c>
      <c r="BD322" s="206">
        <f t="shared" si="303"/>
        <v>2.1373589711148842E-4</v>
      </c>
      <c r="BE322" s="206">
        <f t="shared" si="303"/>
        <v>2.1373589711148842E-4</v>
      </c>
      <c r="BF322" s="206">
        <f t="shared" si="303"/>
        <v>2.1373589711148842E-4</v>
      </c>
      <c r="BG322" s="206">
        <f t="shared" si="303"/>
        <v>2.1373589711148842E-4</v>
      </c>
      <c r="BH322" s="206">
        <f t="shared" si="303"/>
        <v>2.1373589711148842E-4</v>
      </c>
      <c r="BI322" s="206">
        <f t="shared" si="303"/>
        <v>2.1373589711148842E-4</v>
      </c>
      <c r="BJ322" s="206">
        <f t="shared" si="303"/>
        <v>2.1373589711148842E-4</v>
      </c>
      <c r="BK322" s="206">
        <f t="shared" si="303"/>
        <v>2.1373589711148842E-4</v>
      </c>
      <c r="BL322" s="206">
        <f t="shared" si="303"/>
        <v>2.1373589711148842E-4</v>
      </c>
      <c r="BM322" s="206">
        <f t="shared" si="303"/>
        <v>2.1373589711148842E-4</v>
      </c>
      <c r="BN322" s="206">
        <f t="shared" si="303"/>
        <v>2.1373589711148842E-4</v>
      </c>
      <c r="BO322" s="206">
        <f t="shared" si="303"/>
        <v>2.1373589711148842E-4</v>
      </c>
      <c r="BP322" s="206">
        <f t="shared" si="303"/>
        <v>2.1373589711148842E-4</v>
      </c>
      <c r="BQ322" s="206">
        <f t="shared" si="303"/>
        <v>2.1373589711148842E-4</v>
      </c>
      <c r="BR322" s="206">
        <f t="shared" si="303"/>
        <v>2.1373589711148842E-4</v>
      </c>
      <c r="BS322" s="206">
        <f t="shared" si="303"/>
        <v>2.1373589711148842E-4</v>
      </c>
      <c r="BT322" s="206">
        <f t="shared" si="303"/>
        <v>2.1373589711148842E-4</v>
      </c>
      <c r="BU322" s="206">
        <f t="shared" si="303"/>
        <v>2.1373589711148842E-4</v>
      </c>
      <c r="BV322" s="206">
        <f t="shared" si="303"/>
        <v>2.1373589711148842E-4</v>
      </c>
    </row>
    <row r="323" spans="1:74" x14ac:dyDescent="0.25">
      <c r="A323" s="155" t="s">
        <v>227</v>
      </c>
      <c r="C323" s="150"/>
      <c r="D323" s="185">
        <f t="shared" ref="D323:AR323" si="304">D259*D$48</f>
        <v>1.0659968127490038E-3</v>
      </c>
      <c r="E323" s="185">
        <f t="shared" si="304"/>
        <v>1.0659968127490038E-3</v>
      </c>
      <c r="F323" s="185">
        <f t="shared" si="304"/>
        <v>1.0659968127490038E-3</v>
      </c>
      <c r="G323" s="185">
        <f t="shared" si="304"/>
        <v>1.0659968127490038E-3</v>
      </c>
      <c r="H323" s="185">
        <f t="shared" si="304"/>
        <v>1.0659968127490038E-3</v>
      </c>
      <c r="I323" s="185">
        <f t="shared" si="304"/>
        <v>1.0659968127490038E-3</v>
      </c>
      <c r="J323" s="185">
        <f t="shared" si="304"/>
        <v>1.0659968127490038E-3</v>
      </c>
      <c r="K323" s="185">
        <f t="shared" si="304"/>
        <v>1.0659968127490038E-3</v>
      </c>
      <c r="L323" s="185">
        <f t="shared" si="304"/>
        <v>1.0659968127490038E-3</v>
      </c>
      <c r="M323" s="185">
        <f t="shared" si="304"/>
        <v>1.0659968127490038E-3</v>
      </c>
      <c r="N323" s="185">
        <f t="shared" si="304"/>
        <v>1.0659968127490038E-3</v>
      </c>
      <c r="O323" s="185">
        <f t="shared" si="304"/>
        <v>1.0659968127490038E-3</v>
      </c>
      <c r="P323" s="185">
        <f t="shared" si="304"/>
        <v>1.0659968127490038E-3</v>
      </c>
      <c r="Q323" s="185">
        <f t="shared" si="304"/>
        <v>1.0679071559576469E-3</v>
      </c>
      <c r="R323" s="185">
        <f t="shared" si="304"/>
        <v>1.0679145490622799E-3</v>
      </c>
      <c r="S323" s="185">
        <f t="shared" si="304"/>
        <v>1.0679145490622799E-3</v>
      </c>
      <c r="T323" s="185">
        <f t="shared" si="304"/>
        <v>1.0679145490622799E-3</v>
      </c>
      <c r="U323" s="185">
        <f t="shared" si="304"/>
        <v>1.0679145490622799E-3</v>
      </c>
      <c r="V323" s="185">
        <f t="shared" si="304"/>
        <v>1.0679145490622799E-3</v>
      </c>
      <c r="W323" s="185">
        <f t="shared" si="304"/>
        <v>1.0679145490622799E-3</v>
      </c>
      <c r="X323" s="185">
        <f t="shared" si="304"/>
        <v>1.0679145490622799E-3</v>
      </c>
      <c r="Y323" s="185">
        <f t="shared" si="304"/>
        <v>1.0679145490622799E-3</v>
      </c>
      <c r="Z323" s="185">
        <f t="shared" si="304"/>
        <v>1.0679145490622799E-3</v>
      </c>
      <c r="AA323" s="185">
        <f t="shared" si="304"/>
        <v>1.0679145490622799E-3</v>
      </c>
      <c r="AB323" s="185">
        <f t="shared" si="304"/>
        <v>1.0679145490622799E-3</v>
      </c>
      <c r="AC323" s="185">
        <f t="shared" si="304"/>
        <v>1.0679145490622799E-3</v>
      </c>
      <c r="AD323" s="185">
        <f t="shared" si="304"/>
        <v>1.0679145490622799E-3</v>
      </c>
      <c r="AE323" s="185">
        <f t="shared" si="304"/>
        <v>1.0679145490622799E-3</v>
      </c>
      <c r="AF323" s="185">
        <f t="shared" si="304"/>
        <v>1.0679145490622799E-3</v>
      </c>
      <c r="AG323" s="185">
        <f t="shared" si="304"/>
        <v>1.0679145490622799E-3</v>
      </c>
      <c r="AH323" s="185">
        <f t="shared" si="304"/>
        <v>1.0679145490622799E-3</v>
      </c>
      <c r="AI323" s="185">
        <f t="shared" si="304"/>
        <v>1.0679145490622799E-3</v>
      </c>
      <c r="AJ323" s="185">
        <f t="shared" si="304"/>
        <v>1.0679145490622799E-3</v>
      </c>
      <c r="AK323" s="185">
        <f t="shared" si="304"/>
        <v>1.0679145490622799E-3</v>
      </c>
      <c r="AL323" s="185">
        <f t="shared" si="304"/>
        <v>1.0679145490622799E-3</v>
      </c>
      <c r="AM323" s="185">
        <f t="shared" si="304"/>
        <v>1.0679145490622799E-3</v>
      </c>
      <c r="AN323" s="185">
        <f t="shared" si="304"/>
        <v>1.0679145490622799E-3</v>
      </c>
      <c r="AO323" s="185">
        <f t="shared" si="304"/>
        <v>1.0679145490622799E-3</v>
      </c>
      <c r="AP323" s="185">
        <f t="shared" si="304"/>
        <v>1.0679145490622799E-3</v>
      </c>
      <c r="AQ323" s="185">
        <f t="shared" si="304"/>
        <v>1.0679145490622799E-3</v>
      </c>
      <c r="AR323" s="185">
        <f t="shared" si="304"/>
        <v>1.0679145490622799E-3</v>
      </c>
      <c r="AS323" s="206">
        <f t="shared" ref="AS323:BV323" si="305">AR323</f>
        <v>1.0679145490622799E-3</v>
      </c>
      <c r="AT323" s="206">
        <f t="shared" si="305"/>
        <v>1.0679145490622799E-3</v>
      </c>
      <c r="AU323" s="206">
        <f t="shared" si="305"/>
        <v>1.0679145490622799E-3</v>
      </c>
      <c r="AV323" s="206">
        <f t="shared" si="305"/>
        <v>1.0679145490622799E-3</v>
      </c>
      <c r="AW323" s="206">
        <f t="shared" si="305"/>
        <v>1.0679145490622799E-3</v>
      </c>
      <c r="AX323" s="206">
        <f t="shared" si="305"/>
        <v>1.0679145490622799E-3</v>
      </c>
      <c r="AY323" s="206">
        <f t="shared" si="305"/>
        <v>1.0679145490622799E-3</v>
      </c>
      <c r="AZ323" s="206">
        <f t="shared" si="305"/>
        <v>1.0679145490622799E-3</v>
      </c>
      <c r="BA323" s="206">
        <f t="shared" si="305"/>
        <v>1.0679145490622799E-3</v>
      </c>
      <c r="BB323" s="206">
        <f t="shared" si="305"/>
        <v>1.0679145490622799E-3</v>
      </c>
      <c r="BC323" s="206">
        <f t="shared" si="305"/>
        <v>1.0679145490622799E-3</v>
      </c>
      <c r="BD323" s="206">
        <f t="shared" si="305"/>
        <v>1.0679145490622799E-3</v>
      </c>
      <c r="BE323" s="206">
        <f t="shared" si="305"/>
        <v>1.0679145490622799E-3</v>
      </c>
      <c r="BF323" s="206">
        <f t="shared" si="305"/>
        <v>1.0679145490622799E-3</v>
      </c>
      <c r="BG323" s="206">
        <f t="shared" si="305"/>
        <v>1.0679145490622799E-3</v>
      </c>
      <c r="BH323" s="206">
        <f t="shared" si="305"/>
        <v>1.0679145490622799E-3</v>
      </c>
      <c r="BI323" s="206">
        <f t="shared" si="305"/>
        <v>1.0679145490622799E-3</v>
      </c>
      <c r="BJ323" s="206">
        <f t="shared" si="305"/>
        <v>1.0679145490622799E-3</v>
      </c>
      <c r="BK323" s="206">
        <f t="shared" si="305"/>
        <v>1.0679145490622799E-3</v>
      </c>
      <c r="BL323" s="206">
        <f t="shared" si="305"/>
        <v>1.0679145490622799E-3</v>
      </c>
      <c r="BM323" s="206">
        <f t="shared" si="305"/>
        <v>1.0679145490622799E-3</v>
      </c>
      <c r="BN323" s="206">
        <f t="shared" si="305"/>
        <v>1.0679145490622799E-3</v>
      </c>
      <c r="BO323" s="206">
        <f t="shared" si="305"/>
        <v>1.0679145490622799E-3</v>
      </c>
      <c r="BP323" s="206">
        <f t="shared" si="305"/>
        <v>1.0679145490622799E-3</v>
      </c>
      <c r="BQ323" s="206">
        <f t="shared" si="305"/>
        <v>1.0679145490622799E-3</v>
      </c>
      <c r="BR323" s="206">
        <f t="shared" si="305"/>
        <v>1.0679145490622799E-3</v>
      </c>
      <c r="BS323" s="206">
        <f t="shared" si="305"/>
        <v>1.0679145490622799E-3</v>
      </c>
      <c r="BT323" s="206">
        <f t="shared" si="305"/>
        <v>1.0679145490622799E-3</v>
      </c>
      <c r="BU323" s="206">
        <f t="shared" si="305"/>
        <v>1.0679145490622799E-3</v>
      </c>
      <c r="BV323" s="206">
        <f t="shared" si="305"/>
        <v>1.0679145490622799E-3</v>
      </c>
    </row>
    <row r="324" spans="1:74" x14ac:dyDescent="0.25">
      <c r="A324" s="155" t="s">
        <v>225</v>
      </c>
      <c r="C324" s="150"/>
      <c r="D324" s="185">
        <f t="shared" ref="D324:AR324" si="306">D260*D$48</f>
        <v>2.1238366501942485E-4</v>
      </c>
      <c r="E324" s="185">
        <f t="shared" si="306"/>
        <v>2.1238366960852042E-4</v>
      </c>
      <c r="F324" s="185">
        <f t="shared" si="306"/>
        <v>2.1238367419761615E-4</v>
      </c>
      <c r="G324" s="185">
        <f t="shared" si="306"/>
        <v>2.1238367878671208E-4</v>
      </c>
      <c r="H324" s="185">
        <f t="shared" si="306"/>
        <v>2.1238368337580821E-4</v>
      </c>
      <c r="I324" s="185">
        <f t="shared" si="306"/>
        <v>2.1238368796490449E-4</v>
      </c>
      <c r="J324" s="185">
        <f t="shared" si="306"/>
        <v>2.1238366282328846E-4</v>
      </c>
      <c r="K324" s="185">
        <f t="shared" si="306"/>
        <v>2.1238364676248725E-4</v>
      </c>
      <c r="L324" s="185">
        <f t="shared" si="306"/>
        <v>2.1238369378766747E-4</v>
      </c>
      <c r="M324" s="185">
        <f t="shared" si="306"/>
        <v>2.1238366965638556E-4</v>
      </c>
      <c r="N324" s="185">
        <f t="shared" si="306"/>
        <v>2.1238365944109691E-4</v>
      </c>
      <c r="O324" s="185">
        <f t="shared" si="306"/>
        <v>2.1238365557558903E-4</v>
      </c>
      <c r="P324" s="185">
        <f t="shared" si="306"/>
        <v>2.1238367365394745E-4</v>
      </c>
      <c r="Q324" s="185">
        <f t="shared" si="306"/>
        <v>2.1238366501544439E-4</v>
      </c>
      <c r="R324" s="185">
        <f t="shared" si="306"/>
        <v>2.1238363604141644E-4</v>
      </c>
      <c r="S324" s="185">
        <f t="shared" si="306"/>
        <v>2.1238359659609939E-4</v>
      </c>
      <c r="T324" s="185">
        <f t="shared" si="306"/>
        <v>2.1238386181433636E-4</v>
      </c>
      <c r="U324" s="185">
        <f t="shared" si="306"/>
        <v>2.1238379039908867E-4</v>
      </c>
      <c r="V324" s="185">
        <f t="shared" si="306"/>
        <v>2.1238358617002711E-4</v>
      </c>
      <c r="W324" s="185">
        <f t="shared" si="306"/>
        <v>2.1238373786838192E-4</v>
      </c>
      <c r="X324" s="185">
        <f t="shared" si="306"/>
        <v>2.1238365375914964E-4</v>
      </c>
      <c r="Y324" s="185">
        <f t="shared" si="306"/>
        <v>2.1238369589264111E-4</v>
      </c>
      <c r="Z324" s="185">
        <f t="shared" si="306"/>
        <v>2.1238352494474397E-4</v>
      </c>
      <c r="AA324" s="185">
        <f t="shared" si="306"/>
        <v>2.1238361107556107E-4</v>
      </c>
      <c r="AB324" s="185">
        <f t="shared" si="306"/>
        <v>2.1323666211372713E-4</v>
      </c>
      <c r="AC324" s="185">
        <f t="shared" si="306"/>
        <v>2.1320100912794666E-4</v>
      </c>
      <c r="AD324" s="185">
        <f t="shared" si="306"/>
        <v>2.1360646592010813E-4</v>
      </c>
      <c r="AE324" s="185">
        <f t="shared" si="306"/>
        <v>2.1373589711148842E-4</v>
      </c>
      <c r="AF324" s="185">
        <f t="shared" si="306"/>
        <v>2.1373589711148842E-4</v>
      </c>
      <c r="AG324" s="185">
        <f t="shared" si="306"/>
        <v>2.1373589711148842E-4</v>
      </c>
      <c r="AH324" s="185">
        <f t="shared" si="306"/>
        <v>2.1373589711148842E-4</v>
      </c>
      <c r="AI324" s="185">
        <f t="shared" si="306"/>
        <v>2.1373589711148842E-4</v>
      </c>
      <c r="AJ324" s="185">
        <f t="shared" si="306"/>
        <v>2.1373589711148842E-4</v>
      </c>
      <c r="AK324" s="185">
        <f t="shared" si="306"/>
        <v>2.1373589711148842E-4</v>
      </c>
      <c r="AL324" s="185">
        <f t="shared" si="306"/>
        <v>2.1373589711148842E-4</v>
      </c>
      <c r="AM324" s="185">
        <f t="shared" si="306"/>
        <v>2.1373589711148842E-4</v>
      </c>
      <c r="AN324" s="185">
        <f t="shared" si="306"/>
        <v>2.1373589711148842E-4</v>
      </c>
      <c r="AO324" s="185">
        <f t="shared" si="306"/>
        <v>2.1373589711148842E-4</v>
      </c>
      <c r="AP324" s="185">
        <f t="shared" si="306"/>
        <v>2.1373589711148842E-4</v>
      </c>
      <c r="AQ324" s="185">
        <f t="shared" si="306"/>
        <v>2.1373589711148842E-4</v>
      </c>
      <c r="AR324" s="185">
        <f t="shared" si="306"/>
        <v>2.1373589711148842E-4</v>
      </c>
      <c r="AS324" s="206">
        <f t="shared" ref="AS324:BV324" si="307">AR324</f>
        <v>2.1373589711148842E-4</v>
      </c>
      <c r="AT324" s="206">
        <f t="shared" si="307"/>
        <v>2.1373589711148842E-4</v>
      </c>
      <c r="AU324" s="206">
        <f t="shared" si="307"/>
        <v>2.1373589711148842E-4</v>
      </c>
      <c r="AV324" s="206">
        <f t="shared" si="307"/>
        <v>2.1373589711148842E-4</v>
      </c>
      <c r="AW324" s="206">
        <f t="shared" si="307"/>
        <v>2.1373589711148842E-4</v>
      </c>
      <c r="AX324" s="206">
        <f t="shared" si="307"/>
        <v>2.1373589711148842E-4</v>
      </c>
      <c r="AY324" s="206">
        <f t="shared" si="307"/>
        <v>2.1373589711148842E-4</v>
      </c>
      <c r="AZ324" s="206">
        <f t="shared" si="307"/>
        <v>2.1373589711148842E-4</v>
      </c>
      <c r="BA324" s="206">
        <f t="shared" si="307"/>
        <v>2.1373589711148842E-4</v>
      </c>
      <c r="BB324" s="206">
        <f t="shared" si="307"/>
        <v>2.1373589711148842E-4</v>
      </c>
      <c r="BC324" s="206">
        <f t="shared" si="307"/>
        <v>2.1373589711148842E-4</v>
      </c>
      <c r="BD324" s="206">
        <f t="shared" si="307"/>
        <v>2.1373589711148842E-4</v>
      </c>
      <c r="BE324" s="206">
        <f t="shared" si="307"/>
        <v>2.1373589711148842E-4</v>
      </c>
      <c r="BF324" s="206">
        <f t="shared" si="307"/>
        <v>2.1373589711148842E-4</v>
      </c>
      <c r="BG324" s="206">
        <f t="shared" si="307"/>
        <v>2.1373589711148842E-4</v>
      </c>
      <c r="BH324" s="206">
        <f t="shared" si="307"/>
        <v>2.1373589711148842E-4</v>
      </c>
      <c r="BI324" s="206">
        <f t="shared" si="307"/>
        <v>2.1373589711148842E-4</v>
      </c>
      <c r="BJ324" s="206">
        <f t="shared" si="307"/>
        <v>2.1373589711148842E-4</v>
      </c>
      <c r="BK324" s="206">
        <f t="shared" si="307"/>
        <v>2.1373589711148842E-4</v>
      </c>
      <c r="BL324" s="206">
        <f t="shared" si="307"/>
        <v>2.1373589711148842E-4</v>
      </c>
      <c r="BM324" s="206">
        <f t="shared" si="307"/>
        <v>2.1373589711148842E-4</v>
      </c>
      <c r="BN324" s="206">
        <f t="shared" si="307"/>
        <v>2.1373589711148842E-4</v>
      </c>
      <c r="BO324" s="206">
        <f t="shared" si="307"/>
        <v>2.1373589711148842E-4</v>
      </c>
      <c r="BP324" s="206">
        <f t="shared" si="307"/>
        <v>2.1373589711148842E-4</v>
      </c>
      <c r="BQ324" s="206">
        <f t="shared" si="307"/>
        <v>2.1373589711148842E-4</v>
      </c>
      <c r="BR324" s="206">
        <f t="shared" si="307"/>
        <v>2.1373589711148842E-4</v>
      </c>
      <c r="BS324" s="206">
        <f t="shared" si="307"/>
        <v>2.1373589711148842E-4</v>
      </c>
      <c r="BT324" s="206">
        <f t="shared" si="307"/>
        <v>2.1373589711148842E-4</v>
      </c>
      <c r="BU324" s="206">
        <f t="shared" si="307"/>
        <v>2.1373589711148842E-4</v>
      </c>
      <c r="BV324" s="206">
        <f t="shared" si="307"/>
        <v>2.1373589711148842E-4</v>
      </c>
    </row>
    <row r="325" spans="1:74" x14ac:dyDescent="0.25">
      <c r="A325" s="149" t="s">
        <v>14</v>
      </c>
      <c r="B325" s="156"/>
      <c r="C325" s="150"/>
      <c r="D325" s="185">
        <f t="shared" ref="D325:AR325" si="308">D261*D$48</f>
        <v>2.3147167883934598E-4</v>
      </c>
      <c r="E325" s="185">
        <f t="shared" si="308"/>
        <v>2.311290840090411E-4</v>
      </c>
      <c r="F325" s="185">
        <f t="shared" si="308"/>
        <v>2.3078750181023552E-4</v>
      </c>
      <c r="G325" s="185">
        <f t="shared" si="308"/>
        <v>2.3044692775989604E-4</v>
      </c>
      <c r="H325" s="185">
        <f t="shared" si="308"/>
        <v>2.3010735740141297E-4</v>
      </c>
      <c r="I325" s="185">
        <f t="shared" si="308"/>
        <v>2.297687863044058E-4</v>
      </c>
      <c r="J325" s="185">
        <f t="shared" si="308"/>
        <v>2.2952755876797982E-4</v>
      </c>
      <c r="K325" s="185">
        <f t="shared" si="308"/>
        <v>2.294071355511262E-4</v>
      </c>
      <c r="L325" s="185">
        <f t="shared" si="308"/>
        <v>2.2910662819602441E-4</v>
      </c>
      <c r="M325" s="185">
        <f t="shared" si="308"/>
        <v>2.2934697097084562E-4</v>
      </c>
      <c r="N325" s="185">
        <f t="shared" si="308"/>
        <v>2.3019215622453807E-4</v>
      </c>
      <c r="O325" s="185">
        <f t="shared" si="308"/>
        <v>2.2958781791793624E-4</v>
      </c>
      <c r="P325" s="185">
        <f t="shared" si="308"/>
        <v>2.2958781866324739E-4</v>
      </c>
      <c r="Q325" s="185">
        <f t="shared" si="308"/>
        <v>2.2892670157068063E-4</v>
      </c>
      <c r="R325" s="185">
        <f t="shared" si="308"/>
        <v>2.2886678846278802E-4</v>
      </c>
      <c r="S325" s="185">
        <f t="shared" si="308"/>
        <v>2.2856770094497014E-4</v>
      </c>
      <c r="T325" s="185">
        <f t="shared" si="308"/>
        <v>2.2856769364069609E-4</v>
      </c>
      <c r="U325" s="185">
        <f t="shared" si="308"/>
        <v>2.2946732774615524E-4</v>
      </c>
      <c r="V325" s="185">
        <f t="shared" si="308"/>
        <v>2.2767509087148093E-4</v>
      </c>
      <c r="W325" s="185">
        <f t="shared" si="308"/>
        <v>2.2755659099014486E-4</v>
      </c>
      <c r="X325" s="185">
        <f t="shared" si="308"/>
        <v>2.270249224749718E-4</v>
      </c>
      <c r="Y325" s="185">
        <f t="shared" si="308"/>
        <v>2.2678941268497904E-4</v>
      </c>
      <c r="Z325" s="185">
        <f t="shared" si="308"/>
        <v>2.2573566806542106E-4</v>
      </c>
      <c r="AA325" s="185">
        <f t="shared" si="308"/>
        <v>2.2509651943829575E-4</v>
      </c>
      <c r="AB325" s="185">
        <f t="shared" si="308"/>
        <v>2.2423077369820363E-4</v>
      </c>
      <c r="AC325" s="185">
        <f t="shared" si="308"/>
        <v>2.2285933014518699E-4</v>
      </c>
      <c r="AD325" s="185">
        <f t="shared" si="308"/>
        <v>2.2405845649880717E-4</v>
      </c>
      <c r="AE325" s="185">
        <f t="shared" si="308"/>
        <v>2.2297302135319168E-4</v>
      </c>
      <c r="AF325" s="185">
        <f t="shared" si="308"/>
        <v>2.2297302135319168E-4</v>
      </c>
      <c r="AG325" s="185">
        <f t="shared" si="308"/>
        <v>2.2297302135319168E-4</v>
      </c>
      <c r="AH325" s="185">
        <f t="shared" si="308"/>
        <v>2.2297302135319168E-4</v>
      </c>
      <c r="AI325" s="185">
        <f t="shared" si="308"/>
        <v>2.2297302135319168E-4</v>
      </c>
      <c r="AJ325" s="185">
        <f t="shared" si="308"/>
        <v>2.2297302135319168E-4</v>
      </c>
      <c r="AK325" s="185">
        <f t="shared" si="308"/>
        <v>2.2297302135319168E-4</v>
      </c>
      <c r="AL325" s="185">
        <f t="shared" si="308"/>
        <v>2.2297302135319168E-4</v>
      </c>
      <c r="AM325" s="185">
        <f t="shared" si="308"/>
        <v>2.2297302135319168E-4</v>
      </c>
      <c r="AN325" s="185">
        <f t="shared" si="308"/>
        <v>2.2297302135319168E-4</v>
      </c>
      <c r="AO325" s="185">
        <f t="shared" si="308"/>
        <v>2.2297302135319168E-4</v>
      </c>
      <c r="AP325" s="185">
        <f t="shared" si="308"/>
        <v>2.2297302135319168E-4</v>
      </c>
      <c r="AQ325" s="185">
        <f t="shared" si="308"/>
        <v>2.2297302135319168E-4</v>
      </c>
      <c r="AR325" s="185">
        <f t="shared" si="308"/>
        <v>2.2297302135319168E-4</v>
      </c>
      <c r="AS325" s="206">
        <f t="shared" ref="AS325:BV325" si="309">AR325</f>
        <v>2.2297302135319168E-4</v>
      </c>
      <c r="AT325" s="206">
        <f t="shared" si="309"/>
        <v>2.2297302135319168E-4</v>
      </c>
      <c r="AU325" s="206">
        <f t="shared" si="309"/>
        <v>2.2297302135319168E-4</v>
      </c>
      <c r="AV325" s="206">
        <f t="shared" si="309"/>
        <v>2.2297302135319168E-4</v>
      </c>
      <c r="AW325" s="206">
        <f t="shared" si="309"/>
        <v>2.2297302135319168E-4</v>
      </c>
      <c r="AX325" s="206">
        <f t="shared" si="309"/>
        <v>2.2297302135319168E-4</v>
      </c>
      <c r="AY325" s="206">
        <f t="shared" si="309"/>
        <v>2.2297302135319168E-4</v>
      </c>
      <c r="AZ325" s="206">
        <f t="shared" si="309"/>
        <v>2.2297302135319168E-4</v>
      </c>
      <c r="BA325" s="206">
        <f t="shared" si="309"/>
        <v>2.2297302135319168E-4</v>
      </c>
      <c r="BB325" s="206">
        <f t="shared" si="309"/>
        <v>2.2297302135319168E-4</v>
      </c>
      <c r="BC325" s="206">
        <f t="shared" si="309"/>
        <v>2.2297302135319168E-4</v>
      </c>
      <c r="BD325" s="206">
        <f t="shared" si="309"/>
        <v>2.2297302135319168E-4</v>
      </c>
      <c r="BE325" s="206">
        <f t="shared" si="309"/>
        <v>2.2297302135319168E-4</v>
      </c>
      <c r="BF325" s="206">
        <f t="shared" si="309"/>
        <v>2.2297302135319168E-4</v>
      </c>
      <c r="BG325" s="206">
        <f t="shared" si="309"/>
        <v>2.2297302135319168E-4</v>
      </c>
      <c r="BH325" s="206">
        <f t="shared" si="309"/>
        <v>2.2297302135319168E-4</v>
      </c>
      <c r="BI325" s="206">
        <f t="shared" si="309"/>
        <v>2.2297302135319168E-4</v>
      </c>
      <c r="BJ325" s="206">
        <f t="shared" si="309"/>
        <v>2.2297302135319168E-4</v>
      </c>
      <c r="BK325" s="206">
        <f t="shared" si="309"/>
        <v>2.2297302135319168E-4</v>
      </c>
      <c r="BL325" s="206">
        <f t="shared" si="309"/>
        <v>2.2297302135319168E-4</v>
      </c>
      <c r="BM325" s="206">
        <f t="shared" si="309"/>
        <v>2.2297302135319168E-4</v>
      </c>
      <c r="BN325" s="206">
        <f t="shared" si="309"/>
        <v>2.2297302135319168E-4</v>
      </c>
      <c r="BO325" s="206">
        <f t="shared" si="309"/>
        <v>2.2297302135319168E-4</v>
      </c>
      <c r="BP325" s="206">
        <f t="shared" si="309"/>
        <v>2.2297302135319168E-4</v>
      </c>
      <c r="BQ325" s="206">
        <f t="shared" si="309"/>
        <v>2.2297302135319168E-4</v>
      </c>
      <c r="BR325" s="206">
        <f t="shared" si="309"/>
        <v>2.2297302135319168E-4</v>
      </c>
      <c r="BS325" s="206">
        <f t="shared" si="309"/>
        <v>2.2297302135319168E-4</v>
      </c>
      <c r="BT325" s="206">
        <f t="shared" si="309"/>
        <v>2.2297302135319168E-4</v>
      </c>
      <c r="BU325" s="206">
        <f t="shared" si="309"/>
        <v>2.2297302135319168E-4</v>
      </c>
      <c r="BV325" s="206">
        <f t="shared" si="309"/>
        <v>2.2297302135319168E-4</v>
      </c>
    </row>
    <row r="326" spans="1:74" x14ac:dyDescent="0.25">
      <c r="A326" s="149" t="s">
        <v>216</v>
      </c>
      <c r="B326" s="150"/>
      <c r="C326" s="150"/>
      <c r="D326" s="185">
        <f t="shared" ref="D326:AR326" si="310">D262*D$48</f>
        <v>1.465602522944637E-4</v>
      </c>
      <c r="E326" s="185">
        <f t="shared" si="310"/>
        <v>1.4775179923662952E-4</v>
      </c>
      <c r="F326" s="185">
        <f t="shared" si="310"/>
        <v>1.4894334618162673E-4</v>
      </c>
      <c r="G326" s="185">
        <f t="shared" si="310"/>
        <v>1.5013489312945528E-4</v>
      </c>
      <c r="H326" s="185">
        <f t="shared" si="310"/>
        <v>1.5192221346625737E-4</v>
      </c>
      <c r="I326" s="185">
        <f t="shared" si="310"/>
        <v>1.5192221364675645E-4</v>
      </c>
      <c r="J326" s="185">
        <f t="shared" si="310"/>
        <v>1.5132643607246483E-4</v>
      </c>
      <c r="K326" s="185">
        <f t="shared" si="310"/>
        <v>1.5370953089661351E-4</v>
      </c>
      <c r="L326" s="185">
        <f t="shared" si="310"/>
        <v>1.540697648864477E-4</v>
      </c>
      <c r="M326" s="185">
        <f t="shared" si="310"/>
        <v>1.5494066599006217E-4</v>
      </c>
      <c r="N326" s="185">
        <f t="shared" si="310"/>
        <v>1.5779935210885821E-4</v>
      </c>
      <c r="O326" s="185">
        <f t="shared" si="310"/>
        <v>1.5722761554018899E-4</v>
      </c>
      <c r="P326" s="185">
        <f t="shared" si="310"/>
        <v>1.572276149702898E-4</v>
      </c>
      <c r="Q326" s="185">
        <f t="shared" si="310"/>
        <v>1.5722761603576015E-4</v>
      </c>
      <c r="R326" s="185">
        <f t="shared" si="310"/>
        <v>1.5722761530960971E-4</v>
      </c>
      <c r="S326" s="185">
        <f t="shared" si="310"/>
        <v>1.5722761626054549E-4</v>
      </c>
      <c r="T326" s="185">
        <f t="shared" si="310"/>
        <v>1.5722764052339619E-4</v>
      </c>
      <c r="U326" s="185">
        <f t="shared" si="310"/>
        <v>1.5722766486948712E-4</v>
      </c>
      <c r="V326" s="185">
        <f t="shared" si="310"/>
        <v>1.5722764814999843E-4</v>
      </c>
      <c r="W326" s="185">
        <f t="shared" si="310"/>
        <v>1.5722764367136246E-4</v>
      </c>
      <c r="X326" s="185">
        <f t="shared" si="310"/>
        <v>1.572276645962366E-4</v>
      </c>
      <c r="Y326" s="185">
        <f t="shared" si="310"/>
        <v>1.5722762646836218E-4</v>
      </c>
      <c r="Z326" s="185">
        <f t="shared" si="310"/>
        <v>1.5722765110383273E-4</v>
      </c>
      <c r="AA326" s="185">
        <f t="shared" si="310"/>
        <v>1.5722757851405935E-4</v>
      </c>
      <c r="AB326" s="185">
        <f t="shared" si="310"/>
        <v>1.5721763092417081E-4</v>
      </c>
      <c r="AC326" s="185">
        <f t="shared" si="310"/>
        <v>1.5721760478352076E-4</v>
      </c>
      <c r="AD326" s="185">
        <f t="shared" si="310"/>
        <v>1.5721765586055716E-4</v>
      </c>
      <c r="AE326" s="185">
        <f t="shared" si="310"/>
        <v>1.5721765586055716E-4</v>
      </c>
      <c r="AF326" s="185">
        <f t="shared" si="310"/>
        <v>1.5721765586055716E-4</v>
      </c>
      <c r="AG326" s="185">
        <f t="shared" si="310"/>
        <v>1.5721765586055716E-4</v>
      </c>
      <c r="AH326" s="185">
        <f t="shared" si="310"/>
        <v>1.5721765586055716E-4</v>
      </c>
      <c r="AI326" s="185">
        <f t="shared" si="310"/>
        <v>1.5721765586055716E-4</v>
      </c>
      <c r="AJ326" s="185">
        <f t="shared" si="310"/>
        <v>1.5721765586055716E-4</v>
      </c>
      <c r="AK326" s="185">
        <f t="shared" si="310"/>
        <v>1.5721765586055716E-4</v>
      </c>
      <c r="AL326" s="185">
        <f t="shared" si="310"/>
        <v>1.5721765586055716E-4</v>
      </c>
      <c r="AM326" s="185">
        <f t="shared" si="310"/>
        <v>1.5721765586055716E-4</v>
      </c>
      <c r="AN326" s="185">
        <f t="shared" si="310"/>
        <v>1.5721765586055716E-4</v>
      </c>
      <c r="AO326" s="185">
        <f t="shared" si="310"/>
        <v>1.5721765586055716E-4</v>
      </c>
      <c r="AP326" s="185">
        <f t="shared" si="310"/>
        <v>1.5721765586055716E-4</v>
      </c>
      <c r="AQ326" s="185">
        <f t="shared" si="310"/>
        <v>1.5721765586055716E-4</v>
      </c>
      <c r="AR326" s="185">
        <f t="shared" si="310"/>
        <v>1.5721765586055716E-4</v>
      </c>
      <c r="AS326" s="206">
        <f t="shared" ref="AS326:BV326" si="311">AR326</f>
        <v>1.5721765586055716E-4</v>
      </c>
      <c r="AT326" s="206">
        <f t="shared" si="311"/>
        <v>1.5721765586055716E-4</v>
      </c>
      <c r="AU326" s="206">
        <f t="shared" si="311"/>
        <v>1.5721765586055716E-4</v>
      </c>
      <c r="AV326" s="206">
        <f t="shared" si="311"/>
        <v>1.5721765586055716E-4</v>
      </c>
      <c r="AW326" s="206">
        <f t="shared" si="311"/>
        <v>1.5721765586055716E-4</v>
      </c>
      <c r="AX326" s="206">
        <f t="shared" si="311"/>
        <v>1.5721765586055716E-4</v>
      </c>
      <c r="AY326" s="206">
        <f t="shared" si="311"/>
        <v>1.5721765586055716E-4</v>
      </c>
      <c r="AZ326" s="206">
        <f t="shared" si="311"/>
        <v>1.5721765586055716E-4</v>
      </c>
      <c r="BA326" s="206">
        <f t="shared" si="311"/>
        <v>1.5721765586055716E-4</v>
      </c>
      <c r="BB326" s="206">
        <f t="shared" si="311"/>
        <v>1.5721765586055716E-4</v>
      </c>
      <c r="BC326" s="206">
        <f t="shared" si="311"/>
        <v>1.5721765586055716E-4</v>
      </c>
      <c r="BD326" s="206">
        <f t="shared" si="311"/>
        <v>1.5721765586055716E-4</v>
      </c>
      <c r="BE326" s="206">
        <f t="shared" si="311"/>
        <v>1.5721765586055716E-4</v>
      </c>
      <c r="BF326" s="206">
        <f t="shared" si="311"/>
        <v>1.5721765586055716E-4</v>
      </c>
      <c r="BG326" s="206">
        <f t="shared" si="311"/>
        <v>1.5721765586055716E-4</v>
      </c>
      <c r="BH326" s="206">
        <f t="shared" si="311"/>
        <v>1.5721765586055716E-4</v>
      </c>
      <c r="BI326" s="206">
        <f t="shared" si="311"/>
        <v>1.5721765586055716E-4</v>
      </c>
      <c r="BJ326" s="206">
        <f t="shared" si="311"/>
        <v>1.5721765586055716E-4</v>
      </c>
      <c r="BK326" s="206">
        <f t="shared" si="311"/>
        <v>1.5721765586055716E-4</v>
      </c>
      <c r="BL326" s="206">
        <f t="shared" si="311"/>
        <v>1.5721765586055716E-4</v>
      </c>
      <c r="BM326" s="206">
        <f t="shared" si="311"/>
        <v>1.5721765586055716E-4</v>
      </c>
      <c r="BN326" s="206">
        <f t="shared" si="311"/>
        <v>1.5721765586055716E-4</v>
      </c>
      <c r="BO326" s="206">
        <f t="shared" si="311"/>
        <v>1.5721765586055716E-4</v>
      </c>
      <c r="BP326" s="206">
        <f t="shared" si="311"/>
        <v>1.5721765586055716E-4</v>
      </c>
      <c r="BQ326" s="206">
        <f t="shared" si="311"/>
        <v>1.5721765586055716E-4</v>
      </c>
      <c r="BR326" s="206">
        <f t="shared" si="311"/>
        <v>1.5721765586055716E-4</v>
      </c>
      <c r="BS326" s="206">
        <f t="shared" si="311"/>
        <v>1.5721765586055716E-4</v>
      </c>
      <c r="BT326" s="206">
        <f t="shared" si="311"/>
        <v>1.5721765586055716E-4</v>
      </c>
      <c r="BU326" s="206">
        <f t="shared" si="311"/>
        <v>1.5721765586055716E-4</v>
      </c>
      <c r="BV326" s="206">
        <f t="shared" si="311"/>
        <v>1.5721765586055716E-4</v>
      </c>
    </row>
    <row r="327" spans="1:74" x14ac:dyDescent="0.25">
      <c r="A327" s="155" t="s">
        <v>228</v>
      </c>
      <c r="C327" s="150"/>
      <c r="D327" s="185">
        <f t="shared" ref="D327:AR327" si="312">D263*D$48</f>
        <v>1.1210339837075187E-3</v>
      </c>
      <c r="E327" s="185">
        <f t="shared" si="312"/>
        <v>1.12103402192351E-3</v>
      </c>
      <c r="F327" s="185">
        <f t="shared" si="312"/>
        <v>1.1210340601395042E-3</v>
      </c>
      <c r="G327" s="185">
        <f t="shared" si="312"/>
        <v>1.121034098355501E-3</v>
      </c>
      <c r="H327" s="185">
        <f t="shared" si="312"/>
        <v>1.1210341365715003E-3</v>
      </c>
      <c r="I327" s="185">
        <f t="shared" si="312"/>
        <v>1.1210341747875019E-3</v>
      </c>
      <c r="J327" s="185">
        <f t="shared" si="312"/>
        <v>1.1210340340068138E-3</v>
      </c>
      <c r="K327" s="185">
        <f t="shared" si="312"/>
        <v>1.121034103554142E-3</v>
      </c>
      <c r="L327" s="185">
        <f t="shared" si="312"/>
        <v>1.1307786032233175E-3</v>
      </c>
      <c r="M327" s="185">
        <f t="shared" si="312"/>
        <v>1.1307783989153617E-3</v>
      </c>
      <c r="N327" s="185">
        <f t="shared" si="312"/>
        <v>1.1307783988708838E-3</v>
      </c>
      <c r="O327" s="185">
        <f t="shared" si="312"/>
        <v>1.1307783057736753E-3</v>
      </c>
      <c r="P327" s="185">
        <f t="shared" si="312"/>
        <v>1.1307785184593859E-3</v>
      </c>
      <c r="Q327" s="185">
        <f t="shared" si="312"/>
        <v>1.1307783193206813E-3</v>
      </c>
      <c r="R327" s="185">
        <f t="shared" si="312"/>
        <v>1.1307783604467005E-3</v>
      </c>
      <c r="S327" s="185">
        <f t="shared" si="312"/>
        <v>1.1307781407805476E-3</v>
      </c>
      <c r="T327" s="185">
        <f t="shared" si="312"/>
        <v>1.1307779491662477E-3</v>
      </c>
      <c r="U327" s="185">
        <f t="shared" si="312"/>
        <v>1.1307799110133211E-3</v>
      </c>
      <c r="V327" s="185">
        <f t="shared" si="312"/>
        <v>1.1307776291743638E-3</v>
      </c>
      <c r="W327" s="185">
        <f t="shared" si="312"/>
        <v>1.1307803396438786E-3</v>
      </c>
      <c r="X327" s="185">
        <f t="shared" si="312"/>
        <v>1.1307792329190473E-3</v>
      </c>
      <c r="Y327" s="185">
        <f t="shared" si="312"/>
        <v>1.1307777374028403E-3</v>
      </c>
      <c r="Z327" s="185">
        <f t="shared" si="312"/>
        <v>1.1307792987200881E-3</v>
      </c>
      <c r="AA327" s="185">
        <f t="shared" si="312"/>
        <v>1.1307792987200881E-3</v>
      </c>
      <c r="AB327" s="185">
        <f t="shared" si="312"/>
        <v>1.1307792987200881E-3</v>
      </c>
      <c r="AC327" s="185">
        <f t="shared" si="312"/>
        <v>1.1307792987200881E-3</v>
      </c>
      <c r="AD327" s="185">
        <f t="shared" si="312"/>
        <v>1.1307863240038382E-3</v>
      </c>
      <c r="AE327" s="185">
        <f t="shared" si="312"/>
        <v>1.1307847836479429E-3</v>
      </c>
      <c r="AF327" s="185">
        <f t="shared" si="312"/>
        <v>1.1307847836479429E-3</v>
      </c>
      <c r="AG327" s="185">
        <f t="shared" si="312"/>
        <v>1.1307847836479429E-3</v>
      </c>
      <c r="AH327" s="185">
        <f t="shared" si="312"/>
        <v>1.1307847836479429E-3</v>
      </c>
      <c r="AI327" s="185">
        <f t="shared" si="312"/>
        <v>1.1307847836479429E-3</v>
      </c>
      <c r="AJ327" s="185">
        <f t="shared" si="312"/>
        <v>1.1307847836479429E-3</v>
      </c>
      <c r="AK327" s="185">
        <f t="shared" si="312"/>
        <v>1.1307847836479429E-3</v>
      </c>
      <c r="AL327" s="185">
        <f t="shared" si="312"/>
        <v>1.1307847836479429E-3</v>
      </c>
      <c r="AM327" s="185">
        <f t="shared" si="312"/>
        <v>1.1307847836479429E-3</v>
      </c>
      <c r="AN327" s="185">
        <f t="shared" si="312"/>
        <v>1.1307847836479429E-3</v>
      </c>
      <c r="AO327" s="185">
        <f t="shared" si="312"/>
        <v>1.1307847836479429E-3</v>
      </c>
      <c r="AP327" s="185">
        <f t="shared" si="312"/>
        <v>1.1307847836479429E-3</v>
      </c>
      <c r="AQ327" s="185">
        <f t="shared" si="312"/>
        <v>1.1307847836479429E-3</v>
      </c>
      <c r="AR327" s="185">
        <f t="shared" si="312"/>
        <v>1.1307847836479429E-3</v>
      </c>
      <c r="AS327" s="206">
        <f t="shared" ref="AS327:BV327" si="313">AR327</f>
        <v>1.1307847836479429E-3</v>
      </c>
      <c r="AT327" s="206">
        <f t="shared" si="313"/>
        <v>1.1307847836479429E-3</v>
      </c>
      <c r="AU327" s="206">
        <f t="shared" si="313"/>
        <v>1.1307847836479429E-3</v>
      </c>
      <c r="AV327" s="206">
        <f t="shared" si="313"/>
        <v>1.1307847836479429E-3</v>
      </c>
      <c r="AW327" s="206">
        <f t="shared" si="313"/>
        <v>1.1307847836479429E-3</v>
      </c>
      <c r="AX327" s="206">
        <f t="shared" si="313"/>
        <v>1.1307847836479429E-3</v>
      </c>
      <c r="AY327" s="206">
        <f t="shared" si="313"/>
        <v>1.1307847836479429E-3</v>
      </c>
      <c r="AZ327" s="206">
        <f t="shared" si="313"/>
        <v>1.1307847836479429E-3</v>
      </c>
      <c r="BA327" s="206">
        <f t="shared" si="313"/>
        <v>1.1307847836479429E-3</v>
      </c>
      <c r="BB327" s="206">
        <f t="shared" si="313"/>
        <v>1.1307847836479429E-3</v>
      </c>
      <c r="BC327" s="206">
        <f t="shared" si="313"/>
        <v>1.1307847836479429E-3</v>
      </c>
      <c r="BD327" s="206">
        <f t="shared" si="313"/>
        <v>1.1307847836479429E-3</v>
      </c>
      <c r="BE327" s="206">
        <f t="shared" si="313"/>
        <v>1.1307847836479429E-3</v>
      </c>
      <c r="BF327" s="206">
        <f t="shared" si="313"/>
        <v>1.1307847836479429E-3</v>
      </c>
      <c r="BG327" s="206">
        <f t="shared" si="313"/>
        <v>1.1307847836479429E-3</v>
      </c>
      <c r="BH327" s="206">
        <f t="shared" si="313"/>
        <v>1.1307847836479429E-3</v>
      </c>
      <c r="BI327" s="206">
        <f t="shared" si="313"/>
        <v>1.1307847836479429E-3</v>
      </c>
      <c r="BJ327" s="206">
        <f t="shared" si="313"/>
        <v>1.1307847836479429E-3</v>
      </c>
      <c r="BK327" s="206">
        <f t="shared" si="313"/>
        <v>1.1307847836479429E-3</v>
      </c>
      <c r="BL327" s="206">
        <f t="shared" si="313"/>
        <v>1.1307847836479429E-3</v>
      </c>
      <c r="BM327" s="206">
        <f t="shared" si="313"/>
        <v>1.1307847836479429E-3</v>
      </c>
      <c r="BN327" s="206">
        <f t="shared" si="313"/>
        <v>1.1307847836479429E-3</v>
      </c>
      <c r="BO327" s="206">
        <f t="shared" si="313"/>
        <v>1.1307847836479429E-3</v>
      </c>
      <c r="BP327" s="206">
        <f t="shared" si="313"/>
        <v>1.1307847836479429E-3</v>
      </c>
      <c r="BQ327" s="206">
        <f t="shared" si="313"/>
        <v>1.1307847836479429E-3</v>
      </c>
      <c r="BR327" s="206">
        <f t="shared" si="313"/>
        <v>1.1307847836479429E-3</v>
      </c>
      <c r="BS327" s="206">
        <f t="shared" si="313"/>
        <v>1.1307847836479429E-3</v>
      </c>
      <c r="BT327" s="206">
        <f t="shared" si="313"/>
        <v>1.1307847836479429E-3</v>
      </c>
      <c r="BU327" s="206">
        <f t="shared" si="313"/>
        <v>1.1307847836479429E-3</v>
      </c>
      <c r="BV327" s="206">
        <f t="shared" si="313"/>
        <v>1.1307847836479429E-3</v>
      </c>
    </row>
    <row r="328" spans="1:74" x14ac:dyDescent="0.25">
      <c r="A328" s="149" t="s">
        <v>222</v>
      </c>
      <c r="B328" s="156"/>
      <c r="C328" s="150"/>
      <c r="D328" s="185">
        <f t="shared" ref="D328:AR328" si="314">D264*D$48</f>
        <v>1.270069492008372E-7</v>
      </c>
      <c r="E328" s="185">
        <f t="shared" si="314"/>
        <v>1.2700694925003091E-7</v>
      </c>
      <c r="F328" s="185">
        <f t="shared" si="314"/>
        <v>1.270069492992246E-7</v>
      </c>
      <c r="G328" s="185">
        <f t="shared" si="314"/>
        <v>1.2700694934841829E-7</v>
      </c>
      <c r="H328" s="185">
        <f t="shared" si="314"/>
        <v>1.27006949397612E-7</v>
      </c>
      <c r="I328" s="185">
        <f t="shared" si="314"/>
        <v>1.2700694944680564E-7</v>
      </c>
      <c r="J328" s="185">
        <f t="shared" si="314"/>
        <v>1.2700694924315989E-7</v>
      </c>
      <c r="K328" s="185">
        <f t="shared" si="314"/>
        <v>1.2700694941941212E-7</v>
      </c>
      <c r="L328" s="185">
        <f t="shared" si="314"/>
        <v>1.2470588235294119E-7</v>
      </c>
      <c r="M328" s="185">
        <f t="shared" si="314"/>
        <v>1.2470588192388398E-7</v>
      </c>
      <c r="N328" s="185">
        <f t="shared" si="314"/>
        <v>1.2470588194107565E-7</v>
      </c>
      <c r="O328" s="185">
        <f t="shared" si="314"/>
        <v>1.247058819925892E-7</v>
      </c>
      <c r="P328" s="185">
        <f t="shared" si="314"/>
        <v>1.2470588199694195E-7</v>
      </c>
      <c r="Q328" s="185">
        <f t="shared" si="314"/>
        <v>1.2470588235294119E-7</v>
      </c>
      <c r="R328" s="185">
        <f t="shared" si="314"/>
        <v>1.2470588235294119E-7</v>
      </c>
      <c r="S328" s="185">
        <f t="shared" si="314"/>
        <v>1.2470588201844253E-7</v>
      </c>
      <c r="T328" s="185">
        <f t="shared" si="314"/>
        <v>1.2470588203754569E-7</v>
      </c>
      <c r="U328" s="185">
        <f t="shared" si="314"/>
        <v>1.2470588293770595E-7</v>
      </c>
      <c r="V328" s="185">
        <f t="shared" si="314"/>
        <v>1.2470587794712123E-7</v>
      </c>
      <c r="W328" s="185">
        <f t="shared" si="314"/>
        <v>1.2470586941887643E-7</v>
      </c>
      <c r="X328" s="185">
        <f t="shared" si="314"/>
        <v>1.2470589538251528E-7</v>
      </c>
      <c r="Y328" s="185">
        <f t="shared" si="314"/>
        <v>1.2470588009393751E-7</v>
      </c>
      <c r="Z328" s="185">
        <f t="shared" si="314"/>
        <v>1.4689579809634897E-7</v>
      </c>
      <c r="AA328" s="185">
        <f t="shared" si="314"/>
        <v>1.4689576984032056E-7</v>
      </c>
      <c r="AB328" s="185">
        <f t="shared" si="314"/>
        <v>1.4689576984032056E-7</v>
      </c>
      <c r="AC328" s="185">
        <f t="shared" si="314"/>
        <v>1.4689576984032056E-7</v>
      </c>
      <c r="AD328" s="185">
        <f t="shared" si="314"/>
        <v>1.4689578839936621E-7</v>
      </c>
      <c r="AE328" s="185">
        <f t="shared" si="314"/>
        <v>1.4689578839936621E-7</v>
      </c>
      <c r="AF328" s="185">
        <f t="shared" si="314"/>
        <v>1.4689578839936621E-7</v>
      </c>
      <c r="AG328" s="185">
        <f t="shared" si="314"/>
        <v>1.4689578839936621E-7</v>
      </c>
      <c r="AH328" s="185">
        <f t="shared" si="314"/>
        <v>1.4689578839936621E-7</v>
      </c>
      <c r="AI328" s="185">
        <f t="shared" si="314"/>
        <v>1.4689578839936621E-7</v>
      </c>
      <c r="AJ328" s="185">
        <f t="shared" si="314"/>
        <v>1.4689578839936621E-7</v>
      </c>
      <c r="AK328" s="185">
        <f t="shared" si="314"/>
        <v>1.4689578839936621E-7</v>
      </c>
      <c r="AL328" s="185">
        <f t="shared" si="314"/>
        <v>1.4689578839936621E-7</v>
      </c>
      <c r="AM328" s="185">
        <f t="shared" si="314"/>
        <v>1.4689578839936621E-7</v>
      </c>
      <c r="AN328" s="185">
        <f t="shared" si="314"/>
        <v>1.4689578839936621E-7</v>
      </c>
      <c r="AO328" s="185">
        <f t="shared" si="314"/>
        <v>1.4689578839936621E-7</v>
      </c>
      <c r="AP328" s="185">
        <f t="shared" si="314"/>
        <v>1.4689578839936621E-7</v>
      </c>
      <c r="AQ328" s="185">
        <f t="shared" si="314"/>
        <v>1.4689578839936621E-7</v>
      </c>
      <c r="AR328" s="185">
        <f t="shared" si="314"/>
        <v>1.4689578839936621E-7</v>
      </c>
      <c r="AS328" s="206">
        <f t="shared" ref="AS328:BV328" si="315">AR328</f>
        <v>1.4689578839936621E-7</v>
      </c>
      <c r="AT328" s="206">
        <f t="shared" si="315"/>
        <v>1.4689578839936621E-7</v>
      </c>
      <c r="AU328" s="206">
        <f t="shared" si="315"/>
        <v>1.4689578839936621E-7</v>
      </c>
      <c r="AV328" s="206">
        <f t="shared" si="315"/>
        <v>1.4689578839936621E-7</v>
      </c>
      <c r="AW328" s="206">
        <f t="shared" si="315"/>
        <v>1.4689578839936621E-7</v>
      </c>
      <c r="AX328" s="206">
        <f t="shared" si="315"/>
        <v>1.4689578839936621E-7</v>
      </c>
      <c r="AY328" s="206">
        <f t="shared" si="315"/>
        <v>1.4689578839936621E-7</v>
      </c>
      <c r="AZ328" s="206">
        <f t="shared" si="315"/>
        <v>1.4689578839936621E-7</v>
      </c>
      <c r="BA328" s="206">
        <f t="shared" si="315"/>
        <v>1.4689578839936621E-7</v>
      </c>
      <c r="BB328" s="206">
        <f t="shared" si="315"/>
        <v>1.4689578839936621E-7</v>
      </c>
      <c r="BC328" s="206">
        <f t="shared" si="315"/>
        <v>1.4689578839936621E-7</v>
      </c>
      <c r="BD328" s="206">
        <f t="shared" si="315"/>
        <v>1.4689578839936621E-7</v>
      </c>
      <c r="BE328" s="206">
        <f t="shared" si="315"/>
        <v>1.4689578839936621E-7</v>
      </c>
      <c r="BF328" s="206">
        <f t="shared" si="315"/>
        <v>1.4689578839936621E-7</v>
      </c>
      <c r="BG328" s="206">
        <f t="shared" si="315"/>
        <v>1.4689578839936621E-7</v>
      </c>
      <c r="BH328" s="206">
        <f t="shared" si="315"/>
        <v>1.4689578839936621E-7</v>
      </c>
      <c r="BI328" s="206">
        <f t="shared" si="315"/>
        <v>1.4689578839936621E-7</v>
      </c>
      <c r="BJ328" s="206">
        <f t="shared" si="315"/>
        <v>1.4689578839936621E-7</v>
      </c>
      <c r="BK328" s="206">
        <f t="shared" si="315"/>
        <v>1.4689578839936621E-7</v>
      </c>
      <c r="BL328" s="206">
        <f t="shared" si="315"/>
        <v>1.4689578839936621E-7</v>
      </c>
      <c r="BM328" s="206">
        <f t="shared" si="315"/>
        <v>1.4689578839936621E-7</v>
      </c>
      <c r="BN328" s="206">
        <f t="shared" si="315"/>
        <v>1.4689578839936621E-7</v>
      </c>
      <c r="BO328" s="206">
        <f t="shared" si="315"/>
        <v>1.4689578839936621E-7</v>
      </c>
      <c r="BP328" s="206">
        <f t="shared" si="315"/>
        <v>1.4689578839936621E-7</v>
      </c>
      <c r="BQ328" s="206">
        <f t="shared" si="315"/>
        <v>1.4689578839936621E-7</v>
      </c>
      <c r="BR328" s="206">
        <f t="shared" si="315"/>
        <v>1.4689578839936621E-7</v>
      </c>
      <c r="BS328" s="206">
        <f t="shared" si="315"/>
        <v>1.4689578839936621E-7</v>
      </c>
      <c r="BT328" s="206">
        <f t="shared" si="315"/>
        <v>1.4689578839936621E-7</v>
      </c>
      <c r="BU328" s="206">
        <f t="shared" si="315"/>
        <v>1.4689578839936621E-7</v>
      </c>
      <c r="BV328" s="206">
        <f t="shared" si="315"/>
        <v>1.4689578839936621E-7</v>
      </c>
    </row>
    <row r="329" spans="1:74" x14ac:dyDescent="0.25">
      <c r="A329" s="155" t="s">
        <v>229</v>
      </c>
      <c r="C329" s="150"/>
      <c r="D329" s="185">
        <f t="shared" ref="D329:AR329" si="316">D265*D$48</f>
        <v>5.0620821394460353E-4</v>
      </c>
      <c r="E329" s="185">
        <f t="shared" si="316"/>
        <v>5.0620821394460353E-4</v>
      </c>
      <c r="F329" s="185">
        <f t="shared" si="316"/>
        <v>5.0620821394460353E-4</v>
      </c>
      <c r="G329" s="185">
        <f t="shared" si="316"/>
        <v>5.0620821394460353E-4</v>
      </c>
      <c r="H329" s="185">
        <f t="shared" si="316"/>
        <v>5.0620821394460353E-4</v>
      </c>
      <c r="I329" s="185">
        <f t="shared" si="316"/>
        <v>5.0620821394460353E-4</v>
      </c>
      <c r="J329" s="185">
        <f t="shared" si="316"/>
        <v>5.0620821394460353E-4</v>
      </c>
      <c r="K329" s="185">
        <f t="shared" si="316"/>
        <v>5.0620821394460353E-4</v>
      </c>
      <c r="L329" s="185">
        <f t="shared" si="316"/>
        <v>5.0620821394460353E-4</v>
      </c>
      <c r="M329" s="185">
        <f t="shared" si="316"/>
        <v>5.0620821394460353E-4</v>
      </c>
      <c r="N329" s="185">
        <f t="shared" si="316"/>
        <v>5.0620821394460353E-4</v>
      </c>
      <c r="O329" s="185">
        <f t="shared" si="316"/>
        <v>5.0620821394460353E-4</v>
      </c>
      <c r="P329" s="185">
        <f t="shared" si="316"/>
        <v>5.0620821394460353E-4</v>
      </c>
      <c r="Q329" s="185">
        <f t="shared" si="316"/>
        <v>5.0620821394460353E-4</v>
      </c>
      <c r="R329" s="185">
        <f t="shared" si="316"/>
        <v>5.0620821394460353E-4</v>
      </c>
      <c r="S329" s="185">
        <f t="shared" si="316"/>
        <v>5.0620821002817916E-4</v>
      </c>
      <c r="T329" s="185">
        <f t="shared" si="316"/>
        <v>5.0620822095527563E-4</v>
      </c>
      <c r="U329" s="185">
        <f t="shared" si="316"/>
        <v>5.0620822302067567E-4</v>
      </c>
      <c r="V329" s="185">
        <f t="shared" si="316"/>
        <v>5.0620820020755276E-4</v>
      </c>
      <c r="W329" s="185">
        <f t="shared" si="316"/>
        <v>5.0620820334698179E-4</v>
      </c>
      <c r="X329" s="185">
        <f t="shared" si="316"/>
        <v>5.0620823169629774E-4</v>
      </c>
      <c r="Y329" s="185">
        <f t="shared" si="316"/>
        <v>5.0620822927313343E-4</v>
      </c>
      <c r="Z329" s="185">
        <f t="shared" si="316"/>
        <v>5.0620821892986953E-4</v>
      </c>
      <c r="AA329" s="185">
        <f t="shared" si="316"/>
        <v>5.062082009678955E-4</v>
      </c>
      <c r="AB329" s="185">
        <f t="shared" si="316"/>
        <v>5.0620821647137085E-4</v>
      </c>
      <c r="AC329" s="185">
        <f t="shared" si="316"/>
        <v>5.0620820442915325E-4</v>
      </c>
      <c r="AD329" s="185">
        <f t="shared" si="316"/>
        <v>5.0620822658566469E-4</v>
      </c>
      <c r="AE329" s="185">
        <f t="shared" si="316"/>
        <v>5.0620819911389276E-4</v>
      </c>
      <c r="AF329" s="185">
        <f t="shared" si="316"/>
        <v>5.0620819911389276E-4</v>
      </c>
      <c r="AG329" s="185">
        <f t="shared" si="316"/>
        <v>5.0620819911389276E-4</v>
      </c>
      <c r="AH329" s="185">
        <f t="shared" si="316"/>
        <v>5.0620819911389276E-4</v>
      </c>
      <c r="AI329" s="185">
        <f t="shared" si="316"/>
        <v>5.0620819911389276E-4</v>
      </c>
      <c r="AJ329" s="185">
        <f t="shared" si="316"/>
        <v>5.0620819911389276E-4</v>
      </c>
      <c r="AK329" s="185">
        <f t="shared" si="316"/>
        <v>5.0620819911389276E-4</v>
      </c>
      <c r="AL329" s="185">
        <f t="shared" si="316"/>
        <v>5.0620819911389276E-4</v>
      </c>
      <c r="AM329" s="185">
        <f t="shared" si="316"/>
        <v>5.0620819911389276E-4</v>
      </c>
      <c r="AN329" s="185">
        <f t="shared" si="316"/>
        <v>5.0620819911389276E-4</v>
      </c>
      <c r="AO329" s="185">
        <f t="shared" si="316"/>
        <v>5.0620819911389276E-4</v>
      </c>
      <c r="AP329" s="185">
        <f t="shared" si="316"/>
        <v>5.0620819911389276E-4</v>
      </c>
      <c r="AQ329" s="185">
        <f t="shared" si="316"/>
        <v>5.0620819911389276E-4</v>
      </c>
      <c r="AR329" s="185">
        <f t="shared" si="316"/>
        <v>5.0620819911389276E-4</v>
      </c>
      <c r="AS329" s="206">
        <f t="shared" ref="AS329:BV329" si="317">AR329</f>
        <v>5.0620819911389276E-4</v>
      </c>
      <c r="AT329" s="206">
        <f t="shared" si="317"/>
        <v>5.0620819911389276E-4</v>
      </c>
      <c r="AU329" s="206">
        <f t="shared" si="317"/>
        <v>5.0620819911389276E-4</v>
      </c>
      <c r="AV329" s="206">
        <f t="shared" si="317"/>
        <v>5.0620819911389276E-4</v>
      </c>
      <c r="AW329" s="206">
        <f t="shared" si="317"/>
        <v>5.0620819911389276E-4</v>
      </c>
      <c r="AX329" s="206">
        <f t="shared" si="317"/>
        <v>5.0620819911389276E-4</v>
      </c>
      <c r="AY329" s="206">
        <f t="shared" si="317"/>
        <v>5.0620819911389276E-4</v>
      </c>
      <c r="AZ329" s="206">
        <f t="shared" si="317"/>
        <v>5.0620819911389276E-4</v>
      </c>
      <c r="BA329" s="206">
        <f t="shared" si="317"/>
        <v>5.0620819911389276E-4</v>
      </c>
      <c r="BB329" s="206">
        <f t="shared" si="317"/>
        <v>5.0620819911389276E-4</v>
      </c>
      <c r="BC329" s="206">
        <f t="shared" si="317"/>
        <v>5.0620819911389276E-4</v>
      </c>
      <c r="BD329" s="206">
        <f t="shared" si="317"/>
        <v>5.0620819911389276E-4</v>
      </c>
      <c r="BE329" s="206">
        <f t="shared" si="317"/>
        <v>5.0620819911389276E-4</v>
      </c>
      <c r="BF329" s="206">
        <f t="shared" si="317"/>
        <v>5.0620819911389276E-4</v>
      </c>
      <c r="BG329" s="206">
        <f t="shared" si="317"/>
        <v>5.0620819911389276E-4</v>
      </c>
      <c r="BH329" s="206">
        <f t="shared" si="317"/>
        <v>5.0620819911389276E-4</v>
      </c>
      <c r="BI329" s="206">
        <f t="shared" si="317"/>
        <v>5.0620819911389276E-4</v>
      </c>
      <c r="BJ329" s="206">
        <f t="shared" si="317"/>
        <v>5.0620819911389276E-4</v>
      </c>
      <c r="BK329" s="206">
        <f t="shared" si="317"/>
        <v>5.0620819911389276E-4</v>
      </c>
      <c r="BL329" s="206">
        <f t="shared" si="317"/>
        <v>5.0620819911389276E-4</v>
      </c>
      <c r="BM329" s="206">
        <f t="shared" si="317"/>
        <v>5.0620819911389276E-4</v>
      </c>
      <c r="BN329" s="206">
        <f t="shared" si="317"/>
        <v>5.0620819911389276E-4</v>
      </c>
      <c r="BO329" s="206">
        <f t="shared" si="317"/>
        <v>5.0620819911389276E-4</v>
      </c>
      <c r="BP329" s="206">
        <f t="shared" si="317"/>
        <v>5.0620819911389276E-4</v>
      </c>
      <c r="BQ329" s="206">
        <f t="shared" si="317"/>
        <v>5.0620819911389276E-4</v>
      </c>
      <c r="BR329" s="206">
        <f t="shared" si="317"/>
        <v>5.0620819911389276E-4</v>
      </c>
      <c r="BS329" s="206">
        <f t="shared" si="317"/>
        <v>5.0620819911389276E-4</v>
      </c>
      <c r="BT329" s="206">
        <f t="shared" si="317"/>
        <v>5.0620819911389276E-4</v>
      </c>
      <c r="BU329" s="206">
        <f t="shared" si="317"/>
        <v>5.0620819911389276E-4</v>
      </c>
      <c r="BV329" s="206">
        <f t="shared" si="317"/>
        <v>5.0620819911389276E-4</v>
      </c>
    </row>
    <row r="330" spans="1:74" x14ac:dyDescent="0.25">
      <c r="A330" s="155" t="s">
        <v>230</v>
      </c>
      <c r="C330" s="150"/>
      <c r="D330" s="185">
        <f t="shared" ref="D330:AR330" si="318">D266*D$48</f>
        <v>0</v>
      </c>
      <c r="E330" s="185">
        <f t="shared" si="318"/>
        <v>0</v>
      </c>
      <c r="F330" s="185">
        <f t="shared" si="318"/>
        <v>0</v>
      </c>
      <c r="G330" s="185">
        <f t="shared" si="318"/>
        <v>0</v>
      </c>
      <c r="H330" s="185">
        <f t="shared" si="318"/>
        <v>0</v>
      </c>
      <c r="I330" s="185">
        <f t="shared" si="318"/>
        <v>0</v>
      </c>
      <c r="J330" s="185">
        <f t="shared" si="318"/>
        <v>0</v>
      </c>
      <c r="K330" s="185">
        <f t="shared" si="318"/>
        <v>0</v>
      </c>
      <c r="L330" s="185">
        <f t="shared" si="318"/>
        <v>0</v>
      </c>
      <c r="M330" s="185">
        <f t="shared" si="318"/>
        <v>0</v>
      </c>
      <c r="N330" s="185">
        <f t="shared" si="318"/>
        <v>0</v>
      </c>
      <c r="O330" s="185">
        <f t="shared" si="318"/>
        <v>0</v>
      </c>
      <c r="P330" s="185">
        <f t="shared" si="318"/>
        <v>0</v>
      </c>
      <c r="Q330" s="185">
        <f t="shared" si="318"/>
        <v>0</v>
      </c>
      <c r="R330" s="185">
        <f t="shared" si="318"/>
        <v>0</v>
      </c>
      <c r="S330" s="185">
        <f t="shared" si="318"/>
        <v>0</v>
      </c>
      <c r="T330" s="185">
        <f t="shared" si="318"/>
        <v>0</v>
      </c>
      <c r="U330" s="185">
        <f t="shared" si="318"/>
        <v>0</v>
      </c>
      <c r="V330" s="185">
        <f t="shared" si="318"/>
        <v>0</v>
      </c>
      <c r="W330" s="185">
        <f t="shared" si="318"/>
        <v>0</v>
      </c>
      <c r="X330" s="185">
        <f t="shared" si="318"/>
        <v>0</v>
      </c>
      <c r="Y330" s="185">
        <f t="shared" si="318"/>
        <v>0</v>
      </c>
      <c r="Z330" s="185">
        <f t="shared" si="318"/>
        <v>0</v>
      </c>
      <c r="AA330" s="185">
        <f t="shared" si="318"/>
        <v>0</v>
      </c>
      <c r="AB330" s="185">
        <f t="shared" si="318"/>
        <v>0</v>
      </c>
      <c r="AC330" s="185">
        <f t="shared" si="318"/>
        <v>0</v>
      </c>
      <c r="AD330" s="185">
        <f t="shared" si="318"/>
        <v>0</v>
      </c>
      <c r="AE330" s="185">
        <f t="shared" si="318"/>
        <v>0</v>
      </c>
      <c r="AF330" s="185">
        <f t="shared" si="318"/>
        <v>0</v>
      </c>
      <c r="AG330" s="185">
        <f t="shared" si="318"/>
        <v>0</v>
      </c>
      <c r="AH330" s="185">
        <f t="shared" si="318"/>
        <v>0</v>
      </c>
      <c r="AI330" s="185">
        <f t="shared" si="318"/>
        <v>0</v>
      </c>
      <c r="AJ330" s="185">
        <f t="shared" si="318"/>
        <v>0</v>
      </c>
      <c r="AK330" s="185">
        <f t="shared" si="318"/>
        <v>0</v>
      </c>
      <c r="AL330" s="185">
        <f t="shared" si="318"/>
        <v>0</v>
      </c>
      <c r="AM330" s="185">
        <f t="shared" si="318"/>
        <v>0</v>
      </c>
      <c r="AN330" s="185">
        <f t="shared" si="318"/>
        <v>0</v>
      </c>
      <c r="AO330" s="185">
        <f t="shared" si="318"/>
        <v>0</v>
      </c>
      <c r="AP330" s="185">
        <f t="shared" si="318"/>
        <v>0</v>
      </c>
      <c r="AQ330" s="185">
        <f t="shared" si="318"/>
        <v>0</v>
      </c>
      <c r="AR330" s="185">
        <f t="shared" si="318"/>
        <v>0</v>
      </c>
      <c r="AS330" s="206">
        <f t="shared" ref="AS330:BV330" si="319">AR330</f>
        <v>0</v>
      </c>
      <c r="AT330" s="206">
        <f t="shared" si="319"/>
        <v>0</v>
      </c>
      <c r="AU330" s="206">
        <f t="shared" si="319"/>
        <v>0</v>
      </c>
      <c r="AV330" s="206">
        <f t="shared" si="319"/>
        <v>0</v>
      </c>
      <c r="AW330" s="206">
        <f t="shared" si="319"/>
        <v>0</v>
      </c>
      <c r="AX330" s="206">
        <f t="shared" si="319"/>
        <v>0</v>
      </c>
      <c r="AY330" s="206">
        <f t="shared" si="319"/>
        <v>0</v>
      </c>
      <c r="AZ330" s="206">
        <f t="shared" si="319"/>
        <v>0</v>
      </c>
      <c r="BA330" s="206">
        <f t="shared" si="319"/>
        <v>0</v>
      </c>
      <c r="BB330" s="206">
        <f t="shared" si="319"/>
        <v>0</v>
      </c>
      <c r="BC330" s="206">
        <f t="shared" si="319"/>
        <v>0</v>
      </c>
      <c r="BD330" s="206">
        <f t="shared" si="319"/>
        <v>0</v>
      </c>
      <c r="BE330" s="206">
        <f t="shared" si="319"/>
        <v>0</v>
      </c>
      <c r="BF330" s="206">
        <f t="shared" si="319"/>
        <v>0</v>
      </c>
      <c r="BG330" s="206">
        <f t="shared" si="319"/>
        <v>0</v>
      </c>
      <c r="BH330" s="206">
        <f t="shared" si="319"/>
        <v>0</v>
      </c>
      <c r="BI330" s="206">
        <f t="shared" si="319"/>
        <v>0</v>
      </c>
      <c r="BJ330" s="206">
        <f t="shared" si="319"/>
        <v>0</v>
      </c>
      <c r="BK330" s="206">
        <f t="shared" si="319"/>
        <v>0</v>
      </c>
      <c r="BL330" s="206">
        <f t="shared" si="319"/>
        <v>0</v>
      </c>
      <c r="BM330" s="206">
        <f t="shared" si="319"/>
        <v>0</v>
      </c>
      <c r="BN330" s="206">
        <f t="shared" si="319"/>
        <v>0</v>
      </c>
      <c r="BO330" s="206">
        <f t="shared" si="319"/>
        <v>0</v>
      </c>
      <c r="BP330" s="206">
        <f t="shared" si="319"/>
        <v>0</v>
      </c>
      <c r="BQ330" s="206">
        <f t="shared" si="319"/>
        <v>0</v>
      </c>
      <c r="BR330" s="206">
        <f t="shared" si="319"/>
        <v>0</v>
      </c>
      <c r="BS330" s="206">
        <f t="shared" si="319"/>
        <v>0</v>
      </c>
      <c r="BT330" s="206">
        <f t="shared" si="319"/>
        <v>0</v>
      </c>
      <c r="BU330" s="206">
        <f t="shared" si="319"/>
        <v>0</v>
      </c>
      <c r="BV330" s="206">
        <f t="shared" si="319"/>
        <v>0</v>
      </c>
    </row>
    <row r="331" spans="1:74" x14ac:dyDescent="0.25">
      <c r="A331" s="155" t="s">
        <v>232</v>
      </c>
      <c r="B331" s="156"/>
      <c r="C331" s="150"/>
      <c r="D331" s="185">
        <f t="shared" ref="D331:AR331" si="320">D267*D$48</f>
        <v>1.4216738197424894E-7</v>
      </c>
      <c r="E331" s="185">
        <f t="shared" si="320"/>
        <v>1.4216738197424894E-7</v>
      </c>
      <c r="F331" s="185">
        <f t="shared" si="320"/>
        <v>1.4216738197424894E-7</v>
      </c>
      <c r="G331" s="185">
        <f t="shared" si="320"/>
        <v>1.4216738197424894E-7</v>
      </c>
      <c r="H331" s="185">
        <f t="shared" si="320"/>
        <v>1.4216738197424894E-7</v>
      </c>
      <c r="I331" s="185">
        <f t="shared" si="320"/>
        <v>1.4216738197424894E-7</v>
      </c>
      <c r="J331" s="185">
        <f t="shared" si="320"/>
        <v>1.4216738197424894E-7</v>
      </c>
      <c r="K331" s="185">
        <f t="shared" si="320"/>
        <v>1.4216738197424894E-7</v>
      </c>
      <c r="L331" s="185">
        <f t="shared" si="320"/>
        <v>1.405835543766578E-7</v>
      </c>
      <c r="M331" s="185">
        <f t="shared" si="320"/>
        <v>1.4689578713968959E-7</v>
      </c>
      <c r="N331" s="185">
        <f t="shared" si="320"/>
        <v>1.4689578713968959E-7</v>
      </c>
      <c r="O331" s="185">
        <f t="shared" si="320"/>
        <v>1.4689578713968959E-7</v>
      </c>
      <c r="P331" s="185">
        <f t="shared" si="320"/>
        <v>1.4689578713968959E-7</v>
      </c>
      <c r="Q331" s="185">
        <f t="shared" si="320"/>
        <v>1.4689578713968959E-7</v>
      </c>
      <c r="R331" s="185">
        <f t="shared" si="320"/>
        <v>1.4689578713968959E-7</v>
      </c>
      <c r="S331" s="185">
        <f t="shared" si="320"/>
        <v>1.4689578713968959E-7</v>
      </c>
      <c r="T331" s="185">
        <f t="shared" si="320"/>
        <v>1.4689578713968959E-7</v>
      </c>
      <c r="U331" s="185">
        <f t="shared" si="320"/>
        <v>1.4689578713968959E-7</v>
      </c>
      <c r="V331" s="185">
        <f t="shared" si="320"/>
        <v>1.4689578713968959E-7</v>
      </c>
      <c r="W331" s="185">
        <f t="shared" si="320"/>
        <v>1.4689578713968959E-7</v>
      </c>
      <c r="X331" s="185">
        <f t="shared" si="320"/>
        <v>1.4689578713968959E-7</v>
      </c>
      <c r="Y331" s="185">
        <f t="shared" si="320"/>
        <v>1.4689578713968959E-7</v>
      </c>
      <c r="Z331" s="185">
        <f t="shared" si="320"/>
        <v>1.4689578713968959E-7</v>
      </c>
      <c r="AA331" s="185">
        <f t="shared" si="320"/>
        <v>1.4689578713968959E-7</v>
      </c>
      <c r="AB331" s="185">
        <f t="shared" si="320"/>
        <v>1.4689578713968959E-7</v>
      </c>
      <c r="AC331" s="185">
        <f t="shared" si="320"/>
        <v>1.4689578713968959E-7</v>
      </c>
      <c r="AD331" s="185">
        <f t="shared" si="320"/>
        <v>1.4689578713968959E-7</v>
      </c>
      <c r="AE331" s="185">
        <f t="shared" si="320"/>
        <v>1.4689578713968959E-7</v>
      </c>
      <c r="AF331" s="185">
        <f t="shared" si="320"/>
        <v>1.4689578713968959E-7</v>
      </c>
      <c r="AG331" s="185">
        <f t="shared" si="320"/>
        <v>1.4689578713968959E-7</v>
      </c>
      <c r="AH331" s="185">
        <f t="shared" si="320"/>
        <v>1.4689578713968959E-7</v>
      </c>
      <c r="AI331" s="185">
        <f t="shared" si="320"/>
        <v>1.4689578713968959E-7</v>
      </c>
      <c r="AJ331" s="185">
        <f t="shared" si="320"/>
        <v>1.4689578713968959E-7</v>
      </c>
      <c r="AK331" s="185">
        <f t="shared" si="320"/>
        <v>1.4689578713968959E-7</v>
      </c>
      <c r="AL331" s="185">
        <f t="shared" si="320"/>
        <v>1.4689578713968959E-7</v>
      </c>
      <c r="AM331" s="185">
        <f t="shared" si="320"/>
        <v>1.4689578713968959E-7</v>
      </c>
      <c r="AN331" s="185">
        <f t="shared" si="320"/>
        <v>1.4689578713968959E-7</v>
      </c>
      <c r="AO331" s="185">
        <f t="shared" si="320"/>
        <v>1.4689578713968959E-7</v>
      </c>
      <c r="AP331" s="185">
        <f t="shared" si="320"/>
        <v>1.4689578713968959E-7</v>
      </c>
      <c r="AQ331" s="185">
        <f t="shared" si="320"/>
        <v>1.4689578713968959E-7</v>
      </c>
      <c r="AR331" s="185">
        <f t="shared" si="320"/>
        <v>1.4689578713968959E-7</v>
      </c>
      <c r="AS331" s="206">
        <f>AR331</f>
        <v>1.4689578713968959E-7</v>
      </c>
      <c r="AT331" s="206">
        <f t="shared" ref="AT331:BV331" si="321">AS331</f>
        <v>1.4689578713968959E-7</v>
      </c>
      <c r="AU331" s="206">
        <f t="shared" si="321"/>
        <v>1.4689578713968959E-7</v>
      </c>
      <c r="AV331" s="206">
        <f t="shared" si="321"/>
        <v>1.4689578713968959E-7</v>
      </c>
      <c r="AW331" s="206">
        <f t="shared" si="321"/>
        <v>1.4689578713968959E-7</v>
      </c>
      <c r="AX331" s="206">
        <f t="shared" si="321"/>
        <v>1.4689578713968959E-7</v>
      </c>
      <c r="AY331" s="206">
        <f t="shared" si="321"/>
        <v>1.4689578713968959E-7</v>
      </c>
      <c r="AZ331" s="206">
        <f t="shared" si="321"/>
        <v>1.4689578713968959E-7</v>
      </c>
      <c r="BA331" s="206">
        <f t="shared" si="321"/>
        <v>1.4689578713968959E-7</v>
      </c>
      <c r="BB331" s="206">
        <f t="shared" si="321"/>
        <v>1.4689578713968959E-7</v>
      </c>
      <c r="BC331" s="206">
        <f t="shared" si="321"/>
        <v>1.4689578713968959E-7</v>
      </c>
      <c r="BD331" s="206">
        <f t="shared" si="321"/>
        <v>1.4689578713968959E-7</v>
      </c>
      <c r="BE331" s="206">
        <f t="shared" si="321"/>
        <v>1.4689578713968959E-7</v>
      </c>
      <c r="BF331" s="206">
        <f t="shared" si="321"/>
        <v>1.4689578713968959E-7</v>
      </c>
      <c r="BG331" s="206">
        <f t="shared" si="321"/>
        <v>1.4689578713968959E-7</v>
      </c>
      <c r="BH331" s="206">
        <f t="shared" si="321"/>
        <v>1.4689578713968959E-7</v>
      </c>
      <c r="BI331" s="206">
        <f t="shared" si="321"/>
        <v>1.4689578713968959E-7</v>
      </c>
      <c r="BJ331" s="206">
        <f t="shared" si="321"/>
        <v>1.4689578713968959E-7</v>
      </c>
      <c r="BK331" s="206">
        <f t="shared" si="321"/>
        <v>1.4689578713968959E-7</v>
      </c>
      <c r="BL331" s="206">
        <f t="shared" si="321"/>
        <v>1.4689578713968959E-7</v>
      </c>
      <c r="BM331" s="206">
        <f t="shared" si="321"/>
        <v>1.4689578713968959E-7</v>
      </c>
      <c r="BN331" s="206">
        <f t="shared" si="321"/>
        <v>1.4689578713968959E-7</v>
      </c>
      <c r="BO331" s="206">
        <f t="shared" si="321"/>
        <v>1.4689578713968959E-7</v>
      </c>
      <c r="BP331" s="206">
        <f t="shared" si="321"/>
        <v>1.4689578713968959E-7</v>
      </c>
      <c r="BQ331" s="206">
        <f t="shared" si="321"/>
        <v>1.4689578713968959E-7</v>
      </c>
      <c r="BR331" s="206">
        <f t="shared" si="321"/>
        <v>1.4689578713968959E-7</v>
      </c>
      <c r="BS331" s="206">
        <f t="shared" si="321"/>
        <v>1.4689578713968959E-7</v>
      </c>
      <c r="BT331" s="206">
        <f t="shared" si="321"/>
        <v>1.4689578713968959E-7</v>
      </c>
      <c r="BU331" s="206">
        <f t="shared" si="321"/>
        <v>1.4689578713968959E-7</v>
      </c>
      <c r="BV331" s="206">
        <f t="shared" si="321"/>
        <v>1.4689578713968959E-7</v>
      </c>
    </row>
    <row r="332" spans="1:74" x14ac:dyDescent="0.25">
      <c r="A332" s="155" t="s">
        <v>233</v>
      </c>
      <c r="B332" s="156"/>
      <c r="C332" s="150"/>
      <c r="D332" s="185">
        <f t="shared" ref="D332:AR332" si="322">D268*D$48</f>
        <v>0</v>
      </c>
      <c r="E332" s="185">
        <f t="shared" si="322"/>
        <v>0</v>
      </c>
      <c r="F332" s="185">
        <f t="shared" si="322"/>
        <v>0</v>
      </c>
      <c r="G332" s="185">
        <f t="shared" si="322"/>
        <v>0</v>
      </c>
      <c r="H332" s="185">
        <f t="shared" si="322"/>
        <v>0</v>
      </c>
      <c r="I332" s="185">
        <f t="shared" si="322"/>
        <v>0</v>
      </c>
      <c r="J332" s="185">
        <f t="shared" si="322"/>
        <v>0</v>
      </c>
      <c r="K332" s="185">
        <f t="shared" si="322"/>
        <v>0</v>
      </c>
      <c r="L332" s="185">
        <f t="shared" si="322"/>
        <v>0</v>
      </c>
      <c r="M332" s="185">
        <f t="shared" si="322"/>
        <v>0</v>
      </c>
      <c r="N332" s="185">
        <f t="shared" si="322"/>
        <v>0</v>
      </c>
      <c r="O332" s="185">
        <f t="shared" si="322"/>
        <v>0</v>
      </c>
      <c r="P332" s="185">
        <f t="shared" si="322"/>
        <v>0</v>
      </c>
      <c r="Q332" s="185">
        <f t="shared" si="322"/>
        <v>0</v>
      </c>
      <c r="R332" s="185">
        <f t="shared" si="322"/>
        <v>0</v>
      </c>
      <c r="S332" s="185">
        <f t="shared" si="322"/>
        <v>0</v>
      </c>
      <c r="T332" s="185">
        <f t="shared" si="322"/>
        <v>0</v>
      </c>
      <c r="U332" s="185">
        <f t="shared" si="322"/>
        <v>0</v>
      </c>
      <c r="V332" s="185">
        <f t="shared" si="322"/>
        <v>0</v>
      </c>
      <c r="W332" s="185">
        <f t="shared" si="322"/>
        <v>0</v>
      </c>
      <c r="X332" s="185">
        <f t="shared" si="322"/>
        <v>0</v>
      </c>
      <c r="Y332" s="185">
        <f t="shared" si="322"/>
        <v>0</v>
      </c>
      <c r="Z332" s="185">
        <f t="shared" si="322"/>
        <v>0</v>
      </c>
      <c r="AA332" s="185">
        <f t="shared" si="322"/>
        <v>0</v>
      </c>
      <c r="AB332" s="185">
        <f t="shared" si="322"/>
        <v>0</v>
      </c>
      <c r="AC332" s="185">
        <f t="shared" si="322"/>
        <v>0</v>
      </c>
      <c r="AD332" s="185">
        <f t="shared" si="322"/>
        <v>0</v>
      </c>
      <c r="AE332" s="185">
        <f t="shared" si="322"/>
        <v>0</v>
      </c>
      <c r="AF332" s="185">
        <f t="shared" si="322"/>
        <v>0</v>
      </c>
      <c r="AG332" s="185">
        <f t="shared" si="322"/>
        <v>0</v>
      </c>
      <c r="AH332" s="185">
        <f t="shared" si="322"/>
        <v>0</v>
      </c>
      <c r="AI332" s="185">
        <f t="shared" si="322"/>
        <v>0</v>
      </c>
      <c r="AJ332" s="185">
        <f t="shared" si="322"/>
        <v>0</v>
      </c>
      <c r="AK332" s="185">
        <f t="shared" si="322"/>
        <v>0</v>
      </c>
      <c r="AL332" s="185">
        <f t="shared" si="322"/>
        <v>0</v>
      </c>
      <c r="AM332" s="185">
        <f t="shared" si="322"/>
        <v>0</v>
      </c>
      <c r="AN332" s="185">
        <f t="shared" si="322"/>
        <v>0</v>
      </c>
      <c r="AO332" s="185">
        <f t="shared" si="322"/>
        <v>0</v>
      </c>
      <c r="AP332" s="185">
        <f t="shared" si="322"/>
        <v>0</v>
      </c>
      <c r="AQ332" s="185">
        <f t="shared" si="322"/>
        <v>0</v>
      </c>
      <c r="AR332" s="185">
        <f t="shared" si="322"/>
        <v>0</v>
      </c>
      <c r="AS332" s="206">
        <f t="shared" ref="AS332:BV332" si="323">AR332</f>
        <v>0</v>
      </c>
      <c r="AT332" s="206">
        <f t="shared" si="323"/>
        <v>0</v>
      </c>
      <c r="AU332" s="206">
        <f t="shared" si="323"/>
        <v>0</v>
      </c>
      <c r="AV332" s="206">
        <f t="shared" si="323"/>
        <v>0</v>
      </c>
      <c r="AW332" s="206">
        <f t="shared" si="323"/>
        <v>0</v>
      </c>
      <c r="AX332" s="206">
        <f t="shared" si="323"/>
        <v>0</v>
      </c>
      <c r="AY332" s="206">
        <f t="shared" si="323"/>
        <v>0</v>
      </c>
      <c r="AZ332" s="206">
        <f t="shared" si="323"/>
        <v>0</v>
      </c>
      <c r="BA332" s="206">
        <f t="shared" si="323"/>
        <v>0</v>
      </c>
      <c r="BB332" s="206">
        <f t="shared" si="323"/>
        <v>0</v>
      </c>
      <c r="BC332" s="206">
        <f t="shared" si="323"/>
        <v>0</v>
      </c>
      <c r="BD332" s="206">
        <f t="shared" si="323"/>
        <v>0</v>
      </c>
      <c r="BE332" s="206">
        <f t="shared" si="323"/>
        <v>0</v>
      </c>
      <c r="BF332" s="206">
        <f t="shared" si="323"/>
        <v>0</v>
      </c>
      <c r="BG332" s="206">
        <f t="shared" si="323"/>
        <v>0</v>
      </c>
      <c r="BH332" s="206">
        <f t="shared" si="323"/>
        <v>0</v>
      </c>
      <c r="BI332" s="206">
        <f t="shared" si="323"/>
        <v>0</v>
      </c>
      <c r="BJ332" s="206">
        <f t="shared" si="323"/>
        <v>0</v>
      </c>
      <c r="BK332" s="206">
        <f t="shared" si="323"/>
        <v>0</v>
      </c>
      <c r="BL332" s="206">
        <f t="shared" si="323"/>
        <v>0</v>
      </c>
      <c r="BM332" s="206">
        <f t="shared" si="323"/>
        <v>0</v>
      </c>
      <c r="BN332" s="206">
        <f t="shared" si="323"/>
        <v>0</v>
      </c>
      <c r="BO332" s="206">
        <f t="shared" si="323"/>
        <v>0</v>
      </c>
      <c r="BP332" s="206">
        <f t="shared" si="323"/>
        <v>0</v>
      </c>
      <c r="BQ332" s="206">
        <f t="shared" si="323"/>
        <v>0</v>
      </c>
      <c r="BR332" s="206">
        <f t="shared" si="323"/>
        <v>0</v>
      </c>
      <c r="BS332" s="206">
        <f t="shared" si="323"/>
        <v>0</v>
      </c>
      <c r="BT332" s="206">
        <f t="shared" si="323"/>
        <v>0</v>
      </c>
      <c r="BU332" s="206">
        <f t="shared" si="323"/>
        <v>0</v>
      </c>
      <c r="BV332" s="206">
        <f t="shared" si="323"/>
        <v>0</v>
      </c>
    </row>
    <row r="333" spans="1:74" x14ac:dyDescent="0.25">
      <c r="A333" s="155" t="s">
        <v>235</v>
      </c>
      <c r="B333" s="156"/>
      <c r="C333" s="150"/>
      <c r="D333" s="185">
        <f t="shared" ref="D333:AR333" si="324">D269*D$48</f>
        <v>1.06E-3</v>
      </c>
      <c r="E333" s="185">
        <f t="shared" si="324"/>
        <v>1.06E-3</v>
      </c>
      <c r="F333" s="185">
        <f t="shared" si="324"/>
        <v>1.06E-3</v>
      </c>
      <c r="G333" s="185">
        <f t="shared" si="324"/>
        <v>1.06E-3</v>
      </c>
      <c r="H333" s="185">
        <f t="shared" si="324"/>
        <v>1.06E-3</v>
      </c>
      <c r="I333" s="185">
        <f t="shared" si="324"/>
        <v>1.06E-3</v>
      </c>
      <c r="J333" s="185">
        <f t="shared" si="324"/>
        <v>1.06E-3</v>
      </c>
      <c r="K333" s="185">
        <f t="shared" si="324"/>
        <v>1.06E-3</v>
      </c>
      <c r="L333" s="185">
        <f t="shared" si="324"/>
        <v>1.06E-3</v>
      </c>
      <c r="M333" s="185">
        <f t="shared" si="324"/>
        <v>1.06E-3</v>
      </c>
      <c r="N333" s="185">
        <f t="shared" si="324"/>
        <v>1.06E-3</v>
      </c>
      <c r="O333" s="185">
        <f t="shared" si="324"/>
        <v>1.06E-3</v>
      </c>
      <c r="P333" s="185">
        <f t="shared" si="324"/>
        <v>1.06E-3</v>
      </c>
      <c r="Q333" s="185">
        <f t="shared" si="324"/>
        <v>1.06E-3</v>
      </c>
      <c r="R333" s="185">
        <f t="shared" si="324"/>
        <v>1.06E-3</v>
      </c>
      <c r="S333" s="185">
        <f t="shared" si="324"/>
        <v>1.06E-3</v>
      </c>
      <c r="T333" s="185">
        <f t="shared" si="324"/>
        <v>1.06E-3</v>
      </c>
      <c r="U333" s="185">
        <f t="shared" si="324"/>
        <v>1.06E-3</v>
      </c>
      <c r="V333" s="185">
        <f t="shared" si="324"/>
        <v>1.06E-3</v>
      </c>
      <c r="W333" s="185">
        <f t="shared" si="324"/>
        <v>1.06E-3</v>
      </c>
      <c r="X333" s="185">
        <f t="shared" si="324"/>
        <v>1.06E-3</v>
      </c>
      <c r="Y333" s="185">
        <f t="shared" si="324"/>
        <v>1.06E-3</v>
      </c>
      <c r="Z333" s="185">
        <f t="shared" si="324"/>
        <v>1.06E-3</v>
      </c>
      <c r="AA333" s="185">
        <f t="shared" si="324"/>
        <v>1.06E-3</v>
      </c>
      <c r="AB333" s="185">
        <f t="shared" si="324"/>
        <v>1.06E-3</v>
      </c>
      <c r="AC333" s="185">
        <f t="shared" si="324"/>
        <v>1.06E-3</v>
      </c>
      <c r="AD333" s="185">
        <f t="shared" si="324"/>
        <v>1.06E-3</v>
      </c>
      <c r="AE333" s="185">
        <f t="shared" si="324"/>
        <v>1.06E-3</v>
      </c>
      <c r="AF333" s="185">
        <f t="shared" si="324"/>
        <v>1.06E-3</v>
      </c>
      <c r="AG333" s="185">
        <f t="shared" si="324"/>
        <v>1.06E-3</v>
      </c>
      <c r="AH333" s="185">
        <f t="shared" si="324"/>
        <v>1.06E-3</v>
      </c>
      <c r="AI333" s="185">
        <f t="shared" si="324"/>
        <v>1.06E-3</v>
      </c>
      <c r="AJ333" s="185">
        <f t="shared" si="324"/>
        <v>1.06E-3</v>
      </c>
      <c r="AK333" s="185">
        <f t="shared" si="324"/>
        <v>1.06E-3</v>
      </c>
      <c r="AL333" s="185">
        <f t="shared" si="324"/>
        <v>1.06E-3</v>
      </c>
      <c r="AM333" s="185">
        <f t="shared" si="324"/>
        <v>1.06E-3</v>
      </c>
      <c r="AN333" s="185">
        <f t="shared" si="324"/>
        <v>1.06E-3</v>
      </c>
      <c r="AO333" s="185">
        <f t="shared" si="324"/>
        <v>1.06E-3</v>
      </c>
      <c r="AP333" s="185">
        <f t="shared" si="324"/>
        <v>1.06E-3</v>
      </c>
      <c r="AQ333" s="185">
        <f t="shared" si="324"/>
        <v>1.06E-3</v>
      </c>
      <c r="AR333" s="185">
        <f t="shared" si="324"/>
        <v>1.06E-3</v>
      </c>
      <c r="AS333" s="206">
        <f>AR333</f>
        <v>1.06E-3</v>
      </c>
      <c r="AT333" s="206">
        <f t="shared" ref="AT333:BV333" si="325">AS333</f>
        <v>1.06E-3</v>
      </c>
      <c r="AU333" s="206">
        <f t="shared" si="325"/>
        <v>1.06E-3</v>
      </c>
      <c r="AV333" s="206">
        <f t="shared" si="325"/>
        <v>1.06E-3</v>
      </c>
      <c r="AW333" s="206">
        <f t="shared" si="325"/>
        <v>1.06E-3</v>
      </c>
      <c r="AX333" s="206">
        <f t="shared" si="325"/>
        <v>1.06E-3</v>
      </c>
      <c r="AY333" s="206">
        <f t="shared" si="325"/>
        <v>1.06E-3</v>
      </c>
      <c r="AZ333" s="206">
        <f t="shared" si="325"/>
        <v>1.06E-3</v>
      </c>
      <c r="BA333" s="206">
        <f t="shared" si="325"/>
        <v>1.06E-3</v>
      </c>
      <c r="BB333" s="206">
        <f t="shared" si="325"/>
        <v>1.06E-3</v>
      </c>
      <c r="BC333" s="206">
        <f t="shared" si="325"/>
        <v>1.06E-3</v>
      </c>
      <c r="BD333" s="206">
        <f t="shared" si="325"/>
        <v>1.06E-3</v>
      </c>
      <c r="BE333" s="206">
        <f t="shared" si="325"/>
        <v>1.06E-3</v>
      </c>
      <c r="BF333" s="206">
        <f t="shared" si="325"/>
        <v>1.06E-3</v>
      </c>
      <c r="BG333" s="206">
        <f t="shared" si="325"/>
        <v>1.06E-3</v>
      </c>
      <c r="BH333" s="206">
        <f t="shared" si="325"/>
        <v>1.06E-3</v>
      </c>
      <c r="BI333" s="206">
        <f t="shared" si="325"/>
        <v>1.06E-3</v>
      </c>
      <c r="BJ333" s="206">
        <f t="shared" si="325"/>
        <v>1.06E-3</v>
      </c>
      <c r="BK333" s="206">
        <f t="shared" si="325"/>
        <v>1.06E-3</v>
      </c>
      <c r="BL333" s="206">
        <f t="shared" si="325"/>
        <v>1.06E-3</v>
      </c>
      <c r="BM333" s="206">
        <f t="shared" si="325"/>
        <v>1.06E-3</v>
      </c>
      <c r="BN333" s="206">
        <f t="shared" si="325"/>
        <v>1.06E-3</v>
      </c>
      <c r="BO333" s="206">
        <f t="shared" si="325"/>
        <v>1.06E-3</v>
      </c>
      <c r="BP333" s="206">
        <f t="shared" si="325"/>
        <v>1.06E-3</v>
      </c>
      <c r="BQ333" s="206">
        <f t="shared" si="325"/>
        <v>1.06E-3</v>
      </c>
      <c r="BR333" s="206">
        <f t="shared" si="325"/>
        <v>1.06E-3</v>
      </c>
      <c r="BS333" s="206">
        <f t="shared" si="325"/>
        <v>1.06E-3</v>
      </c>
      <c r="BT333" s="206">
        <f t="shared" si="325"/>
        <v>1.06E-3</v>
      </c>
      <c r="BU333" s="206">
        <f t="shared" si="325"/>
        <v>1.06E-3</v>
      </c>
      <c r="BV333" s="206">
        <f t="shared" si="325"/>
        <v>1.06E-3</v>
      </c>
    </row>
    <row r="334" spans="1:74" x14ac:dyDescent="0.25">
      <c r="A334" s="155" t="s">
        <v>15</v>
      </c>
      <c r="C334" s="150"/>
      <c r="D334" s="185">
        <f t="shared" ref="D334:AR334" si="326">D270*D$48</f>
        <v>1.518624641833811E-3</v>
      </c>
      <c r="E334" s="185">
        <f t="shared" si="326"/>
        <v>1.518624641833811E-3</v>
      </c>
      <c r="F334" s="185">
        <f t="shared" si="326"/>
        <v>1.518624641833811E-3</v>
      </c>
      <c r="G334" s="185">
        <f t="shared" si="326"/>
        <v>1.518624641833811E-3</v>
      </c>
      <c r="H334" s="185">
        <f t="shared" si="326"/>
        <v>1.518624641833811E-3</v>
      </c>
      <c r="I334" s="185">
        <f t="shared" si="326"/>
        <v>1.518624641833811E-3</v>
      </c>
      <c r="J334" s="185">
        <f t="shared" si="326"/>
        <v>1.518624641833811E-3</v>
      </c>
      <c r="K334" s="185">
        <f t="shared" si="326"/>
        <v>1.518624641833811E-3</v>
      </c>
      <c r="L334" s="185">
        <f t="shared" si="326"/>
        <v>1.518624641833811E-3</v>
      </c>
      <c r="M334" s="185">
        <f t="shared" si="326"/>
        <v>1.518624641833811E-3</v>
      </c>
      <c r="N334" s="185">
        <f t="shared" si="326"/>
        <v>1.518624641833811E-3</v>
      </c>
      <c r="O334" s="185">
        <f t="shared" si="326"/>
        <v>1.518624641833811E-3</v>
      </c>
      <c r="P334" s="185">
        <f t="shared" si="326"/>
        <v>1.518624641833811E-3</v>
      </c>
      <c r="Q334" s="185">
        <f t="shared" si="326"/>
        <v>1.518624641833811E-3</v>
      </c>
      <c r="R334" s="185">
        <f t="shared" si="326"/>
        <v>1.518624641833811E-3</v>
      </c>
      <c r="S334" s="185">
        <f t="shared" si="326"/>
        <v>1.5186246274275375E-3</v>
      </c>
      <c r="T334" s="185">
        <f t="shared" si="326"/>
        <v>1.5186246128544697E-3</v>
      </c>
      <c r="U334" s="185">
        <f t="shared" si="326"/>
        <v>1.5186246658202816E-3</v>
      </c>
      <c r="V334" s="185">
        <f t="shared" si="326"/>
        <v>1.5186246820354391E-3</v>
      </c>
      <c r="W334" s="185">
        <f t="shared" si="326"/>
        <v>1.5186246774451138E-3</v>
      </c>
      <c r="X334" s="185">
        <f t="shared" si="326"/>
        <v>1.5186246670475221E-3</v>
      </c>
      <c r="Y334" s="185">
        <f t="shared" si="326"/>
        <v>1.5186246502818326E-3</v>
      </c>
      <c r="Z334" s="185">
        <f t="shared" si="326"/>
        <v>1.5186245895212934E-3</v>
      </c>
      <c r="AA334" s="185">
        <f t="shared" si="326"/>
        <v>1.5186246071906134E-3</v>
      </c>
      <c r="AB334" s="185">
        <f t="shared" si="326"/>
        <v>1.5186246673625566E-3</v>
      </c>
      <c r="AC334" s="185">
        <f t="shared" si="326"/>
        <v>1.5186246499902965E-3</v>
      </c>
      <c r="AD334" s="185">
        <f t="shared" si="326"/>
        <v>1.5186246866957516E-3</v>
      </c>
      <c r="AE334" s="185">
        <f t="shared" si="326"/>
        <v>1.518624641833811E-3</v>
      </c>
      <c r="AF334" s="185">
        <f t="shared" si="326"/>
        <v>1.518624641833811E-3</v>
      </c>
      <c r="AG334" s="185">
        <f t="shared" si="326"/>
        <v>1.518624641833811E-3</v>
      </c>
      <c r="AH334" s="185">
        <f t="shared" si="326"/>
        <v>1.518624641833811E-3</v>
      </c>
      <c r="AI334" s="185">
        <f t="shared" si="326"/>
        <v>1.518624641833811E-3</v>
      </c>
      <c r="AJ334" s="185">
        <f t="shared" si="326"/>
        <v>1.518624641833811E-3</v>
      </c>
      <c r="AK334" s="185">
        <f t="shared" si="326"/>
        <v>1.518624641833811E-3</v>
      </c>
      <c r="AL334" s="185">
        <f t="shared" si="326"/>
        <v>1.518624641833811E-3</v>
      </c>
      <c r="AM334" s="185">
        <f t="shared" si="326"/>
        <v>1.518624641833811E-3</v>
      </c>
      <c r="AN334" s="185">
        <f t="shared" si="326"/>
        <v>1.518624641833811E-3</v>
      </c>
      <c r="AO334" s="185">
        <f t="shared" si="326"/>
        <v>1.518624641833811E-3</v>
      </c>
      <c r="AP334" s="185">
        <f t="shared" si="326"/>
        <v>1.518624641833811E-3</v>
      </c>
      <c r="AQ334" s="185">
        <f t="shared" si="326"/>
        <v>1.518624641833811E-3</v>
      </c>
      <c r="AR334" s="185">
        <f t="shared" si="326"/>
        <v>1.518624641833811E-3</v>
      </c>
      <c r="AS334" s="206">
        <f>AR334</f>
        <v>1.518624641833811E-3</v>
      </c>
      <c r="AT334" s="206">
        <f t="shared" ref="AT334:BV334" si="327">AS334</f>
        <v>1.518624641833811E-3</v>
      </c>
      <c r="AU334" s="206">
        <f t="shared" si="327"/>
        <v>1.518624641833811E-3</v>
      </c>
      <c r="AV334" s="206">
        <f t="shared" si="327"/>
        <v>1.518624641833811E-3</v>
      </c>
      <c r="AW334" s="206">
        <f t="shared" si="327"/>
        <v>1.518624641833811E-3</v>
      </c>
      <c r="AX334" s="206">
        <f t="shared" si="327"/>
        <v>1.518624641833811E-3</v>
      </c>
      <c r="AY334" s="206">
        <f t="shared" si="327"/>
        <v>1.518624641833811E-3</v>
      </c>
      <c r="AZ334" s="206">
        <f t="shared" si="327"/>
        <v>1.518624641833811E-3</v>
      </c>
      <c r="BA334" s="206">
        <f t="shared" si="327"/>
        <v>1.518624641833811E-3</v>
      </c>
      <c r="BB334" s="206">
        <f t="shared" si="327"/>
        <v>1.518624641833811E-3</v>
      </c>
      <c r="BC334" s="206">
        <f t="shared" si="327"/>
        <v>1.518624641833811E-3</v>
      </c>
      <c r="BD334" s="206">
        <f t="shared" si="327"/>
        <v>1.518624641833811E-3</v>
      </c>
      <c r="BE334" s="206">
        <f t="shared" si="327"/>
        <v>1.518624641833811E-3</v>
      </c>
      <c r="BF334" s="206">
        <f t="shared" si="327"/>
        <v>1.518624641833811E-3</v>
      </c>
      <c r="BG334" s="206">
        <f t="shared" si="327"/>
        <v>1.518624641833811E-3</v>
      </c>
      <c r="BH334" s="206">
        <f t="shared" si="327"/>
        <v>1.518624641833811E-3</v>
      </c>
      <c r="BI334" s="206">
        <f t="shared" si="327"/>
        <v>1.518624641833811E-3</v>
      </c>
      <c r="BJ334" s="206">
        <f t="shared" si="327"/>
        <v>1.518624641833811E-3</v>
      </c>
      <c r="BK334" s="206">
        <f t="shared" si="327"/>
        <v>1.518624641833811E-3</v>
      </c>
      <c r="BL334" s="206">
        <f t="shared" si="327"/>
        <v>1.518624641833811E-3</v>
      </c>
      <c r="BM334" s="206">
        <f t="shared" si="327"/>
        <v>1.518624641833811E-3</v>
      </c>
      <c r="BN334" s="206">
        <f t="shared" si="327"/>
        <v>1.518624641833811E-3</v>
      </c>
      <c r="BO334" s="206">
        <f t="shared" si="327"/>
        <v>1.518624641833811E-3</v>
      </c>
      <c r="BP334" s="206">
        <f t="shared" si="327"/>
        <v>1.518624641833811E-3</v>
      </c>
      <c r="BQ334" s="206">
        <f t="shared" si="327"/>
        <v>1.518624641833811E-3</v>
      </c>
      <c r="BR334" s="206">
        <f t="shared" si="327"/>
        <v>1.518624641833811E-3</v>
      </c>
      <c r="BS334" s="206">
        <f t="shared" si="327"/>
        <v>1.518624641833811E-3</v>
      </c>
      <c r="BT334" s="206">
        <f t="shared" si="327"/>
        <v>1.518624641833811E-3</v>
      </c>
      <c r="BU334" s="206">
        <f t="shared" si="327"/>
        <v>1.518624641833811E-3</v>
      </c>
      <c r="BV334" s="206">
        <f t="shared" si="327"/>
        <v>1.518624641833811E-3</v>
      </c>
    </row>
    <row r="335" spans="1:74" x14ac:dyDescent="0.25">
      <c r="A335" s="155"/>
      <c r="C335" s="150"/>
      <c r="D335" s="165"/>
      <c r="E335" s="165"/>
      <c r="F335" s="165"/>
      <c r="G335" s="165"/>
      <c r="H335" s="165"/>
      <c r="I335" s="165"/>
      <c r="J335" s="165"/>
      <c r="K335" s="165"/>
      <c r="L335" s="165"/>
      <c r="M335" s="165"/>
      <c r="N335" s="165"/>
      <c r="O335" s="165"/>
      <c r="P335" s="165"/>
      <c r="Q335" s="165"/>
      <c r="R335" s="165"/>
      <c r="S335" s="165"/>
      <c r="T335" s="165"/>
      <c r="U335" s="165"/>
      <c r="V335" s="165"/>
      <c r="W335" s="165"/>
      <c r="X335" s="165"/>
      <c r="Y335" s="165"/>
      <c r="Z335" s="165"/>
      <c r="AA335" s="165"/>
      <c r="AB335" s="165"/>
      <c r="AC335" s="165"/>
      <c r="AD335" s="165"/>
      <c r="AE335" s="165"/>
      <c r="AF335" s="165"/>
      <c r="AG335" s="165"/>
      <c r="AH335" s="165"/>
      <c r="AI335" s="165"/>
      <c r="AJ335" s="165"/>
      <c r="AK335" s="165"/>
      <c r="AL335" s="165"/>
      <c r="AM335" s="165"/>
      <c r="AN335" s="165"/>
      <c r="AO335" s="165"/>
      <c r="AP335" s="165"/>
      <c r="AQ335" s="165"/>
      <c r="AR335" s="165"/>
      <c r="AS335" s="165"/>
    </row>
    <row r="336" spans="1:74" x14ac:dyDescent="0.25">
      <c r="A336" s="155"/>
      <c r="C336" s="150"/>
      <c r="D336" s="165"/>
      <c r="E336" s="165"/>
      <c r="F336" s="165"/>
      <c r="G336" s="165"/>
      <c r="H336" s="165"/>
      <c r="I336" s="165"/>
      <c r="J336" s="165"/>
      <c r="K336" s="165"/>
      <c r="L336" s="165"/>
      <c r="M336" s="165"/>
      <c r="N336" s="165"/>
      <c r="O336" s="165"/>
      <c r="P336" s="165"/>
      <c r="Q336" s="165"/>
      <c r="R336" s="165"/>
      <c r="S336" s="165"/>
      <c r="T336" s="165"/>
      <c r="U336" s="165"/>
      <c r="V336" s="165"/>
      <c r="W336" s="165"/>
      <c r="X336" s="165"/>
      <c r="Y336" s="165"/>
      <c r="Z336" s="165"/>
      <c r="AA336" s="165"/>
      <c r="AB336" s="165"/>
      <c r="AC336" s="165"/>
      <c r="AD336" s="165"/>
      <c r="AE336" s="165"/>
      <c r="AF336" s="165"/>
      <c r="AG336" s="165"/>
      <c r="AH336" s="165"/>
      <c r="AI336" s="165"/>
      <c r="AJ336" s="165"/>
      <c r="AK336" s="165"/>
      <c r="AL336" s="165"/>
      <c r="AM336" s="165"/>
      <c r="AN336" s="165"/>
      <c r="AO336" s="165"/>
      <c r="AP336" s="165"/>
      <c r="AQ336" s="165"/>
      <c r="AR336" s="165"/>
      <c r="AS336" s="165"/>
    </row>
    <row r="337" spans="1:74" s="196" customFormat="1" x14ac:dyDescent="0.25">
      <c r="A337" s="194" t="s">
        <v>277</v>
      </c>
      <c r="B337" s="195"/>
      <c r="I337" s="195"/>
      <c r="J337" s="195"/>
      <c r="K337" s="195"/>
      <c r="L337" s="195"/>
      <c r="M337" s="195"/>
      <c r="N337" s="195"/>
      <c r="O337" s="195"/>
      <c r="P337" s="195"/>
      <c r="Q337" s="195"/>
      <c r="R337" s="195"/>
      <c r="S337" s="195"/>
      <c r="T337" s="195"/>
      <c r="U337" s="195"/>
      <c r="V337" s="195"/>
      <c r="W337" s="195"/>
      <c r="X337" s="195"/>
      <c r="Y337" s="195"/>
      <c r="Z337" s="195"/>
      <c r="AA337" s="195"/>
      <c r="AB337" s="195"/>
      <c r="AC337" s="195"/>
      <c r="AD337" s="195"/>
      <c r="AE337" s="195"/>
      <c r="AF337" s="195"/>
      <c r="AG337" s="195"/>
      <c r="AH337" s="195"/>
      <c r="AI337" s="195"/>
      <c r="AJ337" s="195"/>
      <c r="AK337" s="195"/>
      <c r="AL337" s="195"/>
      <c r="AM337" s="195"/>
      <c r="AN337" s="195"/>
      <c r="AO337" s="195"/>
      <c r="AP337" s="195"/>
      <c r="AQ337" s="195"/>
      <c r="AR337" s="195"/>
      <c r="AS337" s="195"/>
    </row>
    <row r="338" spans="1:74" s="196" customFormat="1" x14ac:dyDescent="0.25">
      <c r="A338" s="194"/>
      <c r="B338" s="194" t="s">
        <v>278</v>
      </c>
      <c r="I338" s="195"/>
      <c r="J338" s="195"/>
      <c r="K338" s="195"/>
      <c r="L338" s="195"/>
      <c r="M338" s="195"/>
      <c r="N338" s="195"/>
      <c r="O338" s="195"/>
      <c r="P338" s="195"/>
      <c r="Q338" s="195"/>
      <c r="R338" s="195"/>
      <c r="S338" s="195"/>
      <c r="T338" s="195"/>
      <c r="U338" s="195"/>
      <c r="V338" s="195"/>
      <c r="W338" s="195"/>
      <c r="X338" s="195"/>
      <c r="Y338" s="195"/>
      <c r="Z338" s="195"/>
      <c r="AA338" s="195"/>
      <c r="AB338" s="195"/>
      <c r="AC338" s="195"/>
      <c r="AD338" s="195"/>
      <c r="AE338" s="195"/>
      <c r="AF338" s="195"/>
      <c r="AG338" s="195"/>
      <c r="AH338" s="195"/>
      <c r="AI338" s="195"/>
      <c r="AJ338" s="195"/>
      <c r="AK338" s="195"/>
      <c r="AL338" s="195"/>
      <c r="AM338" s="195"/>
      <c r="AN338" s="195"/>
      <c r="AO338" s="195"/>
      <c r="AP338" s="195"/>
      <c r="AQ338" s="195"/>
      <c r="AR338" s="195"/>
      <c r="AS338" s="195"/>
    </row>
    <row r="339" spans="1:74" x14ac:dyDescent="0.25">
      <c r="A339" s="155" t="s">
        <v>206</v>
      </c>
      <c r="C339" s="150"/>
      <c r="D339" s="165">
        <f>D168+D275+D307</f>
        <v>7.4200194534506728E-2</v>
      </c>
      <c r="E339" s="165">
        <f t="shared" ref="E339:AR339" si="328">E168+E275+E307</f>
        <v>7.4200194534506728E-2</v>
      </c>
      <c r="F339" s="165">
        <f t="shared" si="328"/>
        <v>7.4200194534506728E-2</v>
      </c>
      <c r="G339" s="165">
        <f t="shared" si="328"/>
        <v>7.4200194534506728E-2</v>
      </c>
      <c r="H339" s="165">
        <f t="shared" si="328"/>
        <v>7.4200194534506728E-2</v>
      </c>
      <c r="I339" s="165">
        <f t="shared" si="328"/>
        <v>7.4200194534506728E-2</v>
      </c>
      <c r="J339" s="165">
        <f t="shared" si="328"/>
        <v>7.4192264339152117E-2</v>
      </c>
      <c r="K339" s="165">
        <f t="shared" si="328"/>
        <v>7.4212017984660136E-2</v>
      </c>
      <c r="L339" s="165">
        <f t="shared" si="328"/>
        <v>7.4185731220364384E-2</v>
      </c>
      <c r="M339" s="165">
        <f t="shared" si="328"/>
        <v>7.4234141955835983E-2</v>
      </c>
      <c r="N339" s="165">
        <f t="shared" si="328"/>
        <v>7.4201557161629433E-2</v>
      </c>
      <c r="O339" s="165">
        <f t="shared" si="328"/>
        <v>7.4205816467978927E-2</v>
      </c>
      <c r="P339" s="165">
        <f t="shared" si="328"/>
        <v>7.4217764485442497E-2</v>
      </c>
      <c r="Q339" s="165">
        <f t="shared" si="328"/>
        <v>7.4203820012586547E-2</v>
      </c>
      <c r="R339" s="165">
        <f t="shared" si="328"/>
        <v>7.4221196537678225E-2</v>
      </c>
      <c r="S339" s="165">
        <f t="shared" si="328"/>
        <v>7.423887364498645E-2</v>
      </c>
      <c r="T339" s="165">
        <f t="shared" si="328"/>
        <v>7.4206305743243259E-2</v>
      </c>
      <c r="U339" s="165">
        <f t="shared" si="328"/>
        <v>7.4207068741893659E-2</v>
      </c>
      <c r="V339" s="165">
        <f t="shared" si="328"/>
        <v>7.4213285714285718E-2</v>
      </c>
      <c r="W339" s="165">
        <f t="shared" si="328"/>
        <v>7.4234416812609449E-2</v>
      </c>
      <c r="X339" s="165">
        <f t="shared" si="328"/>
        <v>7.422060606060607E-2</v>
      </c>
      <c r="Y339" s="165">
        <f t="shared" si="328"/>
        <v>7.4225282258064518E-2</v>
      </c>
      <c r="Z339" s="165">
        <f t="shared" si="328"/>
        <v>7.4174618963225511E-2</v>
      </c>
      <c r="AA339" s="165">
        <f t="shared" si="328"/>
        <v>7.4235145034414945E-2</v>
      </c>
      <c r="AB339" s="165">
        <f t="shared" si="328"/>
        <v>7.423245784363823E-2</v>
      </c>
      <c r="AC339" s="165">
        <f t="shared" si="328"/>
        <v>7.421542652970077E-2</v>
      </c>
      <c r="AD339" s="165">
        <f t="shared" si="328"/>
        <v>7.4227888696405384E-2</v>
      </c>
      <c r="AE339" s="165">
        <f t="shared" si="328"/>
        <v>7.4203410379415607E-2</v>
      </c>
      <c r="AF339" s="165">
        <f t="shared" si="328"/>
        <v>7.4203410379415607E-2</v>
      </c>
      <c r="AG339" s="165">
        <f t="shared" si="328"/>
        <v>7.4203410379415607E-2</v>
      </c>
      <c r="AH339" s="165">
        <f t="shared" si="328"/>
        <v>7.4203410379415607E-2</v>
      </c>
      <c r="AI339" s="165">
        <f t="shared" si="328"/>
        <v>7.4203410379415607E-2</v>
      </c>
      <c r="AJ339" s="165">
        <f t="shared" si="328"/>
        <v>7.4203410379415607E-2</v>
      </c>
      <c r="AK339" s="165">
        <f t="shared" si="328"/>
        <v>7.4203410379415607E-2</v>
      </c>
      <c r="AL339" s="165">
        <f t="shared" si="328"/>
        <v>7.4203410379415607E-2</v>
      </c>
      <c r="AM339" s="165">
        <f t="shared" si="328"/>
        <v>7.4203410379415607E-2</v>
      </c>
      <c r="AN339" s="165">
        <f t="shared" si="328"/>
        <v>7.4203410379415607E-2</v>
      </c>
      <c r="AO339" s="165">
        <f t="shared" si="328"/>
        <v>7.4203410379415607E-2</v>
      </c>
      <c r="AP339" s="165">
        <f t="shared" si="328"/>
        <v>7.4203410379415607E-2</v>
      </c>
      <c r="AQ339" s="165">
        <f t="shared" si="328"/>
        <v>7.4203410379415607E-2</v>
      </c>
      <c r="AR339" s="165">
        <f t="shared" si="328"/>
        <v>7.4203410379415607E-2</v>
      </c>
      <c r="AS339" s="157">
        <f t="shared" ref="AS339:BV339" si="329">AR339</f>
        <v>7.4203410379415607E-2</v>
      </c>
      <c r="AT339" s="157">
        <f t="shared" si="329"/>
        <v>7.4203410379415607E-2</v>
      </c>
      <c r="AU339" s="157">
        <f t="shared" si="329"/>
        <v>7.4203410379415607E-2</v>
      </c>
      <c r="AV339" s="157">
        <f t="shared" si="329"/>
        <v>7.4203410379415607E-2</v>
      </c>
      <c r="AW339" s="157">
        <f t="shared" si="329"/>
        <v>7.4203410379415607E-2</v>
      </c>
      <c r="AX339" s="157">
        <f t="shared" si="329"/>
        <v>7.4203410379415607E-2</v>
      </c>
      <c r="AY339" s="157">
        <f t="shared" si="329"/>
        <v>7.4203410379415607E-2</v>
      </c>
      <c r="AZ339" s="157">
        <f t="shared" si="329"/>
        <v>7.4203410379415607E-2</v>
      </c>
      <c r="BA339" s="157">
        <f t="shared" si="329"/>
        <v>7.4203410379415607E-2</v>
      </c>
      <c r="BB339" s="157">
        <f t="shared" si="329"/>
        <v>7.4203410379415607E-2</v>
      </c>
      <c r="BC339" s="157">
        <f t="shared" si="329"/>
        <v>7.4203410379415607E-2</v>
      </c>
      <c r="BD339" s="157">
        <f t="shared" si="329"/>
        <v>7.4203410379415607E-2</v>
      </c>
      <c r="BE339" s="157">
        <f t="shared" si="329"/>
        <v>7.4203410379415607E-2</v>
      </c>
      <c r="BF339" s="157">
        <f t="shared" si="329"/>
        <v>7.4203410379415607E-2</v>
      </c>
      <c r="BG339" s="157">
        <f t="shared" si="329"/>
        <v>7.4203410379415607E-2</v>
      </c>
      <c r="BH339" s="157">
        <f t="shared" si="329"/>
        <v>7.4203410379415607E-2</v>
      </c>
      <c r="BI339" s="157">
        <f t="shared" si="329"/>
        <v>7.4203410379415607E-2</v>
      </c>
      <c r="BJ339" s="157">
        <f t="shared" si="329"/>
        <v>7.4203410379415607E-2</v>
      </c>
      <c r="BK339" s="157">
        <f t="shared" si="329"/>
        <v>7.4203410379415607E-2</v>
      </c>
      <c r="BL339" s="157">
        <f t="shared" si="329"/>
        <v>7.4203410379415607E-2</v>
      </c>
      <c r="BM339" s="157">
        <f t="shared" si="329"/>
        <v>7.4203410379415607E-2</v>
      </c>
      <c r="BN339" s="157">
        <f t="shared" si="329"/>
        <v>7.4203410379415607E-2</v>
      </c>
      <c r="BO339" s="157">
        <f t="shared" si="329"/>
        <v>7.4203410379415607E-2</v>
      </c>
      <c r="BP339" s="157">
        <f t="shared" si="329"/>
        <v>7.4203410379415607E-2</v>
      </c>
      <c r="BQ339" s="157">
        <f t="shared" si="329"/>
        <v>7.4203410379415607E-2</v>
      </c>
      <c r="BR339" s="157">
        <f t="shared" si="329"/>
        <v>7.4203410379415607E-2</v>
      </c>
      <c r="BS339" s="157">
        <f t="shared" si="329"/>
        <v>7.4203410379415607E-2</v>
      </c>
      <c r="BT339" s="157">
        <f t="shared" si="329"/>
        <v>7.4203410379415607E-2</v>
      </c>
      <c r="BU339" s="157">
        <f t="shared" si="329"/>
        <v>7.4203410379415607E-2</v>
      </c>
      <c r="BV339" s="157">
        <f t="shared" si="329"/>
        <v>7.4203410379415607E-2</v>
      </c>
    </row>
    <row r="340" spans="1:74" x14ac:dyDescent="0.25">
      <c r="A340" s="155" t="s">
        <v>208</v>
      </c>
      <c r="C340" s="150"/>
      <c r="D340" s="165">
        <f t="shared" ref="D340:AR340" si="330">D169+D276+D308</f>
        <v>7.0927173002778884E-2</v>
      </c>
      <c r="E340" s="165">
        <f t="shared" si="330"/>
        <v>7.0927173002778884E-2</v>
      </c>
      <c r="F340" s="165">
        <f t="shared" si="330"/>
        <v>7.0927173002778884E-2</v>
      </c>
      <c r="G340" s="165">
        <f t="shared" si="330"/>
        <v>7.0927173002778884E-2</v>
      </c>
      <c r="H340" s="165">
        <f t="shared" si="330"/>
        <v>7.0927173002778884E-2</v>
      </c>
      <c r="I340" s="165">
        <f t="shared" si="330"/>
        <v>7.0927173002778884E-2</v>
      </c>
      <c r="J340" s="165">
        <f t="shared" si="330"/>
        <v>7.092734919603981E-2</v>
      </c>
      <c r="K340" s="165">
        <f t="shared" si="330"/>
        <v>7.0927208166390143E-2</v>
      </c>
      <c r="L340" s="165">
        <f t="shared" si="330"/>
        <v>7.0927243153668662E-2</v>
      </c>
      <c r="M340" s="165">
        <f t="shared" si="330"/>
        <v>7.0927760334950463E-2</v>
      </c>
      <c r="N340" s="165">
        <f t="shared" si="330"/>
        <v>7.092751111510448E-2</v>
      </c>
      <c r="O340" s="165">
        <f t="shared" si="330"/>
        <v>7.0927309551442996E-2</v>
      </c>
      <c r="P340" s="165">
        <f t="shared" si="330"/>
        <v>6.8973891830583334E-2</v>
      </c>
      <c r="Q340" s="165">
        <f t="shared" si="330"/>
        <v>6.8973859955144656E-2</v>
      </c>
      <c r="R340" s="165">
        <f t="shared" si="330"/>
        <v>6.8974018248181238E-2</v>
      </c>
      <c r="S340" s="165">
        <f t="shared" si="330"/>
        <v>6.8973643491733932E-2</v>
      </c>
      <c r="T340" s="165">
        <f t="shared" si="330"/>
        <v>6.8973874491646131E-2</v>
      </c>
      <c r="U340" s="165">
        <f t="shared" si="330"/>
        <v>6.8973693011865622E-2</v>
      </c>
      <c r="V340" s="165">
        <f t="shared" si="330"/>
        <v>6.8973909386409196E-2</v>
      </c>
      <c r="W340" s="165">
        <f t="shared" si="330"/>
        <v>6.8973858050354359E-2</v>
      </c>
      <c r="X340" s="165">
        <f t="shared" si="330"/>
        <v>6.8973656678529061E-2</v>
      </c>
      <c r="Y340" s="165">
        <f t="shared" si="330"/>
        <v>6.8973543504463386E-2</v>
      </c>
      <c r="Z340" s="165">
        <f t="shared" si="330"/>
        <v>6.8974097343459745E-2</v>
      </c>
      <c r="AA340" s="165">
        <f t="shared" si="330"/>
        <v>6.8973686778824678E-2</v>
      </c>
      <c r="AB340" s="165">
        <f t="shared" si="330"/>
        <v>6.8973834510963145E-2</v>
      </c>
      <c r="AC340" s="165">
        <f t="shared" si="330"/>
        <v>6.8973668239794533E-2</v>
      </c>
      <c r="AD340" s="165">
        <f t="shared" si="330"/>
        <v>6.8973646031909461E-2</v>
      </c>
      <c r="AE340" s="165">
        <f t="shared" si="330"/>
        <v>6.897377718517711E-2</v>
      </c>
      <c r="AF340" s="165">
        <f t="shared" si="330"/>
        <v>6.897377718517711E-2</v>
      </c>
      <c r="AG340" s="165">
        <f t="shared" si="330"/>
        <v>6.897377718517711E-2</v>
      </c>
      <c r="AH340" s="165">
        <f t="shared" si="330"/>
        <v>6.897377718517711E-2</v>
      </c>
      <c r="AI340" s="165">
        <f t="shared" si="330"/>
        <v>6.897377718517711E-2</v>
      </c>
      <c r="AJ340" s="165">
        <f t="shared" si="330"/>
        <v>6.897377718517711E-2</v>
      </c>
      <c r="AK340" s="165">
        <f t="shared" si="330"/>
        <v>6.897377718517711E-2</v>
      </c>
      <c r="AL340" s="165">
        <f t="shared" si="330"/>
        <v>6.897377718517711E-2</v>
      </c>
      <c r="AM340" s="165">
        <f t="shared" si="330"/>
        <v>6.897377718517711E-2</v>
      </c>
      <c r="AN340" s="165">
        <f t="shared" si="330"/>
        <v>6.897377718517711E-2</v>
      </c>
      <c r="AO340" s="165">
        <f t="shared" si="330"/>
        <v>6.897377718517711E-2</v>
      </c>
      <c r="AP340" s="165">
        <f t="shared" si="330"/>
        <v>6.897377718517711E-2</v>
      </c>
      <c r="AQ340" s="165">
        <f t="shared" si="330"/>
        <v>6.897377718517711E-2</v>
      </c>
      <c r="AR340" s="165">
        <f t="shared" si="330"/>
        <v>6.897377718517711E-2</v>
      </c>
      <c r="AS340" s="157">
        <f t="shared" ref="AS340:BV340" si="331">AR340</f>
        <v>6.897377718517711E-2</v>
      </c>
      <c r="AT340" s="157">
        <f t="shared" si="331"/>
        <v>6.897377718517711E-2</v>
      </c>
      <c r="AU340" s="157">
        <f t="shared" si="331"/>
        <v>6.897377718517711E-2</v>
      </c>
      <c r="AV340" s="157">
        <f t="shared" si="331"/>
        <v>6.897377718517711E-2</v>
      </c>
      <c r="AW340" s="157">
        <f t="shared" si="331"/>
        <v>6.897377718517711E-2</v>
      </c>
      <c r="AX340" s="157">
        <f t="shared" si="331"/>
        <v>6.897377718517711E-2</v>
      </c>
      <c r="AY340" s="157">
        <f t="shared" si="331"/>
        <v>6.897377718517711E-2</v>
      </c>
      <c r="AZ340" s="157">
        <f t="shared" si="331"/>
        <v>6.897377718517711E-2</v>
      </c>
      <c r="BA340" s="157">
        <f t="shared" si="331"/>
        <v>6.897377718517711E-2</v>
      </c>
      <c r="BB340" s="157">
        <f t="shared" si="331"/>
        <v>6.897377718517711E-2</v>
      </c>
      <c r="BC340" s="157">
        <f t="shared" si="331"/>
        <v>6.897377718517711E-2</v>
      </c>
      <c r="BD340" s="157">
        <f t="shared" si="331"/>
        <v>6.897377718517711E-2</v>
      </c>
      <c r="BE340" s="157">
        <f t="shared" si="331"/>
        <v>6.897377718517711E-2</v>
      </c>
      <c r="BF340" s="157">
        <f t="shared" si="331"/>
        <v>6.897377718517711E-2</v>
      </c>
      <c r="BG340" s="157">
        <f t="shared" si="331"/>
        <v>6.897377718517711E-2</v>
      </c>
      <c r="BH340" s="157">
        <f t="shared" si="331"/>
        <v>6.897377718517711E-2</v>
      </c>
      <c r="BI340" s="157">
        <f t="shared" si="331"/>
        <v>6.897377718517711E-2</v>
      </c>
      <c r="BJ340" s="157">
        <f t="shared" si="331"/>
        <v>6.897377718517711E-2</v>
      </c>
      <c r="BK340" s="157">
        <f t="shared" si="331"/>
        <v>6.897377718517711E-2</v>
      </c>
      <c r="BL340" s="157">
        <f t="shared" si="331"/>
        <v>6.897377718517711E-2</v>
      </c>
      <c r="BM340" s="157">
        <f t="shared" si="331"/>
        <v>6.897377718517711E-2</v>
      </c>
      <c r="BN340" s="157">
        <f t="shared" si="331"/>
        <v>6.897377718517711E-2</v>
      </c>
      <c r="BO340" s="157">
        <f t="shared" si="331"/>
        <v>6.897377718517711E-2</v>
      </c>
      <c r="BP340" s="157">
        <f t="shared" si="331"/>
        <v>6.897377718517711E-2</v>
      </c>
      <c r="BQ340" s="157">
        <f t="shared" si="331"/>
        <v>6.897377718517711E-2</v>
      </c>
      <c r="BR340" s="157">
        <f t="shared" si="331"/>
        <v>6.897377718517711E-2</v>
      </c>
      <c r="BS340" s="157">
        <f t="shared" si="331"/>
        <v>6.897377718517711E-2</v>
      </c>
      <c r="BT340" s="157">
        <f t="shared" si="331"/>
        <v>6.897377718517711E-2</v>
      </c>
      <c r="BU340" s="157">
        <f t="shared" si="331"/>
        <v>6.897377718517711E-2</v>
      </c>
      <c r="BV340" s="157">
        <f t="shared" si="331"/>
        <v>6.897377718517711E-2</v>
      </c>
    </row>
    <row r="341" spans="1:74" x14ac:dyDescent="0.25">
      <c r="A341" s="149" t="s">
        <v>209</v>
      </c>
      <c r="B341" s="150"/>
      <c r="C341" s="150"/>
      <c r="D341" s="165">
        <f t="shared" ref="D341:AR341" si="332">D170+D277+D309</f>
        <v>7.7537173087863065E-2</v>
      </c>
      <c r="E341" s="165">
        <f t="shared" si="332"/>
        <v>7.7537173087863065E-2</v>
      </c>
      <c r="F341" s="165">
        <f t="shared" si="332"/>
        <v>7.7537173087863065E-2</v>
      </c>
      <c r="G341" s="165">
        <f t="shared" si="332"/>
        <v>7.7537173087863065E-2</v>
      </c>
      <c r="H341" s="165">
        <f t="shared" si="332"/>
        <v>7.7537173087863065E-2</v>
      </c>
      <c r="I341" s="165">
        <f t="shared" si="332"/>
        <v>7.7537173087863065E-2</v>
      </c>
      <c r="J341" s="165">
        <f t="shared" si="332"/>
        <v>7.7537173087863065E-2</v>
      </c>
      <c r="K341" s="165">
        <f t="shared" si="332"/>
        <v>7.7537173087863065E-2</v>
      </c>
      <c r="L341" s="165">
        <f t="shared" si="332"/>
        <v>7.7537173087863065E-2</v>
      </c>
      <c r="M341" s="165">
        <f t="shared" si="332"/>
        <v>7.7537173087863065E-2</v>
      </c>
      <c r="N341" s="165">
        <f t="shared" si="332"/>
        <v>7.7537173087863065E-2</v>
      </c>
      <c r="O341" s="165">
        <f t="shared" si="332"/>
        <v>7.7537173087863065E-2</v>
      </c>
      <c r="P341" s="165">
        <f t="shared" si="332"/>
        <v>7.7537173087863065E-2</v>
      </c>
      <c r="Q341" s="165">
        <f t="shared" si="332"/>
        <v>7.7537173087863065E-2</v>
      </c>
      <c r="R341" s="165">
        <f t="shared" si="332"/>
        <v>7.7537173087863065E-2</v>
      </c>
      <c r="S341" s="165">
        <f t="shared" si="332"/>
        <v>7.7537173087863065E-2</v>
      </c>
      <c r="T341" s="165">
        <f t="shared" si="332"/>
        <v>7.7537173087863065E-2</v>
      </c>
      <c r="U341" s="165">
        <f t="shared" si="332"/>
        <v>7.7537173087863065E-2</v>
      </c>
      <c r="V341" s="165">
        <f t="shared" si="332"/>
        <v>7.7537173087863065E-2</v>
      </c>
      <c r="W341" s="165">
        <f t="shared" si="332"/>
        <v>7.7537173087863065E-2</v>
      </c>
      <c r="X341" s="165">
        <f t="shared" si="332"/>
        <v>7.7537173087863065E-2</v>
      </c>
      <c r="Y341" s="165">
        <f t="shared" si="332"/>
        <v>7.7537173087863065E-2</v>
      </c>
      <c r="Z341" s="165">
        <f t="shared" si="332"/>
        <v>7.7537173087863065E-2</v>
      </c>
      <c r="AA341" s="165">
        <f t="shared" si="332"/>
        <v>7.7537173087863065E-2</v>
      </c>
      <c r="AB341" s="165">
        <f t="shared" si="332"/>
        <v>7.7537173087863065E-2</v>
      </c>
      <c r="AC341" s="165">
        <f t="shared" si="332"/>
        <v>7.7537173087863065E-2</v>
      </c>
      <c r="AD341" s="165">
        <f t="shared" si="332"/>
        <v>7.7537173087863065E-2</v>
      </c>
      <c r="AE341" s="165">
        <f t="shared" si="332"/>
        <v>7.7537173087863065E-2</v>
      </c>
      <c r="AF341" s="165">
        <f t="shared" si="332"/>
        <v>7.7537173087863065E-2</v>
      </c>
      <c r="AG341" s="165">
        <f t="shared" si="332"/>
        <v>7.7537173087863065E-2</v>
      </c>
      <c r="AH341" s="165">
        <f t="shared" si="332"/>
        <v>7.7537173087863065E-2</v>
      </c>
      <c r="AI341" s="165">
        <f t="shared" si="332"/>
        <v>7.7537173087863065E-2</v>
      </c>
      <c r="AJ341" s="165">
        <f t="shared" si="332"/>
        <v>7.7537173087863065E-2</v>
      </c>
      <c r="AK341" s="165">
        <f t="shared" si="332"/>
        <v>7.7537173087863065E-2</v>
      </c>
      <c r="AL341" s="165">
        <f t="shared" si="332"/>
        <v>7.7537173087863065E-2</v>
      </c>
      <c r="AM341" s="165">
        <f t="shared" si="332"/>
        <v>7.7537173087863065E-2</v>
      </c>
      <c r="AN341" s="165">
        <f t="shared" si="332"/>
        <v>7.7537173087863065E-2</v>
      </c>
      <c r="AO341" s="165">
        <f t="shared" si="332"/>
        <v>7.7537173087863065E-2</v>
      </c>
      <c r="AP341" s="165">
        <f t="shared" si="332"/>
        <v>7.7537173087863065E-2</v>
      </c>
      <c r="AQ341" s="165">
        <f t="shared" si="332"/>
        <v>7.7537173087863065E-2</v>
      </c>
      <c r="AR341" s="165">
        <f t="shared" si="332"/>
        <v>7.7537173087863065E-2</v>
      </c>
      <c r="AS341" s="157">
        <f t="shared" ref="AS341:BV341" si="333">AR341</f>
        <v>7.7537173087863065E-2</v>
      </c>
      <c r="AT341" s="157">
        <f t="shared" si="333"/>
        <v>7.7537173087863065E-2</v>
      </c>
      <c r="AU341" s="157">
        <f t="shared" si="333"/>
        <v>7.7537173087863065E-2</v>
      </c>
      <c r="AV341" s="157">
        <f t="shared" si="333"/>
        <v>7.7537173087863065E-2</v>
      </c>
      <c r="AW341" s="157">
        <f t="shared" si="333"/>
        <v>7.7537173087863065E-2</v>
      </c>
      <c r="AX341" s="157">
        <f t="shared" si="333"/>
        <v>7.7537173087863065E-2</v>
      </c>
      <c r="AY341" s="157">
        <f t="shared" si="333"/>
        <v>7.7537173087863065E-2</v>
      </c>
      <c r="AZ341" s="157">
        <f t="shared" si="333"/>
        <v>7.7537173087863065E-2</v>
      </c>
      <c r="BA341" s="157">
        <f t="shared" si="333"/>
        <v>7.7537173087863065E-2</v>
      </c>
      <c r="BB341" s="157">
        <f t="shared" si="333"/>
        <v>7.7537173087863065E-2</v>
      </c>
      <c r="BC341" s="157">
        <f t="shared" si="333"/>
        <v>7.7537173087863065E-2</v>
      </c>
      <c r="BD341" s="157">
        <f t="shared" si="333"/>
        <v>7.7537173087863065E-2</v>
      </c>
      <c r="BE341" s="157">
        <f t="shared" si="333"/>
        <v>7.7537173087863065E-2</v>
      </c>
      <c r="BF341" s="157">
        <f t="shared" si="333"/>
        <v>7.7537173087863065E-2</v>
      </c>
      <c r="BG341" s="157">
        <f t="shared" si="333"/>
        <v>7.7537173087863065E-2</v>
      </c>
      <c r="BH341" s="157">
        <f t="shared" si="333"/>
        <v>7.7537173087863065E-2</v>
      </c>
      <c r="BI341" s="157">
        <f t="shared" si="333"/>
        <v>7.7537173087863065E-2</v>
      </c>
      <c r="BJ341" s="157">
        <f t="shared" si="333"/>
        <v>7.7537173087863065E-2</v>
      </c>
      <c r="BK341" s="157">
        <f t="shared" si="333"/>
        <v>7.7537173087863065E-2</v>
      </c>
      <c r="BL341" s="157">
        <f t="shared" si="333"/>
        <v>7.7537173087863065E-2</v>
      </c>
      <c r="BM341" s="157">
        <f t="shared" si="333"/>
        <v>7.7537173087863065E-2</v>
      </c>
      <c r="BN341" s="157">
        <f t="shared" si="333"/>
        <v>7.7537173087863065E-2</v>
      </c>
      <c r="BO341" s="157">
        <f t="shared" si="333"/>
        <v>7.7537173087863065E-2</v>
      </c>
      <c r="BP341" s="157">
        <f t="shared" si="333"/>
        <v>7.7537173087863065E-2</v>
      </c>
      <c r="BQ341" s="157">
        <f t="shared" si="333"/>
        <v>7.7537173087863065E-2</v>
      </c>
      <c r="BR341" s="157">
        <f t="shared" si="333"/>
        <v>7.7537173087863065E-2</v>
      </c>
      <c r="BS341" s="157">
        <f t="shared" si="333"/>
        <v>7.7537173087863065E-2</v>
      </c>
      <c r="BT341" s="157">
        <f t="shared" si="333"/>
        <v>7.7537173087863065E-2</v>
      </c>
      <c r="BU341" s="157">
        <f t="shared" si="333"/>
        <v>7.7537173087863065E-2</v>
      </c>
      <c r="BV341" s="157">
        <f t="shared" si="333"/>
        <v>7.7537173087863065E-2</v>
      </c>
    </row>
    <row r="342" spans="1:74" x14ac:dyDescent="0.25">
      <c r="A342" s="149" t="s">
        <v>211</v>
      </c>
      <c r="B342" s="150"/>
      <c r="C342" s="150"/>
      <c r="D342" s="165">
        <f t="shared" ref="D342:AR342" si="334">D171+D278+D310</f>
        <v>6.2457363267359844E-2</v>
      </c>
      <c r="E342" s="165">
        <f t="shared" si="334"/>
        <v>6.2457363267359844E-2</v>
      </c>
      <c r="F342" s="165">
        <f t="shared" si="334"/>
        <v>6.2457363267359844E-2</v>
      </c>
      <c r="G342" s="165">
        <f t="shared" si="334"/>
        <v>6.2457363267359844E-2</v>
      </c>
      <c r="H342" s="165">
        <f t="shared" si="334"/>
        <v>6.2457363267359844E-2</v>
      </c>
      <c r="I342" s="165">
        <f t="shared" si="334"/>
        <v>6.2457363267359844E-2</v>
      </c>
      <c r="J342" s="165">
        <f t="shared" si="334"/>
        <v>6.2457363267359844E-2</v>
      </c>
      <c r="K342" s="165">
        <f t="shared" si="334"/>
        <v>6.2457363267359844E-2</v>
      </c>
      <c r="L342" s="165">
        <f t="shared" si="334"/>
        <v>6.2457363267359844E-2</v>
      </c>
      <c r="M342" s="165">
        <f t="shared" si="334"/>
        <v>6.2457363267359844E-2</v>
      </c>
      <c r="N342" s="165">
        <f t="shared" si="334"/>
        <v>6.2457363267359844E-2</v>
      </c>
      <c r="O342" s="165">
        <f t="shared" si="334"/>
        <v>6.2457363267359844E-2</v>
      </c>
      <c r="P342" s="165">
        <f t="shared" si="334"/>
        <v>6.2457363267359844E-2</v>
      </c>
      <c r="Q342" s="165">
        <f t="shared" si="334"/>
        <v>6.2457363267359844E-2</v>
      </c>
      <c r="R342" s="165">
        <f t="shared" si="334"/>
        <v>6.2457363267359844E-2</v>
      </c>
      <c r="S342" s="165">
        <f t="shared" si="334"/>
        <v>6.2457363267359844E-2</v>
      </c>
      <c r="T342" s="165">
        <f t="shared" si="334"/>
        <v>6.2457363267359844E-2</v>
      </c>
      <c r="U342" s="165">
        <f t="shared" si="334"/>
        <v>6.2457363267359844E-2</v>
      </c>
      <c r="V342" s="165">
        <f t="shared" si="334"/>
        <v>6.2457363267359844E-2</v>
      </c>
      <c r="W342" s="165">
        <f t="shared" si="334"/>
        <v>6.2457363267359844E-2</v>
      </c>
      <c r="X342" s="165">
        <f t="shared" si="334"/>
        <v>6.2457363267359844E-2</v>
      </c>
      <c r="Y342" s="165">
        <f t="shared" si="334"/>
        <v>6.2457363267359844E-2</v>
      </c>
      <c r="Z342" s="165">
        <f t="shared" si="334"/>
        <v>6.245769719280185E-2</v>
      </c>
      <c r="AA342" s="165">
        <f t="shared" si="334"/>
        <v>6.245769719280185E-2</v>
      </c>
      <c r="AB342" s="165">
        <f t="shared" si="334"/>
        <v>6.245769719280185E-2</v>
      </c>
      <c r="AC342" s="165">
        <f t="shared" si="334"/>
        <v>6.245769719280185E-2</v>
      </c>
      <c r="AD342" s="165">
        <f t="shared" si="334"/>
        <v>6.2456288839973957E-2</v>
      </c>
      <c r="AE342" s="165">
        <f t="shared" si="334"/>
        <v>6.2456288839973957E-2</v>
      </c>
      <c r="AF342" s="165">
        <f t="shared" si="334"/>
        <v>6.2456288839973957E-2</v>
      </c>
      <c r="AG342" s="165">
        <f t="shared" si="334"/>
        <v>6.2456288839973957E-2</v>
      </c>
      <c r="AH342" s="165">
        <f t="shared" si="334"/>
        <v>6.2456288839973957E-2</v>
      </c>
      <c r="AI342" s="165">
        <f t="shared" si="334"/>
        <v>6.2456288839973957E-2</v>
      </c>
      <c r="AJ342" s="165">
        <f t="shared" si="334"/>
        <v>6.2456288839973957E-2</v>
      </c>
      <c r="AK342" s="165">
        <f t="shared" si="334"/>
        <v>6.2456288839973957E-2</v>
      </c>
      <c r="AL342" s="165">
        <f t="shared" si="334"/>
        <v>6.2456288839973957E-2</v>
      </c>
      <c r="AM342" s="165">
        <f t="shared" si="334"/>
        <v>6.2456288839973957E-2</v>
      </c>
      <c r="AN342" s="165">
        <f t="shared" si="334"/>
        <v>6.2456288839973957E-2</v>
      </c>
      <c r="AO342" s="165">
        <f t="shared" si="334"/>
        <v>6.2456288839973957E-2</v>
      </c>
      <c r="AP342" s="165">
        <f t="shared" si="334"/>
        <v>6.2456288839973957E-2</v>
      </c>
      <c r="AQ342" s="165">
        <f t="shared" si="334"/>
        <v>6.2456288839973957E-2</v>
      </c>
      <c r="AR342" s="165">
        <f t="shared" si="334"/>
        <v>6.2456288839973957E-2</v>
      </c>
      <c r="AS342" s="157">
        <f t="shared" ref="AS342:BV342" si="335">AR342</f>
        <v>6.2456288839973957E-2</v>
      </c>
      <c r="AT342" s="157">
        <f t="shared" si="335"/>
        <v>6.2456288839973957E-2</v>
      </c>
      <c r="AU342" s="157">
        <f t="shared" si="335"/>
        <v>6.2456288839973957E-2</v>
      </c>
      <c r="AV342" s="157">
        <f t="shared" si="335"/>
        <v>6.2456288839973957E-2</v>
      </c>
      <c r="AW342" s="157">
        <f t="shared" si="335"/>
        <v>6.2456288839973957E-2</v>
      </c>
      <c r="AX342" s="157">
        <f t="shared" si="335"/>
        <v>6.2456288839973957E-2</v>
      </c>
      <c r="AY342" s="157">
        <f t="shared" si="335"/>
        <v>6.2456288839973957E-2</v>
      </c>
      <c r="AZ342" s="157">
        <f t="shared" si="335"/>
        <v>6.2456288839973957E-2</v>
      </c>
      <c r="BA342" s="157">
        <f t="shared" si="335"/>
        <v>6.2456288839973957E-2</v>
      </c>
      <c r="BB342" s="157">
        <f t="shared" si="335"/>
        <v>6.2456288839973957E-2</v>
      </c>
      <c r="BC342" s="157">
        <f t="shared" si="335"/>
        <v>6.2456288839973957E-2</v>
      </c>
      <c r="BD342" s="157">
        <f t="shared" si="335"/>
        <v>6.2456288839973957E-2</v>
      </c>
      <c r="BE342" s="157">
        <f t="shared" si="335"/>
        <v>6.2456288839973957E-2</v>
      </c>
      <c r="BF342" s="157">
        <f t="shared" si="335"/>
        <v>6.2456288839973957E-2</v>
      </c>
      <c r="BG342" s="157">
        <f t="shared" si="335"/>
        <v>6.2456288839973957E-2</v>
      </c>
      <c r="BH342" s="157">
        <f t="shared" si="335"/>
        <v>6.2456288839973957E-2</v>
      </c>
      <c r="BI342" s="157">
        <f t="shared" si="335"/>
        <v>6.2456288839973957E-2</v>
      </c>
      <c r="BJ342" s="157">
        <f t="shared" si="335"/>
        <v>6.2456288839973957E-2</v>
      </c>
      <c r="BK342" s="157">
        <f t="shared" si="335"/>
        <v>6.2456288839973957E-2</v>
      </c>
      <c r="BL342" s="157">
        <f t="shared" si="335"/>
        <v>6.2456288839973957E-2</v>
      </c>
      <c r="BM342" s="157">
        <f t="shared" si="335"/>
        <v>6.2456288839973957E-2</v>
      </c>
      <c r="BN342" s="157">
        <f t="shared" si="335"/>
        <v>6.2456288839973957E-2</v>
      </c>
      <c r="BO342" s="157">
        <f t="shared" si="335"/>
        <v>6.2456288839973957E-2</v>
      </c>
      <c r="BP342" s="157">
        <f t="shared" si="335"/>
        <v>6.2456288839973957E-2</v>
      </c>
      <c r="BQ342" s="157">
        <f t="shared" si="335"/>
        <v>6.2456288839973957E-2</v>
      </c>
      <c r="BR342" s="157">
        <f t="shared" si="335"/>
        <v>6.2456288839973957E-2</v>
      </c>
      <c r="BS342" s="157">
        <f t="shared" si="335"/>
        <v>6.2456288839973957E-2</v>
      </c>
      <c r="BT342" s="157">
        <f t="shared" si="335"/>
        <v>6.2456288839973957E-2</v>
      </c>
      <c r="BU342" s="157">
        <f t="shared" si="335"/>
        <v>6.2456288839973957E-2</v>
      </c>
      <c r="BV342" s="157">
        <f t="shared" si="335"/>
        <v>6.2456288839973957E-2</v>
      </c>
    </row>
    <row r="343" spans="1:74" x14ac:dyDescent="0.25">
      <c r="A343" s="155" t="s">
        <v>212</v>
      </c>
      <c r="C343" s="150"/>
      <c r="D343" s="165">
        <f t="shared" ref="D343:AR343" si="336">D172+D279+D311</f>
        <v>7.9291873703244808E-2</v>
      </c>
      <c r="E343" s="165">
        <f t="shared" si="336"/>
        <v>7.9175922200098808E-2</v>
      </c>
      <c r="F343" s="165">
        <f t="shared" si="336"/>
        <v>7.9060309322297254E-2</v>
      </c>
      <c r="G343" s="165">
        <f t="shared" si="336"/>
        <v>7.8945033588618374E-2</v>
      </c>
      <c r="H343" s="165">
        <f t="shared" si="336"/>
        <v>7.8830093526466652E-2</v>
      </c>
      <c r="I343" s="165">
        <f t="shared" si="336"/>
        <v>7.8715487671810275E-2</v>
      </c>
      <c r="J343" s="165">
        <f t="shared" si="336"/>
        <v>8.0710684118497106E-2</v>
      </c>
      <c r="K343" s="165">
        <f t="shared" si="336"/>
        <v>8.1661717829032268E-2</v>
      </c>
      <c r="L343" s="165">
        <f t="shared" si="336"/>
        <v>7.8422741247024141E-2</v>
      </c>
      <c r="M343" s="165">
        <f t="shared" si="336"/>
        <v>7.9550096753159438E-2</v>
      </c>
      <c r="N343" s="165">
        <f t="shared" si="336"/>
        <v>8.0317039589440434E-2</v>
      </c>
      <c r="O343" s="165">
        <f t="shared" si="336"/>
        <v>8.0183638888778538E-2</v>
      </c>
      <c r="P343" s="165">
        <f t="shared" si="336"/>
        <v>8.0352765239053728E-2</v>
      </c>
      <c r="Q343" s="165">
        <f t="shared" si="336"/>
        <v>8.2220259612803021E-2</v>
      </c>
      <c r="R343" s="165">
        <f t="shared" si="336"/>
        <v>8.2882616154860908E-2</v>
      </c>
      <c r="S343" s="165">
        <f t="shared" si="336"/>
        <v>8.4064437959073618E-2</v>
      </c>
      <c r="T343" s="165">
        <f t="shared" si="336"/>
        <v>8.4399607606736274E-2</v>
      </c>
      <c r="U343" s="165">
        <f t="shared" si="336"/>
        <v>8.582267665806044E-2</v>
      </c>
      <c r="V343" s="165">
        <f t="shared" si="336"/>
        <v>8.4786028833528718E-2</v>
      </c>
      <c r="W343" s="165">
        <f t="shared" si="336"/>
        <v>8.1780249676859068E-2</v>
      </c>
      <c r="X343" s="165">
        <f t="shared" si="336"/>
        <v>8.1800715576151733E-2</v>
      </c>
      <c r="Y343" s="165">
        <f t="shared" si="336"/>
        <v>8.3731527541651793E-2</v>
      </c>
      <c r="Z343" s="165">
        <f t="shared" si="336"/>
        <v>8.2188401910966602E-2</v>
      </c>
      <c r="AA343" s="165">
        <f t="shared" si="336"/>
        <v>8.110454911017638E-2</v>
      </c>
      <c r="AB343" s="165">
        <f t="shared" si="336"/>
        <v>8.1221181564327782E-2</v>
      </c>
      <c r="AC343" s="165">
        <f t="shared" si="336"/>
        <v>8.0993982083131758E-2</v>
      </c>
      <c r="AD343" s="165">
        <f t="shared" si="336"/>
        <v>8.066527235503948E-2</v>
      </c>
      <c r="AE343" s="165">
        <f t="shared" si="336"/>
        <v>8.1808919329719967E-2</v>
      </c>
      <c r="AF343" s="165">
        <f t="shared" si="336"/>
        <v>8.1808919329719967E-2</v>
      </c>
      <c r="AG343" s="165">
        <f t="shared" si="336"/>
        <v>8.1808919329719967E-2</v>
      </c>
      <c r="AH343" s="165">
        <f t="shared" si="336"/>
        <v>8.1808919329719967E-2</v>
      </c>
      <c r="AI343" s="165">
        <f t="shared" si="336"/>
        <v>8.1808919329719967E-2</v>
      </c>
      <c r="AJ343" s="165">
        <f t="shared" si="336"/>
        <v>8.1808919329719967E-2</v>
      </c>
      <c r="AK343" s="165">
        <f t="shared" si="336"/>
        <v>8.1808919329719967E-2</v>
      </c>
      <c r="AL343" s="165">
        <f t="shared" si="336"/>
        <v>8.1808919329719967E-2</v>
      </c>
      <c r="AM343" s="165">
        <f t="shared" si="336"/>
        <v>8.1808919329719967E-2</v>
      </c>
      <c r="AN343" s="165">
        <f t="shared" si="336"/>
        <v>8.1808919329719967E-2</v>
      </c>
      <c r="AO343" s="165">
        <f t="shared" si="336"/>
        <v>8.1808919329719967E-2</v>
      </c>
      <c r="AP343" s="165">
        <f t="shared" si="336"/>
        <v>8.1808919329719967E-2</v>
      </c>
      <c r="AQ343" s="165">
        <f t="shared" si="336"/>
        <v>8.1808919329719967E-2</v>
      </c>
      <c r="AR343" s="165">
        <f t="shared" si="336"/>
        <v>8.1808919329719967E-2</v>
      </c>
      <c r="AS343" s="157">
        <f t="shared" ref="AS343:BV343" si="337">AR343</f>
        <v>8.1808919329719967E-2</v>
      </c>
      <c r="AT343" s="157">
        <f t="shared" si="337"/>
        <v>8.1808919329719967E-2</v>
      </c>
      <c r="AU343" s="157">
        <f t="shared" si="337"/>
        <v>8.1808919329719967E-2</v>
      </c>
      <c r="AV343" s="157">
        <f t="shared" si="337"/>
        <v>8.1808919329719967E-2</v>
      </c>
      <c r="AW343" s="157">
        <f t="shared" si="337"/>
        <v>8.1808919329719967E-2</v>
      </c>
      <c r="AX343" s="157">
        <f t="shared" si="337"/>
        <v>8.1808919329719967E-2</v>
      </c>
      <c r="AY343" s="157">
        <f t="shared" si="337"/>
        <v>8.1808919329719967E-2</v>
      </c>
      <c r="AZ343" s="157">
        <f t="shared" si="337"/>
        <v>8.1808919329719967E-2</v>
      </c>
      <c r="BA343" s="157">
        <f t="shared" si="337"/>
        <v>8.1808919329719967E-2</v>
      </c>
      <c r="BB343" s="157">
        <f t="shared" si="337"/>
        <v>8.1808919329719967E-2</v>
      </c>
      <c r="BC343" s="157">
        <f t="shared" si="337"/>
        <v>8.1808919329719967E-2</v>
      </c>
      <c r="BD343" s="157">
        <f t="shared" si="337"/>
        <v>8.1808919329719967E-2</v>
      </c>
      <c r="BE343" s="157">
        <f t="shared" si="337"/>
        <v>8.1808919329719967E-2</v>
      </c>
      <c r="BF343" s="157">
        <f t="shared" si="337"/>
        <v>8.1808919329719967E-2</v>
      </c>
      <c r="BG343" s="157">
        <f t="shared" si="337"/>
        <v>8.1808919329719967E-2</v>
      </c>
      <c r="BH343" s="157">
        <f t="shared" si="337"/>
        <v>8.1808919329719967E-2</v>
      </c>
      <c r="BI343" s="157">
        <f t="shared" si="337"/>
        <v>8.1808919329719967E-2</v>
      </c>
      <c r="BJ343" s="157">
        <f t="shared" si="337"/>
        <v>8.1808919329719967E-2</v>
      </c>
      <c r="BK343" s="157">
        <f t="shared" si="337"/>
        <v>8.1808919329719967E-2</v>
      </c>
      <c r="BL343" s="157">
        <f t="shared" si="337"/>
        <v>8.1808919329719967E-2</v>
      </c>
      <c r="BM343" s="157">
        <f t="shared" si="337"/>
        <v>8.1808919329719967E-2</v>
      </c>
      <c r="BN343" s="157">
        <f t="shared" si="337"/>
        <v>8.1808919329719967E-2</v>
      </c>
      <c r="BO343" s="157">
        <f t="shared" si="337"/>
        <v>8.1808919329719967E-2</v>
      </c>
      <c r="BP343" s="157">
        <f t="shared" si="337"/>
        <v>8.1808919329719967E-2</v>
      </c>
      <c r="BQ343" s="157">
        <f t="shared" si="337"/>
        <v>8.1808919329719967E-2</v>
      </c>
      <c r="BR343" s="157">
        <f t="shared" si="337"/>
        <v>8.1808919329719967E-2</v>
      </c>
      <c r="BS343" s="157">
        <f t="shared" si="337"/>
        <v>8.1808919329719967E-2</v>
      </c>
      <c r="BT343" s="157">
        <f t="shared" si="337"/>
        <v>8.1808919329719967E-2</v>
      </c>
      <c r="BU343" s="157">
        <f t="shared" si="337"/>
        <v>8.1808919329719967E-2</v>
      </c>
      <c r="BV343" s="157">
        <f t="shared" si="337"/>
        <v>8.1808919329719967E-2</v>
      </c>
    </row>
    <row r="344" spans="1:74" x14ac:dyDescent="0.25">
      <c r="A344" s="155" t="s">
        <v>214</v>
      </c>
      <c r="C344" s="150"/>
      <c r="D344" s="165">
        <f t="shared" ref="D344:AR344" si="338">D173+D280+D312</f>
        <v>0.11027193947827796</v>
      </c>
      <c r="E344" s="165">
        <f t="shared" si="338"/>
        <v>0.11027193967308721</v>
      </c>
      <c r="F344" s="165">
        <f t="shared" si="338"/>
        <v>0.11027193986789646</v>
      </c>
      <c r="G344" s="165">
        <f t="shared" si="338"/>
        <v>0.11027194006270571</v>
      </c>
      <c r="H344" s="165">
        <f t="shared" si="338"/>
        <v>0.11027194025751497</v>
      </c>
      <c r="I344" s="165">
        <f t="shared" si="338"/>
        <v>0.11027194045232422</v>
      </c>
      <c r="J344" s="165">
        <f t="shared" si="338"/>
        <v>0.11027193930420492</v>
      </c>
      <c r="K344" s="165">
        <f t="shared" si="338"/>
        <v>0.11027193935921728</v>
      </c>
      <c r="L344" s="165">
        <f t="shared" si="338"/>
        <v>0.11027193916213673</v>
      </c>
      <c r="M344" s="165">
        <f t="shared" si="338"/>
        <v>0.11027193849094741</v>
      </c>
      <c r="N344" s="165">
        <f t="shared" si="338"/>
        <v>0.11027193803558447</v>
      </c>
      <c r="O344" s="165">
        <f t="shared" si="338"/>
        <v>0.11027193912417463</v>
      </c>
      <c r="P344" s="165">
        <f t="shared" si="338"/>
        <v>0.11027193889338384</v>
      </c>
      <c r="Q344" s="165">
        <f t="shared" si="338"/>
        <v>0.11027193915572252</v>
      </c>
      <c r="R344" s="165">
        <f t="shared" si="338"/>
        <v>0.11027193933032937</v>
      </c>
      <c r="S344" s="165">
        <f t="shared" si="338"/>
        <v>0.11027193871500141</v>
      </c>
      <c r="T344" s="165">
        <f t="shared" si="338"/>
        <v>0.11027195122521964</v>
      </c>
      <c r="U344" s="165">
        <f t="shared" si="338"/>
        <v>0.11027195311285097</v>
      </c>
      <c r="V344" s="165">
        <f t="shared" si="338"/>
        <v>0.11027194577875163</v>
      </c>
      <c r="W344" s="165">
        <f t="shared" si="338"/>
        <v>0.11027193101265882</v>
      </c>
      <c r="X344" s="165">
        <f t="shared" si="338"/>
        <v>0.11027195788192662</v>
      </c>
      <c r="Y344" s="165">
        <f t="shared" si="338"/>
        <v>0.11027195136582553</v>
      </c>
      <c r="Z344" s="165">
        <f t="shared" si="338"/>
        <v>0.11027194249623308</v>
      </c>
      <c r="AA344" s="165">
        <f t="shared" si="338"/>
        <v>0.11027191937004856</v>
      </c>
      <c r="AB344" s="165">
        <f t="shared" si="338"/>
        <v>0.1102719297475435</v>
      </c>
      <c r="AC344" s="165">
        <f t="shared" si="338"/>
        <v>0.11027194225345728</v>
      </c>
      <c r="AD344" s="165">
        <f t="shared" si="338"/>
        <v>0.11027192114627135</v>
      </c>
      <c r="AE344" s="165">
        <f t="shared" si="338"/>
        <v>0.11027194819194906</v>
      </c>
      <c r="AF344" s="165">
        <f t="shared" si="338"/>
        <v>0.11027194819194906</v>
      </c>
      <c r="AG344" s="165">
        <f t="shared" si="338"/>
        <v>0.11027194819194906</v>
      </c>
      <c r="AH344" s="165">
        <f t="shared" si="338"/>
        <v>0.11027194819194906</v>
      </c>
      <c r="AI344" s="165">
        <f t="shared" si="338"/>
        <v>0.11027194819194906</v>
      </c>
      <c r="AJ344" s="165">
        <f t="shared" si="338"/>
        <v>0.11027194819194906</v>
      </c>
      <c r="AK344" s="165">
        <f t="shared" si="338"/>
        <v>0.11027194819194906</v>
      </c>
      <c r="AL344" s="165">
        <f t="shared" si="338"/>
        <v>0.11027194819194906</v>
      </c>
      <c r="AM344" s="165">
        <f t="shared" si="338"/>
        <v>0.11027194819194906</v>
      </c>
      <c r="AN344" s="165">
        <f t="shared" si="338"/>
        <v>0.11027194819194906</v>
      </c>
      <c r="AO344" s="165">
        <f t="shared" si="338"/>
        <v>0.11027194819194906</v>
      </c>
      <c r="AP344" s="165">
        <f t="shared" si="338"/>
        <v>0.11027194819194906</v>
      </c>
      <c r="AQ344" s="165">
        <f t="shared" si="338"/>
        <v>0.11027194819194906</v>
      </c>
      <c r="AR344" s="165">
        <f t="shared" si="338"/>
        <v>0.11027194819194906</v>
      </c>
      <c r="AS344" s="157">
        <f t="shared" ref="AS344:BV344" si="339">AR344</f>
        <v>0.11027194819194906</v>
      </c>
      <c r="AT344" s="157">
        <f t="shared" si="339"/>
        <v>0.11027194819194906</v>
      </c>
      <c r="AU344" s="157">
        <f t="shared" si="339"/>
        <v>0.11027194819194906</v>
      </c>
      <c r="AV344" s="157">
        <f t="shared" si="339"/>
        <v>0.11027194819194906</v>
      </c>
      <c r="AW344" s="157">
        <f t="shared" si="339"/>
        <v>0.11027194819194906</v>
      </c>
      <c r="AX344" s="157">
        <f t="shared" si="339"/>
        <v>0.11027194819194906</v>
      </c>
      <c r="AY344" s="157">
        <f t="shared" si="339"/>
        <v>0.11027194819194906</v>
      </c>
      <c r="AZ344" s="157">
        <f t="shared" si="339"/>
        <v>0.11027194819194906</v>
      </c>
      <c r="BA344" s="157">
        <f t="shared" si="339"/>
        <v>0.11027194819194906</v>
      </c>
      <c r="BB344" s="157">
        <f t="shared" si="339"/>
        <v>0.11027194819194906</v>
      </c>
      <c r="BC344" s="157">
        <f t="shared" si="339"/>
        <v>0.11027194819194906</v>
      </c>
      <c r="BD344" s="157">
        <f t="shared" si="339"/>
        <v>0.11027194819194906</v>
      </c>
      <c r="BE344" s="157">
        <f t="shared" si="339"/>
        <v>0.11027194819194906</v>
      </c>
      <c r="BF344" s="157">
        <f t="shared" si="339"/>
        <v>0.11027194819194906</v>
      </c>
      <c r="BG344" s="157">
        <f t="shared" si="339"/>
        <v>0.11027194819194906</v>
      </c>
      <c r="BH344" s="157">
        <f t="shared" si="339"/>
        <v>0.11027194819194906</v>
      </c>
      <c r="BI344" s="157">
        <f t="shared" si="339"/>
        <v>0.11027194819194906</v>
      </c>
      <c r="BJ344" s="157">
        <f t="shared" si="339"/>
        <v>0.11027194819194906</v>
      </c>
      <c r="BK344" s="157">
        <f t="shared" si="339"/>
        <v>0.11027194819194906</v>
      </c>
      <c r="BL344" s="157">
        <f t="shared" si="339"/>
        <v>0.11027194819194906</v>
      </c>
      <c r="BM344" s="157">
        <f t="shared" si="339"/>
        <v>0.11027194819194906</v>
      </c>
      <c r="BN344" s="157">
        <f t="shared" si="339"/>
        <v>0.11027194819194906</v>
      </c>
      <c r="BO344" s="157">
        <f t="shared" si="339"/>
        <v>0.11027194819194906</v>
      </c>
      <c r="BP344" s="157">
        <f t="shared" si="339"/>
        <v>0.11027194819194906</v>
      </c>
      <c r="BQ344" s="157">
        <f t="shared" si="339"/>
        <v>0.11027194819194906</v>
      </c>
      <c r="BR344" s="157">
        <f t="shared" si="339"/>
        <v>0.11027194819194906</v>
      </c>
      <c r="BS344" s="157">
        <f t="shared" si="339"/>
        <v>0.11027194819194906</v>
      </c>
      <c r="BT344" s="157">
        <f t="shared" si="339"/>
        <v>0.11027194819194906</v>
      </c>
      <c r="BU344" s="157">
        <f t="shared" si="339"/>
        <v>0.11027194819194906</v>
      </c>
      <c r="BV344" s="157">
        <f t="shared" si="339"/>
        <v>0.11027194819194906</v>
      </c>
    </row>
    <row r="345" spans="1:74" x14ac:dyDescent="0.25">
      <c r="A345" s="149" t="s">
        <v>215</v>
      </c>
      <c r="B345" s="150"/>
      <c r="C345" s="150"/>
      <c r="D345" s="165">
        <f t="shared" ref="D345:AR345" si="340">D174+D281+D313</f>
        <v>8.4891747833875181E-2</v>
      </c>
      <c r="E345" s="165">
        <f t="shared" si="340"/>
        <v>8.4986910101050653E-2</v>
      </c>
      <c r="F345" s="165">
        <f t="shared" si="340"/>
        <v>8.508207236845225E-2</v>
      </c>
      <c r="G345" s="165">
        <f t="shared" si="340"/>
        <v>8.5177234636079999E-2</v>
      </c>
      <c r="H345" s="165">
        <f t="shared" si="340"/>
        <v>8.5272992677319984E-2</v>
      </c>
      <c r="I345" s="165">
        <f t="shared" si="340"/>
        <v>8.5366963398626955E-2</v>
      </c>
      <c r="J345" s="165">
        <f t="shared" si="340"/>
        <v>8.4361310558826064E-2</v>
      </c>
      <c r="K345" s="165">
        <f t="shared" si="340"/>
        <v>8.4679460810668905E-2</v>
      </c>
      <c r="L345" s="165">
        <f t="shared" si="340"/>
        <v>8.1189242893495411E-2</v>
      </c>
      <c r="M345" s="165">
        <f t="shared" si="340"/>
        <v>8.17104833445009E-2</v>
      </c>
      <c r="N345" s="165">
        <f t="shared" si="340"/>
        <v>8.029027777142414E-2</v>
      </c>
      <c r="O345" s="165">
        <f t="shared" si="340"/>
        <v>8.2348901695247723E-2</v>
      </c>
      <c r="P345" s="165">
        <f t="shared" si="340"/>
        <v>8.3356525344359181E-2</v>
      </c>
      <c r="Q345" s="165">
        <f t="shared" si="340"/>
        <v>8.3881252551208013E-2</v>
      </c>
      <c r="R345" s="165">
        <f t="shared" si="340"/>
        <v>8.3402953332796667E-2</v>
      </c>
      <c r="S345" s="165">
        <f t="shared" si="340"/>
        <v>8.3532770718151211E-2</v>
      </c>
      <c r="T345" s="165">
        <f t="shared" si="340"/>
        <v>8.3623049784786518E-2</v>
      </c>
      <c r="U345" s="165">
        <f t="shared" si="340"/>
        <v>8.3607283502650107E-2</v>
      </c>
      <c r="V345" s="165">
        <f t="shared" si="340"/>
        <v>8.3641398931932412E-2</v>
      </c>
      <c r="W345" s="165">
        <f t="shared" si="340"/>
        <v>8.3610701394064971E-2</v>
      </c>
      <c r="X345" s="165">
        <f t="shared" si="340"/>
        <v>8.373773318329758E-2</v>
      </c>
      <c r="Y345" s="165">
        <f t="shared" si="340"/>
        <v>8.3539544081031619E-2</v>
      </c>
      <c r="Z345" s="165">
        <f t="shared" si="340"/>
        <v>8.350800379341089E-2</v>
      </c>
      <c r="AA345" s="165">
        <f t="shared" si="340"/>
        <v>8.4858180485292423E-2</v>
      </c>
      <c r="AB345" s="165">
        <f t="shared" si="340"/>
        <v>8.147256003314135E-2</v>
      </c>
      <c r="AC345" s="165">
        <f t="shared" si="340"/>
        <v>8.1906681195556455E-2</v>
      </c>
      <c r="AD345" s="165">
        <f t="shared" si="340"/>
        <v>8.1994383724488945E-2</v>
      </c>
      <c r="AE345" s="165">
        <f t="shared" si="340"/>
        <v>8.2425812397980497E-2</v>
      </c>
      <c r="AF345" s="165">
        <f t="shared" si="340"/>
        <v>8.2425812397980497E-2</v>
      </c>
      <c r="AG345" s="165">
        <f t="shared" si="340"/>
        <v>8.2425812397980497E-2</v>
      </c>
      <c r="AH345" s="165">
        <f t="shared" si="340"/>
        <v>8.2425812397980497E-2</v>
      </c>
      <c r="AI345" s="165">
        <f t="shared" si="340"/>
        <v>8.2425812397980497E-2</v>
      </c>
      <c r="AJ345" s="165">
        <f t="shared" si="340"/>
        <v>8.2425812397980497E-2</v>
      </c>
      <c r="AK345" s="165">
        <f t="shared" si="340"/>
        <v>8.2425812397980497E-2</v>
      </c>
      <c r="AL345" s="165">
        <f t="shared" si="340"/>
        <v>8.2425812397980497E-2</v>
      </c>
      <c r="AM345" s="165">
        <f t="shared" si="340"/>
        <v>8.2425812397980497E-2</v>
      </c>
      <c r="AN345" s="165">
        <f t="shared" si="340"/>
        <v>8.2425812397980497E-2</v>
      </c>
      <c r="AO345" s="165">
        <f t="shared" si="340"/>
        <v>8.2425812397980497E-2</v>
      </c>
      <c r="AP345" s="165">
        <f t="shared" si="340"/>
        <v>8.2425812397980497E-2</v>
      </c>
      <c r="AQ345" s="165">
        <f t="shared" si="340"/>
        <v>8.2425812397980497E-2</v>
      </c>
      <c r="AR345" s="165">
        <f t="shared" si="340"/>
        <v>8.2425812397980497E-2</v>
      </c>
      <c r="AS345" s="157">
        <f t="shared" ref="AS345:BV345" si="341">AR345</f>
        <v>8.2425812397980497E-2</v>
      </c>
      <c r="AT345" s="157">
        <f t="shared" si="341"/>
        <v>8.2425812397980497E-2</v>
      </c>
      <c r="AU345" s="157">
        <f t="shared" si="341"/>
        <v>8.2425812397980497E-2</v>
      </c>
      <c r="AV345" s="157">
        <f t="shared" si="341"/>
        <v>8.2425812397980497E-2</v>
      </c>
      <c r="AW345" s="157">
        <f t="shared" si="341"/>
        <v>8.2425812397980497E-2</v>
      </c>
      <c r="AX345" s="157">
        <f t="shared" si="341"/>
        <v>8.2425812397980497E-2</v>
      </c>
      <c r="AY345" s="157">
        <f t="shared" si="341"/>
        <v>8.2425812397980497E-2</v>
      </c>
      <c r="AZ345" s="157">
        <f t="shared" si="341"/>
        <v>8.2425812397980497E-2</v>
      </c>
      <c r="BA345" s="157">
        <f t="shared" si="341"/>
        <v>8.2425812397980497E-2</v>
      </c>
      <c r="BB345" s="157">
        <f t="shared" si="341"/>
        <v>8.2425812397980497E-2</v>
      </c>
      <c r="BC345" s="157">
        <f t="shared" si="341"/>
        <v>8.2425812397980497E-2</v>
      </c>
      <c r="BD345" s="157">
        <f t="shared" si="341"/>
        <v>8.2425812397980497E-2</v>
      </c>
      <c r="BE345" s="157">
        <f t="shared" si="341"/>
        <v>8.2425812397980497E-2</v>
      </c>
      <c r="BF345" s="157">
        <f t="shared" si="341"/>
        <v>8.2425812397980497E-2</v>
      </c>
      <c r="BG345" s="157">
        <f t="shared" si="341"/>
        <v>8.2425812397980497E-2</v>
      </c>
      <c r="BH345" s="157">
        <f t="shared" si="341"/>
        <v>8.2425812397980497E-2</v>
      </c>
      <c r="BI345" s="157">
        <f t="shared" si="341"/>
        <v>8.2425812397980497E-2</v>
      </c>
      <c r="BJ345" s="157">
        <f t="shared" si="341"/>
        <v>8.2425812397980497E-2</v>
      </c>
      <c r="BK345" s="157">
        <f t="shared" si="341"/>
        <v>8.2425812397980497E-2</v>
      </c>
      <c r="BL345" s="157">
        <f t="shared" si="341"/>
        <v>8.2425812397980497E-2</v>
      </c>
      <c r="BM345" s="157">
        <f t="shared" si="341"/>
        <v>8.2425812397980497E-2</v>
      </c>
      <c r="BN345" s="157">
        <f t="shared" si="341"/>
        <v>8.2425812397980497E-2</v>
      </c>
      <c r="BO345" s="157">
        <f t="shared" si="341"/>
        <v>8.2425812397980497E-2</v>
      </c>
      <c r="BP345" s="157">
        <f t="shared" si="341"/>
        <v>8.2425812397980497E-2</v>
      </c>
      <c r="BQ345" s="157">
        <f t="shared" si="341"/>
        <v>8.2425812397980497E-2</v>
      </c>
      <c r="BR345" s="157">
        <f t="shared" si="341"/>
        <v>8.2425812397980497E-2</v>
      </c>
      <c r="BS345" s="157">
        <f t="shared" si="341"/>
        <v>8.2425812397980497E-2</v>
      </c>
      <c r="BT345" s="157">
        <f t="shared" si="341"/>
        <v>8.2425812397980497E-2</v>
      </c>
      <c r="BU345" s="157">
        <f t="shared" si="341"/>
        <v>8.2425812397980497E-2</v>
      </c>
      <c r="BV345" s="157">
        <f t="shared" si="341"/>
        <v>8.2425812397980497E-2</v>
      </c>
    </row>
    <row r="346" spans="1:74" x14ac:dyDescent="0.25">
      <c r="A346" s="155" t="s">
        <v>217</v>
      </c>
      <c r="C346" s="150"/>
      <c r="D346" s="165">
        <f t="shared" ref="D346:AR346" si="342">D175+D282+D314</f>
        <v>3.7545405695862441E-2</v>
      </c>
      <c r="E346" s="165">
        <f t="shared" si="342"/>
        <v>3.7545405630124713E-2</v>
      </c>
      <c r="F346" s="165">
        <f t="shared" si="342"/>
        <v>3.7545405564386986E-2</v>
      </c>
      <c r="G346" s="165">
        <f t="shared" si="342"/>
        <v>3.7545405498649258E-2</v>
      </c>
      <c r="H346" s="165">
        <f t="shared" si="342"/>
        <v>3.7545405432911523E-2</v>
      </c>
      <c r="I346" s="165">
        <f t="shared" si="342"/>
        <v>3.7545405367173781E-2</v>
      </c>
      <c r="J346" s="165">
        <f t="shared" si="342"/>
        <v>3.7545405293620097E-2</v>
      </c>
      <c r="K346" s="165">
        <f t="shared" si="342"/>
        <v>3.7545405610680656E-2</v>
      </c>
      <c r="L346" s="165">
        <f t="shared" si="342"/>
        <v>3.6505747731799987E-2</v>
      </c>
      <c r="M346" s="165">
        <f t="shared" si="342"/>
        <v>3.6505746745873029E-2</v>
      </c>
      <c r="N346" s="165">
        <f t="shared" si="342"/>
        <v>3.6505747207201657E-2</v>
      </c>
      <c r="O346" s="165">
        <f t="shared" si="342"/>
        <v>3.6505747558521741E-2</v>
      </c>
      <c r="P346" s="165">
        <f t="shared" si="342"/>
        <v>3.6505747752478029E-2</v>
      </c>
      <c r="Q346" s="165">
        <f t="shared" si="342"/>
        <v>3.6505746605277056E-2</v>
      </c>
      <c r="R346" s="165">
        <f t="shared" si="342"/>
        <v>3.6505747023358778E-2</v>
      </c>
      <c r="S346" s="165">
        <f t="shared" si="342"/>
        <v>3.6505746607223576E-2</v>
      </c>
      <c r="T346" s="165">
        <f t="shared" si="342"/>
        <v>3.6505750162498851E-2</v>
      </c>
      <c r="U346" s="165">
        <f t="shared" si="342"/>
        <v>3.6505737951523051E-2</v>
      </c>
      <c r="V346" s="165">
        <f t="shared" si="342"/>
        <v>3.6505754598615069E-2</v>
      </c>
      <c r="W346" s="165">
        <f t="shared" si="342"/>
        <v>3.6505762246628624E-2</v>
      </c>
      <c r="X346" s="165">
        <f t="shared" si="342"/>
        <v>3.6505748841894226E-2</v>
      </c>
      <c r="Y346" s="165">
        <f t="shared" si="342"/>
        <v>3.6505749799234551E-2</v>
      </c>
      <c r="Z346" s="165">
        <f t="shared" si="342"/>
        <v>3.6505751849565934E-2</v>
      </c>
      <c r="AA346" s="165">
        <f t="shared" si="342"/>
        <v>3.6505738454943995E-2</v>
      </c>
      <c r="AB346" s="165">
        <f t="shared" si="342"/>
        <v>3.650574442067496E-2</v>
      </c>
      <c r="AC346" s="165">
        <f t="shared" si="342"/>
        <v>3.6505730925482198E-2</v>
      </c>
      <c r="AD346" s="165">
        <f t="shared" si="342"/>
        <v>3.6505760089915323E-2</v>
      </c>
      <c r="AE346" s="165">
        <f t="shared" si="342"/>
        <v>3.6505729376539835E-2</v>
      </c>
      <c r="AF346" s="165">
        <f t="shared" si="342"/>
        <v>3.6505729376539835E-2</v>
      </c>
      <c r="AG346" s="165">
        <f t="shared" si="342"/>
        <v>3.6505729376539835E-2</v>
      </c>
      <c r="AH346" s="165">
        <f t="shared" si="342"/>
        <v>3.6505729376539835E-2</v>
      </c>
      <c r="AI346" s="165">
        <f t="shared" si="342"/>
        <v>3.6505729376539835E-2</v>
      </c>
      <c r="AJ346" s="165">
        <f t="shared" si="342"/>
        <v>3.6505729376539835E-2</v>
      </c>
      <c r="AK346" s="165">
        <f t="shared" si="342"/>
        <v>3.6505729376539835E-2</v>
      </c>
      <c r="AL346" s="165">
        <f t="shared" si="342"/>
        <v>3.6505729376539835E-2</v>
      </c>
      <c r="AM346" s="165">
        <f t="shared" si="342"/>
        <v>3.6505729376539835E-2</v>
      </c>
      <c r="AN346" s="165">
        <f t="shared" si="342"/>
        <v>3.6505729376539835E-2</v>
      </c>
      <c r="AO346" s="165">
        <f t="shared" si="342"/>
        <v>3.6505729376539835E-2</v>
      </c>
      <c r="AP346" s="165">
        <f t="shared" si="342"/>
        <v>3.6505729376539835E-2</v>
      </c>
      <c r="AQ346" s="165">
        <f t="shared" si="342"/>
        <v>3.6505729376539835E-2</v>
      </c>
      <c r="AR346" s="165">
        <f t="shared" si="342"/>
        <v>3.6505729376539835E-2</v>
      </c>
      <c r="AS346" s="157">
        <f t="shared" ref="AS346:BV346" si="343">AR346</f>
        <v>3.6505729376539835E-2</v>
      </c>
      <c r="AT346" s="157">
        <f t="shared" si="343"/>
        <v>3.6505729376539835E-2</v>
      </c>
      <c r="AU346" s="157">
        <f t="shared" si="343"/>
        <v>3.6505729376539835E-2</v>
      </c>
      <c r="AV346" s="157">
        <f t="shared" si="343"/>
        <v>3.6505729376539835E-2</v>
      </c>
      <c r="AW346" s="157">
        <f t="shared" si="343"/>
        <v>3.6505729376539835E-2</v>
      </c>
      <c r="AX346" s="157">
        <f t="shared" si="343"/>
        <v>3.6505729376539835E-2</v>
      </c>
      <c r="AY346" s="157">
        <f t="shared" si="343"/>
        <v>3.6505729376539835E-2</v>
      </c>
      <c r="AZ346" s="157">
        <f t="shared" si="343"/>
        <v>3.6505729376539835E-2</v>
      </c>
      <c r="BA346" s="157">
        <f t="shared" si="343"/>
        <v>3.6505729376539835E-2</v>
      </c>
      <c r="BB346" s="157">
        <f t="shared" si="343"/>
        <v>3.6505729376539835E-2</v>
      </c>
      <c r="BC346" s="157">
        <f t="shared" si="343"/>
        <v>3.6505729376539835E-2</v>
      </c>
      <c r="BD346" s="157">
        <f t="shared" si="343"/>
        <v>3.6505729376539835E-2</v>
      </c>
      <c r="BE346" s="157">
        <f t="shared" si="343"/>
        <v>3.6505729376539835E-2</v>
      </c>
      <c r="BF346" s="157">
        <f t="shared" si="343"/>
        <v>3.6505729376539835E-2</v>
      </c>
      <c r="BG346" s="157">
        <f t="shared" si="343"/>
        <v>3.6505729376539835E-2</v>
      </c>
      <c r="BH346" s="157">
        <f t="shared" si="343"/>
        <v>3.6505729376539835E-2</v>
      </c>
      <c r="BI346" s="157">
        <f t="shared" si="343"/>
        <v>3.6505729376539835E-2</v>
      </c>
      <c r="BJ346" s="157">
        <f t="shared" si="343"/>
        <v>3.6505729376539835E-2</v>
      </c>
      <c r="BK346" s="157">
        <f t="shared" si="343"/>
        <v>3.6505729376539835E-2</v>
      </c>
      <c r="BL346" s="157">
        <f t="shared" si="343"/>
        <v>3.6505729376539835E-2</v>
      </c>
      <c r="BM346" s="157">
        <f t="shared" si="343"/>
        <v>3.6505729376539835E-2</v>
      </c>
      <c r="BN346" s="157">
        <f t="shared" si="343"/>
        <v>3.6505729376539835E-2</v>
      </c>
      <c r="BO346" s="157">
        <f t="shared" si="343"/>
        <v>3.6505729376539835E-2</v>
      </c>
      <c r="BP346" s="157">
        <f t="shared" si="343"/>
        <v>3.6505729376539835E-2</v>
      </c>
      <c r="BQ346" s="157">
        <f t="shared" si="343"/>
        <v>3.6505729376539835E-2</v>
      </c>
      <c r="BR346" s="157">
        <f t="shared" si="343"/>
        <v>3.6505729376539835E-2</v>
      </c>
      <c r="BS346" s="157">
        <f t="shared" si="343"/>
        <v>3.6505729376539835E-2</v>
      </c>
      <c r="BT346" s="157">
        <f t="shared" si="343"/>
        <v>3.6505729376539835E-2</v>
      </c>
      <c r="BU346" s="157">
        <f t="shared" si="343"/>
        <v>3.6505729376539835E-2</v>
      </c>
      <c r="BV346" s="157">
        <f t="shared" si="343"/>
        <v>3.6505729376539835E-2</v>
      </c>
    </row>
    <row r="347" spans="1:74" x14ac:dyDescent="0.25">
      <c r="A347" s="155" t="s">
        <v>12</v>
      </c>
      <c r="C347" s="150"/>
      <c r="D347" s="165">
        <f t="shared" ref="D347:AR347" si="344">D176+D283+D315</f>
        <v>7.2381743116112798E-2</v>
      </c>
      <c r="E347" s="165">
        <f t="shared" si="344"/>
        <v>7.2381743116112798E-2</v>
      </c>
      <c r="F347" s="165">
        <f t="shared" si="344"/>
        <v>7.2381743116112798E-2</v>
      </c>
      <c r="G347" s="165">
        <f t="shared" si="344"/>
        <v>7.2381743116112798E-2</v>
      </c>
      <c r="H347" s="165">
        <f t="shared" si="344"/>
        <v>7.2381743116112798E-2</v>
      </c>
      <c r="I347" s="165">
        <f t="shared" si="344"/>
        <v>7.2381743116112798E-2</v>
      </c>
      <c r="J347" s="165">
        <f t="shared" si="344"/>
        <v>7.2381797112151786E-2</v>
      </c>
      <c r="K347" s="165">
        <f t="shared" si="344"/>
        <v>7.2381693467432118E-2</v>
      </c>
      <c r="L347" s="165">
        <f t="shared" si="344"/>
        <v>7.2381645500750116E-2</v>
      </c>
      <c r="M347" s="165">
        <f t="shared" si="344"/>
        <v>7.2381614516281598E-2</v>
      </c>
      <c r="N347" s="165">
        <f t="shared" si="344"/>
        <v>7.2381835498524019E-2</v>
      </c>
      <c r="O347" s="165">
        <f t="shared" si="344"/>
        <v>7.2381573446919506E-2</v>
      </c>
      <c r="P347" s="165">
        <f t="shared" si="344"/>
        <v>7.3099927947076329E-2</v>
      </c>
      <c r="Q347" s="165">
        <f t="shared" si="344"/>
        <v>7.3099806381166255E-2</v>
      </c>
      <c r="R347" s="165">
        <f t="shared" si="344"/>
        <v>7.3099846395962634E-2</v>
      </c>
      <c r="S347" s="165">
        <f t="shared" si="344"/>
        <v>7.3099983625557974E-2</v>
      </c>
      <c r="T347" s="165">
        <f t="shared" si="344"/>
        <v>7.3099838249902224E-2</v>
      </c>
      <c r="U347" s="165">
        <f t="shared" si="344"/>
        <v>7.3099814311204145E-2</v>
      </c>
      <c r="V347" s="165">
        <f t="shared" si="344"/>
        <v>7.3099956350312814E-2</v>
      </c>
      <c r="W347" s="165">
        <f t="shared" si="344"/>
        <v>7.3099891660991415E-2</v>
      </c>
      <c r="X347" s="165">
        <f t="shared" si="344"/>
        <v>7.3099944752711074E-2</v>
      </c>
      <c r="Y347" s="165">
        <f t="shared" si="344"/>
        <v>7.3099767923349046E-2</v>
      </c>
      <c r="Z347" s="165">
        <f t="shared" si="344"/>
        <v>7.309974431484248E-2</v>
      </c>
      <c r="AA347" s="165">
        <f t="shared" si="344"/>
        <v>7.3099915026604068E-2</v>
      </c>
      <c r="AB347" s="165">
        <f t="shared" si="344"/>
        <v>7.3099740910526914E-2</v>
      </c>
      <c r="AC347" s="165">
        <f t="shared" si="344"/>
        <v>7.3099970393495375E-2</v>
      </c>
      <c r="AD347" s="165">
        <f t="shared" si="344"/>
        <v>7.3099899753755054E-2</v>
      </c>
      <c r="AE347" s="165">
        <f t="shared" si="344"/>
        <v>7.3099878977557126E-2</v>
      </c>
      <c r="AF347" s="165">
        <f t="shared" si="344"/>
        <v>7.3099878977557126E-2</v>
      </c>
      <c r="AG347" s="165">
        <f t="shared" si="344"/>
        <v>7.3099878977557126E-2</v>
      </c>
      <c r="AH347" s="165">
        <f t="shared" si="344"/>
        <v>7.3099878977557126E-2</v>
      </c>
      <c r="AI347" s="165">
        <f t="shared" si="344"/>
        <v>7.3099878977557126E-2</v>
      </c>
      <c r="AJ347" s="165">
        <f t="shared" si="344"/>
        <v>7.3099878977557126E-2</v>
      </c>
      <c r="AK347" s="165">
        <f t="shared" si="344"/>
        <v>7.3099878977557126E-2</v>
      </c>
      <c r="AL347" s="165">
        <f t="shared" si="344"/>
        <v>7.3099878977557126E-2</v>
      </c>
      <c r="AM347" s="165">
        <f t="shared" si="344"/>
        <v>7.3099878977557126E-2</v>
      </c>
      <c r="AN347" s="165">
        <f t="shared" si="344"/>
        <v>7.3099878977557126E-2</v>
      </c>
      <c r="AO347" s="165">
        <f t="shared" si="344"/>
        <v>7.3099878977557126E-2</v>
      </c>
      <c r="AP347" s="165">
        <f t="shared" si="344"/>
        <v>7.3099878977557126E-2</v>
      </c>
      <c r="AQ347" s="165">
        <f t="shared" si="344"/>
        <v>7.3099878977557126E-2</v>
      </c>
      <c r="AR347" s="165">
        <f t="shared" si="344"/>
        <v>7.3099878977557126E-2</v>
      </c>
      <c r="AS347" s="157">
        <f t="shared" ref="AS347:BV347" si="345">AR347</f>
        <v>7.3099878977557126E-2</v>
      </c>
      <c r="AT347" s="157">
        <f t="shared" si="345"/>
        <v>7.3099878977557126E-2</v>
      </c>
      <c r="AU347" s="157">
        <f t="shared" si="345"/>
        <v>7.3099878977557126E-2</v>
      </c>
      <c r="AV347" s="157">
        <f t="shared" si="345"/>
        <v>7.3099878977557126E-2</v>
      </c>
      <c r="AW347" s="157">
        <f t="shared" si="345"/>
        <v>7.3099878977557126E-2</v>
      </c>
      <c r="AX347" s="157">
        <f t="shared" si="345"/>
        <v>7.3099878977557126E-2</v>
      </c>
      <c r="AY347" s="157">
        <f t="shared" si="345"/>
        <v>7.3099878977557126E-2</v>
      </c>
      <c r="AZ347" s="157">
        <f t="shared" si="345"/>
        <v>7.3099878977557126E-2</v>
      </c>
      <c r="BA347" s="157">
        <f t="shared" si="345"/>
        <v>7.3099878977557126E-2</v>
      </c>
      <c r="BB347" s="157">
        <f t="shared" si="345"/>
        <v>7.3099878977557126E-2</v>
      </c>
      <c r="BC347" s="157">
        <f t="shared" si="345"/>
        <v>7.3099878977557126E-2</v>
      </c>
      <c r="BD347" s="157">
        <f t="shared" si="345"/>
        <v>7.3099878977557126E-2</v>
      </c>
      <c r="BE347" s="157">
        <f t="shared" si="345"/>
        <v>7.3099878977557126E-2</v>
      </c>
      <c r="BF347" s="157">
        <f t="shared" si="345"/>
        <v>7.3099878977557126E-2</v>
      </c>
      <c r="BG347" s="157">
        <f t="shared" si="345"/>
        <v>7.3099878977557126E-2</v>
      </c>
      <c r="BH347" s="157">
        <f t="shared" si="345"/>
        <v>7.3099878977557126E-2</v>
      </c>
      <c r="BI347" s="157">
        <f t="shared" si="345"/>
        <v>7.3099878977557126E-2</v>
      </c>
      <c r="BJ347" s="157">
        <f t="shared" si="345"/>
        <v>7.3099878977557126E-2</v>
      </c>
      <c r="BK347" s="157">
        <f t="shared" si="345"/>
        <v>7.3099878977557126E-2</v>
      </c>
      <c r="BL347" s="157">
        <f t="shared" si="345"/>
        <v>7.3099878977557126E-2</v>
      </c>
      <c r="BM347" s="157">
        <f t="shared" si="345"/>
        <v>7.3099878977557126E-2</v>
      </c>
      <c r="BN347" s="157">
        <f t="shared" si="345"/>
        <v>7.3099878977557126E-2</v>
      </c>
      <c r="BO347" s="157">
        <f t="shared" si="345"/>
        <v>7.3099878977557126E-2</v>
      </c>
      <c r="BP347" s="157">
        <f t="shared" si="345"/>
        <v>7.3099878977557126E-2</v>
      </c>
      <c r="BQ347" s="157">
        <f t="shared" si="345"/>
        <v>7.3099878977557126E-2</v>
      </c>
      <c r="BR347" s="157">
        <f t="shared" si="345"/>
        <v>7.3099878977557126E-2</v>
      </c>
      <c r="BS347" s="157">
        <f t="shared" si="345"/>
        <v>7.3099878977557126E-2</v>
      </c>
      <c r="BT347" s="157">
        <f t="shared" si="345"/>
        <v>7.3099878977557126E-2</v>
      </c>
      <c r="BU347" s="157">
        <f t="shared" si="345"/>
        <v>7.3099878977557126E-2</v>
      </c>
      <c r="BV347" s="157">
        <f t="shared" si="345"/>
        <v>7.3099878977557126E-2</v>
      </c>
    </row>
    <row r="348" spans="1:74" x14ac:dyDescent="0.25">
      <c r="A348" s="155" t="s">
        <v>2</v>
      </c>
      <c r="C348" s="150"/>
      <c r="D348" s="165">
        <f t="shared" ref="D348:AR348" si="346">D177+D284+D316</f>
        <v>0</v>
      </c>
      <c r="E348" s="165">
        <f t="shared" si="346"/>
        <v>0</v>
      </c>
      <c r="F348" s="165">
        <f t="shared" si="346"/>
        <v>0</v>
      </c>
      <c r="G348" s="165">
        <f t="shared" si="346"/>
        <v>0</v>
      </c>
      <c r="H348" s="165">
        <f t="shared" si="346"/>
        <v>0</v>
      </c>
      <c r="I348" s="165">
        <f t="shared" si="346"/>
        <v>0</v>
      </c>
      <c r="J348" s="165">
        <f t="shared" si="346"/>
        <v>0</v>
      </c>
      <c r="K348" s="165">
        <f t="shared" si="346"/>
        <v>0</v>
      </c>
      <c r="L348" s="165">
        <f t="shared" si="346"/>
        <v>0</v>
      </c>
      <c r="M348" s="165">
        <f t="shared" si="346"/>
        <v>0</v>
      </c>
      <c r="N348" s="165">
        <f t="shared" si="346"/>
        <v>0</v>
      </c>
      <c r="O348" s="165">
        <f t="shared" si="346"/>
        <v>0</v>
      </c>
      <c r="P348" s="165">
        <f t="shared" si="346"/>
        <v>0</v>
      </c>
      <c r="Q348" s="165">
        <f t="shared" si="346"/>
        <v>0</v>
      </c>
      <c r="R348" s="165">
        <f t="shared" si="346"/>
        <v>0</v>
      </c>
      <c r="S348" s="165">
        <f t="shared" si="346"/>
        <v>0</v>
      </c>
      <c r="T348" s="165">
        <f t="shared" si="346"/>
        <v>0</v>
      </c>
      <c r="U348" s="165">
        <f t="shared" si="346"/>
        <v>0</v>
      </c>
      <c r="V348" s="165">
        <f t="shared" si="346"/>
        <v>0</v>
      </c>
      <c r="W348" s="165">
        <f t="shared" si="346"/>
        <v>0</v>
      </c>
      <c r="X348" s="165">
        <f t="shared" si="346"/>
        <v>0</v>
      </c>
      <c r="Y348" s="165">
        <f t="shared" si="346"/>
        <v>0</v>
      </c>
      <c r="Z348" s="165">
        <f t="shared" si="346"/>
        <v>0</v>
      </c>
      <c r="AA348" s="165">
        <f t="shared" si="346"/>
        <v>0</v>
      </c>
      <c r="AB348" s="165">
        <f t="shared" si="346"/>
        <v>0</v>
      </c>
      <c r="AC348" s="165">
        <f t="shared" si="346"/>
        <v>0</v>
      </c>
      <c r="AD348" s="165">
        <f t="shared" si="346"/>
        <v>0</v>
      </c>
      <c r="AE348" s="165">
        <f t="shared" si="346"/>
        <v>0</v>
      </c>
      <c r="AF348" s="165">
        <f t="shared" si="346"/>
        <v>0</v>
      </c>
      <c r="AG348" s="165">
        <f t="shared" si="346"/>
        <v>0</v>
      </c>
      <c r="AH348" s="165">
        <f t="shared" si="346"/>
        <v>0</v>
      </c>
      <c r="AI348" s="165">
        <f t="shared" si="346"/>
        <v>0</v>
      </c>
      <c r="AJ348" s="165">
        <f t="shared" si="346"/>
        <v>0</v>
      </c>
      <c r="AK348" s="165">
        <f t="shared" si="346"/>
        <v>0</v>
      </c>
      <c r="AL348" s="165">
        <f t="shared" si="346"/>
        <v>0</v>
      </c>
      <c r="AM348" s="165">
        <f t="shared" si="346"/>
        <v>0</v>
      </c>
      <c r="AN348" s="165">
        <f t="shared" si="346"/>
        <v>0</v>
      </c>
      <c r="AO348" s="165">
        <f t="shared" si="346"/>
        <v>0</v>
      </c>
      <c r="AP348" s="165">
        <f t="shared" si="346"/>
        <v>0</v>
      </c>
      <c r="AQ348" s="165">
        <f t="shared" si="346"/>
        <v>0</v>
      </c>
      <c r="AR348" s="165">
        <f t="shared" si="346"/>
        <v>0</v>
      </c>
      <c r="AS348" s="157">
        <f t="shared" ref="AS348:BV348" si="347">AR348</f>
        <v>0</v>
      </c>
      <c r="AT348" s="157">
        <f t="shared" si="347"/>
        <v>0</v>
      </c>
      <c r="AU348" s="157">
        <f t="shared" si="347"/>
        <v>0</v>
      </c>
      <c r="AV348" s="157">
        <f t="shared" si="347"/>
        <v>0</v>
      </c>
      <c r="AW348" s="157">
        <f t="shared" si="347"/>
        <v>0</v>
      </c>
      <c r="AX348" s="157">
        <f t="shared" si="347"/>
        <v>0</v>
      </c>
      <c r="AY348" s="157">
        <f t="shared" si="347"/>
        <v>0</v>
      </c>
      <c r="AZ348" s="157">
        <f t="shared" si="347"/>
        <v>0</v>
      </c>
      <c r="BA348" s="157">
        <f t="shared" si="347"/>
        <v>0</v>
      </c>
      <c r="BB348" s="157">
        <f t="shared" si="347"/>
        <v>0</v>
      </c>
      <c r="BC348" s="157">
        <f t="shared" si="347"/>
        <v>0</v>
      </c>
      <c r="BD348" s="157">
        <f t="shared" si="347"/>
        <v>0</v>
      </c>
      <c r="BE348" s="157">
        <f t="shared" si="347"/>
        <v>0</v>
      </c>
      <c r="BF348" s="157">
        <f t="shared" si="347"/>
        <v>0</v>
      </c>
      <c r="BG348" s="157">
        <f t="shared" si="347"/>
        <v>0</v>
      </c>
      <c r="BH348" s="157">
        <f t="shared" si="347"/>
        <v>0</v>
      </c>
      <c r="BI348" s="157">
        <f t="shared" si="347"/>
        <v>0</v>
      </c>
      <c r="BJ348" s="157">
        <f t="shared" si="347"/>
        <v>0</v>
      </c>
      <c r="BK348" s="157">
        <f t="shared" si="347"/>
        <v>0</v>
      </c>
      <c r="BL348" s="157">
        <f t="shared" si="347"/>
        <v>0</v>
      </c>
      <c r="BM348" s="157">
        <f t="shared" si="347"/>
        <v>0</v>
      </c>
      <c r="BN348" s="157">
        <f t="shared" si="347"/>
        <v>0</v>
      </c>
      <c r="BO348" s="157">
        <f t="shared" si="347"/>
        <v>0</v>
      </c>
      <c r="BP348" s="157">
        <f t="shared" si="347"/>
        <v>0</v>
      </c>
      <c r="BQ348" s="157">
        <f t="shared" si="347"/>
        <v>0</v>
      </c>
      <c r="BR348" s="157">
        <f t="shared" si="347"/>
        <v>0</v>
      </c>
      <c r="BS348" s="157">
        <f t="shared" si="347"/>
        <v>0</v>
      </c>
      <c r="BT348" s="157">
        <f t="shared" si="347"/>
        <v>0</v>
      </c>
      <c r="BU348" s="157">
        <f t="shared" si="347"/>
        <v>0</v>
      </c>
      <c r="BV348" s="157">
        <f t="shared" si="347"/>
        <v>0</v>
      </c>
    </row>
    <row r="349" spans="1:74" x14ac:dyDescent="0.25">
      <c r="A349" s="149" t="s">
        <v>220</v>
      </c>
      <c r="B349" s="156"/>
      <c r="C349" s="150"/>
      <c r="D349" s="165">
        <f t="shared" ref="D349:AR349" si="348">D178+D285+D317</f>
        <v>7.13070336273713E-2</v>
      </c>
      <c r="E349" s="165">
        <f t="shared" si="348"/>
        <v>7.13070336273713E-2</v>
      </c>
      <c r="F349" s="165">
        <f t="shared" si="348"/>
        <v>7.13070336273713E-2</v>
      </c>
      <c r="G349" s="165">
        <f t="shared" si="348"/>
        <v>7.13070336273713E-2</v>
      </c>
      <c r="H349" s="165">
        <f t="shared" si="348"/>
        <v>7.13070336273713E-2</v>
      </c>
      <c r="I349" s="165">
        <f t="shared" si="348"/>
        <v>7.13070336273713E-2</v>
      </c>
      <c r="J349" s="165">
        <f t="shared" si="348"/>
        <v>7.13070336273713E-2</v>
      </c>
      <c r="K349" s="165">
        <f t="shared" si="348"/>
        <v>7.13070336273713E-2</v>
      </c>
      <c r="L349" s="165">
        <f t="shared" si="348"/>
        <v>7.13070336273713E-2</v>
      </c>
      <c r="M349" s="165">
        <f t="shared" si="348"/>
        <v>7.13070336273713E-2</v>
      </c>
      <c r="N349" s="165">
        <f t="shared" si="348"/>
        <v>7.13070336273713E-2</v>
      </c>
      <c r="O349" s="165">
        <f t="shared" si="348"/>
        <v>7.13070336273713E-2</v>
      </c>
      <c r="P349" s="165">
        <f t="shared" si="348"/>
        <v>7.13070336273713E-2</v>
      </c>
      <c r="Q349" s="165">
        <f t="shared" si="348"/>
        <v>7.13070336273713E-2</v>
      </c>
      <c r="R349" s="165">
        <f t="shared" si="348"/>
        <v>7.13070336273713E-2</v>
      </c>
      <c r="S349" s="165">
        <f t="shared" si="348"/>
        <v>7.13070336273713E-2</v>
      </c>
      <c r="T349" s="165">
        <f t="shared" si="348"/>
        <v>7.13070336273713E-2</v>
      </c>
      <c r="U349" s="165">
        <f t="shared" si="348"/>
        <v>7.13070336273713E-2</v>
      </c>
      <c r="V349" s="165">
        <f t="shared" si="348"/>
        <v>7.13070336273713E-2</v>
      </c>
      <c r="W349" s="165">
        <f t="shared" si="348"/>
        <v>7.13070336273713E-2</v>
      </c>
      <c r="X349" s="165">
        <f t="shared" si="348"/>
        <v>7.13070336273713E-2</v>
      </c>
      <c r="Y349" s="165">
        <f t="shared" si="348"/>
        <v>7.13070336273713E-2</v>
      </c>
      <c r="Z349" s="165">
        <f t="shared" si="348"/>
        <v>7.13070336273713E-2</v>
      </c>
      <c r="AA349" s="165">
        <f t="shared" si="348"/>
        <v>7.13070336273713E-2</v>
      </c>
      <c r="AB349" s="165">
        <f t="shared" si="348"/>
        <v>7.13070336273713E-2</v>
      </c>
      <c r="AC349" s="165">
        <f t="shared" si="348"/>
        <v>7.13070336273713E-2</v>
      </c>
      <c r="AD349" s="165">
        <f t="shared" si="348"/>
        <v>7.13070336273713E-2</v>
      </c>
      <c r="AE349" s="165">
        <f t="shared" si="348"/>
        <v>7.13070336273713E-2</v>
      </c>
      <c r="AF349" s="165">
        <f t="shared" si="348"/>
        <v>7.13070336273713E-2</v>
      </c>
      <c r="AG349" s="165">
        <f t="shared" si="348"/>
        <v>7.13070336273713E-2</v>
      </c>
      <c r="AH349" s="165">
        <f t="shared" si="348"/>
        <v>7.13070336273713E-2</v>
      </c>
      <c r="AI349" s="165">
        <f t="shared" si="348"/>
        <v>7.13070336273713E-2</v>
      </c>
      <c r="AJ349" s="165">
        <f t="shared" si="348"/>
        <v>7.13070336273713E-2</v>
      </c>
      <c r="AK349" s="165">
        <f t="shared" si="348"/>
        <v>7.13070336273713E-2</v>
      </c>
      <c r="AL349" s="165">
        <f t="shared" si="348"/>
        <v>7.13070336273713E-2</v>
      </c>
      <c r="AM349" s="165">
        <f t="shared" si="348"/>
        <v>7.13070336273713E-2</v>
      </c>
      <c r="AN349" s="165">
        <f t="shared" si="348"/>
        <v>7.13070336273713E-2</v>
      </c>
      <c r="AO349" s="165">
        <f t="shared" si="348"/>
        <v>7.13070336273713E-2</v>
      </c>
      <c r="AP349" s="165">
        <f t="shared" si="348"/>
        <v>7.13070336273713E-2</v>
      </c>
      <c r="AQ349" s="165">
        <f t="shared" si="348"/>
        <v>7.13070336273713E-2</v>
      </c>
      <c r="AR349" s="165">
        <f t="shared" si="348"/>
        <v>7.13070336273713E-2</v>
      </c>
      <c r="AS349" s="157">
        <f t="shared" ref="AS349:BV349" si="349">AR349</f>
        <v>7.13070336273713E-2</v>
      </c>
      <c r="AT349" s="157">
        <f t="shared" si="349"/>
        <v>7.13070336273713E-2</v>
      </c>
      <c r="AU349" s="157">
        <f t="shared" si="349"/>
        <v>7.13070336273713E-2</v>
      </c>
      <c r="AV349" s="157">
        <f t="shared" si="349"/>
        <v>7.13070336273713E-2</v>
      </c>
      <c r="AW349" s="157">
        <f t="shared" si="349"/>
        <v>7.13070336273713E-2</v>
      </c>
      <c r="AX349" s="157">
        <f t="shared" si="349"/>
        <v>7.13070336273713E-2</v>
      </c>
      <c r="AY349" s="157">
        <f t="shared" si="349"/>
        <v>7.13070336273713E-2</v>
      </c>
      <c r="AZ349" s="157">
        <f t="shared" si="349"/>
        <v>7.13070336273713E-2</v>
      </c>
      <c r="BA349" s="157">
        <f t="shared" si="349"/>
        <v>7.13070336273713E-2</v>
      </c>
      <c r="BB349" s="157">
        <f t="shared" si="349"/>
        <v>7.13070336273713E-2</v>
      </c>
      <c r="BC349" s="157">
        <f t="shared" si="349"/>
        <v>7.13070336273713E-2</v>
      </c>
      <c r="BD349" s="157">
        <f t="shared" si="349"/>
        <v>7.13070336273713E-2</v>
      </c>
      <c r="BE349" s="157">
        <f t="shared" si="349"/>
        <v>7.13070336273713E-2</v>
      </c>
      <c r="BF349" s="157">
        <f t="shared" si="349"/>
        <v>7.13070336273713E-2</v>
      </c>
      <c r="BG349" s="157">
        <f t="shared" si="349"/>
        <v>7.13070336273713E-2</v>
      </c>
      <c r="BH349" s="157">
        <f t="shared" si="349"/>
        <v>7.13070336273713E-2</v>
      </c>
      <c r="BI349" s="157">
        <f t="shared" si="349"/>
        <v>7.13070336273713E-2</v>
      </c>
      <c r="BJ349" s="157">
        <f t="shared" si="349"/>
        <v>7.13070336273713E-2</v>
      </c>
      <c r="BK349" s="157">
        <f t="shared" si="349"/>
        <v>7.13070336273713E-2</v>
      </c>
      <c r="BL349" s="157">
        <f t="shared" si="349"/>
        <v>7.13070336273713E-2</v>
      </c>
      <c r="BM349" s="157">
        <f t="shared" si="349"/>
        <v>7.13070336273713E-2</v>
      </c>
      <c r="BN349" s="157">
        <f t="shared" si="349"/>
        <v>7.13070336273713E-2</v>
      </c>
      <c r="BO349" s="157">
        <f t="shared" si="349"/>
        <v>7.13070336273713E-2</v>
      </c>
      <c r="BP349" s="157">
        <f t="shared" si="349"/>
        <v>7.13070336273713E-2</v>
      </c>
      <c r="BQ349" s="157">
        <f t="shared" si="349"/>
        <v>7.13070336273713E-2</v>
      </c>
      <c r="BR349" s="157">
        <f t="shared" si="349"/>
        <v>7.13070336273713E-2</v>
      </c>
      <c r="BS349" s="157">
        <f t="shared" si="349"/>
        <v>7.13070336273713E-2</v>
      </c>
      <c r="BT349" s="157">
        <f t="shared" si="349"/>
        <v>7.13070336273713E-2</v>
      </c>
      <c r="BU349" s="157">
        <f t="shared" si="349"/>
        <v>7.13070336273713E-2</v>
      </c>
      <c r="BV349" s="157">
        <f t="shared" si="349"/>
        <v>7.13070336273713E-2</v>
      </c>
    </row>
    <row r="350" spans="1:74" x14ac:dyDescent="0.25">
      <c r="A350" s="149" t="s">
        <v>221</v>
      </c>
      <c r="B350" s="156"/>
      <c r="C350" s="150"/>
      <c r="D350" s="165">
        <f t="shared" ref="D350:AR350" si="350">D179+D286+D318</f>
        <v>4.3382870772439977E-2</v>
      </c>
      <c r="E350" s="165">
        <f t="shared" si="350"/>
        <v>4.3565500710343957E-2</v>
      </c>
      <c r="F350" s="165">
        <f t="shared" si="350"/>
        <v>4.3748130648389408E-2</v>
      </c>
      <c r="G350" s="165">
        <f t="shared" si="350"/>
        <v>4.3930760586576342E-2</v>
      </c>
      <c r="H350" s="165">
        <f t="shared" si="350"/>
        <v>4.4113390524904754E-2</v>
      </c>
      <c r="I350" s="165">
        <f t="shared" si="350"/>
        <v>4.4296020463374629E-2</v>
      </c>
      <c r="J350" s="165">
        <f t="shared" si="350"/>
        <v>4.3299889498746261E-2</v>
      </c>
      <c r="K350" s="165">
        <f t="shared" si="350"/>
        <v>4.2774086874704187E-2</v>
      </c>
      <c r="L350" s="165">
        <f t="shared" si="350"/>
        <v>3.9585730597648118E-2</v>
      </c>
      <c r="M350" s="165">
        <f t="shared" si="350"/>
        <v>4.2529053868538398E-2</v>
      </c>
      <c r="N350" s="165">
        <f t="shared" si="350"/>
        <v>3.9720068966493466E-2</v>
      </c>
      <c r="O350" s="165">
        <f t="shared" si="350"/>
        <v>3.8820253578444555E-2</v>
      </c>
      <c r="P350" s="165">
        <f t="shared" si="350"/>
        <v>3.9155400276096639E-2</v>
      </c>
      <c r="Q350" s="165">
        <f t="shared" si="350"/>
        <v>3.9956671906995048E-2</v>
      </c>
      <c r="R350" s="165">
        <f t="shared" si="350"/>
        <v>4.0138702101787618E-2</v>
      </c>
      <c r="S350" s="165">
        <f t="shared" si="350"/>
        <v>4.0414734210349849E-2</v>
      </c>
      <c r="T350" s="165">
        <f t="shared" si="350"/>
        <v>4.1254995376714183E-2</v>
      </c>
      <c r="U350" s="165">
        <f t="shared" si="350"/>
        <v>4.1455777634972574E-2</v>
      </c>
      <c r="V350" s="165">
        <f t="shared" si="350"/>
        <v>4.0091880127959563E-2</v>
      </c>
      <c r="W350" s="165">
        <f t="shared" si="350"/>
        <v>4.0551459898583567E-2</v>
      </c>
      <c r="X350" s="165">
        <f t="shared" si="350"/>
        <v>4.3376118326634336E-2</v>
      </c>
      <c r="Y350" s="165">
        <f t="shared" si="350"/>
        <v>4.3246573245160486E-2</v>
      </c>
      <c r="Z350" s="165">
        <f t="shared" si="350"/>
        <v>4.8180542106403886E-2</v>
      </c>
      <c r="AA350" s="165">
        <f t="shared" si="350"/>
        <v>4.8849475803514231E-2</v>
      </c>
      <c r="AB350" s="165">
        <f t="shared" si="350"/>
        <v>4.8572170208526937E-2</v>
      </c>
      <c r="AC350" s="165">
        <f t="shared" si="350"/>
        <v>4.9199256263197343E-2</v>
      </c>
      <c r="AD350" s="165">
        <f t="shared" si="350"/>
        <v>4.9945898502875563E-2</v>
      </c>
      <c r="AE350" s="165">
        <f t="shared" si="350"/>
        <v>5.0590535585973311E-2</v>
      </c>
      <c r="AF350" s="165">
        <f t="shared" si="350"/>
        <v>5.0590535585973311E-2</v>
      </c>
      <c r="AG350" s="165">
        <f t="shared" si="350"/>
        <v>5.0590535585973311E-2</v>
      </c>
      <c r="AH350" s="165">
        <f t="shared" si="350"/>
        <v>5.0590535585973311E-2</v>
      </c>
      <c r="AI350" s="165">
        <f t="shared" si="350"/>
        <v>5.0590535585973311E-2</v>
      </c>
      <c r="AJ350" s="165">
        <f t="shared" si="350"/>
        <v>5.0590535585973311E-2</v>
      </c>
      <c r="AK350" s="165">
        <f t="shared" si="350"/>
        <v>5.0590535585973311E-2</v>
      </c>
      <c r="AL350" s="165">
        <f t="shared" si="350"/>
        <v>5.0590535585973311E-2</v>
      </c>
      <c r="AM350" s="165">
        <f t="shared" si="350"/>
        <v>5.0590535585973311E-2</v>
      </c>
      <c r="AN350" s="165">
        <f t="shared" si="350"/>
        <v>5.0590535585973311E-2</v>
      </c>
      <c r="AO350" s="165">
        <f t="shared" si="350"/>
        <v>5.0590535585973311E-2</v>
      </c>
      <c r="AP350" s="165">
        <f t="shared" si="350"/>
        <v>5.0590535585973311E-2</v>
      </c>
      <c r="AQ350" s="165">
        <f t="shared" si="350"/>
        <v>5.0590535585973311E-2</v>
      </c>
      <c r="AR350" s="165">
        <f t="shared" si="350"/>
        <v>5.0590535585973311E-2</v>
      </c>
      <c r="AS350" s="157">
        <f t="shared" ref="AS350:BV350" si="351">AR350</f>
        <v>5.0590535585973311E-2</v>
      </c>
      <c r="AT350" s="157">
        <f t="shared" si="351"/>
        <v>5.0590535585973311E-2</v>
      </c>
      <c r="AU350" s="157">
        <f t="shared" si="351"/>
        <v>5.0590535585973311E-2</v>
      </c>
      <c r="AV350" s="157">
        <f t="shared" si="351"/>
        <v>5.0590535585973311E-2</v>
      </c>
      <c r="AW350" s="157">
        <f t="shared" si="351"/>
        <v>5.0590535585973311E-2</v>
      </c>
      <c r="AX350" s="157">
        <f t="shared" si="351"/>
        <v>5.0590535585973311E-2</v>
      </c>
      <c r="AY350" s="157">
        <f t="shared" si="351"/>
        <v>5.0590535585973311E-2</v>
      </c>
      <c r="AZ350" s="157">
        <f t="shared" si="351"/>
        <v>5.0590535585973311E-2</v>
      </c>
      <c r="BA350" s="157">
        <f t="shared" si="351"/>
        <v>5.0590535585973311E-2</v>
      </c>
      <c r="BB350" s="157">
        <f t="shared" si="351"/>
        <v>5.0590535585973311E-2</v>
      </c>
      <c r="BC350" s="157">
        <f t="shared" si="351"/>
        <v>5.0590535585973311E-2</v>
      </c>
      <c r="BD350" s="157">
        <f t="shared" si="351"/>
        <v>5.0590535585973311E-2</v>
      </c>
      <c r="BE350" s="157">
        <f t="shared" si="351"/>
        <v>5.0590535585973311E-2</v>
      </c>
      <c r="BF350" s="157">
        <f t="shared" si="351"/>
        <v>5.0590535585973311E-2</v>
      </c>
      <c r="BG350" s="157">
        <f t="shared" si="351"/>
        <v>5.0590535585973311E-2</v>
      </c>
      <c r="BH350" s="157">
        <f t="shared" si="351"/>
        <v>5.0590535585973311E-2</v>
      </c>
      <c r="BI350" s="157">
        <f t="shared" si="351"/>
        <v>5.0590535585973311E-2</v>
      </c>
      <c r="BJ350" s="157">
        <f t="shared" si="351"/>
        <v>5.0590535585973311E-2</v>
      </c>
      <c r="BK350" s="157">
        <f t="shared" si="351"/>
        <v>5.0590535585973311E-2</v>
      </c>
      <c r="BL350" s="157">
        <f t="shared" si="351"/>
        <v>5.0590535585973311E-2</v>
      </c>
      <c r="BM350" s="157">
        <f t="shared" si="351"/>
        <v>5.0590535585973311E-2</v>
      </c>
      <c r="BN350" s="157">
        <f t="shared" si="351"/>
        <v>5.0590535585973311E-2</v>
      </c>
      <c r="BO350" s="157">
        <f t="shared" si="351"/>
        <v>5.0590535585973311E-2</v>
      </c>
      <c r="BP350" s="157">
        <f t="shared" si="351"/>
        <v>5.0590535585973311E-2</v>
      </c>
      <c r="BQ350" s="157">
        <f t="shared" si="351"/>
        <v>5.0590535585973311E-2</v>
      </c>
      <c r="BR350" s="157">
        <f t="shared" si="351"/>
        <v>5.0590535585973311E-2</v>
      </c>
      <c r="BS350" s="157">
        <f t="shared" si="351"/>
        <v>5.0590535585973311E-2</v>
      </c>
      <c r="BT350" s="157">
        <f t="shared" si="351"/>
        <v>5.0590535585973311E-2</v>
      </c>
      <c r="BU350" s="157">
        <f t="shared" si="351"/>
        <v>5.0590535585973311E-2</v>
      </c>
      <c r="BV350" s="157">
        <f t="shared" si="351"/>
        <v>5.0590535585973311E-2</v>
      </c>
    </row>
    <row r="351" spans="1:74" x14ac:dyDescent="0.25">
      <c r="A351" s="149" t="s">
        <v>223</v>
      </c>
      <c r="B351" s="156"/>
      <c r="C351" s="156"/>
      <c r="D351" s="165">
        <f t="shared" ref="D351:AR351" si="352">D180+D287+D319</f>
        <v>6.7054174524538962E-2</v>
      </c>
      <c r="E351" s="165">
        <f t="shared" si="352"/>
        <v>6.7054174524538962E-2</v>
      </c>
      <c r="F351" s="165">
        <f t="shared" si="352"/>
        <v>6.7054174524538962E-2</v>
      </c>
      <c r="G351" s="165">
        <f t="shared" si="352"/>
        <v>6.7054174524538962E-2</v>
      </c>
      <c r="H351" s="165">
        <f t="shared" si="352"/>
        <v>6.7054174524538962E-2</v>
      </c>
      <c r="I351" s="165">
        <f t="shared" si="352"/>
        <v>6.7054174524538962E-2</v>
      </c>
      <c r="J351" s="165">
        <f t="shared" si="352"/>
        <v>6.7054187316842942E-2</v>
      </c>
      <c r="K351" s="165">
        <f t="shared" si="352"/>
        <v>6.7054182482340227E-2</v>
      </c>
      <c r="L351" s="165">
        <f t="shared" si="352"/>
        <v>6.7054203914184804E-2</v>
      </c>
      <c r="M351" s="165">
        <f t="shared" si="352"/>
        <v>6.7054198662417519E-2</v>
      </c>
      <c r="N351" s="165">
        <f t="shared" si="352"/>
        <v>6.7054242808852554E-2</v>
      </c>
      <c r="O351" s="165">
        <f t="shared" si="352"/>
        <v>6.7054333035975369E-2</v>
      </c>
      <c r="P351" s="165">
        <f t="shared" si="352"/>
        <v>6.6402953316020974E-2</v>
      </c>
      <c r="Q351" s="165">
        <f t="shared" si="352"/>
        <v>6.6402809818285738E-2</v>
      </c>
      <c r="R351" s="165">
        <f t="shared" si="352"/>
        <v>6.6402857142857125E-2</v>
      </c>
      <c r="S351" s="165">
        <f t="shared" si="352"/>
        <v>6.6402880383880383E-2</v>
      </c>
      <c r="T351" s="165">
        <f t="shared" si="352"/>
        <v>6.6402857142857125E-2</v>
      </c>
      <c r="U351" s="165">
        <f t="shared" si="352"/>
        <v>6.6402857142857125E-2</v>
      </c>
      <c r="V351" s="165">
        <f t="shared" si="352"/>
        <v>6.6402834398896812E-2</v>
      </c>
      <c r="W351" s="165">
        <f t="shared" si="352"/>
        <v>6.6402902060154104E-2</v>
      </c>
      <c r="X351" s="165">
        <f t="shared" si="352"/>
        <v>6.6402813412115527E-2</v>
      </c>
      <c r="Y351" s="165">
        <f t="shared" si="352"/>
        <v>6.6402857142857125E-2</v>
      </c>
      <c r="Z351" s="165">
        <f t="shared" si="352"/>
        <v>6.6402901235469644E-2</v>
      </c>
      <c r="AA351" s="165">
        <f t="shared" si="352"/>
        <v>6.640287869797129E-2</v>
      </c>
      <c r="AB351" s="165">
        <f t="shared" si="352"/>
        <v>6.640289896882022E-2</v>
      </c>
      <c r="AC351" s="165">
        <f t="shared" si="352"/>
        <v>6.6402920477891869E-2</v>
      </c>
      <c r="AD351" s="165">
        <f t="shared" si="352"/>
        <v>6.6402836665844331E-2</v>
      </c>
      <c r="AE351" s="165">
        <f t="shared" si="352"/>
        <v>6.6402836530044362E-2</v>
      </c>
      <c r="AF351" s="165">
        <f t="shared" si="352"/>
        <v>6.6402836530044362E-2</v>
      </c>
      <c r="AG351" s="165">
        <f t="shared" si="352"/>
        <v>6.6402836530044362E-2</v>
      </c>
      <c r="AH351" s="165">
        <f t="shared" si="352"/>
        <v>6.6402836530044362E-2</v>
      </c>
      <c r="AI351" s="165">
        <f t="shared" si="352"/>
        <v>6.6402836530044362E-2</v>
      </c>
      <c r="AJ351" s="165">
        <f t="shared" si="352"/>
        <v>6.6402836530044362E-2</v>
      </c>
      <c r="AK351" s="165">
        <f t="shared" si="352"/>
        <v>6.6402836530044362E-2</v>
      </c>
      <c r="AL351" s="165">
        <f t="shared" si="352"/>
        <v>6.6402836530044362E-2</v>
      </c>
      <c r="AM351" s="165">
        <f t="shared" si="352"/>
        <v>6.6402836530044362E-2</v>
      </c>
      <c r="AN351" s="165">
        <f t="shared" si="352"/>
        <v>6.6402836530044362E-2</v>
      </c>
      <c r="AO351" s="165">
        <f t="shared" si="352"/>
        <v>6.6402836530044362E-2</v>
      </c>
      <c r="AP351" s="165">
        <f t="shared" si="352"/>
        <v>6.6402836530044362E-2</v>
      </c>
      <c r="AQ351" s="165">
        <f t="shared" si="352"/>
        <v>6.6402836530044362E-2</v>
      </c>
      <c r="AR351" s="165">
        <f t="shared" si="352"/>
        <v>6.6402836530044362E-2</v>
      </c>
      <c r="AS351" s="157">
        <f t="shared" ref="AS351:BV351" si="353">AR351</f>
        <v>6.6402836530044362E-2</v>
      </c>
      <c r="AT351" s="157">
        <f t="shared" si="353"/>
        <v>6.6402836530044362E-2</v>
      </c>
      <c r="AU351" s="157">
        <f t="shared" si="353"/>
        <v>6.6402836530044362E-2</v>
      </c>
      <c r="AV351" s="157">
        <f t="shared" si="353"/>
        <v>6.6402836530044362E-2</v>
      </c>
      <c r="AW351" s="157">
        <f t="shared" si="353"/>
        <v>6.6402836530044362E-2</v>
      </c>
      <c r="AX351" s="157">
        <f t="shared" si="353"/>
        <v>6.6402836530044362E-2</v>
      </c>
      <c r="AY351" s="157">
        <f t="shared" si="353"/>
        <v>6.6402836530044362E-2</v>
      </c>
      <c r="AZ351" s="157">
        <f t="shared" si="353"/>
        <v>6.6402836530044362E-2</v>
      </c>
      <c r="BA351" s="157">
        <f t="shared" si="353"/>
        <v>6.6402836530044362E-2</v>
      </c>
      <c r="BB351" s="157">
        <f t="shared" si="353"/>
        <v>6.6402836530044362E-2</v>
      </c>
      <c r="BC351" s="157">
        <f t="shared" si="353"/>
        <v>6.6402836530044362E-2</v>
      </c>
      <c r="BD351" s="157">
        <f t="shared" si="353"/>
        <v>6.6402836530044362E-2</v>
      </c>
      <c r="BE351" s="157">
        <f t="shared" si="353"/>
        <v>6.6402836530044362E-2</v>
      </c>
      <c r="BF351" s="157">
        <f t="shared" si="353"/>
        <v>6.6402836530044362E-2</v>
      </c>
      <c r="BG351" s="157">
        <f t="shared" si="353"/>
        <v>6.6402836530044362E-2</v>
      </c>
      <c r="BH351" s="157">
        <f t="shared" si="353"/>
        <v>6.6402836530044362E-2</v>
      </c>
      <c r="BI351" s="157">
        <f t="shared" si="353"/>
        <v>6.6402836530044362E-2</v>
      </c>
      <c r="BJ351" s="157">
        <f t="shared" si="353"/>
        <v>6.6402836530044362E-2</v>
      </c>
      <c r="BK351" s="157">
        <f t="shared" si="353"/>
        <v>6.6402836530044362E-2</v>
      </c>
      <c r="BL351" s="157">
        <f t="shared" si="353"/>
        <v>6.6402836530044362E-2</v>
      </c>
      <c r="BM351" s="157">
        <f t="shared" si="353"/>
        <v>6.6402836530044362E-2</v>
      </c>
      <c r="BN351" s="157">
        <f t="shared" si="353"/>
        <v>6.6402836530044362E-2</v>
      </c>
      <c r="BO351" s="157">
        <f t="shared" si="353"/>
        <v>6.6402836530044362E-2</v>
      </c>
      <c r="BP351" s="157">
        <f t="shared" si="353"/>
        <v>6.6402836530044362E-2</v>
      </c>
      <c r="BQ351" s="157">
        <f t="shared" si="353"/>
        <v>6.6402836530044362E-2</v>
      </c>
      <c r="BR351" s="157">
        <f t="shared" si="353"/>
        <v>6.6402836530044362E-2</v>
      </c>
      <c r="BS351" s="157">
        <f t="shared" si="353"/>
        <v>6.6402836530044362E-2</v>
      </c>
      <c r="BT351" s="157">
        <f t="shared" si="353"/>
        <v>6.6402836530044362E-2</v>
      </c>
      <c r="BU351" s="157">
        <f t="shared" si="353"/>
        <v>6.6402836530044362E-2</v>
      </c>
      <c r="BV351" s="157">
        <f t="shared" si="353"/>
        <v>6.6402836530044362E-2</v>
      </c>
    </row>
    <row r="352" spans="1:74" x14ac:dyDescent="0.25">
      <c r="A352" s="149" t="s">
        <v>279</v>
      </c>
      <c r="B352" s="150"/>
      <c r="C352" s="150"/>
      <c r="D352" s="165">
        <f t="shared" ref="D352:AR352" si="354">D181+D288+D320</f>
        <v>7.6115984071889783E-2</v>
      </c>
      <c r="E352" s="165">
        <f t="shared" si="354"/>
        <v>7.6115983977778995E-2</v>
      </c>
      <c r="F352" s="165">
        <f t="shared" si="354"/>
        <v>7.6115983883668192E-2</v>
      </c>
      <c r="G352" s="165">
        <f t="shared" si="354"/>
        <v>7.6115983789557404E-2</v>
      </c>
      <c r="H352" s="165">
        <f t="shared" si="354"/>
        <v>7.6115983695446615E-2</v>
      </c>
      <c r="I352" s="165">
        <f t="shared" si="354"/>
        <v>7.6115983601335813E-2</v>
      </c>
      <c r="J352" s="165">
        <f t="shared" si="354"/>
        <v>7.6115983432497453E-2</v>
      </c>
      <c r="K352" s="165">
        <f t="shared" si="354"/>
        <v>7.6115969792199811E-2</v>
      </c>
      <c r="L352" s="165">
        <f t="shared" si="354"/>
        <v>7.4736938315623863E-2</v>
      </c>
      <c r="M352" s="165">
        <f t="shared" si="354"/>
        <v>7.4736939336345898E-2</v>
      </c>
      <c r="N352" s="165">
        <f t="shared" si="354"/>
        <v>7.4736938222724106E-2</v>
      </c>
      <c r="O352" s="165">
        <f t="shared" si="354"/>
        <v>7.4736938763029642E-2</v>
      </c>
      <c r="P352" s="165">
        <f t="shared" si="354"/>
        <v>7.4736937917199611E-2</v>
      </c>
      <c r="Q352" s="165">
        <f t="shared" si="354"/>
        <v>7.4736940907044233E-2</v>
      </c>
      <c r="R352" s="165">
        <f t="shared" si="354"/>
        <v>7.4736938440376238E-2</v>
      </c>
      <c r="S352" s="165">
        <f t="shared" si="354"/>
        <v>7.4736950634502405E-2</v>
      </c>
      <c r="T352" s="165">
        <f t="shared" si="354"/>
        <v>7.4736953137184883E-2</v>
      </c>
      <c r="U352" s="165">
        <f t="shared" si="354"/>
        <v>7.4736927223807814E-2</v>
      </c>
      <c r="V352" s="165">
        <f t="shared" si="354"/>
        <v>7.4736934313792747E-2</v>
      </c>
      <c r="W352" s="165">
        <f t="shared" si="354"/>
        <v>7.4736930752052025E-2</v>
      </c>
      <c r="X352" s="165">
        <f t="shared" si="354"/>
        <v>7.4736948116868679E-2</v>
      </c>
      <c r="Y352" s="165">
        <f t="shared" si="354"/>
        <v>7.4736926962812797E-2</v>
      </c>
      <c r="Z352" s="165">
        <f t="shared" si="354"/>
        <v>7.473689419611991E-2</v>
      </c>
      <c r="AA352" s="165">
        <f t="shared" si="354"/>
        <v>7.4736931422404229E-2</v>
      </c>
      <c r="AB352" s="165">
        <f t="shared" si="354"/>
        <v>7.4736931422404229E-2</v>
      </c>
      <c r="AC352" s="165">
        <f t="shared" si="354"/>
        <v>7.4736931422404229E-2</v>
      </c>
      <c r="AD352" s="165">
        <f t="shared" si="354"/>
        <v>7.4736903435741339E-2</v>
      </c>
      <c r="AE352" s="165">
        <f t="shared" si="354"/>
        <v>7.4736903435741339E-2</v>
      </c>
      <c r="AF352" s="165">
        <f t="shared" si="354"/>
        <v>7.4736903435741339E-2</v>
      </c>
      <c r="AG352" s="165">
        <f t="shared" si="354"/>
        <v>7.4736903435741339E-2</v>
      </c>
      <c r="AH352" s="165">
        <f t="shared" si="354"/>
        <v>7.4736903435741339E-2</v>
      </c>
      <c r="AI352" s="165">
        <f t="shared" si="354"/>
        <v>7.4736903435741339E-2</v>
      </c>
      <c r="AJ352" s="165">
        <f t="shared" si="354"/>
        <v>7.4736903435741339E-2</v>
      </c>
      <c r="AK352" s="165">
        <f t="shared" si="354"/>
        <v>7.4736903435741339E-2</v>
      </c>
      <c r="AL352" s="165">
        <f t="shared" si="354"/>
        <v>7.4736903435741339E-2</v>
      </c>
      <c r="AM352" s="165">
        <f t="shared" si="354"/>
        <v>7.4736903435741339E-2</v>
      </c>
      <c r="AN352" s="165">
        <f t="shared" si="354"/>
        <v>7.4736903435741339E-2</v>
      </c>
      <c r="AO352" s="165">
        <f t="shared" si="354"/>
        <v>7.4736903435741339E-2</v>
      </c>
      <c r="AP352" s="165">
        <f t="shared" si="354"/>
        <v>7.4736903435741339E-2</v>
      </c>
      <c r="AQ352" s="165">
        <f t="shared" si="354"/>
        <v>7.4736903435741339E-2</v>
      </c>
      <c r="AR352" s="165">
        <f t="shared" si="354"/>
        <v>7.4736903435741339E-2</v>
      </c>
      <c r="AS352" s="157">
        <f t="shared" ref="AS352:BV352" si="355">AR352</f>
        <v>7.4736903435741339E-2</v>
      </c>
      <c r="AT352" s="157">
        <f t="shared" si="355"/>
        <v>7.4736903435741339E-2</v>
      </c>
      <c r="AU352" s="157">
        <f t="shared" si="355"/>
        <v>7.4736903435741339E-2</v>
      </c>
      <c r="AV352" s="157">
        <f t="shared" si="355"/>
        <v>7.4736903435741339E-2</v>
      </c>
      <c r="AW352" s="157">
        <f t="shared" si="355"/>
        <v>7.4736903435741339E-2</v>
      </c>
      <c r="AX352" s="157">
        <f t="shared" si="355"/>
        <v>7.4736903435741339E-2</v>
      </c>
      <c r="AY352" s="157">
        <f t="shared" si="355"/>
        <v>7.4736903435741339E-2</v>
      </c>
      <c r="AZ352" s="157">
        <f t="shared" si="355"/>
        <v>7.4736903435741339E-2</v>
      </c>
      <c r="BA352" s="157">
        <f t="shared" si="355"/>
        <v>7.4736903435741339E-2</v>
      </c>
      <c r="BB352" s="157">
        <f t="shared" si="355"/>
        <v>7.4736903435741339E-2</v>
      </c>
      <c r="BC352" s="157">
        <f t="shared" si="355"/>
        <v>7.4736903435741339E-2</v>
      </c>
      <c r="BD352" s="157">
        <f t="shared" si="355"/>
        <v>7.4736903435741339E-2</v>
      </c>
      <c r="BE352" s="157">
        <f t="shared" si="355"/>
        <v>7.4736903435741339E-2</v>
      </c>
      <c r="BF352" s="157">
        <f t="shared" si="355"/>
        <v>7.4736903435741339E-2</v>
      </c>
      <c r="BG352" s="157">
        <f t="shared" si="355"/>
        <v>7.4736903435741339E-2</v>
      </c>
      <c r="BH352" s="157">
        <f t="shared" si="355"/>
        <v>7.4736903435741339E-2</v>
      </c>
      <c r="BI352" s="157">
        <f t="shared" si="355"/>
        <v>7.4736903435741339E-2</v>
      </c>
      <c r="BJ352" s="157">
        <f t="shared" si="355"/>
        <v>7.4736903435741339E-2</v>
      </c>
      <c r="BK352" s="157">
        <f t="shared" si="355"/>
        <v>7.4736903435741339E-2</v>
      </c>
      <c r="BL352" s="157">
        <f t="shared" si="355"/>
        <v>7.4736903435741339E-2</v>
      </c>
      <c r="BM352" s="157">
        <f t="shared" si="355"/>
        <v>7.4736903435741339E-2</v>
      </c>
      <c r="BN352" s="157">
        <f t="shared" si="355"/>
        <v>7.4736903435741339E-2</v>
      </c>
      <c r="BO352" s="157">
        <f t="shared" si="355"/>
        <v>7.4736903435741339E-2</v>
      </c>
      <c r="BP352" s="157">
        <f t="shared" si="355"/>
        <v>7.4736903435741339E-2</v>
      </c>
      <c r="BQ352" s="157">
        <f t="shared" si="355"/>
        <v>7.4736903435741339E-2</v>
      </c>
      <c r="BR352" s="157">
        <f t="shared" si="355"/>
        <v>7.4736903435741339E-2</v>
      </c>
      <c r="BS352" s="157">
        <f t="shared" si="355"/>
        <v>7.4736903435741339E-2</v>
      </c>
      <c r="BT352" s="157">
        <f t="shared" si="355"/>
        <v>7.4736903435741339E-2</v>
      </c>
      <c r="BU352" s="157">
        <f t="shared" si="355"/>
        <v>7.4736903435741339E-2</v>
      </c>
      <c r="BV352" s="157">
        <f t="shared" si="355"/>
        <v>7.4736903435741339E-2</v>
      </c>
    </row>
    <row r="353" spans="1:74" x14ac:dyDescent="0.25">
      <c r="A353" s="149" t="s">
        <v>224</v>
      </c>
      <c r="B353" s="150"/>
      <c r="C353" s="150"/>
      <c r="D353" s="165">
        <f t="shared" ref="D353:AR353" si="356">D182+D289+D321</f>
        <v>6.6400802764891728E-2</v>
      </c>
      <c r="E353" s="165">
        <f t="shared" si="356"/>
        <v>6.64008041996519E-2</v>
      </c>
      <c r="F353" s="165">
        <f t="shared" si="356"/>
        <v>6.6400805634412155E-2</v>
      </c>
      <c r="G353" s="165">
        <f t="shared" si="356"/>
        <v>6.6400807069172493E-2</v>
      </c>
      <c r="H353" s="165">
        <f t="shared" si="356"/>
        <v>6.6400808503932859E-2</v>
      </c>
      <c r="I353" s="165">
        <f t="shared" si="356"/>
        <v>6.6400809938693281E-2</v>
      </c>
      <c r="J353" s="165">
        <f t="shared" si="356"/>
        <v>6.6400802078279503E-2</v>
      </c>
      <c r="K353" s="165">
        <f t="shared" si="356"/>
        <v>6.6400797056941838E-2</v>
      </c>
      <c r="L353" s="165">
        <f t="shared" si="356"/>
        <v>6.6400811759154077E-2</v>
      </c>
      <c r="M353" s="165">
        <f t="shared" si="356"/>
        <v>6.6400804214616735E-2</v>
      </c>
      <c r="N353" s="165">
        <f t="shared" si="356"/>
        <v>6.6400801020852454E-2</v>
      </c>
      <c r="O353" s="165">
        <f t="shared" si="356"/>
        <v>6.6400799812318695E-2</v>
      </c>
      <c r="P353" s="165">
        <f t="shared" si="356"/>
        <v>6.640080546443658E-2</v>
      </c>
      <c r="Q353" s="165">
        <f t="shared" si="356"/>
        <v>6.6400802763647238E-2</v>
      </c>
      <c r="R353" s="165">
        <f t="shared" si="356"/>
        <v>6.640079370504702E-2</v>
      </c>
      <c r="S353" s="165">
        <f t="shared" si="356"/>
        <v>6.6400781372645101E-2</v>
      </c>
      <c r="T353" s="165">
        <f t="shared" si="356"/>
        <v>6.6400864291940434E-2</v>
      </c>
      <c r="U353" s="165">
        <f t="shared" si="356"/>
        <v>6.6400841964282711E-2</v>
      </c>
      <c r="V353" s="165">
        <f t="shared" si="356"/>
        <v>6.6400778112980244E-2</v>
      </c>
      <c r="W353" s="165">
        <f t="shared" si="356"/>
        <v>6.6400825540792255E-2</v>
      </c>
      <c r="X353" s="165">
        <f t="shared" si="356"/>
        <v>6.6400799244417053E-2</v>
      </c>
      <c r="Y353" s="165">
        <f t="shared" si="356"/>
        <v>6.6400812417264671E-2</v>
      </c>
      <c r="Z353" s="165">
        <f t="shared" si="356"/>
        <v>6.6400758971169371E-2</v>
      </c>
      <c r="AA353" s="165">
        <f t="shared" si="356"/>
        <v>6.6400785899584022E-2</v>
      </c>
      <c r="AB353" s="165">
        <f t="shared" si="356"/>
        <v>6.6667488490522328E-2</v>
      </c>
      <c r="AC353" s="165">
        <f t="shared" si="356"/>
        <v>6.665634174401254E-2</v>
      </c>
      <c r="AD353" s="165">
        <f t="shared" si="356"/>
        <v>6.6783105996261125E-2</v>
      </c>
      <c r="AE353" s="165">
        <f t="shared" si="356"/>
        <v>6.6823572079232618E-2</v>
      </c>
      <c r="AF353" s="165">
        <f t="shared" si="356"/>
        <v>6.6823572079232618E-2</v>
      </c>
      <c r="AG353" s="165">
        <f t="shared" si="356"/>
        <v>6.6823572079232618E-2</v>
      </c>
      <c r="AH353" s="165">
        <f t="shared" si="356"/>
        <v>6.6823572079232618E-2</v>
      </c>
      <c r="AI353" s="165">
        <f t="shared" si="356"/>
        <v>6.6823572079232618E-2</v>
      </c>
      <c r="AJ353" s="165">
        <f t="shared" si="356"/>
        <v>6.6823572079232618E-2</v>
      </c>
      <c r="AK353" s="165">
        <f t="shared" si="356"/>
        <v>6.6823572079232618E-2</v>
      </c>
      <c r="AL353" s="165">
        <f t="shared" si="356"/>
        <v>6.6823572079232618E-2</v>
      </c>
      <c r="AM353" s="165">
        <f t="shared" si="356"/>
        <v>6.6823572079232618E-2</v>
      </c>
      <c r="AN353" s="165">
        <f t="shared" si="356"/>
        <v>6.6823572079232618E-2</v>
      </c>
      <c r="AO353" s="165">
        <f t="shared" si="356"/>
        <v>6.6823572079232618E-2</v>
      </c>
      <c r="AP353" s="165">
        <f t="shared" si="356"/>
        <v>6.6823572079232618E-2</v>
      </c>
      <c r="AQ353" s="165">
        <f t="shared" si="356"/>
        <v>6.6823572079232618E-2</v>
      </c>
      <c r="AR353" s="165">
        <f t="shared" si="356"/>
        <v>6.6823572079232618E-2</v>
      </c>
      <c r="AS353" s="157">
        <f t="shared" ref="AS353:BV353" si="357">AR353</f>
        <v>6.6823572079232618E-2</v>
      </c>
      <c r="AT353" s="157">
        <f t="shared" si="357"/>
        <v>6.6823572079232618E-2</v>
      </c>
      <c r="AU353" s="157">
        <f t="shared" si="357"/>
        <v>6.6823572079232618E-2</v>
      </c>
      <c r="AV353" s="157">
        <f t="shared" si="357"/>
        <v>6.6823572079232618E-2</v>
      </c>
      <c r="AW353" s="157">
        <f t="shared" si="357"/>
        <v>6.6823572079232618E-2</v>
      </c>
      <c r="AX353" s="157">
        <f t="shared" si="357"/>
        <v>6.6823572079232618E-2</v>
      </c>
      <c r="AY353" s="157">
        <f t="shared" si="357"/>
        <v>6.6823572079232618E-2</v>
      </c>
      <c r="AZ353" s="157">
        <f t="shared" si="357"/>
        <v>6.6823572079232618E-2</v>
      </c>
      <c r="BA353" s="157">
        <f t="shared" si="357"/>
        <v>6.6823572079232618E-2</v>
      </c>
      <c r="BB353" s="157">
        <f t="shared" si="357"/>
        <v>6.6823572079232618E-2</v>
      </c>
      <c r="BC353" s="157">
        <f t="shared" si="357"/>
        <v>6.6823572079232618E-2</v>
      </c>
      <c r="BD353" s="157">
        <f t="shared" si="357"/>
        <v>6.6823572079232618E-2</v>
      </c>
      <c r="BE353" s="157">
        <f t="shared" si="357"/>
        <v>6.6823572079232618E-2</v>
      </c>
      <c r="BF353" s="157">
        <f t="shared" si="357"/>
        <v>6.6823572079232618E-2</v>
      </c>
      <c r="BG353" s="157">
        <f t="shared" si="357"/>
        <v>6.6823572079232618E-2</v>
      </c>
      <c r="BH353" s="157">
        <f t="shared" si="357"/>
        <v>6.6823572079232618E-2</v>
      </c>
      <c r="BI353" s="157">
        <f t="shared" si="357"/>
        <v>6.6823572079232618E-2</v>
      </c>
      <c r="BJ353" s="157">
        <f t="shared" si="357"/>
        <v>6.6823572079232618E-2</v>
      </c>
      <c r="BK353" s="157">
        <f t="shared" si="357"/>
        <v>6.6823572079232618E-2</v>
      </c>
      <c r="BL353" s="157">
        <f t="shared" si="357"/>
        <v>6.6823572079232618E-2</v>
      </c>
      <c r="BM353" s="157">
        <f t="shared" si="357"/>
        <v>6.6823572079232618E-2</v>
      </c>
      <c r="BN353" s="157">
        <f t="shared" si="357"/>
        <v>6.6823572079232618E-2</v>
      </c>
      <c r="BO353" s="157">
        <f t="shared" si="357"/>
        <v>6.6823572079232618E-2</v>
      </c>
      <c r="BP353" s="157">
        <f t="shared" si="357"/>
        <v>6.6823572079232618E-2</v>
      </c>
      <c r="BQ353" s="157">
        <f t="shared" si="357"/>
        <v>6.6823572079232618E-2</v>
      </c>
      <c r="BR353" s="157">
        <f t="shared" si="357"/>
        <v>6.6823572079232618E-2</v>
      </c>
      <c r="BS353" s="157">
        <f t="shared" si="357"/>
        <v>6.6823572079232618E-2</v>
      </c>
      <c r="BT353" s="157">
        <f t="shared" si="357"/>
        <v>6.6823572079232618E-2</v>
      </c>
      <c r="BU353" s="157">
        <f t="shared" si="357"/>
        <v>6.6823572079232618E-2</v>
      </c>
      <c r="BV353" s="157">
        <f t="shared" si="357"/>
        <v>6.6823572079232618E-2</v>
      </c>
    </row>
    <row r="354" spans="1:74" x14ac:dyDescent="0.25">
      <c r="A354" s="155" t="s">
        <v>13</v>
      </c>
      <c r="C354" s="150"/>
      <c r="D354" s="165">
        <f t="shared" ref="D354:AR354" si="358">D183+D290+D322</f>
        <v>7.1390461602231836E-2</v>
      </c>
      <c r="E354" s="165">
        <f t="shared" si="358"/>
        <v>7.1390463144806432E-2</v>
      </c>
      <c r="F354" s="165">
        <f t="shared" si="358"/>
        <v>7.1390464687381111E-2</v>
      </c>
      <c r="G354" s="165">
        <f t="shared" si="358"/>
        <v>7.1390466229955873E-2</v>
      </c>
      <c r="H354" s="165">
        <f t="shared" si="358"/>
        <v>7.1390467772530664E-2</v>
      </c>
      <c r="I354" s="165">
        <f t="shared" si="358"/>
        <v>7.1390469315105523E-2</v>
      </c>
      <c r="J354" s="165">
        <f t="shared" si="358"/>
        <v>7.1390460864024452E-2</v>
      </c>
      <c r="K354" s="165">
        <f t="shared" si="358"/>
        <v>7.1390455465360589E-2</v>
      </c>
      <c r="L354" s="165">
        <f t="shared" si="358"/>
        <v>7.1390471272364031E-2</v>
      </c>
      <c r="M354" s="165">
        <f t="shared" si="358"/>
        <v>7.1390463160895798E-2</v>
      </c>
      <c r="N354" s="165">
        <f t="shared" si="358"/>
        <v>7.1390459727137506E-2</v>
      </c>
      <c r="O354" s="165">
        <f t="shared" si="358"/>
        <v>7.1390458427789016E-2</v>
      </c>
      <c r="P354" s="165">
        <f t="shared" si="358"/>
        <v>7.1390464504632795E-2</v>
      </c>
      <c r="Q354" s="165">
        <f t="shared" si="358"/>
        <v>7.1390461600893837E-2</v>
      </c>
      <c r="R354" s="165">
        <f t="shared" si="358"/>
        <v>7.1390451861589113E-2</v>
      </c>
      <c r="S354" s="165">
        <f t="shared" si="358"/>
        <v>7.1390438602474335E-2</v>
      </c>
      <c r="T354" s="165">
        <f t="shared" si="358"/>
        <v>7.1390527752703298E-2</v>
      </c>
      <c r="U354" s="165">
        <f t="shared" si="358"/>
        <v>7.1390503747243664E-2</v>
      </c>
      <c r="V354" s="165">
        <f t="shared" si="358"/>
        <v>7.1390435097863414E-2</v>
      </c>
      <c r="W354" s="165">
        <f t="shared" si="358"/>
        <v>7.1390486089617303E-2</v>
      </c>
      <c r="X354" s="165">
        <f t="shared" si="358"/>
        <v>7.1390457817212649E-2</v>
      </c>
      <c r="Y354" s="165">
        <f t="shared" si="358"/>
        <v>7.1390471979928066E-2</v>
      </c>
      <c r="Z354" s="165">
        <f t="shared" si="358"/>
        <v>7.1390414517649659E-2</v>
      </c>
      <c r="AA354" s="165">
        <f t="shared" si="358"/>
        <v>7.1390443469588075E-2</v>
      </c>
      <c r="AB354" s="165">
        <f t="shared" si="358"/>
        <v>7.1677187308288523E-2</v>
      </c>
      <c r="AC354" s="165">
        <f t="shared" si="358"/>
        <v>7.1665202944462172E-2</v>
      </c>
      <c r="AD354" s="165">
        <f t="shared" si="358"/>
        <v>7.1801492840154107E-2</v>
      </c>
      <c r="AE354" s="165">
        <f t="shared" si="358"/>
        <v>7.1844999728960829E-2</v>
      </c>
      <c r="AF354" s="165">
        <f t="shared" si="358"/>
        <v>7.1844999728960829E-2</v>
      </c>
      <c r="AG354" s="165">
        <f t="shared" si="358"/>
        <v>7.1844999728960829E-2</v>
      </c>
      <c r="AH354" s="165">
        <f t="shared" si="358"/>
        <v>7.1844999728960829E-2</v>
      </c>
      <c r="AI354" s="165">
        <f t="shared" si="358"/>
        <v>7.1844999728960829E-2</v>
      </c>
      <c r="AJ354" s="165">
        <f t="shared" si="358"/>
        <v>7.1844999728960829E-2</v>
      </c>
      <c r="AK354" s="165">
        <f t="shared" si="358"/>
        <v>7.1844999728960829E-2</v>
      </c>
      <c r="AL354" s="165">
        <f t="shared" si="358"/>
        <v>7.1844999728960829E-2</v>
      </c>
      <c r="AM354" s="165">
        <f t="shared" si="358"/>
        <v>7.1844999728960829E-2</v>
      </c>
      <c r="AN354" s="165">
        <f t="shared" si="358"/>
        <v>7.1844999728960829E-2</v>
      </c>
      <c r="AO354" s="165">
        <f t="shared" si="358"/>
        <v>7.1844999728960829E-2</v>
      </c>
      <c r="AP354" s="165">
        <f t="shared" si="358"/>
        <v>7.1844999728960829E-2</v>
      </c>
      <c r="AQ354" s="165">
        <f t="shared" si="358"/>
        <v>7.1844999728960829E-2</v>
      </c>
      <c r="AR354" s="165">
        <f t="shared" si="358"/>
        <v>7.1844999728960829E-2</v>
      </c>
      <c r="AS354" s="157">
        <f t="shared" ref="AS354:BV354" si="359">AR354</f>
        <v>7.1844999728960829E-2</v>
      </c>
      <c r="AT354" s="157">
        <f t="shared" si="359"/>
        <v>7.1844999728960829E-2</v>
      </c>
      <c r="AU354" s="157">
        <f t="shared" si="359"/>
        <v>7.1844999728960829E-2</v>
      </c>
      <c r="AV354" s="157">
        <f t="shared" si="359"/>
        <v>7.1844999728960829E-2</v>
      </c>
      <c r="AW354" s="157">
        <f t="shared" si="359"/>
        <v>7.1844999728960829E-2</v>
      </c>
      <c r="AX354" s="157">
        <f t="shared" si="359"/>
        <v>7.1844999728960829E-2</v>
      </c>
      <c r="AY354" s="157">
        <f t="shared" si="359"/>
        <v>7.1844999728960829E-2</v>
      </c>
      <c r="AZ354" s="157">
        <f t="shared" si="359"/>
        <v>7.1844999728960829E-2</v>
      </c>
      <c r="BA354" s="157">
        <f t="shared" si="359"/>
        <v>7.1844999728960829E-2</v>
      </c>
      <c r="BB354" s="157">
        <f t="shared" si="359"/>
        <v>7.1844999728960829E-2</v>
      </c>
      <c r="BC354" s="157">
        <f t="shared" si="359"/>
        <v>7.1844999728960829E-2</v>
      </c>
      <c r="BD354" s="157">
        <f t="shared" si="359"/>
        <v>7.1844999728960829E-2</v>
      </c>
      <c r="BE354" s="157">
        <f t="shared" si="359"/>
        <v>7.1844999728960829E-2</v>
      </c>
      <c r="BF354" s="157">
        <f t="shared" si="359"/>
        <v>7.1844999728960829E-2</v>
      </c>
      <c r="BG354" s="157">
        <f t="shared" si="359"/>
        <v>7.1844999728960829E-2</v>
      </c>
      <c r="BH354" s="157">
        <f t="shared" si="359"/>
        <v>7.1844999728960829E-2</v>
      </c>
      <c r="BI354" s="157">
        <f t="shared" si="359"/>
        <v>7.1844999728960829E-2</v>
      </c>
      <c r="BJ354" s="157">
        <f t="shared" si="359"/>
        <v>7.1844999728960829E-2</v>
      </c>
      <c r="BK354" s="157">
        <f t="shared" si="359"/>
        <v>7.1844999728960829E-2</v>
      </c>
      <c r="BL354" s="157">
        <f t="shared" si="359"/>
        <v>7.1844999728960829E-2</v>
      </c>
      <c r="BM354" s="157">
        <f t="shared" si="359"/>
        <v>7.1844999728960829E-2</v>
      </c>
      <c r="BN354" s="157">
        <f t="shared" si="359"/>
        <v>7.1844999728960829E-2</v>
      </c>
      <c r="BO354" s="157">
        <f t="shared" si="359"/>
        <v>7.1844999728960829E-2</v>
      </c>
      <c r="BP354" s="157">
        <f t="shared" si="359"/>
        <v>7.1844999728960829E-2</v>
      </c>
      <c r="BQ354" s="157">
        <f t="shared" si="359"/>
        <v>7.1844999728960829E-2</v>
      </c>
      <c r="BR354" s="157">
        <f t="shared" si="359"/>
        <v>7.1844999728960829E-2</v>
      </c>
      <c r="BS354" s="157">
        <f t="shared" si="359"/>
        <v>7.1844999728960829E-2</v>
      </c>
      <c r="BT354" s="157">
        <f t="shared" si="359"/>
        <v>7.1844999728960829E-2</v>
      </c>
      <c r="BU354" s="157">
        <f t="shared" si="359"/>
        <v>7.1844999728960829E-2</v>
      </c>
      <c r="BV354" s="157">
        <f t="shared" si="359"/>
        <v>7.1844999728960829E-2</v>
      </c>
    </row>
    <row r="355" spans="1:74" x14ac:dyDescent="0.25">
      <c r="A355" s="155" t="s">
        <v>227</v>
      </c>
      <c r="C355" s="150"/>
      <c r="D355" s="165">
        <f t="shared" ref="D355:AR355" si="360">D184+D291+D323</f>
        <v>5.751957896414342E-2</v>
      </c>
      <c r="E355" s="165">
        <f t="shared" si="360"/>
        <v>5.751957896414342E-2</v>
      </c>
      <c r="F355" s="165">
        <f t="shared" si="360"/>
        <v>5.751957896414342E-2</v>
      </c>
      <c r="G355" s="165">
        <f t="shared" si="360"/>
        <v>5.751957896414342E-2</v>
      </c>
      <c r="H355" s="165">
        <f t="shared" si="360"/>
        <v>5.751957896414342E-2</v>
      </c>
      <c r="I355" s="165">
        <f t="shared" si="360"/>
        <v>5.751957896414342E-2</v>
      </c>
      <c r="J355" s="165">
        <f t="shared" si="360"/>
        <v>5.751957896414342E-2</v>
      </c>
      <c r="K355" s="165">
        <f t="shared" si="360"/>
        <v>5.751957896414342E-2</v>
      </c>
      <c r="L355" s="165">
        <f t="shared" si="360"/>
        <v>5.751957896414342E-2</v>
      </c>
      <c r="M355" s="165">
        <f t="shared" si="360"/>
        <v>5.751957896414342E-2</v>
      </c>
      <c r="N355" s="165">
        <f t="shared" si="360"/>
        <v>5.751957896414342E-2</v>
      </c>
      <c r="O355" s="165">
        <f t="shared" si="360"/>
        <v>5.751957896414342E-2</v>
      </c>
      <c r="P355" s="165">
        <f t="shared" si="360"/>
        <v>5.751957896414342E-2</v>
      </c>
      <c r="Q355" s="165">
        <f t="shared" si="360"/>
        <v>5.762265820014488E-2</v>
      </c>
      <c r="R355" s="165">
        <f t="shared" si="360"/>
        <v>5.7623057120911474E-2</v>
      </c>
      <c r="S355" s="165">
        <f t="shared" si="360"/>
        <v>5.7623057120911474E-2</v>
      </c>
      <c r="T355" s="165">
        <f t="shared" si="360"/>
        <v>5.7623057120911474E-2</v>
      </c>
      <c r="U355" s="165">
        <f t="shared" si="360"/>
        <v>5.7623057120911474E-2</v>
      </c>
      <c r="V355" s="165">
        <f t="shared" si="360"/>
        <v>5.7623057120911474E-2</v>
      </c>
      <c r="W355" s="165">
        <f t="shared" si="360"/>
        <v>5.7623057120911474E-2</v>
      </c>
      <c r="X355" s="165">
        <f t="shared" si="360"/>
        <v>5.7623057120911474E-2</v>
      </c>
      <c r="Y355" s="165">
        <f t="shared" si="360"/>
        <v>5.7623057120911474E-2</v>
      </c>
      <c r="Z355" s="165">
        <f t="shared" si="360"/>
        <v>5.7623057120911474E-2</v>
      </c>
      <c r="AA355" s="165">
        <f t="shared" si="360"/>
        <v>5.7623057120911474E-2</v>
      </c>
      <c r="AB355" s="165">
        <f t="shared" si="360"/>
        <v>5.7623057120911474E-2</v>
      </c>
      <c r="AC355" s="165">
        <f t="shared" si="360"/>
        <v>5.7623057120911474E-2</v>
      </c>
      <c r="AD355" s="165">
        <f t="shared" si="360"/>
        <v>5.7623057120911474E-2</v>
      </c>
      <c r="AE355" s="165">
        <f t="shared" si="360"/>
        <v>5.7623057120911474E-2</v>
      </c>
      <c r="AF355" s="165">
        <f t="shared" si="360"/>
        <v>5.7623057120911474E-2</v>
      </c>
      <c r="AG355" s="165">
        <f t="shared" si="360"/>
        <v>5.7623057120911474E-2</v>
      </c>
      <c r="AH355" s="165">
        <f t="shared" si="360"/>
        <v>5.7623057120911474E-2</v>
      </c>
      <c r="AI355" s="165">
        <f t="shared" si="360"/>
        <v>5.7623057120911474E-2</v>
      </c>
      <c r="AJ355" s="165">
        <f t="shared" si="360"/>
        <v>5.7623057120911474E-2</v>
      </c>
      <c r="AK355" s="165">
        <f t="shared" si="360"/>
        <v>5.7623057120911474E-2</v>
      </c>
      <c r="AL355" s="165">
        <f t="shared" si="360"/>
        <v>5.7623057120911474E-2</v>
      </c>
      <c r="AM355" s="165">
        <f t="shared" si="360"/>
        <v>5.7623057120911474E-2</v>
      </c>
      <c r="AN355" s="165">
        <f t="shared" si="360"/>
        <v>5.7623057120911474E-2</v>
      </c>
      <c r="AO355" s="165">
        <f t="shared" si="360"/>
        <v>5.7623057120911474E-2</v>
      </c>
      <c r="AP355" s="165">
        <f t="shared" si="360"/>
        <v>5.7623057120911474E-2</v>
      </c>
      <c r="AQ355" s="165">
        <f t="shared" si="360"/>
        <v>5.7623057120911474E-2</v>
      </c>
      <c r="AR355" s="165">
        <f t="shared" si="360"/>
        <v>5.7623057120911474E-2</v>
      </c>
      <c r="AS355" s="157">
        <f t="shared" ref="AS355:BV355" si="361">AR355</f>
        <v>5.7623057120911474E-2</v>
      </c>
      <c r="AT355" s="157">
        <f t="shared" si="361"/>
        <v>5.7623057120911474E-2</v>
      </c>
      <c r="AU355" s="157">
        <f t="shared" si="361"/>
        <v>5.7623057120911474E-2</v>
      </c>
      <c r="AV355" s="157">
        <f t="shared" si="361"/>
        <v>5.7623057120911474E-2</v>
      </c>
      <c r="AW355" s="157">
        <f t="shared" si="361"/>
        <v>5.7623057120911474E-2</v>
      </c>
      <c r="AX355" s="157">
        <f t="shared" si="361"/>
        <v>5.7623057120911474E-2</v>
      </c>
      <c r="AY355" s="157">
        <f t="shared" si="361"/>
        <v>5.7623057120911474E-2</v>
      </c>
      <c r="AZ355" s="157">
        <f t="shared" si="361"/>
        <v>5.7623057120911474E-2</v>
      </c>
      <c r="BA355" s="157">
        <f t="shared" si="361"/>
        <v>5.7623057120911474E-2</v>
      </c>
      <c r="BB355" s="157">
        <f t="shared" si="361"/>
        <v>5.7623057120911474E-2</v>
      </c>
      <c r="BC355" s="157">
        <f t="shared" si="361"/>
        <v>5.7623057120911474E-2</v>
      </c>
      <c r="BD355" s="157">
        <f t="shared" si="361"/>
        <v>5.7623057120911474E-2</v>
      </c>
      <c r="BE355" s="157">
        <f t="shared" si="361"/>
        <v>5.7623057120911474E-2</v>
      </c>
      <c r="BF355" s="157">
        <f t="shared" si="361"/>
        <v>5.7623057120911474E-2</v>
      </c>
      <c r="BG355" s="157">
        <f t="shared" si="361"/>
        <v>5.7623057120911474E-2</v>
      </c>
      <c r="BH355" s="157">
        <f t="shared" si="361"/>
        <v>5.7623057120911474E-2</v>
      </c>
      <c r="BI355" s="157">
        <f t="shared" si="361"/>
        <v>5.7623057120911474E-2</v>
      </c>
      <c r="BJ355" s="157">
        <f t="shared" si="361"/>
        <v>5.7623057120911474E-2</v>
      </c>
      <c r="BK355" s="157">
        <f t="shared" si="361"/>
        <v>5.7623057120911474E-2</v>
      </c>
      <c r="BL355" s="157">
        <f t="shared" si="361"/>
        <v>5.7623057120911474E-2</v>
      </c>
      <c r="BM355" s="157">
        <f t="shared" si="361"/>
        <v>5.7623057120911474E-2</v>
      </c>
      <c r="BN355" s="157">
        <f t="shared" si="361"/>
        <v>5.7623057120911474E-2</v>
      </c>
      <c r="BO355" s="157">
        <f t="shared" si="361"/>
        <v>5.7623057120911474E-2</v>
      </c>
      <c r="BP355" s="157">
        <f t="shared" si="361"/>
        <v>5.7623057120911474E-2</v>
      </c>
      <c r="BQ355" s="157">
        <f t="shared" si="361"/>
        <v>5.7623057120911474E-2</v>
      </c>
      <c r="BR355" s="157">
        <f t="shared" si="361"/>
        <v>5.7623057120911474E-2</v>
      </c>
      <c r="BS355" s="157">
        <f t="shared" si="361"/>
        <v>5.7623057120911474E-2</v>
      </c>
      <c r="BT355" s="157">
        <f t="shared" si="361"/>
        <v>5.7623057120911474E-2</v>
      </c>
      <c r="BU355" s="157">
        <f t="shared" si="361"/>
        <v>5.7623057120911474E-2</v>
      </c>
      <c r="BV355" s="157">
        <f t="shared" si="361"/>
        <v>5.7623057120911474E-2</v>
      </c>
    </row>
    <row r="356" spans="1:74" x14ac:dyDescent="0.25">
      <c r="A356" s="155" t="s">
        <v>225</v>
      </c>
      <c r="C356" s="150"/>
      <c r="D356" s="165">
        <f t="shared" ref="D356:AR356" si="362">D185+D292+D324</f>
        <v>7.1390461602231836E-2</v>
      </c>
      <c r="E356" s="165">
        <f t="shared" si="362"/>
        <v>7.1390463144806432E-2</v>
      </c>
      <c r="F356" s="165">
        <f t="shared" si="362"/>
        <v>7.1390464687381111E-2</v>
      </c>
      <c r="G356" s="165">
        <f t="shared" si="362"/>
        <v>7.1390466229955873E-2</v>
      </c>
      <c r="H356" s="165">
        <f t="shared" si="362"/>
        <v>7.1390467772530664E-2</v>
      </c>
      <c r="I356" s="165">
        <f t="shared" si="362"/>
        <v>7.1390469315105523E-2</v>
      </c>
      <c r="J356" s="165">
        <f t="shared" si="362"/>
        <v>7.1390460864024452E-2</v>
      </c>
      <c r="K356" s="165">
        <f t="shared" si="362"/>
        <v>7.1390455465360589E-2</v>
      </c>
      <c r="L356" s="165">
        <f t="shared" si="362"/>
        <v>7.1390471272364031E-2</v>
      </c>
      <c r="M356" s="165">
        <f t="shared" si="362"/>
        <v>7.1390463160895798E-2</v>
      </c>
      <c r="N356" s="165">
        <f t="shared" si="362"/>
        <v>7.1390459727137506E-2</v>
      </c>
      <c r="O356" s="165">
        <f t="shared" si="362"/>
        <v>7.1390458427789016E-2</v>
      </c>
      <c r="P356" s="165">
        <f t="shared" si="362"/>
        <v>7.1390464504632795E-2</v>
      </c>
      <c r="Q356" s="165">
        <f t="shared" si="362"/>
        <v>7.1390461600893837E-2</v>
      </c>
      <c r="R356" s="165">
        <f t="shared" si="362"/>
        <v>7.1390451861589113E-2</v>
      </c>
      <c r="S356" s="165">
        <f t="shared" si="362"/>
        <v>7.1390438602474335E-2</v>
      </c>
      <c r="T356" s="165">
        <f t="shared" si="362"/>
        <v>7.1390527752703298E-2</v>
      </c>
      <c r="U356" s="165">
        <f t="shared" si="362"/>
        <v>7.1390503747243664E-2</v>
      </c>
      <c r="V356" s="165">
        <f t="shared" si="362"/>
        <v>7.1390435097863414E-2</v>
      </c>
      <c r="W356" s="165">
        <f t="shared" si="362"/>
        <v>7.1390486089617303E-2</v>
      </c>
      <c r="X356" s="165">
        <f t="shared" si="362"/>
        <v>7.1390457817212649E-2</v>
      </c>
      <c r="Y356" s="165">
        <f t="shared" si="362"/>
        <v>7.1390471979928066E-2</v>
      </c>
      <c r="Z356" s="165">
        <f t="shared" si="362"/>
        <v>7.1390414517649659E-2</v>
      </c>
      <c r="AA356" s="165">
        <f t="shared" si="362"/>
        <v>7.1390443469588075E-2</v>
      </c>
      <c r="AB356" s="165">
        <f t="shared" si="362"/>
        <v>7.1677187308288523E-2</v>
      </c>
      <c r="AC356" s="165">
        <f t="shared" si="362"/>
        <v>7.1665202944462172E-2</v>
      </c>
      <c r="AD356" s="165">
        <f t="shared" si="362"/>
        <v>7.1801492840154107E-2</v>
      </c>
      <c r="AE356" s="165">
        <f t="shared" si="362"/>
        <v>7.1844999728960829E-2</v>
      </c>
      <c r="AF356" s="165">
        <f t="shared" si="362"/>
        <v>7.1844999728960829E-2</v>
      </c>
      <c r="AG356" s="165">
        <f t="shared" si="362"/>
        <v>7.1844999728960829E-2</v>
      </c>
      <c r="AH356" s="165">
        <f t="shared" si="362"/>
        <v>7.1844999728960829E-2</v>
      </c>
      <c r="AI356" s="165">
        <f t="shared" si="362"/>
        <v>7.1844999728960829E-2</v>
      </c>
      <c r="AJ356" s="165">
        <f t="shared" si="362"/>
        <v>7.1844999728960829E-2</v>
      </c>
      <c r="AK356" s="165">
        <f t="shared" si="362"/>
        <v>7.1844999728960829E-2</v>
      </c>
      <c r="AL356" s="165">
        <f t="shared" si="362"/>
        <v>7.1844999728960829E-2</v>
      </c>
      <c r="AM356" s="165">
        <f t="shared" si="362"/>
        <v>7.1844999728960829E-2</v>
      </c>
      <c r="AN356" s="165">
        <f t="shared" si="362"/>
        <v>7.1844999728960829E-2</v>
      </c>
      <c r="AO356" s="165">
        <f t="shared" si="362"/>
        <v>7.1844999728960829E-2</v>
      </c>
      <c r="AP356" s="165">
        <f t="shared" si="362"/>
        <v>7.1844999728960829E-2</v>
      </c>
      <c r="AQ356" s="165">
        <f t="shared" si="362"/>
        <v>7.1844999728960829E-2</v>
      </c>
      <c r="AR356" s="165">
        <f t="shared" si="362"/>
        <v>7.1844999728960829E-2</v>
      </c>
      <c r="AS356" s="157">
        <f t="shared" ref="AS356:BV356" si="363">AR356</f>
        <v>7.1844999728960829E-2</v>
      </c>
      <c r="AT356" s="157">
        <f t="shared" si="363"/>
        <v>7.1844999728960829E-2</v>
      </c>
      <c r="AU356" s="157">
        <f t="shared" si="363"/>
        <v>7.1844999728960829E-2</v>
      </c>
      <c r="AV356" s="157">
        <f t="shared" si="363"/>
        <v>7.1844999728960829E-2</v>
      </c>
      <c r="AW356" s="157">
        <f t="shared" si="363"/>
        <v>7.1844999728960829E-2</v>
      </c>
      <c r="AX356" s="157">
        <f t="shared" si="363"/>
        <v>7.1844999728960829E-2</v>
      </c>
      <c r="AY356" s="157">
        <f t="shared" si="363"/>
        <v>7.1844999728960829E-2</v>
      </c>
      <c r="AZ356" s="157">
        <f t="shared" si="363"/>
        <v>7.1844999728960829E-2</v>
      </c>
      <c r="BA356" s="157">
        <f t="shared" si="363"/>
        <v>7.1844999728960829E-2</v>
      </c>
      <c r="BB356" s="157">
        <f t="shared" si="363"/>
        <v>7.1844999728960829E-2</v>
      </c>
      <c r="BC356" s="157">
        <f t="shared" si="363"/>
        <v>7.1844999728960829E-2</v>
      </c>
      <c r="BD356" s="157">
        <f t="shared" si="363"/>
        <v>7.1844999728960829E-2</v>
      </c>
      <c r="BE356" s="157">
        <f t="shared" si="363"/>
        <v>7.1844999728960829E-2</v>
      </c>
      <c r="BF356" s="157">
        <f t="shared" si="363"/>
        <v>7.1844999728960829E-2</v>
      </c>
      <c r="BG356" s="157">
        <f t="shared" si="363"/>
        <v>7.1844999728960829E-2</v>
      </c>
      <c r="BH356" s="157">
        <f t="shared" si="363"/>
        <v>7.1844999728960829E-2</v>
      </c>
      <c r="BI356" s="157">
        <f t="shared" si="363"/>
        <v>7.1844999728960829E-2</v>
      </c>
      <c r="BJ356" s="157">
        <f t="shared" si="363"/>
        <v>7.1844999728960829E-2</v>
      </c>
      <c r="BK356" s="157">
        <f t="shared" si="363"/>
        <v>7.1844999728960829E-2</v>
      </c>
      <c r="BL356" s="157">
        <f t="shared" si="363"/>
        <v>7.1844999728960829E-2</v>
      </c>
      <c r="BM356" s="157">
        <f t="shared" si="363"/>
        <v>7.1844999728960829E-2</v>
      </c>
      <c r="BN356" s="157">
        <f t="shared" si="363"/>
        <v>7.1844999728960829E-2</v>
      </c>
      <c r="BO356" s="157">
        <f t="shared" si="363"/>
        <v>7.1844999728960829E-2</v>
      </c>
      <c r="BP356" s="157">
        <f t="shared" si="363"/>
        <v>7.1844999728960829E-2</v>
      </c>
      <c r="BQ356" s="157">
        <f t="shared" si="363"/>
        <v>7.1844999728960829E-2</v>
      </c>
      <c r="BR356" s="157">
        <f t="shared" si="363"/>
        <v>7.1844999728960829E-2</v>
      </c>
      <c r="BS356" s="157">
        <f t="shared" si="363"/>
        <v>7.1844999728960829E-2</v>
      </c>
      <c r="BT356" s="157">
        <f t="shared" si="363"/>
        <v>7.1844999728960829E-2</v>
      </c>
      <c r="BU356" s="157">
        <f t="shared" si="363"/>
        <v>7.1844999728960829E-2</v>
      </c>
      <c r="BV356" s="157">
        <f t="shared" si="363"/>
        <v>7.1844999728960829E-2</v>
      </c>
    </row>
    <row r="357" spans="1:74" x14ac:dyDescent="0.25">
      <c r="A357" s="149" t="s">
        <v>14</v>
      </c>
      <c r="B357" s="156"/>
      <c r="C357" s="150"/>
      <c r="D357" s="165">
        <f t="shared" ref="D357:AR357" si="364">D186+D293+D325</f>
        <v>5.1142927656068121E-2</v>
      </c>
      <c r="E357" s="165">
        <f t="shared" si="364"/>
        <v>5.1067232423245339E-2</v>
      </c>
      <c r="F357" s="165">
        <f t="shared" si="364"/>
        <v>5.0991760928115956E-2</v>
      </c>
      <c r="G357" s="165">
        <f t="shared" si="364"/>
        <v>5.0916512180168107E-2</v>
      </c>
      <c r="H357" s="165">
        <f t="shared" si="364"/>
        <v>5.0841485194728142E-2</v>
      </c>
      <c r="I357" s="165">
        <f t="shared" si="364"/>
        <v>5.0766678992917633E-2</v>
      </c>
      <c r="J357" s="165">
        <f t="shared" si="364"/>
        <v>5.0729484804808184E-2</v>
      </c>
      <c r="K357" s="165">
        <f t="shared" si="364"/>
        <v>5.0709284896611431E-2</v>
      </c>
      <c r="L357" s="165">
        <f t="shared" si="364"/>
        <v>5.0641798652407595E-2</v>
      </c>
      <c r="M357" s="165">
        <f t="shared" si="364"/>
        <v>5.0700478747650053E-2</v>
      </c>
      <c r="N357" s="165">
        <f t="shared" si="364"/>
        <v>5.0916968883826567E-2</v>
      </c>
      <c r="O357" s="165">
        <f t="shared" si="364"/>
        <v>5.0820331700165852E-2</v>
      </c>
      <c r="P357" s="165">
        <f t="shared" si="364"/>
        <v>5.0803502255552607E-2</v>
      </c>
      <c r="Q357" s="165">
        <f t="shared" si="364"/>
        <v>5.0641365729922609E-2</v>
      </c>
      <c r="R357" s="165">
        <f t="shared" si="364"/>
        <v>5.0603638579936036E-2</v>
      </c>
      <c r="S357" s="165">
        <f t="shared" si="364"/>
        <v>5.0524740995476207E-2</v>
      </c>
      <c r="T357" s="165">
        <f t="shared" si="364"/>
        <v>5.0510537403877245E-2</v>
      </c>
      <c r="U357" s="165">
        <f t="shared" si="364"/>
        <v>5.0719317220882007E-2</v>
      </c>
      <c r="V357" s="165">
        <f t="shared" si="364"/>
        <v>5.0312498560015559E-2</v>
      </c>
      <c r="W357" s="165">
        <f t="shared" si="364"/>
        <v>5.0289421572195847E-2</v>
      </c>
      <c r="X357" s="165">
        <f t="shared" si="364"/>
        <v>5.0180635366051989E-2</v>
      </c>
      <c r="Y357" s="165">
        <f t="shared" si="364"/>
        <v>5.0139033420351357E-2</v>
      </c>
      <c r="Z357" s="165">
        <f t="shared" si="364"/>
        <v>4.9917171800043444E-2</v>
      </c>
      <c r="AA357" s="165">
        <f t="shared" si="364"/>
        <v>4.9777160500924705E-2</v>
      </c>
      <c r="AB357" s="165">
        <f t="shared" si="364"/>
        <v>4.9575822377979382E-2</v>
      </c>
      <c r="AC357" s="165">
        <f t="shared" si="364"/>
        <v>4.9271851644357136E-2</v>
      </c>
      <c r="AD357" s="165">
        <f t="shared" si="364"/>
        <v>4.9536965856806406E-2</v>
      </c>
      <c r="AE357" s="165">
        <f t="shared" si="364"/>
        <v>4.929698757351221E-2</v>
      </c>
      <c r="AF357" s="165">
        <f t="shared" si="364"/>
        <v>4.929698757351221E-2</v>
      </c>
      <c r="AG357" s="165">
        <f t="shared" si="364"/>
        <v>4.929698757351221E-2</v>
      </c>
      <c r="AH357" s="165">
        <f t="shared" si="364"/>
        <v>4.929698757351221E-2</v>
      </c>
      <c r="AI357" s="165">
        <f t="shared" si="364"/>
        <v>4.929698757351221E-2</v>
      </c>
      <c r="AJ357" s="165">
        <f t="shared" si="364"/>
        <v>4.929698757351221E-2</v>
      </c>
      <c r="AK357" s="165">
        <f t="shared" si="364"/>
        <v>4.929698757351221E-2</v>
      </c>
      <c r="AL357" s="165">
        <f t="shared" si="364"/>
        <v>4.929698757351221E-2</v>
      </c>
      <c r="AM357" s="165">
        <f t="shared" si="364"/>
        <v>4.929698757351221E-2</v>
      </c>
      <c r="AN357" s="165">
        <f t="shared" si="364"/>
        <v>4.929698757351221E-2</v>
      </c>
      <c r="AO357" s="165">
        <f t="shared" si="364"/>
        <v>4.929698757351221E-2</v>
      </c>
      <c r="AP357" s="165">
        <f t="shared" si="364"/>
        <v>4.929698757351221E-2</v>
      </c>
      <c r="AQ357" s="165">
        <f t="shared" si="364"/>
        <v>4.929698757351221E-2</v>
      </c>
      <c r="AR357" s="165">
        <f t="shared" si="364"/>
        <v>4.929698757351221E-2</v>
      </c>
      <c r="AS357" s="157">
        <f t="shared" ref="AS357:BV357" si="365">AR357</f>
        <v>4.929698757351221E-2</v>
      </c>
      <c r="AT357" s="157">
        <f t="shared" si="365"/>
        <v>4.929698757351221E-2</v>
      </c>
      <c r="AU357" s="157">
        <f t="shared" si="365"/>
        <v>4.929698757351221E-2</v>
      </c>
      <c r="AV357" s="157">
        <f t="shared" si="365"/>
        <v>4.929698757351221E-2</v>
      </c>
      <c r="AW357" s="157">
        <f t="shared" si="365"/>
        <v>4.929698757351221E-2</v>
      </c>
      <c r="AX357" s="157">
        <f t="shared" si="365"/>
        <v>4.929698757351221E-2</v>
      </c>
      <c r="AY357" s="157">
        <f t="shared" si="365"/>
        <v>4.929698757351221E-2</v>
      </c>
      <c r="AZ357" s="157">
        <f t="shared" si="365"/>
        <v>4.929698757351221E-2</v>
      </c>
      <c r="BA357" s="157">
        <f t="shared" si="365"/>
        <v>4.929698757351221E-2</v>
      </c>
      <c r="BB357" s="157">
        <f t="shared" si="365"/>
        <v>4.929698757351221E-2</v>
      </c>
      <c r="BC357" s="157">
        <f t="shared" si="365"/>
        <v>4.929698757351221E-2</v>
      </c>
      <c r="BD357" s="157">
        <f t="shared" si="365"/>
        <v>4.929698757351221E-2</v>
      </c>
      <c r="BE357" s="157">
        <f t="shared" si="365"/>
        <v>4.929698757351221E-2</v>
      </c>
      <c r="BF357" s="157">
        <f t="shared" si="365"/>
        <v>4.929698757351221E-2</v>
      </c>
      <c r="BG357" s="157">
        <f t="shared" si="365"/>
        <v>4.929698757351221E-2</v>
      </c>
      <c r="BH357" s="157">
        <f t="shared" si="365"/>
        <v>4.929698757351221E-2</v>
      </c>
      <c r="BI357" s="157">
        <f t="shared" si="365"/>
        <v>4.929698757351221E-2</v>
      </c>
      <c r="BJ357" s="157">
        <f t="shared" si="365"/>
        <v>4.929698757351221E-2</v>
      </c>
      <c r="BK357" s="157">
        <f t="shared" si="365"/>
        <v>4.929698757351221E-2</v>
      </c>
      <c r="BL357" s="157">
        <f t="shared" si="365"/>
        <v>4.929698757351221E-2</v>
      </c>
      <c r="BM357" s="157">
        <f t="shared" si="365"/>
        <v>4.929698757351221E-2</v>
      </c>
      <c r="BN357" s="157">
        <f t="shared" si="365"/>
        <v>4.929698757351221E-2</v>
      </c>
      <c r="BO357" s="157">
        <f t="shared" si="365"/>
        <v>4.929698757351221E-2</v>
      </c>
      <c r="BP357" s="157">
        <f t="shared" si="365"/>
        <v>4.929698757351221E-2</v>
      </c>
      <c r="BQ357" s="157">
        <f t="shared" si="365"/>
        <v>4.929698757351221E-2</v>
      </c>
      <c r="BR357" s="157">
        <f t="shared" si="365"/>
        <v>4.929698757351221E-2</v>
      </c>
      <c r="BS357" s="157">
        <f t="shared" si="365"/>
        <v>4.929698757351221E-2</v>
      </c>
      <c r="BT357" s="157">
        <f t="shared" si="365"/>
        <v>4.929698757351221E-2</v>
      </c>
      <c r="BU357" s="157">
        <f t="shared" si="365"/>
        <v>4.929698757351221E-2</v>
      </c>
      <c r="BV357" s="157">
        <f t="shared" si="365"/>
        <v>4.929698757351221E-2</v>
      </c>
    </row>
    <row r="358" spans="1:74" x14ac:dyDescent="0.25">
      <c r="A358" s="149" t="s">
        <v>216</v>
      </c>
      <c r="B358" s="150"/>
      <c r="C358" s="150"/>
      <c r="D358" s="165">
        <f t="shared" ref="D358:AR358" si="366">D187+D294+D326</f>
        <v>8.4891747833875181E-2</v>
      </c>
      <c r="E358" s="165">
        <f t="shared" si="366"/>
        <v>8.4986910101050653E-2</v>
      </c>
      <c r="F358" s="165">
        <f t="shared" si="366"/>
        <v>8.508207236845225E-2</v>
      </c>
      <c r="G358" s="165">
        <f t="shared" si="366"/>
        <v>8.5177234636079999E-2</v>
      </c>
      <c r="H358" s="165">
        <f t="shared" si="366"/>
        <v>8.5272992677319984E-2</v>
      </c>
      <c r="I358" s="165">
        <f t="shared" si="366"/>
        <v>8.5366963398626955E-2</v>
      </c>
      <c r="J358" s="165">
        <f t="shared" si="366"/>
        <v>8.4361310558826064E-2</v>
      </c>
      <c r="K358" s="165">
        <f t="shared" si="366"/>
        <v>8.4679460810668905E-2</v>
      </c>
      <c r="L358" s="165">
        <f t="shared" si="366"/>
        <v>8.1189242893495411E-2</v>
      </c>
      <c r="M358" s="165">
        <f t="shared" si="366"/>
        <v>8.17104833445009E-2</v>
      </c>
      <c r="N358" s="165">
        <f t="shared" si="366"/>
        <v>8.029027777142414E-2</v>
      </c>
      <c r="O358" s="165">
        <f t="shared" si="366"/>
        <v>8.2348901695247723E-2</v>
      </c>
      <c r="P358" s="165">
        <f t="shared" si="366"/>
        <v>8.3356525344359181E-2</v>
      </c>
      <c r="Q358" s="165">
        <f t="shared" si="366"/>
        <v>8.3881252551208013E-2</v>
      </c>
      <c r="R358" s="165">
        <f t="shared" si="366"/>
        <v>8.3402953332796667E-2</v>
      </c>
      <c r="S358" s="165">
        <f t="shared" si="366"/>
        <v>8.3532770718151211E-2</v>
      </c>
      <c r="T358" s="165">
        <f t="shared" si="366"/>
        <v>8.3623049784786518E-2</v>
      </c>
      <c r="U358" s="165">
        <f t="shared" si="366"/>
        <v>8.3607283502650107E-2</v>
      </c>
      <c r="V358" s="165">
        <f t="shared" si="366"/>
        <v>8.3641398931932412E-2</v>
      </c>
      <c r="W358" s="165">
        <f t="shared" si="366"/>
        <v>8.3610701394064971E-2</v>
      </c>
      <c r="X358" s="165">
        <f t="shared" si="366"/>
        <v>8.373773318329758E-2</v>
      </c>
      <c r="Y358" s="165">
        <f t="shared" si="366"/>
        <v>8.3539544081031619E-2</v>
      </c>
      <c r="Z358" s="165">
        <f t="shared" si="366"/>
        <v>8.350800379341089E-2</v>
      </c>
      <c r="AA358" s="165">
        <f t="shared" si="366"/>
        <v>8.4858180485292423E-2</v>
      </c>
      <c r="AB358" s="165">
        <f t="shared" si="366"/>
        <v>8.147256003314135E-2</v>
      </c>
      <c r="AC358" s="165">
        <f t="shared" si="366"/>
        <v>8.1906681195556455E-2</v>
      </c>
      <c r="AD358" s="165">
        <f t="shared" si="366"/>
        <v>8.1994383724488945E-2</v>
      </c>
      <c r="AE358" s="165">
        <f t="shared" si="366"/>
        <v>8.2425812397980497E-2</v>
      </c>
      <c r="AF358" s="165">
        <f t="shared" si="366"/>
        <v>8.2425812397980497E-2</v>
      </c>
      <c r="AG358" s="165">
        <f t="shared" si="366"/>
        <v>8.2425812397980497E-2</v>
      </c>
      <c r="AH358" s="165">
        <f t="shared" si="366"/>
        <v>8.2425812397980497E-2</v>
      </c>
      <c r="AI358" s="165">
        <f t="shared" si="366"/>
        <v>8.2425812397980497E-2</v>
      </c>
      <c r="AJ358" s="165">
        <f t="shared" si="366"/>
        <v>8.2425812397980497E-2</v>
      </c>
      <c r="AK358" s="165">
        <f t="shared" si="366"/>
        <v>8.2425812397980497E-2</v>
      </c>
      <c r="AL358" s="165">
        <f t="shared" si="366"/>
        <v>8.2425812397980497E-2</v>
      </c>
      <c r="AM358" s="165">
        <f t="shared" si="366"/>
        <v>8.2425812397980497E-2</v>
      </c>
      <c r="AN358" s="165">
        <f t="shared" si="366"/>
        <v>8.2425812397980497E-2</v>
      </c>
      <c r="AO358" s="165">
        <f t="shared" si="366"/>
        <v>8.2425812397980497E-2</v>
      </c>
      <c r="AP358" s="165">
        <f t="shared" si="366"/>
        <v>8.2425812397980497E-2</v>
      </c>
      <c r="AQ358" s="165">
        <f t="shared" si="366"/>
        <v>8.2425812397980497E-2</v>
      </c>
      <c r="AR358" s="165">
        <f t="shared" si="366"/>
        <v>8.2425812397980497E-2</v>
      </c>
      <c r="AS358" s="157">
        <f t="shared" ref="AS358:BV358" si="367">AR358</f>
        <v>8.2425812397980497E-2</v>
      </c>
      <c r="AT358" s="157">
        <f t="shared" si="367"/>
        <v>8.2425812397980497E-2</v>
      </c>
      <c r="AU358" s="157">
        <f t="shared" si="367"/>
        <v>8.2425812397980497E-2</v>
      </c>
      <c r="AV358" s="157">
        <f t="shared" si="367"/>
        <v>8.2425812397980497E-2</v>
      </c>
      <c r="AW358" s="157">
        <f t="shared" si="367"/>
        <v>8.2425812397980497E-2</v>
      </c>
      <c r="AX358" s="157">
        <f t="shared" si="367"/>
        <v>8.2425812397980497E-2</v>
      </c>
      <c r="AY358" s="157">
        <f t="shared" si="367"/>
        <v>8.2425812397980497E-2</v>
      </c>
      <c r="AZ358" s="157">
        <f t="shared" si="367"/>
        <v>8.2425812397980497E-2</v>
      </c>
      <c r="BA358" s="157">
        <f t="shared" si="367"/>
        <v>8.2425812397980497E-2</v>
      </c>
      <c r="BB358" s="157">
        <f t="shared" si="367"/>
        <v>8.2425812397980497E-2</v>
      </c>
      <c r="BC358" s="157">
        <f t="shared" si="367"/>
        <v>8.2425812397980497E-2</v>
      </c>
      <c r="BD358" s="157">
        <f t="shared" si="367"/>
        <v>8.2425812397980497E-2</v>
      </c>
      <c r="BE358" s="157">
        <f t="shared" si="367"/>
        <v>8.2425812397980497E-2</v>
      </c>
      <c r="BF358" s="157">
        <f t="shared" si="367"/>
        <v>8.2425812397980497E-2</v>
      </c>
      <c r="BG358" s="157">
        <f t="shared" si="367"/>
        <v>8.2425812397980497E-2</v>
      </c>
      <c r="BH358" s="157">
        <f t="shared" si="367"/>
        <v>8.2425812397980497E-2</v>
      </c>
      <c r="BI358" s="157">
        <f t="shared" si="367"/>
        <v>8.2425812397980497E-2</v>
      </c>
      <c r="BJ358" s="157">
        <f t="shared" si="367"/>
        <v>8.2425812397980497E-2</v>
      </c>
      <c r="BK358" s="157">
        <f t="shared" si="367"/>
        <v>8.2425812397980497E-2</v>
      </c>
      <c r="BL358" s="157">
        <f t="shared" si="367"/>
        <v>8.2425812397980497E-2</v>
      </c>
      <c r="BM358" s="157">
        <f t="shared" si="367"/>
        <v>8.2425812397980497E-2</v>
      </c>
      <c r="BN358" s="157">
        <f t="shared" si="367"/>
        <v>8.2425812397980497E-2</v>
      </c>
      <c r="BO358" s="157">
        <f t="shared" si="367"/>
        <v>8.2425812397980497E-2</v>
      </c>
      <c r="BP358" s="157">
        <f t="shared" si="367"/>
        <v>8.2425812397980497E-2</v>
      </c>
      <c r="BQ358" s="157">
        <f t="shared" si="367"/>
        <v>8.2425812397980497E-2</v>
      </c>
      <c r="BR358" s="157">
        <f t="shared" si="367"/>
        <v>8.2425812397980497E-2</v>
      </c>
      <c r="BS358" s="157">
        <f t="shared" si="367"/>
        <v>8.2425812397980497E-2</v>
      </c>
      <c r="BT358" s="157">
        <f t="shared" si="367"/>
        <v>8.2425812397980497E-2</v>
      </c>
      <c r="BU358" s="157">
        <f t="shared" si="367"/>
        <v>8.2425812397980497E-2</v>
      </c>
      <c r="BV358" s="157">
        <f t="shared" si="367"/>
        <v>8.2425812397980497E-2</v>
      </c>
    </row>
    <row r="359" spans="1:74" x14ac:dyDescent="0.25">
      <c r="A359" s="155" t="s">
        <v>228</v>
      </c>
      <c r="C359" s="150"/>
      <c r="D359" s="165">
        <f t="shared" ref="D359:AR359" si="368">D188+D295+D327</f>
        <v>6.0489301634089838E-2</v>
      </c>
      <c r="E359" s="165">
        <f t="shared" si="368"/>
        <v>6.0489303696167063E-2</v>
      </c>
      <c r="F359" s="165">
        <f t="shared" si="368"/>
        <v>6.0489305758244419E-2</v>
      </c>
      <c r="G359" s="165">
        <f t="shared" si="368"/>
        <v>6.0489307820321914E-2</v>
      </c>
      <c r="H359" s="165">
        <f t="shared" si="368"/>
        <v>6.0489309882399547E-2</v>
      </c>
      <c r="I359" s="165">
        <f t="shared" si="368"/>
        <v>6.0489311944477313E-2</v>
      </c>
      <c r="J359" s="165">
        <f t="shared" si="368"/>
        <v>6.0489304348163887E-2</v>
      </c>
      <c r="K359" s="165">
        <f t="shared" si="368"/>
        <v>6.0489308100832744E-2</v>
      </c>
      <c r="L359" s="165">
        <f t="shared" si="368"/>
        <v>6.1015106594302704E-2</v>
      </c>
      <c r="M359" s="165">
        <f t="shared" si="368"/>
        <v>6.1015095570153798E-2</v>
      </c>
      <c r="N359" s="165">
        <f t="shared" si="368"/>
        <v>6.1015095567753835E-2</v>
      </c>
      <c r="O359" s="165">
        <f t="shared" si="368"/>
        <v>6.1015090544368988E-2</v>
      </c>
      <c r="P359" s="165">
        <f t="shared" si="368"/>
        <v>6.1015102020568909E-2</v>
      </c>
      <c r="Q359" s="165">
        <f t="shared" si="368"/>
        <v>6.101509127534499E-2</v>
      </c>
      <c r="R359" s="165">
        <f t="shared" si="368"/>
        <v>6.1015093494442903E-2</v>
      </c>
      <c r="S359" s="165">
        <f t="shared" si="368"/>
        <v>6.1015081641588857E-2</v>
      </c>
      <c r="T359" s="165">
        <f t="shared" si="368"/>
        <v>6.1015071302370466E-2</v>
      </c>
      <c r="U359" s="165">
        <f t="shared" si="368"/>
        <v>6.1015177160677281E-2</v>
      </c>
      <c r="V359" s="165">
        <f t="shared" si="368"/>
        <v>6.1015054036091421E-2</v>
      </c>
      <c r="W359" s="165">
        <f t="shared" si="368"/>
        <v>6.1015200288935173E-2</v>
      </c>
      <c r="X359" s="165">
        <f t="shared" si="368"/>
        <v>6.1015140571733802E-2</v>
      </c>
      <c r="Y359" s="165">
        <f t="shared" si="368"/>
        <v>6.1015059875936653E-2</v>
      </c>
      <c r="Z359" s="165">
        <f t="shared" si="368"/>
        <v>6.1015144122258641E-2</v>
      </c>
      <c r="AA359" s="165">
        <f t="shared" si="368"/>
        <v>6.1015144122258641E-2</v>
      </c>
      <c r="AB359" s="165">
        <f t="shared" si="368"/>
        <v>6.1015144122258641E-2</v>
      </c>
      <c r="AC359" s="165">
        <f t="shared" si="368"/>
        <v>6.1015144122258641E-2</v>
      </c>
      <c r="AD359" s="165">
        <f t="shared" si="368"/>
        <v>6.1015523195965593E-2</v>
      </c>
      <c r="AE359" s="165">
        <f t="shared" si="368"/>
        <v>6.1015440080686545E-2</v>
      </c>
      <c r="AF359" s="165">
        <f t="shared" si="368"/>
        <v>6.1015440080686545E-2</v>
      </c>
      <c r="AG359" s="165">
        <f t="shared" si="368"/>
        <v>6.1015440080686545E-2</v>
      </c>
      <c r="AH359" s="165">
        <f t="shared" si="368"/>
        <v>6.1015440080686545E-2</v>
      </c>
      <c r="AI359" s="165">
        <f t="shared" si="368"/>
        <v>6.1015440080686545E-2</v>
      </c>
      <c r="AJ359" s="165">
        <f t="shared" si="368"/>
        <v>6.1015440080686545E-2</v>
      </c>
      <c r="AK359" s="165">
        <f t="shared" si="368"/>
        <v>6.1015440080686545E-2</v>
      </c>
      <c r="AL359" s="165">
        <f t="shared" si="368"/>
        <v>6.1015440080686545E-2</v>
      </c>
      <c r="AM359" s="165">
        <f t="shared" si="368"/>
        <v>6.1015440080686545E-2</v>
      </c>
      <c r="AN359" s="165">
        <f t="shared" si="368"/>
        <v>6.1015440080686545E-2</v>
      </c>
      <c r="AO359" s="165">
        <f t="shared" si="368"/>
        <v>6.1015440080686545E-2</v>
      </c>
      <c r="AP359" s="165">
        <f t="shared" si="368"/>
        <v>6.1015440080686545E-2</v>
      </c>
      <c r="AQ359" s="165">
        <f t="shared" si="368"/>
        <v>6.1015440080686545E-2</v>
      </c>
      <c r="AR359" s="165">
        <f t="shared" si="368"/>
        <v>6.1015440080686545E-2</v>
      </c>
      <c r="AS359" s="157">
        <f t="shared" ref="AS359:BV359" si="369">AR359</f>
        <v>6.1015440080686545E-2</v>
      </c>
      <c r="AT359" s="157">
        <f t="shared" si="369"/>
        <v>6.1015440080686545E-2</v>
      </c>
      <c r="AU359" s="157">
        <f t="shared" si="369"/>
        <v>6.1015440080686545E-2</v>
      </c>
      <c r="AV359" s="157">
        <f t="shared" si="369"/>
        <v>6.1015440080686545E-2</v>
      </c>
      <c r="AW359" s="157">
        <f t="shared" si="369"/>
        <v>6.1015440080686545E-2</v>
      </c>
      <c r="AX359" s="157">
        <f t="shared" si="369"/>
        <v>6.1015440080686545E-2</v>
      </c>
      <c r="AY359" s="157">
        <f t="shared" si="369"/>
        <v>6.1015440080686545E-2</v>
      </c>
      <c r="AZ359" s="157">
        <f t="shared" si="369"/>
        <v>6.1015440080686545E-2</v>
      </c>
      <c r="BA359" s="157">
        <f t="shared" si="369"/>
        <v>6.1015440080686545E-2</v>
      </c>
      <c r="BB359" s="157">
        <f t="shared" si="369"/>
        <v>6.1015440080686545E-2</v>
      </c>
      <c r="BC359" s="157">
        <f t="shared" si="369"/>
        <v>6.1015440080686545E-2</v>
      </c>
      <c r="BD359" s="157">
        <f t="shared" si="369"/>
        <v>6.1015440080686545E-2</v>
      </c>
      <c r="BE359" s="157">
        <f t="shared" si="369"/>
        <v>6.1015440080686545E-2</v>
      </c>
      <c r="BF359" s="157">
        <f t="shared" si="369"/>
        <v>6.1015440080686545E-2</v>
      </c>
      <c r="BG359" s="157">
        <f t="shared" si="369"/>
        <v>6.1015440080686545E-2</v>
      </c>
      <c r="BH359" s="157">
        <f t="shared" si="369"/>
        <v>6.1015440080686545E-2</v>
      </c>
      <c r="BI359" s="157">
        <f t="shared" si="369"/>
        <v>6.1015440080686545E-2</v>
      </c>
      <c r="BJ359" s="157">
        <f t="shared" si="369"/>
        <v>6.1015440080686545E-2</v>
      </c>
      <c r="BK359" s="157">
        <f t="shared" si="369"/>
        <v>6.1015440080686545E-2</v>
      </c>
      <c r="BL359" s="157">
        <f t="shared" si="369"/>
        <v>6.1015440080686545E-2</v>
      </c>
      <c r="BM359" s="157">
        <f t="shared" si="369"/>
        <v>6.1015440080686545E-2</v>
      </c>
      <c r="BN359" s="157">
        <f t="shared" si="369"/>
        <v>6.1015440080686545E-2</v>
      </c>
      <c r="BO359" s="157">
        <f t="shared" si="369"/>
        <v>6.1015440080686545E-2</v>
      </c>
      <c r="BP359" s="157">
        <f t="shared" si="369"/>
        <v>6.1015440080686545E-2</v>
      </c>
      <c r="BQ359" s="157">
        <f t="shared" si="369"/>
        <v>6.1015440080686545E-2</v>
      </c>
      <c r="BR359" s="157">
        <f t="shared" si="369"/>
        <v>6.1015440080686545E-2</v>
      </c>
      <c r="BS359" s="157">
        <f t="shared" si="369"/>
        <v>6.1015440080686545E-2</v>
      </c>
      <c r="BT359" s="157">
        <f t="shared" si="369"/>
        <v>6.1015440080686545E-2</v>
      </c>
      <c r="BU359" s="157">
        <f t="shared" si="369"/>
        <v>6.1015440080686545E-2</v>
      </c>
      <c r="BV359" s="157">
        <f t="shared" si="369"/>
        <v>6.1015440080686545E-2</v>
      </c>
    </row>
    <row r="360" spans="1:74" x14ac:dyDescent="0.25">
      <c r="A360" s="149" t="s">
        <v>222</v>
      </c>
      <c r="B360" s="156"/>
      <c r="C360" s="150"/>
      <c r="D360" s="165">
        <f t="shared" ref="D360:AR360" si="370">D189+D296+D328</f>
        <v>4.3382870772439977E-2</v>
      </c>
      <c r="E360" s="165">
        <f t="shared" si="370"/>
        <v>4.3565500710343957E-2</v>
      </c>
      <c r="F360" s="165">
        <f t="shared" si="370"/>
        <v>4.3748130648389408E-2</v>
      </c>
      <c r="G360" s="165">
        <f t="shared" si="370"/>
        <v>4.3930760586576342E-2</v>
      </c>
      <c r="H360" s="165">
        <f t="shared" si="370"/>
        <v>4.4113390524904754E-2</v>
      </c>
      <c r="I360" s="165">
        <f t="shared" si="370"/>
        <v>4.4296020463374629E-2</v>
      </c>
      <c r="J360" s="165">
        <f t="shared" si="370"/>
        <v>4.3299889498746261E-2</v>
      </c>
      <c r="K360" s="165">
        <f t="shared" si="370"/>
        <v>4.2774086874704187E-2</v>
      </c>
      <c r="L360" s="165">
        <f t="shared" si="370"/>
        <v>3.9585730597648118E-2</v>
      </c>
      <c r="M360" s="165">
        <f t="shared" si="370"/>
        <v>4.2529053868538398E-2</v>
      </c>
      <c r="N360" s="165">
        <f t="shared" si="370"/>
        <v>3.9720068966493466E-2</v>
      </c>
      <c r="O360" s="165">
        <f t="shared" si="370"/>
        <v>3.8820253578444555E-2</v>
      </c>
      <c r="P360" s="165">
        <f t="shared" si="370"/>
        <v>3.9155400276096639E-2</v>
      </c>
      <c r="Q360" s="165">
        <f t="shared" si="370"/>
        <v>3.9956671906995048E-2</v>
      </c>
      <c r="R360" s="165">
        <f t="shared" si="370"/>
        <v>4.0138702101787618E-2</v>
      </c>
      <c r="S360" s="165">
        <f t="shared" si="370"/>
        <v>4.0414734210349849E-2</v>
      </c>
      <c r="T360" s="165">
        <f t="shared" si="370"/>
        <v>4.1254995376714183E-2</v>
      </c>
      <c r="U360" s="165">
        <f t="shared" si="370"/>
        <v>4.1455777634972574E-2</v>
      </c>
      <c r="V360" s="165">
        <f t="shared" si="370"/>
        <v>4.0091880127959563E-2</v>
      </c>
      <c r="W360" s="165">
        <f t="shared" si="370"/>
        <v>4.0551459898583567E-2</v>
      </c>
      <c r="X360" s="165">
        <f t="shared" si="370"/>
        <v>4.3376118326634336E-2</v>
      </c>
      <c r="Y360" s="165">
        <f t="shared" si="370"/>
        <v>4.3246573245160486E-2</v>
      </c>
      <c r="Z360" s="165">
        <f t="shared" si="370"/>
        <v>4.8180542106403886E-2</v>
      </c>
      <c r="AA360" s="165">
        <f t="shared" si="370"/>
        <v>4.8849475803514231E-2</v>
      </c>
      <c r="AB360" s="165">
        <f t="shared" si="370"/>
        <v>4.8572170208526937E-2</v>
      </c>
      <c r="AC360" s="165">
        <f t="shared" si="370"/>
        <v>4.9199256263197343E-2</v>
      </c>
      <c r="AD360" s="165">
        <f t="shared" si="370"/>
        <v>4.9945898502875563E-2</v>
      </c>
      <c r="AE360" s="165">
        <f t="shared" si="370"/>
        <v>5.0590535585973311E-2</v>
      </c>
      <c r="AF360" s="165">
        <f t="shared" si="370"/>
        <v>5.0590535585973311E-2</v>
      </c>
      <c r="AG360" s="165">
        <f t="shared" si="370"/>
        <v>5.0590535585973311E-2</v>
      </c>
      <c r="AH360" s="165">
        <f t="shared" si="370"/>
        <v>5.0590535585973311E-2</v>
      </c>
      <c r="AI360" s="165">
        <f t="shared" si="370"/>
        <v>5.0590535585973311E-2</v>
      </c>
      <c r="AJ360" s="165">
        <f t="shared" si="370"/>
        <v>5.0590535585973311E-2</v>
      </c>
      <c r="AK360" s="165">
        <f t="shared" si="370"/>
        <v>5.0590535585973311E-2</v>
      </c>
      <c r="AL360" s="165">
        <f t="shared" si="370"/>
        <v>5.0590535585973311E-2</v>
      </c>
      <c r="AM360" s="165">
        <f t="shared" si="370"/>
        <v>5.0590535585973311E-2</v>
      </c>
      <c r="AN360" s="165">
        <f t="shared" si="370"/>
        <v>5.0590535585973311E-2</v>
      </c>
      <c r="AO360" s="165">
        <f t="shared" si="370"/>
        <v>5.0590535585973311E-2</v>
      </c>
      <c r="AP360" s="165">
        <f t="shared" si="370"/>
        <v>5.0590535585973311E-2</v>
      </c>
      <c r="AQ360" s="165">
        <f t="shared" si="370"/>
        <v>5.0590535585973311E-2</v>
      </c>
      <c r="AR360" s="165">
        <f t="shared" si="370"/>
        <v>5.0590535585973311E-2</v>
      </c>
      <c r="AS360" s="157">
        <f t="shared" ref="AS360:BV360" si="371">AR360</f>
        <v>5.0590535585973311E-2</v>
      </c>
      <c r="AT360" s="157">
        <f t="shared" si="371"/>
        <v>5.0590535585973311E-2</v>
      </c>
      <c r="AU360" s="157">
        <f t="shared" si="371"/>
        <v>5.0590535585973311E-2</v>
      </c>
      <c r="AV360" s="157">
        <f t="shared" si="371"/>
        <v>5.0590535585973311E-2</v>
      </c>
      <c r="AW360" s="157">
        <f t="shared" si="371"/>
        <v>5.0590535585973311E-2</v>
      </c>
      <c r="AX360" s="157">
        <f t="shared" si="371"/>
        <v>5.0590535585973311E-2</v>
      </c>
      <c r="AY360" s="157">
        <f t="shared" si="371"/>
        <v>5.0590535585973311E-2</v>
      </c>
      <c r="AZ360" s="157">
        <f t="shared" si="371"/>
        <v>5.0590535585973311E-2</v>
      </c>
      <c r="BA360" s="157">
        <f t="shared" si="371"/>
        <v>5.0590535585973311E-2</v>
      </c>
      <c r="BB360" s="157">
        <f t="shared" si="371"/>
        <v>5.0590535585973311E-2</v>
      </c>
      <c r="BC360" s="157">
        <f t="shared" si="371"/>
        <v>5.0590535585973311E-2</v>
      </c>
      <c r="BD360" s="157">
        <f t="shared" si="371"/>
        <v>5.0590535585973311E-2</v>
      </c>
      <c r="BE360" s="157">
        <f t="shared" si="371"/>
        <v>5.0590535585973311E-2</v>
      </c>
      <c r="BF360" s="157">
        <f t="shared" si="371"/>
        <v>5.0590535585973311E-2</v>
      </c>
      <c r="BG360" s="157">
        <f t="shared" si="371"/>
        <v>5.0590535585973311E-2</v>
      </c>
      <c r="BH360" s="157">
        <f t="shared" si="371"/>
        <v>5.0590535585973311E-2</v>
      </c>
      <c r="BI360" s="157">
        <f t="shared" si="371"/>
        <v>5.0590535585973311E-2</v>
      </c>
      <c r="BJ360" s="157">
        <f t="shared" si="371"/>
        <v>5.0590535585973311E-2</v>
      </c>
      <c r="BK360" s="157">
        <f t="shared" si="371"/>
        <v>5.0590535585973311E-2</v>
      </c>
      <c r="BL360" s="157">
        <f t="shared" si="371"/>
        <v>5.0590535585973311E-2</v>
      </c>
      <c r="BM360" s="157">
        <f t="shared" si="371"/>
        <v>5.0590535585973311E-2</v>
      </c>
      <c r="BN360" s="157">
        <f t="shared" si="371"/>
        <v>5.0590535585973311E-2</v>
      </c>
      <c r="BO360" s="157">
        <f t="shared" si="371"/>
        <v>5.0590535585973311E-2</v>
      </c>
      <c r="BP360" s="157">
        <f t="shared" si="371"/>
        <v>5.0590535585973311E-2</v>
      </c>
      <c r="BQ360" s="157">
        <f t="shared" si="371"/>
        <v>5.0590535585973311E-2</v>
      </c>
      <c r="BR360" s="157">
        <f t="shared" si="371"/>
        <v>5.0590535585973311E-2</v>
      </c>
      <c r="BS360" s="157">
        <f t="shared" si="371"/>
        <v>5.0590535585973311E-2</v>
      </c>
      <c r="BT360" s="157">
        <f t="shared" si="371"/>
        <v>5.0590535585973311E-2</v>
      </c>
      <c r="BU360" s="157">
        <f t="shared" si="371"/>
        <v>5.0590535585973311E-2</v>
      </c>
      <c r="BV360" s="157">
        <f t="shared" si="371"/>
        <v>5.0590535585973311E-2</v>
      </c>
    </row>
    <row r="361" spans="1:74" x14ac:dyDescent="0.25">
      <c r="A361" s="155" t="s">
        <v>229</v>
      </c>
      <c r="C361" s="150"/>
      <c r="D361" s="165">
        <f t="shared" ref="D361:AR361" si="372">D190+D297+D329</f>
        <v>8.5659980897803245E-2</v>
      </c>
      <c r="E361" s="165">
        <f t="shared" si="372"/>
        <v>8.5659980897803245E-2</v>
      </c>
      <c r="F361" s="165">
        <f t="shared" si="372"/>
        <v>8.5659980897803245E-2</v>
      </c>
      <c r="G361" s="165">
        <f t="shared" si="372"/>
        <v>8.5659980897803245E-2</v>
      </c>
      <c r="H361" s="165">
        <f t="shared" si="372"/>
        <v>8.5659980897803245E-2</v>
      </c>
      <c r="I361" s="165">
        <f t="shared" si="372"/>
        <v>8.5659980897803245E-2</v>
      </c>
      <c r="J361" s="165">
        <f t="shared" si="372"/>
        <v>8.5659980897803245E-2</v>
      </c>
      <c r="K361" s="165">
        <f t="shared" si="372"/>
        <v>8.5659980897803245E-2</v>
      </c>
      <c r="L361" s="165">
        <f t="shared" si="372"/>
        <v>8.5659980897803245E-2</v>
      </c>
      <c r="M361" s="165">
        <f t="shared" si="372"/>
        <v>8.5659980897803245E-2</v>
      </c>
      <c r="N361" s="165">
        <f t="shared" si="372"/>
        <v>8.5659980897803245E-2</v>
      </c>
      <c r="O361" s="165">
        <f t="shared" si="372"/>
        <v>8.5659980897803245E-2</v>
      </c>
      <c r="P361" s="165">
        <f t="shared" si="372"/>
        <v>8.5659980897803245E-2</v>
      </c>
      <c r="Q361" s="165">
        <f t="shared" si="372"/>
        <v>8.5659980897803245E-2</v>
      </c>
      <c r="R361" s="165">
        <f t="shared" si="372"/>
        <v>8.5659980897803245E-2</v>
      </c>
      <c r="S361" s="165">
        <f t="shared" si="372"/>
        <v>8.5659980235070321E-2</v>
      </c>
      <c r="T361" s="165">
        <f t="shared" si="372"/>
        <v>8.5659982084141217E-2</v>
      </c>
      <c r="U361" s="165">
        <f t="shared" si="372"/>
        <v>8.5659982433645893E-2</v>
      </c>
      <c r="V361" s="165">
        <f t="shared" si="372"/>
        <v>8.5659978573235054E-2</v>
      </c>
      <c r="W361" s="165">
        <f t="shared" si="372"/>
        <v>8.5659979104485695E-2</v>
      </c>
      <c r="X361" s="165">
        <f t="shared" si="372"/>
        <v>8.5659983901724815E-2</v>
      </c>
      <c r="Y361" s="165">
        <f t="shared" si="372"/>
        <v>8.5659983491679706E-2</v>
      </c>
      <c r="Z361" s="165">
        <f t="shared" si="372"/>
        <v>8.5659981741404295E-2</v>
      </c>
      <c r="AA361" s="165">
        <f t="shared" si="372"/>
        <v>8.5659978701899384E-2</v>
      </c>
      <c r="AB361" s="165">
        <f t="shared" si="372"/>
        <v>8.5659981325379927E-2</v>
      </c>
      <c r="AC361" s="165">
        <f t="shared" si="372"/>
        <v>8.5659979287609503E-2</v>
      </c>
      <c r="AD361" s="165">
        <f t="shared" si="372"/>
        <v>8.5659983036909276E-2</v>
      </c>
      <c r="AE361" s="165">
        <f t="shared" si="372"/>
        <v>8.5659978388167135E-2</v>
      </c>
      <c r="AF361" s="165">
        <f t="shared" si="372"/>
        <v>8.5659978388167135E-2</v>
      </c>
      <c r="AG361" s="165">
        <f t="shared" si="372"/>
        <v>8.5659978388167135E-2</v>
      </c>
      <c r="AH361" s="165">
        <f t="shared" si="372"/>
        <v>8.5659978388167135E-2</v>
      </c>
      <c r="AI361" s="165">
        <f t="shared" si="372"/>
        <v>8.5659978388167135E-2</v>
      </c>
      <c r="AJ361" s="165">
        <f t="shared" si="372"/>
        <v>8.5659978388167135E-2</v>
      </c>
      <c r="AK361" s="165">
        <f t="shared" si="372"/>
        <v>8.5659978388167135E-2</v>
      </c>
      <c r="AL361" s="165">
        <f t="shared" si="372"/>
        <v>8.5659978388167135E-2</v>
      </c>
      <c r="AM361" s="165">
        <f t="shared" si="372"/>
        <v>8.5659978388167135E-2</v>
      </c>
      <c r="AN361" s="165">
        <f t="shared" si="372"/>
        <v>8.5659978388167135E-2</v>
      </c>
      <c r="AO361" s="165">
        <f t="shared" si="372"/>
        <v>8.5659978388167135E-2</v>
      </c>
      <c r="AP361" s="165">
        <f t="shared" si="372"/>
        <v>8.5659978388167135E-2</v>
      </c>
      <c r="AQ361" s="165">
        <f t="shared" si="372"/>
        <v>8.5659978388167135E-2</v>
      </c>
      <c r="AR361" s="165">
        <f t="shared" si="372"/>
        <v>8.5659978388167135E-2</v>
      </c>
      <c r="AS361" s="157">
        <f t="shared" ref="AS361:BV361" si="373">AR361</f>
        <v>8.5659978388167135E-2</v>
      </c>
      <c r="AT361" s="157">
        <f t="shared" si="373"/>
        <v>8.5659978388167135E-2</v>
      </c>
      <c r="AU361" s="157">
        <f t="shared" si="373"/>
        <v>8.5659978388167135E-2</v>
      </c>
      <c r="AV361" s="157">
        <f t="shared" si="373"/>
        <v>8.5659978388167135E-2</v>
      </c>
      <c r="AW361" s="157">
        <f t="shared" si="373"/>
        <v>8.5659978388167135E-2</v>
      </c>
      <c r="AX361" s="157">
        <f t="shared" si="373"/>
        <v>8.5659978388167135E-2</v>
      </c>
      <c r="AY361" s="157">
        <f t="shared" si="373"/>
        <v>8.5659978388167135E-2</v>
      </c>
      <c r="AZ361" s="157">
        <f t="shared" si="373"/>
        <v>8.5659978388167135E-2</v>
      </c>
      <c r="BA361" s="157">
        <f t="shared" si="373"/>
        <v>8.5659978388167135E-2</v>
      </c>
      <c r="BB361" s="157">
        <f t="shared" si="373"/>
        <v>8.5659978388167135E-2</v>
      </c>
      <c r="BC361" s="157">
        <f t="shared" si="373"/>
        <v>8.5659978388167135E-2</v>
      </c>
      <c r="BD361" s="157">
        <f t="shared" si="373"/>
        <v>8.5659978388167135E-2</v>
      </c>
      <c r="BE361" s="157">
        <f t="shared" si="373"/>
        <v>8.5659978388167135E-2</v>
      </c>
      <c r="BF361" s="157">
        <f t="shared" si="373"/>
        <v>8.5659978388167135E-2</v>
      </c>
      <c r="BG361" s="157">
        <f t="shared" si="373"/>
        <v>8.5659978388167135E-2</v>
      </c>
      <c r="BH361" s="157">
        <f t="shared" si="373"/>
        <v>8.5659978388167135E-2</v>
      </c>
      <c r="BI361" s="157">
        <f t="shared" si="373"/>
        <v>8.5659978388167135E-2</v>
      </c>
      <c r="BJ361" s="157">
        <f t="shared" si="373"/>
        <v>8.5659978388167135E-2</v>
      </c>
      <c r="BK361" s="157">
        <f t="shared" si="373"/>
        <v>8.5659978388167135E-2</v>
      </c>
      <c r="BL361" s="157">
        <f t="shared" si="373"/>
        <v>8.5659978388167135E-2</v>
      </c>
      <c r="BM361" s="157">
        <f t="shared" si="373"/>
        <v>8.5659978388167135E-2</v>
      </c>
      <c r="BN361" s="157">
        <f t="shared" si="373"/>
        <v>8.5659978388167135E-2</v>
      </c>
      <c r="BO361" s="157">
        <f t="shared" si="373"/>
        <v>8.5659978388167135E-2</v>
      </c>
      <c r="BP361" s="157">
        <f t="shared" si="373"/>
        <v>8.5659978388167135E-2</v>
      </c>
      <c r="BQ361" s="157">
        <f t="shared" si="373"/>
        <v>8.5659978388167135E-2</v>
      </c>
      <c r="BR361" s="157">
        <f t="shared" si="373"/>
        <v>8.5659978388167135E-2</v>
      </c>
      <c r="BS361" s="157">
        <f t="shared" si="373"/>
        <v>8.5659978388167135E-2</v>
      </c>
      <c r="BT361" s="157">
        <f t="shared" si="373"/>
        <v>8.5659978388167135E-2</v>
      </c>
      <c r="BU361" s="157">
        <f t="shared" si="373"/>
        <v>8.5659978388167135E-2</v>
      </c>
      <c r="BV361" s="157">
        <f t="shared" si="373"/>
        <v>8.5659978388167135E-2</v>
      </c>
    </row>
    <row r="362" spans="1:74" x14ac:dyDescent="0.25">
      <c r="A362" s="155" t="s">
        <v>230</v>
      </c>
      <c r="C362" s="150"/>
      <c r="D362" s="165">
        <f t="shared" ref="D362:AR362" si="374">D191+D298+D330</f>
        <v>0</v>
      </c>
      <c r="E362" s="165">
        <f t="shared" si="374"/>
        <v>0</v>
      </c>
      <c r="F362" s="165">
        <f t="shared" si="374"/>
        <v>0</v>
      </c>
      <c r="G362" s="165">
        <f t="shared" si="374"/>
        <v>0</v>
      </c>
      <c r="H362" s="165">
        <f t="shared" si="374"/>
        <v>0</v>
      </c>
      <c r="I362" s="165">
        <f t="shared" si="374"/>
        <v>0</v>
      </c>
      <c r="J362" s="165">
        <f t="shared" si="374"/>
        <v>0</v>
      </c>
      <c r="K362" s="165">
        <f t="shared" si="374"/>
        <v>0</v>
      </c>
      <c r="L362" s="165">
        <f t="shared" si="374"/>
        <v>0</v>
      </c>
      <c r="M362" s="165">
        <f t="shared" si="374"/>
        <v>0</v>
      </c>
      <c r="N362" s="165">
        <f t="shared" si="374"/>
        <v>0</v>
      </c>
      <c r="O362" s="165">
        <f t="shared" si="374"/>
        <v>0</v>
      </c>
      <c r="P362" s="165">
        <f t="shared" si="374"/>
        <v>0</v>
      </c>
      <c r="Q362" s="165">
        <f t="shared" si="374"/>
        <v>0</v>
      </c>
      <c r="R362" s="165">
        <f t="shared" si="374"/>
        <v>0</v>
      </c>
      <c r="S362" s="165">
        <f t="shared" si="374"/>
        <v>0</v>
      </c>
      <c r="T362" s="165">
        <f t="shared" si="374"/>
        <v>0</v>
      </c>
      <c r="U362" s="165">
        <f t="shared" si="374"/>
        <v>0</v>
      </c>
      <c r="V362" s="165">
        <f t="shared" si="374"/>
        <v>0</v>
      </c>
      <c r="W362" s="165">
        <f t="shared" si="374"/>
        <v>0</v>
      </c>
      <c r="X362" s="165">
        <f t="shared" si="374"/>
        <v>0</v>
      </c>
      <c r="Y362" s="165">
        <f t="shared" si="374"/>
        <v>0</v>
      </c>
      <c r="Z362" s="165">
        <f t="shared" si="374"/>
        <v>0</v>
      </c>
      <c r="AA362" s="165">
        <f t="shared" si="374"/>
        <v>0</v>
      </c>
      <c r="AB362" s="165">
        <f t="shared" si="374"/>
        <v>0</v>
      </c>
      <c r="AC362" s="165">
        <f t="shared" si="374"/>
        <v>0</v>
      </c>
      <c r="AD362" s="165">
        <f t="shared" si="374"/>
        <v>0</v>
      </c>
      <c r="AE362" s="165">
        <f t="shared" si="374"/>
        <v>0</v>
      </c>
      <c r="AF362" s="165">
        <f t="shared" si="374"/>
        <v>0</v>
      </c>
      <c r="AG362" s="165">
        <f t="shared" si="374"/>
        <v>0</v>
      </c>
      <c r="AH362" s="165">
        <f t="shared" si="374"/>
        <v>0</v>
      </c>
      <c r="AI362" s="165">
        <f t="shared" si="374"/>
        <v>0</v>
      </c>
      <c r="AJ362" s="165">
        <f t="shared" si="374"/>
        <v>0</v>
      </c>
      <c r="AK362" s="165">
        <f t="shared" si="374"/>
        <v>0</v>
      </c>
      <c r="AL362" s="165">
        <f t="shared" si="374"/>
        <v>0</v>
      </c>
      <c r="AM362" s="165">
        <f t="shared" si="374"/>
        <v>0</v>
      </c>
      <c r="AN362" s="165">
        <f t="shared" si="374"/>
        <v>0</v>
      </c>
      <c r="AO362" s="165">
        <f t="shared" si="374"/>
        <v>0</v>
      </c>
      <c r="AP362" s="165">
        <f t="shared" si="374"/>
        <v>0</v>
      </c>
      <c r="AQ362" s="165">
        <f t="shared" si="374"/>
        <v>0</v>
      </c>
      <c r="AR362" s="165">
        <f t="shared" si="374"/>
        <v>0</v>
      </c>
      <c r="AS362" s="157">
        <f t="shared" ref="AS362:BV362" si="375">AR362</f>
        <v>0</v>
      </c>
      <c r="AT362" s="157">
        <f t="shared" si="375"/>
        <v>0</v>
      </c>
      <c r="AU362" s="157">
        <f t="shared" si="375"/>
        <v>0</v>
      </c>
      <c r="AV362" s="157">
        <f t="shared" si="375"/>
        <v>0</v>
      </c>
      <c r="AW362" s="157">
        <f t="shared" si="375"/>
        <v>0</v>
      </c>
      <c r="AX362" s="157">
        <f t="shared" si="375"/>
        <v>0</v>
      </c>
      <c r="AY362" s="157">
        <f t="shared" si="375"/>
        <v>0</v>
      </c>
      <c r="AZ362" s="157">
        <f t="shared" si="375"/>
        <v>0</v>
      </c>
      <c r="BA362" s="157">
        <f t="shared" si="375"/>
        <v>0</v>
      </c>
      <c r="BB362" s="157">
        <f t="shared" si="375"/>
        <v>0</v>
      </c>
      <c r="BC362" s="157">
        <f t="shared" si="375"/>
        <v>0</v>
      </c>
      <c r="BD362" s="157">
        <f t="shared" si="375"/>
        <v>0</v>
      </c>
      <c r="BE362" s="157">
        <f t="shared" si="375"/>
        <v>0</v>
      </c>
      <c r="BF362" s="157">
        <f t="shared" si="375"/>
        <v>0</v>
      </c>
      <c r="BG362" s="157">
        <f t="shared" si="375"/>
        <v>0</v>
      </c>
      <c r="BH362" s="157">
        <f t="shared" si="375"/>
        <v>0</v>
      </c>
      <c r="BI362" s="157">
        <f t="shared" si="375"/>
        <v>0</v>
      </c>
      <c r="BJ362" s="157">
        <f t="shared" si="375"/>
        <v>0</v>
      </c>
      <c r="BK362" s="157">
        <f t="shared" si="375"/>
        <v>0</v>
      </c>
      <c r="BL362" s="157">
        <f t="shared" si="375"/>
        <v>0</v>
      </c>
      <c r="BM362" s="157">
        <f t="shared" si="375"/>
        <v>0</v>
      </c>
      <c r="BN362" s="157">
        <f t="shared" si="375"/>
        <v>0</v>
      </c>
      <c r="BO362" s="157">
        <f t="shared" si="375"/>
        <v>0</v>
      </c>
      <c r="BP362" s="157">
        <f t="shared" si="375"/>
        <v>0</v>
      </c>
      <c r="BQ362" s="157">
        <f t="shared" si="375"/>
        <v>0</v>
      </c>
      <c r="BR362" s="157">
        <f t="shared" si="375"/>
        <v>0</v>
      </c>
      <c r="BS362" s="157">
        <f t="shared" si="375"/>
        <v>0</v>
      </c>
      <c r="BT362" s="157">
        <f t="shared" si="375"/>
        <v>0</v>
      </c>
      <c r="BU362" s="157">
        <f t="shared" si="375"/>
        <v>0</v>
      </c>
      <c r="BV362" s="157">
        <f t="shared" si="375"/>
        <v>0</v>
      </c>
    </row>
    <row r="363" spans="1:74" x14ac:dyDescent="0.25">
      <c r="A363" s="155" t="s">
        <v>232</v>
      </c>
      <c r="B363" s="156"/>
      <c r="C363" s="150"/>
      <c r="D363" s="165">
        <f t="shared" ref="D363:AR363" si="376">D192+D299+D331</f>
        <v>4.3385496959860589E-2</v>
      </c>
      <c r="E363" s="165">
        <f t="shared" si="376"/>
        <v>4.3568141314469427E-2</v>
      </c>
      <c r="F363" s="165">
        <f t="shared" si="376"/>
        <v>4.3750785669219652E-2</v>
      </c>
      <c r="G363" s="165">
        <f t="shared" si="376"/>
        <v>4.3933430024111264E-2</v>
      </c>
      <c r="H363" s="165">
        <f t="shared" si="376"/>
        <v>4.4116074379144249E-2</v>
      </c>
      <c r="I363" s="165">
        <f t="shared" si="376"/>
        <v>4.4298718734318614E-2</v>
      </c>
      <c r="J363" s="165">
        <f t="shared" si="376"/>
        <v>4.3302592575297623E-2</v>
      </c>
      <c r="K363" s="165">
        <f t="shared" si="376"/>
        <v>4.2776794756795189E-2</v>
      </c>
      <c r="L363" s="165">
        <f t="shared" si="376"/>
        <v>3.9588571622456985E-2</v>
      </c>
      <c r="M363" s="165">
        <f t="shared" si="376"/>
        <v>4.2533031388114456E-2</v>
      </c>
      <c r="N363" s="165">
        <f t="shared" si="376"/>
        <v>3.9724053519847716E-2</v>
      </c>
      <c r="O363" s="165">
        <f t="shared" si="376"/>
        <v>3.8824195929102023E-2</v>
      </c>
      <c r="P363" s="165">
        <f t="shared" si="376"/>
        <v>3.9159300424065825E-2</v>
      </c>
      <c r="Q363" s="165">
        <f t="shared" si="376"/>
        <v>3.9960529852214821E-2</v>
      </c>
      <c r="R363" s="165">
        <f t="shared" si="376"/>
        <v>4.0142517844320554E-2</v>
      </c>
      <c r="S363" s="165">
        <f t="shared" si="376"/>
        <v>4.0418507750252824E-2</v>
      </c>
      <c r="T363" s="165">
        <f t="shared" si="376"/>
        <v>4.1258768916613911E-2</v>
      </c>
      <c r="U363" s="165">
        <f t="shared" si="376"/>
        <v>4.1459574620655741E-2</v>
      </c>
      <c r="V363" s="165">
        <f t="shared" si="376"/>
        <v>4.0095606776671316E-2</v>
      </c>
      <c r="W363" s="165">
        <f t="shared" si="376"/>
        <v>4.0555233440629182E-2</v>
      </c>
      <c r="X363" s="165">
        <f t="shared" si="376"/>
        <v>4.3379903587226348E-2</v>
      </c>
      <c r="Y363" s="165">
        <f t="shared" si="376"/>
        <v>4.3250417123209296E-2</v>
      </c>
      <c r="Z363" s="165">
        <f t="shared" si="376"/>
        <v>4.8180542104627459E-2</v>
      </c>
      <c r="AA363" s="165">
        <f t="shared" si="376"/>
        <v>4.8849475806364707E-2</v>
      </c>
      <c r="AB363" s="165">
        <f t="shared" si="376"/>
        <v>4.8572170211377413E-2</v>
      </c>
      <c r="AC363" s="165">
        <f t="shared" si="376"/>
        <v>4.9199256266047819E-2</v>
      </c>
      <c r="AD363" s="165">
        <f t="shared" si="376"/>
        <v>4.9945898502668E-2</v>
      </c>
      <c r="AE363" s="165">
        <f t="shared" si="376"/>
        <v>5.0590535585765747E-2</v>
      </c>
      <c r="AF363" s="165">
        <f t="shared" si="376"/>
        <v>5.0590535585765747E-2</v>
      </c>
      <c r="AG363" s="165">
        <f t="shared" si="376"/>
        <v>5.0590535585765747E-2</v>
      </c>
      <c r="AH363" s="165">
        <f t="shared" si="376"/>
        <v>5.0590535585765747E-2</v>
      </c>
      <c r="AI363" s="165">
        <f t="shared" si="376"/>
        <v>5.0590535585765747E-2</v>
      </c>
      <c r="AJ363" s="165">
        <f t="shared" si="376"/>
        <v>5.0590535585765747E-2</v>
      </c>
      <c r="AK363" s="165">
        <f t="shared" si="376"/>
        <v>5.0590535585765747E-2</v>
      </c>
      <c r="AL363" s="165">
        <f t="shared" si="376"/>
        <v>5.0590535585765747E-2</v>
      </c>
      <c r="AM363" s="165">
        <f t="shared" si="376"/>
        <v>5.0590535585765747E-2</v>
      </c>
      <c r="AN363" s="165">
        <f t="shared" si="376"/>
        <v>5.0590535585765747E-2</v>
      </c>
      <c r="AO363" s="165">
        <f t="shared" si="376"/>
        <v>5.0590535585765747E-2</v>
      </c>
      <c r="AP363" s="165">
        <f t="shared" si="376"/>
        <v>5.0590535585765747E-2</v>
      </c>
      <c r="AQ363" s="165">
        <f t="shared" si="376"/>
        <v>5.0590535585765747E-2</v>
      </c>
      <c r="AR363" s="165">
        <f t="shared" si="376"/>
        <v>5.0590535585765747E-2</v>
      </c>
      <c r="AS363" s="157">
        <f>AR363</f>
        <v>5.0590535585765747E-2</v>
      </c>
      <c r="AT363" s="157">
        <f t="shared" ref="AT363:BV363" si="377">AS363</f>
        <v>5.0590535585765747E-2</v>
      </c>
      <c r="AU363" s="157">
        <f t="shared" si="377"/>
        <v>5.0590535585765747E-2</v>
      </c>
      <c r="AV363" s="157">
        <f t="shared" si="377"/>
        <v>5.0590535585765747E-2</v>
      </c>
      <c r="AW363" s="157">
        <f t="shared" si="377"/>
        <v>5.0590535585765747E-2</v>
      </c>
      <c r="AX363" s="157">
        <f t="shared" si="377"/>
        <v>5.0590535585765747E-2</v>
      </c>
      <c r="AY363" s="157">
        <f t="shared" si="377"/>
        <v>5.0590535585765747E-2</v>
      </c>
      <c r="AZ363" s="157">
        <f t="shared" si="377"/>
        <v>5.0590535585765747E-2</v>
      </c>
      <c r="BA363" s="157">
        <f t="shared" si="377"/>
        <v>5.0590535585765747E-2</v>
      </c>
      <c r="BB363" s="157">
        <f t="shared" si="377"/>
        <v>5.0590535585765747E-2</v>
      </c>
      <c r="BC363" s="157">
        <f t="shared" si="377"/>
        <v>5.0590535585765747E-2</v>
      </c>
      <c r="BD363" s="157">
        <f t="shared" si="377"/>
        <v>5.0590535585765747E-2</v>
      </c>
      <c r="BE363" s="157">
        <f t="shared" si="377"/>
        <v>5.0590535585765747E-2</v>
      </c>
      <c r="BF363" s="157">
        <f t="shared" si="377"/>
        <v>5.0590535585765747E-2</v>
      </c>
      <c r="BG363" s="157">
        <f t="shared" si="377"/>
        <v>5.0590535585765747E-2</v>
      </c>
      <c r="BH363" s="157">
        <f t="shared" si="377"/>
        <v>5.0590535585765747E-2</v>
      </c>
      <c r="BI363" s="157">
        <f t="shared" si="377"/>
        <v>5.0590535585765747E-2</v>
      </c>
      <c r="BJ363" s="157">
        <f t="shared" si="377"/>
        <v>5.0590535585765747E-2</v>
      </c>
      <c r="BK363" s="157">
        <f t="shared" si="377"/>
        <v>5.0590535585765747E-2</v>
      </c>
      <c r="BL363" s="157">
        <f t="shared" si="377"/>
        <v>5.0590535585765747E-2</v>
      </c>
      <c r="BM363" s="157">
        <f t="shared" si="377"/>
        <v>5.0590535585765747E-2</v>
      </c>
      <c r="BN363" s="157">
        <f t="shared" si="377"/>
        <v>5.0590535585765747E-2</v>
      </c>
      <c r="BO363" s="157">
        <f t="shared" si="377"/>
        <v>5.0590535585765747E-2</v>
      </c>
      <c r="BP363" s="157">
        <f t="shared" si="377"/>
        <v>5.0590535585765747E-2</v>
      </c>
      <c r="BQ363" s="157">
        <f t="shared" si="377"/>
        <v>5.0590535585765747E-2</v>
      </c>
      <c r="BR363" s="157">
        <f t="shared" si="377"/>
        <v>5.0590535585765747E-2</v>
      </c>
      <c r="BS363" s="157">
        <f t="shared" si="377"/>
        <v>5.0590535585765747E-2</v>
      </c>
      <c r="BT363" s="157">
        <f t="shared" si="377"/>
        <v>5.0590535585765747E-2</v>
      </c>
      <c r="BU363" s="157">
        <f t="shared" si="377"/>
        <v>5.0590535585765747E-2</v>
      </c>
      <c r="BV363" s="157">
        <f t="shared" si="377"/>
        <v>5.0590535585765747E-2</v>
      </c>
    </row>
    <row r="364" spans="1:74" x14ac:dyDescent="0.25">
      <c r="A364" s="155" t="s">
        <v>233</v>
      </c>
      <c r="B364" s="156"/>
      <c r="C364" s="150"/>
      <c r="D364" s="165">
        <f t="shared" ref="D364:AR364" si="378">D193+D300+D332</f>
        <v>0</v>
      </c>
      <c r="E364" s="165">
        <f t="shared" si="378"/>
        <v>0</v>
      </c>
      <c r="F364" s="165">
        <f t="shared" si="378"/>
        <v>0</v>
      </c>
      <c r="G364" s="165">
        <f t="shared" si="378"/>
        <v>0</v>
      </c>
      <c r="H364" s="165">
        <f t="shared" si="378"/>
        <v>0</v>
      </c>
      <c r="I364" s="165">
        <f t="shared" si="378"/>
        <v>0</v>
      </c>
      <c r="J364" s="165">
        <f t="shared" si="378"/>
        <v>0</v>
      </c>
      <c r="K364" s="165">
        <f t="shared" si="378"/>
        <v>0</v>
      </c>
      <c r="L364" s="165">
        <f t="shared" si="378"/>
        <v>0</v>
      </c>
      <c r="M364" s="165">
        <f t="shared" si="378"/>
        <v>0</v>
      </c>
      <c r="N364" s="165">
        <f t="shared" si="378"/>
        <v>0</v>
      </c>
      <c r="O364" s="165">
        <f t="shared" si="378"/>
        <v>0</v>
      </c>
      <c r="P364" s="165">
        <f t="shared" si="378"/>
        <v>0</v>
      </c>
      <c r="Q364" s="165">
        <f t="shared" si="378"/>
        <v>0</v>
      </c>
      <c r="R364" s="165">
        <f t="shared" si="378"/>
        <v>0</v>
      </c>
      <c r="S364" s="165">
        <f t="shared" si="378"/>
        <v>0</v>
      </c>
      <c r="T364" s="165">
        <f t="shared" si="378"/>
        <v>0</v>
      </c>
      <c r="U364" s="165">
        <f t="shared" si="378"/>
        <v>0</v>
      </c>
      <c r="V364" s="165">
        <f t="shared" si="378"/>
        <v>0</v>
      </c>
      <c r="W364" s="165">
        <f t="shared" si="378"/>
        <v>0</v>
      </c>
      <c r="X364" s="165">
        <f t="shared" si="378"/>
        <v>0</v>
      </c>
      <c r="Y364" s="165">
        <f t="shared" si="378"/>
        <v>0</v>
      </c>
      <c r="Z364" s="165">
        <f t="shared" si="378"/>
        <v>0</v>
      </c>
      <c r="AA364" s="165">
        <f t="shared" si="378"/>
        <v>0</v>
      </c>
      <c r="AB364" s="165">
        <f t="shared" si="378"/>
        <v>0</v>
      </c>
      <c r="AC364" s="165">
        <f t="shared" si="378"/>
        <v>0</v>
      </c>
      <c r="AD364" s="165">
        <f t="shared" si="378"/>
        <v>0</v>
      </c>
      <c r="AE364" s="165">
        <f t="shared" si="378"/>
        <v>0</v>
      </c>
      <c r="AF364" s="165">
        <f t="shared" si="378"/>
        <v>0</v>
      </c>
      <c r="AG364" s="165">
        <f t="shared" si="378"/>
        <v>0</v>
      </c>
      <c r="AH364" s="165">
        <f t="shared" si="378"/>
        <v>0</v>
      </c>
      <c r="AI364" s="165">
        <f t="shared" si="378"/>
        <v>0</v>
      </c>
      <c r="AJ364" s="165">
        <f t="shared" si="378"/>
        <v>0</v>
      </c>
      <c r="AK364" s="165">
        <f t="shared" si="378"/>
        <v>0</v>
      </c>
      <c r="AL364" s="165">
        <f t="shared" si="378"/>
        <v>0</v>
      </c>
      <c r="AM364" s="165">
        <f t="shared" si="378"/>
        <v>0</v>
      </c>
      <c r="AN364" s="165">
        <f t="shared" si="378"/>
        <v>0</v>
      </c>
      <c r="AO364" s="165">
        <f t="shared" si="378"/>
        <v>0</v>
      </c>
      <c r="AP364" s="165">
        <f t="shared" si="378"/>
        <v>0</v>
      </c>
      <c r="AQ364" s="165">
        <f t="shared" si="378"/>
        <v>0</v>
      </c>
      <c r="AR364" s="165">
        <f t="shared" si="378"/>
        <v>0</v>
      </c>
      <c r="AS364" s="157">
        <f t="shared" ref="AS364:BV364" si="379">AR364</f>
        <v>0</v>
      </c>
      <c r="AT364" s="157">
        <f t="shared" si="379"/>
        <v>0</v>
      </c>
      <c r="AU364" s="157">
        <f t="shared" si="379"/>
        <v>0</v>
      </c>
      <c r="AV364" s="157">
        <f t="shared" si="379"/>
        <v>0</v>
      </c>
      <c r="AW364" s="157">
        <f t="shared" si="379"/>
        <v>0</v>
      </c>
      <c r="AX364" s="157">
        <f t="shared" si="379"/>
        <v>0</v>
      </c>
      <c r="AY364" s="157">
        <f t="shared" si="379"/>
        <v>0</v>
      </c>
      <c r="AZ364" s="157">
        <f t="shared" si="379"/>
        <v>0</v>
      </c>
      <c r="BA364" s="157">
        <f t="shared" si="379"/>
        <v>0</v>
      </c>
      <c r="BB364" s="157">
        <f t="shared" si="379"/>
        <v>0</v>
      </c>
      <c r="BC364" s="157">
        <f t="shared" si="379"/>
        <v>0</v>
      </c>
      <c r="BD364" s="157">
        <f t="shared" si="379"/>
        <v>0</v>
      </c>
      <c r="BE364" s="157">
        <f t="shared" si="379"/>
        <v>0</v>
      </c>
      <c r="BF364" s="157">
        <f t="shared" si="379"/>
        <v>0</v>
      </c>
      <c r="BG364" s="157">
        <f t="shared" si="379"/>
        <v>0</v>
      </c>
      <c r="BH364" s="157">
        <f t="shared" si="379"/>
        <v>0</v>
      </c>
      <c r="BI364" s="157">
        <f t="shared" si="379"/>
        <v>0</v>
      </c>
      <c r="BJ364" s="157">
        <f t="shared" si="379"/>
        <v>0</v>
      </c>
      <c r="BK364" s="157">
        <f t="shared" si="379"/>
        <v>0</v>
      </c>
      <c r="BL364" s="157">
        <f t="shared" si="379"/>
        <v>0</v>
      </c>
      <c r="BM364" s="157">
        <f t="shared" si="379"/>
        <v>0</v>
      </c>
      <c r="BN364" s="157">
        <f t="shared" si="379"/>
        <v>0</v>
      </c>
      <c r="BO364" s="157">
        <f t="shared" si="379"/>
        <v>0</v>
      </c>
      <c r="BP364" s="157">
        <f t="shared" si="379"/>
        <v>0</v>
      </c>
      <c r="BQ364" s="157">
        <f t="shared" si="379"/>
        <v>0</v>
      </c>
      <c r="BR364" s="157">
        <f t="shared" si="379"/>
        <v>0</v>
      </c>
      <c r="BS364" s="157">
        <f t="shared" si="379"/>
        <v>0</v>
      </c>
      <c r="BT364" s="157">
        <f t="shared" si="379"/>
        <v>0</v>
      </c>
      <c r="BU364" s="157">
        <f t="shared" si="379"/>
        <v>0</v>
      </c>
      <c r="BV364" s="157">
        <f t="shared" si="379"/>
        <v>0</v>
      </c>
    </row>
    <row r="365" spans="1:74" x14ac:dyDescent="0.25">
      <c r="A365" s="155" t="s">
        <v>235</v>
      </c>
      <c r="B365" s="156"/>
      <c r="C365" s="150"/>
      <c r="D365" s="165">
        <f t="shared" ref="D365:AR365" si="380">D194+D301+D333</f>
        <v>8.0699999999999994E-2</v>
      </c>
      <c r="E365" s="165">
        <f t="shared" si="380"/>
        <v>8.0699999999999994E-2</v>
      </c>
      <c r="F365" s="165">
        <f t="shared" si="380"/>
        <v>8.0699999999999994E-2</v>
      </c>
      <c r="G365" s="165">
        <f t="shared" si="380"/>
        <v>8.0699999999999994E-2</v>
      </c>
      <c r="H365" s="165">
        <f t="shared" si="380"/>
        <v>8.0699999999999994E-2</v>
      </c>
      <c r="I365" s="165">
        <f t="shared" si="380"/>
        <v>7.9500000000000001E-2</v>
      </c>
      <c r="J365" s="165">
        <f t="shared" si="380"/>
        <v>7.9500000000000001E-2</v>
      </c>
      <c r="K365" s="165">
        <f t="shared" si="380"/>
        <v>7.9500000000000001E-2</v>
      </c>
      <c r="L365" s="165">
        <f t="shared" si="380"/>
        <v>7.9500000000000001E-2</v>
      </c>
      <c r="M365" s="165">
        <f t="shared" si="380"/>
        <v>7.9500000000000001E-2</v>
      </c>
      <c r="N365" s="165">
        <f t="shared" si="380"/>
        <v>7.9500000000000001E-2</v>
      </c>
      <c r="O365" s="165">
        <f t="shared" si="380"/>
        <v>8.0500000000000002E-2</v>
      </c>
      <c r="P365" s="165">
        <f t="shared" si="380"/>
        <v>8.2500000000000004E-2</v>
      </c>
      <c r="Q365" s="165">
        <f t="shared" si="380"/>
        <v>8.4500000000000006E-2</v>
      </c>
      <c r="R365" s="165">
        <f t="shared" si="380"/>
        <v>8.3400000000000002E-2</v>
      </c>
      <c r="S365" s="165">
        <f t="shared" si="380"/>
        <v>8.3099999999999993E-2</v>
      </c>
      <c r="T365" s="165">
        <f t="shared" si="380"/>
        <v>8.5699999999999998E-2</v>
      </c>
      <c r="U365" s="165">
        <f t="shared" si="380"/>
        <v>8.9599999999999999E-2</v>
      </c>
      <c r="V365" s="165">
        <f t="shared" si="380"/>
        <v>8.8200000000000001E-2</v>
      </c>
      <c r="W365" s="165">
        <f t="shared" si="380"/>
        <v>8.1100000000000005E-2</v>
      </c>
      <c r="X365" s="165">
        <f t="shared" si="380"/>
        <v>8.2000000000000003E-2</v>
      </c>
      <c r="Y365" s="165">
        <f t="shared" si="380"/>
        <v>8.2000000000000003E-2</v>
      </c>
      <c r="Z365" s="165">
        <f t="shared" si="380"/>
        <v>8.2000000000000003E-2</v>
      </c>
      <c r="AA365" s="165">
        <f t="shared" si="380"/>
        <v>8.2000000000000003E-2</v>
      </c>
      <c r="AB365" s="165">
        <f t="shared" si="380"/>
        <v>8.2000000000000003E-2</v>
      </c>
      <c r="AC365" s="165">
        <f t="shared" si="380"/>
        <v>8.2000000000000003E-2</v>
      </c>
      <c r="AD365" s="165">
        <f t="shared" si="380"/>
        <v>8.2000000000000003E-2</v>
      </c>
      <c r="AE365" s="165">
        <f t="shared" si="380"/>
        <v>8.2000000000000003E-2</v>
      </c>
      <c r="AF365" s="165">
        <f t="shared" si="380"/>
        <v>8.2000000000000003E-2</v>
      </c>
      <c r="AG365" s="165">
        <f t="shared" si="380"/>
        <v>8.2000000000000003E-2</v>
      </c>
      <c r="AH365" s="165">
        <f t="shared" si="380"/>
        <v>8.2000000000000003E-2</v>
      </c>
      <c r="AI365" s="165">
        <f t="shared" si="380"/>
        <v>8.2000000000000003E-2</v>
      </c>
      <c r="AJ365" s="165">
        <f t="shared" si="380"/>
        <v>8.2000000000000003E-2</v>
      </c>
      <c r="AK365" s="165">
        <f t="shared" si="380"/>
        <v>8.2000000000000003E-2</v>
      </c>
      <c r="AL365" s="165">
        <f t="shared" si="380"/>
        <v>8.2000000000000003E-2</v>
      </c>
      <c r="AM365" s="165">
        <f t="shared" si="380"/>
        <v>8.2000000000000003E-2</v>
      </c>
      <c r="AN365" s="165">
        <f t="shared" si="380"/>
        <v>8.2000000000000003E-2</v>
      </c>
      <c r="AO365" s="165">
        <f t="shared" si="380"/>
        <v>8.2000000000000003E-2</v>
      </c>
      <c r="AP365" s="165">
        <f t="shared" si="380"/>
        <v>8.2000000000000003E-2</v>
      </c>
      <c r="AQ365" s="165">
        <f t="shared" si="380"/>
        <v>8.2000000000000003E-2</v>
      </c>
      <c r="AR365" s="165">
        <f t="shared" si="380"/>
        <v>8.2000000000000003E-2</v>
      </c>
      <c r="AS365" s="157">
        <f>AR365</f>
        <v>8.2000000000000003E-2</v>
      </c>
      <c r="AT365" s="157">
        <f t="shared" ref="AT365:BV365" si="381">AS365</f>
        <v>8.2000000000000003E-2</v>
      </c>
      <c r="AU365" s="157">
        <f t="shared" si="381"/>
        <v>8.2000000000000003E-2</v>
      </c>
      <c r="AV365" s="157">
        <f t="shared" si="381"/>
        <v>8.2000000000000003E-2</v>
      </c>
      <c r="AW365" s="157">
        <f t="shared" si="381"/>
        <v>8.2000000000000003E-2</v>
      </c>
      <c r="AX365" s="157">
        <f t="shared" si="381"/>
        <v>8.2000000000000003E-2</v>
      </c>
      <c r="AY365" s="157">
        <f t="shared" si="381"/>
        <v>8.2000000000000003E-2</v>
      </c>
      <c r="AZ365" s="157">
        <f t="shared" si="381"/>
        <v>8.2000000000000003E-2</v>
      </c>
      <c r="BA365" s="157">
        <f t="shared" si="381"/>
        <v>8.2000000000000003E-2</v>
      </c>
      <c r="BB365" s="157">
        <f t="shared" si="381"/>
        <v>8.2000000000000003E-2</v>
      </c>
      <c r="BC365" s="157">
        <f t="shared" si="381"/>
        <v>8.2000000000000003E-2</v>
      </c>
      <c r="BD365" s="157">
        <f t="shared" si="381"/>
        <v>8.2000000000000003E-2</v>
      </c>
      <c r="BE365" s="157">
        <f t="shared" si="381"/>
        <v>8.2000000000000003E-2</v>
      </c>
      <c r="BF365" s="157">
        <f t="shared" si="381"/>
        <v>8.2000000000000003E-2</v>
      </c>
      <c r="BG365" s="157">
        <f t="shared" si="381"/>
        <v>8.2000000000000003E-2</v>
      </c>
      <c r="BH365" s="157">
        <f t="shared" si="381"/>
        <v>8.2000000000000003E-2</v>
      </c>
      <c r="BI365" s="157">
        <f t="shared" si="381"/>
        <v>8.2000000000000003E-2</v>
      </c>
      <c r="BJ365" s="157">
        <f t="shared" si="381"/>
        <v>8.2000000000000003E-2</v>
      </c>
      <c r="BK365" s="157">
        <f t="shared" si="381"/>
        <v>8.2000000000000003E-2</v>
      </c>
      <c r="BL365" s="157">
        <f t="shared" si="381"/>
        <v>8.2000000000000003E-2</v>
      </c>
      <c r="BM365" s="157">
        <f t="shared" si="381"/>
        <v>8.2000000000000003E-2</v>
      </c>
      <c r="BN365" s="157">
        <f t="shared" si="381"/>
        <v>8.2000000000000003E-2</v>
      </c>
      <c r="BO365" s="157">
        <f t="shared" si="381"/>
        <v>8.2000000000000003E-2</v>
      </c>
      <c r="BP365" s="157">
        <f t="shared" si="381"/>
        <v>8.2000000000000003E-2</v>
      </c>
      <c r="BQ365" s="157">
        <f t="shared" si="381"/>
        <v>8.2000000000000003E-2</v>
      </c>
      <c r="BR365" s="157">
        <f t="shared" si="381"/>
        <v>8.2000000000000003E-2</v>
      </c>
      <c r="BS365" s="157">
        <f t="shared" si="381"/>
        <v>8.2000000000000003E-2</v>
      </c>
      <c r="BT365" s="157">
        <f t="shared" si="381"/>
        <v>8.2000000000000003E-2</v>
      </c>
      <c r="BU365" s="157">
        <f t="shared" si="381"/>
        <v>8.2000000000000003E-2</v>
      </c>
      <c r="BV365" s="157">
        <f t="shared" si="381"/>
        <v>8.2000000000000003E-2</v>
      </c>
    </row>
    <row r="366" spans="1:74" x14ac:dyDescent="0.25">
      <c r="A366" s="155" t="s">
        <v>15</v>
      </c>
      <c r="C366" s="150"/>
      <c r="D366" s="165">
        <f t="shared" ref="D366:AR366" si="382">D195+D302+D334</f>
        <v>8.1988538681948414E-2</v>
      </c>
      <c r="E366" s="165">
        <f t="shared" si="382"/>
        <v>8.1988538681948414E-2</v>
      </c>
      <c r="F366" s="165">
        <f t="shared" si="382"/>
        <v>8.1988538681948414E-2</v>
      </c>
      <c r="G366" s="165">
        <f t="shared" si="382"/>
        <v>8.1988538681948414E-2</v>
      </c>
      <c r="H366" s="165">
        <f t="shared" si="382"/>
        <v>8.1988538681948414E-2</v>
      </c>
      <c r="I366" s="165">
        <f t="shared" si="382"/>
        <v>8.1988538681948414E-2</v>
      </c>
      <c r="J366" s="165">
        <f t="shared" si="382"/>
        <v>8.1988538681948414E-2</v>
      </c>
      <c r="K366" s="165">
        <f t="shared" si="382"/>
        <v>8.1988538681948414E-2</v>
      </c>
      <c r="L366" s="165">
        <f t="shared" si="382"/>
        <v>8.1988538681948414E-2</v>
      </c>
      <c r="M366" s="165">
        <f t="shared" si="382"/>
        <v>8.1988538681948414E-2</v>
      </c>
      <c r="N366" s="165">
        <f t="shared" si="382"/>
        <v>8.1988538681948414E-2</v>
      </c>
      <c r="O366" s="165">
        <f t="shared" si="382"/>
        <v>8.1988538681948414E-2</v>
      </c>
      <c r="P366" s="165">
        <f t="shared" si="382"/>
        <v>8.1988538681948414E-2</v>
      </c>
      <c r="Q366" s="165">
        <f t="shared" si="382"/>
        <v>8.1988538681948414E-2</v>
      </c>
      <c r="R366" s="165">
        <f t="shared" si="382"/>
        <v>8.1988538681948414E-2</v>
      </c>
      <c r="S366" s="165">
        <f t="shared" si="382"/>
        <v>8.1988537904172737E-2</v>
      </c>
      <c r="T366" s="165">
        <f t="shared" si="382"/>
        <v>8.1988537117392069E-2</v>
      </c>
      <c r="U366" s="165">
        <f t="shared" si="382"/>
        <v>8.1988539976946287E-2</v>
      </c>
      <c r="V366" s="165">
        <f t="shared" si="382"/>
        <v>8.198854085238122E-2</v>
      </c>
      <c r="W366" s="165">
        <f t="shared" si="382"/>
        <v>8.1988540604555626E-2</v>
      </c>
      <c r="X366" s="165">
        <f t="shared" si="382"/>
        <v>8.1988540043203398E-2</v>
      </c>
      <c r="Y366" s="165">
        <f t="shared" si="382"/>
        <v>8.1988539138045949E-2</v>
      </c>
      <c r="Z366" s="165">
        <f t="shared" si="382"/>
        <v>8.1988535857664677E-2</v>
      </c>
      <c r="AA366" s="165">
        <f t="shared" si="382"/>
        <v>8.1988536811607934E-2</v>
      </c>
      <c r="AB366" s="165">
        <f t="shared" si="382"/>
        <v>8.1988540060211654E-2</v>
      </c>
      <c r="AC366" s="165">
        <f t="shared" si="382"/>
        <v>8.1988539122306289E-2</v>
      </c>
      <c r="AD366" s="165">
        <f t="shared" si="382"/>
        <v>8.1988541103985332E-2</v>
      </c>
      <c r="AE366" s="165">
        <f t="shared" si="382"/>
        <v>8.1988538681948414E-2</v>
      </c>
      <c r="AF366" s="165">
        <f t="shared" si="382"/>
        <v>8.1988538681948414E-2</v>
      </c>
      <c r="AG366" s="165">
        <f t="shared" si="382"/>
        <v>8.1988538681948414E-2</v>
      </c>
      <c r="AH366" s="165">
        <f t="shared" si="382"/>
        <v>8.1988538681948414E-2</v>
      </c>
      <c r="AI366" s="165">
        <f t="shared" si="382"/>
        <v>8.1988538681948414E-2</v>
      </c>
      <c r="AJ366" s="165">
        <f t="shared" si="382"/>
        <v>8.1988538681948414E-2</v>
      </c>
      <c r="AK366" s="165">
        <f t="shared" si="382"/>
        <v>8.1988538681948414E-2</v>
      </c>
      <c r="AL366" s="165">
        <f t="shared" si="382"/>
        <v>8.1988538681948414E-2</v>
      </c>
      <c r="AM366" s="165">
        <f t="shared" si="382"/>
        <v>8.1988538681948414E-2</v>
      </c>
      <c r="AN366" s="165">
        <f t="shared" si="382"/>
        <v>8.1988538681948414E-2</v>
      </c>
      <c r="AO366" s="165">
        <f t="shared" si="382"/>
        <v>8.1988538681948414E-2</v>
      </c>
      <c r="AP366" s="165">
        <f t="shared" si="382"/>
        <v>8.1988538681948414E-2</v>
      </c>
      <c r="AQ366" s="165">
        <f t="shared" si="382"/>
        <v>8.1988538681948414E-2</v>
      </c>
      <c r="AR366" s="165">
        <f t="shared" si="382"/>
        <v>8.1988538681948414E-2</v>
      </c>
      <c r="AS366" s="157">
        <f>AR366</f>
        <v>8.1988538681948414E-2</v>
      </c>
      <c r="AT366" s="157">
        <f t="shared" ref="AT366:BV366" si="383">AS366</f>
        <v>8.1988538681948414E-2</v>
      </c>
      <c r="AU366" s="157">
        <f t="shared" si="383"/>
        <v>8.1988538681948414E-2</v>
      </c>
      <c r="AV366" s="157">
        <f t="shared" si="383"/>
        <v>8.1988538681948414E-2</v>
      </c>
      <c r="AW366" s="157">
        <f t="shared" si="383"/>
        <v>8.1988538681948414E-2</v>
      </c>
      <c r="AX366" s="157">
        <f t="shared" si="383"/>
        <v>8.1988538681948414E-2</v>
      </c>
      <c r="AY366" s="157">
        <f t="shared" si="383"/>
        <v>8.1988538681948414E-2</v>
      </c>
      <c r="AZ366" s="157">
        <f t="shared" si="383"/>
        <v>8.1988538681948414E-2</v>
      </c>
      <c r="BA366" s="157">
        <f t="shared" si="383"/>
        <v>8.1988538681948414E-2</v>
      </c>
      <c r="BB366" s="157">
        <f t="shared" si="383"/>
        <v>8.1988538681948414E-2</v>
      </c>
      <c r="BC366" s="157">
        <f t="shared" si="383"/>
        <v>8.1988538681948414E-2</v>
      </c>
      <c r="BD366" s="157">
        <f t="shared" si="383"/>
        <v>8.1988538681948414E-2</v>
      </c>
      <c r="BE366" s="157">
        <f t="shared" si="383"/>
        <v>8.1988538681948414E-2</v>
      </c>
      <c r="BF366" s="157">
        <f t="shared" si="383"/>
        <v>8.1988538681948414E-2</v>
      </c>
      <c r="BG366" s="157">
        <f t="shared" si="383"/>
        <v>8.1988538681948414E-2</v>
      </c>
      <c r="BH366" s="157">
        <f t="shared" si="383"/>
        <v>8.1988538681948414E-2</v>
      </c>
      <c r="BI366" s="157">
        <f t="shared" si="383"/>
        <v>8.1988538681948414E-2</v>
      </c>
      <c r="BJ366" s="157">
        <f t="shared" si="383"/>
        <v>8.1988538681948414E-2</v>
      </c>
      <c r="BK366" s="157">
        <f t="shared" si="383"/>
        <v>8.1988538681948414E-2</v>
      </c>
      <c r="BL366" s="157">
        <f t="shared" si="383"/>
        <v>8.1988538681948414E-2</v>
      </c>
      <c r="BM366" s="157">
        <f t="shared" si="383"/>
        <v>8.1988538681948414E-2</v>
      </c>
      <c r="BN366" s="157">
        <f t="shared" si="383"/>
        <v>8.1988538681948414E-2</v>
      </c>
      <c r="BO366" s="157">
        <f t="shared" si="383"/>
        <v>8.1988538681948414E-2</v>
      </c>
      <c r="BP366" s="157">
        <f t="shared" si="383"/>
        <v>8.1988538681948414E-2</v>
      </c>
      <c r="BQ366" s="157">
        <f t="shared" si="383"/>
        <v>8.1988538681948414E-2</v>
      </c>
      <c r="BR366" s="157">
        <f t="shared" si="383"/>
        <v>8.1988538681948414E-2</v>
      </c>
      <c r="BS366" s="157">
        <f t="shared" si="383"/>
        <v>8.1988538681948414E-2</v>
      </c>
      <c r="BT366" s="157">
        <f t="shared" si="383"/>
        <v>8.1988538681948414E-2</v>
      </c>
      <c r="BU366" s="157">
        <f t="shared" si="383"/>
        <v>8.1988538681948414E-2</v>
      </c>
      <c r="BV366" s="157">
        <f t="shared" si="383"/>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zoomScale="85" zoomScaleNormal="85" workbookViewId="0">
      <pane ySplit="1" topLeftCell="A2" activePane="bottomLeft" state="frozen"/>
      <selection pane="bottomLeft" activeCell="A17" sqref="A17"/>
    </sheetView>
  </sheetViews>
  <sheetFormatPr defaultRowHeight="15" x14ac:dyDescent="0.25"/>
  <cols>
    <col min="1" max="1" width="14" style="75" bestFit="1" customWidth="1"/>
    <col min="2" max="2" width="23.140625" style="75" bestFit="1" customWidth="1"/>
    <col min="3" max="3" width="14.42578125" style="299" bestFit="1" customWidth="1"/>
    <col min="4" max="4" width="37.140625" style="76" bestFit="1" customWidth="1"/>
    <col min="5" max="5" width="9.140625" style="300"/>
    <col min="6" max="16384" width="9.140625" style="75"/>
  </cols>
  <sheetData>
    <row r="1" spans="1:5" s="297" customFormat="1" ht="25.5" customHeight="1" x14ac:dyDescent="0.25">
      <c r="A1" s="297" t="s">
        <v>460</v>
      </c>
      <c r="B1" s="297" t="s">
        <v>461</v>
      </c>
      <c r="C1" s="298" t="s">
        <v>462</v>
      </c>
      <c r="D1" s="297" t="s">
        <v>463</v>
      </c>
      <c r="E1" s="301" t="s">
        <v>459</v>
      </c>
    </row>
    <row r="2" spans="1:5" x14ac:dyDescent="0.25">
      <c r="A2" s="75" t="s">
        <v>110</v>
      </c>
      <c r="B2" s="75" t="s">
        <v>25</v>
      </c>
      <c r="C2" s="299" t="s">
        <v>70</v>
      </c>
      <c r="D2" s="76" t="s">
        <v>134</v>
      </c>
    </row>
    <row r="3" spans="1:5" x14ac:dyDescent="0.25">
      <c r="A3" s="75" t="s">
        <v>110</v>
      </c>
      <c r="B3" s="75" t="s">
        <v>25</v>
      </c>
      <c r="C3" s="299" t="s">
        <v>70</v>
      </c>
      <c r="D3" s="76" t="s">
        <v>136</v>
      </c>
    </row>
    <row r="4" spans="1:5" x14ac:dyDescent="0.25">
      <c r="A4" s="75" t="s">
        <v>110</v>
      </c>
      <c r="B4" s="75" t="s">
        <v>25</v>
      </c>
      <c r="C4" s="299" t="s">
        <v>70</v>
      </c>
      <c r="D4" s="76" t="s">
        <v>135</v>
      </c>
    </row>
    <row r="5" spans="1:5" x14ac:dyDescent="0.25">
      <c r="A5" s="75" t="s">
        <v>110</v>
      </c>
      <c r="B5" s="75" t="s">
        <v>25</v>
      </c>
      <c r="C5" s="299" t="s">
        <v>70</v>
      </c>
      <c r="D5" s="76" t="s">
        <v>137</v>
      </c>
    </row>
    <row r="6" spans="1:5" x14ac:dyDescent="0.25">
      <c r="A6" s="75" t="s">
        <v>110</v>
      </c>
      <c r="B6" s="75" t="s">
        <v>23</v>
      </c>
      <c r="C6" s="299" t="s">
        <v>70</v>
      </c>
      <c r="D6" s="75" t="s">
        <v>363</v>
      </c>
    </row>
    <row r="7" spans="1:5" x14ac:dyDescent="0.25">
      <c r="A7" s="75" t="s">
        <v>110</v>
      </c>
      <c r="B7" s="75" t="s">
        <v>23</v>
      </c>
      <c r="C7" s="299" t="s">
        <v>70</v>
      </c>
      <c r="D7" s="76" t="s">
        <v>364</v>
      </c>
    </row>
    <row r="8" spans="1:5" x14ac:dyDescent="0.25">
      <c r="A8" s="75" t="s">
        <v>110</v>
      </c>
      <c r="B8" s="75" t="s">
        <v>23</v>
      </c>
      <c r="C8" s="299" t="s">
        <v>70</v>
      </c>
      <c r="D8" s="76" t="s">
        <v>365</v>
      </c>
    </row>
    <row r="9" spans="1:5" x14ac:dyDescent="0.25">
      <c r="A9" s="75" t="s">
        <v>110</v>
      </c>
      <c r="B9" s="75" t="s">
        <v>23</v>
      </c>
      <c r="C9" s="299" t="s">
        <v>70</v>
      </c>
      <c r="D9" s="76" t="s">
        <v>366</v>
      </c>
    </row>
    <row r="10" spans="1:5" x14ac:dyDescent="0.25">
      <c r="A10" s="75" t="s">
        <v>110</v>
      </c>
      <c r="B10" s="75" t="s">
        <v>24</v>
      </c>
      <c r="C10" s="299" t="s">
        <v>70</v>
      </c>
      <c r="D10" s="75" t="s">
        <v>363</v>
      </c>
    </row>
    <row r="11" spans="1:5" x14ac:dyDescent="0.25">
      <c r="A11" s="75" t="s">
        <v>110</v>
      </c>
      <c r="B11" s="75" t="s">
        <v>24</v>
      </c>
      <c r="C11" s="299" t="s">
        <v>70</v>
      </c>
      <c r="D11" s="76" t="s">
        <v>364</v>
      </c>
    </row>
    <row r="12" spans="1:5" x14ac:dyDescent="0.25">
      <c r="A12" s="75" t="s">
        <v>110</v>
      </c>
      <c r="B12" s="75" t="s">
        <v>24</v>
      </c>
      <c r="C12" s="299" t="s">
        <v>70</v>
      </c>
      <c r="D12" s="76" t="s">
        <v>365</v>
      </c>
    </row>
    <row r="13" spans="1:5" x14ac:dyDescent="0.25">
      <c r="A13" s="75" t="s">
        <v>110</v>
      </c>
      <c r="B13" s="75" t="s">
        <v>24</v>
      </c>
      <c r="C13" s="299" t="s">
        <v>70</v>
      </c>
      <c r="D13" s="76" t="s">
        <v>366</v>
      </c>
    </row>
    <row r="14" spans="1:5" x14ac:dyDescent="0.25">
      <c r="A14" s="75" t="s">
        <v>110</v>
      </c>
      <c r="B14" s="75" t="s">
        <v>26</v>
      </c>
      <c r="C14" s="299" t="s">
        <v>70</v>
      </c>
      <c r="D14" s="75" t="s">
        <v>363</v>
      </c>
    </row>
    <row r="15" spans="1:5" x14ac:dyDescent="0.25">
      <c r="A15" s="75" t="s">
        <v>110</v>
      </c>
      <c r="B15" s="75" t="s">
        <v>26</v>
      </c>
      <c r="C15" s="299" t="s">
        <v>70</v>
      </c>
      <c r="D15" s="76" t="s">
        <v>364</v>
      </c>
    </row>
    <row r="16" spans="1:5" x14ac:dyDescent="0.25">
      <c r="A16" s="75" t="s">
        <v>110</v>
      </c>
      <c r="B16" s="75" t="s">
        <v>26</v>
      </c>
      <c r="C16" s="299" t="s">
        <v>70</v>
      </c>
      <c r="D16" s="76" t="s">
        <v>365</v>
      </c>
    </row>
    <row r="17" spans="1:4" x14ac:dyDescent="0.25">
      <c r="A17" s="75" t="s">
        <v>110</v>
      </c>
      <c r="B17" s="75" t="s">
        <v>26</v>
      </c>
      <c r="C17" s="299" t="s">
        <v>70</v>
      </c>
      <c r="D17" s="76" t="s">
        <v>366</v>
      </c>
    </row>
  </sheetData>
  <sortState xmlns:xlrd2="http://schemas.microsoft.com/office/spreadsheetml/2017/richdata2"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ummaryRight="0"/>
  </sheetPr>
  <dimension ref="A1:BS1193"/>
  <sheetViews>
    <sheetView showGridLines="0" topLeftCell="AY1" zoomScale="70" zoomScaleNormal="70" workbookViewId="0">
      <pane ySplit="2" topLeftCell="A3" activePane="bottomLeft" state="frozen"/>
      <selection pane="bottomLeft" activeCell="BG699" sqref="BG699"/>
    </sheetView>
  </sheetViews>
  <sheetFormatPr defaultRowHeight="15" outlineLevelCol="1" x14ac:dyDescent="0.25"/>
  <cols>
    <col min="1" max="1" width="2.7109375" style="2" customWidth="1" collapsed="1"/>
    <col min="2" max="5" width="9.140625" style="2" hidden="1" customWidth="1" outlineLevel="1"/>
    <col min="6" max="6" width="2.85546875" style="2" hidden="1" customWidth="1" outlineLevel="1"/>
    <col min="7" max="7" width="2.140625" style="2" hidden="1" customWidth="1" outlineLevel="1"/>
    <col min="8" max="8" width="2.85546875" style="2" hidden="1" customWidth="1" outlineLevel="1"/>
    <col min="9" max="9" width="2.140625" style="2" hidden="1" customWidth="1" outlineLevel="1"/>
    <col min="10" max="10" width="2.85546875" style="2" hidden="1" customWidth="1" outlineLevel="1"/>
    <col min="11" max="11" width="2.140625" style="2" hidden="1" customWidth="1" outlineLevel="1"/>
    <col min="12" max="12" width="2.85546875" style="2" hidden="1" customWidth="1" outlineLevel="1"/>
    <col min="13" max="13" width="2.140625" style="2" hidden="1" customWidth="1" outlineLevel="1"/>
    <col min="14" max="14" width="2.85546875" style="2" hidden="1" customWidth="1" outlineLevel="1"/>
    <col min="15" max="15" width="2.140625" style="2" hidden="1" customWidth="1" outlineLevel="1"/>
    <col min="16" max="16" width="2.85546875" style="2" hidden="1" customWidth="1" outlineLevel="1"/>
    <col min="17" max="17" width="2.140625" style="2" hidden="1" customWidth="1" outlineLevel="1"/>
    <col min="18" max="18" width="2.85546875" style="2" hidden="1" customWidth="1" outlineLevel="1"/>
    <col min="19" max="25" width="2.140625" style="2" hidden="1" customWidth="1" outlineLevel="1"/>
    <col min="26" max="26" width="3.140625" style="2" hidden="1" customWidth="1" outlineLevel="1"/>
    <col min="27" max="27" width="2.140625" style="2" hidden="1" customWidth="1" outlineLevel="1"/>
    <col min="28" max="28" width="5.140625" style="2" hidden="1" customWidth="1" outlineLevel="1"/>
    <col min="29" max="29" width="2.7109375" style="2" customWidth="1"/>
    <col min="30" max="30" width="11.140625" style="63" customWidth="1" collapsed="1"/>
    <col min="31" max="31" width="2.7109375" style="64" hidden="1" customWidth="1" outlineLevel="1"/>
    <col min="32" max="32" width="10" style="63" hidden="1" customWidth="1" outlineLevel="1"/>
    <col min="33" max="33" width="2.7109375" style="64" hidden="1" customWidth="1" outlineLevel="1"/>
    <col min="34" max="34" width="42.42578125" style="63" hidden="1" customWidth="1" outlineLevel="1"/>
    <col min="35" max="35" width="2.7109375" style="64" hidden="1" customWidth="1" outlineLevel="1"/>
    <col min="36" max="36" width="35.7109375" style="63" hidden="1" customWidth="1" outlineLevel="1"/>
    <col min="37" max="37" width="2.7109375" style="64" hidden="1" customWidth="1" outlineLevel="1"/>
    <col min="38" max="38" width="35.42578125" style="63" hidden="1" customWidth="1" outlineLevel="1"/>
    <col min="39" max="39" width="2.7109375" style="64" hidden="1" customWidth="1" outlineLevel="1"/>
    <col min="40" max="40" width="42.85546875" style="63" hidden="1" customWidth="1" outlineLevel="1"/>
    <col min="41" max="41" width="2.7109375" style="64" hidden="1" customWidth="1" outlineLevel="1"/>
    <col min="42" max="42" width="19.140625" style="63" hidden="1" customWidth="1" outlineLevel="1"/>
    <col min="43" max="43" width="2.7109375" style="64" hidden="1" customWidth="1" outlineLevel="1"/>
    <col min="44" max="44" width="10.7109375" style="63" hidden="1" customWidth="1" outlineLevel="1"/>
    <col min="45" max="45" width="2.7109375" style="64" hidden="1" customWidth="1" outlineLevel="1"/>
    <col min="46" max="46" width="10.7109375" style="63" hidden="1" customWidth="1" outlineLevel="1"/>
    <col min="47" max="47" width="2.7109375" style="64" hidden="1" customWidth="1" outlineLevel="1"/>
    <col min="48" max="48" width="10.7109375" style="63" hidden="1" customWidth="1" outlineLevel="1"/>
    <col min="49" max="49" width="2.7109375" style="63" hidden="1" customWidth="1" outlineLevel="1"/>
    <col min="50" max="50" width="10.7109375" style="63" hidden="1" customWidth="1" outlineLevel="1"/>
    <col min="51" max="51" width="2.7109375" style="2" customWidth="1"/>
    <col min="52" max="52" width="25.42578125" style="22" bestFit="1" customWidth="1"/>
    <col min="53" max="53" width="40" style="2" bestFit="1" customWidth="1" outlineLevel="1"/>
    <col min="54" max="54" width="23.5703125" style="15" bestFit="1" customWidth="1" outlineLevel="1"/>
    <col min="55" max="55" width="64.28515625" style="2" bestFit="1" customWidth="1" outlineLevel="1"/>
    <col min="56" max="56" width="31.28515625" style="2" bestFit="1" customWidth="1" outlineLevel="1"/>
    <col min="57" max="57" width="50.28515625" style="2" bestFit="1" customWidth="1" outlineLevel="1"/>
    <col min="58" max="68" width="15.7109375" style="2" customWidth="1" outlineLevel="1"/>
    <col min="69" max="69" width="2.7109375" style="2" customWidth="1"/>
    <col min="70" max="70" width="27.5703125" style="15" bestFit="1" customWidth="1"/>
    <col min="71" max="71" width="2.7109375" style="2" customWidth="1"/>
    <col min="72" max="16384" width="9.140625" style="2"/>
  </cols>
  <sheetData>
    <row r="1" spans="1:71" s="19" customFormat="1" ht="15.75" thickBot="1" x14ac:dyDescent="0.3">
      <c r="A1" s="20"/>
      <c r="B1" s="191">
        <f>COLUMN($AD$1)</f>
        <v>30</v>
      </c>
      <c r="C1" s="191">
        <f>COLUMN($AZ$1)</f>
        <v>52</v>
      </c>
      <c r="D1" s="191">
        <f>COLUMN($BS$1)</f>
        <v>71</v>
      </c>
      <c r="AC1" s="20"/>
      <c r="AI1" s="60"/>
      <c r="AK1" s="213"/>
      <c r="AL1" s="59"/>
      <c r="AM1" s="60"/>
      <c r="AN1" s="59"/>
      <c r="AO1" s="60"/>
      <c r="AP1" s="59"/>
      <c r="AQ1" s="60"/>
      <c r="AR1" s="59"/>
      <c r="AS1" s="60"/>
      <c r="AT1" s="59"/>
      <c r="AU1" s="60"/>
      <c r="AV1" s="59"/>
      <c r="AW1" s="60"/>
      <c r="AX1" s="59"/>
      <c r="AY1" s="20"/>
      <c r="AZ1" s="294"/>
      <c r="BA1" s="295"/>
      <c r="BB1" s="220" t="s">
        <v>335</v>
      </c>
      <c r="BD1" s="10"/>
      <c r="BE1" s="217"/>
      <c r="BF1" s="10"/>
      <c r="BG1" s="320" t="s">
        <v>476</v>
      </c>
      <c r="BH1" s="10"/>
      <c r="BI1" s="10"/>
      <c r="BJ1" s="10"/>
      <c r="BK1" s="10"/>
      <c r="BL1" s="10"/>
      <c r="BM1" s="10"/>
      <c r="BN1" s="10"/>
      <c r="BO1" s="10"/>
      <c r="BP1" s="10"/>
      <c r="BQ1" s="20"/>
      <c r="BR1" s="24" t="s">
        <v>80</v>
      </c>
      <c r="BS1" s="20"/>
    </row>
    <row r="2" spans="1:71" s="19" customFormat="1" x14ac:dyDescent="0.25">
      <c r="A2" s="20"/>
      <c r="B2" s="19" t="s">
        <v>187</v>
      </c>
      <c r="E2" s="61" t="s">
        <v>336</v>
      </c>
      <c r="F2" s="59">
        <v>0</v>
      </c>
      <c r="G2" s="59"/>
      <c r="H2" s="59">
        <v>1</v>
      </c>
      <c r="I2" s="59"/>
      <c r="J2" s="59">
        <v>2</v>
      </c>
      <c r="K2" s="59"/>
      <c r="L2" s="59">
        <v>3</v>
      </c>
      <c r="M2" s="59"/>
      <c r="N2" s="59">
        <v>4</v>
      </c>
      <c r="O2" s="59"/>
      <c r="P2" s="59">
        <v>5</v>
      </c>
      <c r="Q2" s="59"/>
      <c r="R2" s="59">
        <v>6</v>
      </c>
      <c r="S2" s="59"/>
      <c r="T2" s="59">
        <v>7</v>
      </c>
      <c r="U2" s="59"/>
      <c r="V2" s="59">
        <v>8</v>
      </c>
      <c r="W2" s="59"/>
      <c r="X2" s="59">
        <v>9</v>
      </c>
      <c r="Y2" s="59"/>
      <c r="Z2" s="59">
        <v>10</v>
      </c>
      <c r="AA2" s="59"/>
      <c r="AB2" s="59" t="s">
        <v>78</v>
      </c>
      <c r="AC2" s="20"/>
      <c r="AD2" s="61" t="s">
        <v>68</v>
      </c>
      <c r="AE2" s="62"/>
      <c r="AF2" s="61" t="s">
        <v>59</v>
      </c>
      <c r="AG2" s="62"/>
      <c r="AH2" s="61" t="s">
        <v>56</v>
      </c>
      <c r="AI2" s="62"/>
      <c r="AJ2" s="61" t="s">
        <v>75</v>
      </c>
      <c r="AK2" s="62"/>
      <c r="AL2" s="61" t="s">
        <v>75</v>
      </c>
      <c r="AM2" s="62"/>
      <c r="AN2" s="61" t="s">
        <v>75</v>
      </c>
      <c r="AO2" s="62"/>
      <c r="AP2" s="61" t="s">
        <v>75</v>
      </c>
      <c r="AQ2" s="62"/>
      <c r="AR2" s="61" t="s">
        <v>75</v>
      </c>
      <c r="AS2" s="62"/>
      <c r="AT2" s="61" t="s">
        <v>75</v>
      </c>
      <c r="AU2" s="62"/>
      <c r="AV2" s="61" t="s">
        <v>75</v>
      </c>
      <c r="AW2" s="62"/>
      <c r="AX2" s="61" t="s">
        <v>75</v>
      </c>
      <c r="AY2" s="20"/>
      <c r="AZ2" s="6" t="s">
        <v>49</v>
      </c>
      <c r="BA2" s="218" t="s">
        <v>9</v>
      </c>
      <c r="BB2" s="218" t="s">
        <v>79</v>
      </c>
      <c r="BC2" s="218" t="s">
        <v>6</v>
      </c>
      <c r="BD2" s="218" t="s">
        <v>16</v>
      </c>
      <c r="BE2" s="219" t="s">
        <v>8</v>
      </c>
      <c r="BF2" s="7">
        <v>2000</v>
      </c>
      <c r="BG2" s="7">
        <v>2005</v>
      </c>
      <c r="BH2" s="7">
        <v>2010</v>
      </c>
      <c r="BI2" s="7">
        <v>2015</v>
      </c>
      <c r="BJ2" s="7">
        <v>2020</v>
      </c>
      <c r="BK2" s="7">
        <v>2025</v>
      </c>
      <c r="BL2" s="7">
        <v>2030</v>
      </c>
      <c r="BM2" s="7">
        <v>2035</v>
      </c>
      <c r="BN2" s="7">
        <v>2040</v>
      </c>
      <c r="BO2" s="7">
        <v>2045</v>
      </c>
      <c r="BP2" s="7">
        <v>2050</v>
      </c>
      <c r="BQ2" s="20"/>
      <c r="BR2" s="24" t="s">
        <v>77</v>
      </c>
      <c r="BS2" s="20"/>
    </row>
    <row r="3" spans="1:71" s="10" customFormat="1" x14ac:dyDescent="0.25">
      <c r="A3" s="11"/>
      <c r="B3" s="3" t="str">
        <f t="array" ref="B3">IFERROR(INDEX(DemandSupply,MATCH(INDEX($AH$1:AH3,SMALL(ROW($AH$1:AH3)+(10000*($AH$1:AH3="")),COUNTA($AH$1:AH3))),Sectors,0)),"")</f>
        <v/>
      </c>
      <c r="E3" s="10">
        <f>IF(COUNTA(BA3)=1,0,MIN(F3:AA3))</f>
        <v>1</v>
      </c>
      <c r="F3" s="207">
        <v>1</v>
      </c>
      <c r="G3" s="207">
        <v>1</v>
      </c>
      <c r="H3" s="207">
        <v>1</v>
      </c>
      <c r="I3" s="207">
        <v>1</v>
      </c>
      <c r="J3" s="207">
        <v>1</v>
      </c>
      <c r="K3" s="207">
        <v>1</v>
      </c>
      <c r="L3" s="207">
        <v>1</v>
      </c>
      <c r="M3" s="207">
        <v>1</v>
      </c>
      <c r="N3" s="207">
        <v>1</v>
      </c>
      <c r="O3" s="207">
        <v>1</v>
      </c>
      <c r="P3" s="207">
        <v>1</v>
      </c>
      <c r="Q3" s="207">
        <v>1</v>
      </c>
      <c r="R3" s="207">
        <v>1</v>
      </c>
      <c r="S3" s="207">
        <v>1</v>
      </c>
      <c r="T3" s="207">
        <v>1</v>
      </c>
      <c r="U3" s="207">
        <v>1</v>
      </c>
      <c r="V3" s="207">
        <v>1</v>
      </c>
      <c r="W3" s="207">
        <v>1</v>
      </c>
      <c r="X3" s="207">
        <v>1</v>
      </c>
      <c r="Y3" s="207">
        <v>1</v>
      </c>
      <c r="Z3" s="207">
        <v>1</v>
      </c>
      <c r="AA3" s="207">
        <v>1</v>
      </c>
      <c r="AB3" s="207">
        <v>1</v>
      </c>
      <c r="AC3" s="11"/>
      <c r="AD3" s="61"/>
      <c r="AE3" s="62"/>
      <c r="AF3" s="61"/>
      <c r="AG3" s="62"/>
      <c r="AH3" s="61"/>
      <c r="AI3" s="62"/>
      <c r="AJ3" s="61"/>
      <c r="AK3" s="62"/>
      <c r="AL3" s="61"/>
      <c r="AM3" s="62"/>
      <c r="AN3" s="61"/>
      <c r="AO3" s="62"/>
      <c r="AP3" s="61"/>
      <c r="AQ3" s="62"/>
      <c r="AR3" s="61"/>
      <c r="AS3" s="62"/>
      <c r="AT3" s="61"/>
      <c r="AU3" s="62"/>
      <c r="AV3" s="61"/>
      <c r="AW3" s="62"/>
      <c r="AX3" s="61"/>
      <c r="AY3" s="11"/>
      <c r="AZ3" s="21" t="str">
        <f t="shared" ref="AZ3:AZ92" si="0">IFERROR(INDEX($AD3:$AX3,MATCH(TRUE,INDEX(($AD3:$AX3&lt;&gt;0),0),0)),"")</f>
        <v/>
      </c>
      <c r="BA3" s="12"/>
      <c r="BB3" s="13"/>
      <c r="BC3" s="12"/>
      <c r="BD3" s="12"/>
      <c r="BE3" s="9"/>
      <c r="BF3" s="12"/>
      <c r="BG3" s="12"/>
      <c r="BH3" s="12"/>
      <c r="BI3" s="12"/>
      <c r="BJ3" s="12"/>
      <c r="BK3" s="12"/>
      <c r="BL3" s="12"/>
      <c r="BM3" s="12"/>
      <c r="BN3" s="12"/>
      <c r="BO3" s="12"/>
      <c r="BP3" s="12"/>
      <c r="BQ3" s="11"/>
      <c r="BR3" s="13"/>
      <c r="BS3" s="11"/>
    </row>
    <row r="4" spans="1:71" s="3" customFormat="1" x14ac:dyDescent="0.25">
      <c r="A4" s="5"/>
      <c r="B4" s="3" t="str">
        <f t="array" ref="B4">IFERROR(INDEX(DemandSupply,MATCH(INDEX($AH$1:AH4,SMALL(ROW($AH$1:AH4)+(10000*($AH$1:AH4="")),COUNTA($AH$1:AH4))),Sectors,0)),"")</f>
        <v/>
      </c>
      <c r="E4" s="10">
        <f t="shared" ref="E4:E61" si="1">IF(COUNTA(BA4)=1,0,MIN(F4:AA4))</f>
        <v>1</v>
      </c>
      <c r="F4" s="207">
        <v>1</v>
      </c>
      <c r="G4" s="207">
        <v>1</v>
      </c>
      <c r="H4" s="207">
        <v>1</v>
      </c>
      <c r="I4" s="207">
        <v>1</v>
      </c>
      <c r="J4" s="207">
        <v>1</v>
      </c>
      <c r="K4" s="207">
        <v>1</v>
      </c>
      <c r="L4" s="207">
        <v>1</v>
      </c>
      <c r="M4" s="207">
        <v>1</v>
      </c>
      <c r="N4" s="207">
        <v>1</v>
      </c>
      <c r="O4" s="207">
        <v>1</v>
      </c>
      <c r="P4" s="207">
        <v>1</v>
      </c>
      <c r="Q4" s="207">
        <v>1</v>
      </c>
      <c r="R4" s="207">
        <v>1</v>
      </c>
      <c r="S4" s="207">
        <v>1</v>
      </c>
      <c r="T4" s="207">
        <v>1</v>
      </c>
      <c r="U4" s="207">
        <v>1</v>
      </c>
      <c r="V4" s="207">
        <v>1</v>
      </c>
      <c r="W4" s="207">
        <v>1</v>
      </c>
      <c r="X4" s="207">
        <v>1</v>
      </c>
      <c r="Y4" s="207">
        <v>1</v>
      </c>
      <c r="Z4" s="207">
        <v>1</v>
      </c>
      <c r="AA4" s="207">
        <v>1</v>
      </c>
      <c r="AB4" s="207">
        <v>1</v>
      </c>
      <c r="AC4" s="5"/>
      <c r="AD4" s="23" t="s">
        <v>67</v>
      </c>
      <c r="AE4" s="64"/>
      <c r="AF4" s="63"/>
      <c r="AG4" s="64"/>
      <c r="AH4" s="63"/>
      <c r="AI4" s="64"/>
      <c r="AJ4" s="63"/>
      <c r="AK4" s="64"/>
      <c r="AL4" s="63"/>
      <c r="AM4" s="64"/>
      <c r="AN4" s="63"/>
      <c r="AO4" s="64"/>
      <c r="AP4" s="63"/>
      <c r="AQ4" s="64"/>
      <c r="AR4" s="63"/>
      <c r="AS4" s="64"/>
      <c r="AT4" s="63"/>
      <c r="AU4" s="64"/>
      <c r="AV4" s="63"/>
      <c r="AW4" s="64"/>
      <c r="AX4" s="63"/>
      <c r="AY4" s="5"/>
      <c r="AZ4" s="208" t="str">
        <f t="shared" si="0"/>
        <v>Simulation</v>
      </c>
      <c r="BA4" s="4"/>
      <c r="BB4" s="13"/>
      <c r="BC4" s="4"/>
      <c r="BD4" s="4"/>
      <c r="BE4" s="9"/>
      <c r="BF4" s="4"/>
      <c r="BG4" s="4"/>
      <c r="BH4" s="4"/>
      <c r="BI4" s="4"/>
      <c r="BJ4" s="4"/>
      <c r="BK4" s="4"/>
      <c r="BL4" s="4"/>
      <c r="BM4" s="4"/>
      <c r="BN4" s="4"/>
      <c r="BO4" s="4"/>
      <c r="BP4" s="4"/>
      <c r="BQ4" s="5"/>
      <c r="BR4" s="13"/>
      <c r="BS4" s="5"/>
    </row>
    <row r="5" spans="1:71" s="3" customFormat="1" x14ac:dyDescent="0.25">
      <c r="A5" s="5"/>
      <c r="B5" s="3" t="str">
        <f t="array" ref="B5">IFERROR(INDEX(DemandSupply,MATCH(INDEX($AH$1:AH5,SMALL(ROW($AH$1:AH5)+(10000*($AH$1:AH5="")),COUNTA($AH$1:AH5))),Sectors,0)),"")</f>
        <v/>
      </c>
      <c r="E5" s="10">
        <f t="shared" si="1"/>
        <v>0</v>
      </c>
      <c r="F5" s="207">
        <v>1</v>
      </c>
      <c r="G5" s="207">
        <v>1</v>
      </c>
      <c r="H5" s="207">
        <v>1</v>
      </c>
      <c r="I5" s="207">
        <v>1</v>
      </c>
      <c r="J5" s="207">
        <v>1</v>
      </c>
      <c r="K5" s="207">
        <v>1</v>
      </c>
      <c r="L5" s="207">
        <v>1</v>
      </c>
      <c r="M5" s="207">
        <v>1</v>
      </c>
      <c r="N5" s="207">
        <v>1</v>
      </c>
      <c r="O5" s="207">
        <v>1</v>
      </c>
      <c r="P5" s="207">
        <v>1</v>
      </c>
      <c r="Q5" s="207">
        <v>1</v>
      </c>
      <c r="R5" s="207">
        <v>1</v>
      </c>
      <c r="S5" s="207">
        <v>1</v>
      </c>
      <c r="T5" s="207">
        <v>1</v>
      </c>
      <c r="U5" s="207">
        <v>1</v>
      </c>
      <c r="V5" s="207">
        <v>1</v>
      </c>
      <c r="W5" s="207">
        <v>1</v>
      </c>
      <c r="X5" s="207">
        <v>1</v>
      </c>
      <c r="Y5" s="207">
        <v>1</v>
      </c>
      <c r="Z5" s="207">
        <v>1</v>
      </c>
      <c r="AA5" s="207">
        <v>1</v>
      </c>
      <c r="AB5" s="207">
        <v>1</v>
      </c>
      <c r="AC5" s="5"/>
      <c r="AD5" s="63"/>
      <c r="AE5" s="64"/>
      <c r="AF5" s="63"/>
      <c r="AG5" s="64"/>
      <c r="AH5" s="63"/>
      <c r="AI5" s="64"/>
      <c r="AJ5" s="63"/>
      <c r="AK5" s="64"/>
      <c r="AL5" s="63"/>
      <c r="AM5" s="64"/>
      <c r="AN5" s="63"/>
      <c r="AO5" s="64"/>
      <c r="AP5" s="63"/>
      <c r="AQ5" s="64"/>
      <c r="AR5" s="63"/>
      <c r="AS5" s="64"/>
      <c r="AT5" s="63"/>
      <c r="AU5" s="64"/>
      <c r="AV5" s="63"/>
      <c r="AW5" s="64"/>
      <c r="AX5" s="63"/>
      <c r="AY5" s="5"/>
      <c r="AZ5" s="21" t="str">
        <f t="shared" si="0"/>
        <v/>
      </c>
      <c r="BA5" s="74" t="s">
        <v>345</v>
      </c>
      <c r="BB5" s="74" t="s">
        <v>327</v>
      </c>
      <c r="BC5" s="4"/>
      <c r="BD5" s="74" t="s">
        <v>10</v>
      </c>
      <c r="BE5" s="9"/>
      <c r="BF5" s="309">
        <v>2000</v>
      </c>
      <c r="BG5" s="309">
        <v>2005</v>
      </c>
      <c r="BH5" s="309">
        <v>2010</v>
      </c>
      <c r="BI5" s="309">
        <v>2015</v>
      </c>
      <c r="BJ5" s="309">
        <v>2020</v>
      </c>
      <c r="BK5" s="309">
        <v>2025</v>
      </c>
      <c r="BL5" s="309">
        <v>2030</v>
      </c>
      <c r="BM5" s="309"/>
      <c r="BN5" s="309"/>
      <c r="BO5" s="309"/>
      <c r="BP5" s="309"/>
      <c r="BQ5" s="5"/>
      <c r="BR5" s="13"/>
      <c r="BS5" s="5"/>
    </row>
    <row r="6" spans="1:71" s="3" customFormat="1" x14ac:dyDescent="0.25">
      <c r="A6" s="5"/>
      <c r="B6" s="3" t="str">
        <f t="array" ref="B6">IFERROR(INDEX(DemandSupply,MATCH(INDEX($AH$1:AH6,SMALL(ROW($AH$1:AH6)+(10000*($AH$1:AH6="")),COUNTA($AH$1:AH6))),Sectors,0)),"")</f>
        <v/>
      </c>
      <c r="E6" s="10"/>
      <c r="F6" s="207">
        <v>1</v>
      </c>
      <c r="G6" s="207">
        <v>1</v>
      </c>
      <c r="H6" s="207">
        <v>1</v>
      </c>
      <c r="I6" s="207">
        <v>1</v>
      </c>
      <c r="J6" s="207">
        <v>1</v>
      </c>
      <c r="K6" s="207">
        <v>1</v>
      </c>
      <c r="L6" s="207">
        <v>1</v>
      </c>
      <c r="M6" s="207">
        <v>1</v>
      </c>
      <c r="N6" s="207">
        <v>1</v>
      </c>
      <c r="O6" s="207">
        <v>1</v>
      </c>
      <c r="P6" s="207">
        <v>1</v>
      </c>
      <c r="Q6" s="207">
        <v>1</v>
      </c>
      <c r="R6" s="207">
        <v>1</v>
      </c>
      <c r="S6" s="207">
        <v>1</v>
      </c>
      <c r="T6" s="207">
        <v>1</v>
      </c>
      <c r="U6" s="207">
        <v>1</v>
      </c>
      <c r="V6" s="207">
        <v>1</v>
      </c>
      <c r="W6" s="207">
        <v>1</v>
      </c>
      <c r="X6" s="207">
        <v>1</v>
      </c>
      <c r="Y6" s="207">
        <v>1</v>
      </c>
      <c r="Z6" s="207">
        <v>1</v>
      </c>
      <c r="AA6" s="207">
        <v>1</v>
      </c>
      <c r="AB6" s="207">
        <v>1</v>
      </c>
      <c r="AC6" s="5"/>
      <c r="AD6" s="63"/>
      <c r="AE6" s="64"/>
      <c r="AF6" s="63"/>
      <c r="AG6" s="64"/>
      <c r="AH6" s="63"/>
      <c r="AI6" s="64"/>
      <c r="AJ6" s="63"/>
      <c r="AK6" s="64"/>
      <c r="AL6" s="63"/>
      <c r="AM6" s="64"/>
      <c r="AN6" s="63"/>
      <c r="AO6" s="64"/>
      <c r="AP6" s="63"/>
      <c r="AQ6" s="64"/>
      <c r="AR6" s="63"/>
      <c r="AS6" s="64"/>
      <c r="AT6" s="63"/>
      <c r="AU6" s="64"/>
      <c r="AV6" s="63"/>
      <c r="AW6" s="64"/>
      <c r="AX6" s="63"/>
      <c r="AY6" s="5"/>
      <c r="AZ6" s="21" t="str">
        <f t="shared" si="0"/>
        <v/>
      </c>
      <c r="BA6" s="74" t="s">
        <v>358</v>
      </c>
      <c r="BB6" s="4"/>
      <c r="BC6" s="4"/>
      <c r="BD6" s="74" t="s">
        <v>361</v>
      </c>
      <c r="BE6" s="224">
        <v>2015</v>
      </c>
      <c r="BF6" s="4"/>
      <c r="BG6" s="4"/>
      <c r="BH6" s="4"/>
      <c r="BI6" s="4"/>
      <c r="BJ6" s="4"/>
      <c r="BK6" s="4"/>
      <c r="BL6" s="4"/>
      <c r="BM6" s="4"/>
      <c r="BN6" s="4"/>
      <c r="BO6" s="4"/>
      <c r="BP6" s="4"/>
      <c r="BQ6" s="5"/>
      <c r="BR6" s="13"/>
      <c r="BS6" s="5"/>
    </row>
    <row r="7" spans="1:71" s="3" customFormat="1" x14ac:dyDescent="0.25">
      <c r="A7" s="5"/>
      <c r="B7" s="3" t="str">
        <f t="array" ref="B7">IFERROR(INDEX(DemandSupply,MATCH(INDEX($AH$1:AH7,SMALL(ROW($AH$1:AH7)+(10000*($AH$1:AH7="")),COUNTA($AH$1:AH7))),Sectors,0)),"")</f>
        <v/>
      </c>
      <c r="E7" s="10">
        <f t="shared" si="1"/>
        <v>1</v>
      </c>
      <c r="F7" s="207">
        <v>1</v>
      </c>
      <c r="G7" s="207">
        <v>1</v>
      </c>
      <c r="H7" s="207">
        <v>1</v>
      </c>
      <c r="I7" s="207">
        <v>1</v>
      </c>
      <c r="J7" s="207">
        <v>1</v>
      </c>
      <c r="K7" s="207">
        <v>1</v>
      </c>
      <c r="L7" s="207">
        <v>1</v>
      </c>
      <c r="M7" s="207">
        <v>1</v>
      </c>
      <c r="N7" s="207">
        <v>1</v>
      </c>
      <c r="O7" s="207">
        <v>1</v>
      </c>
      <c r="P7" s="207">
        <v>1</v>
      </c>
      <c r="Q7" s="207">
        <v>1</v>
      </c>
      <c r="R7" s="207">
        <v>1</v>
      </c>
      <c r="S7" s="207">
        <v>1</v>
      </c>
      <c r="T7" s="207">
        <v>1</v>
      </c>
      <c r="U7" s="207">
        <v>1</v>
      </c>
      <c r="V7" s="207">
        <v>1</v>
      </c>
      <c r="W7" s="207">
        <v>1</v>
      </c>
      <c r="X7" s="207">
        <v>1</v>
      </c>
      <c r="Y7" s="207">
        <v>1</v>
      </c>
      <c r="Z7" s="207">
        <v>1</v>
      </c>
      <c r="AA7" s="207">
        <v>1</v>
      </c>
      <c r="AB7" s="207">
        <v>1</v>
      </c>
      <c r="AC7" s="5"/>
      <c r="AD7" s="63"/>
      <c r="AE7" s="64"/>
      <c r="AF7" s="63"/>
      <c r="AG7" s="64"/>
      <c r="AH7" s="63"/>
      <c r="AI7" s="64"/>
      <c r="AJ7" s="63"/>
      <c r="AK7" s="64"/>
      <c r="AL7" s="63"/>
      <c r="AM7" s="64"/>
      <c r="AN7" s="63"/>
      <c r="AO7" s="64"/>
      <c r="AP7" s="63"/>
      <c r="AQ7" s="64"/>
      <c r="AR7" s="63"/>
      <c r="AS7" s="64"/>
      <c r="AT7" s="63"/>
      <c r="AU7" s="64"/>
      <c r="AV7" s="63"/>
      <c r="AW7" s="64"/>
      <c r="AX7" s="63"/>
      <c r="AY7" s="5"/>
      <c r="AZ7" s="21" t="str">
        <f t="shared" si="0"/>
        <v/>
      </c>
      <c r="BA7" s="4"/>
      <c r="BB7" s="13"/>
      <c r="BC7" s="4"/>
      <c r="BD7" s="4"/>
      <c r="BE7" s="9"/>
      <c r="BF7" s="4"/>
      <c r="BG7" s="4"/>
      <c r="BH7" s="4"/>
      <c r="BI7" s="4"/>
      <c r="BJ7" s="4"/>
      <c r="BK7" s="4"/>
      <c r="BL7" s="4"/>
      <c r="BM7" s="4"/>
      <c r="BN7" s="4"/>
      <c r="BO7" s="4"/>
      <c r="BP7" s="4"/>
      <c r="BQ7" s="5"/>
      <c r="BR7" s="13"/>
      <c r="BS7" s="5"/>
    </row>
    <row r="8" spans="1:71" s="3" customFormat="1" x14ac:dyDescent="0.25">
      <c r="A8" s="5"/>
      <c r="B8" s="3" t="str">
        <f t="array" ref="B8">IFERROR(INDEX(DemandSupply,MATCH(INDEX($AH$1:AH8,SMALL(ROW($AH$1:AH8)+(10000*($AH$1:AH8="")),COUNTA($AH$1:AH8))),Sectors,0)),"")</f>
        <v/>
      </c>
      <c r="E8" s="10">
        <f t="shared" si="1"/>
        <v>1</v>
      </c>
      <c r="F8" s="207">
        <v>1</v>
      </c>
      <c r="G8" s="207">
        <v>1</v>
      </c>
      <c r="H8" s="207">
        <v>1</v>
      </c>
      <c r="I8" s="207">
        <v>1</v>
      </c>
      <c r="J8" s="207">
        <v>1</v>
      </c>
      <c r="K8" s="207">
        <v>1</v>
      </c>
      <c r="L8" s="207">
        <v>1</v>
      </c>
      <c r="M8" s="207">
        <v>1</v>
      </c>
      <c r="N8" s="207">
        <v>1</v>
      </c>
      <c r="O8" s="207">
        <v>1</v>
      </c>
      <c r="P8" s="207">
        <v>1</v>
      </c>
      <c r="Q8" s="207">
        <v>1</v>
      </c>
      <c r="R8" s="207">
        <v>1</v>
      </c>
      <c r="S8" s="207">
        <v>1</v>
      </c>
      <c r="T8" s="207">
        <v>1</v>
      </c>
      <c r="U8" s="207">
        <v>1</v>
      </c>
      <c r="V8" s="207">
        <v>1</v>
      </c>
      <c r="W8" s="207">
        <v>1</v>
      </c>
      <c r="X8" s="207">
        <v>1</v>
      </c>
      <c r="Y8" s="207">
        <v>1</v>
      </c>
      <c r="Z8" s="207">
        <v>1</v>
      </c>
      <c r="AA8" s="207">
        <v>1</v>
      </c>
      <c r="AB8" s="207">
        <v>1</v>
      </c>
      <c r="AC8" s="5"/>
      <c r="AD8" s="23" t="s">
        <v>48</v>
      </c>
      <c r="AE8" s="68"/>
      <c r="AF8" s="63"/>
      <c r="AG8" s="64"/>
      <c r="AH8" s="63"/>
      <c r="AI8" s="64"/>
      <c r="AJ8" s="63"/>
      <c r="AK8" s="64"/>
      <c r="AL8" s="63"/>
      <c r="AM8" s="64"/>
      <c r="AN8" s="63"/>
      <c r="AO8" s="64"/>
      <c r="AP8" s="63"/>
      <c r="AQ8" s="64"/>
      <c r="AR8" s="63"/>
      <c r="AS8" s="64"/>
      <c r="AT8" s="63"/>
      <c r="AU8" s="64"/>
      <c r="AV8" s="63"/>
      <c r="AW8" s="64"/>
      <c r="AX8" s="63"/>
      <c r="AY8" s="5"/>
      <c r="AZ8" s="208" t="str">
        <f t="shared" si="0"/>
        <v>Canada</v>
      </c>
      <c r="BA8" s="4"/>
      <c r="BB8" s="13"/>
      <c r="BC8" s="4"/>
      <c r="BD8" s="4"/>
      <c r="BE8" s="9"/>
      <c r="BF8" s="4"/>
      <c r="BG8" s="4"/>
      <c r="BH8" s="4"/>
      <c r="BI8" s="4"/>
      <c r="BJ8" s="4"/>
      <c r="BK8" s="4"/>
      <c r="BL8" s="4"/>
      <c r="BM8" s="4"/>
      <c r="BN8" s="4"/>
      <c r="BO8" s="4"/>
      <c r="BP8" s="4"/>
      <c r="BQ8" s="5"/>
      <c r="BR8" s="13"/>
      <c r="BS8" s="5"/>
    </row>
    <row r="9" spans="1:71" s="3" customFormat="1" x14ac:dyDescent="0.25">
      <c r="A9" s="5"/>
      <c r="B9" s="3" t="str">
        <f t="array" ref="B9">IFERROR(INDEX(DemandSupply,MATCH(INDEX($AH$1:AH9,SMALL(ROW($AH$1:AH9)+(10000*($AH$1:AH9="")),COUNTA($AH$1:AH9))),Sectors,0)),"")</f>
        <v/>
      </c>
      <c r="E9" s="10">
        <f t="shared" si="1"/>
        <v>0</v>
      </c>
      <c r="F9" s="207">
        <v>1</v>
      </c>
      <c r="G9" s="207">
        <v>1</v>
      </c>
      <c r="H9" s="207">
        <v>1</v>
      </c>
      <c r="I9" s="207">
        <v>1</v>
      </c>
      <c r="J9" s="207">
        <v>1</v>
      </c>
      <c r="K9" s="207">
        <v>1</v>
      </c>
      <c r="L9" s="207">
        <v>1</v>
      </c>
      <c r="M9" s="207">
        <v>1</v>
      </c>
      <c r="N9" s="207">
        <v>1</v>
      </c>
      <c r="O9" s="207">
        <v>1</v>
      </c>
      <c r="P9" s="207">
        <v>1</v>
      </c>
      <c r="Q9" s="207">
        <v>1</v>
      </c>
      <c r="R9" s="207">
        <v>1</v>
      </c>
      <c r="S9" s="207">
        <v>1</v>
      </c>
      <c r="T9" s="207">
        <v>1</v>
      </c>
      <c r="U9" s="207">
        <v>1</v>
      </c>
      <c r="V9" s="207">
        <v>1</v>
      </c>
      <c r="W9" s="207">
        <v>1</v>
      </c>
      <c r="X9" s="207">
        <v>1</v>
      </c>
      <c r="Y9" s="207">
        <v>1</v>
      </c>
      <c r="Z9" s="207">
        <v>1</v>
      </c>
      <c r="AA9" s="207">
        <v>1</v>
      </c>
      <c r="AB9" s="207">
        <v>1</v>
      </c>
      <c r="AC9" s="5"/>
      <c r="AD9" s="65"/>
      <c r="AE9" s="210"/>
      <c r="AF9" s="63"/>
      <c r="AG9" s="64"/>
      <c r="AH9" s="63"/>
      <c r="AI9" s="64"/>
      <c r="AJ9" s="63"/>
      <c r="AK9" s="64"/>
      <c r="AL9" s="63"/>
      <c r="AM9" s="64"/>
      <c r="AN9" s="63"/>
      <c r="AO9" s="64"/>
      <c r="AP9" s="63"/>
      <c r="AQ9" s="64"/>
      <c r="AR9" s="63"/>
      <c r="AS9" s="64"/>
      <c r="AT9" s="63"/>
      <c r="AU9" s="64"/>
      <c r="AV9" s="63"/>
      <c r="AW9" s="64"/>
      <c r="AX9" s="63"/>
      <c r="AY9" s="5"/>
      <c r="AZ9" s="21" t="str">
        <f t="shared" si="0"/>
        <v/>
      </c>
      <c r="BA9" s="74" t="s">
        <v>337</v>
      </c>
      <c r="BB9" s="13"/>
      <c r="BC9" s="74" t="s">
        <v>48</v>
      </c>
      <c r="BD9" s="4"/>
      <c r="BE9" s="224" t="str">
        <f>AZ8</f>
        <v>Canada</v>
      </c>
      <c r="BF9" s="4"/>
      <c r="BG9" s="4"/>
      <c r="BH9" s="4"/>
      <c r="BI9" s="4"/>
      <c r="BJ9" s="4"/>
      <c r="BK9" s="4"/>
      <c r="BL9" s="4"/>
      <c r="BM9" s="4"/>
      <c r="BN9" s="4"/>
      <c r="BO9" s="4"/>
      <c r="BP9" s="4"/>
      <c r="BQ9" s="5"/>
      <c r="BR9" s="13"/>
      <c r="BS9" s="5"/>
    </row>
    <row r="10" spans="1:71" s="3" customFormat="1" x14ac:dyDescent="0.25">
      <c r="A10" s="5"/>
      <c r="B10" s="3" t="str">
        <f t="array" ref="B10">IFERROR(INDEX(DemandSupply,MATCH(INDEX($AH$1:AH10,SMALL(ROW($AH$1:AH10)+(10000*($AH$1:AH10="")),COUNTA($AH$1:AH10))),Sectors,0)),"")</f>
        <v/>
      </c>
      <c r="E10" s="10">
        <f t="shared" si="1"/>
        <v>0</v>
      </c>
      <c r="F10" s="207">
        <v>1</v>
      </c>
      <c r="G10" s="207">
        <v>1</v>
      </c>
      <c r="H10" s="207">
        <v>1</v>
      </c>
      <c r="I10" s="207">
        <v>1</v>
      </c>
      <c r="J10" s="207">
        <v>1</v>
      </c>
      <c r="K10" s="207">
        <v>1</v>
      </c>
      <c r="L10" s="207">
        <v>1</v>
      </c>
      <c r="M10" s="207">
        <v>1</v>
      </c>
      <c r="N10" s="207">
        <v>1</v>
      </c>
      <c r="O10" s="207">
        <v>1</v>
      </c>
      <c r="P10" s="207">
        <v>1</v>
      </c>
      <c r="Q10" s="207">
        <v>1</v>
      </c>
      <c r="R10" s="207">
        <v>1</v>
      </c>
      <c r="S10" s="207">
        <v>1</v>
      </c>
      <c r="T10" s="207">
        <v>1</v>
      </c>
      <c r="U10" s="207">
        <v>1</v>
      </c>
      <c r="V10" s="207">
        <v>1</v>
      </c>
      <c r="W10" s="207">
        <v>1</v>
      </c>
      <c r="X10" s="207">
        <v>1</v>
      </c>
      <c r="Y10" s="207">
        <v>1</v>
      </c>
      <c r="Z10" s="207">
        <v>1</v>
      </c>
      <c r="AA10" s="207">
        <v>1</v>
      </c>
      <c r="AB10" s="207">
        <v>1</v>
      </c>
      <c r="AC10" s="5"/>
      <c r="AD10" s="64"/>
      <c r="AE10" s="145"/>
      <c r="AF10" s="64"/>
      <c r="AG10" s="64"/>
      <c r="AH10" s="63"/>
      <c r="AI10" s="64"/>
      <c r="AJ10" s="63"/>
      <c r="AK10" s="64"/>
      <c r="AL10" s="63"/>
      <c r="AM10" s="64"/>
      <c r="AN10" s="63"/>
      <c r="AO10" s="64"/>
      <c r="AP10" s="63"/>
      <c r="AQ10" s="64"/>
      <c r="AR10" s="63"/>
      <c r="AS10" s="64"/>
      <c r="AT10" s="63"/>
      <c r="AU10" s="64"/>
      <c r="AV10" s="63"/>
      <c r="AW10" s="64"/>
      <c r="AX10" s="63"/>
      <c r="AY10" s="5"/>
      <c r="AZ10" s="21" t="str">
        <f t="shared" si="0"/>
        <v/>
      </c>
      <c r="BA10" s="74" t="s">
        <v>338</v>
      </c>
      <c r="BB10" s="74" t="s">
        <v>327</v>
      </c>
      <c r="BC10" s="74" t="s">
        <v>121</v>
      </c>
      <c r="BD10" s="13"/>
      <c r="BE10" s="9"/>
      <c r="BF10" s="4">
        <v>1</v>
      </c>
      <c r="BG10" s="4">
        <v>1</v>
      </c>
      <c r="BH10" s="4">
        <v>1</v>
      </c>
      <c r="BI10" s="4">
        <v>1</v>
      </c>
      <c r="BJ10" s="4">
        <v>1</v>
      </c>
      <c r="BK10" s="4">
        <v>1</v>
      </c>
      <c r="BL10" s="4">
        <v>1</v>
      </c>
      <c r="BM10" s="4">
        <v>1</v>
      </c>
      <c r="BN10" s="4">
        <v>1</v>
      </c>
      <c r="BO10" s="4">
        <v>1</v>
      </c>
      <c r="BP10" s="4">
        <v>1</v>
      </c>
      <c r="BQ10" s="5"/>
      <c r="BR10" s="4"/>
      <c r="BS10" s="5"/>
    </row>
    <row r="11" spans="1:71" s="3" customFormat="1" x14ac:dyDescent="0.25">
      <c r="A11" s="5"/>
      <c r="B11" s="3" t="str">
        <f t="array" ref="B11">IFERROR(INDEX(DemandSupply,MATCH(INDEX($AH$1:AH11,SMALL(ROW($AH$1:AH11)+(10000*($AH$1:AH11="")),COUNTA($AH$1:AH11))),Sectors,0)),"")</f>
        <v/>
      </c>
      <c r="E11" s="10">
        <f t="shared" si="1"/>
        <v>1</v>
      </c>
      <c r="F11" s="207">
        <v>1</v>
      </c>
      <c r="G11" s="207">
        <v>1</v>
      </c>
      <c r="H11" s="207">
        <v>1</v>
      </c>
      <c r="I11" s="207">
        <v>1</v>
      </c>
      <c r="J11" s="207">
        <v>1</v>
      </c>
      <c r="K11" s="207">
        <v>1</v>
      </c>
      <c r="L11" s="207">
        <v>1</v>
      </c>
      <c r="M11" s="207">
        <v>1</v>
      </c>
      <c r="N11" s="207">
        <v>1</v>
      </c>
      <c r="O11" s="207">
        <v>1</v>
      </c>
      <c r="P11" s="207">
        <v>1</v>
      </c>
      <c r="Q11" s="207">
        <v>1</v>
      </c>
      <c r="R11" s="207">
        <v>1</v>
      </c>
      <c r="S11" s="207">
        <v>1</v>
      </c>
      <c r="T11" s="207">
        <v>1</v>
      </c>
      <c r="U11" s="207">
        <v>1</v>
      </c>
      <c r="V11" s="207">
        <v>1</v>
      </c>
      <c r="W11" s="207">
        <v>1</v>
      </c>
      <c r="X11" s="207">
        <v>1</v>
      </c>
      <c r="Y11" s="207">
        <v>1</v>
      </c>
      <c r="Z11" s="207">
        <v>1</v>
      </c>
      <c r="AA11" s="207">
        <v>1</v>
      </c>
      <c r="AB11" s="207">
        <v>1</v>
      </c>
      <c r="AC11" s="5"/>
      <c r="AD11" s="65"/>
      <c r="AE11" s="145"/>
      <c r="AF11" s="64"/>
      <c r="AG11" s="64"/>
      <c r="AH11" s="63"/>
      <c r="AI11" s="64"/>
      <c r="AJ11" s="63"/>
      <c r="AK11" s="64"/>
      <c r="AL11" s="63"/>
      <c r="AM11" s="64"/>
      <c r="AN11" s="63"/>
      <c r="AO11" s="64"/>
      <c r="AP11" s="63"/>
      <c r="AQ11" s="64"/>
      <c r="AR11" s="63"/>
      <c r="AS11" s="64"/>
      <c r="AT11" s="63"/>
      <c r="AU11" s="64"/>
      <c r="AV11" s="63"/>
      <c r="AW11" s="64"/>
      <c r="AX11" s="63"/>
      <c r="AY11" s="5"/>
      <c r="AZ11" s="21" t="str">
        <f t="shared" si="0"/>
        <v/>
      </c>
      <c r="BA11" s="4"/>
      <c r="BB11" s="13"/>
      <c r="BC11" s="4"/>
      <c r="BD11" s="4"/>
      <c r="BE11" s="9"/>
      <c r="BF11" s="4"/>
      <c r="BG11" s="4"/>
      <c r="BH11" s="4"/>
      <c r="BI11" s="4"/>
      <c r="BJ11" s="4"/>
      <c r="BK11" s="4"/>
      <c r="BL11" s="4"/>
      <c r="BM11" s="4"/>
      <c r="BN11" s="4"/>
      <c r="BO11" s="4"/>
      <c r="BP11" s="4"/>
      <c r="BQ11" s="5"/>
      <c r="BR11" s="13"/>
      <c r="BS11" s="5"/>
    </row>
    <row r="12" spans="1:71" s="3" customFormat="1" x14ac:dyDescent="0.25">
      <c r="A12" s="5"/>
      <c r="B12" s="3" t="str">
        <f t="array" ref="B12">IFERROR(INDEX(DemandSupply,MATCH(INDEX($AH$1:AH12,SMALL(ROW($AH$1:AH12)+(10000*($AH$1:AH12="")),COUNTA($AH$1:AH12))),Sectors,0)),"")</f>
        <v/>
      </c>
      <c r="E12" s="10">
        <f t="shared" si="1"/>
        <v>1</v>
      </c>
      <c r="F12" s="207">
        <v>1</v>
      </c>
      <c r="G12" s="207">
        <v>1</v>
      </c>
      <c r="H12" s="207">
        <v>1</v>
      </c>
      <c r="I12" s="207">
        <v>1</v>
      </c>
      <c r="J12" s="207">
        <v>1</v>
      </c>
      <c r="K12" s="207">
        <v>1</v>
      </c>
      <c r="L12" s="207">
        <v>1</v>
      </c>
      <c r="M12" s="207">
        <v>1</v>
      </c>
      <c r="N12" s="207">
        <v>1</v>
      </c>
      <c r="O12" s="207">
        <v>1</v>
      </c>
      <c r="P12" s="207">
        <v>1</v>
      </c>
      <c r="Q12" s="207">
        <v>1</v>
      </c>
      <c r="R12" s="207">
        <v>1</v>
      </c>
      <c r="S12" s="207">
        <v>1</v>
      </c>
      <c r="T12" s="207">
        <v>1</v>
      </c>
      <c r="U12" s="207">
        <v>1</v>
      </c>
      <c r="V12" s="207">
        <v>1</v>
      </c>
      <c r="W12" s="207">
        <v>1</v>
      </c>
      <c r="X12" s="207">
        <v>1</v>
      </c>
      <c r="Y12" s="207">
        <v>1</v>
      </c>
      <c r="Z12" s="207">
        <v>1</v>
      </c>
      <c r="AA12" s="207">
        <v>1</v>
      </c>
      <c r="AB12" s="207">
        <v>1</v>
      </c>
      <c r="AC12" s="5"/>
      <c r="AD12" s="63"/>
      <c r="AE12" s="212"/>
      <c r="AF12" s="211" t="s">
        <v>5</v>
      </c>
      <c r="AG12" s="68"/>
      <c r="AH12" s="64"/>
      <c r="AI12" s="64"/>
      <c r="AJ12" s="63"/>
      <c r="AK12" s="64"/>
      <c r="AL12" s="63"/>
      <c r="AM12" s="64"/>
      <c r="AN12" s="63"/>
      <c r="AO12" s="64"/>
      <c r="AP12" s="63"/>
      <c r="AQ12" s="64"/>
      <c r="AR12" s="63"/>
      <c r="AS12" s="64"/>
      <c r="AT12" s="63"/>
      <c r="AU12" s="64"/>
      <c r="AV12" s="63"/>
      <c r="AW12" s="64"/>
      <c r="AX12" s="63"/>
      <c r="AY12" s="5"/>
      <c r="AZ12" s="208" t="str">
        <f t="shared" si="0"/>
        <v>Alberta</v>
      </c>
      <c r="BA12" s="4"/>
      <c r="BB12" s="13"/>
      <c r="BC12" s="4"/>
      <c r="BD12" s="4"/>
      <c r="BE12" s="9"/>
      <c r="BF12" s="4"/>
      <c r="BG12" s="4"/>
      <c r="BH12" s="4"/>
      <c r="BI12" s="4"/>
      <c r="BJ12" s="4"/>
      <c r="BK12" s="4"/>
      <c r="BL12" s="4"/>
      <c r="BM12" s="4"/>
      <c r="BN12" s="4"/>
      <c r="BO12" s="4"/>
      <c r="BP12" s="4"/>
      <c r="BQ12" s="5"/>
      <c r="BR12" s="13"/>
      <c r="BS12" s="5"/>
    </row>
    <row r="13" spans="1:71" s="3" customFormat="1" x14ac:dyDescent="0.25">
      <c r="A13" s="5"/>
      <c r="B13" s="3" t="str">
        <f t="array" ref="B13">IFERROR(INDEX(DemandSupply,MATCH(INDEX($AH$1:AH13,SMALL(ROW($AH$1:AH13)+(10000*($AH$1:AH13="")),COUNTA($AH$1:AH13))),Sectors,0)),"")</f>
        <v/>
      </c>
      <c r="E13" s="10"/>
      <c r="F13" s="207">
        <v>1</v>
      </c>
      <c r="G13" s="207">
        <v>1</v>
      </c>
      <c r="H13" s="207">
        <v>1</v>
      </c>
      <c r="I13" s="207">
        <v>1</v>
      </c>
      <c r="J13" s="207">
        <v>1</v>
      </c>
      <c r="K13" s="207">
        <v>1</v>
      </c>
      <c r="L13" s="207">
        <v>1</v>
      </c>
      <c r="M13" s="207">
        <v>1</v>
      </c>
      <c r="N13" s="207">
        <v>1</v>
      </c>
      <c r="O13" s="207">
        <v>1</v>
      </c>
      <c r="P13" s="207">
        <v>1</v>
      </c>
      <c r="Q13" s="207">
        <v>1</v>
      </c>
      <c r="R13" s="207">
        <v>1</v>
      </c>
      <c r="S13" s="207">
        <v>1</v>
      </c>
      <c r="T13" s="207">
        <v>1</v>
      </c>
      <c r="U13" s="207">
        <v>1</v>
      </c>
      <c r="V13" s="207">
        <v>1</v>
      </c>
      <c r="W13" s="207">
        <v>1</v>
      </c>
      <c r="X13" s="207">
        <v>1</v>
      </c>
      <c r="Y13" s="207">
        <v>1</v>
      </c>
      <c r="Z13" s="207">
        <v>1</v>
      </c>
      <c r="AA13" s="207">
        <v>1</v>
      </c>
      <c r="AB13" s="207">
        <v>1</v>
      </c>
      <c r="AC13" s="5"/>
      <c r="AD13" s="63"/>
      <c r="AE13" s="64"/>
      <c r="AF13" s="80"/>
      <c r="AG13" s="145"/>
      <c r="AH13" s="64"/>
      <c r="AI13" s="64"/>
      <c r="AJ13" s="63"/>
      <c r="AK13" s="64"/>
      <c r="AL13" s="63"/>
      <c r="AM13" s="64"/>
      <c r="AN13" s="63"/>
      <c r="AO13" s="64"/>
      <c r="AP13" s="63"/>
      <c r="AQ13" s="64"/>
      <c r="AR13" s="63"/>
      <c r="AS13" s="64"/>
      <c r="AT13" s="63"/>
      <c r="AU13" s="64"/>
      <c r="AV13" s="63"/>
      <c r="AW13" s="64"/>
      <c r="AX13" s="63"/>
      <c r="AY13" s="5"/>
      <c r="AZ13" s="21" t="str">
        <f t="shared" si="0"/>
        <v/>
      </c>
      <c r="BA13" s="74" t="s">
        <v>337</v>
      </c>
      <c r="BB13" s="13"/>
      <c r="BC13" s="74" t="s">
        <v>121</v>
      </c>
      <c r="BD13" s="74" t="s">
        <v>353</v>
      </c>
      <c r="BE13" s="216" t="str">
        <f>AZ12</f>
        <v>Alberta</v>
      </c>
      <c r="BF13" s="56"/>
      <c r="BG13" s="56"/>
      <c r="BH13" s="56"/>
      <c r="BI13" s="56"/>
      <c r="BJ13" s="56"/>
      <c r="BK13" s="56"/>
      <c r="BL13" s="56"/>
      <c r="BM13" s="56"/>
      <c r="BN13" s="56"/>
      <c r="BO13" s="56"/>
      <c r="BP13" s="56"/>
      <c r="BQ13" s="5"/>
      <c r="BR13" s="13"/>
      <c r="BS13" s="5"/>
    </row>
    <row r="14" spans="1:71" s="3" customFormat="1" x14ac:dyDescent="0.25">
      <c r="A14" s="5"/>
      <c r="B14" s="3" t="str">
        <f t="array" ref="B14">IFERROR(INDEX(DemandSupply,MATCH(INDEX($AH$1:AH14,SMALL(ROW($AH$1:AH14)+(10000*($AH$1:AH14="")),COUNTA($AH$1:AH14))),Sectors,0)),"")</f>
        <v/>
      </c>
      <c r="E14" s="10">
        <f t="shared" si="1"/>
        <v>0</v>
      </c>
      <c r="F14" s="207">
        <v>1</v>
      </c>
      <c r="G14" s="207">
        <v>1</v>
      </c>
      <c r="H14" s="207">
        <v>1</v>
      </c>
      <c r="I14" s="207">
        <v>1</v>
      </c>
      <c r="J14" s="207">
        <v>1</v>
      </c>
      <c r="K14" s="207">
        <v>1</v>
      </c>
      <c r="L14" s="207">
        <v>1</v>
      </c>
      <c r="M14" s="207">
        <v>1</v>
      </c>
      <c r="N14" s="207">
        <v>1</v>
      </c>
      <c r="O14" s="207">
        <v>1</v>
      </c>
      <c r="P14" s="207">
        <v>1</v>
      </c>
      <c r="Q14" s="207">
        <v>1</v>
      </c>
      <c r="R14" s="207">
        <v>1</v>
      </c>
      <c r="S14" s="207">
        <v>1</v>
      </c>
      <c r="T14" s="207">
        <v>1</v>
      </c>
      <c r="U14" s="207">
        <v>1</v>
      </c>
      <c r="V14" s="207">
        <v>1</v>
      </c>
      <c r="W14" s="207">
        <v>1</v>
      </c>
      <c r="X14" s="207">
        <v>1</v>
      </c>
      <c r="Y14" s="207">
        <v>1</v>
      </c>
      <c r="Z14" s="207">
        <v>1</v>
      </c>
      <c r="AA14" s="207">
        <v>1</v>
      </c>
      <c r="AB14" s="207">
        <v>1</v>
      </c>
      <c r="AC14" s="5"/>
      <c r="AD14" s="63"/>
      <c r="AE14" s="64"/>
      <c r="AF14" s="64"/>
      <c r="AG14" s="145"/>
      <c r="AH14" s="64"/>
      <c r="AI14" s="64"/>
      <c r="AJ14" s="63"/>
      <c r="AK14" s="64"/>
      <c r="AL14" s="63"/>
      <c r="AM14" s="64"/>
      <c r="AN14" s="63"/>
      <c r="AO14" s="64"/>
      <c r="AP14" s="63"/>
      <c r="AQ14" s="64"/>
      <c r="AR14" s="63"/>
      <c r="AS14" s="64"/>
      <c r="AT14" s="63"/>
      <c r="AU14" s="64"/>
      <c r="AV14" s="63"/>
      <c r="AW14" s="64"/>
      <c r="AX14" s="63"/>
      <c r="AY14" s="5"/>
      <c r="AZ14" s="21" t="str">
        <f t="shared" si="0"/>
        <v/>
      </c>
      <c r="BA14" s="74" t="s">
        <v>351</v>
      </c>
      <c r="BB14" s="74" t="str">
        <f>Macro!F3</f>
        <v>StatCan</v>
      </c>
      <c r="BC14" s="15"/>
      <c r="BD14" s="74" t="s">
        <v>46</v>
      </c>
      <c r="BE14" s="216" t="s">
        <v>43</v>
      </c>
      <c r="BF14" s="17">
        <f>INDEX(Macro!G$3:G$16,MATCH("Alberta",Macro!$C$3:$C$16,0))</f>
        <v>3004198</v>
      </c>
      <c r="BG14" s="17">
        <f>INDEX(Macro!H$3:H$16,MATCH("Alberta",Macro!$C$3:$C$16,0))</f>
        <v>3321768</v>
      </c>
      <c r="BH14" s="17">
        <f>INDEX(Macro!I$3:I$16,MATCH("Alberta",Macro!$C$3:$C$16,0))</f>
        <v>3732082</v>
      </c>
      <c r="BI14" s="17">
        <f>INDEX(Macro!J$3:J$16,MATCH("Alberta",Macro!$C$3:$C$16,0))</f>
        <v>4144491</v>
      </c>
      <c r="BJ14" s="17">
        <f>INDEX(Macro!K$3:K$16,MATCH("Alberta",Macro!$C$3:$C$16,0))</f>
        <v>4472800</v>
      </c>
      <c r="BK14" s="17">
        <f>INDEX(Macro!L$3:L$16,MATCH("Alberta",Macro!$C$3:$C$16,0))</f>
        <v>4908500</v>
      </c>
      <c r="BL14" s="17">
        <f>INDEX(Macro!M$3:M$16,MATCH("Alberta",Macro!$C$3:$C$16,0))</f>
        <v>5360500</v>
      </c>
      <c r="BM14" s="17">
        <f>INDEX(Macro!N$3:N$16,MATCH("Alberta",Macro!$C$3:$C$16,0))</f>
        <v>5830000</v>
      </c>
      <c r="BN14" s="17">
        <f>INDEX(Macro!O$3:O$16,MATCH("Alberta",Macro!$C$3:$C$16,0))</f>
        <v>6317800</v>
      </c>
      <c r="BO14" s="17">
        <f>INDEX(Macro!P$3:P$16,MATCH("Alberta",Macro!$C$3:$C$16,0))</f>
        <v>6546789.4987122808</v>
      </c>
      <c r="BP14" s="17">
        <f>INDEX(Macro!Q$3:Q$16,MATCH("Alberta",Macro!$C$3:$C$16,0))</f>
        <v>6769878.6374783553</v>
      </c>
      <c r="BQ14" s="5"/>
      <c r="BR14" s="4"/>
      <c r="BS14" s="5"/>
    </row>
    <row r="15" spans="1:71" s="3" customFormat="1" x14ac:dyDescent="0.25">
      <c r="A15" s="5"/>
      <c r="B15" s="3" t="str">
        <f t="array" ref="B15">IFERROR(INDEX(DemandSupply,MATCH(INDEX($AH$1:AH15,SMALL(ROW($AH$1:AH15)+(10000*($AH$1:AH15="")),COUNTA($AH$1:AH15))),Sectors,0)),"")</f>
        <v/>
      </c>
      <c r="E15" s="10">
        <f t="shared" si="1"/>
        <v>0</v>
      </c>
      <c r="F15" s="207">
        <v>1</v>
      </c>
      <c r="G15" s="207">
        <v>1</v>
      </c>
      <c r="H15" s="207">
        <v>1</v>
      </c>
      <c r="I15" s="207">
        <v>1</v>
      </c>
      <c r="J15" s="207">
        <v>1</v>
      </c>
      <c r="K15" s="207">
        <v>1</v>
      </c>
      <c r="L15" s="207">
        <v>1</v>
      </c>
      <c r="M15" s="207">
        <v>1</v>
      </c>
      <c r="N15" s="207">
        <v>1</v>
      </c>
      <c r="O15" s="207">
        <v>1</v>
      </c>
      <c r="P15" s="207">
        <v>1</v>
      </c>
      <c r="Q15" s="207">
        <v>1</v>
      </c>
      <c r="R15" s="207">
        <v>1</v>
      </c>
      <c r="S15" s="207">
        <v>1</v>
      </c>
      <c r="T15" s="207">
        <v>1</v>
      </c>
      <c r="U15" s="207">
        <v>1</v>
      </c>
      <c r="V15" s="207">
        <v>1</v>
      </c>
      <c r="W15" s="207">
        <v>1</v>
      </c>
      <c r="X15" s="207">
        <v>1</v>
      </c>
      <c r="Y15" s="207">
        <v>1</v>
      </c>
      <c r="Z15" s="207">
        <v>1</v>
      </c>
      <c r="AA15" s="207">
        <v>1</v>
      </c>
      <c r="AB15" s="207">
        <v>1</v>
      </c>
      <c r="AC15" s="5"/>
      <c r="AD15" s="63"/>
      <c r="AE15" s="64"/>
      <c r="AF15" s="64"/>
      <c r="AG15" s="145"/>
      <c r="AH15" s="64"/>
      <c r="AI15" s="64"/>
      <c r="AJ15" s="63"/>
      <c r="AK15" s="64"/>
      <c r="AL15" s="63"/>
      <c r="AM15" s="64"/>
      <c r="AN15" s="63"/>
      <c r="AO15" s="64"/>
      <c r="AP15" s="63"/>
      <c r="AQ15" s="64"/>
      <c r="AR15" s="63"/>
      <c r="AS15" s="64"/>
      <c r="AT15" s="63"/>
      <c r="AU15" s="64"/>
      <c r="AV15" s="63"/>
      <c r="AW15" s="64"/>
      <c r="AX15" s="63"/>
      <c r="AY15" s="5"/>
      <c r="AZ15" s="21" t="str">
        <f t="shared" si="0"/>
        <v/>
      </c>
      <c r="BA15" s="74" t="s">
        <v>351</v>
      </c>
      <c r="BB15" s="74" t="str">
        <f>Macro!F52</f>
        <v>StatCan</v>
      </c>
      <c r="BC15" s="15"/>
      <c r="BD15" s="215" t="s">
        <v>354</v>
      </c>
      <c r="BE15" s="216" t="s">
        <v>44</v>
      </c>
      <c r="BF15" s="17">
        <f>INDEX(Macro!G$52:G$65,MATCH("Alberta",Macro!$C$52:$C$65,0))*1000</f>
        <v>217724000</v>
      </c>
      <c r="BG15" s="17">
        <f>INDEX(Macro!H$52:H$65,MATCH("Alberta",Macro!$C$52:$C$65,0))*1000</f>
        <v>263911000</v>
      </c>
      <c r="BH15" s="17">
        <f>INDEX(Macro!I$52:I$65,MATCH("Alberta",Macro!$C$52:$C$65,0))*1000</f>
        <v>283544000</v>
      </c>
      <c r="BI15" s="17">
        <f>INDEX(Macro!J$52:J$65,MATCH("Alberta",Macro!$C$52:$C$65,0))*1000</f>
        <v>337590000</v>
      </c>
      <c r="BJ15" s="17">
        <f>INDEX(Macro!K$52:K$65,MATCH("Alberta",Macro!$C$52:$C$65,0))*1000</f>
        <v>374179263.03346777</v>
      </c>
      <c r="BK15" s="17">
        <f>INDEX(Macro!L$52:L$65,MATCH("Alberta",Macro!$C$52:$C$65,0))*1000</f>
        <v>404742131.51416194</v>
      </c>
      <c r="BL15" s="17">
        <f>INDEX(Macro!M$52:M$65,MATCH("Alberta",Macro!$C$52:$C$65,0))*1000</f>
        <v>441255800.0564186</v>
      </c>
      <c r="BM15" s="17">
        <f>INDEX(Macro!N$52:N$65,MATCH("Alberta",Macro!$C$52:$C$65,0))*1000</f>
        <v>484096718.83954442</v>
      </c>
      <c r="BN15" s="17">
        <f>INDEX(Macro!O$52:O$65,MATCH("Alberta",Macro!$C$52:$C$65,0))*1000</f>
        <v>532616149.82592559</v>
      </c>
      <c r="BO15" s="17">
        <f>INDEX(Macro!P$52:P$65,MATCH("Alberta",Macro!$C$52:$C$65,0))*1000</f>
        <v>586750573.98825741</v>
      </c>
      <c r="BP15" s="17">
        <f>INDEX(Macro!Q$52:Q$65,MATCH("Alberta",Macro!$C$52:$C$65,0))*1000</f>
        <v>646120876.01322007</v>
      </c>
      <c r="BQ15" s="5"/>
      <c r="BR15" s="4"/>
      <c r="BS15" s="5"/>
    </row>
    <row r="16" spans="1:71" s="3" customFormat="1" x14ac:dyDescent="0.25">
      <c r="A16" s="5"/>
      <c r="B16" s="3" t="str">
        <f t="array" ref="B16">IFERROR(INDEX(DemandSupply,MATCH(INDEX($AH$1:AH16,SMALL(ROW($AH$1:AH16)+(10000*($AH$1:AH16="")),COUNTA($AH$1:AH16))),Sectors,0)),"")</f>
        <v/>
      </c>
      <c r="E16" s="10">
        <f t="shared" si="1"/>
        <v>0</v>
      </c>
      <c r="F16" s="207">
        <v>1</v>
      </c>
      <c r="G16" s="207">
        <v>1</v>
      </c>
      <c r="H16" s="207">
        <v>1</v>
      </c>
      <c r="I16" s="207">
        <v>1</v>
      </c>
      <c r="J16" s="207">
        <v>1</v>
      </c>
      <c r="K16" s="207">
        <v>1</v>
      </c>
      <c r="L16" s="207">
        <v>1</v>
      </c>
      <c r="M16" s="207">
        <v>1</v>
      </c>
      <c r="N16" s="207">
        <v>1</v>
      </c>
      <c r="O16" s="207">
        <v>1</v>
      </c>
      <c r="P16" s="207">
        <v>1</v>
      </c>
      <c r="Q16" s="207">
        <v>1</v>
      </c>
      <c r="R16" s="207">
        <v>1</v>
      </c>
      <c r="S16" s="207">
        <v>1</v>
      </c>
      <c r="T16" s="207">
        <v>1</v>
      </c>
      <c r="U16" s="207">
        <v>1</v>
      </c>
      <c r="V16" s="207">
        <v>1</v>
      </c>
      <c r="W16" s="207">
        <v>1</v>
      </c>
      <c r="X16" s="207">
        <v>1</v>
      </c>
      <c r="Y16" s="207">
        <v>1</v>
      </c>
      <c r="Z16" s="207">
        <v>1</v>
      </c>
      <c r="AA16" s="207">
        <v>1</v>
      </c>
      <c r="AB16" s="207">
        <v>1</v>
      </c>
      <c r="AC16" s="5"/>
      <c r="AD16" s="63"/>
      <c r="AE16" s="64"/>
      <c r="AF16" s="64"/>
      <c r="AG16" s="145"/>
      <c r="AH16" s="64"/>
      <c r="AI16" s="65"/>
      <c r="AJ16" s="64"/>
      <c r="AK16" s="65"/>
      <c r="AL16" s="64"/>
      <c r="AM16" s="64"/>
      <c r="AN16" s="63"/>
      <c r="AO16" s="64"/>
      <c r="AP16" s="63"/>
      <c r="AQ16" s="64"/>
      <c r="AR16" s="63"/>
      <c r="AS16" s="64"/>
      <c r="AT16" s="63"/>
      <c r="AU16" s="64"/>
      <c r="AV16" s="63"/>
      <c r="AW16" s="64"/>
      <c r="AX16" s="63"/>
      <c r="AY16" s="5"/>
      <c r="AZ16" s="21" t="str">
        <f t="shared" si="0"/>
        <v/>
      </c>
      <c r="BA16" s="74" t="s">
        <v>11</v>
      </c>
      <c r="BB16" s="13"/>
      <c r="BC16" s="2"/>
      <c r="BD16" s="74" t="s">
        <v>355</v>
      </c>
      <c r="BE16" s="216" t="s">
        <v>12</v>
      </c>
      <c r="BF16" s="17">
        <v>19</v>
      </c>
      <c r="BG16" s="17">
        <v>25</v>
      </c>
      <c r="BH16" s="17">
        <v>29</v>
      </c>
      <c r="BI16" s="17">
        <v>32</v>
      </c>
      <c r="BJ16" s="17">
        <v>32.64</v>
      </c>
      <c r="BK16" s="17">
        <v>33.2928</v>
      </c>
      <c r="BL16" s="17">
        <v>33.958655999999998</v>
      </c>
      <c r="BM16" s="17">
        <v>34.637829119999999</v>
      </c>
      <c r="BN16" s="17">
        <v>35.330585702400001</v>
      </c>
      <c r="BO16" s="17">
        <v>36.037197416448002</v>
      </c>
      <c r="BP16" s="17">
        <v>36.757941364776961</v>
      </c>
      <c r="BQ16" s="5"/>
      <c r="BR16" s="13"/>
      <c r="BS16" s="5"/>
    </row>
    <row r="17" spans="1:71" s="3" customFormat="1" x14ac:dyDescent="0.25">
      <c r="A17" s="5"/>
      <c r="B17" s="3" t="str">
        <f t="array" ref="B17">IFERROR(INDEX(DemandSupply,MATCH(INDEX($AH$1:AH17,SMALL(ROW($AH$1:AH17)+(10000*($AH$1:AH17="")),COUNTA($AH$1:AH17))),Sectors,0)),"")</f>
        <v/>
      </c>
      <c r="E17" s="10">
        <f t="shared" si="1"/>
        <v>0</v>
      </c>
      <c r="F17" s="207">
        <v>1</v>
      </c>
      <c r="G17" s="207">
        <v>1</v>
      </c>
      <c r="H17" s="207">
        <v>1</v>
      </c>
      <c r="I17" s="207">
        <v>1</v>
      </c>
      <c r="J17" s="207">
        <v>1</v>
      </c>
      <c r="K17" s="207">
        <v>1</v>
      </c>
      <c r="L17" s="207">
        <v>1</v>
      </c>
      <c r="M17" s="207">
        <v>1</v>
      </c>
      <c r="N17" s="207">
        <v>1</v>
      </c>
      <c r="O17" s="207">
        <v>1</v>
      </c>
      <c r="P17" s="207">
        <v>1</v>
      </c>
      <c r="Q17" s="207">
        <v>1</v>
      </c>
      <c r="R17" s="207">
        <v>1</v>
      </c>
      <c r="S17" s="207">
        <v>1</v>
      </c>
      <c r="T17" s="207">
        <v>1</v>
      </c>
      <c r="U17" s="207">
        <v>1</v>
      </c>
      <c r="V17" s="207">
        <v>1</v>
      </c>
      <c r="W17" s="207">
        <v>1</v>
      </c>
      <c r="X17" s="207">
        <v>1</v>
      </c>
      <c r="Y17" s="207">
        <v>1</v>
      </c>
      <c r="Z17" s="207">
        <v>1</v>
      </c>
      <c r="AA17" s="207">
        <v>1</v>
      </c>
      <c r="AB17" s="207">
        <v>1</v>
      </c>
      <c r="AC17" s="5"/>
      <c r="AD17" s="63"/>
      <c r="AE17" s="64"/>
      <c r="AF17" s="64"/>
      <c r="AG17" s="145"/>
      <c r="AH17" s="64"/>
      <c r="AI17" s="65"/>
      <c r="AJ17" s="64"/>
      <c r="AK17" s="65"/>
      <c r="AL17" s="64"/>
      <c r="AM17" s="64"/>
      <c r="AN17" s="63"/>
      <c r="AO17" s="64"/>
      <c r="AP17" s="63"/>
      <c r="AQ17" s="64"/>
      <c r="AR17" s="63"/>
      <c r="AS17" s="64"/>
      <c r="AT17" s="63"/>
      <c r="AU17" s="64"/>
      <c r="AV17" s="63"/>
      <c r="AW17" s="64"/>
      <c r="AX17" s="63"/>
      <c r="AY17" s="5"/>
      <c r="AZ17" s="21" t="str">
        <f t="shared" si="0"/>
        <v/>
      </c>
      <c r="BA17" s="74" t="s">
        <v>11</v>
      </c>
      <c r="BB17" s="13"/>
      <c r="BC17" s="2"/>
      <c r="BD17" s="74" t="s">
        <v>355</v>
      </c>
      <c r="BE17" s="216" t="s">
        <v>13</v>
      </c>
      <c r="BF17" s="17">
        <v>20</v>
      </c>
      <c r="BG17" s="17">
        <v>26</v>
      </c>
      <c r="BH17" s="17">
        <v>30</v>
      </c>
      <c r="BI17" s="17">
        <v>33</v>
      </c>
      <c r="BJ17" s="17">
        <v>33.660000000000004</v>
      </c>
      <c r="BK17" s="17">
        <v>34.333200000000005</v>
      </c>
      <c r="BL17" s="17">
        <v>35.019864000000005</v>
      </c>
      <c r="BM17" s="17">
        <v>35.72026128000001</v>
      </c>
      <c r="BN17" s="17">
        <v>36.434666505600013</v>
      </c>
      <c r="BO17" s="17">
        <v>37.163359835712015</v>
      </c>
      <c r="BP17" s="17">
        <v>37.906627032426258</v>
      </c>
      <c r="BQ17" s="5"/>
      <c r="BR17" s="13"/>
      <c r="BS17" s="5"/>
    </row>
    <row r="18" spans="1:71" s="3" customFormat="1" x14ac:dyDescent="0.25">
      <c r="A18" s="5"/>
      <c r="B18" s="3" t="str">
        <f t="array" ref="B18">IFERROR(INDEX(DemandSupply,MATCH(INDEX($AH$1:AH18,SMALL(ROW($AH$1:AH18)+(10000*($AH$1:AH18="")),COUNTA($AH$1:AH18))),Sectors,0)),"")</f>
        <v/>
      </c>
      <c r="E18" s="10">
        <f t="shared" si="1"/>
        <v>0</v>
      </c>
      <c r="F18" s="207">
        <v>1</v>
      </c>
      <c r="G18" s="207">
        <v>1</v>
      </c>
      <c r="H18" s="207">
        <v>1</v>
      </c>
      <c r="I18" s="207">
        <v>1</v>
      </c>
      <c r="J18" s="207">
        <v>1</v>
      </c>
      <c r="K18" s="207">
        <v>1</v>
      </c>
      <c r="L18" s="207">
        <v>1</v>
      </c>
      <c r="M18" s="207">
        <v>1</v>
      </c>
      <c r="N18" s="207">
        <v>1</v>
      </c>
      <c r="O18" s="207">
        <v>1</v>
      </c>
      <c r="P18" s="207">
        <v>1</v>
      </c>
      <c r="Q18" s="207">
        <v>1</v>
      </c>
      <c r="R18" s="207">
        <v>1</v>
      </c>
      <c r="S18" s="207">
        <v>1</v>
      </c>
      <c r="T18" s="207">
        <v>1</v>
      </c>
      <c r="U18" s="207">
        <v>1</v>
      </c>
      <c r="V18" s="207">
        <v>1</v>
      </c>
      <c r="W18" s="207">
        <v>1</v>
      </c>
      <c r="X18" s="207">
        <v>1</v>
      </c>
      <c r="Y18" s="207">
        <v>1</v>
      </c>
      <c r="Z18" s="207">
        <v>1</v>
      </c>
      <c r="AA18" s="207">
        <v>1</v>
      </c>
      <c r="AB18" s="207">
        <v>1</v>
      </c>
      <c r="AC18" s="5"/>
      <c r="AD18" s="63"/>
      <c r="AE18" s="64"/>
      <c r="AF18" s="64"/>
      <c r="AG18" s="145"/>
      <c r="AH18" s="64"/>
      <c r="AI18" s="65"/>
      <c r="AJ18" s="64"/>
      <c r="AK18" s="65"/>
      <c r="AL18" s="64"/>
      <c r="AM18" s="64"/>
      <c r="AN18" s="63"/>
      <c r="AO18" s="64"/>
      <c r="AP18" s="63"/>
      <c r="AQ18" s="64"/>
      <c r="AR18" s="63"/>
      <c r="AS18" s="64"/>
      <c r="AT18" s="63"/>
      <c r="AU18" s="64"/>
      <c r="AV18" s="63"/>
      <c r="AW18" s="64"/>
      <c r="AX18" s="63"/>
      <c r="AY18" s="5"/>
      <c r="AZ18" s="21" t="str">
        <f t="shared" si="0"/>
        <v/>
      </c>
      <c r="BA18" s="74" t="s">
        <v>11</v>
      </c>
      <c r="BB18" s="202"/>
      <c r="BC18" s="2"/>
      <c r="BD18" s="74" t="s">
        <v>355</v>
      </c>
      <c r="BE18" s="216" t="s">
        <v>14</v>
      </c>
      <c r="BF18" s="17">
        <v>11.52</v>
      </c>
      <c r="BG18" s="17">
        <v>11.52</v>
      </c>
      <c r="BH18" s="17">
        <v>11.52</v>
      </c>
      <c r="BI18" s="17">
        <v>11.52</v>
      </c>
      <c r="BJ18" s="17">
        <v>11.52</v>
      </c>
      <c r="BK18" s="17">
        <v>11.52</v>
      </c>
      <c r="BL18" s="17">
        <v>11.52</v>
      </c>
      <c r="BM18" s="17">
        <v>11.52</v>
      </c>
      <c r="BN18" s="17">
        <v>11.52</v>
      </c>
      <c r="BO18" s="17">
        <v>11.52</v>
      </c>
      <c r="BP18" s="17">
        <v>11.52</v>
      </c>
      <c r="BQ18" s="5"/>
      <c r="BR18" s="13"/>
      <c r="BS18" s="5"/>
    </row>
    <row r="19" spans="1:71" s="3" customFormat="1" x14ac:dyDescent="0.25">
      <c r="A19" s="5"/>
      <c r="B19" s="3" t="str">
        <f t="array" ref="B19">IFERROR(INDEX(DemandSupply,MATCH(INDEX($AH$1:AH19,SMALL(ROW($AH$1:AH19)+(10000*($AH$1:AH19="")),COUNTA($AH$1:AH19))),Sectors,0)),"")</f>
        <v/>
      </c>
      <c r="E19" s="10">
        <f t="shared" si="1"/>
        <v>0</v>
      </c>
      <c r="F19" s="207">
        <v>1</v>
      </c>
      <c r="G19" s="207">
        <v>1</v>
      </c>
      <c r="H19" s="207">
        <v>1</v>
      </c>
      <c r="I19" s="207">
        <v>1</v>
      </c>
      <c r="J19" s="207">
        <v>1</v>
      </c>
      <c r="K19" s="207">
        <v>1</v>
      </c>
      <c r="L19" s="207">
        <v>1</v>
      </c>
      <c r="M19" s="207">
        <v>1</v>
      </c>
      <c r="N19" s="207">
        <v>1</v>
      </c>
      <c r="O19" s="207">
        <v>1</v>
      </c>
      <c r="P19" s="207">
        <v>1</v>
      </c>
      <c r="Q19" s="207">
        <v>1</v>
      </c>
      <c r="R19" s="207">
        <v>1</v>
      </c>
      <c r="S19" s="207">
        <v>1</v>
      </c>
      <c r="T19" s="207">
        <v>1</v>
      </c>
      <c r="U19" s="207">
        <v>1</v>
      </c>
      <c r="V19" s="207">
        <v>1</v>
      </c>
      <c r="W19" s="207">
        <v>1</v>
      </c>
      <c r="X19" s="207">
        <v>1</v>
      </c>
      <c r="Y19" s="207">
        <v>1</v>
      </c>
      <c r="Z19" s="207">
        <v>1</v>
      </c>
      <c r="AA19" s="207">
        <v>1</v>
      </c>
      <c r="AB19" s="207">
        <v>1</v>
      </c>
      <c r="AC19" s="5"/>
      <c r="AD19" s="63"/>
      <c r="AE19" s="64"/>
      <c r="AF19" s="64"/>
      <c r="AG19" s="145"/>
      <c r="AH19" s="64"/>
      <c r="AI19" s="65"/>
      <c r="AJ19" s="64"/>
      <c r="AK19" s="65"/>
      <c r="AL19" s="64"/>
      <c r="AM19" s="64"/>
      <c r="AN19" s="63"/>
      <c r="AO19" s="64"/>
      <c r="AP19" s="63"/>
      <c r="AQ19" s="64"/>
      <c r="AR19" s="63"/>
      <c r="AS19" s="64"/>
      <c r="AT19" s="63"/>
      <c r="AU19" s="64"/>
      <c r="AV19" s="63"/>
      <c r="AW19" s="64"/>
      <c r="AX19" s="63"/>
      <c r="AY19" s="5"/>
      <c r="AZ19" s="21" t="str">
        <f t="shared" si="0"/>
        <v/>
      </c>
      <c r="BA19" s="74" t="s">
        <v>11</v>
      </c>
      <c r="BB19" s="13"/>
      <c r="BC19" s="2"/>
      <c r="BD19" s="74" t="s">
        <v>355</v>
      </c>
      <c r="BE19" s="216" t="s">
        <v>2</v>
      </c>
      <c r="BF19" s="17">
        <v>22</v>
      </c>
      <c r="BG19" s="17"/>
      <c r="BH19" s="17"/>
      <c r="BI19" s="17"/>
      <c r="BJ19" s="17"/>
      <c r="BK19" s="17"/>
      <c r="BL19" s="17"/>
      <c r="BM19" s="17"/>
      <c r="BN19" s="17"/>
      <c r="BO19" s="17"/>
      <c r="BP19" s="17"/>
      <c r="BQ19" s="5"/>
      <c r="BR19" s="13"/>
      <c r="BS19" s="5"/>
    </row>
    <row r="20" spans="1:71" s="3" customFormat="1" x14ac:dyDescent="0.25">
      <c r="A20" s="5"/>
      <c r="B20" s="3" t="str">
        <f t="array" ref="B20">IFERROR(INDEX(DemandSupply,MATCH(INDEX($AH$1:AH20,SMALL(ROW($AH$1:AH20)+(10000*($AH$1:AH20="")),COUNTA($AH$1:AH20))),Sectors,0)),"")</f>
        <v/>
      </c>
      <c r="E20" s="10">
        <f t="shared" si="1"/>
        <v>0</v>
      </c>
      <c r="F20" s="207">
        <v>1</v>
      </c>
      <c r="G20" s="207">
        <v>1</v>
      </c>
      <c r="H20" s="207">
        <v>1</v>
      </c>
      <c r="I20" s="207">
        <v>1</v>
      </c>
      <c r="J20" s="207">
        <v>1</v>
      </c>
      <c r="K20" s="207">
        <v>1</v>
      </c>
      <c r="L20" s="207">
        <v>1</v>
      </c>
      <c r="M20" s="207">
        <v>1</v>
      </c>
      <c r="N20" s="207">
        <v>1</v>
      </c>
      <c r="O20" s="207">
        <v>1</v>
      </c>
      <c r="P20" s="207">
        <v>1</v>
      </c>
      <c r="Q20" s="207">
        <v>1</v>
      </c>
      <c r="R20" s="207">
        <v>1</v>
      </c>
      <c r="S20" s="207">
        <v>1</v>
      </c>
      <c r="T20" s="207">
        <v>1</v>
      </c>
      <c r="U20" s="207">
        <v>1</v>
      </c>
      <c r="V20" s="207">
        <v>1</v>
      </c>
      <c r="W20" s="207">
        <v>1</v>
      </c>
      <c r="X20" s="207">
        <v>1</v>
      </c>
      <c r="Y20" s="207">
        <v>1</v>
      </c>
      <c r="Z20" s="207">
        <v>1</v>
      </c>
      <c r="AA20" s="207">
        <v>1</v>
      </c>
      <c r="AB20" s="207">
        <v>1</v>
      </c>
      <c r="AC20" s="5"/>
      <c r="AD20" s="63"/>
      <c r="AE20" s="64"/>
      <c r="AF20" s="64"/>
      <c r="AG20" s="145"/>
      <c r="AH20" s="64"/>
      <c r="AI20" s="65"/>
      <c r="AJ20" s="64"/>
      <c r="AK20" s="65"/>
      <c r="AL20" s="64"/>
      <c r="AM20" s="64"/>
      <c r="AN20" s="63"/>
      <c r="AO20" s="64"/>
      <c r="AP20" s="63"/>
      <c r="AQ20" s="64"/>
      <c r="AR20" s="63"/>
      <c r="AS20" s="64"/>
      <c r="AT20" s="63"/>
      <c r="AU20" s="64"/>
      <c r="AV20" s="63"/>
      <c r="AW20" s="64"/>
      <c r="AX20" s="63"/>
      <c r="AY20" s="5"/>
      <c r="AZ20" s="21" t="str">
        <f t="shared" si="0"/>
        <v/>
      </c>
      <c r="BA20" s="74" t="s">
        <v>11</v>
      </c>
      <c r="BB20" s="13"/>
      <c r="BC20" s="2"/>
      <c r="BD20" s="74" t="s">
        <v>355</v>
      </c>
      <c r="BE20" s="216" t="s">
        <v>15</v>
      </c>
      <c r="BF20" s="17">
        <v>12</v>
      </c>
      <c r="BG20" s="17">
        <v>12</v>
      </c>
      <c r="BH20" s="17">
        <v>12</v>
      </c>
      <c r="BI20" s="17">
        <v>12</v>
      </c>
      <c r="BJ20" s="17">
        <v>12.24</v>
      </c>
      <c r="BK20" s="17">
        <v>12.4848</v>
      </c>
      <c r="BL20" s="17">
        <v>12.734496</v>
      </c>
      <c r="BM20" s="17">
        <v>12.989185920000001</v>
      </c>
      <c r="BN20" s="17">
        <v>13.2489696384</v>
      </c>
      <c r="BO20" s="17">
        <v>13.513949031168</v>
      </c>
      <c r="BP20" s="17">
        <v>13.78422801179136</v>
      </c>
      <c r="BQ20" s="5"/>
      <c r="BR20" s="13"/>
      <c r="BS20" s="5"/>
    </row>
    <row r="21" spans="1:71" s="3" customFormat="1" x14ac:dyDescent="0.25">
      <c r="A21" s="5"/>
      <c r="B21" s="3" t="str">
        <f t="array" ref="B21">IFERROR(INDEX(DemandSupply,MATCH(INDEX($AH$1:AH21,SMALL(ROW($AH$1:AH21)+(10000*($AH$1:AH21="")),COUNTA($AH$1:AH21))),Sectors,0)),"")</f>
        <v/>
      </c>
      <c r="E21" s="10">
        <f t="shared" si="1"/>
        <v>0</v>
      </c>
      <c r="F21" s="207">
        <v>1</v>
      </c>
      <c r="G21" s="207">
        <v>1</v>
      </c>
      <c r="H21" s="207">
        <v>1</v>
      </c>
      <c r="I21" s="207">
        <v>1</v>
      </c>
      <c r="J21" s="207">
        <v>1</v>
      </c>
      <c r="K21" s="207">
        <v>1</v>
      </c>
      <c r="L21" s="207">
        <v>1</v>
      </c>
      <c r="M21" s="207">
        <v>1</v>
      </c>
      <c r="N21" s="207">
        <v>1</v>
      </c>
      <c r="O21" s="207">
        <v>1</v>
      </c>
      <c r="P21" s="207">
        <v>1</v>
      </c>
      <c r="Q21" s="207">
        <v>1</v>
      </c>
      <c r="R21" s="207">
        <v>1</v>
      </c>
      <c r="S21" s="207">
        <v>1</v>
      </c>
      <c r="T21" s="207">
        <v>1</v>
      </c>
      <c r="U21" s="207">
        <v>1</v>
      </c>
      <c r="V21" s="207">
        <v>1</v>
      </c>
      <c r="W21" s="207">
        <v>1</v>
      </c>
      <c r="X21" s="207">
        <v>1</v>
      </c>
      <c r="Y21" s="207">
        <v>1</v>
      </c>
      <c r="Z21" s="207">
        <v>1</v>
      </c>
      <c r="AA21" s="207">
        <v>1</v>
      </c>
      <c r="AB21" s="207">
        <v>1</v>
      </c>
      <c r="AC21" s="5"/>
      <c r="AD21" s="63"/>
      <c r="AE21" s="64"/>
      <c r="AF21" s="64"/>
      <c r="AG21" s="145"/>
      <c r="AH21" s="64"/>
      <c r="AI21" s="65"/>
      <c r="AJ21" s="64"/>
      <c r="AK21" s="65"/>
      <c r="AL21" s="64"/>
      <c r="AM21" s="64"/>
      <c r="AN21" s="63"/>
      <c r="AO21" s="64"/>
      <c r="AP21" s="63"/>
      <c r="AQ21" s="64"/>
      <c r="AR21" s="63"/>
      <c r="AS21" s="64"/>
      <c r="AT21" s="63"/>
      <c r="AU21" s="64"/>
      <c r="AV21" s="63"/>
      <c r="AW21" s="64"/>
      <c r="AX21" s="63"/>
      <c r="AY21" s="5"/>
      <c r="AZ21" s="21" t="str">
        <f t="shared" si="0"/>
        <v/>
      </c>
      <c r="BA21" s="74" t="s">
        <v>11</v>
      </c>
      <c r="BB21" s="13"/>
      <c r="BC21" s="2"/>
      <c r="BD21" s="74" t="s">
        <v>356</v>
      </c>
      <c r="BE21" s="216" t="s">
        <v>17</v>
      </c>
      <c r="BF21" s="17">
        <v>0</v>
      </c>
      <c r="BG21" s="17">
        <v>0</v>
      </c>
      <c r="BH21" s="17">
        <v>0</v>
      </c>
      <c r="BI21" s="17">
        <v>0</v>
      </c>
      <c r="BJ21" s="17">
        <v>0</v>
      </c>
      <c r="BK21" s="17">
        <v>0</v>
      </c>
      <c r="BL21" s="17">
        <v>0</v>
      </c>
      <c r="BM21" s="17">
        <v>0</v>
      </c>
      <c r="BN21" s="17">
        <v>0</v>
      </c>
      <c r="BO21" s="17">
        <v>0</v>
      </c>
      <c r="BP21" s="17">
        <v>0</v>
      </c>
      <c r="BQ21" s="5"/>
      <c r="BR21" s="13"/>
      <c r="BS21" s="5"/>
    </row>
    <row r="22" spans="1:71" s="3" customFormat="1" x14ac:dyDescent="0.25">
      <c r="A22" s="5"/>
      <c r="B22" s="3" t="str">
        <f t="array" ref="B22">IFERROR(INDEX(DemandSupply,MATCH(INDEX($AH$1:AH22,SMALL(ROW($AH$1:AH22)+(10000*($AH$1:AH22="")),COUNTA($AH$1:AH22))),Sectors,0)),"")</f>
        <v/>
      </c>
      <c r="E22" s="10">
        <f t="shared" si="1"/>
        <v>0</v>
      </c>
      <c r="F22" s="207">
        <v>1</v>
      </c>
      <c r="G22" s="207">
        <v>1</v>
      </c>
      <c r="H22" s="207">
        <v>1</v>
      </c>
      <c r="I22" s="207">
        <v>1</v>
      </c>
      <c r="J22" s="207">
        <v>1</v>
      </c>
      <c r="K22" s="207">
        <v>1</v>
      </c>
      <c r="L22" s="207">
        <v>1</v>
      </c>
      <c r="M22" s="207">
        <v>1</v>
      </c>
      <c r="N22" s="207">
        <v>1</v>
      </c>
      <c r="O22" s="207">
        <v>1</v>
      </c>
      <c r="P22" s="207">
        <v>1</v>
      </c>
      <c r="Q22" s="207">
        <v>1</v>
      </c>
      <c r="R22" s="207">
        <v>1</v>
      </c>
      <c r="S22" s="207">
        <v>1</v>
      </c>
      <c r="T22" s="207">
        <v>1</v>
      </c>
      <c r="U22" s="207">
        <v>1</v>
      </c>
      <c r="V22" s="207">
        <v>1</v>
      </c>
      <c r="W22" s="207">
        <v>1</v>
      </c>
      <c r="X22" s="207">
        <v>1</v>
      </c>
      <c r="Y22" s="207">
        <v>1</v>
      </c>
      <c r="Z22" s="207">
        <v>1</v>
      </c>
      <c r="AA22" s="207">
        <v>1</v>
      </c>
      <c r="AB22" s="207">
        <v>1</v>
      </c>
      <c r="AC22" s="5"/>
      <c r="AD22" s="63"/>
      <c r="AE22" s="64"/>
      <c r="AF22" s="64"/>
      <c r="AG22" s="145"/>
      <c r="AH22" s="64"/>
      <c r="AI22" s="65"/>
      <c r="AJ22" s="64"/>
      <c r="AK22" s="65"/>
      <c r="AL22" s="64"/>
      <c r="AM22" s="64"/>
      <c r="AN22" s="63"/>
      <c r="AO22" s="64"/>
      <c r="AP22" s="63"/>
      <c r="AQ22" s="64"/>
      <c r="AR22" s="63"/>
      <c r="AS22" s="64"/>
      <c r="AT22" s="63"/>
      <c r="AU22" s="64"/>
      <c r="AV22" s="63"/>
      <c r="AW22" s="64"/>
      <c r="AX22" s="63"/>
      <c r="AY22" s="5"/>
      <c r="AZ22" s="21" t="str">
        <f t="shared" si="0"/>
        <v/>
      </c>
      <c r="BA22" s="74" t="s">
        <v>11</v>
      </c>
      <c r="BB22" s="13"/>
      <c r="BC22" s="2"/>
      <c r="BD22" s="74" t="s">
        <v>356</v>
      </c>
      <c r="BE22" s="216" t="s">
        <v>18</v>
      </c>
      <c r="BF22" s="17">
        <v>0</v>
      </c>
      <c r="BG22" s="17">
        <v>0</v>
      </c>
      <c r="BH22" s="17">
        <v>0</v>
      </c>
      <c r="BI22" s="17">
        <v>0</v>
      </c>
      <c r="BJ22" s="17">
        <v>0</v>
      </c>
      <c r="BK22" s="17">
        <v>0</v>
      </c>
      <c r="BL22" s="17">
        <v>0</v>
      </c>
      <c r="BM22" s="17">
        <v>0</v>
      </c>
      <c r="BN22" s="17">
        <v>0</v>
      </c>
      <c r="BO22" s="17">
        <v>0</v>
      </c>
      <c r="BP22" s="17">
        <v>0</v>
      </c>
      <c r="BQ22" s="5"/>
      <c r="BR22" s="13"/>
      <c r="BS22" s="5"/>
    </row>
    <row r="23" spans="1:71" s="3" customFormat="1" x14ac:dyDescent="0.25">
      <c r="A23" s="5"/>
      <c r="B23" s="3" t="str">
        <f t="array" ref="B23">IFERROR(INDEX(DemandSupply,MATCH(INDEX($AH$1:AH23,SMALL(ROW($AH$1:AH23)+(10000*($AH$1:AH23="")),COUNTA($AH$1:AH23))),Sectors,0)),"")</f>
        <v/>
      </c>
      <c r="E23" s="10">
        <f t="shared" si="1"/>
        <v>0</v>
      </c>
      <c r="F23" s="207">
        <v>1</v>
      </c>
      <c r="G23" s="207">
        <v>1</v>
      </c>
      <c r="H23" s="207">
        <v>1</v>
      </c>
      <c r="I23" s="207">
        <v>1</v>
      </c>
      <c r="J23" s="207">
        <v>1</v>
      </c>
      <c r="K23" s="207">
        <v>1</v>
      </c>
      <c r="L23" s="207">
        <v>1</v>
      </c>
      <c r="M23" s="207">
        <v>1</v>
      </c>
      <c r="N23" s="207">
        <v>1</v>
      </c>
      <c r="O23" s="207">
        <v>1</v>
      </c>
      <c r="P23" s="207">
        <v>1</v>
      </c>
      <c r="Q23" s="207">
        <v>1</v>
      </c>
      <c r="R23" s="207">
        <v>1</v>
      </c>
      <c r="S23" s="207">
        <v>1</v>
      </c>
      <c r="T23" s="207">
        <v>1</v>
      </c>
      <c r="U23" s="207">
        <v>1</v>
      </c>
      <c r="V23" s="207">
        <v>1</v>
      </c>
      <c r="W23" s="207">
        <v>1</v>
      </c>
      <c r="X23" s="207">
        <v>1</v>
      </c>
      <c r="Y23" s="207">
        <v>1</v>
      </c>
      <c r="Z23" s="207">
        <v>1</v>
      </c>
      <c r="AA23" s="207">
        <v>1</v>
      </c>
      <c r="AB23" s="207">
        <v>1</v>
      </c>
      <c r="AC23" s="5"/>
      <c r="AD23" s="63"/>
      <c r="AE23" s="64"/>
      <c r="AF23" s="64"/>
      <c r="AG23" s="145"/>
      <c r="AH23" s="64"/>
      <c r="AI23" s="65"/>
      <c r="AJ23" s="64"/>
      <c r="AK23" s="65"/>
      <c r="AL23" s="64"/>
      <c r="AM23" s="64"/>
      <c r="AN23" s="63"/>
      <c r="AO23" s="64"/>
      <c r="AP23" s="63"/>
      <c r="AQ23" s="64"/>
      <c r="AR23" s="63"/>
      <c r="AS23" s="64"/>
      <c r="AT23" s="63"/>
      <c r="AU23" s="64"/>
      <c r="AV23" s="63"/>
      <c r="AW23" s="64"/>
      <c r="AX23" s="63"/>
      <c r="AY23" s="5"/>
      <c r="AZ23" s="21" t="str">
        <f t="shared" si="0"/>
        <v/>
      </c>
      <c r="BA23" s="74" t="s">
        <v>11</v>
      </c>
      <c r="BB23" s="13"/>
      <c r="BC23" s="2"/>
      <c r="BD23" s="74" t="s">
        <v>356</v>
      </c>
      <c r="BE23" s="216" t="s">
        <v>19</v>
      </c>
      <c r="BF23" s="17">
        <v>0</v>
      </c>
      <c r="BG23" s="17">
        <v>0</v>
      </c>
      <c r="BH23" s="17">
        <v>0</v>
      </c>
      <c r="BI23" s="17">
        <v>0</v>
      </c>
      <c r="BJ23" s="17">
        <v>0</v>
      </c>
      <c r="BK23" s="17">
        <v>0</v>
      </c>
      <c r="BL23" s="17">
        <v>0</v>
      </c>
      <c r="BM23" s="17">
        <v>0</v>
      </c>
      <c r="BN23" s="17">
        <v>0</v>
      </c>
      <c r="BO23" s="17">
        <v>0</v>
      </c>
      <c r="BP23" s="17">
        <v>0</v>
      </c>
      <c r="BQ23" s="5"/>
      <c r="BR23" s="13"/>
      <c r="BS23" s="5"/>
    </row>
    <row r="24" spans="1:71" s="3" customFormat="1" x14ac:dyDescent="0.25">
      <c r="A24" s="5"/>
      <c r="B24" s="3" t="str">
        <f t="array" ref="B24">IFERROR(INDEX(DemandSupply,MATCH(INDEX($AH$1:AH24,SMALL(ROW($AH$1:AH24)+(10000*($AH$1:AH24="")),COUNTA($AH$1:AH24))),Sectors,0)),"")</f>
        <v/>
      </c>
      <c r="E24" s="10">
        <f t="shared" si="1"/>
        <v>0</v>
      </c>
      <c r="F24" s="207">
        <v>1</v>
      </c>
      <c r="G24" s="207">
        <v>1</v>
      </c>
      <c r="H24" s="207">
        <v>1</v>
      </c>
      <c r="I24" s="207">
        <v>1</v>
      </c>
      <c r="J24" s="207">
        <v>1</v>
      </c>
      <c r="K24" s="207">
        <v>1</v>
      </c>
      <c r="L24" s="207">
        <v>1</v>
      </c>
      <c r="M24" s="207">
        <v>1</v>
      </c>
      <c r="N24" s="207">
        <v>1</v>
      </c>
      <c r="O24" s="207">
        <v>1</v>
      </c>
      <c r="P24" s="207">
        <v>1</v>
      </c>
      <c r="Q24" s="207">
        <v>1</v>
      </c>
      <c r="R24" s="207">
        <v>1</v>
      </c>
      <c r="S24" s="207">
        <v>1</v>
      </c>
      <c r="T24" s="207">
        <v>1</v>
      </c>
      <c r="U24" s="207">
        <v>1</v>
      </c>
      <c r="V24" s="207">
        <v>1</v>
      </c>
      <c r="W24" s="207">
        <v>1</v>
      </c>
      <c r="X24" s="207">
        <v>1</v>
      </c>
      <c r="Y24" s="207">
        <v>1</v>
      </c>
      <c r="Z24" s="207">
        <v>1</v>
      </c>
      <c r="AA24" s="207">
        <v>1</v>
      </c>
      <c r="AB24" s="207">
        <v>1</v>
      </c>
      <c r="AC24" s="5"/>
      <c r="AD24" s="63"/>
      <c r="AE24" s="64"/>
      <c r="AF24" s="64"/>
      <c r="AG24" s="145"/>
      <c r="AH24" s="64"/>
      <c r="AI24" s="64"/>
      <c r="AJ24" s="63"/>
      <c r="AK24" s="64"/>
      <c r="AL24" s="63"/>
      <c r="AM24" s="64"/>
      <c r="AN24" s="63"/>
      <c r="AO24" s="64"/>
      <c r="AP24" s="63"/>
      <c r="AQ24" s="64"/>
      <c r="AR24" s="63"/>
      <c r="AS24" s="64"/>
      <c r="AT24" s="63"/>
      <c r="AU24" s="64"/>
      <c r="AV24" s="63"/>
      <c r="AW24" s="64"/>
      <c r="AX24" s="63"/>
      <c r="AY24" s="5"/>
      <c r="AZ24" s="21" t="str">
        <f t="shared" si="0"/>
        <v/>
      </c>
      <c r="BA24" s="74" t="s">
        <v>338</v>
      </c>
      <c r="BB24" s="74" t="str">
        <f>Residential!E3</f>
        <v>Census</v>
      </c>
      <c r="BC24" s="74" t="s">
        <v>122</v>
      </c>
      <c r="BD24" s="74" t="s">
        <v>151</v>
      </c>
      <c r="BE24" s="216" t="s">
        <v>0</v>
      </c>
      <c r="BF24" s="34">
        <f>1/INDEX(Residential!F$3:F$16,MATCH("Alberta",Residential!$C$3:$C$16,0))</f>
        <v>0.38461538461538458</v>
      </c>
      <c r="BG24" s="34">
        <f>1/INDEX(Residential!G$3:G$16,MATCH("Alberta",Residential!$C$3:$C$16,0))</f>
        <v>0.38461538461538458</v>
      </c>
      <c r="BH24" s="34">
        <f>1/INDEX(Residential!H$3:H$16,MATCH("Alberta",Residential!$C$3:$C$16,0))</f>
        <v>0.38461538461538458</v>
      </c>
      <c r="BI24" s="34">
        <f>1/INDEX(Residential!I$3:I$16,MATCH("Alberta",Residential!$C$3:$C$16,0))</f>
        <v>0.38461538461538458</v>
      </c>
      <c r="BJ24" s="34">
        <f>1/INDEX(Residential!J$3:J$16,MATCH("Alberta",Residential!$C$3:$C$16,0))</f>
        <v>0.38461538461538458</v>
      </c>
      <c r="BK24" s="34">
        <f>1/INDEX(Residential!K$3:K$16,MATCH("Alberta",Residential!$C$3:$C$16,0))</f>
        <v>0.38461538461538458</v>
      </c>
      <c r="BL24" s="34">
        <f>1/INDEX(Residential!L$3:L$16,MATCH("Alberta",Residential!$C$3:$C$16,0))</f>
        <v>0.38461538461538458</v>
      </c>
      <c r="BM24" s="34">
        <f>1/INDEX(Residential!M$3:M$16,MATCH("Alberta",Residential!$C$3:$C$16,0))</f>
        <v>0.38461538461538458</v>
      </c>
      <c r="BN24" s="34">
        <f>1/INDEX(Residential!N$3:N$16,MATCH("Alberta",Residential!$C$3:$C$16,0))</f>
        <v>0.38461538461538458</v>
      </c>
      <c r="BO24" s="34">
        <f>1/INDEX(Residential!O$3:O$16,MATCH("Alberta",Residential!$C$3:$C$16,0))</f>
        <v>0.38461538461538458</v>
      </c>
      <c r="BP24" s="34">
        <f>1/INDEX(Residential!P$3:P$16,MATCH("Alberta",Residential!$C$3:$C$16,0))</f>
        <v>0.38461538461538458</v>
      </c>
      <c r="BQ24" s="5"/>
      <c r="BR24" s="4"/>
      <c r="BS24" s="5"/>
    </row>
    <row r="25" spans="1:71" s="3" customFormat="1" x14ac:dyDescent="0.25">
      <c r="A25" s="5"/>
      <c r="B25" s="3" t="str">
        <f t="array" ref="B25">IFERROR(INDEX(DemandSupply,MATCH(INDEX($AH$1:AH25,SMALL(ROW($AH$1:AH25)+(10000*($AH$1:AH25="")),COUNTA($AH$1:AH25))),Sectors,0)),"")</f>
        <v/>
      </c>
      <c r="E25" s="10">
        <f t="shared" si="1"/>
        <v>1</v>
      </c>
      <c r="F25" s="207">
        <v>1</v>
      </c>
      <c r="G25" s="207">
        <v>1</v>
      </c>
      <c r="H25" s="207">
        <v>1</v>
      </c>
      <c r="I25" s="207">
        <v>1</v>
      </c>
      <c r="J25" s="207">
        <v>1</v>
      </c>
      <c r="K25" s="207">
        <v>1</v>
      </c>
      <c r="L25" s="207">
        <v>1</v>
      </c>
      <c r="M25" s="207">
        <v>1</v>
      </c>
      <c r="N25" s="207">
        <v>1</v>
      </c>
      <c r="O25" s="207">
        <v>1</v>
      </c>
      <c r="P25" s="207">
        <v>1</v>
      </c>
      <c r="Q25" s="207">
        <v>1</v>
      </c>
      <c r="R25" s="207">
        <v>1</v>
      </c>
      <c r="S25" s="207">
        <v>1</v>
      </c>
      <c r="T25" s="207">
        <v>1</v>
      </c>
      <c r="U25" s="207">
        <v>1</v>
      </c>
      <c r="V25" s="207">
        <v>1</v>
      </c>
      <c r="W25" s="207">
        <v>1</v>
      </c>
      <c r="X25" s="207">
        <v>1</v>
      </c>
      <c r="Y25" s="207">
        <v>1</v>
      </c>
      <c r="Z25" s="207">
        <v>1</v>
      </c>
      <c r="AA25" s="207">
        <v>1</v>
      </c>
      <c r="AB25" s="207">
        <v>1</v>
      </c>
      <c r="AC25" s="5"/>
      <c r="AD25" s="63"/>
      <c r="AE25" s="64"/>
      <c r="AF25" s="65"/>
      <c r="AG25" s="145"/>
      <c r="AH25" s="64"/>
      <c r="AI25" s="64"/>
      <c r="AJ25" s="63"/>
      <c r="AK25" s="64"/>
      <c r="AL25" s="63"/>
      <c r="AM25" s="64"/>
      <c r="AN25" s="63"/>
      <c r="AO25" s="64"/>
      <c r="AP25" s="63"/>
      <c r="AQ25" s="64"/>
      <c r="AR25" s="63"/>
      <c r="AS25" s="64"/>
      <c r="AT25" s="63"/>
      <c r="AU25" s="64"/>
      <c r="AV25" s="63"/>
      <c r="AW25" s="64"/>
      <c r="AX25" s="63"/>
      <c r="AY25" s="5"/>
      <c r="AZ25" s="21" t="str">
        <f t="shared" si="0"/>
        <v/>
      </c>
      <c r="BA25" s="15"/>
      <c r="BB25" s="4"/>
      <c r="BC25" s="15"/>
      <c r="BD25" s="15"/>
      <c r="BE25" s="16"/>
      <c r="BF25" s="15"/>
      <c r="BG25" s="15"/>
      <c r="BH25" s="15"/>
      <c r="BI25" s="15"/>
      <c r="BJ25" s="15"/>
      <c r="BK25" s="15"/>
      <c r="BL25" s="15"/>
      <c r="BM25" s="15"/>
      <c r="BN25" s="15"/>
      <c r="BO25" s="15"/>
      <c r="BP25" s="15"/>
      <c r="BQ25" s="5"/>
      <c r="BR25" s="4"/>
      <c r="BS25" s="5"/>
    </row>
    <row r="26" spans="1:71" s="3" customFormat="1" x14ac:dyDescent="0.25">
      <c r="A26" s="5"/>
      <c r="B26" s="3" t="str">
        <f t="array" ref="B26">IFERROR(INDEX(DemandSupply,MATCH(INDEX($AH$1:AH26,SMALL(ROW($AH$1:AH26)+(10000*($AH$1:AH26="")),COUNTA($AH$1:AH26))),Sectors,0)),"")</f>
        <v>Demand</v>
      </c>
      <c r="E26" s="10">
        <f t="shared" si="1"/>
        <v>1</v>
      </c>
      <c r="F26" s="207">
        <v>1</v>
      </c>
      <c r="G26" s="207">
        <v>1</v>
      </c>
      <c r="H26" s="207">
        <v>1</v>
      </c>
      <c r="I26" s="207">
        <v>1</v>
      </c>
      <c r="J26" s="207">
        <v>1</v>
      </c>
      <c r="K26" s="207">
        <v>1</v>
      </c>
      <c r="L26" s="207">
        <v>1</v>
      </c>
      <c r="M26" s="207">
        <v>1</v>
      </c>
      <c r="N26" s="207">
        <v>1</v>
      </c>
      <c r="O26" s="207">
        <v>1</v>
      </c>
      <c r="P26" s="207">
        <v>1</v>
      </c>
      <c r="Q26" s="207">
        <v>1</v>
      </c>
      <c r="R26" s="207">
        <v>1</v>
      </c>
      <c r="S26" s="207">
        <v>1</v>
      </c>
      <c r="T26" s="207">
        <v>1</v>
      </c>
      <c r="U26" s="207">
        <v>1</v>
      </c>
      <c r="V26" s="207">
        <v>1</v>
      </c>
      <c r="W26" s="207">
        <v>1</v>
      </c>
      <c r="X26" s="207">
        <v>1</v>
      </c>
      <c r="Y26" s="207">
        <v>1</v>
      </c>
      <c r="Z26" s="207">
        <v>1</v>
      </c>
      <c r="AA26" s="207">
        <v>1</v>
      </c>
      <c r="AB26" s="207">
        <v>1</v>
      </c>
      <c r="AC26" s="5"/>
      <c r="AD26" s="63"/>
      <c r="AE26" s="64"/>
      <c r="AF26" s="64"/>
      <c r="AG26" s="212"/>
      <c r="AH26" s="211" t="s">
        <v>0</v>
      </c>
      <c r="AI26" s="68"/>
      <c r="AJ26" s="64"/>
      <c r="AK26" s="65"/>
      <c r="AL26" s="63"/>
      <c r="AM26" s="65"/>
      <c r="AN26" s="63"/>
      <c r="AO26" s="65"/>
      <c r="AP26" s="63"/>
      <c r="AQ26" s="65"/>
      <c r="AR26" s="63"/>
      <c r="AS26" s="65"/>
      <c r="AT26" s="63"/>
      <c r="AU26" s="65"/>
      <c r="AV26" s="63"/>
      <c r="AW26" s="65"/>
      <c r="AX26" s="63"/>
      <c r="AY26" s="5"/>
      <c r="AZ26" s="208" t="str">
        <f t="shared" si="0"/>
        <v>Residential</v>
      </c>
      <c r="BA26" s="4"/>
      <c r="BB26" s="4"/>
      <c r="BC26" s="4"/>
      <c r="BD26" s="4"/>
      <c r="BE26" s="9"/>
      <c r="BF26" s="4"/>
      <c r="BG26" s="4"/>
      <c r="BH26" s="4"/>
      <c r="BI26" s="4"/>
      <c r="BJ26" s="4"/>
      <c r="BK26" s="4"/>
      <c r="BL26" s="4"/>
      <c r="BM26" s="4"/>
      <c r="BN26" s="4"/>
      <c r="BO26" s="4"/>
      <c r="BP26" s="4"/>
      <c r="BQ26" s="5"/>
      <c r="BR26" s="4"/>
      <c r="BS26" s="5"/>
    </row>
    <row r="27" spans="1:71" s="3" customFormat="1" x14ac:dyDescent="0.25">
      <c r="A27" s="5"/>
      <c r="B27" s="3" t="str">
        <f t="array" ref="B27">IFERROR(INDEX(DemandSupply,MATCH(INDEX($AH$1:AH27,SMALL(ROW($AH$1:AH27)+(10000*($AH$1:AH27="")),COUNTA($AH$1:AH27))),Sectors,0)),"")</f>
        <v>Demand</v>
      </c>
      <c r="E27" s="10">
        <f t="shared" si="1"/>
        <v>0</v>
      </c>
      <c r="F27" s="207">
        <v>1</v>
      </c>
      <c r="G27" s="207">
        <v>1</v>
      </c>
      <c r="H27" s="207">
        <v>1</v>
      </c>
      <c r="I27" s="207">
        <v>1</v>
      </c>
      <c r="J27" s="207">
        <v>1</v>
      </c>
      <c r="K27" s="207">
        <v>1</v>
      </c>
      <c r="L27" s="207">
        <v>1</v>
      </c>
      <c r="M27" s="207">
        <v>1</v>
      </c>
      <c r="N27" s="207">
        <v>1</v>
      </c>
      <c r="O27" s="207">
        <v>1</v>
      </c>
      <c r="P27" s="207">
        <v>1</v>
      </c>
      <c r="Q27" s="207">
        <v>1</v>
      </c>
      <c r="R27" s="207">
        <v>1</v>
      </c>
      <c r="S27" s="207">
        <v>1</v>
      </c>
      <c r="T27" s="207">
        <v>1</v>
      </c>
      <c r="U27" s="207">
        <v>1</v>
      </c>
      <c r="V27" s="207">
        <v>1</v>
      </c>
      <c r="W27" s="207">
        <v>1</v>
      </c>
      <c r="X27" s="207">
        <v>1</v>
      </c>
      <c r="Y27" s="207">
        <v>1</v>
      </c>
      <c r="Z27" s="207">
        <v>1</v>
      </c>
      <c r="AA27" s="207">
        <v>1</v>
      </c>
      <c r="AB27" s="207">
        <v>1</v>
      </c>
      <c r="AC27" s="5"/>
      <c r="AD27" s="63"/>
      <c r="AE27" s="64"/>
      <c r="AF27" s="64"/>
      <c r="AG27" s="212"/>
      <c r="AH27" s="64"/>
      <c r="AI27" s="210"/>
      <c r="AJ27" s="64"/>
      <c r="AK27" s="65"/>
      <c r="AL27" s="63"/>
      <c r="AM27" s="65"/>
      <c r="AN27" s="63"/>
      <c r="AO27" s="65"/>
      <c r="AP27" s="63"/>
      <c r="AQ27" s="65"/>
      <c r="AR27" s="63"/>
      <c r="AS27" s="65"/>
      <c r="AT27" s="63"/>
      <c r="AU27" s="65"/>
      <c r="AV27" s="63"/>
      <c r="AW27" s="65"/>
      <c r="AX27" s="63"/>
      <c r="AY27" s="5"/>
      <c r="AZ27" s="21" t="str">
        <f t="shared" si="0"/>
        <v/>
      </c>
      <c r="BA27" s="74" t="s">
        <v>337</v>
      </c>
      <c r="BB27" s="25"/>
      <c r="BC27" s="74" t="s">
        <v>122</v>
      </c>
      <c r="BD27" s="74" t="s">
        <v>141</v>
      </c>
      <c r="BE27" s="216" t="str">
        <f>AZ26</f>
        <v>Residential</v>
      </c>
      <c r="BF27" s="17"/>
      <c r="BG27" s="17"/>
      <c r="BH27" s="17"/>
      <c r="BI27" s="17"/>
      <c r="BJ27" s="17"/>
      <c r="BK27" s="17"/>
      <c r="BL27" s="17"/>
      <c r="BM27" s="17"/>
      <c r="BN27" s="17"/>
      <c r="BO27" s="17"/>
      <c r="BP27" s="17"/>
      <c r="BQ27" s="5"/>
      <c r="BR27" s="25"/>
      <c r="BS27" s="5"/>
    </row>
    <row r="28" spans="1:71" s="3" customFormat="1" x14ac:dyDescent="0.25">
      <c r="A28" s="5"/>
      <c r="B28" s="3" t="str">
        <f t="array" ref="B28">IFERROR(INDEX(DemandSupply,MATCH(INDEX($AH$1:AH28,SMALL(ROW($AH$1:AH28)+(10000*($AH$1:AH28="")),COUNTA($AH$1:AH28))),Sectors,0)),"")</f>
        <v>Demand</v>
      </c>
      <c r="E28" s="10">
        <f t="shared" si="1"/>
        <v>0</v>
      </c>
      <c r="F28" s="207">
        <v>1</v>
      </c>
      <c r="G28" s="207">
        <v>1</v>
      </c>
      <c r="H28" s="207">
        <v>1</v>
      </c>
      <c r="I28" s="207">
        <v>1</v>
      </c>
      <c r="J28" s="207">
        <v>1</v>
      </c>
      <c r="K28" s="207">
        <v>1</v>
      </c>
      <c r="L28" s="207">
        <v>1</v>
      </c>
      <c r="M28" s="207">
        <v>1</v>
      </c>
      <c r="N28" s="207">
        <v>1</v>
      </c>
      <c r="O28" s="207">
        <v>1</v>
      </c>
      <c r="P28" s="207">
        <v>1</v>
      </c>
      <c r="Q28" s="207">
        <v>1</v>
      </c>
      <c r="R28" s="207">
        <v>1</v>
      </c>
      <c r="S28" s="207">
        <v>1</v>
      </c>
      <c r="T28" s="207">
        <v>1</v>
      </c>
      <c r="U28" s="207">
        <v>1</v>
      </c>
      <c r="V28" s="207">
        <v>1</v>
      </c>
      <c r="W28" s="207">
        <v>1</v>
      </c>
      <c r="X28" s="207">
        <v>1</v>
      </c>
      <c r="Y28" s="207">
        <v>1</v>
      </c>
      <c r="Z28" s="207">
        <v>1</v>
      </c>
      <c r="AA28" s="207">
        <v>1</v>
      </c>
      <c r="AB28" s="207">
        <v>1</v>
      </c>
      <c r="AC28" s="5"/>
      <c r="AD28" s="63"/>
      <c r="AE28" s="64"/>
      <c r="AF28" s="64"/>
      <c r="AG28" s="212"/>
      <c r="AH28" s="64"/>
      <c r="AI28" s="145"/>
      <c r="AJ28" s="64"/>
      <c r="AK28" s="65"/>
      <c r="AL28" s="63"/>
      <c r="AM28" s="65"/>
      <c r="AN28" s="63"/>
      <c r="AO28" s="65"/>
      <c r="AP28" s="63"/>
      <c r="AQ28" s="65"/>
      <c r="AR28" s="63"/>
      <c r="AS28" s="65"/>
      <c r="AT28" s="63"/>
      <c r="AU28" s="65"/>
      <c r="AV28" s="63"/>
      <c r="AW28" s="65"/>
      <c r="AX28" s="63"/>
      <c r="AY28" s="5"/>
      <c r="AZ28" s="21" t="str">
        <f t="shared" si="0"/>
        <v/>
      </c>
      <c r="BA28" s="74" t="s">
        <v>300</v>
      </c>
      <c r="BB28" s="74" t="s">
        <v>312</v>
      </c>
      <c r="BC28" s="15"/>
      <c r="BD28" s="74" t="s">
        <v>355</v>
      </c>
      <c r="BE28" s="216" t="s">
        <v>12</v>
      </c>
      <c r="BF28" s="17">
        <f>INDEX(FuelPrices_Residential,MATCH("Alberta",FuelPrices_Region,0)+MATCH("Oil",FuelPrices_Type,0)-1,MATCH(BF$2,Year,0))/Prices!G$12</f>
        <v>3.713594017570093</v>
      </c>
      <c r="BG28" s="17">
        <f>INDEX(FuelPrices_Residential,MATCH("Alberta",FuelPrices_Region,0)+MATCH("Oil",FuelPrices_Type,0)-1,MATCH(BG$2,Year,0))/Prices!H$12</f>
        <v>3.7562051565968173</v>
      </c>
      <c r="BH28" s="17">
        <f>INDEX(FuelPrices_Residential,MATCH("Alberta",FuelPrices_Region,0)+MATCH("Oil",FuelPrices_Type,0)-1,MATCH(BH$2,Year,0))/Prices!I$12</f>
        <v>2.2048627745400187</v>
      </c>
      <c r="BI28" s="17">
        <f>INDEX(FuelPrices_Residential,MATCH("Alberta",FuelPrices_Region,0)+MATCH("Oil",FuelPrices_Type,0)-1,MATCH(BI$2,Year,0))/Prices!J$12</f>
        <v>3.7962319002957341</v>
      </c>
      <c r="BJ28" s="17">
        <f>INDEX(FuelPrices_Residential,MATCH("Alberta",FuelPrices_Region,0)+MATCH("Oil",FuelPrices_Type,0)-1,MATCH(BJ$2,Year,0))/Prices!K$12</f>
        <v>5.5729559285078665</v>
      </c>
      <c r="BK28" s="17">
        <f>INDEX(FuelPrices_Residential,MATCH("Alberta",FuelPrices_Region,0)+MATCH("Oil",FuelPrices_Type,0)-1,MATCH(BK$2,Year,0))/Prices!L$12</f>
        <v>3.1680912706293727</v>
      </c>
      <c r="BL28" s="17">
        <f>INDEX(FuelPrices_Residential,MATCH("Alberta",FuelPrices_Region,0)+MATCH("Oil",FuelPrices_Type,0)-1,MATCH(BL$2,Year,0))/Prices!M$12</f>
        <v>2.9650980293385198</v>
      </c>
      <c r="BM28" s="17">
        <f>INDEX(FuelPrices_Residential,MATCH("Alberta",FuelPrices_Region,0)+MATCH("Oil",FuelPrices_Type,0)-1,MATCH(BM$2,Year,0))/Prices!N$12</f>
        <v>2.9424996321635044</v>
      </c>
      <c r="BN28" s="17">
        <f>INDEX(FuelPrices_Residential,MATCH("Alberta",FuelPrices_Region,0)+MATCH("Oil",FuelPrices_Type,0)-1,MATCH(BN$2,Year,0))/Prices!O$12</f>
        <v>2.9076604365186882</v>
      </c>
      <c r="BO28" s="17">
        <f>INDEX(FuelPrices_Residential,MATCH("Alberta",FuelPrices_Region,0)+MATCH("Oil",FuelPrices_Type,0)-1,MATCH(BO$2,Year,0))/Prices!P$12</f>
        <v>2.9076604365186882</v>
      </c>
      <c r="BP28" s="17">
        <f>INDEX(FuelPrices_Residential,MATCH("Alberta",FuelPrices_Region,0)+MATCH("Oil",FuelPrices_Type,0)-1,MATCH(BP$2,Year,0))/Prices!Q$12</f>
        <v>2.9076604365186882</v>
      </c>
      <c r="BQ28" s="5"/>
      <c r="BR28" s="25"/>
      <c r="BS28" s="5"/>
    </row>
    <row r="29" spans="1:71" s="3" customFormat="1" x14ac:dyDescent="0.25">
      <c r="A29" s="5"/>
      <c r="B29" s="3" t="str">
        <f t="array" ref="B29">IFERROR(INDEX(DemandSupply,MATCH(INDEX($AH$1:AH29,SMALL(ROW($AH$1:AH29)+(10000*($AH$1:AH29="")),COUNTA($AH$1:AH29))),Sectors,0)),"")</f>
        <v>Demand</v>
      </c>
      <c r="E29" s="10">
        <f t="shared" si="1"/>
        <v>0</v>
      </c>
      <c r="F29" s="207">
        <v>1</v>
      </c>
      <c r="G29" s="207">
        <v>1</v>
      </c>
      <c r="H29" s="207">
        <v>1</v>
      </c>
      <c r="I29" s="207">
        <v>1</v>
      </c>
      <c r="J29" s="207">
        <v>1</v>
      </c>
      <c r="K29" s="207">
        <v>1</v>
      </c>
      <c r="L29" s="207">
        <v>1</v>
      </c>
      <c r="M29" s="207">
        <v>1</v>
      </c>
      <c r="N29" s="207">
        <v>1</v>
      </c>
      <c r="O29" s="207">
        <v>1</v>
      </c>
      <c r="P29" s="207">
        <v>1</v>
      </c>
      <c r="Q29" s="207">
        <v>1</v>
      </c>
      <c r="R29" s="207">
        <v>1</v>
      </c>
      <c r="S29" s="207">
        <v>1</v>
      </c>
      <c r="T29" s="207">
        <v>1</v>
      </c>
      <c r="U29" s="207">
        <v>1</v>
      </c>
      <c r="V29" s="207">
        <v>1</v>
      </c>
      <c r="W29" s="207">
        <v>1</v>
      </c>
      <c r="X29" s="207">
        <v>1</v>
      </c>
      <c r="Y29" s="207">
        <v>1</v>
      </c>
      <c r="Z29" s="207">
        <v>1</v>
      </c>
      <c r="AA29" s="207">
        <v>1</v>
      </c>
      <c r="AB29" s="207">
        <v>1</v>
      </c>
      <c r="AC29" s="5"/>
      <c r="AD29" s="63"/>
      <c r="AE29" s="64"/>
      <c r="AF29" s="64"/>
      <c r="AG29" s="212"/>
      <c r="AH29" s="64"/>
      <c r="AI29" s="145"/>
      <c r="AJ29" s="64"/>
      <c r="AK29" s="65"/>
      <c r="AL29" s="63"/>
      <c r="AM29" s="65"/>
      <c r="AN29" s="63"/>
      <c r="AO29" s="65"/>
      <c r="AP29" s="63"/>
      <c r="AQ29" s="65"/>
      <c r="AR29" s="63"/>
      <c r="AS29" s="65"/>
      <c r="AT29" s="63"/>
      <c r="AU29" s="65"/>
      <c r="AV29" s="63"/>
      <c r="AW29" s="65"/>
      <c r="AX29" s="63"/>
      <c r="AY29" s="5"/>
      <c r="AZ29" s="21" t="str">
        <f t="shared" si="0"/>
        <v/>
      </c>
      <c r="BA29" s="74" t="s">
        <v>300</v>
      </c>
      <c r="BB29" s="74" t="s">
        <v>312</v>
      </c>
      <c r="BC29" s="15"/>
      <c r="BD29" s="74" t="s">
        <v>355</v>
      </c>
      <c r="BE29" s="216" t="s">
        <v>13</v>
      </c>
      <c r="BF29" s="17">
        <f>INDEX(FuelPrices_Residential,MATCH("Alberta",FuelPrices_Region,0)+MATCH("Oil",FuelPrices_Type,0)-1,MATCH(BF$2,Year,0))/Prices!G$12</f>
        <v>3.713594017570093</v>
      </c>
      <c r="BG29" s="17">
        <f>INDEX(FuelPrices_Residential,MATCH("Alberta",FuelPrices_Region,0)+MATCH("Oil",FuelPrices_Type,0)-1,MATCH(BG$2,Year,0))/Prices!H$12</f>
        <v>3.7562051565968173</v>
      </c>
      <c r="BH29" s="17">
        <f>INDEX(FuelPrices_Residential,MATCH("Alberta",FuelPrices_Region,0)+MATCH("Oil",FuelPrices_Type,0)-1,MATCH(BH$2,Year,0))/Prices!I$12</f>
        <v>2.2048627745400187</v>
      </c>
      <c r="BI29" s="17">
        <f>INDEX(FuelPrices_Residential,MATCH("Alberta",FuelPrices_Region,0)+MATCH("Oil",FuelPrices_Type,0)-1,MATCH(BI$2,Year,0))/Prices!J$12</f>
        <v>3.7962319002957341</v>
      </c>
      <c r="BJ29" s="17">
        <f>INDEX(FuelPrices_Residential,MATCH("Alberta",FuelPrices_Region,0)+MATCH("Oil",FuelPrices_Type,0)-1,MATCH(BJ$2,Year,0))/Prices!K$12</f>
        <v>5.5729559285078665</v>
      </c>
      <c r="BK29" s="17">
        <f>INDEX(FuelPrices_Residential,MATCH("Alberta",FuelPrices_Region,0)+MATCH("Oil",FuelPrices_Type,0)-1,MATCH(BK$2,Year,0))/Prices!L$12</f>
        <v>3.1680912706293727</v>
      </c>
      <c r="BL29" s="17">
        <f>INDEX(FuelPrices_Residential,MATCH("Alberta",FuelPrices_Region,0)+MATCH("Oil",FuelPrices_Type,0)-1,MATCH(BL$2,Year,0))/Prices!M$12</f>
        <v>2.9650980293385198</v>
      </c>
      <c r="BM29" s="17">
        <f>INDEX(FuelPrices_Residential,MATCH("Alberta",FuelPrices_Region,0)+MATCH("Oil",FuelPrices_Type,0)-1,MATCH(BM$2,Year,0))/Prices!N$12</f>
        <v>2.9424996321635044</v>
      </c>
      <c r="BN29" s="17">
        <f>INDEX(FuelPrices_Residential,MATCH("Alberta",FuelPrices_Region,0)+MATCH("Oil",FuelPrices_Type,0)-1,MATCH(BN$2,Year,0))/Prices!O$12</f>
        <v>2.9076604365186882</v>
      </c>
      <c r="BO29" s="17">
        <f>INDEX(FuelPrices_Residential,MATCH("Alberta",FuelPrices_Region,0)+MATCH("Oil",FuelPrices_Type,0)-1,MATCH(BO$2,Year,0))/Prices!P$12</f>
        <v>2.9076604365186882</v>
      </c>
      <c r="BP29" s="17">
        <f>INDEX(FuelPrices_Residential,MATCH("Alberta",FuelPrices_Region,0)+MATCH("Oil",FuelPrices_Type,0)-1,MATCH(BP$2,Year,0))/Prices!Q$12</f>
        <v>2.9076604365186882</v>
      </c>
      <c r="BQ29" s="5"/>
      <c r="BR29" s="25"/>
      <c r="BS29" s="5"/>
    </row>
    <row r="30" spans="1:71" s="3" customFormat="1" x14ac:dyDescent="0.25">
      <c r="A30" s="5"/>
      <c r="B30" s="3" t="str">
        <f t="array" ref="B30">IFERROR(INDEX(DemandSupply,MATCH(INDEX($AH$1:AH30,SMALL(ROW($AH$1:AH30)+(10000*($AH$1:AH30="")),COUNTA($AH$1:AH30))),Sectors,0)),"")</f>
        <v>Demand</v>
      </c>
      <c r="E30" s="10">
        <f t="shared" si="1"/>
        <v>0</v>
      </c>
      <c r="F30" s="207">
        <v>1</v>
      </c>
      <c r="G30" s="207">
        <v>1</v>
      </c>
      <c r="H30" s="207">
        <v>1</v>
      </c>
      <c r="I30" s="207">
        <v>1</v>
      </c>
      <c r="J30" s="207">
        <v>1</v>
      </c>
      <c r="K30" s="207">
        <v>1</v>
      </c>
      <c r="L30" s="207">
        <v>1</v>
      </c>
      <c r="M30" s="207">
        <v>1</v>
      </c>
      <c r="N30" s="207">
        <v>1</v>
      </c>
      <c r="O30" s="207">
        <v>1</v>
      </c>
      <c r="P30" s="207">
        <v>1</v>
      </c>
      <c r="Q30" s="207">
        <v>1</v>
      </c>
      <c r="R30" s="207">
        <v>1</v>
      </c>
      <c r="S30" s="207">
        <v>1</v>
      </c>
      <c r="T30" s="207">
        <v>1</v>
      </c>
      <c r="U30" s="207">
        <v>1</v>
      </c>
      <c r="V30" s="207">
        <v>1</v>
      </c>
      <c r="W30" s="207">
        <v>1</v>
      </c>
      <c r="X30" s="207">
        <v>1</v>
      </c>
      <c r="Y30" s="207">
        <v>1</v>
      </c>
      <c r="Z30" s="207">
        <v>1</v>
      </c>
      <c r="AA30" s="207">
        <v>1</v>
      </c>
      <c r="AB30" s="207">
        <v>1</v>
      </c>
      <c r="AC30" s="5"/>
      <c r="AD30" s="63"/>
      <c r="AE30" s="64"/>
      <c r="AF30" s="64"/>
      <c r="AG30" s="212"/>
      <c r="AH30" s="63"/>
      <c r="AI30" s="212"/>
      <c r="AJ30" s="63"/>
      <c r="AK30" s="65"/>
      <c r="AL30" s="63"/>
      <c r="AM30" s="65"/>
      <c r="AN30" s="63"/>
      <c r="AO30" s="65"/>
      <c r="AP30" s="63"/>
      <c r="AQ30" s="65"/>
      <c r="AR30" s="63"/>
      <c r="AS30" s="65"/>
      <c r="AT30" s="63"/>
      <c r="AU30" s="65"/>
      <c r="AV30" s="63"/>
      <c r="AW30" s="65"/>
      <c r="AX30" s="63"/>
      <c r="AY30" s="5"/>
      <c r="AZ30" s="21" t="str">
        <f t="shared" si="0"/>
        <v/>
      </c>
      <c r="BA30" s="74" t="s">
        <v>300</v>
      </c>
      <c r="BB30" s="74" t="s">
        <v>312</v>
      </c>
      <c r="BC30" s="15"/>
      <c r="BD30" s="74" t="s">
        <v>355</v>
      </c>
      <c r="BE30" s="216" t="s">
        <v>14</v>
      </c>
      <c r="BF30" s="17">
        <f>INDEX(FuelPrices_Residential,MATCH("Alberta",FuelPrices_Region,0)+MATCH("Natural Gas",FuelPrices_Type,0)-1,MATCH(BF$2,Year,0))/Prices!G$15</f>
        <v>1.5282088982789364</v>
      </c>
      <c r="BG30" s="17">
        <f>INDEX(FuelPrices_Residential,MATCH("Alberta",FuelPrices_Region,0)+MATCH("Natural Gas",FuelPrices_Type,0)-1,MATCH(BG$2,Year,0))/Prices!H$15</f>
        <v>1.5457443840700189</v>
      </c>
      <c r="BH30" s="17">
        <f>INDEX(FuelPrices_Residential,MATCH("Alberta",FuelPrices_Region,0)+MATCH("Natural Gas",FuelPrices_Type,0)-1,MATCH(BH$2,Year,0))/Prices!I$15</f>
        <v>1.9723349612774701</v>
      </c>
      <c r="BI30" s="17">
        <f>INDEX(FuelPrices_Residential,MATCH("Alberta",FuelPrices_Region,0)+MATCH("Natural Gas",FuelPrices_Type,0)-1,MATCH(BI$2,Year,0))/Prices!J$15</f>
        <v>1.4950194997688102</v>
      </c>
      <c r="BJ30" s="17">
        <f>INDEX(FuelPrices_Residential,MATCH("Alberta",FuelPrices_Region,0)+MATCH("Natural Gas",FuelPrices_Type,0)-1,MATCH(BJ$2,Year,0))/Prices!K$15</f>
        <v>3.350280691170624</v>
      </c>
      <c r="BK30" s="17">
        <f>INDEX(FuelPrices_Residential,MATCH("Alberta",FuelPrices_Region,0)+MATCH("Natural Gas",FuelPrices_Type,0)-1,MATCH(BK$2,Year,0))/Prices!L$15</f>
        <v>2.8114396323863913</v>
      </c>
      <c r="BL30" s="17">
        <f>INDEX(FuelPrices_Residential,MATCH("Alberta",FuelPrices_Region,0)+MATCH("Natural Gas",FuelPrices_Type,0)-1,MATCH(BL$2,Year,0))/Prices!M$15</f>
        <v>2.4301046420728545</v>
      </c>
      <c r="BM30" s="17">
        <f>INDEX(FuelPrices_Residential,MATCH("Alberta",FuelPrices_Region,0)+MATCH("Natural Gas",FuelPrices_Type,0)-1,MATCH(BM$2,Year,0))/Prices!N$15</f>
        <v>2.1065653373010944</v>
      </c>
      <c r="BN30" s="17">
        <f>INDEX(FuelPrices_Residential,MATCH("Alberta",FuelPrices_Region,0)+MATCH("Natural Gas",FuelPrices_Type,0)-1,MATCH(BN$2,Year,0))/Prices!O$15</f>
        <v>1.9786460787456583</v>
      </c>
      <c r="BO30" s="17">
        <f>INDEX(FuelPrices_Residential,MATCH("Alberta",FuelPrices_Region,0)+MATCH("Natural Gas",FuelPrices_Type,0)-1,MATCH(BO$2,Year,0))/Prices!P$15</f>
        <v>1.9786460787456583</v>
      </c>
      <c r="BP30" s="17">
        <f>INDEX(FuelPrices_Residential,MATCH("Alberta",FuelPrices_Region,0)+MATCH("Natural Gas",FuelPrices_Type,0)-1,MATCH(BP$2,Year,0))/Prices!Q$15</f>
        <v>1.9786460787456583</v>
      </c>
      <c r="BQ30" s="5"/>
      <c r="BR30" s="25"/>
      <c r="BS30" s="5"/>
    </row>
    <row r="31" spans="1:71" s="3" customFormat="1" x14ac:dyDescent="0.25">
      <c r="A31" s="5"/>
      <c r="B31" s="3" t="str">
        <f t="array" ref="B31">IFERROR(INDEX(DemandSupply,MATCH(INDEX($AH$1:AH31,SMALL(ROW($AH$1:AH31)+(10000*($AH$1:AH31="")),COUNTA($AH$1:AH31))),Sectors,0)),"")</f>
        <v>Demand</v>
      </c>
      <c r="E31" s="10">
        <f t="shared" si="1"/>
        <v>0</v>
      </c>
      <c r="F31" s="207">
        <v>1</v>
      </c>
      <c r="G31" s="207">
        <v>1</v>
      </c>
      <c r="H31" s="207">
        <v>1</v>
      </c>
      <c r="I31" s="207">
        <v>1</v>
      </c>
      <c r="J31" s="207">
        <v>1</v>
      </c>
      <c r="K31" s="207">
        <v>1</v>
      </c>
      <c r="L31" s="207">
        <v>1</v>
      </c>
      <c r="M31" s="207">
        <v>1</v>
      </c>
      <c r="N31" s="207">
        <v>1</v>
      </c>
      <c r="O31" s="207">
        <v>1</v>
      </c>
      <c r="P31" s="207">
        <v>1</v>
      </c>
      <c r="Q31" s="207">
        <v>1</v>
      </c>
      <c r="R31" s="207">
        <v>1</v>
      </c>
      <c r="S31" s="207">
        <v>1</v>
      </c>
      <c r="T31" s="207">
        <v>1</v>
      </c>
      <c r="U31" s="207">
        <v>1</v>
      </c>
      <c r="V31" s="207">
        <v>1</v>
      </c>
      <c r="W31" s="207">
        <v>1</v>
      </c>
      <c r="X31" s="207">
        <v>1</v>
      </c>
      <c r="Y31" s="207">
        <v>1</v>
      </c>
      <c r="Z31" s="207">
        <v>1</v>
      </c>
      <c r="AA31" s="207">
        <v>1</v>
      </c>
      <c r="AB31" s="207">
        <v>1</v>
      </c>
      <c r="AC31" s="5"/>
      <c r="AD31" s="63"/>
      <c r="AE31" s="64"/>
      <c r="AF31" s="64"/>
      <c r="AG31" s="212"/>
      <c r="AH31" s="64"/>
      <c r="AI31" s="145"/>
      <c r="AJ31" s="64"/>
      <c r="AK31" s="65"/>
      <c r="AL31" s="63"/>
      <c r="AM31" s="65"/>
      <c r="AN31" s="63"/>
      <c r="AO31" s="65"/>
      <c r="AP31" s="63"/>
      <c r="AQ31" s="65"/>
      <c r="AR31" s="63"/>
      <c r="AS31" s="65"/>
      <c r="AT31" s="63"/>
      <c r="AU31" s="65"/>
      <c r="AV31" s="63"/>
      <c r="AW31" s="65"/>
      <c r="AX31" s="63"/>
      <c r="AY31" s="5"/>
      <c r="AZ31" s="21" t="str">
        <f t="shared" si="0"/>
        <v/>
      </c>
      <c r="BA31" s="74" t="s">
        <v>300</v>
      </c>
      <c r="BB31" s="74" t="s">
        <v>312</v>
      </c>
      <c r="BC31" s="15"/>
      <c r="BD31" s="74" t="s">
        <v>355</v>
      </c>
      <c r="BE31" s="216" t="s">
        <v>2</v>
      </c>
      <c r="BF31" s="17">
        <v>3.5</v>
      </c>
      <c r="BG31" s="17">
        <v>3.5</v>
      </c>
      <c r="BH31" s="17">
        <v>3.5</v>
      </c>
      <c r="BI31" s="17">
        <v>3.5</v>
      </c>
      <c r="BJ31" s="17">
        <v>3.5</v>
      </c>
      <c r="BK31" s="17">
        <v>3.5</v>
      </c>
      <c r="BL31" s="17">
        <v>3.5</v>
      </c>
      <c r="BM31" s="17">
        <v>3.5</v>
      </c>
      <c r="BN31" s="17">
        <v>3.5</v>
      </c>
      <c r="BO31" s="17">
        <v>3.5</v>
      </c>
      <c r="BP31" s="17">
        <v>3.5</v>
      </c>
      <c r="BQ31" s="5"/>
      <c r="BR31" s="25"/>
      <c r="BS31" s="5"/>
    </row>
    <row r="32" spans="1:71" s="3" customFormat="1" x14ac:dyDescent="0.25">
      <c r="A32" s="5"/>
      <c r="B32" s="3" t="str">
        <f t="array" ref="B32">IFERROR(INDEX(DemandSupply,MATCH(INDEX($AH$1:AH32,SMALL(ROW($AH$1:AH32)+(10000*($AH$1:AH32="")),COUNTA($AH$1:AH32))),Sectors,0)),"")</f>
        <v>Demand</v>
      </c>
      <c r="E32" s="10">
        <f t="shared" si="1"/>
        <v>0</v>
      </c>
      <c r="F32" s="207">
        <v>1</v>
      </c>
      <c r="G32" s="207">
        <v>1</v>
      </c>
      <c r="H32" s="207">
        <v>1</v>
      </c>
      <c r="I32" s="207">
        <v>1</v>
      </c>
      <c r="J32" s="207">
        <v>1</v>
      </c>
      <c r="K32" s="207">
        <v>1</v>
      </c>
      <c r="L32" s="207">
        <v>1</v>
      </c>
      <c r="M32" s="207">
        <v>1</v>
      </c>
      <c r="N32" s="207">
        <v>1</v>
      </c>
      <c r="O32" s="207">
        <v>1</v>
      </c>
      <c r="P32" s="207">
        <v>1</v>
      </c>
      <c r="Q32" s="207">
        <v>1</v>
      </c>
      <c r="R32" s="207">
        <v>1</v>
      </c>
      <c r="S32" s="207">
        <v>1</v>
      </c>
      <c r="T32" s="207">
        <v>1</v>
      </c>
      <c r="U32" s="207">
        <v>1</v>
      </c>
      <c r="V32" s="207">
        <v>1</v>
      </c>
      <c r="W32" s="207">
        <v>1</v>
      </c>
      <c r="X32" s="207">
        <v>1</v>
      </c>
      <c r="Y32" s="207">
        <v>1</v>
      </c>
      <c r="Z32" s="207">
        <v>1</v>
      </c>
      <c r="AA32" s="207">
        <v>1</v>
      </c>
      <c r="AB32" s="207">
        <v>1</v>
      </c>
      <c r="AC32" s="5"/>
      <c r="AD32" s="63"/>
      <c r="AE32" s="64"/>
      <c r="AF32" s="64"/>
      <c r="AG32" s="212"/>
      <c r="AH32" s="64"/>
      <c r="AI32" s="145"/>
      <c r="AJ32" s="64"/>
      <c r="AK32" s="65"/>
      <c r="AL32" s="63"/>
      <c r="AM32" s="65"/>
      <c r="AN32" s="63"/>
      <c r="AO32" s="65"/>
      <c r="AP32" s="63"/>
      <c r="AQ32" s="65"/>
      <c r="AR32" s="63"/>
      <c r="AS32" s="65"/>
      <c r="AT32" s="63"/>
      <c r="AU32" s="65"/>
      <c r="AV32" s="63"/>
      <c r="AW32" s="65"/>
      <c r="AX32" s="63"/>
      <c r="AY32" s="5"/>
      <c r="AZ32" s="21" t="str">
        <f t="shared" si="0"/>
        <v/>
      </c>
      <c r="BA32" s="74" t="s">
        <v>300</v>
      </c>
      <c r="BB32" s="74" t="s">
        <v>312</v>
      </c>
      <c r="BC32" s="15"/>
      <c r="BD32" s="74" t="s">
        <v>355</v>
      </c>
      <c r="BE32" s="216" t="s">
        <v>15</v>
      </c>
      <c r="BF32" s="17">
        <v>1.1000000000000001</v>
      </c>
      <c r="BG32" s="17">
        <v>1.1000000000000001</v>
      </c>
      <c r="BH32" s="17">
        <v>1.1000000000000001</v>
      </c>
      <c r="BI32" s="17">
        <v>1.1000000000000001</v>
      </c>
      <c r="BJ32" s="17">
        <v>1.1000000000000001</v>
      </c>
      <c r="BK32" s="17">
        <v>1.1000000000000001</v>
      </c>
      <c r="BL32" s="17">
        <v>1.1000000000000001</v>
      </c>
      <c r="BM32" s="17">
        <v>1.1000000000000001</v>
      </c>
      <c r="BN32" s="17">
        <v>1.1000000000000001</v>
      </c>
      <c r="BO32" s="17">
        <v>1.1000000000000001</v>
      </c>
      <c r="BP32" s="17">
        <v>1.1000000000000001</v>
      </c>
      <c r="BQ32" s="5"/>
      <c r="BR32" s="25"/>
      <c r="BS32" s="5"/>
    </row>
    <row r="33" spans="1:71" s="3" customFormat="1" x14ac:dyDescent="0.25">
      <c r="A33" s="5"/>
      <c r="B33" s="3" t="str">
        <f t="array" ref="B33">IFERROR(INDEX(DemandSupply,MATCH(INDEX($AH$1:AH33,SMALL(ROW($AH$1:AH33)+(10000*($AH$1:AH33="")),COUNTA($AH$1:AH33))),Sectors,0)),"")</f>
        <v>Demand</v>
      </c>
      <c r="E33" s="10">
        <f t="shared" si="1"/>
        <v>0</v>
      </c>
      <c r="F33" s="207">
        <v>1</v>
      </c>
      <c r="G33" s="207">
        <v>1</v>
      </c>
      <c r="H33" s="207">
        <v>1</v>
      </c>
      <c r="I33" s="207">
        <v>1</v>
      </c>
      <c r="J33" s="207">
        <v>1</v>
      </c>
      <c r="K33" s="207">
        <v>1</v>
      </c>
      <c r="L33" s="207">
        <v>1</v>
      </c>
      <c r="M33" s="207">
        <v>1</v>
      </c>
      <c r="N33" s="207">
        <v>1</v>
      </c>
      <c r="O33" s="207">
        <v>1</v>
      </c>
      <c r="P33" s="207">
        <v>1</v>
      </c>
      <c r="Q33" s="207">
        <v>1</v>
      </c>
      <c r="R33" s="207">
        <v>1</v>
      </c>
      <c r="S33" s="207">
        <v>1</v>
      </c>
      <c r="T33" s="207">
        <v>1</v>
      </c>
      <c r="U33" s="207">
        <v>1</v>
      </c>
      <c r="V33" s="207">
        <v>1</v>
      </c>
      <c r="W33" s="207">
        <v>1</v>
      </c>
      <c r="X33" s="207">
        <v>1</v>
      </c>
      <c r="Y33" s="207">
        <v>1</v>
      </c>
      <c r="Z33" s="207">
        <v>1</v>
      </c>
      <c r="AA33" s="207">
        <v>1</v>
      </c>
      <c r="AB33" s="207">
        <v>1</v>
      </c>
      <c r="AC33" s="5"/>
      <c r="AD33" s="63"/>
      <c r="AE33" s="64"/>
      <c r="AF33" s="64"/>
      <c r="AG33" s="212"/>
      <c r="AH33" s="64"/>
      <c r="AI33" s="145"/>
      <c r="AJ33" s="64"/>
      <c r="AK33" s="65"/>
      <c r="AL33" s="63"/>
      <c r="AM33" s="65"/>
      <c r="AN33" s="63"/>
      <c r="AO33" s="65"/>
      <c r="AP33" s="63"/>
      <c r="AQ33" s="65"/>
      <c r="AR33" s="63"/>
      <c r="AS33" s="65"/>
      <c r="AT33" s="63"/>
      <c r="AU33" s="65"/>
      <c r="AV33" s="63"/>
      <c r="AW33" s="65"/>
      <c r="AX33" s="63"/>
      <c r="AY33" s="5"/>
      <c r="AZ33" s="21" t="str">
        <f t="shared" si="0"/>
        <v/>
      </c>
      <c r="BA33" s="74" t="s">
        <v>11</v>
      </c>
      <c r="BB33" s="25"/>
      <c r="BC33" s="15"/>
      <c r="BD33" s="74" t="s">
        <v>356</v>
      </c>
      <c r="BE33" s="216" t="s">
        <v>17</v>
      </c>
      <c r="BF33" s="17">
        <v>0</v>
      </c>
      <c r="BG33" s="17">
        <v>0</v>
      </c>
      <c r="BH33" s="17">
        <v>0</v>
      </c>
      <c r="BI33" s="17">
        <v>0</v>
      </c>
      <c r="BJ33" s="17">
        <v>0</v>
      </c>
      <c r="BK33" s="17">
        <v>0</v>
      </c>
      <c r="BL33" s="17">
        <v>0</v>
      </c>
      <c r="BM33" s="17">
        <v>0</v>
      </c>
      <c r="BN33" s="17">
        <v>0</v>
      </c>
      <c r="BO33" s="17">
        <v>0</v>
      </c>
      <c r="BP33" s="17">
        <v>0</v>
      </c>
      <c r="BQ33" s="5"/>
      <c r="BR33" s="25"/>
      <c r="BS33" s="5"/>
    </row>
    <row r="34" spans="1:71" s="3" customFormat="1" x14ac:dyDescent="0.25">
      <c r="A34" s="5"/>
      <c r="B34" s="3" t="str">
        <f t="array" ref="B34">IFERROR(INDEX(DemandSupply,MATCH(INDEX($AH$1:AH34,SMALL(ROW($AH$1:AH34)+(10000*($AH$1:AH34="")),COUNTA($AH$1:AH34))),Sectors,0)),"")</f>
        <v>Demand</v>
      </c>
      <c r="E34" s="10">
        <f t="shared" si="1"/>
        <v>0</v>
      </c>
      <c r="F34" s="207">
        <v>1</v>
      </c>
      <c r="G34" s="207">
        <v>1</v>
      </c>
      <c r="H34" s="207">
        <v>1</v>
      </c>
      <c r="I34" s="207">
        <v>1</v>
      </c>
      <c r="J34" s="207">
        <v>1</v>
      </c>
      <c r="K34" s="207">
        <v>1</v>
      </c>
      <c r="L34" s="207">
        <v>1</v>
      </c>
      <c r="M34" s="207">
        <v>1</v>
      </c>
      <c r="N34" s="207">
        <v>1</v>
      </c>
      <c r="O34" s="207">
        <v>1</v>
      </c>
      <c r="P34" s="207">
        <v>1</v>
      </c>
      <c r="Q34" s="207">
        <v>1</v>
      </c>
      <c r="R34" s="207">
        <v>1</v>
      </c>
      <c r="S34" s="207">
        <v>1</v>
      </c>
      <c r="T34" s="207">
        <v>1</v>
      </c>
      <c r="U34" s="207">
        <v>1</v>
      </c>
      <c r="V34" s="207">
        <v>1</v>
      </c>
      <c r="W34" s="207">
        <v>1</v>
      </c>
      <c r="X34" s="207">
        <v>1</v>
      </c>
      <c r="Y34" s="207">
        <v>1</v>
      </c>
      <c r="Z34" s="207">
        <v>1</v>
      </c>
      <c r="AA34" s="207">
        <v>1</v>
      </c>
      <c r="AB34" s="207">
        <v>1</v>
      </c>
      <c r="AC34" s="5"/>
      <c r="AD34" s="63"/>
      <c r="AE34" s="64"/>
      <c r="AF34" s="64"/>
      <c r="AG34" s="212"/>
      <c r="AH34" s="64"/>
      <c r="AI34" s="145"/>
      <c r="AJ34" s="64"/>
      <c r="AK34" s="65"/>
      <c r="AL34" s="63"/>
      <c r="AM34" s="65"/>
      <c r="AN34" s="63"/>
      <c r="AO34" s="65"/>
      <c r="AP34" s="63"/>
      <c r="AQ34" s="65"/>
      <c r="AR34" s="63"/>
      <c r="AS34" s="65"/>
      <c r="AT34" s="63"/>
      <c r="AU34" s="65"/>
      <c r="AV34" s="63"/>
      <c r="AW34" s="65"/>
      <c r="AX34" s="63"/>
      <c r="AY34" s="5"/>
      <c r="AZ34" s="21" t="str">
        <f t="shared" si="0"/>
        <v/>
      </c>
      <c r="BA34" s="74" t="s">
        <v>11</v>
      </c>
      <c r="BB34" s="25"/>
      <c r="BC34" s="15"/>
      <c r="BD34" s="74" t="s">
        <v>356</v>
      </c>
      <c r="BE34" s="216" t="s">
        <v>18</v>
      </c>
      <c r="BF34" s="17">
        <v>0</v>
      </c>
      <c r="BG34" s="17">
        <v>0</v>
      </c>
      <c r="BH34" s="17">
        <v>0</v>
      </c>
      <c r="BI34" s="17">
        <v>0</v>
      </c>
      <c r="BJ34" s="17">
        <v>0</v>
      </c>
      <c r="BK34" s="17">
        <v>0</v>
      </c>
      <c r="BL34" s="17">
        <v>0</v>
      </c>
      <c r="BM34" s="17">
        <v>0</v>
      </c>
      <c r="BN34" s="17">
        <v>0</v>
      </c>
      <c r="BO34" s="17">
        <v>0</v>
      </c>
      <c r="BP34" s="17">
        <v>0</v>
      </c>
      <c r="BQ34" s="5"/>
      <c r="BR34" s="25"/>
      <c r="BS34" s="5"/>
    </row>
    <row r="35" spans="1:71" s="3" customFormat="1" x14ac:dyDescent="0.25">
      <c r="A35" s="5"/>
      <c r="B35" s="3" t="str">
        <f t="array" ref="B35">IFERROR(INDEX(DemandSupply,MATCH(INDEX($AH$1:AH35,SMALL(ROW($AH$1:AH35)+(10000*($AH$1:AH35="")),COUNTA($AH$1:AH35))),Sectors,0)),"")</f>
        <v>Demand</v>
      </c>
      <c r="E35" s="10">
        <f t="shared" si="1"/>
        <v>0</v>
      </c>
      <c r="F35" s="207">
        <v>1</v>
      </c>
      <c r="G35" s="207">
        <v>1</v>
      </c>
      <c r="H35" s="207">
        <v>1</v>
      </c>
      <c r="I35" s="207">
        <v>1</v>
      </c>
      <c r="J35" s="207">
        <v>1</v>
      </c>
      <c r="K35" s="207">
        <v>1</v>
      </c>
      <c r="L35" s="207">
        <v>1</v>
      </c>
      <c r="M35" s="207">
        <v>1</v>
      </c>
      <c r="N35" s="207">
        <v>1</v>
      </c>
      <c r="O35" s="207">
        <v>1</v>
      </c>
      <c r="P35" s="207">
        <v>1</v>
      </c>
      <c r="Q35" s="207">
        <v>1</v>
      </c>
      <c r="R35" s="207">
        <v>1</v>
      </c>
      <c r="S35" s="207">
        <v>1</v>
      </c>
      <c r="T35" s="207">
        <v>1</v>
      </c>
      <c r="U35" s="207">
        <v>1</v>
      </c>
      <c r="V35" s="207">
        <v>1</v>
      </c>
      <c r="W35" s="207">
        <v>1</v>
      </c>
      <c r="X35" s="207">
        <v>1</v>
      </c>
      <c r="Y35" s="207">
        <v>1</v>
      </c>
      <c r="Z35" s="207">
        <v>1</v>
      </c>
      <c r="AA35" s="207">
        <v>1</v>
      </c>
      <c r="AB35" s="207">
        <v>1</v>
      </c>
      <c r="AC35" s="5"/>
      <c r="AD35" s="63"/>
      <c r="AE35" s="64"/>
      <c r="AF35" s="64"/>
      <c r="AG35" s="212"/>
      <c r="AH35" s="64"/>
      <c r="AI35" s="145"/>
      <c r="AJ35" s="64"/>
      <c r="AK35" s="65"/>
      <c r="AL35" s="63"/>
      <c r="AM35" s="65"/>
      <c r="AN35" s="63"/>
      <c r="AO35" s="65"/>
      <c r="AP35" s="63"/>
      <c r="AQ35" s="65"/>
      <c r="AR35" s="63"/>
      <c r="AS35" s="65"/>
      <c r="AT35" s="63"/>
      <c r="AU35" s="65"/>
      <c r="AV35" s="63"/>
      <c r="AW35" s="65"/>
      <c r="AX35" s="63"/>
      <c r="AY35" s="5"/>
      <c r="AZ35" s="21" t="str">
        <f t="shared" si="0"/>
        <v/>
      </c>
      <c r="BA35" s="74" t="s">
        <v>11</v>
      </c>
      <c r="BB35" s="25"/>
      <c r="BC35" s="15"/>
      <c r="BD35" s="74" t="s">
        <v>356</v>
      </c>
      <c r="BE35" s="216" t="s">
        <v>19</v>
      </c>
      <c r="BF35" s="17">
        <v>0</v>
      </c>
      <c r="BG35" s="17">
        <v>0</v>
      </c>
      <c r="BH35" s="17">
        <v>0</v>
      </c>
      <c r="BI35" s="17">
        <v>0</v>
      </c>
      <c r="BJ35" s="17">
        <v>0</v>
      </c>
      <c r="BK35" s="17">
        <v>0</v>
      </c>
      <c r="BL35" s="17">
        <v>0</v>
      </c>
      <c r="BM35" s="17">
        <v>0</v>
      </c>
      <c r="BN35" s="17">
        <v>0</v>
      </c>
      <c r="BO35" s="17">
        <v>0</v>
      </c>
      <c r="BP35" s="17">
        <v>0</v>
      </c>
      <c r="BQ35" s="5"/>
      <c r="BR35" s="25"/>
      <c r="BS35" s="5"/>
    </row>
    <row r="36" spans="1:71" s="3" customFormat="1" x14ac:dyDescent="0.25">
      <c r="A36" s="5"/>
      <c r="B36" s="3" t="str">
        <f t="array" ref="B36">IFERROR(INDEX(DemandSupply,MATCH(INDEX($AH$1:AH36,SMALL(ROW($AH$1:AH36)+(10000*($AH$1:AH36="")),COUNTA($AH$1:AH36))),Sectors,0)),"")</f>
        <v>Demand</v>
      </c>
      <c r="E36" s="10">
        <f t="shared" si="1"/>
        <v>0</v>
      </c>
      <c r="F36" s="207">
        <v>1</v>
      </c>
      <c r="G36" s="207">
        <v>1</v>
      </c>
      <c r="H36" s="207">
        <v>1</v>
      </c>
      <c r="I36" s="207">
        <v>1</v>
      </c>
      <c r="J36" s="207">
        <v>1</v>
      </c>
      <c r="K36" s="207">
        <v>1</v>
      </c>
      <c r="L36" s="207">
        <v>1</v>
      </c>
      <c r="M36" s="207">
        <v>1</v>
      </c>
      <c r="N36" s="207">
        <v>1</v>
      </c>
      <c r="O36" s="207">
        <v>1</v>
      </c>
      <c r="P36" s="207">
        <v>1</v>
      </c>
      <c r="Q36" s="207">
        <v>1</v>
      </c>
      <c r="R36" s="207">
        <v>1</v>
      </c>
      <c r="S36" s="207">
        <v>1</v>
      </c>
      <c r="T36" s="207">
        <v>1</v>
      </c>
      <c r="U36" s="207">
        <v>1</v>
      </c>
      <c r="V36" s="207">
        <v>1</v>
      </c>
      <c r="W36" s="207">
        <v>1</v>
      </c>
      <c r="X36" s="207">
        <v>1</v>
      </c>
      <c r="Y36" s="207">
        <v>1</v>
      </c>
      <c r="Z36" s="207">
        <v>1</v>
      </c>
      <c r="AA36" s="207">
        <v>1</v>
      </c>
      <c r="AB36" s="207">
        <v>1</v>
      </c>
      <c r="AC36" s="5"/>
      <c r="AD36" s="63"/>
      <c r="AE36" s="64"/>
      <c r="AF36" s="64"/>
      <c r="AG36" s="212"/>
      <c r="AH36" s="64"/>
      <c r="AI36" s="145"/>
      <c r="AJ36" s="64"/>
      <c r="AK36" s="65"/>
      <c r="AL36" s="63"/>
      <c r="AM36" s="65"/>
      <c r="AN36" s="63"/>
      <c r="AO36" s="65"/>
      <c r="AP36" s="63"/>
      <c r="AQ36" s="65"/>
      <c r="AR36" s="63"/>
      <c r="AS36" s="65"/>
      <c r="AT36" s="63"/>
      <c r="AU36" s="65"/>
      <c r="AV36" s="63"/>
      <c r="AW36" s="65"/>
      <c r="AX36" s="63"/>
      <c r="AY36" s="5"/>
      <c r="AZ36" s="21" t="str">
        <f t="shared" si="0"/>
        <v/>
      </c>
      <c r="BA36" s="74" t="s">
        <v>338</v>
      </c>
      <c r="BB36" s="74" t="s">
        <v>327</v>
      </c>
      <c r="BC36" s="74" t="s">
        <v>124</v>
      </c>
      <c r="BD36" s="74" t="s">
        <v>148</v>
      </c>
      <c r="BE36" s="216" t="s">
        <v>110</v>
      </c>
      <c r="BF36" s="34">
        <v>1</v>
      </c>
      <c r="BG36" s="34">
        <v>1</v>
      </c>
      <c r="BH36" s="34">
        <v>1</v>
      </c>
      <c r="BI36" s="34">
        <v>1</v>
      </c>
      <c r="BJ36" s="34">
        <v>1</v>
      </c>
      <c r="BK36" s="34">
        <v>1</v>
      </c>
      <c r="BL36" s="34">
        <v>1</v>
      </c>
      <c r="BM36" s="34">
        <v>1</v>
      </c>
      <c r="BN36" s="34">
        <v>1</v>
      </c>
      <c r="BO36" s="34">
        <v>1</v>
      </c>
      <c r="BP36" s="34">
        <v>1</v>
      </c>
      <c r="BQ36" s="5"/>
      <c r="BR36" s="25"/>
      <c r="BS36" s="5"/>
    </row>
    <row r="37" spans="1:71" s="3" customFormat="1" x14ac:dyDescent="0.25">
      <c r="A37" s="5"/>
      <c r="B37" s="3" t="str">
        <f t="array" ref="B37">IFERROR(INDEX(DemandSupply,MATCH(INDEX($AH$1:AH37,SMALL(ROW($AH$1:AH37)+(10000*($AH$1:AH37="")),COUNTA($AH$1:AH37))),Sectors,0)),"")</f>
        <v>Demand</v>
      </c>
      <c r="E37" s="10">
        <f t="shared" si="1"/>
        <v>1</v>
      </c>
      <c r="F37" s="207">
        <v>1</v>
      </c>
      <c r="G37" s="207">
        <v>1</v>
      </c>
      <c r="H37" s="207">
        <v>1</v>
      </c>
      <c r="I37" s="207">
        <v>1</v>
      </c>
      <c r="J37" s="207">
        <v>1</v>
      </c>
      <c r="K37" s="207">
        <v>1</v>
      </c>
      <c r="L37" s="207">
        <v>1</v>
      </c>
      <c r="M37" s="207">
        <v>1</v>
      </c>
      <c r="N37" s="207">
        <v>1</v>
      </c>
      <c r="O37" s="207">
        <v>1</v>
      </c>
      <c r="P37" s="207">
        <v>1</v>
      </c>
      <c r="Q37" s="207">
        <v>1</v>
      </c>
      <c r="R37" s="207">
        <v>1</v>
      </c>
      <c r="S37" s="207">
        <v>1</v>
      </c>
      <c r="T37" s="207">
        <v>1</v>
      </c>
      <c r="U37" s="207">
        <v>1</v>
      </c>
      <c r="V37" s="207">
        <v>1</v>
      </c>
      <c r="W37" s="207">
        <v>1</v>
      </c>
      <c r="X37" s="207">
        <v>1</v>
      </c>
      <c r="Y37" s="207">
        <v>1</v>
      </c>
      <c r="Z37" s="207">
        <v>1</v>
      </c>
      <c r="AA37" s="207">
        <v>1</v>
      </c>
      <c r="AB37" s="207">
        <v>1</v>
      </c>
      <c r="AC37" s="5"/>
      <c r="AD37" s="63"/>
      <c r="AE37" s="64"/>
      <c r="AF37" s="64"/>
      <c r="AG37" s="212"/>
      <c r="AH37" s="65"/>
      <c r="AI37" s="145"/>
      <c r="AJ37" s="64"/>
      <c r="AK37" s="65"/>
      <c r="AL37" s="63"/>
      <c r="AM37" s="65"/>
      <c r="AN37" s="63"/>
      <c r="AO37" s="65"/>
      <c r="AP37" s="63"/>
      <c r="AQ37" s="65"/>
      <c r="AR37" s="63"/>
      <c r="AS37" s="65"/>
      <c r="AT37" s="63"/>
      <c r="AU37" s="65"/>
      <c r="AV37" s="63"/>
      <c r="AW37" s="65"/>
      <c r="AX37" s="63"/>
      <c r="AY37" s="5"/>
      <c r="AZ37" s="21" t="str">
        <f t="shared" si="0"/>
        <v/>
      </c>
      <c r="BA37" s="4"/>
      <c r="BB37" s="13"/>
      <c r="BC37" s="4"/>
      <c r="BD37" s="4"/>
      <c r="BE37" s="9"/>
      <c r="BF37" s="4"/>
      <c r="BG37" s="4"/>
      <c r="BH37" s="4"/>
      <c r="BI37" s="4"/>
      <c r="BJ37" s="4"/>
      <c r="BK37" s="4"/>
      <c r="BL37" s="4"/>
      <c r="BM37" s="4"/>
      <c r="BN37" s="4"/>
      <c r="BO37" s="4"/>
      <c r="BP37" s="4"/>
      <c r="BQ37" s="5"/>
      <c r="BR37" s="13"/>
      <c r="BS37" s="5"/>
    </row>
    <row r="38" spans="1:71" s="3" customFormat="1" x14ac:dyDescent="0.25">
      <c r="A38" s="5"/>
      <c r="B38" s="3" t="str">
        <f t="array" ref="B38">IFERROR(INDEX(DemandSupply,MATCH(INDEX($AH$1:AH38,SMALL(ROW($AH$1:AH38)+(10000*($AH$1:AH38="")),COUNTA($AH$1:AH38))),Sectors,0)),"")</f>
        <v>Demand</v>
      </c>
      <c r="E38" s="10">
        <f t="shared" si="1"/>
        <v>1</v>
      </c>
      <c r="F38" s="207">
        <v>1</v>
      </c>
      <c r="G38" s="207">
        <v>1</v>
      </c>
      <c r="H38" s="207">
        <v>1</v>
      </c>
      <c r="I38" s="207">
        <v>1</v>
      </c>
      <c r="J38" s="207">
        <v>1</v>
      </c>
      <c r="K38" s="207">
        <v>1</v>
      </c>
      <c r="L38" s="207">
        <v>1</v>
      </c>
      <c r="M38" s="207">
        <v>1</v>
      </c>
      <c r="N38" s="207">
        <v>1</v>
      </c>
      <c r="O38" s="207">
        <v>1</v>
      </c>
      <c r="P38" s="207">
        <v>1</v>
      </c>
      <c r="Q38" s="207">
        <v>1</v>
      </c>
      <c r="R38" s="207">
        <v>1</v>
      </c>
      <c r="S38" s="207">
        <v>1</v>
      </c>
      <c r="T38" s="207">
        <v>1</v>
      </c>
      <c r="U38" s="207">
        <v>1</v>
      </c>
      <c r="V38" s="207">
        <v>1</v>
      </c>
      <c r="W38" s="207">
        <v>1</v>
      </c>
      <c r="X38" s="207">
        <v>1</v>
      </c>
      <c r="Y38" s="207">
        <v>1</v>
      </c>
      <c r="Z38" s="207">
        <v>1</v>
      </c>
      <c r="AA38" s="207">
        <v>1</v>
      </c>
      <c r="AB38" s="207">
        <v>1</v>
      </c>
      <c r="AC38" s="5"/>
      <c r="AD38" s="63"/>
      <c r="AE38" s="64"/>
      <c r="AF38" s="64"/>
      <c r="AG38" s="212"/>
      <c r="AH38" s="64"/>
      <c r="AI38" s="212"/>
      <c r="AJ38" s="214" t="s">
        <v>350</v>
      </c>
      <c r="AK38" s="67"/>
      <c r="AL38" s="64"/>
      <c r="AM38" s="64"/>
      <c r="AN38" s="63"/>
      <c r="AO38" s="64"/>
      <c r="AP38" s="63"/>
      <c r="AQ38" s="64"/>
      <c r="AR38" s="63"/>
      <c r="AS38" s="64"/>
      <c r="AT38" s="63"/>
      <c r="AU38" s="64"/>
      <c r="AV38" s="63"/>
      <c r="AW38" s="64"/>
      <c r="AX38" s="63"/>
      <c r="AY38" s="5"/>
      <c r="AZ38" s="208" t="str">
        <f t="shared" si="0"/>
        <v>Building Type</v>
      </c>
      <c r="BA38" s="4"/>
      <c r="BB38" s="13"/>
      <c r="BC38" s="4"/>
      <c r="BD38" s="4"/>
      <c r="BE38" s="9"/>
      <c r="BF38" s="4"/>
      <c r="BG38" s="4"/>
      <c r="BH38" s="4"/>
      <c r="BI38" s="4"/>
      <c r="BJ38" s="4"/>
      <c r="BK38" s="4"/>
      <c r="BL38" s="4"/>
      <c r="BM38" s="4"/>
      <c r="BN38" s="4"/>
      <c r="BO38" s="4"/>
      <c r="BP38" s="4"/>
      <c r="BQ38" s="5"/>
      <c r="BR38" s="13"/>
      <c r="BS38" s="5"/>
    </row>
    <row r="39" spans="1:71" s="3" customFormat="1" x14ac:dyDescent="0.25">
      <c r="A39" s="5"/>
      <c r="B39" s="3" t="str">
        <f t="array" ref="B39">IFERROR(INDEX(DemandSupply,MATCH(INDEX($AH$1:AH39,SMALL(ROW($AH$1:AH39)+(10000*($AH$1:AH39="")),COUNTA($AH$1:AH39))),Sectors,0)),"")</f>
        <v>Demand</v>
      </c>
      <c r="E39" s="10">
        <f t="shared" si="1"/>
        <v>0</v>
      </c>
      <c r="F39" s="207">
        <v>1</v>
      </c>
      <c r="G39" s="207">
        <v>1</v>
      </c>
      <c r="H39" s="207">
        <v>1</v>
      </c>
      <c r="I39" s="207">
        <v>1</v>
      </c>
      <c r="J39" s="207">
        <v>1</v>
      </c>
      <c r="K39" s="207">
        <v>1</v>
      </c>
      <c r="L39" s="207">
        <v>1</v>
      </c>
      <c r="M39" s="207">
        <v>1</v>
      </c>
      <c r="N39" s="207">
        <v>1</v>
      </c>
      <c r="O39" s="207">
        <v>1</v>
      </c>
      <c r="P39" s="207">
        <v>1</v>
      </c>
      <c r="Q39" s="207">
        <v>1</v>
      </c>
      <c r="R39" s="207">
        <v>1</v>
      </c>
      <c r="S39" s="207">
        <v>1</v>
      </c>
      <c r="T39" s="207">
        <v>1</v>
      </c>
      <c r="U39" s="207">
        <v>1</v>
      </c>
      <c r="V39" s="207">
        <v>1</v>
      </c>
      <c r="W39" s="207">
        <v>1</v>
      </c>
      <c r="X39" s="207">
        <v>1</v>
      </c>
      <c r="Y39" s="207">
        <v>1</v>
      </c>
      <c r="Z39" s="207">
        <v>1</v>
      </c>
      <c r="AA39" s="207">
        <v>1</v>
      </c>
      <c r="AB39" s="207">
        <v>1</v>
      </c>
      <c r="AC39" s="5"/>
      <c r="AD39" s="63"/>
      <c r="AE39" s="64"/>
      <c r="AF39" s="64"/>
      <c r="AG39" s="212"/>
      <c r="AH39" s="64"/>
      <c r="AI39" s="64"/>
      <c r="AJ39" s="64"/>
      <c r="AK39" s="66"/>
      <c r="AL39" s="64"/>
      <c r="AM39" s="64"/>
      <c r="AN39" s="63"/>
      <c r="AO39" s="64"/>
      <c r="AP39" s="63"/>
      <c r="AQ39" s="64"/>
      <c r="AR39" s="63"/>
      <c r="AS39" s="64"/>
      <c r="AT39" s="63"/>
      <c r="AU39" s="64"/>
      <c r="AV39" s="63"/>
      <c r="AW39" s="64"/>
      <c r="AX39" s="63"/>
      <c r="AY39" s="5"/>
      <c r="AZ39" s="21" t="str">
        <f t="shared" si="0"/>
        <v/>
      </c>
      <c r="BA39" s="74" t="s">
        <v>337</v>
      </c>
      <c r="BB39" s="25"/>
      <c r="BC39" s="74" t="s">
        <v>124</v>
      </c>
      <c r="BD39" s="74" t="s">
        <v>149</v>
      </c>
      <c r="BE39" s="216" t="str">
        <f>AZ38</f>
        <v>Building Type</v>
      </c>
      <c r="BF39" s="17"/>
      <c r="BG39" s="17"/>
      <c r="BH39" s="17"/>
      <c r="BI39" s="17"/>
      <c r="BJ39" s="17"/>
      <c r="BK39" s="17"/>
      <c r="BL39" s="17"/>
      <c r="BM39" s="17"/>
      <c r="BN39" s="17"/>
      <c r="BO39" s="17"/>
      <c r="BP39" s="17"/>
      <c r="BQ39" s="5"/>
      <c r="BR39" s="25"/>
      <c r="BS39" s="5"/>
    </row>
    <row r="40" spans="1:71" s="3" customFormat="1" x14ac:dyDescent="0.25">
      <c r="A40" s="5"/>
      <c r="B40" s="3" t="str">
        <f t="array" ref="B40">IFERROR(INDEX(DemandSupply,MATCH(INDEX($AH$1:AH40,SMALL(ROW($AH$1:AH40)+(10000*($AH$1:AH40="")),COUNTA($AH$1:AH40))),Sectors,0)),"")</f>
        <v>Demand</v>
      </c>
      <c r="E40" s="10">
        <f t="shared" si="1"/>
        <v>0</v>
      </c>
      <c r="F40" s="207">
        <v>1</v>
      </c>
      <c r="G40" s="207">
        <v>1</v>
      </c>
      <c r="H40" s="207">
        <v>1</v>
      </c>
      <c r="I40" s="207">
        <v>1</v>
      </c>
      <c r="J40" s="207">
        <v>1</v>
      </c>
      <c r="K40" s="207">
        <v>1</v>
      </c>
      <c r="L40" s="207">
        <v>1</v>
      </c>
      <c r="M40" s="207">
        <v>1</v>
      </c>
      <c r="N40" s="207">
        <v>1</v>
      </c>
      <c r="O40" s="207">
        <v>1</v>
      </c>
      <c r="P40" s="207">
        <v>1</v>
      </c>
      <c r="Q40" s="207">
        <v>1</v>
      </c>
      <c r="R40" s="207">
        <v>1</v>
      </c>
      <c r="S40" s="207">
        <v>1</v>
      </c>
      <c r="T40" s="207">
        <v>1</v>
      </c>
      <c r="U40" s="207">
        <v>1</v>
      </c>
      <c r="V40" s="207">
        <v>1</v>
      </c>
      <c r="W40" s="207">
        <v>1</v>
      </c>
      <c r="X40" s="207">
        <v>1</v>
      </c>
      <c r="Y40" s="207">
        <v>1</v>
      </c>
      <c r="Z40" s="207">
        <v>1</v>
      </c>
      <c r="AA40" s="207">
        <v>1</v>
      </c>
      <c r="AB40" s="207">
        <v>1</v>
      </c>
      <c r="AC40" s="5"/>
      <c r="AD40" s="63"/>
      <c r="AE40" s="64"/>
      <c r="AF40" s="64"/>
      <c r="AG40" s="212"/>
      <c r="AH40" s="64"/>
      <c r="AI40" s="64"/>
      <c r="AJ40" s="64"/>
      <c r="AK40" s="212"/>
      <c r="AL40" s="64"/>
      <c r="AM40" s="64"/>
      <c r="AN40" s="63"/>
      <c r="AO40" s="64"/>
      <c r="AP40" s="63"/>
      <c r="AQ40" s="64"/>
      <c r="AR40" s="63"/>
      <c r="AS40" s="64"/>
      <c r="AT40" s="63"/>
      <c r="AU40" s="64"/>
      <c r="AV40" s="63"/>
      <c r="AW40" s="64"/>
      <c r="AX40" s="63"/>
      <c r="AY40" s="5"/>
      <c r="AZ40" s="21" t="str">
        <f t="shared" si="0"/>
        <v/>
      </c>
      <c r="BA40" s="74" t="s">
        <v>76</v>
      </c>
      <c r="BB40" s="25"/>
      <c r="BC40" s="15"/>
      <c r="BD40" s="74" t="s">
        <v>99</v>
      </c>
      <c r="BE40" s="216" t="s">
        <v>23</v>
      </c>
      <c r="BF40" s="302">
        <v>0.719409242</v>
      </c>
      <c r="BG40" s="302">
        <v>0.71950000000000003</v>
      </c>
      <c r="BH40" s="302">
        <v>0.71899999999999997</v>
      </c>
      <c r="BI40" s="302">
        <v>0.71850000000000003</v>
      </c>
      <c r="BJ40" s="302">
        <v>0.71799999999999997</v>
      </c>
      <c r="BK40" s="302">
        <v>0.71750000000000003</v>
      </c>
      <c r="BL40" s="302">
        <v>0.71699999999999997</v>
      </c>
      <c r="BM40" s="302">
        <v>0.71650000000000003</v>
      </c>
      <c r="BN40" s="302">
        <v>0.71599999999999997</v>
      </c>
      <c r="BO40" s="302">
        <v>0.71550000000000002</v>
      </c>
      <c r="BP40" s="302">
        <v>0.71500000000000097</v>
      </c>
      <c r="BQ40" s="5"/>
      <c r="BR40" s="25"/>
      <c r="BS40" s="5"/>
    </row>
    <row r="41" spans="1:71" s="3" customFormat="1" x14ac:dyDescent="0.25">
      <c r="A41" s="5"/>
      <c r="B41" s="3" t="str">
        <f t="array" ref="B41">IFERROR(INDEX(DemandSupply,MATCH(INDEX($AH$1:AH41,SMALL(ROW($AH$1:AH41)+(10000*($AH$1:AH41="")),COUNTA($AH$1:AH41))),Sectors,0)),"")</f>
        <v>Demand</v>
      </c>
      <c r="E41" s="10">
        <f t="shared" si="1"/>
        <v>0</v>
      </c>
      <c r="F41" s="207">
        <v>1</v>
      </c>
      <c r="G41" s="207">
        <v>1</v>
      </c>
      <c r="H41" s="207">
        <v>1</v>
      </c>
      <c r="I41" s="207">
        <v>1</v>
      </c>
      <c r="J41" s="207">
        <v>1</v>
      </c>
      <c r="K41" s="207">
        <v>1</v>
      </c>
      <c r="L41" s="207">
        <v>1</v>
      </c>
      <c r="M41" s="207">
        <v>1</v>
      </c>
      <c r="N41" s="207">
        <v>1</v>
      </c>
      <c r="O41" s="207">
        <v>1</v>
      </c>
      <c r="P41" s="207">
        <v>1</v>
      </c>
      <c r="Q41" s="207">
        <v>1</v>
      </c>
      <c r="R41" s="207">
        <v>1</v>
      </c>
      <c r="S41" s="207">
        <v>1</v>
      </c>
      <c r="T41" s="207">
        <v>1</v>
      </c>
      <c r="U41" s="207">
        <v>1</v>
      </c>
      <c r="V41" s="207">
        <v>1</v>
      </c>
      <c r="W41" s="207">
        <v>1</v>
      </c>
      <c r="X41" s="207">
        <v>1</v>
      </c>
      <c r="Y41" s="207">
        <v>1</v>
      </c>
      <c r="Z41" s="207">
        <v>1</v>
      </c>
      <c r="AA41" s="207">
        <v>1</v>
      </c>
      <c r="AB41" s="207">
        <v>1</v>
      </c>
      <c r="AC41" s="5"/>
      <c r="AD41" s="63"/>
      <c r="AE41" s="64"/>
      <c r="AF41" s="64"/>
      <c r="AG41" s="212"/>
      <c r="AH41" s="64"/>
      <c r="AI41" s="64"/>
      <c r="AJ41" s="64"/>
      <c r="AK41" s="212"/>
      <c r="AL41" s="64"/>
      <c r="AM41" s="64"/>
      <c r="AN41" s="63"/>
      <c r="AO41" s="64"/>
      <c r="AP41" s="63"/>
      <c r="AQ41" s="64"/>
      <c r="AR41" s="63"/>
      <c r="AS41" s="64"/>
      <c r="AT41" s="63"/>
      <c r="AU41" s="64"/>
      <c r="AV41" s="63"/>
      <c r="AW41" s="64"/>
      <c r="AX41" s="63"/>
      <c r="AY41" s="5"/>
      <c r="AZ41" s="21" t="str">
        <f t="shared" si="0"/>
        <v/>
      </c>
      <c r="BA41" s="74" t="s">
        <v>76</v>
      </c>
      <c r="BB41" s="25"/>
      <c r="BC41" s="15"/>
      <c r="BD41" s="74" t="s">
        <v>99</v>
      </c>
      <c r="BE41" s="216" t="s">
        <v>24</v>
      </c>
      <c r="BF41" s="302">
        <v>0.1</v>
      </c>
      <c r="BG41" s="302">
        <v>0.10100000000000001</v>
      </c>
      <c r="BH41" s="302">
        <v>0.10199999999999999</v>
      </c>
      <c r="BI41" s="302">
        <v>0.10299999999999999</v>
      </c>
      <c r="BJ41" s="302">
        <v>0.104</v>
      </c>
      <c r="BK41" s="302">
        <v>0.105</v>
      </c>
      <c r="BL41" s="302">
        <v>0.106</v>
      </c>
      <c r="BM41" s="302">
        <v>0.107</v>
      </c>
      <c r="BN41" s="302">
        <v>0.108</v>
      </c>
      <c r="BO41" s="302">
        <v>0.109</v>
      </c>
      <c r="BP41" s="302">
        <v>0.11</v>
      </c>
      <c r="BQ41" s="5"/>
      <c r="BR41" s="25"/>
      <c r="BS41" s="5"/>
    </row>
    <row r="42" spans="1:71" s="3" customFormat="1" x14ac:dyDescent="0.25">
      <c r="A42" s="5"/>
      <c r="B42" s="3" t="str">
        <f t="array" ref="B42">IFERROR(INDEX(DemandSupply,MATCH(INDEX($AH$1:AH42,SMALL(ROW($AH$1:AH42)+(10000*($AH$1:AH42="")),COUNTA($AH$1:AH42))),Sectors,0)),"")</f>
        <v>Demand</v>
      </c>
      <c r="E42" s="10">
        <f t="shared" si="1"/>
        <v>0</v>
      </c>
      <c r="F42" s="207">
        <v>1</v>
      </c>
      <c r="G42" s="207">
        <v>1</v>
      </c>
      <c r="H42" s="207">
        <v>1</v>
      </c>
      <c r="I42" s="207">
        <v>1</v>
      </c>
      <c r="J42" s="207">
        <v>1</v>
      </c>
      <c r="K42" s="207">
        <v>1</v>
      </c>
      <c r="L42" s="207">
        <v>1</v>
      </c>
      <c r="M42" s="207">
        <v>1</v>
      </c>
      <c r="N42" s="207">
        <v>1</v>
      </c>
      <c r="O42" s="207">
        <v>1</v>
      </c>
      <c r="P42" s="207">
        <v>1</v>
      </c>
      <c r="Q42" s="207">
        <v>1</v>
      </c>
      <c r="R42" s="207">
        <v>1</v>
      </c>
      <c r="S42" s="207">
        <v>1</v>
      </c>
      <c r="T42" s="207">
        <v>1</v>
      </c>
      <c r="U42" s="207">
        <v>1</v>
      </c>
      <c r="V42" s="207">
        <v>1</v>
      </c>
      <c r="W42" s="207">
        <v>1</v>
      </c>
      <c r="X42" s="207">
        <v>1</v>
      </c>
      <c r="Y42" s="207">
        <v>1</v>
      </c>
      <c r="Z42" s="207">
        <v>1</v>
      </c>
      <c r="AA42" s="207">
        <v>1</v>
      </c>
      <c r="AB42" s="207">
        <v>1</v>
      </c>
      <c r="AC42" s="5"/>
      <c r="AD42" s="63"/>
      <c r="AE42" s="64"/>
      <c r="AF42" s="64"/>
      <c r="AG42" s="212"/>
      <c r="AH42" s="64"/>
      <c r="AI42" s="64"/>
      <c r="AJ42" s="64"/>
      <c r="AK42" s="212"/>
      <c r="AL42" s="64"/>
      <c r="AM42" s="64"/>
      <c r="AN42" s="63"/>
      <c r="AO42" s="64"/>
      <c r="AP42" s="63"/>
      <c r="AQ42" s="64"/>
      <c r="AR42" s="63"/>
      <c r="AS42" s="64"/>
      <c r="AT42" s="63"/>
      <c r="AU42" s="64"/>
      <c r="AV42" s="63"/>
      <c r="AW42" s="64"/>
      <c r="AX42" s="63"/>
      <c r="AY42" s="5"/>
      <c r="AZ42" s="21" t="str">
        <f t="shared" si="0"/>
        <v/>
      </c>
      <c r="BA42" s="74" t="s">
        <v>76</v>
      </c>
      <c r="BB42" s="25"/>
      <c r="BC42" s="15"/>
      <c r="BD42" s="74" t="s">
        <v>99</v>
      </c>
      <c r="BE42" s="216" t="s">
        <v>25</v>
      </c>
      <c r="BF42" s="302">
        <v>0.14000000000000001</v>
      </c>
      <c r="BG42" s="302">
        <v>0.13950000000000001</v>
      </c>
      <c r="BH42" s="302">
        <v>0.13900000000000001</v>
      </c>
      <c r="BI42" s="302">
        <v>0.13850000000000001</v>
      </c>
      <c r="BJ42" s="302">
        <v>0.13800000000000001</v>
      </c>
      <c r="BK42" s="302">
        <v>0.13750000000000001</v>
      </c>
      <c r="BL42" s="302">
        <v>0.13700000000000001</v>
      </c>
      <c r="BM42" s="302">
        <v>0.13650000000000001</v>
      </c>
      <c r="BN42" s="302">
        <v>0.13600000000000001</v>
      </c>
      <c r="BO42" s="302">
        <v>0.13550000000000001</v>
      </c>
      <c r="BP42" s="302">
        <v>0.13500000000000001</v>
      </c>
      <c r="BQ42" s="5"/>
      <c r="BR42" s="25"/>
      <c r="BS42" s="5"/>
    </row>
    <row r="43" spans="1:71" s="3" customFormat="1" x14ac:dyDescent="0.25">
      <c r="A43" s="5"/>
      <c r="B43" s="3" t="str">
        <f t="array" ref="B43">IFERROR(INDEX(DemandSupply,MATCH(INDEX($AH$1:AH43,SMALL(ROW($AH$1:AH43)+(10000*($AH$1:AH43="")),COUNTA($AH$1:AH43))),Sectors,0)),"")</f>
        <v>Demand</v>
      </c>
      <c r="E43" s="10">
        <f t="shared" si="1"/>
        <v>0</v>
      </c>
      <c r="F43" s="207">
        <v>1</v>
      </c>
      <c r="G43" s="207">
        <v>1</v>
      </c>
      <c r="H43" s="207">
        <v>1</v>
      </c>
      <c r="I43" s="207">
        <v>1</v>
      </c>
      <c r="J43" s="207">
        <v>1</v>
      </c>
      <c r="K43" s="207">
        <v>1</v>
      </c>
      <c r="L43" s="207">
        <v>1</v>
      </c>
      <c r="M43" s="207">
        <v>1</v>
      </c>
      <c r="N43" s="207">
        <v>1</v>
      </c>
      <c r="O43" s="207">
        <v>1</v>
      </c>
      <c r="P43" s="207">
        <v>1</v>
      </c>
      <c r="Q43" s="207">
        <v>1</v>
      </c>
      <c r="R43" s="207">
        <v>1</v>
      </c>
      <c r="S43" s="207">
        <v>1</v>
      </c>
      <c r="T43" s="207">
        <v>1</v>
      </c>
      <c r="U43" s="207">
        <v>1</v>
      </c>
      <c r="V43" s="207">
        <v>1</v>
      </c>
      <c r="W43" s="207">
        <v>1</v>
      </c>
      <c r="X43" s="207">
        <v>1</v>
      </c>
      <c r="Y43" s="207">
        <v>1</v>
      </c>
      <c r="Z43" s="207">
        <v>1</v>
      </c>
      <c r="AA43" s="207">
        <v>1</v>
      </c>
      <c r="AB43" s="207">
        <v>1</v>
      </c>
      <c r="AC43" s="5"/>
      <c r="AD43" s="63"/>
      <c r="AE43" s="64"/>
      <c r="AF43" s="64"/>
      <c r="AG43" s="212"/>
      <c r="AH43" s="64"/>
      <c r="AI43" s="64"/>
      <c r="AJ43" s="64"/>
      <c r="AK43" s="212"/>
      <c r="AL43" s="64"/>
      <c r="AM43" s="64"/>
      <c r="AN43" s="63"/>
      <c r="AO43" s="64"/>
      <c r="AP43" s="63"/>
      <c r="AQ43" s="64"/>
      <c r="AR43" s="63"/>
      <c r="AS43" s="64"/>
      <c r="AT43" s="63"/>
      <c r="AU43" s="64"/>
      <c r="AV43" s="63"/>
      <c r="AW43" s="64"/>
      <c r="AX43" s="63"/>
      <c r="AY43" s="5"/>
      <c r="AZ43" s="21" t="str">
        <f t="shared" si="0"/>
        <v/>
      </c>
      <c r="BA43" s="74" t="s">
        <v>76</v>
      </c>
      <c r="BB43" s="25"/>
      <c r="BC43" s="15"/>
      <c r="BD43" s="74" t="s">
        <v>99</v>
      </c>
      <c r="BE43" s="216" t="s">
        <v>26</v>
      </c>
      <c r="BF43" s="302">
        <f>1-SUM(BF40:BF42)</f>
        <v>4.0590758000000005E-2</v>
      </c>
      <c r="BG43" s="302">
        <f t="shared" ref="BG43:BP43" si="2">1-SUM(BG40:BG42)</f>
        <v>4.0000000000000036E-2</v>
      </c>
      <c r="BH43" s="302">
        <f t="shared" si="2"/>
        <v>4.0000000000000036E-2</v>
      </c>
      <c r="BI43" s="302">
        <f t="shared" si="2"/>
        <v>4.0000000000000036E-2</v>
      </c>
      <c r="BJ43" s="302">
        <f t="shared" si="2"/>
        <v>4.0000000000000036E-2</v>
      </c>
      <c r="BK43" s="302">
        <f t="shared" si="2"/>
        <v>4.0000000000000036E-2</v>
      </c>
      <c r="BL43" s="302">
        <f t="shared" si="2"/>
        <v>4.0000000000000036E-2</v>
      </c>
      <c r="BM43" s="302">
        <f t="shared" si="2"/>
        <v>4.0000000000000036E-2</v>
      </c>
      <c r="BN43" s="302">
        <f t="shared" si="2"/>
        <v>4.0000000000000036E-2</v>
      </c>
      <c r="BO43" s="302">
        <f t="shared" si="2"/>
        <v>4.0000000000000036E-2</v>
      </c>
      <c r="BP43" s="302">
        <f t="shared" si="2"/>
        <v>3.9999999999999036E-2</v>
      </c>
      <c r="BQ43" s="5"/>
      <c r="BR43" s="25"/>
      <c r="BS43" s="5"/>
    </row>
    <row r="44" spans="1:71" s="3" customFormat="1" x14ac:dyDescent="0.25">
      <c r="A44" s="5"/>
      <c r="B44" s="3" t="str">
        <f t="array" ref="B44">IFERROR(INDEX(DemandSupply,MATCH(INDEX($AH$1:AH44,SMALL(ROW($AH$1:AH44)+(10000*($AH$1:AH44="")),COUNTA($AH$1:AH44))),Sectors,0)),"")</f>
        <v>Demand</v>
      </c>
      <c r="E44" s="10">
        <f t="shared" si="1"/>
        <v>0</v>
      </c>
      <c r="F44" s="207">
        <v>1</v>
      </c>
      <c r="G44" s="207">
        <v>1</v>
      </c>
      <c r="H44" s="207">
        <v>1</v>
      </c>
      <c r="I44" s="207">
        <v>1</v>
      </c>
      <c r="J44" s="207">
        <v>1</v>
      </c>
      <c r="K44" s="207">
        <v>1</v>
      </c>
      <c r="L44" s="207">
        <v>1</v>
      </c>
      <c r="M44" s="207">
        <v>1</v>
      </c>
      <c r="N44" s="207">
        <v>1</v>
      </c>
      <c r="O44" s="207">
        <v>1</v>
      </c>
      <c r="P44" s="207">
        <v>1</v>
      </c>
      <c r="Q44" s="207">
        <v>1</v>
      </c>
      <c r="R44" s="207">
        <v>1</v>
      </c>
      <c r="S44" s="207">
        <v>1</v>
      </c>
      <c r="T44" s="207">
        <v>1</v>
      </c>
      <c r="U44" s="207">
        <v>1</v>
      </c>
      <c r="V44" s="207">
        <v>1</v>
      </c>
      <c r="W44" s="207">
        <v>1</v>
      </c>
      <c r="X44" s="207">
        <v>1</v>
      </c>
      <c r="Y44" s="207">
        <v>1</v>
      </c>
      <c r="Z44" s="207">
        <v>1</v>
      </c>
      <c r="AA44" s="207">
        <v>1</v>
      </c>
      <c r="AB44" s="207">
        <v>1</v>
      </c>
      <c r="AC44" s="5"/>
      <c r="AD44" s="63"/>
      <c r="AE44" s="64"/>
      <c r="AF44" s="64"/>
      <c r="AG44" s="212"/>
      <c r="AH44" s="64"/>
      <c r="AI44" s="64"/>
      <c r="AJ44" s="64"/>
      <c r="AK44" s="212"/>
      <c r="AL44" s="64"/>
      <c r="AM44" s="64"/>
      <c r="AN44" s="63"/>
      <c r="AO44" s="64"/>
      <c r="AP44" s="63"/>
      <c r="AQ44" s="64"/>
      <c r="AR44" s="63"/>
      <c r="AS44" s="64"/>
      <c r="AT44" s="63"/>
      <c r="AU44" s="64"/>
      <c r="AV44" s="63"/>
      <c r="AW44" s="64"/>
      <c r="AX44" s="63"/>
      <c r="AY44" s="5"/>
      <c r="AZ44" s="21" t="str">
        <f t="shared" si="0"/>
        <v/>
      </c>
      <c r="BA44" s="74" t="s">
        <v>338</v>
      </c>
      <c r="BB44" s="25"/>
      <c r="BC44" s="74" t="s">
        <v>128</v>
      </c>
      <c r="BD44" s="74" t="s">
        <v>150</v>
      </c>
      <c r="BE44" s="216" t="s">
        <v>23</v>
      </c>
      <c r="BF44" s="34">
        <f>SUMIFS(Residential!F$95:F$150,Residential!$C$95:$C$150,"Alberta",Residential!$B$95:$B$150,$BE44)/SUMIFS(Residential!F$36:F$91,Residential!$C$36:$C$91,"Alberta",Residential!$B$36:$B$91,$BE44)*1000</f>
        <v>138.51662237471803</v>
      </c>
      <c r="BG44" s="34">
        <f>SUMIFS(Residential!G$95:G$150,Residential!$C$95:$C$150,"Alberta",Residential!$B$95:$B$150,$BE44)/SUMIFS(Residential!G$36:G$91,Residential!$C$36:$C$91,"Alberta",Residential!$B$36:$B$91,$BE44)*1000</f>
        <v>141.02045602481141</v>
      </c>
      <c r="BH44" s="34">
        <f>SUMIFS(Residential!H$95:H$150,Residential!$C$95:$C$150,"Alberta",Residential!$B$95:$B$150,$BE44)/SUMIFS(Residential!H$36:H$91,Residential!$C$36:$C$91,"Alberta",Residential!$B$36:$B$91,$BE44)*1000</f>
        <v>143.95470394476007</v>
      </c>
      <c r="BI44" s="34">
        <f>SUMIFS(Residential!I$95:I$150,Residential!$C$95:$C$150,"Alberta",Residential!$B$95:$B$150,$BE44)/SUMIFS(Residential!I$36:I$91,Residential!$C$36:$C$91,"Alberta",Residential!$B$36:$B$91,$BE44)*1000</f>
        <v>146.24475252411179</v>
      </c>
      <c r="BJ44" s="34">
        <f>SUMIFS(Residential!J$95:J$150,Residential!$C$95:$C$150,"Alberta",Residential!$B$95:$B$150,$BE44)/SUMIFS(Residential!J$36:J$91,Residential!$C$36:$C$91,"Alberta",Residential!$B$36:$B$91,$BE44)*1000</f>
        <v>146.68297090560455</v>
      </c>
      <c r="BK44" s="34">
        <f>SUMIFS(Residential!K$95:K$150,Residential!$C$95:$C$150,"Alberta",Residential!$B$95:$B$150,$BE44)/SUMIFS(Residential!K$36:K$91,Residential!$C$36:$C$91,"Alberta",Residential!$B$36:$B$91,$BE44)*1000</f>
        <v>146.68297090560455</v>
      </c>
      <c r="BL44" s="34">
        <f>SUMIFS(Residential!L$95:L$150,Residential!$C$95:$C$150,"Alberta",Residential!$B$95:$B$150,$BE44)/SUMIFS(Residential!L$36:L$91,Residential!$C$36:$C$91,"Alberta",Residential!$B$36:$B$91,$BE44)*1000</f>
        <v>146.68297090560455</v>
      </c>
      <c r="BM44" s="34">
        <f>SUMIFS(Residential!M$95:M$150,Residential!$C$95:$C$150,"Alberta",Residential!$B$95:$B$150,$BE44)/SUMIFS(Residential!M$36:M$91,Residential!$C$36:$C$91,"Alberta",Residential!$B$36:$B$91,$BE44)*1000</f>
        <v>146.68297090560455</v>
      </c>
      <c r="BN44" s="34">
        <f>SUMIFS(Residential!N$95:N$150,Residential!$C$95:$C$150,"Alberta",Residential!$B$95:$B$150,$BE44)/SUMIFS(Residential!N$36:N$91,Residential!$C$36:$C$91,"Alberta",Residential!$B$36:$B$91,$BE44)*1000</f>
        <v>146.68297090560455</v>
      </c>
      <c r="BO44" s="34">
        <f>SUMIFS(Residential!O$95:O$150,Residential!$C$95:$C$150,"Alberta",Residential!$B$95:$B$150,$BE44)/SUMIFS(Residential!O$36:O$91,Residential!$C$36:$C$91,"Alberta",Residential!$B$36:$B$91,$BE44)*1000</f>
        <v>146.68297090560455</v>
      </c>
      <c r="BP44" s="34">
        <f>SUMIFS(Residential!P$95:P$150,Residential!$C$95:$C$150,"Alberta",Residential!$B$95:$B$150,$BE44)/SUMIFS(Residential!P$36:P$91,Residential!$C$36:$C$91,"Alberta",Residential!$B$36:$B$91,$BE44)*1000</f>
        <v>146.68297090560455</v>
      </c>
      <c r="BQ44" s="5"/>
      <c r="BR44" s="25"/>
      <c r="BS44" s="5"/>
    </row>
    <row r="45" spans="1:71" s="3" customFormat="1" x14ac:dyDescent="0.25">
      <c r="A45" s="5"/>
      <c r="B45" s="3" t="str">
        <f t="array" ref="B45">IFERROR(INDEX(DemandSupply,MATCH(INDEX($AH$1:AH45,SMALL(ROW($AH$1:AH45)+(10000*($AH$1:AH45="")),COUNTA($AH$1:AH45))),Sectors,0)),"")</f>
        <v>Demand</v>
      </c>
      <c r="E45" s="10">
        <f t="shared" si="1"/>
        <v>0</v>
      </c>
      <c r="F45" s="207">
        <v>1</v>
      </c>
      <c r="G45" s="207">
        <v>1</v>
      </c>
      <c r="H45" s="207">
        <v>1</v>
      </c>
      <c r="I45" s="207">
        <v>1</v>
      </c>
      <c r="J45" s="207">
        <v>1</v>
      </c>
      <c r="K45" s="207">
        <v>1</v>
      </c>
      <c r="L45" s="207">
        <v>1</v>
      </c>
      <c r="M45" s="207">
        <v>1</v>
      </c>
      <c r="N45" s="207">
        <v>1</v>
      </c>
      <c r="O45" s="207">
        <v>1</v>
      </c>
      <c r="P45" s="207">
        <v>1</v>
      </c>
      <c r="Q45" s="207">
        <v>1</v>
      </c>
      <c r="R45" s="207">
        <v>1</v>
      </c>
      <c r="S45" s="207">
        <v>1</v>
      </c>
      <c r="T45" s="207">
        <v>1</v>
      </c>
      <c r="U45" s="207">
        <v>1</v>
      </c>
      <c r="V45" s="207">
        <v>1</v>
      </c>
      <c r="W45" s="207">
        <v>1</v>
      </c>
      <c r="X45" s="207">
        <v>1</v>
      </c>
      <c r="Y45" s="207">
        <v>1</v>
      </c>
      <c r="Z45" s="207">
        <v>1</v>
      </c>
      <c r="AA45" s="207">
        <v>1</v>
      </c>
      <c r="AB45" s="207">
        <v>1</v>
      </c>
      <c r="AC45" s="5"/>
      <c r="AD45" s="63"/>
      <c r="AE45" s="64"/>
      <c r="AF45" s="64"/>
      <c r="AG45" s="212"/>
      <c r="AH45" s="64"/>
      <c r="AI45" s="64"/>
      <c r="AJ45" s="64"/>
      <c r="AK45" s="212"/>
      <c r="AL45" s="64"/>
      <c r="AM45" s="64"/>
      <c r="AN45" s="63"/>
      <c r="AO45" s="64"/>
      <c r="AP45" s="63"/>
      <c r="AQ45" s="64"/>
      <c r="AR45" s="63"/>
      <c r="AS45" s="64"/>
      <c r="AT45" s="63"/>
      <c r="AU45" s="64"/>
      <c r="AV45" s="63"/>
      <c r="AW45" s="64"/>
      <c r="AX45" s="63"/>
      <c r="AY45" s="5"/>
      <c r="AZ45" s="21" t="str">
        <f t="shared" si="0"/>
        <v/>
      </c>
      <c r="BA45" s="74" t="s">
        <v>338</v>
      </c>
      <c r="BB45" s="25"/>
      <c r="BC45" s="74" t="s">
        <v>128</v>
      </c>
      <c r="BD45" s="74" t="s">
        <v>150</v>
      </c>
      <c r="BE45" s="216" t="s">
        <v>24</v>
      </c>
      <c r="BF45" s="34">
        <f>SUMIFS(Residential!F$95:F$150,Residential!$C$95:$C$150,"Alberta",Residential!$B$95:$B$150,$BE45)/SUMIFS(Residential!F$36:F$91,Residential!$C$36:$C$91,"Alberta",Residential!$B$36:$B$91,$BE45)*1000</f>
        <v>107.36595424145357</v>
      </c>
      <c r="BG45" s="34">
        <f>SUMIFS(Residential!G$95:G$150,Residential!$C$95:$C$150,"Alberta",Residential!$B$95:$B$150,$BE45)/SUMIFS(Residential!G$36:G$91,Residential!$C$36:$C$91,"Alberta",Residential!$B$36:$B$91,$BE45)*1000</f>
        <v>111.23110151187905</v>
      </c>
      <c r="BH45" s="34">
        <f>SUMIFS(Residential!H$95:H$150,Residential!$C$95:$C$150,"Alberta",Residential!$B$95:$B$150,$BE45)/SUMIFS(Residential!H$36:H$91,Residential!$C$36:$C$91,"Alberta",Residential!$B$36:$B$91,$BE45)*1000</f>
        <v>115.91380319599979</v>
      </c>
      <c r="BI45" s="34">
        <f>SUMIFS(Residential!I$95:I$150,Residential!$C$95:$C$150,"Alberta",Residential!$B$95:$B$150,$BE45)/SUMIFS(Residential!I$36:I$91,Residential!$C$36:$C$91,"Alberta",Residential!$B$36:$B$91,$BE45)*1000</f>
        <v>121.53331571320508</v>
      </c>
      <c r="BJ45" s="34">
        <f>SUMIFS(Residential!J$95:J$150,Residential!$C$95:$C$150,"Alberta",Residential!$B$95:$B$150,$BE45)/SUMIFS(Residential!J$36:J$91,Residential!$C$36:$C$91,"Alberta",Residential!$B$36:$B$91,$BE45)*1000</f>
        <v>122.60881127559612</v>
      </c>
      <c r="BK45" s="34">
        <f>SUMIFS(Residential!K$95:K$150,Residential!$C$95:$C$150,"Alberta",Residential!$B$95:$B$150,$BE45)/SUMIFS(Residential!K$36:K$91,Residential!$C$36:$C$91,"Alberta",Residential!$B$36:$B$91,$BE45)*1000</f>
        <v>122.60881127559612</v>
      </c>
      <c r="BL45" s="34">
        <f>SUMIFS(Residential!L$95:L$150,Residential!$C$95:$C$150,"Alberta",Residential!$B$95:$B$150,$BE45)/SUMIFS(Residential!L$36:L$91,Residential!$C$36:$C$91,"Alberta",Residential!$B$36:$B$91,$BE45)*1000</f>
        <v>122.60881127559612</v>
      </c>
      <c r="BM45" s="34">
        <f>SUMIFS(Residential!M$95:M$150,Residential!$C$95:$C$150,"Alberta",Residential!$B$95:$B$150,$BE45)/SUMIFS(Residential!M$36:M$91,Residential!$C$36:$C$91,"Alberta",Residential!$B$36:$B$91,$BE45)*1000</f>
        <v>122.60881127559612</v>
      </c>
      <c r="BN45" s="34">
        <f>SUMIFS(Residential!N$95:N$150,Residential!$C$95:$C$150,"Alberta",Residential!$B$95:$B$150,$BE45)/SUMIFS(Residential!N$36:N$91,Residential!$C$36:$C$91,"Alberta",Residential!$B$36:$B$91,$BE45)*1000</f>
        <v>122.60881127559612</v>
      </c>
      <c r="BO45" s="34">
        <f>SUMIFS(Residential!O$95:O$150,Residential!$C$95:$C$150,"Alberta",Residential!$B$95:$B$150,$BE45)/SUMIFS(Residential!O$36:O$91,Residential!$C$36:$C$91,"Alberta",Residential!$B$36:$B$91,$BE45)*1000</f>
        <v>122.60881127559612</v>
      </c>
      <c r="BP45" s="34">
        <f>SUMIFS(Residential!P$95:P$150,Residential!$C$95:$C$150,"Alberta",Residential!$B$95:$B$150,$BE45)/SUMIFS(Residential!P$36:P$91,Residential!$C$36:$C$91,"Alberta",Residential!$B$36:$B$91,$BE45)*1000</f>
        <v>122.60881127559612</v>
      </c>
      <c r="BQ45" s="5"/>
      <c r="BR45" s="25"/>
      <c r="BS45" s="5"/>
    </row>
    <row r="46" spans="1:71" s="3" customFormat="1" x14ac:dyDescent="0.25">
      <c r="A46" s="5"/>
      <c r="B46" s="3" t="str">
        <f t="array" ref="B46">IFERROR(INDEX(DemandSupply,MATCH(INDEX($AH$1:AH46,SMALL(ROW($AH$1:AH46)+(10000*($AH$1:AH46="")),COUNTA($AH$1:AH46))),Sectors,0)),"")</f>
        <v>Demand</v>
      </c>
      <c r="E46" s="10">
        <f t="shared" si="1"/>
        <v>0</v>
      </c>
      <c r="F46" s="207">
        <v>1</v>
      </c>
      <c r="G46" s="207">
        <v>1</v>
      </c>
      <c r="H46" s="207">
        <v>1</v>
      </c>
      <c r="I46" s="207">
        <v>1</v>
      </c>
      <c r="J46" s="207">
        <v>1</v>
      </c>
      <c r="K46" s="207">
        <v>1</v>
      </c>
      <c r="L46" s="207">
        <v>1</v>
      </c>
      <c r="M46" s="207">
        <v>1</v>
      </c>
      <c r="N46" s="207">
        <v>1</v>
      </c>
      <c r="O46" s="207">
        <v>1</v>
      </c>
      <c r="P46" s="207">
        <v>1</v>
      </c>
      <c r="Q46" s="207">
        <v>1</v>
      </c>
      <c r="R46" s="207">
        <v>1</v>
      </c>
      <c r="S46" s="207">
        <v>1</v>
      </c>
      <c r="T46" s="207">
        <v>1</v>
      </c>
      <c r="U46" s="207">
        <v>1</v>
      </c>
      <c r="V46" s="207">
        <v>1</v>
      </c>
      <c r="W46" s="207">
        <v>1</v>
      </c>
      <c r="X46" s="207">
        <v>1</v>
      </c>
      <c r="Y46" s="207">
        <v>1</v>
      </c>
      <c r="Z46" s="207">
        <v>1</v>
      </c>
      <c r="AA46" s="207">
        <v>1</v>
      </c>
      <c r="AB46" s="207">
        <v>1</v>
      </c>
      <c r="AC46" s="5"/>
      <c r="AD46" s="63"/>
      <c r="AE46" s="64"/>
      <c r="AF46" s="64"/>
      <c r="AG46" s="212"/>
      <c r="AH46" s="64"/>
      <c r="AI46" s="64"/>
      <c r="AJ46" s="64"/>
      <c r="AK46" s="212"/>
      <c r="AL46" s="64"/>
      <c r="AM46" s="64"/>
      <c r="AN46" s="63"/>
      <c r="AO46" s="64"/>
      <c r="AP46" s="63"/>
      <c r="AQ46" s="64"/>
      <c r="AR46" s="63"/>
      <c r="AS46" s="64"/>
      <c r="AT46" s="63"/>
      <c r="AU46" s="64"/>
      <c r="AV46" s="63"/>
      <c r="AW46" s="64"/>
      <c r="AX46" s="63"/>
      <c r="AY46" s="5"/>
      <c r="AZ46" s="21" t="str">
        <f t="shared" si="0"/>
        <v/>
      </c>
      <c r="BA46" s="74" t="s">
        <v>338</v>
      </c>
      <c r="BB46" s="25"/>
      <c r="BC46" s="74" t="s">
        <v>128</v>
      </c>
      <c r="BD46" s="74" t="s">
        <v>150</v>
      </c>
      <c r="BE46" s="216" t="s">
        <v>25</v>
      </c>
      <c r="BF46" s="34">
        <f>SUMIFS(Residential!F$95:F$150,Residential!$C$95:$C$150,"Alberta",Residential!$B$95:$B$150,$BE46)/SUMIFS(Residential!F$36:F$91,Residential!$C$36:$C$91,"Alberta",Residential!$B$36:$B$91,$BE46)*1000</f>
        <v>84.759907824534466</v>
      </c>
      <c r="BG46" s="34">
        <f>SUMIFS(Residential!G$95:G$150,Residential!$C$95:$C$150,"Alberta",Residential!$B$95:$B$150,$BE46)/SUMIFS(Residential!G$36:G$91,Residential!$C$36:$C$91,"Alberta",Residential!$B$36:$B$91,$BE46)*1000</f>
        <v>88.687168672720716</v>
      </c>
      <c r="BH46" s="34">
        <f>SUMIFS(Residential!H$95:H$150,Residential!$C$95:$C$150,"Alberta",Residential!$B$95:$B$150,$BE46)/SUMIFS(Residential!H$36:H$91,Residential!$C$36:$C$91,"Alberta",Residential!$B$36:$B$91,$BE46)*1000</f>
        <v>92.967997978887055</v>
      </c>
      <c r="BI46" s="34">
        <f>SUMIFS(Residential!I$95:I$150,Residential!$C$95:$C$150,"Alberta",Residential!$B$95:$B$150,$BE46)/SUMIFS(Residential!I$36:I$91,Residential!$C$36:$C$91,"Alberta",Residential!$B$36:$B$91,$BE46)*1000</f>
        <v>97.18309068663217</v>
      </c>
      <c r="BJ46" s="34">
        <f>SUMIFS(Residential!J$95:J$150,Residential!$C$95:$C$150,"Alberta",Residential!$B$95:$B$150,$BE46)/SUMIFS(Residential!J$36:J$91,Residential!$C$36:$C$91,"Alberta",Residential!$B$36:$B$91,$BE46)*1000</f>
        <v>97.931118044406773</v>
      </c>
      <c r="BK46" s="34">
        <f>SUMIFS(Residential!K$95:K$150,Residential!$C$95:$C$150,"Alberta",Residential!$B$95:$B$150,$BE46)/SUMIFS(Residential!K$36:K$91,Residential!$C$36:$C$91,"Alberta",Residential!$B$36:$B$91,$BE46)*1000</f>
        <v>97.931118044406773</v>
      </c>
      <c r="BL46" s="34">
        <f>SUMIFS(Residential!L$95:L$150,Residential!$C$95:$C$150,"Alberta",Residential!$B$95:$B$150,$BE46)/SUMIFS(Residential!L$36:L$91,Residential!$C$36:$C$91,"Alberta",Residential!$B$36:$B$91,$BE46)*1000</f>
        <v>97.931118044406773</v>
      </c>
      <c r="BM46" s="34">
        <f>SUMIFS(Residential!M$95:M$150,Residential!$C$95:$C$150,"Alberta",Residential!$B$95:$B$150,$BE46)/SUMIFS(Residential!M$36:M$91,Residential!$C$36:$C$91,"Alberta",Residential!$B$36:$B$91,$BE46)*1000</f>
        <v>97.931118044406773</v>
      </c>
      <c r="BN46" s="34">
        <f>SUMIFS(Residential!N$95:N$150,Residential!$C$95:$C$150,"Alberta",Residential!$B$95:$B$150,$BE46)/SUMIFS(Residential!N$36:N$91,Residential!$C$36:$C$91,"Alberta",Residential!$B$36:$B$91,$BE46)*1000</f>
        <v>97.931118044406773</v>
      </c>
      <c r="BO46" s="34">
        <f>SUMIFS(Residential!O$95:O$150,Residential!$C$95:$C$150,"Alberta",Residential!$B$95:$B$150,$BE46)/SUMIFS(Residential!O$36:O$91,Residential!$C$36:$C$91,"Alberta",Residential!$B$36:$B$91,$BE46)*1000</f>
        <v>97.931118044406773</v>
      </c>
      <c r="BP46" s="34">
        <f>SUMIFS(Residential!P$95:P$150,Residential!$C$95:$C$150,"Alberta",Residential!$B$95:$B$150,$BE46)/SUMIFS(Residential!P$36:P$91,Residential!$C$36:$C$91,"Alberta",Residential!$B$36:$B$91,$BE46)*1000</f>
        <v>97.931118044406773</v>
      </c>
      <c r="BQ46" s="5"/>
      <c r="BR46" s="25"/>
      <c r="BS46" s="5"/>
    </row>
    <row r="47" spans="1:71" s="3" customFormat="1" x14ac:dyDescent="0.25">
      <c r="A47" s="5"/>
      <c r="B47" s="3" t="str">
        <f t="array" ref="B47">IFERROR(INDEX(DemandSupply,MATCH(INDEX($AH$1:AH47,SMALL(ROW($AH$1:AH47)+(10000*($AH$1:AH47="")),COUNTA($AH$1:AH47))),Sectors,0)),"")</f>
        <v>Demand</v>
      </c>
      <c r="E47" s="10">
        <f t="shared" si="1"/>
        <v>0</v>
      </c>
      <c r="F47" s="207">
        <v>1</v>
      </c>
      <c r="G47" s="207">
        <v>1</v>
      </c>
      <c r="H47" s="207">
        <v>1</v>
      </c>
      <c r="I47" s="207">
        <v>1</v>
      </c>
      <c r="J47" s="207">
        <v>1</v>
      </c>
      <c r="K47" s="207">
        <v>1</v>
      </c>
      <c r="L47" s="207">
        <v>1</v>
      </c>
      <c r="M47" s="207">
        <v>1</v>
      </c>
      <c r="N47" s="207">
        <v>1</v>
      </c>
      <c r="O47" s="207">
        <v>1</v>
      </c>
      <c r="P47" s="207">
        <v>1</v>
      </c>
      <c r="Q47" s="207">
        <v>1</v>
      </c>
      <c r="R47" s="207">
        <v>1</v>
      </c>
      <c r="S47" s="207">
        <v>1</v>
      </c>
      <c r="T47" s="207">
        <v>1</v>
      </c>
      <c r="U47" s="207">
        <v>1</v>
      </c>
      <c r="V47" s="207">
        <v>1</v>
      </c>
      <c r="W47" s="207">
        <v>1</v>
      </c>
      <c r="X47" s="207">
        <v>1</v>
      </c>
      <c r="Y47" s="207">
        <v>1</v>
      </c>
      <c r="Z47" s="207">
        <v>1</v>
      </c>
      <c r="AA47" s="207">
        <v>1</v>
      </c>
      <c r="AB47" s="207">
        <v>1</v>
      </c>
      <c r="AC47" s="5"/>
      <c r="AD47" s="63"/>
      <c r="AE47" s="64"/>
      <c r="AF47" s="64"/>
      <c r="AG47" s="212"/>
      <c r="AH47" s="64"/>
      <c r="AI47" s="64"/>
      <c r="AJ47" s="64"/>
      <c r="AK47" s="212"/>
      <c r="AL47" s="64"/>
      <c r="AM47" s="64"/>
      <c r="AN47" s="63"/>
      <c r="AO47" s="64"/>
      <c r="AP47" s="63"/>
      <c r="AQ47" s="64"/>
      <c r="AR47" s="63"/>
      <c r="AS47" s="64"/>
      <c r="AT47" s="63"/>
      <c r="AU47" s="64"/>
      <c r="AV47" s="63"/>
      <c r="AW47" s="64"/>
      <c r="AX47" s="63"/>
      <c r="AY47" s="5"/>
      <c r="AZ47" s="21" t="str">
        <f t="shared" si="0"/>
        <v/>
      </c>
      <c r="BA47" s="74" t="s">
        <v>338</v>
      </c>
      <c r="BB47" s="25"/>
      <c r="BC47" s="74" t="s">
        <v>128</v>
      </c>
      <c r="BD47" s="74" t="s">
        <v>150</v>
      </c>
      <c r="BE47" s="216" t="s">
        <v>26</v>
      </c>
      <c r="BF47" s="34">
        <f>SUMIFS(Residential!F$95:F$150,Residential!$C$95:$C$150,"Alberta",Residential!$B$95:$B$150,$BE47)/SUMIFS(Residential!F$36:F$91,Residential!$C$36:$C$91,"Alberta",Residential!$B$36:$B$91,$BE47)*1000</f>
        <v>91.721414046613475</v>
      </c>
      <c r="BG47" s="34">
        <f>SUMIFS(Residential!G$95:G$150,Residential!$C$95:$C$150,"Alberta",Residential!$B$95:$B$150,$BE47)/SUMIFS(Residential!G$36:G$91,Residential!$C$36:$C$91,"Alberta",Residential!$B$36:$B$91,$BE47)*1000</f>
        <v>92.262366258334637</v>
      </c>
      <c r="BH47" s="34">
        <f>SUMIFS(Residential!H$95:H$150,Residential!$C$95:$C$150,"Alberta",Residential!$B$95:$B$150,$BE47)/SUMIFS(Residential!H$36:H$91,Residential!$C$36:$C$91,"Alberta",Residential!$B$36:$B$91,$BE47)*1000</f>
        <v>93.402188993371354</v>
      </c>
      <c r="BI47" s="34">
        <f>SUMIFS(Residential!I$95:I$150,Residential!$C$95:$C$150,"Alberta",Residential!$B$95:$B$150,$BE47)/SUMIFS(Residential!I$36:I$91,Residential!$C$36:$C$91,"Alberta",Residential!$B$36:$B$91,$BE47)*1000</f>
        <v>94.688909694442074</v>
      </c>
      <c r="BJ47" s="34">
        <f>SUMIFS(Residential!J$95:J$150,Residential!$C$95:$C$150,"Alberta",Residential!$B$95:$B$150,$BE47)/SUMIFS(Residential!J$36:J$91,Residential!$C$36:$C$91,"Alberta",Residential!$B$36:$B$91,$BE47)*1000</f>
        <v>95.037976097397532</v>
      </c>
      <c r="BK47" s="34">
        <f>SUMIFS(Residential!K$95:K$150,Residential!$C$95:$C$150,"Alberta",Residential!$B$95:$B$150,$BE47)/SUMIFS(Residential!K$36:K$91,Residential!$C$36:$C$91,"Alberta",Residential!$B$36:$B$91,$BE47)*1000</f>
        <v>95.037976097397532</v>
      </c>
      <c r="BL47" s="34">
        <f>SUMIFS(Residential!L$95:L$150,Residential!$C$95:$C$150,"Alberta",Residential!$B$95:$B$150,$BE47)/SUMIFS(Residential!L$36:L$91,Residential!$C$36:$C$91,"Alberta",Residential!$B$36:$B$91,$BE47)*1000</f>
        <v>95.037976097397532</v>
      </c>
      <c r="BM47" s="34">
        <f>SUMIFS(Residential!M$95:M$150,Residential!$C$95:$C$150,"Alberta",Residential!$B$95:$B$150,$BE47)/SUMIFS(Residential!M$36:M$91,Residential!$C$36:$C$91,"Alberta",Residential!$B$36:$B$91,$BE47)*1000</f>
        <v>95.037976097397532</v>
      </c>
      <c r="BN47" s="34">
        <f>SUMIFS(Residential!N$95:N$150,Residential!$C$95:$C$150,"Alberta",Residential!$B$95:$B$150,$BE47)/SUMIFS(Residential!N$36:N$91,Residential!$C$36:$C$91,"Alberta",Residential!$B$36:$B$91,$BE47)*1000</f>
        <v>95.037976097397532</v>
      </c>
      <c r="BO47" s="34">
        <f>SUMIFS(Residential!O$95:O$150,Residential!$C$95:$C$150,"Alberta",Residential!$B$95:$B$150,$BE47)/SUMIFS(Residential!O$36:O$91,Residential!$C$36:$C$91,"Alberta",Residential!$B$36:$B$91,$BE47)*1000</f>
        <v>95.037976097397532</v>
      </c>
      <c r="BP47" s="34">
        <f>SUMIFS(Residential!P$95:P$150,Residential!$C$95:$C$150,"Alberta",Residential!$B$95:$B$150,$BE47)/SUMIFS(Residential!P$36:P$91,Residential!$C$36:$C$91,"Alberta",Residential!$B$36:$B$91,$BE47)*1000</f>
        <v>95.037976097397532</v>
      </c>
      <c r="BQ47" s="5"/>
      <c r="BR47" s="25"/>
      <c r="BS47" s="5"/>
    </row>
    <row r="48" spans="1:71" s="3" customFormat="1" x14ac:dyDescent="0.25">
      <c r="A48" s="5"/>
      <c r="B48" s="3" t="str">
        <f t="array" ref="B48">IFERROR(INDEX(DemandSupply,MATCH(INDEX($AH$1:AH48,SMALL(ROW($AH$1:AH48)+(10000*($AH$1:AH48="")),COUNTA($AH$1:AH48))),Sectors,0)),"")</f>
        <v>Demand</v>
      </c>
      <c r="E48" s="10">
        <f t="shared" si="1"/>
        <v>0</v>
      </c>
      <c r="F48" s="207">
        <v>1</v>
      </c>
      <c r="G48" s="207">
        <v>1</v>
      </c>
      <c r="H48" s="207">
        <v>1</v>
      </c>
      <c r="I48" s="207">
        <v>1</v>
      </c>
      <c r="J48" s="207">
        <v>1</v>
      </c>
      <c r="K48" s="207">
        <v>1</v>
      </c>
      <c r="L48" s="207">
        <v>1</v>
      </c>
      <c r="M48" s="207">
        <v>1</v>
      </c>
      <c r="N48" s="207">
        <v>1</v>
      </c>
      <c r="O48" s="207">
        <v>1</v>
      </c>
      <c r="P48" s="207">
        <v>1</v>
      </c>
      <c r="Q48" s="207">
        <v>1</v>
      </c>
      <c r="R48" s="207">
        <v>1</v>
      </c>
      <c r="S48" s="207">
        <v>1</v>
      </c>
      <c r="T48" s="207">
        <v>1</v>
      </c>
      <c r="U48" s="207">
        <v>1</v>
      </c>
      <c r="V48" s="207">
        <v>1</v>
      </c>
      <c r="W48" s="207">
        <v>1</v>
      </c>
      <c r="X48" s="207">
        <v>1</v>
      </c>
      <c r="Y48" s="207">
        <v>1</v>
      </c>
      <c r="Z48" s="207">
        <v>1</v>
      </c>
      <c r="AA48" s="207">
        <v>1</v>
      </c>
      <c r="AB48" s="207">
        <v>1</v>
      </c>
      <c r="AC48" s="5"/>
      <c r="AD48" s="63"/>
      <c r="AE48" s="64"/>
      <c r="AF48" s="64"/>
      <c r="AG48" s="212"/>
      <c r="AH48" s="64"/>
      <c r="AI48" s="64"/>
      <c r="AJ48" s="64"/>
      <c r="AK48" s="212"/>
      <c r="AL48" s="64"/>
      <c r="AM48" s="64"/>
      <c r="AN48" s="63"/>
      <c r="AO48" s="64"/>
      <c r="AP48" s="63"/>
      <c r="AQ48" s="64"/>
      <c r="AR48" s="63"/>
      <c r="AS48" s="64"/>
      <c r="AT48" s="63"/>
      <c r="AU48" s="64"/>
      <c r="AV48" s="63"/>
      <c r="AW48" s="64"/>
      <c r="AX48" s="63"/>
      <c r="AY48" s="5"/>
      <c r="AZ48" s="21" t="str">
        <f t="shared" si="0"/>
        <v/>
      </c>
      <c r="BA48" s="74" t="s">
        <v>338</v>
      </c>
      <c r="BB48" s="25"/>
      <c r="BC48" s="74" t="s">
        <v>140</v>
      </c>
      <c r="BD48" s="74" t="s">
        <v>352</v>
      </c>
      <c r="BE48" s="216" t="s">
        <v>23</v>
      </c>
      <c r="BF48" s="34">
        <v>1</v>
      </c>
      <c r="BG48" s="34">
        <v>1</v>
      </c>
      <c r="BH48" s="34">
        <v>1</v>
      </c>
      <c r="BI48" s="34">
        <v>1</v>
      </c>
      <c r="BJ48" s="34">
        <v>1</v>
      </c>
      <c r="BK48" s="34">
        <v>1</v>
      </c>
      <c r="BL48" s="34">
        <v>1</v>
      </c>
      <c r="BM48" s="34">
        <v>1</v>
      </c>
      <c r="BN48" s="34">
        <v>1</v>
      </c>
      <c r="BO48" s="34">
        <v>1</v>
      </c>
      <c r="BP48" s="34">
        <v>1</v>
      </c>
      <c r="BQ48" s="5"/>
      <c r="BR48" s="25"/>
      <c r="BS48" s="5"/>
    </row>
    <row r="49" spans="1:71" s="3" customFormat="1" x14ac:dyDescent="0.25">
      <c r="A49" s="5"/>
      <c r="B49" s="3" t="str">
        <f t="array" ref="B49">IFERROR(INDEX(DemandSupply,MATCH(INDEX($AH$1:AH49,SMALL(ROW($AH$1:AH49)+(10000*($AH$1:AH49="")),COUNTA($AH$1:AH49))),Sectors,0)),"")</f>
        <v>Demand</v>
      </c>
      <c r="E49" s="10">
        <f t="shared" si="1"/>
        <v>0</v>
      </c>
      <c r="F49" s="207">
        <v>1</v>
      </c>
      <c r="G49" s="207">
        <v>1</v>
      </c>
      <c r="H49" s="207">
        <v>1</v>
      </c>
      <c r="I49" s="207">
        <v>1</v>
      </c>
      <c r="J49" s="207">
        <v>1</v>
      </c>
      <c r="K49" s="207">
        <v>1</v>
      </c>
      <c r="L49" s="207">
        <v>1</v>
      </c>
      <c r="M49" s="207">
        <v>1</v>
      </c>
      <c r="N49" s="207">
        <v>1</v>
      </c>
      <c r="O49" s="207">
        <v>1</v>
      </c>
      <c r="P49" s="207">
        <v>1</v>
      </c>
      <c r="Q49" s="207">
        <v>1</v>
      </c>
      <c r="R49" s="207">
        <v>1</v>
      </c>
      <c r="S49" s="207">
        <v>1</v>
      </c>
      <c r="T49" s="207">
        <v>1</v>
      </c>
      <c r="U49" s="207">
        <v>1</v>
      </c>
      <c r="V49" s="207">
        <v>1</v>
      </c>
      <c r="W49" s="207">
        <v>1</v>
      </c>
      <c r="X49" s="207">
        <v>1</v>
      </c>
      <c r="Y49" s="207">
        <v>1</v>
      </c>
      <c r="Z49" s="207">
        <v>1</v>
      </c>
      <c r="AA49" s="207">
        <v>1</v>
      </c>
      <c r="AB49" s="207">
        <v>1</v>
      </c>
      <c r="AC49" s="5"/>
      <c r="AD49" s="63"/>
      <c r="AE49" s="64"/>
      <c r="AF49" s="64"/>
      <c r="AG49" s="212"/>
      <c r="AH49" s="64"/>
      <c r="AI49" s="64"/>
      <c r="AJ49" s="64"/>
      <c r="AK49" s="212"/>
      <c r="AL49" s="64"/>
      <c r="AM49" s="64"/>
      <c r="AN49" s="63"/>
      <c r="AO49" s="64"/>
      <c r="AP49" s="63"/>
      <c r="AQ49" s="64"/>
      <c r="AR49" s="63"/>
      <c r="AS49" s="64"/>
      <c r="AT49" s="63"/>
      <c r="AU49" s="64"/>
      <c r="AV49" s="63"/>
      <c r="AW49" s="64"/>
      <c r="AX49" s="63"/>
      <c r="AY49" s="5"/>
      <c r="AZ49" s="21" t="str">
        <f t="shared" si="0"/>
        <v/>
      </c>
      <c r="BA49" s="74" t="s">
        <v>338</v>
      </c>
      <c r="BB49" s="25"/>
      <c r="BC49" s="74" t="s">
        <v>140</v>
      </c>
      <c r="BD49" s="74" t="s">
        <v>352</v>
      </c>
      <c r="BE49" s="216" t="s">
        <v>24</v>
      </c>
      <c r="BF49" s="34">
        <v>1</v>
      </c>
      <c r="BG49" s="34">
        <v>1</v>
      </c>
      <c r="BH49" s="34">
        <v>1</v>
      </c>
      <c r="BI49" s="34">
        <v>1</v>
      </c>
      <c r="BJ49" s="34">
        <v>1</v>
      </c>
      <c r="BK49" s="34">
        <v>1</v>
      </c>
      <c r="BL49" s="34">
        <v>1</v>
      </c>
      <c r="BM49" s="34">
        <v>1</v>
      </c>
      <c r="BN49" s="34">
        <v>1</v>
      </c>
      <c r="BO49" s="34">
        <v>1</v>
      </c>
      <c r="BP49" s="34">
        <v>1</v>
      </c>
      <c r="BQ49" s="5"/>
      <c r="BR49" s="25"/>
      <c r="BS49" s="5"/>
    </row>
    <row r="50" spans="1:71" s="3" customFormat="1" x14ac:dyDescent="0.25">
      <c r="A50" s="5"/>
      <c r="B50" s="3" t="str">
        <f t="array" ref="B50">IFERROR(INDEX(DemandSupply,MATCH(INDEX($AH$1:AH50,SMALL(ROW($AH$1:AH50)+(10000*($AH$1:AH50="")),COUNTA($AH$1:AH50))),Sectors,0)),"")</f>
        <v>Demand</v>
      </c>
      <c r="E50" s="10">
        <f t="shared" si="1"/>
        <v>0</v>
      </c>
      <c r="F50" s="207">
        <v>1</v>
      </c>
      <c r="G50" s="207">
        <v>1</v>
      </c>
      <c r="H50" s="207">
        <v>1</v>
      </c>
      <c r="I50" s="207">
        <v>1</v>
      </c>
      <c r="J50" s="207">
        <v>1</v>
      </c>
      <c r="K50" s="207">
        <v>1</v>
      </c>
      <c r="L50" s="207">
        <v>1</v>
      </c>
      <c r="M50" s="207">
        <v>1</v>
      </c>
      <c r="N50" s="207">
        <v>1</v>
      </c>
      <c r="O50" s="207">
        <v>1</v>
      </c>
      <c r="P50" s="207">
        <v>1</v>
      </c>
      <c r="Q50" s="207">
        <v>1</v>
      </c>
      <c r="R50" s="207">
        <v>1</v>
      </c>
      <c r="S50" s="207">
        <v>1</v>
      </c>
      <c r="T50" s="207">
        <v>1</v>
      </c>
      <c r="U50" s="207">
        <v>1</v>
      </c>
      <c r="V50" s="207">
        <v>1</v>
      </c>
      <c r="W50" s="207">
        <v>1</v>
      </c>
      <c r="X50" s="207">
        <v>1</v>
      </c>
      <c r="Y50" s="207">
        <v>1</v>
      </c>
      <c r="Z50" s="207">
        <v>1</v>
      </c>
      <c r="AA50" s="207">
        <v>1</v>
      </c>
      <c r="AB50" s="207">
        <v>1</v>
      </c>
      <c r="AC50" s="5"/>
      <c r="AD50" s="63"/>
      <c r="AE50" s="64"/>
      <c r="AF50" s="64"/>
      <c r="AG50" s="212"/>
      <c r="AH50" s="64"/>
      <c r="AI50" s="64"/>
      <c r="AJ50" s="64"/>
      <c r="AK50" s="212"/>
      <c r="AL50" s="64"/>
      <c r="AM50" s="64"/>
      <c r="AN50" s="63"/>
      <c r="AO50" s="64"/>
      <c r="AP50" s="63"/>
      <c r="AQ50" s="64"/>
      <c r="AR50" s="63"/>
      <c r="AS50" s="64"/>
      <c r="AT50" s="63"/>
      <c r="AU50" s="64"/>
      <c r="AV50" s="63"/>
      <c r="AW50" s="64"/>
      <c r="AX50" s="63"/>
      <c r="AY50" s="5"/>
      <c r="AZ50" s="21" t="str">
        <f t="shared" si="0"/>
        <v/>
      </c>
      <c r="BA50" s="74" t="s">
        <v>338</v>
      </c>
      <c r="BB50" s="25"/>
      <c r="BC50" s="74" t="s">
        <v>140</v>
      </c>
      <c r="BD50" s="74" t="s">
        <v>352</v>
      </c>
      <c r="BE50" s="216" t="s">
        <v>25</v>
      </c>
      <c r="BF50" s="34">
        <v>1</v>
      </c>
      <c r="BG50" s="34">
        <v>1</v>
      </c>
      <c r="BH50" s="34">
        <v>1</v>
      </c>
      <c r="BI50" s="34">
        <v>1</v>
      </c>
      <c r="BJ50" s="34">
        <v>1</v>
      </c>
      <c r="BK50" s="34">
        <v>1</v>
      </c>
      <c r="BL50" s="34">
        <v>1</v>
      </c>
      <c r="BM50" s="34">
        <v>1</v>
      </c>
      <c r="BN50" s="34">
        <v>1</v>
      </c>
      <c r="BO50" s="34">
        <v>1</v>
      </c>
      <c r="BP50" s="34">
        <v>1</v>
      </c>
      <c r="BQ50" s="5"/>
      <c r="BR50" s="25"/>
      <c r="BS50" s="5"/>
    </row>
    <row r="51" spans="1:71" s="3" customFormat="1" x14ac:dyDescent="0.25">
      <c r="A51" s="5"/>
      <c r="B51" s="3" t="str">
        <f t="array" ref="B51">IFERROR(INDEX(DemandSupply,MATCH(INDEX($AH$1:AH51,SMALL(ROW($AH$1:AH51)+(10000*($AH$1:AH51="")),COUNTA($AH$1:AH51))),Sectors,0)),"")</f>
        <v>Demand</v>
      </c>
      <c r="E51" s="10">
        <f t="shared" si="1"/>
        <v>0</v>
      </c>
      <c r="F51" s="207">
        <v>1</v>
      </c>
      <c r="G51" s="207">
        <v>1</v>
      </c>
      <c r="H51" s="207">
        <v>1</v>
      </c>
      <c r="I51" s="207">
        <v>1</v>
      </c>
      <c r="J51" s="207">
        <v>1</v>
      </c>
      <c r="K51" s="207">
        <v>1</v>
      </c>
      <c r="L51" s="207">
        <v>1</v>
      </c>
      <c r="M51" s="207">
        <v>1</v>
      </c>
      <c r="N51" s="207">
        <v>1</v>
      </c>
      <c r="O51" s="207">
        <v>1</v>
      </c>
      <c r="P51" s="207">
        <v>1</v>
      </c>
      <c r="Q51" s="207">
        <v>1</v>
      </c>
      <c r="R51" s="207">
        <v>1</v>
      </c>
      <c r="S51" s="207">
        <v>1</v>
      </c>
      <c r="T51" s="207">
        <v>1</v>
      </c>
      <c r="U51" s="207">
        <v>1</v>
      </c>
      <c r="V51" s="207">
        <v>1</v>
      </c>
      <c r="W51" s="207">
        <v>1</v>
      </c>
      <c r="X51" s="207">
        <v>1</v>
      </c>
      <c r="Y51" s="207">
        <v>1</v>
      </c>
      <c r="Z51" s="207">
        <v>1</v>
      </c>
      <c r="AA51" s="207">
        <v>1</v>
      </c>
      <c r="AB51" s="207">
        <v>1</v>
      </c>
      <c r="AC51" s="5"/>
      <c r="AD51" s="63"/>
      <c r="AE51" s="64"/>
      <c r="AF51" s="64"/>
      <c r="AG51" s="212"/>
      <c r="AH51" s="64"/>
      <c r="AI51" s="64"/>
      <c r="AJ51" s="64"/>
      <c r="AK51" s="212"/>
      <c r="AL51" s="64"/>
      <c r="AM51" s="64"/>
      <c r="AN51" s="63"/>
      <c r="AO51" s="64"/>
      <c r="AP51" s="63"/>
      <c r="AQ51" s="64"/>
      <c r="AR51" s="63"/>
      <c r="AS51" s="64"/>
      <c r="AT51" s="63"/>
      <c r="AU51" s="64"/>
      <c r="AV51" s="63"/>
      <c r="AW51" s="64"/>
      <c r="AX51" s="63"/>
      <c r="AY51" s="5"/>
      <c r="AZ51" s="21" t="str">
        <f t="shared" si="0"/>
        <v/>
      </c>
      <c r="BA51" s="74" t="s">
        <v>338</v>
      </c>
      <c r="BB51" s="25"/>
      <c r="BC51" s="74" t="s">
        <v>140</v>
      </c>
      <c r="BD51" s="74" t="s">
        <v>352</v>
      </c>
      <c r="BE51" s="216" t="s">
        <v>26</v>
      </c>
      <c r="BF51" s="34">
        <v>1</v>
      </c>
      <c r="BG51" s="34">
        <v>1</v>
      </c>
      <c r="BH51" s="34">
        <v>1</v>
      </c>
      <c r="BI51" s="34">
        <v>1</v>
      </c>
      <c r="BJ51" s="34">
        <v>1</v>
      </c>
      <c r="BK51" s="34">
        <v>1</v>
      </c>
      <c r="BL51" s="34">
        <v>1</v>
      </c>
      <c r="BM51" s="34">
        <v>1</v>
      </c>
      <c r="BN51" s="34">
        <v>1</v>
      </c>
      <c r="BO51" s="34">
        <v>1</v>
      </c>
      <c r="BP51" s="34">
        <v>1</v>
      </c>
      <c r="BQ51" s="5"/>
      <c r="BR51" s="25"/>
      <c r="BS51" s="5"/>
    </row>
    <row r="52" spans="1:71" s="3" customFormat="1" x14ac:dyDescent="0.25">
      <c r="A52" s="5"/>
      <c r="B52" s="3" t="str">
        <f t="array" ref="B52">IFERROR(INDEX(DemandSupply,MATCH(INDEX($AH$1:AH52,SMALL(ROW($AH$1:AH52)+(10000*($AH$1:AH52="")),COUNTA($AH$1:AH52))),Sectors,0)),"")</f>
        <v>Demand</v>
      </c>
      <c r="E52" s="10">
        <f t="shared" si="1"/>
        <v>0</v>
      </c>
      <c r="F52" s="207">
        <v>1</v>
      </c>
      <c r="G52" s="207">
        <v>1</v>
      </c>
      <c r="H52" s="207">
        <v>1</v>
      </c>
      <c r="I52" s="207">
        <v>1</v>
      </c>
      <c r="J52" s="207">
        <v>1</v>
      </c>
      <c r="K52" s="207">
        <v>1</v>
      </c>
      <c r="L52" s="207">
        <v>1</v>
      </c>
      <c r="M52" s="207">
        <v>1</v>
      </c>
      <c r="N52" s="207">
        <v>1</v>
      </c>
      <c r="O52" s="207">
        <v>1</v>
      </c>
      <c r="P52" s="207">
        <v>1</v>
      </c>
      <c r="Q52" s="207">
        <v>1</v>
      </c>
      <c r="R52" s="207">
        <v>1</v>
      </c>
      <c r="S52" s="207">
        <v>1</v>
      </c>
      <c r="T52" s="207">
        <v>1</v>
      </c>
      <c r="U52" s="207">
        <v>1</v>
      </c>
      <c r="V52" s="207">
        <v>1</v>
      </c>
      <c r="W52" s="207">
        <v>1</v>
      </c>
      <c r="X52" s="207">
        <v>1</v>
      </c>
      <c r="Y52" s="207">
        <v>1</v>
      </c>
      <c r="Z52" s="207">
        <v>1</v>
      </c>
      <c r="AA52" s="207">
        <v>1</v>
      </c>
      <c r="AB52" s="207">
        <v>1</v>
      </c>
      <c r="AC52" s="5"/>
      <c r="AD52" s="63"/>
      <c r="AE52" s="64"/>
      <c r="AF52" s="64"/>
      <c r="AG52" s="212"/>
      <c r="AH52" s="64"/>
      <c r="AI52" s="64"/>
      <c r="AJ52" s="64"/>
      <c r="AK52" s="212"/>
      <c r="AL52" s="64"/>
      <c r="AM52" s="64"/>
      <c r="AN52" s="63"/>
      <c r="AO52" s="64"/>
      <c r="AP52" s="63"/>
      <c r="AQ52" s="64"/>
      <c r="AR52" s="63"/>
      <c r="AS52" s="64"/>
      <c r="AT52" s="63"/>
      <c r="AU52" s="64"/>
      <c r="AV52" s="63"/>
      <c r="AW52" s="64"/>
      <c r="AX52" s="63"/>
      <c r="AY52" s="5"/>
      <c r="AZ52" s="21" t="str">
        <f t="shared" si="0"/>
        <v/>
      </c>
      <c r="BA52" s="74" t="s">
        <v>338</v>
      </c>
      <c r="BB52" s="25"/>
      <c r="BC52" s="74" t="s">
        <v>139</v>
      </c>
      <c r="BD52" s="74" t="s">
        <v>352</v>
      </c>
      <c r="BE52" s="216" t="s">
        <v>23</v>
      </c>
      <c r="BF52" s="34">
        <v>1</v>
      </c>
      <c r="BG52" s="34">
        <v>1</v>
      </c>
      <c r="BH52" s="34">
        <v>1</v>
      </c>
      <c r="BI52" s="34">
        <v>1</v>
      </c>
      <c r="BJ52" s="34">
        <v>1</v>
      </c>
      <c r="BK52" s="34">
        <v>1</v>
      </c>
      <c r="BL52" s="34">
        <v>1</v>
      </c>
      <c r="BM52" s="34">
        <v>1</v>
      </c>
      <c r="BN52" s="34">
        <v>1</v>
      </c>
      <c r="BO52" s="34">
        <v>1</v>
      </c>
      <c r="BP52" s="34">
        <v>1</v>
      </c>
      <c r="BQ52" s="5"/>
      <c r="BR52" s="25"/>
      <c r="BS52" s="5"/>
    </row>
    <row r="53" spans="1:71" s="3" customFormat="1" x14ac:dyDescent="0.25">
      <c r="A53" s="5"/>
      <c r="B53" s="3" t="str">
        <f t="array" ref="B53">IFERROR(INDEX(DemandSupply,MATCH(INDEX($AH$1:AH53,SMALL(ROW($AH$1:AH53)+(10000*($AH$1:AH53="")),COUNTA($AH$1:AH53))),Sectors,0)),"")</f>
        <v>Demand</v>
      </c>
      <c r="E53" s="10">
        <f t="shared" si="1"/>
        <v>0</v>
      </c>
      <c r="F53" s="207">
        <v>1</v>
      </c>
      <c r="G53" s="207">
        <v>1</v>
      </c>
      <c r="H53" s="207">
        <v>1</v>
      </c>
      <c r="I53" s="207">
        <v>1</v>
      </c>
      <c r="J53" s="207">
        <v>1</v>
      </c>
      <c r="K53" s="207">
        <v>1</v>
      </c>
      <c r="L53" s="207">
        <v>1</v>
      </c>
      <c r="M53" s="207">
        <v>1</v>
      </c>
      <c r="N53" s="207">
        <v>1</v>
      </c>
      <c r="O53" s="207">
        <v>1</v>
      </c>
      <c r="P53" s="207">
        <v>1</v>
      </c>
      <c r="Q53" s="207">
        <v>1</v>
      </c>
      <c r="R53" s="207">
        <v>1</v>
      </c>
      <c r="S53" s="207">
        <v>1</v>
      </c>
      <c r="T53" s="207">
        <v>1</v>
      </c>
      <c r="U53" s="207">
        <v>1</v>
      </c>
      <c r="V53" s="207">
        <v>1</v>
      </c>
      <c r="W53" s="207">
        <v>1</v>
      </c>
      <c r="X53" s="207">
        <v>1</v>
      </c>
      <c r="Y53" s="207">
        <v>1</v>
      </c>
      <c r="Z53" s="207">
        <v>1</v>
      </c>
      <c r="AA53" s="207">
        <v>1</v>
      </c>
      <c r="AB53" s="207">
        <v>1</v>
      </c>
      <c r="AC53" s="5"/>
      <c r="AD53" s="63"/>
      <c r="AE53" s="64"/>
      <c r="AF53" s="64"/>
      <c r="AG53" s="212"/>
      <c r="AH53" s="64"/>
      <c r="AI53" s="64"/>
      <c r="AJ53" s="64"/>
      <c r="AK53" s="212"/>
      <c r="AL53" s="64"/>
      <c r="AM53" s="64"/>
      <c r="AN53" s="63"/>
      <c r="AO53" s="64"/>
      <c r="AP53" s="63"/>
      <c r="AQ53" s="64"/>
      <c r="AR53" s="63"/>
      <c r="AS53" s="64"/>
      <c r="AT53" s="63"/>
      <c r="AU53" s="64"/>
      <c r="AV53" s="63"/>
      <c r="AW53" s="64"/>
      <c r="AX53" s="63"/>
      <c r="AY53" s="5"/>
      <c r="AZ53" s="21" t="str">
        <f t="shared" si="0"/>
        <v/>
      </c>
      <c r="BA53" s="74" t="s">
        <v>338</v>
      </c>
      <c r="BB53" s="25"/>
      <c r="BC53" s="74" t="s">
        <v>139</v>
      </c>
      <c r="BD53" s="74" t="s">
        <v>352</v>
      </c>
      <c r="BE53" s="216" t="s">
        <v>24</v>
      </c>
      <c r="BF53" s="34">
        <v>1</v>
      </c>
      <c r="BG53" s="34">
        <v>1</v>
      </c>
      <c r="BH53" s="34">
        <v>1</v>
      </c>
      <c r="BI53" s="34">
        <v>1</v>
      </c>
      <c r="BJ53" s="34">
        <v>1</v>
      </c>
      <c r="BK53" s="34">
        <v>1</v>
      </c>
      <c r="BL53" s="34">
        <v>1</v>
      </c>
      <c r="BM53" s="34">
        <v>1</v>
      </c>
      <c r="BN53" s="34">
        <v>1</v>
      </c>
      <c r="BO53" s="34">
        <v>1</v>
      </c>
      <c r="BP53" s="34">
        <v>1</v>
      </c>
      <c r="BQ53" s="5"/>
      <c r="BR53" s="25"/>
      <c r="BS53" s="5"/>
    </row>
    <row r="54" spans="1:71" s="3" customFormat="1" x14ac:dyDescent="0.25">
      <c r="A54" s="5"/>
      <c r="B54" s="3" t="str">
        <f t="array" ref="B54">IFERROR(INDEX(DemandSupply,MATCH(INDEX($AH$1:AH54,SMALL(ROW($AH$1:AH54)+(10000*($AH$1:AH54="")),COUNTA($AH$1:AH54))),Sectors,0)),"")</f>
        <v>Demand</v>
      </c>
      <c r="E54" s="10">
        <f t="shared" si="1"/>
        <v>0</v>
      </c>
      <c r="F54" s="207">
        <v>1</v>
      </c>
      <c r="G54" s="207">
        <v>1</v>
      </c>
      <c r="H54" s="207">
        <v>1</v>
      </c>
      <c r="I54" s="207">
        <v>1</v>
      </c>
      <c r="J54" s="207">
        <v>1</v>
      </c>
      <c r="K54" s="207">
        <v>1</v>
      </c>
      <c r="L54" s="207">
        <v>1</v>
      </c>
      <c r="M54" s="207">
        <v>1</v>
      </c>
      <c r="N54" s="207">
        <v>1</v>
      </c>
      <c r="O54" s="207">
        <v>1</v>
      </c>
      <c r="P54" s="207">
        <v>1</v>
      </c>
      <c r="Q54" s="207">
        <v>1</v>
      </c>
      <c r="R54" s="207">
        <v>1</v>
      </c>
      <c r="S54" s="207">
        <v>1</v>
      </c>
      <c r="T54" s="207">
        <v>1</v>
      </c>
      <c r="U54" s="207">
        <v>1</v>
      </c>
      <c r="V54" s="207">
        <v>1</v>
      </c>
      <c r="W54" s="207">
        <v>1</v>
      </c>
      <c r="X54" s="207">
        <v>1</v>
      </c>
      <c r="Y54" s="207">
        <v>1</v>
      </c>
      <c r="Z54" s="207">
        <v>1</v>
      </c>
      <c r="AA54" s="207">
        <v>1</v>
      </c>
      <c r="AB54" s="207">
        <v>1</v>
      </c>
      <c r="AC54" s="5"/>
      <c r="AD54" s="63"/>
      <c r="AE54" s="64"/>
      <c r="AF54" s="64"/>
      <c r="AG54" s="212"/>
      <c r="AH54" s="64"/>
      <c r="AI54" s="64"/>
      <c r="AJ54" s="64"/>
      <c r="AK54" s="212"/>
      <c r="AL54" s="64"/>
      <c r="AM54" s="64"/>
      <c r="AN54" s="63"/>
      <c r="AO54" s="64"/>
      <c r="AP54" s="63"/>
      <c r="AQ54" s="64"/>
      <c r="AR54" s="63"/>
      <c r="AS54" s="64"/>
      <c r="AT54" s="63"/>
      <c r="AU54" s="64"/>
      <c r="AV54" s="63"/>
      <c r="AW54" s="64"/>
      <c r="AX54" s="63"/>
      <c r="AY54" s="5"/>
      <c r="AZ54" s="21" t="str">
        <f t="shared" si="0"/>
        <v/>
      </c>
      <c r="BA54" s="74" t="s">
        <v>338</v>
      </c>
      <c r="BB54" s="25"/>
      <c r="BC54" s="74" t="s">
        <v>139</v>
      </c>
      <c r="BD54" s="74" t="s">
        <v>352</v>
      </c>
      <c r="BE54" s="216" t="s">
        <v>25</v>
      </c>
      <c r="BF54" s="34">
        <v>1</v>
      </c>
      <c r="BG54" s="34">
        <v>1</v>
      </c>
      <c r="BH54" s="34">
        <v>1</v>
      </c>
      <c r="BI54" s="34">
        <v>1</v>
      </c>
      <c r="BJ54" s="34">
        <v>1</v>
      </c>
      <c r="BK54" s="34">
        <v>1</v>
      </c>
      <c r="BL54" s="34">
        <v>1</v>
      </c>
      <c r="BM54" s="34">
        <v>1</v>
      </c>
      <c r="BN54" s="34">
        <v>1</v>
      </c>
      <c r="BO54" s="34">
        <v>1</v>
      </c>
      <c r="BP54" s="34">
        <v>1</v>
      </c>
      <c r="BQ54" s="5"/>
      <c r="BR54" s="25"/>
      <c r="BS54" s="5"/>
    </row>
    <row r="55" spans="1:71" s="3" customFormat="1" x14ac:dyDescent="0.25">
      <c r="A55" s="5"/>
      <c r="B55" s="3" t="str">
        <f t="array" ref="B55">IFERROR(INDEX(DemandSupply,MATCH(INDEX($AH$1:AH55,SMALL(ROW($AH$1:AH55)+(10000*($AH$1:AH55="")),COUNTA($AH$1:AH55))),Sectors,0)),"")</f>
        <v>Demand</v>
      </c>
      <c r="E55" s="10">
        <f t="shared" si="1"/>
        <v>0</v>
      </c>
      <c r="F55" s="207">
        <v>1</v>
      </c>
      <c r="G55" s="207">
        <v>1</v>
      </c>
      <c r="H55" s="207">
        <v>1</v>
      </c>
      <c r="I55" s="207">
        <v>1</v>
      </c>
      <c r="J55" s="207">
        <v>1</v>
      </c>
      <c r="K55" s="207">
        <v>1</v>
      </c>
      <c r="L55" s="207">
        <v>1</v>
      </c>
      <c r="M55" s="207">
        <v>1</v>
      </c>
      <c r="N55" s="207">
        <v>1</v>
      </c>
      <c r="O55" s="207">
        <v>1</v>
      </c>
      <c r="P55" s="207">
        <v>1</v>
      </c>
      <c r="Q55" s="207">
        <v>1</v>
      </c>
      <c r="R55" s="207">
        <v>1</v>
      </c>
      <c r="S55" s="207">
        <v>1</v>
      </c>
      <c r="T55" s="207">
        <v>1</v>
      </c>
      <c r="U55" s="207">
        <v>1</v>
      </c>
      <c r="V55" s="207">
        <v>1</v>
      </c>
      <c r="W55" s="207">
        <v>1</v>
      </c>
      <c r="X55" s="207">
        <v>1</v>
      </c>
      <c r="Y55" s="207">
        <v>1</v>
      </c>
      <c r="Z55" s="207">
        <v>1</v>
      </c>
      <c r="AA55" s="207">
        <v>1</v>
      </c>
      <c r="AB55" s="207">
        <v>1</v>
      </c>
      <c r="AC55" s="5"/>
      <c r="AD55" s="63"/>
      <c r="AE55" s="64"/>
      <c r="AF55" s="64"/>
      <c r="AG55" s="212"/>
      <c r="AH55" s="64"/>
      <c r="AI55" s="64"/>
      <c r="AJ55" s="64"/>
      <c r="AK55" s="212"/>
      <c r="AL55" s="64"/>
      <c r="AM55" s="64"/>
      <c r="AN55" s="63"/>
      <c r="AO55" s="64"/>
      <c r="AP55" s="63"/>
      <c r="AQ55" s="64"/>
      <c r="AR55" s="63"/>
      <c r="AS55" s="64"/>
      <c r="AT55" s="63"/>
      <c r="AU55" s="64"/>
      <c r="AV55" s="63"/>
      <c r="AW55" s="64"/>
      <c r="AX55" s="63"/>
      <c r="AY55" s="5"/>
      <c r="AZ55" s="21" t="str">
        <f t="shared" si="0"/>
        <v/>
      </c>
      <c r="BA55" s="74" t="s">
        <v>338</v>
      </c>
      <c r="BB55" s="25"/>
      <c r="BC55" s="74" t="s">
        <v>139</v>
      </c>
      <c r="BD55" s="74" t="s">
        <v>352</v>
      </c>
      <c r="BE55" s="216" t="s">
        <v>26</v>
      </c>
      <c r="BF55" s="34">
        <v>1</v>
      </c>
      <c r="BG55" s="34">
        <v>1</v>
      </c>
      <c r="BH55" s="34">
        <v>1</v>
      </c>
      <c r="BI55" s="34">
        <v>1</v>
      </c>
      <c r="BJ55" s="34">
        <v>1</v>
      </c>
      <c r="BK55" s="34">
        <v>1</v>
      </c>
      <c r="BL55" s="34">
        <v>1</v>
      </c>
      <c r="BM55" s="34">
        <v>1</v>
      </c>
      <c r="BN55" s="34">
        <v>1</v>
      </c>
      <c r="BO55" s="34">
        <v>1</v>
      </c>
      <c r="BP55" s="34">
        <v>1</v>
      </c>
      <c r="BQ55" s="5"/>
      <c r="BR55" s="25"/>
      <c r="BS55" s="5"/>
    </row>
    <row r="56" spans="1:71" s="3" customFormat="1" x14ac:dyDescent="0.25">
      <c r="A56" s="5"/>
      <c r="B56" s="3" t="str">
        <f t="array" ref="B56">IFERROR(INDEX(DemandSupply,MATCH(INDEX($AH$1:AH56,SMALL(ROW($AH$1:AH56)+(10000*($AH$1:AH56="")),COUNTA($AH$1:AH56))),Sectors,0)),"")</f>
        <v>Demand</v>
      </c>
      <c r="E56" s="10">
        <f t="shared" si="1"/>
        <v>1</v>
      </c>
      <c r="F56" s="207">
        <v>1</v>
      </c>
      <c r="G56" s="207">
        <v>1</v>
      </c>
      <c r="H56" s="207">
        <v>1</v>
      </c>
      <c r="I56" s="207">
        <v>1</v>
      </c>
      <c r="J56" s="207">
        <v>1</v>
      </c>
      <c r="K56" s="207">
        <v>1</v>
      </c>
      <c r="L56" s="207">
        <v>1</v>
      </c>
      <c r="M56" s="207">
        <v>1</v>
      </c>
      <c r="N56" s="207">
        <v>1</v>
      </c>
      <c r="O56" s="207">
        <v>1</v>
      </c>
      <c r="P56" s="207">
        <v>1</v>
      </c>
      <c r="Q56" s="207">
        <v>1</v>
      </c>
      <c r="R56" s="207">
        <v>1</v>
      </c>
      <c r="S56" s="207">
        <v>1</v>
      </c>
      <c r="T56" s="207">
        <v>1</v>
      </c>
      <c r="U56" s="207">
        <v>1</v>
      </c>
      <c r="V56" s="207">
        <v>1</v>
      </c>
      <c r="W56" s="207">
        <v>1</v>
      </c>
      <c r="X56" s="207">
        <v>1</v>
      </c>
      <c r="Y56" s="207">
        <v>1</v>
      </c>
      <c r="Z56" s="207">
        <v>1</v>
      </c>
      <c r="AA56" s="207">
        <v>1</v>
      </c>
      <c r="AB56" s="207">
        <v>1</v>
      </c>
      <c r="AC56" s="5"/>
      <c r="AD56" s="63"/>
      <c r="AE56" s="64"/>
      <c r="AF56" s="64"/>
      <c r="AG56" s="212"/>
      <c r="AH56" s="64"/>
      <c r="AI56" s="64"/>
      <c r="AJ56" s="65"/>
      <c r="AK56" s="212"/>
      <c r="AL56" s="64"/>
      <c r="AM56" s="64"/>
      <c r="AN56" s="63"/>
      <c r="AO56" s="64"/>
      <c r="AP56" s="63"/>
      <c r="AQ56" s="64"/>
      <c r="AR56" s="63"/>
      <c r="AS56" s="64"/>
      <c r="AT56" s="63"/>
      <c r="AU56" s="64"/>
      <c r="AV56" s="63"/>
      <c r="AW56" s="64"/>
      <c r="AX56" s="63"/>
      <c r="AY56" s="5"/>
      <c r="AZ56" s="21" t="str">
        <f t="shared" si="0"/>
        <v/>
      </c>
      <c r="BA56" s="4"/>
      <c r="BB56" s="13"/>
      <c r="BC56" s="4"/>
      <c r="BD56" s="4"/>
      <c r="BE56" s="9"/>
      <c r="BF56" s="4"/>
      <c r="BG56" s="4"/>
      <c r="BH56" s="4"/>
      <c r="BI56" s="4"/>
      <c r="BJ56" s="4"/>
      <c r="BK56" s="4"/>
      <c r="BL56" s="4"/>
      <c r="BM56" s="4"/>
      <c r="BN56" s="4"/>
      <c r="BO56" s="4"/>
      <c r="BP56" s="4"/>
      <c r="BQ56" s="5"/>
      <c r="BR56" s="13"/>
      <c r="BS56" s="5"/>
    </row>
    <row r="57" spans="1:71" s="3" customFormat="1" x14ac:dyDescent="0.25">
      <c r="A57" s="5"/>
      <c r="B57" s="3" t="str">
        <f t="array" ref="B57">IFERROR(INDEX(DemandSupply,MATCH(INDEX($AH$1:AH57,SMALL(ROW($AH$1:AH57)+(10000*($AH$1:AH57="")),COUNTA($AH$1:AH57))),Sectors,0)),"")</f>
        <v>Demand</v>
      </c>
      <c r="E57" s="10">
        <f t="shared" si="1"/>
        <v>1</v>
      </c>
      <c r="F57" s="207">
        <v>1</v>
      </c>
      <c r="G57" s="207">
        <v>1</v>
      </c>
      <c r="H57" s="207">
        <v>1</v>
      </c>
      <c r="I57" s="207">
        <v>1</v>
      </c>
      <c r="J57" s="207">
        <v>1</v>
      </c>
      <c r="K57" s="207">
        <v>1</v>
      </c>
      <c r="L57" s="207">
        <v>1</v>
      </c>
      <c r="M57" s="207">
        <v>1</v>
      </c>
      <c r="N57" s="207">
        <v>1</v>
      </c>
      <c r="O57" s="207">
        <v>1</v>
      </c>
      <c r="P57" s="207">
        <v>1</v>
      </c>
      <c r="Q57" s="207">
        <v>1</v>
      </c>
      <c r="R57" s="207">
        <v>1</v>
      </c>
      <c r="S57" s="207">
        <v>1</v>
      </c>
      <c r="T57" s="207">
        <v>1</v>
      </c>
      <c r="U57" s="207">
        <v>1</v>
      </c>
      <c r="V57" s="207">
        <v>1</v>
      </c>
      <c r="W57" s="207">
        <v>1</v>
      </c>
      <c r="X57" s="207">
        <v>1</v>
      </c>
      <c r="Y57" s="207">
        <v>1</v>
      </c>
      <c r="Z57" s="207">
        <v>1</v>
      </c>
      <c r="AA57" s="207">
        <v>1</v>
      </c>
      <c r="AB57" s="207">
        <v>1</v>
      </c>
      <c r="AC57" s="5"/>
      <c r="AD57" s="63"/>
      <c r="AE57" s="64"/>
      <c r="AF57" s="64"/>
      <c r="AG57" s="212"/>
      <c r="AH57" s="64"/>
      <c r="AI57" s="64"/>
      <c r="AJ57" s="64"/>
      <c r="AK57" s="212"/>
      <c r="AL57" s="211" t="s">
        <v>1</v>
      </c>
      <c r="AM57" s="67"/>
      <c r="AN57" s="64"/>
      <c r="AO57" s="64"/>
      <c r="AP57" s="63"/>
      <c r="AQ57" s="64"/>
      <c r="AR57" s="63"/>
      <c r="AS57" s="64"/>
      <c r="AT57" s="63"/>
      <c r="AU57" s="64"/>
      <c r="AV57" s="63"/>
      <c r="AW57" s="64"/>
      <c r="AX57" s="63"/>
      <c r="AY57" s="5"/>
      <c r="AZ57" s="208" t="str">
        <f t="shared" si="0"/>
        <v>Shell</v>
      </c>
      <c r="BA57" s="4"/>
      <c r="BB57" s="13"/>
      <c r="BC57" s="4"/>
      <c r="BD57" s="4"/>
      <c r="BE57" s="9"/>
      <c r="BF57" s="4"/>
      <c r="BG57" s="4"/>
      <c r="BH57" s="4"/>
      <c r="BI57" s="4"/>
      <c r="BJ57" s="4"/>
      <c r="BK57" s="4"/>
      <c r="BL57" s="4"/>
      <c r="BM57" s="4"/>
      <c r="BN57" s="4"/>
      <c r="BO57" s="4"/>
      <c r="BP57" s="4"/>
      <c r="BQ57" s="5"/>
      <c r="BR57" s="13"/>
      <c r="BS57" s="5"/>
    </row>
    <row r="58" spans="1:71" s="3" customFormat="1" x14ac:dyDescent="0.25">
      <c r="A58" s="5"/>
      <c r="B58" s="3" t="str">
        <f t="array" ref="B58">IFERROR(INDEX(DemandSupply,MATCH(INDEX($AH$1:AH58,SMALL(ROW($AH$1:AH58)+(10000*($AH$1:AH58="")),COUNTA($AH$1:AH58))),Sectors,0)),"")</f>
        <v>Demand</v>
      </c>
      <c r="E58" s="10">
        <f t="shared" si="1"/>
        <v>0</v>
      </c>
      <c r="F58" s="207">
        <v>1</v>
      </c>
      <c r="G58" s="207">
        <v>1</v>
      </c>
      <c r="H58" s="207">
        <v>1</v>
      </c>
      <c r="I58" s="207">
        <v>1</v>
      </c>
      <c r="J58" s="207">
        <v>1</v>
      </c>
      <c r="K58" s="207">
        <v>1</v>
      </c>
      <c r="L58" s="207">
        <v>1</v>
      </c>
      <c r="M58" s="207">
        <v>1</v>
      </c>
      <c r="N58" s="207">
        <v>1</v>
      </c>
      <c r="O58" s="207">
        <v>1</v>
      </c>
      <c r="P58" s="207">
        <v>1</v>
      </c>
      <c r="Q58" s="207">
        <v>1</v>
      </c>
      <c r="R58" s="207">
        <v>1</v>
      </c>
      <c r="S58" s="207">
        <v>1</v>
      </c>
      <c r="T58" s="207">
        <v>1</v>
      </c>
      <c r="U58" s="207">
        <v>1</v>
      </c>
      <c r="V58" s="207">
        <v>1</v>
      </c>
      <c r="W58" s="207">
        <v>1</v>
      </c>
      <c r="X58" s="207">
        <v>1</v>
      </c>
      <c r="Y58" s="207">
        <v>1</v>
      </c>
      <c r="Z58" s="207">
        <v>1</v>
      </c>
      <c r="AA58" s="207">
        <v>1</v>
      </c>
      <c r="AB58" s="207">
        <v>1</v>
      </c>
      <c r="AC58" s="5"/>
      <c r="AD58" s="63"/>
      <c r="AE58" s="64"/>
      <c r="AF58" s="64"/>
      <c r="AG58" s="212"/>
      <c r="AH58" s="64"/>
      <c r="AI58" s="64"/>
      <c r="AJ58" s="64"/>
      <c r="AK58" s="212"/>
      <c r="AL58" s="64"/>
      <c r="AM58" s="66"/>
      <c r="AN58" s="64"/>
      <c r="AO58" s="64"/>
      <c r="AP58" s="63"/>
      <c r="AQ58" s="64"/>
      <c r="AR58" s="63"/>
      <c r="AS58" s="64"/>
      <c r="AT58" s="63"/>
      <c r="AU58" s="64"/>
      <c r="AV58" s="63"/>
      <c r="AW58" s="64"/>
      <c r="AX58" s="63"/>
      <c r="AY58" s="5"/>
      <c r="AZ58" s="21" t="str">
        <f t="shared" si="0"/>
        <v/>
      </c>
      <c r="BA58" s="74" t="s">
        <v>337</v>
      </c>
      <c r="BB58" s="25"/>
      <c r="BC58" s="74" t="s">
        <v>128</v>
      </c>
      <c r="BD58" s="74" t="s">
        <v>36</v>
      </c>
      <c r="BE58" s="216" t="str">
        <f>AZ57</f>
        <v>Shell</v>
      </c>
      <c r="BF58" s="56"/>
      <c r="BG58" s="56"/>
      <c r="BH58" s="56"/>
      <c r="BI58" s="56"/>
      <c r="BJ58" s="56"/>
      <c r="BK58" s="56"/>
      <c r="BL58" s="56"/>
      <c r="BM58" s="56"/>
      <c r="BN58" s="56"/>
      <c r="BO58" s="56"/>
      <c r="BP58" s="56"/>
      <c r="BQ58" s="5"/>
      <c r="BR58" s="25"/>
      <c r="BS58" s="5"/>
    </row>
    <row r="59" spans="1:71" s="3" customFormat="1" x14ac:dyDescent="0.25">
      <c r="A59" s="5"/>
      <c r="B59" s="3" t="str">
        <f t="array" ref="B59">IFERROR(INDEX(DemandSupply,MATCH(INDEX($AH$1:AH59,SMALL(ROW($AH$1:AH59)+(10000*($AH$1:AH59="")),COUNTA($AH$1:AH59))),Sectors,0)),"")</f>
        <v>Demand</v>
      </c>
      <c r="E59" s="10">
        <f t="shared" si="1"/>
        <v>0</v>
      </c>
      <c r="F59" s="207">
        <v>1</v>
      </c>
      <c r="G59" s="207">
        <v>1</v>
      </c>
      <c r="H59" s="207">
        <v>1</v>
      </c>
      <c r="I59" s="207">
        <v>1</v>
      </c>
      <c r="J59" s="207">
        <v>1</v>
      </c>
      <c r="K59" s="207">
        <v>1</v>
      </c>
      <c r="L59" s="207">
        <v>1</v>
      </c>
      <c r="M59" s="207">
        <v>1</v>
      </c>
      <c r="N59" s="207">
        <v>1</v>
      </c>
      <c r="O59" s="207">
        <v>1</v>
      </c>
      <c r="P59" s="207">
        <v>1</v>
      </c>
      <c r="Q59" s="207">
        <v>1</v>
      </c>
      <c r="R59" s="207">
        <v>1</v>
      </c>
      <c r="S59" s="207">
        <v>1</v>
      </c>
      <c r="T59" s="207">
        <v>1</v>
      </c>
      <c r="U59" s="207">
        <v>1</v>
      </c>
      <c r="V59" s="207">
        <v>1</v>
      </c>
      <c r="W59" s="207">
        <v>1</v>
      </c>
      <c r="X59" s="207">
        <v>1</v>
      </c>
      <c r="Y59" s="207">
        <v>1</v>
      </c>
      <c r="Z59" s="207">
        <v>1</v>
      </c>
      <c r="AA59" s="207">
        <v>1</v>
      </c>
      <c r="AB59" s="207">
        <v>1</v>
      </c>
      <c r="AC59" s="5"/>
      <c r="AD59" s="63"/>
      <c r="AE59" s="64"/>
      <c r="AF59" s="64"/>
      <c r="AG59" s="212"/>
      <c r="AH59" s="64"/>
      <c r="AI59" s="64"/>
      <c r="AJ59" s="64"/>
      <c r="AK59" s="212"/>
      <c r="AL59" s="64"/>
      <c r="AM59" s="212"/>
      <c r="AN59" s="64"/>
      <c r="AO59" s="64"/>
      <c r="AP59" s="63"/>
      <c r="AQ59" s="64"/>
      <c r="AR59" s="63"/>
      <c r="AS59" s="64"/>
      <c r="AT59" s="63"/>
      <c r="AU59" s="64"/>
      <c r="AV59" s="63"/>
      <c r="AW59" s="64"/>
      <c r="AX59" s="63"/>
      <c r="AY59" s="5"/>
      <c r="AZ59" s="21" t="str">
        <f t="shared" si="0"/>
        <v/>
      </c>
      <c r="BA59" s="74" t="s">
        <v>47</v>
      </c>
      <c r="BB59" s="25"/>
      <c r="BC59" s="2"/>
      <c r="BD59" s="2"/>
      <c r="BE59" s="216" t="s">
        <v>21</v>
      </c>
      <c r="BF59" s="4"/>
      <c r="BG59" s="4"/>
      <c r="BH59" s="4"/>
      <c r="BI59" s="4"/>
      <c r="BJ59" s="4"/>
      <c r="BK59" s="4"/>
      <c r="BL59" s="4"/>
      <c r="BM59" s="4"/>
      <c r="BN59" s="4"/>
      <c r="BO59" s="4"/>
      <c r="BP59" s="4"/>
      <c r="BQ59" s="5"/>
      <c r="BR59" s="25"/>
      <c r="BS59" s="5"/>
    </row>
    <row r="60" spans="1:71" s="3" customFormat="1" x14ac:dyDescent="0.25">
      <c r="A60" s="5"/>
      <c r="B60" s="3" t="str">
        <f t="array" ref="B60">IFERROR(INDEX(DemandSupply,MATCH(INDEX($AH$1:AH60,SMALL(ROW($AH$1:AH60)+(10000*($AH$1:AH60="")),COUNTA($AH$1:AH60))),Sectors,0)),"")</f>
        <v>Demand</v>
      </c>
      <c r="E60" s="10">
        <f t="shared" si="1"/>
        <v>0</v>
      </c>
      <c r="F60" s="207">
        <v>1</v>
      </c>
      <c r="G60" s="207">
        <v>1</v>
      </c>
      <c r="H60" s="207">
        <v>1</v>
      </c>
      <c r="I60" s="207">
        <v>1</v>
      </c>
      <c r="J60" s="207">
        <v>1</v>
      </c>
      <c r="K60" s="207">
        <v>1</v>
      </c>
      <c r="L60" s="207">
        <v>1</v>
      </c>
      <c r="M60" s="207">
        <v>1</v>
      </c>
      <c r="N60" s="207">
        <v>1</v>
      </c>
      <c r="O60" s="207">
        <v>1</v>
      </c>
      <c r="P60" s="207">
        <v>1</v>
      </c>
      <c r="Q60" s="207">
        <v>1</v>
      </c>
      <c r="R60" s="207">
        <v>1</v>
      </c>
      <c r="S60" s="207">
        <v>1</v>
      </c>
      <c r="T60" s="207">
        <v>1</v>
      </c>
      <c r="U60" s="207">
        <v>1</v>
      </c>
      <c r="V60" s="207">
        <v>1</v>
      </c>
      <c r="W60" s="207">
        <v>1</v>
      </c>
      <c r="X60" s="207">
        <v>1</v>
      </c>
      <c r="Y60" s="207">
        <v>1</v>
      </c>
      <c r="Z60" s="207">
        <v>1</v>
      </c>
      <c r="AA60" s="207">
        <v>1</v>
      </c>
      <c r="AB60" s="207">
        <v>1</v>
      </c>
      <c r="AC60" s="5"/>
      <c r="AD60" s="63"/>
      <c r="AE60" s="64"/>
      <c r="AF60" s="64"/>
      <c r="AG60" s="212"/>
      <c r="AH60" s="64"/>
      <c r="AI60" s="64"/>
      <c r="AJ60" s="64"/>
      <c r="AK60" s="212"/>
      <c r="AL60" s="64"/>
      <c r="AM60" s="212"/>
      <c r="AN60" s="64"/>
      <c r="AO60" s="64"/>
      <c r="AP60" s="63"/>
      <c r="AQ60" s="64"/>
      <c r="AR60" s="63"/>
      <c r="AS60" s="64"/>
      <c r="AT60" s="63"/>
      <c r="AU60" s="64"/>
      <c r="AV60" s="63"/>
      <c r="AW60" s="64"/>
      <c r="AX60" s="63"/>
      <c r="AY60" s="5"/>
      <c r="AZ60" s="21" t="str">
        <f t="shared" si="0"/>
        <v/>
      </c>
      <c r="BA60" s="74" t="s">
        <v>66</v>
      </c>
      <c r="BB60" s="25"/>
      <c r="BC60" s="2"/>
      <c r="BD60" s="2"/>
      <c r="BE60" s="216" t="s">
        <v>35</v>
      </c>
      <c r="BF60" s="2">
        <v>10</v>
      </c>
      <c r="BG60" s="223">
        <f t="shared" ref="BG60:BP60" si="3">BF60</f>
        <v>10</v>
      </c>
      <c r="BH60" s="223">
        <f t="shared" si="3"/>
        <v>10</v>
      </c>
      <c r="BI60" s="223">
        <f t="shared" si="3"/>
        <v>10</v>
      </c>
      <c r="BJ60" s="223">
        <f t="shared" si="3"/>
        <v>10</v>
      </c>
      <c r="BK60" s="223">
        <f t="shared" si="3"/>
        <v>10</v>
      </c>
      <c r="BL60" s="223">
        <f t="shared" si="3"/>
        <v>10</v>
      </c>
      <c r="BM60" s="223">
        <f t="shared" si="3"/>
        <v>10</v>
      </c>
      <c r="BN60" s="223">
        <f t="shared" si="3"/>
        <v>10</v>
      </c>
      <c r="BO60" s="223">
        <f t="shared" si="3"/>
        <v>10</v>
      </c>
      <c r="BP60" s="223">
        <f t="shared" si="3"/>
        <v>10</v>
      </c>
      <c r="BQ60" s="5"/>
      <c r="BR60" s="25"/>
      <c r="BS60" s="5"/>
    </row>
    <row r="61" spans="1:71" s="3" customFormat="1" x14ac:dyDescent="0.25">
      <c r="A61" s="5"/>
      <c r="B61" s="3" t="str">
        <f t="array" ref="B61">IFERROR(INDEX(DemandSupply,MATCH(INDEX($AH$1:AH61,SMALL(ROW($AH$1:AH61)+(10000*($AH$1:AH61="")),COUNTA($AH$1:AH61))),Sectors,0)),"")</f>
        <v>Demand</v>
      </c>
      <c r="E61" s="10">
        <f t="shared" si="1"/>
        <v>0</v>
      </c>
      <c r="F61" s="207">
        <v>1</v>
      </c>
      <c r="G61" s="207">
        <v>1</v>
      </c>
      <c r="H61" s="207">
        <v>1</v>
      </c>
      <c r="I61" s="207">
        <v>1</v>
      </c>
      <c r="J61" s="207">
        <v>1</v>
      </c>
      <c r="K61" s="207">
        <v>1</v>
      </c>
      <c r="L61" s="207">
        <v>1</v>
      </c>
      <c r="M61" s="207">
        <v>1</v>
      </c>
      <c r="N61" s="207">
        <v>1</v>
      </c>
      <c r="O61" s="207">
        <v>1</v>
      </c>
      <c r="P61" s="207">
        <v>1</v>
      </c>
      <c r="Q61" s="207">
        <v>1</v>
      </c>
      <c r="R61" s="207">
        <v>1</v>
      </c>
      <c r="S61" s="207">
        <v>1</v>
      </c>
      <c r="T61" s="207">
        <v>1</v>
      </c>
      <c r="U61" s="207">
        <v>1</v>
      </c>
      <c r="V61" s="207">
        <v>1</v>
      </c>
      <c r="W61" s="207">
        <v>1</v>
      </c>
      <c r="X61" s="207">
        <v>1</v>
      </c>
      <c r="Y61" s="207">
        <v>1</v>
      </c>
      <c r="Z61" s="207">
        <v>1</v>
      </c>
      <c r="AA61" s="207">
        <v>1</v>
      </c>
      <c r="AB61" s="207">
        <v>1</v>
      </c>
      <c r="AC61" s="5"/>
      <c r="AD61" s="63"/>
      <c r="AE61" s="64"/>
      <c r="AF61" s="64"/>
      <c r="AG61" s="212"/>
      <c r="AH61" s="64"/>
      <c r="AI61" s="64"/>
      <c r="AJ61" s="64"/>
      <c r="AK61" s="212"/>
      <c r="AL61" s="64"/>
      <c r="AM61" s="212"/>
      <c r="AN61" s="64"/>
      <c r="AO61" s="64"/>
      <c r="AP61" s="63"/>
      <c r="AQ61" s="64"/>
      <c r="AR61" s="63"/>
      <c r="AS61" s="64"/>
      <c r="AT61" s="63"/>
      <c r="AU61" s="64"/>
      <c r="AV61" s="63"/>
      <c r="AW61" s="64"/>
      <c r="AX61" s="63"/>
      <c r="AY61" s="5"/>
      <c r="AZ61" s="21" t="str">
        <f t="shared" si="0"/>
        <v/>
      </c>
      <c r="BA61" s="291" t="s">
        <v>51</v>
      </c>
      <c r="BB61" s="25"/>
      <c r="BC61" s="2"/>
      <c r="BD61" s="2"/>
      <c r="BE61" s="216" t="s">
        <v>28</v>
      </c>
      <c r="BF61" s="4"/>
      <c r="BG61" s="4"/>
      <c r="BH61" s="4"/>
      <c r="BI61" s="4"/>
      <c r="BJ61" s="4"/>
      <c r="BK61" s="4"/>
      <c r="BL61" s="4"/>
      <c r="BM61" s="4"/>
      <c r="BN61" s="4"/>
      <c r="BO61" s="4"/>
      <c r="BP61" s="4"/>
      <c r="BQ61" s="5"/>
      <c r="BR61" s="25"/>
      <c r="BS61" s="5"/>
    </row>
    <row r="62" spans="1:71" s="3" customFormat="1" x14ac:dyDescent="0.25">
      <c r="A62" s="5"/>
      <c r="B62" s="3" t="str">
        <f t="array" ref="B62">IFERROR(INDEX(DemandSupply,MATCH(INDEX($AH$1:AH62,SMALL(ROW($AH$1:AH62)+(10000*($AH$1:AH62="")),COUNTA($AH$1:AH62))),Sectors,0)),"")</f>
        <v>Demand</v>
      </c>
      <c r="E62" s="10"/>
      <c r="F62" s="207"/>
      <c r="G62" s="207"/>
      <c r="H62" s="207"/>
      <c r="I62" s="207"/>
      <c r="J62" s="207"/>
      <c r="K62" s="207"/>
      <c r="L62" s="207"/>
      <c r="M62" s="207"/>
      <c r="N62" s="207"/>
      <c r="O62" s="207"/>
      <c r="P62" s="207"/>
      <c r="Q62" s="207"/>
      <c r="R62" s="207"/>
      <c r="S62" s="207"/>
      <c r="T62" s="207"/>
      <c r="U62" s="207"/>
      <c r="V62" s="207"/>
      <c r="W62" s="207"/>
      <c r="X62" s="207"/>
      <c r="Y62" s="207"/>
      <c r="Z62" s="207"/>
      <c r="AA62" s="207"/>
      <c r="AB62" s="207"/>
      <c r="AC62" s="5"/>
      <c r="AD62" s="63"/>
      <c r="AE62" s="64"/>
      <c r="AF62" s="64"/>
      <c r="AG62" s="212"/>
      <c r="AH62" s="64"/>
      <c r="AI62" s="64"/>
      <c r="AJ62" s="64"/>
      <c r="AK62" s="212"/>
      <c r="AL62" s="64"/>
      <c r="AM62" s="212"/>
      <c r="AN62" s="64"/>
      <c r="AO62" s="64"/>
      <c r="AP62" s="63"/>
      <c r="AQ62" s="64"/>
      <c r="AR62" s="63"/>
      <c r="AS62" s="64"/>
      <c r="AT62" s="63"/>
      <c r="AU62" s="64"/>
      <c r="AV62" s="63"/>
      <c r="AW62" s="64"/>
      <c r="AX62" s="63"/>
      <c r="AY62" s="5"/>
      <c r="AZ62" s="21" t="str">
        <f t="shared" si="0"/>
        <v/>
      </c>
      <c r="BA62" s="264" t="s">
        <v>38</v>
      </c>
      <c r="BB62" s="264"/>
      <c r="BC62" s="264"/>
      <c r="BD62" s="74" t="s">
        <v>40</v>
      </c>
      <c r="BE62" s="216" t="s">
        <v>28</v>
      </c>
      <c r="BF62" s="309">
        <v>1940</v>
      </c>
      <c r="BG62" s="310">
        <f t="shared" ref="BG62:BG64" si="4">BF62</f>
        <v>1940</v>
      </c>
      <c r="BH62" s="310">
        <f t="shared" ref="BH62:BH64" si="5">BG62</f>
        <v>1940</v>
      </c>
      <c r="BI62" s="310">
        <f t="shared" ref="BI62:BI64" si="6">BH62</f>
        <v>1940</v>
      </c>
      <c r="BJ62" s="310">
        <f t="shared" ref="BJ62:BJ64" si="7">BI62</f>
        <v>1940</v>
      </c>
      <c r="BK62" s="310">
        <f t="shared" ref="BK62:BK64" si="8">BJ62</f>
        <v>1940</v>
      </c>
      <c r="BL62" s="310">
        <f t="shared" ref="BL62:BL64" si="9">BK62</f>
        <v>1940</v>
      </c>
      <c r="BM62" s="310">
        <f t="shared" ref="BM62:BM64" si="10">BL62</f>
        <v>1940</v>
      </c>
      <c r="BN62" s="310">
        <f t="shared" ref="BN62:BN64" si="11">BM62</f>
        <v>1940</v>
      </c>
      <c r="BO62" s="310">
        <f t="shared" ref="BO62:BO64" si="12">BN62</f>
        <v>1940</v>
      </c>
      <c r="BP62" s="310">
        <f t="shared" ref="BP62:BP64" si="13">BO62</f>
        <v>1940</v>
      </c>
      <c r="BQ62" s="5"/>
      <c r="BR62" s="25"/>
      <c r="BS62" s="5"/>
    </row>
    <row r="63" spans="1:71" s="3" customFormat="1" x14ac:dyDescent="0.25">
      <c r="A63" s="5"/>
      <c r="B63" s="3" t="str">
        <f t="array" ref="B63">IFERROR(INDEX(DemandSupply,MATCH(INDEX($AH$1:AH63,SMALL(ROW($AH$1:AH63)+(10000*($AH$1:AH63="")),COUNTA($AH$1:AH63))),Sectors,0)),"")</f>
        <v>Demand</v>
      </c>
      <c r="E63" s="10"/>
      <c r="F63" s="207"/>
      <c r="G63" s="207"/>
      <c r="H63" s="207"/>
      <c r="I63" s="207"/>
      <c r="J63" s="207"/>
      <c r="K63" s="207"/>
      <c r="L63" s="207"/>
      <c r="M63" s="207"/>
      <c r="N63" s="207"/>
      <c r="O63" s="207"/>
      <c r="P63" s="207"/>
      <c r="Q63" s="207"/>
      <c r="R63" s="207"/>
      <c r="S63" s="207"/>
      <c r="T63" s="207"/>
      <c r="U63" s="207"/>
      <c r="V63" s="207"/>
      <c r="W63" s="207"/>
      <c r="X63" s="207"/>
      <c r="Y63" s="207"/>
      <c r="Z63" s="207"/>
      <c r="AA63" s="207"/>
      <c r="AB63" s="207"/>
      <c r="AC63" s="5"/>
      <c r="AD63" s="63"/>
      <c r="AE63" s="64"/>
      <c r="AF63" s="64"/>
      <c r="AG63" s="212"/>
      <c r="AH63" s="64"/>
      <c r="AI63" s="64"/>
      <c r="AJ63" s="64"/>
      <c r="AK63" s="212"/>
      <c r="AL63" s="64"/>
      <c r="AM63" s="212"/>
      <c r="AN63" s="64"/>
      <c r="AO63" s="64"/>
      <c r="AP63" s="63"/>
      <c r="AQ63" s="64"/>
      <c r="AR63" s="63"/>
      <c r="AS63" s="64"/>
      <c r="AT63" s="63"/>
      <c r="AU63" s="64"/>
      <c r="AV63" s="63"/>
      <c r="AW63" s="64"/>
      <c r="AX63" s="63"/>
      <c r="AY63" s="5"/>
      <c r="AZ63" s="21" t="str">
        <f t="shared" si="0"/>
        <v/>
      </c>
      <c r="BA63" s="264" t="s">
        <v>37</v>
      </c>
      <c r="BB63" s="264"/>
      <c r="BC63" s="264"/>
      <c r="BD63" s="74" t="s">
        <v>40</v>
      </c>
      <c r="BE63" s="216" t="s">
        <v>28</v>
      </c>
      <c r="BF63" s="309">
        <v>2000</v>
      </c>
      <c r="BG63" s="310">
        <f t="shared" si="4"/>
        <v>2000</v>
      </c>
      <c r="BH63" s="310">
        <f t="shared" si="5"/>
        <v>2000</v>
      </c>
      <c r="BI63" s="310">
        <f t="shared" si="6"/>
        <v>2000</v>
      </c>
      <c r="BJ63" s="310">
        <f t="shared" si="7"/>
        <v>2000</v>
      </c>
      <c r="BK63" s="310">
        <f t="shared" si="8"/>
        <v>2000</v>
      </c>
      <c r="BL63" s="310">
        <f t="shared" si="9"/>
        <v>2000</v>
      </c>
      <c r="BM63" s="310">
        <f t="shared" si="10"/>
        <v>2000</v>
      </c>
      <c r="BN63" s="310">
        <f t="shared" si="11"/>
        <v>2000</v>
      </c>
      <c r="BO63" s="310">
        <f t="shared" si="12"/>
        <v>2000</v>
      </c>
      <c r="BP63" s="310">
        <f t="shared" si="13"/>
        <v>2000</v>
      </c>
      <c r="BQ63" s="5"/>
      <c r="BR63" s="25"/>
      <c r="BS63" s="5"/>
    </row>
    <row r="64" spans="1:71" s="3" customFormat="1" x14ac:dyDescent="0.25">
      <c r="A64" s="5"/>
      <c r="B64" s="3" t="str">
        <f t="array" ref="B64">IFERROR(INDEX(DemandSupply,MATCH(INDEX($AH$1:AH64,SMALL(ROW($AH$1:AH64)+(10000*($AH$1:AH64="")),COUNTA($AH$1:AH64))),Sectors,0)),"")</f>
        <v>Demand</v>
      </c>
      <c r="E64" s="10"/>
      <c r="F64" s="207"/>
      <c r="G64" s="207"/>
      <c r="H64" s="207"/>
      <c r="I64" s="207"/>
      <c r="J64" s="207"/>
      <c r="K64" s="207"/>
      <c r="L64" s="207"/>
      <c r="M64" s="207"/>
      <c r="N64" s="207"/>
      <c r="O64" s="207"/>
      <c r="P64" s="207"/>
      <c r="Q64" s="207"/>
      <c r="R64" s="207"/>
      <c r="S64" s="207"/>
      <c r="T64" s="207"/>
      <c r="U64" s="207"/>
      <c r="V64" s="207"/>
      <c r="W64" s="207"/>
      <c r="X64" s="207"/>
      <c r="Y64" s="207"/>
      <c r="Z64" s="207"/>
      <c r="AA64" s="207"/>
      <c r="AB64" s="207"/>
      <c r="AC64" s="5"/>
      <c r="AD64" s="63"/>
      <c r="AE64" s="64"/>
      <c r="AF64" s="64"/>
      <c r="AG64" s="212"/>
      <c r="AH64" s="64"/>
      <c r="AI64" s="64"/>
      <c r="AJ64" s="64"/>
      <c r="AK64" s="212"/>
      <c r="AL64" s="64"/>
      <c r="AM64" s="212"/>
      <c r="AN64" s="64"/>
      <c r="AO64" s="64"/>
      <c r="AP64" s="63"/>
      <c r="AQ64" s="64"/>
      <c r="AR64" s="63"/>
      <c r="AS64" s="64"/>
      <c r="AT64" s="63"/>
      <c r="AU64" s="64"/>
      <c r="AV64" s="63"/>
      <c r="AW64" s="64"/>
      <c r="AX64" s="63"/>
      <c r="AY64" s="5"/>
      <c r="AZ64" s="21" t="str">
        <f t="shared" si="0"/>
        <v/>
      </c>
      <c r="BA64" s="264" t="s">
        <v>39</v>
      </c>
      <c r="BB64" s="264"/>
      <c r="BC64" s="264"/>
      <c r="BD64" s="74" t="s">
        <v>10</v>
      </c>
      <c r="BE64" s="216" t="s">
        <v>28</v>
      </c>
      <c r="BF64" s="56">
        <v>25</v>
      </c>
      <c r="BG64" s="245">
        <f t="shared" si="4"/>
        <v>25</v>
      </c>
      <c r="BH64" s="245">
        <f t="shared" si="5"/>
        <v>25</v>
      </c>
      <c r="BI64" s="245">
        <f t="shared" si="6"/>
        <v>25</v>
      </c>
      <c r="BJ64" s="245">
        <f t="shared" si="7"/>
        <v>25</v>
      </c>
      <c r="BK64" s="245">
        <f t="shared" si="8"/>
        <v>25</v>
      </c>
      <c r="BL64" s="245">
        <f t="shared" si="9"/>
        <v>25</v>
      </c>
      <c r="BM64" s="245">
        <f t="shared" si="10"/>
        <v>25</v>
      </c>
      <c r="BN64" s="245">
        <f t="shared" si="11"/>
        <v>25</v>
      </c>
      <c r="BO64" s="245">
        <f t="shared" si="12"/>
        <v>25</v>
      </c>
      <c r="BP64" s="245">
        <f t="shared" si="13"/>
        <v>25</v>
      </c>
      <c r="BQ64" s="5"/>
      <c r="BR64" s="25"/>
      <c r="BS64" s="5"/>
    </row>
    <row r="65" spans="1:71" s="3" customFormat="1" x14ac:dyDescent="0.25">
      <c r="A65" s="5"/>
      <c r="B65" s="3" t="str">
        <f t="array" ref="B65">IFERROR(INDEX(DemandSupply,MATCH(INDEX($AH$1:AH65,SMALL(ROW($AH$1:AH65)+(10000*($AH$1:AH65="")),COUNTA($AH$1:AH65))),Sectors,0)),"")</f>
        <v>Demand</v>
      </c>
      <c r="E65" s="10"/>
      <c r="F65" s="207"/>
      <c r="G65" s="207"/>
      <c r="H65" s="207"/>
      <c r="I65" s="207"/>
      <c r="J65" s="207"/>
      <c r="K65" s="207"/>
      <c r="L65" s="207"/>
      <c r="M65" s="207"/>
      <c r="N65" s="207"/>
      <c r="O65" s="207"/>
      <c r="P65" s="207"/>
      <c r="Q65" s="207"/>
      <c r="R65" s="207"/>
      <c r="S65" s="207"/>
      <c r="T65" s="207"/>
      <c r="U65" s="207"/>
      <c r="V65" s="207"/>
      <c r="W65" s="207"/>
      <c r="X65" s="207"/>
      <c r="Y65" s="207"/>
      <c r="Z65" s="207"/>
      <c r="AA65" s="207"/>
      <c r="AB65" s="207"/>
      <c r="AC65" s="5"/>
      <c r="AD65" s="63"/>
      <c r="AE65" s="64"/>
      <c r="AF65" s="64"/>
      <c r="AG65" s="212"/>
      <c r="AH65" s="64"/>
      <c r="AI65" s="64"/>
      <c r="AJ65" s="64"/>
      <c r="AK65" s="212"/>
      <c r="AL65" s="64"/>
      <c r="AM65" s="212"/>
      <c r="AN65" s="64"/>
      <c r="AO65" s="64"/>
      <c r="AP65" s="63"/>
      <c r="AQ65" s="64"/>
      <c r="AR65" s="63"/>
      <c r="AS65" s="64"/>
      <c r="AT65" s="63"/>
      <c r="AU65" s="64"/>
      <c r="AV65" s="63"/>
      <c r="AW65" s="64"/>
      <c r="AX65" s="63"/>
      <c r="AY65" s="5"/>
      <c r="AZ65" s="21" t="str">
        <f t="shared" si="0"/>
        <v/>
      </c>
      <c r="BA65" s="264" t="s">
        <v>395</v>
      </c>
      <c r="BB65" s="264"/>
      <c r="BC65" s="264"/>
      <c r="BD65" s="264" t="s">
        <v>10</v>
      </c>
      <c r="BE65" s="216" t="s">
        <v>28</v>
      </c>
      <c r="BF65" s="56"/>
      <c r="BG65" s="56"/>
      <c r="BH65" s="56"/>
      <c r="BI65" s="56"/>
      <c r="BJ65" s="56"/>
      <c r="BK65" s="56"/>
      <c r="BL65" s="56"/>
      <c r="BM65" s="56"/>
      <c r="BN65" s="56"/>
      <c r="BO65" s="56"/>
      <c r="BP65" s="56"/>
      <c r="BQ65" s="5"/>
      <c r="BR65" s="25"/>
      <c r="BS65" s="5"/>
    </row>
    <row r="66" spans="1:71" s="3" customFormat="1" x14ac:dyDescent="0.25">
      <c r="A66" s="5"/>
      <c r="B66" s="3" t="str">
        <f t="array" ref="B66">IFERROR(INDEX(DemandSupply,MATCH(INDEX($AH$1:AH66,SMALL(ROW($AH$1:AH66)+(10000*($AH$1:AH66="")),COUNTA($AH$1:AH66))),Sectors,0)),"")</f>
        <v>Demand</v>
      </c>
      <c r="E66" s="10"/>
      <c r="F66" s="207"/>
      <c r="G66" s="207"/>
      <c r="H66" s="207"/>
      <c r="I66" s="207"/>
      <c r="J66" s="207"/>
      <c r="K66" s="207"/>
      <c r="L66" s="207"/>
      <c r="M66" s="207"/>
      <c r="N66" s="207"/>
      <c r="O66" s="207"/>
      <c r="P66" s="207"/>
      <c r="Q66" s="207"/>
      <c r="R66" s="207"/>
      <c r="S66" s="207"/>
      <c r="T66" s="207"/>
      <c r="U66" s="207"/>
      <c r="V66" s="207"/>
      <c r="W66" s="207"/>
      <c r="X66" s="207"/>
      <c r="Y66" s="207"/>
      <c r="Z66" s="207"/>
      <c r="AA66" s="207"/>
      <c r="AB66" s="207"/>
      <c r="AC66" s="5"/>
      <c r="AD66" s="63"/>
      <c r="AE66" s="64"/>
      <c r="AF66" s="64"/>
      <c r="AG66" s="212"/>
      <c r="AH66" s="64"/>
      <c r="AI66" s="64"/>
      <c r="AJ66" s="64"/>
      <c r="AK66" s="212"/>
      <c r="AL66" s="64"/>
      <c r="AM66" s="212"/>
      <c r="AN66" s="64"/>
      <c r="AO66" s="64"/>
      <c r="AP66" s="63"/>
      <c r="AQ66" s="64"/>
      <c r="AR66" s="63"/>
      <c r="AS66" s="64"/>
      <c r="AT66" s="63"/>
      <c r="AU66" s="64"/>
      <c r="AV66" s="63"/>
      <c r="AW66" s="64"/>
      <c r="AX66" s="63"/>
      <c r="AY66" s="5"/>
      <c r="AZ66" s="21" t="str">
        <f t="shared" si="0"/>
        <v/>
      </c>
      <c r="BA66" s="264" t="s">
        <v>341</v>
      </c>
      <c r="BB66" s="264"/>
      <c r="BC66" s="264"/>
      <c r="BD66" s="74" t="s">
        <v>99</v>
      </c>
      <c r="BE66" s="216" t="s">
        <v>28</v>
      </c>
      <c r="BF66" s="303">
        <v>0.25</v>
      </c>
      <c r="BG66" s="304">
        <f t="shared" ref="BG66" si="14">BF66</f>
        <v>0.25</v>
      </c>
      <c r="BH66" s="304">
        <f t="shared" ref="BH66" si="15">BG66</f>
        <v>0.25</v>
      </c>
      <c r="BI66" s="304">
        <f t="shared" ref="BI66" si="16">BH66</f>
        <v>0.25</v>
      </c>
      <c r="BJ66" s="304">
        <f t="shared" ref="BJ66" si="17">BI66</f>
        <v>0.25</v>
      </c>
      <c r="BK66" s="304">
        <f t="shared" ref="BK66" si="18">BJ66</f>
        <v>0.25</v>
      </c>
      <c r="BL66" s="304">
        <f t="shared" ref="BL66" si="19">BK66</f>
        <v>0.25</v>
      </c>
      <c r="BM66" s="304">
        <f t="shared" ref="BM66" si="20">BL66</f>
        <v>0.25</v>
      </c>
      <c r="BN66" s="304">
        <f t="shared" ref="BN66" si="21">BM66</f>
        <v>0.25</v>
      </c>
      <c r="BO66" s="304">
        <f t="shared" ref="BO66" si="22">BN66</f>
        <v>0.25</v>
      </c>
      <c r="BP66" s="304">
        <f t="shared" ref="BP66" si="23">BO66</f>
        <v>0.25</v>
      </c>
      <c r="BQ66" s="5"/>
      <c r="BR66" s="25"/>
      <c r="BS66" s="5"/>
    </row>
    <row r="67" spans="1:71" s="3" customFormat="1" x14ac:dyDescent="0.25">
      <c r="A67" s="5"/>
      <c r="B67" s="3" t="str">
        <f t="array" ref="B67">IFERROR(INDEX(DemandSupply,MATCH(INDEX($AH$1:AH67,SMALL(ROW($AH$1:AH67)+(10000*($AH$1:AH67="")),COUNTA($AH$1:AH67))),Sectors,0)),"")</f>
        <v>Demand</v>
      </c>
      <c r="E67" s="10"/>
      <c r="F67" s="207"/>
      <c r="G67" s="207"/>
      <c r="H67" s="207"/>
      <c r="I67" s="207"/>
      <c r="J67" s="207"/>
      <c r="K67" s="207"/>
      <c r="L67" s="207"/>
      <c r="M67" s="207"/>
      <c r="N67" s="207"/>
      <c r="O67" s="207"/>
      <c r="P67" s="207"/>
      <c r="Q67" s="207"/>
      <c r="R67" s="207"/>
      <c r="S67" s="207"/>
      <c r="T67" s="207"/>
      <c r="U67" s="207"/>
      <c r="V67" s="207"/>
      <c r="W67" s="207"/>
      <c r="X67" s="207"/>
      <c r="Y67" s="207"/>
      <c r="Z67" s="207"/>
      <c r="AA67" s="207"/>
      <c r="AB67" s="207"/>
      <c r="AC67" s="5"/>
      <c r="AD67" s="63"/>
      <c r="AE67" s="64"/>
      <c r="AF67" s="64"/>
      <c r="AG67" s="212"/>
      <c r="AH67" s="64"/>
      <c r="AI67" s="64"/>
      <c r="AJ67" s="64"/>
      <c r="AK67" s="212"/>
      <c r="AL67" s="64"/>
      <c r="AM67" s="212"/>
      <c r="AN67" s="64"/>
      <c r="AO67" s="64"/>
      <c r="AP67" s="63"/>
      <c r="AQ67" s="64"/>
      <c r="AR67" s="63"/>
      <c r="AS67" s="64"/>
      <c r="AT67" s="63"/>
      <c r="AU67" s="64"/>
      <c r="AV67" s="63"/>
      <c r="AW67" s="64"/>
      <c r="AX67" s="63"/>
      <c r="AY67" s="5"/>
      <c r="AZ67" s="21" t="str">
        <f t="shared" si="0"/>
        <v/>
      </c>
      <c r="BA67" s="264" t="s">
        <v>392</v>
      </c>
      <c r="BB67" s="264"/>
      <c r="BC67" s="264"/>
      <c r="BD67" s="264" t="s">
        <v>99</v>
      </c>
      <c r="BE67" s="216" t="s">
        <v>28</v>
      </c>
      <c r="BF67" s="303"/>
      <c r="BG67" s="303"/>
      <c r="BH67" s="303"/>
      <c r="BI67" s="303"/>
      <c r="BJ67" s="303"/>
      <c r="BK67" s="303"/>
      <c r="BL67" s="303"/>
      <c r="BM67" s="303"/>
      <c r="BN67" s="303"/>
      <c r="BO67" s="303"/>
      <c r="BP67" s="303"/>
      <c r="BQ67" s="5"/>
      <c r="BR67" s="25"/>
      <c r="BS67" s="5"/>
    </row>
    <row r="68" spans="1:71" s="3" customFormat="1" x14ac:dyDescent="0.25">
      <c r="A68" s="5"/>
      <c r="B68" s="3" t="str">
        <f t="array" ref="B68">IFERROR(INDEX(DemandSupply,MATCH(INDEX($AH$1:AH68,SMALL(ROW($AH$1:AH68)+(10000*($AH$1:AH68="")),COUNTA($AH$1:AH68))),Sectors,0)),"")</f>
        <v>Demand</v>
      </c>
      <c r="E68" s="10"/>
      <c r="F68" s="207"/>
      <c r="G68" s="207"/>
      <c r="H68" s="207"/>
      <c r="I68" s="207"/>
      <c r="J68" s="207"/>
      <c r="K68" s="207"/>
      <c r="L68" s="207"/>
      <c r="M68" s="207"/>
      <c r="N68" s="207"/>
      <c r="O68" s="207"/>
      <c r="P68" s="207"/>
      <c r="Q68" s="207"/>
      <c r="R68" s="207"/>
      <c r="S68" s="207"/>
      <c r="T68" s="207"/>
      <c r="U68" s="207"/>
      <c r="V68" s="207"/>
      <c r="W68" s="207"/>
      <c r="X68" s="207"/>
      <c r="Y68" s="207"/>
      <c r="Z68" s="207"/>
      <c r="AA68" s="207"/>
      <c r="AB68" s="207"/>
      <c r="AC68" s="5"/>
      <c r="AD68" s="63"/>
      <c r="AE68" s="64"/>
      <c r="AF68" s="64"/>
      <c r="AG68" s="212"/>
      <c r="AH68" s="64"/>
      <c r="AI68" s="64"/>
      <c r="AJ68" s="64"/>
      <c r="AK68" s="212"/>
      <c r="AL68" s="64"/>
      <c r="AM68" s="212"/>
      <c r="AN68" s="64"/>
      <c r="AO68" s="64"/>
      <c r="AP68" s="63"/>
      <c r="AQ68" s="64"/>
      <c r="AR68" s="63"/>
      <c r="AS68" s="64"/>
      <c r="AT68" s="63"/>
      <c r="AU68" s="64"/>
      <c r="AV68" s="63"/>
      <c r="AW68" s="64"/>
      <c r="AX68" s="63"/>
      <c r="AY68" s="5"/>
      <c r="AZ68" s="21" t="str">
        <f t="shared" si="0"/>
        <v/>
      </c>
      <c r="BA68" s="264" t="s">
        <v>391</v>
      </c>
      <c r="BB68" s="264"/>
      <c r="BC68" s="264"/>
      <c r="BD68" s="264" t="s">
        <v>99</v>
      </c>
      <c r="BE68" s="216" t="s">
        <v>28</v>
      </c>
      <c r="BF68" s="303"/>
      <c r="BG68" s="303"/>
      <c r="BH68" s="303"/>
      <c r="BI68" s="303"/>
      <c r="BJ68" s="303"/>
      <c r="BK68" s="303"/>
      <c r="BL68" s="303"/>
      <c r="BM68" s="303"/>
      <c r="BN68" s="303"/>
      <c r="BO68" s="303"/>
      <c r="BP68" s="303"/>
      <c r="BQ68" s="5"/>
      <c r="BR68" s="25"/>
      <c r="BS68" s="5"/>
    </row>
    <row r="69" spans="1:71" s="3" customFormat="1" x14ac:dyDescent="0.25">
      <c r="A69" s="5"/>
      <c r="B69" s="3" t="str">
        <f t="array" ref="B69">IFERROR(INDEX(DemandSupply,MATCH(INDEX($AH$1:AH69,SMALL(ROW($AH$1:AH69)+(10000*($AH$1:AH69="")),COUNTA($AH$1:AH69))),Sectors,0)),"")</f>
        <v>Demand</v>
      </c>
      <c r="E69" s="10"/>
      <c r="F69" s="207"/>
      <c r="G69" s="207"/>
      <c r="H69" s="207"/>
      <c r="I69" s="207"/>
      <c r="J69" s="207"/>
      <c r="K69" s="207"/>
      <c r="L69" s="207"/>
      <c r="M69" s="207"/>
      <c r="N69" s="207"/>
      <c r="O69" s="207"/>
      <c r="P69" s="207"/>
      <c r="Q69" s="207"/>
      <c r="R69" s="207"/>
      <c r="S69" s="207"/>
      <c r="T69" s="207"/>
      <c r="U69" s="207"/>
      <c r="V69" s="207"/>
      <c r="W69" s="207"/>
      <c r="X69" s="207"/>
      <c r="Y69" s="207"/>
      <c r="Z69" s="207"/>
      <c r="AA69" s="207"/>
      <c r="AB69" s="207"/>
      <c r="AC69" s="5"/>
      <c r="AD69" s="63"/>
      <c r="AE69" s="64"/>
      <c r="AF69" s="64"/>
      <c r="AG69" s="212"/>
      <c r="AH69" s="64"/>
      <c r="AI69" s="64"/>
      <c r="AJ69" s="64"/>
      <c r="AK69" s="212"/>
      <c r="AL69" s="64"/>
      <c r="AM69" s="212"/>
      <c r="AN69" s="64"/>
      <c r="AO69" s="64"/>
      <c r="AP69" s="63"/>
      <c r="AQ69" s="64"/>
      <c r="AR69" s="63"/>
      <c r="AS69" s="64"/>
      <c r="AT69" s="63"/>
      <c r="AU69" s="64"/>
      <c r="AV69" s="63"/>
      <c r="AW69" s="64"/>
      <c r="AX69" s="63"/>
      <c r="AY69" s="5"/>
      <c r="AZ69" s="21" t="str">
        <f t="shared" si="0"/>
        <v/>
      </c>
      <c r="BA69" s="264" t="s">
        <v>144</v>
      </c>
      <c r="BB69" s="264"/>
      <c r="BC69" s="264"/>
      <c r="BD69" s="74" t="s">
        <v>36</v>
      </c>
      <c r="BE69" s="216" t="s">
        <v>28</v>
      </c>
      <c r="BF69" s="56"/>
      <c r="BG69" s="56"/>
      <c r="BH69" s="56"/>
      <c r="BI69" s="56"/>
      <c r="BJ69" s="56"/>
      <c r="BK69" s="56"/>
      <c r="BL69" s="56"/>
      <c r="BM69" s="56"/>
      <c r="BN69" s="56"/>
      <c r="BO69" s="56"/>
      <c r="BP69" s="56"/>
      <c r="BQ69" s="5"/>
      <c r="BR69" s="25"/>
      <c r="BS69" s="5"/>
    </row>
    <row r="70" spans="1:71" s="3" customFormat="1" x14ac:dyDescent="0.25">
      <c r="A70" s="5"/>
      <c r="B70" s="3" t="str">
        <f t="array" ref="B70">IFERROR(INDEX(DemandSupply,MATCH(INDEX($AH$1:AH70,SMALL(ROW($AH$1:AH70)+(10000*($AH$1:AH70="")),COUNTA($AH$1:AH70))),Sectors,0)),"")</f>
        <v>Demand</v>
      </c>
      <c r="E70" s="10"/>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5"/>
      <c r="AD70" s="63"/>
      <c r="AE70" s="64"/>
      <c r="AF70" s="64"/>
      <c r="AG70" s="212"/>
      <c r="AH70" s="64"/>
      <c r="AI70" s="64"/>
      <c r="AJ70" s="64"/>
      <c r="AK70" s="212"/>
      <c r="AL70" s="64"/>
      <c r="AM70" s="212"/>
      <c r="AN70" s="64"/>
      <c r="AO70" s="64"/>
      <c r="AP70" s="63"/>
      <c r="AQ70" s="64"/>
      <c r="AR70" s="63"/>
      <c r="AS70" s="64"/>
      <c r="AT70" s="63"/>
      <c r="AU70" s="64"/>
      <c r="AV70" s="63"/>
      <c r="AW70" s="64"/>
      <c r="AX70" s="63"/>
      <c r="AY70" s="5"/>
      <c r="AZ70" s="21" t="str">
        <f t="shared" si="0"/>
        <v/>
      </c>
      <c r="BA70" s="264" t="s">
        <v>76</v>
      </c>
      <c r="BB70" s="264"/>
      <c r="BC70" s="264"/>
      <c r="BD70" s="74" t="s">
        <v>99</v>
      </c>
      <c r="BE70" s="216" t="s">
        <v>28</v>
      </c>
      <c r="BF70" s="303">
        <v>0.16700000000000001</v>
      </c>
      <c r="BG70" s="303"/>
      <c r="BH70" s="303"/>
      <c r="BI70" s="303"/>
      <c r="BJ70" s="303"/>
      <c r="BK70" s="303"/>
      <c r="BL70" s="303"/>
      <c r="BM70" s="303"/>
      <c r="BN70" s="303"/>
      <c r="BO70" s="303"/>
      <c r="BP70" s="303"/>
      <c r="BQ70" s="5"/>
      <c r="BR70" s="25"/>
      <c r="BS70" s="5"/>
    </row>
    <row r="71" spans="1:71" s="3" customFormat="1" x14ac:dyDescent="0.25">
      <c r="A71" s="5"/>
      <c r="B71" s="3" t="str">
        <f t="array" ref="B71">IFERROR(INDEX(DemandSupply,MATCH(INDEX($AH$1:AH71,SMALL(ROW($AH$1:AH71)+(10000*($AH$1:AH71="")),COUNTA($AH$1:AH71))),Sectors,0)),"")</f>
        <v>Demand</v>
      </c>
      <c r="E71" s="10"/>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5"/>
      <c r="AD71" s="63"/>
      <c r="AE71" s="64"/>
      <c r="AF71" s="64"/>
      <c r="AG71" s="212"/>
      <c r="AH71" s="64"/>
      <c r="AI71" s="64"/>
      <c r="AJ71" s="64"/>
      <c r="AK71" s="212"/>
      <c r="AL71" s="64"/>
      <c r="AM71" s="212"/>
      <c r="AN71" s="64"/>
      <c r="AO71" s="64"/>
      <c r="AP71" s="63"/>
      <c r="AQ71" s="64"/>
      <c r="AR71" s="63"/>
      <c r="AS71" s="64"/>
      <c r="AT71" s="63"/>
      <c r="AU71" s="64"/>
      <c r="AV71" s="63"/>
      <c r="AW71" s="64"/>
      <c r="AX71" s="63"/>
      <c r="AY71" s="5"/>
      <c r="AZ71" s="21" t="str">
        <f t="shared" si="0"/>
        <v/>
      </c>
      <c r="BA71" s="75" t="s">
        <v>166</v>
      </c>
      <c r="BB71" s="75"/>
      <c r="BC71" s="270"/>
      <c r="BD71" s="75" t="s">
        <v>99</v>
      </c>
      <c r="BE71" s="216" t="s">
        <v>28</v>
      </c>
      <c r="BF71" s="303"/>
      <c r="BG71" s="303"/>
      <c r="BH71" s="303"/>
      <c r="BI71" s="303"/>
      <c r="BJ71" s="303"/>
      <c r="BK71" s="303"/>
      <c r="BL71" s="303"/>
      <c r="BM71" s="303"/>
      <c r="BN71" s="303"/>
      <c r="BO71" s="303"/>
      <c r="BP71" s="303"/>
      <c r="BQ71" s="5"/>
      <c r="BR71" s="25"/>
      <c r="BS71" s="5"/>
    </row>
    <row r="72" spans="1:71" s="3" customFormat="1" x14ac:dyDescent="0.25">
      <c r="A72" s="5"/>
      <c r="B72" s="3" t="str">
        <f t="array" ref="B72">IFERROR(INDEX(DemandSupply,MATCH(INDEX($AH$1:AH72,SMALL(ROW($AH$1:AH72)+(10000*($AH$1:AH72="")),COUNTA($AH$1:AH72))),Sectors,0)),"")</f>
        <v>Demand</v>
      </c>
      <c r="E72" s="10"/>
      <c r="F72" s="207"/>
      <c r="G72" s="207"/>
      <c r="H72" s="207"/>
      <c r="I72" s="207"/>
      <c r="J72" s="207"/>
      <c r="K72" s="207"/>
      <c r="L72" s="207"/>
      <c r="M72" s="207"/>
      <c r="N72" s="207"/>
      <c r="O72" s="207"/>
      <c r="P72" s="207"/>
      <c r="Q72" s="207"/>
      <c r="R72" s="207"/>
      <c r="S72" s="207"/>
      <c r="T72" s="207"/>
      <c r="U72" s="207"/>
      <c r="V72" s="207"/>
      <c r="W72" s="207"/>
      <c r="X72" s="207"/>
      <c r="Y72" s="207"/>
      <c r="Z72" s="207"/>
      <c r="AA72" s="207"/>
      <c r="AB72" s="207"/>
      <c r="AC72" s="5"/>
      <c r="AD72" s="63"/>
      <c r="AE72" s="64"/>
      <c r="AF72" s="64"/>
      <c r="AG72" s="212"/>
      <c r="AH72" s="64"/>
      <c r="AI72" s="64"/>
      <c r="AJ72" s="64"/>
      <c r="AK72" s="212"/>
      <c r="AL72" s="64"/>
      <c r="AM72" s="212"/>
      <c r="AN72" s="64"/>
      <c r="AO72" s="64"/>
      <c r="AP72" s="63"/>
      <c r="AQ72" s="64"/>
      <c r="AR72" s="63"/>
      <c r="AS72" s="64"/>
      <c r="AT72" s="63"/>
      <c r="AU72" s="64"/>
      <c r="AV72" s="63"/>
      <c r="AW72" s="64"/>
      <c r="AX72" s="63"/>
      <c r="AY72" s="5"/>
      <c r="AZ72" s="21" t="str">
        <f t="shared" si="0"/>
        <v/>
      </c>
      <c r="BA72" s="75" t="s">
        <v>167</v>
      </c>
      <c r="BB72" s="75"/>
      <c r="BC72" s="270"/>
      <c r="BD72" s="75" t="s">
        <v>99</v>
      </c>
      <c r="BE72" s="216" t="s">
        <v>28</v>
      </c>
      <c r="BF72" s="303"/>
      <c r="BG72" s="303"/>
      <c r="BH72" s="303"/>
      <c r="BI72" s="303"/>
      <c r="BJ72" s="303"/>
      <c r="BK72" s="303"/>
      <c r="BL72" s="303"/>
      <c r="BM72" s="303"/>
      <c r="BN72" s="303"/>
      <c r="BO72" s="303"/>
      <c r="BP72" s="303"/>
      <c r="BQ72" s="5"/>
      <c r="BR72" s="25"/>
      <c r="BS72" s="5"/>
    </row>
    <row r="73" spans="1:71" s="3" customFormat="1" x14ac:dyDescent="0.25">
      <c r="A73" s="5"/>
      <c r="B73" s="3" t="str">
        <f t="array" ref="B73">IFERROR(INDEX(DemandSupply,MATCH(INDEX($AH$1:AH73,SMALL(ROW($AH$1:AH73)+(10000*($AH$1:AH73="")),COUNTA($AH$1:AH73))),Sectors,0)),"")</f>
        <v>Demand</v>
      </c>
      <c r="E73" s="10"/>
      <c r="F73" s="207"/>
      <c r="G73" s="207"/>
      <c r="H73" s="207"/>
      <c r="I73" s="207"/>
      <c r="J73" s="207"/>
      <c r="K73" s="207"/>
      <c r="L73" s="207"/>
      <c r="M73" s="207"/>
      <c r="N73" s="207"/>
      <c r="O73" s="207"/>
      <c r="P73" s="207"/>
      <c r="Q73" s="207"/>
      <c r="R73" s="207"/>
      <c r="S73" s="207"/>
      <c r="T73" s="207"/>
      <c r="U73" s="207"/>
      <c r="V73" s="207"/>
      <c r="W73" s="207"/>
      <c r="X73" s="207"/>
      <c r="Y73" s="207"/>
      <c r="Z73" s="207"/>
      <c r="AA73" s="207"/>
      <c r="AB73" s="207"/>
      <c r="AC73" s="5"/>
      <c r="AD73" s="63"/>
      <c r="AE73" s="64"/>
      <c r="AF73" s="64"/>
      <c r="AG73" s="212"/>
      <c r="AH73" s="64"/>
      <c r="AI73" s="64"/>
      <c r="AJ73" s="64"/>
      <c r="AK73" s="212"/>
      <c r="AL73" s="64"/>
      <c r="AM73" s="212"/>
      <c r="AN73" s="64"/>
      <c r="AO73" s="64"/>
      <c r="AP73" s="63"/>
      <c r="AQ73" s="64"/>
      <c r="AR73" s="63"/>
      <c r="AS73" s="64"/>
      <c r="AT73" s="63"/>
      <c r="AU73" s="64"/>
      <c r="AV73" s="63"/>
      <c r="AW73" s="64"/>
      <c r="AX73" s="63"/>
      <c r="AY73" s="5"/>
      <c r="AZ73" s="21" t="str">
        <f t="shared" si="0"/>
        <v/>
      </c>
      <c r="BA73" s="75" t="s">
        <v>408</v>
      </c>
      <c r="BB73" s="75"/>
      <c r="BC73" s="270"/>
      <c r="BD73" s="75" t="s">
        <v>99</v>
      </c>
      <c r="BE73" s="216" t="s">
        <v>28</v>
      </c>
      <c r="BF73" s="303"/>
      <c r="BG73" s="303"/>
      <c r="BH73" s="303"/>
      <c r="BI73" s="303"/>
      <c r="BJ73" s="303"/>
      <c r="BK73" s="303"/>
      <c r="BL73" s="303"/>
      <c r="BM73" s="303"/>
      <c r="BN73" s="303"/>
      <c r="BO73" s="303"/>
      <c r="BP73" s="303"/>
      <c r="BQ73" s="5"/>
      <c r="BR73" s="25"/>
      <c r="BS73" s="5"/>
    </row>
    <row r="74" spans="1:71" s="3" customFormat="1" x14ac:dyDescent="0.25">
      <c r="A74" s="5"/>
      <c r="B74" s="3" t="str">
        <f t="array" ref="B74">IFERROR(INDEX(DemandSupply,MATCH(INDEX($AH$1:AH74,SMALL(ROW($AH$1:AH74)+(10000*($AH$1:AH74="")),COUNTA($AH$1:AH74))),Sectors,0)),"")</f>
        <v>Demand</v>
      </c>
      <c r="E74" s="10"/>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5"/>
      <c r="AD74" s="63"/>
      <c r="AE74" s="64"/>
      <c r="AF74" s="64"/>
      <c r="AG74" s="212"/>
      <c r="AH74" s="64"/>
      <c r="AI74" s="64"/>
      <c r="AJ74" s="64"/>
      <c r="AK74" s="212"/>
      <c r="AL74" s="64"/>
      <c r="AM74" s="212"/>
      <c r="AN74" s="64"/>
      <c r="AO74" s="64"/>
      <c r="AP74" s="63"/>
      <c r="AQ74" s="64"/>
      <c r="AR74" s="63"/>
      <c r="AS74" s="64"/>
      <c r="AT74" s="63"/>
      <c r="AU74" s="64"/>
      <c r="AV74" s="63"/>
      <c r="AW74" s="64"/>
      <c r="AX74" s="63"/>
      <c r="AY74" s="5"/>
      <c r="AZ74" s="21" t="str">
        <f t="shared" si="0"/>
        <v/>
      </c>
      <c r="BA74" s="75" t="s">
        <v>409</v>
      </c>
      <c r="BB74" s="75"/>
      <c r="BC74" s="270"/>
      <c r="BD74" s="75" t="s">
        <v>99</v>
      </c>
      <c r="BE74" s="216" t="s">
        <v>28</v>
      </c>
      <c r="BF74" s="303"/>
      <c r="BG74" s="303"/>
      <c r="BH74" s="303"/>
      <c r="BI74" s="303"/>
      <c r="BJ74" s="303"/>
      <c r="BK74" s="303"/>
      <c r="BL74" s="303"/>
      <c r="BM74" s="303"/>
      <c r="BN74" s="303"/>
      <c r="BO74" s="303"/>
      <c r="BP74" s="303"/>
      <c r="BQ74" s="5"/>
      <c r="BR74" s="25"/>
      <c r="BS74" s="5"/>
    </row>
    <row r="75" spans="1:71" s="3" customFormat="1" x14ac:dyDescent="0.25">
      <c r="A75" s="5"/>
      <c r="B75" s="3" t="str">
        <f t="array" ref="B75">IFERROR(INDEX(DemandSupply,MATCH(INDEX($AH$1:AH75,SMALL(ROW($AH$1:AH75)+(10000*($AH$1:AH75="")),COUNTA($AH$1:AH75))),Sectors,0)),"")</f>
        <v>Demand</v>
      </c>
      <c r="E75" s="10"/>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5"/>
      <c r="AD75" s="63"/>
      <c r="AE75" s="64"/>
      <c r="AF75" s="64"/>
      <c r="AG75" s="212"/>
      <c r="AH75" s="64"/>
      <c r="AI75" s="64"/>
      <c r="AJ75" s="64"/>
      <c r="AK75" s="212"/>
      <c r="AL75" s="64"/>
      <c r="AM75" s="212"/>
      <c r="AN75" s="64"/>
      <c r="AO75" s="64"/>
      <c r="AP75" s="63"/>
      <c r="AQ75" s="64"/>
      <c r="AR75" s="63"/>
      <c r="AS75" s="64"/>
      <c r="AT75" s="63"/>
      <c r="AU75" s="64"/>
      <c r="AV75" s="63"/>
      <c r="AW75" s="64"/>
      <c r="AX75" s="63"/>
      <c r="AY75" s="5"/>
      <c r="AZ75" s="21" t="str">
        <f t="shared" si="0"/>
        <v/>
      </c>
      <c r="BA75" s="264" t="s">
        <v>371</v>
      </c>
      <c r="BB75" s="264"/>
      <c r="BC75" s="264"/>
      <c r="BD75" s="74" t="s">
        <v>36</v>
      </c>
      <c r="BE75" s="216" t="s">
        <v>28</v>
      </c>
      <c r="BF75" s="56"/>
      <c r="BG75" s="56"/>
      <c r="BH75" s="56"/>
      <c r="BI75" s="56"/>
      <c r="BJ75" s="56"/>
      <c r="BK75" s="56"/>
      <c r="BL75" s="56"/>
      <c r="BM75" s="56"/>
      <c r="BN75" s="56"/>
      <c r="BO75" s="56"/>
      <c r="BP75" s="56"/>
      <c r="BQ75" s="5"/>
      <c r="BR75" s="25"/>
      <c r="BS75" s="5"/>
    </row>
    <row r="76" spans="1:71" s="3" customFormat="1" x14ac:dyDescent="0.25">
      <c r="A76" s="5"/>
      <c r="B76" s="3" t="str">
        <f t="array" ref="B76">IFERROR(INDEX(DemandSupply,MATCH(INDEX($AH$1:AH76,SMALL(ROW($AH$1:AH76)+(10000*($AH$1:AH76="")),COUNTA($AH$1:AH76))),Sectors,0)),"")</f>
        <v>Demand</v>
      </c>
      <c r="E76" s="10"/>
      <c r="F76" s="207"/>
      <c r="G76" s="207"/>
      <c r="H76" s="207"/>
      <c r="I76" s="207"/>
      <c r="J76" s="207"/>
      <c r="K76" s="207"/>
      <c r="L76" s="207"/>
      <c r="M76" s="207"/>
      <c r="N76" s="207"/>
      <c r="O76" s="207"/>
      <c r="P76" s="207"/>
      <c r="Q76" s="207"/>
      <c r="R76" s="207"/>
      <c r="S76" s="207"/>
      <c r="T76" s="207"/>
      <c r="U76" s="207"/>
      <c r="V76" s="207"/>
      <c r="W76" s="207"/>
      <c r="X76" s="207"/>
      <c r="Y76" s="207"/>
      <c r="Z76" s="207"/>
      <c r="AA76" s="207"/>
      <c r="AB76" s="207"/>
      <c r="AC76" s="5"/>
      <c r="AD76" s="63"/>
      <c r="AE76" s="64"/>
      <c r="AF76" s="64"/>
      <c r="AG76" s="212"/>
      <c r="AH76" s="64"/>
      <c r="AI76" s="64"/>
      <c r="AJ76" s="64"/>
      <c r="AK76" s="212"/>
      <c r="AL76" s="64"/>
      <c r="AM76" s="212"/>
      <c r="AN76" s="64"/>
      <c r="AO76" s="64"/>
      <c r="AP76" s="63"/>
      <c r="AQ76" s="64"/>
      <c r="AR76" s="63"/>
      <c r="AS76" s="64"/>
      <c r="AT76" s="63"/>
      <c r="AU76" s="64"/>
      <c r="AV76" s="63"/>
      <c r="AW76" s="64"/>
      <c r="AX76" s="63"/>
      <c r="AY76" s="5"/>
      <c r="AZ76" s="21" t="str">
        <f t="shared" si="0"/>
        <v/>
      </c>
      <c r="BA76" s="264" t="s">
        <v>170</v>
      </c>
      <c r="BB76" s="264"/>
      <c r="BC76" s="264"/>
      <c r="BD76" s="74" t="s">
        <v>354</v>
      </c>
      <c r="BE76" s="216" t="s">
        <v>28</v>
      </c>
      <c r="BF76" s="56"/>
      <c r="BG76" s="56"/>
      <c r="BH76" s="56"/>
      <c r="BI76" s="56"/>
      <c r="BJ76" s="56"/>
      <c r="BK76" s="56"/>
      <c r="BL76" s="56"/>
      <c r="BM76" s="56"/>
      <c r="BN76" s="56"/>
      <c r="BO76" s="56"/>
      <c r="BP76" s="56"/>
      <c r="BQ76" s="5"/>
      <c r="BR76" s="25"/>
      <c r="BS76" s="5"/>
    </row>
    <row r="77" spans="1:71" s="3" customFormat="1" x14ac:dyDescent="0.25">
      <c r="A77" s="5"/>
      <c r="B77" s="3" t="str">
        <f t="array" ref="B77">IFERROR(INDEX(DemandSupply,MATCH(INDEX($AH$1:AH77,SMALL(ROW($AH$1:AH77)+(10000*($AH$1:AH77="")),COUNTA($AH$1:AH77))),Sectors,0)),"")</f>
        <v>Demand</v>
      </c>
      <c r="E77" s="10"/>
      <c r="F77" s="207"/>
      <c r="G77" s="207"/>
      <c r="H77" s="207"/>
      <c r="I77" s="207"/>
      <c r="J77" s="207"/>
      <c r="K77" s="207"/>
      <c r="L77" s="207"/>
      <c r="M77" s="207"/>
      <c r="N77" s="207"/>
      <c r="O77" s="207"/>
      <c r="P77" s="207"/>
      <c r="Q77" s="207"/>
      <c r="R77" s="207"/>
      <c r="S77" s="207"/>
      <c r="T77" s="207"/>
      <c r="U77" s="207"/>
      <c r="V77" s="207"/>
      <c r="W77" s="207"/>
      <c r="X77" s="207"/>
      <c r="Y77" s="207"/>
      <c r="Z77" s="207"/>
      <c r="AA77" s="207"/>
      <c r="AB77" s="207"/>
      <c r="AC77" s="5"/>
      <c r="AD77" s="63"/>
      <c r="AE77" s="64"/>
      <c r="AF77" s="64"/>
      <c r="AG77" s="212"/>
      <c r="AH77" s="64"/>
      <c r="AI77" s="64"/>
      <c r="AJ77" s="64"/>
      <c r="AK77" s="212"/>
      <c r="AL77" s="64"/>
      <c r="AM77" s="212"/>
      <c r="AN77" s="64"/>
      <c r="AO77" s="64"/>
      <c r="AP77" s="63"/>
      <c r="AQ77" s="64"/>
      <c r="AR77" s="63"/>
      <c r="AS77" s="64"/>
      <c r="AT77" s="63"/>
      <c r="AU77" s="64"/>
      <c r="AV77" s="63"/>
      <c r="AW77" s="64"/>
      <c r="AX77" s="63"/>
      <c r="AY77" s="5"/>
      <c r="AZ77" s="21" t="str">
        <f t="shared" si="0"/>
        <v/>
      </c>
      <c r="BA77" s="264" t="s">
        <v>425</v>
      </c>
      <c r="BB77" s="264"/>
      <c r="BC77" s="264"/>
      <c r="BD77" s="264" t="s">
        <v>99</v>
      </c>
      <c r="BE77" s="216" t="s">
        <v>28</v>
      </c>
      <c r="BF77" s="303"/>
      <c r="BG77" s="303"/>
      <c r="BH77" s="303"/>
      <c r="BI77" s="303"/>
      <c r="BJ77" s="303"/>
      <c r="BK77" s="303"/>
      <c r="BL77" s="303"/>
      <c r="BM77" s="303"/>
      <c r="BN77" s="303"/>
      <c r="BO77" s="303"/>
      <c r="BP77" s="303"/>
      <c r="BQ77" s="5"/>
      <c r="BR77" s="25"/>
      <c r="BS77" s="5"/>
    </row>
    <row r="78" spans="1:71" s="3" customFormat="1" x14ac:dyDescent="0.25">
      <c r="A78" s="5"/>
      <c r="B78" s="3" t="str">
        <f t="array" ref="B78">IFERROR(INDEX(DemandSupply,MATCH(INDEX($AH$1:AH78,SMALL(ROW($AH$1:AH78)+(10000*($AH$1:AH78="")),COUNTA($AH$1:AH78))),Sectors,0)),"")</f>
        <v>Demand</v>
      </c>
      <c r="E78" s="10"/>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5"/>
      <c r="AD78" s="63"/>
      <c r="AE78" s="64"/>
      <c r="AF78" s="64"/>
      <c r="AG78" s="212"/>
      <c r="AH78" s="64"/>
      <c r="AI78" s="64"/>
      <c r="AJ78" s="64"/>
      <c r="AK78" s="212"/>
      <c r="AL78" s="64"/>
      <c r="AM78" s="212"/>
      <c r="AN78" s="64"/>
      <c r="AO78" s="64"/>
      <c r="AP78" s="63"/>
      <c r="AQ78" s="64"/>
      <c r="AR78" s="63"/>
      <c r="AS78" s="64"/>
      <c r="AT78" s="63"/>
      <c r="AU78" s="64"/>
      <c r="AV78" s="63"/>
      <c r="AW78" s="64"/>
      <c r="AX78" s="63"/>
      <c r="AY78" s="5"/>
      <c r="AZ78" s="21" t="str">
        <f t="shared" si="0"/>
        <v/>
      </c>
      <c r="BA78" s="264" t="s">
        <v>438</v>
      </c>
      <c r="BB78" s="264"/>
      <c r="BC78" s="264"/>
      <c r="BD78" s="74" t="s">
        <v>36</v>
      </c>
      <c r="BE78" s="216" t="s">
        <v>28</v>
      </c>
      <c r="BF78" s="56"/>
      <c r="BG78" s="56"/>
      <c r="BH78" s="56"/>
      <c r="BI78" s="56"/>
      <c r="BJ78" s="56"/>
      <c r="BK78" s="56"/>
      <c r="BL78" s="56"/>
      <c r="BM78" s="56"/>
      <c r="BN78" s="56"/>
      <c r="BO78" s="56"/>
      <c r="BP78" s="56"/>
      <c r="BQ78" s="5"/>
      <c r="BR78" s="25"/>
      <c r="BS78" s="5"/>
    </row>
    <row r="79" spans="1:71" s="3" customFormat="1" x14ac:dyDescent="0.25">
      <c r="A79" s="5"/>
      <c r="B79" s="3" t="str">
        <f t="array" ref="B79">IFERROR(INDEX(DemandSupply,MATCH(INDEX($AH$1:AH79,SMALL(ROW($AH$1:AH79)+(10000*($AH$1:AH79="")),COUNTA($AH$1:AH79))),Sectors,0)),"")</f>
        <v>Demand</v>
      </c>
      <c r="E79" s="10"/>
      <c r="F79" s="207"/>
      <c r="G79" s="207"/>
      <c r="H79" s="207"/>
      <c r="I79" s="207"/>
      <c r="J79" s="207"/>
      <c r="K79" s="207"/>
      <c r="L79" s="207"/>
      <c r="M79" s="207"/>
      <c r="N79" s="207"/>
      <c r="O79" s="207"/>
      <c r="P79" s="207"/>
      <c r="Q79" s="207"/>
      <c r="R79" s="207"/>
      <c r="S79" s="207"/>
      <c r="T79" s="207"/>
      <c r="U79" s="207"/>
      <c r="V79" s="207"/>
      <c r="W79" s="207"/>
      <c r="X79" s="207"/>
      <c r="Y79" s="207"/>
      <c r="Z79" s="207"/>
      <c r="AA79" s="207"/>
      <c r="AB79" s="207"/>
      <c r="AC79" s="5"/>
      <c r="AD79" s="63"/>
      <c r="AE79" s="64"/>
      <c r="AF79" s="64"/>
      <c r="AG79" s="212"/>
      <c r="AH79" s="64"/>
      <c r="AI79" s="64"/>
      <c r="AJ79" s="64"/>
      <c r="AK79" s="212"/>
      <c r="AL79" s="64"/>
      <c r="AM79" s="212"/>
      <c r="AN79" s="64"/>
      <c r="AO79" s="64"/>
      <c r="AP79" s="63"/>
      <c r="AQ79" s="64"/>
      <c r="AR79" s="63"/>
      <c r="AS79" s="64"/>
      <c r="AT79" s="63"/>
      <c r="AU79" s="64"/>
      <c r="AV79" s="63"/>
      <c r="AW79" s="64"/>
      <c r="AX79" s="63"/>
      <c r="AY79" s="5"/>
      <c r="AZ79" s="21" t="str">
        <f t="shared" si="0"/>
        <v/>
      </c>
      <c r="BA79" s="264" t="s">
        <v>435</v>
      </c>
      <c r="BB79" s="264"/>
      <c r="BC79" s="264"/>
      <c r="BD79" s="264"/>
      <c r="BE79" s="216" t="s">
        <v>28</v>
      </c>
      <c r="BF79" s="55"/>
      <c r="BG79" s="55"/>
      <c r="BH79" s="55"/>
      <c r="BI79" s="55"/>
      <c r="BJ79" s="55"/>
      <c r="BK79" s="55"/>
      <c r="BL79" s="55"/>
      <c r="BM79" s="55"/>
      <c r="BN79" s="55"/>
      <c r="BO79" s="55"/>
      <c r="BP79" s="55"/>
      <c r="BQ79" s="5"/>
      <c r="BR79" s="25"/>
      <c r="BS79" s="5"/>
    </row>
    <row r="80" spans="1:71" s="3" customFormat="1" x14ac:dyDescent="0.25">
      <c r="A80" s="5"/>
      <c r="B80" s="3" t="str">
        <f t="array" ref="B80">IFERROR(INDEX(DemandSupply,MATCH(INDEX($AH$1:AH80,SMALL(ROW($AH$1:AH80)+(10000*($AH$1:AH80="")),COUNTA($AH$1:AH80))),Sectors,0)),"")</f>
        <v>Demand</v>
      </c>
      <c r="E80" s="10"/>
      <c r="F80" s="207"/>
      <c r="G80" s="207"/>
      <c r="H80" s="207"/>
      <c r="I80" s="207"/>
      <c r="J80" s="207"/>
      <c r="K80" s="207"/>
      <c r="L80" s="207"/>
      <c r="M80" s="207"/>
      <c r="N80" s="207"/>
      <c r="O80" s="207"/>
      <c r="P80" s="207"/>
      <c r="Q80" s="207"/>
      <c r="R80" s="207"/>
      <c r="S80" s="207"/>
      <c r="T80" s="207"/>
      <c r="U80" s="207"/>
      <c r="V80" s="207"/>
      <c r="W80" s="207"/>
      <c r="X80" s="207"/>
      <c r="Y80" s="207"/>
      <c r="Z80" s="207"/>
      <c r="AA80" s="207"/>
      <c r="AB80" s="207"/>
      <c r="AC80" s="5"/>
      <c r="AD80" s="63"/>
      <c r="AE80" s="64"/>
      <c r="AF80" s="64"/>
      <c r="AG80" s="212"/>
      <c r="AH80" s="64"/>
      <c r="AI80" s="64"/>
      <c r="AJ80" s="64"/>
      <c r="AK80" s="212"/>
      <c r="AL80" s="64"/>
      <c r="AM80" s="212"/>
      <c r="AN80" s="64"/>
      <c r="AO80" s="64"/>
      <c r="AP80" s="63"/>
      <c r="AQ80" s="64"/>
      <c r="AR80" s="63"/>
      <c r="AS80" s="64"/>
      <c r="AT80" s="63"/>
      <c r="AU80" s="64"/>
      <c r="AV80" s="63"/>
      <c r="AW80" s="64"/>
      <c r="AX80" s="63"/>
      <c r="AY80" s="5"/>
      <c r="AZ80" s="21" t="str">
        <f t="shared" si="0"/>
        <v/>
      </c>
      <c r="BA80" s="264" t="s">
        <v>407</v>
      </c>
      <c r="BB80" s="264"/>
      <c r="BC80" s="264"/>
      <c r="BD80" s="264" t="s">
        <v>99</v>
      </c>
      <c r="BE80" s="216" t="s">
        <v>28</v>
      </c>
      <c r="BF80" s="303"/>
      <c r="BG80" s="303"/>
      <c r="BH80" s="303"/>
      <c r="BI80" s="303"/>
      <c r="BJ80" s="303"/>
      <c r="BK80" s="303"/>
      <c r="BL80" s="303"/>
      <c r="BM80" s="303"/>
      <c r="BN80" s="303"/>
      <c r="BO80" s="303"/>
      <c r="BP80" s="303"/>
      <c r="BQ80" s="5"/>
      <c r="BR80" s="25"/>
      <c r="BS80" s="5"/>
    </row>
    <row r="81" spans="1:71" s="3" customFormat="1" x14ac:dyDescent="0.25">
      <c r="A81" s="5"/>
      <c r="B81" s="3" t="str">
        <f t="array" ref="B81">IFERROR(INDEX(DemandSupply,MATCH(INDEX($AH$1:AH81,SMALL(ROW($AH$1:AH81)+(10000*($AH$1:AH81="")),COUNTA($AH$1:AH81))),Sectors,0)),"")</f>
        <v>Demand</v>
      </c>
      <c r="E81" s="10"/>
      <c r="F81" s="207"/>
      <c r="G81" s="207"/>
      <c r="H81" s="207"/>
      <c r="I81" s="207"/>
      <c r="J81" s="207"/>
      <c r="K81" s="207"/>
      <c r="L81" s="207"/>
      <c r="M81" s="207"/>
      <c r="N81" s="207"/>
      <c r="O81" s="207"/>
      <c r="P81" s="207"/>
      <c r="Q81" s="207"/>
      <c r="R81" s="207"/>
      <c r="S81" s="207"/>
      <c r="T81" s="207"/>
      <c r="U81" s="207"/>
      <c r="V81" s="207"/>
      <c r="W81" s="207"/>
      <c r="X81" s="207"/>
      <c r="Y81" s="207"/>
      <c r="Z81" s="207"/>
      <c r="AA81" s="207"/>
      <c r="AB81" s="207"/>
      <c r="AC81" s="5"/>
      <c r="AD81" s="63"/>
      <c r="AE81" s="64"/>
      <c r="AF81" s="64"/>
      <c r="AG81" s="212"/>
      <c r="AH81" s="64"/>
      <c r="AI81" s="64"/>
      <c r="AJ81" s="64"/>
      <c r="AK81" s="212"/>
      <c r="AL81" s="64"/>
      <c r="AM81" s="212"/>
      <c r="AN81" s="64"/>
      <c r="AO81" s="64"/>
      <c r="AP81" s="63"/>
      <c r="AQ81" s="64"/>
      <c r="AR81" s="63"/>
      <c r="AS81" s="64"/>
      <c r="AT81" s="63"/>
      <c r="AU81" s="64"/>
      <c r="AV81" s="63"/>
      <c r="AW81" s="64"/>
      <c r="AX81" s="63"/>
      <c r="AY81" s="5"/>
      <c r="AZ81" s="21" t="str">
        <f t="shared" si="0"/>
        <v/>
      </c>
      <c r="BA81" s="264" t="s">
        <v>444</v>
      </c>
      <c r="BB81" s="264"/>
      <c r="BC81" s="264"/>
      <c r="BD81" s="264" t="s">
        <v>354</v>
      </c>
      <c r="BE81" s="216" t="s">
        <v>28</v>
      </c>
      <c r="BF81" s="56"/>
      <c r="BG81" s="56"/>
      <c r="BH81" s="56"/>
      <c r="BI81" s="56"/>
      <c r="BJ81" s="56"/>
      <c r="BK81" s="56"/>
      <c r="BL81" s="56"/>
      <c r="BM81" s="56"/>
      <c r="BN81" s="56"/>
      <c r="BO81" s="56"/>
      <c r="BP81" s="56"/>
      <c r="BQ81" s="5"/>
      <c r="BR81" s="25"/>
      <c r="BS81" s="5"/>
    </row>
    <row r="82" spans="1:71" s="3" customFormat="1" x14ac:dyDescent="0.25">
      <c r="A82" s="5"/>
      <c r="B82" s="3" t="str">
        <f t="array" ref="B82">IFERROR(INDEX(DemandSupply,MATCH(INDEX($AH$1:AH82,SMALL(ROW($AH$1:AH82)+(10000*($AH$1:AH82="")),COUNTA($AH$1:AH82))),Sectors,0)),"")</f>
        <v>Demand</v>
      </c>
      <c r="E82" s="10"/>
      <c r="F82" s="207"/>
      <c r="G82" s="207"/>
      <c r="H82" s="207"/>
      <c r="I82" s="207"/>
      <c r="J82" s="207"/>
      <c r="K82" s="207"/>
      <c r="L82" s="207"/>
      <c r="M82" s="207"/>
      <c r="N82" s="207"/>
      <c r="O82" s="207"/>
      <c r="P82" s="207"/>
      <c r="Q82" s="207"/>
      <c r="R82" s="207"/>
      <c r="S82" s="207"/>
      <c r="T82" s="207"/>
      <c r="U82" s="207"/>
      <c r="V82" s="207"/>
      <c r="W82" s="207"/>
      <c r="X82" s="207"/>
      <c r="Y82" s="207"/>
      <c r="Z82" s="207"/>
      <c r="AA82" s="207"/>
      <c r="AB82" s="207"/>
      <c r="AC82" s="5"/>
      <c r="AD82" s="63"/>
      <c r="AE82" s="64"/>
      <c r="AF82" s="64"/>
      <c r="AG82" s="212"/>
      <c r="AH82" s="64"/>
      <c r="AI82" s="64"/>
      <c r="AJ82" s="64"/>
      <c r="AK82" s="212"/>
      <c r="AL82" s="64"/>
      <c r="AM82" s="212"/>
      <c r="AN82" s="64"/>
      <c r="AO82" s="64"/>
      <c r="AP82" s="63"/>
      <c r="AQ82" s="64"/>
      <c r="AR82" s="63"/>
      <c r="AS82" s="64"/>
      <c r="AT82" s="63"/>
      <c r="AU82" s="64"/>
      <c r="AV82" s="63"/>
      <c r="AW82" s="64"/>
      <c r="AX82" s="63"/>
      <c r="AY82" s="5"/>
      <c r="AZ82" s="21" t="str">
        <f t="shared" si="0"/>
        <v/>
      </c>
      <c r="BA82" s="264" t="s">
        <v>446</v>
      </c>
      <c r="BB82" s="264"/>
      <c r="BC82" s="264"/>
      <c r="BD82" s="264" t="s">
        <v>354</v>
      </c>
      <c r="BE82" s="216" t="s">
        <v>28</v>
      </c>
      <c r="BF82" s="56"/>
      <c r="BG82" s="56"/>
      <c r="BH82" s="56"/>
      <c r="BI82" s="56"/>
      <c r="BJ82" s="56"/>
      <c r="BK82" s="56"/>
      <c r="BL82" s="56"/>
      <c r="BM82" s="56"/>
      <c r="BN82" s="56"/>
      <c r="BO82" s="56"/>
      <c r="BP82" s="56"/>
      <c r="BQ82" s="5"/>
      <c r="BR82" s="25"/>
      <c r="BS82" s="5"/>
    </row>
    <row r="83" spans="1:71" s="3" customFormat="1" x14ac:dyDescent="0.25">
      <c r="A83" s="5"/>
      <c r="B83" s="3" t="str">
        <f t="array" ref="B83">IFERROR(INDEX(DemandSupply,MATCH(INDEX($AH$1:AH83,SMALL(ROW($AH$1:AH83)+(10000*($AH$1:AH83="")),COUNTA($AH$1:AH83))),Sectors,0)),"")</f>
        <v>Demand</v>
      </c>
      <c r="E83" s="10"/>
      <c r="F83" s="207"/>
      <c r="G83" s="207"/>
      <c r="H83" s="207"/>
      <c r="I83" s="207"/>
      <c r="J83" s="207"/>
      <c r="K83" s="207"/>
      <c r="L83" s="207"/>
      <c r="M83" s="207"/>
      <c r="N83" s="207"/>
      <c r="O83" s="207"/>
      <c r="P83" s="207"/>
      <c r="Q83" s="207"/>
      <c r="R83" s="207"/>
      <c r="S83" s="207"/>
      <c r="T83" s="207"/>
      <c r="U83" s="207"/>
      <c r="V83" s="207"/>
      <c r="W83" s="207"/>
      <c r="X83" s="207"/>
      <c r="Y83" s="207"/>
      <c r="Z83" s="207"/>
      <c r="AA83" s="207"/>
      <c r="AB83" s="207"/>
      <c r="AC83" s="5"/>
      <c r="AD83" s="63"/>
      <c r="AE83" s="64"/>
      <c r="AF83" s="64"/>
      <c r="AG83" s="212"/>
      <c r="AH83" s="64"/>
      <c r="AI83" s="64"/>
      <c r="AJ83" s="64"/>
      <c r="AK83" s="212"/>
      <c r="AL83" s="64"/>
      <c r="AM83" s="212"/>
      <c r="AN83" s="64"/>
      <c r="AO83" s="64"/>
      <c r="AP83" s="63"/>
      <c r="AQ83" s="64"/>
      <c r="AR83" s="63"/>
      <c r="AS83" s="64"/>
      <c r="AT83" s="63"/>
      <c r="AU83" s="64"/>
      <c r="AV83" s="63"/>
      <c r="AW83" s="64"/>
      <c r="AX83" s="63"/>
      <c r="AY83" s="5"/>
      <c r="AZ83" s="21" t="str">
        <f t="shared" si="0"/>
        <v/>
      </c>
      <c r="BA83" s="264" t="s">
        <v>447</v>
      </c>
      <c r="BB83" s="264"/>
      <c r="BC83" s="264"/>
      <c r="BD83" s="264"/>
      <c r="BE83" s="216" t="s">
        <v>28</v>
      </c>
      <c r="BF83" s="55"/>
      <c r="BG83" s="55"/>
      <c r="BH83" s="55"/>
      <c r="BI83" s="55"/>
      <c r="BJ83" s="55"/>
      <c r="BK83" s="55"/>
      <c r="BL83" s="55"/>
      <c r="BM83" s="55"/>
      <c r="BN83" s="55"/>
      <c r="BO83" s="55"/>
      <c r="BP83" s="55"/>
      <c r="BQ83" s="5"/>
      <c r="BR83" s="25"/>
      <c r="BS83" s="5"/>
    </row>
    <row r="84" spans="1:71" s="3" customFormat="1" x14ac:dyDescent="0.25">
      <c r="A84" s="5"/>
      <c r="B84" s="3" t="str">
        <f t="array" ref="B84">IFERROR(INDEX(DemandSupply,MATCH(INDEX($AH$1:AH84,SMALL(ROW($AH$1:AH84)+(10000*($AH$1:AH84="")),COUNTA($AH$1:AH84))),Sectors,0)),"")</f>
        <v>Demand</v>
      </c>
      <c r="E84" s="10"/>
      <c r="F84" s="207"/>
      <c r="G84" s="207"/>
      <c r="H84" s="207"/>
      <c r="I84" s="207"/>
      <c r="J84" s="207"/>
      <c r="K84" s="207"/>
      <c r="L84" s="207"/>
      <c r="M84" s="207"/>
      <c r="N84" s="207"/>
      <c r="O84" s="207"/>
      <c r="P84" s="207"/>
      <c r="Q84" s="207"/>
      <c r="R84" s="207"/>
      <c r="S84" s="207"/>
      <c r="T84" s="207"/>
      <c r="U84" s="207"/>
      <c r="V84" s="207"/>
      <c r="W84" s="207"/>
      <c r="X84" s="207"/>
      <c r="Y84" s="207"/>
      <c r="Z84" s="207"/>
      <c r="AA84" s="207"/>
      <c r="AB84" s="207"/>
      <c r="AC84" s="5"/>
      <c r="AD84" s="63"/>
      <c r="AE84" s="64"/>
      <c r="AF84" s="64"/>
      <c r="AG84" s="212"/>
      <c r="AH84" s="64"/>
      <c r="AI84" s="64"/>
      <c r="AJ84" s="64"/>
      <c r="AK84" s="212"/>
      <c r="AL84" s="64"/>
      <c r="AM84" s="212"/>
      <c r="AN84" s="64"/>
      <c r="AO84" s="64"/>
      <c r="AP84" s="63"/>
      <c r="AQ84" s="64"/>
      <c r="AR84" s="63"/>
      <c r="AS84" s="64"/>
      <c r="AT84" s="63"/>
      <c r="AU84" s="64"/>
      <c r="AV84" s="63"/>
      <c r="AW84" s="64"/>
      <c r="AX84" s="63"/>
      <c r="AY84" s="5"/>
      <c r="AZ84" s="21" t="str">
        <f t="shared" si="0"/>
        <v/>
      </c>
      <c r="BA84" s="264" t="s">
        <v>448</v>
      </c>
      <c r="BB84" s="264"/>
      <c r="BC84" s="264"/>
      <c r="BD84" s="264"/>
      <c r="BE84" s="216" t="s">
        <v>28</v>
      </c>
      <c r="BF84" s="55"/>
      <c r="BG84" s="55"/>
      <c r="BH84" s="55"/>
      <c r="BI84" s="55"/>
      <c r="BJ84" s="55"/>
      <c r="BK84" s="55"/>
      <c r="BL84" s="55"/>
      <c r="BM84" s="55"/>
      <c r="BN84" s="55"/>
      <c r="BO84" s="55"/>
      <c r="BP84" s="55"/>
      <c r="BQ84" s="5"/>
      <c r="BR84" s="25"/>
      <c r="BS84" s="5"/>
    </row>
    <row r="85" spans="1:71" s="3" customFormat="1" x14ac:dyDescent="0.25">
      <c r="A85" s="5"/>
      <c r="B85" s="3" t="str">
        <f t="array" ref="B85">IFERROR(INDEX(DemandSupply,MATCH(INDEX($AH$1:AH85,SMALL(ROW($AH$1:AH85)+(10000*($AH$1:AH85="")),COUNTA($AH$1:AH85))),Sectors,0)),"")</f>
        <v>Demand</v>
      </c>
      <c r="E85" s="10"/>
      <c r="F85" s="207"/>
      <c r="G85" s="207"/>
      <c r="H85" s="207"/>
      <c r="I85" s="207"/>
      <c r="J85" s="207"/>
      <c r="K85" s="207"/>
      <c r="L85" s="207"/>
      <c r="M85" s="207"/>
      <c r="N85" s="207"/>
      <c r="O85" s="207"/>
      <c r="P85" s="207"/>
      <c r="Q85" s="207"/>
      <c r="R85" s="207"/>
      <c r="S85" s="207"/>
      <c r="T85" s="207"/>
      <c r="U85" s="207"/>
      <c r="V85" s="207"/>
      <c r="W85" s="207"/>
      <c r="X85" s="207"/>
      <c r="Y85" s="207"/>
      <c r="Z85" s="207"/>
      <c r="AA85" s="207"/>
      <c r="AB85" s="207"/>
      <c r="AC85" s="5"/>
      <c r="AD85" s="63"/>
      <c r="AE85" s="64"/>
      <c r="AF85" s="64"/>
      <c r="AG85" s="212"/>
      <c r="AH85" s="64"/>
      <c r="AI85" s="64"/>
      <c r="AJ85" s="64"/>
      <c r="AK85" s="212"/>
      <c r="AL85" s="64"/>
      <c r="AM85" s="212"/>
      <c r="AN85" s="64"/>
      <c r="AO85" s="64"/>
      <c r="AP85" s="63"/>
      <c r="AQ85" s="64"/>
      <c r="AR85" s="63"/>
      <c r="AS85" s="64"/>
      <c r="AT85" s="63"/>
      <c r="AU85" s="64"/>
      <c r="AV85" s="63"/>
      <c r="AW85" s="64"/>
      <c r="AX85" s="63"/>
      <c r="AY85" s="5"/>
      <c r="AZ85" s="21" t="str">
        <f t="shared" si="0"/>
        <v/>
      </c>
      <c r="BA85" s="264" t="s">
        <v>445</v>
      </c>
      <c r="BB85" s="264"/>
      <c r="BC85" s="264"/>
      <c r="BD85" s="74" t="s">
        <v>357</v>
      </c>
      <c r="BE85" s="216" t="s">
        <v>28</v>
      </c>
      <c r="BF85" s="56"/>
      <c r="BG85" s="56"/>
      <c r="BH85" s="56"/>
      <c r="BI85" s="56"/>
      <c r="BJ85" s="56"/>
      <c r="BK85" s="56"/>
      <c r="BL85" s="56"/>
      <c r="BM85" s="56"/>
      <c r="BN85" s="56"/>
      <c r="BO85" s="56"/>
      <c r="BP85" s="56"/>
      <c r="BQ85" s="5"/>
      <c r="BR85" s="25"/>
      <c r="BS85" s="5"/>
    </row>
    <row r="86" spans="1:71" s="3" customFormat="1" x14ac:dyDescent="0.25">
      <c r="A86" s="5"/>
      <c r="B86" s="3" t="str">
        <f t="array" ref="B86">IFERROR(INDEX(DemandSupply,MATCH(INDEX($AH$1:AH86,SMALL(ROW($AH$1:AH86)+(10000*($AH$1:AH86="")),COUNTA($AH$1:AH86))),Sectors,0)),"")</f>
        <v>Demand</v>
      </c>
      <c r="E86" s="10"/>
      <c r="F86" s="207"/>
      <c r="G86" s="207"/>
      <c r="H86" s="207"/>
      <c r="I86" s="207"/>
      <c r="J86" s="207"/>
      <c r="K86" s="207"/>
      <c r="L86" s="207"/>
      <c r="M86" s="207"/>
      <c r="N86" s="207"/>
      <c r="O86" s="207"/>
      <c r="P86" s="207"/>
      <c r="Q86" s="207"/>
      <c r="R86" s="207"/>
      <c r="S86" s="207"/>
      <c r="T86" s="207"/>
      <c r="U86" s="207"/>
      <c r="V86" s="207"/>
      <c r="W86" s="207"/>
      <c r="X86" s="207"/>
      <c r="Y86" s="207"/>
      <c r="Z86" s="207"/>
      <c r="AA86" s="207"/>
      <c r="AB86" s="207"/>
      <c r="AC86" s="5"/>
      <c r="AD86" s="63"/>
      <c r="AE86" s="64"/>
      <c r="AF86" s="64"/>
      <c r="AG86" s="212"/>
      <c r="AH86" s="64"/>
      <c r="AI86" s="64"/>
      <c r="AJ86" s="64"/>
      <c r="AK86" s="212"/>
      <c r="AL86" s="64"/>
      <c r="AM86" s="212"/>
      <c r="AN86" s="64"/>
      <c r="AO86" s="64"/>
      <c r="AP86" s="63"/>
      <c r="AQ86" s="64"/>
      <c r="AR86" s="63"/>
      <c r="AS86" s="64"/>
      <c r="AT86" s="63"/>
      <c r="AU86" s="64"/>
      <c r="AV86" s="63"/>
      <c r="AW86" s="64"/>
      <c r="AX86" s="63"/>
      <c r="AY86" s="5"/>
      <c r="AZ86" s="21" t="str">
        <f t="shared" si="0"/>
        <v/>
      </c>
      <c r="BA86" s="264" t="s">
        <v>449</v>
      </c>
      <c r="BB86" s="264"/>
      <c r="BC86" s="264"/>
      <c r="BD86" s="74" t="s">
        <v>357</v>
      </c>
      <c r="BE86" s="216" t="s">
        <v>28</v>
      </c>
      <c r="BF86" s="56"/>
      <c r="BG86" s="56"/>
      <c r="BH86" s="56"/>
      <c r="BI86" s="56"/>
      <c r="BJ86" s="56"/>
      <c r="BK86" s="56"/>
      <c r="BL86" s="56"/>
      <c r="BM86" s="56"/>
      <c r="BN86" s="56"/>
      <c r="BO86" s="56"/>
      <c r="BP86" s="56"/>
      <c r="BQ86" s="5"/>
      <c r="BR86" s="25"/>
      <c r="BS86" s="5"/>
    </row>
    <row r="87" spans="1:71" s="3" customFormat="1" x14ac:dyDescent="0.25">
      <c r="A87" s="5"/>
      <c r="B87" s="3" t="str">
        <f t="array" ref="B87">IFERROR(INDEX(DemandSupply,MATCH(INDEX($AH$1:AH87,SMALL(ROW($AH$1:AH87)+(10000*($AH$1:AH87="")),COUNTA($AH$1:AH87))),Sectors,0)),"")</f>
        <v>Demand</v>
      </c>
      <c r="E87" s="10"/>
      <c r="F87" s="207"/>
      <c r="G87" s="207"/>
      <c r="H87" s="207"/>
      <c r="I87" s="207"/>
      <c r="J87" s="207"/>
      <c r="K87" s="207"/>
      <c r="L87" s="207"/>
      <c r="M87" s="207"/>
      <c r="N87" s="207"/>
      <c r="O87" s="207"/>
      <c r="P87" s="207"/>
      <c r="Q87" s="207"/>
      <c r="R87" s="207"/>
      <c r="S87" s="207"/>
      <c r="T87" s="207"/>
      <c r="U87" s="207"/>
      <c r="V87" s="207"/>
      <c r="W87" s="207"/>
      <c r="X87" s="207"/>
      <c r="Y87" s="207"/>
      <c r="Z87" s="207"/>
      <c r="AA87" s="207"/>
      <c r="AB87" s="207"/>
      <c r="AC87" s="5"/>
      <c r="AD87" s="63"/>
      <c r="AE87" s="64"/>
      <c r="AF87" s="64"/>
      <c r="AG87" s="212"/>
      <c r="AH87" s="64"/>
      <c r="AI87" s="64"/>
      <c r="AJ87" s="64"/>
      <c r="AK87" s="212"/>
      <c r="AL87" s="64"/>
      <c r="AM87" s="212"/>
      <c r="AN87" s="64"/>
      <c r="AO87" s="64"/>
      <c r="AP87" s="63"/>
      <c r="AQ87" s="64"/>
      <c r="AR87" s="63"/>
      <c r="AS87" s="64"/>
      <c r="AT87" s="63"/>
      <c r="AU87" s="64"/>
      <c r="AV87" s="63"/>
      <c r="AW87" s="64"/>
      <c r="AX87" s="63"/>
      <c r="AY87" s="5"/>
      <c r="AZ87" s="21" t="str">
        <f t="shared" si="0"/>
        <v/>
      </c>
      <c r="BA87" s="264" t="s">
        <v>450</v>
      </c>
      <c r="BB87" s="264"/>
      <c r="BC87" s="264"/>
      <c r="BD87" s="264"/>
      <c r="BE87" s="216" t="s">
        <v>28</v>
      </c>
      <c r="BF87" s="55"/>
      <c r="BG87" s="55"/>
      <c r="BH87" s="55"/>
      <c r="BI87" s="55"/>
      <c r="BJ87" s="55"/>
      <c r="BK87" s="55"/>
      <c r="BL87" s="55"/>
      <c r="BM87" s="55"/>
      <c r="BN87" s="55"/>
      <c r="BO87" s="55"/>
      <c r="BP87" s="55"/>
      <c r="BQ87" s="5"/>
      <c r="BR87" s="25"/>
      <c r="BS87" s="5"/>
    </row>
    <row r="88" spans="1:71" s="3" customFormat="1" x14ac:dyDescent="0.25">
      <c r="A88" s="5"/>
      <c r="B88" s="3" t="str">
        <f t="array" ref="B88">IFERROR(INDEX(DemandSupply,MATCH(INDEX($AH$1:AH88,SMALL(ROW($AH$1:AH88)+(10000*($AH$1:AH88="")),COUNTA($AH$1:AH88))),Sectors,0)),"")</f>
        <v>Demand</v>
      </c>
      <c r="E88" s="10"/>
      <c r="F88" s="207"/>
      <c r="G88" s="207"/>
      <c r="H88" s="207"/>
      <c r="I88" s="207"/>
      <c r="J88" s="207"/>
      <c r="K88" s="207"/>
      <c r="L88" s="207"/>
      <c r="M88" s="207"/>
      <c r="N88" s="207"/>
      <c r="O88" s="207"/>
      <c r="P88" s="207"/>
      <c r="Q88" s="207"/>
      <c r="R88" s="207"/>
      <c r="S88" s="207"/>
      <c r="T88" s="207"/>
      <c r="U88" s="207"/>
      <c r="V88" s="207"/>
      <c r="W88" s="207"/>
      <c r="X88" s="207"/>
      <c r="Y88" s="207"/>
      <c r="Z88" s="207"/>
      <c r="AA88" s="207"/>
      <c r="AB88" s="207"/>
      <c r="AC88" s="5"/>
      <c r="AD88" s="63"/>
      <c r="AE88" s="64"/>
      <c r="AF88" s="64"/>
      <c r="AG88" s="212"/>
      <c r="AH88" s="64"/>
      <c r="AI88" s="64"/>
      <c r="AJ88" s="64"/>
      <c r="AK88" s="212"/>
      <c r="AL88" s="64"/>
      <c r="AM88" s="212"/>
      <c r="AN88" s="64"/>
      <c r="AO88" s="64"/>
      <c r="AP88" s="63"/>
      <c r="AQ88" s="64"/>
      <c r="AR88" s="63"/>
      <c r="AS88" s="64"/>
      <c r="AT88" s="63"/>
      <c r="AU88" s="64"/>
      <c r="AV88" s="63"/>
      <c r="AW88" s="64"/>
      <c r="AX88" s="63"/>
      <c r="AY88" s="5"/>
      <c r="AZ88" s="21" t="str">
        <f t="shared" si="0"/>
        <v/>
      </c>
      <c r="BA88" s="264" t="s">
        <v>451</v>
      </c>
      <c r="BB88" s="264"/>
      <c r="BC88" s="264"/>
      <c r="BD88" s="264"/>
      <c r="BE88" s="216" t="s">
        <v>28</v>
      </c>
      <c r="BF88" s="55"/>
      <c r="BG88" s="55"/>
      <c r="BH88" s="55"/>
      <c r="BI88" s="55"/>
      <c r="BJ88" s="55"/>
      <c r="BK88" s="55"/>
      <c r="BL88" s="55"/>
      <c r="BM88" s="55"/>
      <c r="BN88" s="55"/>
      <c r="BO88" s="55"/>
      <c r="BP88" s="55"/>
      <c r="BQ88" s="5"/>
      <c r="BR88" s="25"/>
      <c r="BS88" s="5"/>
    </row>
    <row r="89" spans="1:71" s="3" customFormat="1" x14ac:dyDescent="0.25">
      <c r="A89" s="5"/>
      <c r="B89" s="3" t="str">
        <f t="array" ref="B89">IFERROR(INDEX(DemandSupply,MATCH(INDEX($AH$1:AH89,SMALL(ROW($AH$1:AH89)+(10000*($AH$1:AH89="")),COUNTA($AH$1:AH89))),Sectors,0)),"")</f>
        <v>Demand</v>
      </c>
      <c r="E89" s="10"/>
      <c r="F89" s="207"/>
      <c r="G89" s="207"/>
      <c r="H89" s="207"/>
      <c r="I89" s="207"/>
      <c r="J89" s="207"/>
      <c r="K89" s="207"/>
      <c r="L89" s="207"/>
      <c r="M89" s="207"/>
      <c r="N89" s="207"/>
      <c r="O89" s="207"/>
      <c r="P89" s="207"/>
      <c r="Q89" s="207"/>
      <c r="R89" s="207"/>
      <c r="S89" s="207"/>
      <c r="T89" s="207"/>
      <c r="U89" s="207"/>
      <c r="V89" s="207"/>
      <c r="W89" s="207"/>
      <c r="X89" s="207"/>
      <c r="Y89" s="207"/>
      <c r="Z89" s="207"/>
      <c r="AA89" s="207"/>
      <c r="AB89" s="207"/>
      <c r="AC89" s="5"/>
      <c r="AD89" s="63"/>
      <c r="AE89" s="64"/>
      <c r="AF89" s="64"/>
      <c r="AG89" s="212"/>
      <c r="AH89" s="64"/>
      <c r="AI89" s="64"/>
      <c r="AJ89" s="64"/>
      <c r="AK89" s="212"/>
      <c r="AL89" s="64"/>
      <c r="AM89" s="212"/>
      <c r="AN89" s="64"/>
      <c r="AO89" s="64"/>
      <c r="AP89" s="63"/>
      <c r="AQ89" s="64"/>
      <c r="AR89" s="63"/>
      <c r="AS89" s="64"/>
      <c r="AT89" s="63"/>
      <c r="AU89" s="64"/>
      <c r="AV89" s="63"/>
      <c r="AW89" s="64"/>
      <c r="AX89" s="63"/>
      <c r="AY89" s="5"/>
      <c r="AZ89" s="21" t="str">
        <f t="shared" si="0"/>
        <v/>
      </c>
      <c r="BA89" s="264" t="s">
        <v>342</v>
      </c>
      <c r="BB89" s="264"/>
      <c r="BC89" s="264"/>
      <c r="BD89" s="74" t="s">
        <v>357</v>
      </c>
      <c r="BE89" s="216" t="s">
        <v>28</v>
      </c>
      <c r="BF89" s="56"/>
      <c r="BG89" s="56"/>
      <c r="BH89" s="56"/>
      <c r="BI89" s="56"/>
      <c r="BJ89" s="56"/>
      <c r="BK89" s="56"/>
      <c r="BL89" s="56"/>
      <c r="BM89" s="56"/>
      <c r="BN89" s="56"/>
      <c r="BO89" s="56"/>
      <c r="BP89" s="56"/>
      <c r="BQ89" s="5"/>
      <c r="BR89" s="25"/>
      <c r="BS89" s="5"/>
    </row>
    <row r="90" spans="1:71" s="3" customFormat="1" x14ac:dyDescent="0.25">
      <c r="A90" s="5"/>
      <c r="B90" s="3" t="str">
        <f t="array" ref="B90">IFERROR(INDEX(DemandSupply,MATCH(INDEX($AH$1:AH90,SMALL(ROW($AH$1:AH90)+(10000*($AH$1:AH90="")),COUNTA($AH$1:AH90))),Sectors,0)),"")</f>
        <v>Demand</v>
      </c>
      <c r="E90" s="10"/>
      <c r="F90" s="207"/>
      <c r="G90" s="207"/>
      <c r="H90" s="207"/>
      <c r="I90" s="207"/>
      <c r="J90" s="207"/>
      <c r="K90" s="207"/>
      <c r="L90" s="207"/>
      <c r="M90" s="207"/>
      <c r="N90" s="207"/>
      <c r="O90" s="207"/>
      <c r="P90" s="207"/>
      <c r="Q90" s="207"/>
      <c r="R90" s="207"/>
      <c r="S90" s="207"/>
      <c r="T90" s="207"/>
      <c r="U90" s="207"/>
      <c r="V90" s="207"/>
      <c r="W90" s="207"/>
      <c r="X90" s="207"/>
      <c r="Y90" s="207"/>
      <c r="Z90" s="207"/>
      <c r="AA90" s="207"/>
      <c r="AB90" s="207"/>
      <c r="AC90" s="5"/>
      <c r="AD90" s="63"/>
      <c r="AE90" s="64"/>
      <c r="AF90" s="64"/>
      <c r="AG90" s="212"/>
      <c r="AH90" s="64"/>
      <c r="AI90" s="64"/>
      <c r="AJ90" s="64"/>
      <c r="AK90" s="212"/>
      <c r="AL90" s="64"/>
      <c r="AM90" s="212"/>
      <c r="AN90" s="64"/>
      <c r="AO90" s="64"/>
      <c r="AP90" s="63"/>
      <c r="AQ90" s="64"/>
      <c r="AR90" s="63"/>
      <c r="AS90" s="64"/>
      <c r="AT90" s="63"/>
      <c r="AU90" s="64"/>
      <c r="AV90" s="63"/>
      <c r="AW90" s="64"/>
      <c r="AX90" s="63"/>
      <c r="AY90" s="5"/>
      <c r="AZ90" s="21" t="str">
        <f t="shared" si="0"/>
        <v/>
      </c>
      <c r="BA90" s="264" t="s">
        <v>394</v>
      </c>
      <c r="BB90" s="264"/>
      <c r="BC90" s="264"/>
      <c r="BD90" s="264" t="s">
        <v>354</v>
      </c>
      <c r="BE90" s="216" t="s">
        <v>28</v>
      </c>
      <c r="BF90" s="56"/>
      <c r="BG90" s="56"/>
      <c r="BH90" s="56"/>
      <c r="BI90" s="56"/>
      <c r="BJ90" s="56"/>
      <c r="BK90" s="56"/>
      <c r="BL90" s="56"/>
      <c r="BM90" s="56"/>
      <c r="BN90" s="56"/>
      <c r="BO90" s="56"/>
      <c r="BP90" s="56"/>
      <c r="BQ90" s="5"/>
      <c r="BR90" s="25"/>
      <c r="BS90" s="5"/>
    </row>
    <row r="91" spans="1:71" s="3" customFormat="1" x14ac:dyDescent="0.25">
      <c r="A91" s="5"/>
      <c r="B91" s="3" t="str">
        <f t="array" ref="B91">IFERROR(INDEX(DemandSupply,MATCH(INDEX($AH$1:AH91,SMALL(ROW($AH$1:AH91)+(10000*($AH$1:AH91="")),COUNTA($AH$1:AH91))),Sectors,0)),"")</f>
        <v>Demand</v>
      </c>
      <c r="E91" s="10">
        <f t="shared" ref="E91:E224" si="24">IF(COUNTA(BA91)=1,0,MIN(F91:AA91))</f>
        <v>0</v>
      </c>
      <c r="F91" s="207">
        <v>1</v>
      </c>
      <c r="G91" s="207">
        <v>1</v>
      </c>
      <c r="H91" s="207">
        <v>1</v>
      </c>
      <c r="I91" s="207">
        <v>1</v>
      </c>
      <c r="J91" s="207">
        <v>1</v>
      </c>
      <c r="K91" s="207">
        <v>1</v>
      </c>
      <c r="L91" s="207">
        <v>1</v>
      </c>
      <c r="M91" s="207">
        <v>1</v>
      </c>
      <c r="N91" s="207">
        <v>1</v>
      </c>
      <c r="O91" s="207">
        <v>1</v>
      </c>
      <c r="P91" s="207">
        <v>1</v>
      </c>
      <c r="Q91" s="207">
        <v>1</v>
      </c>
      <c r="R91" s="207">
        <v>1</v>
      </c>
      <c r="S91" s="207">
        <v>1</v>
      </c>
      <c r="T91" s="207">
        <v>1</v>
      </c>
      <c r="U91" s="207">
        <v>1</v>
      </c>
      <c r="V91" s="207">
        <v>1</v>
      </c>
      <c r="W91" s="207">
        <v>1</v>
      </c>
      <c r="X91" s="207">
        <v>1</v>
      </c>
      <c r="Y91" s="207">
        <v>1</v>
      </c>
      <c r="Z91" s="207">
        <v>1</v>
      </c>
      <c r="AA91" s="207">
        <v>1</v>
      </c>
      <c r="AB91" s="207">
        <v>1</v>
      </c>
      <c r="AC91" s="5"/>
      <c r="AD91" s="63"/>
      <c r="AE91" s="64"/>
      <c r="AF91" s="64"/>
      <c r="AG91" s="212"/>
      <c r="AH91" s="64"/>
      <c r="AI91" s="64"/>
      <c r="AJ91" s="64"/>
      <c r="AK91" s="212"/>
      <c r="AL91" s="64"/>
      <c r="AM91" s="212"/>
      <c r="AN91" s="64"/>
      <c r="AO91" s="64"/>
      <c r="AP91" s="63"/>
      <c r="AQ91" s="64"/>
      <c r="AR91" s="63"/>
      <c r="AS91" s="64"/>
      <c r="AT91" s="63"/>
      <c r="AU91" s="64"/>
      <c r="AV91" s="63"/>
      <c r="AW91" s="64"/>
      <c r="AX91" s="63"/>
      <c r="AY91" s="5"/>
      <c r="AZ91" s="21" t="str">
        <f t="shared" si="0"/>
        <v/>
      </c>
      <c r="BA91" s="74" t="s">
        <v>338</v>
      </c>
      <c r="BB91" s="25"/>
      <c r="BC91" s="74" t="s">
        <v>129</v>
      </c>
      <c r="BD91" s="74" t="s">
        <v>45</v>
      </c>
      <c r="BE91" s="216" t="s">
        <v>28</v>
      </c>
      <c r="BF91" s="55">
        <v>0.997</v>
      </c>
      <c r="BG91" s="55">
        <f>BF91</f>
        <v>0.997</v>
      </c>
      <c r="BH91" s="55">
        <f t="shared" ref="BH91:BP92" si="25">BG91</f>
        <v>0.997</v>
      </c>
      <c r="BI91" s="55">
        <f t="shared" si="25"/>
        <v>0.997</v>
      </c>
      <c r="BJ91" s="55">
        <f t="shared" si="25"/>
        <v>0.997</v>
      </c>
      <c r="BK91" s="55">
        <f t="shared" si="25"/>
        <v>0.997</v>
      </c>
      <c r="BL91" s="55">
        <f t="shared" si="25"/>
        <v>0.997</v>
      </c>
      <c r="BM91" s="55">
        <f t="shared" si="25"/>
        <v>0.997</v>
      </c>
      <c r="BN91" s="55">
        <f t="shared" si="25"/>
        <v>0.997</v>
      </c>
      <c r="BO91" s="55">
        <f t="shared" si="25"/>
        <v>0.997</v>
      </c>
      <c r="BP91" s="55">
        <f t="shared" si="25"/>
        <v>0.997</v>
      </c>
      <c r="BQ91" s="5"/>
      <c r="BR91" s="25"/>
      <c r="BS91" s="5"/>
    </row>
    <row r="92" spans="1:71" s="3" customFormat="1" x14ac:dyDescent="0.25">
      <c r="A92" s="5"/>
      <c r="B92" s="3" t="str">
        <f t="array" ref="B92">IFERROR(INDEX(DemandSupply,MATCH(INDEX($AH$1:AH92,SMALL(ROW($AH$1:AH92)+(10000*($AH$1:AH92="")),COUNTA($AH$1:AH92))),Sectors,0)),"")</f>
        <v>Demand</v>
      </c>
      <c r="E92" s="10">
        <f t="shared" si="24"/>
        <v>0</v>
      </c>
      <c r="F92" s="207">
        <v>1</v>
      </c>
      <c r="G92" s="207">
        <v>1</v>
      </c>
      <c r="H92" s="207">
        <v>1</v>
      </c>
      <c r="I92" s="207">
        <v>1</v>
      </c>
      <c r="J92" s="207">
        <v>1</v>
      </c>
      <c r="K92" s="207">
        <v>1</v>
      </c>
      <c r="L92" s="207">
        <v>1</v>
      </c>
      <c r="M92" s="207">
        <v>1</v>
      </c>
      <c r="N92" s="207">
        <v>1</v>
      </c>
      <c r="O92" s="207">
        <v>1</v>
      </c>
      <c r="P92" s="207">
        <v>1</v>
      </c>
      <c r="Q92" s="207">
        <v>1</v>
      </c>
      <c r="R92" s="207">
        <v>1</v>
      </c>
      <c r="S92" s="207">
        <v>1</v>
      </c>
      <c r="T92" s="207">
        <v>1</v>
      </c>
      <c r="U92" s="207">
        <v>1</v>
      </c>
      <c r="V92" s="207">
        <v>1</v>
      </c>
      <c r="W92" s="207">
        <v>1</v>
      </c>
      <c r="X92" s="207">
        <v>1</v>
      </c>
      <c r="Y92" s="207">
        <v>1</v>
      </c>
      <c r="Z92" s="207">
        <v>1</v>
      </c>
      <c r="AA92" s="207">
        <v>1</v>
      </c>
      <c r="AB92" s="207">
        <v>1</v>
      </c>
      <c r="AC92" s="5"/>
      <c r="AD92" s="63"/>
      <c r="AE92" s="64"/>
      <c r="AF92" s="64"/>
      <c r="AG92" s="212"/>
      <c r="AH92" s="64"/>
      <c r="AI92" s="64"/>
      <c r="AJ92" s="64"/>
      <c r="AK92" s="212"/>
      <c r="AL92" s="64"/>
      <c r="AM92" s="212"/>
      <c r="AN92" s="64"/>
      <c r="AO92" s="64"/>
      <c r="AP92" s="63"/>
      <c r="AQ92" s="64"/>
      <c r="AR92" s="63"/>
      <c r="AS92" s="64"/>
      <c r="AT92" s="63"/>
      <c r="AU92" s="64"/>
      <c r="AV92" s="63"/>
      <c r="AW92" s="64"/>
      <c r="AX92" s="63"/>
      <c r="AY92" s="5"/>
      <c r="AZ92" s="21" t="str">
        <f t="shared" si="0"/>
        <v/>
      </c>
      <c r="BA92" s="74" t="s">
        <v>338</v>
      </c>
      <c r="BB92" s="25"/>
      <c r="BC92" s="74" t="s">
        <v>130</v>
      </c>
      <c r="BD92" s="74" t="s">
        <v>45</v>
      </c>
      <c r="BE92" s="216" t="s">
        <v>28</v>
      </c>
      <c r="BF92" s="55">
        <v>0.109</v>
      </c>
      <c r="BG92" s="55">
        <f>BF92</f>
        <v>0.109</v>
      </c>
      <c r="BH92" s="55">
        <f t="shared" si="25"/>
        <v>0.109</v>
      </c>
      <c r="BI92" s="55">
        <f t="shared" si="25"/>
        <v>0.109</v>
      </c>
      <c r="BJ92" s="55">
        <f t="shared" si="25"/>
        <v>0.109</v>
      </c>
      <c r="BK92" s="55">
        <f t="shared" si="25"/>
        <v>0.109</v>
      </c>
      <c r="BL92" s="55">
        <f t="shared" si="25"/>
        <v>0.109</v>
      </c>
      <c r="BM92" s="55">
        <f t="shared" si="25"/>
        <v>0.109</v>
      </c>
      <c r="BN92" s="55">
        <f t="shared" si="25"/>
        <v>0.109</v>
      </c>
      <c r="BO92" s="55">
        <f t="shared" si="25"/>
        <v>0.109</v>
      </c>
      <c r="BP92" s="55">
        <f t="shared" si="25"/>
        <v>0.109</v>
      </c>
      <c r="BQ92" s="5"/>
      <c r="BR92" s="25"/>
      <c r="BS92" s="5"/>
    </row>
    <row r="93" spans="1:71" s="3" customFormat="1" x14ac:dyDescent="0.25">
      <c r="A93" s="5"/>
      <c r="B93" s="3" t="str">
        <f t="array" ref="B93">IFERROR(INDEX(DemandSupply,MATCH(INDEX($AH$1:AH93,SMALL(ROW($AH$1:AH93)+(10000*($AH$1:AH93="")),COUNTA($AH$1:AH93))),Sectors,0)),"")</f>
        <v>Demand</v>
      </c>
      <c r="E93" s="10">
        <f t="shared" si="24"/>
        <v>0</v>
      </c>
      <c r="F93" s="207">
        <v>1</v>
      </c>
      <c r="G93" s="207">
        <v>1</v>
      </c>
      <c r="H93" s="207">
        <v>1</v>
      </c>
      <c r="I93" s="207">
        <v>1</v>
      </c>
      <c r="J93" s="207">
        <v>1</v>
      </c>
      <c r="K93" s="207">
        <v>1</v>
      </c>
      <c r="L93" s="207">
        <v>1</v>
      </c>
      <c r="M93" s="207">
        <v>1</v>
      </c>
      <c r="N93" s="207">
        <v>1</v>
      </c>
      <c r="O93" s="207">
        <v>1</v>
      </c>
      <c r="P93" s="207">
        <v>1</v>
      </c>
      <c r="Q93" s="207">
        <v>1</v>
      </c>
      <c r="R93" s="207">
        <v>1</v>
      </c>
      <c r="S93" s="207">
        <v>1</v>
      </c>
      <c r="T93" s="207">
        <v>1</v>
      </c>
      <c r="U93" s="207">
        <v>1</v>
      </c>
      <c r="V93" s="207">
        <v>1</v>
      </c>
      <c r="W93" s="207">
        <v>1</v>
      </c>
      <c r="X93" s="207">
        <v>1</v>
      </c>
      <c r="Y93" s="207">
        <v>1</v>
      </c>
      <c r="Z93" s="207">
        <v>1</v>
      </c>
      <c r="AA93" s="207">
        <v>1</v>
      </c>
      <c r="AB93" s="207">
        <v>1</v>
      </c>
      <c r="AC93" s="5"/>
      <c r="AD93" s="63"/>
      <c r="AE93" s="64"/>
      <c r="AF93" s="64"/>
      <c r="AG93" s="212"/>
      <c r="AH93" s="64"/>
      <c r="AI93" s="64"/>
      <c r="AJ93" s="64"/>
      <c r="AK93" s="212"/>
      <c r="AL93" s="64"/>
      <c r="AM93" s="212"/>
      <c r="AN93" s="64"/>
      <c r="AO93" s="64"/>
      <c r="AP93" s="63"/>
      <c r="AQ93" s="64"/>
      <c r="AR93" s="63"/>
      <c r="AS93" s="64"/>
      <c r="AT93" s="63"/>
      <c r="AU93" s="64"/>
      <c r="AV93" s="63"/>
      <c r="AW93" s="64"/>
      <c r="AX93" s="63"/>
      <c r="AY93" s="5"/>
      <c r="AZ93" s="21" t="str">
        <f t="shared" ref="AZ93:AZ156" si="26">IFERROR(INDEX($AD93:$AX93,MATCH(TRUE,INDEX(($AD93:$AX93&lt;&gt;0),0),0)),"")</f>
        <v/>
      </c>
      <c r="BA93" s="291" t="s">
        <v>51</v>
      </c>
      <c r="BB93" s="25"/>
      <c r="BC93" s="2"/>
      <c r="BD93" s="2"/>
      <c r="BE93" s="216" t="s">
        <v>27</v>
      </c>
      <c r="BF93" s="4"/>
      <c r="BG93" s="4"/>
      <c r="BH93" s="4"/>
      <c r="BI93" s="4"/>
      <c r="BJ93" s="4"/>
      <c r="BK93" s="4"/>
      <c r="BL93" s="4"/>
      <c r="BM93" s="4"/>
      <c r="BN93" s="4"/>
      <c r="BO93" s="4"/>
      <c r="BP93" s="4"/>
      <c r="BQ93" s="5"/>
      <c r="BR93" s="25"/>
      <c r="BS93" s="5"/>
    </row>
    <row r="94" spans="1:71" s="3" customFormat="1" x14ac:dyDescent="0.25">
      <c r="A94" s="5"/>
      <c r="B94" s="3" t="str">
        <f t="array" ref="B94">IFERROR(INDEX(DemandSupply,MATCH(INDEX($AH$1:AH94,SMALL(ROW($AH$1:AH94)+(10000*($AH$1:AH94="")),COUNTA($AH$1:AH94))),Sectors,0)),"")</f>
        <v>Demand</v>
      </c>
      <c r="E94" s="10"/>
      <c r="F94" s="207"/>
      <c r="G94" s="207"/>
      <c r="H94" s="207"/>
      <c r="I94" s="207"/>
      <c r="J94" s="207"/>
      <c r="K94" s="207"/>
      <c r="L94" s="207"/>
      <c r="M94" s="207"/>
      <c r="N94" s="207"/>
      <c r="O94" s="207"/>
      <c r="P94" s="207"/>
      <c r="Q94" s="207"/>
      <c r="R94" s="207"/>
      <c r="S94" s="207"/>
      <c r="T94" s="207"/>
      <c r="U94" s="207"/>
      <c r="V94" s="207"/>
      <c r="W94" s="207"/>
      <c r="X94" s="207"/>
      <c r="Y94" s="207"/>
      <c r="Z94" s="207"/>
      <c r="AA94" s="207"/>
      <c r="AB94" s="207"/>
      <c r="AC94" s="5"/>
      <c r="AD94" s="63"/>
      <c r="AE94" s="64"/>
      <c r="AF94" s="64"/>
      <c r="AG94" s="212"/>
      <c r="AH94" s="64"/>
      <c r="AI94" s="64"/>
      <c r="AJ94" s="64"/>
      <c r="AK94" s="212"/>
      <c r="AL94" s="64"/>
      <c r="AM94" s="212"/>
      <c r="AN94" s="64"/>
      <c r="AO94" s="64"/>
      <c r="AP94" s="63"/>
      <c r="AQ94" s="64"/>
      <c r="AR94" s="63"/>
      <c r="AS94" s="64"/>
      <c r="AT94" s="63"/>
      <c r="AU94" s="64"/>
      <c r="AV94" s="63"/>
      <c r="AW94" s="64"/>
      <c r="AX94" s="63"/>
      <c r="AY94" s="5"/>
      <c r="AZ94" s="21" t="str">
        <f t="shared" si="26"/>
        <v/>
      </c>
      <c r="BA94" s="264" t="s">
        <v>38</v>
      </c>
      <c r="BB94" s="264"/>
      <c r="BC94" s="264"/>
      <c r="BD94" s="74" t="s">
        <v>40</v>
      </c>
      <c r="BE94" s="216" t="s">
        <v>27</v>
      </c>
      <c r="BF94" s="309">
        <v>1960</v>
      </c>
      <c r="BG94" s="310">
        <f t="shared" ref="BG94:BP94" si="27">BF94</f>
        <v>1960</v>
      </c>
      <c r="BH94" s="310">
        <f t="shared" si="27"/>
        <v>1960</v>
      </c>
      <c r="BI94" s="310">
        <f t="shared" si="27"/>
        <v>1960</v>
      </c>
      <c r="BJ94" s="310">
        <f t="shared" si="27"/>
        <v>1960</v>
      </c>
      <c r="BK94" s="310">
        <f t="shared" si="27"/>
        <v>1960</v>
      </c>
      <c r="BL94" s="310">
        <f t="shared" si="27"/>
        <v>1960</v>
      </c>
      <c r="BM94" s="310">
        <f t="shared" si="27"/>
        <v>1960</v>
      </c>
      <c r="BN94" s="310">
        <f t="shared" si="27"/>
        <v>1960</v>
      </c>
      <c r="BO94" s="310">
        <f t="shared" si="27"/>
        <v>1960</v>
      </c>
      <c r="BP94" s="310">
        <f t="shared" si="27"/>
        <v>1960</v>
      </c>
      <c r="BQ94" s="5"/>
      <c r="BR94" s="25"/>
      <c r="BS94" s="5"/>
    </row>
    <row r="95" spans="1:71" s="3" customFormat="1" x14ac:dyDescent="0.25">
      <c r="A95" s="5"/>
      <c r="B95" s="3" t="str">
        <f t="array" ref="B95">IFERROR(INDEX(DemandSupply,MATCH(INDEX($AH$1:AH95,SMALL(ROW($AH$1:AH95)+(10000*($AH$1:AH95="")),COUNTA($AH$1:AH95))),Sectors,0)),"")</f>
        <v>Demand</v>
      </c>
      <c r="E95" s="10"/>
      <c r="F95" s="207"/>
      <c r="G95" s="207"/>
      <c r="H95" s="207"/>
      <c r="I95" s="207"/>
      <c r="J95" s="207"/>
      <c r="K95" s="207"/>
      <c r="L95" s="207"/>
      <c r="M95" s="207"/>
      <c r="N95" s="207"/>
      <c r="O95" s="207"/>
      <c r="P95" s="207"/>
      <c r="Q95" s="207"/>
      <c r="R95" s="207"/>
      <c r="S95" s="207"/>
      <c r="T95" s="207"/>
      <c r="U95" s="207"/>
      <c r="V95" s="207"/>
      <c r="W95" s="207"/>
      <c r="X95" s="207"/>
      <c r="Y95" s="207"/>
      <c r="Z95" s="207"/>
      <c r="AA95" s="207"/>
      <c r="AB95" s="207"/>
      <c r="AC95" s="5"/>
      <c r="AD95" s="63"/>
      <c r="AE95" s="64"/>
      <c r="AF95" s="64"/>
      <c r="AG95" s="212"/>
      <c r="AH95" s="64"/>
      <c r="AI95" s="64"/>
      <c r="AJ95" s="64"/>
      <c r="AK95" s="212"/>
      <c r="AL95" s="64"/>
      <c r="AM95" s="212"/>
      <c r="AN95" s="64"/>
      <c r="AO95" s="64"/>
      <c r="AP95" s="63"/>
      <c r="AQ95" s="64"/>
      <c r="AR95" s="63"/>
      <c r="AS95" s="64"/>
      <c r="AT95" s="63"/>
      <c r="AU95" s="64"/>
      <c r="AV95" s="63"/>
      <c r="AW95" s="64"/>
      <c r="AX95" s="63"/>
      <c r="AY95" s="5"/>
      <c r="AZ95" s="21" t="str">
        <f t="shared" si="26"/>
        <v/>
      </c>
      <c r="BA95" s="264" t="s">
        <v>37</v>
      </c>
      <c r="BB95" s="264"/>
      <c r="BC95" s="264"/>
      <c r="BD95" s="74" t="s">
        <v>40</v>
      </c>
      <c r="BE95" s="216" t="s">
        <v>27</v>
      </c>
      <c r="BF95" s="309">
        <v>2000</v>
      </c>
      <c r="BG95" s="310">
        <f t="shared" ref="BG95:BP95" si="28">BF95</f>
        <v>2000</v>
      </c>
      <c r="BH95" s="310">
        <f t="shared" si="28"/>
        <v>2000</v>
      </c>
      <c r="BI95" s="310">
        <f t="shared" si="28"/>
        <v>2000</v>
      </c>
      <c r="BJ95" s="310">
        <f t="shared" si="28"/>
        <v>2000</v>
      </c>
      <c r="BK95" s="310">
        <f t="shared" si="28"/>
        <v>2000</v>
      </c>
      <c r="BL95" s="310">
        <f t="shared" si="28"/>
        <v>2000</v>
      </c>
      <c r="BM95" s="310">
        <f t="shared" si="28"/>
        <v>2000</v>
      </c>
      <c r="BN95" s="310">
        <f t="shared" si="28"/>
        <v>2000</v>
      </c>
      <c r="BO95" s="310">
        <f t="shared" si="28"/>
        <v>2000</v>
      </c>
      <c r="BP95" s="310">
        <f t="shared" si="28"/>
        <v>2000</v>
      </c>
      <c r="BQ95" s="5"/>
      <c r="BR95" s="25"/>
      <c r="BS95" s="5"/>
    </row>
    <row r="96" spans="1:71" s="3" customFormat="1" x14ac:dyDescent="0.25">
      <c r="A96" s="5"/>
      <c r="B96" s="3" t="str">
        <f t="array" ref="B96">IFERROR(INDEX(DemandSupply,MATCH(INDEX($AH$1:AH96,SMALL(ROW($AH$1:AH96)+(10000*($AH$1:AH96="")),COUNTA($AH$1:AH96))),Sectors,0)),"")</f>
        <v>Demand</v>
      </c>
      <c r="E96" s="10"/>
      <c r="F96" s="207"/>
      <c r="G96" s="207"/>
      <c r="H96" s="207"/>
      <c r="I96" s="207"/>
      <c r="J96" s="207"/>
      <c r="K96" s="207"/>
      <c r="L96" s="207"/>
      <c r="M96" s="207"/>
      <c r="N96" s="207"/>
      <c r="O96" s="207"/>
      <c r="P96" s="207"/>
      <c r="Q96" s="207"/>
      <c r="R96" s="207"/>
      <c r="S96" s="207"/>
      <c r="T96" s="207"/>
      <c r="U96" s="207"/>
      <c r="V96" s="207"/>
      <c r="W96" s="207"/>
      <c r="X96" s="207"/>
      <c r="Y96" s="207"/>
      <c r="Z96" s="207"/>
      <c r="AA96" s="207"/>
      <c r="AB96" s="207"/>
      <c r="AC96" s="5"/>
      <c r="AD96" s="63"/>
      <c r="AE96" s="64"/>
      <c r="AF96" s="64"/>
      <c r="AG96" s="212"/>
      <c r="AH96" s="64"/>
      <c r="AI96" s="64"/>
      <c r="AJ96" s="64"/>
      <c r="AK96" s="212"/>
      <c r="AL96" s="64"/>
      <c r="AM96" s="212"/>
      <c r="AN96" s="64"/>
      <c r="AO96" s="64"/>
      <c r="AP96" s="63"/>
      <c r="AQ96" s="64"/>
      <c r="AR96" s="63"/>
      <c r="AS96" s="64"/>
      <c r="AT96" s="63"/>
      <c r="AU96" s="64"/>
      <c r="AV96" s="63"/>
      <c r="AW96" s="64"/>
      <c r="AX96" s="63"/>
      <c r="AY96" s="5"/>
      <c r="AZ96" s="21" t="str">
        <f t="shared" si="26"/>
        <v/>
      </c>
      <c r="BA96" s="264" t="s">
        <v>39</v>
      </c>
      <c r="BB96" s="264"/>
      <c r="BC96" s="264"/>
      <c r="BD96" s="74" t="s">
        <v>10</v>
      </c>
      <c r="BE96" s="216" t="s">
        <v>27</v>
      </c>
      <c r="BF96" s="56">
        <v>25</v>
      </c>
      <c r="BG96" s="245">
        <f t="shared" ref="BG96:BP96" si="29">BF96</f>
        <v>25</v>
      </c>
      <c r="BH96" s="245">
        <f t="shared" si="29"/>
        <v>25</v>
      </c>
      <c r="BI96" s="245">
        <f t="shared" si="29"/>
        <v>25</v>
      </c>
      <c r="BJ96" s="245">
        <f t="shared" si="29"/>
        <v>25</v>
      </c>
      <c r="BK96" s="245">
        <f t="shared" si="29"/>
        <v>25</v>
      </c>
      <c r="BL96" s="245">
        <f t="shared" si="29"/>
        <v>25</v>
      </c>
      <c r="BM96" s="245">
        <f t="shared" si="29"/>
        <v>25</v>
      </c>
      <c r="BN96" s="245">
        <f t="shared" si="29"/>
        <v>25</v>
      </c>
      <c r="BO96" s="245">
        <f t="shared" si="29"/>
        <v>25</v>
      </c>
      <c r="BP96" s="245">
        <f t="shared" si="29"/>
        <v>25</v>
      </c>
      <c r="BQ96" s="5"/>
      <c r="BR96" s="25"/>
      <c r="BS96" s="5"/>
    </row>
    <row r="97" spans="1:71" s="3" customFormat="1" x14ac:dyDescent="0.25">
      <c r="A97" s="5"/>
      <c r="B97" s="3" t="str">
        <f t="array" ref="B97">IFERROR(INDEX(DemandSupply,MATCH(INDEX($AH$1:AH97,SMALL(ROW($AH$1:AH97)+(10000*($AH$1:AH97="")),COUNTA($AH$1:AH97))),Sectors,0)),"")</f>
        <v>Demand</v>
      </c>
      <c r="E97" s="10"/>
      <c r="F97" s="207"/>
      <c r="G97" s="207"/>
      <c r="H97" s="207"/>
      <c r="I97" s="207"/>
      <c r="J97" s="207"/>
      <c r="K97" s="207"/>
      <c r="L97" s="207"/>
      <c r="M97" s="207"/>
      <c r="N97" s="207"/>
      <c r="O97" s="207"/>
      <c r="P97" s="207"/>
      <c r="Q97" s="207"/>
      <c r="R97" s="207"/>
      <c r="S97" s="207"/>
      <c r="T97" s="207"/>
      <c r="U97" s="207"/>
      <c r="V97" s="207"/>
      <c r="W97" s="207"/>
      <c r="X97" s="207"/>
      <c r="Y97" s="207"/>
      <c r="Z97" s="207"/>
      <c r="AA97" s="207"/>
      <c r="AB97" s="207"/>
      <c r="AC97" s="5"/>
      <c r="AD97" s="63"/>
      <c r="AE97" s="64"/>
      <c r="AF97" s="64"/>
      <c r="AG97" s="212"/>
      <c r="AH97" s="64"/>
      <c r="AI97" s="64"/>
      <c r="AJ97" s="64"/>
      <c r="AK97" s="212"/>
      <c r="AL97" s="64"/>
      <c r="AM97" s="212"/>
      <c r="AN97" s="64"/>
      <c r="AO97" s="64"/>
      <c r="AP97" s="63"/>
      <c r="AQ97" s="64"/>
      <c r="AR97" s="63"/>
      <c r="AS97" s="64"/>
      <c r="AT97" s="63"/>
      <c r="AU97" s="64"/>
      <c r="AV97" s="63"/>
      <c r="AW97" s="64"/>
      <c r="AX97" s="63"/>
      <c r="AY97" s="5"/>
      <c r="AZ97" s="21" t="str">
        <f t="shared" si="26"/>
        <v/>
      </c>
      <c r="BA97" s="264" t="s">
        <v>395</v>
      </c>
      <c r="BB97" s="264"/>
      <c r="BC97" s="264"/>
      <c r="BD97" s="264" t="s">
        <v>10</v>
      </c>
      <c r="BE97" s="216" t="s">
        <v>27</v>
      </c>
      <c r="BF97" s="56"/>
      <c r="BG97" s="56"/>
      <c r="BH97" s="56"/>
      <c r="BI97" s="56"/>
      <c r="BJ97" s="56"/>
      <c r="BK97" s="56"/>
      <c r="BL97" s="56"/>
      <c r="BM97" s="56"/>
      <c r="BN97" s="56"/>
      <c r="BO97" s="56"/>
      <c r="BP97" s="56"/>
      <c r="BQ97" s="5"/>
      <c r="BR97" s="25"/>
      <c r="BS97" s="5"/>
    </row>
    <row r="98" spans="1:71" s="3" customFormat="1" x14ac:dyDescent="0.25">
      <c r="A98" s="5"/>
      <c r="B98" s="3" t="str">
        <f t="array" ref="B98">IFERROR(INDEX(DemandSupply,MATCH(INDEX($AH$1:AH98,SMALL(ROW($AH$1:AH98)+(10000*($AH$1:AH98="")),COUNTA($AH$1:AH98))),Sectors,0)),"")</f>
        <v>Demand</v>
      </c>
      <c r="E98" s="10"/>
      <c r="F98" s="207"/>
      <c r="G98" s="207"/>
      <c r="H98" s="207"/>
      <c r="I98" s="207"/>
      <c r="J98" s="207"/>
      <c r="K98" s="207"/>
      <c r="L98" s="207"/>
      <c r="M98" s="207"/>
      <c r="N98" s="207"/>
      <c r="O98" s="207"/>
      <c r="P98" s="207"/>
      <c r="Q98" s="207"/>
      <c r="R98" s="207"/>
      <c r="S98" s="207"/>
      <c r="T98" s="207"/>
      <c r="U98" s="207"/>
      <c r="V98" s="207"/>
      <c r="W98" s="207"/>
      <c r="X98" s="207"/>
      <c r="Y98" s="207"/>
      <c r="Z98" s="207"/>
      <c r="AA98" s="207"/>
      <c r="AB98" s="207"/>
      <c r="AC98" s="5"/>
      <c r="AD98" s="63"/>
      <c r="AE98" s="64"/>
      <c r="AF98" s="64"/>
      <c r="AG98" s="212"/>
      <c r="AH98" s="64"/>
      <c r="AI98" s="64"/>
      <c r="AJ98" s="64"/>
      <c r="AK98" s="212"/>
      <c r="AL98" s="64"/>
      <c r="AM98" s="212"/>
      <c r="AN98" s="64"/>
      <c r="AO98" s="64"/>
      <c r="AP98" s="63"/>
      <c r="AQ98" s="64"/>
      <c r="AR98" s="63"/>
      <c r="AS98" s="64"/>
      <c r="AT98" s="63"/>
      <c r="AU98" s="64"/>
      <c r="AV98" s="63"/>
      <c r="AW98" s="64"/>
      <c r="AX98" s="63"/>
      <c r="AY98" s="5"/>
      <c r="AZ98" s="21" t="str">
        <f t="shared" si="26"/>
        <v/>
      </c>
      <c r="BA98" s="264" t="s">
        <v>341</v>
      </c>
      <c r="BB98" s="264"/>
      <c r="BC98" s="264"/>
      <c r="BD98" s="74" t="s">
        <v>99</v>
      </c>
      <c r="BE98" s="216" t="s">
        <v>27</v>
      </c>
      <c r="BF98" s="303">
        <v>0.25</v>
      </c>
      <c r="BG98" s="304">
        <f t="shared" ref="BG98:BP98" si="30">BF98</f>
        <v>0.25</v>
      </c>
      <c r="BH98" s="304">
        <f t="shared" si="30"/>
        <v>0.25</v>
      </c>
      <c r="BI98" s="304">
        <f t="shared" si="30"/>
        <v>0.25</v>
      </c>
      <c r="BJ98" s="304">
        <f t="shared" si="30"/>
        <v>0.25</v>
      </c>
      <c r="BK98" s="304">
        <f t="shared" si="30"/>
        <v>0.25</v>
      </c>
      <c r="BL98" s="304">
        <f t="shared" si="30"/>
        <v>0.25</v>
      </c>
      <c r="BM98" s="304">
        <f t="shared" si="30"/>
        <v>0.25</v>
      </c>
      <c r="BN98" s="304">
        <f t="shared" si="30"/>
        <v>0.25</v>
      </c>
      <c r="BO98" s="304">
        <f t="shared" si="30"/>
        <v>0.25</v>
      </c>
      <c r="BP98" s="304">
        <f t="shared" si="30"/>
        <v>0.25</v>
      </c>
      <c r="BQ98" s="5"/>
      <c r="BR98" s="25"/>
      <c r="BS98" s="5"/>
    </row>
    <row r="99" spans="1:71" s="3" customFormat="1" x14ac:dyDescent="0.25">
      <c r="A99" s="5"/>
      <c r="B99" s="3" t="str">
        <f t="array" ref="B99">IFERROR(INDEX(DemandSupply,MATCH(INDEX($AH$1:AH99,SMALL(ROW($AH$1:AH99)+(10000*($AH$1:AH99="")),COUNTA($AH$1:AH99))),Sectors,0)),"")</f>
        <v>Demand</v>
      </c>
      <c r="E99" s="10"/>
      <c r="F99" s="207"/>
      <c r="G99" s="207"/>
      <c r="H99" s="207"/>
      <c r="I99" s="207"/>
      <c r="J99" s="207"/>
      <c r="K99" s="207"/>
      <c r="L99" s="207"/>
      <c r="M99" s="207"/>
      <c r="N99" s="207"/>
      <c r="O99" s="207"/>
      <c r="P99" s="207"/>
      <c r="Q99" s="207"/>
      <c r="R99" s="207"/>
      <c r="S99" s="207"/>
      <c r="T99" s="207"/>
      <c r="U99" s="207"/>
      <c r="V99" s="207"/>
      <c r="W99" s="207"/>
      <c r="X99" s="207"/>
      <c r="Y99" s="207"/>
      <c r="Z99" s="207"/>
      <c r="AA99" s="207"/>
      <c r="AB99" s="207"/>
      <c r="AC99" s="5"/>
      <c r="AD99" s="63"/>
      <c r="AE99" s="64"/>
      <c r="AF99" s="64"/>
      <c r="AG99" s="212"/>
      <c r="AH99" s="64"/>
      <c r="AI99" s="64"/>
      <c r="AJ99" s="64"/>
      <c r="AK99" s="212"/>
      <c r="AL99" s="64"/>
      <c r="AM99" s="212"/>
      <c r="AN99" s="64"/>
      <c r="AO99" s="64"/>
      <c r="AP99" s="63"/>
      <c r="AQ99" s="64"/>
      <c r="AR99" s="63"/>
      <c r="AS99" s="64"/>
      <c r="AT99" s="63"/>
      <c r="AU99" s="64"/>
      <c r="AV99" s="63"/>
      <c r="AW99" s="64"/>
      <c r="AX99" s="63"/>
      <c r="AY99" s="5"/>
      <c r="AZ99" s="21" t="str">
        <f t="shared" si="26"/>
        <v/>
      </c>
      <c r="BA99" s="264" t="s">
        <v>392</v>
      </c>
      <c r="BB99" s="264"/>
      <c r="BC99" s="264"/>
      <c r="BD99" s="264" t="s">
        <v>99</v>
      </c>
      <c r="BE99" s="216" t="s">
        <v>27</v>
      </c>
      <c r="BF99" s="303"/>
      <c r="BG99" s="303"/>
      <c r="BH99" s="303"/>
      <c r="BI99" s="303"/>
      <c r="BJ99" s="303"/>
      <c r="BK99" s="303"/>
      <c r="BL99" s="303"/>
      <c r="BM99" s="303"/>
      <c r="BN99" s="303"/>
      <c r="BO99" s="303"/>
      <c r="BP99" s="303"/>
      <c r="BQ99" s="5"/>
      <c r="BR99" s="25"/>
      <c r="BS99" s="5"/>
    </row>
    <row r="100" spans="1:71" s="3" customFormat="1" x14ac:dyDescent="0.25">
      <c r="A100" s="5"/>
      <c r="B100" s="3" t="str">
        <f t="array" ref="B100">IFERROR(INDEX(DemandSupply,MATCH(INDEX($AH$1:AH100,SMALL(ROW($AH$1:AH100)+(10000*($AH$1:AH100="")),COUNTA($AH$1:AH100))),Sectors,0)),"")</f>
        <v>Demand</v>
      </c>
      <c r="E100" s="10"/>
      <c r="F100" s="207"/>
      <c r="G100" s="207"/>
      <c r="H100" s="207"/>
      <c r="I100" s="207"/>
      <c r="J100" s="207"/>
      <c r="K100" s="207"/>
      <c r="L100" s="207"/>
      <c r="M100" s="207"/>
      <c r="N100" s="207"/>
      <c r="O100" s="207"/>
      <c r="P100" s="207"/>
      <c r="Q100" s="207"/>
      <c r="R100" s="207"/>
      <c r="S100" s="207"/>
      <c r="T100" s="207"/>
      <c r="U100" s="207"/>
      <c r="V100" s="207"/>
      <c r="W100" s="207"/>
      <c r="X100" s="207"/>
      <c r="Y100" s="207"/>
      <c r="Z100" s="207"/>
      <c r="AA100" s="207"/>
      <c r="AB100" s="207"/>
      <c r="AC100" s="5"/>
      <c r="AD100" s="63"/>
      <c r="AE100" s="64"/>
      <c r="AF100" s="64"/>
      <c r="AG100" s="212"/>
      <c r="AH100" s="64"/>
      <c r="AI100" s="64"/>
      <c r="AJ100" s="64"/>
      <c r="AK100" s="212"/>
      <c r="AL100" s="64"/>
      <c r="AM100" s="212"/>
      <c r="AN100" s="64"/>
      <c r="AO100" s="64"/>
      <c r="AP100" s="63"/>
      <c r="AQ100" s="64"/>
      <c r="AR100" s="63"/>
      <c r="AS100" s="64"/>
      <c r="AT100" s="63"/>
      <c r="AU100" s="64"/>
      <c r="AV100" s="63"/>
      <c r="AW100" s="64"/>
      <c r="AX100" s="63"/>
      <c r="AY100" s="5"/>
      <c r="AZ100" s="21" t="str">
        <f t="shared" si="26"/>
        <v/>
      </c>
      <c r="BA100" s="264" t="s">
        <v>391</v>
      </c>
      <c r="BB100" s="264"/>
      <c r="BC100" s="264"/>
      <c r="BD100" s="264" t="s">
        <v>99</v>
      </c>
      <c r="BE100" s="216" t="s">
        <v>27</v>
      </c>
      <c r="BF100" s="303"/>
      <c r="BG100" s="303"/>
      <c r="BH100" s="303"/>
      <c r="BI100" s="303"/>
      <c r="BJ100" s="303"/>
      <c r="BK100" s="303"/>
      <c r="BL100" s="303"/>
      <c r="BM100" s="303"/>
      <c r="BN100" s="303"/>
      <c r="BO100" s="303"/>
      <c r="BP100" s="303"/>
      <c r="BQ100" s="5"/>
      <c r="BR100" s="25"/>
      <c r="BS100" s="5"/>
    </row>
    <row r="101" spans="1:71" s="3" customFormat="1" x14ac:dyDescent="0.25">
      <c r="A101" s="5"/>
      <c r="B101" s="3" t="str">
        <f t="array" ref="B101">IFERROR(INDEX(DemandSupply,MATCH(INDEX($AH$1:AH101,SMALL(ROW($AH$1:AH101)+(10000*($AH$1:AH101="")),COUNTA($AH$1:AH101))),Sectors,0)),"")</f>
        <v>Demand</v>
      </c>
      <c r="E101" s="10"/>
      <c r="F101" s="207"/>
      <c r="G101" s="207"/>
      <c r="H101" s="207"/>
      <c r="I101" s="207"/>
      <c r="J101" s="207"/>
      <c r="K101" s="207"/>
      <c r="L101" s="207"/>
      <c r="M101" s="207"/>
      <c r="N101" s="207"/>
      <c r="O101" s="207"/>
      <c r="P101" s="207"/>
      <c r="Q101" s="207"/>
      <c r="R101" s="207"/>
      <c r="S101" s="207"/>
      <c r="T101" s="207"/>
      <c r="U101" s="207"/>
      <c r="V101" s="207"/>
      <c r="W101" s="207"/>
      <c r="X101" s="207"/>
      <c r="Y101" s="207"/>
      <c r="Z101" s="207"/>
      <c r="AA101" s="207"/>
      <c r="AB101" s="207"/>
      <c r="AC101" s="5"/>
      <c r="AD101" s="63"/>
      <c r="AE101" s="64"/>
      <c r="AF101" s="64"/>
      <c r="AG101" s="212"/>
      <c r="AH101" s="64"/>
      <c r="AI101" s="64"/>
      <c r="AJ101" s="64"/>
      <c r="AK101" s="212"/>
      <c r="AL101" s="64"/>
      <c r="AM101" s="212"/>
      <c r="AN101" s="64"/>
      <c r="AO101" s="64"/>
      <c r="AP101" s="63"/>
      <c r="AQ101" s="64"/>
      <c r="AR101" s="63"/>
      <c r="AS101" s="64"/>
      <c r="AT101" s="63"/>
      <c r="AU101" s="64"/>
      <c r="AV101" s="63"/>
      <c r="AW101" s="64"/>
      <c r="AX101" s="63"/>
      <c r="AY101" s="5"/>
      <c r="AZ101" s="21" t="str">
        <f t="shared" si="26"/>
        <v/>
      </c>
      <c r="BA101" s="264" t="s">
        <v>144</v>
      </c>
      <c r="BB101" s="264"/>
      <c r="BC101" s="264"/>
      <c r="BD101" s="74" t="s">
        <v>36</v>
      </c>
      <c r="BE101" s="216" t="s">
        <v>27</v>
      </c>
      <c r="BF101" s="56"/>
      <c r="BG101" s="56"/>
      <c r="BH101" s="56"/>
      <c r="BI101" s="56"/>
      <c r="BJ101" s="56"/>
      <c r="BK101" s="56"/>
      <c r="BL101" s="56"/>
      <c r="BM101" s="56"/>
      <c r="BN101" s="56"/>
      <c r="BO101" s="56"/>
      <c r="BP101" s="56"/>
      <c r="BQ101" s="5"/>
      <c r="BR101" s="25"/>
      <c r="BS101" s="5"/>
    </row>
    <row r="102" spans="1:71" s="3" customFormat="1" x14ac:dyDescent="0.25">
      <c r="A102" s="5"/>
      <c r="B102" s="3" t="str">
        <f t="array" ref="B102">IFERROR(INDEX(DemandSupply,MATCH(INDEX($AH$1:AH102,SMALL(ROW($AH$1:AH102)+(10000*($AH$1:AH102="")),COUNTA($AH$1:AH102))),Sectors,0)),"")</f>
        <v>Demand</v>
      </c>
      <c r="E102" s="10"/>
      <c r="F102" s="207"/>
      <c r="G102" s="207"/>
      <c r="H102" s="207"/>
      <c r="I102" s="207"/>
      <c r="J102" s="207"/>
      <c r="K102" s="207"/>
      <c r="L102" s="207"/>
      <c r="M102" s="207"/>
      <c r="N102" s="207"/>
      <c r="O102" s="207"/>
      <c r="P102" s="207"/>
      <c r="Q102" s="207"/>
      <c r="R102" s="207"/>
      <c r="S102" s="207"/>
      <c r="T102" s="207"/>
      <c r="U102" s="207"/>
      <c r="V102" s="207"/>
      <c r="W102" s="207"/>
      <c r="X102" s="207"/>
      <c r="Y102" s="207"/>
      <c r="Z102" s="207"/>
      <c r="AA102" s="207"/>
      <c r="AB102" s="207"/>
      <c r="AC102" s="5"/>
      <c r="AD102" s="63"/>
      <c r="AE102" s="64"/>
      <c r="AF102" s="64"/>
      <c r="AG102" s="212"/>
      <c r="AH102" s="64"/>
      <c r="AI102" s="64"/>
      <c r="AJ102" s="64"/>
      <c r="AK102" s="212"/>
      <c r="AL102" s="64"/>
      <c r="AM102" s="212"/>
      <c r="AN102" s="64"/>
      <c r="AO102" s="64"/>
      <c r="AP102" s="63"/>
      <c r="AQ102" s="64"/>
      <c r="AR102" s="63"/>
      <c r="AS102" s="64"/>
      <c r="AT102" s="63"/>
      <c r="AU102" s="64"/>
      <c r="AV102" s="63"/>
      <c r="AW102" s="64"/>
      <c r="AX102" s="63"/>
      <c r="AY102" s="5"/>
      <c r="AZ102" s="21" t="str">
        <f t="shared" si="26"/>
        <v/>
      </c>
      <c r="BA102" s="264" t="s">
        <v>76</v>
      </c>
      <c r="BB102" s="264"/>
      <c r="BC102" s="264"/>
      <c r="BD102" s="74" t="s">
        <v>99</v>
      </c>
      <c r="BE102" s="216" t="s">
        <v>27</v>
      </c>
      <c r="BF102" s="303">
        <v>0.83299999999999996</v>
      </c>
      <c r="BG102" s="303"/>
      <c r="BH102" s="303"/>
      <c r="BI102" s="303"/>
      <c r="BJ102" s="303"/>
      <c r="BK102" s="303"/>
      <c r="BL102" s="303"/>
      <c r="BM102" s="303"/>
      <c r="BN102" s="303"/>
      <c r="BO102" s="303"/>
      <c r="BP102" s="303"/>
      <c r="BQ102" s="5"/>
      <c r="BR102" s="25"/>
      <c r="BS102" s="5"/>
    </row>
    <row r="103" spans="1:71" s="3" customFormat="1" x14ac:dyDescent="0.25">
      <c r="A103" s="5"/>
      <c r="B103" s="3" t="str">
        <f t="array" ref="B103">IFERROR(INDEX(DemandSupply,MATCH(INDEX($AH$1:AH103,SMALL(ROW($AH$1:AH103)+(10000*($AH$1:AH103="")),COUNTA($AH$1:AH103))),Sectors,0)),"")</f>
        <v>Demand</v>
      </c>
      <c r="E103" s="10"/>
      <c r="F103" s="207"/>
      <c r="G103" s="207"/>
      <c r="H103" s="207"/>
      <c r="I103" s="207"/>
      <c r="J103" s="207"/>
      <c r="K103" s="207"/>
      <c r="L103" s="207"/>
      <c r="M103" s="207"/>
      <c r="N103" s="207"/>
      <c r="O103" s="207"/>
      <c r="P103" s="207"/>
      <c r="Q103" s="207"/>
      <c r="R103" s="207"/>
      <c r="S103" s="207"/>
      <c r="T103" s="207"/>
      <c r="U103" s="207"/>
      <c r="V103" s="207"/>
      <c r="W103" s="207"/>
      <c r="X103" s="207"/>
      <c r="Y103" s="207"/>
      <c r="Z103" s="207"/>
      <c r="AA103" s="207"/>
      <c r="AB103" s="207"/>
      <c r="AC103" s="5"/>
      <c r="AD103" s="63"/>
      <c r="AE103" s="64"/>
      <c r="AF103" s="64"/>
      <c r="AG103" s="212"/>
      <c r="AH103" s="64"/>
      <c r="AI103" s="64"/>
      <c r="AJ103" s="64"/>
      <c r="AK103" s="212"/>
      <c r="AL103" s="64"/>
      <c r="AM103" s="212"/>
      <c r="AN103" s="64"/>
      <c r="AO103" s="64"/>
      <c r="AP103" s="63"/>
      <c r="AQ103" s="64"/>
      <c r="AR103" s="63"/>
      <c r="AS103" s="64"/>
      <c r="AT103" s="63"/>
      <c r="AU103" s="64"/>
      <c r="AV103" s="63"/>
      <c r="AW103" s="64"/>
      <c r="AX103" s="63"/>
      <c r="AY103" s="5"/>
      <c r="AZ103" s="21" t="str">
        <f t="shared" si="26"/>
        <v/>
      </c>
      <c r="BA103" s="75" t="s">
        <v>166</v>
      </c>
      <c r="BB103" s="75"/>
      <c r="BC103" s="270"/>
      <c r="BD103" s="75" t="s">
        <v>99</v>
      </c>
      <c r="BE103" s="216" t="s">
        <v>27</v>
      </c>
      <c r="BF103" s="303"/>
      <c r="BG103" s="303"/>
      <c r="BH103" s="303"/>
      <c r="BI103" s="303"/>
      <c r="BJ103" s="303"/>
      <c r="BK103" s="303"/>
      <c r="BL103" s="303"/>
      <c r="BM103" s="303"/>
      <c r="BN103" s="303"/>
      <c r="BO103" s="303"/>
      <c r="BP103" s="303"/>
      <c r="BQ103" s="5"/>
      <c r="BR103" s="25"/>
      <c r="BS103" s="5"/>
    </row>
    <row r="104" spans="1:71" s="3" customFormat="1" x14ac:dyDescent="0.25">
      <c r="A104" s="5"/>
      <c r="B104" s="3" t="str">
        <f t="array" ref="B104">IFERROR(INDEX(DemandSupply,MATCH(INDEX($AH$1:AH104,SMALL(ROW($AH$1:AH104)+(10000*($AH$1:AH104="")),COUNTA($AH$1:AH104))),Sectors,0)),"")</f>
        <v>Demand</v>
      </c>
      <c r="E104" s="10"/>
      <c r="F104" s="207"/>
      <c r="G104" s="207"/>
      <c r="H104" s="207"/>
      <c r="I104" s="207"/>
      <c r="J104" s="207"/>
      <c r="K104" s="207"/>
      <c r="L104" s="207"/>
      <c r="M104" s="207"/>
      <c r="N104" s="207"/>
      <c r="O104" s="207"/>
      <c r="P104" s="207"/>
      <c r="Q104" s="207"/>
      <c r="R104" s="207"/>
      <c r="S104" s="207"/>
      <c r="T104" s="207"/>
      <c r="U104" s="207"/>
      <c r="V104" s="207"/>
      <c r="W104" s="207"/>
      <c r="X104" s="207"/>
      <c r="Y104" s="207"/>
      <c r="Z104" s="207"/>
      <c r="AA104" s="207"/>
      <c r="AB104" s="207"/>
      <c r="AC104" s="5"/>
      <c r="AD104" s="63"/>
      <c r="AE104" s="64"/>
      <c r="AF104" s="64"/>
      <c r="AG104" s="212"/>
      <c r="AH104" s="64"/>
      <c r="AI104" s="64"/>
      <c r="AJ104" s="64"/>
      <c r="AK104" s="212"/>
      <c r="AL104" s="64"/>
      <c r="AM104" s="212"/>
      <c r="AN104" s="64"/>
      <c r="AO104" s="64"/>
      <c r="AP104" s="63"/>
      <c r="AQ104" s="64"/>
      <c r="AR104" s="63"/>
      <c r="AS104" s="64"/>
      <c r="AT104" s="63"/>
      <c r="AU104" s="64"/>
      <c r="AV104" s="63"/>
      <c r="AW104" s="64"/>
      <c r="AX104" s="63"/>
      <c r="AY104" s="5"/>
      <c r="AZ104" s="21" t="str">
        <f t="shared" si="26"/>
        <v/>
      </c>
      <c r="BA104" s="75" t="s">
        <v>167</v>
      </c>
      <c r="BB104" s="75"/>
      <c r="BC104" s="270"/>
      <c r="BD104" s="75" t="s">
        <v>99</v>
      </c>
      <c r="BE104" s="216" t="s">
        <v>27</v>
      </c>
      <c r="BF104" s="303"/>
      <c r="BG104" s="303"/>
      <c r="BH104" s="303"/>
      <c r="BI104" s="303"/>
      <c r="BJ104" s="303"/>
      <c r="BK104" s="303"/>
      <c r="BL104" s="303"/>
      <c r="BM104" s="303"/>
      <c r="BN104" s="303"/>
      <c r="BO104" s="303"/>
      <c r="BP104" s="303"/>
      <c r="BQ104" s="5"/>
      <c r="BR104" s="25"/>
      <c r="BS104" s="5"/>
    </row>
    <row r="105" spans="1:71" s="3" customFormat="1" x14ac:dyDescent="0.25">
      <c r="A105" s="5"/>
      <c r="B105" s="3" t="str">
        <f t="array" ref="B105">IFERROR(INDEX(DemandSupply,MATCH(INDEX($AH$1:AH105,SMALL(ROW($AH$1:AH105)+(10000*($AH$1:AH105="")),COUNTA($AH$1:AH105))),Sectors,0)),"")</f>
        <v>Demand</v>
      </c>
      <c r="E105" s="10"/>
      <c r="F105" s="207"/>
      <c r="G105" s="207"/>
      <c r="H105" s="207"/>
      <c r="I105" s="207"/>
      <c r="J105" s="207"/>
      <c r="K105" s="207"/>
      <c r="L105" s="207"/>
      <c r="M105" s="207"/>
      <c r="N105" s="207"/>
      <c r="O105" s="207"/>
      <c r="P105" s="207"/>
      <c r="Q105" s="207"/>
      <c r="R105" s="207"/>
      <c r="S105" s="207"/>
      <c r="T105" s="207"/>
      <c r="U105" s="207"/>
      <c r="V105" s="207"/>
      <c r="W105" s="207"/>
      <c r="X105" s="207"/>
      <c r="Y105" s="207"/>
      <c r="Z105" s="207"/>
      <c r="AA105" s="207"/>
      <c r="AB105" s="207"/>
      <c r="AC105" s="5"/>
      <c r="AD105" s="63"/>
      <c r="AE105" s="64"/>
      <c r="AF105" s="64"/>
      <c r="AG105" s="212"/>
      <c r="AH105" s="64"/>
      <c r="AI105" s="64"/>
      <c r="AJ105" s="64"/>
      <c r="AK105" s="212"/>
      <c r="AL105" s="64"/>
      <c r="AM105" s="212"/>
      <c r="AN105" s="64"/>
      <c r="AO105" s="64"/>
      <c r="AP105" s="63"/>
      <c r="AQ105" s="64"/>
      <c r="AR105" s="63"/>
      <c r="AS105" s="64"/>
      <c r="AT105" s="63"/>
      <c r="AU105" s="64"/>
      <c r="AV105" s="63"/>
      <c r="AW105" s="64"/>
      <c r="AX105" s="63"/>
      <c r="AY105" s="5"/>
      <c r="AZ105" s="21" t="str">
        <f t="shared" si="26"/>
        <v/>
      </c>
      <c r="BA105" s="75" t="s">
        <v>408</v>
      </c>
      <c r="BB105" s="75"/>
      <c r="BC105" s="270"/>
      <c r="BD105" s="75" t="s">
        <v>99</v>
      </c>
      <c r="BE105" s="216" t="s">
        <v>27</v>
      </c>
      <c r="BF105" s="303"/>
      <c r="BG105" s="303"/>
      <c r="BH105" s="303"/>
      <c r="BI105" s="303"/>
      <c r="BJ105" s="303"/>
      <c r="BK105" s="303"/>
      <c r="BL105" s="303"/>
      <c r="BM105" s="303"/>
      <c r="BN105" s="303"/>
      <c r="BO105" s="303"/>
      <c r="BP105" s="303"/>
      <c r="BQ105" s="5"/>
      <c r="BR105" s="25"/>
      <c r="BS105" s="5"/>
    </row>
    <row r="106" spans="1:71" s="3" customFormat="1" x14ac:dyDescent="0.25">
      <c r="A106" s="5"/>
      <c r="B106" s="3" t="str">
        <f t="array" ref="B106">IFERROR(INDEX(DemandSupply,MATCH(INDEX($AH$1:AH106,SMALL(ROW($AH$1:AH106)+(10000*($AH$1:AH106="")),COUNTA($AH$1:AH106))),Sectors,0)),"")</f>
        <v>Demand</v>
      </c>
      <c r="E106" s="10"/>
      <c r="F106" s="207"/>
      <c r="G106" s="207"/>
      <c r="H106" s="207"/>
      <c r="I106" s="207"/>
      <c r="J106" s="207"/>
      <c r="K106" s="207"/>
      <c r="L106" s="207"/>
      <c r="M106" s="207"/>
      <c r="N106" s="207"/>
      <c r="O106" s="207"/>
      <c r="P106" s="207"/>
      <c r="Q106" s="207"/>
      <c r="R106" s="207"/>
      <c r="S106" s="207"/>
      <c r="T106" s="207"/>
      <c r="U106" s="207"/>
      <c r="V106" s="207"/>
      <c r="W106" s="207"/>
      <c r="X106" s="207"/>
      <c r="Y106" s="207"/>
      <c r="Z106" s="207"/>
      <c r="AA106" s="207"/>
      <c r="AB106" s="207"/>
      <c r="AC106" s="5"/>
      <c r="AD106" s="63"/>
      <c r="AE106" s="64"/>
      <c r="AF106" s="64"/>
      <c r="AG106" s="212"/>
      <c r="AH106" s="64"/>
      <c r="AI106" s="64"/>
      <c r="AJ106" s="64"/>
      <c r="AK106" s="212"/>
      <c r="AL106" s="64"/>
      <c r="AM106" s="212"/>
      <c r="AN106" s="64"/>
      <c r="AO106" s="64"/>
      <c r="AP106" s="63"/>
      <c r="AQ106" s="64"/>
      <c r="AR106" s="63"/>
      <c r="AS106" s="64"/>
      <c r="AT106" s="63"/>
      <c r="AU106" s="64"/>
      <c r="AV106" s="63"/>
      <c r="AW106" s="64"/>
      <c r="AX106" s="63"/>
      <c r="AY106" s="5"/>
      <c r="AZ106" s="21" t="str">
        <f t="shared" si="26"/>
        <v/>
      </c>
      <c r="BA106" s="75" t="s">
        <v>409</v>
      </c>
      <c r="BB106" s="75"/>
      <c r="BC106" s="270"/>
      <c r="BD106" s="75" t="s">
        <v>99</v>
      </c>
      <c r="BE106" s="216" t="s">
        <v>27</v>
      </c>
      <c r="BF106" s="303"/>
      <c r="BG106" s="303"/>
      <c r="BH106" s="303"/>
      <c r="BI106" s="303"/>
      <c r="BJ106" s="303"/>
      <c r="BK106" s="303"/>
      <c r="BL106" s="303"/>
      <c r="BM106" s="303"/>
      <c r="BN106" s="303"/>
      <c r="BO106" s="303"/>
      <c r="BP106" s="303"/>
      <c r="BQ106" s="5"/>
      <c r="BR106" s="25"/>
      <c r="BS106" s="5"/>
    </row>
    <row r="107" spans="1:71" s="3" customFormat="1" x14ac:dyDescent="0.25">
      <c r="A107" s="5"/>
      <c r="B107" s="3" t="str">
        <f t="array" ref="B107">IFERROR(INDEX(DemandSupply,MATCH(INDEX($AH$1:AH107,SMALL(ROW($AH$1:AH107)+(10000*($AH$1:AH107="")),COUNTA($AH$1:AH107))),Sectors,0)),"")</f>
        <v>Demand</v>
      </c>
      <c r="E107" s="10"/>
      <c r="F107" s="207"/>
      <c r="G107" s="207"/>
      <c r="H107" s="207"/>
      <c r="I107" s="207"/>
      <c r="J107" s="207"/>
      <c r="K107" s="207"/>
      <c r="L107" s="207"/>
      <c r="M107" s="207"/>
      <c r="N107" s="207"/>
      <c r="O107" s="207"/>
      <c r="P107" s="207"/>
      <c r="Q107" s="207"/>
      <c r="R107" s="207"/>
      <c r="S107" s="207"/>
      <c r="T107" s="207"/>
      <c r="U107" s="207"/>
      <c r="V107" s="207"/>
      <c r="W107" s="207"/>
      <c r="X107" s="207"/>
      <c r="Y107" s="207"/>
      <c r="Z107" s="207"/>
      <c r="AA107" s="207"/>
      <c r="AB107" s="207"/>
      <c r="AC107" s="5"/>
      <c r="AD107" s="63"/>
      <c r="AE107" s="64"/>
      <c r="AF107" s="64"/>
      <c r="AG107" s="212"/>
      <c r="AH107" s="64"/>
      <c r="AI107" s="64"/>
      <c r="AJ107" s="64"/>
      <c r="AK107" s="212"/>
      <c r="AL107" s="64"/>
      <c r="AM107" s="212"/>
      <c r="AN107" s="64"/>
      <c r="AO107" s="64"/>
      <c r="AP107" s="63"/>
      <c r="AQ107" s="64"/>
      <c r="AR107" s="63"/>
      <c r="AS107" s="64"/>
      <c r="AT107" s="63"/>
      <c r="AU107" s="64"/>
      <c r="AV107" s="63"/>
      <c r="AW107" s="64"/>
      <c r="AX107" s="63"/>
      <c r="AY107" s="5"/>
      <c r="AZ107" s="21" t="str">
        <f t="shared" si="26"/>
        <v/>
      </c>
      <c r="BA107" s="264" t="s">
        <v>371</v>
      </c>
      <c r="BB107" s="264"/>
      <c r="BC107" s="264"/>
      <c r="BD107" s="74" t="s">
        <v>36</v>
      </c>
      <c r="BE107" s="216" t="s">
        <v>27</v>
      </c>
      <c r="BF107" s="56"/>
      <c r="BG107" s="56"/>
      <c r="BH107" s="56"/>
      <c r="BI107" s="56"/>
      <c r="BJ107" s="56"/>
      <c r="BK107" s="56"/>
      <c r="BL107" s="56"/>
      <c r="BM107" s="56"/>
      <c r="BN107" s="56"/>
      <c r="BO107" s="56"/>
      <c r="BP107" s="56"/>
      <c r="BQ107" s="5"/>
      <c r="BR107" s="25"/>
      <c r="BS107" s="5"/>
    </row>
    <row r="108" spans="1:71" s="3" customFormat="1" x14ac:dyDescent="0.25">
      <c r="A108" s="5"/>
      <c r="B108" s="3" t="str">
        <f t="array" ref="B108">IFERROR(INDEX(DemandSupply,MATCH(INDEX($AH$1:AH108,SMALL(ROW($AH$1:AH108)+(10000*($AH$1:AH108="")),COUNTA($AH$1:AH108))),Sectors,0)),"")</f>
        <v>Demand</v>
      </c>
      <c r="E108" s="10"/>
      <c r="F108" s="207"/>
      <c r="G108" s="207"/>
      <c r="H108" s="207"/>
      <c r="I108" s="207"/>
      <c r="J108" s="207"/>
      <c r="K108" s="207"/>
      <c r="L108" s="207"/>
      <c r="M108" s="207"/>
      <c r="N108" s="207"/>
      <c r="O108" s="207"/>
      <c r="P108" s="207"/>
      <c r="Q108" s="207"/>
      <c r="R108" s="207"/>
      <c r="S108" s="207"/>
      <c r="T108" s="207"/>
      <c r="U108" s="207"/>
      <c r="V108" s="207"/>
      <c r="W108" s="207"/>
      <c r="X108" s="207"/>
      <c r="Y108" s="207"/>
      <c r="Z108" s="207"/>
      <c r="AA108" s="207"/>
      <c r="AB108" s="207"/>
      <c r="AC108" s="5"/>
      <c r="AD108" s="63"/>
      <c r="AE108" s="64"/>
      <c r="AF108" s="64"/>
      <c r="AG108" s="212"/>
      <c r="AH108" s="64"/>
      <c r="AI108" s="64"/>
      <c r="AJ108" s="64"/>
      <c r="AK108" s="212"/>
      <c r="AL108" s="64"/>
      <c r="AM108" s="212"/>
      <c r="AN108" s="64"/>
      <c r="AO108" s="64"/>
      <c r="AP108" s="63"/>
      <c r="AQ108" s="64"/>
      <c r="AR108" s="63"/>
      <c r="AS108" s="64"/>
      <c r="AT108" s="63"/>
      <c r="AU108" s="64"/>
      <c r="AV108" s="63"/>
      <c r="AW108" s="64"/>
      <c r="AX108" s="63"/>
      <c r="AY108" s="5"/>
      <c r="AZ108" s="21" t="str">
        <f t="shared" si="26"/>
        <v/>
      </c>
      <c r="BA108" s="264" t="s">
        <v>170</v>
      </c>
      <c r="BB108" s="264"/>
      <c r="BC108" s="264"/>
      <c r="BD108" s="74" t="s">
        <v>354</v>
      </c>
      <c r="BE108" s="216" t="s">
        <v>27</v>
      </c>
      <c r="BF108" s="56"/>
      <c r="BG108" s="56"/>
      <c r="BH108" s="56"/>
      <c r="BI108" s="56"/>
      <c r="BJ108" s="56"/>
      <c r="BK108" s="56"/>
      <c r="BL108" s="56"/>
      <c r="BM108" s="56"/>
      <c r="BN108" s="56"/>
      <c r="BO108" s="56"/>
      <c r="BP108" s="56"/>
      <c r="BQ108" s="5"/>
      <c r="BR108" s="25"/>
      <c r="BS108" s="5"/>
    </row>
    <row r="109" spans="1:71" s="3" customFormat="1" x14ac:dyDescent="0.25">
      <c r="A109" s="5"/>
      <c r="B109" s="3" t="str">
        <f t="array" ref="B109">IFERROR(INDEX(DemandSupply,MATCH(INDEX($AH$1:AH109,SMALL(ROW($AH$1:AH109)+(10000*($AH$1:AH109="")),COUNTA($AH$1:AH109))),Sectors,0)),"")</f>
        <v>Demand</v>
      </c>
      <c r="E109" s="10"/>
      <c r="F109" s="207"/>
      <c r="G109" s="207"/>
      <c r="H109" s="207"/>
      <c r="I109" s="207"/>
      <c r="J109" s="207"/>
      <c r="K109" s="207"/>
      <c r="L109" s="207"/>
      <c r="M109" s="207"/>
      <c r="N109" s="207"/>
      <c r="O109" s="207"/>
      <c r="P109" s="207"/>
      <c r="Q109" s="207"/>
      <c r="R109" s="207"/>
      <c r="S109" s="207"/>
      <c r="T109" s="207"/>
      <c r="U109" s="207"/>
      <c r="V109" s="207"/>
      <c r="W109" s="207"/>
      <c r="X109" s="207"/>
      <c r="Y109" s="207"/>
      <c r="Z109" s="207"/>
      <c r="AA109" s="207"/>
      <c r="AB109" s="207"/>
      <c r="AC109" s="5"/>
      <c r="AD109" s="63"/>
      <c r="AE109" s="64"/>
      <c r="AF109" s="64"/>
      <c r="AG109" s="212"/>
      <c r="AH109" s="64"/>
      <c r="AI109" s="64"/>
      <c r="AJ109" s="64"/>
      <c r="AK109" s="212"/>
      <c r="AL109" s="64"/>
      <c r="AM109" s="212"/>
      <c r="AN109" s="64"/>
      <c r="AO109" s="64"/>
      <c r="AP109" s="63"/>
      <c r="AQ109" s="64"/>
      <c r="AR109" s="63"/>
      <c r="AS109" s="64"/>
      <c r="AT109" s="63"/>
      <c r="AU109" s="64"/>
      <c r="AV109" s="63"/>
      <c r="AW109" s="64"/>
      <c r="AX109" s="63"/>
      <c r="AY109" s="5"/>
      <c r="AZ109" s="21" t="str">
        <f t="shared" si="26"/>
        <v/>
      </c>
      <c r="BA109" s="264" t="s">
        <v>425</v>
      </c>
      <c r="BB109" s="264"/>
      <c r="BC109" s="264"/>
      <c r="BD109" s="264" t="s">
        <v>99</v>
      </c>
      <c r="BE109" s="216" t="s">
        <v>27</v>
      </c>
      <c r="BF109" s="303"/>
      <c r="BG109" s="303"/>
      <c r="BH109" s="303"/>
      <c r="BI109" s="303"/>
      <c r="BJ109" s="303"/>
      <c r="BK109" s="303"/>
      <c r="BL109" s="303"/>
      <c r="BM109" s="303"/>
      <c r="BN109" s="303"/>
      <c r="BO109" s="303"/>
      <c r="BP109" s="303"/>
      <c r="BQ109" s="5"/>
      <c r="BR109" s="25"/>
      <c r="BS109" s="5"/>
    </row>
    <row r="110" spans="1:71" s="3" customFormat="1" x14ac:dyDescent="0.25">
      <c r="A110" s="5"/>
      <c r="B110" s="3" t="str">
        <f t="array" ref="B110">IFERROR(INDEX(DemandSupply,MATCH(INDEX($AH$1:AH110,SMALL(ROW($AH$1:AH110)+(10000*($AH$1:AH110="")),COUNTA($AH$1:AH110))),Sectors,0)),"")</f>
        <v>Demand</v>
      </c>
      <c r="E110" s="10"/>
      <c r="F110" s="207"/>
      <c r="G110" s="207"/>
      <c r="H110" s="207"/>
      <c r="I110" s="207"/>
      <c r="J110" s="207"/>
      <c r="K110" s="207"/>
      <c r="L110" s="207"/>
      <c r="M110" s="207"/>
      <c r="N110" s="207"/>
      <c r="O110" s="207"/>
      <c r="P110" s="207"/>
      <c r="Q110" s="207"/>
      <c r="R110" s="207"/>
      <c r="S110" s="207"/>
      <c r="T110" s="207"/>
      <c r="U110" s="207"/>
      <c r="V110" s="207"/>
      <c r="W110" s="207"/>
      <c r="X110" s="207"/>
      <c r="Y110" s="207"/>
      <c r="Z110" s="207"/>
      <c r="AA110" s="207"/>
      <c r="AB110" s="207"/>
      <c r="AC110" s="5"/>
      <c r="AD110" s="63"/>
      <c r="AE110" s="64"/>
      <c r="AF110" s="64"/>
      <c r="AG110" s="212"/>
      <c r="AH110" s="64"/>
      <c r="AI110" s="64"/>
      <c r="AJ110" s="64"/>
      <c r="AK110" s="212"/>
      <c r="AL110" s="64"/>
      <c r="AM110" s="212"/>
      <c r="AN110" s="64"/>
      <c r="AO110" s="64"/>
      <c r="AP110" s="63"/>
      <c r="AQ110" s="64"/>
      <c r="AR110" s="63"/>
      <c r="AS110" s="64"/>
      <c r="AT110" s="63"/>
      <c r="AU110" s="64"/>
      <c r="AV110" s="63"/>
      <c r="AW110" s="64"/>
      <c r="AX110" s="63"/>
      <c r="AY110" s="5"/>
      <c r="AZ110" s="21" t="str">
        <f t="shared" si="26"/>
        <v/>
      </c>
      <c r="BA110" s="264" t="s">
        <v>438</v>
      </c>
      <c r="BB110" s="264"/>
      <c r="BC110" s="264"/>
      <c r="BD110" s="74" t="s">
        <v>36</v>
      </c>
      <c r="BE110" s="216" t="s">
        <v>27</v>
      </c>
      <c r="BF110" s="56"/>
      <c r="BG110" s="56"/>
      <c r="BH110" s="56"/>
      <c r="BI110" s="56"/>
      <c r="BJ110" s="56"/>
      <c r="BK110" s="56"/>
      <c r="BL110" s="56"/>
      <c r="BM110" s="56"/>
      <c r="BN110" s="56"/>
      <c r="BO110" s="56"/>
      <c r="BP110" s="56"/>
      <c r="BQ110" s="5"/>
      <c r="BR110" s="25"/>
      <c r="BS110" s="5"/>
    </row>
    <row r="111" spans="1:71" s="3" customFormat="1" x14ac:dyDescent="0.25">
      <c r="A111" s="5"/>
      <c r="B111" s="3" t="str">
        <f t="array" ref="B111">IFERROR(INDEX(DemandSupply,MATCH(INDEX($AH$1:AH111,SMALL(ROW($AH$1:AH111)+(10000*($AH$1:AH111="")),COUNTA($AH$1:AH111))),Sectors,0)),"")</f>
        <v>Demand</v>
      </c>
      <c r="E111" s="10"/>
      <c r="F111" s="207"/>
      <c r="G111" s="207"/>
      <c r="H111" s="207"/>
      <c r="I111" s="207"/>
      <c r="J111" s="207"/>
      <c r="K111" s="207"/>
      <c r="L111" s="207"/>
      <c r="M111" s="207"/>
      <c r="N111" s="207"/>
      <c r="O111" s="207"/>
      <c r="P111" s="207"/>
      <c r="Q111" s="207"/>
      <c r="R111" s="207"/>
      <c r="S111" s="207"/>
      <c r="T111" s="207"/>
      <c r="U111" s="207"/>
      <c r="V111" s="207"/>
      <c r="W111" s="207"/>
      <c r="X111" s="207"/>
      <c r="Y111" s="207"/>
      <c r="Z111" s="207"/>
      <c r="AA111" s="207"/>
      <c r="AB111" s="207"/>
      <c r="AC111" s="5"/>
      <c r="AD111" s="63"/>
      <c r="AE111" s="64"/>
      <c r="AF111" s="64"/>
      <c r="AG111" s="212"/>
      <c r="AH111" s="64"/>
      <c r="AI111" s="64"/>
      <c r="AJ111" s="64"/>
      <c r="AK111" s="212"/>
      <c r="AL111" s="64"/>
      <c r="AM111" s="212"/>
      <c r="AN111" s="64"/>
      <c r="AO111" s="64"/>
      <c r="AP111" s="63"/>
      <c r="AQ111" s="64"/>
      <c r="AR111" s="63"/>
      <c r="AS111" s="64"/>
      <c r="AT111" s="63"/>
      <c r="AU111" s="64"/>
      <c r="AV111" s="63"/>
      <c r="AW111" s="64"/>
      <c r="AX111" s="63"/>
      <c r="AY111" s="5"/>
      <c r="AZ111" s="21" t="str">
        <f t="shared" si="26"/>
        <v/>
      </c>
      <c r="BA111" s="264" t="s">
        <v>435</v>
      </c>
      <c r="BB111" s="264"/>
      <c r="BC111" s="264"/>
      <c r="BD111" s="264"/>
      <c r="BE111" s="216" t="s">
        <v>27</v>
      </c>
      <c r="BF111" s="55"/>
      <c r="BG111" s="55"/>
      <c r="BH111" s="55"/>
      <c r="BI111" s="55"/>
      <c r="BJ111" s="55"/>
      <c r="BK111" s="55"/>
      <c r="BL111" s="55"/>
      <c r="BM111" s="55"/>
      <c r="BN111" s="55"/>
      <c r="BO111" s="55"/>
      <c r="BP111" s="55"/>
      <c r="BQ111" s="5"/>
      <c r="BR111" s="25"/>
      <c r="BS111" s="5"/>
    </row>
    <row r="112" spans="1:71" s="3" customFormat="1" x14ac:dyDescent="0.25">
      <c r="A112" s="5"/>
      <c r="B112" s="3" t="str">
        <f t="array" ref="B112">IFERROR(INDEX(DemandSupply,MATCH(INDEX($AH$1:AH112,SMALL(ROW($AH$1:AH112)+(10000*($AH$1:AH112="")),COUNTA($AH$1:AH112))),Sectors,0)),"")</f>
        <v>Demand</v>
      </c>
      <c r="E112" s="10"/>
      <c r="F112" s="207"/>
      <c r="G112" s="207"/>
      <c r="H112" s="207"/>
      <c r="I112" s="207"/>
      <c r="J112" s="207"/>
      <c r="K112" s="207"/>
      <c r="L112" s="207"/>
      <c r="M112" s="207"/>
      <c r="N112" s="207"/>
      <c r="O112" s="207"/>
      <c r="P112" s="207"/>
      <c r="Q112" s="207"/>
      <c r="R112" s="207"/>
      <c r="S112" s="207"/>
      <c r="T112" s="207"/>
      <c r="U112" s="207"/>
      <c r="V112" s="207"/>
      <c r="W112" s="207"/>
      <c r="X112" s="207"/>
      <c r="Y112" s="207"/>
      <c r="Z112" s="207"/>
      <c r="AA112" s="207"/>
      <c r="AB112" s="207"/>
      <c r="AC112" s="5"/>
      <c r="AD112" s="63"/>
      <c r="AE112" s="64"/>
      <c r="AF112" s="64"/>
      <c r="AG112" s="212"/>
      <c r="AH112" s="64"/>
      <c r="AI112" s="64"/>
      <c r="AJ112" s="64"/>
      <c r="AK112" s="212"/>
      <c r="AL112" s="64"/>
      <c r="AM112" s="212"/>
      <c r="AN112" s="64"/>
      <c r="AO112" s="64"/>
      <c r="AP112" s="63"/>
      <c r="AQ112" s="64"/>
      <c r="AR112" s="63"/>
      <c r="AS112" s="64"/>
      <c r="AT112" s="63"/>
      <c r="AU112" s="64"/>
      <c r="AV112" s="63"/>
      <c r="AW112" s="64"/>
      <c r="AX112" s="63"/>
      <c r="AY112" s="5"/>
      <c r="AZ112" s="21" t="str">
        <f t="shared" si="26"/>
        <v/>
      </c>
      <c r="BA112" s="264" t="s">
        <v>407</v>
      </c>
      <c r="BB112" s="264"/>
      <c r="BC112" s="264"/>
      <c r="BD112" s="264" t="s">
        <v>99</v>
      </c>
      <c r="BE112" s="216" t="s">
        <v>27</v>
      </c>
      <c r="BF112" s="303"/>
      <c r="BG112" s="303"/>
      <c r="BH112" s="303"/>
      <c r="BI112" s="303"/>
      <c r="BJ112" s="303"/>
      <c r="BK112" s="303"/>
      <c r="BL112" s="303"/>
      <c r="BM112" s="303"/>
      <c r="BN112" s="303"/>
      <c r="BO112" s="303"/>
      <c r="BP112" s="303"/>
      <c r="BQ112" s="5"/>
      <c r="BR112" s="25"/>
      <c r="BS112" s="5"/>
    </row>
    <row r="113" spans="1:71" s="3" customFormat="1" x14ac:dyDescent="0.25">
      <c r="A113" s="5"/>
      <c r="B113" s="3" t="str">
        <f t="array" ref="B113">IFERROR(INDEX(DemandSupply,MATCH(INDEX($AH$1:AH113,SMALL(ROW($AH$1:AH113)+(10000*($AH$1:AH113="")),COUNTA($AH$1:AH113))),Sectors,0)),"")</f>
        <v>Demand</v>
      </c>
      <c r="E113" s="10"/>
      <c r="F113" s="207"/>
      <c r="G113" s="207"/>
      <c r="H113" s="207"/>
      <c r="I113" s="207"/>
      <c r="J113" s="207"/>
      <c r="K113" s="207"/>
      <c r="L113" s="207"/>
      <c r="M113" s="207"/>
      <c r="N113" s="207"/>
      <c r="O113" s="207"/>
      <c r="P113" s="207"/>
      <c r="Q113" s="207"/>
      <c r="R113" s="207"/>
      <c r="S113" s="207"/>
      <c r="T113" s="207"/>
      <c r="U113" s="207"/>
      <c r="V113" s="207"/>
      <c r="W113" s="207"/>
      <c r="X113" s="207"/>
      <c r="Y113" s="207"/>
      <c r="Z113" s="207"/>
      <c r="AA113" s="207"/>
      <c r="AB113" s="207"/>
      <c r="AC113" s="5"/>
      <c r="AD113" s="63"/>
      <c r="AE113" s="64"/>
      <c r="AF113" s="64"/>
      <c r="AG113" s="212"/>
      <c r="AH113" s="64"/>
      <c r="AI113" s="64"/>
      <c r="AJ113" s="64"/>
      <c r="AK113" s="212"/>
      <c r="AL113" s="64"/>
      <c r="AM113" s="212"/>
      <c r="AN113" s="64"/>
      <c r="AO113" s="64"/>
      <c r="AP113" s="63"/>
      <c r="AQ113" s="64"/>
      <c r="AR113" s="63"/>
      <c r="AS113" s="64"/>
      <c r="AT113" s="63"/>
      <c r="AU113" s="64"/>
      <c r="AV113" s="63"/>
      <c r="AW113" s="64"/>
      <c r="AX113" s="63"/>
      <c r="AY113" s="5"/>
      <c r="AZ113" s="21" t="str">
        <f t="shared" si="26"/>
        <v/>
      </c>
      <c r="BA113" s="264" t="s">
        <v>444</v>
      </c>
      <c r="BB113" s="264"/>
      <c r="BC113" s="264"/>
      <c r="BD113" s="264" t="s">
        <v>354</v>
      </c>
      <c r="BE113" s="216" t="s">
        <v>27</v>
      </c>
      <c r="BF113" s="56"/>
      <c r="BG113" s="56"/>
      <c r="BH113" s="56"/>
      <c r="BI113" s="56"/>
      <c r="BJ113" s="56"/>
      <c r="BK113" s="56"/>
      <c r="BL113" s="56"/>
      <c r="BM113" s="56"/>
      <c r="BN113" s="56"/>
      <c r="BO113" s="56"/>
      <c r="BP113" s="56"/>
      <c r="BQ113" s="5"/>
      <c r="BR113" s="25"/>
      <c r="BS113" s="5"/>
    </row>
    <row r="114" spans="1:71" s="3" customFormat="1" x14ac:dyDescent="0.25">
      <c r="A114" s="5"/>
      <c r="B114" s="3" t="str">
        <f t="array" ref="B114">IFERROR(INDEX(DemandSupply,MATCH(INDEX($AH$1:AH114,SMALL(ROW($AH$1:AH114)+(10000*($AH$1:AH114="")),COUNTA($AH$1:AH114))),Sectors,0)),"")</f>
        <v>Demand</v>
      </c>
      <c r="E114" s="10"/>
      <c r="F114" s="207"/>
      <c r="G114" s="207"/>
      <c r="H114" s="207"/>
      <c r="I114" s="207"/>
      <c r="J114" s="207"/>
      <c r="K114" s="207"/>
      <c r="L114" s="207"/>
      <c r="M114" s="207"/>
      <c r="N114" s="207"/>
      <c r="O114" s="207"/>
      <c r="P114" s="207"/>
      <c r="Q114" s="207"/>
      <c r="R114" s="207"/>
      <c r="S114" s="207"/>
      <c r="T114" s="207"/>
      <c r="U114" s="207"/>
      <c r="V114" s="207"/>
      <c r="W114" s="207"/>
      <c r="X114" s="207"/>
      <c r="Y114" s="207"/>
      <c r="Z114" s="207"/>
      <c r="AA114" s="207"/>
      <c r="AB114" s="207"/>
      <c r="AC114" s="5"/>
      <c r="AD114" s="63"/>
      <c r="AE114" s="64"/>
      <c r="AF114" s="64"/>
      <c r="AG114" s="212"/>
      <c r="AH114" s="64"/>
      <c r="AI114" s="64"/>
      <c r="AJ114" s="64"/>
      <c r="AK114" s="212"/>
      <c r="AL114" s="64"/>
      <c r="AM114" s="212"/>
      <c r="AN114" s="64"/>
      <c r="AO114" s="64"/>
      <c r="AP114" s="63"/>
      <c r="AQ114" s="64"/>
      <c r="AR114" s="63"/>
      <c r="AS114" s="64"/>
      <c r="AT114" s="63"/>
      <c r="AU114" s="64"/>
      <c r="AV114" s="63"/>
      <c r="AW114" s="64"/>
      <c r="AX114" s="63"/>
      <c r="AY114" s="5"/>
      <c r="AZ114" s="21" t="str">
        <f t="shared" si="26"/>
        <v/>
      </c>
      <c r="BA114" s="264" t="s">
        <v>446</v>
      </c>
      <c r="BB114" s="264"/>
      <c r="BC114" s="264"/>
      <c r="BD114" s="264" t="s">
        <v>354</v>
      </c>
      <c r="BE114" s="216" t="s">
        <v>27</v>
      </c>
      <c r="BF114" s="56"/>
      <c r="BG114" s="56"/>
      <c r="BH114" s="56"/>
      <c r="BI114" s="56"/>
      <c r="BJ114" s="56"/>
      <c r="BK114" s="56"/>
      <c r="BL114" s="56"/>
      <c r="BM114" s="56"/>
      <c r="BN114" s="56"/>
      <c r="BO114" s="56"/>
      <c r="BP114" s="56"/>
      <c r="BQ114" s="5"/>
      <c r="BR114" s="25"/>
      <c r="BS114" s="5"/>
    </row>
    <row r="115" spans="1:71" s="3" customFormat="1" x14ac:dyDescent="0.25">
      <c r="A115" s="5"/>
      <c r="B115" s="3" t="str">
        <f t="array" ref="B115">IFERROR(INDEX(DemandSupply,MATCH(INDEX($AH$1:AH115,SMALL(ROW($AH$1:AH115)+(10000*($AH$1:AH115="")),COUNTA($AH$1:AH115))),Sectors,0)),"")</f>
        <v>Demand</v>
      </c>
      <c r="E115" s="10"/>
      <c r="F115" s="207"/>
      <c r="G115" s="207"/>
      <c r="H115" s="207"/>
      <c r="I115" s="207"/>
      <c r="J115" s="207"/>
      <c r="K115" s="207"/>
      <c r="L115" s="207"/>
      <c r="M115" s="207"/>
      <c r="N115" s="207"/>
      <c r="O115" s="207"/>
      <c r="P115" s="207"/>
      <c r="Q115" s="207"/>
      <c r="R115" s="207"/>
      <c r="S115" s="207"/>
      <c r="T115" s="207"/>
      <c r="U115" s="207"/>
      <c r="V115" s="207"/>
      <c r="W115" s="207"/>
      <c r="X115" s="207"/>
      <c r="Y115" s="207"/>
      <c r="Z115" s="207"/>
      <c r="AA115" s="207"/>
      <c r="AB115" s="207"/>
      <c r="AC115" s="5"/>
      <c r="AD115" s="63"/>
      <c r="AE115" s="64"/>
      <c r="AF115" s="64"/>
      <c r="AG115" s="212"/>
      <c r="AH115" s="64"/>
      <c r="AI115" s="64"/>
      <c r="AJ115" s="64"/>
      <c r="AK115" s="212"/>
      <c r="AL115" s="64"/>
      <c r="AM115" s="212"/>
      <c r="AN115" s="64"/>
      <c r="AO115" s="64"/>
      <c r="AP115" s="63"/>
      <c r="AQ115" s="64"/>
      <c r="AR115" s="63"/>
      <c r="AS115" s="64"/>
      <c r="AT115" s="63"/>
      <c r="AU115" s="64"/>
      <c r="AV115" s="63"/>
      <c r="AW115" s="64"/>
      <c r="AX115" s="63"/>
      <c r="AY115" s="5"/>
      <c r="AZ115" s="21" t="str">
        <f t="shared" si="26"/>
        <v/>
      </c>
      <c r="BA115" s="264" t="s">
        <v>447</v>
      </c>
      <c r="BB115" s="264"/>
      <c r="BC115" s="264"/>
      <c r="BD115" s="264"/>
      <c r="BE115" s="216" t="s">
        <v>27</v>
      </c>
      <c r="BF115" s="55"/>
      <c r="BG115" s="55"/>
      <c r="BH115" s="55"/>
      <c r="BI115" s="55"/>
      <c r="BJ115" s="55"/>
      <c r="BK115" s="55"/>
      <c r="BL115" s="55"/>
      <c r="BM115" s="55"/>
      <c r="BN115" s="55"/>
      <c r="BO115" s="55"/>
      <c r="BP115" s="55"/>
      <c r="BQ115" s="5"/>
      <c r="BR115" s="25"/>
      <c r="BS115" s="5"/>
    </row>
    <row r="116" spans="1:71" s="3" customFormat="1" x14ac:dyDescent="0.25">
      <c r="A116" s="5"/>
      <c r="B116" s="3" t="str">
        <f t="array" ref="B116">IFERROR(INDEX(DemandSupply,MATCH(INDEX($AH$1:AH116,SMALL(ROW($AH$1:AH116)+(10000*($AH$1:AH116="")),COUNTA($AH$1:AH116))),Sectors,0)),"")</f>
        <v>Demand</v>
      </c>
      <c r="E116" s="10"/>
      <c r="F116" s="207"/>
      <c r="G116" s="207"/>
      <c r="H116" s="207"/>
      <c r="I116" s="207"/>
      <c r="J116" s="207"/>
      <c r="K116" s="207"/>
      <c r="L116" s="207"/>
      <c r="M116" s="207"/>
      <c r="N116" s="207"/>
      <c r="O116" s="207"/>
      <c r="P116" s="207"/>
      <c r="Q116" s="207"/>
      <c r="R116" s="207"/>
      <c r="S116" s="207"/>
      <c r="T116" s="207"/>
      <c r="U116" s="207"/>
      <c r="V116" s="207"/>
      <c r="W116" s="207"/>
      <c r="X116" s="207"/>
      <c r="Y116" s="207"/>
      <c r="Z116" s="207"/>
      <c r="AA116" s="207"/>
      <c r="AB116" s="207"/>
      <c r="AC116" s="5"/>
      <c r="AD116" s="63"/>
      <c r="AE116" s="64"/>
      <c r="AF116" s="64"/>
      <c r="AG116" s="212"/>
      <c r="AH116" s="64"/>
      <c r="AI116" s="64"/>
      <c r="AJ116" s="64"/>
      <c r="AK116" s="212"/>
      <c r="AL116" s="64"/>
      <c r="AM116" s="212"/>
      <c r="AN116" s="64"/>
      <c r="AO116" s="64"/>
      <c r="AP116" s="63"/>
      <c r="AQ116" s="64"/>
      <c r="AR116" s="63"/>
      <c r="AS116" s="64"/>
      <c r="AT116" s="63"/>
      <c r="AU116" s="64"/>
      <c r="AV116" s="63"/>
      <c r="AW116" s="64"/>
      <c r="AX116" s="63"/>
      <c r="AY116" s="5"/>
      <c r="AZ116" s="21" t="str">
        <f t="shared" si="26"/>
        <v/>
      </c>
      <c r="BA116" s="264" t="s">
        <v>448</v>
      </c>
      <c r="BB116" s="264"/>
      <c r="BC116" s="264"/>
      <c r="BD116" s="264"/>
      <c r="BE116" s="216" t="s">
        <v>27</v>
      </c>
      <c r="BF116" s="55"/>
      <c r="BG116" s="55"/>
      <c r="BH116" s="55"/>
      <c r="BI116" s="55"/>
      <c r="BJ116" s="55"/>
      <c r="BK116" s="55"/>
      <c r="BL116" s="55"/>
      <c r="BM116" s="55"/>
      <c r="BN116" s="55"/>
      <c r="BO116" s="55"/>
      <c r="BP116" s="55"/>
      <c r="BQ116" s="5"/>
      <c r="BR116" s="25"/>
      <c r="BS116" s="5"/>
    </row>
    <row r="117" spans="1:71" s="3" customFormat="1" x14ac:dyDescent="0.25">
      <c r="A117" s="5"/>
      <c r="B117" s="3" t="str">
        <f t="array" ref="B117">IFERROR(INDEX(DemandSupply,MATCH(INDEX($AH$1:AH117,SMALL(ROW($AH$1:AH117)+(10000*($AH$1:AH117="")),COUNTA($AH$1:AH117))),Sectors,0)),"")</f>
        <v>Demand</v>
      </c>
      <c r="E117" s="10"/>
      <c r="F117" s="207"/>
      <c r="G117" s="207"/>
      <c r="H117" s="207"/>
      <c r="I117" s="207"/>
      <c r="J117" s="207"/>
      <c r="K117" s="207"/>
      <c r="L117" s="207"/>
      <c r="M117" s="207"/>
      <c r="N117" s="207"/>
      <c r="O117" s="207"/>
      <c r="P117" s="207"/>
      <c r="Q117" s="207"/>
      <c r="R117" s="207"/>
      <c r="S117" s="207"/>
      <c r="T117" s="207"/>
      <c r="U117" s="207"/>
      <c r="V117" s="207"/>
      <c r="W117" s="207"/>
      <c r="X117" s="207"/>
      <c r="Y117" s="207"/>
      <c r="Z117" s="207"/>
      <c r="AA117" s="207"/>
      <c r="AB117" s="207"/>
      <c r="AC117" s="5"/>
      <c r="AD117" s="63"/>
      <c r="AE117" s="64"/>
      <c r="AF117" s="64"/>
      <c r="AG117" s="212"/>
      <c r="AH117" s="64"/>
      <c r="AI117" s="64"/>
      <c r="AJ117" s="64"/>
      <c r="AK117" s="212"/>
      <c r="AL117" s="64"/>
      <c r="AM117" s="212"/>
      <c r="AN117" s="64"/>
      <c r="AO117" s="64"/>
      <c r="AP117" s="63"/>
      <c r="AQ117" s="64"/>
      <c r="AR117" s="63"/>
      <c r="AS117" s="64"/>
      <c r="AT117" s="63"/>
      <c r="AU117" s="64"/>
      <c r="AV117" s="63"/>
      <c r="AW117" s="64"/>
      <c r="AX117" s="63"/>
      <c r="AY117" s="5"/>
      <c r="AZ117" s="21" t="str">
        <f t="shared" si="26"/>
        <v/>
      </c>
      <c r="BA117" s="264" t="s">
        <v>445</v>
      </c>
      <c r="BB117" s="264"/>
      <c r="BC117" s="264"/>
      <c r="BD117" s="74" t="s">
        <v>357</v>
      </c>
      <c r="BE117" s="216" t="s">
        <v>27</v>
      </c>
      <c r="BF117" s="56"/>
      <c r="BG117" s="56"/>
      <c r="BH117" s="56"/>
      <c r="BI117" s="56"/>
      <c r="BJ117" s="56"/>
      <c r="BK117" s="56"/>
      <c r="BL117" s="56"/>
      <c r="BM117" s="56"/>
      <c r="BN117" s="56"/>
      <c r="BO117" s="56"/>
      <c r="BP117" s="56"/>
      <c r="BQ117" s="5"/>
      <c r="BR117" s="25"/>
      <c r="BS117" s="5"/>
    </row>
    <row r="118" spans="1:71" s="3" customFormat="1" x14ac:dyDescent="0.25">
      <c r="A118" s="5"/>
      <c r="B118" s="3" t="str">
        <f t="array" ref="B118">IFERROR(INDEX(DemandSupply,MATCH(INDEX($AH$1:AH118,SMALL(ROW($AH$1:AH118)+(10000*($AH$1:AH118="")),COUNTA($AH$1:AH118))),Sectors,0)),"")</f>
        <v>Demand</v>
      </c>
      <c r="E118" s="10"/>
      <c r="F118" s="207"/>
      <c r="G118" s="207"/>
      <c r="H118" s="207"/>
      <c r="I118" s="207"/>
      <c r="J118" s="207"/>
      <c r="K118" s="207"/>
      <c r="L118" s="207"/>
      <c r="M118" s="207"/>
      <c r="N118" s="207"/>
      <c r="O118" s="207"/>
      <c r="P118" s="207"/>
      <c r="Q118" s="207"/>
      <c r="R118" s="207"/>
      <c r="S118" s="207"/>
      <c r="T118" s="207"/>
      <c r="U118" s="207"/>
      <c r="V118" s="207"/>
      <c r="W118" s="207"/>
      <c r="X118" s="207"/>
      <c r="Y118" s="207"/>
      <c r="Z118" s="207"/>
      <c r="AA118" s="207"/>
      <c r="AB118" s="207"/>
      <c r="AC118" s="5"/>
      <c r="AD118" s="63"/>
      <c r="AE118" s="64"/>
      <c r="AF118" s="64"/>
      <c r="AG118" s="212"/>
      <c r="AH118" s="64"/>
      <c r="AI118" s="64"/>
      <c r="AJ118" s="64"/>
      <c r="AK118" s="212"/>
      <c r="AL118" s="64"/>
      <c r="AM118" s="212"/>
      <c r="AN118" s="64"/>
      <c r="AO118" s="64"/>
      <c r="AP118" s="63"/>
      <c r="AQ118" s="64"/>
      <c r="AR118" s="63"/>
      <c r="AS118" s="64"/>
      <c r="AT118" s="63"/>
      <c r="AU118" s="64"/>
      <c r="AV118" s="63"/>
      <c r="AW118" s="64"/>
      <c r="AX118" s="63"/>
      <c r="AY118" s="5"/>
      <c r="AZ118" s="21" t="str">
        <f t="shared" si="26"/>
        <v/>
      </c>
      <c r="BA118" s="264" t="s">
        <v>449</v>
      </c>
      <c r="BB118" s="264"/>
      <c r="BC118" s="264"/>
      <c r="BD118" s="74" t="s">
        <v>357</v>
      </c>
      <c r="BE118" s="216" t="s">
        <v>27</v>
      </c>
      <c r="BF118" s="56"/>
      <c r="BG118" s="56"/>
      <c r="BH118" s="56"/>
      <c r="BI118" s="56"/>
      <c r="BJ118" s="56"/>
      <c r="BK118" s="56"/>
      <c r="BL118" s="56"/>
      <c r="BM118" s="56"/>
      <c r="BN118" s="56"/>
      <c r="BO118" s="56"/>
      <c r="BP118" s="56"/>
      <c r="BQ118" s="5"/>
      <c r="BR118" s="25"/>
      <c r="BS118" s="5"/>
    </row>
    <row r="119" spans="1:71" s="3" customFormat="1" x14ac:dyDescent="0.25">
      <c r="A119" s="5"/>
      <c r="B119" s="3" t="str">
        <f t="array" ref="B119">IFERROR(INDEX(DemandSupply,MATCH(INDEX($AH$1:AH119,SMALL(ROW($AH$1:AH119)+(10000*($AH$1:AH119="")),COUNTA($AH$1:AH119))),Sectors,0)),"")</f>
        <v>Demand</v>
      </c>
      <c r="E119" s="10"/>
      <c r="F119" s="207"/>
      <c r="G119" s="207"/>
      <c r="H119" s="207"/>
      <c r="I119" s="207"/>
      <c r="J119" s="207"/>
      <c r="K119" s="207"/>
      <c r="L119" s="207"/>
      <c r="M119" s="207"/>
      <c r="N119" s="207"/>
      <c r="O119" s="207"/>
      <c r="P119" s="207"/>
      <c r="Q119" s="207"/>
      <c r="R119" s="207"/>
      <c r="S119" s="207"/>
      <c r="T119" s="207"/>
      <c r="U119" s="207"/>
      <c r="V119" s="207"/>
      <c r="W119" s="207"/>
      <c r="X119" s="207"/>
      <c r="Y119" s="207"/>
      <c r="Z119" s="207"/>
      <c r="AA119" s="207"/>
      <c r="AB119" s="207"/>
      <c r="AC119" s="5"/>
      <c r="AD119" s="63"/>
      <c r="AE119" s="64"/>
      <c r="AF119" s="64"/>
      <c r="AG119" s="212"/>
      <c r="AH119" s="64"/>
      <c r="AI119" s="64"/>
      <c r="AJ119" s="64"/>
      <c r="AK119" s="212"/>
      <c r="AL119" s="64"/>
      <c r="AM119" s="212"/>
      <c r="AN119" s="64"/>
      <c r="AO119" s="64"/>
      <c r="AP119" s="63"/>
      <c r="AQ119" s="64"/>
      <c r="AR119" s="63"/>
      <c r="AS119" s="64"/>
      <c r="AT119" s="63"/>
      <c r="AU119" s="64"/>
      <c r="AV119" s="63"/>
      <c r="AW119" s="64"/>
      <c r="AX119" s="63"/>
      <c r="AY119" s="5"/>
      <c r="AZ119" s="21" t="str">
        <f t="shared" si="26"/>
        <v/>
      </c>
      <c r="BA119" s="264" t="s">
        <v>450</v>
      </c>
      <c r="BB119" s="264"/>
      <c r="BC119" s="264"/>
      <c r="BD119" s="264"/>
      <c r="BE119" s="216" t="s">
        <v>27</v>
      </c>
      <c r="BF119" s="55"/>
      <c r="BG119" s="55"/>
      <c r="BH119" s="55"/>
      <c r="BI119" s="55"/>
      <c r="BJ119" s="55"/>
      <c r="BK119" s="55"/>
      <c r="BL119" s="55"/>
      <c r="BM119" s="55"/>
      <c r="BN119" s="55"/>
      <c r="BO119" s="55"/>
      <c r="BP119" s="55"/>
      <c r="BQ119" s="5"/>
      <c r="BR119" s="25"/>
      <c r="BS119" s="5"/>
    </row>
    <row r="120" spans="1:71" s="3" customFormat="1" x14ac:dyDescent="0.25">
      <c r="A120" s="5"/>
      <c r="B120" s="3" t="str">
        <f t="array" ref="B120">IFERROR(INDEX(DemandSupply,MATCH(INDEX($AH$1:AH120,SMALL(ROW($AH$1:AH120)+(10000*($AH$1:AH120="")),COUNTA($AH$1:AH120))),Sectors,0)),"")</f>
        <v>Demand</v>
      </c>
      <c r="E120" s="10"/>
      <c r="F120" s="207"/>
      <c r="G120" s="207"/>
      <c r="H120" s="207"/>
      <c r="I120" s="207"/>
      <c r="J120" s="207"/>
      <c r="K120" s="207"/>
      <c r="L120" s="207"/>
      <c r="M120" s="207"/>
      <c r="N120" s="207"/>
      <c r="O120" s="207"/>
      <c r="P120" s="207"/>
      <c r="Q120" s="207"/>
      <c r="R120" s="207"/>
      <c r="S120" s="207"/>
      <c r="T120" s="207"/>
      <c r="U120" s="207"/>
      <c r="V120" s="207"/>
      <c r="W120" s="207"/>
      <c r="X120" s="207"/>
      <c r="Y120" s="207"/>
      <c r="Z120" s="207"/>
      <c r="AA120" s="207"/>
      <c r="AB120" s="207"/>
      <c r="AC120" s="5"/>
      <c r="AD120" s="63"/>
      <c r="AE120" s="64"/>
      <c r="AF120" s="64"/>
      <c r="AG120" s="212"/>
      <c r="AH120" s="64"/>
      <c r="AI120" s="64"/>
      <c r="AJ120" s="64"/>
      <c r="AK120" s="212"/>
      <c r="AL120" s="64"/>
      <c r="AM120" s="212"/>
      <c r="AN120" s="64"/>
      <c r="AO120" s="64"/>
      <c r="AP120" s="63"/>
      <c r="AQ120" s="64"/>
      <c r="AR120" s="63"/>
      <c r="AS120" s="64"/>
      <c r="AT120" s="63"/>
      <c r="AU120" s="64"/>
      <c r="AV120" s="63"/>
      <c r="AW120" s="64"/>
      <c r="AX120" s="63"/>
      <c r="AY120" s="5"/>
      <c r="AZ120" s="21" t="str">
        <f t="shared" si="26"/>
        <v/>
      </c>
      <c r="BA120" s="264" t="s">
        <v>451</v>
      </c>
      <c r="BB120" s="264"/>
      <c r="BC120" s="264"/>
      <c r="BD120" s="264"/>
      <c r="BE120" s="216" t="s">
        <v>27</v>
      </c>
      <c r="BF120" s="55"/>
      <c r="BG120" s="55"/>
      <c r="BH120" s="55"/>
      <c r="BI120" s="55"/>
      <c r="BJ120" s="55"/>
      <c r="BK120" s="55"/>
      <c r="BL120" s="55"/>
      <c r="BM120" s="55"/>
      <c r="BN120" s="55"/>
      <c r="BO120" s="55"/>
      <c r="BP120" s="55"/>
      <c r="BQ120" s="5"/>
      <c r="BR120" s="25"/>
      <c r="BS120" s="5"/>
    </row>
    <row r="121" spans="1:71" s="3" customFormat="1" x14ac:dyDescent="0.25">
      <c r="A121" s="5"/>
      <c r="B121" s="3" t="str">
        <f t="array" ref="B121">IFERROR(INDEX(DemandSupply,MATCH(INDEX($AH$1:AH121,SMALL(ROW($AH$1:AH121)+(10000*($AH$1:AH121="")),COUNTA($AH$1:AH121))),Sectors,0)),"")</f>
        <v>Demand</v>
      </c>
      <c r="E121" s="10"/>
      <c r="F121" s="207"/>
      <c r="G121" s="207"/>
      <c r="H121" s="207"/>
      <c r="I121" s="207"/>
      <c r="J121" s="207"/>
      <c r="K121" s="207"/>
      <c r="L121" s="207"/>
      <c r="M121" s="207"/>
      <c r="N121" s="207"/>
      <c r="O121" s="207"/>
      <c r="P121" s="207"/>
      <c r="Q121" s="207"/>
      <c r="R121" s="207"/>
      <c r="S121" s="207"/>
      <c r="T121" s="207"/>
      <c r="U121" s="207"/>
      <c r="V121" s="207"/>
      <c r="W121" s="207"/>
      <c r="X121" s="207"/>
      <c r="Y121" s="207"/>
      <c r="Z121" s="207"/>
      <c r="AA121" s="207"/>
      <c r="AB121" s="207"/>
      <c r="AC121" s="5"/>
      <c r="AD121" s="63"/>
      <c r="AE121" s="64"/>
      <c r="AF121" s="64"/>
      <c r="AG121" s="212"/>
      <c r="AH121" s="64"/>
      <c r="AI121" s="64"/>
      <c r="AJ121" s="64"/>
      <c r="AK121" s="212"/>
      <c r="AL121" s="64"/>
      <c r="AM121" s="212"/>
      <c r="AN121" s="64"/>
      <c r="AO121" s="64"/>
      <c r="AP121" s="63"/>
      <c r="AQ121" s="64"/>
      <c r="AR121" s="63"/>
      <c r="AS121" s="64"/>
      <c r="AT121" s="63"/>
      <c r="AU121" s="64"/>
      <c r="AV121" s="63"/>
      <c r="AW121" s="64"/>
      <c r="AX121" s="63"/>
      <c r="AY121" s="5"/>
      <c r="AZ121" s="21" t="str">
        <f t="shared" si="26"/>
        <v/>
      </c>
      <c r="BA121" s="264" t="s">
        <v>342</v>
      </c>
      <c r="BB121" s="264"/>
      <c r="BC121" s="264"/>
      <c r="BD121" s="74" t="s">
        <v>357</v>
      </c>
      <c r="BE121" s="216" t="s">
        <v>27</v>
      </c>
      <c r="BF121" s="56"/>
      <c r="BG121" s="56"/>
      <c r="BH121" s="56"/>
      <c r="BI121" s="56"/>
      <c r="BJ121" s="56"/>
      <c r="BK121" s="56"/>
      <c r="BL121" s="56"/>
      <c r="BM121" s="56"/>
      <c r="BN121" s="56"/>
      <c r="BO121" s="56"/>
      <c r="BP121" s="56"/>
      <c r="BQ121" s="5"/>
      <c r="BR121" s="25"/>
      <c r="BS121" s="5"/>
    </row>
    <row r="122" spans="1:71" s="3" customFormat="1" x14ac:dyDescent="0.25">
      <c r="A122" s="5"/>
      <c r="B122" s="3" t="str">
        <f t="array" ref="B122">IFERROR(INDEX(DemandSupply,MATCH(INDEX($AH$1:AH122,SMALL(ROW($AH$1:AH122)+(10000*($AH$1:AH122="")),COUNTA($AH$1:AH122))),Sectors,0)),"")</f>
        <v>Demand</v>
      </c>
      <c r="E122" s="10"/>
      <c r="F122" s="207"/>
      <c r="G122" s="207"/>
      <c r="H122" s="207"/>
      <c r="I122" s="207"/>
      <c r="J122" s="207"/>
      <c r="K122" s="207"/>
      <c r="L122" s="207"/>
      <c r="M122" s="207"/>
      <c r="N122" s="207"/>
      <c r="O122" s="207"/>
      <c r="P122" s="207"/>
      <c r="Q122" s="207"/>
      <c r="R122" s="207"/>
      <c r="S122" s="207"/>
      <c r="T122" s="207"/>
      <c r="U122" s="207"/>
      <c r="V122" s="207"/>
      <c r="W122" s="207"/>
      <c r="X122" s="207"/>
      <c r="Y122" s="207"/>
      <c r="Z122" s="207"/>
      <c r="AA122" s="207"/>
      <c r="AB122" s="207"/>
      <c r="AC122" s="5"/>
      <c r="AD122" s="63"/>
      <c r="AE122" s="64"/>
      <c r="AF122" s="64"/>
      <c r="AG122" s="212"/>
      <c r="AH122" s="64"/>
      <c r="AI122" s="64"/>
      <c r="AJ122" s="64"/>
      <c r="AK122" s="212"/>
      <c r="AL122" s="64"/>
      <c r="AM122" s="212"/>
      <c r="AN122" s="64"/>
      <c r="AO122" s="64"/>
      <c r="AP122" s="63"/>
      <c r="AQ122" s="64"/>
      <c r="AR122" s="63"/>
      <c r="AS122" s="64"/>
      <c r="AT122" s="63"/>
      <c r="AU122" s="64"/>
      <c r="AV122" s="63"/>
      <c r="AW122" s="64"/>
      <c r="AX122" s="63"/>
      <c r="AY122" s="5"/>
      <c r="AZ122" s="21" t="str">
        <f t="shared" si="26"/>
        <v/>
      </c>
      <c r="BA122" s="264" t="s">
        <v>394</v>
      </c>
      <c r="BB122" s="264"/>
      <c r="BC122" s="264"/>
      <c r="BD122" s="264" t="s">
        <v>354</v>
      </c>
      <c r="BE122" s="216" t="s">
        <v>27</v>
      </c>
      <c r="BF122" s="56"/>
      <c r="BG122" s="56"/>
      <c r="BH122" s="56"/>
      <c r="BI122" s="56"/>
      <c r="BJ122" s="56"/>
      <c r="BK122" s="56"/>
      <c r="BL122" s="56"/>
      <c r="BM122" s="56"/>
      <c r="BN122" s="56"/>
      <c r="BO122" s="56"/>
      <c r="BP122" s="56"/>
      <c r="BQ122" s="5"/>
      <c r="BR122" s="25"/>
      <c r="BS122" s="5"/>
    </row>
    <row r="123" spans="1:71" s="3" customFormat="1" x14ac:dyDescent="0.25">
      <c r="A123" s="5"/>
      <c r="B123" s="3" t="str">
        <f t="array" ref="B123">IFERROR(INDEX(DemandSupply,MATCH(INDEX($AH$1:AH123,SMALL(ROW($AH$1:AH123)+(10000*($AH$1:AH123="")),COUNTA($AH$1:AH123))),Sectors,0)),"")</f>
        <v>Demand</v>
      </c>
      <c r="E123" s="10">
        <f t="shared" si="24"/>
        <v>0</v>
      </c>
      <c r="F123" s="207">
        <v>1</v>
      </c>
      <c r="G123" s="207">
        <v>1</v>
      </c>
      <c r="H123" s="207">
        <v>1</v>
      </c>
      <c r="I123" s="207">
        <v>1</v>
      </c>
      <c r="J123" s="207">
        <v>1</v>
      </c>
      <c r="K123" s="207">
        <v>1</v>
      </c>
      <c r="L123" s="207">
        <v>1</v>
      </c>
      <c r="M123" s="207">
        <v>1</v>
      </c>
      <c r="N123" s="207">
        <v>1</v>
      </c>
      <c r="O123" s="207">
        <v>1</v>
      </c>
      <c r="P123" s="207">
        <v>1</v>
      </c>
      <c r="Q123" s="207">
        <v>1</v>
      </c>
      <c r="R123" s="207">
        <v>1</v>
      </c>
      <c r="S123" s="207">
        <v>1</v>
      </c>
      <c r="T123" s="207">
        <v>1</v>
      </c>
      <c r="U123" s="207">
        <v>1</v>
      </c>
      <c r="V123" s="207">
        <v>1</v>
      </c>
      <c r="W123" s="207">
        <v>1</v>
      </c>
      <c r="X123" s="207">
        <v>1</v>
      </c>
      <c r="Y123" s="207">
        <v>1</v>
      </c>
      <c r="Z123" s="207">
        <v>1</v>
      </c>
      <c r="AA123" s="207">
        <v>1</v>
      </c>
      <c r="AB123" s="207">
        <v>1</v>
      </c>
      <c r="AC123" s="5"/>
      <c r="AD123" s="63"/>
      <c r="AE123" s="64"/>
      <c r="AF123" s="64"/>
      <c r="AG123" s="212"/>
      <c r="AH123" s="64"/>
      <c r="AI123" s="64"/>
      <c r="AJ123" s="64"/>
      <c r="AK123" s="212"/>
      <c r="AL123" s="64"/>
      <c r="AM123" s="212"/>
      <c r="AN123" s="64"/>
      <c r="AO123" s="64"/>
      <c r="AP123" s="63"/>
      <c r="AQ123" s="64"/>
      <c r="AR123" s="63"/>
      <c r="AS123" s="64"/>
      <c r="AT123" s="63"/>
      <c r="AU123" s="64"/>
      <c r="AV123" s="63"/>
      <c r="AW123" s="64"/>
      <c r="AX123" s="63"/>
      <c r="AY123" s="5"/>
      <c r="AZ123" s="21" t="str">
        <f t="shared" si="26"/>
        <v/>
      </c>
      <c r="BA123" s="74" t="s">
        <v>338</v>
      </c>
      <c r="BB123" s="25"/>
      <c r="BC123" s="74" t="s">
        <v>129</v>
      </c>
      <c r="BD123" s="74" t="s">
        <v>45</v>
      </c>
      <c r="BE123" s="216" t="s">
        <v>27</v>
      </c>
      <c r="BF123" s="55">
        <v>0.63300000000000001</v>
      </c>
      <c r="BG123" s="55">
        <f t="shared" ref="BG123:BP123" si="31">BF123</f>
        <v>0.63300000000000001</v>
      </c>
      <c r="BH123" s="55">
        <f t="shared" si="31"/>
        <v>0.63300000000000001</v>
      </c>
      <c r="BI123" s="55">
        <f t="shared" si="31"/>
        <v>0.63300000000000001</v>
      </c>
      <c r="BJ123" s="55">
        <f t="shared" si="31"/>
        <v>0.63300000000000001</v>
      </c>
      <c r="BK123" s="55">
        <f t="shared" si="31"/>
        <v>0.63300000000000001</v>
      </c>
      <c r="BL123" s="55">
        <f t="shared" si="31"/>
        <v>0.63300000000000001</v>
      </c>
      <c r="BM123" s="55">
        <f t="shared" si="31"/>
        <v>0.63300000000000001</v>
      </c>
      <c r="BN123" s="55">
        <f t="shared" si="31"/>
        <v>0.63300000000000001</v>
      </c>
      <c r="BO123" s="55">
        <f t="shared" si="31"/>
        <v>0.63300000000000001</v>
      </c>
      <c r="BP123" s="55">
        <f t="shared" si="31"/>
        <v>0.63300000000000001</v>
      </c>
      <c r="BQ123" s="5"/>
      <c r="BR123" s="25"/>
      <c r="BS123" s="5"/>
    </row>
    <row r="124" spans="1:71" s="3" customFormat="1" x14ac:dyDescent="0.25">
      <c r="A124" s="5"/>
      <c r="B124" s="3" t="str">
        <f t="array" ref="B124">IFERROR(INDEX(DemandSupply,MATCH(INDEX($AH$1:AH124,SMALL(ROW($AH$1:AH124)+(10000*($AH$1:AH124="")),COUNTA($AH$1:AH124))),Sectors,0)),"")</f>
        <v>Demand</v>
      </c>
      <c r="E124" s="10">
        <f t="shared" si="24"/>
        <v>0</v>
      </c>
      <c r="F124" s="207">
        <v>1</v>
      </c>
      <c r="G124" s="207">
        <v>1</v>
      </c>
      <c r="H124" s="207">
        <v>1</v>
      </c>
      <c r="I124" s="207">
        <v>1</v>
      </c>
      <c r="J124" s="207">
        <v>1</v>
      </c>
      <c r="K124" s="207">
        <v>1</v>
      </c>
      <c r="L124" s="207">
        <v>1</v>
      </c>
      <c r="M124" s="207">
        <v>1</v>
      </c>
      <c r="N124" s="207">
        <v>1</v>
      </c>
      <c r="O124" s="207">
        <v>1</v>
      </c>
      <c r="P124" s="207">
        <v>1</v>
      </c>
      <c r="Q124" s="207">
        <v>1</v>
      </c>
      <c r="R124" s="207">
        <v>1</v>
      </c>
      <c r="S124" s="207">
        <v>1</v>
      </c>
      <c r="T124" s="207">
        <v>1</v>
      </c>
      <c r="U124" s="207">
        <v>1</v>
      </c>
      <c r="V124" s="207">
        <v>1</v>
      </c>
      <c r="W124" s="207">
        <v>1</v>
      </c>
      <c r="X124" s="207">
        <v>1</v>
      </c>
      <c r="Y124" s="207">
        <v>1</v>
      </c>
      <c r="Z124" s="207">
        <v>1</v>
      </c>
      <c r="AA124" s="207">
        <v>1</v>
      </c>
      <c r="AB124" s="207">
        <v>1</v>
      </c>
      <c r="AC124" s="5"/>
      <c r="AD124" s="63"/>
      <c r="AE124" s="64"/>
      <c r="AF124" s="64"/>
      <c r="AG124" s="212"/>
      <c r="AH124" s="64"/>
      <c r="AI124" s="64"/>
      <c r="AJ124" s="64"/>
      <c r="AK124" s="212"/>
      <c r="AL124" s="64"/>
      <c r="AM124" s="212"/>
      <c r="AN124" s="64"/>
      <c r="AO124" s="64"/>
      <c r="AP124" s="63"/>
      <c r="AQ124" s="64"/>
      <c r="AR124" s="63"/>
      <c r="AS124" s="64"/>
      <c r="AT124" s="63"/>
      <c r="AU124" s="64"/>
      <c r="AV124" s="63"/>
      <c r="AW124" s="64"/>
      <c r="AX124" s="63"/>
      <c r="AY124" s="5"/>
      <c r="AZ124" s="21" t="str">
        <f t="shared" si="26"/>
        <v/>
      </c>
      <c r="BA124" s="74" t="s">
        <v>338</v>
      </c>
      <c r="BB124" s="25"/>
      <c r="BC124" s="74" t="s">
        <v>130</v>
      </c>
      <c r="BD124" s="74" t="s">
        <v>45</v>
      </c>
      <c r="BE124" s="216" t="s">
        <v>27</v>
      </c>
      <c r="BF124" s="55">
        <v>6.9000000000000006E-2</v>
      </c>
      <c r="BG124" s="55">
        <f t="shared" ref="BG124:BP124" si="32">BF124</f>
        <v>6.9000000000000006E-2</v>
      </c>
      <c r="BH124" s="55">
        <f t="shared" si="32"/>
        <v>6.9000000000000006E-2</v>
      </c>
      <c r="BI124" s="55">
        <f t="shared" si="32"/>
        <v>6.9000000000000006E-2</v>
      </c>
      <c r="BJ124" s="55">
        <f t="shared" si="32"/>
        <v>6.9000000000000006E-2</v>
      </c>
      <c r="BK124" s="55">
        <f t="shared" si="32"/>
        <v>6.9000000000000006E-2</v>
      </c>
      <c r="BL124" s="55">
        <f t="shared" si="32"/>
        <v>6.9000000000000006E-2</v>
      </c>
      <c r="BM124" s="55">
        <f t="shared" si="32"/>
        <v>6.9000000000000006E-2</v>
      </c>
      <c r="BN124" s="55">
        <f t="shared" si="32"/>
        <v>6.9000000000000006E-2</v>
      </c>
      <c r="BO124" s="55">
        <f t="shared" si="32"/>
        <v>6.9000000000000006E-2</v>
      </c>
      <c r="BP124" s="55">
        <f t="shared" si="32"/>
        <v>6.9000000000000006E-2</v>
      </c>
      <c r="BQ124" s="5"/>
      <c r="BR124" s="25"/>
      <c r="BS124" s="5"/>
    </row>
    <row r="125" spans="1:71" s="3" customFormat="1" x14ac:dyDescent="0.25">
      <c r="A125" s="5"/>
      <c r="B125" s="3" t="str">
        <f t="array" ref="B125">IFERROR(INDEX(DemandSupply,MATCH(INDEX($AH$1:AH125,SMALL(ROW($AH$1:AH125)+(10000*($AH$1:AH125="")),COUNTA($AH$1:AH125))),Sectors,0)),"")</f>
        <v>Demand</v>
      </c>
      <c r="E125" s="10">
        <f t="shared" si="24"/>
        <v>0</v>
      </c>
      <c r="F125" s="207">
        <v>1</v>
      </c>
      <c r="G125" s="207">
        <v>1</v>
      </c>
      <c r="H125" s="207">
        <v>1</v>
      </c>
      <c r="I125" s="207">
        <v>1</v>
      </c>
      <c r="J125" s="207">
        <v>1</v>
      </c>
      <c r="K125" s="207">
        <v>1</v>
      </c>
      <c r="L125" s="207">
        <v>1</v>
      </c>
      <c r="M125" s="207">
        <v>1</v>
      </c>
      <c r="N125" s="207">
        <v>1</v>
      </c>
      <c r="O125" s="207">
        <v>1</v>
      </c>
      <c r="P125" s="207">
        <v>1</v>
      </c>
      <c r="Q125" s="207">
        <v>1</v>
      </c>
      <c r="R125" s="207">
        <v>1</v>
      </c>
      <c r="S125" s="207">
        <v>1</v>
      </c>
      <c r="T125" s="207">
        <v>1</v>
      </c>
      <c r="U125" s="207">
        <v>1</v>
      </c>
      <c r="V125" s="207">
        <v>1</v>
      </c>
      <c r="W125" s="207">
        <v>1</v>
      </c>
      <c r="X125" s="207">
        <v>1</v>
      </c>
      <c r="Y125" s="207">
        <v>1</v>
      </c>
      <c r="Z125" s="207">
        <v>1</v>
      </c>
      <c r="AA125" s="207">
        <v>1</v>
      </c>
      <c r="AB125" s="207">
        <v>1</v>
      </c>
      <c r="AC125" s="5"/>
      <c r="AD125" s="63"/>
      <c r="AE125" s="64"/>
      <c r="AF125" s="64"/>
      <c r="AG125" s="212"/>
      <c r="AH125" s="64"/>
      <c r="AI125" s="64"/>
      <c r="AJ125" s="64"/>
      <c r="AK125" s="212"/>
      <c r="AL125" s="64"/>
      <c r="AM125" s="212"/>
      <c r="AN125" s="64"/>
      <c r="AO125" s="64"/>
      <c r="AP125" s="63"/>
      <c r="AQ125" s="64"/>
      <c r="AR125" s="63"/>
      <c r="AS125" s="64"/>
      <c r="AT125" s="63"/>
      <c r="AU125" s="64"/>
      <c r="AV125" s="63"/>
      <c r="AW125" s="64"/>
      <c r="AX125" s="63"/>
      <c r="AY125" s="5"/>
      <c r="AZ125" s="21" t="str">
        <f t="shared" si="26"/>
        <v/>
      </c>
      <c r="BA125" s="291" t="s">
        <v>51</v>
      </c>
      <c r="BB125" s="25"/>
      <c r="BC125" s="2"/>
      <c r="BD125" s="2"/>
      <c r="BE125" s="216" t="s">
        <v>29</v>
      </c>
      <c r="BF125" s="4"/>
      <c r="BG125" s="4"/>
      <c r="BH125" s="4"/>
      <c r="BI125" s="4"/>
      <c r="BJ125" s="4"/>
      <c r="BK125" s="4"/>
      <c r="BL125" s="4"/>
      <c r="BM125" s="4"/>
      <c r="BN125" s="4"/>
      <c r="BO125" s="4"/>
      <c r="BP125" s="4"/>
      <c r="BQ125" s="5"/>
      <c r="BR125" s="25"/>
      <c r="BS125" s="5"/>
    </row>
    <row r="126" spans="1:71" s="3" customFormat="1" x14ac:dyDescent="0.25">
      <c r="A126" s="5"/>
      <c r="B126" s="3" t="str">
        <f t="array" ref="B126">IFERROR(INDEX(DemandSupply,MATCH(INDEX($AH$1:AH126,SMALL(ROW($AH$1:AH126)+(10000*($AH$1:AH126="")),COUNTA($AH$1:AH126))),Sectors,0)),"")</f>
        <v>Demand</v>
      </c>
      <c r="E126" s="10"/>
      <c r="F126" s="207"/>
      <c r="G126" s="207"/>
      <c r="H126" s="207"/>
      <c r="I126" s="207"/>
      <c r="J126" s="207"/>
      <c r="K126" s="207"/>
      <c r="L126" s="207"/>
      <c r="M126" s="207"/>
      <c r="N126" s="207"/>
      <c r="O126" s="207"/>
      <c r="P126" s="207"/>
      <c r="Q126" s="207"/>
      <c r="R126" s="207"/>
      <c r="S126" s="207"/>
      <c r="T126" s="207"/>
      <c r="U126" s="207"/>
      <c r="V126" s="207"/>
      <c r="W126" s="207"/>
      <c r="X126" s="207"/>
      <c r="Y126" s="207"/>
      <c r="Z126" s="207"/>
      <c r="AA126" s="207"/>
      <c r="AB126" s="207"/>
      <c r="AC126" s="5"/>
      <c r="AD126" s="63"/>
      <c r="AE126" s="64"/>
      <c r="AF126" s="64"/>
      <c r="AG126" s="212"/>
      <c r="AH126" s="64"/>
      <c r="AI126" s="64"/>
      <c r="AJ126" s="64"/>
      <c r="AK126" s="212"/>
      <c r="AL126" s="64"/>
      <c r="AM126" s="212"/>
      <c r="AN126" s="64"/>
      <c r="AO126" s="64"/>
      <c r="AP126" s="63"/>
      <c r="AQ126" s="64"/>
      <c r="AR126" s="63"/>
      <c r="AS126" s="64"/>
      <c r="AT126" s="63"/>
      <c r="AU126" s="64"/>
      <c r="AV126" s="63"/>
      <c r="AW126" s="64"/>
      <c r="AX126" s="63"/>
      <c r="AY126" s="5"/>
      <c r="AZ126" s="21" t="str">
        <f t="shared" si="26"/>
        <v/>
      </c>
      <c r="BA126" s="264" t="s">
        <v>38</v>
      </c>
      <c r="BB126" s="264"/>
      <c r="BC126" s="264"/>
      <c r="BD126" s="74" t="s">
        <v>40</v>
      </c>
      <c r="BE126" s="216" t="s">
        <v>29</v>
      </c>
      <c r="BF126" s="309">
        <v>2000</v>
      </c>
      <c r="BG126" s="310">
        <f t="shared" ref="BG126:BP126" si="33">BF126</f>
        <v>2000</v>
      </c>
      <c r="BH126" s="310">
        <f t="shared" si="33"/>
        <v>2000</v>
      </c>
      <c r="BI126" s="310">
        <f t="shared" si="33"/>
        <v>2000</v>
      </c>
      <c r="BJ126" s="310">
        <f t="shared" si="33"/>
        <v>2000</v>
      </c>
      <c r="BK126" s="310">
        <f t="shared" si="33"/>
        <v>2000</v>
      </c>
      <c r="BL126" s="310">
        <f t="shared" si="33"/>
        <v>2000</v>
      </c>
      <c r="BM126" s="310">
        <f t="shared" si="33"/>
        <v>2000</v>
      </c>
      <c r="BN126" s="310">
        <f t="shared" si="33"/>
        <v>2000</v>
      </c>
      <c r="BO126" s="310">
        <f t="shared" si="33"/>
        <v>2000</v>
      </c>
      <c r="BP126" s="310">
        <f t="shared" si="33"/>
        <v>2000</v>
      </c>
      <c r="BQ126" s="5"/>
      <c r="BR126" s="25"/>
      <c r="BS126" s="5"/>
    </row>
    <row r="127" spans="1:71" s="3" customFormat="1" x14ac:dyDescent="0.25">
      <c r="A127" s="5"/>
      <c r="B127" s="3" t="str">
        <f t="array" ref="B127">IFERROR(INDEX(DemandSupply,MATCH(INDEX($AH$1:AH127,SMALL(ROW($AH$1:AH127)+(10000*($AH$1:AH127="")),COUNTA($AH$1:AH127))),Sectors,0)),"")</f>
        <v>Demand</v>
      </c>
      <c r="E127" s="10"/>
      <c r="F127" s="207"/>
      <c r="G127" s="207"/>
      <c r="H127" s="207"/>
      <c r="I127" s="207"/>
      <c r="J127" s="207"/>
      <c r="K127" s="207"/>
      <c r="L127" s="207"/>
      <c r="M127" s="207"/>
      <c r="N127" s="207"/>
      <c r="O127" s="207"/>
      <c r="P127" s="207"/>
      <c r="Q127" s="207"/>
      <c r="R127" s="207"/>
      <c r="S127" s="207"/>
      <c r="T127" s="207"/>
      <c r="U127" s="207"/>
      <c r="V127" s="207"/>
      <c r="W127" s="207"/>
      <c r="X127" s="207"/>
      <c r="Y127" s="207"/>
      <c r="Z127" s="207"/>
      <c r="AA127" s="207"/>
      <c r="AB127" s="207"/>
      <c r="AC127" s="5"/>
      <c r="AD127" s="63"/>
      <c r="AE127" s="64"/>
      <c r="AF127" s="64"/>
      <c r="AG127" s="212"/>
      <c r="AH127" s="64"/>
      <c r="AI127" s="64"/>
      <c r="AJ127" s="64"/>
      <c r="AK127" s="212"/>
      <c r="AL127" s="64"/>
      <c r="AM127" s="212"/>
      <c r="AN127" s="64"/>
      <c r="AO127" s="64"/>
      <c r="AP127" s="63"/>
      <c r="AQ127" s="64"/>
      <c r="AR127" s="63"/>
      <c r="AS127" s="64"/>
      <c r="AT127" s="63"/>
      <c r="AU127" s="64"/>
      <c r="AV127" s="63"/>
      <c r="AW127" s="64"/>
      <c r="AX127" s="63"/>
      <c r="AY127" s="5"/>
      <c r="AZ127" s="21" t="str">
        <f t="shared" si="26"/>
        <v/>
      </c>
      <c r="BA127" s="264" t="s">
        <v>37</v>
      </c>
      <c r="BB127" s="264"/>
      <c r="BC127" s="264"/>
      <c r="BD127" s="74" t="s">
        <v>40</v>
      </c>
      <c r="BE127" s="216" t="s">
        <v>29</v>
      </c>
      <c r="BF127" s="309">
        <v>2100</v>
      </c>
      <c r="BG127" s="310">
        <f t="shared" ref="BG127:BP127" si="34">BF127</f>
        <v>2100</v>
      </c>
      <c r="BH127" s="310">
        <f t="shared" si="34"/>
        <v>2100</v>
      </c>
      <c r="BI127" s="310">
        <f t="shared" si="34"/>
        <v>2100</v>
      </c>
      <c r="BJ127" s="310">
        <f t="shared" si="34"/>
        <v>2100</v>
      </c>
      <c r="BK127" s="310">
        <f t="shared" si="34"/>
        <v>2100</v>
      </c>
      <c r="BL127" s="310">
        <f t="shared" si="34"/>
        <v>2100</v>
      </c>
      <c r="BM127" s="310">
        <f t="shared" si="34"/>
        <v>2100</v>
      </c>
      <c r="BN127" s="310">
        <f t="shared" si="34"/>
        <v>2100</v>
      </c>
      <c r="BO127" s="310">
        <f t="shared" si="34"/>
        <v>2100</v>
      </c>
      <c r="BP127" s="310">
        <f t="shared" si="34"/>
        <v>2100</v>
      </c>
      <c r="BQ127" s="5"/>
      <c r="BR127" s="25"/>
      <c r="BS127" s="5"/>
    </row>
    <row r="128" spans="1:71" s="3" customFormat="1" x14ac:dyDescent="0.25">
      <c r="A128" s="5"/>
      <c r="B128" s="3" t="str">
        <f t="array" ref="B128">IFERROR(INDEX(DemandSupply,MATCH(INDEX($AH$1:AH128,SMALL(ROW($AH$1:AH128)+(10000*($AH$1:AH128="")),COUNTA($AH$1:AH128))),Sectors,0)),"")</f>
        <v>Demand</v>
      </c>
      <c r="E128" s="10"/>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7"/>
      <c r="AB128" s="207"/>
      <c r="AC128" s="5"/>
      <c r="AD128" s="63"/>
      <c r="AE128" s="64"/>
      <c r="AF128" s="64"/>
      <c r="AG128" s="212"/>
      <c r="AH128" s="64"/>
      <c r="AI128" s="64"/>
      <c r="AJ128" s="64"/>
      <c r="AK128" s="212"/>
      <c r="AL128" s="64"/>
      <c r="AM128" s="212"/>
      <c r="AN128" s="64"/>
      <c r="AO128" s="64"/>
      <c r="AP128" s="63"/>
      <c r="AQ128" s="64"/>
      <c r="AR128" s="63"/>
      <c r="AS128" s="64"/>
      <c r="AT128" s="63"/>
      <c r="AU128" s="64"/>
      <c r="AV128" s="63"/>
      <c r="AW128" s="64"/>
      <c r="AX128" s="63"/>
      <c r="AY128" s="5"/>
      <c r="AZ128" s="21" t="str">
        <f t="shared" si="26"/>
        <v/>
      </c>
      <c r="BA128" s="264" t="s">
        <v>39</v>
      </c>
      <c r="BB128" s="264"/>
      <c r="BC128" s="264"/>
      <c r="BD128" s="74" t="s">
        <v>10</v>
      </c>
      <c r="BE128" s="216" t="s">
        <v>29</v>
      </c>
      <c r="BF128" s="56">
        <v>25</v>
      </c>
      <c r="BG128" s="245">
        <f t="shared" ref="BG128:BP128" si="35">BF128</f>
        <v>25</v>
      </c>
      <c r="BH128" s="245">
        <f t="shared" si="35"/>
        <v>25</v>
      </c>
      <c r="BI128" s="245">
        <f t="shared" si="35"/>
        <v>25</v>
      </c>
      <c r="BJ128" s="245">
        <f t="shared" si="35"/>
        <v>25</v>
      </c>
      <c r="BK128" s="245">
        <f t="shared" si="35"/>
        <v>25</v>
      </c>
      <c r="BL128" s="245">
        <f t="shared" si="35"/>
        <v>25</v>
      </c>
      <c r="BM128" s="245">
        <f t="shared" si="35"/>
        <v>25</v>
      </c>
      <c r="BN128" s="245">
        <f t="shared" si="35"/>
        <v>25</v>
      </c>
      <c r="BO128" s="245">
        <f t="shared" si="35"/>
        <v>25</v>
      </c>
      <c r="BP128" s="245">
        <f t="shared" si="35"/>
        <v>25</v>
      </c>
      <c r="BQ128" s="5"/>
      <c r="BR128" s="25"/>
      <c r="BS128" s="5"/>
    </row>
    <row r="129" spans="1:71" s="3" customFormat="1" x14ac:dyDescent="0.25">
      <c r="A129" s="5"/>
      <c r="B129" s="3" t="str">
        <f t="array" ref="B129">IFERROR(INDEX(DemandSupply,MATCH(INDEX($AH$1:AH129,SMALL(ROW($AH$1:AH129)+(10000*($AH$1:AH129="")),COUNTA($AH$1:AH129))),Sectors,0)),"")</f>
        <v>Demand</v>
      </c>
      <c r="E129" s="10"/>
      <c r="F129" s="207"/>
      <c r="G129" s="207"/>
      <c r="H129" s="207"/>
      <c r="I129" s="207"/>
      <c r="J129" s="207"/>
      <c r="K129" s="207"/>
      <c r="L129" s="207"/>
      <c r="M129" s="207"/>
      <c r="N129" s="207"/>
      <c r="O129" s="207"/>
      <c r="P129" s="207"/>
      <c r="Q129" s="207"/>
      <c r="R129" s="207"/>
      <c r="S129" s="207"/>
      <c r="T129" s="207"/>
      <c r="U129" s="207"/>
      <c r="V129" s="207"/>
      <c r="W129" s="207"/>
      <c r="X129" s="207"/>
      <c r="Y129" s="207"/>
      <c r="Z129" s="207"/>
      <c r="AA129" s="207"/>
      <c r="AB129" s="207"/>
      <c r="AC129" s="5"/>
      <c r="AD129" s="63"/>
      <c r="AE129" s="64"/>
      <c r="AF129" s="64"/>
      <c r="AG129" s="212"/>
      <c r="AH129" s="64"/>
      <c r="AI129" s="64"/>
      <c r="AJ129" s="64"/>
      <c r="AK129" s="212"/>
      <c r="AL129" s="64"/>
      <c r="AM129" s="212"/>
      <c r="AN129" s="64"/>
      <c r="AO129" s="64"/>
      <c r="AP129" s="63"/>
      <c r="AQ129" s="64"/>
      <c r="AR129" s="63"/>
      <c r="AS129" s="64"/>
      <c r="AT129" s="63"/>
      <c r="AU129" s="64"/>
      <c r="AV129" s="63"/>
      <c r="AW129" s="64"/>
      <c r="AX129" s="63"/>
      <c r="AY129" s="5"/>
      <c r="AZ129" s="21" t="str">
        <f t="shared" si="26"/>
        <v/>
      </c>
      <c r="BA129" s="264" t="s">
        <v>395</v>
      </c>
      <c r="BB129" s="264"/>
      <c r="BC129" s="264"/>
      <c r="BD129" s="264" t="s">
        <v>10</v>
      </c>
      <c r="BE129" s="216" t="s">
        <v>29</v>
      </c>
      <c r="BF129" s="56"/>
      <c r="BG129" s="56"/>
      <c r="BH129" s="56"/>
      <c r="BI129" s="56"/>
      <c r="BJ129" s="56"/>
      <c r="BK129" s="56"/>
      <c r="BL129" s="56"/>
      <c r="BM129" s="56"/>
      <c r="BN129" s="56"/>
      <c r="BO129" s="56"/>
      <c r="BP129" s="56"/>
      <c r="BQ129" s="5"/>
      <c r="BR129" s="25"/>
      <c r="BS129" s="5"/>
    </row>
    <row r="130" spans="1:71" s="3" customFormat="1" x14ac:dyDescent="0.25">
      <c r="A130" s="5"/>
      <c r="B130" s="3" t="str">
        <f t="array" ref="B130">IFERROR(INDEX(DemandSupply,MATCH(INDEX($AH$1:AH130,SMALL(ROW($AH$1:AH130)+(10000*($AH$1:AH130="")),COUNTA($AH$1:AH130))),Sectors,0)),"")</f>
        <v>Demand</v>
      </c>
      <c r="E130" s="10"/>
      <c r="F130" s="207"/>
      <c r="G130" s="207"/>
      <c r="H130" s="207"/>
      <c r="I130" s="207"/>
      <c r="J130" s="207"/>
      <c r="K130" s="207"/>
      <c r="L130" s="207"/>
      <c r="M130" s="207"/>
      <c r="N130" s="207"/>
      <c r="O130" s="207"/>
      <c r="P130" s="207"/>
      <c r="Q130" s="207"/>
      <c r="R130" s="207"/>
      <c r="S130" s="207"/>
      <c r="T130" s="207"/>
      <c r="U130" s="207"/>
      <c r="V130" s="207"/>
      <c r="W130" s="207"/>
      <c r="X130" s="207"/>
      <c r="Y130" s="207"/>
      <c r="Z130" s="207"/>
      <c r="AA130" s="207"/>
      <c r="AB130" s="207"/>
      <c r="AC130" s="5"/>
      <c r="AD130" s="63"/>
      <c r="AE130" s="64"/>
      <c r="AF130" s="64"/>
      <c r="AG130" s="212"/>
      <c r="AH130" s="64"/>
      <c r="AI130" s="64"/>
      <c r="AJ130" s="64"/>
      <c r="AK130" s="212"/>
      <c r="AL130" s="64"/>
      <c r="AM130" s="212"/>
      <c r="AN130" s="64"/>
      <c r="AO130" s="64"/>
      <c r="AP130" s="63"/>
      <c r="AQ130" s="64"/>
      <c r="AR130" s="63"/>
      <c r="AS130" s="64"/>
      <c r="AT130" s="63"/>
      <c r="AU130" s="64"/>
      <c r="AV130" s="63"/>
      <c r="AW130" s="64"/>
      <c r="AX130" s="63"/>
      <c r="AY130" s="5"/>
      <c r="AZ130" s="21" t="str">
        <f t="shared" si="26"/>
        <v/>
      </c>
      <c r="BA130" s="264" t="s">
        <v>341</v>
      </c>
      <c r="BB130" s="264"/>
      <c r="BC130" s="264"/>
      <c r="BD130" s="74" t="s">
        <v>99</v>
      </c>
      <c r="BE130" s="216" t="s">
        <v>29</v>
      </c>
      <c r="BF130" s="303">
        <v>0.25</v>
      </c>
      <c r="BG130" s="304">
        <f t="shared" ref="BG130:BP130" si="36">BF130</f>
        <v>0.25</v>
      </c>
      <c r="BH130" s="304">
        <f t="shared" si="36"/>
        <v>0.25</v>
      </c>
      <c r="BI130" s="304">
        <f t="shared" si="36"/>
        <v>0.25</v>
      </c>
      <c r="BJ130" s="304">
        <f t="shared" si="36"/>
        <v>0.25</v>
      </c>
      <c r="BK130" s="304">
        <f t="shared" si="36"/>
        <v>0.25</v>
      </c>
      <c r="BL130" s="304">
        <f t="shared" si="36"/>
        <v>0.25</v>
      </c>
      <c r="BM130" s="304">
        <f t="shared" si="36"/>
        <v>0.25</v>
      </c>
      <c r="BN130" s="304">
        <f t="shared" si="36"/>
        <v>0.25</v>
      </c>
      <c r="BO130" s="304">
        <f t="shared" si="36"/>
        <v>0.25</v>
      </c>
      <c r="BP130" s="304">
        <f t="shared" si="36"/>
        <v>0.25</v>
      </c>
      <c r="BQ130" s="5"/>
      <c r="BR130" s="25"/>
      <c r="BS130" s="5"/>
    </row>
    <row r="131" spans="1:71" s="3" customFormat="1" x14ac:dyDescent="0.25">
      <c r="A131" s="5"/>
      <c r="B131" s="3" t="str">
        <f t="array" ref="B131">IFERROR(INDEX(DemandSupply,MATCH(INDEX($AH$1:AH131,SMALL(ROW($AH$1:AH131)+(10000*($AH$1:AH131="")),COUNTA($AH$1:AH131))),Sectors,0)),"")</f>
        <v>Demand</v>
      </c>
      <c r="E131" s="10"/>
      <c r="F131" s="207"/>
      <c r="G131" s="207"/>
      <c r="H131" s="207"/>
      <c r="I131" s="207"/>
      <c r="J131" s="207"/>
      <c r="K131" s="207"/>
      <c r="L131" s="207"/>
      <c r="M131" s="207"/>
      <c r="N131" s="207"/>
      <c r="O131" s="207"/>
      <c r="P131" s="207"/>
      <c r="Q131" s="207"/>
      <c r="R131" s="207"/>
      <c r="S131" s="207"/>
      <c r="T131" s="207"/>
      <c r="U131" s="207"/>
      <c r="V131" s="207"/>
      <c r="W131" s="207"/>
      <c r="X131" s="207"/>
      <c r="Y131" s="207"/>
      <c r="Z131" s="207"/>
      <c r="AA131" s="207"/>
      <c r="AB131" s="207"/>
      <c r="AC131" s="5"/>
      <c r="AD131" s="63"/>
      <c r="AE131" s="64"/>
      <c r="AF131" s="64"/>
      <c r="AG131" s="212"/>
      <c r="AH131" s="64"/>
      <c r="AI131" s="64"/>
      <c r="AJ131" s="64"/>
      <c r="AK131" s="212"/>
      <c r="AL131" s="64"/>
      <c r="AM131" s="212"/>
      <c r="AN131" s="64"/>
      <c r="AO131" s="64"/>
      <c r="AP131" s="63"/>
      <c r="AQ131" s="64"/>
      <c r="AR131" s="63"/>
      <c r="AS131" s="64"/>
      <c r="AT131" s="63"/>
      <c r="AU131" s="64"/>
      <c r="AV131" s="63"/>
      <c r="AW131" s="64"/>
      <c r="AX131" s="63"/>
      <c r="AY131" s="5"/>
      <c r="AZ131" s="21" t="str">
        <f t="shared" si="26"/>
        <v/>
      </c>
      <c r="BA131" s="264" t="s">
        <v>392</v>
      </c>
      <c r="BB131" s="264"/>
      <c r="BC131" s="264"/>
      <c r="BD131" s="264" t="s">
        <v>99</v>
      </c>
      <c r="BE131" s="216" t="s">
        <v>29</v>
      </c>
      <c r="BF131" s="303"/>
      <c r="BG131" s="303"/>
      <c r="BH131" s="303"/>
      <c r="BI131" s="303"/>
      <c r="BJ131" s="303"/>
      <c r="BK131" s="303"/>
      <c r="BL131" s="303"/>
      <c r="BM131" s="303"/>
      <c r="BN131" s="303"/>
      <c r="BO131" s="303"/>
      <c r="BP131" s="303"/>
      <c r="BQ131" s="5"/>
      <c r="BR131" s="25"/>
      <c r="BS131" s="5"/>
    </row>
    <row r="132" spans="1:71" s="3" customFormat="1" x14ac:dyDescent="0.25">
      <c r="A132" s="5"/>
      <c r="B132" s="3" t="str">
        <f t="array" ref="B132">IFERROR(INDEX(DemandSupply,MATCH(INDEX($AH$1:AH132,SMALL(ROW($AH$1:AH132)+(10000*($AH$1:AH132="")),COUNTA($AH$1:AH132))),Sectors,0)),"")</f>
        <v>Demand</v>
      </c>
      <c r="E132" s="10"/>
      <c r="F132" s="207"/>
      <c r="G132" s="207"/>
      <c r="H132" s="207"/>
      <c r="I132" s="207"/>
      <c r="J132" s="207"/>
      <c r="K132" s="207"/>
      <c r="L132" s="207"/>
      <c r="M132" s="207"/>
      <c r="N132" s="207"/>
      <c r="O132" s="207"/>
      <c r="P132" s="207"/>
      <c r="Q132" s="207"/>
      <c r="R132" s="207"/>
      <c r="S132" s="207"/>
      <c r="T132" s="207"/>
      <c r="U132" s="207"/>
      <c r="V132" s="207"/>
      <c r="W132" s="207"/>
      <c r="X132" s="207"/>
      <c r="Y132" s="207"/>
      <c r="Z132" s="207"/>
      <c r="AA132" s="207"/>
      <c r="AB132" s="207"/>
      <c r="AC132" s="5"/>
      <c r="AD132" s="63"/>
      <c r="AE132" s="64"/>
      <c r="AF132" s="64"/>
      <c r="AG132" s="212"/>
      <c r="AH132" s="64"/>
      <c r="AI132" s="64"/>
      <c r="AJ132" s="64"/>
      <c r="AK132" s="212"/>
      <c r="AL132" s="64"/>
      <c r="AM132" s="212"/>
      <c r="AN132" s="64"/>
      <c r="AO132" s="64"/>
      <c r="AP132" s="63"/>
      <c r="AQ132" s="64"/>
      <c r="AR132" s="63"/>
      <c r="AS132" s="64"/>
      <c r="AT132" s="63"/>
      <c r="AU132" s="64"/>
      <c r="AV132" s="63"/>
      <c r="AW132" s="64"/>
      <c r="AX132" s="63"/>
      <c r="AY132" s="5"/>
      <c r="AZ132" s="21" t="str">
        <f t="shared" si="26"/>
        <v/>
      </c>
      <c r="BA132" s="264" t="s">
        <v>391</v>
      </c>
      <c r="BB132" s="264"/>
      <c r="BC132" s="264"/>
      <c r="BD132" s="264" t="s">
        <v>99</v>
      </c>
      <c r="BE132" s="216" t="s">
        <v>29</v>
      </c>
      <c r="BF132" s="303"/>
      <c r="BG132" s="303"/>
      <c r="BH132" s="303"/>
      <c r="BI132" s="303"/>
      <c r="BJ132" s="303"/>
      <c r="BK132" s="303"/>
      <c r="BL132" s="303"/>
      <c r="BM132" s="303"/>
      <c r="BN132" s="303"/>
      <c r="BO132" s="303"/>
      <c r="BP132" s="303"/>
      <c r="BQ132" s="5"/>
      <c r="BR132" s="25"/>
      <c r="BS132" s="5"/>
    </row>
    <row r="133" spans="1:71" s="3" customFormat="1" x14ac:dyDescent="0.25">
      <c r="A133" s="5"/>
      <c r="B133" s="3" t="str">
        <f t="array" ref="B133">IFERROR(INDEX(DemandSupply,MATCH(INDEX($AH$1:AH133,SMALL(ROW($AH$1:AH133)+(10000*($AH$1:AH133="")),COUNTA($AH$1:AH133))),Sectors,0)),"")</f>
        <v>Demand</v>
      </c>
      <c r="E133" s="10"/>
      <c r="F133" s="207"/>
      <c r="G133" s="207"/>
      <c r="H133" s="207"/>
      <c r="I133" s="207"/>
      <c r="J133" s="207"/>
      <c r="K133" s="207"/>
      <c r="L133" s="207"/>
      <c r="M133" s="207"/>
      <c r="N133" s="207"/>
      <c r="O133" s="207"/>
      <c r="P133" s="207"/>
      <c r="Q133" s="207"/>
      <c r="R133" s="207"/>
      <c r="S133" s="207"/>
      <c r="T133" s="207"/>
      <c r="U133" s="207"/>
      <c r="V133" s="207"/>
      <c r="W133" s="207"/>
      <c r="X133" s="207"/>
      <c r="Y133" s="207"/>
      <c r="Z133" s="207"/>
      <c r="AA133" s="207"/>
      <c r="AB133" s="207"/>
      <c r="AC133" s="5"/>
      <c r="AD133" s="63"/>
      <c r="AE133" s="64"/>
      <c r="AF133" s="64"/>
      <c r="AG133" s="212"/>
      <c r="AH133" s="64"/>
      <c r="AI133" s="64"/>
      <c r="AJ133" s="64"/>
      <c r="AK133" s="212"/>
      <c r="AL133" s="64"/>
      <c r="AM133" s="212"/>
      <c r="AN133" s="64"/>
      <c r="AO133" s="64"/>
      <c r="AP133" s="63"/>
      <c r="AQ133" s="64"/>
      <c r="AR133" s="63"/>
      <c r="AS133" s="64"/>
      <c r="AT133" s="63"/>
      <c r="AU133" s="64"/>
      <c r="AV133" s="63"/>
      <c r="AW133" s="64"/>
      <c r="AX133" s="63"/>
      <c r="AY133" s="5"/>
      <c r="AZ133" s="21" t="str">
        <f t="shared" si="26"/>
        <v/>
      </c>
      <c r="BA133" s="264" t="s">
        <v>144</v>
      </c>
      <c r="BB133" s="264"/>
      <c r="BC133" s="264"/>
      <c r="BD133" s="74" t="s">
        <v>36</v>
      </c>
      <c r="BE133" s="216" t="s">
        <v>29</v>
      </c>
      <c r="BF133" s="56"/>
      <c r="BG133" s="56"/>
      <c r="BH133" s="56"/>
      <c r="BI133" s="56"/>
      <c r="BJ133" s="56"/>
      <c r="BK133" s="56"/>
      <c r="BL133" s="56"/>
      <c r="BM133" s="56"/>
      <c r="BN133" s="56"/>
      <c r="BO133" s="56"/>
      <c r="BP133" s="56"/>
      <c r="BQ133" s="5"/>
      <c r="BR133" s="25"/>
      <c r="BS133" s="5"/>
    </row>
    <row r="134" spans="1:71" s="3" customFormat="1" x14ac:dyDescent="0.25">
      <c r="A134" s="5"/>
      <c r="B134" s="3" t="str">
        <f t="array" ref="B134">IFERROR(INDEX(DemandSupply,MATCH(INDEX($AH$1:AH134,SMALL(ROW($AH$1:AH134)+(10000*($AH$1:AH134="")),COUNTA($AH$1:AH134))),Sectors,0)),"")</f>
        <v>Demand</v>
      </c>
      <c r="E134" s="10"/>
      <c r="F134" s="207"/>
      <c r="G134" s="207"/>
      <c r="H134" s="207"/>
      <c r="I134" s="207"/>
      <c r="J134" s="207"/>
      <c r="K134" s="207"/>
      <c r="L134" s="207"/>
      <c r="M134" s="207"/>
      <c r="N134" s="207"/>
      <c r="O134" s="207"/>
      <c r="P134" s="207"/>
      <c r="Q134" s="207"/>
      <c r="R134" s="207"/>
      <c r="S134" s="207"/>
      <c r="T134" s="207"/>
      <c r="U134" s="207"/>
      <c r="V134" s="207"/>
      <c r="W134" s="207"/>
      <c r="X134" s="207"/>
      <c r="Y134" s="207"/>
      <c r="Z134" s="207"/>
      <c r="AA134" s="207"/>
      <c r="AB134" s="207"/>
      <c r="AC134" s="5"/>
      <c r="AD134" s="63"/>
      <c r="AE134" s="64"/>
      <c r="AF134" s="64"/>
      <c r="AG134" s="212"/>
      <c r="AH134" s="64"/>
      <c r="AI134" s="64"/>
      <c r="AJ134" s="64"/>
      <c r="AK134" s="212"/>
      <c r="AL134" s="64"/>
      <c r="AM134" s="212"/>
      <c r="AN134" s="64"/>
      <c r="AO134" s="64"/>
      <c r="AP134" s="63"/>
      <c r="AQ134" s="64"/>
      <c r="AR134" s="63"/>
      <c r="AS134" s="64"/>
      <c r="AT134" s="63"/>
      <c r="AU134" s="64"/>
      <c r="AV134" s="63"/>
      <c r="AW134" s="64"/>
      <c r="AX134" s="63"/>
      <c r="AY134" s="5"/>
      <c r="AZ134" s="21" t="str">
        <f t="shared" si="26"/>
        <v/>
      </c>
      <c r="BA134" s="264" t="s">
        <v>76</v>
      </c>
      <c r="BB134" s="264"/>
      <c r="BC134" s="264"/>
      <c r="BD134" s="74" t="s">
        <v>99</v>
      </c>
      <c r="BE134" s="216" t="s">
        <v>29</v>
      </c>
      <c r="BF134" s="303">
        <v>0</v>
      </c>
      <c r="BG134" s="303"/>
      <c r="BH134" s="303"/>
      <c r="BI134" s="303"/>
      <c r="BJ134" s="303"/>
      <c r="BK134" s="303"/>
      <c r="BL134" s="303"/>
      <c r="BM134" s="303"/>
      <c r="BN134" s="303"/>
      <c r="BO134" s="303"/>
      <c r="BP134" s="303"/>
      <c r="BQ134" s="5"/>
      <c r="BR134" s="25"/>
      <c r="BS134" s="5"/>
    </row>
    <row r="135" spans="1:71" s="3" customFormat="1" x14ac:dyDescent="0.25">
      <c r="A135" s="5"/>
      <c r="B135" s="3" t="str">
        <f t="array" ref="B135">IFERROR(INDEX(DemandSupply,MATCH(INDEX($AH$1:AH135,SMALL(ROW($AH$1:AH135)+(10000*($AH$1:AH135="")),COUNTA($AH$1:AH135))),Sectors,0)),"")</f>
        <v>Demand</v>
      </c>
      <c r="E135" s="10"/>
      <c r="F135" s="207"/>
      <c r="G135" s="207"/>
      <c r="H135" s="207"/>
      <c r="I135" s="207"/>
      <c r="J135" s="207"/>
      <c r="K135" s="207"/>
      <c r="L135" s="207"/>
      <c r="M135" s="207"/>
      <c r="N135" s="207"/>
      <c r="O135" s="207"/>
      <c r="P135" s="207"/>
      <c r="Q135" s="207"/>
      <c r="R135" s="207"/>
      <c r="S135" s="207"/>
      <c r="T135" s="207"/>
      <c r="U135" s="207"/>
      <c r="V135" s="207"/>
      <c r="W135" s="207"/>
      <c r="X135" s="207"/>
      <c r="Y135" s="207"/>
      <c r="Z135" s="207"/>
      <c r="AA135" s="207"/>
      <c r="AB135" s="207"/>
      <c r="AC135" s="5"/>
      <c r="AD135" s="63"/>
      <c r="AE135" s="64"/>
      <c r="AF135" s="64"/>
      <c r="AG135" s="212"/>
      <c r="AH135" s="64"/>
      <c r="AI135" s="64"/>
      <c r="AJ135" s="64"/>
      <c r="AK135" s="212"/>
      <c r="AL135" s="64"/>
      <c r="AM135" s="212"/>
      <c r="AN135" s="64"/>
      <c r="AO135" s="64"/>
      <c r="AP135" s="63"/>
      <c r="AQ135" s="64"/>
      <c r="AR135" s="63"/>
      <c r="AS135" s="64"/>
      <c r="AT135" s="63"/>
      <c r="AU135" s="64"/>
      <c r="AV135" s="63"/>
      <c r="AW135" s="64"/>
      <c r="AX135" s="63"/>
      <c r="AY135" s="5"/>
      <c r="AZ135" s="21" t="str">
        <f t="shared" si="26"/>
        <v/>
      </c>
      <c r="BA135" s="75" t="s">
        <v>166</v>
      </c>
      <c r="BB135" s="75"/>
      <c r="BC135" s="270"/>
      <c r="BD135" s="75" t="s">
        <v>99</v>
      </c>
      <c r="BE135" s="216" t="s">
        <v>29</v>
      </c>
      <c r="BF135" s="303"/>
      <c r="BG135" s="303"/>
      <c r="BH135" s="303"/>
      <c r="BI135" s="303"/>
      <c r="BJ135" s="303"/>
      <c r="BK135" s="303"/>
      <c r="BL135" s="303"/>
      <c r="BM135" s="303"/>
      <c r="BN135" s="303"/>
      <c r="BO135" s="303"/>
      <c r="BP135" s="303"/>
      <c r="BQ135" s="5"/>
      <c r="BR135" s="25"/>
      <c r="BS135" s="5"/>
    </row>
    <row r="136" spans="1:71" s="3" customFormat="1" x14ac:dyDescent="0.25">
      <c r="A136" s="5"/>
      <c r="B136" s="3" t="str">
        <f t="array" ref="B136">IFERROR(INDEX(DemandSupply,MATCH(INDEX($AH$1:AH136,SMALL(ROW($AH$1:AH136)+(10000*($AH$1:AH136="")),COUNTA($AH$1:AH136))),Sectors,0)),"")</f>
        <v>Demand</v>
      </c>
      <c r="E136" s="10"/>
      <c r="F136" s="207"/>
      <c r="G136" s="207"/>
      <c r="H136" s="207"/>
      <c r="I136" s="207"/>
      <c r="J136" s="207"/>
      <c r="K136" s="207"/>
      <c r="L136" s="207"/>
      <c r="M136" s="207"/>
      <c r="N136" s="207"/>
      <c r="O136" s="207"/>
      <c r="P136" s="207"/>
      <c r="Q136" s="207"/>
      <c r="R136" s="207"/>
      <c r="S136" s="207"/>
      <c r="T136" s="207"/>
      <c r="U136" s="207"/>
      <c r="V136" s="207"/>
      <c r="W136" s="207"/>
      <c r="X136" s="207"/>
      <c r="Y136" s="207"/>
      <c r="Z136" s="207"/>
      <c r="AA136" s="207"/>
      <c r="AB136" s="207"/>
      <c r="AC136" s="5"/>
      <c r="AD136" s="63"/>
      <c r="AE136" s="64"/>
      <c r="AF136" s="64"/>
      <c r="AG136" s="212"/>
      <c r="AH136" s="64"/>
      <c r="AI136" s="64"/>
      <c r="AJ136" s="64"/>
      <c r="AK136" s="212"/>
      <c r="AL136" s="64"/>
      <c r="AM136" s="212"/>
      <c r="AN136" s="64"/>
      <c r="AO136" s="64"/>
      <c r="AP136" s="63"/>
      <c r="AQ136" s="64"/>
      <c r="AR136" s="63"/>
      <c r="AS136" s="64"/>
      <c r="AT136" s="63"/>
      <c r="AU136" s="64"/>
      <c r="AV136" s="63"/>
      <c r="AW136" s="64"/>
      <c r="AX136" s="63"/>
      <c r="AY136" s="5"/>
      <c r="AZ136" s="21" t="str">
        <f t="shared" si="26"/>
        <v/>
      </c>
      <c r="BA136" s="75" t="s">
        <v>167</v>
      </c>
      <c r="BB136" s="75"/>
      <c r="BC136" s="270"/>
      <c r="BD136" s="75" t="s">
        <v>99</v>
      </c>
      <c r="BE136" s="216" t="s">
        <v>29</v>
      </c>
      <c r="BF136" s="303"/>
      <c r="BG136" s="303"/>
      <c r="BH136" s="303"/>
      <c r="BI136" s="303"/>
      <c r="BJ136" s="303"/>
      <c r="BK136" s="303"/>
      <c r="BL136" s="303"/>
      <c r="BM136" s="303"/>
      <c r="BN136" s="303"/>
      <c r="BO136" s="303"/>
      <c r="BP136" s="303"/>
      <c r="BQ136" s="5"/>
      <c r="BR136" s="25"/>
      <c r="BS136" s="5"/>
    </row>
    <row r="137" spans="1:71" s="3" customFormat="1" x14ac:dyDescent="0.25">
      <c r="A137" s="5"/>
      <c r="B137" s="3" t="str">
        <f t="array" ref="B137">IFERROR(INDEX(DemandSupply,MATCH(INDEX($AH$1:AH137,SMALL(ROW($AH$1:AH137)+(10000*($AH$1:AH137="")),COUNTA($AH$1:AH137))),Sectors,0)),"")</f>
        <v>Demand</v>
      </c>
      <c r="E137" s="10"/>
      <c r="F137" s="207"/>
      <c r="G137" s="207"/>
      <c r="H137" s="207"/>
      <c r="I137" s="207"/>
      <c r="J137" s="207"/>
      <c r="K137" s="207"/>
      <c r="L137" s="207"/>
      <c r="M137" s="207"/>
      <c r="N137" s="207"/>
      <c r="O137" s="207"/>
      <c r="P137" s="207"/>
      <c r="Q137" s="207"/>
      <c r="R137" s="207"/>
      <c r="S137" s="207"/>
      <c r="T137" s="207"/>
      <c r="U137" s="207"/>
      <c r="V137" s="207"/>
      <c r="W137" s="207"/>
      <c r="X137" s="207"/>
      <c r="Y137" s="207"/>
      <c r="Z137" s="207"/>
      <c r="AA137" s="207"/>
      <c r="AB137" s="207"/>
      <c r="AC137" s="5"/>
      <c r="AD137" s="63"/>
      <c r="AE137" s="64"/>
      <c r="AF137" s="64"/>
      <c r="AG137" s="212"/>
      <c r="AH137" s="64"/>
      <c r="AI137" s="64"/>
      <c r="AJ137" s="64"/>
      <c r="AK137" s="212"/>
      <c r="AL137" s="64"/>
      <c r="AM137" s="212"/>
      <c r="AN137" s="64"/>
      <c r="AO137" s="64"/>
      <c r="AP137" s="63"/>
      <c r="AQ137" s="64"/>
      <c r="AR137" s="63"/>
      <c r="AS137" s="64"/>
      <c r="AT137" s="63"/>
      <c r="AU137" s="64"/>
      <c r="AV137" s="63"/>
      <c r="AW137" s="64"/>
      <c r="AX137" s="63"/>
      <c r="AY137" s="5"/>
      <c r="AZ137" s="21" t="str">
        <f t="shared" si="26"/>
        <v/>
      </c>
      <c r="BA137" s="75" t="s">
        <v>408</v>
      </c>
      <c r="BB137" s="75"/>
      <c r="BC137" s="270"/>
      <c r="BD137" s="75" t="s">
        <v>99</v>
      </c>
      <c r="BE137" s="216" t="s">
        <v>29</v>
      </c>
      <c r="BF137" s="303"/>
      <c r="BG137" s="303"/>
      <c r="BH137" s="303"/>
      <c r="BI137" s="303"/>
      <c r="BJ137" s="303"/>
      <c r="BK137" s="303"/>
      <c r="BL137" s="303"/>
      <c r="BM137" s="303"/>
      <c r="BN137" s="303"/>
      <c r="BO137" s="303"/>
      <c r="BP137" s="303"/>
      <c r="BQ137" s="5"/>
      <c r="BR137" s="25"/>
      <c r="BS137" s="5"/>
    </row>
    <row r="138" spans="1:71" s="3" customFormat="1" x14ac:dyDescent="0.25">
      <c r="A138" s="5"/>
      <c r="B138" s="3" t="str">
        <f t="array" ref="B138">IFERROR(INDEX(DemandSupply,MATCH(INDEX($AH$1:AH138,SMALL(ROW($AH$1:AH138)+(10000*($AH$1:AH138="")),COUNTA($AH$1:AH138))),Sectors,0)),"")</f>
        <v>Demand</v>
      </c>
      <c r="E138" s="10"/>
      <c r="F138" s="207"/>
      <c r="G138" s="207"/>
      <c r="H138" s="207"/>
      <c r="I138" s="207"/>
      <c r="J138" s="207"/>
      <c r="K138" s="207"/>
      <c r="L138" s="207"/>
      <c r="M138" s="207"/>
      <c r="N138" s="207"/>
      <c r="O138" s="207"/>
      <c r="P138" s="207"/>
      <c r="Q138" s="207"/>
      <c r="R138" s="207"/>
      <c r="S138" s="207"/>
      <c r="T138" s="207"/>
      <c r="U138" s="207"/>
      <c r="V138" s="207"/>
      <c r="W138" s="207"/>
      <c r="X138" s="207"/>
      <c r="Y138" s="207"/>
      <c r="Z138" s="207"/>
      <c r="AA138" s="207"/>
      <c r="AB138" s="207"/>
      <c r="AC138" s="5"/>
      <c r="AD138" s="63"/>
      <c r="AE138" s="64"/>
      <c r="AF138" s="64"/>
      <c r="AG138" s="212"/>
      <c r="AH138" s="64"/>
      <c r="AI138" s="64"/>
      <c r="AJ138" s="64"/>
      <c r="AK138" s="212"/>
      <c r="AL138" s="64"/>
      <c r="AM138" s="212"/>
      <c r="AN138" s="64"/>
      <c r="AO138" s="64"/>
      <c r="AP138" s="63"/>
      <c r="AQ138" s="64"/>
      <c r="AR138" s="63"/>
      <c r="AS138" s="64"/>
      <c r="AT138" s="63"/>
      <c r="AU138" s="64"/>
      <c r="AV138" s="63"/>
      <c r="AW138" s="64"/>
      <c r="AX138" s="63"/>
      <c r="AY138" s="5"/>
      <c r="AZ138" s="21" t="str">
        <f t="shared" si="26"/>
        <v/>
      </c>
      <c r="BA138" s="75" t="s">
        <v>409</v>
      </c>
      <c r="BB138" s="75"/>
      <c r="BC138" s="270"/>
      <c r="BD138" s="75" t="s">
        <v>99</v>
      </c>
      <c r="BE138" s="216" t="s">
        <v>29</v>
      </c>
      <c r="BF138" s="303"/>
      <c r="BG138" s="303"/>
      <c r="BH138" s="303"/>
      <c r="BI138" s="303"/>
      <c r="BJ138" s="303"/>
      <c r="BK138" s="303"/>
      <c r="BL138" s="303"/>
      <c r="BM138" s="303"/>
      <c r="BN138" s="303"/>
      <c r="BO138" s="303"/>
      <c r="BP138" s="303"/>
      <c r="BQ138" s="5"/>
      <c r="BR138" s="25"/>
      <c r="BS138" s="5"/>
    </row>
    <row r="139" spans="1:71" s="3" customFormat="1" x14ac:dyDescent="0.25">
      <c r="A139" s="5"/>
      <c r="B139" s="3" t="str">
        <f t="array" ref="B139">IFERROR(INDEX(DemandSupply,MATCH(INDEX($AH$1:AH139,SMALL(ROW($AH$1:AH139)+(10000*($AH$1:AH139="")),COUNTA($AH$1:AH139))),Sectors,0)),"")</f>
        <v>Demand</v>
      </c>
      <c r="E139" s="10"/>
      <c r="F139" s="207"/>
      <c r="G139" s="207"/>
      <c r="H139" s="207"/>
      <c r="I139" s="207"/>
      <c r="J139" s="207"/>
      <c r="K139" s="207"/>
      <c r="L139" s="207"/>
      <c r="M139" s="207"/>
      <c r="N139" s="207"/>
      <c r="O139" s="207"/>
      <c r="P139" s="207"/>
      <c r="Q139" s="207"/>
      <c r="R139" s="207"/>
      <c r="S139" s="207"/>
      <c r="T139" s="207"/>
      <c r="U139" s="207"/>
      <c r="V139" s="207"/>
      <c r="W139" s="207"/>
      <c r="X139" s="207"/>
      <c r="Y139" s="207"/>
      <c r="Z139" s="207"/>
      <c r="AA139" s="207"/>
      <c r="AB139" s="207"/>
      <c r="AC139" s="5"/>
      <c r="AD139" s="63"/>
      <c r="AE139" s="64"/>
      <c r="AF139" s="64"/>
      <c r="AG139" s="212"/>
      <c r="AH139" s="64"/>
      <c r="AI139" s="64"/>
      <c r="AJ139" s="64"/>
      <c r="AK139" s="212"/>
      <c r="AL139" s="64"/>
      <c r="AM139" s="212"/>
      <c r="AN139" s="64"/>
      <c r="AO139" s="64"/>
      <c r="AP139" s="63"/>
      <c r="AQ139" s="64"/>
      <c r="AR139" s="63"/>
      <c r="AS139" s="64"/>
      <c r="AT139" s="63"/>
      <c r="AU139" s="64"/>
      <c r="AV139" s="63"/>
      <c r="AW139" s="64"/>
      <c r="AX139" s="63"/>
      <c r="AY139" s="5"/>
      <c r="AZ139" s="21" t="str">
        <f t="shared" si="26"/>
        <v/>
      </c>
      <c r="BA139" s="264" t="s">
        <v>371</v>
      </c>
      <c r="BB139" s="264"/>
      <c r="BC139" s="264"/>
      <c r="BD139" s="74" t="s">
        <v>36</v>
      </c>
      <c r="BE139" s="216" t="s">
        <v>29</v>
      </c>
      <c r="BF139" s="56"/>
      <c r="BG139" s="56"/>
      <c r="BH139" s="56"/>
      <c r="BI139" s="56"/>
      <c r="BJ139" s="56"/>
      <c r="BK139" s="56"/>
      <c r="BL139" s="56"/>
      <c r="BM139" s="56"/>
      <c r="BN139" s="56"/>
      <c r="BO139" s="56"/>
      <c r="BP139" s="56"/>
      <c r="BQ139" s="5"/>
      <c r="BR139" s="25"/>
      <c r="BS139" s="5"/>
    </row>
    <row r="140" spans="1:71" s="3" customFormat="1" x14ac:dyDescent="0.25">
      <c r="A140" s="5"/>
      <c r="B140" s="3" t="str">
        <f t="array" ref="B140">IFERROR(INDEX(DemandSupply,MATCH(INDEX($AH$1:AH140,SMALL(ROW($AH$1:AH140)+(10000*($AH$1:AH140="")),COUNTA($AH$1:AH140))),Sectors,0)),"")</f>
        <v>Demand</v>
      </c>
      <c r="E140" s="10"/>
      <c r="F140" s="207"/>
      <c r="G140" s="207"/>
      <c r="H140" s="207"/>
      <c r="I140" s="207"/>
      <c r="J140" s="207"/>
      <c r="K140" s="207"/>
      <c r="L140" s="207"/>
      <c r="M140" s="207"/>
      <c r="N140" s="207"/>
      <c r="O140" s="207"/>
      <c r="P140" s="207"/>
      <c r="Q140" s="207"/>
      <c r="R140" s="207"/>
      <c r="S140" s="207"/>
      <c r="T140" s="207"/>
      <c r="U140" s="207"/>
      <c r="V140" s="207"/>
      <c r="W140" s="207"/>
      <c r="X140" s="207"/>
      <c r="Y140" s="207"/>
      <c r="Z140" s="207"/>
      <c r="AA140" s="207"/>
      <c r="AB140" s="207"/>
      <c r="AC140" s="5"/>
      <c r="AD140" s="63"/>
      <c r="AE140" s="64"/>
      <c r="AF140" s="64"/>
      <c r="AG140" s="212"/>
      <c r="AH140" s="64"/>
      <c r="AI140" s="64"/>
      <c r="AJ140" s="64"/>
      <c r="AK140" s="212"/>
      <c r="AL140" s="64"/>
      <c r="AM140" s="212"/>
      <c r="AN140" s="64"/>
      <c r="AO140" s="64"/>
      <c r="AP140" s="63"/>
      <c r="AQ140" s="64"/>
      <c r="AR140" s="63"/>
      <c r="AS140" s="64"/>
      <c r="AT140" s="63"/>
      <c r="AU140" s="64"/>
      <c r="AV140" s="63"/>
      <c r="AW140" s="64"/>
      <c r="AX140" s="63"/>
      <c r="AY140" s="5"/>
      <c r="AZ140" s="21" t="str">
        <f t="shared" si="26"/>
        <v/>
      </c>
      <c r="BA140" s="264" t="s">
        <v>170</v>
      </c>
      <c r="BB140" s="264"/>
      <c r="BC140" s="264"/>
      <c r="BD140" s="74" t="s">
        <v>354</v>
      </c>
      <c r="BE140" s="216" t="s">
        <v>29</v>
      </c>
      <c r="BF140" s="56">
        <v>2655</v>
      </c>
      <c r="BG140" s="282">
        <f t="shared" ref="BG140:BP140" si="37">BF140</f>
        <v>2655</v>
      </c>
      <c r="BH140" s="282">
        <f t="shared" si="37"/>
        <v>2655</v>
      </c>
      <c r="BI140" s="282">
        <f t="shared" si="37"/>
        <v>2655</v>
      </c>
      <c r="BJ140" s="282">
        <f t="shared" si="37"/>
        <v>2655</v>
      </c>
      <c r="BK140" s="282">
        <f t="shared" si="37"/>
        <v>2655</v>
      </c>
      <c r="BL140" s="282">
        <f t="shared" si="37"/>
        <v>2655</v>
      </c>
      <c r="BM140" s="282">
        <f t="shared" si="37"/>
        <v>2655</v>
      </c>
      <c r="BN140" s="282">
        <f t="shared" si="37"/>
        <v>2655</v>
      </c>
      <c r="BO140" s="282">
        <f t="shared" si="37"/>
        <v>2655</v>
      </c>
      <c r="BP140" s="282">
        <f t="shared" si="37"/>
        <v>2655</v>
      </c>
      <c r="BQ140" s="5"/>
      <c r="BR140" s="25"/>
      <c r="BS140" s="5"/>
    </row>
    <row r="141" spans="1:71" s="3" customFormat="1" x14ac:dyDescent="0.25">
      <c r="A141" s="5"/>
      <c r="B141" s="3" t="str">
        <f t="array" ref="B141">IFERROR(INDEX(DemandSupply,MATCH(INDEX($AH$1:AH141,SMALL(ROW($AH$1:AH141)+(10000*($AH$1:AH141="")),COUNTA($AH$1:AH141))),Sectors,0)),"")</f>
        <v>Demand</v>
      </c>
      <c r="E141" s="10"/>
      <c r="F141" s="207"/>
      <c r="G141" s="207"/>
      <c r="H141" s="207"/>
      <c r="I141" s="207"/>
      <c r="J141" s="207"/>
      <c r="K141" s="207"/>
      <c r="L141" s="207"/>
      <c r="M141" s="207"/>
      <c r="N141" s="207"/>
      <c r="O141" s="207"/>
      <c r="P141" s="207"/>
      <c r="Q141" s="207"/>
      <c r="R141" s="207"/>
      <c r="S141" s="207"/>
      <c r="T141" s="207"/>
      <c r="U141" s="207"/>
      <c r="V141" s="207"/>
      <c r="W141" s="207"/>
      <c r="X141" s="207"/>
      <c r="Y141" s="207"/>
      <c r="Z141" s="207"/>
      <c r="AA141" s="207"/>
      <c r="AB141" s="207"/>
      <c r="AC141" s="5"/>
      <c r="AD141" s="63"/>
      <c r="AE141" s="64"/>
      <c r="AF141" s="64"/>
      <c r="AG141" s="212"/>
      <c r="AH141" s="64"/>
      <c r="AI141" s="64"/>
      <c r="AJ141" s="64"/>
      <c r="AK141" s="212"/>
      <c r="AL141" s="64"/>
      <c r="AM141" s="212"/>
      <c r="AN141" s="64"/>
      <c r="AO141" s="64"/>
      <c r="AP141" s="63"/>
      <c r="AQ141" s="64"/>
      <c r="AR141" s="63"/>
      <c r="AS141" s="64"/>
      <c r="AT141" s="63"/>
      <c r="AU141" s="64"/>
      <c r="AV141" s="63"/>
      <c r="AW141" s="64"/>
      <c r="AX141" s="63"/>
      <c r="AY141" s="5"/>
      <c r="AZ141" s="21" t="str">
        <f t="shared" si="26"/>
        <v/>
      </c>
      <c r="BA141" s="264" t="s">
        <v>425</v>
      </c>
      <c r="BB141" s="264"/>
      <c r="BC141" s="264"/>
      <c r="BD141" s="264" t="s">
        <v>99</v>
      </c>
      <c r="BE141" s="216" t="s">
        <v>29</v>
      </c>
      <c r="BF141" s="303"/>
      <c r="BG141" s="303"/>
      <c r="BH141" s="303"/>
      <c r="BI141" s="303"/>
      <c r="BJ141" s="303"/>
      <c r="BK141" s="303"/>
      <c r="BL141" s="303"/>
      <c r="BM141" s="303"/>
      <c r="BN141" s="303"/>
      <c r="BO141" s="303"/>
      <c r="BP141" s="303"/>
      <c r="BQ141" s="5"/>
      <c r="BR141" s="25"/>
      <c r="BS141" s="5"/>
    </row>
    <row r="142" spans="1:71" s="3" customFormat="1" x14ac:dyDescent="0.25">
      <c r="A142" s="5"/>
      <c r="B142" s="3" t="str">
        <f t="array" ref="B142">IFERROR(INDEX(DemandSupply,MATCH(INDEX($AH$1:AH142,SMALL(ROW($AH$1:AH142)+(10000*($AH$1:AH142="")),COUNTA($AH$1:AH142))),Sectors,0)),"")</f>
        <v>Demand</v>
      </c>
      <c r="E142" s="10"/>
      <c r="F142" s="207"/>
      <c r="G142" s="207"/>
      <c r="H142" s="207"/>
      <c r="I142" s="207"/>
      <c r="J142" s="207"/>
      <c r="K142" s="207"/>
      <c r="L142" s="207"/>
      <c r="M142" s="207"/>
      <c r="N142" s="207"/>
      <c r="O142" s="207"/>
      <c r="P142" s="207"/>
      <c r="Q142" s="207"/>
      <c r="R142" s="207"/>
      <c r="S142" s="207"/>
      <c r="T142" s="207"/>
      <c r="U142" s="207"/>
      <c r="V142" s="207"/>
      <c r="W142" s="207"/>
      <c r="X142" s="207"/>
      <c r="Y142" s="207"/>
      <c r="Z142" s="207"/>
      <c r="AA142" s="207"/>
      <c r="AB142" s="207"/>
      <c r="AC142" s="5"/>
      <c r="AD142" s="63"/>
      <c r="AE142" s="64"/>
      <c r="AF142" s="64"/>
      <c r="AG142" s="212"/>
      <c r="AH142" s="64"/>
      <c r="AI142" s="64"/>
      <c r="AJ142" s="64"/>
      <c r="AK142" s="212"/>
      <c r="AL142" s="64"/>
      <c r="AM142" s="212"/>
      <c r="AN142" s="64"/>
      <c r="AO142" s="64"/>
      <c r="AP142" s="63"/>
      <c r="AQ142" s="64"/>
      <c r="AR142" s="63"/>
      <c r="AS142" s="64"/>
      <c r="AT142" s="63"/>
      <c r="AU142" s="64"/>
      <c r="AV142" s="63"/>
      <c r="AW142" s="64"/>
      <c r="AX142" s="63"/>
      <c r="AY142" s="5"/>
      <c r="AZ142" s="21" t="str">
        <f t="shared" si="26"/>
        <v/>
      </c>
      <c r="BA142" s="264" t="s">
        <v>438</v>
      </c>
      <c r="BB142" s="264"/>
      <c r="BC142" s="264"/>
      <c r="BD142" s="74" t="s">
        <v>36</v>
      </c>
      <c r="BE142" s="216" t="s">
        <v>29</v>
      </c>
      <c r="BF142" s="56"/>
      <c r="BG142" s="56"/>
      <c r="BH142" s="56"/>
      <c r="BI142" s="56"/>
      <c r="BJ142" s="56"/>
      <c r="BK142" s="56"/>
      <c r="BL142" s="56"/>
      <c r="BM142" s="56"/>
      <c r="BN142" s="56"/>
      <c r="BO142" s="56"/>
      <c r="BP142" s="56"/>
      <c r="BQ142" s="5"/>
      <c r="BR142" s="25"/>
      <c r="BS142" s="5"/>
    </row>
    <row r="143" spans="1:71" s="3" customFormat="1" x14ac:dyDescent="0.25">
      <c r="A143" s="5"/>
      <c r="B143" s="3" t="str">
        <f t="array" ref="B143">IFERROR(INDEX(DemandSupply,MATCH(INDEX($AH$1:AH143,SMALL(ROW($AH$1:AH143)+(10000*($AH$1:AH143="")),COUNTA($AH$1:AH143))),Sectors,0)),"")</f>
        <v>Demand</v>
      </c>
      <c r="E143" s="10"/>
      <c r="F143" s="207"/>
      <c r="G143" s="207"/>
      <c r="H143" s="207"/>
      <c r="I143" s="207"/>
      <c r="J143" s="207"/>
      <c r="K143" s="207"/>
      <c r="L143" s="207"/>
      <c r="M143" s="207"/>
      <c r="N143" s="207"/>
      <c r="O143" s="207"/>
      <c r="P143" s="207"/>
      <c r="Q143" s="207"/>
      <c r="R143" s="207"/>
      <c r="S143" s="207"/>
      <c r="T143" s="207"/>
      <c r="U143" s="207"/>
      <c r="V143" s="207"/>
      <c r="W143" s="207"/>
      <c r="X143" s="207"/>
      <c r="Y143" s="207"/>
      <c r="Z143" s="207"/>
      <c r="AA143" s="207"/>
      <c r="AB143" s="207"/>
      <c r="AC143" s="5"/>
      <c r="AD143" s="63"/>
      <c r="AE143" s="64"/>
      <c r="AF143" s="64"/>
      <c r="AG143" s="212"/>
      <c r="AH143" s="64"/>
      <c r="AI143" s="64"/>
      <c r="AJ143" s="64"/>
      <c r="AK143" s="212"/>
      <c r="AL143" s="64"/>
      <c r="AM143" s="212"/>
      <c r="AN143" s="64"/>
      <c r="AO143" s="64"/>
      <c r="AP143" s="63"/>
      <c r="AQ143" s="64"/>
      <c r="AR143" s="63"/>
      <c r="AS143" s="64"/>
      <c r="AT143" s="63"/>
      <c r="AU143" s="64"/>
      <c r="AV143" s="63"/>
      <c r="AW143" s="64"/>
      <c r="AX143" s="63"/>
      <c r="AY143" s="5"/>
      <c r="AZ143" s="21" t="str">
        <f t="shared" si="26"/>
        <v/>
      </c>
      <c r="BA143" s="264" t="s">
        <v>435</v>
      </c>
      <c r="BB143" s="264"/>
      <c r="BC143" s="264"/>
      <c r="BD143" s="264"/>
      <c r="BE143" s="216" t="s">
        <v>29</v>
      </c>
      <c r="BF143" s="55"/>
      <c r="BG143" s="55"/>
      <c r="BH143" s="55"/>
      <c r="BI143" s="55"/>
      <c r="BJ143" s="55"/>
      <c r="BK143" s="55"/>
      <c r="BL143" s="55"/>
      <c r="BM143" s="55"/>
      <c r="BN143" s="55"/>
      <c r="BO143" s="55"/>
      <c r="BP143" s="55"/>
      <c r="BQ143" s="5"/>
      <c r="BR143" s="25"/>
      <c r="BS143" s="5"/>
    </row>
    <row r="144" spans="1:71" s="3" customFormat="1" x14ac:dyDescent="0.25">
      <c r="A144" s="5"/>
      <c r="B144" s="3" t="str">
        <f t="array" ref="B144">IFERROR(INDEX(DemandSupply,MATCH(INDEX($AH$1:AH144,SMALL(ROW($AH$1:AH144)+(10000*($AH$1:AH144="")),COUNTA($AH$1:AH144))),Sectors,0)),"")</f>
        <v>Demand</v>
      </c>
      <c r="E144" s="10"/>
      <c r="F144" s="207"/>
      <c r="G144" s="207"/>
      <c r="H144" s="207"/>
      <c r="I144" s="207"/>
      <c r="J144" s="207"/>
      <c r="K144" s="207"/>
      <c r="L144" s="207"/>
      <c r="M144" s="207"/>
      <c r="N144" s="207"/>
      <c r="O144" s="207"/>
      <c r="P144" s="207"/>
      <c r="Q144" s="207"/>
      <c r="R144" s="207"/>
      <c r="S144" s="207"/>
      <c r="T144" s="207"/>
      <c r="U144" s="207"/>
      <c r="V144" s="207"/>
      <c r="W144" s="207"/>
      <c r="X144" s="207"/>
      <c r="Y144" s="207"/>
      <c r="Z144" s="207"/>
      <c r="AA144" s="207"/>
      <c r="AB144" s="207"/>
      <c r="AC144" s="5"/>
      <c r="AD144" s="63"/>
      <c r="AE144" s="64"/>
      <c r="AF144" s="64"/>
      <c r="AG144" s="212"/>
      <c r="AH144" s="64"/>
      <c r="AI144" s="64"/>
      <c r="AJ144" s="64"/>
      <c r="AK144" s="212"/>
      <c r="AL144" s="64"/>
      <c r="AM144" s="212"/>
      <c r="AN144" s="64"/>
      <c r="AO144" s="64"/>
      <c r="AP144" s="63"/>
      <c r="AQ144" s="64"/>
      <c r="AR144" s="63"/>
      <c r="AS144" s="64"/>
      <c r="AT144" s="63"/>
      <c r="AU144" s="64"/>
      <c r="AV144" s="63"/>
      <c r="AW144" s="64"/>
      <c r="AX144" s="63"/>
      <c r="AY144" s="5"/>
      <c r="AZ144" s="21" t="str">
        <f t="shared" si="26"/>
        <v/>
      </c>
      <c r="BA144" s="264" t="s">
        <v>407</v>
      </c>
      <c r="BB144" s="264"/>
      <c r="BC144" s="264"/>
      <c r="BD144" s="264" t="s">
        <v>99</v>
      </c>
      <c r="BE144" s="216" t="s">
        <v>29</v>
      </c>
      <c r="BF144" s="303"/>
      <c r="BG144" s="303"/>
      <c r="BH144" s="303"/>
      <c r="BI144" s="303"/>
      <c r="BJ144" s="303"/>
      <c r="BK144" s="303"/>
      <c r="BL144" s="303"/>
      <c r="BM144" s="303"/>
      <c r="BN144" s="303"/>
      <c r="BO144" s="303"/>
      <c r="BP144" s="303"/>
      <c r="BQ144" s="5"/>
      <c r="BR144" s="25"/>
      <c r="BS144" s="5"/>
    </row>
    <row r="145" spans="1:71" s="3" customFormat="1" x14ac:dyDescent="0.25">
      <c r="A145" s="5"/>
      <c r="B145" s="3" t="str">
        <f t="array" ref="B145">IFERROR(INDEX(DemandSupply,MATCH(INDEX($AH$1:AH145,SMALL(ROW($AH$1:AH145)+(10000*($AH$1:AH145="")),COUNTA($AH$1:AH145))),Sectors,0)),"")</f>
        <v>Demand</v>
      </c>
      <c r="E145" s="10"/>
      <c r="F145" s="207"/>
      <c r="G145" s="207"/>
      <c r="H145" s="207"/>
      <c r="I145" s="207"/>
      <c r="J145" s="207"/>
      <c r="K145" s="207"/>
      <c r="L145" s="207"/>
      <c r="M145" s="207"/>
      <c r="N145" s="207"/>
      <c r="O145" s="207"/>
      <c r="P145" s="207"/>
      <c r="Q145" s="207"/>
      <c r="R145" s="207"/>
      <c r="S145" s="207"/>
      <c r="T145" s="207"/>
      <c r="U145" s="207"/>
      <c r="V145" s="207"/>
      <c r="W145" s="207"/>
      <c r="X145" s="207"/>
      <c r="Y145" s="207"/>
      <c r="Z145" s="207"/>
      <c r="AA145" s="207"/>
      <c r="AB145" s="207"/>
      <c r="AC145" s="5"/>
      <c r="AD145" s="63"/>
      <c r="AE145" s="64"/>
      <c r="AF145" s="64"/>
      <c r="AG145" s="212"/>
      <c r="AH145" s="64"/>
      <c r="AI145" s="64"/>
      <c r="AJ145" s="64"/>
      <c r="AK145" s="212"/>
      <c r="AL145" s="64"/>
      <c r="AM145" s="212"/>
      <c r="AN145" s="64"/>
      <c r="AO145" s="64"/>
      <c r="AP145" s="63"/>
      <c r="AQ145" s="64"/>
      <c r="AR145" s="63"/>
      <c r="AS145" s="64"/>
      <c r="AT145" s="63"/>
      <c r="AU145" s="64"/>
      <c r="AV145" s="63"/>
      <c r="AW145" s="64"/>
      <c r="AX145" s="63"/>
      <c r="AY145" s="5"/>
      <c r="AZ145" s="21" t="str">
        <f t="shared" si="26"/>
        <v/>
      </c>
      <c r="BA145" s="264" t="s">
        <v>444</v>
      </c>
      <c r="BB145" s="264"/>
      <c r="BC145" s="264"/>
      <c r="BD145" s="264" t="s">
        <v>354</v>
      </c>
      <c r="BE145" s="216" t="s">
        <v>29</v>
      </c>
      <c r="BF145" s="56"/>
      <c r="BG145" s="56"/>
      <c r="BH145" s="56"/>
      <c r="BI145" s="56"/>
      <c r="BJ145" s="56"/>
      <c r="BK145" s="56"/>
      <c r="BL145" s="56"/>
      <c r="BM145" s="56"/>
      <c r="BN145" s="56"/>
      <c r="BO145" s="56"/>
      <c r="BP145" s="56"/>
      <c r="BQ145" s="5"/>
      <c r="BR145" s="25"/>
      <c r="BS145" s="5"/>
    </row>
    <row r="146" spans="1:71" s="3" customFormat="1" x14ac:dyDescent="0.25">
      <c r="A146" s="5"/>
      <c r="B146" s="3" t="str">
        <f t="array" ref="B146">IFERROR(INDEX(DemandSupply,MATCH(INDEX($AH$1:AH146,SMALL(ROW($AH$1:AH146)+(10000*($AH$1:AH146="")),COUNTA($AH$1:AH146))),Sectors,0)),"")</f>
        <v>Demand</v>
      </c>
      <c r="E146" s="10"/>
      <c r="F146" s="207"/>
      <c r="G146" s="207"/>
      <c r="H146" s="207"/>
      <c r="I146" s="207"/>
      <c r="J146" s="207"/>
      <c r="K146" s="207"/>
      <c r="L146" s="207"/>
      <c r="M146" s="207"/>
      <c r="N146" s="207"/>
      <c r="O146" s="207"/>
      <c r="P146" s="207"/>
      <c r="Q146" s="207"/>
      <c r="R146" s="207"/>
      <c r="S146" s="207"/>
      <c r="T146" s="207"/>
      <c r="U146" s="207"/>
      <c r="V146" s="207"/>
      <c r="W146" s="207"/>
      <c r="X146" s="207"/>
      <c r="Y146" s="207"/>
      <c r="Z146" s="207"/>
      <c r="AA146" s="207"/>
      <c r="AB146" s="207"/>
      <c r="AC146" s="5"/>
      <c r="AD146" s="63"/>
      <c r="AE146" s="64"/>
      <c r="AF146" s="64"/>
      <c r="AG146" s="212"/>
      <c r="AH146" s="64"/>
      <c r="AI146" s="64"/>
      <c r="AJ146" s="64"/>
      <c r="AK146" s="212"/>
      <c r="AL146" s="64"/>
      <c r="AM146" s="212"/>
      <c r="AN146" s="64"/>
      <c r="AO146" s="64"/>
      <c r="AP146" s="63"/>
      <c r="AQ146" s="64"/>
      <c r="AR146" s="63"/>
      <c r="AS146" s="64"/>
      <c r="AT146" s="63"/>
      <c r="AU146" s="64"/>
      <c r="AV146" s="63"/>
      <c r="AW146" s="64"/>
      <c r="AX146" s="63"/>
      <c r="AY146" s="5"/>
      <c r="AZ146" s="21" t="str">
        <f t="shared" si="26"/>
        <v/>
      </c>
      <c r="BA146" s="264" t="s">
        <v>446</v>
      </c>
      <c r="BB146" s="264"/>
      <c r="BC146" s="264"/>
      <c r="BD146" s="264" t="s">
        <v>354</v>
      </c>
      <c r="BE146" s="216" t="s">
        <v>29</v>
      </c>
      <c r="BF146" s="56"/>
      <c r="BG146" s="56"/>
      <c r="BH146" s="56"/>
      <c r="BI146" s="56"/>
      <c r="BJ146" s="56"/>
      <c r="BK146" s="56"/>
      <c r="BL146" s="56"/>
      <c r="BM146" s="56"/>
      <c r="BN146" s="56"/>
      <c r="BO146" s="56"/>
      <c r="BP146" s="56"/>
      <c r="BQ146" s="5"/>
      <c r="BR146" s="25"/>
      <c r="BS146" s="5"/>
    </row>
    <row r="147" spans="1:71" s="3" customFormat="1" x14ac:dyDescent="0.25">
      <c r="A147" s="5"/>
      <c r="B147" s="3" t="str">
        <f t="array" ref="B147">IFERROR(INDEX(DemandSupply,MATCH(INDEX($AH$1:AH147,SMALL(ROW($AH$1:AH147)+(10000*($AH$1:AH147="")),COUNTA($AH$1:AH147))),Sectors,0)),"")</f>
        <v>Demand</v>
      </c>
      <c r="E147" s="10"/>
      <c r="F147" s="207"/>
      <c r="G147" s="207"/>
      <c r="H147" s="207"/>
      <c r="I147" s="207"/>
      <c r="J147" s="207"/>
      <c r="K147" s="207"/>
      <c r="L147" s="207"/>
      <c r="M147" s="207"/>
      <c r="N147" s="207"/>
      <c r="O147" s="207"/>
      <c r="P147" s="207"/>
      <c r="Q147" s="207"/>
      <c r="R147" s="207"/>
      <c r="S147" s="207"/>
      <c r="T147" s="207"/>
      <c r="U147" s="207"/>
      <c r="V147" s="207"/>
      <c r="W147" s="207"/>
      <c r="X147" s="207"/>
      <c r="Y147" s="207"/>
      <c r="Z147" s="207"/>
      <c r="AA147" s="207"/>
      <c r="AB147" s="207"/>
      <c r="AC147" s="5"/>
      <c r="AD147" s="63"/>
      <c r="AE147" s="64"/>
      <c r="AF147" s="64"/>
      <c r="AG147" s="212"/>
      <c r="AH147" s="64"/>
      <c r="AI147" s="64"/>
      <c r="AJ147" s="64"/>
      <c r="AK147" s="212"/>
      <c r="AL147" s="64"/>
      <c r="AM147" s="212"/>
      <c r="AN147" s="64"/>
      <c r="AO147" s="64"/>
      <c r="AP147" s="63"/>
      <c r="AQ147" s="64"/>
      <c r="AR147" s="63"/>
      <c r="AS147" s="64"/>
      <c r="AT147" s="63"/>
      <c r="AU147" s="64"/>
      <c r="AV147" s="63"/>
      <c r="AW147" s="64"/>
      <c r="AX147" s="63"/>
      <c r="AY147" s="5"/>
      <c r="AZ147" s="21" t="str">
        <f t="shared" si="26"/>
        <v/>
      </c>
      <c r="BA147" s="264" t="s">
        <v>447</v>
      </c>
      <c r="BB147" s="264"/>
      <c r="BC147" s="264"/>
      <c r="BD147" s="264"/>
      <c r="BE147" s="216" t="s">
        <v>29</v>
      </c>
      <c r="BF147" s="55"/>
      <c r="BG147" s="55"/>
      <c r="BH147" s="55"/>
      <c r="BI147" s="55"/>
      <c r="BJ147" s="55"/>
      <c r="BK147" s="55"/>
      <c r="BL147" s="55"/>
      <c r="BM147" s="55"/>
      <c r="BN147" s="55"/>
      <c r="BO147" s="55"/>
      <c r="BP147" s="55"/>
      <c r="BQ147" s="5"/>
      <c r="BR147" s="25"/>
      <c r="BS147" s="5"/>
    </row>
    <row r="148" spans="1:71" s="3" customFormat="1" x14ac:dyDescent="0.25">
      <c r="A148" s="5"/>
      <c r="B148" s="3" t="str">
        <f t="array" ref="B148">IFERROR(INDEX(DemandSupply,MATCH(INDEX($AH$1:AH148,SMALL(ROW($AH$1:AH148)+(10000*($AH$1:AH148="")),COUNTA($AH$1:AH148))),Sectors,0)),"")</f>
        <v>Demand</v>
      </c>
      <c r="E148" s="10"/>
      <c r="F148" s="207"/>
      <c r="G148" s="207"/>
      <c r="H148" s="207"/>
      <c r="I148" s="207"/>
      <c r="J148" s="207"/>
      <c r="K148" s="207"/>
      <c r="L148" s="207"/>
      <c r="M148" s="207"/>
      <c r="N148" s="207"/>
      <c r="O148" s="207"/>
      <c r="P148" s="207"/>
      <c r="Q148" s="207"/>
      <c r="R148" s="207"/>
      <c r="S148" s="207"/>
      <c r="T148" s="207"/>
      <c r="U148" s="207"/>
      <c r="V148" s="207"/>
      <c r="W148" s="207"/>
      <c r="X148" s="207"/>
      <c r="Y148" s="207"/>
      <c r="Z148" s="207"/>
      <c r="AA148" s="207"/>
      <c r="AB148" s="207"/>
      <c r="AC148" s="5"/>
      <c r="AD148" s="63"/>
      <c r="AE148" s="64"/>
      <c r="AF148" s="64"/>
      <c r="AG148" s="212"/>
      <c r="AH148" s="64"/>
      <c r="AI148" s="64"/>
      <c r="AJ148" s="64"/>
      <c r="AK148" s="212"/>
      <c r="AL148" s="64"/>
      <c r="AM148" s="212"/>
      <c r="AN148" s="64"/>
      <c r="AO148" s="64"/>
      <c r="AP148" s="63"/>
      <c r="AQ148" s="64"/>
      <c r="AR148" s="63"/>
      <c r="AS148" s="64"/>
      <c r="AT148" s="63"/>
      <c r="AU148" s="64"/>
      <c r="AV148" s="63"/>
      <c r="AW148" s="64"/>
      <c r="AX148" s="63"/>
      <c r="AY148" s="5"/>
      <c r="AZ148" s="21" t="str">
        <f t="shared" si="26"/>
        <v/>
      </c>
      <c r="BA148" s="264" t="s">
        <v>448</v>
      </c>
      <c r="BB148" s="264"/>
      <c r="BC148" s="264"/>
      <c r="BD148" s="264"/>
      <c r="BE148" s="216" t="s">
        <v>29</v>
      </c>
      <c r="BF148" s="55"/>
      <c r="BG148" s="55"/>
      <c r="BH148" s="55"/>
      <c r="BI148" s="55"/>
      <c r="BJ148" s="55"/>
      <c r="BK148" s="55"/>
      <c r="BL148" s="55"/>
      <c r="BM148" s="55"/>
      <c r="BN148" s="55"/>
      <c r="BO148" s="55"/>
      <c r="BP148" s="55"/>
      <c r="BQ148" s="5"/>
      <c r="BR148" s="25"/>
      <c r="BS148" s="5"/>
    </row>
    <row r="149" spans="1:71" s="3" customFormat="1" x14ac:dyDescent="0.25">
      <c r="A149" s="5"/>
      <c r="B149" s="3" t="str">
        <f t="array" ref="B149">IFERROR(INDEX(DemandSupply,MATCH(INDEX($AH$1:AH149,SMALL(ROW($AH$1:AH149)+(10000*($AH$1:AH149="")),COUNTA($AH$1:AH149))),Sectors,0)),"")</f>
        <v>Demand</v>
      </c>
      <c r="E149" s="10"/>
      <c r="F149" s="207"/>
      <c r="G149" s="207"/>
      <c r="H149" s="207"/>
      <c r="I149" s="207"/>
      <c r="J149" s="207"/>
      <c r="K149" s="207"/>
      <c r="L149" s="207"/>
      <c r="M149" s="207"/>
      <c r="N149" s="207"/>
      <c r="O149" s="207"/>
      <c r="P149" s="207"/>
      <c r="Q149" s="207"/>
      <c r="R149" s="207"/>
      <c r="S149" s="207"/>
      <c r="T149" s="207"/>
      <c r="U149" s="207"/>
      <c r="V149" s="207"/>
      <c r="W149" s="207"/>
      <c r="X149" s="207"/>
      <c r="Y149" s="207"/>
      <c r="Z149" s="207"/>
      <c r="AA149" s="207"/>
      <c r="AB149" s="207"/>
      <c r="AC149" s="5"/>
      <c r="AD149" s="63"/>
      <c r="AE149" s="64"/>
      <c r="AF149" s="64"/>
      <c r="AG149" s="212"/>
      <c r="AH149" s="64"/>
      <c r="AI149" s="64"/>
      <c r="AJ149" s="64"/>
      <c r="AK149" s="212"/>
      <c r="AL149" s="64"/>
      <c r="AM149" s="212"/>
      <c r="AN149" s="64"/>
      <c r="AO149" s="64"/>
      <c r="AP149" s="63"/>
      <c r="AQ149" s="64"/>
      <c r="AR149" s="63"/>
      <c r="AS149" s="64"/>
      <c r="AT149" s="63"/>
      <c r="AU149" s="64"/>
      <c r="AV149" s="63"/>
      <c r="AW149" s="64"/>
      <c r="AX149" s="63"/>
      <c r="AY149" s="5"/>
      <c r="AZ149" s="21" t="str">
        <f t="shared" si="26"/>
        <v/>
      </c>
      <c r="BA149" s="264" t="s">
        <v>445</v>
      </c>
      <c r="BB149" s="264"/>
      <c r="BC149" s="264"/>
      <c r="BD149" s="74" t="s">
        <v>357</v>
      </c>
      <c r="BE149" s="216" t="s">
        <v>29</v>
      </c>
      <c r="BF149" s="56"/>
      <c r="BG149" s="56"/>
      <c r="BH149" s="56"/>
      <c r="BI149" s="56"/>
      <c r="BJ149" s="56"/>
      <c r="BK149" s="56"/>
      <c r="BL149" s="56"/>
      <c r="BM149" s="56"/>
      <c r="BN149" s="56"/>
      <c r="BO149" s="56"/>
      <c r="BP149" s="56"/>
      <c r="BQ149" s="5"/>
      <c r="BR149" s="25"/>
      <c r="BS149" s="5"/>
    </row>
    <row r="150" spans="1:71" s="3" customFormat="1" x14ac:dyDescent="0.25">
      <c r="A150" s="5"/>
      <c r="B150" s="3" t="str">
        <f t="array" ref="B150">IFERROR(INDEX(DemandSupply,MATCH(INDEX($AH$1:AH150,SMALL(ROW($AH$1:AH150)+(10000*($AH$1:AH150="")),COUNTA($AH$1:AH150))),Sectors,0)),"")</f>
        <v>Demand</v>
      </c>
      <c r="E150" s="10"/>
      <c r="F150" s="207"/>
      <c r="G150" s="207"/>
      <c r="H150" s="207"/>
      <c r="I150" s="207"/>
      <c r="J150" s="207"/>
      <c r="K150" s="207"/>
      <c r="L150" s="207"/>
      <c r="M150" s="207"/>
      <c r="N150" s="207"/>
      <c r="O150" s="207"/>
      <c r="P150" s="207"/>
      <c r="Q150" s="207"/>
      <c r="R150" s="207"/>
      <c r="S150" s="207"/>
      <c r="T150" s="207"/>
      <c r="U150" s="207"/>
      <c r="V150" s="207"/>
      <c r="W150" s="207"/>
      <c r="X150" s="207"/>
      <c r="Y150" s="207"/>
      <c r="Z150" s="207"/>
      <c r="AA150" s="207"/>
      <c r="AB150" s="207"/>
      <c r="AC150" s="5"/>
      <c r="AD150" s="63"/>
      <c r="AE150" s="64"/>
      <c r="AF150" s="64"/>
      <c r="AG150" s="212"/>
      <c r="AH150" s="64"/>
      <c r="AI150" s="64"/>
      <c r="AJ150" s="64"/>
      <c r="AK150" s="212"/>
      <c r="AL150" s="64"/>
      <c r="AM150" s="212"/>
      <c r="AN150" s="64"/>
      <c r="AO150" s="64"/>
      <c r="AP150" s="63"/>
      <c r="AQ150" s="64"/>
      <c r="AR150" s="63"/>
      <c r="AS150" s="64"/>
      <c r="AT150" s="63"/>
      <c r="AU150" s="64"/>
      <c r="AV150" s="63"/>
      <c r="AW150" s="64"/>
      <c r="AX150" s="63"/>
      <c r="AY150" s="5"/>
      <c r="AZ150" s="21" t="str">
        <f t="shared" si="26"/>
        <v/>
      </c>
      <c r="BA150" s="264" t="s">
        <v>449</v>
      </c>
      <c r="BB150" s="264"/>
      <c r="BC150" s="264"/>
      <c r="BD150" s="74" t="s">
        <v>357</v>
      </c>
      <c r="BE150" s="216" t="s">
        <v>29</v>
      </c>
      <c r="BF150" s="56"/>
      <c r="BG150" s="56"/>
      <c r="BH150" s="56"/>
      <c r="BI150" s="56"/>
      <c r="BJ150" s="56"/>
      <c r="BK150" s="56"/>
      <c r="BL150" s="56"/>
      <c r="BM150" s="56"/>
      <c r="BN150" s="56"/>
      <c r="BO150" s="56"/>
      <c r="BP150" s="56"/>
      <c r="BQ150" s="5"/>
      <c r="BR150" s="25"/>
      <c r="BS150" s="5"/>
    </row>
    <row r="151" spans="1:71" s="3" customFormat="1" x14ac:dyDescent="0.25">
      <c r="A151" s="5"/>
      <c r="B151" s="3" t="str">
        <f t="array" ref="B151">IFERROR(INDEX(DemandSupply,MATCH(INDEX($AH$1:AH151,SMALL(ROW($AH$1:AH151)+(10000*($AH$1:AH151="")),COUNTA($AH$1:AH151))),Sectors,0)),"")</f>
        <v>Demand</v>
      </c>
      <c r="E151" s="10"/>
      <c r="F151" s="207"/>
      <c r="G151" s="207"/>
      <c r="H151" s="207"/>
      <c r="I151" s="207"/>
      <c r="J151" s="207"/>
      <c r="K151" s="207"/>
      <c r="L151" s="207"/>
      <c r="M151" s="207"/>
      <c r="N151" s="207"/>
      <c r="O151" s="207"/>
      <c r="P151" s="207"/>
      <c r="Q151" s="207"/>
      <c r="R151" s="207"/>
      <c r="S151" s="207"/>
      <c r="T151" s="207"/>
      <c r="U151" s="207"/>
      <c r="V151" s="207"/>
      <c r="W151" s="207"/>
      <c r="X151" s="207"/>
      <c r="Y151" s="207"/>
      <c r="Z151" s="207"/>
      <c r="AA151" s="207"/>
      <c r="AB151" s="207"/>
      <c r="AC151" s="5"/>
      <c r="AD151" s="63"/>
      <c r="AE151" s="64"/>
      <c r="AF151" s="64"/>
      <c r="AG151" s="212"/>
      <c r="AH151" s="64"/>
      <c r="AI151" s="64"/>
      <c r="AJ151" s="64"/>
      <c r="AK151" s="212"/>
      <c r="AL151" s="64"/>
      <c r="AM151" s="212"/>
      <c r="AN151" s="64"/>
      <c r="AO151" s="64"/>
      <c r="AP151" s="63"/>
      <c r="AQ151" s="64"/>
      <c r="AR151" s="63"/>
      <c r="AS151" s="64"/>
      <c r="AT151" s="63"/>
      <c r="AU151" s="64"/>
      <c r="AV151" s="63"/>
      <c r="AW151" s="64"/>
      <c r="AX151" s="63"/>
      <c r="AY151" s="5"/>
      <c r="AZ151" s="21" t="str">
        <f t="shared" si="26"/>
        <v/>
      </c>
      <c r="BA151" s="264" t="s">
        <v>450</v>
      </c>
      <c r="BB151" s="264"/>
      <c r="BC151" s="264"/>
      <c r="BD151" s="264"/>
      <c r="BE151" s="216" t="s">
        <v>29</v>
      </c>
      <c r="BF151" s="55"/>
      <c r="BG151" s="55"/>
      <c r="BH151" s="55"/>
      <c r="BI151" s="55"/>
      <c r="BJ151" s="55"/>
      <c r="BK151" s="55"/>
      <c r="BL151" s="55"/>
      <c r="BM151" s="55"/>
      <c r="BN151" s="55"/>
      <c r="BO151" s="55"/>
      <c r="BP151" s="55"/>
      <c r="BQ151" s="5"/>
      <c r="BR151" s="25"/>
      <c r="BS151" s="5"/>
    </row>
    <row r="152" spans="1:71" s="3" customFormat="1" x14ac:dyDescent="0.25">
      <c r="A152" s="5"/>
      <c r="B152" s="3" t="str">
        <f t="array" ref="B152">IFERROR(INDEX(DemandSupply,MATCH(INDEX($AH$1:AH152,SMALL(ROW($AH$1:AH152)+(10000*($AH$1:AH152="")),COUNTA($AH$1:AH152))),Sectors,0)),"")</f>
        <v>Demand</v>
      </c>
      <c r="E152" s="10"/>
      <c r="F152" s="207"/>
      <c r="G152" s="207"/>
      <c r="H152" s="207"/>
      <c r="I152" s="207"/>
      <c r="J152" s="207"/>
      <c r="K152" s="207"/>
      <c r="L152" s="207"/>
      <c r="M152" s="207"/>
      <c r="N152" s="207"/>
      <c r="O152" s="207"/>
      <c r="P152" s="207"/>
      <c r="Q152" s="207"/>
      <c r="R152" s="207"/>
      <c r="S152" s="207"/>
      <c r="T152" s="207"/>
      <c r="U152" s="207"/>
      <c r="V152" s="207"/>
      <c r="W152" s="207"/>
      <c r="X152" s="207"/>
      <c r="Y152" s="207"/>
      <c r="Z152" s="207"/>
      <c r="AA152" s="207"/>
      <c r="AB152" s="207"/>
      <c r="AC152" s="5"/>
      <c r="AD152" s="63"/>
      <c r="AE152" s="64"/>
      <c r="AF152" s="64"/>
      <c r="AG152" s="212"/>
      <c r="AH152" s="64"/>
      <c r="AI152" s="64"/>
      <c r="AJ152" s="64"/>
      <c r="AK152" s="212"/>
      <c r="AL152" s="64"/>
      <c r="AM152" s="212"/>
      <c r="AN152" s="64"/>
      <c r="AO152" s="64"/>
      <c r="AP152" s="63"/>
      <c r="AQ152" s="64"/>
      <c r="AR152" s="63"/>
      <c r="AS152" s="64"/>
      <c r="AT152" s="63"/>
      <c r="AU152" s="64"/>
      <c r="AV152" s="63"/>
      <c r="AW152" s="64"/>
      <c r="AX152" s="63"/>
      <c r="AY152" s="5"/>
      <c r="AZ152" s="21" t="str">
        <f t="shared" si="26"/>
        <v/>
      </c>
      <c r="BA152" s="264" t="s">
        <v>451</v>
      </c>
      <c r="BB152" s="264"/>
      <c r="BC152" s="264"/>
      <c r="BD152" s="264"/>
      <c r="BE152" s="216" t="s">
        <v>29</v>
      </c>
      <c r="BF152" s="55"/>
      <c r="BG152" s="55"/>
      <c r="BH152" s="55"/>
      <c r="BI152" s="55"/>
      <c r="BJ152" s="55"/>
      <c r="BK152" s="55"/>
      <c r="BL152" s="55"/>
      <c r="BM152" s="55"/>
      <c r="BN152" s="55"/>
      <c r="BO152" s="55"/>
      <c r="BP152" s="55"/>
      <c r="BQ152" s="5"/>
      <c r="BR152" s="25"/>
      <c r="BS152" s="5"/>
    </row>
    <row r="153" spans="1:71" s="3" customFormat="1" x14ac:dyDescent="0.25">
      <c r="A153" s="5"/>
      <c r="B153" s="3" t="str">
        <f t="array" ref="B153">IFERROR(INDEX(DemandSupply,MATCH(INDEX($AH$1:AH153,SMALL(ROW($AH$1:AH153)+(10000*($AH$1:AH153="")),COUNTA($AH$1:AH153))),Sectors,0)),"")</f>
        <v>Demand</v>
      </c>
      <c r="E153" s="10"/>
      <c r="F153" s="207"/>
      <c r="G153" s="207"/>
      <c r="H153" s="207"/>
      <c r="I153" s="207"/>
      <c r="J153" s="207"/>
      <c r="K153" s="207"/>
      <c r="L153" s="207"/>
      <c r="M153" s="207"/>
      <c r="N153" s="207"/>
      <c r="O153" s="207"/>
      <c r="P153" s="207"/>
      <c r="Q153" s="207"/>
      <c r="R153" s="207"/>
      <c r="S153" s="207"/>
      <c r="T153" s="207"/>
      <c r="U153" s="207"/>
      <c r="V153" s="207"/>
      <c r="W153" s="207"/>
      <c r="X153" s="207"/>
      <c r="Y153" s="207"/>
      <c r="Z153" s="207"/>
      <c r="AA153" s="207"/>
      <c r="AB153" s="207"/>
      <c r="AC153" s="5"/>
      <c r="AD153" s="63"/>
      <c r="AE153" s="64"/>
      <c r="AF153" s="64"/>
      <c r="AG153" s="212"/>
      <c r="AH153" s="64"/>
      <c r="AI153" s="64"/>
      <c r="AJ153" s="64"/>
      <c r="AK153" s="212"/>
      <c r="AL153" s="64"/>
      <c r="AM153" s="212"/>
      <c r="AN153" s="64"/>
      <c r="AO153" s="64"/>
      <c r="AP153" s="63"/>
      <c r="AQ153" s="64"/>
      <c r="AR153" s="63"/>
      <c r="AS153" s="64"/>
      <c r="AT153" s="63"/>
      <c r="AU153" s="64"/>
      <c r="AV153" s="63"/>
      <c r="AW153" s="64"/>
      <c r="AX153" s="63"/>
      <c r="AY153" s="5"/>
      <c r="AZ153" s="21" t="str">
        <f t="shared" si="26"/>
        <v/>
      </c>
      <c r="BA153" s="264" t="s">
        <v>342</v>
      </c>
      <c r="BB153" s="264"/>
      <c r="BC153" s="264"/>
      <c r="BD153" s="74" t="s">
        <v>357</v>
      </c>
      <c r="BE153" s="216" t="s">
        <v>29</v>
      </c>
      <c r="BF153" s="56"/>
      <c r="BG153" s="56"/>
      <c r="BH153" s="56"/>
      <c r="BI153" s="56"/>
      <c r="BJ153" s="56"/>
      <c r="BK153" s="56"/>
      <c r="BL153" s="56"/>
      <c r="BM153" s="56"/>
      <c r="BN153" s="56"/>
      <c r="BO153" s="56"/>
      <c r="BP153" s="56"/>
      <c r="BQ153" s="5"/>
      <c r="BR153" s="25"/>
      <c r="BS153" s="5"/>
    </row>
    <row r="154" spans="1:71" s="3" customFormat="1" x14ac:dyDescent="0.25">
      <c r="A154" s="5"/>
      <c r="B154" s="3" t="str">
        <f t="array" ref="B154">IFERROR(INDEX(DemandSupply,MATCH(INDEX($AH$1:AH154,SMALL(ROW($AH$1:AH154)+(10000*($AH$1:AH154="")),COUNTA($AH$1:AH154))),Sectors,0)),"")</f>
        <v>Demand</v>
      </c>
      <c r="E154" s="10"/>
      <c r="F154" s="207"/>
      <c r="G154" s="207"/>
      <c r="H154" s="207"/>
      <c r="I154" s="207"/>
      <c r="J154" s="207"/>
      <c r="K154" s="207"/>
      <c r="L154" s="207"/>
      <c r="M154" s="207"/>
      <c r="N154" s="207"/>
      <c r="O154" s="207"/>
      <c r="P154" s="207"/>
      <c r="Q154" s="207"/>
      <c r="R154" s="207"/>
      <c r="S154" s="207"/>
      <c r="T154" s="207"/>
      <c r="U154" s="207"/>
      <c r="V154" s="207"/>
      <c r="W154" s="207"/>
      <c r="X154" s="207"/>
      <c r="Y154" s="207"/>
      <c r="Z154" s="207"/>
      <c r="AA154" s="207"/>
      <c r="AB154" s="207"/>
      <c r="AC154" s="5"/>
      <c r="AD154" s="63"/>
      <c r="AE154" s="64"/>
      <c r="AF154" s="64"/>
      <c r="AG154" s="212"/>
      <c r="AH154" s="64"/>
      <c r="AI154" s="64"/>
      <c r="AJ154" s="64"/>
      <c r="AK154" s="212"/>
      <c r="AL154" s="64"/>
      <c r="AM154" s="212"/>
      <c r="AN154" s="64"/>
      <c r="AO154" s="64"/>
      <c r="AP154" s="63"/>
      <c r="AQ154" s="64"/>
      <c r="AR154" s="63"/>
      <c r="AS154" s="64"/>
      <c r="AT154" s="63"/>
      <c r="AU154" s="64"/>
      <c r="AV154" s="63"/>
      <c r="AW154" s="64"/>
      <c r="AX154" s="63"/>
      <c r="AY154" s="5"/>
      <c r="AZ154" s="21" t="str">
        <f t="shared" si="26"/>
        <v/>
      </c>
      <c r="BA154" s="264" t="s">
        <v>394</v>
      </c>
      <c r="BB154" s="264"/>
      <c r="BC154" s="264"/>
      <c r="BD154" s="264" t="s">
        <v>354</v>
      </c>
      <c r="BE154" s="216" t="s">
        <v>29</v>
      </c>
      <c r="BF154" s="56"/>
      <c r="BG154" s="56"/>
      <c r="BH154" s="56"/>
      <c r="BI154" s="56"/>
      <c r="BJ154" s="56"/>
      <c r="BK154" s="56"/>
      <c r="BL154" s="56"/>
      <c r="BM154" s="56"/>
      <c r="BN154" s="56"/>
      <c r="BO154" s="56"/>
      <c r="BP154" s="56"/>
      <c r="BQ154" s="5"/>
      <c r="BR154" s="25"/>
      <c r="BS154" s="5"/>
    </row>
    <row r="155" spans="1:71" s="3" customFormat="1" x14ac:dyDescent="0.25">
      <c r="A155" s="5"/>
      <c r="B155" s="3" t="str">
        <f t="array" ref="B155">IFERROR(INDEX(DemandSupply,MATCH(INDEX($AH$1:AH155,SMALL(ROW($AH$1:AH155)+(10000*($AH$1:AH155="")),COUNTA($AH$1:AH155))),Sectors,0)),"")</f>
        <v>Demand</v>
      </c>
      <c r="E155" s="10">
        <f t="shared" si="24"/>
        <v>0</v>
      </c>
      <c r="F155" s="207">
        <v>1</v>
      </c>
      <c r="G155" s="207">
        <v>1</v>
      </c>
      <c r="H155" s="207">
        <v>1</v>
      </c>
      <c r="I155" s="207">
        <v>1</v>
      </c>
      <c r="J155" s="207">
        <v>1</v>
      </c>
      <c r="K155" s="207">
        <v>1</v>
      </c>
      <c r="L155" s="207">
        <v>1</v>
      </c>
      <c r="M155" s="207">
        <v>1</v>
      </c>
      <c r="N155" s="207">
        <v>1</v>
      </c>
      <c r="O155" s="207">
        <v>1</v>
      </c>
      <c r="P155" s="207">
        <v>1</v>
      </c>
      <c r="Q155" s="207">
        <v>1</v>
      </c>
      <c r="R155" s="207">
        <v>1</v>
      </c>
      <c r="S155" s="207">
        <v>1</v>
      </c>
      <c r="T155" s="207">
        <v>1</v>
      </c>
      <c r="U155" s="207">
        <v>1</v>
      </c>
      <c r="V155" s="207">
        <v>1</v>
      </c>
      <c r="W155" s="207">
        <v>1</v>
      </c>
      <c r="X155" s="207">
        <v>1</v>
      </c>
      <c r="Y155" s="207">
        <v>1</v>
      </c>
      <c r="Z155" s="207">
        <v>1</v>
      </c>
      <c r="AA155" s="207">
        <v>1</v>
      </c>
      <c r="AB155" s="207">
        <v>1</v>
      </c>
      <c r="AC155" s="5"/>
      <c r="AD155" s="63"/>
      <c r="AE155" s="64"/>
      <c r="AF155" s="64"/>
      <c r="AG155" s="212"/>
      <c r="AH155" s="64"/>
      <c r="AI155" s="64"/>
      <c r="AJ155" s="64"/>
      <c r="AK155" s="212"/>
      <c r="AL155" s="64"/>
      <c r="AM155" s="212"/>
      <c r="AN155" s="64"/>
      <c r="AO155" s="64"/>
      <c r="AP155" s="63"/>
      <c r="AQ155" s="64"/>
      <c r="AR155" s="63"/>
      <c r="AS155" s="64"/>
      <c r="AT155" s="63"/>
      <c r="AU155" s="64"/>
      <c r="AV155" s="63"/>
      <c r="AW155" s="64"/>
      <c r="AX155" s="63"/>
      <c r="AY155" s="5"/>
      <c r="AZ155" s="21" t="str">
        <f t="shared" si="26"/>
        <v/>
      </c>
      <c r="BA155" s="74" t="s">
        <v>338</v>
      </c>
      <c r="BB155" s="25"/>
      <c r="BC155" s="74" t="s">
        <v>129</v>
      </c>
      <c r="BD155" s="74" t="s">
        <v>45</v>
      </c>
      <c r="BE155" s="216" t="s">
        <v>29</v>
      </c>
      <c r="BF155" s="55">
        <v>0.51500000000000001</v>
      </c>
      <c r="BG155" s="55">
        <f t="shared" ref="BG155:BP155" si="38">BF155</f>
        <v>0.51500000000000001</v>
      </c>
      <c r="BH155" s="55">
        <f t="shared" si="38"/>
        <v>0.51500000000000001</v>
      </c>
      <c r="BI155" s="55">
        <f t="shared" si="38"/>
        <v>0.51500000000000001</v>
      </c>
      <c r="BJ155" s="55">
        <f t="shared" si="38"/>
        <v>0.51500000000000001</v>
      </c>
      <c r="BK155" s="55">
        <f t="shared" si="38"/>
        <v>0.51500000000000001</v>
      </c>
      <c r="BL155" s="55">
        <f t="shared" si="38"/>
        <v>0.51500000000000001</v>
      </c>
      <c r="BM155" s="55">
        <f t="shared" si="38"/>
        <v>0.51500000000000001</v>
      </c>
      <c r="BN155" s="55">
        <f t="shared" si="38"/>
        <v>0.51500000000000001</v>
      </c>
      <c r="BO155" s="55">
        <f t="shared" si="38"/>
        <v>0.51500000000000001</v>
      </c>
      <c r="BP155" s="55">
        <f t="shared" si="38"/>
        <v>0.51500000000000001</v>
      </c>
      <c r="BQ155" s="5"/>
      <c r="BR155" s="25"/>
      <c r="BS155" s="5"/>
    </row>
    <row r="156" spans="1:71" s="3" customFormat="1" x14ac:dyDescent="0.25">
      <c r="A156" s="5"/>
      <c r="B156" s="3" t="str">
        <f t="array" ref="B156">IFERROR(INDEX(DemandSupply,MATCH(INDEX($AH$1:AH156,SMALL(ROW($AH$1:AH156)+(10000*($AH$1:AH156="")),COUNTA($AH$1:AH156))),Sectors,0)),"")</f>
        <v>Demand</v>
      </c>
      <c r="E156" s="10">
        <f t="shared" si="24"/>
        <v>0</v>
      </c>
      <c r="F156" s="207">
        <v>1</v>
      </c>
      <c r="G156" s="207">
        <v>1</v>
      </c>
      <c r="H156" s="207">
        <v>1</v>
      </c>
      <c r="I156" s="207">
        <v>1</v>
      </c>
      <c r="J156" s="207">
        <v>1</v>
      </c>
      <c r="K156" s="207">
        <v>1</v>
      </c>
      <c r="L156" s="207">
        <v>1</v>
      </c>
      <c r="M156" s="207">
        <v>1</v>
      </c>
      <c r="N156" s="207">
        <v>1</v>
      </c>
      <c r="O156" s="207">
        <v>1</v>
      </c>
      <c r="P156" s="207">
        <v>1</v>
      </c>
      <c r="Q156" s="207">
        <v>1</v>
      </c>
      <c r="R156" s="207">
        <v>1</v>
      </c>
      <c r="S156" s="207">
        <v>1</v>
      </c>
      <c r="T156" s="207">
        <v>1</v>
      </c>
      <c r="U156" s="207">
        <v>1</v>
      </c>
      <c r="V156" s="207">
        <v>1</v>
      </c>
      <c r="W156" s="207">
        <v>1</v>
      </c>
      <c r="X156" s="207">
        <v>1</v>
      </c>
      <c r="Y156" s="207">
        <v>1</v>
      </c>
      <c r="Z156" s="207">
        <v>1</v>
      </c>
      <c r="AA156" s="207">
        <v>1</v>
      </c>
      <c r="AB156" s="207">
        <v>1</v>
      </c>
      <c r="AC156" s="5"/>
      <c r="AD156" s="63"/>
      <c r="AE156" s="64"/>
      <c r="AF156" s="64"/>
      <c r="AG156" s="212"/>
      <c r="AH156" s="64"/>
      <c r="AI156" s="64"/>
      <c r="AJ156" s="64"/>
      <c r="AK156" s="212"/>
      <c r="AL156" s="64"/>
      <c r="AM156" s="212"/>
      <c r="AN156" s="64"/>
      <c r="AO156" s="64"/>
      <c r="AP156" s="63"/>
      <c r="AQ156" s="64"/>
      <c r="AR156" s="63"/>
      <c r="AS156" s="64"/>
      <c r="AT156" s="63"/>
      <c r="AU156" s="64"/>
      <c r="AV156" s="63"/>
      <c r="AW156" s="64"/>
      <c r="AX156" s="63"/>
      <c r="AY156" s="5"/>
      <c r="AZ156" s="21" t="str">
        <f t="shared" si="26"/>
        <v/>
      </c>
      <c r="BA156" s="74" t="s">
        <v>338</v>
      </c>
      <c r="BB156" s="25"/>
      <c r="BC156" s="74" t="s">
        <v>130</v>
      </c>
      <c r="BD156" s="74" t="s">
        <v>45</v>
      </c>
      <c r="BE156" s="216" t="s">
        <v>29</v>
      </c>
      <c r="BF156" s="55">
        <v>5.6000000000000001E-2</v>
      </c>
      <c r="BG156" s="55">
        <f t="shared" ref="BG156:BP156" si="39">BF156</f>
        <v>5.6000000000000001E-2</v>
      </c>
      <c r="BH156" s="55">
        <f t="shared" si="39"/>
        <v>5.6000000000000001E-2</v>
      </c>
      <c r="BI156" s="55">
        <f t="shared" si="39"/>
        <v>5.6000000000000001E-2</v>
      </c>
      <c r="BJ156" s="55">
        <f t="shared" si="39"/>
        <v>5.6000000000000001E-2</v>
      </c>
      <c r="BK156" s="55">
        <f t="shared" si="39"/>
        <v>5.6000000000000001E-2</v>
      </c>
      <c r="BL156" s="55">
        <f t="shared" si="39"/>
        <v>5.6000000000000001E-2</v>
      </c>
      <c r="BM156" s="55">
        <f t="shared" si="39"/>
        <v>5.6000000000000001E-2</v>
      </c>
      <c r="BN156" s="55">
        <f t="shared" si="39"/>
        <v>5.6000000000000001E-2</v>
      </c>
      <c r="BO156" s="55">
        <f t="shared" si="39"/>
        <v>5.6000000000000001E-2</v>
      </c>
      <c r="BP156" s="55">
        <f t="shared" si="39"/>
        <v>5.6000000000000001E-2</v>
      </c>
      <c r="BQ156" s="5"/>
      <c r="BR156" s="25"/>
      <c r="BS156" s="5"/>
    </row>
    <row r="157" spans="1:71" s="3" customFormat="1" x14ac:dyDescent="0.25">
      <c r="A157" s="5"/>
      <c r="B157" s="3" t="str">
        <f t="array" ref="B157">IFERROR(INDEX(DemandSupply,MATCH(INDEX($AH$1:AH157,SMALL(ROW($AH$1:AH157)+(10000*($AH$1:AH157="")),COUNTA($AH$1:AH157))),Sectors,0)),"")</f>
        <v>Demand</v>
      </c>
      <c r="E157" s="10">
        <f t="shared" si="24"/>
        <v>0</v>
      </c>
      <c r="F157" s="207">
        <v>1</v>
      </c>
      <c r="G157" s="207">
        <v>1</v>
      </c>
      <c r="H157" s="207">
        <v>1</v>
      </c>
      <c r="I157" s="207">
        <v>1</v>
      </c>
      <c r="J157" s="207">
        <v>1</v>
      </c>
      <c r="K157" s="207">
        <v>1</v>
      </c>
      <c r="L157" s="207">
        <v>1</v>
      </c>
      <c r="M157" s="207">
        <v>1</v>
      </c>
      <c r="N157" s="207">
        <v>1</v>
      </c>
      <c r="O157" s="207">
        <v>1</v>
      </c>
      <c r="P157" s="207">
        <v>1</v>
      </c>
      <c r="Q157" s="207">
        <v>1</v>
      </c>
      <c r="R157" s="207">
        <v>1</v>
      </c>
      <c r="S157" s="207">
        <v>1</v>
      </c>
      <c r="T157" s="207">
        <v>1</v>
      </c>
      <c r="U157" s="207">
        <v>1</v>
      </c>
      <c r="V157" s="207">
        <v>1</v>
      </c>
      <c r="W157" s="207">
        <v>1</v>
      </c>
      <c r="X157" s="207">
        <v>1</v>
      </c>
      <c r="Y157" s="207">
        <v>1</v>
      </c>
      <c r="Z157" s="207">
        <v>1</v>
      </c>
      <c r="AA157" s="207">
        <v>1</v>
      </c>
      <c r="AB157" s="207">
        <v>1</v>
      </c>
      <c r="AC157" s="5"/>
      <c r="AD157" s="63"/>
      <c r="AE157" s="64"/>
      <c r="AF157" s="64"/>
      <c r="AG157" s="212"/>
      <c r="AH157" s="64"/>
      <c r="AI157" s="64"/>
      <c r="AJ157" s="64"/>
      <c r="AK157" s="212"/>
      <c r="AL157" s="64"/>
      <c r="AM157" s="212"/>
      <c r="AN157" s="64"/>
      <c r="AO157" s="64"/>
      <c r="AP157" s="63"/>
      <c r="AQ157" s="64"/>
      <c r="AR157" s="63"/>
      <c r="AS157" s="64"/>
      <c r="AT157" s="63"/>
      <c r="AU157" s="64"/>
      <c r="AV157" s="63"/>
      <c r="AW157" s="64"/>
      <c r="AX157" s="63"/>
      <c r="AY157" s="5"/>
      <c r="AZ157" s="21" t="str">
        <f t="shared" ref="AZ157:AZ220" si="40">IFERROR(INDEX($AD157:$AX157,MATCH(TRUE,INDEX(($AD157:$AX157&lt;&gt;0),0),0)),"")</f>
        <v/>
      </c>
      <c r="BA157" s="291" t="s">
        <v>51</v>
      </c>
      <c r="BB157" s="25"/>
      <c r="BC157" s="2"/>
      <c r="BD157" s="2"/>
      <c r="BE157" s="216" t="s">
        <v>30</v>
      </c>
      <c r="BF157" s="4"/>
      <c r="BG157" s="4"/>
      <c r="BH157" s="4"/>
      <c r="BI157" s="4"/>
      <c r="BJ157" s="4"/>
      <c r="BK157" s="4"/>
      <c r="BL157" s="4"/>
      <c r="BM157" s="4"/>
      <c r="BN157" s="4"/>
      <c r="BO157" s="4"/>
      <c r="BP157" s="4"/>
      <c r="BQ157" s="5"/>
      <c r="BR157" s="25"/>
      <c r="BS157" s="5"/>
    </row>
    <row r="158" spans="1:71" s="3" customFormat="1" x14ac:dyDescent="0.25">
      <c r="A158" s="5"/>
      <c r="B158" s="3" t="str">
        <f t="array" ref="B158">IFERROR(INDEX(DemandSupply,MATCH(INDEX($AH$1:AH158,SMALL(ROW($AH$1:AH158)+(10000*($AH$1:AH158="")),COUNTA($AH$1:AH158))),Sectors,0)),"")</f>
        <v>Demand</v>
      </c>
      <c r="E158" s="10"/>
      <c r="F158" s="207"/>
      <c r="G158" s="207"/>
      <c r="H158" s="207"/>
      <c r="I158" s="207"/>
      <c r="J158" s="207"/>
      <c r="K158" s="207"/>
      <c r="L158" s="207"/>
      <c r="M158" s="207"/>
      <c r="N158" s="207"/>
      <c r="O158" s="207"/>
      <c r="P158" s="207"/>
      <c r="Q158" s="207"/>
      <c r="R158" s="207"/>
      <c r="S158" s="207"/>
      <c r="T158" s="207"/>
      <c r="U158" s="207"/>
      <c r="V158" s="207"/>
      <c r="W158" s="207"/>
      <c r="X158" s="207"/>
      <c r="Y158" s="207"/>
      <c r="Z158" s="207"/>
      <c r="AA158" s="207"/>
      <c r="AB158" s="207"/>
      <c r="AC158" s="5"/>
      <c r="AD158" s="63"/>
      <c r="AE158" s="64"/>
      <c r="AF158" s="64"/>
      <c r="AG158" s="212"/>
      <c r="AH158" s="64"/>
      <c r="AI158" s="64"/>
      <c r="AJ158" s="64"/>
      <c r="AK158" s="212"/>
      <c r="AL158" s="64"/>
      <c r="AM158" s="212"/>
      <c r="AN158" s="64"/>
      <c r="AO158" s="64"/>
      <c r="AP158" s="63"/>
      <c r="AQ158" s="64"/>
      <c r="AR158" s="63"/>
      <c r="AS158" s="64"/>
      <c r="AT158" s="63"/>
      <c r="AU158" s="64"/>
      <c r="AV158" s="63"/>
      <c r="AW158" s="64"/>
      <c r="AX158" s="63"/>
      <c r="AY158" s="5"/>
      <c r="AZ158" s="21" t="str">
        <f t="shared" si="40"/>
        <v/>
      </c>
      <c r="BA158" s="264" t="s">
        <v>38</v>
      </c>
      <c r="BB158" s="264"/>
      <c r="BC158" s="264"/>
      <c r="BD158" s="74" t="s">
        <v>40</v>
      </c>
      <c r="BE158" s="216" t="s">
        <v>30</v>
      </c>
      <c r="BF158" s="309">
        <v>2000</v>
      </c>
      <c r="BG158" s="310">
        <f t="shared" ref="BG158:BP158" si="41">BF158</f>
        <v>2000</v>
      </c>
      <c r="BH158" s="310">
        <f t="shared" si="41"/>
        <v>2000</v>
      </c>
      <c r="BI158" s="310">
        <f t="shared" si="41"/>
        <v>2000</v>
      </c>
      <c r="BJ158" s="310">
        <f t="shared" si="41"/>
        <v>2000</v>
      </c>
      <c r="BK158" s="310">
        <f t="shared" si="41"/>
        <v>2000</v>
      </c>
      <c r="BL158" s="310">
        <f t="shared" si="41"/>
        <v>2000</v>
      </c>
      <c r="BM158" s="310">
        <f t="shared" si="41"/>
        <v>2000</v>
      </c>
      <c r="BN158" s="310">
        <f t="shared" si="41"/>
        <v>2000</v>
      </c>
      <c r="BO158" s="310">
        <f t="shared" si="41"/>
        <v>2000</v>
      </c>
      <c r="BP158" s="310">
        <f t="shared" si="41"/>
        <v>2000</v>
      </c>
      <c r="BQ158" s="5"/>
      <c r="BR158" s="25"/>
      <c r="BS158" s="5"/>
    </row>
    <row r="159" spans="1:71" s="3" customFormat="1" x14ac:dyDescent="0.25">
      <c r="A159" s="5"/>
      <c r="B159" s="3" t="str">
        <f t="array" ref="B159">IFERROR(INDEX(DemandSupply,MATCH(INDEX($AH$1:AH159,SMALL(ROW($AH$1:AH159)+(10000*($AH$1:AH159="")),COUNTA($AH$1:AH159))),Sectors,0)),"")</f>
        <v>Demand</v>
      </c>
      <c r="E159" s="10"/>
      <c r="F159" s="207"/>
      <c r="G159" s="207"/>
      <c r="H159" s="207"/>
      <c r="I159" s="207"/>
      <c r="J159" s="207"/>
      <c r="K159" s="207"/>
      <c r="L159" s="207"/>
      <c r="M159" s="207"/>
      <c r="N159" s="207"/>
      <c r="O159" s="207"/>
      <c r="P159" s="207"/>
      <c r="Q159" s="207"/>
      <c r="R159" s="207"/>
      <c r="S159" s="207"/>
      <c r="T159" s="207"/>
      <c r="U159" s="207"/>
      <c r="V159" s="207"/>
      <c r="W159" s="207"/>
      <c r="X159" s="207"/>
      <c r="Y159" s="207"/>
      <c r="Z159" s="207"/>
      <c r="AA159" s="207"/>
      <c r="AB159" s="207"/>
      <c r="AC159" s="5"/>
      <c r="AD159" s="63"/>
      <c r="AE159" s="64"/>
      <c r="AF159" s="64"/>
      <c r="AG159" s="212"/>
      <c r="AH159" s="64"/>
      <c r="AI159" s="64"/>
      <c r="AJ159" s="64"/>
      <c r="AK159" s="212"/>
      <c r="AL159" s="64"/>
      <c r="AM159" s="212"/>
      <c r="AN159" s="64"/>
      <c r="AO159" s="64"/>
      <c r="AP159" s="63"/>
      <c r="AQ159" s="64"/>
      <c r="AR159" s="63"/>
      <c r="AS159" s="64"/>
      <c r="AT159" s="63"/>
      <c r="AU159" s="64"/>
      <c r="AV159" s="63"/>
      <c r="AW159" s="64"/>
      <c r="AX159" s="63"/>
      <c r="AY159" s="5"/>
      <c r="AZ159" s="21" t="str">
        <f t="shared" si="40"/>
        <v/>
      </c>
      <c r="BA159" s="264" t="s">
        <v>37</v>
      </c>
      <c r="BB159" s="264"/>
      <c r="BC159" s="264"/>
      <c r="BD159" s="74" t="s">
        <v>40</v>
      </c>
      <c r="BE159" s="216" t="s">
        <v>30</v>
      </c>
      <c r="BF159" s="309">
        <v>2100</v>
      </c>
      <c r="BG159" s="310">
        <f t="shared" ref="BG159:BP159" si="42">BF159</f>
        <v>2100</v>
      </c>
      <c r="BH159" s="310">
        <f t="shared" si="42"/>
        <v>2100</v>
      </c>
      <c r="BI159" s="310">
        <f t="shared" si="42"/>
        <v>2100</v>
      </c>
      <c r="BJ159" s="310">
        <f t="shared" si="42"/>
        <v>2100</v>
      </c>
      <c r="BK159" s="310">
        <f t="shared" si="42"/>
        <v>2100</v>
      </c>
      <c r="BL159" s="310">
        <f t="shared" si="42"/>
        <v>2100</v>
      </c>
      <c r="BM159" s="310">
        <f t="shared" si="42"/>
        <v>2100</v>
      </c>
      <c r="BN159" s="310">
        <f t="shared" si="42"/>
        <v>2100</v>
      </c>
      <c r="BO159" s="310">
        <f t="shared" si="42"/>
        <v>2100</v>
      </c>
      <c r="BP159" s="310">
        <f t="shared" si="42"/>
        <v>2100</v>
      </c>
      <c r="BQ159" s="5"/>
      <c r="BR159" s="25"/>
      <c r="BS159" s="5"/>
    </row>
    <row r="160" spans="1:71" s="3" customFormat="1" x14ac:dyDescent="0.25">
      <c r="A160" s="5"/>
      <c r="B160" s="3" t="str">
        <f t="array" ref="B160">IFERROR(INDEX(DemandSupply,MATCH(INDEX($AH$1:AH160,SMALL(ROW($AH$1:AH160)+(10000*($AH$1:AH160="")),COUNTA($AH$1:AH160))),Sectors,0)),"")</f>
        <v>Demand</v>
      </c>
      <c r="E160" s="10"/>
      <c r="F160" s="207"/>
      <c r="G160" s="207"/>
      <c r="H160" s="207"/>
      <c r="I160" s="207"/>
      <c r="J160" s="207"/>
      <c r="K160" s="207"/>
      <c r="L160" s="207"/>
      <c r="M160" s="207"/>
      <c r="N160" s="207"/>
      <c r="O160" s="207"/>
      <c r="P160" s="207"/>
      <c r="Q160" s="207"/>
      <c r="R160" s="207"/>
      <c r="S160" s="207"/>
      <c r="T160" s="207"/>
      <c r="U160" s="207"/>
      <c r="V160" s="207"/>
      <c r="W160" s="207"/>
      <c r="X160" s="207"/>
      <c r="Y160" s="207"/>
      <c r="Z160" s="207"/>
      <c r="AA160" s="207"/>
      <c r="AB160" s="207"/>
      <c r="AC160" s="5"/>
      <c r="AD160" s="63"/>
      <c r="AE160" s="64"/>
      <c r="AF160" s="64"/>
      <c r="AG160" s="212"/>
      <c r="AH160" s="64"/>
      <c r="AI160" s="64"/>
      <c r="AJ160" s="64"/>
      <c r="AK160" s="212"/>
      <c r="AL160" s="64"/>
      <c r="AM160" s="212"/>
      <c r="AN160" s="64"/>
      <c r="AO160" s="64"/>
      <c r="AP160" s="63"/>
      <c r="AQ160" s="64"/>
      <c r="AR160" s="63"/>
      <c r="AS160" s="64"/>
      <c r="AT160" s="63"/>
      <c r="AU160" s="64"/>
      <c r="AV160" s="63"/>
      <c r="AW160" s="64"/>
      <c r="AX160" s="63"/>
      <c r="AY160" s="5"/>
      <c r="AZ160" s="21" t="str">
        <f t="shared" si="40"/>
        <v/>
      </c>
      <c r="BA160" s="264" t="s">
        <v>39</v>
      </c>
      <c r="BB160" s="264"/>
      <c r="BC160" s="264"/>
      <c r="BD160" s="74" t="s">
        <v>10</v>
      </c>
      <c r="BE160" s="216" t="s">
        <v>30</v>
      </c>
      <c r="BF160" s="56">
        <v>25</v>
      </c>
      <c r="BG160" s="245">
        <f t="shared" ref="BG160:BP160" si="43">BF160</f>
        <v>25</v>
      </c>
      <c r="BH160" s="245">
        <f t="shared" si="43"/>
        <v>25</v>
      </c>
      <c r="BI160" s="245">
        <f t="shared" si="43"/>
        <v>25</v>
      </c>
      <c r="BJ160" s="245">
        <f t="shared" si="43"/>
        <v>25</v>
      </c>
      <c r="BK160" s="245">
        <f t="shared" si="43"/>
        <v>25</v>
      </c>
      <c r="BL160" s="245">
        <f t="shared" si="43"/>
        <v>25</v>
      </c>
      <c r="BM160" s="245">
        <f t="shared" si="43"/>
        <v>25</v>
      </c>
      <c r="BN160" s="245">
        <f t="shared" si="43"/>
        <v>25</v>
      </c>
      <c r="BO160" s="245">
        <f t="shared" si="43"/>
        <v>25</v>
      </c>
      <c r="BP160" s="245">
        <f t="shared" si="43"/>
        <v>25</v>
      </c>
      <c r="BQ160" s="5"/>
      <c r="BR160" s="25"/>
      <c r="BS160" s="5"/>
    </row>
    <row r="161" spans="1:71" s="3" customFormat="1" x14ac:dyDescent="0.25">
      <c r="A161" s="5"/>
      <c r="B161" s="3" t="str">
        <f t="array" ref="B161">IFERROR(INDEX(DemandSupply,MATCH(INDEX($AH$1:AH161,SMALL(ROW($AH$1:AH161)+(10000*($AH$1:AH161="")),COUNTA($AH$1:AH161))),Sectors,0)),"")</f>
        <v>Demand</v>
      </c>
      <c r="E161" s="10"/>
      <c r="F161" s="207"/>
      <c r="G161" s="207"/>
      <c r="H161" s="207"/>
      <c r="I161" s="207"/>
      <c r="J161" s="207"/>
      <c r="K161" s="207"/>
      <c r="L161" s="207"/>
      <c r="M161" s="207"/>
      <c r="N161" s="207"/>
      <c r="O161" s="207"/>
      <c r="P161" s="207"/>
      <c r="Q161" s="207"/>
      <c r="R161" s="207"/>
      <c r="S161" s="207"/>
      <c r="T161" s="207"/>
      <c r="U161" s="207"/>
      <c r="V161" s="207"/>
      <c r="W161" s="207"/>
      <c r="X161" s="207"/>
      <c r="Y161" s="207"/>
      <c r="Z161" s="207"/>
      <c r="AA161" s="207"/>
      <c r="AB161" s="207"/>
      <c r="AC161" s="5"/>
      <c r="AD161" s="63"/>
      <c r="AE161" s="64"/>
      <c r="AF161" s="64"/>
      <c r="AG161" s="212"/>
      <c r="AH161" s="64"/>
      <c r="AI161" s="64"/>
      <c r="AJ161" s="64"/>
      <c r="AK161" s="212"/>
      <c r="AL161" s="64"/>
      <c r="AM161" s="212"/>
      <c r="AN161" s="64"/>
      <c r="AO161" s="64"/>
      <c r="AP161" s="63"/>
      <c r="AQ161" s="64"/>
      <c r="AR161" s="63"/>
      <c r="AS161" s="64"/>
      <c r="AT161" s="63"/>
      <c r="AU161" s="64"/>
      <c r="AV161" s="63"/>
      <c r="AW161" s="64"/>
      <c r="AX161" s="63"/>
      <c r="AY161" s="5"/>
      <c r="AZ161" s="21" t="str">
        <f t="shared" si="40"/>
        <v/>
      </c>
      <c r="BA161" s="264" t="s">
        <v>395</v>
      </c>
      <c r="BB161" s="264"/>
      <c r="BC161" s="264"/>
      <c r="BD161" s="264" t="s">
        <v>10</v>
      </c>
      <c r="BE161" s="216" t="s">
        <v>30</v>
      </c>
      <c r="BF161" s="56"/>
      <c r="BG161" s="56"/>
      <c r="BH161" s="56"/>
      <c r="BI161" s="56"/>
      <c r="BJ161" s="56"/>
      <c r="BK161" s="56"/>
      <c r="BL161" s="56"/>
      <c r="BM161" s="56"/>
      <c r="BN161" s="56"/>
      <c r="BO161" s="56"/>
      <c r="BP161" s="56"/>
      <c r="BQ161" s="5"/>
      <c r="BR161" s="25"/>
      <c r="BS161" s="5"/>
    </row>
    <row r="162" spans="1:71" s="3" customFormat="1" x14ac:dyDescent="0.25">
      <c r="A162" s="5"/>
      <c r="B162" s="3" t="str">
        <f t="array" ref="B162">IFERROR(INDEX(DemandSupply,MATCH(INDEX($AH$1:AH162,SMALL(ROW($AH$1:AH162)+(10000*($AH$1:AH162="")),COUNTA($AH$1:AH162))),Sectors,0)),"")</f>
        <v>Demand</v>
      </c>
      <c r="E162" s="10"/>
      <c r="F162" s="207"/>
      <c r="G162" s="207"/>
      <c r="H162" s="207"/>
      <c r="I162" s="207"/>
      <c r="J162" s="207"/>
      <c r="K162" s="207"/>
      <c r="L162" s="207"/>
      <c r="M162" s="207"/>
      <c r="N162" s="207"/>
      <c r="O162" s="207"/>
      <c r="P162" s="207"/>
      <c r="Q162" s="207"/>
      <c r="R162" s="207"/>
      <c r="S162" s="207"/>
      <c r="T162" s="207"/>
      <c r="U162" s="207"/>
      <c r="V162" s="207"/>
      <c r="W162" s="207"/>
      <c r="X162" s="207"/>
      <c r="Y162" s="207"/>
      <c r="Z162" s="207"/>
      <c r="AA162" s="207"/>
      <c r="AB162" s="207"/>
      <c r="AC162" s="5"/>
      <c r="AD162" s="63"/>
      <c r="AE162" s="64"/>
      <c r="AF162" s="64"/>
      <c r="AG162" s="212"/>
      <c r="AH162" s="64"/>
      <c r="AI162" s="64"/>
      <c r="AJ162" s="64"/>
      <c r="AK162" s="212"/>
      <c r="AL162" s="64"/>
      <c r="AM162" s="212"/>
      <c r="AN162" s="64"/>
      <c r="AO162" s="64"/>
      <c r="AP162" s="63"/>
      <c r="AQ162" s="64"/>
      <c r="AR162" s="63"/>
      <c r="AS162" s="64"/>
      <c r="AT162" s="63"/>
      <c r="AU162" s="64"/>
      <c r="AV162" s="63"/>
      <c r="AW162" s="64"/>
      <c r="AX162" s="63"/>
      <c r="AY162" s="5"/>
      <c r="AZ162" s="21" t="str">
        <f t="shared" si="40"/>
        <v/>
      </c>
      <c r="BA162" s="264" t="s">
        <v>341</v>
      </c>
      <c r="BB162" s="264"/>
      <c r="BC162" s="264"/>
      <c r="BD162" s="74" t="s">
        <v>99</v>
      </c>
      <c r="BE162" s="216" t="s">
        <v>30</v>
      </c>
      <c r="BF162" s="303">
        <v>0.25</v>
      </c>
      <c r="BG162" s="304">
        <f t="shared" ref="BG162:BP162" si="44">BF162</f>
        <v>0.25</v>
      </c>
      <c r="BH162" s="304">
        <f t="shared" si="44"/>
        <v>0.25</v>
      </c>
      <c r="BI162" s="304">
        <f t="shared" si="44"/>
        <v>0.25</v>
      </c>
      <c r="BJ162" s="304">
        <f t="shared" si="44"/>
        <v>0.25</v>
      </c>
      <c r="BK162" s="304">
        <f t="shared" si="44"/>
        <v>0.25</v>
      </c>
      <c r="BL162" s="304">
        <f t="shared" si="44"/>
        <v>0.25</v>
      </c>
      <c r="BM162" s="304">
        <f t="shared" si="44"/>
        <v>0.25</v>
      </c>
      <c r="BN162" s="304">
        <f t="shared" si="44"/>
        <v>0.25</v>
      </c>
      <c r="BO162" s="304">
        <f t="shared" si="44"/>
        <v>0.25</v>
      </c>
      <c r="BP162" s="304">
        <f t="shared" si="44"/>
        <v>0.25</v>
      </c>
      <c r="BQ162" s="5"/>
      <c r="BR162" s="25"/>
      <c r="BS162" s="5"/>
    </row>
    <row r="163" spans="1:71" s="3" customFormat="1" x14ac:dyDescent="0.25">
      <c r="A163" s="5"/>
      <c r="B163" s="3" t="str">
        <f t="array" ref="B163">IFERROR(INDEX(DemandSupply,MATCH(INDEX($AH$1:AH163,SMALL(ROW($AH$1:AH163)+(10000*($AH$1:AH163="")),COUNTA($AH$1:AH163))),Sectors,0)),"")</f>
        <v>Demand</v>
      </c>
      <c r="E163" s="10"/>
      <c r="F163" s="207"/>
      <c r="G163" s="207"/>
      <c r="H163" s="207"/>
      <c r="I163" s="207"/>
      <c r="J163" s="207"/>
      <c r="K163" s="207"/>
      <c r="L163" s="207"/>
      <c r="M163" s="207"/>
      <c r="N163" s="207"/>
      <c r="O163" s="207"/>
      <c r="P163" s="207"/>
      <c r="Q163" s="207"/>
      <c r="R163" s="207"/>
      <c r="S163" s="207"/>
      <c r="T163" s="207"/>
      <c r="U163" s="207"/>
      <c r="V163" s="207"/>
      <c r="W163" s="207"/>
      <c r="X163" s="207"/>
      <c r="Y163" s="207"/>
      <c r="Z163" s="207"/>
      <c r="AA163" s="207"/>
      <c r="AB163" s="207"/>
      <c r="AC163" s="5"/>
      <c r="AD163" s="63"/>
      <c r="AE163" s="64"/>
      <c r="AF163" s="64"/>
      <c r="AG163" s="212"/>
      <c r="AH163" s="64"/>
      <c r="AI163" s="64"/>
      <c r="AJ163" s="64"/>
      <c r="AK163" s="212"/>
      <c r="AL163" s="64"/>
      <c r="AM163" s="212"/>
      <c r="AN163" s="64"/>
      <c r="AO163" s="64"/>
      <c r="AP163" s="63"/>
      <c r="AQ163" s="64"/>
      <c r="AR163" s="63"/>
      <c r="AS163" s="64"/>
      <c r="AT163" s="63"/>
      <c r="AU163" s="64"/>
      <c r="AV163" s="63"/>
      <c r="AW163" s="64"/>
      <c r="AX163" s="63"/>
      <c r="AY163" s="5"/>
      <c r="AZ163" s="21" t="str">
        <f t="shared" si="40"/>
        <v/>
      </c>
      <c r="BA163" s="264" t="s">
        <v>392</v>
      </c>
      <c r="BB163" s="264"/>
      <c r="BC163" s="264"/>
      <c r="BD163" s="264" t="s">
        <v>99</v>
      </c>
      <c r="BE163" s="216" t="s">
        <v>30</v>
      </c>
      <c r="BF163" s="303"/>
      <c r="BG163" s="303"/>
      <c r="BH163" s="303"/>
      <c r="BI163" s="303"/>
      <c r="BJ163" s="303"/>
      <c r="BK163" s="303"/>
      <c r="BL163" s="303"/>
      <c r="BM163" s="303"/>
      <c r="BN163" s="303"/>
      <c r="BO163" s="303"/>
      <c r="BP163" s="303"/>
      <c r="BQ163" s="5"/>
      <c r="BR163" s="25"/>
      <c r="BS163" s="5"/>
    </row>
    <row r="164" spans="1:71" s="3" customFormat="1" x14ac:dyDescent="0.25">
      <c r="A164" s="5"/>
      <c r="B164" s="3" t="str">
        <f t="array" ref="B164">IFERROR(INDEX(DemandSupply,MATCH(INDEX($AH$1:AH164,SMALL(ROW($AH$1:AH164)+(10000*($AH$1:AH164="")),COUNTA($AH$1:AH164))),Sectors,0)),"")</f>
        <v>Demand</v>
      </c>
      <c r="E164" s="10"/>
      <c r="F164" s="207"/>
      <c r="G164" s="207"/>
      <c r="H164" s="207"/>
      <c r="I164" s="207"/>
      <c r="J164" s="207"/>
      <c r="K164" s="207"/>
      <c r="L164" s="207"/>
      <c r="M164" s="207"/>
      <c r="N164" s="207"/>
      <c r="O164" s="207"/>
      <c r="P164" s="207"/>
      <c r="Q164" s="207"/>
      <c r="R164" s="207"/>
      <c r="S164" s="207"/>
      <c r="T164" s="207"/>
      <c r="U164" s="207"/>
      <c r="V164" s="207"/>
      <c r="W164" s="207"/>
      <c r="X164" s="207"/>
      <c r="Y164" s="207"/>
      <c r="Z164" s="207"/>
      <c r="AA164" s="207"/>
      <c r="AB164" s="207"/>
      <c r="AC164" s="5"/>
      <c r="AD164" s="63"/>
      <c r="AE164" s="64"/>
      <c r="AF164" s="64"/>
      <c r="AG164" s="212"/>
      <c r="AH164" s="64"/>
      <c r="AI164" s="64"/>
      <c r="AJ164" s="64"/>
      <c r="AK164" s="212"/>
      <c r="AL164" s="64"/>
      <c r="AM164" s="212"/>
      <c r="AN164" s="64"/>
      <c r="AO164" s="64"/>
      <c r="AP164" s="63"/>
      <c r="AQ164" s="64"/>
      <c r="AR164" s="63"/>
      <c r="AS164" s="64"/>
      <c r="AT164" s="63"/>
      <c r="AU164" s="64"/>
      <c r="AV164" s="63"/>
      <c r="AW164" s="64"/>
      <c r="AX164" s="63"/>
      <c r="AY164" s="5"/>
      <c r="AZ164" s="21" t="str">
        <f t="shared" si="40"/>
        <v/>
      </c>
      <c r="BA164" s="264" t="s">
        <v>391</v>
      </c>
      <c r="BB164" s="264"/>
      <c r="BC164" s="264"/>
      <c r="BD164" s="264" t="s">
        <v>99</v>
      </c>
      <c r="BE164" s="216" t="s">
        <v>30</v>
      </c>
      <c r="BF164" s="303"/>
      <c r="BG164" s="303"/>
      <c r="BH164" s="303"/>
      <c r="BI164" s="303"/>
      <c r="BJ164" s="303"/>
      <c r="BK164" s="303"/>
      <c r="BL164" s="303"/>
      <c r="BM164" s="303"/>
      <c r="BN164" s="303"/>
      <c r="BO164" s="303"/>
      <c r="BP164" s="303"/>
      <c r="BQ164" s="5"/>
      <c r="BR164" s="25"/>
      <c r="BS164" s="5"/>
    </row>
    <row r="165" spans="1:71" s="3" customFormat="1" x14ac:dyDescent="0.25">
      <c r="A165" s="5"/>
      <c r="B165" s="3" t="str">
        <f t="array" ref="B165">IFERROR(INDEX(DemandSupply,MATCH(INDEX($AH$1:AH165,SMALL(ROW($AH$1:AH165)+(10000*($AH$1:AH165="")),COUNTA($AH$1:AH165))),Sectors,0)),"")</f>
        <v>Demand</v>
      </c>
      <c r="E165" s="10"/>
      <c r="F165" s="207"/>
      <c r="G165" s="207"/>
      <c r="H165" s="207"/>
      <c r="I165" s="207"/>
      <c r="J165" s="207"/>
      <c r="K165" s="207"/>
      <c r="L165" s="207"/>
      <c r="M165" s="207"/>
      <c r="N165" s="207"/>
      <c r="O165" s="207"/>
      <c r="P165" s="207"/>
      <c r="Q165" s="207"/>
      <c r="R165" s="207"/>
      <c r="S165" s="207"/>
      <c r="T165" s="207"/>
      <c r="U165" s="207"/>
      <c r="V165" s="207"/>
      <c r="W165" s="207"/>
      <c r="X165" s="207"/>
      <c r="Y165" s="207"/>
      <c r="Z165" s="207"/>
      <c r="AA165" s="207"/>
      <c r="AB165" s="207"/>
      <c r="AC165" s="5"/>
      <c r="AD165" s="63"/>
      <c r="AE165" s="64"/>
      <c r="AF165" s="64"/>
      <c r="AG165" s="212"/>
      <c r="AH165" s="64"/>
      <c r="AI165" s="64"/>
      <c r="AJ165" s="64"/>
      <c r="AK165" s="212"/>
      <c r="AL165" s="64"/>
      <c r="AM165" s="212"/>
      <c r="AN165" s="64"/>
      <c r="AO165" s="64"/>
      <c r="AP165" s="63"/>
      <c r="AQ165" s="64"/>
      <c r="AR165" s="63"/>
      <c r="AS165" s="64"/>
      <c r="AT165" s="63"/>
      <c r="AU165" s="64"/>
      <c r="AV165" s="63"/>
      <c r="AW165" s="64"/>
      <c r="AX165" s="63"/>
      <c r="AY165" s="5"/>
      <c r="AZ165" s="21" t="str">
        <f t="shared" si="40"/>
        <v/>
      </c>
      <c r="BA165" s="264" t="s">
        <v>144</v>
      </c>
      <c r="BB165" s="264"/>
      <c r="BC165" s="264"/>
      <c r="BD165" s="74" t="s">
        <v>36</v>
      </c>
      <c r="BE165" s="216" t="s">
        <v>30</v>
      </c>
      <c r="BF165" s="56"/>
      <c r="BG165" s="56"/>
      <c r="BH165" s="56"/>
      <c r="BI165" s="56"/>
      <c r="BJ165" s="56"/>
      <c r="BK165" s="56"/>
      <c r="BL165" s="56"/>
      <c r="BM165" s="56"/>
      <c r="BN165" s="56"/>
      <c r="BO165" s="56"/>
      <c r="BP165" s="56"/>
      <c r="BQ165" s="5"/>
      <c r="BR165" s="25"/>
      <c r="BS165" s="5"/>
    </row>
    <row r="166" spans="1:71" s="3" customFormat="1" x14ac:dyDescent="0.25">
      <c r="A166" s="5"/>
      <c r="B166" s="3" t="str">
        <f t="array" ref="B166">IFERROR(INDEX(DemandSupply,MATCH(INDEX($AH$1:AH166,SMALL(ROW($AH$1:AH166)+(10000*($AH$1:AH166="")),COUNTA($AH$1:AH166))),Sectors,0)),"")</f>
        <v>Demand</v>
      </c>
      <c r="E166" s="10"/>
      <c r="F166" s="207"/>
      <c r="G166" s="207"/>
      <c r="H166" s="207"/>
      <c r="I166" s="207"/>
      <c r="J166" s="207"/>
      <c r="K166" s="207"/>
      <c r="L166" s="207"/>
      <c r="M166" s="207"/>
      <c r="N166" s="207"/>
      <c r="O166" s="207"/>
      <c r="P166" s="207"/>
      <c r="Q166" s="207"/>
      <c r="R166" s="207"/>
      <c r="S166" s="207"/>
      <c r="T166" s="207"/>
      <c r="U166" s="207"/>
      <c r="V166" s="207"/>
      <c r="W166" s="207"/>
      <c r="X166" s="207"/>
      <c r="Y166" s="207"/>
      <c r="Z166" s="207"/>
      <c r="AA166" s="207"/>
      <c r="AB166" s="207"/>
      <c r="AC166" s="5"/>
      <c r="AD166" s="63"/>
      <c r="AE166" s="64"/>
      <c r="AF166" s="64"/>
      <c r="AG166" s="212"/>
      <c r="AH166" s="64"/>
      <c r="AI166" s="64"/>
      <c r="AJ166" s="64"/>
      <c r="AK166" s="212"/>
      <c r="AL166" s="64"/>
      <c r="AM166" s="212"/>
      <c r="AN166" s="64"/>
      <c r="AO166" s="64"/>
      <c r="AP166" s="63"/>
      <c r="AQ166" s="64"/>
      <c r="AR166" s="63"/>
      <c r="AS166" s="64"/>
      <c r="AT166" s="63"/>
      <c r="AU166" s="64"/>
      <c r="AV166" s="63"/>
      <c r="AW166" s="64"/>
      <c r="AX166" s="63"/>
      <c r="AY166" s="5"/>
      <c r="AZ166" s="21" t="str">
        <f t="shared" si="40"/>
        <v/>
      </c>
      <c r="BA166" s="264" t="s">
        <v>76</v>
      </c>
      <c r="BB166" s="264"/>
      <c r="BC166" s="264"/>
      <c r="BD166" s="74" t="s">
        <v>99</v>
      </c>
      <c r="BE166" s="216" t="s">
        <v>30</v>
      </c>
      <c r="BF166" s="303">
        <v>0</v>
      </c>
      <c r="BG166" s="303"/>
      <c r="BH166" s="303"/>
      <c r="BI166" s="303"/>
      <c r="BJ166" s="303"/>
      <c r="BK166" s="303"/>
      <c r="BL166" s="303"/>
      <c r="BM166" s="303"/>
      <c r="BN166" s="303"/>
      <c r="BO166" s="303"/>
      <c r="BP166" s="303"/>
      <c r="BQ166" s="5"/>
      <c r="BR166" s="25"/>
      <c r="BS166" s="5"/>
    </row>
    <row r="167" spans="1:71" s="3" customFormat="1" x14ac:dyDescent="0.25">
      <c r="A167" s="5"/>
      <c r="B167" s="3" t="str">
        <f t="array" ref="B167">IFERROR(INDEX(DemandSupply,MATCH(INDEX($AH$1:AH167,SMALL(ROW($AH$1:AH167)+(10000*($AH$1:AH167="")),COUNTA($AH$1:AH167))),Sectors,0)),"")</f>
        <v>Demand</v>
      </c>
      <c r="E167" s="10"/>
      <c r="F167" s="207"/>
      <c r="G167" s="207"/>
      <c r="H167" s="207"/>
      <c r="I167" s="207"/>
      <c r="J167" s="207"/>
      <c r="K167" s="207"/>
      <c r="L167" s="207"/>
      <c r="M167" s="207"/>
      <c r="N167" s="207"/>
      <c r="O167" s="207"/>
      <c r="P167" s="207"/>
      <c r="Q167" s="207"/>
      <c r="R167" s="207"/>
      <c r="S167" s="207"/>
      <c r="T167" s="207"/>
      <c r="U167" s="207"/>
      <c r="V167" s="207"/>
      <c r="W167" s="207"/>
      <c r="X167" s="207"/>
      <c r="Y167" s="207"/>
      <c r="Z167" s="207"/>
      <c r="AA167" s="207"/>
      <c r="AB167" s="207"/>
      <c r="AC167" s="5"/>
      <c r="AD167" s="63"/>
      <c r="AE167" s="64"/>
      <c r="AF167" s="64"/>
      <c r="AG167" s="212"/>
      <c r="AH167" s="64"/>
      <c r="AI167" s="64"/>
      <c r="AJ167" s="64"/>
      <c r="AK167" s="212"/>
      <c r="AL167" s="64"/>
      <c r="AM167" s="212"/>
      <c r="AN167" s="64"/>
      <c r="AO167" s="64"/>
      <c r="AP167" s="63"/>
      <c r="AQ167" s="64"/>
      <c r="AR167" s="63"/>
      <c r="AS167" s="64"/>
      <c r="AT167" s="63"/>
      <c r="AU167" s="64"/>
      <c r="AV167" s="63"/>
      <c r="AW167" s="64"/>
      <c r="AX167" s="63"/>
      <c r="AY167" s="5"/>
      <c r="AZ167" s="21" t="str">
        <f t="shared" si="40"/>
        <v/>
      </c>
      <c r="BA167" s="75" t="s">
        <v>166</v>
      </c>
      <c r="BB167" s="75"/>
      <c r="BC167" s="270"/>
      <c r="BD167" s="75" t="s">
        <v>99</v>
      </c>
      <c r="BE167" s="216" t="s">
        <v>30</v>
      </c>
      <c r="BF167" s="303"/>
      <c r="BG167" s="303"/>
      <c r="BH167" s="303"/>
      <c r="BI167" s="303"/>
      <c r="BJ167" s="303"/>
      <c r="BK167" s="303"/>
      <c r="BL167" s="303"/>
      <c r="BM167" s="303"/>
      <c r="BN167" s="303"/>
      <c r="BO167" s="303"/>
      <c r="BP167" s="303"/>
      <c r="BQ167" s="5"/>
      <c r="BR167" s="25"/>
      <c r="BS167" s="5"/>
    </row>
    <row r="168" spans="1:71" s="3" customFormat="1" x14ac:dyDescent="0.25">
      <c r="A168" s="5"/>
      <c r="B168" s="3" t="str">
        <f t="array" ref="B168">IFERROR(INDEX(DemandSupply,MATCH(INDEX($AH$1:AH168,SMALL(ROW($AH$1:AH168)+(10000*($AH$1:AH168="")),COUNTA($AH$1:AH168))),Sectors,0)),"")</f>
        <v>Demand</v>
      </c>
      <c r="E168" s="10"/>
      <c r="F168" s="207"/>
      <c r="G168" s="207"/>
      <c r="H168" s="207"/>
      <c r="I168" s="207"/>
      <c r="J168" s="207"/>
      <c r="K168" s="207"/>
      <c r="L168" s="207"/>
      <c r="M168" s="207"/>
      <c r="N168" s="207"/>
      <c r="O168" s="207"/>
      <c r="P168" s="207"/>
      <c r="Q168" s="207"/>
      <c r="R168" s="207"/>
      <c r="S168" s="207"/>
      <c r="T168" s="207"/>
      <c r="U168" s="207"/>
      <c r="V168" s="207"/>
      <c r="W168" s="207"/>
      <c r="X168" s="207"/>
      <c r="Y168" s="207"/>
      <c r="Z168" s="207"/>
      <c r="AA168" s="207"/>
      <c r="AB168" s="207"/>
      <c r="AC168" s="5"/>
      <c r="AD168" s="63"/>
      <c r="AE168" s="64"/>
      <c r="AF168" s="64"/>
      <c r="AG168" s="212"/>
      <c r="AH168" s="64"/>
      <c r="AI168" s="64"/>
      <c r="AJ168" s="64"/>
      <c r="AK168" s="212"/>
      <c r="AL168" s="64"/>
      <c r="AM168" s="212"/>
      <c r="AN168" s="64"/>
      <c r="AO168" s="64"/>
      <c r="AP168" s="63"/>
      <c r="AQ168" s="64"/>
      <c r="AR168" s="63"/>
      <c r="AS168" s="64"/>
      <c r="AT168" s="63"/>
      <c r="AU168" s="64"/>
      <c r="AV168" s="63"/>
      <c r="AW168" s="64"/>
      <c r="AX168" s="63"/>
      <c r="AY168" s="5"/>
      <c r="AZ168" s="21" t="str">
        <f t="shared" si="40"/>
        <v/>
      </c>
      <c r="BA168" s="75" t="s">
        <v>167</v>
      </c>
      <c r="BB168" s="75"/>
      <c r="BC168" s="270"/>
      <c r="BD168" s="75" t="s">
        <v>99</v>
      </c>
      <c r="BE168" s="216" t="s">
        <v>30</v>
      </c>
      <c r="BF168" s="303"/>
      <c r="BG168" s="303"/>
      <c r="BH168" s="303"/>
      <c r="BI168" s="303"/>
      <c r="BJ168" s="303"/>
      <c r="BK168" s="303"/>
      <c r="BL168" s="303"/>
      <c r="BM168" s="303"/>
      <c r="BN168" s="303"/>
      <c r="BO168" s="303"/>
      <c r="BP168" s="303"/>
      <c r="BQ168" s="5"/>
      <c r="BR168" s="25"/>
      <c r="BS168" s="5"/>
    </row>
    <row r="169" spans="1:71" s="3" customFormat="1" x14ac:dyDescent="0.25">
      <c r="A169" s="5"/>
      <c r="B169" s="3" t="str">
        <f t="array" ref="B169">IFERROR(INDEX(DemandSupply,MATCH(INDEX($AH$1:AH169,SMALL(ROW($AH$1:AH169)+(10000*($AH$1:AH169="")),COUNTA($AH$1:AH169))),Sectors,0)),"")</f>
        <v>Demand</v>
      </c>
      <c r="E169" s="10"/>
      <c r="F169" s="207"/>
      <c r="G169" s="207"/>
      <c r="H169" s="207"/>
      <c r="I169" s="207"/>
      <c r="J169" s="207"/>
      <c r="K169" s="207"/>
      <c r="L169" s="207"/>
      <c r="M169" s="207"/>
      <c r="N169" s="207"/>
      <c r="O169" s="207"/>
      <c r="P169" s="207"/>
      <c r="Q169" s="207"/>
      <c r="R169" s="207"/>
      <c r="S169" s="207"/>
      <c r="T169" s="207"/>
      <c r="U169" s="207"/>
      <c r="V169" s="207"/>
      <c r="W169" s="207"/>
      <c r="X169" s="207"/>
      <c r="Y169" s="207"/>
      <c r="Z169" s="207"/>
      <c r="AA169" s="207"/>
      <c r="AB169" s="207"/>
      <c r="AC169" s="5"/>
      <c r="AD169" s="63"/>
      <c r="AE169" s="64"/>
      <c r="AF169" s="64"/>
      <c r="AG169" s="212"/>
      <c r="AH169" s="64"/>
      <c r="AI169" s="64"/>
      <c r="AJ169" s="64"/>
      <c r="AK169" s="212"/>
      <c r="AL169" s="64"/>
      <c r="AM169" s="212"/>
      <c r="AN169" s="64"/>
      <c r="AO169" s="64"/>
      <c r="AP169" s="63"/>
      <c r="AQ169" s="64"/>
      <c r="AR169" s="63"/>
      <c r="AS169" s="64"/>
      <c r="AT169" s="63"/>
      <c r="AU169" s="64"/>
      <c r="AV169" s="63"/>
      <c r="AW169" s="64"/>
      <c r="AX169" s="63"/>
      <c r="AY169" s="5"/>
      <c r="AZ169" s="21" t="str">
        <f t="shared" si="40"/>
        <v/>
      </c>
      <c r="BA169" s="75" t="s">
        <v>408</v>
      </c>
      <c r="BB169" s="75"/>
      <c r="BC169" s="270"/>
      <c r="BD169" s="75" t="s">
        <v>99</v>
      </c>
      <c r="BE169" s="216" t="s">
        <v>30</v>
      </c>
      <c r="BF169" s="303"/>
      <c r="BG169" s="303"/>
      <c r="BH169" s="303"/>
      <c r="BI169" s="303"/>
      <c r="BJ169" s="303"/>
      <c r="BK169" s="303"/>
      <c r="BL169" s="303"/>
      <c r="BM169" s="303"/>
      <c r="BN169" s="303"/>
      <c r="BO169" s="303"/>
      <c r="BP169" s="303"/>
      <c r="BQ169" s="5"/>
      <c r="BR169" s="25"/>
      <c r="BS169" s="5"/>
    </row>
    <row r="170" spans="1:71" s="3" customFormat="1" x14ac:dyDescent="0.25">
      <c r="A170" s="5"/>
      <c r="B170" s="3" t="str">
        <f t="array" ref="B170">IFERROR(INDEX(DemandSupply,MATCH(INDEX($AH$1:AH170,SMALL(ROW($AH$1:AH170)+(10000*($AH$1:AH170="")),COUNTA($AH$1:AH170))),Sectors,0)),"")</f>
        <v>Demand</v>
      </c>
      <c r="E170" s="10"/>
      <c r="F170" s="207"/>
      <c r="G170" s="207"/>
      <c r="H170" s="207"/>
      <c r="I170" s="207"/>
      <c r="J170" s="207"/>
      <c r="K170" s="207"/>
      <c r="L170" s="207"/>
      <c r="M170" s="207"/>
      <c r="N170" s="207"/>
      <c r="O170" s="207"/>
      <c r="P170" s="207"/>
      <c r="Q170" s="207"/>
      <c r="R170" s="207"/>
      <c r="S170" s="207"/>
      <c r="T170" s="207"/>
      <c r="U170" s="207"/>
      <c r="V170" s="207"/>
      <c r="W170" s="207"/>
      <c r="X170" s="207"/>
      <c r="Y170" s="207"/>
      <c r="Z170" s="207"/>
      <c r="AA170" s="207"/>
      <c r="AB170" s="207"/>
      <c r="AC170" s="5"/>
      <c r="AD170" s="63"/>
      <c r="AE170" s="64"/>
      <c r="AF170" s="64"/>
      <c r="AG170" s="212"/>
      <c r="AH170" s="64"/>
      <c r="AI170" s="64"/>
      <c r="AJ170" s="64"/>
      <c r="AK170" s="212"/>
      <c r="AL170" s="64"/>
      <c r="AM170" s="212"/>
      <c r="AN170" s="64"/>
      <c r="AO170" s="64"/>
      <c r="AP170" s="63"/>
      <c r="AQ170" s="64"/>
      <c r="AR170" s="63"/>
      <c r="AS170" s="64"/>
      <c r="AT170" s="63"/>
      <c r="AU170" s="64"/>
      <c r="AV170" s="63"/>
      <c r="AW170" s="64"/>
      <c r="AX170" s="63"/>
      <c r="AY170" s="5"/>
      <c r="AZ170" s="21" t="str">
        <f t="shared" si="40"/>
        <v/>
      </c>
      <c r="BA170" s="75" t="s">
        <v>409</v>
      </c>
      <c r="BB170" s="75"/>
      <c r="BC170" s="270"/>
      <c r="BD170" s="75" t="s">
        <v>99</v>
      </c>
      <c r="BE170" s="216" t="s">
        <v>30</v>
      </c>
      <c r="BF170" s="303"/>
      <c r="BG170" s="303"/>
      <c r="BH170" s="303"/>
      <c r="BI170" s="303"/>
      <c r="BJ170" s="303"/>
      <c r="BK170" s="303"/>
      <c r="BL170" s="303"/>
      <c r="BM170" s="303"/>
      <c r="BN170" s="303"/>
      <c r="BO170" s="303"/>
      <c r="BP170" s="303"/>
      <c r="BQ170" s="5"/>
      <c r="BR170" s="25"/>
      <c r="BS170" s="5"/>
    </row>
    <row r="171" spans="1:71" s="3" customFormat="1" x14ac:dyDescent="0.25">
      <c r="A171" s="5"/>
      <c r="B171" s="3" t="str">
        <f t="array" ref="B171">IFERROR(INDEX(DemandSupply,MATCH(INDEX($AH$1:AH171,SMALL(ROW($AH$1:AH171)+(10000*($AH$1:AH171="")),COUNTA($AH$1:AH171))),Sectors,0)),"")</f>
        <v>Demand</v>
      </c>
      <c r="E171" s="10"/>
      <c r="F171" s="207"/>
      <c r="G171" s="207"/>
      <c r="H171" s="207"/>
      <c r="I171" s="207"/>
      <c r="J171" s="207"/>
      <c r="K171" s="207"/>
      <c r="L171" s="207"/>
      <c r="M171" s="207"/>
      <c r="N171" s="207"/>
      <c r="O171" s="207"/>
      <c r="P171" s="207"/>
      <c r="Q171" s="207"/>
      <c r="R171" s="207"/>
      <c r="S171" s="207"/>
      <c r="T171" s="207"/>
      <c r="U171" s="207"/>
      <c r="V171" s="207"/>
      <c r="W171" s="207"/>
      <c r="X171" s="207"/>
      <c r="Y171" s="207"/>
      <c r="Z171" s="207"/>
      <c r="AA171" s="207"/>
      <c r="AB171" s="207"/>
      <c r="AC171" s="5"/>
      <c r="AD171" s="63"/>
      <c r="AE171" s="64"/>
      <c r="AF171" s="64"/>
      <c r="AG171" s="212"/>
      <c r="AH171" s="64"/>
      <c r="AI171" s="64"/>
      <c r="AJ171" s="64"/>
      <c r="AK171" s="212"/>
      <c r="AL171" s="64"/>
      <c r="AM171" s="212"/>
      <c r="AN171" s="64"/>
      <c r="AO171" s="64"/>
      <c r="AP171" s="63"/>
      <c r="AQ171" s="64"/>
      <c r="AR171" s="63"/>
      <c r="AS171" s="64"/>
      <c r="AT171" s="63"/>
      <c r="AU171" s="64"/>
      <c r="AV171" s="63"/>
      <c r="AW171" s="64"/>
      <c r="AX171" s="63"/>
      <c r="AY171" s="5"/>
      <c r="AZ171" s="21" t="str">
        <f t="shared" si="40"/>
        <v/>
      </c>
      <c r="BA171" s="264" t="s">
        <v>371</v>
      </c>
      <c r="BB171" s="264"/>
      <c r="BC171" s="264"/>
      <c r="BD171" s="74" t="s">
        <v>36</v>
      </c>
      <c r="BE171" s="216" t="s">
        <v>30</v>
      </c>
      <c r="BF171" s="56"/>
      <c r="BG171" s="56"/>
      <c r="BH171" s="56"/>
      <c r="BI171" s="56"/>
      <c r="BJ171" s="56"/>
      <c r="BK171" s="56"/>
      <c r="BL171" s="56"/>
      <c r="BM171" s="56"/>
      <c r="BN171" s="56"/>
      <c r="BO171" s="56"/>
      <c r="BP171" s="56"/>
      <c r="BQ171" s="5"/>
      <c r="BR171" s="25"/>
      <c r="BS171" s="5"/>
    </row>
    <row r="172" spans="1:71" s="3" customFormat="1" x14ac:dyDescent="0.25">
      <c r="A172" s="5"/>
      <c r="B172" s="3" t="str">
        <f t="array" ref="B172">IFERROR(INDEX(DemandSupply,MATCH(INDEX($AH$1:AH172,SMALL(ROW($AH$1:AH172)+(10000*($AH$1:AH172="")),COUNTA($AH$1:AH172))),Sectors,0)),"")</f>
        <v>Demand</v>
      </c>
      <c r="E172" s="10"/>
      <c r="F172" s="207"/>
      <c r="G172" s="207"/>
      <c r="H172" s="207"/>
      <c r="I172" s="207"/>
      <c r="J172" s="207"/>
      <c r="K172" s="207"/>
      <c r="L172" s="207"/>
      <c r="M172" s="207"/>
      <c r="N172" s="207"/>
      <c r="O172" s="207"/>
      <c r="P172" s="207"/>
      <c r="Q172" s="207"/>
      <c r="R172" s="207"/>
      <c r="S172" s="207"/>
      <c r="T172" s="207"/>
      <c r="U172" s="207"/>
      <c r="V172" s="207"/>
      <c r="W172" s="207"/>
      <c r="X172" s="207"/>
      <c r="Y172" s="207"/>
      <c r="Z172" s="207"/>
      <c r="AA172" s="207"/>
      <c r="AB172" s="207"/>
      <c r="AC172" s="5"/>
      <c r="AD172" s="63"/>
      <c r="AE172" s="64"/>
      <c r="AF172" s="64"/>
      <c r="AG172" s="212"/>
      <c r="AH172" s="64"/>
      <c r="AI172" s="64"/>
      <c r="AJ172" s="64"/>
      <c r="AK172" s="212"/>
      <c r="AL172" s="64"/>
      <c r="AM172" s="212"/>
      <c r="AN172" s="64"/>
      <c r="AO172" s="64"/>
      <c r="AP172" s="63"/>
      <c r="AQ172" s="64"/>
      <c r="AR172" s="63"/>
      <c r="AS172" s="64"/>
      <c r="AT172" s="63"/>
      <c r="AU172" s="64"/>
      <c r="AV172" s="63"/>
      <c r="AW172" s="64"/>
      <c r="AX172" s="63"/>
      <c r="AY172" s="5"/>
      <c r="AZ172" s="21" t="str">
        <f t="shared" si="40"/>
        <v/>
      </c>
      <c r="BA172" s="264" t="s">
        <v>170</v>
      </c>
      <c r="BB172" s="264"/>
      <c r="BC172" s="264"/>
      <c r="BD172" s="74" t="s">
        <v>354</v>
      </c>
      <c r="BE172" s="216" t="s">
        <v>30</v>
      </c>
      <c r="BF172" s="56">
        <v>10548</v>
      </c>
      <c r="BG172" s="56">
        <f t="shared" ref="BG172:BP172" si="45">BF172</f>
        <v>10548</v>
      </c>
      <c r="BH172" s="56">
        <f t="shared" si="45"/>
        <v>10548</v>
      </c>
      <c r="BI172" s="56">
        <f t="shared" si="45"/>
        <v>10548</v>
      </c>
      <c r="BJ172" s="56">
        <f t="shared" si="45"/>
        <v>10548</v>
      </c>
      <c r="BK172" s="56">
        <f t="shared" si="45"/>
        <v>10548</v>
      </c>
      <c r="BL172" s="56">
        <f t="shared" si="45"/>
        <v>10548</v>
      </c>
      <c r="BM172" s="56">
        <f t="shared" si="45"/>
        <v>10548</v>
      </c>
      <c r="BN172" s="56">
        <f t="shared" si="45"/>
        <v>10548</v>
      </c>
      <c r="BO172" s="56">
        <f t="shared" si="45"/>
        <v>10548</v>
      </c>
      <c r="BP172" s="56">
        <f t="shared" si="45"/>
        <v>10548</v>
      </c>
      <c r="BQ172" s="5"/>
      <c r="BR172" s="25"/>
      <c r="BS172" s="5"/>
    </row>
    <row r="173" spans="1:71" s="3" customFormat="1" x14ac:dyDescent="0.25">
      <c r="A173" s="5"/>
      <c r="B173" s="3" t="str">
        <f t="array" ref="B173">IFERROR(INDEX(DemandSupply,MATCH(INDEX($AH$1:AH173,SMALL(ROW($AH$1:AH173)+(10000*($AH$1:AH173="")),COUNTA($AH$1:AH173))),Sectors,0)),"")</f>
        <v>Demand</v>
      </c>
      <c r="E173" s="10"/>
      <c r="F173" s="207"/>
      <c r="G173" s="207"/>
      <c r="H173" s="207"/>
      <c r="I173" s="207"/>
      <c r="J173" s="207"/>
      <c r="K173" s="207"/>
      <c r="L173" s="207"/>
      <c r="M173" s="207"/>
      <c r="N173" s="207"/>
      <c r="O173" s="207"/>
      <c r="P173" s="207"/>
      <c r="Q173" s="207"/>
      <c r="R173" s="207"/>
      <c r="S173" s="207"/>
      <c r="T173" s="207"/>
      <c r="U173" s="207"/>
      <c r="V173" s="207"/>
      <c r="W173" s="207"/>
      <c r="X173" s="207"/>
      <c r="Y173" s="207"/>
      <c r="Z173" s="207"/>
      <c r="AA173" s="207"/>
      <c r="AB173" s="207"/>
      <c r="AC173" s="5"/>
      <c r="AD173" s="63"/>
      <c r="AE173" s="64"/>
      <c r="AF173" s="64"/>
      <c r="AG173" s="212"/>
      <c r="AH173" s="64"/>
      <c r="AI173" s="64"/>
      <c r="AJ173" s="64"/>
      <c r="AK173" s="212"/>
      <c r="AL173" s="64"/>
      <c r="AM173" s="212"/>
      <c r="AN173" s="64"/>
      <c r="AO173" s="64"/>
      <c r="AP173" s="63"/>
      <c r="AQ173" s="64"/>
      <c r="AR173" s="63"/>
      <c r="AS173" s="64"/>
      <c r="AT173" s="63"/>
      <c r="AU173" s="64"/>
      <c r="AV173" s="63"/>
      <c r="AW173" s="64"/>
      <c r="AX173" s="63"/>
      <c r="AY173" s="5"/>
      <c r="AZ173" s="21" t="str">
        <f t="shared" si="40"/>
        <v/>
      </c>
      <c r="BA173" s="264" t="s">
        <v>425</v>
      </c>
      <c r="BB173" s="264"/>
      <c r="BC173" s="264"/>
      <c r="BD173" s="264" t="s">
        <v>99</v>
      </c>
      <c r="BE173" s="216" t="s">
        <v>30</v>
      </c>
      <c r="BF173" s="303"/>
      <c r="BG173" s="303"/>
      <c r="BH173" s="303"/>
      <c r="BI173" s="303"/>
      <c r="BJ173" s="303"/>
      <c r="BK173" s="303"/>
      <c r="BL173" s="303"/>
      <c r="BM173" s="303"/>
      <c r="BN173" s="303"/>
      <c r="BO173" s="303"/>
      <c r="BP173" s="303"/>
      <c r="BQ173" s="5"/>
      <c r="BR173" s="25"/>
      <c r="BS173" s="5"/>
    </row>
    <row r="174" spans="1:71" s="3" customFormat="1" x14ac:dyDescent="0.25">
      <c r="A174" s="5"/>
      <c r="B174" s="3" t="str">
        <f t="array" ref="B174">IFERROR(INDEX(DemandSupply,MATCH(INDEX($AH$1:AH174,SMALL(ROW($AH$1:AH174)+(10000*($AH$1:AH174="")),COUNTA($AH$1:AH174))),Sectors,0)),"")</f>
        <v>Demand</v>
      </c>
      <c r="E174" s="10"/>
      <c r="F174" s="207"/>
      <c r="G174" s="207"/>
      <c r="H174" s="207"/>
      <c r="I174" s="207"/>
      <c r="J174" s="207"/>
      <c r="K174" s="207"/>
      <c r="L174" s="207"/>
      <c r="M174" s="207"/>
      <c r="N174" s="207"/>
      <c r="O174" s="207"/>
      <c r="P174" s="207"/>
      <c r="Q174" s="207"/>
      <c r="R174" s="207"/>
      <c r="S174" s="207"/>
      <c r="T174" s="207"/>
      <c r="U174" s="207"/>
      <c r="V174" s="207"/>
      <c r="W174" s="207"/>
      <c r="X174" s="207"/>
      <c r="Y174" s="207"/>
      <c r="Z174" s="207"/>
      <c r="AA174" s="207"/>
      <c r="AB174" s="207"/>
      <c r="AC174" s="5"/>
      <c r="AD174" s="63"/>
      <c r="AE174" s="64"/>
      <c r="AF174" s="64"/>
      <c r="AG174" s="212"/>
      <c r="AH174" s="64"/>
      <c r="AI174" s="64"/>
      <c r="AJ174" s="64"/>
      <c r="AK174" s="212"/>
      <c r="AL174" s="64"/>
      <c r="AM174" s="212"/>
      <c r="AN174" s="64"/>
      <c r="AO174" s="64"/>
      <c r="AP174" s="63"/>
      <c r="AQ174" s="64"/>
      <c r="AR174" s="63"/>
      <c r="AS174" s="64"/>
      <c r="AT174" s="63"/>
      <c r="AU174" s="64"/>
      <c r="AV174" s="63"/>
      <c r="AW174" s="64"/>
      <c r="AX174" s="63"/>
      <c r="AY174" s="5"/>
      <c r="AZ174" s="21" t="str">
        <f t="shared" si="40"/>
        <v/>
      </c>
      <c r="BA174" s="264" t="s">
        <v>438</v>
      </c>
      <c r="BB174" s="264"/>
      <c r="BC174" s="264"/>
      <c r="BD174" s="74" t="s">
        <v>36</v>
      </c>
      <c r="BE174" s="216" t="s">
        <v>30</v>
      </c>
      <c r="BF174" s="56"/>
      <c r="BG174" s="56"/>
      <c r="BH174" s="56"/>
      <c r="BI174" s="56"/>
      <c r="BJ174" s="56"/>
      <c r="BK174" s="56"/>
      <c r="BL174" s="56"/>
      <c r="BM174" s="56"/>
      <c r="BN174" s="56"/>
      <c r="BO174" s="56"/>
      <c r="BP174" s="56"/>
      <c r="BQ174" s="5"/>
      <c r="BR174" s="25"/>
      <c r="BS174" s="5"/>
    </row>
    <row r="175" spans="1:71" s="3" customFormat="1" x14ac:dyDescent="0.25">
      <c r="A175" s="5"/>
      <c r="B175" s="3" t="str">
        <f t="array" ref="B175">IFERROR(INDEX(DemandSupply,MATCH(INDEX($AH$1:AH175,SMALL(ROW($AH$1:AH175)+(10000*($AH$1:AH175="")),COUNTA($AH$1:AH175))),Sectors,0)),"")</f>
        <v>Demand</v>
      </c>
      <c r="E175" s="10"/>
      <c r="F175" s="207"/>
      <c r="G175" s="207"/>
      <c r="H175" s="207"/>
      <c r="I175" s="207"/>
      <c r="J175" s="207"/>
      <c r="K175" s="207"/>
      <c r="L175" s="207"/>
      <c r="M175" s="207"/>
      <c r="N175" s="207"/>
      <c r="O175" s="207"/>
      <c r="P175" s="207"/>
      <c r="Q175" s="207"/>
      <c r="R175" s="207"/>
      <c r="S175" s="207"/>
      <c r="T175" s="207"/>
      <c r="U175" s="207"/>
      <c r="V175" s="207"/>
      <c r="W175" s="207"/>
      <c r="X175" s="207"/>
      <c r="Y175" s="207"/>
      <c r="Z175" s="207"/>
      <c r="AA175" s="207"/>
      <c r="AB175" s="207"/>
      <c r="AC175" s="5"/>
      <c r="AD175" s="63"/>
      <c r="AE175" s="64"/>
      <c r="AF175" s="64"/>
      <c r="AG175" s="212"/>
      <c r="AH175" s="64"/>
      <c r="AI175" s="64"/>
      <c r="AJ175" s="64"/>
      <c r="AK175" s="212"/>
      <c r="AL175" s="64"/>
      <c r="AM175" s="212"/>
      <c r="AN175" s="64"/>
      <c r="AO175" s="64"/>
      <c r="AP175" s="63"/>
      <c r="AQ175" s="64"/>
      <c r="AR175" s="63"/>
      <c r="AS175" s="64"/>
      <c r="AT175" s="63"/>
      <c r="AU175" s="64"/>
      <c r="AV175" s="63"/>
      <c r="AW175" s="64"/>
      <c r="AX175" s="63"/>
      <c r="AY175" s="5"/>
      <c r="AZ175" s="21" t="str">
        <f t="shared" si="40"/>
        <v/>
      </c>
      <c r="BA175" s="264" t="s">
        <v>435</v>
      </c>
      <c r="BB175" s="264"/>
      <c r="BC175" s="264"/>
      <c r="BD175" s="264"/>
      <c r="BE175" s="216" t="s">
        <v>30</v>
      </c>
      <c r="BF175" s="55"/>
      <c r="BG175" s="55"/>
      <c r="BH175" s="55"/>
      <c r="BI175" s="55"/>
      <c r="BJ175" s="55"/>
      <c r="BK175" s="55"/>
      <c r="BL175" s="55"/>
      <c r="BM175" s="55"/>
      <c r="BN175" s="55"/>
      <c r="BO175" s="55"/>
      <c r="BP175" s="55"/>
      <c r="BQ175" s="5"/>
      <c r="BR175" s="25"/>
      <c r="BS175" s="5"/>
    </row>
    <row r="176" spans="1:71" s="3" customFormat="1" x14ac:dyDescent="0.25">
      <c r="A176" s="5"/>
      <c r="B176" s="3" t="str">
        <f t="array" ref="B176">IFERROR(INDEX(DemandSupply,MATCH(INDEX($AH$1:AH176,SMALL(ROW($AH$1:AH176)+(10000*($AH$1:AH176="")),COUNTA($AH$1:AH176))),Sectors,0)),"")</f>
        <v>Demand</v>
      </c>
      <c r="E176" s="10"/>
      <c r="F176" s="207"/>
      <c r="G176" s="207"/>
      <c r="H176" s="207"/>
      <c r="I176" s="207"/>
      <c r="J176" s="207"/>
      <c r="K176" s="207"/>
      <c r="L176" s="207"/>
      <c r="M176" s="207"/>
      <c r="N176" s="207"/>
      <c r="O176" s="207"/>
      <c r="P176" s="207"/>
      <c r="Q176" s="207"/>
      <c r="R176" s="207"/>
      <c r="S176" s="207"/>
      <c r="T176" s="207"/>
      <c r="U176" s="207"/>
      <c r="V176" s="207"/>
      <c r="W176" s="207"/>
      <c r="X176" s="207"/>
      <c r="Y176" s="207"/>
      <c r="Z176" s="207"/>
      <c r="AA176" s="207"/>
      <c r="AB176" s="207"/>
      <c r="AC176" s="5"/>
      <c r="AD176" s="63"/>
      <c r="AE176" s="64"/>
      <c r="AF176" s="64"/>
      <c r="AG176" s="212"/>
      <c r="AH176" s="64"/>
      <c r="AI176" s="64"/>
      <c r="AJ176" s="64"/>
      <c r="AK176" s="212"/>
      <c r="AL176" s="64"/>
      <c r="AM176" s="212"/>
      <c r="AN176" s="64"/>
      <c r="AO176" s="64"/>
      <c r="AP176" s="63"/>
      <c r="AQ176" s="64"/>
      <c r="AR176" s="63"/>
      <c r="AS176" s="64"/>
      <c r="AT176" s="63"/>
      <c r="AU176" s="64"/>
      <c r="AV176" s="63"/>
      <c r="AW176" s="64"/>
      <c r="AX176" s="63"/>
      <c r="AY176" s="5"/>
      <c r="AZ176" s="21" t="str">
        <f t="shared" si="40"/>
        <v/>
      </c>
      <c r="BA176" s="264" t="s">
        <v>407</v>
      </c>
      <c r="BB176" s="264"/>
      <c r="BC176" s="264"/>
      <c r="BD176" s="264" t="s">
        <v>99</v>
      </c>
      <c r="BE176" s="216" t="s">
        <v>30</v>
      </c>
      <c r="BF176" s="303"/>
      <c r="BG176" s="303"/>
      <c r="BH176" s="303"/>
      <c r="BI176" s="303"/>
      <c r="BJ176" s="303"/>
      <c r="BK176" s="303"/>
      <c r="BL176" s="303"/>
      <c r="BM176" s="303"/>
      <c r="BN176" s="303"/>
      <c r="BO176" s="303"/>
      <c r="BP176" s="303"/>
      <c r="BQ176" s="5"/>
      <c r="BR176" s="25"/>
      <c r="BS176" s="5"/>
    </row>
    <row r="177" spans="1:71" s="3" customFormat="1" x14ac:dyDescent="0.25">
      <c r="A177" s="5"/>
      <c r="B177" s="3" t="str">
        <f t="array" ref="B177">IFERROR(INDEX(DemandSupply,MATCH(INDEX($AH$1:AH177,SMALL(ROW($AH$1:AH177)+(10000*($AH$1:AH177="")),COUNTA($AH$1:AH177))),Sectors,0)),"")</f>
        <v>Demand</v>
      </c>
      <c r="E177" s="10"/>
      <c r="F177" s="207"/>
      <c r="G177" s="207"/>
      <c r="H177" s="207"/>
      <c r="I177" s="207"/>
      <c r="J177" s="207"/>
      <c r="K177" s="207"/>
      <c r="L177" s="207"/>
      <c r="M177" s="207"/>
      <c r="N177" s="207"/>
      <c r="O177" s="207"/>
      <c r="P177" s="207"/>
      <c r="Q177" s="207"/>
      <c r="R177" s="207"/>
      <c r="S177" s="207"/>
      <c r="T177" s="207"/>
      <c r="U177" s="207"/>
      <c r="V177" s="207"/>
      <c r="W177" s="207"/>
      <c r="X177" s="207"/>
      <c r="Y177" s="207"/>
      <c r="Z177" s="207"/>
      <c r="AA177" s="207"/>
      <c r="AB177" s="207"/>
      <c r="AC177" s="5"/>
      <c r="AD177" s="63"/>
      <c r="AE177" s="64"/>
      <c r="AF177" s="64"/>
      <c r="AG177" s="212"/>
      <c r="AH177" s="64"/>
      <c r="AI177" s="64"/>
      <c r="AJ177" s="64"/>
      <c r="AK177" s="212"/>
      <c r="AL177" s="64"/>
      <c r="AM177" s="212"/>
      <c r="AN177" s="64"/>
      <c r="AO177" s="64"/>
      <c r="AP177" s="63"/>
      <c r="AQ177" s="64"/>
      <c r="AR177" s="63"/>
      <c r="AS177" s="64"/>
      <c r="AT177" s="63"/>
      <c r="AU177" s="64"/>
      <c r="AV177" s="63"/>
      <c r="AW177" s="64"/>
      <c r="AX177" s="63"/>
      <c r="AY177" s="5"/>
      <c r="AZ177" s="21" t="str">
        <f t="shared" si="40"/>
        <v/>
      </c>
      <c r="BA177" s="264" t="s">
        <v>444</v>
      </c>
      <c r="BB177" s="264"/>
      <c r="BC177" s="264"/>
      <c r="BD177" s="264" t="s">
        <v>354</v>
      </c>
      <c r="BE177" s="216" t="s">
        <v>30</v>
      </c>
      <c r="BF177" s="56"/>
      <c r="BG177" s="56"/>
      <c r="BH177" s="56"/>
      <c r="BI177" s="56"/>
      <c r="BJ177" s="56"/>
      <c r="BK177" s="56"/>
      <c r="BL177" s="56"/>
      <c r="BM177" s="56"/>
      <c r="BN177" s="56"/>
      <c r="BO177" s="56"/>
      <c r="BP177" s="56"/>
      <c r="BQ177" s="5"/>
      <c r="BR177" s="25"/>
      <c r="BS177" s="5"/>
    </row>
    <row r="178" spans="1:71" s="3" customFormat="1" x14ac:dyDescent="0.25">
      <c r="A178" s="5"/>
      <c r="B178" s="3" t="str">
        <f t="array" ref="B178">IFERROR(INDEX(DemandSupply,MATCH(INDEX($AH$1:AH178,SMALL(ROW($AH$1:AH178)+(10000*($AH$1:AH178="")),COUNTA($AH$1:AH178))),Sectors,0)),"")</f>
        <v>Demand</v>
      </c>
      <c r="E178" s="10"/>
      <c r="F178" s="207"/>
      <c r="G178" s="207"/>
      <c r="H178" s="207"/>
      <c r="I178" s="207"/>
      <c r="J178" s="207"/>
      <c r="K178" s="207"/>
      <c r="L178" s="207"/>
      <c r="M178" s="207"/>
      <c r="N178" s="207"/>
      <c r="O178" s="207"/>
      <c r="P178" s="207"/>
      <c r="Q178" s="207"/>
      <c r="R178" s="207"/>
      <c r="S178" s="207"/>
      <c r="T178" s="207"/>
      <c r="U178" s="207"/>
      <c r="V178" s="207"/>
      <c r="W178" s="207"/>
      <c r="X178" s="207"/>
      <c r="Y178" s="207"/>
      <c r="Z178" s="207"/>
      <c r="AA178" s="207"/>
      <c r="AB178" s="207"/>
      <c r="AC178" s="5"/>
      <c r="AD178" s="63"/>
      <c r="AE178" s="64"/>
      <c r="AF178" s="64"/>
      <c r="AG178" s="212"/>
      <c r="AH178" s="64"/>
      <c r="AI178" s="64"/>
      <c r="AJ178" s="64"/>
      <c r="AK178" s="212"/>
      <c r="AL178" s="64"/>
      <c r="AM178" s="212"/>
      <c r="AN178" s="64"/>
      <c r="AO178" s="64"/>
      <c r="AP178" s="63"/>
      <c r="AQ178" s="64"/>
      <c r="AR178" s="63"/>
      <c r="AS178" s="64"/>
      <c r="AT178" s="63"/>
      <c r="AU178" s="64"/>
      <c r="AV178" s="63"/>
      <c r="AW178" s="64"/>
      <c r="AX178" s="63"/>
      <c r="AY178" s="5"/>
      <c r="AZ178" s="21" t="str">
        <f t="shared" si="40"/>
        <v/>
      </c>
      <c r="BA178" s="264" t="s">
        <v>446</v>
      </c>
      <c r="BB178" s="264"/>
      <c r="BC178" s="264"/>
      <c r="BD178" s="264" t="s">
        <v>354</v>
      </c>
      <c r="BE178" s="216" t="s">
        <v>30</v>
      </c>
      <c r="BF178" s="56"/>
      <c r="BG178" s="56"/>
      <c r="BH178" s="56"/>
      <c r="BI178" s="56"/>
      <c r="BJ178" s="56"/>
      <c r="BK178" s="56"/>
      <c r="BL178" s="56"/>
      <c r="BM178" s="56"/>
      <c r="BN178" s="56"/>
      <c r="BO178" s="56"/>
      <c r="BP178" s="56"/>
      <c r="BQ178" s="5"/>
      <c r="BR178" s="25"/>
      <c r="BS178" s="5"/>
    </row>
    <row r="179" spans="1:71" s="3" customFormat="1" x14ac:dyDescent="0.25">
      <c r="A179" s="5"/>
      <c r="B179" s="3" t="str">
        <f t="array" ref="B179">IFERROR(INDEX(DemandSupply,MATCH(INDEX($AH$1:AH179,SMALL(ROW($AH$1:AH179)+(10000*($AH$1:AH179="")),COUNTA($AH$1:AH179))),Sectors,0)),"")</f>
        <v>Demand</v>
      </c>
      <c r="E179" s="10"/>
      <c r="F179" s="207"/>
      <c r="G179" s="207"/>
      <c r="H179" s="207"/>
      <c r="I179" s="207"/>
      <c r="J179" s="207"/>
      <c r="K179" s="207"/>
      <c r="L179" s="207"/>
      <c r="M179" s="207"/>
      <c r="N179" s="207"/>
      <c r="O179" s="207"/>
      <c r="P179" s="207"/>
      <c r="Q179" s="207"/>
      <c r="R179" s="207"/>
      <c r="S179" s="207"/>
      <c r="T179" s="207"/>
      <c r="U179" s="207"/>
      <c r="V179" s="207"/>
      <c r="W179" s="207"/>
      <c r="X179" s="207"/>
      <c r="Y179" s="207"/>
      <c r="Z179" s="207"/>
      <c r="AA179" s="207"/>
      <c r="AB179" s="207"/>
      <c r="AC179" s="5"/>
      <c r="AD179" s="63"/>
      <c r="AE179" s="64"/>
      <c r="AF179" s="64"/>
      <c r="AG179" s="212"/>
      <c r="AH179" s="64"/>
      <c r="AI179" s="64"/>
      <c r="AJ179" s="64"/>
      <c r="AK179" s="212"/>
      <c r="AL179" s="64"/>
      <c r="AM179" s="212"/>
      <c r="AN179" s="64"/>
      <c r="AO179" s="64"/>
      <c r="AP179" s="63"/>
      <c r="AQ179" s="64"/>
      <c r="AR179" s="63"/>
      <c r="AS179" s="64"/>
      <c r="AT179" s="63"/>
      <c r="AU179" s="64"/>
      <c r="AV179" s="63"/>
      <c r="AW179" s="64"/>
      <c r="AX179" s="63"/>
      <c r="AY179" s="5"/>
      <c r="AZ179" s="21" t="str">
        <f t="shared" si="40"/>
        <v/>
      </c>
      <c r="BA179" s="264" t="s">
        <v>447</v>
      </c>
      <c r="BB179" s="264"/>
      <c r="BC179" s="264"/>
      <c r="BD179" s="264"/>
      <c r="BE179" s="216" t="s">
        <v>30</v>
      </c>
      <c r="BF179" s="55"/>
      <c r="BG179" s="55"/>
      <c r="BH179" s="55"/>
      <c r="BI179" s="55"/>
      <c r="BJ179" s="55"/>
      <c r="BK179" s="55"/>
      <c r="BL179" s="55"/>
      <c r="BM179" s="55"/>
      <c r="BN179" s="55"/>
      <c r="BO179" s="55"/>
      <c r="BP179" s="55"/>
      <c r="BQ179" s="5"/>
      <c r="BR179" s="25"/>
      <c r="BS179" s="5"/>
    </row>
    <row r="180" spans="1:71" s="3" customFormat="1" x14ac:dyDescent="0.25">
      <c r="A180" s="5"/>
      <c r="B180" s="3" t="str">
        <f t="array" ref="B180">IFERROR(INDEX(DemandSupply,MATCH(INDEX($AH$1:AH180,SMALL(ROW($AH$1:AH180)+(10000*($AH$1:AH180="")),COUNTA($AH$1:AH180))),Sectors,0)),"")</f>
        <v>Demand</v>
      </c>
      <c r="E180" s="10"/>
      <c r="F180" s="207"/>
      <c r="G180" s="207"/>
      <c r="H180" s="207"/>
      <c r="I180" s="207"/>
      <c r="J180" s="207"/>
      <c r="K180" s="207"/>
      <c r="L180" s="207"/>
      <c r="M180" s="207"/>
      <c r="N180" s="207"/>
      <c r="O180" s="207"/>
      <c r="P180" s="207"/>
      <c r="Q180" s="207"/>
      <c r="R180" s="207"/>
      <c r="S180" s="207"/>
      <c r="T180" s="207"/>
      <c r="U180" s="207"/>
      <c r="V180" s="207"/>
      <c r="W180" s="207"/>
      <c r="X180" s="207"/>
      <c r="Y180" s="207"/>
      <c r="Z180" s="207"/>
      <c r="AA180" s="207"/>
      <c r="AB180" s="207"/>
      <c r="AC180" s="5"/>
      <c r="AD180" s="63"/>
      <c r="AE180" s="64"/>
      <c r="AF180" s="64"/>
      <c r="AG180" s="212"/>
      <c r="AH180" s="64"/>
      <c r="AI180" s="64"/>
      <c r="AJ180" s="64"/>
      <c r="AK180" s="212"/>
      <c r="AL180" s="64"/>
      <c r="AM180" s="212"/>
      <c r="AN180" s="64"/>
      <c r="AO180" s="64"/>
      <c r="AP180" s="63"/>
      <c r="AQ180" s="64"/>
      <c r="AR180" s="63"/>
      <c r="AS180" s="64"/>
      <c r="AT180" s="63"/>
      <c r="AU180" s="64"/>
      <c r="AV180" s="63"/>
      <c r="AW180" s="64"/>
      <c r="AX180" s="63"/>
      <c r="AY180" s="5"/>
      <c r="AZ180" s="21" t="str">
        <f t="shared" si="40"/>
        <v/>
      </c>
      <c r="BA180" s="264" t="s">
        <v>448</v>
      </c>
      <c r="BB180" s="264"/>
      <c r="BC180" s="264"/>
      <c r="BD180" s="264"/>
      <c r="BE180" s="216" t="s">
        <v>30</v>
      </c>
      <c r="BF180" s="55"/>
      <c r="BG180" s="55"/>
      <c r="BH180" s="55"/>
      <c r="BI180" s="55"/>
      <c r="BJ180" s="55"/>
      <c r="BK180" s="55"/>
      <c r="BL180" s="55"/>
      <c r="BM180" s="55"/>
      <c r="BN180" s="55"/>
      <c r="BO180" s="55"/>
      <c r="BP180" s="55"/>
      <c r="BQ180" s="5"/>
      <c r="BR180" s="25"/>
      <c r="BS180" s="5"/>
    </row>
    <row r="181" spans="1:71" s="3" customFormat="1" x14ac:dyDescent="0.25">
      <c r="A181" s="5"/>
      <c r="B181" s="3" t="str">
        <f t="array" ref="B181">IFERROR(INDEX(DemandSupply,MATCH(INDEX($AH$1:AH181,SMALL(ROW($AH$1:AH181)+(10000*($AH$1:AH181="")),COUNTA($AH$1:AH181))),Sectors,0)),"")</f>
        <v>Demand</v>
      </c>
      <c r="E181" s="10"/>
      <c r="F181" s="207"/>
      <c r="G181" s="207"/>
      <c r="H181" s="207"/>
      <c r="I181" s="207"/>
      <c r="J181" s="207"/>
      <c r="K181" s="207"/>
      <c r="L181" s="207"/>
      <c r="M181" s="207"/>
      <c r="N181" s="207"/>
      <c r="O181" s="207"/>
      <c r="P181" s="207"/>
      <c r="Q181" s="207"/>
      <c r="R181" s="207"/>
      <c r="S181" s="207"/>
      <c r="T181" s="207"/>
      <c r="U181" s="207"/>
      <c r="V181" s="207"/>
      <c r="W181" s="207"/>
      <c r="X181" s="207"/>
      <c r="Y181" s="207"/>
      <c r="Z181" s="207"/>
      <c r="AA181" s="207"/>
      <c r="AB181" s="207"/>
      <c r="AC181" s="5"/>
      <c r="AD181" s="63"/>
      <c r="AE181" s="64"/>
      <c r="AF181" s="64"/>
      <c r="AG181" s="212"/>
      <c r="AH181" s="64"/>
      <c r="AI181" s="64"/>
      <c r="AJ181" s="64"/>
      <c r="AK181" s="212"/>
      <c r="AL181" s="64"/>
      <c r="AM181" s="212"/>
      <c r="AN181" s="64"/>
      <c r="AO181" s="64"/>
      <c r="AP181" s="63"/>
      <c r="AQ181" s="64"/>
      <c r="AR181" s="63"/>
      <c r="AS181" s="64"/>
      <c r="AT181" s="63"/>
      <c r="AU181" s="64"/>
      <c r="AV181" s="63"/>
      <c r="AW181" s="64"/>
      <c r="AX181" s="63"/>
      <c r="AY181" s="5"/>
      <c r="AZ181" s="21" t="str">
        <f t="shared" si="40"/>
        <v/>
      </c>
      <c r="BA181" s="264" t="s">
        <v>445</v>
      </c>
      <c r="BB181" s="264"/>
      <c r="BC181" s="264"/>
      <c r="BD181" s="74" t="s">
        <v>357</v>
      </c>
      <c r="BE181" s="216" t="s">
        <v>30</v>
      </c>
      <c r="BF181" s="56"/>
      <c r="BG181" s="56"/>
      <c r="BH181" s="56"/>
      <c r="BI181" s="56"/>
      <c r="BJ181" s="56"/>
      <c r="BK181" s="56"/>
      <c r="BL181" s="56"/>
      <c r="BM181" s="56"/>
      <c r="BN181" s="56"/>
      <c r="BO181" s="56"/>
      <c r="BP181" s="56"/>
      <c r="BQ181" s="5"/>
      <c r="BR181" s="25"/>
      <c r="BS181" s="5"/>
    </row>
    <row r="182" spans="1:71" s="3" customFormat="1" x14ac:dyDescent="0.25">
      <c r="A182" s="5"/>
      <c r="B182" s="3" t="str">
        <f t="array" ref="B182">IFERROR(INDEX(DemandSupply,MATCH(INDEX($AH$1:AH182,SMALL(ROW($AH$1:AH182)+(10000*($AH$1:AH182="")),COUNTA($AH$1:AH182))),Sectors,0)),"")</f>
        <v>Demand</v>
      </c>
      <c r="E182" s="10"/>
      <c r="F182" s="207"/>
      <c r="G182" s="207"/>
      <c r="H182" s="207"/>
      <c r="I182" s="207"/>
      <c r="J182" s="207"/>
      <c r="K182" s="207"/>
      <c r="L182" s="207"/>
      <c r="M182" s="207"/>
      <c r="N182" s="207"/>
      <c r="O182" s="207"/>
      <c r="P182" s="207"/>
      <c r="Q182" s="207"/>
      <c r="R182" s="207"/>
      <c r="S182" s="207"/>
      <c r="T182" s="207"/>
      <c r="U182" s="207"/>
      <c r="V182" s="207"/>
      <c r="W182" s="207"/>
      <c r="X182" s="207"/>
      <c r="Y182" s="207"/>
      <c r="Z182" s="207"/>
      <c r="AA182" s="207"/>
      <c r="AB182" s="207"/>
      <c r="AC182" s="5"/>
      <c r="AD182" s="63"/>
      <c r="AE182" s="64"/>
      <c r="AF182" s="64"/>
      <c r="AG182" s="212"/>
      <c r="AH182" s="64"/>
      <c r="AI182" s="64"/>
      <c r="AJ182" s="64"/>
      <c r="AK182" s="212"/>
      <c r="AL182" s="64"/>
      <c r="AM182" s="212"/>
      <c r="AN182" s="64"/>
      <c r="AO182" s="64"/>
      <c r="AP182" s="63"/>
      <c r="AQ182" s="64"/>
      <c r="AR182" s="63"/>
      <c r="AS182" s="64"/>
      <c r="AT182" s="63"/>
      <c r="AU182" s="64"/>
      <c r="AV182" s="63"/>
      <c r="AW182" s="64"/>
      <c r="AX182" s="63"/>
      <c r="AY182" s="5"/>
      <c r="AZ182" s="21" t="str">
        <f t="shared" si="40"/>
        <v/>
      </c>
      <c r="BA182" s="264" t="s">
        <v>449</v>
      </c>
      <c r="BB182" s="264"/>
      <c r="BC182" s="264"/>
      <c r="BD182" s="74" t="s">
        <v>357</v>
      </c>
      <c r="BE182" s="216" t="s">
        <v>30</v>
      </c>
      <c r="BF182" s="56"/>
      <c r="BG182" s="56"/>
      <c r="BH182" s="56"/>
      <c r="BI182" s="56"/>
      <c r="BJ182" s="56"/>
      <c r="BK182" s="56"/>
      <c r="BL182" s="56"/>
      <c r="BM182" s="56"/>
      <c r="BN182" s="56"/>
      <c r="BO182" s="56"/>
      <c r="BP182" s="56"/>
      <c r="BQ182" s="5"/>
      <c r="BR182" s="25"/>
      <c r="BS182" s="5"/>
    </row>
    <row r="183" spans="1:71" s="3" customFormat="1" x14ac:dyDescent="0.25">
      <c r="A183" s="5"/>
      <c r="B183" s="3" t="str">
        <f t="array" ref="B183">IFERROR(INDEX(DemandSupply,MATCH(INDEX($AH$1:AH183,SMALL(ROW($AH$1:AH183)+(10000*($AH$1:AH183="")),COUNTA($AH$1:AH183))),Sectors,0)),"")</f>
        <v>Demand</v>
      </c>
      <c r="E183" s="10"/>
      <c r="F183" s="207"/>
      <c r="G183" s="207"/>
      <c r="H183" s="207"/>
      <c r="I183" s="207"/>
      <c r="J183" s="207"/>
      <c r="K183" s="207"/>
      <c r="L183" s="207"/>
      <c r="M183" s="207"/>
      <c r="N183" s="207"/>
      <c r="O183" s="207"/>
      <c r="P183" s="207"/>
      <c r="Q183" s="207"/>
      <c r="R183" s="207"/>
      <c r="S183" s="207"/>
      <c r="T183" s="207"/>
      <c r="U183" s="207"/>
      <c r="V183" s="207"/>
      <c r="W183" s="207"/>
      <c r="X183" s="207"/>
      <c r="Y183" s="207"/>
      <c r="Z183" s="207"/>
      <c r="AA183" s="207"/>
      <c r="AB183" s="207"/>
      <c r="AC183" s="5"/>
      <c r="AD183" s="63"/>
      <c r="AE183" s="64"/>
      <c r="AF183" s="64"/>
      <c r="AG183" s="212"/>
      <c r="AH183" s="64"/>
      <c r="AI183" s="64"/>
      <c r="AJ183" s="64"/>
      <c r="AK183" s="212"/>
      <c r="AL183" s="64"/>
      <c r="AM183" s="212"/>
      <c r="AN183" s="64"/>
      <c r="AO183" s="64"/>
      <c r="AP183" s="63"/>
      <c r="AQ183" s="64"/>
      <c r="AR183" s="63"/>
      <c r="AS183" s="64"/>
      <c r="AT183" s="63"/>
      <c r="AU183" s="64"/>
      <c r="AV183" s="63"/>
      <c r="AW183" s="64"/>
      <c r="AX183" s="63"/>
      <c r="AY183" s="5"/>
      <c r="AZ183" s="21" t="str">
        <f t="shared" si="40"/>
        <v/>
      </c>
      <c r="BA183" s="264" t="s">
        <v>450</v>
      </c>
      <c r="BB183" s="264"/>
      <c r="BC183" s="264"/>
      <c r="BD183" s="264"/>
      <c r="BE183" s="216" t="s">
        <v>30</v>
      </c>
      <c r="BF183" s="55"/>
      <c r="BG183" s="55"/>
      <c r="BH183" s="55"/>
      <c r="BI183" s="55"/>
      <c r="BJ183" s="55"/>
      <c r="BK183" s="55"/>
      <c r="BL183" s="55"/>
      <c r="BM183" s="55"/>
      <c r="BN183" s="55"/>
      <c r="BO183" s="55"/>
      <c r="BP183" s="55"/>
      <c r="BQ183" s="5"/>
      <c r="BR183" s="25"/>
      <c r="BS183" s="5"/>
    </row>
    <row r="184" spans="1:71" s="3" customFormat="1" x14ac:dyDescent="0.25">
      <c r="A184" s="5"/>
      <c r="B184" s="3" t="str">
        <f t="array" ref="B184">IFERROR(INDEX(DemandSupply,MATCH(INDEX($AH$1:AH184,SMALL(ROW($AH$1:AH184)+(10000*($AH$1:AH184="")),COUNTA($AH$1:AH184))),Sectors,0)),"")</f>
        <v>Demand</v>
      </c>
      <c r="E184" s="10"/>
      <c r="F184" s="207"/>
      <c r="G184" s="207"/>
      <c r="H184" s="207"/>
      <c r="I184" s="207"/>
      <c r="J184" s="207"/>
      <c r="K184" s="207"/>
      <c r="L184" s="207"/>
      <c r="M184" s="207"/>
      <c r="N184" s="207"/>
      <c r="O184" s="207"/>
      <c r="P184" s="207"/>
      <c r="Q184" s="207"/>
      <c r="R184" s="207"/>
      <c r="S184" s="207"/>
      <c r="T184" s="207"/>
      <c r="U184" s="207"/>
      <c r="V184" s="207"/>
      <c r="W184" s="207"/>
      <c r="X184" s="207"/>
      <c r="Y184" s="207"/>
      <c r="Z184" s="207"/>
      <c r="AA184" s="207"/>
      <c r="AB184" s="207"/>
      <c r="AC184" s="5"/>
      <c r="AD184" s="63"/>
      <c r="AE184" s="64"/>
      <c r="AF184" s="64"/>
      <c r="AG184" s="212"/>
      <c r="AH184" s="64"/>
      <c r="AI184" s="64"/>
      <c r="AJ184" s="64"/>
      <c r="AK184" s="212"/>
      <c r="AL184" s="64"/>
      <c r="AM184" s="212"/>
      <c r="AN184" s="64"/>
      <c r="AO184" s="64"/>
      <c r="AP184" s="63"/>
      <c r="AQ184" s="64"/>
      <c r="AR184" s="63"/>
      <c r="AS184" s="64"/>
      <c r="AT184" s="63"/>
      <c r="AU184" s="64"/>
      <c r="AV184" s="63"/>
      <c r="AW184" s="64"/>
      <c r="AX184" s="63"/>
      <c r="AY184" s="5"/>
      <c r="AZ184" s="21" t="str">
        <f t="shared" si="40"/>
        <v/>
      </c>
      <c r="BA184" s="264" t="s">
        <v>451</v>
      </c>
      <c r="BB184" s="264"/>
      <c r="BC184" s="264"/>
      <c r="BD184" s="264"/>
      <c r="BE184" s="216" t="s">
        <v>30</v>
      </c>
      <c r="BF184" s="55"/>
      <c r="BG184" s="55"/>
      <c r="BH184" s="55"/>
      <c r="BI184" s="55"/>
      <c r="BJ184" s="55"/>
      <c r="BK184" s="55"/>
      <c r="BL184" s="55"/>
      <c r="BM184" s="55"/>
      <c r="BN184" s="55"/>
      <c r="BO184" s="55"/>
      <c r="BP184" s="55"/>
      <c r="BQ184" s="5"/>
      <c r="BR184" s="25"/>
      <c r="BS184" s="5"/>
    </row>
    <row r="185" spans="1:71" s="3" customFormat="1" x14ac:dyDescent="0.25">
      <c r="A185" s="5"/>
      <c r="B185" s="3" t="str">
        <f t="array" ref="B185">IFERROR(INDEX(DemandSupply,MATCH(INDEX($AH$1:AH185,SMALL(ROW($AH$1:AH185)+(10000*($AH$1:AH185="")),COUNTA($AH$1:AH185))),Sectors,0)),"")</f>
        <v>Demand</v>
      </c>
      <c r="E185" s="10"/>
      <c r="F185" s="207"/>
      <c r="G185" s="207"/>
      <c r="H185" s="207"/>
      <c r="I185" s="207"/>
      <c r="J185" s="207"/>
      <c r="K185" s="207"/>
      <c r="L185" s="207"/>
      <c r="M185" s="207"/>
      <c r="N185" s="207"/>
      <c r="O185" s="207"/>
      <c r="P185" s="207"/>
      <c r="Q185" s="207"/>
      <c r="R185" s="207"/>
      <c r="S185" s="207"/>
      <c r="T185" s="207"/>
      <c r="U185" s="207"/>
      <c r="V185" s="207"/>
      <c r="W185" s="207"/>
      <c r="X185" s="207"/>
      <c r="Y185" s="207"/>
      <c r="Z185" s="207"/>
      <c r="AA185" s="207"/>
      <c r="AB185" s="207"/>
      <c r="AC185" s="5"/>
      <c r="AD185" s="63"/>
      <c r="AE185" s="64"/>
      <c r="AF185" s="64"/>
      <c r="AG185" s="212"/>
      <c r="AH185" s="64"/>
      <c r="AI185" s="64"/>
      <c r="AJ185" s="64"/>
      <c r="AK185" s="212"/>
      <c r="AL185" s="64"/>
      <c r="AM185" s="212"/>
      <c r="AN185" s="64"/>
      <c r="AO185" s="64"/>
      <c r="AP185" s="63"/>
      <c r="AQ185" s="64"/>
      <c r="AR185" s="63"/>
      <c r="AS185" s="64"/>
      <c r="AT185" s="63"/>
      <c r="AU185" s="64"/>
      <c r="AV185" s="63"/>
      <c r="AW185" s="64"/>
      <c r="AX185" s="63"/>
      <c r="AY185" s="5"/>
      <c r="AZ185" s="21" t="str">
        <f t="shared" si="40"/>
        <v/>
      </c>
      <c r="BA185" s="264" t="s">
        <v>342</v>
      </c>
      <c r="BB185" s="264"/>
      <c r="BC185" s="264"/>
      <c r="BD185" s="74" t="s">
        <v>357</v>
      </c>
      <c r="BE185" s="216" t="s">
        <v>30</v>
      </c>
      <c r="BF185" s="56"/>
      <c r="BG185" s="56"/>
      <c r="BH185" s="56"/>
      <c r="BI185" s="56"/>
      <c r="BJ185" s="56"/>
      <c r="BK185" s="56"/>
      <c r="BL185" s="56"/>
      <c r="BM185" s="56"/>
      <c r="BN185" s="56"/>
      <c r="BO185" s="56"/>
      <c r="BP185" s="56"/>
      <c r="BQ185" s="5"/>
      <c r="BR185" s="25"/>
      <c r="BS185" s="5"/>
    </row>
    <row r="186" spans="1:71" s="3" customFormat="1" x14ac:dyDescent="0.25">
      <c r="A186" s="5"/>
      <c r="B186" s="3" t="str">
        <f t="array" ref="B186">IFERROR(INDEX(DemandSupply,MATCH(INDEX($AH$1:AH186,SMALL(ROW($AH$1:AH186)+(10000*($AH$1:AH186="")),COUNTA($AH$1:AH186))),Sectors,0)),"")</f>
        <v>Demand</v>
      </c>
      <c r="E186" s="10"/>
      <c r="F186" s="207"/>
      <c r="G186" s="207"/>
      <c r="H186" s="207"/>
      <c r="I186" s="207"/>
      <c r="J186" s="207"/>
      <c r="K186" s="207"/>
      <c r="L186" s="207"/>
      <c r="M186" s="207"/>
      <c r="N186" s="207"/>
      <c r="O186" s="207"/>
      <c r="P186" s="207"/>
      <c r="Q186" s="207"/>
      <c r="R186" s="207"/>
      <c r="S186" s="207"/>
      <c r="T186" s="207"/>
      <c r="U186" s="207"/>
      <c r="V186" s="207"/>
      <c r="W186" s="207"/>
      <c r="X186" s="207"/>
      <c r="Y186" s="207"/>
      <c r="Z186" s="207"/>
      <c r="AA186" s="207"/>
      <c r="AB186" s="207"/>
      <c r="AC186" s="5"/>
      <c r="AD186" s="63"/>
      <c r="AE186" s="64"/>
      <c r="AF186" s="64"/>
      <c r="AG186" s="212"/>
      <c r="AH186" s="64"/>
      <c r="AI186" s="64"/>
      <c r="AJ186" s="64"/>
      <c r="AK186" s="212"/>
      <c r="AL186" s="64"/>
      <c r="AM186" s="212"/>
      <c r="AN186" s="64"/>
      <c r="AO186" s="64"/>
      <c r="AP186" s="63"/>
      <c r="AQ186" s="64"/>
      <c r="AR186" s="63"/>
      <c r="AS186" s="64"/>
      <c r="AT186" s="63"/>
      <c r="AU186" s="64"/>
      <c r="AV186" s="63"/>
      <c r="AW186" s="64"/>
      <c r="AX186" s="63"/>
      <c r="AY186" s="5"/>
      <c r="AZ186" s="21" t="str">
        <f t="shared" si="40"/>
        <v/>
      </c>
      <c r="BA186" s="264" t="s">
        <v>394</v>
      </c>
      <c r="BB186" s="264"/>
      <c r="BC186" s="264"/>
      <c r="BD186" s="264" t="s">
        <v>354</v>
      </c>
      <c r="BE186" s="216" t="s">
        <v>30</v>
      </c>
      <c r="BF186" s="56"/>
      <c r="BG186" s="56"/>
      <c r="BH186" s="56"/>
      <c r="BI186" s="56"/>
      <c r="BJ186" s="56"/>
      <c r="BK186" s="56"/>
      <c r="BL186" s="56"/>
      <c r="BM186" s="56"/>
      <c r="BN186" s="56"/>
      <c r="BO186" s="56"/>
      <c r="BP186" s="56"/>
      <c r="BQ186" s="5"/>
      <c r="BR186" s="25"/>
      <c r="BS186" s="5"/>
    </row>
    <row r="187" spans="1:71" s="3" customFormat="1" x14ac:dyDescent="0.25">
      <c r="A187" s="5"/>
      <c r="B187" s="3" t="str">
        <f t="array" ref="B187">IFERROR(INDEX(DemandSupply,MATCH(INDEX($AH$1:AH187,SMALL(ROW($AH$1:AH187)+(10000*($AH$1:AH187="")),COUNTA($AH$1:AH187))),Sectors,0)),"")</f>
        <v>Demand</v>
      </c>
      <c r="E187" s="10">
        <f t="shared" si="24"/>
        <v>0</v>
      </c>
      <c r="F187" s="207">
        <v>1</v>
      </c>
      <c r="G187" s="207">
        <v>1</v>
      </c>
      <c r="H187" s="207">
        <v>1</v>
      </c>
      <c r="I187" s="207">
        <v>1</v>
      </c>
      <c r="J187" s="207">
        <v>1</v>
      </c>
      <c r="K187" s="207">
        <v>1</v>
      </c>
      <c r="L187" s="207">
        <v>1</v>
      </c>
      <c r="M187" s="207">
        <v>1</v>
      </c>
      <c r="N187" s="207">
        <v>1</v>
      </c>
      <c r="O187" s="207">
        <v>1</v>
      </c>
      <c r="P187" s="207">
        <v>1</v>
      </c>
      <c r="Q187" s="207">
        <v>1</v>
      </c>
      <c r="R187" s="207">
        <v>1</v>
      </c>
      <c r="S187" s="207">
        <v>1</v>
      </c>
      <c r="T187" s="207">
        <v>1</v>
      </c>
      <c r="U187" s="207">
        <v>1</v>
      </c>
      <c r="V187" s="207">
        <v>1</v>
      </c>
      <c r="W187" s="207">
        <v>1</v>
      </c>
      <c r="X187" s="207">
        <v>1</v>
      </c>
      <c r="Y187" s="207">
        <v>1</v>
      </c>
      <c r="Z187" s="207">
        <v>1</v>
      </c>
      <c r="AA187" s="207">
        <v>1</v>
      </c>
      <c r="AB187" s="207">
        <v>1</v>
      </c>
      <c r="AC187" s="5"/>
      <c r="AD187" s="63"/>
      <c r="AE187" s="64"/>
      <c r="AF187" s="64"/>
      <c r="AG187" s="212"/>
      <c r="AH187" s="64"/>
      <c r="AI187" s="64"/>
      <c r="AJ187" s="64"/>
      <c r="AK187" s="212"/>
      <c r="AL187" s="64"/>
      <c r="AM187" s="212"/>
      <c r="AN187" s="64"/>
      <c r="AO187" s="64"/>
      <c r="AP187" s="63"/>
      <c r="AQ187" s="64"/>
      <c r="AR187" s="63"/>
      <c r="AS187" s="64"/>
      <c r="AT187" s="63"/>
      <c r="AU187" s="64"/>
      <c r="AV187" s="63"/>
      <c r="AW187" s="64"/>
      <c r="AX187" s="63"/>
      <c r="AY187" s="5"/>
      <c r="AZ187" s="21" t="str">
        <f t="shared" si="40"/>
        <v/>
      </c>
      <c r="BA187" s="74" t="s">
        <v>338</v>
      </c>
      <c r="BB187" s="25"/>
      <c r="BC187" s="74" t="s">
        <v>129</v>
      </c>
      <c r="BD187" s="74" t="s">
        <v>45</v>
      </c>
      <c r="BE187" s="216" t="s">
        <v>30</v>
      </c>
      <c r="BF187" s="55">
        <v>0.36</v>
      </c>
      <c r="BG187" s="55">
        <f t="shared" ref="BG187:BP187" si="46">BF187</f>
        <v>0.36</v>
      </c>
      <c r="BH187" s="55">
        <f t="shared" si="46"/>
        <v>0.36</v>
      </c>
      <c r="BI187" s="55">
        <f t="shared" si="46"/>
        <v>0.36</v>
      </c>
      <c r="BJ187" s="55">
        <f t="shared" si="46"/>
        <v>0.36</v>
      </c>
      <c r="BK187" s="55">
        <f t="shared" si="46"/>
        <v>0.36</v>
      </c>
      <c r="BL187" s="55">
        <f t="shared" si="46"/>
        <v>0.36</v>
      </c>
      <c r="BM187" s="55">
        <f t="shared" si="46"/>
        <v>0.36</v>
      </c>
      <c r="BN187" s="55">
        <f t="shared" si="46"/>
        <v>0.36</v>
      </c>
      <c r="BO187" s="55">
        <f t="shared" si="46"/>
        <v>0.36</v>
      </c>
      <c r="BP187" s="55">
        <f t="shared" si="46"/>
        <v>0.36</v>
      </c>
      <c r="BQ187" s="5"/>
      <c r="BR187" s="25"/>
      <c r="BS187" s="5"/>
    </row>
    <row r="188" spans="1:71" s="3" customFormat="1" x14ac:dyDescent="0.25">
      <c r="A188" s="5"/>
      <c r="B188" s="3" t="str">
        <f t="array" ref="B188">IFERROR(INDEX(DemandSupply,MATCH(INDEX($AH$1:AH188,SMALL(ROW($AH$1:AH188)+(10000*($AH$1:AH188="")),COUNTA($AH$1:AH188))),Sectors,0)),"")</f>
        <v>Demand</v>
      </c>
      <c r="E188" s="10">
        <f t="shared" si="24"/>
        <v>0</v>
      </c>
      <c r="F188" s="207">
        <v>1</v>
      </c>
      <c r="G188" s="207">
        <v>1</v>
      </c>
      <c r="H188" s="207">
        <v>1</v>
      </c>
      <c r="I188" s="207">
        <v>1</v>
      </c>
      <c r="J188" s="207">
        <v>1</v>
      </c>
      <c r="K188" s="207">
        <v>1</v>
      </c>
      <c r="L188" s="207">
        <v>1</v>
      </c>
      <c r="M188" s="207">
        <v>1</v>
      </c>
      <c r="N188" s="207">
        <v>1</v>
      </c>
      <c r="O188" s="207">
        <v>1</v>
      </c>
      <c r="P188" s="207">
        <v>1</v>
      </c>
      <c r="Q188" s="207">
        <v>1</v>
      </c>
      <c r="R188" s="207">
        <v>1</v>
      </c>
      <c r="S188" s="207">
        <v>1</v>
      </c>
      <c r="T188" s="207">
        <v>1</v>
      </c>
      <c r="U188" s="207">
        <v>1</v>
      </c>
      <c r="V188" s="207">
        <v>1</v>
      </c>
      <c r="W188" s="207">
        <v>1</v>
      </c>
      <c r="X188" s="207">
        <v>1</v>
      </c>
      <c r="Y188" s="207">
        <v>1</v>
      </c>
      <c r="Z188" s="207">
        <v>1</v>
      </c>
      <c r="AA188" s="207">
        <v>1</v>
      </c>
      <c r="AB188" s="207">
        <v>1</v>
      </c>
      <c r="AC188" s="5"/>
      <c r="AD188" s="63"/>
      <c r="AE188" s="64"/>
      <c r="AF188" s="64"/>
      <c r="AG188" s="212"/>
      <c r="AH188" s="64"/>
      <c r="AI188" s="64"/>
      <c r="AJ188" s="64"/>
      <c r="AK188" s="212"/>
      <c r="AL188" s="64"/>
      <c r="AM188" s="212"/>
      <c r="AN188" s="64"/>
      <c r="AO188" s="64"/>
      <c r="AP188" s="63"/>
      <c r="AQ188" s="64"/>
      <c r="AR188" s="63"/>
      <c r="AS188" s="64"/>
      <c r="AT188" s="63"/>
      <c r="AU188" s="64"/>
      <c r="AV188" s="63"/>
      <c r="AW188" s="64"/>
      <c r="AX188" s="63"/>
      <c r="AY188" s="5"/>
      <c r="AZ188" s="21" t="str">
        <f t="shared" si="40"/>
        <v/>
      </c>
      <c r="BA188" s="74" t="s">
        <v>338</v>
      </c>
      <c r="BB188" s="25"/>
      <c r="BC188" s="74" t="s">
        <v>130</v>
      </c>
      <c r="BD188" s="74" t="s">
        <v>45</v>
      </c>
      <c r="BE188" s="216" t="s">
        <v>30</v>
      </c>
      <c r="BF188" s="55">
        <v>3.9E-2</v>
      </c>
      <c r="BG188" s="55">
        <f t="shared" ref="BG188:BP188" si="47">BF188</f>
        <v>3.9E-2</v>
      </c>
      <c r="BH188" s="55">
        <f t="shared" si="47"/>
        <v>3.9E-2</v>
      </c>
      <c r="BI188" s="55">
        <f t="shared" si="47"/>
        <v>3.9E-2</v>
      </c>
      <c r="BJ188" s="55">
        <f t="shared" si="47"/>
        <v>3.9E-2</v>
      </c>
      <c r="BK188" s="55">
        <f t="shared" si="47"/>
        <v>3.9E-2</v>
      </c>
      <c r="BL188" s="55">
        <f t="shared" si="47"/>
        <v>3.9E-2</v>
      </c>
      <c r="BM188" s="55">
        <f t="shared" si="47"/>
        <v>3.9E-2</v>
      </c>
      <c r="BN188" s="55">
        <f t="shared" si="47"/>
        <v>3.9E-2</v>
      </c>
      <c r="BO188" s="55">
        <f t="shared" si="47"/>
        <v>3.9E-2</v>
      </c>
      <c r="BP188" s="55">
        <f t="shared" si="47"/>
        <v>3.9E-2</v>
      </c>
      <c r="BQ188" s="5"/>
      <c r="BR188" s="25"/>
      <c r="BS188" s="5"/>
    </row>
    <row r="189" spans="1:71" s="3" customFormat="1" x14ac:dyDescent="0.25">
      <c r="A189" s="5"/>
      <c r="B189" s="3" t="str">
        <f t="array" ref="B189">IFERROR(INDEX(DemandSupply,MATCH(INDEX($AH$1:AH189,SMALL(ROW($AH$1:AH189)+(10000*($AH$1:AH189="")),COUNTA($AH$1:AH189))),Sectors,0)),"")</f>
        <v>Demand</v>
      </c>
      <c r="E189" s="10">
        <f t="shared" si="24"/>
        <v>0</v>
      </c>
      <c r="F189" s="207">
        <v>1</v>
      </c>
      <c r="G189" s="207">
        <v>1</v>
      </c>
      <c r="H189" s="207">
        <v>1</v>
      </c>
      <c r="I189" s="207">
        <v>1</v>
      </c>
      <c r="J189" s="207">
        <v>1</v>
      </c>
      <c r="K189" s="207">
        <v>1</v>
      </c>
      <c r="L189" s="207">
        <v>1</v>
      </c>
      <c r="M189" s="207">
        <v>1</v>
      </c>
      <c r="N189" s="207">
        <v>1</v>
      </c>
      <c r="O189" s="207">
        <v>1</v>
      </c>
      <c r="P189" s="207">
        <v>1</v>
      </c>
      <c r="Q189" s="207">
        <v>1</v>
      </c>
      <c r="R189" s="207">
        <v>1</v>
      </c>
      <c r="S189" s="207">
        <v>1</v>
      </c>
      <c r="T189" s="207">
        <v>1</v>
      </c>
      <c r="U189" s="207">
        <v>1</v>
      </c>
      <c r="V189" s="207">
        <v>1</v>
      </c>
      <c r="W189" s="207">
        <v>1</v>
      </c>
      <c r="X189" s="207">
        <v>1</v>
      </c>
      <c r="Y189" s="207">
        <v>1</v>
      </c>
      <c r="Z189" s="207">
        <v>1</v>
      </c>
      <c r="AA189" s="207">
        <v>1</v>
      </c>
      <c r="AB189" s="207">
        <v>1</v>
      </c>
      <c r="AC189" s="5"/>
      <c r="AD189" s="63"/>
      <c r="AE189" s="64"/>
      <c r="AF189" s="64"/>
      <c r="AG189" s="212"/>
      <c r="AH189" s="64"/>
      <c r="AI189" s="64"/>
      <c r="AJ189" s="64"/>
      <c r="AK189" s="212"/>
      <c r="AL189" s="64"/>
      <c r="AM189" s="212"/>
      <c r="AN189" s="64"/>
      <c r="AO189" s="64"/>
      <c r="AP189" s="63"/>
      <c r="AQ189" s="64"/>
      <c r="AR189" s="63"/>
      <c r="AS189" s="64"/>
      <c r="AT189" s="63"/>
      <c r="AU189" s="64"/>
      <c r="AV189" s="63"/>
      <c r="AW189" s="64"/>
      <c r="AX189" s="63"/>
      <c r="AY189" s="5"/>
      <c r="AZ189" s="21" t="str">
        <f t="shared" si="40"/>
        <v/>
      </c>
      <c r="BA189" s="291" t="s">
        <v>51</v>
      </c>
      <c r="BB189" s="25"/>
      <c r="BC189" s="2"/>
      <c r="BD189" s="2"/>
      <c r="BE189" s="216" t="s">
        <v>31</v>
      </c>
      <c r="BF189" s="4"/>
      <c r="BG189" s="4"/>
      <c r="BH189" s="4"/>
      <c r="BI189" s="4"/>
      <c r="BJ189" s="4"/>
      <c r="BK189" s="4"/>
      <c r="BL189" s="4"/>
      <c r="BM189" s="4"/>
      <c r="BN189" s="4"/>
      <c r="BO189" s="4"/>
      <c r="BP189" s="4"/>
      <c r="BQ189" s="5"/>
      <c r="BR189" s="25"/>
      <c r="BS189" s="5"/>
    </row>
    <row r="190" spans="1:71" s="3" customFormat="1" x14ac:dyDescent="0.25">
      <c r="A190" s="5"/>
      <c r="B190" s="3" t="str">
        <f t="array" ref="B190">IFERROR(INDEX(DemandSupply,MATCH(INDEX($AH$1:AH190,SMALL(ROW($AH$1:AH190)+(10000*($AH$1:AH190="")),COUNTA($AH$1:AH190))),Sectors,0)),"")</f>
        <v>Demand</v>
      </c>
      <c r="E190" s="10"/>
      <c r="F190" s="207"/>
      <c r="G190" s="207"/>
      <c r="H190" s="207"/>
      <c r="I190" s="207"/>
      <c r="J190" s="207"/>
      <c r="K190" s="207"/>
      <c r="L190" s="207"/>
      <c r="M190" s="207"/>
      <c r="N190" s="207"/>
      <c r="O190" s="207"/>
      <c r="P190" s="207"/>
      <c r="Q190" s="207"/>
      <c r="R190" s="207"/>
      <c r="S190" s="207"/>
      <c r="T190" s="207"/>
      <c r="U190" s="207"/>
      <c r="V190" s="207"/>
      <c r="W190" s="207"/>
      <c r="X190" s="207"/>
      <c r="Y190" s="207"/>
      <c r="Z190" s="207"/>
      <c r="AA190" s="207"/>
      <c r="AB190" s="207"/>
      <c r="AC190" s="5"/>
      <c r="AD190" s="63"/>
      <c r="AE190" s="64"/>
      <c r="AF190" s="64"/>
      <c r="AG190" s="212"/>
      <c r="AH190" s="64"/>
      <c r="AI190" s="64"/>
      <c r="AJ190" s="64"/>
      <c r="AK190" s="212"/>
      <c r="AL190" s="64"/>
      <c r="AM190" s="212"/>
      <c r="AN190" s="64"/>
      <c r="AO190" s="64"/>
      <c r="AP190" s="63"/>
      <c r="AQ190" s="64"/>
      <c r="AR190" s="63"/>
      <c r="AS190" s="64"/>
      <c r="AT190" s="63"/>
      <c r="AU190" s="64"/>
      <c r="AV190" s="63"/>
      <c r="AW190" s="64"/>
      <c r="AX190" s="63"/>
      <c r="AY190" s="5"/>
      <c r="AZ190" s="21" t="str">
        <f t="shared" si="40"/>
        <v/>
      </c>
      <c r="BA190" s="264" t="s">
        <v>38</v>
      </c>
      <c r="BB190" s="264"/>
      <c r="BC190" s="264"/>
      <c r="BD190" s="74" t="s">
        <v>40</v>
      </c>
      <c r="BE190" s="216" t="s">
        <v>31</v>
      </c>
      <c r="BF190" s="309">
        <v>2015</v>
      </c>
      <c r="BG190" s="310">
        <f t="shared" ref="BG190:BP190" si="48">BF190</f>
        <v>2015</v>
      </c>
      <c r="BH190" s="310">
        <f t="shared" si="48"/>
        <v>2015</v>
      </c>
      <c r="BI190" s="310">
        <f t="shared" si="48"/>
        <v>2015</v>
      </c>
      <c r="BJ190" s="310">
        <f t="shared" si="48"/>
        <v>2015</v>
      </c>
      <c r="BK190" s="310">
        <f t="shared" si="48"/>
        <v>2015</v>
      </c>
      <c r="BL190" s="310">
        <f t="shared" si="48"/>
        <v>2015</v>
      </c>
      <c r="BM190" s="310">
        <f t="shared" si="48"/>
        <v>2015</v>
      </c>
      <c r="BN190" s="310">
        <f t="shared" si="48"/>
        <v>2015</v>
      </c>
      <c r="BO190" s="310">
        <f t="shared" si="48"/>
        <v>2015</v>
      </c>
      <c r="BP190" s="310">
        <f t="shared" si="48"/>
        <v>2015</v>
      </c>
      <c r="BQ190" s="5"/>
      <c r="BR190" s="25"/>
      <c r="BS190" s="5"/>
    </row>
    <row r="191" spans="1:71" s="3" customFormat="1" x14ac:dyDescent="0.25">
      <c r="A191" s="5"/>
      <c r="B191" s="3" t="str">
        <f t="array" ref="B191">IFERROR(INDEX(DemandSupply,MATCH(INDEX($AH$1:AH191,SMALL(ROW($AH$1:AH191)+(10000*($AH$1:AH191="")),COUNTA($AH$1:AH191))),Sectors,0)),"")</f>
        <v>Demand</v>
      </c>
      <c r="E191" s="10"/>
      <c r="F191" s="207"/>
      <c r="G191" s="207"/>
      <c r="H191" s="207"/>
      <c r="I191" s="207"/>
      <c r="J191" s="207"/>
      <c r="K191" s="207"/>
      <c r="L191" s="207"/>
      <c r="M191" s="207"/>
      <c r="N191" s="207"/>
      <c r="O191" s="207"/>
      <c r="P191" s="207"/>
      <c r="Q191" s="207"/>
      <c r="R191" s="207"/>
      <c r="S191" s="207"/>
      <c r="T191" s="207"/>
      <c r="U191" s="207"/>
      <c r="V191" s="207"/>
      <c r="W191" s="207"/>
      <c r="X191" s="207"/>
      <c r="Y191" s="207"/>
      <c r="Z191" s="207"/>
      <c r="AA191" s="207"/>
      <c r="AB191" s="207"/>
      <c r="AC191" s="5"/>
      <c r="AD191" s="63"/>
      <c r="AE191" s="64"/>
      <c r="AF191" s="64"/>
      <c r="AG191" s="212"/>
      <c r="AH191" s="64"/>
      <c r="AI191" s="64"/>
      <c r="AJ191" s="64"/>
      <c r="AK191" s="212"/>
      <c r="AL191" s="64"/>
      <c r="AM191" s="212"/>
      <c r="AN191" s="64"/>
      <c r="AO191" s="64"/>
      <c r="AP191" s="63"/>
      <c r="AQ191" s="64"/>
      <c r="AR191" s="63"/>
      <c r="AS191" s="64"/>
      <c r="AT191" s="63"/>
      <c r="AU191" s="64"/>
      <c r="AV191" s="63"/>
      <c r="AW191" s="64"/>
      <c r="AX191" s="63"/>
      <c r="AY191" s="5"/>
      <c r="AZ191" s="21" t="str">
        <f t="shared" si="40"/>
        <v/>
      </c>
      <c r="BA191" s="264" t="s">
        <v>37</v>
      </c>
      <c r="BB191" s="264"/>
      <c r="BC191" s="264"/>
      <c r="BD191" s="74" t="s">
        <v>40</v>
      </c>
      <c r="BE191" s="216" t="s">
        <v>31</v>
      </c>
      <c r="BF191" s="309">
        <v>2100</v>
      </c>
      <c r="BG191" s="310">
        <f t="shared" ref="BG191:BP191" si="49">BF191</f>
        <v>2100</v>
      </c>
      <c r="BH191" s="310">
        <f t="shared" si="49"/>
        <v>2100</v>
      </c>
      <c r="BI191" s="310">
        <f t="shared" si="49"/>
        <v>2100</v>
      </c>
      <c r="BJ191" s="310">
        <f t="shared" si="49"/>
        <v>2100</v>
      </c>
      <c r="BK191" s="310">
        <f t="shared" si="49"/>
        <v>2100</v>
      </c>
      <c r="BL191" s="310">
        <f t="shared" si="49"/>
        <v>2100</v>
      </c>
      <c r="BM191" s="310">
        <f t="shared" si="49"/>
        <v>2100</v>
      </c>
      <c r="BN191" s="310">
        <f t="shared" si="49"/>
        <v>2100</v>
      </c>
      <c r="BO191" s="310">
        <f t="shared" si="49"/>
        <v>2100</v>
      </c>
      <c r="BP191" s="310">
        <f t="shared" si="49"/>
        <v>2100</v>
      </c>
      <c r="BQ191" s="5"/>
      <c r="BR191" s="25"/>
      <c r="BS191" s="5"/>
    </row>
    <row r="192" spans="1:71" s="3" customFormat="1" x14ac:dyDescent="0.25">
      <c r="A192" s="5"/>
      <c r="B192" s="3" t="str">
        <f t="array" ref="B192">IFERROR(INDEX(DemandSupply,MATCH(INDEX($AH$1:AH192,SMALL(ROW($AH$1:AH192)+(10000*($AH$1:AH192="")),COUNTA($AH$1:AH192))),Sectors,0)),"")</f>
        <v>Demand</v>
      </c>
      <c r="E192" s="10"/>
      <c r="F192" s="207"/>
      <c r="G192" s="207"/>
      <c r="H192" s="207"/>
      <c r="I192" s="207"/>
      <c r="J192" s="207"/>
      <c r="K192" s="207"/>
      <c r="L192" s="207"/>
      <c r="M192" s="207"/>
      <c r="N192" s="207"/>
      <c r="O192" s="207"/>
      <c r="P192" s="207"/>
      <c r="Q192" s="207"/>
      <c r="R192" s="207"/>
      <c r="S192" s="207"/>
      <c r="T192" s="207"/>
      <c r="U192" s="207"/>
      <c r="V192" s="207"/>
      <c r="W192" s="207"/>
      <c r="X192" s="207"/>
      <c r="Y192" s="207"/>
      <c r="Z192" s="207"/>
      <c r="AA192" s="207"/>
      <c r="AB192" s="207"/>
      <c r="AC192" s="5"/>
      <c r="AD192" s="63"/>
      <c r="AE192" s="64"/>
      <c r="AF192" s="64"/>
      <c r="AG192" s="212"/>
      <c r="AH192" s="64"/>
      <c r="AI192" s="64"/>
      <c r="AJ192" s="64"/>
      <c r="AK192" s="212"/>
      <c r="AL192" s="64"/>
      <c r="AM192" s="212"/>
      <c r="AN192" s="64"/>
      <c r="AO192" s="64"/>
      <c r="AP192" s="63"/>
      <c r="AQ192" s="64"/>
      <c r="AR192" s="63"/>
      <c r="AS192" s="64"/>
      <c r="AT192" s="63"/>
      <c r="AU192" s="64"/>
      <c r="AV192" s="63"/>
      <c r="AW192" s="64"/>
      <c r="AX192" s="63"/>
      <c r="AY192" s="5"/>
      <c r="AZ192" s="21" t="str">
        <f t="shared" si="40"/>
        <v/>
      </c>
      <c r="BA192" s="264" t="s">
        <v>39</v>
      </c>
      <c r="BB192" s="264"/>
      <c r="BC192" s="264"/>
      <c r="BD192" s="74" t="s">
        <v>10</v>
      </c>
      <c r="BE192" s="216" t="s">
        <v>31</v>
      </c>
      <c r="BF192" s="56">
        <v>25</v>
      </c>
      <c r="BG192" s="245">
        <f t="shared" ref="BG192:BP192" si="50">BF192</f>
        <v>25</v>
      </c>
      <c r="BH192" s="245">
        <f t="shared" si="50"/>
        <v>25</v>
      </c>
      <c r="BI192" s="245">
        <f t="shared" si="50"/>
        <v>25</v>
      </c>
      <c r="BJ192" s="245">
        <f t="shared" si="50"/>
        <v>25</v>
      </c>
      <c r="BK192" s="245">
        <f t="shared" si="50"/>
        <v>25</v>
      </c>
      <c r="BL192" s="245">
        <f t="shared" si="50"/>
        <v>25</v>
      </c>
      <c r="BM192" s="245">
        <f t="shared" si="50"/>
        <v>25</v>
      </c>
      <c r="BN192" s="245">
        <f t="shared" si="50"/>
        <v>25</v>
      </c>
      <c r="BO192" s="245">
        <f t="shared" si="50"/>
        <v>25</v>
      </c>
      <c r="BP192" s="245">
        <f t="shared" si="50"/>
        <v>25</v>
      </c>
      <c r="BQ192" s="5"/>
      <c r="BR192" s="25"/>
      <c r="BS192" s="5"/>
    </row>
    <row r="193" spans="1:71" s="3" customFormat="1" x14ac:dyDescent="0.25">
      <c r="A193" s="5"/>
      <c r="B193" s="3" t="str">
        <f t="array" ref="B193">IFERROR(INDEX(DemandSupply,MATCH(INDEX($AH$1:AH193,SMALL(ROW($AH$1:AH193)+(10000*($AH$1:AH193="")),COUNTA($AH$1:AH193))),Sectors,0)),"")</f>
        <v>Demand</v>
      </c>
      <c r="E193" s="10"/>
      <c r="F193" s="207"/>
      <c r="G193" s="207"/>
      <c r="H193" s="207"/>
      <c r="I193" s="207"/>
      <c r="J193" s="207"/>
      <c r="K193" s="207"/>
      <c r="L193" s="207"/>
      <c r="M193" s="207"/>
      <c r="N193" s="207"/>
      <c r="O193" s="207"/>
      <c r="P193" s="207"/>
      <c r="Q193" s="207"/>
      <c r="R193" s="207"/>
      <c r="S193" s="207"/>
      <c r="T193" s="207"/>
      <c r="U193" s="207"/>
      <c r="V193" s="207"/>
      <c r="W193" s="207"/>
      <c r="X193" s="207"/>
      <c r="Y193" s="207"/>
      <c r="Z193" s="207"/>
      <c r="AA193" s="207"/>
      <c r="AB193" s="207"/>
      <c r="AC193" s="5"/>
      <c r="AD193" s="63"/>
      <c r="AE193" s="64"/>
      <c r="AF193" s="64"/>
      <c r="AG193" s="212"/>
      <c r="AH193" s="64"/>
      <c r="AI193" s="64"/>
      <c r="AJ193" s="64"/>
      <c r="AK193" s="212"/>
      <c r="AL193" s="64"/>
      <c r="AM193" s="212"/>
      <c r="AN193" s="64"/>
      <c r="AO193" s="64"/>
      <c r="AP193" s="63"/>
      <c r="AQ193" s="64"/>
      <c r="AR193" s="63"/>
      <c r="AS193" s="64"/>
      <c r="AT193" s="63"/>
      <c r="AU193" s="64"/>
      <c r="AV193" s="63"/>
      <c r="AW193" s="64"/>
      <c r="AX193" s="63"/>
      <c r="AY193" s="5"/>
      <c r="AZ193" s="21" t="str">
        <f t="shared" si="40"/>
        <v/>
      </c>
      <c r="BA193" s="264" t="s">
        <v>395</v>
      </c>
      <c r="BB193" s="264"/>
      <c r="BC193" s="264"/>
      <c r="BD193" s="264" t="s">
        <v>10</v>
      </c>
      <c r="BE193" s="216" t="s">
        <v>31</v>
      </c>
      <c r="BF193" s="56"/>
      <c r="BG193" s="56"/>
      <c r="BH193" s="56"/>
      <c r="BI193" s="56"/>
      <c r="BJ193" s="56"/>
      <c r="BK193" s="56"/>
      <c r="BL193" s="56"/>
      <c r="BM193" s="56"/>
      <c r="BN193" s="56"/>
      <c r="BO193" s="56"/>
      <c r="BP193" s="56"/>
      <c r="BQ193" s="5"/>
      <c r="BR193" s="25"/>
      <c r="BS193" s="5"/>
    </row>
    <row r="194" spans="1:71" s="3" customFormat="1" x14ac:dyDescent="0.25">
      <c r="A194" s="5"/>
      <c r="B194" s="3" t="str">
        <f t="array" ref="B194">IFERROR(INDEX(DemandSupply,MATCH(INDEX($AH$1:AH194,SMALL(ROW($AH$1:AH194)+(10000*($AH$1:AH194="")),COUNTA($AH$1:AH194))),Sectors,0)),"")</f>
        <v>Demand</v>
      </c>
      <c r="E194" s="10"/>
      <c r="F194" s="207"/>
      <c r="G194" s="207"/>
      <c r="H194" s="207"/>
      <c r="I194" s="207"/>
      <c r="J194" s="207"/>
      <c r="K194" s="207"/>
      <c r="L194" s="207"/>
      <c r="M194" s="207"/>
      <c r="N194" s="207"/>
      <c r="O194" s="207"/>
      <c r="P194" s="207"/>
      <c r="Q194" s="207"/>
      <c r="R194" s="207"/>
      <c r="S194" s="207"/>
      <c r="T194" s="207"/>
      <c r="U194" s="207"/>
      <c r="V194" s="207"/>
      <c r="W194" s="207"/>
      <c r="X194" s="207"/>
      <c r="Y194" s="207"/>
      <c r="Z194" s="207"/>
      <c r="AA194" s="207"/>
      <c r="AB194" s="207"/>
      <c r="AC194" s="5"/>
      <c r="AD194" s="63"/>
      <c r="AE194" s="64"/>
      <c r="AF194" s="64"/>
      <c r="AG194" s="212"/>
      <c r="AH194" s="64"/>
      <c r="AI194" s="64"/>
      <c r="AJ194" s="64"/>
      <c r="AK194" s="212"/>
      <c r="AL194" s="64"/>
      <c r="AM194" s="212"/>
      <c r="AN194" s="64"/>
      <c r="AO194" s="64"/>
      <c r="AP194" s="63"/>
      <c r="AQ194" s="64"/>
      <c r="AR194" s="63"/>
      <c r="AS194" s="64"/>
      <c r="AT194" s="63"/>
      <c r="AU194" s="64"/>
      <c r="AV194" s="63"/>
      <c r="AW194" s="64"/>
      <c r="AX194" s="63"/>
      <c r="AY194" s="5"/>
      <c r="AZ194" s="21" t="str">
        <f t="shared" si="40"/>
        <v/>
      </c>
      <c r="BA194" s="264" t="s">
        <v>341</v>
      </c>
      <c r="BB194" s="264"/>
      <c r="BC194" s="264"/>
      <c r="BD194" s="74" t="s">
        <v>99</v>
      </c>
      <c r="BE194" s="216" t="s">
        <v>31</v>
      </c>
      <c r="BF194" s="303">
        <v>0.25</v>
      </c>
      <c r="BG194" s="304">
        <f t="shared" ref="BG194:BP194" si="51">BF194</f>
        <v>0.25</v>
      </c>
      <c r="BH194" s="304">
        <f t="shared" si="51"/>
        <v>0.25</v>
      </c>
      <c r="BI194" s="304">
        <f t="shared" si="51"/>
        <v>0.25</v>
      </c>
      <c r="BJ194" s="304">
        <f t="shared" si="51"/>
        <v>0.25</v>
      </c>
      <c r="BK194" s="304">
        <f t="shared" si="51"/>
        <v>0.25</v>
      </c>
      <c r="BL194" s="304">
        <f t="shared" si="51"/>
        <v>0.25</v>
      </c>
      <c r="BM194" s="304">
        <f t="shared" si="51"/>
        <v>0.25</v>
      </c>
      <c r="BN194" s="304">
        <f t="shared" si="51"/>
        <v>0.25</v>
      </c>
      <c r="BO194" s="304">
        <f t="shared" si="51"/>
        <v>0.25</v>
      </c>
      <c r="BP194" s="304">
        <f t="shared" si="51"/>
        <v>0.25</v>
      </c>
      <c r="BQ194" s="5"/>
      <c r="BR194" s="25"/>
      <c r="BS194" s="5"/>
    </row>
    <row r="195" spans="1:71" s="3" customFormat="1" x14ac:dyDescent="0.25">
      <c r="A195" s="5"/>
      <c r="B195" s="3" t="str">
        <f t="array" ref="B195">IFERROR(INDEX(DemandSupply,MATCH(INDEX($AH$1:AH195,SMALL(ROW($AH$1:AH195)+(10000*($AH$1:AH195="")),COUNTA($AH$1:AH195))),Sectors,0)),"")</f>
        <v>Demand</v>
      </c>
      <c r="E195" s="10"/>
      <c r="F195" s="207"/>
      <c r="G195" s="207"/>
      <c r="H195" s="207"/>
      <c r="I195" s="207"/>
      <c r="J195" s="207"/>
      <c r="K195" s="207"/>
      <c r="L195" s="207"/>
      <c r="M195" s="207"/>
      <c r="N195" s="207"/>
      <c r="O195" s="207"/>
      <c r="P195" s="207"/>
      <c r="Q195" s="207"/>
      <c r="R195" s="207"/>
      <c r="S195" s="207"/>
      <c r="T195" s="207"/>
      <c r="U195" s="207"/>
      <c r="V195" s="207"/>
      <c r="W195" s="207"/>
      <c r="X195" s="207"/>
      <c r="Y195" s="207"/>
      <c r="Z195" s="207"/>
      <c r="AA195" s="207"/>
      <c r="AB195" s="207"/>
      <c r="AC195" s="5"/>
      <c r="AD195" s="63"/>
      <c r="AE195" s="64"/>
      <c r="AF195" s="64"/>
      <c r="AG195" s="212"/>
      <c r="AH195" s="64"/>
      <c r="AI195" s="64"/>
      <c r="AJ195" s="64"/>
      <c r="AK195" s="212"/>
      <c r="AL195" s="64"/>
      <c r="AM195" s="212"/>
      <c r="AN195" s="64"/>
      <c r="AO195" s="64"/>
      <c r="AP195" s="63"/>
      <c r="AQ195" s="64"/>
      <c r="AR195" s="63"/>
      <c r="AS195" s="64"/>
      <c r="AT195" s="63"/>
      <c r="AU195" s="64"/>
      <c r="AV195" s="63"/>
      <c r="AW195" s="64"/>
      <c r="AX195" s="63"/>
      <c r="AY195" s="5"/>
      <c r="AZ195" s="21" t="str">
        <f t="shared" si="40"/>
        <v/>
      </c>
      <c r="BA195" s="264" t="s">
        <v>392</v>
      </c>
      <c r="BB195" s="264"/>
      <c r="BC195" s="264"/>
      <c r="BD195" s="264" t="s">
        <v>99</v>
      </c>
      <c r="BE195" s="216" t="s">
        <v>31</v>
      </c>
      <c r="BF195" s="303"/>
      <c r="BG195" s="303"/>
      <c r="BH195" s="303"/>
      <c r="BI195" s="303"/>
      <c r="BJ195" s="303"/>
      <c r="BK195" s="303"/>
      <c r="BL195" s="303"/>
      <c r="BM195" s="303"/>
      <c r="BN195" s="303"/>
      <c r="BO195" s="303"/>
      <c r="BP195" s="303"/>
      <c r="BQ195" s="5"/>
      <c r="BR195" s="25"/>
      <c r="BS195" s="5"/>
    </row>
    <row r="196" spans="1:71" s="3" customFormat="1" x14ac:dyDescent="0.25">
      <c r="A196" s="5"/>
      <c r="B196" s="3" t="str">
        <f t="array" ref="B196">IFERROR(INDEX(DemandSupply,MATCH(INDEX($AH$1:AH196,SMALL(ROW($AH$1:AH196)+(10000*($AH$1:AH196="")),COUNTA($AH$1:AH196))),Sectors,0)),"")</f>
        <v>Demand</v>
      </c>
      <c r="E196" s="10"/>
      <c r="F196" s="207"/>
      <c r="G196" s="207"/>
      <c r="H196" s="207"/>
      <c r="I196" s="207"/>
      <c r="J196" s="207"/>
      <c r="K196" s="207"/>
      <c r="L196" s="207"/>
      <c r="M196" s="207"/>
      <c r="N196" s="207"/>
      <c r="O196" s="207"/>
      <c r="P196" s="207"/>
      <c r="Q196" s="207"/>
      <c r="R196" s="207"/>
      <c r="S196" s="207"/>
      <c r="T196" s="207"/>
      <c r="U196" s="207"/>
      <c r="V196" s="207"/>
      <c r="W196" s="207"/>
      <c r="X196" s="207"/>
      <c r="Y196" s="207"/>
      <c r="Z196" s="207"/>
      <c r="AA196" s="207"/>
      <c r="AB196" s="207"/>
      <c r="AC196" s="5"/>
      <c r="AD196" s="63"/>
      <c r="AE196" s="64"/>
      <c r="AF196" s="64"/>
      <c r="AG196" s="212"/>
      <c r="AH196" s="64"/>
      <c r="AI196" s="64"/>
      <c r="AJ196" s="64"/>
      <c r="AK196" s="212"/>
      <c r="AL196" s="64"/>
      <c r="AM196" s="212"/>
      <c r="AN196" s="64"/>
      <c r="AO196" s="64"/>
      <c r="AP196" s="63"/>
      <c r="AQ196" s="64"/>
      <c r="AR196" s="63"/>
      <c r="AS196" s="64"/>
      <c r="AT196" s="63"/>
      <c r="AU196" s="64"/>
      <c r="AV196" s="63"/>
      <c r="AW196" s="64"/>
      <c r="AX196" s="63"/>
      <c r="AY196" s="5"/>
      <c r="AZ196" s="21" t="str">
        <f t="shared" si="40"/>
        <v/>
      </c>
      <c r="BA196" s="264" t="s">
        <v>391</v>
      </c>
      <c r="BB196" s="264"/>
      <c r="BC196" s="264"/>
      <c r="BD196" s="264" t="s">
        <v>99</v>
      </c>
      <c r="BE196" s="216" t="s">
        <v>31</v>
      </c>
      <c r="BF196" s="303"/>
      <c r="BG196" s="303"/>
      <c r="BH196" s="303"/>
      <c r="BI196" s="303"/>
      <c r="BJ196" s="303"/>
      <c r="BK196" s="303"/>
      <c r="BL196" s="303"/>
      <c r="BM196" s="303"/>
      <c r="BN196" s="303"/>
      <c r="BO196" s="303"/>
      <c r="BP196" s="303"/>
      <c r="BQ196" s="5"/>
      <c r="BR196" s="25"/>
      <c r="BS196" s="5"/>
    </row>
    <row r="197" spans="1:71" s="3" customFormat="1" x14ac:dyDescent="0.25">
      <c r="A197" s="5"/>
      <c r="B197" s="3" t="str">
        <f t="array" ref="B197">IFERROR(INDEX(DemandSupply,MATCH(INDEX($AH$1:AH197,SMALL(ROW($AH$1:AH197)+(10000*($AH$1:AH197="")),COUNTA($AH$1:AH197))),Sectors,0)),"")</f>
        <v>Demand</v>
      </c>
      <c r="E197" s="10"/>
      <c r="F197" s="207"/>
      <c r="G197" s="207"/>
      <c r="H197" s="207"/>
      <c r="I197" s="207"/>
      <c r="J197" s="207"/>
      <c r="K197" s="207"/>
      <c r="L197" s="207"/>
      <c r="M197" s="207"/>
      <c r="N197" s="207"/>
      <c r="O197" s="207"/>
      <c r="P197" s="207"/>
      <c r="Q197" s="207"/>
      <c r="R197" s="207"/>
      <c r="S197" s="207"/>
      <c r="T197" s="207"/>
      <c r="U197" s="207"/>
      <c r="V197" s="207"/>
      <c r="W197" s="207"/>
      <c r="X197" s="207"/>
      <c r="Y197" s="207"/>
      <c r="Z197" s="207"/>
      <c r="AA197" s="207"/>
      <c r="AB197" s="207"/>
      <c r="AC197" s="5"/>
      <c r="AD197" s="63"/>
      <c r="AE197" s="64"/>
      <c r="AF197" s="64"/>
      <c r="AG197" s="212"/>
      <c r="AH197" s="64"/>
      <c r="AI197" s="64"/>
      <c r="AJ197" s="64"/>
      <c r="AK197" s="212"/>
      <c r="AL197" s="64"/>
      <c r="AM197" s="212"/>
      <c r="AN197" s="64"/>
      <c r="AO197" s="64"/>
      <c r="AP197" s="63"/>
      <c r="AQ197" s="64"/>
      <c r="AR197" s="63"/>
      <c r="AS197" s="64"/>
      <c r="AT197" s="63"/>
      <c r="AU197" s="64"/>
      <c r="AV197" s="63"/>
      <c r="AW197" s="64"/>
      <c r="AX197" s="63"/>
      <c r="AY197" s="5"/>
      <c r="AZ197" s="21" t="str">
        <f t="shared" si="40"/>
        <v/>
      </c>
      <c r="BA197" s="264" t="s">
        <v>144</v>
      </c>
      <c r="BB197" s="264"/>
      <c r="BC197" s="264"/>
      <c r="BD197" s="74" t="s">
        <v>36</v>
      </c>
      <c r="BE197" s="216" t="s">
        <v>31</v>
      </c>
      <c r="BF197" s="56"/>
      <c r="BG197" s="56"/>
      <c r="BH197" s="56"/>
      <c r="BI197" s="56"/>
      <c r="BJ197" s="56"/>
      <c r="BK197" s="56"/>
      <c r="BL197" s="56"/>
      <c r="BM197" s="56"/>
      <c r="BN197" s="56"/>
      <c r="BO197" s="56"/>
      <c r="BP197" s="56"/>
      <c r="BQ197" s="5"/>
      <c r="BR197" s="25"/>
      <c r="BS197" s="5"/>
    </row>
    <row r="198" spans="1:71" s="3" customFormat="1" x14ac:dyDescent="0.25">
      <c r="A198" s="5"/>
      <c r="B198" s="3" t="str">
        <f t="array" ref="B198">IFERROR(INDEX(DemandSupply,MATCH(INDEX($AH$1:AH198,SMALL(ROW($AH$1:AH198)+(10000*($AH$1:AH198="")),COUNTA($AH$1:AH198))),Sectors,0)),"")</f>
        <v>Demand</v>
      </c>
      <c r="E198" s="10"/>
      <c r="F198" s="207"/>
      <c r="G198" s="207"/>
      <c r="H198" s="207"/>
      <c r="I198" s="207"/>
      <c r="J198" s="207"/>
      <c r="K198" s="207"/>
      <c r="L198" s="207"/>
      <c r="M198" s="207"/>
      <c r="N198" s="207"/>
      <c r="O198" s="207"/>
      <c r="P198" s="207"/>
      <c r="Q198" s="207"/>
      <c r="R198" s="207"/>
      <c r="S198" s="207"/>
      <c r="T198" s="207"/>
      <c r="U198" s="207"/>
      <c r="V198" s="207"/>
      <c r="W198" s="207"/>
      <c r="X198" s="207"/>
      <c r="Y198" s="207"/>
      <c r="Z198" s="207"/>
      <c r="AA198" s="207"/>
      <c r="AB198" s="207"/>
      <c r="AC198" s="5"/>
      <c r="AD198" s="63"/>
      <c r="AE198" s="64"/>
      <c r="AF198" s="64"/>
      <c r="AG198" s="212"/>
      <c r="AH198" s="64"/>
      <c r="AI198" s="64"/>
      <c r="AJ198" s="64"/>
      <c r="AK198" s="212"/>
      <c r="AL198" s="64"/>
      <c r="AM198" s="212"/>
      <c r="AN198" s="64"/>
      <c r="AO198" s="64"/>
      <c r="AP198" s="63"/>
      <c r="AQ198" s="64"/>
      <c r="AR198" s="63"/>
      <c r="AS198" s="64"/>
      <c r="AT198" s="63"/>
      <c r="AU198" s="64"/>
      <c r="AV198" s="63"/>
      <c r="AW198" s="64"/>
      <c r="AX198" s="63"/>
      <c r="AY198" s="5"/>
      <c r="AZ198" s="21" t="str">
        <f t="shared" si="40"/>
        <v/>
      </c>
      <c r="BA198" s="264" t="s">
        <v>76</v>
      </c>
      <c r="BB198" s="264"/>
      <c r="BC198" s="264"/>
      <c r="BD198" s="74" t="s">
        <v>99</v>
      </c>
      <c r="BE198" s="216" t="s">
        <v>31</v>
      </c>
      <c r="BF198" s="303">
        <v>0</v>
      </c>
      <c r="BG198" s="303"/>
      <c r="BH198" s="303"/>
      <c r="BI198" s="303"/>
      <c r="BJ198" s="303"/>
      <c r="BK198" s="303"/>
      <c r="BL198" s="303"/>
      <c r="BM198" s="303"/>
      <c r="BN198" s="303"/>
      <c r="BO198" s="303"/>
      <c r="BP198" s="303"/>
      <c r="BQ198" s="5"/>
      <c r="BR198" s="25"/>
      <c r="BS198" s="5"/>
    </row>
    <row r="199" spans="1:71" s="3" customFormat="1" x14ac:dyDescent="0.25">
      <c r="A199" s="5"/>
      <c r="B199" s="3" t="str">
        <f t="array" ref="B199">IFERROR(INDEX(DemandSupply,MATCH(INDEX($AH$1:AH199,SMALL(ROW($AH$1:AH199)+(10000*($AH$1:AH199="")),COUNTA($AH$1:AH199))),Sectors,0)),"")</f>
        <v>Demand</v>
      </c>
      <c r="E199" s="10"/>
      <c r="F199" s="207"/>
      <c r="G199" s="207"/>
      <c r="H199" s="207"/>
      <c r="I199" s="207"/>
      <c r="J199" s="207"/>
      <c r="K199" s="207"/>
      <c r="L199" s="207"/>
      <c r="M199" s="207"/>
      <c r="N199" s="207"/>
      <c r="O199" s="207"/>
      <c r="P199" s="207"/>
      <c r="Q199" s="207"/>
      <c r="R199" s="207"/>
      <c r="S199" s="207"/>
      <c r="T199" s="207"/>
      <c r="U199" s="207"/>
      <c r="V199" s="207"/>
      <c r="W199" s="207"/>
      <c r="X199" s="207"/>
      <c r="Y199" s="207"/>
      <c r="Z199" s="207"/>
      <c r="AA199" s="207"/>
      <c r="AB199" s="207"/>
      <c r="AC199" s="5"/>
      <c r="AD199" s="63"/>
      <c r="AE199" s="64"/>
      <c r="AF199" s="64"/>
      <c r="AG199" s="212"/>
      <c r="AH199" s="64"/>
      <c r="AI199" s="64"/>
      <c r="AJ199" s="64"/>
      <c r="AK199" s="212"/>
      <c r="AL199" s="64"/>
      <c r="AM199" s="212"/>
      <c r="AN199" s="64"/>
      <c r="AO199" s="64"/>
      <c r="AP199" s="63"/>
      <c r="AQ199" s="64"/>
      <c r="AR199" s="63"/>
      <c r="AS199" s="64"/>
      <c r="AT199" s="63"/>
      <c r="AU199" s="64"/>
      <c r="AV199" s="63"/>
      <c r="AW199" s="64"/>
      <c r="AX199" s="63"/>
      <c r="AY199" s="5"/>
      <c r="AZ199" s="21" t="str">
        <f t="shared" si="40"/>
        <v/>
      </c>
      <c r="BA199" s="75" t="s">
        <v>166</v>
      </c>
      <c r="BB199" s="75"/>
      <c r="BC199" s="270"/>
      <c r="BD199" s="75" t="s">
        <v>99</v>
      </c>
      <c r="BE199" s="216" t="s">
        <v>31</v>
      </c>
      <c r="BF199" s="303"/>
      <c r="BG199" s="303"/>
      <c r="BH199" s="303"/>
      <c r="BI199" s="303"/>
      <c r="BJ199" s="303"/>
      <c r="BK199" s="303"/>
      <c r="BL199" s="303"/>
      <c r="BM199" s="303"/>
      <c r="BN199" s="303"/>
      <c r="BO199" s="303"/>
      <c r="BP199" s="303"/>
      <c r="BQ199" s="5"/>
      <c r="BR199" s="25"/>
      <c r="BS199" s="5"/>
    </row>
    <row r="200" spans="1:71" s="3" customFormat="1" x14ac:dyDescent="0.25">
      <c r="A200" s="5"/>
      <c r="B200" s="3" t="str">
        <f t="array" ref="B200">IFERROR(INDEX(DemandSupply,MATCH(INDEX($AH$1:AH200,SMALL(ROW($AH$1:AH200)+(10000*($AH$1:AH200="")),COUNTA($AH$1:AH200))),Sectors,0)),"")</f>
        <v>Demand</v>
      </c>
      <c r="E200" s="10"/>
      <c r="F200" s="207"/>
      <c r="G200" s="207"/>
      <c r="H200" s="207"/>
      <c r="I200" s="207"/>
      <c r="J200" s="207"/>
      <c r="K200" s="207"/>
      <c r="L200" s="207"/>
      <c r="M200" s="207"/>
      <c r="N200" s="207"/>
      <c r="O200" s="207"/>
      <c r="P200" s="207"/>
      <c r="Q200" s="207"/>
      <c r="R200" s="207"/>
      <c r="S200" s="207"/>
      <c r="T200" s="207"/>
      <c r="U200" s="207"/>
      <c r="V200" s="207"/>
      <c r="W200" s="207"/>
      <c r="X200" s="207"/>
      <c r="Y200" s="207"/>
      <c r="Z200" s="207"/>
      <c r="AA200" s="207"/>
      <c r="AB200" s="207"/>
      <c r="AC200" s="5"/>
      <c r="AD200" s="63"/>
      <c r="AE200" s="64"/>
      <c r="AF200" s="64"/>
      <c r="AG200" s="212"/>
      <c r="AH200" s="64"/>
      <c r="AI200" s="64"/>
      <c r="AJ200" s="64"/>
      <c r="AK200" s="212"/>
      <c r="AL200" s="64"/>
      <c r="AM200" s="212"/>
      <c r="AN200" s="64"/>
      <c r="AO200" s="64"/>
      <c r="AP200" s="63"/>
      <c r="AQ200" s="64"/>
      <c r="AR200" s="63"/>
      <c r="AS200" s="64"/>
      <c r="AT200" s="63"/>
      <c r="AU200" s="64"/>
      <c r="AV200" s="63"/>
      <c r="AW200" s="64"/>
      <c r="AX200" s="63"/>
      <c r="AY200" s="5"/>
      <c r="AZ200" s="21" t="str">
        <f t="shared" si="40"/>
        <v/>
      </c>
      <c r="BA200" s="75" t="s">
        <v>167</v>
      </c>
      <c r="BB200" s="75"/>
      <c r="BC200" s="270"/>
      <c r="BD200" s="75" t="s">
        <v>99</v>
      </c>
      <c r="BE200" s="216" t="s">
        <v>31</v>
      </c>
      <c r="BF200" s="303"/>
      <c r="BG200" s="303"/>
      <c r="BH200" s="303"/>
      <c r="BI200" s="303"/>
      <c r="BJ200" s="303"/>
      <c r="BK200" s="303"/>
      <c r="BL200" s="303"/>
      <c r="BM200" s="303"/>
      <c r="BN200" s="303"/>
      <c r="BO200" s="303"/>
      <c r="BP200" s="303"/>
      <c r="BQ200" s="5"/>
      <c r="BR200" s="25"/>
      <c r="BS200" s="5"/>
    </row>
    <row r="201" spans="1:71" s="3" customFormat="1" x14ac:dyDescent="0.25">
      <c r="A201" s="5"/>
      <c r="B201" s="3" t="str">
        <f t="array" ref="B201">IFERROR(INDEX(DemandSupply,MATCH(INDEX($AH$1:AH201,SMALL(ROW($AH$1:AH201)+(10000*($AH$1:AH201="")),COUNTA($AH$1:AH201))),Sectors,0)),"")</f>
        <v>Demand</v>
      </c>
      <c r="E201" s="10"/>
      <c r="F201" s="207"/>
      <c r="G201" s="207"/>
      <c r="H201" s="207"/>
      <c r="I201" s="207"/>
      <c r="J201" s="207"/>
      <c r="K201" s="207"/>
      <c r="L201" s="207"/>
      <c r="M201" s="207"/>
      <c r="N201" s="207"/>
      <c r="O201" s="207"/>
      <c r="P201" s="207"/>
      <c r="Q201" s="207"/>
      <c r="R201" s="207"/>
      <c r="S201" s="207"/>
      <c r="T201" s="207"/>
      <c r="U201" s="207"/>
      <c r="V201" s="207"/>
      <c r="W201" s="207"/>
      <c r="X201" s="207"/>
      <c r="Y201" s="207"/>
      <c r="Z201" s="207"/>
      <c r="AA201" s="207"/>
      <c r="AB201" s="207"/>
      <c r="AC201" s="5"/>
      <c r="AD201" s="63"/>
      <c r="AE201" s="64"/>
      <c r="AF201" s="64"/>
      <c r="AG201" s="212"/>
      <c r="AH201" s="64"/>
      <c r="AI201" s="64"/>
      <c r="AJ201" s="64"/>
      <c r="AK201" s="212"/>
      <c r="AL201" s="64"/>
      <c r="AM201" s="212"/>
      <c r="AN201" s="64"/>
      <c r="AO201" s="64"/>
      <c r="AP201" s="63"/>
      <c r="AQ201" s="64"/>
      <c r="AR201" s="63"/>
      <c r="AS201" s="64"/>
      <c r="AT201" s="63"/>
      <c r="AU201" s="64"/>
      <c r="AV201" s="63"/>
      <c r="AW201" s="64"/>
      <c r="AX201" s="63"/>
      <c r="AY201" s="5"/>
      <c r="AZ201" s="21" t="str">
        <f t="shared" si="40"/>
        <v/>
      </c>
      <c r="BA201" s="75" t="s">
        <v>408</v>
      </c>
      <c r="BB201" s="75"/>
      <c r="BC201" s="270"/>
      <c r="BD201" s="75" t="s">
        <v>99</v>
      </c>
      <c r="BE201" s="216" t="s">
        <v>31</v>
      </c>
      <c r="BF201" s="303"/>
      <c r="BG201" s="303"/>
      <c r="BH201" s="303"/>
      <c r="BI201" s="303"/>
      <c r="BJ201" s="303"/>
      <c r="BK201" s="303"/>
      <c r="BL201" s="303"/>
      <c r="BM201" s="303"/>
      <c r="BN201" s="303"/>
      <c r="BO201" s="303"/>
      <c r="BP201" s="303"/>
      <c r="BQ201" s="5"/>
      <c r="BR201" s="25"/>
      <c r="BS201" s="5"/>
    </row>
    <row r="202" spans="1:71" s="3" customFormat="1" x14ac:dyDescent="0.25">
      <c r="A202" s="5"/>
      <c r="B202" s="3" t="str">
        <f t="array" ref="B202">IFERROR(INDEX(DemandSupply,MATCH(INDEX($AH$1:AH202,SMALL(ROW($AH$1:AH202)+(10000*($AH$1:AH202="")),COUNTA($AH$1:AH202))),Sectors,0)),"")</f>
        <v>Demand</v>
      </c>
      <c r="E202" s="10"/>
      <c r="F202" s="207"/>
      <c r="G202" s="207"/>
      <c r="H202" s="207"/>
      <c r="I202" s="207"/>
      <c r="J202" s="207"/>
      <c r="K202" s="207"/>
      <c r="L202" s="207"/>
      <c r="M202" s="207"/>
      <c r="N202" s="207"/>
      <c r="O202" s="207"/>
      <c r="P202" s="207"/>
      <c r="Q202" s="207"/>
      <c r="R202" s="207"/>
      <c r="S202" s="207"/>
      <c r="T202" s="207"/>
      <c r="U202" s="207"/>
      <c r="V202" s="207"/>
      <c r="W202" s="207"/>
      <c r="X202" s="207"/>
      <c r="Y202" s="207"/>
      <c r="Z202" s="207"/>
      <c r="AA202" s="207"/>
      <c r="AB202" s="207"/>
      <c r="AC202" s="5"/>
      <c r="AD202" s="63"/>
      <c r="AE202" s="64"/>
      <c r="AF202" s="64"/>
      <c r="AG202" s="212"/>
      <c r="AH202" s="64"/>
      <c r="AI202" s="64"/>
      <c r="AJ202" s="64"/>
      <c r="AK202" s="212"/>
      <c r="AL202" s="64"/>
      <c r="AM202" s="212"/>
      <c r="AN202" s="64"/>
      <c r="AO202" s="64"/>
      <c r="AP202" s="63"/>
      <c r="AQ202" s="64"/>
      <c r="AR202" s="63"/>
      <c r="AS202" s="64"/>
      <c r="AT202" s="63"/>
      <c r="AU202" s="64"/>
      <c r="AV202" s="63"/>
      <c r="AW202" s="64"/>
      <c r="AX202" s="63"/>
      <c r="AY202" s="5"/>
      <c r="AZ202" s="21" t="str">
        <f t="shared" si="40"/>
        <v/>
      </c>
      <c r="BA202" s="75" t="s">
        <v>409</v>
      </c>
      <c r="BB202" s="75"/>
      <c r="BC202" s="270"/>
      <c r="BD202" s="75" t="s">
        <v>99</v>
      </c>
      <c r="BE202" s="216" t="s">
        <v>31</v>
      </c>
      <c r="BF202" s="303"/>
      <c r="BG202" s="303"/>
      <c r="BH202" s="303"/>
      <c r="BI202" s="303"/>
      <c r="BJ202" s="303"/>
      <c r="BK202" s="303"/>
      <c r="BL202" s="303"/>
      <c r="BM202" s="303"/>
      <c r="BN202" s="303"/>
      <c r="BO202" s="303"/>
      <c r="BP202" s="303"/>
      <c r="BQ202" s="5"/>
      <c r="BR202" s="25"/>
      <c r="BS202" s="5"/>
    </row>
    <row r="203" spans="1:71" s="3" customFormat="1" x14ac:dyDescent="0.25">
      <c r="A203" s="5"/>
      <c r="B203" s="3" t="str">
        <f t="array" ref="B203">IFERROR(INDEX(DemandSupply,MATCH(INDEX($AH$1:AH203,SMALL(ROW($AH$1:AH203)+(10000*($AH$1:AH203="")),COUNTA($AH$1:AH203))),Sectors,0)),"")</f>
        <v>Demand</v>
      </c>
      <c r="E203" s="10"/>
      <c r="F203" s="207"/>
      <c r="G203" s="207"/>
      <c r="H203" s="207"/>
      <c r="I203" s="207"/>
      <c r="J203" s="207"/>
      <c r="K203" s="207"/>
      <c r="L203" s="207"/>
      <c r="M203" s="207"/>
      <c r="N203" s="207"/>
      <c r="O203" s="207"/>
      <c r="P203" s="207"/>
      <c r="Q203" s="207"/>
      <c r="R203" s="207"/>
      <c r="S203" s="207"/>
      <c r="T203" s="207"/>
      <c r="U203" s="207"/>
      <c r="V203" s="207"/>
      <c r="W203" s="207"/>
      <c r="X203" s="207"/>
      <c r="Y203" s="207"/>
      <c r="Z203" s="207"/>
      <c r="AA203" s="207"/>
      <c r="AB203" s="207"/>
      <c r="AC203" s="5"/>
      <c r="AD203" s="63"/>
      <c r="AE203" s="64"/>
      <c r="AF203" s="64"/>
      <c r="AG203" s="212"/>
      <c r="AH203" s="64"/>
      <c r="AI203" s="64"/>
      <c r="AJ203" s="64"/>
      <c r="AK203" s="212"/>
      <c r="AL203" s="64"/>
      <c r="AM203" s="212"/>
      <c r="AN203" s="64"/>
      <c r="AO203" s="64"/>
      <c r="AP203" s="63"/>
      <c r="AQ203" s="64"/>
      <c r="AR203" s="63"/>
      <c r="AS203" s="64"/>
      <c r="AT203" s="63"/>
      <c r="AU203" s="64"/>
      <c r="AV203" s="63"/>
      <c r="AW203" s="64"/>
      <c r="AX203" s="63"/>
      <c r="AY203" s="5"/>
      <c r="AZ203" s="21" t="str">
        <f t="shared" si="40"/>
        <v/>
      </c>
      <c r="BA203" s="264" t="s">
        <v>371</v>
      </c>
      <c r="BB203" s="264"/>
      <c r="BC203" s="264"/>
      <c r="BD203" s="74" t="s">
        <v>36</v>
      </c>
      <c r="BE203" s="216" t="s">
        <v>31</v>
      </c>
      <c r="BF203" s="56"/>
      <c r="BG203" s="56"/>
      <c r="BH203" s="56"/>
      <c r="BI203" s="56"/>
      <c r="BJ203" s="56"/>
      <c r="BK203" s="56"/>
      <c r="BL203" s="56"/>
      <c r="BM203" s="56"/>
      <c r="BN203" s="56"/>
      <c r="BO203" s="56"/>
      <c r="BP203" s="56"/>
      <c r="BQ203" s="5"/>
      <c r="BR203" s="25"/>
      <c r="BS203" s="5"/>
    </row>
    <row r="204" spans="1:71" s="3" customFormat="1" x14ac:dyDescent="0.25">
      <c r="A204" s="5"/>
      <c r="B204" s="3" t="str">
        <f t="array" ref="B204">IFERROR(INDEX(DemandSupply,MATCH(INDEX($AH$1:AH204,SMALL(ROW($AH$1:AH204)+(10000*($AH$1:AH204="")),COUNTA($AH$1:AH204))),Sectors,0)),"")</f>
        <v>Demand</v>
      </c>
      <c r="E204" s="10"/>
      <c r="F204" s="207"/>
      <c r="G204" s="207"/>
      <c r="H204" s="207"/>
      <c r="I204" s="207"/>
      <c r="J204" s="207"/>
      <c r="K204" s="207"/>
      <c r="L204" s="207"/>
      <c r="M204" s="207"/>
      <c r="N204" s="207"/>
      <c r="O204" s="207"/>
      <c r="P204" s="207"/>
      <c r="Q204" s="207"/>
      <c r="R204" s="207"/>
      <c r="S204" s="207"/>
      <c r="T204" s="207"/>
      <c r="U204" s="207"/>
      <c r="V204" s="207"/>
      <c r="W204" s="207"/>
      <c r="X204" s="207"/>
      <c r="Y204" s="207"/>
      <c r="Z204" s="207"/>
      <c r="AA204" s="207"/>
      <c r="AB204" s="207"/>
      <c r="AC204" s="5"/>
      <c r="AD204" s="63"/>
      <c r="AE204" s="64"/>
      <c r="AF204" s="64"/>
      <c r="AG204" s="212"/>
      <c r="AH204" s="64"/>
      <c r="AI204" s="64"/>
      <c r="AJ204" s="64"/>
      <c r="AK204" s="212"/>
      <c r="AL204" s="64"/>
      <c r="AM204" s="212"/>
      <c r="AN204" s="64"/>
      <c r="AO204" s="64"/>
      <c r="AP204" s="63"/>
      <c r="AQ204" s="64"/>
      <c r="AR204" s="63"/>
      <c r="AS204" s="64"/>
      <c r="AT204" s="63"/>
      <c r="AU204" s="64"/>
      <c r="AV204" s="63"/>
      <c r="AW204" s="64"/>
      <c r="AX204" s="63"/>
      <c r="AY204" s="5"/>
      <c r="AZ204" s="21" t="str">
        <f t="shared" si="40"/>
        <v/>
      </c>
      <c r="BA204" s="264" t="s">
        <v>170</v>
      </c>
      <c r="BB204" s="264"/>
      <c r="BC204" s="264"/>
      <c r="BD204" s="74" t="s">
        <v>354</v>
      </c>
      <c r="BE204" s="216" t="s">
        <v>31</v>
      </c>
      <c r="BF204" s="56">
        <v>18325</v>
      </c>
      <c r="BG204" s="282">
        <f t="shared" ref="BG204:BP204" si="52">BF204</f>
        <v>18325</v>
      </c>
      <c r="BH204" s="282">
        <f t="shared" si="52"/>
        <v>18325</v>
      </c>
      <c r="BI204" s="282">
        <f t="shared" si="52"/>
        <v>18325</v>
      </c>
      <c r="BJ204" s="282">
        <f t="shared" si="52"/>
        <v>18325</v>
      </c>
      <c r="BK204" s="282">
        <f t="shared" si="52"/>
        <v>18325</v>
      </c>
      <c r="BL204" s="282">
        <f t="shared" si="52"/>
        <v>18325</v>
      </c>
      <c r="BM204" s="282">
        <f t="shared" si="52"/>
        <v>18325</v>
      </c>
      <c r="BN204" s="282">
        <f t="shared" si="52"/>
        <v>18325</v>
      </c>
      <c r="BO204" s="282">
        <f t="shared" si="52"/>
        <v>18325</v>
      </c>
      <c r="BP204" s="282">
        <f t="shared" si="52"/>
        <v>18325</v>
      </c>
      <c r="BQ204" s="5"/>
      <c r="BR204" s="25"/>
      <c r="BS204" s="5"/>
    </row>
    <row r="205" spans="1:71" s="3" customFormat="1" x14ac:dyDescent="0.25">
      <c r="A205" s="5"/>
      <c r="B205" s="3" t="str">
        <f t="array" ref="B205">IFERROR(INDEX(DemandSupply,MATCH(INDEX($AH$1:AH205,SMALL(ROW($AH$1:AH205)+(10000*($AH$1:AH205="")),COUNTA($AH$1:AH205))),Sectors,0)),"")</f>
        <v>Demand</v>
      </c>
      <c r="E205" s="10"/>
      <c r="F205" s="207"/>
      <c r="G205" s="207"/>
      <c r="H205" s="207"/>
      <c r="I205" s="207"/>
      <c r="J205" s="207"/>
      <c r="K205" s="207"/>
      <c r="L205" s="207"/>
      <c r="M205" s="207"/>
      <c r="N205" s="207"/>
      <c r="O205" s="207"/>
      <c r="P205" s="207"/>
      <c r="Q205" s="207"/>
      <c r="R205" s="207"/>
      <c r="S205" s="207"/>
      <c r="T205" s="207"/>
      <c r="U205" s="207"/>
      <c r="V205" s="207"/>
      <c r="W205" s="207"/>
      <c r="X205" s="207"/>
      <c r="Y205" s="207"/>
      <c r="Z205" s="207"/>
      <c r="AA205" s="207"/>
      <c r="AB205" s="207"/>
      <c r="AC205" s="5"/>
      <c r="AD205" s="63"/>
      <c r="AE205" s="64"/>
      <c r="AF205" s="64"/>
      <c r="AG205" s="212"/>
      <c r="AH205" s="64"/>
      <c r="AI205" s="64"/>
      <c r="AJ205" s="64"/>
      <c r="AK205" s="212"/>
      <c r="AL205" s="64"/>
      <c r="AM205" s="212"/>
      <c r="AN205" s="64"/>
      <c r="AO205" s="64"/>
      <c r="AP205" s="63"/>
      <c r="AQ205" s="64"/>
      <c r="AR205" s="63"/>
      <c r="AS205" s="64"/>
      <c r="AT205" s="63"/>
      <c r="AU205" s="64"/>
      <c r="AV205" s="63"/>
      <c r="AW205" s="64"/>
      <c r="AX205" s="63"/>
      <c r="AY205" s="5"/>
      <c r="AZ205" s="21" t="str">
        <f t="shared" si="40"/>
        <v/>
      </c>
      <c r="BA205" s="264" t="s">
        <v>425</v>
      </c>
      <c r="BB205" s="264"/>
      <c r="BC205" s="264"/>
      <c r="BD205" s="264" t="s">
        <v>99</v>
      </c>
      <c r="BE205" s="216" t="s">
        <v>31</v>
      </c>
      <c r="BF205" s="303"/>
      <c r="BG205" s="303"/>
      <c r="BH205" s="303"/>
      <c r="BI205" s="303"/>
      <c r="BJ205" s="303"/>
      <c r="BK205" s="303"/>
      <c r="BL205" s="303"/>
      <c r="BM205" s="303"/>
      <c r="BN205" s="303"/>
      <c r="BO205" s="303"/>
      <c r="BP205" s="303"/>
      <c r="BQ205" s="5"/>
      <c r="BR205" s="25"/>
      <c r="BS205" s="5"/>
    </row>
    <row r="206" spans="1:71" s="3" customFormat="1" x14ac:dyDescent="0.25">
      <c r="A206" s="5"/>
      <c r="B206" s="3" t="str">
        <f t="array" ref="B206">IFERROR(INDEX(DemandSupply,MATCH(INDEX($AH$1:AH206,SMALL(ROW($AH$1:AH206)+(10000*($AH$1:AH206="")),COUNTA($AH$1:AH206))),Sectors,0)),"")</f>
        <v>Demand</v>
      </c>
      <c r="E206" s="10"/>
      <c r="F206" s="207"/>
      <c r="G206" s="207"/>
      <c r="H206" s="207"/>
      <c r="I206" s="207"/>
      <c r="J206" s="207"/>
      <c r="K206" s="207"/>
      <c r="L206" s="207"/>
      <c r="M206" s="207"/>
      <c r="N206" s="207"/>
      <c r="O206" s="207"/>
      <c r="P206" s="207"/>
      <c r="Q206" s="207"/>
      <c r="R206" s="207"/>
      <c r="S206" s="207"/>
      <c r="T206" s="207"/>
      <c r="U206" s="207"/>
      <c r="V206" s="207"/>
      <c r="W206" s="207"/>
      <c r="X206" s="207"/>
      <c r="Y206" s="207"/>
      <c r="Z206" s="207"/>
      <c r="AA206" s="207"/>
      <c r="AB206" s="207"/>
      <c r="AC206" s="5"/>
      <c r="AD206" s="63"/>
      <c r="AE206" s="64"/>
      <c r="AF206" s="64"/>
      <c r="AG206" s="212"/>
      <c r="AH206" s="64"/>
      <c r="AI206" s="64"/>
      <c r="AJ206" s="64"/>
      <c r="AK206" s="212"/>
      <c r="AL206" s="64"/>
      <c r="AM206" s="212"/>
      <c r="AN206" s="64"/>
      <c r="AO206" s="64"/>
      <c r="AP206" s="63"/>
      <c r="AQ206" s="64"/>
      <c r="AR206" s="63"/>
      <c r="AS206" s="64"/>
      <c r="AT206" s="63"/>
      <c r="AU206" s="64"/>
      <c r="AV206" s="63"/>
      <c r="AW206" s="64"/>
      <c r="AX206" s="63"/>
      <c r="AY206" s="5"/>
      <c r="AZ206" s="21" t="str">
        <f t="shared" si="40"/>
        <v/>
      </c>
      <c r="BA206" s="264" t="s">
        <v>438</v>
      </c>
      <c r="BB206" s="264"/>
      <c r="BC206" s="264"/>
      <c r="BD206" s="74" t="s">
        <v>36</v>
      </c>
      <c r="BE206" s="216" t="s">
        <v>31</v>
      </c>
      <c r="BF206" s="56"/>
      <c r="BG206" s="56"/>
      <c r="BH206" s="56"/>
      <c r="BI206" s="56"/>
      <c r="BJ206" s="56"/>
      <c r="BK206" s="56"/>
      <c r="BL206" s="56"/>
      <c r="BM206" s="56"/>
      <c r="BN206" s="56"/>
      <c r="BO206" s="56"/>
      <c r="BP206" s="56"/>
      <c r="BQ206" s="5"/>
      <c r="BR206" s="25"/>
      <c r="BS206" s="5"/>
    </row>
    <row r="207" spans="1:71" s="3" customFormat="1" x14ac:dyDescent="0.25">
      <c r="A207" s="5"/>
      <c r="B207" s="3" t="str">
        <f t="array" ref="B207">IFERROR(INDEX(DemandSupply,MATCH(INDEX($AH$1:AH207,SMALL(ROW($AH$1:AH207)+(10000*($AH$1:AH207="")),COUNTA($AH$1:AH207))),Sectors,0)),"")</f>
        <v>Demand</v>
      </c>
      <c r="E207" s="10"/>
      <c r="F207" s="207"/>
      <c r="G207" s="207"/>
      <c r="H207" s="207"/>
      <c r="I207" s="207"/>
      <c r="J207" s="207"/>
      <c r="K207" s="207"/>
      <c r="L207" s="207"/>
      <c r="M207" s="207"/>
      <c r="N207" s="207"/>
      <c r="O207" s="207"/>
      <c r="P207" s="207"/>
      <c r="Q207" s="207"/>
      <c r="R207" s="207"/>
      <c r="S207" s="207"/>
      <c r="T207" s="207"/>
      <c r="U207" s="207"/>
      <c r="V207" s="207"/>
      <c r="W207" s="207"/>
      <c r="X207" s="207"/>
      <c r="Y207" s="207"/>
      <c r="Z207" s="207"/>
      <c r="AA207" s="207"/>
      <c r="AB207" s="207"/>
      <c r="AC207" s="5"/>
      <c r="AD207" s="63"/>
      <c r="AE207" s="64"/>
      <c r="AF207" s="64"/>
      <c r="AG207" s="212"/>
      <c r="AH207" s="64"/>
      <c r="AI207" s="64"/>
      <c r="AJ207" s="64"/>
      <c r="AK207" s="212"/>
      <c r="AL207" s="64"/>
      <c r="AM207" s="212"/>
      <c r="AN207" s="64"/>
      <c r="AO207" s="64"/>
      <c r="AP207" s="63"/>
      <c r="AQ207" s="64"/>
      <c r="AR207" s="63"/>
      <c r="AS207" s="64"/>
      <c r="AT207" s="63"/>
      <c r="AU207" s="64"/>
      <c r="AV207" s="63"/>
      <c r="AW207" s="64"/>
      <c r="AX207" s="63"/>
      <c r="AY207" s="5"/>
      <c r="AZ207" s="21" t="str">
        <f t="shared" si="40"/>
        <v/>
      </c>
      <c r="BA207" s="264" t="s">
        <v>435</v>
      </c>
      <c r="BB207" s="264"/>
      <c r="BC207" s="264"/>
      <c r="BD207" s="264"/>
      <c r="BE207" s="216" t="s">
        <v>31</v>
      </c>
      <c r="BF207" s="55"/>
      <c r="BG207" s="55"/>
      <c r="BH207" s="55"/>
      <c r="BI207" s="55"/>
      <c r="BJ207" s="55"/>
      <c r="BK207" s="55"/>
      <c r="BL207" s="55"/>
      <c r="BM207" s="55"/>
      <c r="BN207" s="55"/>
      <c r="BO207" s="55"/>
      <c r="BP207" s="55"/>
      <c r="BQ207" s="5"/>
      <c r="BR207" s="25"/>
      <c r="BS207" s="5"/>
    </row>
    <row r="208" spans="1:71" s="3" customFormat="1" x14ac:dyDescent="0.25">
      <c r="A208" s="5"/>
      <c r="B208" s="3" t="str">
        <f t="array" ref="B208">IFERROR(INDEX(DemandSupply,MATCH(INDEX($AH$1:AH208,SMALL(ROW($AH$1:AH208)+(10000*($AH$1:AH208="")),COUNTA($AH$1:AH208))),Sectors,0)),"")</f>
        <v>Demand</v>
      </c>
      <c r="E208" s="10"/>
      <c r="F208" s="207"/>
      <c r="G208" s="207"/>
      <c r="H208" s="207"/>
      <c r="I208" s="207"/>
      <c r="J208" s="207"/>
      <c r="K208" s="207"/>
      <c r="L208" s="207"/>
      <c r="M208" s="207"/>
      <c r="N208" s="207"/>
      <c r="O208" s="207"/>
      <c r="P208" s="207"/>
      <c r="Q208" s="207"/>
      <c r="R208" s="207"/>
      <c r="S208" s="207"/>
      <c r="T208" s="207"/>
      <c r="U208" s="207"/>
      <c r="V208" s="207"/>
      <c r="W208" s="207"/>
      <c r="X208" s="207"/>
      <c r="Y208" s="207"/>
      <c r="Z208" s="207"/>
      <c r="AA208" s="207"/>
      <c r="AB208" s="207"/>
      <c r="AC208" s="5"/>
      <c r="AD208" s="63"/>
      <c r="AE208" s="64"/>
      <c r="AF208" s="64"/>
      <c r="AG208" s="212"/>
      <c r="AH208" s="64"/>
      <c r="AI208" s="64"/>
      <c r="AJ208" s="64"/>
      <c r="AK208" s="212"/>
      <c r="AL208" s="64"/>
      <c r="AM208" s="212"/>
      <c r="AN208" s="64"/>
      <c r="AO208" s="64"/>
      <c r="AP208" s="63"/>
      <c r="AQ208" s="64"/>
      <c r="AR208" s="63"/>
      <c r="AS208" s="64"/>
      <c r="AT208" s="63"/>
      <c r="AU208" s="64"/>
      <c r="AV208" s="63"/>
      <c r="AW208" s="64"/>
      <c r="AX208" s="63"/>
      <c r="AY208" s="5"/>
      <c r="AZ208" s="21" t="str">
        <f t="shared" si="40"/>
        <v/>
      </c>
      <c r="BA208" s="264" t="s">
        <v>407</v>
      </c>
      <c r="BB208" s="264"/>
      <c r="BC208" s="264"/>
      <c r="BD208" s="264" t="s">
        <v>99</v>
      </c>
      <c r="BE208" s="216" t="s">
        <v>31</v>
      </c>
      <c r="BF208" s="303"/>
      <c r="BG208" s="303"/>
      <c r="BH208" s="303"/>
      <c r="BI208" s="303"/>
      <c r="BJ208" s="303"/>
      <c r="BK208" s="303"/>
      <c r="BL208" s="303"/>
      <c r="BM208" s="303"/>
      <c r="BN208" s="303"/>
      <c r="BO208" s="303"/>
      <c r="BP208" s="303"/>
      <c r="BQ208" s="5"/>
      <c r="BR208" s="25"/>
      <c r="BS208" s="5"/>
    </row>
    <row r="209" spans="1:71" s="3" customFormat="1" x14ac:dyDescent="0.25">
      <c r="A209" s="5"/>
      <c r="B209" s="3" t="str">
        <f t="array" ref="B209">IFERROR(INDEX(DemandSupply,MATCH(INDEX($AH$1:AH209,SMALL(ROW($AH$1:AH209)+(10000*($AH$1:AH209="")),COUNTA($AH$1:AH209))),Sectors,0)),"")</f>
        <v>Demand</v>
      </c>
      <c r="E209" s="10"/>
      <c r="F209" s="207"/>
      <c r="G209" s="207"/>
      <c r="H209" s="207"/>
      <c r="I209" s="207"/>
      <c r="J209" s="207"/>
      <c r="K209" s="207"/>
      <c r="L209" s="207"/>
      <c r="M209" s="207"/>
      <c r="N209" s="207"/>
      <c r="O209" s="207"/>
      <c r="P209" s="207"/>
      <c r="Q209" s="207"/>
      <c r="R209" s="207"/>
      <c r="S209" s="207"/>
      <c r="T209" s="207"/>
      <c r="U209" s="207"/>
      <c r="V209" s="207"/>
      <c r="W209" s="207"/>
      <c r="X209" s="207"/>
      <c r="Y209" s="207"/>
      <c r="Z209" s="207"/>
      <c r="AA209" s="207"/>
      <c r="AB209" s="207"/>
      <c r="AC209" s="5"/>
      <c r="AD209" s="63"/>
      <c r="AE209" s="64"/>
      <c r="AF209" s="64"/>
      <c r="AG209" s="212"/>
      <c r="AH209" s="64"/>
      <c r="AI209" s="64"/>
      <c r="AJ209" s="64"/>
      <c r="AK209" s="212"/>
      <c r="AL209" s="64"/>
      <c r="AM209" s="212"/>
      <c r="AN209" s="64"/>
      <c r="AO209" s="64"/>
      <c r="AP209" s="63"/>
      <c r="AQ209" s="64"/>
      <c r="AR209" s="63"/>
      <c r="AS209" s="64"/>
      <c r="AT209" s="63"/>
      <c r="AU209" s="64"/>
      <c r="AV209" s="63"/>
      <c r="AW209" s="64"/>
      <c r="AX209" s="63"/>
      <c r="AY209" s="5"/>
      <c r="AZ209" s="21" t="str">
        <f t="shared" si="40"/>
        <v/>
      </c>
      <c r="BA209" s="264" t="s">
        <v>444</v>
      </c>
      <c r="BB209" s="264"/>
      <c r="BC209" s="264"/>
      <c r="BD209" s="264" t="s">
        <v>354</v>
      </c>
      <c r="BE209" s="216" t="s">
        <v>31</v>
      </c>
      <c r="BF209" s="56"/>
      <c r="BG209" s="56"/>
      <c r="BH209" s="56"/>
      <c r="BI209" s="56"/>
      <c r="BJ209" s="56"/>
      <c r="BK209" s="56"/>
      <c r="BL209" s="56"/>
      <c r="BM209" s="56"/>
      <c r="BN209" s="56"/>
      <c r="BO209" s="56"/>
      <c r="BP209" s="56"/>
      <c r="BQ209" s="5"/>
      <c r="BR209" s="25"/>
      <c r="BS209" s="5"/>
    </row>
    <row r="210" spans="1:71" s="3" customFormat="1" x14ac:dyDescent="0.25">
      <c r="A210" s="5"/>
      <c r="B210" s="3" t="str">
        <f t="array" ref="B210">IFERROR(INDEX(DemandSupply,MATCH(INDEX($AH$1:AH210,SMALL(ROW($AH$1:AH210)+(10000*($AH$1:AH210="")),COUNTA($AH$1:AH210))),Sectors,0)),"")</f>
        <v>Demand</v>
      </c>
      <c r="E210" s="10"/>
      <c r="F210" s="207"/>
      <c r="G210" s="207"/>
      <c r="H210" s="207"/>
      <c r="I210" s="207"/>
      <c r="J210" s="207"/>
      <c r="K210" s="207"/>
      <c r="L210" s="207"/>
      <c r="M210" s="207"/>
      <c r="N210" s="207"/>
      <c r="O210" s="207"/>
      <c r="P210" s="207"/>
      <c r="Q210" s="207"/>
      <c r="R210" s="207"/>
      <c r="S210" s="207"/>
      <c r="T210" s="207"/>
      <c r="U210" s="207"/>
      <c r="V210" s="207"/>
      <c r="W210" s="207"/>
      <c r="X210" s="207"/>
      <c r="Y210" s="207"/>
      <c r="Z210" s="207"/>
      <c r="AA210" s="207"/>
      <c r="AB210" s="207"/>
      <c r="AC210" s="5"/>
      <c r="AD210" s="63"/>
      <c r="AE210" s="64"/>
      <c r="AF210" s="64"/>
      <c r="AG210" s="212"/>
      <c r="AH210" s="64"/>
      <c r="AI210" s="64"/>
      <c r="AJ210" s="64"/>
      <c r="AK210" s="212"/>
      <c r="AL210" s="64"/>
      <c r="AM210" s="212"/>
      <c r="AN210" s="64"/>
      <c r="AO210" s="64"/>
      <c r="AP210" s="63"/>
      <c r="AQ210" s="64"/>
      <c r="AR210" s="63"/>
      <c r="AS210" s="64"/>
      <c r="AT210" s="63"/>
      <c r="AU210" s="64"/>
      <c r="AV210" s="63"/>
      <c r="AW210" s="64"/>
      <c r="AX210" s="63"/>
      <c r="AY210" s="5"/>
      <c r="AZ210" s="21" t="str">
        <f t="shared" si="40"/>
        <v/>
      </c>
      <c r="BA210" s="264" t="s">
        <v>446</v>
      </c>
      <c r="BB210" s="264"/>
      <c r="BC210" s="264"/>
      <c r="BD210" s="264" t="s">
        <v>354</v>
      </c>
      <c r="BE210" s="216" t="s">
        <v>31</v>
      </c>
      <c r="BF210" s="56"/>
      <c r="BG210" s="56"/>
      <c r="BH210" s="56"/>
      <c r="BI210" s="56"/>
      <c r="BJ210" s="56"/>
      <c r="BK210" s="56"/>
      <c r="BL210" s="56"/>
      <c r="BM210" s="56"/>
      <c r="BN210" s="56"/>
      <c r="BO210" s="56"/>
      <c r="BP210" s="56"/>
      <c r="BQ210" s="5"/>
      <c r="BR210" s="25"/>
      <c r="BS210" s="5"/>
    </row>
    <row r="211" spans="1:71" s="3" customFormat="1" x14ac:dyDescent="0.25">
      <c r="A211" s="5"/>
      <c r="B211" s="3" t="str">
        <f t="array" ref="B211">IFERROR(INDEX(DemandSupply,MATCH(INDEX($AH$1:AH211,SMALL(ROW($AH$1:AH211)+(10000*($AH$1:AH211="")),COUNTA($AH$1:AH211))),Sectors,0)),"")</f>
        <v>Demand</v>
      </c>
      <c r="E211" s="10"/>
      <c r="F211" s="207"/>
      <c r="G211" s="207"/>
      <c r="H211" s="207"/>
      <c r="I211" s="207"/>
      <c r="J211" s="207"/>
      <c r="K211" s="207"/>
      <c r="L211" s="207"/>
      <c r="M211" s="207"/>
      <c r="N211" s="207"/>
      <c r="O211" s="207"/>
      <c r="P211" s="207"/>
      <c r="Q211" s="207"/>
      <c r="R211" s="207"/>
      <c r="S211" s="207"/>
      <c r="T211" s="207"/>
      <c r="U211" s="207"/>
      <c r="V211" s="207"/>
      <c r="W211" s="207"/>
      <c r="X211" s="207"/>
      <c r="Y211" s="207"/>
      <c r="Z211" s="207"/>
      <c r="AA211" s="207"/>
      <c r="AB211" s="207"/>
      <c r="AC211" s="5"/>
      <c r="AD211" s="63"/>
      <c r="AE211" s="64"/>
      <c r="AF211" s="64"/>
      <c r="AG211" s="212"/>
      <c r="AH211" s="64"/>
      <c r="AI211" s="64"/>
      <c r="AJ211" s="64"/>
      <c r="AK211" s="212"/>
      <c r="AL211" s="64"/>
      <c r="AM211" s="212"/>
      <c r="AN211" s="64"/>
      <c r="AO211" s="64"/>
      <c r="AP211" s="63"/>
      <c r="AQ211" s="64"/>
      <c r="AR211" s="63"/>
      <c r="AS211" s="64"/>
      <c r="AT211" s="63"/>
      <c r="AU211" s="64"/>
      <c r="AV211" s="63"/>
      <c r="AW211" s="64"/>
      <c r="AX211" s="63"/>
      <c r="AY211" s="5"/>
      <c r="AZ211" s="21" t="str">
        <f t="shared" si="40"/>
        <v/>
      </c>
      <c r="BA211" s="264" t="s">
        <v>447</v>
      </c>
      <c r="BB211" s="264"/>
      <c r="BC211" s="264"/>
      <c r="BD211" s="264"/>
      <c r="BE211" s="216" t="s">
        <v>31</v>
      </c>
      <c r="BF211" s="55"/>
      <c r="BG211" s="55"/>
      <c r="BH211" s="55"/>
      <c r="BI211" s="55"/>
      <c r="BJ211" s="55"/>
      <c r="BK211" s="55"/>
      <c r="BL211" s="55"/>
      <c r="BM211" s="55"/>
      <c r="BN211" s="55"/>
      <c r="BO211" s="55"/>
      <c r="BP211" s="55"/>
      <c r="BQ211" s="5"/>
      <c r="BR211" s="25"/>
      <c r="BS211" s="5"/>
    </row>
    <row r="212" spans="1:71" s="3" customFormat="1" x14ac:dyDescent="0.25">
      <c r="A212" s="5"/>
      <c r="B212" s="3" t="str">
        <f t="array" ref="B212">IFERROR(INDEX(DemandSupply,MATCH(INDEX($AH$1:AH212,SMALL(ROW($AH$1:AH212)+(10000*($AH$1:AH212="")),COUNTA($AH$1:AH212))),Sectors,0)),"")</f>
        <v>Demand</v>
      </c>
      <c r="E212" s="10"/>
      <c r="F212" s="207"/>
      <c r="G212" s="207"/>
      <c r="H212" s="207"/>
      <c r="I212" s="207"/>
      <c r="J212" s="207"/>
      <c r="K212" s="207"/>
      <c r="L212" s="207"/>
      <c r="M212" s="207"/>
      <c r="N212" s="207"/>
      <c r="O212" s="207"/>
      <c r="P212" s="207"/>
      <c r="Q212" s="207"/>
      <c r="R212" s="207"/>
      <c r="S212" s="207"/>
      <c r="T212" s="207"/>
      <c r="U212" s="207"/>
      <c r="V212" s="207"/>
      <c r="W212" s="207"/>
      <c r="X212" s="207"/>
      <c r="Y212" s="207"/>
      <c r="Z212" s="207"/>
      <c r="AA212" s="207"/>
      <c r="AB212" s="207"/>
      <c r="AC212" s="5"/>
      <c r="AD212" s="63"/>
      <c r="AE212" s="64"/>
      <c r="AF212" s="64"/>
      <c r="AG212" s="212"/>
      <c r="AH212" s="64"/>
      <c r="AI212" s="64"/>
      <c r="AJ212" s="64"/>
      <c r="AK212" s="212"/>
      <c r="AL212" s="64"/>
      <c r="AM212" s="212"/>
      <c r="AN212" s="64"/>
      <c r="AO212" s="64"/>
      <c r="AP212" s="63"/>
      <c r="AQ212" s="64"/>
      <c r="AR212" s="63"/>
      <c r="AS212" s="64"/>
      <c r="AT212" s="63"/>
      <c r="AU212" s="64"/>
      <c r="AV212" s="63"/>
      <c r="AW212" s="64"/>
      <c r="AX212" s="63"/>
      <c r="AY212" s="5"/>
      <c r="AZ212" s="21" t="str">
        <f t="shared" si="40"/>
        <v/>
      </c>
      <c r="BA212" s="264" t="s">
        <v>448</v>
      </c>
      <c r="BB212" s="264"/>
      <c r="BC212" s="264"/>
      <c r="BD212" s="264"/>
      <c r="BE212" s="216" t="s">
        <v>31</v>
      </c>
      <c r="BF212" s="55"/>
      <c r="BG212" s="55"/>
      <c r="BH212" s="55"/>
      <c r="BI212" s="55"/>
      <c r="BJ212" s="55"/>
      <c r="BK212" s="55"/>
      <c r="BL212" s="55"/>
      <c r="BM212" s="55"/>
      <c r="BN212" s="55"/>
      <c r="BO212" s="55"/>
      <c r="BP212" s="55"/>
      <c r="BQ212" s="5"/>
      <c r="BR212" s="25"/>
      <c r="BS212" s="5"/>
    </row>
    <row r="213" spans="1:71" s="3" customFormat="1" x14ac:dyDescent="0.25">
      <c r="A213" s="5"/>
      <c r="B213" s="3" t="str">
        <f t="array" ref="B213">IFERROR(INDEX(DemandSupply,MATCH(INDEX($AH$1:AH213,SMALL(ROW($AH$1:AH213)+(10000*($AH$1:AH213="")),COUNTA($AH$1:AH213))),Sectors,0)),"")</f>
        <v>Demand</v>
      </c>
      <c r="E213" s="10"/>
      <c r="F213" s="207"/>
      <c r="G213" s="207"/>
      <c r="H213" s="207"/>
      <c r="I213" s="207"/>
      <c r="J213" s="207"/>
      <c r="K213" s="207"/>
      <c r="L213" s="207"/>
      <c r="M213" s="207"/>
      <c r="N213" s="207"/>
      <c r="O213" s="207"/>
      <c r="P213" s="207"/>
      <c r="Q213" s="207"/>
      <c r="R213" s="207"/>
      <c r="S213" s="207"/>
      <c r="T213" s="207"/>
      <c r="U213" s="207"/>
      <c r="V213" s="207"/>
      <c r="W213" s="207"/>
      <c r="X213" s="207"/>
      <c r="Y213" s="207"/>
      <c r="Z213" s="207"/>
      <c r="AA213" s="207"/>
      <c r="AB213" s="207"/>
      <c r="AC213" s="5"/>
      <c r="AD213" s="63"/>
      <c r="AE213" s="64"/>
      <c r="AF213" s="64"/>
      <c r="AG213" s="212"/>
      <c r="AH213" s="64"/>
      <c r="AI213" s="64"/>
      <c r="AJ213" s="64"/>
      <c r="AK213" s="212"/>
      <c r="AL213" s="64"/>
      <c r="AM213" s="212"/>
      <c r="AN213" s="64"/>
      <c r="AO213" s="64"/>
      <c r="AP213" s="63"/>
      <c r="AQ213" s="64"/>
      <c r="AR213" s="63"/>
      <c r="AS213" s="64"/>
      <c r="AT213" s="63"/>
      <c r="AU213" s="64"/>
      <c r="AV213" s="63"/>
      <c r="AW213" s="64"/>
      <c r="AX213" s="63"/>
      <c r="AY213" s="5"/>
      <c r="AZ213" s="21" t="str">
        <f t="shared" si="40"/>
        <v/>
      </c>
      <c r="BA213" s="264" t="s">
        <v>445</v>
      </c>
      <c r="BB213" s="264"/>
      <c r="BC213" s="264"/>
      <c r="BD213" s="74" t="s">
        <v>357</v>
      </c>
      <c r="BE213" s="216" t="s">
        <v>31</v>
      </c>
      <c r="BF213" s="56"/>
      <c r="BG213" s="56"/>
      <c r="BH213" s="56"/>
      <c r="BI213" s="56"/>
      <c r="BJ213" s="56"/>
      <c r="BK213" s="56"/>
      <c r="BL213" s="56"/>
      <c r="BM213" s="56"/>
      <c r="BN213" s="56"/>
      <c r="BO213" s="56"/>
      <c r="BP213" s="56"/>
      <c r="BQ213" s="5"/>
      <c r="BR213" s="25"/>
      <c r="BS213" s="5"/>
    </row>
    <row r="214" spans="1:71" s="3" customFormat="1" x14ac:dyDescent="0.25">
      <c r="A214" s="5"/>
      <c r="B214" s="3" t="str">
        <f t="array" ref="B214">IFERROR(INDEX(DemandSupply,MATCH(INDEX($AH$1:AH214,SMALL(ROW($AH$1:AH214)+(10000*($AH$1:AH214="")),COUNTA($AH$1:AH214))),Sectors,0)),"")</f>
        <v>Demand</v>
      </c>
      <c r="E214" s="10"/>
      <c r="F214" s="207"/>
      <c r="G214" s="207"/>
      <c r="H214" s="207"/>
      <c r="I214" s="207"/>
      <c r="J214" s="207"/>
      <c r="K214" s="207"/>
      <c r="L214" s="207"/>
      <c r="M214" s="207"/>
      <c r="N214" s="207"/>
      <c r="O214" s="207"/>
      <c r="P214" s="207"/>
      <c r="Q214" s="207"/>
      <c r="R214" s="207"/>
      <c r="S214" s="207"/>
      <c r="T214" s="207"/>
      <c r="U214" s="207"/>
      <c r="V214" s="207"/>
      <c r="W214" s="207"/>
      <c r="X214" s="207"/>
      <c r="Y214" s="207"/>
      <c r="Z214" s="207"/>
      <c r="AA214" s="207"/>
      <c r="AB214" s="207"/>
      <c r="AC214" s="5"/>
      <c r="AD214" s="63"/>
      <c r="AE214" s="64"/>
      <c r="AF214" s="64"/>
      <c r="AG214" s="212"/>
      <c r="AH214" s="64"/>
      <c r="AI214" s="64"/>
      <c r="AJ214" s="64"/>
      <c r="AK214" s="212"/>
      <c r="AL214" s="64"/>
      <c r="AM214" s="212"/>
      <c r="AN214" s="64"/>
      <c r="AO214" s="64"/>
      <c r="AP214" s="63"/>
      <c r="AQ214" s="64"/>
      <c r="AR214" s="63"/>
      <c r="AS214" s="64"/>
      <c r="AT214" s="63"/>
      <c r="AU214" s="64"/>
      <c r="AV214" s="63"/>
      <c r="AW214" s="64"/>
      <c r="AX214" s="63"/>
      <c r="AY214" s="5"/>
      <c r="AZ214" s="21" t="str">
        <f t="shared" si="40"/>
        <v/>
      </c>
      <c r="BA214" s="264" t="s">
        <v>449</v>
      </c>
      <c r="BB214" s="264"/>
      <c r="BC214" s="264"/>
      <c r="BD214" s="74" t="s">
        <v>357</v>
      </c>
      <c r="BE214" s="216" t="s">
        <v>31</v>
      </c>
      <c r="BF214" s="56"/>
      <c r="BG214" s="56"/>
      <c r="BH214" s="56"/>
      <c r="BI214" s="56"/>
      <c r="BJ214" s="56"/>
      <c r="BK214" s="56"/>
      <c r="BL214" s="56"/>
      <c r="BM214" s="56"/>
      <c r="BN214" s="56"/>
      <c r="BO214" s="56"/>
      <c r="BP214" s="56"/>
      <c r="BQ214" s="5"/>
      <c r="BR214" s="25"/>
      <c r="BS214" s="5"/>
    </row>
    <row r="215" spans="1:71" s="3" customFormat="1" x14ac:dyDescent="0.25">
      <c r="A215" s="5"/>
      <c r="B215" s="3" t="str">
        <f t="array" ref="B215">IFERROR(INDEX(DemandSupply,MATCH(INDEX($AH$1:AH215,SMALL(ROW($AH$1:AH215)+(10000*($AH$1:AH215="")),COUNTA($AH$1:AH215))),Sectors,0)),"")</f>
        <v>Demand</v>
      </c>
      <c r="E215" s="10"/>
      <c r="F215" s="207"/>
      <c r="G215" s="207"/>
      <c r="H215" s="207"/>
      <c r="I215" s="207"/>
      <c r="J215" s="207"/>
      <c r="K215" s="207"/>
      <c r="L215" s="207"/>
      <c r="M215" s="207"/>
      <c r="N215" s="207"/>
      <c r="O215" s="207"/>
      <c r="P215" s="207"/>
      <c r="Q215" s="207"/>
      <c r="R215" s="207"/>
      <c r="S215" s="207"/>
      <c r="T215" s="207"/>
      <c r="U215" s="207"/>
      <c r="V215" s="207"/>
      <c r="W215" s="207"/>
      <c r="X215" s="207"/>
      <c r="Y215" s="207"/>
      <c r="Z215" s="207"/>
      <c r="AA215" s="207"/>
      <c r="AB215" s="207"/>
      <c r="AC215" s="5"/>
      <c r="AD215" s="63"/>
      <c r="AE215" s="64"/>
      <c r="AF215" s="64"/>
      <c r="AG215" s="212"/>
      <c r="AH215" s="64"/>
      <c r="AI215" s="64"/>
      <c r="AJ215" s="64"/>
      <c r="AK215" s="212"/>
      <c r="AL215" s="64"/>
      <c r="AM215" s="212"/>
      <c r="AN215" s="64"/>
      <c r="AO215" s="64"/>
      <c r="AP215" s="63"/>
      <c r="AQ215" s="64"/>
      <c r="AR215" s="63"/>
      <c r="AS215" s="64"/>
      <c r="AT215" s="63"/>
      <c r="AU215" s="64"/>
      <c r="AV215" s="63"/>
      <c r="AW215" s="64"/>
      <c r="AX215" s="63"/>
      <c r="AY215" s="5"/>
      <c r="AZ215" s="21" t="str">
        <f t="shared" si="40"/>
        <v/>
      </c>
      <c r="BA215" s="264" t="s">
        <v>450</v>
      </c>
      <c r="BB215" s="264"/>
      <c r="BC215" s="264"/>
      <c r="BD215" s="264"/>
      <c r="BE215" s="216" t="s">
        <v>31</v>
      </c>
      <c r="BF215" s="55"/>
      <c r="BG215" s="55"/>
      <c r="BH215" s="55"/>
      <c r="BI215" s="55"/>
      <c r="BJ215" s="55"/>
      <c r="BK215" s="55"/>
      <c r="BL215" s="55"/>
      <c r="BM215" s="55"/>
      <c r="BN215" s="55"/>
      <c r="BO215" s="55"/>
      <c r="BP215" s="55"/>
      <c r="BQ215" s="5"/>
      <c r="BR215" s="25"/>
      <c r="BS215" s="5"/>
    </row>
    <row r="216" spans="1:71" s="3" customFormat="1" x14ac:dyDescent="0.25">
      <c r="A216" s="5"/>
      <c r="B216" s="3" t="str">
        <f t="array" ref="B216">IFERROR(INDEX(DemandSupply,MATCH(INDEX($AH$1:AH216,SMALL(ROW($AH$1:AH216)+(10000*($AH$1:AH216="")),COUNTA($AH$1:AH216))),Sectors,0)),"")</f>
        <v>Demand</v>
      </c>
      <c r="E216" s="10"/>
      <c r="F216" s="207"/>
      <c r="G216" s="207"/>
      <c r="H216" s="207"/>
      <c r="I216" s="207"/>
      <c r="J216" s="207"/>
      <c r="K216" s="207"/>
      <c r="L216" s="207"/>
      <c r="M216" s="207"/>
      <c r="N216" s="207"/>
      <c r="O216" s="207"/>
      <c r="P216" s="207"/>
      <c r="Q216" s="207"/>
      <c r="R216" s="207"/>
      <c r="S216" s="207"/>
      <c r="T216" s="207"/>
      <c r="U216" s="207"/>
      <c r="V216" s="207"/>
      <c r="W216" s="207"/>
      <c r="X216" s="207"/>
      <c r="Y216" s="207"/>
      <c r="Z216" s="207"/>
      <c r="AA216" s="207"/>
      <c r="AB216" s="207"/>
      <c r="AC216" s="5"/>
      <c r="AD216" s="63"/>
      <c r="AE216" s="64"/>
      <c r="AF216" s="64"/>
      <c r="AG216" s="212"/>
      <c r="AH216" s="64"/>
      <c r="AI216" s="64"/>
      <c r="AJ216" s="64"/>
      <c r="AK216" s="212"/>
      <c r="AL216" s="64"/>
      <c r="AM216" s="212"/>
      <c r="AN216" s="64"/>
      <c r="AO216" s="64"/>
      <c r="AP216" s="63"/>
      <c r="AQ216" s="64"/>
      <c r="AR216" s="63"/>
      <c r="AS216" s="64"/>
      <c r="AT216" s="63"/>
      <c r="AU216" s="64"/>
      <c r="AV216" s="63"/>
      <c r="AW216" s="64"/>
      <c r="AX216" s="63"/>
      <c r="AY216" s="5"/>
      <c r="AZ216" s="21" t="str">
        <f t="shared" si="40"/>
        <v/>
      </c>
      <c r="BA216" s="264" t="s">
        <v>451</v>
      </c>
      <c r="BB216" s="264"/>
      <c r="BC216" s="264"/>
      <c r="BD216" s="264"/>
      <c r="BE216" s="216" t="s">
        <v>31</v>
      </c>
      <c r="BF216" s="55"/>
      <c r="BG216" s="55"/>
      <c r="BH216" s="55"/>
      <c r="BI216" s="55"/>
      <c r="BJ216" s="55"/>
      <c r="BK216" s="55"/>
      <c r="BL216" s="55"/>
      <c r="BM216" s="55"/>
      <c r="BN216" s="55"/>
      <c r="BO216" s="55"/>
      <c r="BP216" s="55"/>
      <c r="BQ216" s="5"/>
      <c r="BR216" s="25"/>
      <c r="BS216" s="5"/>
    </row>
    <row r="217" spans="1:71" s="3" customFormat="1" x14ac:dyDescent="0.25">
      <c r="A217" s="5"/>
      <c r="B217" s="3" t="str">
        <f t="array" ref="B217">IFERROR(INDEX(DemandSupply,MATCH(INDEX($AH$1:AH217,SMALL(ROW($AH$1:AH217)+(10000*($AH$1:AH217="")),COUNTA($AH$1:AH217))),Sectors,0)),"")</f>
        <v>Demand</v>
      </c>
      <c r="E217" s="10"/>
      <c r="F217" s="207"/>
      <c r="G217" s="207"/>
      <c r="H217" s="207"/>
      <c r="I217" s="207"/>
      <c r="J217" s="207"/>
      <c r="K217" s="207"/>
      <c r="L217" s="207"/>
      <c r="M217" s="207"/>
      <c r="N217" s="207"/>
      <c r="O217" s="207"/>
      <c r="P217" s="207"/>
      <c r="Q217" s="207"/>
      <c r="R217" s="207"/>
      <c r="S217" s="207"/>
      <c r="T217" s="207"/>
      <c r="U217" s="207"/>
      <c r="V217" s="207"/>
      <c r="W217" s="207"/>
      <c r="X217" s="207"/>
      <c r="Y217" s="207"/>
      <c r="Z217" s="207"/>
      <c r="AA217" s="207"/>
      <c r="AB217" s="207"/>
      <c r="AC217" s="5"/>
      <c r="AD217" s="63"/>
      <c r="AE217" s="64"/>
      <c r="AF217" s="64"/>
      <c r="AG217" s="212"/>
      <c r="AH217" s="64"/>
      <c r="AI217" s="64"/>
      <c r="AJ217" s="64"/>
      <c r="AK217" s="212"/>
      <c r="AL217" s="64"/>
      <c r="AM217" s="212"/>
      <c r="AN217" s="64"/>
      <c r="AO217" s="64"/>
      <c r="AP217" s="63"/>
      <c r="AQ217" s="64"/>
      <c r="AR217" s="63"/>
      <c r="AS217" s="64"/>
      <c r="AT217" s="63"/>
      <c r="AU217" s="64"/>
      <c r="AV217" s="63"/>
      <c r="AW217" s="64"/>
      <c r="AX217" s="63"/>
      <c r="AY217" s="5"/>
      <c r="AZ217" s="21" t="str">
        <f t="shared" si="40"/>
        <v/>
      </c>
      <c r="BA217" s="264" t="s">
        <v>342</v>
      </c>
      <c r="BB217" s="264"/>
      <c r="BC217" s="264"/>
      <c r="BD217" s="74" t="s">
        <v>357</v>
      </c>
      <c r="BE217" s="216" t="s">
        <v>31</v>
      </c>
      <c r="BF217" s="56"/>
      <c r="BG217" s="56"/>
      <c r="BH217" s="56"/>
      <c r="BI217" s="56"/>
      <c r="BJ217" s="56"/>
      <c r="BK217" s="56"/>
      <c r="BL217" s="56"/>
      <c r="BM217" s="56"/>
      <c r="BN217" s="56"/>
      <c r="BO217" s="56"/>
      <c r="BP217" s="56"/>
      <c r="BQ217" s="5"/>
      <c r="BR217" s="25"/>
      <c r="BS217" s="5"/>
    </row>
    <row r="218" spans="1:71" s="3" customFormat="1" x14ac:dyDescent="0.25">
      <c r="A218" s="5"/>
      <c r="B218" s="3" t="str">
        <f t="array" ref="B218">IFERROR(INDEX(DemandSupply,MATCH(INDEX($AH$1:AH218,SMALL(ROW($AH$1:AH218)+(10000*($AH$1:AH218="")),COUNTA($AH$1:AH218))),Sectors,0)),"")</f>
        <v>Demand</v>
      </c>
      <c r="E218" s="10"/>
      <c r="F218" s="207"/>
      <c r="G218" s="207"/>
      <c r="H218" s="207"/>
      <c r="I218" s="207"/>
      <c r="J218" s="207"/>
      <c r="K218" s="207"/>
      <c r="L218" s="207"/>
      <c r="M218" s="207"/>
      <c r="N218" s="207"/>
      <c r="O218" s="207"/>
      <c r="P218" s="207"/>
      <c r="Q218" s="207"/>
      <c r="R218" s="207"/>
      <c r="S218" s="207"/>
      <c r="T218" s="207"/>
      <c r="U218" s="207"/>
      <c r="V218" s="207"/>
      <c r="W218" s="207"/>
      <c r="X218" s="207"/>
      <c r="Y218" s="207"/>
      <c r="Z218" s="207"/>
      <c r="AA218" s="207"/>
      <c r="AB218" s="207"/>
      <c r="AC218" s="5"/>
      <c r="AD218" s="63"/>
      <c r="AE218" s="64"/>
      <c r="AF218" s="64"/>
      <c r="AG218" s="212"/>
      <c r="AH218" s="64"/>
      <c r="AI218" s="64"/>
      <c r="AJ218" s="64"/>
      <c r="AK218" s="212"/>
      <c r="AL218" s="64"/>
      <c r="AM218" s="212"/>
      <c r="AN218" s="64"/>
      <c r="AO218" s="64"/>
      <c r="AP218" s="63"/>
      <c r="AQ218" s="64"/>
      <c r="AR218" s="63"/>
      <c r="AS218" s="64"/>
      <c r="AT218" s="63"/>
      <c r="AU218" s="64"/>
      <c r="AV218" s="63"/>
      <c r="AW218" s="64"/>
      <c r="AX218" s="63"/>
      <c r="AY218" s="5"/>
      <c r="AZ218" s="21" t="str">
        <f t="shared" si="40"/>
        <v/>
      </c>
      <c r="BA218" s="264" t="s">
        <v>394</v>
      </c>
      <c r="BB218" s="264"/>
      <c r="BC218" s="264"/>
      <c r="BD218" s="264" t="s">
        <v>354</v>
      </c>
      <c r="BE218" s="216" t="s">
        <v>31</v>
      </c>
      <c r="BF218" s="56"/>
      <c r="BG218" s="56"/>
      <c r="BH218" s="56"/>
      <c r="BI218" s="56"/>
      <c r="BJ218" s="56"/>
      <c r="BK218" s="56"/>
      <c r="BL218" s="56"/>
      <c r="BM218" s="56"/>
      <c r="BN218" s="56"/>
      <c r="BO218" s="56"/>
      <c r="BP218" s="56"/>
      <c r="BQ218" s="5"/>
      <c r="BR218" s="25"/>
      <c r="BS218" s="5"/>
    </row>
    <row r="219" spans="1:71" s="3" customFormat="1" x14ac:dyDescent="0.25">
      <c r="A219" s="5"/>
      <c r="B219" s="3" t="str">
        <f t="array" ref="B219">IFERROR(INDEX(DemandSupply,MATCH(INDEX($AH$1:AH219,SMALL(ROW($AH$1:AH219)+(10000*($AH$1:AH219="")),COUNTA($AH$1:AH219))),Sectors,0)),"")</f>
        <v>Demand</v>
      </c>
      <c r="E219" s="10">
        <f t="shared" si="24"/>
        <v>0</v>
      </c>
      <c r="F219" s="207">
        <v>1</v>
      </c>
      <c r="G219" s="207">
        <v>1</v>
      </c>
      <c r="H219" s="207">
        <v>1</v>
      </c>
      <c r="I219" s="207">
        <v>1</v>
      </c>
      <c r="J219" s="207">
        <v>1</v>
      </c>
      <c r="K219" s="207">
        <v>1</v>
      </c>
      <c r="L219" s="207">
        <v>1</v>
      </c>
      <c r="M219" s="207">
        <v>1</v>
      </c>
      <c r="N219" s="207">
        <v>1</v>
      </c>
      <c r="O219" s="207">
        <v>1</v>
      </c>
      <c r="P219" s="207">
        <v>1</v>
      </c>
      <c r="Q219" s="207">
        <v>1</v>
      </c>
      <c r="R219" s="207">
        <v>1</v>
      </c>
      <c r="S219" s="207">
        <v>1</v>
      </c>
      <c r="T219" s="207">
        <v>1</v>
      </c>
      <c r="U219" s="207">
        <v>1</v>
      </c>
      <c r="V219" s="207">
        <v>1</v>
      </c>
      <c r="W219" s="207">
        <v>1</v>
      </c>
      <c r="X219" s="207">
        <v>1</v>
      </c>
      <c r="Y219" s="207">
        <v>1</v>
      </c>
      <c r="Z219" s="207">
        <v>1</v>
      </c>
      <c r="AA219" s="207">
        <v>1</v>
      </c>
      <c r="AB219" s="207">
        <v>1</v>
      </c>
      <c r="AC219" s="5"/>
      <c r="AD219" s="63"/>
      <c r="AE219" s="64"/>
      <c r="AF219" s="64"/>
      <c r="AG219" s="212"/>
      <c r="AH219" s="64"/>
      <c r="AI219" s="64"/>
      <c r="AJ219" s="64"/>
      <c r="AK219" s="212"/>
      <c r="AL219" s="64"/>
      <c r="AM219" s="212"/>
      <c r="AN219" s="64"/>
      <c r="AO219" s="64"/>
      <c r="AP219" s="63"/>
      <c r="AQ219" s="64"/>
      <c r="AR219" s="63"/>
      <c r="AS219" s="64"/>
      <c r="AT219" s="63"/>
      <c r="AU219" s="64"/>
      <c r="AV219" s="63"/>
      <c r="AW219" s="64"/>
      <c r="AX219" s="63"/>
      <c r="AY219" s="5"/>
      <c r="AZ219" s="21" t="str">
        <f t="shared" si="40"/>
        <v/>
      </c>
      <c r="BA219" s="74" t="s">
        <v>338</v>
      </c>
      <c r="BB219" s="25"/>
      <c r="BC219" s="74" t="s">
        <v>129</v>
      </c>
      <c r="BD219" s="74" t="s">
        <v>45</v>
      </c>
      <c r="BE219" s="216" t="s">
        <v>31</v>
      </c>
      <c r="BF219" s="55">
        <v>0.309</v>
      </c>
      <c r="BG219" s="55">
        <f t="shared" ref="BG219:BP219" si="53">BF219</f>
        <v>0.309</v>
      </c>
      <c r="BH219" s="55">
        <f t="shared" si="53"/>
        <v>0.309</v>
      </c>
      <c r="BI219" s="55">
        <f t="shared" si="53"/>
        <v>0.309</v>
      </c>
      <c r="BJ219" s="55">
        <f t="shared" si="53"/>
        <v>0.309</v>
      </c>
      <c r="BK219" s="55">
        <f t="shared" si="53"/>
        <v>0.309</v>
      </c>
      <c r="BL219" s="55">
        <f t="shared" si="53"/>
        <v>0.309</v>
      </c>
      <c r="BM219" s="55">
        <f t="shared" si="53"/>
        <v>0.309</v>
      </c>
      <c r="BN219" s="55">
        <f t="shared" si="53"/>
        <v>0.309</v>
      </c>
      <c r="BO219" s="55">
        <f t="shared" si="53"/>
        <v>0.309</v>
      </c>
      <c r="BP219" s="55">
        <f t="shared" si="53"/>
        <v>0.309</v>
      </c>
      <c r="BQ219" s="5"/>
      <c r="BR219" s="25"/>
      <c r="BS219" s="5"/>
    </row>
    <row r="220" spans="1:71" s="3" customFormat="1" x14ac:dyDescent="0.25">
      <c r="A220" s="5"/>
      <c r="B220" s="3" t="str">
        <f t="array" ref="B220">IFERROR(INDEX(DemandSupply,MATCH(INDEX($AH$1:AH220,SMALL(ROW($AH$1:AH220)+(10000*($AH$1:AH220="")),COUNTA($AH$1:AH220))),Sectors,0)),"")</f>
        <v>Demand</v>
      </c>
      <c r="E220" s="10">
        <f t="shared" si="24"/>
        <v>0</v>
      </c>
      <c r="F220" s="207">
        <v>1</v>
      </c>
      <c r="G220" s="207">
        <v>1</v>
      </c>
      <c r="H220" s="207">
        <v>1</v>
      </c>
      <c r="I220" s="207">
        <v>1</v>
      </c>
      <c r="J220" s="207">
        <v>1</v>
      </c>
      <c r="K220" s="207">
        <v>1</v>
      </c>
      <c r="L220" s="207">
        <v>1</v>
      </c>
      <c r="M220" s="207">
        <v>1</v>
      </c>
      <c r="N220" s="207">
        <v>1</v>
      </c>
      <c r="O220" s="207">
        <v>1</v>
      </c>
      <c r="P220" s="207">
        <v>1</v>
      </c>
      <c r="Q220" s="207">
        <v>1</v>
      </c>
      <c r="R220" s="207">
        <v>1</v>
      </c>
      <c r="S220" s="207">
        <v>1</v>
      </c>
      <c r="T220" s="207">
        <v>1</v>
      </c>
      <c r="U220" s="207">
        <v>1</v>
      </c>
      <c r="V220" s="207">
        <v>1</v>
      </c>
      <c r="W220" s="207">
        <v>1</v>
      </c>
      <c r="X220" s="207">
        <v>1</v>
      </c>
      <c r="Y220" s="207">
        <v>1</v>
      </c>
      <c r="Z220" s="207">
        <v>1</v>
      </c>
      <c r="AA220" s="207">
        <v>1</v>
      </c>
      <c r="AB220" s="207">
        <v>1</v>
      </c>
      <c r="AC220" s="5"/>
      <c r="AD220" s="63"/>
      <c r="AE220" s="64"/>
      <c r="AF220" s="64"/>
      <c r="AG220" s="212"/>
      <c r="AH220" s="64"/>
      <c r="AI220" s="64"/>
      <c r="AJ220" s="64"/>
      <c r="AK220" s="212"/>
      <c r="AL220" s="64"/>
      <c r="AM220" s="212"/>
      <c r="AN220" s="64"/>
      <c r="AO220" s="64"/>
      <c r="AP220" s="63"/>
      <c r="AQ220" s="64"/>
      <c r="AR220" s="63"/>
      <c r="AS220" s="64"/>
      <c r="AT220" s="63"/>
      <c r="AU220" s="64"/>
      <c r="AV220" s="63"/>
      <c r="AW220" s="64"/>
      <c r="AX220" s="63"/>
      <c r="AY220" s="5"/>
      <c r="AZ220" s="21" t="str">
        <f t="shared" si="40"/>
        <v/>
      </c>
      <c r="BA220" s="74" t="s">
        <v>338</v>
      </c>
      <c r="BB220" s="25"/>
      <c r="BC220" s="74" t="s">
        <v>130</v>
      </c>
      <c r="BD220" s="74" t="s">
        <v>45</v>
      </c>
      <c r="BE220" s="216" t="s">
        <v>31</v>
      </c>
      <c r="BF220" s="55">
        <v>2.3E-2</v>
      </c>
      <c r="BG220" s="55">
        <f t="shared" ref="BG220:BP220" si="54">BF220</f>
        <v>2.3E-2</v>
      </c>
      <c r="BH220" s="55">
        <f t="shared" si="54"/>
        <v>2.3E-2</v>
      </c>
      <c r="BI220" s="55">
        <f t="shared" si="54"/>
        <v>2.3E-2</v>
      </c>
      <c r="BJ220" s="55">
        <f t="shared" si="54"/>
        <v>2.3E-2</v>
      </c>
      <c r="BK220" s="55">
        <f t="shared" si="54"/>
        <v>2.3E-2</v>
      </c>
      <c r="BL220" s="55">
        <f t="shared" si="54"/>
        <v>2.3E-2</v>
      </c>
      <c r="BM220" s="55">
        <f t="shared" si="54"/>
        <v>2.3E-2</v>
      </c>
      <c r="BN220" s="55">
        <f t="shared" si="54"/>
        <v>2.3E-2</v>
      </c>
      <c r="BO220" s="55">
        <f t="shared" si="54"/>
        <v>2.3E-2</v>
      </c>
      <c r="BP220" s="55">
        <f t="shared" si="54"/>
        <v>2.3E-2</v>
      </c>
      <c r="BQ220" s="5"/>
      <c r="BR220" s="25"/>
      <c r="BS220" s="5"/>
    </row>
    <row r="221" spans="1:71" s="3" customFormat="1" x14ac:dyDescent="0.25">
      <c r="A221" s="5"/>
      <c r="B221" s="3" t="str">
        <f t="array" ref="B221">IFERROR(INDEX(DemandSupply,MATCH(INDEX($AH$1:AH221,SMALL(ROW($AH$1:AH221)+(10000*($AH$1:AH221="")),COUNTA($AH$1:AH221))),Sectors,0)),"")</f>
        <v>Demand</v>
      </c>
      <c r="E221" s="10">
        <f t="shared" si="24"/>
        <v>1</v>
      </c>
      <c r="F221" s="207">
        <v>1</v>
      </c>
      <c r="G221" s="207">
        <v>1</v>
      </c>
      <c r="H221" s="207">
        <v>1</v>
      </c>
      <c r="I221" s="207">
        <v>1</v>
      </c>
      <c r="J221" s="207">
        <v>1</v>
      </c>
      <c r="K221" s="207">
        <v>1</v>
      </c>
      <c r="L221" s="207">
        <v>1</v>
      </c>
      <c r="M221" s="207">
        <v>1</v>
      </c>
      <c r="N221" s="207">
        <v>1</v>
      </c>
      <c r="O221" s="207">
        <v>1</v>
      </c>
      <c r="P221" s="207">
        <v>1</v>
      </c>
      <c r="Q221" s="207">
        <v>1</v>
      </c>
      <c r="R221" s="207">
        <v>1</v>
      </c>
      <c r="S221" s="207">
        <v>1</v>
      </c>
      <c r="T221" s="207">
        <v>1</v>
      </c>
      <c r="U221" s="207">
        <v>1</v>
      </c>
      <c r="V221" s="207">
        <v>1</v>
      </c>
      <c r="W221" s="207">
        <v>1</v>
      </c>
      <c r="X221" s="207">
        <v>1</v>
      </c>
      <c r="Y221" s="207">
        <v>1</v>
      </c>
      <c r="Z221" s="207">
        <v>1</v>
      </c>
      <c r="AA221" s="207">
        <v>1</v>
      </c>
      <c r="AB221" s="207">
        <v>1</v>
      </c>
      <c r="AC221" s="5"/>
      <c r="AD221" s="63"/>
      <c r="AE221" s="64"/>
      <c r="AF221" s="64"/>
      <c r="AG221" s="212"/>
      <c r="AH221" s="64"/>
      <c r="AI221" s="64"/>
      <c r="AJ221" s="64"/>
      <c r="AK221" s="212"/>
      <c r="AL221" s="65"/>
      <c r="AM221" s="212"/>
      <c r="AN221" s="64"/>
      <c r="AO221" s="64"/>
      <c r="AP221" s="63"/>
      <c r="AQ221" s="64"/>
      <c r="AR221" s="63"/>
      <c r="AS221" s="64"/>
      <c r="AT221" s="63"/>
      <c r="AU221" s="64"/>
      <c r="AV221" s="63"/>
      <c r="AW221" s="63"/>
      <c r="AX221" s="63"/>
      <c r="AY221" s="5"/>
      <c r="AZ221" s="21" t="str">
        <f t="shared" ref="AZ221:AZ284" si="55">IFERROR(INDEX($AD221:$AX221,MATCH(TRUE,INDEX(($AD221:$AX221&lt;&gt;0),0),0)),"")</f>
        <v/>
      </c>
      <c r="BA221" s="4"/>
      <c r="BB221" s="13"/>
      <c r="BC221" s="4"/>
      <c r="BD221" s="4"/>
      <c r="BE221" s="9"/>
      <c r="BF221" s="4"/>
      <c r="BG221" s="4"/>
      <c r="BH221" s="4"/>
      <c r="BI221" s="4"/>
      <c r="BJ221" s="4"/>
      <c r="BK221" s="4"/>
      <c r="BL221" s="4"/>
      <c r="BM221" s="4"/>
      <c r="BN221" s="4"/>
      <c r="BO221" s="4"/>
      <c r="BP221" s="4"/>
      <c r="BQ221" s="5"/>
      <c r="BR221" s="13"/>
      <c r="BS221" s="5"/>
    </row>
    <row r="222" spans="1:71" s="3" customFormat="1" x14ac:dyDescent="0.25">
      <c r="A222" s="5"/>
      <c r="B222" s="3" t="str">
        <f t="array" ref="B222">IFERROR(INDEX(DemandSupply,MATCH(INDEX($AH$1:AH222,SMALL(ROW($AH$1:AH222)+(10000*($AH$1:AH222="")),COUNTA($AH$1:AH222))),Sectors,0)),"")</f>
        <v>Demand</v>
      </c>
      <c r="E222" s="10">
        <f t="shared" si="24"/>
        <v>1</v>
      </c>
      <c r="F222" s="207">
        <v>1</v>
      </c>
      <c r="G222" s="207">
        <v>1</v>
      </c>
      <c r="H222" s="207">
        <v>1</v>
      </c>
      <c r="I222" s="207">
        <v>1</v>
      </c>
      <c r="J222" s="207">
        <v>1</v>
      </c>
      <c r="K222" s="207">
        <v>1</v>
      </c>
      <c r="L222" s="207">
        <v>1</v>
      </c>
      <c r="M222" s="207">
        <v>1</v>
      </c>
      <c r="N222" s="207">
        <v>1</v>
      </c>
      <c r="O222" s="207">
        <v>1</v>
      </c>
      <c r="P222" s="207">
        <v>1</v>
      </c>
      <c r="Q222" s="207">
        <v>1</v>
      </c>
      <c r="R222" s="207">
        <v>1</v>
      </c>
      <c r="S222" s="207">
        <v>1</v>
      </c>
      <c r="T222" s="207">
        <v>1</v>
      </c>
      <c r="U222" s="207">
        <v>1</v>
      </c>
      <c r="V222" s="207">
        <v>1</v>
      </c>
      <c r="W222" s="207">
        <v>1</v>
      </c>
      <c r="X222" s="207">
        <v>1</v>
      </c>
      <c r="Y222" s="207">
        <v>1</v>
      </c>
      <c r="Z222" s="207">
        <v>1</v>
      </c>
      <c r="AA222" s="207">
        <v>1</v>
      </c>
      <c r="AB222" s="207">
        <v>1</v>
      </c>
      <c r="AC222" s="5"/>
      <c r="AD222" s="63"/>
      <c r="AE222" s="64"/>
      <c r="AF222" s="64"/>
      <c r="AG222" s="212"/>
      <c r="AH222" s="64"/>
      <c r="AI222" s="64"/>
      <c r="AJ222" s="64"/>
      <c r="AK222" s="212"/>
      <c r="AL222" s="64"/>
      <c r="AM222" s="212"/>
      <c r="AN222" s="211" t="s">
        <v>71</v>
      </c>
      <c r="AO222" s="67"/>
      <c r="AP222" s="63"/>
      <c r="AQ222" s="64"/>
      <c r="AR222" s="63"/>
      <c r="AS222" s="64"/>
      <c r="AT222" s="63"/>
      <c r="AU222" s="64"/>
      <c r="AV222" s="63"/>
      <c r="AW222" s="64"/>
      <c r="AX222" s="63"/>
      <c r="AY222" s="5"/>
      <c r="AZ222" s="208" t="str">
        <f t="shared" si="55"/>
        <v>Space heating</v>
      </c>
      <c r="BA222" s="4"/>
      <c r="BB222" s="13"/>
      <c r="BC222" s="4"/>
      <c r="BD222" s="4"/>
      <c r="BE222" s="9"/>
      <c r="BF222" s="4"/>
      <c r="BG222" s="4"/>
      <c r="BH222" s="4"/>
      <c r="BI222" s="4"/>
      <c r="BJ222" s="4"/>
      <c r="BK222" s="4"/>
      <c r="BL222" s="4"/>
      <c r="BM222" s="4"/>
      <c r="BN222" s="4"/>
      <c r="BO222" s="4"/>
      <c r="BP222" s="4"/>
      <c r="BQ222" s="5"/>
      <c r="BR222" s="13"/>
      <c r="BS222" s="5"/>
    </row>
    <row r="223" spans="1:71" s="3" customFormat="1" x14ac:dyDescent="0.25">
      <c r="A223" s="5"/>
      <c r="B223" s="3" t="str">
        <f t="array" ref="B223">IFERROR(INDEX(DemandSupply,MATCH(INDEX($AH$1:AH223,SMALL(ROW($AH$1:AH223)+(10000*($AH$1:AH223="")),COUNTA($AH$1:AH223))),Sectors,0)),"")</f>
        <v>Demand</v>
      </c>
      <c r="E223" s="10">
        <f t="shared" si="24"/>
        <v>0</v>
      </c>
      <c r="F223" s="207">
        <v>1</v>
      </c>
      <c r="G223" s="207">
        <v>1</v>
      </c>
      <c r="H223" s="207">
        <v>1</v>
      </c>
      <c r="I223" s="207">
        <v>1</v>
      </c>
      <c r="J223" s="207">
        <v>1</v>
      </c>
      <c r="K223" s="207">
        <v>1</v>
      </c>
      <c r="L223" s="207">
        <v>1</v>
      </c>
      <c r="M223" s="207">
        <v>1</v>
      </c>
      <c r="N223" s="207">
        <v>1</v>
      </c>
      <c r="O223" s="207">
        <v>1</v>
      </c>
      <c r="P223" s="207">
        <v>1</v>
      </c>
      <c r="Q223" s="207">
        <v>1</v>
      </c>
      <c r="R223" s="207">
        <v>1</v>
      </c>
      <c r="S223" s="207">
        <v>1</v>
      </c>
      <c r="T223" s="207">
        <v>1</v>
      </c>
      <c r="U223" s="207">
        <v>1</v>
      </c>
      <c r="V223" s="207">
        <v>1</v>
      </c>
      <c r="W223" s="207">
        <v>1</v>
      </c>
      <c r="X223" s="207">
        <v>1</v>
      </c>
      <c r="Y223" s="207">
        <v>1</v>
      </c>
      <c r="Z223" s="207">
        <v>1</v>
      </c>
      <c r="AA223" s="207">
        <v>1</v>
      </c>
      <c r="AB223" s="207">
        <v>1</v>
      </c>
      <c r="AC223" s="5"/>
      <c r="AD223" s="63"/>
      <c r="AE223" s="64"/>
      <c r="AF223" s="64"/>
      <c r="AG223" s="212"/>
      <c r="AH223" s="64"/>
      <c r="AI223" s="64"/>
      <c r="AJ223" s="64"/>
      <c r="AK223" s="212"/>
      <c r="AL223" s="64"/>
      <c r="AM223" s="212"/>
      <c r="AN223" s="64"/>
      <c r="AO223" s="66"/>
      <c r="AP223" s="63"/>
      <c r="AQ223" s="64"/>
      <c r="AR223" s="63"/>
      <c r="AS223" s="64"/>
      <c r="AT223" s="63"/>
      <c r="AU223" s="64"/>
      <c r="AV223" s="63"/>
      <c r="AW223" s="64"/>
      <c r="AX223" s="63"/>
      <c r="AY223" s="5"/>
      <c r="AZ223" s="21" t="str">
        <f t="shared" si="55"/>
        <v/>
      </c>
      <c r="BA223" s="74" t="s">
        <v>337</v>
      </c>
      <c r="BB223" s="25"/>
      <c r="BC223" s="74" t="s">
        <v>131</v>
      </c>
      <c r="BD223" s="74" t="s">
        <v>34</v>
      </c>
      <c r="BE223" s="216" t="str">
        <f>AZ222</f>
        <v>Space heating</v>
      </c>
      <c r="BF223" s="56"/>
      <c r="BG223" s="56"/>
      <c r="BH223" s="56"/>
      <c r="BI223" s="56"/>
      <c r="BJ223" s="56"/>
      <c r="BK223" s="56"/>
      <c r="BL223" s="56"/>
      <c r="BM223" s="56"/>
      <c r="BN223" s="56"/>
      <c r="BO223" s="56"/>
      <c r="BP223" s="56"/>
      <c r="BQ223" s="5"/>
      <c r="BR223" s="25"/>
      <c r="BS223" s="5"/>
    </row>
    <row r="224" spans="1:71" s="3" customFormat="1" x14ac:dyDescent="0.25">
      <c r="A224" s="5"/>
      <c r="B224" s="3" t="str">
        <f t="array" ref="B224">IFERROR(INDEX(DemandSupply,MATCH(INDEX($AH$1:AH224,SMALL(ROW($AH$1:AH224)+(10000*($AH$1:AH224="")),COUNTA($AH$1:AH224))),Sectors,0)),"")</f>
        <v>Demand</v>
      </c>
      <c r="E224" s="10">
        <f t="shared" si="24"/>
        <v>0</v>
      </c>
      <c r="F224" s="207">
        <v>1</v>
      </c>
      <c r="G224" s="207">
        <v>1</v>
      </c>
      <c r="H224" s="207">
        <v>1</v>
      </c>
      <c r="I224" s="207">
        <v>1</v>
      </c>
      <c r="J224" s="207">
        <v>1</v>
      </c>
      <c r="K224" s="207">
        <v>1</v>
      </c>
      <c r="L224" s="207">
        <v>1</v>
      </c>
      <c r="M224" s="207">
        <v>1</v>
      </c>
      <c r="N224" s="207">
        <v>1</v>
      </c>
      <c r="O224" s="207">
        <v>1</v>
      </c>
      <c r="P224" s="207">
        <v>1</v>
      </c>
      <c r="Q224" s="207">
        <v>1</v>
      </c>
      <c r="R224" s="207">
        <v>1</v>
      </c>
      <c r="S224" s="207">
        <v>1</v>
      </c>
      <c r="T224" s="207">
        <v>1</v>
      </c>
      <c r="U224" s="207">
        <v>1</v>
      </c>
      <c r="V224" s="207">
        <v>1</v>
      </c>
      <c r="W224" s="207">
        <v>1</v>
      </c>
      <c r="X224" s="207">
        <v>1</v>
      </c>
      <c r="Y224" s="207">
        <v>1</v>
      </c>
      <c r="Z224" s="207">
        <v>1</v>
      </c>
      <c r="AA224" s="207">
        <v>1</v>
      </c>
      <c r="AB224" s="207">
        <v>1</v>
      </c>
      <c r="AC224" s="5"/>
      <c r="AD224" s="63"/>
      <c r="AE224" s="64"/>
      <c r="AF224" s="64"/>
      <c r="AG224" s="212"/>
      <c r="AH224" s="64"/>
      <c r="AI224" s="64"/>
      <c r="AJ224" s="64"/>
      <c r="AK224" s="212"/>
      <c r="AL224" s="64"/>
      <c r="AM224" s="212"/>
      <c r="AN224" s="64"/>
      <c r="AO224" s="212"/>
      <c r="AP224" s="63"/>
      <c r="AQ224" s="64"/>
      <c r="AR224" s="63"/>
      <c r="AS224" s="64"/>
      <c r="AT224" s="63"/>
      <c r="AU224" s="64"/>
      <c r="AV224" s="63"/>
      <c r="AW224" s="64"/>
      <c r="AX224" s="63"/>
      <c r="AY224" s="5"/>
      <c r="AZ224" s="21" t="str">
        <f t="shared" si="55"/>
        <v/>
      </c>
      <c r="BA224" s="74" t="s">
        <v>47</v>
      </c>
      <c r="BB224" s="25"/>
      <c r="BC224" s="2"/>
      <c r="BD224" s="2"/>
      <c r="BE224" s="216" t="s">
        <v>21</v>
      </c>
      <c r="BF224" s="4"/>
      <c r="BG224" s="4"/>
      <c r="BH224" s="4"/>
      <c r="BI224" s="4"/>
      <c r="BJ224" s="4"/>
      <c r="BK224" s="4"/>
      <c r="BL224" s="4"/>
      <c r="BM224" s="4"/>
      <c r="BN224" s="4"/>
      <c r="BO224" s="4"/>
      <c r="BP224" s="4"/>
      <c r="BQ224" s="5"/>
      <c r="BR224" s="25"/>
      <c r="BS224" s="5"/>
    </row>
    <row r="225" spans="1:71" s="3" customFormat="1" x14ac:dyDescent="0.25">
      <c r="A225" s="5"/>
      <c r="B225" s="3" t="str">
        <f t="array" ref="B225">IFERROR(INDEX(DemandSupply,MATCH(INDEX($AH$1:AH225,SMALL(ROW($AH$1:AH225)+(10000*($AH$1:AH225="")),COUNTA($AH$1:AH225))),Sectors,0)),"")</f>
        <v>Demand</v>
      </c>
      <c r="E225" s="10">
        <f t="shared" ref="E225:E356" si="56">IF(COUNTA(BA225)=1,0,MIN(F225:AA225))</f>
        <v>0</v>
      </c>
      <c r="F225" s="207">
        <v>1</v>
      </c>
      <c r="G225" s="207">
        <v>1</v>
      </c>
      <c r="H225" s="207">
        <v>1</v>
      </c>
      <c r="I225" s="207">
        <v>1</v>
      </c>
      <c r="J225" s="207">
        <v>1</v>
      </c>
      <c r="K225" s="207">
        <v>1</v>
      </c>
      <c r="L225" s="207">
        <v>1</v>
      </c>
      <c r="M225" s="207">
        <v>1</v>
      </c>
      <c r="N225" s="207">
        <v>1</v>
      </c>
      <c r="O225" s="207">
        <v>1</v>
      </c>
      <c r="P225" s="207">
        <v>1</v>
      </c>
      <c r="Q225" s="207">
        <v>1</v>
      </c>
      <c r="R225" s="207">
        <v>1</v>
      </c>
      <c r="S225" s="207">
        <v>1</v>
      </c>
      <c r="T225" s="207">
        <v>1</v>
      </c>
      <c r="U225" s="207">
        <v>1</v>
      </c>
      <c r="V225" s="207">
        <v>1</v>
      </c>
      <c r="W225" s="207">
        <v>1</v>
      </c>
      <c r="X225" s="207">
        <v>1</v>
      </c>
      <c r="Y225" s="207">
        <v>1</v>
      </c>
      <c r="Z225" s="207">
        <v>1</v>
      </c>
      <c r="AA225" s="207">
        <v>1</v>
      </c>
      <c r="AB225" s="207">
        <v>1</v>
      </c>
      <c r="AC225" s="5"/>
      <c r="AD225" s="63"/>
      <c r="AE225" s="64"/>
      <c r="AF225" s="64"/>
      <c r="AG225" s="212"/>
      <c r="AH225" s="64"/>
      <c r="AI225" s="64"/>
      <c r="AJ225" s="64"/>
      <c r="AK225" s="212"/>
      <c r="AL225" s="64"/>
      <c r="AM225" s="212"/>
      <c r="AN225" s="64"/>
      <c r="AO225" s="212"/>
      <c r="AP225" s="63"/>
      <c r="AQ225" s="64"/>
      <c r="AR225" s="63"/>
      <c r="AS225" s="64"/>
      <c r="AT225" s="63"/>
      <c r="AU225" s="64"/>
      <c r="AV225" s="63"/>
      <c r="AW225" s="64"/>
      <c r="AX225" s="63"/>
      <c r="AY225" s="5"/>
      <c r="AZ225" s="21" t="str">
        <f t="shared" si="55"/>
        <v/>
      </c>
      <c r="BA225" s="74" t="s">
        <v>66</v>
      </c>
      <c r="BB225" s="25"/>
      <c r="BC225" s="2"/>
      <c r="BD225" s="2"/>
      <c r="BE225" s="216" t="s">
        <v>35</v>
      </c>
      <c r="BF225" s="4">
        <v>10</v>
      </c>
      <c r="BG225" s="223">
        <f t="shared" ref="BG225:BP225" si="57">BF225</f>
        <v>10</v>
      </c>
      <c r="BH225" s="223">
        <f t="shared" si="57"/>
        <v>10</v>
      </c>
      <c r="BI225" s="223">
        <f t="shared" si="57"/>
        <v>10</v>
      </c>
      <c r="BJ225" s="223">
        <f t="shared" si="57"/>
        <v>10</v>
      </c>
      <c r="BK225" s="223">
        <f t="shared" si="57"/>
        <v>10</v>
      </c>
      <c r="BL225" s="223">
        <f t="shared" si="57"/>
        <v>10</v>
      </c>
      <c r="BM225" s="223">
        <f t="shared" si="57"/>
        <v>10</v>
      </c>
      <c r="BN225" s="223">
        <f t="shared" si="57"/>
        <v>10</v>
      </c>
      <c r="BO225" s="223">
        <f t="shared" si="57"/>
        <v>10</v>
      </c>
      <c r="BP225" s="223">
        <f t="shared" si="57"/>
        <v>10</v>
      </c>
      <c r="BQ225" s="5"/>
      <c r="BR225" s="25"/>
      <c r="BS225" s="5"/>
    </row>
    <row r="226" spans="1:71" s="3" customFormat="1" x14ac:dyDescent="0.25">
      <c r="A226" s="5"/>
      <c r="B226" s="3" t="str">
        <f t="array" ref="B226">IFERROR(INDEX(DemandSupply,MATCH(INDEX($AH$1:AH226,SMALL(ROW($AH$1:AH226)+(10000*($AH$1:AH226="")),COUNTA($AH$1:AH226))),Sectors,0)),"")</f>
        <v>Demand</v>
      </c>
      <c r="E226" s="10">
        <f t="shared" si="56"/>
        <v>0</v>
      </c>
      <c r="F226" s="207">
        <v>1</v>
      </c>
      <c r="G226" s="207">
        <v>1</v>
      </c>
      <c r="H226" s="207">
        <v>1</v>
      </c>
      <c r="I226" s="207">
        <v>1</v>
      </c>
      <c r="J226" s="207">
        <v>1</v>
      </c>
      <c r="K226" s="207">
        <v>1</v>
      </c>
      <c r="L226" s="207">
        <v>1</v>
      </c>
      <c r="M226" s="207">
        <v>1</v>
      </c>
      <c r="N226" s="207">
        <v>1</v>
      </c>
      <c r="O226" s="207">
        <v>1</v>
      </c>
      <c r="P226" s="207">
        <v>1</v>
      </c>
      <c r="Q226" s="207">
        <v>1</v>
      </c>
      <c r="R226" s="207">
        <v>1</v>
      </c>
      <c r="S226" s="207">
        <v>1</v>
      </c>
      <c r="T226" s="207">
        <v>1</v>
      </c>
      <c r="U226" s="207">
        <v>1</v>
      </c>
      <c r="V226" s="207">
        <v>1</v>
      </c>
      <c r="W226" s="207">
        <v>1</v>
      </c>
      <c r="X226" s="207">
        <v>1</v>
      </c>
      <c r="Y226" s="207">
        <v>1</v>
      </c>
      <c r="Z226" s="207">
        <v>1</v>
      </c>
      <c r="AA226" s="207">
        <v>1</v>
      </c>
      <c r="AB226" s="207">
        <v>1</v>
      </c>
      <c r="AC226" s="5"/>
      <c r="AD226" s="63"/>
      <c r="AE226" s="64"/>
      <c r="AF226" s="64"/>
      <c r="AG226" s="212"/>
      <c r="AH226" s="64"/>
      <c r="AI226" s="64"/>
      <c r="AJ226" s="64"/>
      <c r="AK226" s="212"/>
      <c r="AL226" s="64"/>
      <c r="AM226" s="212"/>
      <c r="AN226" s="64"/>
      <c r="AO226" s="212"/>
      <c r="AP226" s="63"/>
      <c r="AQ226" s="64"/>
      <c r="AR226" s="63"/>
      <c r="AS226" s="64"/>
      <c r="AT226" s="63"/>
      <c r="AU226" s="64"/>
      <c r="AV226" s="63"/>
      <c r="AW226" s="64"/>
      <c r="AX226" s="63"/>
      <c r="AY226" s="5"/>
      <c r="AZ226" s="21" t="str">
        <f t="shared" si="55"/>
        <v/>
      </c>
      <c r="BA226" s="291" t="s">
        <v>51</v>
      </c>
      <c r="BB226" s="25"/>
      <c r="BC226" s="2"/>
      <c r="BD226" s="2"/>
      <c r="BE226" s="216" t="s">
        <v>32</v>
      </c>
      <c r="BF226" s="4"/>
      <c r="BG226" s="4"/>
      <c r="BH226" s="4"/>
      <c r="BI226" s="4"/>
      <c r="BJ226" s="4"/>
      <c r="BK226" s="4"/>
      <c r="BL226" s="4"/>
      <c r="BM226" s="4"/>
      <c r="BN226" s="4"/>
      <c r="BO226" s="4"/>
      <c r="BP226" s="4"/>
      <c r="BQ226" s="5"/>
      <c r="BR226" s="25"/>
      <c r="BS226" s="5"/>
    </row>
    <row r="227" spans="1:71" s="3" customFormat="1" x14ac:dyDescent="0.25">
      <c r="A227" s="5"/>
      <c r="B227" s="3" t="str">
        <f t="array" ref="B227">IFERROR(INDEX(DemandSupply,MATCH(INDEX($AH$1:AH227,SMALL(ROW($AH$1:AH227)+(10000*($AH$1:AH227="")),COUNTA($AH$1:AH227))),Sectors,0)),"")</f>
        <v>Demand</v>
      </c>
      <c r="E227" s="10"/>
      <c r="F227" s="207"/>
      <c r="G227" s="207"/>
      <c r="H227" s="207"/>
      <c r="I227" s="207"/>
      <c r="J227" s="207"/>
      <c r="K227" s="207"/>
      <c r="L227" s="207"/>
      <c r="M227" s="207"/>
      <c r="N227" s="207"/>
      <c r="O227" s="207"/>
      <c r="P227" s="207"/>
      <c r="Q227" s="207"/>
      <c r="R227" s="207"/>
      <c r="S227" s="207"/>
      <c r="T227" s="207"/>
      <c r="U227" s="207"/>
      <c r="V227" s="207"/>
      <c r="W227" s="207"/>
      <c r="X227" s="207"/>
      <c r="Y227" s="207"/>
      <c r="Z227" s="207"/>
      <c r="AA227" s="207"/>
      <c r="AB227" s="207"/>
      <c r="AC227" s="5"/>
      <c r="AD227" s="63"/>
      <c r="AE227" s="64"/>
      <c r="AF227" s="64"/>
      <c r="AG227" s="212"/>
      <c r="AH227" s="64"/>
      <c r="AI227" s="64"/>
      <c r="AJ227" s="64"/>
      <c r="AK227" s="212"/>
      <c r="AL227" s="64"/>
      <c r="AM227" s="212"/>
      <c r="AN227" s="64"/>
      <c r="AO227" s="64"/>
      <c r="AP227" s="227"/>
      <c r="AQ227" s="64"/>
      <c r="AR227" s="63"/>
      <c r="AS227" s="64"/>
      <c r="AT227" s="63"/>
      <c r="AU227" s="64"/>
      <c r="AV227" s="63"/>
      <c r="AW227" s="64"/>
      <c r="AX227" s="63"/>
      <c r="AY227" s="5"/>
      <c r="AZ227" s="21" t="str">
        <f t="shared" si="55"/>
        <v/>
      </c>
      <c r="BA227" s="264" t="s">
        <v>38</v>
      </c>
      <c r="BB227" s="264"/>
      <c r="BC227" s="264"/>
      <c r="BD227" s="264" t="s">
        <v>40</v>
      </c>
      <c r="BE227" s="216" t="s">
        <v>32</v>
      </c>
      <c r="BF227" s="309">
        <v>2000</v>
      </c>
      <c r="BG227" s="310">
        <f t="shared" ref="BG227:BP227" si="58">BF227</f>
        <v>2000</v>
      </c>
      <c r="BH227" s="310">
        <f t="shared" si="58"/>
        <v>2000</v>
      </c>
      <c r="BI227" s="310">
        <f t="shared" si="58"/>
        <v>2000</v>
      </c>
      <c r="BJ227" s="310">
        <f t="shared" si="58"/>
        <v>2000</v>
      </c>
      <c r="BK227" s="310">
        <f t="shared" si="58"/>
        <v>2000</v>
      </c>
      <c r="BL227" s="310">
        <f t="shared" si="58"/>
        <v>2000</v>
      </c>
      <c r="BM227" s="310">
        <f t="shared" si="58"/>
        <v>2000</v>
      </c>
      <c r="BN227" s="310">
        <f t="shared" si="58"/>
        <v>2000</v>
      </c>
      <c r="BO227" s="310">
        <f t="shared" si="58"/>
        <v>2000</v>
      </c>
      <c r="BP227" s="310">
        <f t="shared" si="58"/>
        <v>2000</v>
      </c>
      <c r="BQ227" s="5"/>
      <c r="BR227" s="25"/>
      <c r="BS227" s="5"/>
    </row>
    <row r="228" spans="1:71" s="3" customFormat="1" x14ac:dyDescent="0.25">
      <c r="A228" s="5"/>
      <c r="B228" s="3" t="str">
        <f t="array" ref="B228">IFERROR(INDEX(DemandSupply,MATCH(INDEX($AH$1:AH228,SMALL(ROW($AH$1:AH228)+(10000*($AH$1:AH228="")),COUNTA($AH$1:AH228))),Sectors,0)),"")</f>
        <v>Demand</v>
      </c>
      <c r="E228" s="10"/>
      <c r="F228" s="207"/>
      <c r="G228" s="207"/>
      <c r="H228" s="207"/>
      <c r="I228" s="207"/>
      <c r="J228" s="207"/>
      <c r="K228" s="207"/>
      <c r="L228" s="207"/>
      <c r="M228" s="207"/>
      <c r="N228" s="207"/>
      <c r="O228" s="207"/>
      <c r="P228" s="207"/>
      <c r="Q228" s="207"/>
      <c r="R228" s="207"/>
      <c r="S228" s="207"/>
      <c r="T228" s="207"/>
      <c r="U228" s="207"/>
      <c r="V228" s="207"/>
      <c r="W228" s="207"/>
      <c r="X228" s="207"/>
      <c r="Y228" s="207"/>
      <c r="Z228" s="207"/>
      <c r="AA228" s="207"/>
      <c r="AB228" s="207"/>
      <c r="AC228" s="5"/>
      <c r="AD228" s="63"/>
      <c r="AE228" s="64"/>
      <c r="AF228" s="64"/>
      <c r="AG228" s="212"/>
      <c r="AH228" s="64"/>
      <c r="AI228" s="64"/>
      <c r="AJ228" s="64"/>
      <c r="AK228" s="212"/>
      <c r="AL228" s="64"/>
      <c r="AM228" s="212"/>
      <c r="AN228" s="64"/>
      <c r="AO228" s="64"/>
      <c r="AP228" s="227"/>
      <c r="AQ228" s="64"/>
      <c r="AR228" s="63"/>
      <c r="AS228" s="64"/>
      <c r="AT228" s="63"/>
      <c r="AU228" s="64"/>
      <c r="AV228" s="63"/>
      <c r="AW228" s="64"/>
      <c r="AX228" s="63"/>
      <c r="AY228" s="5"/>
      <c r="AZ228" s="21" t="str">
        <f t="shared" si="55"/>
        <v/>
      </c>
      <c r="BA228" s="264" t="s">
        <v>37</v>
      </c>
      <c r="BB228" s="264"/>
      <c r="BC228" s="264"/>
      <c r="BD228" s="264" t="s">
        <v>40</v>
      </c>
      <c r="BE228" s="216" t="s">
        <v>32</v>
      </c>
      <c r="BF228" s="309">
        <v>2100</v>
      </c>
      <c r="BG228" s="310">
        <f t="shared" ref="BG228:BP228" si="59">BF228</f>
        <v>2100</v>
      </c>
      <c r="BH228" s="310">
        <f t="shared" si="59"/>
        <v>2100</v>
      </c>
      <c r="BI228" s="310">
        <f t="shared" si="59"/>
        <v>2100</v>
      </c>
      <c r="BJ228" s="310">
        <f t="shared" si="59"/>
        <v>2100</v>
      </c>
      <c r="BK228" s="310">
        <f t="shared" si="59"/>
        <v>2100</v>
      </c>
      <c r="BL228" s="310">
        <f t="shared" si="59"/>
        <v>2100</v>
      </c>
      <c r="BM228" s="310">
        <f t="shared" si="59"/>
        <v>2100</v>
      </c>
      <c r="BN228" s="310">
        <f t="shared" si="59"/>
        <v>2100</v>
      </c>
      <c r="BO228" s="310">
        <f t="shared" si="59"/>
        <v>2100</v>
      </c>
      <c r="BP228" s="310">
        <f t="shared" si="59"/>
        <v>2100</v>
      </c>
      <c r="BQ228" s="5"/>
      <c r="BR228" s="25"/>
      <c r="BS228" s="5"/>
    </row>
    <row r="229" spans="1:71" s="3" customFormat="1" x14ac:dyDescent="0.25">
      <c r="A229" s="5"/>
      <c r="B229" s="3" t="str">
        <f t="array" ref="B229">IFERROR(INDEX(DemandSupply,MATCH(INDEX($AH$1:AH229,SMALL(ROW($AH$1:AH229)+(10000*($AH$1:AH229="")),COUNTA($AH$1:AH229))),Sectors,0)),"")</f>
        <v>Demand</v>
      </c>
      <c r="E229" s="10"/>
      <c r="F229" s="207"/>
      <c r="G229" s="207"/>
      <c r="H229" s="207"/>
      <c r="I229" s="207"/>
      <c r="J229" s="207"/>
      <c r="K229" s="207"/>
      <c r="L229" s="207"/>
      <c r="M229" s="207"/>
      <c r="N229" s="207"/>
      <c r="O229" s="207"/>
      <c r="P229" s="207"/>
      <c r="Q229" s="207"/>
      <c r="R229" s="207"/>
      <c r="S229" s="207"/>
      <c r="T229" s="207"/>
      <c r="U229" s="207"/>
      <c r="V229" s="207"/>
      <c r="W229" s="207"/>
      <c r="X229" s="207"/>
      <c r="Y229" s="207"/>
      <c r="Z229" s="207"/>
      <c r="AA229" s="207"/>
      <c r="AB229" s="207"/>
      <c r="AC229" s="5"/>
      <c r="AD229" s="63"/>
      <c r="AE229" s="64"/>
      <c r="AF229" s="64"/>
      <c r="AG229" s="212"/>
      <c r="AH229" s="64"/>
      <c r="AI229" s="64"/>
      <c r="AJ229" s="64"/>
      <c r="AK229" s="212"/>
      <c r="AL229" s="64"/>
      <c r="AM229" s="212"/>
      <c r="AN229" s="64"/>
      <c r="AO229" s="64"/>
      <c r="AP229" s="227"/>
      <c r="AQ229" s="64"/>
      <c r="AR229" s="63"/>
      <c r="AS229" s="64"/>
      <c r="AT229" s="63"/>
      <c r="AU229" s="64"/>
      <c r="AV229" s="63"/>
      <c r="AW229" s="64"/>
      <c r="AX229" s="63"/>
      <c r="AY229" s="5"/>
      <c r="AZ229" s="21" t="str">
        <f t="shared" si="55"/>
        <v/>
      </c>
      <c r="BA229" s="264" t="s">
        <v>39</v>
      </c>
      <c r="BB229" s="264"/>
      <c r="BC229" s="264"/>
      <c r="BD229" s="264" t="s">
        <v>10</v>
      </c>
      <c r="BE229" s="216" t="s">
        <v>32</v>
      </c>
      <c r="BF229" s="56">
        <v>25</v>
      </c>
      <c r="BG229" s="245">
        <f t="shared" ref="BG229:BP229" si="60">BF229</f>
        <v>25</v>
      </c>
      <c r="BH229" s="245">
        <f t="shared" si="60"/>
        <v>25</v>
      </c>
      <c r="BI229" s="245">
        <f t="shared" si="60"/>
        <v>25</v>
      </c>
      <c r="BJ229" s="245">
        <f t="shared" si="60"/>
        <v>25</v>
      </c>
      <c r="BK229" s="245">
        <f t="shared" si="60"/>
        <v>25</v>
      </c>
      <c r="BL229" s="245">
        <f t="shared" si="60"/>
        <v>25</v>
      </c>
      <c r="BM229" s="245">
        <f t="shared" si="60"/>
        <v>25</v>
      </c>
      <c r="BN229" s="245">
        <f t="shared" si="60"/>
        <v>25</v>
      </c>
      <c r="BO229" s="245">
        <f t="shared" si="60"/>
        <v>25</v>
      </c>
      <c r="BP229" s="245">
        <f t="shared" si="60"/>
        <v>25</v>
      </c>
      <c r="BQ229" s="5"/>
      <c r="BR229" s="25"/>
      <c r="BS229" s="5"/>
    </row>
    <row r="230" spans="1:71" s="3" customFormat="1" x14ac:dyDescent="0.25">
      <c r="A230" s="5"/>
      <c r="B230" s="3" t="str">
        <f t="array" ref="B230">IFERROR(INDEX(DemandSupply,MATCH(INDEX($AH$1:AH230,SMALL(ROW($AH$1:AH230)+(10000*($AH$1:AH230="")),COUNTA($AH$1:AH230))),Sectors,0)),"")</f>
        <v>Demand</v>
      </c>
      <c r="E230" s="10"/>
      <c r="F230" s="207"/>
      <c r="G230" s="207"/>
      <c r="H230" s="207"/>
      <c r="I230" s="207"/>
      <c r="J230" s="207"/>
      <c r="K230" s="207"/>
      <c r="L230" s="207"/>
      <c r="M230" s="207"/>
      <c r="N230" s="207"/>
      <c r="O230" s="207"/>
      <c r="P230" s="207"/>
      <c r="Q230" s="207"/>
      <c r="R230" s="207"/>
      <c r="S230" s="207"/>
      <c r="T230" s="207"/>
      <c r="U230" s="207"/>
      <c r="V230" s="207"/>
      <c r="W230" s="207"/>
      <c r="X230" s="207"/>
      <c r="Y230" s="207"/>
      <c r="Z230" s="207"/>
      <c r="AA230" s="207"/>
      <c r="AB230" s="207"/>
      <c r="AC230" s="5"/>
      <c r="AD230" s="63"/>
      <c r="AE230" s="64"/>
      <c r="AF230" s="64"/>
      <c r="AG230" s="212"/>
      <c r="AH230" s="64"/>
      <c r="AI230" s="64"/>
      <c r="AJ230" s="64"/>
      <c r="AK230" s="212"/>
      <c r="AL230" s="64"/>
      <c r="AM230" s="212"/>
      <c r="AN230" s="64"/>
      <c r="AO230" s="64"/>
      <c r="AP230" s="227"/>
      <c r="AQ230" s="64"/>
      <c r="AR230" s="63"/>
      <c r="AS230" s="64"/>
      <c r="AT230" s="63"/>
      <c r="AU230" s="64"/>
      <c r="AV230" s="63"/>
      <c r="AW230" s="64"/>
      <c r="AX230" s="63"/>
      <c r="AY230" s="5"/>
      <c r="AZ230" s="21" t="str">
        <f t="shared" si="55"/>
        <v/>
      </c>
      <c r="BA230" s="264" t="s">
        <v>395</v>
      </c>
      <c r="BB230" s="264"/>
      <c r="BC230" s="264"/>
      <c r="BD230" s="264" t="s">
        <v>10</v>
      </c>
      <c r="BE230" s="216" t="s">
        <v>32</v>
      </c>
      <c r="BF230" s="56"/>
      <c r="BG230" s="56"/>
      <c r="BH230" s="56"/>
      <c r="BI230" s="56"/>
      <c r="BJ230" s="56"/>
      <c r="BK230" s="56"/>
      <c r="BL230" s="56"/>
      <c r="BM230" s="56"/>
      <c r="BN230" s="56"/>
      <c r="BO230" s="56"/>
      <c r="BP230" s="56"/>
      <c r="BQ230" s="5"/>
      <c r="BR230" s="25"/>
      <c r="BS230" s="5"/>
    </row>
    <row r="231" spans="1:71" s="3" customFormat="1" x14ac:dyDescent="0.25">
      <c r="A231" s="5"/>
      <c r="B231" s="3" t="str">
        <f t="array" ref="B231">IFERROR(INDEX(DemandSupply,MATCH(INDEX($AH$1:AH231,SMALL(ROW($AH$1:AH231)+(10000*($AH$1:AH231="")),COUNTA($AH$1:AH231))),Sectors,0)),"")</f>
        <v>Demand</v>
      </c>
      <c r="E231" s="10"/>
      <c r="F231" s="207"/>
      <c r="G231" s="207"/>
      <c r="H231" s="207"/>
      <c r="I231" s="207"/>
      <c r="J231" s="207"/>
      <c r="K231" s="207"/>
      <c r="L231" s="207"/>
      <c r="M231" s="207"/>
      <c r="N231" s="207"/>
      <c r="O231" s="207"/>
      <c r="P231" s="207"/>
      <c r="Q231" s="207"/>
      <c r="R231" s="207"/>
      <c r="S231" s="207"/>
      <c r="T231" s="207"/>
      <c r="U231" s="207"/>
      <c r="V231" s="207"/>
      <c r="W231" s="207"/>
      <c r="X231" s="207"/>
      <c r="Y231" s="207"/>
      <c r="Z231" s="207"/>
      <c r="AA231" s="207"/>
      <c r="AB231" s="207"/>
      <c r="AC231" s="5"/>
      <c r="AD231" s="63"/>
      <c r="AE231" s="64"/>
      <c r="AF231" s="64"/>
      <c r="AG231" s="212"/>
      <c r="AH231" s="64"/>
      <c r="AI231" s="64"/>
      <c r="AJ231" s="64"/>
      <c r="AK231" s="212"/>
      <c r="AL231" s="64"/>
      <c r="AM231" s="212"/>
      <c r="AN231" s="64"/>
      <c r="AO231" s="64"/>
      <c r="AP231" s="227"/>
      <c r="AQ231" s="64"/>
      <c r="AR231" s="63"/>
      <c r="AS231" s="64"/>
      <c r="AT231" s="63"/>
      <c r="AU231" s="64"/>
      <c r="AV231" s="63"/>
      <c r="AW231" s="64"/>
      <c r="AX231" s="63"/>
      <c r="AY231" s="5"/>
      <c r="AZ231" s="21" t="str">
        <f t="shared" si="55"/>
        <v/>
      </c>
      <c r="BA231" s="264" t="s">
        <v>341</v>
      </c>
      <c r="BB231" s="264"/>
      <c r="BC231" s="264"/>
      <c r="BD231" s="264" t="s">
        <v>99</v>
      </c>
      <c r="BE231" s="216" t="s">
        <v>32</v>
      </c>
      <c r="BF231" s="303">
        <v>0.25</v>
      </c>
      <c r="BG231" s="304">
        <f t="shared" ref="BG231:BP231" si="61">BF231</f>
        <v>0.25</v>
      </c>
      <c r="BH231" s="304">
        <f t="shared" si="61"/>
        <v>0.25</v>
      </c>
      <c r="BI231" s="304">
        <f t="shared" si="61"/>
        <v>0.25</v>
      </c>
      <c r="BJ231" s="304">
        <f t="shared" si="61"/>
        <v>0.25</v>
      </c>
      <c r="BK231" s="304">
        <f t="shared" si="61"/>
        <v>0.25</v>
      </c>
      <c r="BL231" s="304">
        <f t="shared" si="61"/>
        <v>0.25</v>
      </c>
      <c r="BM231" s="304">
        <f t="shared" si="61"/>
        <v>0.25</v>
      </c>
      <c r="BN231" s="304">
        <f t="shared" si="61"/>
        <v>0.25</v>
      </c>
      <c r="BO231" s="304">
        <f t="shared" si="61"/>
        <v>0.25</v>
      </c>
      <c r="BP231" s="304">
        <f t="shared" si="61"/>
        <v>0.25</v>
      </c>
      <c r="BQ231" s="5"/>
      <c r="BR231" s="25"/>
      <c r="BS231" s="5"/>
    </row>
    <row r="232" spans="1:71" s="3" customFormat="1" x14ac:dyDescent="0.25">
      <c r="A232" s="5"/>
      <c r="B232" s="3" t="str">
        <f t="array" ref="B232">IFERROR(INDEX(DemandSupply,MATCH(INDEX($AH$1:AH232,SMALL(ROW($AH$1:AH232)+(10000*($AH$1:AH232="")),COUNTA($AH$1:AH232))),Sectors,0)),"")</f>
        <v>Demand</v>
      </c>
      <c r="E232" s="10"/>
      <c r="F232" s="207"/>
      <c r="G232" s="207"/>
      <c r="H232" s="207"/>
      <c r="I232" s="207"/>
      <c r="J232" s="207"/>
      <c r="K232" s="207"/>
      <c r="L232" s="207"/>
      <c r="M232" s="207"/>
      <c r="N232" s="207"/>
      <c r="O232" s="207"/>
      <c r="P232" s="207"/>
      <c r="Q232" s="207"/>
      <c r="R232" s="207"/>
      <c r="S232" s="207"/>
      <c r="T232" s="207"/>
      <c r="U232" s="207"/>
      <c r="V232" s="207"/>
      <c r="W232" s="207"/>
      <c r="X232" s="207"/>
      <c r="Y232" s="207"/>
      <c r="Z232" s="207"/>
      <c r="AA232" s="207"/>
      <c r="AB232" s="207"/>
      <c r="AC232" s="5"/>
      <c r="AD232" s="63"/>
      <c r="AE232" s="64"/>
      <c r="AF232" s="64"/>
      <c r="AG232" s="212"/>
      <c r="AH232" s="64"/>
      <c r="AI232" s="64"/>
      <c r="AJ232" s="64"/>
      <c r="AK232" s="212"/>
      <c r="AL232" s="64"/>
      <c r="AM232" s="212"/>
      <c r="AN232" s="64"/>
      <c r="AO232" s="64"/>
      <c r="AP232" s="227"/>
      <c r="AQ232" s="64"/>
      <c r="AR232" s="63"/>
      <c r="AS232" s="64"/>
      <c r="AT232" s="63"/>
      <c r="AU232" s="64"/>
      <c r="AV232" s="63"/>
      <c r="AW232" s="64"/>
      <c r="AX232" s="63"/>
      <c r="AY232" s="5"/>
      <c r="AZ232" s="21" t="str">
        <f t="shared" si="55"/>
        <v/>
      </c>
      <c r="BA232" s="264" t="s">
        <v>392</v>
      </c>
      <c r="BB232" s="264"/>
      <c r="BC232" s="264"/>
      <c r="BD232" s="264" t="s">
        <v>99</v>
      </c>
      <c r="BE232" s="216" t="s">
        <v>32</v>
      </c>
      <c r="BF232" s="303"/>
      <c r="BG232" s="303"/>
      <c r="BH232" s="303"/>
      <c r="BI232" s="303"/>
      <c r="BJ232" s="303"/>
      <c r="BK232" s="303"/>
      <c r="BL232" s="303"/>
      <c r="BM232" s="303"/>
      <c r="BN232" s="303"/>
      <c r="BO232" s="303"/>
      <c r="BP232" s="303"/>
      <c r="BQ232" s="5"/>
      <c r="BR232" s="25"/>
      <c r="BS232" s="5"/>
    </row>
    <row r="233" spans="1:71" s="3" customFormat="1" x14ac:dyDescent="0.25">
      <c r="A233" s="5"/>
      <c r="B233" s="3" t="str">
        <f t="array" ref="B233">IFERROR(INDEX(DemandSupply,MATCH(INDEX($AH$1:AH233,SMALL(ROW($AH$1:AH233)+(10000*($AH$1:AH233="")),COUNTA($AH$1:AH233))),Sectors,0)),"")</f>
        <v>Demand</v>
      </c>
      <c r="E233" s="10"/>
      <c r="F233" s="207"/>
      <c r="G233" s="207"/>
      <c r="H233" s="207"/>
      <c r="I233" s="207"/>
      <c r="J233" s="207"/>
      <c r="K233" s="207"/>
      <c r="L233" s="207"/>
      <c r="M233" s="207"/>
      <c r="N233" s="207"/>
      <c r="O233" s="207"/>
      <c r="P233" s="207"/>
      <c r="Q233" s="207"/>
      <c r="R233" s="207"/>
      <c r="S233" s="207"/>
      <c r="T233" s="207"/>
      <c r="U233" s="207"/>
      <c r="V233" s="207"/>
      <c r="W233" s="207"/>
      <c r="X233" s="207"/>
      <c r="Y233" s="207"/>
      <c r="Z233" s="207"/>
      <c r="AA233" s="207"/>
      <c r="AB233" s="207"/>
      <c r="AC233" s="5"/>
      <c r="AD233" s="63"/>
      <c r="AE233" s="64"/>
      <c r="AF233" s="64"/>
      <c r="AG233" s="212"/>
      <c r="AH233" s="64"/>
      <c r="AI233" s="64"/>
      <c r="AJ233" s="64"/>
      <c r="AK233" s="212"/>
      <c r="AL233" s="64"/>
      <c r="AM233" s="212"/>
      <c r="AN233" s="64"/>
      <c r="AO233" s="64"/>
      <c r="AP233" s="227"/>
      <c r="AQ233" s="64"/>
      <c r="AR233" s="63"/>
      <c r="AS233" s="64"/>
      <c r="AT233" s="63"/>
      <c r="AU233" s="64"/>
      <c r="AV233" s="63"/>
      <c r="AW233" s="64"/>
      <c r="AX233" s="63"/>
      <c r="AY233" s="5"/>
      <c r="AZ233" s="21" t="str">
        <f t="shared" si="55"/>
        <v/>
      </c>
      <c r="BA233" s="264" t="s">
        <v>391</v>
      </c>
      <c r="BB233" s="264"/>
      <c r="BC233" s="264"/>
      <c r="BD233" s="264" t="s">
        <v>99</v>
      </c>
      <c r="BE233" s="216" t="s">
        <v>32</v>
      </c>
      <c r="BF233" s="303"/>
      <c r="BG233" s="303"/>
      <c r="BH233" s="303"/>
      <c r="BI233" s="303"/>
      <c r="BJ233" s="303"/>
      <c r="BK233" s="303"/>
      <c r="BL233" s="303"/>
      <c r="BM233" s="303"/>
      <c r="BN233" s="303"/>
      <c r="BO233" s="303"/>
      <c r="BP233" s="303"/>
      <c r="BQ233" s="5"/>
      <c r="BR233" s="25"/>
      <c r="BS233" s="5"/>
    </row>
    <row r="234" spans="1:71" s="3" customFormat="1" x14ac:dyDescent="0.25">
      <c r="A234" s="5"/>
      <c r="B234" s="3" t="str">
        <f t="array" ref="B234">IFERROR(INDEX(DemandSupply,MATCH(INDEX($AH$1:AH234,SMALL(ROW($AH$1:AH234)+(10000*($AH$1:AH234="")),COUNTA($AH$1:AH234))),Sectors,0)),"")</f>
        <v>Demand</v>
      </c>
      <c r="E234" s="10"/>
      <c r="F234" s="207"/>
      <c r="G234" s="207"/>
      <c r="H234" s="207"/>
      <c r="I234" s="207"/>
      <c r="J234" s="207"/>
      <c r="K234" s="207"/>
      <c r="L234" s="207"/>
      <c r="M234" s="207"/>
      <c r="N234" s="207"/>
      <c r="O234" s="207"/>
      <c r="P234" s="207"/>
      <c r="Q234" s="207"/>
      <c r="R234" s="207"/>
      <c r="S234" s="207"/>
      <c r="T234" s="207"/>
      <c r="U234" s="207"/>
      <c r="V234" s="207"/>
      <c r="W234" s="207"/>
      <c r="X234" s="207"/>
      <c r="Y234" s="207"/>
      <c r="Z234" s="207"/>
      <c r="AA234" s="207"/>
      <c r="AB234" s="207"/>
      <c r="AC234" s="5"/>
      <c r="AD234" s="63"/>
      <c r="AE234" s="64"/>
      <c r="AF234" s="64"/>
      <c r="AG234" s="212"/>
      <c r="AH234" s="64"/>
      <c r="AI234" s="64"/>
      <c r="AJ234" s="64"/>
      <c r="AK234" s="212"/>
      <c r="AL234" s="64"/>
      <c r="AM234" s="212"/>
      <c r="AN234" s="64"/>
      <c r="AO234" s="64"/>
      <c r="AP234" s="227"/>
      <c r="AQ234" s="64"/>
      <c r="AR234" s="63"/>
      <c r="AS234" s="64"/>
      <c r="AT234" s="63"/>
      <c r="AU234" s="64"/>
      <c r="AV234" s="63"/>
      <c r="AW234" s="64"/>
      <c r="AX234" s="63"/>
      <c r="AY234" s="5"/>
      <c r="AZ234" s="21" t="str">
        <f t="shared" si="55"/>
        <v/>
      </c>
      <c r="BA234" s="264" t="s">
        <v>144</v>
      </c>
      <c r="BB234" s="264"/>
      <c r="BC234" s="264"/>
      <c r="BD234" s="264" t="s">
        <v>34</v>
      </c>
      <c r="BE234" s="216" t="s">
        <v>32</v>
      </c>
      <c r="BF234" s="56"/>
      <c r="BG234" s="56"/>
      <c r="BH234" s="56"/>
      <c r="BI234" s="56"/>
      <c r="BJ234" s="56"/>
      <c r="BK234" s="56"/>
      <c r="BL234" s="56"/>
      <c r="BM234" s="56"/>
      <c r="BN234" s="56"/>
      <c r="BO234" s="56"/>
      <c r="BP234" s="56"/>
      <c r="BQ234" s="5"/>
      <c r="BR234" s="25"/>
      <c r="BS234" s="5"/>
    </row>
    <row r="235" spans="1:71" s="3" customFormat="1" x14ac:dyDescent="0.25">
      <c r="A235" s="5"/>
      <c r="B235" s="3" t="str">
        <f t="array" ref="B235">IFERROR(INDEX(DemandSupply,MATCH(INDEX($AH$1:AH235,SMALL(ROW($AH$1:AH235)+(10000*($AH$1:AH235="")),COUNTA($AH$1:AH235))),Sectors,0)),"")</f>
        <v>Demand</v>
      </c>
      <c r="E235" s="10"/>
      <c r="F235" s="207"/>
      <c r="G235" s="207"/>
      <c r="H235" s="207"/>
      <c r="I235" s="207"/>
      <c r="J235" s="207"/>
      <c r="K235" s="207"/>
      <c r="L235" s="207"/>
      <c r="M235" s="207"/>
      <c r="N235" s="207"/>
      <c r="O235" s="207"/>
      <c r="P235" s="207"/>
      <c r="Q235" s="207"/>
      <c r="R235" s="207"/>
      <c r="S235" s="207"/>
      <c r="T235" s="207"/>
      <c r="U235" s="207"/>
      <c r="V235" s="207"/>
      <c r="W235" s="207"/>
      <c r="X235" s="207"/>
      <c r="Y235" s="207"/>
      <c r="Z235" s="207"/>
      <c r="AA235" s="207"/>
      <c r="AB235" s="207"/>
      <c r="AC235" s="5"/>
      <c r="AD235" s="63"/>
      <c r="AE235" s="64"/>
      <c r="AF235" s="64"/>
      <c r="AG235" s="212"/>
      <c r="AH235" s="64"/>
      <c r="AI235" s="64"/>
      <c r="AJ235" s="64"/>
      <c r="AK235" s="212"/>
      <c r="AL235" s="64"/>
      <c r="AM235" s="212"/>
      <c r="AN235" s="64"/>
      <c r="AO235" s="64"/>
      <c r="AP235" s="227"/>
      <c r="AQ235" s="64"/>
      <c r="AR235" s="63"/>
      <c r="AS235" s="64"/>
      <c r="AT235" s="63"/>
      <c r="AU235" s="64"/>
      <c r="AV235" s="63"/>
      <c r="AW235" s="64"/>
      <c r="AX235" s="63"/>
      <c r="AY235" s="5"/>
      <c r="AZ235" s="21" t="str">
        <f t="shared" si="55"/>
        <v/>
      </c>
      <c r="BA235" s="264" t="s">
        <v>76</v>
      </c>
      <c r="BB235" s="264"/>
      <c r="BC235" s="264"/>
      <c r="BD235" s="264" t="s">
        <v>99</v>
      </c>
      <c r="BE235" s="216" t="s">
        <v>32</v>
      </c>
      <c r="BF235" s="303">
        <v>6.0000000000000001E-3</v>
      </c>
      <c r="BG235" s="303"/>
      <c r="BH235" s="303"/>
      <c r="BI235" s="303"/>
      <c r="BJ235" s="303"/>
      <c r="BK235" s="303"/>
      <c r="BL235" s="303"/>
      <c r="BM235" s="303"/>
      <c r="BN235" s="303"/>
      <c r="BO235" s="303"/>
      <c r="BP235" s="303"/>
      <c r="BQ235" s="5"/>
      <c r="BR235" s="25"/>
      <c r="BS235" s="5"/>
    </row>
    <row r="236" spans="1:71" s="3" customFormat="1" x14ac:dyDescent="0.25">
      <c r="A236" s="5"/>
      <c r="B236" s="3" t="str">
        <f t="array" ref="B236">IFERROR(INDEX(DemandSupply,MATCH(INDEX($AH$1:AH236,SMALL(ROW($AH$1:AH236)+(10000*($AH$1:AH236="")),COUNTA($AH$1:AH236))),Sectors,0)),"")</f>
        <v>Demand</v>
      </c>
      <c r="E236" s="10"/>
      <c r="F236" s="207"/>
      <c r="G236" s="207"/>
      <c r="H236" s="207"/>
      <c r="I236" s="207"/>
      <c r="J236" s="207"/>
      <c r="K236" s="207"/>
      <c r="L236" s="207"/>
      <c r="M236" s="207"/>
      <c r="N236" s="207"/>
      <c r="O236" s="207"/>
      <c r="P236" s="207"/>
      <c r="Q236" s="207"/>
      <c r="R236" s="207"/>
      <c r="S236" s="207"/>
      <c r="T236" s="207"/>
      <c r="U236" s="207"/>
      <c r="V236" s="207"/>
      <c r="W236" s="207"/>
      <c r="X236" s="207"/>
      <c r="Y236" s="207"/>
      <c r="Z236" s="207"/>
      <c r="AA236" s="207"/>
      <c r="AB236" s="207"/>
      <c r="AC236" s="5"/>
      <c r="AD236" s="63"/>
      <c r="AE236" s="64"/>
      <c r="AF236" s="64"/>
      <c r="AG236" s="212"/>
      <c r="AH236" s="64"/>
      <c r="AI236" s="64"/>
      <c r="AJ236" s="64"/>
      <c r="AK236" s="212"/>
      <c r="AL236" s="64"/>
      <c r="AM236" s="212"/>
      <c r="AN236" s="64"/>
      <c r="AO236" s="64"/>
      <c r="AP236" s="227"/>
      <c r="AQ236" s="64"/>
      <c r="AR236" s="63"/>
      <c r="AS236" s="64"/>
      <c r="AT236" s="63"/>
      <c r="AU236" s="64"/>
      <c r="AV236" s="63"/>
      <c r="AW236" s="64"/>
      <c r="AX236" s="63"/>
      <c r="AY236" s="5"/>
      <c r="AZ236" s="21" t="str">
        <f t="shared" si="55"/>
        <v/>
      </c>
      <c r="BA236" s="75" t="s">
        <v>166</v>
      </c>
      <c r="BB236" s="75"/>
      <c r="BC236" s="270"/>
      <c r="BD236" s="75" t="s">
        <v>99</v>
      </c>
      <c r="BE236" s="216" t="s">
        <v>32</v>
      </c>
      <c r="BF236" s="303"/>
      <c r="BG236" s="303"/>
      <c r="BH236" s="303"/>
      <c r="BI236" s="303"/>
      <c r="BJ236" s="303"/>
      <c r="BK236" s="303"/>
      <c r="BL236" s="303"/>
      <c r="BM236" s="303"/>
      <c r="BN236" s="303"/>
      <c r="BO236" s="303"/>
      <c r="BP236" s="303"/>
      <c r="BQ236" s="5"/>
      <c r="BR236" s="25"/>
      <c r="BS236" s="5"/>
    </row>
    <row r="237" spans="1:71" s="3" customFormat="1" x14ac:dyDescent="0.25">
      <c r="A237" s="5"/>
      <c r="B237" s="3" t="str">
        <f t="array" ref="B237">IFERROR(INDEX(DemandSupply,MATCH(INDEX($AH$1:AH237,SMALL(ROW($AH$1:AH237)+(10000*($AH$1:AH237="")),COUNTA($AH$1:AH237))),Sectors,0)),"")</f>
        <v>Demand</v>
      </c>
      <c r="E237" s="10"/>
      <c r="F237" s="207"/>
      <c r="G237" s="207"/>
      <c r="H237" s="207"/>
      <c r="I237" s="207"/>
      <c r="J237" s="207"/>
      <c r="K237" s="207"/>
      <c r="L237" s="207"/>
      <c r="M237" s="207"/>
      <c r="N237" s="207"/>
      <c r="O237" s="207"/>
      <c r="P237" s="207"/>
      <c r="Q237" s="207"/>
      <c r="R237" s="207"/>
      <c r="S237" s="207"/>
      <c r="T237" s="207"/>
      <c r="U237" s="207"/>
      <c r="V237" s="207"/>
      <c r="W237" s="207"/>
      <c r="X237" s="207"/>
      <c r="Y237" s="207"/>
      <c r="Z237" s="207"/>
      <c r="AA237" s="207"/>
      <c r="AB237" s="207"/>
      <c r="AC237" s="5"/>
      <c r="AD237" s="63"/>
      <c r="AE237" s="64"/>
      <c r="AF237" s="64"/>
      <c r="AG237" s="212"/>
      <c r="AH237" s="64"/>
      <c r="AI237" s="64"/>
      <c r="AJ237" s="64"/>
      <c r="AK237" s="212"/>
      <c r="AL237" s="64"/>
      <c r="AM237" s="212"/>
      <c r="AN237" s="64"/>
      <c r="AO237" s="64"/>
      <c r="AP237" s="227"/>
      <c r="AQ237" s="64"/>
      <c r="AR237" s="63"/>
      <c r="AS237" s="64"/>
      <c r="AT237" s="63"/>
      <c r="AU237" s="64"/>
      <c r="AV237" s="63"/>
      <c r="AW237" s="64"/>
      <c r="AX237" s="63"/>
      <c r="AY237" s="5"/>
      <c r="AZ237" s="21" t="str">
        <f t="shared" si="55"/>
        <v/>
      </c>
      <c r="BA237" s="75" t="s">
        <v>167</v>
      </c>
      <c r="BB237" s="75"/>
      <c r="BC237" s="270"/>
      <c r="BD237" s="75" t="s">
        <v>99</v>
      </c>
      <c r="BE237" s="216" t="s">
        <v>32</v>
      </c>
      <c r="BF237" s="303"/>
      <c r="BG237" s="303"/>
      <c r="BH237" s="303"/>
      <c r="BI237" s="303"/>
      <c r="BJ237" s="303"/>
      <c r="BK237" s="303"/>
      <c r="BL237" s="303"/>
      <c r="BM237" s="303"/>
      <c r="BN237" s="303"/>
      <c r="BO237" s="303"/>
      <c r="BP237" s="303"/>
      <c r="BQ237" s="5"/>
      <c r="BR237" s="25"/>
      <c r="BS237" s="5"/>
    </row>
    <row r="238" spans="1:71" s="3" customFormat="1" x14ac:dyDescent="0.25">
      <c r="A238" s="5"/>
      <c r="B238" s="3" t="str">
        <f t="array" ref="B238">IFERROR(INDEX(DemandSupply,MATCH(INDEX($AH$1:AH238,SMALL(ROW($AH$1:AH238)+(10000*($AH$1:AH238="")),COUNTA($AH$1:AH238))),Sectors,0)),"")</f>
        <v>Demand</v>
      </c>
      <c r="E238" s="10"/>
      <c r="F238" s="207"/>
      <c r="G238" s="207"/>
      <c r="H238" s="207"/>
      <c r="I238" s="207"/>
      <c r="J238" s="207"/>
      <c r="K238" s="207"/>
      <c r="L238" s="207"/>
      <c r="M238" s="207"/>
      <c r="N238" s="207"/>
      <c r="O238" s="207"/>
      <c r="P238" s="207"/>
      <c r="Q238" s="207"/>
      <c r="R238" s="207"/>
      <c r="S238" s="207"/>
      <c r="T238" s="207"/>
      <c r="U238" s="207"/>
      <c r="V238" s="207"/>
      <c r="W238" s="207"/>
      <c r="X238" s="207"/>
      <c r="Y238" s="207"/>
      <c r="Z238" s="207"/>
      <c r="AA238" s="207"/>
      <c r="AB238" s="207"/>
      <c r="AC238" s="5"/>
      <c r="AD238" s="63"/>
      <c r="AE238" s="64"/>
      <c r="AF238" s="64"/>
      <c r="AG238" s="212"/>
      <c r="AH238" s="64"/>
      <c r="AI238" s="64"/>
      <c r="AJ238" s="64"/>
      <c r="AK238" s="212"/>
      <c r="AL238" s="64"/>
      <c r="AM238" s="212"/>
      <c r="AN238" s="64"/>
      <c r="AO238" s="64"/>
      <c r="AP238" s="227"/>
      <c r="AQ238" s="64"/>
      <c r="AR238" s="63"/>
      <c r="AS238" s="64"/>
      <c r="AT238" s="63"/>
      <c r="AU238" s="64"/>
      <c r="AV238" s="63"/>
      <c r="AW238" s="64"/>
      <c r="AX238" s="63"/>
      <c r="AY238" s="5"/>
      <c r="AZ238" s="21" t="str">
        <f t="shared" si="55"/>
        <v/>
      </c>
      <c r="BA238" s="75" t="s">
        <v>408</v>
      </c>
      <c r="BB238" s="75"/>
      <c r="BC238" s="270"/>
      <c r="BD238" s="75" t="s">
        <v>99</v>
      </c>
      <c r="BE238" s="216" t="s">
        <v>32</v>
      </c>
      <c r="BF238" s="303"/>
      <c r="BG238" s="303"/>
      <c r="BH238" s="303"/>
      <c r="BI238" s="303"/>
      <c r="BJ238" s="303"/>
      <c r="BK238" s="303"/>
      <c r="BL238" s="303"/>
      <c r="BM238" s="303"/>
      <c r="BN238" s="303"/>
      <c r="BO238" s="303"/>
      <c r="BP238" s="303"/>
      <c r="BQ238" s="5"/>
      <c r="BR238" s="25"/>
      <c r="BS238" s="5"/>
    </row>
    <row r="239" spans="1:71" s="3" customFormat="1" x14ac:dyDescent="0.25">
      <c r="A239" s="5"/>
      <c r="B239" s="3" t="str">
        <f t="array" ref="B239">IFERROR(INDEX(DemandSupply,MATCH(INDEX($AH$1:AH239,SMALL(ROW($AH$1:AH239)+(10000*($AH$1:AH239="")),COUNTA($AH$1:AH239))),Sectors,0)),"")</f>
        <v>Demand</v>
      </c>
      <c r="E239" s="10"/>
      <c r="F239" s="207"/>
      <c r="G239" s="207"/>
      <c r="H239" s="207"/>
      <c r="I239" s="207"/>
      <c r="J239" s="207"/>
      <c r="K239" s="207"/>
      <c r="L239" s="207"/>
      <c r="M239" s="207"/>
      <c r="N239" s="207"/>
      <c r="O239" s="207"/>
      <c r="P239" s="207"/>
      <c r="Q239" s="207"/>
      <c r="R239" s="207"/>
      <c r="S239" s="207"/>
      <c r="T239" s="207"/>
      <c r="U239" s="207"/>
      <c r="V239" s="207"/>
      <c r="W239" s="207"/>
      <c r="X239" s="207"/>
      <c r="Y239" s="207"/>
      <c r="Z239" s="207"/>
      <c r="AA239" s="207"/>
      <c r="AB239" s="207"/>
      <c r="AC239" s="5"/>
      <c r="AD239" s="63"/>
      <c r="AE239" s="64"/>
      <c r="AF239" s="64"/>
      <c r="AG239" s="212"/>
      <c r="AH239" s="64"/>
      <c r="AI239" s="64"/>
      <c r="AJ239" s="64"/>
      <c r="AK239" s="212"/>
      <c r="AL239" s="64"/>
      <c r="AM239" s="212"/>
      <c r="AN239" s="64"/>
      <c r="AO239" s="64"/>
      <c r="AP239" s="227"/>
      <c r="AQ239" s="64"/>
      <c r="AR239" s="63"/>
      <c r="AS239" s="64"/>
      <c r="AT239" s="63"/>
      <c r="AU239" s="64"/>
      <c r="AV239" s="63"/>
      <c r="AW239" s="64"/>
      <c r="AX239" s="63"/>
      <c r="AY239" s="5"/>
      <c r="AZ239" s="21" t="str">
        <f t="shared" si="55"/>
        <v/>
      </c>
      <c r="BA239" s="75" t="s">
        <v>409</v>
      </c>
      <c r="BB239" s="75"/>
      <c r="BC239" s="270"/>
      <c r="BD239" s="75" t="s">
        <v>99</v>
      </c>
      <c r="BE239" s="216" t="s">
        <v>32</v>
      </c>
      <c r="BF239" s="303"/>
      <c r="BG239" s="303"/>
      <c r="BH239" s="303"/>
      <c r="BI239" s="303"/>
      <c r="BJ239" s="303"/>
      <c r="BK239" s="303"/>
      <c r="BL239" s="303"/>
      <c r="BM239" s="303"/>
      <c r="BN239" s="303"/>
      <c r="BO239" s="303"/>
      <c r="BP239" s="303"/>
      <c r="BQ239" s="5"/>
      <c r="BR239" s="25"/>
      <c r="BS239" s="5"/>
    </row>
    <row r="240" spans="1:71" s="3" customFormat="1" x14ac:dyDescent="0.25">
      <c r="A240" s="5"/>
      <c r="B240" s="3" t="str">
        <f t="array" ref="B240">IFERROR(INDEX(DemandSupply,MATCH(INDEX($AH$1:AH240,SMALL(ROW($AH$1:AH240)+(10000*($AH$1:AH240="")),COUNTA($AH$1:AH240))),Sectors,0)),"")</f>
        <v>Demand</v>
      </c>
      <c r="E240" s="10"/>
      <c r="F240" s="207"/>
      <c r="G240" s="207"/>
      <c r="H240" s="207"/>
      <c r="I240" s="207"/>
      <c r="J240" s="207"/>
      <c r="K240" s="207"/>
      <c r="L240" s="207"/>
      <c r="M240" s="207"/>
      <c r="N240" s="207"/>
      <c r="O240" s="207"/>
      <c r="P240" s="207"/>
      <c r="Q240" s="207"/>
      <c r="R240" s="207"/>
      <c r="S240" s="207"/>
      <c r="T240" s="207"/>
      <c r="U240" s="207"/>
      <c r="V240" s="207"/>
      <c r="W240" s="207"/>
      <c r="X240" s="207"/>
      <c r="Y240" s="207"/>
      <c r="Z240" s="207"/>
      <c r="AA240" s="207"/>
      <c r="AB240" s="207"/>
      <c r="AC240" s="5"/>
      <c r="AD240" s="63"/>
      <c r="AE240" s="64"/>
      <c r="AF240" s="64"/>
      <c r="AG240" s="212"/>
      <c r="AH240" s="64"/>
      <c r="AI240" s="64"/>
      <c r="AJ240" s="64"/>
      <c r="AK240" s="212"/>
      <c r="AL240" s="64"/>
      <c r="AM240" s="212"/>
      <c r="AN240" s="64"/>
      <c r="AO240" s="64"/>
      <c r="AP240" s="227"/>
      <c r="AQ240" s="64"/>
      <c r="AR240" s="63"/>
      <c r="AS240" s="64"/>
      <c r="AT240" s="63"/>
      <c r="AU240" s="64"/>
      <c r="AV240" s="63"/>
      <c r="AW240" s="64"/>
      <c r="AX240" s="63"/>
      <c r="AY240" s="5"/>
      <c r="AZ240" s="21" t="str">
        <f t="shared" si="55"/>
        <v/>
      </c>
      <c r="BA240" s="264" t="s">
        <v>371</v>
      </c>
      <c r="BB240" s="264"/>
      <c r="BC240" s="264"/>
      <c r="BD240" s="264" t="s">
        <v>34</v>
      </c>
      <c r="BE240" s="216" t="s">
        <v>32</v>
      </c>
      <c r="BF240" s="56"/>
      <c r="BG240" s="56"/>
      <c r="BH240" s="56"/>
      <c r="BI240" s="56"/>
      <c r="BJ240" s="56"/>
      <c r="BK240" s="56"/>
      <c r="BL240" s="56"/>
      <c r="BM240" s="56"/>
      <c r="BN240" s="56"/>
      <c r="BO240" s="56"/>
      <c r="BP240" s="56"/>
      <c r="BQ240" s="5"/>
      <c r="BR240" s="25"/>
      <c r="BS240" s="5"/>
    </row>
    <row r="241" spans="1:71" s="3" customFormat="1" x14ac:dyDescent="0.25">
      <c r="A241" s="5"/>
      <c r="B241" s="3" t="str">
        <f t="array" ref="B241">IFERROR(INDEX(DemandSupply,MATCH(INDEX($AH$1:AH241,SMALL(ROW($AH$1:AH241)+(10000*($AH$1:AH241="")),COUNTA($AH$1:AH241))),Sectors,0)),"")</f>
        <v>Demand</v>
      </c>
      <c r="E241" s="10"/>
      <c r="F241" s="207"/>
      <c r="G241" s="207"/>
      <c r="H241" s="207"/>
      <c r="I241" s="207"/>
      <c r="J241" s="207"/>
      <c r="K241" s="207"/>
      <c r="L241" s="207"/>
      <c r="M241" s="207"/>
      <c r="N241" s="207"/>
      <c r="O241" s="207"/>
      <c r="P241" s="207"/>
      <c r="Q241" s="207"/>
      <c r="R241" s="207"/>
      <c r="S241" s="207"/>
      <c r="T241" s="207"/>
      <c r="U241" s="207"/>
      <c r="V241" s="207"/>
      <c r="W241" s="207"/>
      <c r="X241" s="207"/>
      <c r="Y241" s="207"/>
      <c r="Z241" s="207"/>
      <c r="AA241" s="207"/>
      <c r="AB241" s="207"/>
      <c r="AC241" s="5"/>
      <c r="AD241" s="63"/>
      <c r="AE241" s="64"/>
      <c r="AF241" s="64"/>
      <c r="AG241" s="212"/>
      <c r="AH241" s="64"/>
      <c r="AI241" s="64"/>
      <c r="AJ241" s="64"/>
      <c r="AK241" s="212"/>
      <c r="AL241" s="64"/>
      <c r="AM241" s="212"/>
      <c r="AN241" s="64"/>
      <c r="AO241" s="64"/>
      <c r="AP241" s="227"/>
      <c r="AQ241" s="64"/>
      <c r="AR241" s="63"/>
      <c r="AS241" s="64"/>
      <c r="AT241" s="63"/>
      <c r="AU241" s="64"/>
      <c r="AV241" s="63"/>
      <c r="AW241" s="64"/>
      <c r="AX241" s="63"/>
      <c r="AY241" s="5"/>
      <c r="AZ241" s="21" t="str">
        <f t="shared" si="55"/>
        <v/>
      </c>
      <c r="BA241" s="264" t="s">
        <v>170</v>
      </c>
      <c r="BB241" s="264"/>
      <c r="BC241" s="264"/>
      <c r="BD241" s="264" t="s">
        <v>354</v>
      </c>
      <c r="BE241" s="216" t="s">
        <v>32</v>
      </c>
      <c r="BF241" s="56">
        <v>2655</v>
      </c>
      <c r="BG241" s="282">
        <f t="shared" ref="BG241:BP241" si="62">BF241</f>
        <v>2655</v>
      </c>
      <c r="BH241" s="282">
        <f t="shared" si="62"/>
        <v>2655</v>
      </c>
      <c r="BI241" s="282">
        <f t="shared" si="62"/>
        <v>2655</v>
      </c>
      <c r="BJ241" s="282">
        <f t="shared" si="62"/>
        <v>2655</v>
      </c>
      <c r="BK241" s="282">
        <f t="shared" si="62"/>
        <v>2655</v>
      </c>
      <c r="BL241" s="282">
        <f t="shared" si="62"/>
        <v>2655</v>
      </c>
      <c r="BM241" s="282">
        <f t="shared" si="62"/>
        <v>2655</v>
      </c>
      <c r="BN241" s="282">
        <f t="shared" si="62"/>
        <v>2655</v>
      </c>
      <c r="BO241" s="282">
        <f t="shared" si="62"/>
        <v>2655</v>
      </c>
      <c r="BP241" s="282">
        <f t="shared" si="62"/>
        <v>2655</v>
      </c>
      <c r="BQ241" s="5"/>
      <c r="BR241" s="25"/>
      <c r="BS241" s="5"/>
    </row>
    <row r="242" spans="1:71" s="3" customFormat="1" x14ac:dyDescent="0.25">
      <c r="A242" s="5"/>
      <c r="B242" s="3" t="str">
        <f t="array" ref="B242">IFERROR(INDEX(DemandSupply,MATCH(INDEX($AH$1:AH242,SMALL(ROW($AH$1:AH242)+(10000*($AH$1:AH242="")),COUNTA($AH$1:AH242))),Sectors,0)),"")</f>
        <v>Demand</v>
      </c>
      <c r="E242" s="10"/>
      <c r="F242" s="207"/>
      <c r="G242" s="207"/>
      <c r="H242" s="207"/>
      <c r="I242" s="207"/>
      <c r="J242" s="207"/>
      <c r="K242" s="207"/>
      <c r="L242" s="207"/>
      <c r="M242" s="207"/>
      <c r="N242" s="207"/>
      <c r="O242" s="207"/>
      <c r="P242" s="207"/>
      <c r="Q242" s="207"/>
      <c r="R242" s="207"/>
      <c r="S242" s="207"/>
      <c r="T242" s="207"/>
      <c r="U242" s="207"/>
      <c r="V242" s="207"/>
      <c r="W242" s="207"/>
      <c r="X242" s="207"/>
      <c r="Y242" s="207"/>
      <c r="Z242" s="207"/>
      <c r="AA242" s="207"/>
      <c r="AB242" s="207"/>
      <c r="AC242" s="5"/>
      <c r="AD242" s="63"/>
      <c r="AE242" s="64"/>
      <c r="AF242" s="64"/>
      <c r="AG242" s="212"/>
      <c r="AH242" s="64"/>
      <c r="AI242" s="64"/>
      <c r="AJ242" s="64"/>
      <c r="AK242" s="212"/>
      <c r="AL242" s="64"/>
      <c r="AM242" s="212"/>
      <c r="AN242" s="64"/>
      <c r="AO242" s="64"/>
      <c r="AP242" s="227"/>
      <c r="AQ242" s="64"/>
      <c r="AR242" s="63"/>
      <c r="AS242" s="64"/>
      <c r="AT242" s="63"/>
      <c r="AU242" s="64"/>
      <c r="AV242" s="63"/>
      <c r="AW242" s="64"/>
      <c r="AX242" s="63"/>
      <c r="AY242" s="5"/>
      <c r="AZ242" s="21" t="str">
        <f t="shared" si="55"/>
        <v/>
      </c>
      <c r="BA242" s="264" t="s">
        <v>425</v>
      </c>
      <c r="BB242" s="264"/>
      <c r="BC242" s="264"/>
      <c r="BD242" s="264" t="s">
        <v>99</v>
      </c>
      <c r="BE242" s="216" t="s">
        <v>32</v>
      </c>
      <c r="BF242" s="303"/>
      <c r="BG242" s="303"/>
      <c r="BH242" s="303"/>
      <c r="BI242" s="303"/>
      <c r="BJ242" s="303"/>
      <c r="BK242" s="303"/>
      <c r="BL242" s="303"/>
      <c r="BM242" s="303"/>
      <c r="BN242" s="303"/>
      <c r="BO242" s="303"/>
      <c r="BP242" s="303"/>
      <c r="BQ242" s="5"/>
      <c r="BR242" s="25"/>
      <c r="BS242" s="5"/>
    </row>
    <row r="243" spans="1:71" s="3" customFormat="1" x14ac:dyDescent="0.25">
      <c r="A243" s="5"/>
      <c r="B243" s="3" t="str">
        <f t="array" ref="B243">IFERROR(INDEX(DemandSupply,MATCH(INDEX($AH$1:AH243,SMALL(ROW($AH$1:AH243)+(10000*($AH$1:AH243="")),COUNTA($AH$1:AH243))),Sectors,0)),"")</f>
        <v>Demand</v>
      </c>
      <c r="E243" s="10"/>
      <c r="F243" s="207"/>
      <c r="G243" s="207"/>
      <c r="H243" s="207"/>
      <c r="I243" s="207"/>
      <c r="J243" s="207"/>
      <c r="K243" s="207"/>
      <c r="L243" s="207"/>
      <c r="M243" s="207"/>
      <c r="N243" s="207"/>
      <c r="O243" s="207"/>
      <c r="P243" s="207"/>
      <c r="Q243" s="207"/>
      <c r="R243" s="207"/>
      <c r="S243" s="207"/>
      <c r="T243" s="207"/>
      <c r="U243" s="207"/>
      <c r="V243" s="207"/>
      <c r="W243" s="207"/>
      <c r="X243" s="207"/>
      <c r="Y243" s="207"/>
      <c r="Z243" s="207"/>
      <c r="AA243" s="207"/>
      <c r="AB243" s="207"/>
      <c r="AC243" s="5"/>
      <c r="AD243" s="63"/>
      <c r="AE243" s="64"/>
      <c r="AF243" s="64"/>
      <c r="AG243" s="212"/>
      <c r="AH243" s="64"/>
      <c r="AI243" s="64"/>
      <c r="AJ243" s="64"/>
      <c r="AK243" s="212"/>
      <c r="AL243" s="64"/>
      <c r="AM243" s="212"/>
      <c r="AN243" s="64"/>
      <c r="AO243" s="64"/>
      <c r="AP243" s="227"/>
      <c r="AQ243" s="64"/>
      <c r="AR243" s="63"/>
      <c r="AS243" s="64"/>
      <c r="AT243" s="63"/>
      <c r="AU243" s="64"/>
      <c r="AV243" s="63"/>
      <c r="AW243" s="64"/>
      <c r="AX243" s="63"/>
      <c r="AY243" s="5"/>
      <c r="AZ243" s="21" t="str">
        <f t="shared" si="55"/>
        <v/>
      </c>
      <c r="BA243" s="264" t="s">
        <v>438</v>
      </c>
      <c r="BB243" s="264"/>
      <c r="BC243" s="264"/>
      <c r="BD243" s="264" t="s">
        <v>34</v>
      </c>
      <c r="BE243" s="216" t="s">
        <v>32</v>
      </c>
      <c r="BF243" s="56"/>
      <c r="BG243" s="56"/>
      <c r="BH243" s="56"/>
      <c r="BI243" s="56"/>
      <c r="BJ243" s="56"/>
      <c r="BK243" s="56"/>
      <c r="BL243" s="56"/>
      <c r="BM243" s="56"/>
      <c r="BN243" s="56"/>
      <c r="BO243" s="56"/>
      <c r="BP243" s="56"/>
      <c r="BQ243" s="5"/>
      <c r="BR243" s="25"/>
      <c r="BS243" s="5"/>
    </row>
    <row r="244" spans="1:71" s="3" customFormat="1" x14ac:dyDescent="0.25">
      <c r="A244" s="5"/>
      <c r="B244" s="3" t="str">
        <f t="array" ref="B244">IFERROR(INDEX(DemandSupply,MATCH(INDEX($AH$1:AH244,SMALL(ROW($AH$1:AH244)+(10000*($AH$1:AH244="")),COUNTA($AH$1:AH244))),Sectors,0)),"")</f>
        <v>Demand</v>
      </c>
      <c r="E244" s="10"/>
      <c r="F244" s="207"/>
      <c r="G244" s="207"/>
      <c r="H244" s="207"/>
      <c r="I244" s="207"/>
      <c r="J244" s="207"/>
      <c r="K244" s="207"/>
      <c r="L244" s="207"/>
      <c r="M244" s="207"/>
      <c r="N244" s="207"/>
      <c r="O244" s="207"/>
      <c r="P244" s="207"/>
      <c r="Q244" s="207"/>
      <c r="R244" s="207"/>
      <c r="S244" s="207"/>
      <c r="T244" s="207"/>
      <c r="U244" s="207"/>
      <c r="V244" s="207"/>
      <c r="W244" s="207"/>
      <c r="X244" s="207"/>
      <c r="Y244" s="207"/>
      <c r="Z244" s="207"/>
      <c r="AA244" s="207"/>
      <c r="AB244" s="207"/>
      <c r="AC244" s="5"/>
      <c r="AD244" s="63"/>
      <c r="AE244" s="64"/>
      <c r="AF244" s="64"/>
      <c r="AG244" s="212"/>
      <c r="AH244" s="64"/>
      <c r="AI244" s="64"/>
      <c r="AJ244" s="64"/>
      <c r="AK244" s="212"/>
      <c r="AL244" s="64"/>
      <c r="AM244" s="212"/>
      <c r="AN244" s="64"/>
      <c r="AO244" s="64"/>
      <c r="AP244" s="227"/>
      <c r="AQ244" s="64"/>
      <c r="AR244" s="63"/>
      <c r="AS244" s="64"/>
      <c r="AT244" s="63"/>
      <c r="AU244" s="64"/>
      <c r="AV244" s="63"/>
      <c r="AW244" s="64"/>
      <c r="AX244" s="63"/>
      <c r="AY244" s="5"/>
      <c r="AZ244" s="21" t="str">
        <f t="shared" si="55"/>
        <v/>
      </c>
      <c r="BA244" s="264" t="s">
        <v>435</v>
      </c>
      <c r="BB244" s="264"/>
      <c r="BC244" s="264"/>
      <c r="BD244" s="264"/>
      <c r="BE244" s="216" t="s">
        <v>32</v>
      </c>
      <c r="BF244" s="55"/>
      <c r="BG244" s="55"/>
      <c r="BH244" s="55"/>
      <c r="BI244" s="55"/>
      <c r="BJ244" s="55"/>
      <c r="BK244" s="55"/>
      <c r="BL244" s="55"/>
      <c r="BM244" s="55"/>
      <c r="BN244" s="55"/>
      <c r="BO244" s="55"/>
      <c r="BP244" s="55"/>
      <c r="BQ244" s="5"/>
      <c r="BR244" s="25"/>
      <c r="BS244" s="5"/>
    </row>
    <row r="245" spans="1:71" s="3" customFormat="1" x14ac:dyDescent="0.25">
      <c r="A245" s="5"/>
      <c r="B245" s="3" t="str">
        <f t="array" ref="B245">IFERROR(INDEX(DemandSupply,MATCH(INDEX($AH$1:AH245,SMALL(ROW($AH$1:AH245)+(10000*($AH$1:AH245="")),COUNTA($AH$1:AH245))),Sectors,0)),"")</f>
        <v>Demand</v>
      </c>
      <c r="E245" s="10"/>
      <c r="F245" s="207"/>
      <c r="G245" s="207"/>
      <c r="H245" s="207"/>
      <c r="I245" s="207"/>
      <c r="J245" s="207"/>
      <c r="K245" s="207"/>
      <c r="L245" s="207"/>
      <c r="M245" s="207"/>
      <c r="N245" s="207"/>
      <c r="O245" s="207"/>
      <c r="P245" s="207"/>
      <c r="Q245" s="207"/>
      <c r="R245" s="207"/>
      <c r="S245" s="207"/>
      <c r="T245" s="207"/>
      <c r="U245" s="207"/>
      <c r="V245" s="207"/>
      <c r="W245" s="207"/>
      <c r="X245" s="207"/>
      <c r="Y245" s="207"/>
      <c r="Z245" s="207"/>
      <c r="AA245" s="207"/>
      <c r="AB245" s="207"/>
      <c r="AC245" s="5"/>
      <c r="AD245" s="63"/>
      <c r="AE245" s="64"/>
      <c r="AF245" s="64"/>
      <c r="AG245" s="212"/>
      <c r="AH245" s="64"/>
      <c r="AI245" s="64"/>
      <c r="AJ245" s="64"/>
      <c r="AK245" s="212"/>
      <c r="AL245" s="64"/>
      <c r="AM245" s="212"/>
      <c r="AN245" s="64"/>
      <c r="AO245" s="64"/>
      <c r="AP245" s="227"/>
      <c r="AQ245" s="64"/>
      <c r="AR245" s="63"/>
      <c r="AS245" s="64"/>
      <c r="AT245" s="63"/>
      <c r="AU245" s="64"/>
      <c r="AV245" s="63"/>
      <c r="AW245" s="64"/>
      <c r="AX245" s="63"/>
      <c r="AY245" s="5"/>
      <c r="AZ245" s="21" t="str">
        <f t="shared" si="55"/>
        <v/>
      </c>
      <c r="BA245" s="264" t="s">
        <v>407</v>
      </c>
      <c r="BB245" s="264"/>
      <c r="BC245" s="264"/>
      <c r="BD245" s="264" t="s">
        <v>99</v>
      </c>
      <c r="BE245" s="216" t="s">
        <v>32</v>
      </c>
      <c r="BF245" s="303"/>
      <c r="BG245" s="303"/>
      <c r="BH245" s="303"/>
      <c r="BI245" s="303"/>
      <c r="BJ245" s="303"/>
      <c r="BK245" s="303"/>
      <c r="BL245" s="303"/>
      <c r="BM245" s="303"/>
      <c r="BN245" s="303"/>
      <c r="BO245" s="303"/>
      <c r="BP245" s="303"/>
      <c r="BQ245" s="5"/>
      <c r="BR245" s="25"/>
      <c r="BS245" s="5"/>
    </row>
    <row r="246" spans="1:71" s="3" customFormat="1" x14ac:dyDescent="0.25">
      <c r="A246" s="5"/>
      <c r="B246" s="3" t="str">
        <f t="array" ref="B246">IFERROR(INDEX(DemandSupply,MATCH(INDEX($AH$1:AH246,SMALL(ROW($AH$1:AH246)+(10000*($AH$1:AH246="")),COUNTA($AH$1:AH246))),Sectors,0)),"")</f>
        <v>Demand</v>
      </c>
      <c r="E246" s="10"/>
      <c r="F246" s="207"/>
      <c r="G246" s="207"/>
      <c r="H246" s="207"/>
      <c r="I246" s="207"/>
      <c r="J246" s="207"/>
      <c r="K246" s="207"/>
      <c r="L246" s="207"/>
      <c r="M246" s="207"/>
      <c r="N246" s="207"/>
      <c r="O246" s="207"/>
      <c r="P246" s="207"/>
      <c r="Q246" s="207"/>
      <c r="R246" s="207"/>
      <c r="S246" s="207"/>
      <c r="T246" s="207"/>
      <c r="U246" s="207"/>
      <c r="V246" s="207"/>
      <c r="W246" s="207"/>
      <c r="X246" s="207"/>
      <c r="Y246" s="207"/>
      <c r="Z246" s="207"/>
      <c r="AA246" s="207"/>
      <c r="AB246" s="207"/>
      <c r="AC246" s="5"/>
      <c r="AD246" s="63"/>
      <c r="AE246" s="64"/>
      <c r="AF246" s="64"/>
      <c r="AG246" s="212"/>
      <c r="AH246" s="64"/>
      <c r="AI246" s="64"/>
      <c r="AJ246" s="64"/>
      <c r="AK246" s="212"/>
      <c r="AL246" s="64"/>
      <c r="AM246" s="212"/>
      <c r="AN246" s="64"/>
      <c r="AO246" s="64"/>
      <c r="AP246" s="227"/>
      <c r="AQ246" s="64"/>
      <c r="AR246" s="63"/>
      <c r="AS246" s="64"/>
      <c r="AT246" s="63"/>
      <c r="AU246" s="64"/>
      <c r="AV246" s="63"/>
      <c r="AW246" s="64"/>
      <c r="AX246" s="63"/>
      <c r="AY246" s="5"/>
      <c r="AZ246" s="21" t="str">
        <f t="shared" si="55"/>
        <v/>
      </c>
      <c r="BA246" s="264" t="s">
        <v>444</v>
      </c>
      <c r="BB246" s="264"/>
      <c r="BC246" s="264"/>
      <c r="BD246" s="264" t="s">
        <v>354</v>
      </c>
      <c r="BE246" s="216" t="s">
        <v>32</v>
      </c>
      <c r="BF246" s="56"/>
      <c r="BG246" s="56"/>
      <c r="BH246" s="56"/>
      <c r="BI246" s="56"/>
      <c r="BJ246" s="56"/>
      <c r="BK246" s="56"/>
      <c r="BL246" s="56"/>
      <c r="BM246" s="56"/>
      <c r="BN246" s="56"/>
      <c r="BO246" s="56"/>
      <c r="BP246" s="56"/>
      <c r="BQ246" s="5"/>
      <c r="BR246" s="25"/>
      <c r="BS246" s="5"/>
    </row>
    <row r="247" spans="1:71" s="3" customFormat="1" x14ac:dyDescent="0.25">
      <c r="A247" s="5"/>
      <c r="B247" s="3" t="str">
        <f t="array" ref="B247">IFERROR(INDEX(DemandSupply,MATCH(INDEX($AH$1:AH247,SMALL(ROW($AH$1:AH247)+(10000*($AH$1:AH247="")),COUNTA($AH$1:AH247))),Sectors,0)),"")</f>
        <v>Demand</v>
      </c>
      <c r="E247" s="10"/>
      <c r="F247" s="207"/>
      <c r="G247" s="207"/>
      <c r="H247" s="207"/>
      <c r="I247" s="207"/>
      <c r="J247" s="207"/>
      <c r="K247" s="207"/>
      <c r="L247" s="207"/>
      <c r="M247" s="207"/>
      <c r="N247" s="207"/>
      <c r="O247" s="207"/>
      <c r="P247" s="207"/>
      <c r="Q247" s="207"/>
      <c r="R247" s="207"/>
      <c r="S247" s="207"/>
      <c r="T247" s="207"/>
      <c r="U247" s="207"/>
      <c r="V247" s="207"/>
      <c r="W247" s="207"/>
      <c r="X247" s="207"/>
      <c r="Y247" s="207"/>
      <c r="Z247" s="207"/>
      <c r="AA247" s="207"/>
      <c r="AB247" s="207"/>
      <c r="AC247" s="5"/>
      <c r="AD247" s="63"/>
      <c r="AE247" s="64"/>
      <c r="AF247" s="64"/>
      <c r="AG247" s="212"/>
      <c r="AH247" s="64"/>
      <c r="AI247" s="64"/>
      <c r="AJ247" s="64"/>
      <c r="AK247" s="212"/>
      <c r="AL247" s="64"/>
      <c r="AM247" s="212"/>
      <c r="AN247" s="64"/>
      <c r="AO247" s="64"/>
      <c r="AP247" s="227"/>
      <c r="AQ247" s="64"/>
      <c r="AR247" s="63"/>
      <c r="AS247" s="64"/>
      <c r="AT247" s="63"/>
      <c r="AU247" s="64"/>
      <c r="AV247" s="63"/>
      <c r="AW247" s="64"/>
      <c r="AX247" s="63"/>
      <c r="AY247" s="5"/>
      <c r="AZ247" s="21" t="str">
        <f t="shared" si="55"/>
        <v/>
      </c>
      <c r="BA247" s="264" t="s">
        <v>446</v>
      </c>
      <c r="BB247" s="264"/>
      <c r="BC247" s="264"/>
      <c r="BD247" s="264" t="s">
        <v>354</v>
      </c>
      <c r="BE247" s="216" t="s">
        <v>32</v>
      </c>
      <c r="BF247" s="56"/>
      <c r="BG247" s="56"/>
      <c r="BH247" s="56"/>
      <c r="BI247" s="56"/>
      <c r="BJ247" s="56"/>
      <c r="BK247" s="56"/>
      <c r="BL247" s="56"/>
      <c r="BM247" s="56"/>
      <c r="BN247" s="56"/>
      <c r="BO247" s="56"/>
      <c r="BP247" s="56"/>
      <c r="BQ247" s="5"/>
      <c r="BR247" s="25"/>
      <c r="BS247" s="5"/>
    </row>
    <row r="248" spans="1:71" s="3" customFormat="1" x14ac:dyDescent="0.25">
      <c r="A248" s="5"/>
      <c r="B248" s="3" t="str">
        <f t="array" ref="B248">IFERROR(INDEX(DemandSupply,MATCH(INDEX($AH$1:AH248,SMALL(ROW($AH$1:AH248)+(10000*($AH$1:AH248="")),COUNTA($AH$1:AH248))),Sectors,0)),"")</f>
        <v>Demand</v>
      </c>
      <c r="E248" s="10"/>
      <c r="F248" s="207"/>
      <c r="G248" s="207"/>
      <c r="H248" s="207"/>
      <c r="I248" s="207"/>
      <c r="J248" s="207"/>
      <c r="K248" s="207"/>
      <c r="L248" s="207"/>
      <c r="M248" s="207"/>
      <c r="N248" s="207"/>
      <c r="O248" s="207"/>
      <c r="P248" s="207"/>
      <c r="Q248" s="207"/>
      <c r="R248" s="207"/>
      <c r="S248" s="207"/>
      <c r="T248" s="207"/>
      <c r="U248" s="207"/>
      <c r="V248" s="207"/>
      <c r="W248" s="207"/>
      <c r="X248" s="207"/>
      <c r="Y248" s="207"/>
      <c r="Z248" s="207"/>
      <c r="AA248" s="207"/>
      <c r="AB248" s="207"/>
      <c r="AC248" s="5"/>
      <c r="AD248" s="63"/>
      <c r="AE248" s="64"/>
      <c r="AF248" s="64"/>
      <c r="AG248" s="212"/>
      <c r="AH248" s="64"/>
      <c r="AI248" s="64"/>
      <c r="AJ248" s="64"/>
      <c r="AK248" s="212"/>
      <c r="AL248" s="64"/>
      <c r="AM248" s="212"/>
      <c r="AN248" s="64"/>
      <c r="AO248" s="64"/>
      <c r="AP248" s="227"/>
      <c r="AQ248" s="64"/>
      <c r="AR248" s="63"/>
      <c r="AS248" s="64"/>
      <c r="AT248" s="63"/>
      <c r="AU248" s="64"/>
      <c r="AV248" s="63"/>
      <c r="AW248" s="64"/>
      <c r="AX248" s="63"/>
      <c r="AY248" s="5"/>
      <c r="AZ248" s="21" t="str">
        <f t="shared" si="55"/>
        <v/>
      </c>
      <c r="BA248" s="264" t="s">
        <v>447</v>
      </c>
      <c r="BB248" s="264"/>
      <c r="BC248" s="264"/>
      <c r="BD248" s="264"/>
      <c r="BE248" s="216" t="s">
        <v>32</v>
      </c>
      <c r="BF248" s="55"/>
      <c r="BG248" s="55"/>
      <c r="BH248" s="55"/>
      <c r="BI248" s="55"/>
      <c r="BJ248" s="55"/>
      <c r="BK248" s="55"/>
      <c r="BL248" s="55"/>
      <c r="BM248" s="55"/>
      <c r="BN248" s="55"/>
      <c r="BO248" s="55"/>
      <c r="BP248" s="55"/>
      <c r="BQ248" s="5"/>
      <c r="BR248" s="25"/>
      <c r="BS248" s="5"/>
    </row>
    <row r="249" spans="1:71" s="3" customFormat="1" x14ac:dyDescent="0.25">
      <c r="A249" s="5"/>
      <c r="B249" s="3" t="str">
        <f t="array" ref="B249">IFERROR(INDEX(DemandSupply,MATCH(INDEX($AH$1:AH249,SMALL(ROW($AH$1:AH249)+(10000*($AH$1:AH249="")),COUNTA($AH$1:AH249))),Sectors,0)),"")</f>
        <v>Demand</v>
      </c>
      <c r="E249" s="10"/>
      <c r="F249" s="207"/>
      <c r="G249" s="207"/>
      <c r="H249" s="207"/>
      <c r="I249" s="207"/>
      <c r="J249" s="207"/>
      <c r="K249" s="207"/>
      <c r="L249" s="207"/>
      <c r="M249" s="207"/>
      <c r="N249" s="207"/>
      <c r="O249" s="207"/>
      <c r="P249" s="207"/>
      <c r="Q249" s="207"/>
      <c r="R249" s="207"/>
      <c r="S249" s="207"/>
      <c r="T249" s="207"/>
      <c r="U249" s="207"/>
      <c r="V249" s="207"/>
      <c r="W249" s="207"/>
      <c r="X249" s="207"/>
      <c r="Y249" s="207"/>
      <c r="Z249" s="207"/>
      <c r="AA249" s="207"/>
      <c r="AB249" s="207"/>
      <c r="AC249" s="5"/>
      <c r="AD249" s="63"/>
      <c r="AE249" s="64"/>
      <c r="AF249" s="64"/>
      <c r="AG249" s="212"/>
      <c r="AH249" s="64"/>
      <c r="AI249" s="64"/>
      <c r="AJ249" s="64"/>
      <c r="AK249" s="212"/>
      <c r="AL249" s="64"/>
      <c r="AM249" s="212"/>
      <c r="AN249" s="64"/>
      <c r="AO249" s="64"/>
      <c r="AP249" s="227"/>
      <c r="AQ249" s="64"/>
      <c r="AR249" s="63"/>
      <c r="AS249" s="64"/>
      <c r="AT249" s="63"/>
      <c r="AU249" s="64"/>
      <c r="AV249" s="63"/>
      <c r="AW249" s="64"/>
      <c r="AX249" s="63"/>
      <c r="AY249" s="5"/>
      <c r="AZ249" s="21" t="str">
        <f t="shared" si="55"/>
        <v/>
      </c>
      <c r="BA249" s="264" t="s">
        <v>448</v>
      </c>
      <c r="BB249" s="264"/>
      <c r="BC249" s="264"/>
      <c r="BD249" s="264"/>
      <c r="BE249" s="216" t="s">
        <v>32</v>
      </c>
      <c r="BF249" s="55"/>
      <c r="BG249" s="55"/>
      <c r="BH249" s="55"/>
      <c r="BI249" s="55"/>
      <c r="BJ249" s="55"/>
      <c r="BK249" s="55"/>
      <c r="BL249" s="55"/>
      <c r="BM249" s="55"/>
      <c r="BN249" s="55"/>
      <c r="BO249" s="55"/>
      <c r="BP249" s="55"/>
      <c r="BQ249" s="5"/>
      <c r="BR249" s="25"/>
      <c r="BS249" s="5"/>
    </row>
    <row r="250" spans="1:71" s="3" customFormat="1" x14ac:dyDescent="0.25">
      <c r="A250" s="5"/>
      <c r="B250" s="3" t="str">
        <f t="array" ref="B250">IFERROR(INDEX(DemandSupply,MATCH(INDEX($AH$1:AH250,SMALL(ROW($AH$1:AH250)+(10000*($AH$1:AH250="")),COUNTA($AH$1:AH250))),Sectors,0)),"")</f>
        <v>Demand</v>
      </c>
      <c r="E250" s="10"/>
      <c r="F250" s="207"/>
      <c r="G250" s="207"/>
      <c r="H250" s="207"/>
      <c r="I250" s="207"/>
      <c r="J250" s="207"/>
      <c r="K250" s="207"/>
      <c r="L250" s="207"/>
      <c r="M250" s="207"/>
      <c r="N250" s="207"/>
      <c r="O250" s="207"/>
      <c r="P250" s="207"/>
      <c r="Q250" s="207"/>
      <c r="R250" s="207"/>
      <c r="S250" s="207"/>
      <c r="T250" s="207"/>
      <c r="U250" s="207"/>
      <c r="V250" s="207"/>
      <c r="W250" s="207"/>
      <c r="X250" s="207"/>
      <c r="Y250" s="207"/>
      <c r="Z250" s="207"/>
      <c r="AA250" s="207"/>
      <c r="AB250" s="207"/>
      <c r="AC250" s="5"/>
      <c r="AD250" s="63"/>
      <c r="AE250" s="64"/>
      <c r="AF250" s="64"/>
      <c r="AG250" s="212"/>
      <c r="AH250" s="64"/>
      <c r="AI250" s="64"/>
      <c r="AJ250" s="64"/>
      <c r="AK250" s="212"/>
      <c r="AL250" s="64"/>
      <c r="AM250" s="212"/>
      <c r="AN250" s="64"/>
      <c r="AO250" s="64"/>
      <c r="AP250" s="227"/>
      <c r="AQ250" s="64"/>
      <c r="AR250" s="63"/>
      <c r="AS250" s="64"/>
      <c r="AT250" s="63"/>
      <c r="AU250" s="64"/>
      <c r="AV250" s="63"/>
      <c r="AW250" s="64"/>
      <c r="AX250" s="63"/>
      <c r="AY250" s="5"/>
      <c r="AZ250" s="21" t="str">
        <f t="shared" si="55"/>
        <v/>
      </c>
      <c r="BA250" s="264" t="s">
        <v>445</v>
      </c>
      <c r="BB250" s="264"/>
      <c r="BC250" s="264"/>
      <c r="BD250" s="264" t="s">
        <v>355</v>
      </c>
      <c r="BE250" s="216" t="s">
        <v>32</v>
      </c>
      <c r="BF250" s="56"/>
      <c r="BG250" s="56"/>
      <c r="BH250" s="56"/>
      <c r="BI250" s="56"/>
      <c r="BJ250" s="56"/>
      <c r="BK250" s="56"/>
      <c r="BL250" s="56"/>
      <c r="BM250" s="56"/>
      <c r="BN250" s="56"/>
      <c r="BO250" s="56"/>
      <c r="BP250" s="56"/>
      <c r="BQ250" s="5"/>
      <c r="BR250" s="25"/>
      <c r="BS250" s="5"/>
    </row>
    <row r="251" spans="1:71" s="3" customFormat="1" x14ac:dyDescent="0.25">
      <c r="A251" s="5"/>
      <c r="B251" s="3" t="str">
        <f t="array" ref="B251">IFERROR(INDEX(DemandSupply,MATCH(INDEX($AH$1:AH251,SMALL(ROW($AH$1:AH251)+(10000*($AH$1:AH251="")),COUNTA($AH$1:AH251))),Sectors,0)),"")</f>
        <v>Demand</v>
      </c>
      <c r="E251" s="10"/>
      <c r="F251" s="207"/>
      <c r="G251" s="207"/>
      <c r="H251" s="207"/>
      <c r="I251" s="207"/>
      <c r="J251" s="207"/>
      <c r="K251" s="207"/>
      <c r="L251" s="207"/>
      <c r="M251" s="207"/>
      <c r="N251" s="207"/>
      <c r="O251" s="207"/>
      <c r="P251" s="207"/>
      <c r="Q251" s="207"/>
      <c r="R251" s="207"/>
      <c r="S251" s="207"/>
      <c r="T251" s="207"/>
      <c r="U251" s="207"/>
      <c r="V251" s="207"/>
      <c r="W251" s="207"/>
      <c r="X251" s="207"/>
      <c r="Y251" s="207"/>
      <c r="Z251" s="207"/>
      <c r="AA251" s="207"/>
      <c r="AB251" s="207"/>
      <c r="AC251" s="5"/>
      <c r="AD251" s="63"/>
      <c r="AE251" s="64"/>
      <c r="AF251" s="64"/>
      <c r="AG251" s="212"/>
      <c r="AH251" s="64"/>
      <c r="AI251" s="64"/>
      <c r="AJ251" s="64"/>
      <c r="AK251" s="212"/>
      <c r="AL251" s="64"/>
      <c r="AM251" s="212"/>
      <c r="AN251" s="64"/>
      <c r="AO251" s="64"/>
      <c r="AP251" s="227"/>
      <c r="AQ251" s="64"/>
      <c r="AR251" s="63"/>
      <c r="AS251" s="64"/>
      <c r="AT251" s="63"/>
      <c r="AU251" s="64"/>
      <c r="AV251" s="63"/>
      <c r="AW251" s="64"/>
      <c r="AX251" s="63"/>
      <c r="AY251" s="5"/>
      <c r="AZ251" s="21" t="str">
        <f t="shared" si="55"/>
        <v/>
      </c>
      <c r="BA251" s="264" t="s">
        <v>449</v>
      </c>
      <c r="BB251" s="264"/>
      <c r="BC251" s="264"/>
      <c r="BD251" s="264" t="s">
        <v>355</v>
      </c>
      <c r="BE251" s="216" t="s">
        <v>32</v>
      </c>
      <c r="BF251" s="56"/>
      <c r="BG251" s="56"/>
      <c r="BH251" s="56"/>
      <c r="BI251" s="56"/>
      <c r="BJ251" s="56"/>
      <c r="BK251" s="56"/>
      <c r="BL251" s="56"/>
      <c r="BM251" s="56"/>
      <c r="BN251" s="56"/>
      <c r="BO251" s="56"/>
      <c r="BP251" s="56"/>
      <c r="BQ251" s="5"/>
      <c r="BR251" s="25"/>
      <c r="BS251" s="5"/>
    </row>
    <row r="252" spans="1:71" s="3" customFormat="1" x14ac:dyDescent="0.25">
      <c r="A252" s="5"/>
      <c r="B252" s="3" t="str">
        <f t="array" ref="B252">IFERROR(INDEX(DemandSupply,MATCH(INDEX($AH$1:AH252,SMALL(ROW($AH$1:AH252)+(10000*($AH$1:AH252="")),COUNTA($AH$1:AH252))),Sectors,0)),"")</f>
        <v>Demand</v>
      </c>
      <c r="E252" s="10"/>
      <c r="F252" s="207"/>
      <c r="G252" s="207"/>
      <c r="H252" s="207"/>
      <c r="I252" s="207"/>
      <c r="J252" s="207"/>
      <c r="K252" s="207"/>
      <c r="L252" s="207"/>
      <c r="M252" s="207"/>
      <c r="N252" s="207"/>
      <c r="O252" s="207"/>
      <c r="P252" s="207"/>
      <c r="Q252" s="207"/>
      <c r="R252" s="207"/>
      <c r="S252" s="207"/>
      <c r="T252" s="207"/>
      <c r="U252" s="207"/>
      <c r="V252" s="207"/>
      <c r="W252" s="207"/>
      <c r="X252" s="207"/>
      <c r="Y252" s="207"/>
      <c r="Z252" s="207"/>
      <c r="AA252" s="207"/>
      <c r="AB252" s="207"/>
      <c r="AC252" s="5"/>
      <c r="AD252" s="63"/>
      <c r="AE252" s="64"/>
      <c r="AF252" s="64"/>
      <c r="AG252" s="212"/>
      <c r="AH252" s="64"/>
      <c r="AI252" s="64"/>
      <c r="AJ252" s="64"/>
      <c r="AK252" s="212"/>
      <c r="AL252" s="64"/>
      <c r="AM252" s="212"/>
      <c r="AN252" s="64"/>
      <c r="AO252" s="64"/>
      <c r="AP252" s="227"/>
      <c r="AQ252" s="64"/>
      <c r="AR252" s="63"/>
      <c r="AS252" s="64"/>
      <c r="AT252" s="63"/>
      <c r="AU252" s="64"/>
      <c r="AV252" s="63"/>
      <c r="AW252" s="64"/>
      <c r="AX252" s="63"/>
      <c r="AY252" s="5"/>
      <c r="AZ252" s="21" t="str">
        <f t="shared" si="55"/>
        <v/>
      </c>
      <c r="BA252" s="264" t="s">
        <v>450</v>
      </c>
      <c r="BB252" s="264"/>
      <c r="BC252" s="264"/>
      <c r="BD252" s="264"/>
      <c r="BE252" s="216" t="s">
        <v>32</v>
      </c>
      <c r="BF252" s="55"/>
      <c r="BG252" s="55"/>
      <c r="BH252" s="55"/>
      <c r="BI252" s="55"/>
      <c r="BJ252" s="55"/>
      <c r="BK252" s="55"/>
      <c r="BL252" s="55"/>
      <c r="BM252" s="55"/>
      <c r="BN252" s="55"/>
      <c r="BO252" s="55"/>
      <c r="BP252" s="55"/>
      <c r="BQ252" s="5"/>
      <c r="BR252" s="25"/>
      <c r="BS252" s="5"/>
    </row>
    <row r="253" spans="1:71" s="3" customFormat="1" x14ac:dyDescent="0.25">
      <c r="A253" s="5"/>
      <c r="B253" s="3" t="str">
        <f t="array" ref="B253">IFERROR(INDEX(DemandSupply,MATCH(INDEX($AH$1:AH253,SMALL(ROW($AH$1:AH253)+(10000*($AH$1:AH253="")),COUNTA($AH$1:AH253))),Sectors,0)),"")</f>
        <v>Demand</v>
      </c>
      <c r="E253" s="10"/>
      <c r="F253" s="207"/>
      <c r="G253" s="207"/>
      <c r="H253" s="207"/>
      <c r="I253" s="207"/>
      <c r="J253" s="207"/>
      <c r="K253" s="207"/>
      <c r="L253" s="207"/>
      <c r="M253" s="207"/>
      <c r="N253" s="207"/>
      <c r="O253" s="207"/>
      <c r="P253" s="207"/>
      <c r="Q253" s="207"/>
      <c r="R253" s="207"/>
      <c r="S253" s="207"/>
      <c r="T253" s="207"/>
      <c r="U253" s="207"/>
      <c r="V253" s="207"/>
      <c r="W253" s="207"/>
      <c r="X253" s="207"/>
      <c r="Y253" s="207"/>
      <c r="Z253" s="207"/>
      <c r="AA253" s="207"/>
      <c r="AB253" s="207"/>
      <c r="AC253" s="5"/>
      <c r="AD253" s="63"/>
      <c r="AE253" s="64"/>
      <c r="AF253" s="64"/>
      <c r="AG253" s="212"/>
      <c r="AH253" s="64"/>
      <c r="AI253" s="64"/>
      <c r="AJ253" s="64"/>
      <c r="AK253" s="212"/>
      <c r="AL253" s="64"/>
      <c r="AM253" s="212"/>
      <c r="AN253" s="64"/>
      <c r="AO253" s="64"/>
      <c r="AP253" s="227"/>
      <c r="AQ253" s="64"/>
      <c r="AR253" s="63"/>
      <c r="AS253" s="64"/>
      <c r="AT253" s="63"/>
      <c r="AU253" s="64"/>
      <c r="AV253" s="63"/>
      <c r="AW253" s="64"/>
      <c r="AX253" s="63"/>
      <c r="AY253" s="5"/>
      <c r="AZ253" s="21" t="str">
        <f t="shared" si="55"/>
        <v/>
      </c>
      <c r="BA253" s="264" t="s">
        <v>451</v>
      </c>
      <c r="BB253" s="264"/>
      <c r="BC253" s="264"/>
      <c r="BD253" s="264"/>
      <c r="BE253" s="216" t="s">
        <v>32</v>
      </c>
      <c r="BF253" s="55"/>
      <c r="BG253" s="55"/>
      <c r="BH253" s="55"/>
      <c r="BI253" s="55"/>
      <c r="BJ253" s="55"/>
      <c r="BK253" s="55"/>
      <c r="BL253" s="55"/>
      <c r="BM253" s="55"/>
      <c r="BN253" s="55"/>
      <c r="BO253" s="55"/>
      <c r="BP253" s="55"/>
      <c r="BQ253" s="5"/>
      <c r="BR253" s="25"/>
      <c r="BS253" s="5"/>
    </row>
    <row r="254" spans="1:71" s="3" customFormat="1" x14ac:dyDescent="0.25">
      <c r="A254" s="5"/>
      <c r="B254" s="3" t="str">
        <f t="array" ref="B254">IFERROR(INDEX(DemandSupply,MATCH(INDEX($AH$1:AH254,SMALL(ROW($AH$1:AH254)+(10000*($AH$1:AH254="")),COUNTA($AH$1:AH254))),Sectors,0)),"")</f>
        <v>Demand</v>
      </c>
      <c r="E254" s="10"/>
      <c r="F254" s="207"/>
      <c r="G254" s="207"/>
      <c r="H254" s="207"/>
      <c r="I254" s="207"/>
      <c r="J254" s="207"/>
      <c r="K254" s="207"/>
      <c r="L254" s="207"/>
      <c r="M254" s="207"/>
      <c r="N254" s="207"/>
      <c r="O254" s="207"/>
      <c r="P254" s="207"/>
      <c r="Q254" s="207"/>
      <c r="R254" s="207"/>
      <c r="S254" s="207"/>
      <c r="T254" s="207"/>
      <c r="U254" s="207"/>
      <c r="V254" s="207"/>
      <c r="W254" s="207"/>
      <c r="X254" s="207"/>
      <c r="Y254" s="207"/>
      <c r="Z254" s="207"/>
      <c r="AA254" s="207"/>
      <c r="AB254" s="207"/>
      <c r="AC254" s="5"/>
      <c r="AD254" s="63"/>
      <c r="AE254" s="64"/>
      <c r="AF254" s="64"/>
      <c r="AG254" s="212"/>
      <c r="AH254" s="64"/>
      <c r="AI254" s="64"/>
      <c r="AJ254" s="64"/>
      <c r="AK254" s="212"/>
      <c r="AL254" s="64"/>
      <c r="AM254" s="212"/>
      <c r="AN254" s="64"/>
      <c r="AO254" s="64"/>
      <c r="AP254" s="227"/>
      <c r="AQ254" s="64"/>
      <c r="AR254" s="63"/>
      <c r="AS254" s="64"/>
      <c r="AT254" s="63"/>
      <c r="AU254" s="64"/>
      <c r="AV254" s="63"/>
      <c r="AW254" s="64"/>
      <c r="AX254" s="63"/>
      <c r="AY254" s="5"/>
      <c r="AZ254" s="21" t="str">
        <f t="shared" si="55"/>
        <v/>
      </c>
      <c r="BA254" s="264" t="s">
        <v>342</v>
      </c>
      <c r="BB254" s="264"/>
      <c r="BC254" s="264"/>
      <c r="BD254" s="264" t="s">
        <v>355</v>
      </c>
      <c r="BE254" s="216" t="s">
        <v>32</v>
      </c>
      <c r="BF254" s="56"/>
      <c r="BG254" s="56"/>
      <c r="BH254" s="56"/>
      <c r="BI254" s="56"/>
      <c r="BJ254" s="56"/>
      <c r="BK254" s="56"/>
      <c r="BL254" s="56"/>
      <c r="BM254" s="56"/>
      <c r="BN254" s="56"/>
      <c r="BO254" s="56"/>
      <c r="BP254" s="56"/>
      <c r="BQ254" s="5"/>
      <c r="BR254" s="25"/>
      <c r="BS254" s="5"/>
    </row>
    <row r="255" spans="1:71" s="3" customFormat="1" x14ac:dyDescent="0.25">
      <c r="A255" s="5"/>
      <c r="B255" s="3" t="str">
        <f t="array" ref="B255">IFERROR(INDEX(DemandSupply,MATCH(INDEX($AH$1:AH255,SMALL(ROW($AH$1:AH255)+(10000*($AH$1:AH255="")),COUNTA($AH$1:AH255))),Sectors,0)),"")</f>
        <v>Demand</v>
      </c>
      <c r="E255" s="10"/>
      <c r="F255" s="207"/>
      <c r="G255" s="207"/>
      <c r="H255" s="207"/>
      <c r="I255" s="207"/>
      <c r="J255" s="207"/>
      <c r="K255" s="207"/>
      <c r="L255" s="207"/>
      <c r="M255" s="207"/>
      <c r="N255" s="207"/>
      <c r="O255" s="207"/>
      <c r="P255" s="207"/>
      <c r="Q255" s="207"/>
      <c r="R255" s="207"/>
      <c r="S255" s="207"/>
      <c r="T255" s="207"/>
      <c r="U255" s="207"/>
      <c r="V255" s="207"/>
      <c r="W255" s="207"/>
      <c r="X255" s="207"/>
      <c r="Y255" s="207"/>
      <c r="Z255" s="207"/>
      <c r="AA255" s="207"/>
      <c r="AB255" s="207"/>
      <c r="AC255" s="5"/>
      <c r="AD255" s="63"/>
      <c r="AE255" s="64"/>
      <c r="AF255" s="64"/>
      <c r="AG255" s="212"/>
      <c r="AH255" s="64"/>
      <c r="AI255" s="64"/>
      <c r="AJ255" s="64"/>
      <c r="AK255" s="212"/>
      <c r="AL255" s="64"/>
      <c r="AM255" s="212"/>
      <c r="AN255" s="64"/>
      <c r="AO255" s="64"/>
      <c r="AP255" s="227"/>
      <c r="AQ255" s="64"/>
      <c r="AR255" s="63"/>
      <c r="AS255" s="64"/>
      <c r="AT255" s="63"/>
      <c r="AU255" s="64"/>
      <c r="AV255" s="63"/>
      <c r="AW255" s="64"/>
      <c r="AX255" s="63"/>
      <c r="AY255" s="5"/>
      <c r="AZ255" s="21" t="str">
        <f t="shared" si="55"/>
        <v/>
      </c>
      <c r="BA255" s="264" t="s">
        <v>394</v>
      </c>
      <c r="BB255" s="264"/>
      <c r="BC255" s="264"/>
      <c r="BD255" s="264" t="s">
        <v>354</v>
      </c>
      <c r="BE255" s="216" t="s">
        <v>32</v>
      </c>
      <c r="BF255" s="56"/>
      <c r="BG255" s="56"/>
      <c r="BH255" s="56"/>
      <c r="BI255" s="56"/>
      <c r="BJ255" s="56"/>
      <c r="BK255" s="56"/>
      <c r="BL255" s="56"/>
      <c r="BM255" s="56"/>
      <c r="BN255" s="56"/>
      <c r="BO255" s="56"/>
      <c r="BP255" s="56"/>
      <c r="BQ255" s="5"/>
      <c r="BR255" s="25"/>
      <c r="BS255" s="5"/>
    </row>
    <row r="256" spans="1:71" s="3" customFormat="1" x14ac:dyDescent="0.25">
      <c r="A256" s="5"/>
      <c r="B256" s="3" t="str">
        <f t="array" ref="B256">IFERROR(INDEX(DemandSupply,MATCH(INDEX($AH$1:AH256,SMALL(ROW($AH$1:AH256)+(10000*($AH$1:AH256="")),COUNTA($AH$1:AH256))),Sectors,0)),"")</f>
        <v>Demand</v>
      </c>
      <c r="E256" s="10">
        <f t="shared" si="56"/>
        <v>0</v>
      </c>
      <c r="F256" s="207">
        <v>1</v>
      </c>
      <c r="G256" s="207">
        <v>1</v>
      </c>
      <c r="H256" s="207">
        <v>1</v>
      </c>
      <c r="I256" s="207">
        <v>1</v>
      </c>
      <c r="J256" s="207">
        <v>1</v>
      </c>
      <c r="K256" s="207">
        <v>1</v>
      </c>
      <c r="L256" s="207">
        <v>1</v>
      </c>
      <c r="M256" s="207">
        <v>1</v>
      </c>
      <c r="N256" s="207">
        <v>1</v>
      </c>
      <c r="O256" s="207">
        <v>1</v>
      </c>
      <c r="P256" s="207">
        <v>1</v>
      </c>
      <c r="Q256" s="207">
        <v>1</v>
      </c>
      <c r="R256" s="207">
        <v>1</v>
      </c>
      <c r="S256" s="207">
        <v>1</v>
      </c>
      <c r="T256" s="207">
        <v>1</v>
      </c>
      <c r="U256" s="207">
        <v>1</v>
      </c>
      <c r="V256" s="207">
        <v>1</v>
      </c>
      <c r="W256" s="207">
        <v>1</v>
      </c>
      <c r="X256" s="207">
        <v>1</v>
      </c>
      <c r="Y256" s="207">
        <v>1</v>
      </c>
      <c r="Z256" s="207">
        <v>1</v>
      </c>
      <c r="AA256" s="207">
        <v>1</v>
      </c>
      <c r="AB256" s="207">
        <v>1</v>
      </c>
      <c r="AC256" s="5"/>
      <c r="AD256" s="63"/>
      <c r="AE256" s="64"/>
      <c r="AF256" s="64"/>
      <c r="AG256" s="212"/>
      <c r="AH256" s="64"/>
      <c r="AI256" s="64"/>
      <c r="AJ256" s="64"/>
      <c r="AK256" s="212"/>
      <c r="AL256" s="64"/>
      <c r="AM256" s="212"/>
      <c r="AN256" s="64"/>
      <c r="AO256" s="64"/>
      <c r="AP256" s="227"/>
      <c r="AQ256" s="64"/>
      <c r="AR256" s="63"/>
      <c r="AS256" s="64"/>
      <c r="AT256" s="63"/>
      <c r="AU256" s="64"/>
      <c r="AV256" s="63"/>
      <c r="AW256" s="64"/>
      <c r="AX256" s="63"/>
      <c r="AY256" s="5"/>
      <c r="AZ256" s="21" t="str">
        <f t="shared" si="55"/>
        <v/>
      </c>
      <c r="BA256" s="74" t="s">
        <v>338</v>
      </c>
      <c r="BB256" s="25"/>
      <c r="BC256" s="74" t="s">
        <v>123</v>
      </c>
      <c r="BD256" s="74" t="s">
        <v>367</v>
      </c>
      <c r="BE256" s="216" t="s">
        <v>32</v>
      </c>
      <c r="BF256" s="55">
        <v>1</v>
      </c>
      <c r="BG256" s="55">
        <f t="shared" ref="BG256:BP256" si="63">BF256</f>
        <v>1</v>
      </c>
      <c r="BH256" s="55">
        <f t="shared" si="63"/>
        <v>1</v>
      </c>
      <c r="BI256" s="55">
        <f t="shared" si="63"/>
        <v>1</v>
      </c>
      <c r="BJ256" s="55">
        <f t="shared" si="63"/>
        <v>1</v>
      </c>
      <c r="BK256" s="55">
        <f t="shared" si="63"/>
        <v>1</v>
      </c>
      <c r="BL256" s="55">
        <f t="shared" si="63"/>
        <v>1</v>
      </c>
      <c r="BM256" s="55">
        <f t="shared" si="63"/>
        <v>1</v>
      </c>
      <c r="BN256" s="55">
        <f t="shared" si="63"/>
        <v>1</v>
      </c>
      <c r="BO256" s="55">
        <f t="shared" si="63"/>
        <v>1</v>
      </c>
      <c r="BP256" s="55">
        <f t="shared" si="63"/>
        <v>1</v>
      </c>
      <c r="BQ256" s="5"/>
      <c r="BR256" s="25"/>
      <c r="BS256" s="5"/>
    </row>
    <row r="257" spans="1:71" s="3" customFormat="1" x14ac:dyDescent="0.25">
      <c r="A257" s="5"/>
      <c r="B257" s="3" t="str">
        <f t="array" ref="B257">IFERROR(INDEX(DemandSupply,MATCH(INDEX($AH$1:AH257,SMALL(ROW($AH$1:AH257)+(10000*($AH$1:AH257="")),COUNTA($AH$1:AH257))),Sectors,0)),"")</f>
        <v>Demand</v>
      </c>
      <c r="E257" s="10">
        <f t="shared" si="56"/>
        <v>0</v>
      </c>
      <c r="F257" s="207">
        <v>1</v>
      </c>
      <c r="G257" s="207">
        <v>1</v>
      </c>
      <c r="H257" s="207">
        <v>1</v>
      </c>
      <c r="I257" s="207">
        <v>1</v>
      </c>
      <c r="J257" s="207">
        <v>1</v>
      </c>
      <c r="K257" s="207">
        <v>1</v>
      </c>
      <c r="L257" s="207">
        <v>1</v>
      </c>
      <c r="M257" s="207">
        <v>1</v>
      </c>
      <c r="N257" s="207">
        <v>1</v>
      </c>
      <c r="O257" s="207">
        <v>1</v>
      </c>
      <c r="P257" s="207">
        <v>1</v>
      </c>
      <c r="Q257" s="207">
        <v>1</v>
      </c>
      <c r="R257" s="207">
        <v>1</v>
      </c>
      <c r="S257" s="207">
        <v>1</v>
      </c>
      <c r="T257" s="207">
        <v>1</v>
      </c>
      <c r="U257" s="207">
        <v>1</v>
      </c>
      <c r="V257" s="207">
        <v>1</v>
      </c>
      <c r="W257" s="207">
        <v>1</v>
      </c>
      <c r="X257" s="207">
        <v>1</v>
      </c>
      <c r="Y257" s="207">
        <v>1</v>
      </c>
      <c r="Z257" s="207">
        <v>1</v>
      </c>
      <c r="AA257" s="207">
        <v>1</v>
      </c>
      <c r="AB257" s="207">
        <v>1</v>
      </c>
      <c r="AC257" s="5"/>
      <c r="AD257" s="63"/>
      <c r="AE257" s="64"/>
      <c r="AF257" s="64"/>
      <c r="AG257" s="212"/>
      <c r="AH257" s="64"/>
      <c r="AI257" s="64"/>
      <c r="AJ257" s="64"/>
      <c r="AK257" s="212"/>
      <c r="AL257" s="64"/>
      <c r="AM257" s="212"/>
      <c r="AN257" s="64"/>
      <c r="AO257" s="64"/>
      <c r="AP257" s="227"/>
      <c r="AQ257" s="64"/>
      <c r="AR257" s="63"/>
      <c r="AS257" s="64"/>
      <c r="AT257" s="63"/>
      <c r="AU257" s="64"/>
      <c r="AV257" s="63"/>
      <c r="AW257" s="64"/>
      <c r="AX257" s="63"/>
      <c r="AY257" s="5"/>
      <c r="AZ257" s="21" t="str">
        <f t="shared" si="55"/>
        <v/>
      </c>
      <c r="BA257" s="291" t="s">
        <v>75</v>
      </c>
      <c r="BB257" s="25"/>
      <c r="BC257" s="2"/>
      <c r="BD257" s="2"/>
      <c r="BE257" s="216" t="s">
        <v>33</v>
      </c>
      <c r="BF257" s="4"/>
      <c r="BG257" s="4"/>
      <c r="BH257" s="4"/>
      <c r="BI257" s="4"/>
      <c r="BJ257" s="4"/>
      <c r="BK257" s="4"/>
      <c r="BL257" s="4"/>
      <c r="BM257" s="4"/>
      <c r="BN257" s="4"/>
      <c r="BO257" s="4"/>
      <c r="BP257" s="4"/>
      <c r="BQ257" s="5"/>
      <c r="BR257" s="25"/>
      <c r="BS257" s="5"/>
    </row>
    <row r="258" spans="1:71" s="3" customFormat="1" x14ac:dyDescent="0.25">
      <c r="A258" s="5"/>
      <c r="B258" s="3" t="str">
        <f t="array" ref="B258">IFERROR(INDEX(DemandSupply,MATCH(INDEX($AH$1:AH258,SMALL(ROW($AH$1:AH258)+(10000*($AH$1:AH258="")),COUNTA($AH$1:AH258))),Sectors,0)),"")</f>
        <v>Demand</v>
      </c>
      <c r="E258" s="10"/>
      <c r="F258" s="207"/>
      <c r="G258" s="207"/>
      <c r="H258" s="207"/>
      <c r="I258" s="207"/>
      <c r="J258" s="207"/>
      <c r="K258" s="207"/>
      <c r="L258" s="207"/>
      <c r="M258" s="207"/>
      <c r="N258" s="207"/>
      <c r="O258" s="207"/>
      <c r="P258" s="207"/>
      <c r="Q258" s="207"/>
      <c r="R258" s="207"/>
      <c r="S258" s="207"/>
      <c r="T258" s="207"/>
      <c r="U258" s="207"/>
      <c r="V258" s="207"/>
      <c r="W258" s="207"/>
      <c r="X258" s="207"/>
      <c r="Y258" s="207"/>
      <c r="Z258" s="207"/>
      <c r="AA258" s="207"/>
      <c r="AB258" s="207"/>
      <c r="AC258" s="5"/>
      <c r="AD258" s="63"/>
      <c r="AE258" s="64"/>
      <c r="AF258" s="64"/>
      <c r="AG258" s="212"/>
      <c r="AH258" s="64"/>
      <c r="AI258" s="64"/>
      <c r="AJ258" s="64"/>
      <c r="AK258" s="212"/>
      <c r="AL258" s="64"/>
      <c r="AM258" s="212"/>
      <c r="AN258" s="64"/>
      <c r="AO258" s="64"/>
      <c r="AP258" s="227"/>
      <c r="AQ258" s="64"/>
      <c r="AR258" s="63"/>
      <c r="AS258" s="64"/>
      <c r="AT258" s="63"/>
      <c r="AU258" s="64"/>
      <c r="AV258" s="63"/>
      <c r="AW258" s="64"/>
      <c r="AX258" s="63"/>
      <c r="AY258" s="5"/>
      <c r="AZ258" s="21" t="str">
        <f t="shared" si="55"/>
        <v/>
      </c>
      <c r="BA258" s="264" t="s">
        <v>38</v>
      </c>
      <c r="BB258" s="264"/>
      <c r="BC258" s="264"/>
      <c r="BD258" s="264" t="s">
        <v>40</v>
      </c>
      <c r="BE258" s="216" t="s">
        <v>33</v>
      </c>
      <c r="BF258" s="309">
        <v>2000</v>
      </c>
      <c r="BG258" s="310">
        <f t="shared" ref="BG258:BP258" si="64">BF258</f>
        <v>2000</v>
      </c>
      <c r="BH258" s="310">
        <f t="shared" si="64"/>
        <v>2000</v>
      </c>
      <c r="BI258" s="310">
        <f t="shared" si="64"/>
        <v>2000</v>
      </c>
      <c r="BJ258" s="310">
        <f t="shared" si="64"/>
        <v>2000</v>
      </c>
      <c r="BK258" s="310">
        <f t="shared" si="64"/>
        <v>2000</v>
      </c>
      <c r="BL258" s="310">
        <f t="shared" si="64"/>
        <v>2000</v>
      </c>
      <c r="BM258" s="310">
        <f t="shared" si="64"/>
        <v>2000</v>
      </c>
      <c r="BN258" s="310">
        <f t="shared" si="64"/>
        <v>2000</v>
      </c>
      <c r="BO258" s="310">
        <f t="shared" si="64"/>
        <v>2000</v>
      </c>
      <c r="BP258" s="310">
        <f t="shared" si="64"/>
        <v>2000</v>
      </c>
      <c r="BQ258" s="5"/>
      <c r="BR258" s="25"/>
      <c r="BS258" s="5"/>
    </row>
    <row r="259" spans="1:71" s="3" customFormat="1" x14ac:dyDescent="0.25">
      <c r="A259" s="5"/>
      <c r="B259" s="3" t="str">
        <f t="array" ref="B259">IFERROR(INDEX(DemandSupply,MATCH(INDEX($AH$1:AH259,SMALL(ROW($AH$1:AH259)+(10000*($AH$1:AH259="")),COUNTA($AH$1:AH259))),Sectors,0)),"")</f>
        <v>Demand</v>
      </c>
      <c r="E259" s="10"/>
      <c r="F259" s="207"/>
      <c r="G259" s="207"/>
      <c r="H259" s="207"/>
      <c r="I259" s="207"/>
      <c r="J259" s="207"/>
      <c r="K259" s="207"/>
      <c r="L259" s="207"/>
      <c r="M259" s="207"/>
      <c r="N259" s="207"/>
      <c r="O259" s="207"/>
      <c r="P259" s="207"/>
      <c r="Q259" s="207"/>
      <c r="R259" s="207"/>
      <c r="S259" s="207"/>
      <c r="T259" s="207"/>
      <c r="U259" s="207"/>
      <c r="V259" s="207"/>
      <c r="W259" s="207"/>
      <c r="X259" s="207"/>
      <c r="Y259" s="207"/>
      <c r="Z259" s="207"/>
      <c r="AA259" s="207"/>
      <c r="AB259" s="207"/>
      <c r="AC259" s="5"/>
      <c r="AD259" s="63"/>
      <c r="AE259" s="64"/>
      <c r="AF259" s="64"/>
      <c r="AG259" s="212"/>
      <c r="AH259" s="64"/>
      <c r="AI259" s="64"/>
      <c r="AJ259" s="64"/>
      <c r="AK259" s="212"/>
      <c r="AL259" s="64"/>
      <c r="AM259" s="212"/>
      <c r="AN259" s="64"/>
      <c r="AO259" s="64"/>
      <c r="AP259" s="227"/>
      <c r="AQ259" s="64"/>
      <c r="AR259" s="63"/>
      <c r="AS259" s="64"/>
      <c r="AT259" s="63"/>
      <c r="AU259" s="64"/>
      <c r="AV259" s="63"/>
      <c r="AW259" s="64"/>
      <c r="AX259" s="63"/>
      <c r="AY259" s="5"/>
      <c r="AZ259" s="21" t="str">
        <f t="shared" si="55"/>
        <v/>
      </c>
      <c r="BA259" s="264" t="s">
        <v>37</v>
      </c>
      <c r="BB259" s="264"/>
      <c r="BC259" s="264"/>
      <c r="BD259" s="264" t="s">
        <v>40</v>
      </c>
      <c r="BE259" s="216" t="s">
        <v>33</v>
      </c>
      <c r="BF259" s="309">
        <v>2100</v>
      </c>
      <c r="BG259" s="310">
        <f t="shared" ref="BG259:BP259" si="65">BF259</f>
        <v>2100</v>
      </c>
      <c r="BH259" s="310">
        <f t="shared" si="65"/>
        <v>2100</v>
      </c>
      <c r="BI259" s="310">
        <f t="shared" si="65"/>
        <v>2100</v>
      </c>
      <c r="BJ259" s="310">
        <f t="shared" si="65"/>
        <v>2100</v>
      </c>
      <c r="BK259" s="310">
        <f t="shared" si="65"/>
        <v>2100</v>
      </c>
      <c r="BL259" s="310">
        <f t="shared" si="65"/>
        <v>2100</v>
      </c>
      <c r="BM259" s="310">
        <f t="shared" si="65"/>
        <v>2100</v>
      </c>
      <c r="BN259" s="310">
        <f t="shared" si="65"/>
        <v>2100</v>
      </c>
      <c r="BO259" s="310">
        <f t="shared" si="65"/>
        <v>2100</v>
      </c>
      <c r="BP259" s="310">
        <f t="shared" si="65"/>
        <v>2100</v>
      </c>
      <c r="BQ259" s="5"/>
      <c r="BR259" s="25"/>
      <c r="BS259" s="5"/>
    </row>
    <row r="260" spans="1:71" s="3" customFormat="1" x14ac:dyDescent="0.25">
      <c r="A260" s="5"/>
      <c r="B260" s="3" t="str">
        <f t="array" ref="B260">IFERROR(INDEX(DemandSupply,MATCH(INDEX($AH$1:AH260,SMALL(ROW($AH$1:AH260)+(10000*($AH$1:AH260="")),COUNTA($AH$1:AH260))),Sectors,0)),"")</f>
        <v>Demand</v>
      </c>
      <c r="E260" s="10"/>
      <c r="F260" s="207"/>
      <c r="G260" s="207"/>
      <c r="H260" s="207"/>
      <c r="I260" s="207"/>
      <c r="J260" s="207"/>
      <c r="K260" s="207"/>
      <c r="L260" s="207"/>
      <c r="M260" s="207"/>
      <c r="N260" s="207"/>
      <c r="O260" s="207"/>
      <c r="P260" s="207"/>
      <c r="Q260" s="207"/>
      <c r="R260" s="207"/>
      <c r="S260" s="207"/>
      <c r="T260" s="207"/>
      <c r="U260" s="207"/>
      <c r="V260" s="207"/>
      <c r="W260" s="207"/>
      <c r="X260" s="207"/>
      <c r="Y260" s="207"/>
      <c r="Z260" s="207"/>
      <c r="AA260" s="207"/>
      <c r="AB260" s="207"/>
      <c r="AC260" s="5"/>
      <c r="AD260" s="63"/>
      <c r="AE260" s="64"/>
      <c r="AF260" s="64"/>
      <c r="AG260" s="212"/>
      <c r="AH260" s="64"/>
      <c r="AI260" s="64"/>
      <c r="AJ260" s="64"/>
      <c r="AK260" s="212"/>
      <c r="AL260" s="64"/>
      <c r="AM260" s="212"/>
      <c r="AN260" s="64"/>
      <c r="AO260" s="64"/>
      <c r="AP260" s="227"/>
      <c r="AQ260" s="64"/>
      <c r="AR260" s="63"/>
      <c r="AS260" s="64"/>
      <c r="AT260" s="63"/>
      <c r="AU260" s="64"/>
      <c r="AV260" s="63"/>
      <c r="AW260" s="64"/>
      <c r="AX260" s="63"/>
      <c r="AY260" s="5"/>
      <c r="AZ260" s="21" t="str">
        <f t="shared" si="55"/>
        <v/>
      </c>
      <c r="BA260" s="264" t="s">
        <v>39</v>
      </c>
      <c r="BB260" s="264"/>
      <c r="BC260" s="264"/>
      <c r="BD260" s="264" t="s">
        <v>10</v>
      </c>
      <c r="BE260" s="216" t="s">
        <v>33</v>
      </c>
      <c r="BF260" s="56"/>
      <c r="BG260" s="56"/>
      <c r="BH260" s="56"/>
      <c r="BI260" s="56"/>
      <c r="BJ260" s="56"/>
      <c r="BK260" s="56"/>
      <c r="BL260" s="56"/>
      <c r="BM260" s="56"/>
      <c r="BN260" s="56"/>
      <c r="BO260" s="56"/>
      <c r="BP260" s="56"/>
      <c r="BQ260" s="5"/>
      <c r="BR260" s="25"/>
      <c r="BS260" s="5"/>
    </row>
    <row r="261" spans="1:71" s="3" customFormat="1" x14ac:dyDescent="0.25">
      <c r="A261" s="5"/>
      <c r="B261" s="3" t="str">
        <f t="array" ref="B261">IFERROR(INDEX(DemandSupply,MATCH(INDEX($AH$1:AH261,SMALL(ROW($AH$1:AH261)+(10000*($AH$1:AH261="")),COUNTA($AH$1:AH261))),Sectors,0)),"")</f>
        <v>Demand</v>
      </c>
      <c r="E261" s="10"/>
      <c r="F261" s="207"/>
      <c r="G261" s="207"/>
      <c r="H261" s="207"/>
      <c r="I261" s="207"/>
      <c r="J261" s="207"/>
      <c r="K261" s="207"/>
      <c r="L261" s="207"/>
      <c r="M261" s="207"/>
      <c r="N261" s="207"/>
      <c r="O261" s="207"/>
      <c r="P261" s="207"/>
      <c r="Q261" s="207"/>
      <c r="R261" s="207"/>
      <c r="S261" s="207"/>
      <c r="T261" s="207"/>
      <c r="U261" s="207"/>
      <c r="V261" s="207"/>
      <c r="W261" s="207"/>
      <c r="X261" s="207"/>
      <c r="Y261" s="207"/>
      <c r="Z261" s="207"/>
      <c r="AA261" s="207"/>
      <c r="AB261" s="207"/>
      <c r="AC261" s="5"/>
      <c r="AD261" s="63"/>
      <c r="AE261" s="64"/>
      <c r="AF261" s="64"/>
      <c r="AG261" s="212"/>
      <c r="AH261" s="64"/>
      <c r="AI261" s="64"/>
      <c r="AJ261" s="64"/>
      <c r="AK261" s="212"/>
      <c r="AL261" s="64"/>
      <c r="AM261" s="212"/>
      <c r="AN261" s="64"/>
      <c r="AO261" s="64"/>
      <c r="AP261" s="227"/>
      <c r="AQ261" s="64"/>
      <c r="AR261" s="63"/>
      <c r="AS261" s="64"/>
      <c r="AT261" s="63"/>
      <c r="AU261" s="64"/>
      <c r="AV261" s="63"/>
      <c r="AW261" s="64"/>
      <c r="AX261" s="63"/>
      <c r="AY261" s="5"/>
      <c r="AZ261" s="21" t="str">
        <f t="shared" si="55"/>
        <v/>
      </c>
      <c r="BA261" s="264" t="s">
        <v>395</v>
      </c>
      <c r="BB261" s="264"/>
      <c r="BC261" s="264"/>
      <c r="BD261" s="264" t="s">
        <v>10</v>
      </c>
      <c r="BE261" s="216" t="s">
        <v>33</v>
      </c>
      <c r="BF261" s="56"/>
      <c r="BG261" s="56"/>
      <c r="BH261" s="56"/>
      <c r="BI261" s="56"/>
      <c r="BJ261" s="56"/>
      <c r="BK261" s="56"/>
      <c r="BL261" s="56"/>
      <c r="BM261" s="56"/>
      <c r="BN261" s="56"/>
      <c r="BO261" s="56"/>
      <c r="BP261" s="56"/>
      <c r="BQ261" s="5"/>
      <c r="BR261" s="25"/>
      <c r="BS261" s="5"/>
    </row>
    <row r="262" spans="1:71" s="3" customFormat="1" x14ac:dyDescent="0.25">
      <c r="A262" s="5"/>
      <c r="B262" s="3" t="str">
        <f t="array" ref="B262">IFERROR(INDEX(DemandSupply,MATCH(INDEX($AH$1:AH262,SMALL(ROW($AH$1:AH262)+(10000*($AH$1:AH262="")),COUNTA($AH$1:AH262))),Sectors,0)),"")</f>
        <v>Demand</v>
      </c>
      <c r="E262" s="10"/>
      <c r="F262" s="207"/>
      <c r="G262" s="207"/>
      <c r="H262" s="207"/>
      <c r="I262" s="207"/>
      <c r="J262" s="207"/>
      <c r="K262" s="207"/>
      <c r="L262" s="207"/>
      <c r="M262" s="207"/>
      <c r="N262" s="207"/>
      <c r="O262" s="207"/>
      <c r="P262" s="207"/>
      <c r="Q262" s="207"/>
      <c r="R262" s="207"/>
      <c r="S262" s="207"/>
      <c r="T262" s="207"/>
      <c r="U262" s="207"/>
      <c r="V262" s="207"/>
      <c r="W262" s="207"/>
      <c r="X262" s="207"/>
      <c r="Y262" s="207"/>
      <c r="Z262" s="207"/>
      <c r="AA262" s="207"/>
      <c r="AB262" s="207"/>
      <c r="AC262" s="5"/>
      <c r="AD262" s="63"/>
      <c r="AE262" s="64"/>
      <c r="AF262" s="64"/>
      <c r="AG262" s="212"/>
      <c r="AH262" s="64"/>
      <c r="AI262" s="64"/>
      <c r="AJ262" s="64"/>
      <c r="AK262" s="212"/>
      <c r="AL262" s="64"/>
      <c r="AM262" s="212"/>
      <c r="AN262" s="64"/>
      <c r="AO262" s="64"/>
      <c r="AP262" s="227"/>
      <c r="AQ262" s="64"/>
      <c r="AR262" s="63"/>
      <c r="AS262" s="64"/>
      <c r="AT262" s="63"/>
      <c r="AU262" s="64"/>
      <c r="AV262" s="63"/>
      <c r="AW262" s="64"/>
      <c r="AX262" s="63"/>
      <c r="AY262" s="5"/>
      <c r="AZ262" s="21" t="str">
        <f t="shared" si="55"/>
        <v/>
      </c>
      <c r="BA262" s="264" t="s">
        <v>341</v>
      </c>
      <c r="BB262" s="264"/>
      <c r="BC262" s="264"/>
      <c r="BD262" s="264" t="s">
        <v>99</v>
      </c>
      <c r="BE262" s="216" t="s">
        <v>33</v>
      </c>
      <c r="BF262" s="303"/>
      <c r="BG262" s="303"/>
      <c r="BH262" s="303"/>
      <c r="BI262" s="303"/>
      <c r="BJ262" s="303"/>
      <c r="BK262" s="303"/>
      <c r="BL262" s="303"/>
      <c r="BM262" s="303"/>
      <c r="BN262" s="303"/>
      <c r="BO262" s="303"/>
      <c r="BP262" s="303"/>
      <c r="BQ262" s="5"/>
      <c r="BR262" s="25"/>
      <c r="BS262" s="5"/>
    </row>
    <row r="263" spans="1:71" s="3" customFormat="1" x14ac:dyDescent="0.25">
      <c r="A263" s="5"/>
      <c r="B263" s="3" t="str">
        <f t="array" ref="B263">IFERROR(INDEX(DemandSupply,MATCH(INDEX($AH$1:AH263,SMALL(ROW($AH$1:AH263)+(10000*($AH$1:AH263="")),COUNTA($AH$1:AH263))),Sectors,0)),"")</f>
        <v>Demand</v>
      </c>
      <c r="E263" s="10"/>
      <c r="F263" s="207"/>
      <c r="G263" s="207"/>
      <c r="H263" s="207"/>
      <c r="I263" s="207"/>
      <c r="J263" s="207"/>
      <c r="K263" s="207"/>
      <c r="L263" s="207"/>
      <c r="M263" s="207"/>
      <c r="N263" s="207"/>
      <c r="O263" s="207"/>
      <c r="P263" s="207"/>
      <c r="Q263" s="207"/>
      <c r="R263" s="207"/>
      <c r="S263" s="207"/>
      <c r="T263" s="207"/>
      <c r="U263" s="207"/>
      <c r="V263" s="207"/>
      <c r="W263" s="207"/>
      <c r="X263" s="207"/>
      <c r="Y263" s="207"/>
      <c r="Z263" s="207"/>
      <c r="AA263" s="207"/>
      <c r="AB263" s="207"/>
      <c r="AC263" s="5"/>
      <c r="AD263" s="63"/>
      <c r="AE263" s="64"/>
      <c r="AF263" s="64"/>
      <c r="AG263" s="212"/>
      <c r="AH263" s="64"/>
      <c r="AI263" s="64"/>
      <c r="AJ263" s="64"/>
      <c r="AK263" s="212"/>
      <c r="AL263" s="64"/>
      <c r="AM263" s="212"/>
      <c r="AN263" s="64"/>
      <c r="AO263" s="64"/>
      <c r="AP263" s="227"/>
      <c r="AQ263" s="64"/>
      <c r="AR263" s="63"/>
      <c r="AS263" s="64"/>
      <c r="AT263" s="63"/>
      <c r="AU263" s="64"/>
      <c r="AV263" s="63"/>
      <c r="AW263" s="64"/>
      <c r="AX263" s="63"/>
      <c r="AY263" s="5"/>
      <c r="AZ263" s="21" t="str">
        <f t="shared" si="55"/>
        <v/>
      </c>
      <c r="BA263" s="264" t="s">
        <v>392</v>
      </c>
      <c r="BB263" s="264"/>
      <c r="BC263" s="264"/>
      <c r="BD263" s="264" t="s">
        <v>99</v>
      </c>
      <c r="BE263" s="216" t="s">
        <v>33</v>
      </c>
      <c r="BF263" s="303"/>
      <c r="BG263" s="303"/>
      <c r="BH263" s="303"/>
      <c r="BI263" s="303"/>
      <c r="BJ263" s="303"/>
      <c r="BK263" s="303"/>
      <c r="BL263" s="303"/>
      <c r="BM263" s="303"/>
      <c r="BN263" s="303"/>
      <c r="BO263" s="303"/>
      <c r="BP263" s="303"/>
      <c r="BQ263" s="5"/>
      <c r="BR263" s="25"/>
      <c r="BS263" s="5"/>
    </row>
    <row r="264" spans="1:71" s="3" customFormat="1" x14ac:dyDescent="0.25">
      <c r="A264" s="5"/>
      <c r="B264" s="3" t="str">
        <f t="array" ref="B264">IFERROR(INDEX(DemandSupply,MATCH(INDEX($AH$1:AH264,SMALL(ROW($AH$1:AH264)+(10000*($AH$1:AH264="")),COUNTA($AH$1:AH264))),Sectors,0)),"")</f>
        <v>Demand</v>
      </c>
      <c r="E264" s="10"/>
      <c r="F264" s="207"/>
      <c r="G264" s="207"/>
      <c r="H264" s="207"/>
      <c r="I264" s="207"/>
      <c r="J264" s="207"/>
      <c r="K264" s="207"/>
      <c r="L264" s="207"/>
      <c r="M264" s="207"/>
      <c r="N264" s="207"/>
      <c r="O264" s="207"/>
      <c r="P264" s="207"/>
      <c r="Q264" s="207"/>
      <c r="R264" s="207"/>
      <c r="S264" s="207"/>
      <c r="T264" s="207"/>
      <c r="U264" s="207"/>
      <c r="V264" s="207"/>
      <c r="W264" s="207"/>
      <c r="X264" s="207"/>
      <c r="Y264" s="207"/>
      <c r="Z264" s="207"/>
      <c r="AA264" s="207"/>
      <c r="AB264" s="207"/>
      <c r="AC264" s="5"/>
      <c r="AD264" s="63"/>
      <c r="AE264" s="64"/>
      <c r="AF264" s="64"/>
      <c r="AG264" s="212"/>
      <c r="AH264" s="64"/>
      <c r="AI264" s="64"/>
      <c r="AJ264" s="64"/>
      <c r="AK264" s="212"/>
      <c r="AL264" s="64"/>
      <c r="AM264" s="212"/>
      <c r="AN264" s="64"/>
      <c r="AO264" s="64"/>
      <c r="AP264" s="227"/>
      <c r="AQ264" s="64"/>
      <c r="AR264" s="63"/>
      <c r="AS264" s="64"/>
      <c r="AT264" s="63"/>
      <c r="AU264" s="64"/>
      <c r="AV264" s="63"/>
      <c r="AW264" s="64"/>
      <c r="AX264" s="63"/>
      <c r="AY264" s="5"/>
      <c r="AZ264" s="21" t="str">
        <f t="shared" si="55"/>
        <v/>
      </c>
      <c r="BA264" s="264" t="s">
        <v>391</v>
      </c>
      <c r="BB264" s="264"/>
      <c r="BC264" s="264"/>
      <c r="BD264" s="264" t="s">
        <v>99</v>
      </c>
      <c r="BE264" s="216" t="s">
        <v>33</v>
      </c>
      <c r="BF264" s="303"/>
      <c r="BG264" s="303"/>
      <c r="BH264" s="303"/>
      <c r="BI264" s="303"/>
      <c r="BJ264" s="303"/>
      <c r="BK264" s="303"/>
      <c r="BL264" s="303"/>
      <c r="BM264" s="303"/>
      <c r="BN264" s="303"/>
      <c r="BO264" s="303"/>
      <c r="BP264" s="303"/>
      <c r="BQ264" s="5"/>
      <c r="BR264" s="25"/>
      <c r="BS264" s="5"/>
    </row>
    <row r="265" spans="1:71" s="3" customFormat="1" x14ac:dyDescent="0.25">
      <c r="A265" s="5"/>
      <c r="B265" s="3" t="str">
        <f t="array" ref="B265">IFERROR(INDEX(DemandSupply,MATCH(INDEX($AH$1:AH265,SMALL(ROW($AH$1:AH265)+(10000*($AH$1:AH265="")),COUNTA($AH$1:AH265))),Sectors,0)),"")</f>
        <v>Demand</v>
      </c>
      <c r="E265" s="10"/>
      <c r="F265" s="207"/>
      <c r="G265" s="207"/>
      <c r="H265" s="207"/>
      <c r="I265" s="207"/>
      <c r="J265" s="207"/>
      <c r="K265" s="207"/>
      <c r="L265" s="207"/>
      <c r="M265" s="207"/>
      <c r="N265" s="207"/>
      <c r="O265" s="207"/>
      <c r="P265" s="207"/>
      <c r="Q265" s="207"/>
      <c r="R265" s="207"/>
      <c r="S265" s="207"/>
      <c r="T265" s="207"/>
      <c r="U265" s="207"/>
      <c r="V265" s="207"/>
      <c r="W265" s="207"/>
      <c r="X265" s="207"/>
      <c r="Y265" s="207"/>
      <c r="Z265" s="207"/>
      <c r="AA265" s="207"/>
      <c r="AB265" s="207"/>
      <c r="AC265" s="5"/>
      <c r="AD265" s="63"/>
      <c r="AE265" s="64"/>
      <c r="AF265" s="64"/>
      <c r="AG265" s="212"/>
      <c r="AH265" s="64"/>
      <c r="AI265" s="64"/>
      <c r="AJ265" s="64"/>
      <c r="AK265" s="212"/>
      <c r="AL265" s="64"/>
      <c r="AM265" s="212"/>
      <c r="AN265" s="64"/>
      <c r="AO265" s="64"/>
      <c r="AP265" s="227"/>
      <c r="AQ265" s="64"/>
      <c r="AR265" s="63"/>
      <c r="AS265" s="64"/>
      <c r="AT265" s="63"/>
      <c r="AU265" s="64"/>
      <c r="AV265" s="63"/>
      <c r="AW265" s="64"/>
      <c r="AX265" s="63"/>
      <c r="AY265" s="5"/>
      <c r="AZ265" s="21" t="str">
        <f t="shared" si="55"/>
        <v/>
      </c>
      <c r="BA265" s="264" t="s">
        <v>144</v>
      </c>
      <c r="BB265" s="264"/>
      <c r="BC265" s="264"/>
      <c r="BD265" s="264" t="s">
        <v>34</v>
      </c>
      <c r="BE265" s="216" t="s">
        <v>33</v>
      </c>
      <c r="BF265" s="56"/>
      <c r="BG265" s="56"/>
      <c r="BH265" s="56"/>
      <c r="BI265" s="56"/>
      <c r="BJ265" s="56"/>
      <c r="BK265" s="56"/>
      <c r="BL265" s="56"/>
      <c r="BM265" s="56"/>
      <c r="BN265" s="56"/>
      <c r="BO265" s="56"/>
      <c r="BP265" s="56"/>
      <c r="BQ265" s="5"/>
      <c r="BR265" s="25"/>
      <c r="BS265" s="5"/>
    </row>
    <row r="266" spans="1:71" s="3" customFormat="1" x14ac:dyDescent="0.25">
      <c r="A266" s="5"/>
      <c r="B266" s="3" t="str">
        <f t="array" ref="B266">IFERROR(INDEX(DemandSupply,MATCH(INDEX($AH$1:AH266,SMALL(ROW($AH$1:AH266)+(10000*($AH$1:AH266="")),COUNTA($AH$1:AH266))),Sectors,0)),"")</f>
        <v>Demand</v>
      </c>
      <c r="E266" s="10"/>
      <c r="F266" s="207"/>
      <c r="G266" s="207"/>
      <c r="H266" s="207"/>
      <c r="I266" s="207"/>
      <c r="J266" s="207"/>
      <c r="K266" s="207"/>
      <c r="L266" s="207"/>
      <c r="M266" s="207"/>
      <c r="N266" s="207"/>
      <c r="O266" s="207"/>
      <c r="P266" s="207"/>
      <c r="Q266" s="207"/>
      <c r="R266" s="207"/>
      <c r="S266" s="207"/>
      <c r="T266" s="207"/>
      <c r="U266" s="207"/>
      <c r="V266" s="207"/>
      <c r="W266" s="207"/>
      <c r="X266" s="207"/>
      <c r="Y266" s="207"/>
      <c r="Z266" s="207"/>
      <c r="AA266" s="207"/>
      <c r="AB266" s="207"/>
      <c r="AC266" s="5"/>
      <c r="AD266" s="63"/>
      <c r="AE266" s="64"/>
      <c r="AF266" s="64"/>
      <c r="AG266" s="212"/>
      <c r="AH266" s="64"/>
      <c r="AI266" s="64"/>
      <c r="AJ266" s="64"/>
      <c r="AK266" s="212"/>
      <c r="AL266" s="64"/>
      <c r="AM266" s="212"/>
      <c r="AN266" s="64"/>
      <c r="AO266" s="64"/>
      <c r="AP266" s="227"/>
      <c r="AQ266" s="64"/>
      <c r="AR266" s="63"/>
      <c r="AS266" s="64"/>
      <c r="AT266" s="63"/>
      <c r="AU266" s="64"/>
      <c r="AV266" s="63"/>
      <c r="AW266" s="64"/>
      <c r="AX266" s="63"/>
      <c r="AY266" s="5"/>
      <c r="AZ266" s="21" t="str">
        <f t="shared" si="55"/>
        <v/>
      </c>
      <c r="BA266" s="264" t="s">
        <v>76</v>
      </c>
      <c r="BB266" s="264"/>
      <c r="BC266" s="264"/>
      <c r="BD266" s="264" t="s">
        <v>99</v>
      </c>
      <c r="BE266" s="216" t="s">
        <v>33</v>
      </c>
      <c r="BF266" s="303">
        <v>0.99399999999999999</v>
      </c>
      <c r="BG266" s="303"/>
      <c r="BH266" s="303"/>
      <c r="BI266" s="303"/>
      <c r="BJ266" s="303"/>
      <c r="BK266" s="303"/>
      <c r="BL266" s="303"/>
      <c r="BM266" s="303"/>
      <c r="BN266" s="303"/>
      <c r="BO266" s="303"/>
      <c r="BP266" s="303"/>
      <c r="BQ266" s="5"/>
      <c r="BR266" s="25"/>
      <c r="BS266" s="5"/>
    </row>
    <row r="267" spans="1:71" s="3" customFormat="1" x14ac:dyDescent="0.25">
      <c r="A267" s="5"/>
      <c r="B267" s="3" t="str">
        <f t="array" ref="B267">IFERROR(INDEX(DemandSupply,MATCH(INDEX($AH$1:AH267,SMALL(ROW($AH$1:AH267)+(10000*($AH$1:AH267="")),COUNTA($AH$1:AH267))),Sectors,0)),"")</f>
        <v>Demand</v>
      </c>
      <c r="E267" s="10"/>
      <c r="F267" s="207"/>
      <c r="G267" s="207"/>
      <c r="H267" s="207"/>
      <c r="I267" s="207"/>
      <c r="J267" s="207"/>
      <c r="K267" s="207"/>
      <c r="L267" s="207"/>
      <c r="M267" s="207"/>
      <c r="N267" s="207"/>
      <c r="O267" s="207"/>
      <c r="P267" s="207"/>
      <c r="Q267" s="207"/>
      <c r="R267" s="207"/>
      <c r="S267" s="207"/>
      <c r="T267" s="207"/>
      <c r="U267" s="207"/>
      <c r="V267" s="207"/>
      <c r="W267" s="207"/>
      <c r="X267" s="207"/>
      <c r="Y267" s="207"/>
      <c r="Z267" s="207"/>
      <c r="AA267" s="207"/>
      <c r="AB267" s="207"/>
      <c r="AC267" s="5"/>
      <c r="AD267" s="63"/>
      <c r="AE267" s="64"/>
      <c r="AF267" s="64"/>
      <c r="AG267" s="212"/>
      <c r="AH267" s="64"/>
      <c r="AI267" s="64"/>
      <c r="AJ267" s="64"/>
      <c r="AK267" s="212"/>
      <c r="AL267" s="64"/>
      <c r="AM267" s="212"/>
      <c r="AN267" s="64"/>
      <c r="AO267" s="64"/>
      <c r="AP267" s="227"/>
      <c r="AQ267" s="64"/>
      <c r="AR267" s="63"/>
      <c r="AS267" s="64"/>
      <c r="AT267" s="63"/>
      <c r="AU267" s="64"/>
      <c r="AV267" s="63"/>
      <c r="AW267" s="64"/>
      <c r="AX267" s="63"/>
      <c r="AY267" s="5"/>
      <c r="AZ267" s="21" t="str">
        <f t="shared" si="55"/>
        <v/>
      </c>
      <c r="BA267" s="75" t="s">
        <v>166</v>
      </c>
      <c r="BB267" s="75"/>
      <c r="BC267" s="270"/>
      <c r="BD267" s="75" t="s">
        <v>99</v>
      </c>
      <c r="BE267" s="216" t="s">
        <v>33</v>
      </c>
      <c r="BF267" s="303"/>
      <c r="BG267" s="303"/>
      <c r="BH267" s="303"/>
      <c r="BI267" s="303"/>
      <c r="BJ267" s="303"/>
      <c r="BK267" s="303"/>
      <c r="BL267" s="303"/>
      <c r="BM267" s="303"/>
      <c r="BN267" s="303"/>
      <c r="BO267" s="303"/>
      <c r="BP267" s="303"/>
      <c r="BQ267" s="5"/>
      <c r="BR267" s="25"/>
      <c r="BS267" s="5"/>
    </row>
    <row r="268" spans="1:71" s="3" customFormat="1" x14ac:dyDescent="0.25">
      <c r="A268" s="5"/>
      <c r="B268" s="3" t="str">
        <f t="array" ref="B268">IFERROR(INDEX(DemandSupply,MATCH(INDEX($AH$1:AH268,SMALL(ROW($AH$1:AH268)+(10000*($AH$1:AH268="")),COUNTA($AH$1:AH268))),Sectors,0)),"")</f>
        <v>Demand</v>
      </c>
      <c r="E268" s="10"/>
      <c r="F268" s="207"/>
      <c r="G268" s="207"/>
      <c r="H268" s="207"/>
      <c r="I268" s="207"/>
      <c r="J268" s="207"/>
      <c r="K268" s="207"/>
      <c r="L268" s="207"/>
      <c r="M268" s="207"/>
      <c r="N268" s="207"/>
      <c r="O268" s="207"/>
      <c r="P268" s="207"/>
      <c r="Q268" s="207"/>
      <c r="R268" s="207"/>
      <c r="S268" s="207"/>
      <c r="T268" s="207"/>
      <c r="U268" s="207"/>
      <c r="V268" s="207"/>
      <c r="W268" s="207"/>
      <c r="X268" s="207"/>
      <c r="Y268" s="207"/>
      <c r="Z268" s="207"/>
      <c r="AA268" s="207"/>
      <c r="AB268" s="207"/>
      <c r="AC268" s="5"/>
      <c r="AD268" s="63"/>
      <c r="AE268" s="64"/>
      <c r="AF268" s="64"/>
      <c r="AG268" s="212"/>
      <c r="AH268" s="64"/>
      <c r="AI268" s="64"/>
      <c r="AJ268" s="64"/>
      <c r="AK268" s="212"/>
      <c r="AL268" s="64"/>
      <c r="AM268" s="212"/>
      <c r="AN268" s="64"/>
      <c r="AO268" s="64"/>
      <c r="AP268" s="227"/>
      <c r="AQ268" s="64"/>
      <c r="AR268" s="63"/>
      <c r="AS268" s="64"/>
      <c r="AT268" s="63"/>
      <c r="AU268" s="64"/>
      <c r="AV268" s="63"/>
      <c r="AW268" s="64"/>
      <c r="AX268" s="63"/>
      <c r="AY268" s="5"/>
      <c r="AZ268" s="21" t="str">
        <f t="shared" si="55"/>
        <v/>
      </c>
      <c r="BA268" s="75" t="s">
        <v>167</v>
      </c>
      <c r="BB268" s="75"/>
      <c r="BC268" s="270"/>
      <c r="BD268" s="75" t="s">
        <v>99</v>
      </c>
      <c r="BE268" s="216" t="s">
        <v>33</v>
      </c>
      <c r="BF268" s="303"/>
      <c r="BG268" s="303"/>
      <c r="BH268" s="303"/>
      <c r="BI268" s="303"/>
      <c r="BJ268" s="303"/>
      <c r="BK268" s="303"/>
      <c r="BL268" s="303"/>
      <c r="BM268" s="303"/>
      <c r="BN268" s="303"/>
      <c r="BO268" s="303"/>
      <c r="BP268" s="303"/>
      <c r="BQ268" s="5"/>
      <c r="BR268" s="25"/>
      <c r="BS268" s="5"/>
    </row>
    <row r="269" spans="1:71" s="3" customFormat="1" x14ac:dyDescent="0.25">
      <c r="A269" s="5"/>
      <c r="B269" s="3" t="str">
        <f t="array" ref="B269">IFERROR(INDEX(DemandSupply,MATCH(INDEX($AH$1:AH269,SMALL(ROW($AH$1:AH269)+(10000*($AH$1:AH269="")),COUNTA($AH$1:AH269))),Sectors,0)),"")</f>
        <v>Demand</v>
      </c>
      <c r="E269" s="10"/>
      <c r="F269" s="207"/>
      <c r="G269" s="207"/>
      <c r="H269" s="207"/>
      <c r="I269" s="207"/>
      <c r="J269" s="207"/>
      <c r="K269" s="207"/>
      <c r="L269" s="207"/>
      <c r="M269" s="207"/>
      <c r="N269" s="207"/>
      <c r="O269" s="207"/>
      <c r="P269" s="207"/>
      <c r="Q269" s="207"/>
      <c r="R269" s="207"/>
      <c r="S269" s="207"/>
      <c r="T269" s="207"/>
      <c r="U269" s="207"/>
      <c r="V269" s="207"/>
      <c r="W269" s="207"/>
      <c r="X269" s="207"/>
      <c r="Y269" s="207"/>
      <c r="Z269" s="207"/>
      <c r="AA269" s="207"/>
      <c r="AB269" s="207"/>
      <c r="AC269" s="5"/>
      <c r="AD269" s="63"/>
      <c r="AE269" s="64"/>
      <c r="AF269" s="64"/>
      <c r="AG269" s="212"/>
      <c r="AH269" s="64"/>
      <c r="AI269" s="64"/>
      <c r="AJ269" s="64"/>
      <c r="AK269" s="212"/>
      <c r="AL269" s="64"/>
      <c r="AM269" s="212"/>
      <c r="AN269" s="64"/>
      <c r="AO269" s="64"/>
      <c r="AP269" s="227"/>
      <c r="AQ269" s="64"/>
      <c r="AR269" s="63"/>
      <c r="AS269" s="64"/>
      <c r="AT269" s="63"/>
      <c r="AU269" s="64"/>
      <c r="AV269" s="63"/>
      <c r="AW269" s="64"/>
      <c r="AX269" s="63"/>
      <c r="AY269" s="5"/>
      <c r="AZ269" s="21" t="str">
        <f t="shared" si="55"/>
        <v/>
      </c>
      <c r="BA269" s="75" t="s">
        <v>408</v>
      </c>
      <c r="BB269" s="75"/>
      <c r="BC269" s="270"/>
      <c r="BD269" s="75" t="s">
        <v>99</v>
      </c>
      <c r="BE269" s="216" t="s">
        <v>33</v>
      </c>
      <c r="BF269" s="303"/>
      <c r="BG269" s="303"/>
      <c r="BH269" s="303"/>
      <c r="BI269" s="303"/>
      <c r="BJ269" s="303"/>
      <c r="BK269" s="303"/>
      <c r="BL269" s="303"/>
      <c r="BM269" s="303"/>
      <c r="BN269" s="303"/>
      <c r="BO269" s="303"/>
      <c r="BP269" s="303"/>
      <c r="BQ269" s="5"/>
      <c r="BR269" s="25"/>
      <c r="BS269" s="5"/>
    </row>
    <row r="270" spans="1:71" s="3" customFormat="1" x14ac:dyDescent="0.25">
      <c r="A270" s="5"/>
      <c r="B270" s="3" t="str">
        <f t="array" ref="B270">IFERROR(INDEX(DemandSupply,MATCH(INDEX($AH$1:AH270,SMALL(ROW($AH$1:AH270)+(10000*($AH$1:AH270="")),COUNTA($AH$1:AH270))),Sectors,0)),"")</f>
        <v>Demand</v>
      </c>
      <c r="E270" s="10"/>
      <c r="F270" s="207"/>
      <c r="G270" s="207"/>
      <c r="H270" s="207"/>
      <c r="I270" s="207"/>
      <c r="J270" s="207"/>
      <c r="K270" s="207"/>
      <c r="L270" s="207"/>
      <c r="M270" s="207"/>
      <c r="N270" s="207"/>
      <c r="O270" s="207"/>
      <c r="P270" s="207"/>
      <c r="Q270" s="207"/>
      <c r="R270" s="207"/>
      <c r="S270" s="207"/>
      <c r="T270" s="207"/>
      <c r="U270" s="207"/>
      <c r="V270" s="207"/>
      <c r="W270" s="207"/>
      <c r="X270" s="207"/>
      <c r="Y270" s="207"/>
      <c r="Z270" s="207"/>
      <c r="AA270" s="207"/>
      <c r="AB270" s="207"/>
      <c r="AC270" s="5"/>
      <c r="AD270" s="63"/>
      <c r="AE270" s="64"/>
      <c r="AF270" s="64"/>
      <c r="AG270" s="212"/>
      <c r="AH270" s="64"/>
      <c r="AI270" s="64"/>
      <c r="AJ270" s="64"/>
      <c r="AK270" s="212"/>
      <c r="AL270" s="64"/>
      <c r="AM270" s="212"/>
      <c r="AN270" s="64"/>
      <c r="AO270" s="64"/>
      <c r="AP270" s="227"/>
      <c r="AQ270" s="64"/>
      <c r="AR270" s="63"/>
      <c r="AS270" s="64"/>
      <c r="AT270" s="63"/>
      <c r="AU270" s="64"/>
      <c r="AV270" s="63"/>
      <c r="AW270" s="64"/>
      <c r="AX270" s="63"/>
      <c r="AY270" s="5"/>
      <c r="AZ270" s="21" t="str">
        <f t="shared" si="55"/>
        <v/>
      </c>
      <c r="BA270" s="75" t="s">
        <v>409</v>
      </c>
      <c r="BB270" s="75"/>
      <c r="BC270" s="270"/>
      <c r="BD270" s="75" t="s">
        <v>99</v>
      </c>
      <c r="BE270" s="216" t="s">
        <v>33</v>
      </c>
      <c r="BF270" s="303"/>
      <c r="BG270" s="303"/>
      <c r="BH270" s="303"/>
      <c r="BI270" s="303"/>
      <c r="BJ270" s="303"/>
      <c r="BK270" s="303"/>
      <c r="BL270" s="303"/>
      <c r="BM270" s="303"/>
      <c r="BN270" s="303"/>
      <c r="BO270" s="303"/>
      <c r="BP270" s="303"/>
      <c r="BQ270" s="5"/>
      <c r="BR270" s="25"/>
      <c r="BS270" s="5"/>
    </row>
    <row r="271" spans="1:71" s="3" customFormat="1" x14ac:dyDescent="0.25">
      <c r="A271" s="5"/>
      <c r="B271" s="3" t="str">
        <f t="array" ref="B271">IFERROR(INDEX(DemandSupply,MATCH(INDEX($AH$1:AH271,SMALL(ROW($AH$1:AH271)+(10000*($AH$1:AH271="")),COUNTA($AH$1:AH271))),Sectors,0)),"")</f>
        <v>Demand</v>
      </c>
      <c r="E271" s="10"/>
      <c r="F271" s="207"/>
      <c r="G271" s="207"/>
      <c r="H271" s="207"/>
      <c r="I271" s="207"/>
      <c r="J271" s="207"/>
      <c r="K271" s="207"/>
      <c r="L271" s="207"/>
      <c r="M271" s="207"/>
      <c r="N271" s="207"/>
      <c r="O271" s="207"/>
      <c r="P271" s="207"/>
      <c r="Q271" s="207"/>
      <c r="R271" s="207"/>
      <c r="S271" s="207"/>
      <c r="T271" s="207"/>
      <c r="U271" s="207"/>
      <c r="V271" s="207"/>
      <c r="W271" s="207"/>
      <c r="X271" s="207"/>
      <c r="Y271" s="207"/>
      <c r="Z271" s="207"/>
      <c r="AA271" s="207"/>
      <c r="AB271" s="207"/>
      <c r="AC271" s="5"/>
      <c r="AD271" s="63"/>
      <c r="AE271" s="64"/>
      <c r="AF271" s="64"/>
      <c r="AG271" s="212"/>
      <c r="AH271" s="64"/>
      <c r="AI271" s="64"/>
      <c r="AJ271" s="64"/>
      <c r="AK271" s="212"/>
      <c r="AL271" s="64"/>
      <c r="AM271" s="212"/>
      <c r="AN271" s="64"/>
      <c r="AO271" s="64"/>
      <c r="AP271" s="227"/>
      <c r="AQ271" s="64"/>
      <c r="AR271" s="63"/>
      <c r="AS271" s="64"/>
      <c r="AT271" s="63"/>
      <c r="AU271" s="64"/>
      <c r="AV271" s="63"/>
      <c r="AW271" s="64"/>
      <c r="AX271" s="63"/>
      <c r="AY271" s="5"/>
      <c r="AZ271" s="21" t="str">
        <f t="shared" si="55"/>
        <v/>
      </c>
      <c r="BA271" s="264" t="s">
        <v>371</v>
      </c>
      <c r="BB271" s="264"/>
      <c r="BC271" s="264"/>
      <c r="BD271" s="264" t="s">
        <v>34</v>
      </c>
      <c r="BE271" s="216" t="s">
        <v>33</v>
      </c>
      <c r="BF271" s="56"/>
      <c r="BG271" s="56"/>
      <c r="BH271" s="56"/>
      <c r="BI271" s="56"/>
      <c r="BJ271" s="56"/>
      <c r="BK271" s="56"/>
      <c r="BL271" s="56"/>
      <c r="BM271" s="56"/>
      <c r="BN271" s="56"/>
      <c r="BO271" s="56"/>
      <c r="BP271" s="56"/>
      <c r="BQ271" s="5"/>
      <c r="BR271" s="25"/>
      <c r="BS271" s="5"/>
    </row>
    <row r="272" spans="1:71" s="3" customFormat="1" x14ac:dyDescent="0.25">
      <c r="A272" s="5"/>
      <c r="B272" s="3" t="str">
        <f t="array" ref="B272">IFERROR(INDEX(DemandSupply,MATCH(INDEX($AH$1:AH272,SMALL(ROW($AH$1:AH272)+(10000*($AH$1:AH272="")),COUNTA($AH$1:AH272))),Sectors,0)),"")</f>
        <v>Demand</v>
      </c>
      <c r="E272" s="10"/>
      <c r="F272" s="207"/>
      <c r="G272" s="207"/>
      <c r="H272" s="207"/>
      <c r="I272" s="207"/>
      <c r="J272" s="207"/>
      <c r="K272" s="207"/>
      <c r="L272" s="207"/>
      <c r="M272" s="207"/>
      <c r="N272" s="207"/>
      <c r="O272" s="207"/>
      <c r="P272" s="207"/>
      <c r="Q272" s="207"/>
      <c r="R272" s="207"/>
      <c r="S272" s="207"/>
      <c r="T272" s="207"/>
      <c r="U272" s="207"/>
      <c r="V272" s="207"/>
      <c r="W272" s="207"/>
      <c r="X272" s="207"/>
      <c r="Y272" s="207"/>
      <c r="Z272" s="207"/>
      <c r="AA272" s="207"/>
      <c r="AB272" s="207"/>
      <c r="AC272" s="5"/>
      <c r="AD272" s="63"/>
      <c r="AE272" s="64"/>
      <c r="AF272" s="64"/>
      <c r="AG272" s="212"/>
      <c r="AH272" s="64"/>
      <c r="AI272" s="64"/>
      <c r="AJ272" s="64"/>
      <c r="AK272" s="212"/>
      <c r="AL272" s="64"/>
      <c r="AM272" s="212"/>
      <c r="AN272" s="64"/>
      <c r="AO272" s="64"/>
      <c r="AP272" s="227"/>
      <c r="AQ272" s="64"/>
      <c r="AR272" s="63"/>
      <c r="AS272" s="64"/>
      <c r="AT272" s="63"/>
      <c r="AU272" s="64"/>
      <c r="AV272" s="63"/>
      <c r="AW272" s="64"/>
      <c r="AX272" s="63"/>
      <c r="AY272" s="5"/>
      <c r="AZ272" s="21" t="str">
        <f t="shared" si="55"/>
        <v/>
      </c>
      <c r="BA272" s="264" t="s">
        <v>170</v>
      </c>
      <c r="BB272" s="264"/>
      <c r="BC272" s="264"/>
      <c r="BD272" s="264" t="s">
        <v>354</v>
      </c>
      <c r="BE272" s="216" t="s">
        <v>33</v>
      </c>
      <c r="BF272" s="56"/>
      <c r="BG272" s="56"/>
      <c r="BH272" s="56"/>
      <c r="BI272" s="56"/>
      <c r="BJ272" s="56"/>
      <c r="BK272" s="56"/>
      <c r="BL272" s="56"/>
      <c r="BM272" s="56"/>
      <c r="BN272" s="56"/>
      <c r="BO272" s="56"/>
      <c r="BP272" s="56"/>
      <c r="BQ272" s="5"/>
      <c r="BR272" s="25"/>
      <c r="BS272" s="5"/>
    </row>
    <row r="273" spans="1:71" s="3" customFormat="1" x14ac:dyDescent="0.25">
      <c r="A273" s="5"/>
      <c r="B273" s="3" t="str">
        <f t="array" ref="B273">IFERROR(INDEX(DemandSupply,MATCH(INDEX($AH$1:AH273,SMALL(ROW($AH$1:AH273)+(10000*($AH$1:AH273="")),COUNTA($AH$1:AH273))),Sectors,0)),"")</f>
        <v>Demand</v>
      </c>
      <c r="E273" s="10"/>
      <c r="F273" s="207"/>
      <c r="G273" s="207"/>
      <c r="H273" s="207"/>
      <c r="I273" s="207"/>
      <c r="J273" s="207"/>
      <c r="K273" s="207"/>
      <c r="L273" s="207"/>
      <c r="M273" s="207"/>
      <c r="N273" s="207"/>
      <c r="O273" s="207"/>
      <c r="P273" s="207"/>
      <c r="Q273" s="207"/>
      <c r="R273" s="207"/>
      <c r="S273" s="207"/>
      <c r="T273" s="207"/>
      <c r="U273" s="207"/>
      <c r="V273" s="207"/>
      <c r="W273" s="207"/>
      <c r="X273" s="207"/>
      <c r="Y273" s="207"/>
      <c r="Z273" s="207"/>
      <c r="AA273" s="207"/>
      <c r="AB273" s="207"/>
      <c r="AC273" s="5"/>
      <c r="AD273" s="63"/>
      <c r="AE273" s="64"/>
      <c r="AF273" s="64"/>
      <c r="AG273" s="212"/>
      <c r="AH273" s="64"/>
      <c r="AI273" s="64"/>
      <c r="AJ273" s="64"/>
      <c r="AK273" s="212"/>
      <c r="AL273" s="64"/>
      <c r="AM273" s="212"/>
      <c r="AN273" s="64"/>
      <c r="AO273" s="64"/>
      <c r="AP273" s="227"/>
      <c r="AQ273" s="64"/>
      <c r="AR273" s="63"/>
      <c r="AS273" s="64"/>
      <c r="AT273" s="63"/>
      <c r="AU273" s="64"/>
      <c r="AV273" s="63"/>
      <c r="AW273" s="64"/>
      <c r="AX273" s="63"/>
      <c r="AY273" s="5"/>
      <c r="AZ273" s="21" t="str">
        <f t="shared" si="55"/>
        <v/>
      </c>
      <c r="BA273" s="264" t="s">
        <v>425</v>
      </c>
      <c r="BB273" s="264"/>
      <c r="BC273" s="264"/>
      <c r="BD273" s="264" t="s">
        <v>99</v>
      </c>
      <c r="BE273" s="216" t="s">
        <v>33</v>
      </c>
      <c r="BF273" s="303"/>
      <c r="BG273" s="303"/>
      <c r="BH273" s="303"/>
      <c r="BI273" s="303"/>
      <c r="BJ273" s="303"/>
      <c r="BK273" s="303"/>
      <c r="BL273" s="303"/>
      <c r="BM273" s="303"/>
      <c r="BN273" s="303"/>
      <c r="BO273" s="303"/>
      <c r="BP273" s="303"/>
      <c r="BQ273" s="5"/>
      <c r="BR273" s="25"/>
      <c r="BS273" s="5"/>
    </row>
    <row r="274" spans="1:71" s="3" customFormat="1" x14ac:dyDescent="0.25">
      <c r="A274" s="5"/>
      <c r="B274" s="3" t="str">
        <f t="array" ref="B274">IFERROR(INDEX(DemandSupply,MATCH(INDEX($AH$1:AH274,SMALL(ROW($AH$1:AH274)+(10000*($AH$1:AH274="")),COUNTA($AH$1:AH274))),Sectors,0)),"")</f>
        <v>Demand</v>
      </c>
      <c r="E274" s="10"/>
      <c r="F274" s="207"/>
      <c r="G274" s="207"/>
      <c r="H274" s="207"/>
      <c r="I274" s="207"/>
      <c r="J274" s="207"/>
      <c r="K274" s="207"/>
      <c r="L274" s="207"/>
      <c r="M274" s="207"/>
      <c r="N274" s="207"/>
      <c r="O274" s="207"/>
      <c r="P274" s="207"/>
      <c r="Q274" s="207"/>
      <c r="R274" s="207"/>
      <c r="S274" s="207"/>
      <c r="T274" s="207"/>
      <c r="U274" s="207"/>
      <c r="V274" s="207"/>
      <c r="W274" s="207"/>
      <c r="X274" s="207"/>
      <c r="Y274" s="207"/>
      <c r="Z274" s="207"/>
      <c r="AA274" s="207"/>
      <c r="AB274" s="207"/>
      <c r="AC274" s="5"/>
      <c r="AD274" s="63"/>
      <c r="AE274" s="64"/>
      <c r="AF274" s="64"/>
      <c r="AG274" s="212"/>
      <c r="AH274" s="64"/>
      <c r="AI274" s="64"/>
      <c r="AJ274" s="64"/>
      <c r="AK274" s="212"/>
      <c r="AL274" s="64"/>
      <c r="AM274" s="212"/>
      <c r="AN274" s="64"/>
      <c r="AO274" s="64"/>
      <c r="AP274" s="227"/>
      <c r="AQ274" s="64"/>
      <c r="AR274" s="63"/>
      <c r="AS274" s="64"/>
      <c r="AT274" s="63"/>
      <c r="AU274" s="64"/>
      <c r="AV274" s="63"/>
      <c r="AW274" s="64"/>
      <c r="AX274" s="63"/>
      <c r="AY274" s="5"/>
      <c r="AZ274" s="21" t="str">
        <f t="shared" si="55"/>
        <v/>
      </c>
      <c r="BA274" s="264" t="s">
        <v>438</v>
      </c>
      <c r="BB274" s="264"/>
      <c r="BC274" s="264"/>
      <c r="BD274" s="264" t="s">
        <v>34</v>
      </c>
      <c r="BE274" s="216" t="s">
        <v>33</v>
      </c>
      <c r="BF274" s="56"/>
      <c r="BG274" s="56"/>
      <c r="BH274" s="56"/>
      <c r="BI274" s="56"/>
      <c r="BJ274" s="56"/>
      <c r="BK274" s="56"/>
      <c r="BL274" s="56"/>
      <c r="BM274" s="56"/>
      <c r="BN274" s="56"/>
      <c r="BO274" s="56"/>
      <c r="BP274" s="56"/>
      <c r="BQ274" s="5"/>
      <c r="BR274" s="25"/>
      <c r="BS274" s="5"/>
    </row>
    <row r="275" spans="1:71" s="3" customFormat="1" x14ac:dyDescent="0.25">
      <c r="A275" s="5"/>
      <c r="B275" s="3" t="str">
        <f t="array" ref="B275">IFERROR(INDEX(DemandSupply,MATCH(INDEX($AH$1:AH275,SMALL(ROW($AH$1:AH275)+(10000*($AH$1:AH275="")),COUNTA($AH$1:AH275))),Sectors,0)),"")</f>
        <v>Demand</v>
      </c>
      <c r="E275" s="10"/>
      <c r="F275" s="207"/>
      <c r="G275" s="207"/>
      <c r="H275" s="207"/>
      <c r="I275" s="207"/>
      <c r="J275" s="207"/>
      <c r="K275" s="207"/>
      <c r="L275" s="207"/>
      <c r="M275" s="207"/>
      <c r="N275" s="207"/>
      <c r="O275" s="207"/>
      <c r="P275" s="207"/>
      <c r="Q275" s="207"/>
      <c r="R275" s="207"/>
      <c r="S275" s="207"/>
      <c r="T275" s="207"/>
      <c r="U275" s="207"/>
      <c r="V275" s="207"/>
      <c r="W275" s="207"/>
      <c r="X275" s="207"/>
      <c r="Y275" s="207"/>
      <c r="Z275" s="207"/>
      <c r="AA275" s="207"/>
      <c r="AB275" s="207"/>
      <c r="AC275" s="5"/>
      <c r="AD275" s="63"/>
      <c r="AE275" s="64"/>
      <c r="AF275" s="64"/>
      <c r="AG275" s="212"/>
      <c r="AH275" s="64"/>
      <c r="AI275" s="64"/>
      <c r="AJ275" s="64"/>
      <c r="AK275" s="212"/>
      <c r="AL275" s="64"/>
      <c r="AM275" s="212"/>
      <c r="AN275" s="64"/>
      <c r="AO275" s="64"/>
      <c r="AP275" s="227"/>
      <c r="AQ275" s="64"/>
      <c r="AR275" s="63"/>
      <c r="AS275" s="64"/>
      <c r="AT275" s="63"/>
      <c r="AU275" s="64"/>
      <c r="AV275" s="63"/>
      <c r="AW275" s="64"/>
      <c r="AX275" s="63"/>
      <c r="AY275" s="5"/>
      <c r="AZ275" s="21" t="str">
        <f t="shared" si="55"/>
        <v/>
      </c>
      <c r="BA275" s="264" t="s">
        <v>435</v>
      </c>
      <c r="BB275" s="264"/>
      <c r="BC275" s="264"/>
      <c r="BD275" s="264"/>
      <c r="BE275" s="216" t="s">
        <v>33</v>
      </c>
      <c r="BF275" s="55"/>
      <c r="BG275" s="55"/>
      <c r="BH275" s="55"/>
      <c r="BI275" s="55"/>
      <c r="BJ275" s="55"/>
      <c r="BK275" s="55"/>
      <c r="BL275" s="55"/>
      <c r="BM275" s="55"/>
      <c r="BN275" s="55"/>
      <c r="BO275" s="55"/>
      <c r="BP275" s="55"/>
      <c r="BQ275" s="5"/>
      <c r="BR275" s="25"/>
      <c r="BS275" s="5"/>
    </row>
    <row r="276" spans="1:71" s="3" customFormat="1" x14ac:dyDescent="0.25">
      <c r="A276" s="5"/>
      <c r="B276" s="3" t="str">
        <f t="array" ref="B276">IFERROR(INDEX(DemandSupply,MATCH(INDEX($AH$1:AH276,SMALL(ROW($AH$1:AH276)+(10000*($AH$1:AH276="")),COUNTA($AH$1:AH276))),Sectors,0)),"")</f>
        <v>Demand</v>
      </c>
      <c r="E276" s="10"/>
      <c r="F276" s="207"/>
      <c r="G276" s="207"/>
      <c r="H276" s="207"/>
      <c r="I276" s="207"/>
      <c r="J276" s="207"/>
      <c r="K276" s="207"/>
      <c r="L276" s="207"/>
      <c r="M276" s="207"/>
      <c r="N276" s="207"/>
      <c r="O276" s="207"/>
      <c r="P276" s="207"/>
      <c r="Q276" s="207"/>
      <c r="R276" s="207"/>
      <c r="S276" s="207"/>
      <c r="T276" s="207"/>
      <c r="U276" s="207"/>
      <c r="V276" s="207"/>
      <c r="W276" s="207"/>
      <c r="X276" s="207"/>
      <c r="Y276" s="207"/>
      <c r="Z276" s="207"/>
      <c r="AA276" s="207"/>
      <c r="AB276" s="207"/>
      <c r="AC276" s="5"/>
      <c r="AD276" s="63"/>
      <c r="AE276" s="64"/>
      <c r="AF276" s="64"/>
      <c r="AG276" s="212"/>
      <c r="AH276" s="64"/>
      <c r="AI276" s="64"/>
      <c r="AJ276" s="64"/>
      <c r="AK276" s="212"/>
      <c r="AL276" s="64"/>
      <c r="AM276" s="212"/>
      <c r="AN276" s="64"/>
      <c r="AO276" s="64"/>
      <c r="AP276" s="227"/>
      <c r="AQ276" s="64"/>
      <c r="AR276" s="63"/>
      <c r="AS276" s="64"/>
      <c r="AT276" s="63"/>
      <c r="AU276" s="64"/>
      <c r="AV276" s="63"/>
      <c r="AW276" s="64"/>
      <c r="AX276" s="63"/>
      <c r="AY276" s="5"/>
      <c r="AZ276" s="21" t="str">
        <f t="shared" si="55"/>
        <v/>
      </c>
      <c r="BA276" s="264" t="s">
        <v>407</v>
      </c>
      <c r="BB276" s="264"/>
      <c r="BC276" s="264"/>
      <c r="BD276" s="264" t="s">
        <v>99</v>
      </c>
      <c r="BE276" s="216" t="s">
        <v>33</v>
      </c>
      <c r="BF276" s="303"/>
      <c r="BG276" s="303"/>
      <c r="BH276" s="303"/>
      <c r="BI276" s="303"/>
      <c r="BJ276" s="303"/>
      <c r="BK276" s="303"/>
      <c r="BL276" s="303"/>
      <c r="BM276" s="303"/>
      <c r="BN276" s="303"/>
      <c r="BO276" s="303"/>
      <c r="BP276" s="303"/>
      <c r="BQ276" s="5"/>
      <c r="BR276" s="25"/>
      <c r="BS276" s="5"/>
    </row>
    <row r="277" spans="1:71" s="3" customFormat="1" x14ac:dyDescent="0.25">
      <c r="A277" s="5"/>
      <c r="B277" s="3" t="str">
        <f t="array" ref="B277">IFERROR(INDEX(DemandSupply,MATCH(INDEX($AH$1:AH277,SMALL(ROW($AH$1:AH277)+(10000*($AH$1:AH277="")),COUNTA($AH$1:AH277))),Sectors,0)),"")</f>
        <v>Demand</v>
      </c>
      <c r="E277" s="10"/>
      <c r="F277" s="207"/>
      <c r="G277" s="207"/>
      <c r="H277" s="207"/>
      <c r="I277" s="207"/>
      <c r="J277" s="207"/>
      <c r="K277" s="207"/>
      <c r="L277" s="207"/>
      <c r="M277" s="207"/>
      <c r="N277" s="207"/>
      <c r="O277" s="207"/>
      <c r="P277" s="207"/>
      <c r="Q277" s="207"/>
      <c r="R277" s="207"/>
      <c r="S277" s="207"/>
      <c r="T277" s="207"/>
      <c r="U277" s="207"/>
      <c r="V277" s="207"/>
      <c r="W277" s="207"/>
      <c r="X277" s="207"/>
      <c r="Y277" s="207"/>
      <c r="Z277" s="207"/>
      <c r="AA277" s="207"/>
      <c r="AB277" s="207"/>
      <c r="AC277" s="5"/>
      <c r="AD277" s="63"/>
      <c r="AE277" s="64"/>
      <c r="AF277" s="64"/>
      <c r="AG277" s="212"/>
      <c r="AH277" s="64"/>
      <c r="AI277" s="64"/>
      <c r="AJ277" s="64"/>
      <c r="AK277" s="212"/>
      <c r="AL277" s="64"/>
      <c r="AM277" s="212"/>
      <c r="AN277" s="64"/>
      <c r="AO277" s="64"/>
      <c r="AP277" s="227"/>
      <c r="AQ277" s="64"/>
      <c r="AR277" s="63"/>
      <c r="AS277" s="64"/>
      <c r="AT277" s="63"/>
      <c r="AU277" s="64"/>
      <c r="AV277" s="63"/>
      <c r="AW277" s="64"/>
      <c r="AX277" s="63"/>
      <c r="AY277" s="5"/>
      <c r="AZ277" s="21" t="str">
        <f t="shared" si="55"/>
        <v/>
      </c>
      <c r="BA277" s="264" t="s">
        <v>444</v>
      </c>
      <c r="BB277" s="264"/>
      <c r="BC277" s="264"/>
      <c r="BD277" s="264" t="s">
        <v>354</v>
      </c>
      <c r="BE277" s="216" t="s">
        <v>33</v>
      </c>
      <c r="BF277" s="56"/>
      <c r="BG277" s="56"/>
      <c r="BH277" s="56"/>
      <c r="BI277" s="56"/>
      <c r="BJ277" s="56"/>
      <c r="BK277" s="56"/>
      <c r="BL277" s="56"/>
      <c r="BM277" s="56"/>
      <c r="BN277" s="56"/>
      <c r="BO277" s="56"/>
      <c r="BP277" s="56"/>
      <c r="BQ277" s="5"/>
      <c r="BR277" s="25"/>
      <c r="BS277" s="5"/>
    </row>
    <row r="278" spans="1:71" s="3" customFormat="1" x14ac:dyDescent="0.25">
      <c r="A278" s="5"/>
      <c r="B278" s="3" t="str">
        <f t="array" ref="B278">IFERROR(INDEX(DemandSupply,MATCH(INDEX($AH$1:AH278,SMALL(ROW($AH$1:AH278)+(10000*($AH$1:AH278="")),COUNTA($AH$1:AH278))),Sectors,0)),"")</f>
        <v>Demand</v>
      </c>
      <c r="E278" s="10"/>
      <c r="F278" s="207"/>
      <c r="G278" s="207"/>
      <c r="H278" s="207"/>
      <c r="I278" s="207"/>
      <c r="J278" s="207"/>
      <c r="K278" s="207"/>
      <c r="L278" s="207"/>
      <c r="M278" s="207"/>
      <c r="N278" s="207"/>
      <c r="O278" s="207"/>
      <c r="P278" s="207"/>
      <c r="Q278" s="207"/>
      <c r="R278" s="207"/>
      <c r="S278" s="207"/>
      <c r="T278" s="207"/>
      <c r="U278" s="207"/>
      <c r="V278" s="207"/>
      <c r="W278" s="207"/>
      <c r="X278" s="207"/>
      <c r="Y278" s="207"/>
      <c r="Z278" s="207"/>
      <c r="AA278" s="207"/>
      <c r="AB278" s="207"/>
      <c r="AC278" s="5"/>
      <c r="AD278" s="63"/>
      <c r="AE278" s="64"/>
      <c r="AF278" s="64"/>
      <c r="AG278" s="212"/>
      <c r="AH278" s="64"/>
      <c r="AI278" s="64"/>
      <c r="AJ278" s="64"/>
      <c r="AK278" s="212"/>
      <c r="AL278" s="64"/>
      <c r="AM278" s="212"/>
      <c r="AN278" s="64"/>
      <c r="AO278" s="64"/>
      <c r="AP278" s="227"/>
      <c r="AQ278" s="64"/>
      <c r="AR278" s="63"/>
      <c r="AS278" s="64"/>
      <c r="AT278" s="63"/>
      <c r="AU278" s="64"/>
      <c r="AV278" s="63"/>
      <c r="AW278" s="64"/>
      <c r="AX278" s="63"/>
      <c r="AY278" s="5"/>
      <c r="AZ278" s="21" t="str">
        <f t="shared" si="55"/>
        <v/>
      </c>
      <c r="BA278" s="264" t="s">
        <v>446</v>
      </c>
      <c r="BB278" s="264"/>
      <c r="BC278" s="264"/>
      <c r="BD278" s="264" t="s">
        <v>354</v>
      </c>
      <c r="BE278" s="216" t="s">
        <v>33</v>
      </c>
      <c r="BF278" s="56"/>
      <c r="BG278" s="56"/>
      <c r="BH278" s="56"/>
      <c r="BI278" s="56"/>
      <c r="BJ278" s="56"/>
      <c r="BK278" s="56"/>
      <c r="BL278" s="56"/>
      <c r="BM278" s="56"/>
      <c r="BN278" s="56"/>
      <c r="BO278" s="56"/>
      <c r="BP278" s="56"/>
      <c r="BQ278" s="5"/>
      <c r="BR278" s="25"/>
      <c r="BS278" s="5"/>
    </row>
    <row r="279" spans="1:71" s="3" customFormat="1" x14ac:dyDescent="0.25">
      <c r="A279" s="5"/>
      <c r="B279" s="3" t="str">
        <f t="array" ref="B279">IFERROR(INDEX(DemandSupply,MATCH(INDEX($AH$1:AH279,SMALL(ROW($AH$1:AH279)+(10000*($AH$1:AH279="")),COUNTA($AH$1:AH279))),Sectors,0)),"")</f>
        <v>Demand</v>
      </c>
      <c r="E279" s="10"/>
      <c r="F279" s="207"/>
      <c r="G279" s="207"/>
      <c r="H279" s="207"/>
      <c r="I279" s="207"/>
      <c r="J279" s="207"/>
      <c r="K279" s="207"/>
      <c r="L279" s="207"/>
      <c r="M279" s="207"/>
      <c r="N279" s="207"/>
      <c r="O279" s="207"/>
      <c r="P279" s="207"/>
      <c r="Q279" s="207"/>
      <c r="R279" s="207"/>
      <c r="S279" s="207"/>
      <c r="T279" s="207"/>
      <c r="U279" s="207"/>
      <c r="V279" s="207"/>
      <c r="W279" s="207"/>
      <c r="X279" s="207"/>
      <c r="Y279" s="207"/>
      <c r="Z279" s="207"/>
      <c r="AA279" s="207"/>
      <c r="AB279" s="207"/>
      <c r="AC279" s="5"/>
      <c r="AD279" s="63"/>
      <c r="AE279" s="64"/>
      <c r="AF279" s="64"/>
      <c r="AG279" s="212"/>
      <c r="AH279" s="64"/>
      <c r="AI279" s="64"/>
      <c r="AJ279" s="64"/>
      <c r="AK279" s="212"/>
      <c r="AL279" s="64"/>
      <c r="AM279" s="212"/>
      <c r="AN279" s="64"/>
      <c r="AO279" s="64"/>
      <c r="AP279" s="227"/>
      <c r="AQ279" s="64"/>
      <c r="AR279" s="63"/>
      <c r="AS279" s="64"/>
      <c r="AT279" s="63"/>
      <c r="AU279" s="64"/>
      <c r="AV279" s="63"/>
      <c r="AW279" s="64"/>
      <c r="AX279" s="63"/>
      <c r="AY279" s="5"/>
      <c r="AZ279" s="21" t="str">
        <f t="shared" si="55"/>
        <v/>
      </c>
      <c r="BA279" s="264" t="s">
        <v>447</v>
      </c>
      <c r="BB279" s="264"/>
      <c r="BC279" s="264"/>
      <c r="BD279" s="264"/>
      <c r="BE279" s="216" t="s">
        <v>33</v>
      </c>
      <c r="BF279" s="55"/>
      <c r="BG279" s="55"/>
      <c r="BH279" s="55"/>
      <c r="BI279" s="55"/>
      <c r="BJ279" s="55"/>
      <c r="BK279" s="55"/>
      <c r="BL279" s="55"/>
      <c r="BM279" s="55"/>
      <c r="BN279" s="55"/>
      <c r="BO279" s="55"/>
      <c r="BP279" s="55"/>
      <c r="BQ279" s="5"/>
      <c r="BR279" s="25"/>
      <c r="BS279" s="5"/>
    </row>
    <row r="280" spans="1:71" s="3" customFormat="1" x14ac:dyDescent="0.25">
      <c r="A280" s="5"/>
      <c r="B280" s="3" t="str">
        <f t="array" ref="B280">IFERROR(INDEX(DemandSupply,MATCH(INDEX($AH$1:AH280,SMALL(ROW($AH$1:AH280)+(10000*($AH$1:AH280="")),COUNTA($AH$1:AH280))),Sectors,0)),"")</f>
        <v>Demand</v>
      </c>
      <c r="E280" s="10"/>
      <c r="F280" s="207"/>
      <c r="G280" s="207"/>
      <c r="H280" s="207"/>
      <c r="I280" s="207"/>
      <c r="J280" s="207"/>
      <c r="K280" s="207"/>
      <c r="L280" s="207"/>
      <c r="M280" s="207"/>
      <c r="N280" s="207"/>
      <c r="O280" s="207"/>
      <c r="P280" s="207"/>
      <c r="Q280" s="207"/>
      <c r="R280" s="207"/>
      <c r="S280" s="207"/>
      <c r="T280" s="207"/>
      <c r="U280" s="207"/>
      <c r="V280" s="207"/>
      <c r="W280" s="207"/>
      <c r="X280" s="207"/>
      <c r="Y280" s="207"/>
      <c r="Z280" s="207"/>
      <c r="AA280" s="207"/>
      <c r="AB280" s="207"/>
      <c r="AC280" s="5"/>
      <c r="AD280" s="63"/>
      <c r="AE280" s="64"/>
      <c r="AF280" s="64"/>
      <c r="AG280" s="212"/>
      <c r="AH280" s="64"/>
      <c r="AI280" s="64"/>
      <c r="AJ280" s="64"/>
      <c r="AK280" s="212"/>
      <c r="AL280" s="64"/>
      <c r="AM280" s="212"/>
      <c r="AN280" s="64"/>
      <c r="AO280" s="64"/>
      <c r="AP280" s="227"/>
      <c r="AQ280" s="64"/>
      <c r="AR280" s="63"/>
      <c r="AS280" s="64"/>
      <c r="AT280" s="63"/>
      <c r="AU280" s="64"/>
      <c r="AV280" s="63"/>
      <c r="AW280" s="64"/>
      <c r="AX280" s="63"/>
      <c r="AY280" s="5"/>
      <c r="AZ280" s="21" t="str">
        <f t="shared" si="55"/>
        <v/>
      </c>
      <c r="BA280" s="264" t="s">
        <v>448</v>
      </c>
      <c r="BB280" s="264"/>
      <c r="BC280" s="264"/>
      <c r="BD280" s="264"/>
      <c r="BE280" s="216" t="s">
        <v>33</v>
      </c>
      <c r="BF280" s="55"/>
      <c r="BG280" s="55"/>
      <c r="BH280" s="55"/>
      <c r="BI280" s="55"/>
      <c r="BJ280" s="55"/>
      <c r="BK280" s="55"/>
      <c r="BL280" s="55"/>
      <c r="BM280" s="55"/>
      <c r="BN280" s="55"/>
      <c r="BO280" s="55"/>
      <c r="BP280" s="55"/>
      <c r="BQ280" s="5"/>
      <c r="BR280" s="25"/>
      <c r="BS280" s="5"/>
    </row>
    <row r="281" spans="1:71" s="3" customFormat="1" x14ac:dyDescent="0.25">
      <c r="A281" s="5"/>
      <c r="B281" s="3" t="str">
        <f t="array" ref="B281">IFERROR(INDEX(DemandSupply,MATCH(INDEX($AH$1:AH281,SMALL(ROW($AH$1:AH281)+(10000*($AH$1:AH281="")),COUNTA($AH$1:AH281))),Sectors,0)),"")</f>
        <v>Demand</v>
      </c>
      <c r="E281" s="10"/>
      <c r="F281" s="207"/>
      <c r="G281" s="207"/>
      <c r="H281" s="207"/>
      <c r="I281" s="207"/>
      <c r="J281" s="207"/>
      <c r="K281" s="207"/>
      <c r="L281" s="207"/>
      <c r="M281" s="207"/>
      <c r="N281" s="207"/>
      <c r="O281" s="207"/>
      <c r="P281" s="207"/>
      <c r="Q281" s="207"/>
      <c r="R281" s="207"/>
      <c r="S281" s="207"/>
      <c r="T281" s="207"/>
      <c r="U281" s="207"/>
      <c r="V281" s="207"/>
      <c r="W281" s="207"/>
      <c r="X281" s="207"/>
      <c r="Y281" s="207"/>
      <c r="Z281" s="207"/>
      <c r="AA281" s="207"/>
      <c r="AB281" s="207"/>
      <c r="AC281" s="5"/>
      <c r="AD281" s="63"/>
      <c r="AE281" s="64"/>
      <c r="AF281" s="64"/>
      <c r="AG281" s="212"/>
      <c r="AH281" s="64"/>
      <c r="AI281" s="64"/>
      <c r="AJ281" s="64"/>
      <c r="AK281" s="212"/>
      <c r="AL281" s="64"/>
      <c r="AM281" s="212"/>
      <c r="AN281" s="64"/>
      <c r="AO281" s="64"/>
      <c r="AP281" s="227"/>
      <c r="AQ281" s="64"/>
      <c r="AR281" s="63"/>
      <c r="AS281" s="64"/>
      <c r="AT281" s="63"/>
      <c r="AU281" s="64"/>
      <c r="AV281" s="63"/>
      <c r="AW281" s="64"/>
      <c r="AX281" s="63"/>
      <c r="AY281" s="5"/>
      <c r="AZ281" s="21" t="str">
        <f t="shared" si="55"/>
        <v/>
      </c>
      <c r="BA281" s="264" t="s">
        <v>445</v>
      </c>
      <c r="BB281" s="264"/>
      <c r="BC281" s="264"/>
      <c r="BD281" s="264" t="s">
        <v>355</v>
      </c>
      <c r="BE281" s="216" t="s">
        <v>33</v>
      </c>
      <c r="BF281" s="56"/>
      <c r="BG281" s="56"/>
      <c r="BH281" s="56"/>
      <c r="BI281" s="56"/>
      <c r="BJ281" s="56"/>
      <c r="BK281" s="56"/>
      <c r="BL281" s="56"/>
      <c r="BM281" s="56"/>
      <c r="BN281" s="56"/>
      <c r="BO281" s="56"/>
      <c r="BP281" s="56"/>
      <c r="BQ281" s="5"/>
      <c r="BR281" s="25"/>
      <c r="BS281" s="5"/>
    </row>
    <row r="282" spans="1:71" s="3" customFormat="1" x14ac:dyDescent="0.25">
      <c r="A282" s="5"/>
      <c r="B282" s="3" t="str">
        <f t="array" ref="B282">IFERROR(INDEX(DemandSupply,MATCH(INDEX($AH$1:AH282,SMALL(ROW($AH$1:AH282)+(10000*($AH$1:AH282="")),COUNTA($AH$1:AH282))),Sectors,0)),"")</f>
        <v>Demand</v>
      </c>
      <c r="E282" s="10"/>
      <c r="F282" s="207"/>
      <c r="G282" s="207"/>
      <c r="H282" s="207"/>
      <c r="I282" s="207"/>
      <c r="J282" s="207"/>
      <c r="K282" s="207"/>
      <c r="L282" s="207"/>
      <c r="M282" s="207"/>
      <c r="N282" s="207"/>
      <c r="O282" s="207"/>
      <c r="P282" s="207"/>
      <c r="Q282" s="207"/>
      <c r="R282" s="207"/>
      <c r="S282" s="207"/>
      <c r="T282" s="207"/>
      <c r="U282" s="207"/>
      <c r="V282" s="207"/>
      <c r="W282" s="207"/>
      <c r="X282" s="207"/>
      <c r="Y282" s="207"/>
      <c r="Z282" s="207"/>
      <c r="AA282" s="207"/>
      <c r="AB282" s="207"/>
      <c r="AC282" s="5"/>
      <c r="AD282" s="63"/>
      <c r="AE282" s="64"/>
      <c r="AF282" s="64"/>
      <c r="AG282" s="212"/>
      <c r="AH282" s="64"/>
      <c r="AI282" s="64"/>
      <c r="AJ282" s="64"/>
      <c r="AK282" s="212"/>
      <c r="AL282" s="64"/>
      <c r="AM282" s="212"/>
      <c r="AN282" s="64"/>
      <c r="AO282" s="64"/>
      <c r="AP282" s="227"/>
      <c r="AQ282" s="64"/>
      <c r="AR282" s="63"/>
      <c r="AS282" s="64"/>
      <c r="AT282" s="63"/>
      <c r="AU282" s="64"/>
      <c r="AV282" s="63"/>
      <c r="AW282" s="64"/>
      <c r="AX282" s="63"/>
      <c r="AY282" s="5"/>
      <c r="AZ282" s="21" t="str">
        <f t="shared" si="55"/>
        <v/>
      </c>
      <c r="BA282" s="264" t="s">
        <v>449</v>
      </c>
      <c r="BB282" s="264"/>
      <c r="BC282" s="264"/>
      <c r="BD282" s="264" t="s">
        <v>355</v>
      </c>
      <c r="BE282" s="216" t="s">
        <v>33</v>
      </c>
      <c r="BF282" s="56"/>
      <c r="BG282" s="56"/>
      <c r="BH282" s="56"/>
      <c r="BI282" s="56"/>
      <c r="BJ282" s="56"/>
      <c r="BK282" s="56"/>
      <c r="BL282" s="56"/>
      <c r="BM282" s="56"/>
      <c r="BN282" s="56"/>
      <c r="BO282" s="56"/>
      <c r="BP282" s="56"/>
      <c r="BQ282" s="5"/>
      <c r="BR282" s="25"/>
      <c r="BS282" s="5"/>
    </row>
    <row r="283" spans="1:71" s="3" customFormat="1" x14ac:dyDescent="0.25">
      <c r="A283" s="5"/>
      <c r="B283" s="3" t="str">
        <f t="array" ref="B283">IFERROR(INDEX(DemandSupply,MATCH(INDEX($AH$1:AH283,SMALL(ROW($AH$1:AH283)+(10000*($AH$1:AH283="")),COUNTA($AH$1:AH283))),Sectors,0)),"")</f>
        <v>Demand</v>
      </c>
      <c r="E283" s="10"/>
      <c r="F283" s="207"/>
      <c r="G283" s="207"/>
      <c r="H283" s="207"/>
      <c r="I283" s="207"/>
      <c r="J283" s="207"/>
      <c r="K283" s="207"/>
      <c r="L283" s="207"/>
      <c r="M283" s="207"/>
      <c r="N283" s="207"/>
      <c r="O283" s="207"/>
      <c r="P283" s="207"/>
      <c r="Q283" s="207"/>
      <c r="R283" s="207"/>
      <c r="S283" s="207"/>
      <c r="T283" s="207"/>
      <c r="U283" s="207"/>
      <c r="V283" s="207"/>
      <c r="W283" s="207"/>
      <c r="X283" s="207"/>
      <c r="Y283" s="207"/>
      <c r="Z283" s="207"/>
      <c r="AA283" s="207"/>
      <c r="AB283" s="207"/>
      <c r="AC283" s="5"/>
      <c r="AD283" s="63"/>
      <c r="AE283" s="64"/>
      <c r="AF283" s="64"/>
      <c r="AG283" s="212"/>
      <c r="AH283" s="64"/>
      <c r="AI283" s="64"/>
      <c r="AJ283" s="64"/>
      <c r="AK283" s="212"/>
      <c r="AL283" s="64"/>
      <c r="AM283" s="212"/>
      <c r="AN283" s="64"/>
      <c r="AO283" s="64"/>
      <c r="AP283" s="227"/>
      <c r="AQ283" s="64"/>
      <c r="AR283" s="63"/>
      <c r="AS283" s="64"/>
      <c r="AT283" s="63"/>
      <c r="AU283" s="64"/>
      <c r="AV283" s="63"/>
      <c r="AW283" s="64"/>
      <c r="AX283" s="63"/>
      <c r="AY283" s="5"/>
      <c r="AZ283" s="21" t="str">
        <f t="shared" si="55"/>
        <v/>
      </c>
      <c r="BA283" s="264" t="s">
        <v>450</v>
      </c>
      <c r="BB283" s="264"/>
      <c r="BC283" s="264"/>
      <c r="BD283" s="264"/>
      <c r="BE283" s="216" t="s">
        <v>33</v>
      </c>
      <c r="BF283" s="55"/>
      <c r="BG283" s="55"/>
      <c r="BH283" s="55"/>
      <c r="BI283" s="55"/>
      <c r="BJ283" s="55"/>
      <c r="BK283" s="55"/>
      <c r="BL283" s="55"/>
      <c r="BM283" s="55"/>
      <c r="BN283" s="55"/>
      <c r="BO283" s="55"/>
      <c r="BP283" s="55"/>
      <c r="BQ283" s="5"/>
      <c r="BR283" s="25"/>
      <c r="BS283" s="5"/>
    </row>
    <row r="284" spans="1:71" s="3" customFormat="1" x14ac:dyDescent="0.25">
      <c r="A284" s="5"/>
      <c r="B284" s="3" t="str">
        <f t="array" ref="B284">IFERROR(INDEX(DemandSupply,MATCH(INDEX($AH$1:AH284,SMALL(ROW($AH$1:AH284)+(10000*($AH$1:AH284="")),COUNTA($AH$1:AH284))),Sectors,0)),"")</f>
        <v>Demand</v>
      </c>
      <c r="E284" s="10"/>
      <c r="F284" s="207"/>
      <c r="G284" s="207"/>
      <c r="H284" s="207"/>
      <c r="I284" s="207"/>
      <c r="J284" s="207"/>
      <c r="K284" s="207"/>
      <c r="L284" s="207"/>
      <c r="M284" s="207"/>
      <c r="N284" s="207"/>
      <c r="O284" s="207"/>
      <c r="P284" s="207"/>
      <c r="Q284" s="207"/>
      <c r="R284" s="207"/>
      <c r="S284" s="207"/>
      <c r="T284" s="207"/>
      <c r="U284" s="207"/>
      <c r="V284" s="207"/>
      <c r="W284" s="207"/>
      <c r="X284" s="207"/>
      <c r="Y284" s="207"/>
      <c r="Z284" s="207"/>
      <c r="AA284" s="207"/>
      <c r="AB284" s="207"/>
      <c r="AC284" s="5"/>
      <c r="AD284" s="63"/>
      <c r="AE284" s="64"/>
      <c r="AF284" s="64"/>
      <c r="AG284" s="212"/>
      <c r="AH284" s="64"/>
      <c r="AI284" s="64"/>
      <c r="AJ284" s="64"/>
      <c r="AK284" s="212"/>
      <c r="AL284" s="64"/>
      <c r="AM284" s="212"/>
      <c r="AN284" s="64"/>
      <c r="AO284" s="64"/>
      <c r="AP284" s="227"/>
      <c r="AQ284" s="64"/>
      <c r="AR284" s="63"/>
      <c r="AS284" s="64"/>
      <c r="AT284" s="63"/>
      <c r="AU284" s="64"/>
      <c r="AV284" s="63"/>
      <c r="AW284" s="64"/>
      <c r="AX284" s="63"/>
      <c r="AY284" s="5"/>
      <c r="AZ284" s="21" t="str">
        <f t="shared" si="55"/>
        <v/>
      </c>
      <c r="BA284" s="264" t="s">
        <v>451</v>
      </c>
      <c r="BB284" s="264"/>
      <c r="BC284" s="264"/>
      <c r="BD284" s="264"/>
      <c r="BE284" s="216" t="s">
        <v>33</v>
      </c>
      <c r="BF284" s="55"/>
      <c r="BG284" s="55"/>
      <c r="BH284" s="55"/>
      <c r="BI284" s="55"/>
      <c r="BJ284" s="55"/>
      <c r="BK284" s="55"/>
      <c r="BL284" s="55"/>
      <c r="BM284" s="55"/>
      <c r="BN284" s="55"/>
      <c r="BO284" s="55"/>
      <c r="BP284" s="55"/>
      <c r="BQ284" s="5"/>
      <c r="BR284" s="25"/>
      <c r="BS284" s="5"/>
    </row>
    <row r="285" spans="1:71" s="3" customFormat="1" x14ac:dyDescent="0.25">
      <c r="A285" s="5"/>
      <c r="B285" s="3" t="str">
        <f t="array" ref="B285">IFERROR(INDEX(DemandSupply,MATCH(INDEX($AH$1:AH285,SMALL(ROW($AH$1:AH285)+(10000*($AH$1:AH285="")),COUNTA($AH$1:AH285))),Sectors,0)),"")</f>
        <v>Demand</v>
      </c>
      <c r="E285" s="10"/>
      <c r="F285" s="207"/>
      <c r="G285" s="207"/>
      <c r="H285" s="207"/>
      <c r="I285" s="207"/>
      <c r="J285" s="207"/>
      <c r="K285" s="207"/>
      <c r="L285" s="207"/>
      <c r="M285" s="207"/>
      <c r="N285" s="207"/>
      <c r="O285" s="207"/>
      <c r="P285" s="207"/>
      <c r="Q285" s="207"/>
      <c r="R285" s="207"/>
      <c r="S285" s="207"/>
      <c r="T285" s="207"/>
      <c r="U285" s="207"/>
      <c r="V285" s="207"/>
      <c r="W285" s="207"/>
      <c r="X285" s="207"/>
      <c r="Y285" s="207"/>
      <c r="Z285" s="207"/>
      <c r="AA285" s="207"/>
      <c r="AB285" s="207"/>
      <c r="AC285" s="5"/>
      <c r="AD285" s="63"/>
      <c r="AE285" s="64"/>
      <c r="AF285" s="64"/>
      <c r="AG285" s="212"/>
      <c r="AH285" s="64"/>
      <c r="AI285" s="64"/>
      <c r="AJ285" s="64"/>
      <c r="AK285" s="212"/>
      <c r="AL285" s="64"/>
      <c r="AM285" s="212"/>
      <c r="AN285" s="64"/>
      <c r="AO285" s="64"/>
      <c r="AP285" s="227"/>
      <c r="AQ285" s="64"/>
      <c r="AR285" s="63"/>
      <c r="AS285" s="64"/>
      <c r="AT285" s="63"/>
      <c r="AU285" s="64"/>
      <c r="AV285" s="63"/>
      <c r="AW285" s="64"/>
      <c r="AX285" s="63"/>
      <c r="AY285" s="5"/>
      <c r="AZ285" s="21" t="str">
        <f t="shared" ref="AZ285:AZ348" si="66">IFERROR(INDEX($AD285:$AX285,MATCH(TRUE,INDEX(($AD285:$AX285&lt;&gt;0),0),0)),"")</f>
        <v/>
      </c>
      <c r="BA285" s="264" t="s">
        <v>342</v>
      </c>
      <c r="BB285" s="264"/>
      <c r="BC285" s="264"/>
      <c r="BD285" s="264" t="s">
        <v>355</v>
      </c>
      <c r="BE285" s="216" t="s">
        <v>33</v>
      </c>
      <c r="BF285" s="56"/>
      <c r="BG285" s="56"/>
      <c r="BH285" s="56"/>
      <c r="BI285" s="56"/>
      <c r="BJ285" s="56"/>
      <c r="BK285" s="56"/>
      <c r="BL285" s="56"/>
      <c r="BM285" s="56"/>
      <c r="BN285" s="56"/>
      <c r="BO285" s="56"/>
      <c r="BP285" s="56"/>
      <c r="BQ285" s="5"/>
      <c r="BR285" s="25"/>
      <c r="BS285" s="5"/>
    </row>
    <row r="286" spans="1:71" s="3" customFormat="1" x14ac:dyDescent="0.25">
      <c r="A286" s="5"/>
      <c r="B286" s="3" t="str">
        <f t="array" ref="B286">IFERROR(INDEX(DemandSupply,MATCH(INDEX($AH$1:AH286,SMALL(ROW($AH$1:AH286)+(10000*($AH$1:AH286="")),COUNTA($AH$1:AH286))),Sectors,0)),"")</f>
        <v>Demand</v>
      </c>
      <c r="E286" s="10"/>
      <c r="F286" s="207"/>
      <c r="G286" s="207"/>
      <c r="H286" s="207"/>
      <c r="I286" s="207"/>
      <c r="J286" s="207"/>
      <c r="K286" s="207"/>
      <c r="L286" s="207"/>
      <c r="M286" s="207"/>
      <c r="N286" s="207"/>
      <c r="O286" s="207"/>
      <c r="P286" s="207"/>
      <c r="Q286" s="207"/>
      <c r="R286" s="207"/>
      <c r="S286" s="207"/>
      <c r="T286" s="207"/>
      <c r="U286" s="207"/>
      <c r="V286" s="207"/>
      <c r="W286" s="207"/>
      <c r="X286" s="207"/>
      <c r="Y286" s="207"/>
      <c r="Z286" s="207"/>
      <c r="AA286" s="207"/>
      <c r="AB286" s="207"/>
      <c r="AC286" s="5"/>
      <c r="AD286" s="63"/>
      <c r="AE286" s="64"/>
      <c r="AF286" s="64"/>
      <c r="AG286" s="212"/>
      <c r="AH286" s="64"/>
      <c r="AI286" s="64"/>
      <c r="AJ286" s="64"/>
      <c r="AK286" s="212"/>
      <c r="AL286" s="64"/>
      <c r="AM286" s="212"/>
      <c r="AN286" s="64"/>
      <c r="AO286" s="64"/>
      <c r="AP286" s="227"/>
      <c r="AQ286" s="64"/>
      <c r="AR286" s="63"/>
      <c r="AS286" s="64"/>
      <c r="AT286" s="63"/>
      <c r="AU286" s="64"/>
      <c r="AV286" s="63"/>
      <c r="AW286" s="64"/>
      <c r="AX286" s="63"/>
      <c r="AY286" s="5"/>
      <c r="AZ286" s="21" t="str">
        <f t="shared" si="66"/>
        <v/>
      </c>
      <c r="BA286" s="264" t="s">
        <v>394</v>
      </c>
      <c r="BB286" s="264"/>
      <c r="BC286" s="264"/>
      <c r="BD286" s="264" t="s">
        <v>354</v>
      </c>
      <c r="BE286" s="216" t="s">
        <v>33</v>
      </c>
      <c r="BF286" s="56"/>
      <c r="BG286" s="56"/>
      <c r="BH286" s="56"/>
      <c r="BI286" s="56"/>
      <c r="BJ286" s="56"/>
      <c r="BK286" s="56"/>
      <c r="BL286" s="56"/>
      <c r="BM286" s="56"/>
      <c r="BN286" s="56"/>
      <c r="BO286" s="56"/>
      <c r="BP286" s="56"/>
      <c r="BQ286" s="5"/>
      <c r="BR286" s="25"/>
      <c r="BS286" s="5"/>
    </row>
    <row r="287" spans="1:71" s="3" customFormat="1" x14ac:dyDescent="0.25">
      <c r="A287" s="5"/>
      <c r="B287" s="3" t="str">
        <f t="array" ref="B287">IFERROR(INDEX(DemandSupply,MATCH(INDEX($AH$1:AH287,SMALL(ROW($AH$1:AH287)+(10000*($AH$1:AH287="")),COUNTA($AH$1:AH287))),Sectors,0)),"")</f>
        <v>Demand</v>
      </c>
      <c r="E287" s="10">
        <f t="shared" si="56"/>
        <v>0</v>
      </c>
      <c r="F287" s="207">
        <v>1</v>
      </c>
      <c r="G287" s="207">
        <v>1</v>
      </c>
      <c r="H287" s="207">
        <v>1</v>
      </c>
      <c r="I287" s="207">
        <v>1</v>
      </c>
      <c r="J287" s="207">
        <v>1</v>
      </c>
      <c r="K287" s="207">
        <v>1</v>
      </c>
      <c r="L287" s="207">
        <v>1</v>
      </c>
      <c r="M287" s="207">
        <v>1</v>
      </c>
      <c r="N287" s="207">
        <v>1</v>
      </c>
      <c r="O287" s="207">
        <v>1</v>
      </c>
      <c r="P287" s="207">
        <v>1</v>
      </c>
      <c r="Q287" s="207">
        <v>1</v>
      </c>
      <c r="R287" s="207">
        <v>1</v>
      </c>
      <c r="S287" s="207">
        <v>1</v>
      </c>
      <c r="T287" s="207">
        <v>1</v>
      </c>
      <c r="U287" s="207">
        <v>1</v>
      </c>
      <c r="V287" s="207">
        <v>1</v>
      </c>
      <c r="W287" s="207">
        <v>1</v>
      </c>
      <c r="X287" s="207">
        <v>1</v>
      </c>
      <c r="Y287" s="207">
        <v>1</v>
      </c>
      <c r="Z287" s="207">
        <v>1</v>
      </c>
      <c r="AA287" s="207">
        <v>1</v>
      </c>
      <c r="AB287" s="207">
        <v>1</v>
      </c>
      <c r="AC287" s="5"/>
      <c r="AD287" s="63"/>
      <c r="AE287" s="64"/>
      <c r="AF287" s="64"/>
      <c r="AG287" s="212"/>
      <c r="AH287" s="64"/>
      <c r="AI287" s="64"/>
      <c r="AJ287" s="64"/>
      <c r="AK287" s="212"/>
      <c r="AL287" s="64"/>
      <c r="AM287" s="212"/>
      <c r="AN287" s="64"/>
      <c r="AO287" s="64"/>
      <c r="AP287" s="227"/>
      <c r="AQ287" s="64"/>
      <c r="AR287" s="63"/>
      <c r="AS287" s="64"/>
      <c r="AT287" s="63"/>
      <c r="AU287" s="64"/>
      <c r="AV287" s="63"/>
      <c r="AW287" s="64"/>
      <c r="AX287" s="63"/>
      <c r="AY287" s="5"/>
      <c r="AZ287" s="21" t="str">
        <f t="shared" si="66"/>
        <v/>
      </c>
      <c r="BA287" s="74" t="s">
        <v>338</v>
      </c>
      <c r="BB287" s="25"/>
      <c r="BC287" s="74" t="s">
        <v>132</v>
      </c>
      <c r="BD287" s="74" t="s">
        <v>367</v>
      </c>
      <c r="BE287" s="216" t="s">
        <v>33</v>
      </c>
      <c r="BF287" s="55">
        <v>1</v>
      </c>
      <c r="BG287" s="55">
        <f t="shared" ref="BG287:BP287" si="67">BF287</f>
        <v>1</v>
      </c>
      <c r="BH287" s="55">
        <f t="shared" si="67"/>
        <v>1</v>
      </c>
      <c r="BI287" s="55">
        <f t="shared" si="67"/>
        <v>1</v>
      </c>
      <c r="BJ287" s="55">
        <f t="shared" si="67"/>
        <v>1</v>
      </c>
      <c r="BK287" s="55">
        <f t="shared" si="67"/>
        <v>1</v>
      </c>
      <c r="BL287" s="55">
        <f t="shared" si="67"/>
        <v>1</v>
      </c>
      <c r="BM287" s="55">
        <f t="shared" si="67"/>
        <v>1</v>
      </c>
      <c r="BN287" s="55">
        <f t="shared" si="67"/>
        <v>1</v>
      </c>
      <c r="BO287" s="55">
        <f t="shared" si="67"/>
        <v>1</v>
      </c>
      <c r="BP287" s="55">
        <f t="shared" si="67"/>
        <v>1</v>
      </c>
      <c r="BQ287" s="5"/>
      <c r="BR287" s="25"/>
      <c r="BS287" s="5"/>
    </row>
    <row r="288" spans="1:71" s="3" customFormat="1" x14ac:dyDescent="0.25">
      <c r="A288" s="5"/>
      <c r="B288" s="3" t="str">
        <f t="array" ref="B288">IFERROR(INDEX(DemandSupply,MATCH(INDEX($AH$1:AH288,SMALL(ROW($AH$1:AH288)+(10000*($AH$1:AH288="")),COUNTA($AH$1:AH288))),Sectors,0)),"")</f>
        <v>Demand</v>
      </c>
      <c r="E288" s="10">
        <f t="shared" si="56"/>
        <v>1</v>
      </c>
      <c r="F288" s="207">
        <v>1</v>
      </c>
      <c r="G288" s="207">
        <v>1</v>
      </c>
      <c r="H288" s="207">
        <v>1</v>
      </c>
      <c r="I288" s="207">
        <v>1</v>
      </c>
      <c r="J288" s="207">
        <v>1</v>
      </c>
      <c r="K288" s="207">
        <v>1</v>
      </c>
      <c r="L288" s="207">
        <v>1</v>
      </c>
      <c r="M288" s="207">
        <v>1</v>
      </c>
      <c r="N288" s="207">
        <v>1</v>
      </c>
      <c r="O288" s="207">
        <v>1</v>
      </c>
      <c r="P288" s="207">
        <v>1</v>
      </c>
      <c r="Q288" s="207">
        <v>1</v>
      </c>
      <c r="R288" s="207">
        <v>1</v>
      </c>
      <c r="S288" s="207">
        <v>1</v>
      </c>
      <c r="T288" s="207">
        <v>1</v>
      </c>
      <c r="U288" s="207">
        <v>1</v>
      </c>
      <c r="V288" s="207">
        <v>1</v>
      </c>
      <c r="W288" s="207">
        <v>1</v>
      </c>
      <c r="X288" s="207">
        <v>1</v>
      </c>
      <c r="Y288" s="207">
        <v>1</v>
      </c>
      <c r="Z288" s="207">
        <v>1</v>
      </c>
      <c r="AA288" s="207">
        <v>1</v>
      </c>
      <c r="AB288" s="207">
        <v>1</v>
      </c>
      <c r="AC288" s="5"/>
      <c r="AD288" s="63"/>
      <c r="AE288" s="64"/>
      <c r="AF288" s="64"/>
      <c r="AG288" s="212"/>
      <c r="AH288" s="64"/>
      <c r="AI288" s="64"/>
      <c r="AJ288" s="65"/>
      <c r="AK288" s="212"/>
      <c r="AL288" s="64"/>
      <c r="AM288" s="212"/>
      <c r="AN288" s="63"/>
      <c r="AO288" s="212"/>
      <c r="AP288" s="64"/>
      <c r="AQ288" s="64"/>
      <c r="AR288" s="63"/>
      <c r="AS288" s="64"/>
      <c r="AT288" s="63"/>
      <c r="AU288" s="64"/>
      <c r="AV288" s="63"/>
      <c r="AW288" s="64"/>
      <c r="AX288" s="63"/>
      <c r="AY288" s="5"/>
      <c r="AZ288" s="21" t="str">
        <f t="shared" si="66"/>
        <v/>
      </c>
      <c r="BA288" s="4"/>
      <c r="BB288" s="13"/>
      <c r="BC288" s="4"/>
      <c r="BD288" s="4"/>
      <c r="BE288" s="9"/>
      <c r="BF288" s="4"/>
      <c r="BG288" s="4"/>
      <c r="BH288" s="4"/>
      <c r="BI288" s="4"/>
      <c r="BJ288" s="4"/>
      <c r="BK288" s="4"/>
      <c r="BL288" s="4"/>
      <c r="BM288" s="4"/>
      <c r="BN288" s="4"/>
      <c r="BO288" s="4"/>
      <c r="BP288" s="4"/>
      <c r="BQ288" s="5"/>
      <c r="BR288" s="13"/>
      <c r="BS288" s="5"/>
    </row>
    <row r="289" spans="1:71" s="3" customFormat="1" x14ac:dyDescent="0.25">
      <c r="A289" s="5"/>
      <c r="B289" s="3" t="str">
        <f t="array" ref="B289">IFERROR(INDEX(DemandSupply,MATCH(INDEX($AH$1:AH289,SMALL(ROW($AH$1:AH289)+(10000*($AH$1:AH289="")),COUNTA($AH$1:AH289))),Sectors,0)),"")</f>
        <v>Demand</v>
      </c>
      <c r="E289" s="10">
        <f t="shared" si="56"/>
        <v>1</v>
      </c>
      <c r="F289" s="207">
        <v>1</v>
      </c>
      <c r="G289" s="207">
        <v>1</v>
      </c>
      <c r="H289" s="207">
        <v>1</v>
      </c>
      <c r="I289" s="207">
        <v>1</v>
      </c>
      <c r="J289" s="207">
        <v>1</v>
      </c>
      <c r="K289" s="207">
        <v>1</v>
      </c>
      <c r="L289" s="207">
        <v>1</v>
      </c>
      <c r="M289" s="207">
        <v>1</v>
      </c>
      <c r="N289" s="207">
        <v>1</v>
      </c>
      <c r="O289" s="207">
        <v>1</v>
      </c>
      <c r="P289" s="207">
        <v>1</v>
      </c>
      <c r="Q289" s="207">
        <v>1</v>
      </c>
      <c r="R289" s="207">
        <v>1</v>
      </c>
      <c r="S289" s="207">
        <v>1</v>
      </c>
      <c r="T289" s="207">
        <v>1</v>
      </c>
      <c r="U289" s="207">
        <v>1</v>
      </c>
      <c r="V289" s="207">
        <v>1</v>
      </c>
      <c r="W289" s="207">
        <v>1</v>
      </c>
      <c r="X289" s="207">
        <v>1</v>
      </c>
      <c r="Y289" s="207">
        <v>1</v>
      </c>
      <c r="Z289" s="207">
        <v>1</v>
      </c>
      <c r="AA289" s="207">
        <v>1</v>
      </c>
      <c r="AB289" s="207">
        <v>1</v>
      </c>
      <c r="AC289" s="5"/>
      <c r="AD289" s="63"/>
      <c r="AE289" s="64"/>
      <c r="AF289" s="64"/>
      <c r="AG289" s="212"/>
      <c r="AH289" s="64"/>
      <c r="AI289" s="64"/>
      <c r="AJ289" s="65"/>
      <c r="AK289" s="212"/>
      <c r="AL289" s="64"/>
      <c r="AM289" s="212"/>
      <c r="AN289" s="63"/>
      <c r="AO289" s="212"/>
      <c r="AP289" s="211" t="s">
        <v>33</v>
      </c>
      <c r="AQ289" s="64"/>
      <c r="AR289" s="63"/>
      <c r="AS289" s="64"/>
      <c r="AT289" s="63"/>
      <c r="AU289" s="64"/>
      <c r="AV289" s="63"/>
      <c r="AW289" s="64"/>
      <c r="AX289" s="63"/>
      <c r="AY289" s="5"/>
      <c r="AZ289" s="208" t="str">
        <f t="shared" si="66"/>
        <v>Furnace</v>
      </c>
      <c r="BA289" s="4"/>
      <c r="BB289" s="13"/>
      <c r="BC289" s="4"/>
      <c r="BD289" s="4"/>
      <c r="BE289" s="9"/>
      <c r="BF289" s="4"/>
      <c r="BG289" s="4"/>
      <c r="BH289" s="4"/>
      <c r="BI289" s="4"/>
      <c r="BJ289" s="4"/>
      <c r="BK289" s="4"/>
      <c r="BL289" s="4"/>
      <c r="BM289" s="4"/>
      <c r="BN289" s="4"/>
      <c r="BO289" s="4"/>
      <c r="BP289" s="4"/>
      <c r="BQ289" s="5"/>
      <c r="BR289" s="13"/>
      <c r="BS289" s="5"/>
    </row>
    <row r="290" spans="1:71" s="3" customFormat="1" x14ac:dyDescent="0.25">
      <c r="A290" s="5"/>
      <c r="B290" s="3" t="str">
        <f t="array" ref="B290">IFERROR(INDEX(DemandSupply,MATCH(INDEX($AH$1:AH290,SMALL(ROW($AH$1:AH290)+(10000*($AH$1:AH290="")),COUNTA($AH$1:AH290))),Sectors,0)),"")</f>
        <v>Demand</v>
      </c>
      <c r="E290" s="10">
        <f t="shared" si="56"/>
        <v>0</v>
      </c>
      <c r="F290" s="207">
        <v>1</v>
      </c>
      <c r="G290" s="207">
        <v>1</v>
      </c>
      <c r="H290" s="207">
        <v>1</v>
      </c>
      <c r="I290" s="207">
        <v>1</v>
      </c>
      <c r="J290" s="207">
        <v>1</v>
      </c>
      <c r="K290" s="207">
        <v>1</v>
      </c>
      <c r="L290" s="207">
        <v>1</v>
      </c>
      <c r="M290" s="207">
        <v>1</v>
      </c>
      <c r="N290" s="207">
        <v>1</v>
      </c>
      <c r="O290" s="207">
        <v>1</v>
      </c>
      <c r="P290" s="207">
        <v>1</v>
      </c>
      <c r="Q290" s="207">
        <v>1</v>
      </c>
      <c r="R290" s="207">
        <v>1</v>
      </c>
      <c r="S290" s="207">
        <v>1</v>
      </c>
      <c r="T290" s="207">
        <v>1</v>
      </c>
      <c r="U290" s="207">
        <v>1</v>
      </c>
      <c r="V290" s="207">
        <v>1</v>
      </c>
      <c r="W290" s="207">
        <v>1</v>
      </c>
      <c r="X290" s="207">
        <v>1</v>
      </c>
      <c r="Y290" s="207">
        <v>1</v>
      </c>
      <c r="Z290" s="207">
        <v>1</v>
      </c>
      <c r="AA290" s="207">
        <v>1</v>
      </c>
      <c r="AB290" s="207">
        <v>1</v>
      </c>
      <c r="AC290" s="5"/>
      <c r="AD290" s="63"/>
      <c r="AE290" s="64"/>
      <c r="AF290" s="64"/>
      <c r="AG290" s="212"/>
      <c r="AH290" s="64"/>
      <c r="AI290" s="64"/>
      <c r="AJ290" s="65"/>
      <c r="AK290" s="212"/>
      <c r="AL290" s="64"/>
      <c r="AM290" s="212"/>
      <c r="AN290" s="63"/>
      <c r="AO290" s="64"/>
      <c r="AP290" s="64"/>
      <c r="AQ290" s="64"/>
      <c r="AR290" s="63"/>
      <c r="AS290" s="64"/>
      <c r="AT290" s="63"/>
      <c r="AU290" s="64"/>
      <c r="AV290" s="63"/>
      <c r="AW290" s="64"/>
      <c r="AX290" s="63"/>
      <c r="AY290" s="5"/>
      <c r="AZ290" s="21" t="str">
        <f t="shared" si="66"/>
        <v/>
      </c>
      <c r="BA290" s="74" t="s">
        <v>337</v>
      </c>
      <c r="BB290" s="25"/>
      <c r="BC290" s="74" t="s">
        <v>127</v>
      </c>
      <c r="BD290" s="74" t="s">
        <v>34</v>
      </c>
      <c r="BE290" s="216" t="str">
        <f>AZ289</f>
        <v>Furnace</v>
      </c>
      <c r="BF290" s="56"/>
      <c r="BG290" s="56"/>
      <c r="BH290" s="56"/>
      <c r="BI290" s="56"/>
      <c r="BJ290" s="56"/>
      <c r="BK290" s="56"/>
      <c r="BL290" s="56"/>
      <c r="BM290" s="56"/>
      <c r="BN290" s="56"/>
      <c r="BO290" s="56"/>
      <c r="BP290" s="56"/>
      <c r="BQ290" s="5"/>
      <c r="BR290" s="25"/>
      <c r="BS290" s="5"/>
    </row>
    <row r="291" spans="1:71" s="3" customFormat="1" x14ac:dyDescent="0.25">
      <c r="A291" s="5"/>
      <c r="B291" s="3" t="str">
        <f t="array" ref="B291">IFERROR(INDEX(DemandSupply,MATCH(INDEX($AH$1:AH291,SMALL(ROW($AH$1:AH291)+(10000*($AH$1:AH291="")),COUNTA($AH$1:AH291))),Sectors,0)),"")</f>
        <v>Demand</v>
      </c>
      <c r="E291" s="10">
        <f t="shared" si="56"/>
        <v>0</v>
      </c>
      <c r="F291" s="207">
        <v>1</v>
      </c>
      <c r="G291" s="207">
        <v>1</v>
      </c>
      <c r="H291" s="207">
        <v>1</v>
      </c>
      <c r="I291" s="207">
        <v>1</v>
      </c>
      <c r="J291" s="207">
        <v>1</v>
      </c>
      <c r="K291" s="207">
        <v>1</v>
      </c>
      <c r="L291" s="207">
        <v>1</v>
      </c>
      <c r="M291" s="207">
        <v>1</v>
      </c>
      <c r="N291" s="207">
        <v>1</v>
      </c>
      <c r="O291" s="207">
        <v>1</v>
      </c>
      <c r="P291" s="207">
        <v>1</v>
      </c>
      <c r="Q291" s="207">
        <v>1</v>
      </c>
      <c r="R291" s="207">
        <v>1</v>
      </c>
      <c r="S291" s="207">
        <v>1</v>
      </c>
      <c r="T291" s="207">
        <v>1</v>
      </c>
      <c r="U291" s="207">
        <v>1</v>
      </c>
      <c r="V291" s="207">
        <v>1</v>
      </c>
      <c r="W291" s="207">
        <v>1</v>
      </c>
      <c r="X291" s="207">
        <v>1</v>
      </c>
      <c r="Y291" s="207">
        <v>1</v>
      </c>
      <c r="Z291" s="207">
        <v>1</v>
      </c>
      <c r="AA291" s="207">
        <v>1</v>
      </c>
      <c r="AB291" s="207">
        <v>1</v>
      </c>
      <c r="AC291" s="5"/>
      <c r="AD291" s="63"/>
      <c r="AE291" s="64"/>
      <c r="AF291" s="64"/>
      <c r="AG291" s="212"/>
      <c r="AH291" s="64"/>
      <c r="AI291" s="64"/>
      <c r="AJ291" s="65"/>
      <c r="AK291" s="212"/>
      <c r="AL291" s="64"/>
      <c r="AM291" s="212"/>
      <c r="AN291" s="63"/>
      <c r="AO291" s="64"/>
      <c r="AP291" s="64"/>
      <c r="AQ291" s="64"/>
      <c r="AR291" s="63"/>
      <c r="AS291" s="64"/>
      <c r="AT291" s="63"/>
      <c r="AU291" s="64"/>
      <c r="AV291" s="63"/>
      <c r="AW291" s="64"/>
      <c r="AX291" s="63"/>
      <c r="AY291" s="5"/>
      <c r="AZ291" s="21" t="str">
        <f t="shared" si="66"/>
        <v/>
      </c>
      <c r="BA291" s="74" t="s">
        <v>47</v>
      </c>
      <c r="BB291" s="25"/>
      <c r="BC291" s="2"/>
      <c r="BD291" s="2"/>
      <c r="BE291" s="216" t="s">
        <v>21</v>
      </c>
      <c r="BF291" s="4"/>
      <c r="BG291" s="4"/>
      <c r="BH291" s="4"/>
      <c r="BI291" s="4"/>
      <c r="BJ291" s="4"/>
      <c r="BK291" s="4"/>
      <c r="BL291" s="4"/>
      <c r="BM291" s="4"/>
      <c r="BN291" s="4"/>
      <c r="BO291" s="4"/>
      <c r="BP291" s="4"/>
      <c r="BQ291" s="5"/>
      <c r="BR291" s="25"/>
      <c r="BS291" s="5"/>
    </row>
    <row r="292" spans="1:71" s="3" customFormat="1" x14ac:dyDescent="0.25">
      <c r="A292" s="5"/>
      <c r="B292" s="3" t="str">
        <f t="array" ref="B292">IFERROR(INDEX(DemandSupply,MATCH(INDEX($AH$1:AH292,SMALL(ROW($AH$1:AH292)+(10000*($AH$1:AH292="")),COUNTA($AH$1:AH292))),Sectors,0)),"")</f>
        <v>Demand</v>
      </c>
      <c r="E292" s="10">
        <f t="shared" si="56"/>
        <v>0</v>
      </c>
      <c r="F292" s="207">
        <v>1</v>
      </c>
      <c r="G292" s="207">
        <v>1</v>
      </c>
      <c r="H292" s="207">
        <v>1</v>
      </c>
      <c r="I292" s="207">
        <v>1</v>
      </c>
      <c r="J292" s="207">
        <v>1</v>
      </c>
      <c r="K292" s="207">
        <v>1</v>
      </c>
      <c r="L292" s="207">
        <v>1</v>
      </c>
      <c r="M292" s="207">
        <v>1</v>
      </c>
      <c r="N292" s="207">
        <v>1</v>
      </c>
      <c r="O292" s="207">
        <v>1</v>
      </c>
      <c r="P292" s="207">
        <v>1</v>
      </c>
      <c r="Q292" s="207">
        <v>1</v>
      </c>
      <c r="R292" s="207">
        <v>1</v>
      </c>
      <c r="S292" s="207">
        <v>1</v>
      </c>
      <c r="T292" s="207">
        <v>1</v>
      </c>
      <c r="U292" s="207">
        <v>1</v>
      </c>
      <c r="V292" s="207">
        <v>1</v>
      </c>
      <c r="W292" s="207">
        <v>1</v>
      </c>
      <c r="X292" s="207">
        <v>1</v>
      </c>
      <c r="Y292" s="207">
        <v>1</v>
      </c>
      <c r="Z292" s="207">
        <v>1</v>
      </c>
      <c r="AA292" s="207">
        <v>1</v>
      </c>
      <c r="AB292" s="207">
        <v>1</v>
      </c>
      <c r="AC292" s="5"/>
      <c r="AD292" s="63"/>
      <c r="AE292" s="64"/>
      <c r="AF292" s="64"/>
      <c r="AG292" s="212"/>
      <c r="AH292" s="64"/>
      <c r="AI292" s="64"/>
      <c r="AJ292" s="65"/>
      <c r="AK292" s="212"/>
      <c r="AL292" s="64"/>
      <c r="AM292" s="212"/>
      <c r="AN292" s="63"/>
      <c r="AO292" s="64"/>
      <c r="AP292" s="64"/>
      <c r="AQ292" s="64"/>
      <c r="AR292" s="63"/>
      <c r="AS292" s="64"/>
      <c r="AT292" s="63"/>
      <c r="AU292" s="64"/>
      <c r="AV292" s="63"/>
      <c r="AW292" s="64"/>
      <c r="AX292" s="63"/>
      <c r="AY292" s="5"/>
      <c r="AZ292" s="21" t="str">
        <f t="shared" si="66"/>
        <v/>
      </c>
      <c r="BA292" s="74" t="s">
        <v>66</v>
      </c>
      <c r="BB292" s="25"/>
      <c r="BC292" s="2"/>
      <c r="BD292" s="2"/>
      <c r="BE292" s="216" t="s">
        <v>35</v>
      </c>
      <c r="BF292" s="4">
        <v>10</v>
      </c>
      <c r="BG292" s="223">
        <f t="shared" ref="BG292:BP292" si="68">BF292</f>
        <v>10</v>
      </c>
      <c r="BH292" s="223">
        <f t="shared" si="68"/>
        <v>10</v>
      </c>
      <c r="BI292" s="223">
        <f t="shared" si="68"/>
        <v>10</v>
      </c>
      <c r="BJ292" s="223">
        <f t="shared" si="68"/>
        <v>10</v>
      </c>
      <c r="BK292" s="223">
        <f t="shared" si="68"/>
        <v>10</v>
      </c>
      <c r="BL292" s="223">
        <f t="shared" si="68"/>
        <v>10</v>
      </c>
      <c r="BM292" s="223">
        <f t="shared" si="68"/>
        <v>10</v>
      </c>
      <c r="BN292" s="223">
        <f t="shared" si="68"/>
        <v>10</v>
      </c>
      <c r="BO292" s="223">
        <f t="shared" si="68"/>
        <v>10</v>
      </c>
      <c r="BP292" s="223">
        <f t="shared" si="68"/>
        <v>10</v>
      </c>
      <c r="BQ292" s="5"/>
      <c r="BR292" s="25"/>
      <c r="BS292" s="5"/>
    </row>
    <row r="293" spans="1:71" s="3" customFormat="1" x14ac:dyDescent="0.25">
      <c r="A293" s="5"/>
      <c r="B293" s="3" t="str">
        <f t="array" ref="B293">IFERROR(INDEX(DemandSupply,MATCH(INDEX($AH$1:AH293,SMALL(ROW($AH$1:AH293)+(10000*($AH$1:AH293="")),COUNTA($AH$1:AH293))),Sectors,0)),"")</f>
        <v>Demand</v>
      </c>
      <c r="E293" s="10">
        <f t="shared" si="56"/>
        <v>0</v>
      </c>
      <c r="F293" s="207">
        <v>1</v>
      </c>
      <c r="G293" s="207">
        <v>1</v>
      </c>
      <c r="H293" s="207">
        <v>1</v>
      </c>
      <c r="I293" s="207">
        <v>1</v>
      </c>
      <c r="J293" s="207">
        <v>1</v>
      </c>
      <c r="K293" s="207">
        <v>1</v>
      </c>
      <c r="L293" s="207">
        <v>1</v>
      </c>
      <c r="M293" s="207">
        <v>1</v>
      </c>
      <c r="N293" s="207">
        <v>1</v>
      </c>
      <c r="O293" s="207">
        <v>1</v>
      </c>
      <c r="P293" s="207">
        <v>1</v>
      </c>
      <c r="Q293" s="207">
        <v>1</v>
      </c>
      <c r="R293" s="207">
        <v>1</v>
      </c>
      <c r="S293" s="207">
        <v>1</v>
      </c>
      <c r="T293" s="207">
        <v>1</v>
      </c>
      <c r="U293" s="207">
        <v>1</v>
      </c>
      <c r="V293" s="207">
        <v>1</v>
      </c>
      <c r="W293" s="207">
        <v>1</v>
      </c>
      <c r="X293" s="207">
        <v>1</v>
      </c>
      <c r="Y293" s="207">
        <v>1</v>
      </c>
      <c r="Z293" s="207">
        <v>1</v>
      </c>
      <c r="AA293" s="207">
        <v>1</v>
      </c>
      <c r="AB293" s="207">
        <v>1</v>
      </c>
      <c r="AC293" s="5"/>
      <c r="AD293" s="63"/>
      <c r="AE293" s="64"/>
      <c r="AF293" s="64"/>
      <c r="AG293" s="212"/>
      <c r="AH293" s="64"/>
      <c r="AI293" s="64"/>
      <c r="AJ293" s="65"/>
      <c r="AK293" s="212"/>
      <c r="AL293" s="64"/>
      <c r="AM293" s="212"/>
      <c r="AN293" s="63"/>
      <c r="AO293" s="64"/>
      <c r="AP293" s="64"/>
      <c r="AQ293" s="64"/>
      <c r="AR293" s="63"/>
      <c r="AS293" s="64"/>
      <c r="AT293" s="63"/>
      <c r="AU293" s="64"/>
      <c r="AV293" s="63"/>
      <c r="AW293" s="64"/>
      <c r="AX293" s="63"/>
      <c r="AY293" s="5"/>
      <c r="AZ293" s="21" t="str">
        <f t="shared" si="66"/>
        <v/>
      </c>
      <c r="BA293" s="74" t="s">
        <v>343</v>
      </c>
      <c r="BB293" s="25"/>
      <c r="BC293" s="2"/>
      <c r="BD293" s="74" t="s">
        <v>99</v>
      </c>
      <c r="BE293" s="216" t="s">
        <v>346</v>
      </c>
      <c r="BF293" s="303">
        <v>0.25</v>
      </c>
      <c r="BG293" s="304">
        <f t="shared" ref="BG293:BP293" si="69">BF293</f>
        <v>0.25</v>
      </c>
      <c r="BH293" s="304">
        <f t="shared" si="69"/>
        <v>0.25</v>
      </c>
      <c r="BI293" s="304">
        <f t="shared" si="69"/>
        <v>0.25</v>
      </c>
      <c r="BJ293" s="304">
        <f t="shared" si="69"/>
        <v>0.25</v>
      </c>
      <c r="BK293" s="304">
        <f t="shared" si="69"/>
        <v>0.25</v>
      </c>
      <c r="BL293" s="304">
        <f t="shared" si="69"/>
        <v>0.25</v>
      </c>
      <c r="BM293" s="304">
        <f t="shared" si="69"/>
        <v>0.25</v>
      </c>
      <c r="BN293" s="304">
        <f t="shared" si="69"/>
        <v>0.25</v>
      </c>
      <c r="BO293" s="304">
        <f t="shared" si="69"/>
        <v>0.25</v>
      </c>
      <c r="BP293" s="304">
        <f t="shared" si="69"/>
        <v>0.25</v>
      </c>
      <c r="BQ293" s="5"/>
      <c r="BR293" s="25"/>
      <c r="BS293" s="5"/>
    </row>
    <row r="294" spans="1:71" s="3" customFormat="1" x14ac:dyDescent="0.25">
      <c r="A294" s="5"/>
      <c r="B294" s="3" t="str">
        <f t="array" ref="B294">IFERROR(INDEX(DemandSupply,MATCH(INDEX($AH$1:AH294,SMALL(ROW($AH$1:AH294)+(10000*($AH$1:AH294="")),COUNTA($AH$1:AH294))),Sectors,0)),"")</f>
        <v>Demand</v>
      </c>
      <c r="E294" s="10">
        <f t="shared" si="56"/>
        <v>0</v>
      </c>
      <c r="F294" s="207">
        <v>1</v>
      </c>
      <c r="G294" s="207">
        <v>1</v>
      </c>
      <c r="H294" s="207">
        <v>1</v>
      </c>
      <c r="I294" s="207">
        <v>1</v>
      </c>
      <c r="J294" s="207">
        <v>1</v>
      </c>
      <c r="K294" s="207">
        <v>1</v>
      </c>
      <c r="L294" s="207">
        <v>1</v>
      </c>
      <c r="M294" s="207">
        <v>1</v>
      </c>
      <c r="N294" s="207">
        <v>1</v>
      </c>
      <c r="O294" s="207">
        <v>1</v>
      </c>
      <c r="P294" s="207">
        <v>1</v>
      </c>
      <c r="Q294" s="207">
        <v>1</v>
      </c>
      <c r="R294" s="207">
        <v>1</v>
      </c>
      <c r="S294" s="207">
        <v>1</v>
      </c>
      <c r="T294" s="207">
        <v>1</v>
      </c>
      <c r="U294" s="207">
        <v>1</v>
      </c>
      <c r="V294" s="207">
        <v>1</v>
      </c>
      <c r="W294" s="207">
        <v>1</v>
      </c>
      <c r="X294" s="207">
        <v>1</v>
      </c>
      <c r="Y294" s="207">
        <v>1</v>
      </c>
      <c r="Z294" s="207">
        <v>1</v>
      </c>
      <c r="AA294" s="207">
        <v>1</v>
      </c>
      <c r="AB294" s="207">
        <v>1</v>
      </c>
      <c r="AC294" s="5"/>
      <c r="AD294" s="63"/>
      <c r="AE294" s="64"/>
      <c r="AF294" s="64"/>
      <c r="AG294" s="212"/>
      <c r="AH294" s="64"/>
      <c r="AI294" s="64"/>
      <c r="AJ294" s="65"/>
      <c r="AK294" s="212"/>
      <c r="AL294" s="64"/>
      <c r="AM294" s="212"/>
      <c r="AN294" s="63"/>
      <c r="AO294" s="64"/>
      <c r="AP294" s="64"/>
      <c r="AQ294" s="64"/>
      <c r="AR294" s="63"/>
      <c r="AS294" s="64"/>
      <c r="AT294" s="63"/>
      <c r="AU294" s="64"/>
      <c r="AV294" s="63"/>
      <c r="AW294" s="64"/>
      <c r="AX294" s="63"/>
      <c r="AY294" s="5"/>
      <c r="AZ294" s="21" t="str">
        <f t="shared" si="66"/>
        <v/>
      </c>
      <c r="BA294" s="291" t="s">
        <v>51</v>
      </c>
      <c r="BB294" s="25"/>
      <c r="BC294" s="2"/>
      <c r="BD294" s="2"/>
      <c r="BE294" s="216" t="s">
        <v>52</v>
      </c>
      <c r="BF294" s="4"/>
      <c r="BG294" s="4"/>
      <c r="BH294" s="4"/>
      <c r="BI294" s="4"/>
      <c r="BJ294" s="4"/>
      <c r="BK294" s="4"/>
      <c r="BL294" s="4"/>
      <c r="BM294" s="4"/>
      <c r="BN294" s="4"/>
      <c r="BO294" s="4"/>
      <c r="BP294" s="4"/>
      <c r="BQ294" s="5"/>
      <c r="BR294" s="25"/>
      <c r="BS294" s="5"/>
    </row>
    <row r="295" spans="1:71" s="3" customFormat="1" x14ac:dyDescent="0.25">
      <c r="A295" s="5"/>
      <c r="B295" s="3" t="str">
        <f t="array" ref="B295">IFERROR(INDEX(DemandSupply,MATCH(INDEX($AH$1:AH295,SMALL(ROW($AH$1:AH295)+(10000*($AH$1:AH295="")),COUNTA($AH$1:AH295))),Sectors,0)),"")</f>
        <v>Demand</v>
      </c>
      <c r="E295" s="10"/>
      <c r="F295" s="207"/>
      <c r="G295" s="207"/>
      <c r="H295" s="207"/>
      <c r="I295" s="207"/>
      <c r="J295" s="207"/>
      <c r="K295" s="207"/>
      <c r="L295" s="207"/>
      <c r="M295" s="207"/>
      <c r="N295" s="207"/>
      <c r="O295" s="207"/>
      <c r="P295" s="207"/>
      <c r="Q295" s="207"/>
      <c r="R295" s="207"/>
      <c r="S295" s="207"/>
      <c r="T295" s="207"/>
      <c r="U295" s="207"/>
      <c r="V295" s="207"/>
      <c r="W295" s="207"/>
      <c r="X295" s="207"/>
      <c r="Y295" s="207"/>
      <c r="Z295" s="207"/>
      <c r="AA295" s="207"/>
      <c r="AB295" s="207"/>
      <c r="AC295" s="5"/>
      <c r="AD295" s="63"/>
      <c r="AE295" s="64"/>
      <c r="AF295" s="64"/>
      <c r="AG295" s="212"/>
      <c r="AH295" s="64"/>
      <c r="AI295" s="64"/>
      <c r="AJ295" s="64"/>
      <c r="AK295" s="212"/>
      <c r="AL295" s="64"/>
      <c r="AM295" s="212"/>
      <c r="AN295" s="64"/>
      <c r="AO295" s="64"/>
      <c r="AP295" s="63"/>
      <c r="AQ295" s="64"/>
      <c r="AR295" s="63"/>
      <c r="AS295" s="64"/>
      <c r="AT295" s="63"/>
      <c r="AU295" s="64"/>
      <c r="AV295" s="63"/>
      <c r="AW295" s="64"/>
      <c r="AX295" s="63"/>
      <c r="AY295" s="5"/>
      <c r="AZ295" s="21" t="str">
        <f t="shared" si="66"/>
        <v/>
      </c>
      <c r="BA295" s="264" t="s">
        <v>38</v>
      </c>
      <c r="BB295" s="264"/>
      <c r="BC295" s="264"/>
      <c r="BD295" s="264" t="s">
        <v>40</v>
      </c>
      <c r="BE295" s="216" t="s">
        <v>52</v>
      </c>
      <c r="BF295" s="309">
        <v>2000</v>
      </c>
      <c r="BG295" s="310">
        <f t="shared" ref="BG295:BP295" si="70">BF295</f>
        <v>2000</v>
      </c>
      <c r="BH295" s="310">
        <f t="shared" si="70"/>
        <v>2000</v>
      </c>
      <c r="BI295" s="310">
        <f t="shared" si="70"/>
        <v>2000</v>
      </c>
      <c r="BJ295" s="310">
        <f t="shared" si="70"/>
        <v>2000</v>
      </c>
      <c r="BK295" s="310">
        <f t="shared" si="70"/>
        <v>2000</v>
      </c>
      <c r="BL295" s="310">
        <f t="shared" si="70"/>
        <v>2000</v>
      </c>
      <c r="BM295" s="310">
        <f t="shared" si="70"/>
        <v>2000</v>
      </c>
      <c r="BN295" s="310">
        <f t="shared" si="70"/>
        <v>2000</v>
      </c>
      <c r="BO295" s="310">
        <f t="shared" si="70"/>
        <v>2000</v>
      </c>
      <c r="BP295" s="310">
        <f t="shared" si="70"/>
        <v>2000</v>
      </c>
      <c r="BQ295" s="5"/>
      <c r="BR295" s="25"/>
      <c r="BS295" s="5"/>
    </row>
    <row r="296" spans="1:71" s="3" customFormat="1" x14ac:dyDescent="0.25">
      <c r="A296" s="5"/>
      <c r="B296" s="3" t="str">
        <f t="array" ref="B296">IFERROR(INDEX(DemandSupply,MATCH(INDEX($AH$1:AH296,SMALL(ROW($AH$1:AH296)+(10000*($AH$1:AH296="")),COUNTA($AH$1:AH296))),Sectors,0)),"")</f>
        <v>Demand</v>
      </c>
      <c r="E296" s="10"/>
      <c r="F296" s="207"/>
      <c r="G296" s="207"/>
      <c r="H296" s="207"/>
      <c r="I296" s="207"/>
      <c r="J296" s="207"/>
      <c r="K296" s="207"/>
      <c r="L296" s="207"/>
      <c r="M296" s="207"/>
      <c r="N296" s="207"/>
      <c r="O296" s="207"/>
      <c r="P296" s="207"/>
      <c r="Q296" s="207"/>
      <c r="R296" s="207"/>
      <c r="S296" s="207"/>
      <c r="T296" s="207"/>
      <c r="U296" s="207"/>
      <c r="V296" s="207"/>
      <c r="W296" s="207"/>
      <c r="X296" s="207"/>
      <c r="Y296" s="207"/>
      <c r="Z296" s="207"/>
      <c r="AA296" s="207"/>
      <c r="AB296" s="207"/>
      <c r="AC296" s="5"/>
      <c r="AD296" s="63"/>
      <c r="AE296" s="64"/>
      <c r="AF296" s="64"/>
      <c r="AG296" s="212"/>
      <c r="AH296" s="64"/>
      <c r="AI296" s="64"/>
      <c r="AJ296" s="64"/>
      <c r="AK296" s="212"/>
      <c r="AL296" s="64"/>
      <c r="AM296" s="212"/>
      <c r="AN296" s="64"/>
      <c r="AO296" s="64"/>
      <c r="AP296" s="63"/>
      <c r="AQ296" s="64"/>
      <c r="AR296" s="63"/>
      <c r="AS296" s="64"/>
      <c r="AT296" s="63"/>
      <c r="AU296" s="64"/>
      <c r="AV296" s="63"/>
      <c r="AW296" s="64"/>
      <c r="AX296" s="63"/>
      <c r="AY296" s="5"/>
      <c r="AZ296" s="21" t="str">
        <f t="shared" si="66"/>
        <v/>
      </c>
      <c r="BA296" s="264" t="s">
        <v>37</v>
      </c>
      <c r="BB296" s="264"/>
      <c r="BC296" s="264"/>
      <c r="BD296" s="264" t="s">
        <v>40</v>
      </c>
      <c r="BE296" s="216" t="s">
        <v>52</v>
      </c>
      <c r="BF296" s="309">
        <v>2000</v>
      </c>
      <c r="BG296" s="310">
        <f t="shared" ref="BG296:BP296" si="71">BF296</f>
        <v>2000</v>
      </c>
      <c r="BH296" s="310">
        <f t="shared" si="71"/>
        <v>2000</v>
      </c>
      <c r="BI296" s="310">
        <f t="shared" si="71"/>
        <v>2000</v>
      </c>
      <c r="BJ296" s="310">
        <f t="shared" si="71"/>
        <v>2000</v>
      </c>
      <c r="BK296" s="310">
        <f t="shared" si="71"/>
        <v>2000</v>
      </c>
      <c r="BL296" s="310">
        <f t="shared" si="71"/>
        <v>2000</v>
      </c>
      <c r="BM296" s="310">
        <f t="shared" si="71"/>
        <v>2000</v>
      </c>
      <c r="BN296" s="310">
        <f t="shared" si="71"/>
        <v>2000</v>
      </c>
      <c r="BO296" s="310">
        <f t="shared" si="71"/>
        <v>2000</v>
      </c>
      <c r="BP296" s="310">
        <f t="shared" si="71"/>
        <v>2000</v>
      </c>
      <c r="BQ296" s="5"/>
      <c r="BR296" s="25"/>
      <c r="BS296" s="5"/>
    </row>
    <row r="297" spans="1:71" s="3" customFormat="1" x14ac:dyDescent="0.25">
      <c r="A297" s="5"/>
      <c r="B297" s="3" t="str">
        <f t="array" ref="B297">IFERROR(INDEX(DemandSupply,MATCH(INDEX($AH$1:AH297,SMALL(ROW($AH$1:AH297)+(10000*($AH$1:AH297="")),COUNTA($AH$1:AH297))),Sectors,0)),"")</f>
        <v>Demand</v>
      </c>
      <c r="E297" s="10"/>
      <c r="F297" s="207"/>
      <c r="G297" s="207"/>
      <c r="H297" s="207"/>
      <c r="I297" s="207"/>
      <c r="J297" s="207"/>
      <c r="K297" s="207"/>
      <c r="L297" s="207"/>
      <c r="M297" s="207"/>
      <c r="N297" s="207"/>
      <c r="O297" s="207"/>
      <c r="P297" s="207"/>
      <c r="Q297" s="207"/>
      <c r="R297" s="207"/>
      <c r="S297" s="207"/>
      <c r="T297" s="207"/>
      <c r="U297" s="207"/>
      <c r="V297" s="207"/>
      <c r="W297" s="207"/>
      <c r="X297" s="207"/>
      <c r="Y297" s="207"/>
      <c r="Z297" s="207"/>
      <c r="AA297" s="207"/>
      <c r="AB297" s="207"/>
      <c r="AC297" s="5"/>
      <c r="AD297" s="63"/>
      <c r="AE297" s="64"/>
      <c r="AF297" s="64"/>
      <c r="AG297" s="212"/>
      <c r="AH297" s="64"/>
      <c r="AI297" s="64"/>
      <c r="AJ297" s="64"/>
      <c r="AK297" s="212"/>
      <c r="AL297" s="64"/>
      <c r="AM297" s="212"/>
      <c r="AN297" s="64"/>
      <c r="AO297" s="64"/>
      <c r="AP297" s="63"/>
      <c r="AQ297" s="64"/>
      <c r="AR297" s="63"/>
      <c r="AS297" s="64"/>
      <c r="AT297" s="63"/>
      <c r="AU297" s="64"/>
      <c r="AV297" s="63"/>
      <c r="AW297" s="64"/>
      <c r="AX297" s="63"/>
      <c r="AY297" s="5"/>
      <c r="AZ297" s="21" t="str">
        <f t="shared" si="66"/>
        <v/>
      </c>
      <c r="BA297" s="264" t="s">
        <v>39</v>
      </c>
      <c r="BB297" s="264"/>
      <c r="BC297" s="264"/>
      <c r="BD297" s="264" t="s">
        <v>10</v>
      </c>
      <c r="BE297" s="216" t="s">
        <v>52</v>
      </c>
      <c r="BF297" s="56">
        <v>18</v>
      </c>
      <c r="BG297" s="245">
        <f t="shared" ref="BG297:BP297" si="72">BF297</f>
        <v>18</v>
      </c>
      <c r="BH297" s="245">
        <f t="shared" si="72"/>
        <v>18</v>
      </c>
      <c r="BI297" s="245">
        <f t="shared" si="72"/>
        <v>18</v>
      </c>
      <c r="BJ297" s="245">
        <f t="shared" si="72"/>
        <v>18</v>
      </c>
      <c r="BK297" s="245">
        <f t="shared" si="72"/>
        <v>18</v>
      </c>
      <c r="BL297" s="245">
        <f t="shared" si="72"/>
        <v>18</v>
      </c>
      <c r="BM297" s="245">
        <f t="shared" si="72"/>
        <v>18</v>
      </c>
      <c r="BN297" s="245">
        <f t="shared" si="72"/>
        <v>18</v>
      </c>
      <c r="BO297" s="245">
        <f t="shared" si="72"/>
        <v>18</v>
      </c>
      <c r="BP297" s="245">
        <f t="shared" si="72"/>
        <v>18</v>
      </c>
      <c r="BQ297" s="5"/>
      <c r="BR297" s="25"/>
      <c r="BS297" s="5"/>
    </row>
    <row r="298" spans="1:71" s="3" customFormat="1" x14ac:dyDescent="0.25">
      <c r="A298" s="5"/>
      <c r="B298" s="3" t="str">
        <f t="array" ref="B298">IFERROR(INDEX(DemandSupply,MATCH(INDEX($AH$1:AH298,SMALL(ROW($AH$1:AH298)+(10000*($AH$1:AH298="")),COUNTA($AH$1:AH298))),Sectors,0)),"")</f>
        <v>Demand</v>
      </c>
      <c r="E298" s="10"/>
      <c r="F298" s="207"/>
      <c r="G298" s="207"/>
      <c r="H298" s="207"/>
      <c r="I298" s="207"/>
      <c r="J298" s="207"/>
      <c r="K298" s="207"/>
      <c r="L298" s="207"/>
      <c r="M298" s="207"/>
      <c r="N298" s="207"/>
      <c r="O298" s="207"/>
      <c r="P298" s="207"/>
      <c r="Q298" s="207"/>
      <c r="R298" s="207"/>
      <c r="S298" s="207"/>
      <c r="T298" s="207"/>
      <c r="U298" s="207"/>
      <c r="V298" s="207"/>
      <c r="W298" s="207"/>
      <c r="X298" s="207"/>
      <c r="Y298" s="207"/>
      <c r="Z298" s="207"/>
      <c r="AA298" s="207"/>
      <c r="AB298" s="207"/>
      <c r="AC298" s="5"/>
      <c r="AD298" s="63"/>
      <c r="AE298" s="64"/>
      <c r="AF298" s="64"/>
      <c r="AG298" s="212"/>
      <c r="AH298" s="64"/>
      <c r="AI298" s="64"/>
      <c r="AJ298" s="64"/>
      <c r="AK298" s="212"/>
      <c r="AL298" s="64"/>
      <c r="AM298" s="212"/>
      <c r="AN298" s="64"/>
      <c r="AO298" s="64"/>
      <c r="AP298" s="63"/>
      <c r="AQ298" s="64"/>
      <c r="AR298" s="63"/>
      <c r="AS298" s="64"/>
      <c r="AT298" s="63"/>
      <c r="AU298" s="64"/>
      <c r="AV298" s="63"/>
      <c r="AW298" s="64"/>
      <c r="AX298" s="63"/>
      <c r="AY298" s="5"/>
      <c r="AZ298" s="21" t="str">
        <f t="shared" si="66"/>
        <v/>
      </c>
      <c r="BA298" s="264" t="s">
        <v>395</v>
      </c>
      <c r="BB298" s="264"/>
      <c r="BC298" s="264"/>
      <c r="BD298" s="264" t="s">
        <v>10</v>
      </c>
      <c r="BE298" s="216" t="s">
        <v>52</v>
      </c>
      <c r="BF298" s="56"/>
      <c r="BG298" s="56"/>
      <c r="BH298" s="56"/>
      <c r="BI298" s="56"/>
      <c r="BJ298" s="56"/>
      <c r="BK298" s="56"/>
      <c r="BL298" s="56"/>
      <c r="BM298" s="56"/>
      <c r="BN298" s="56"/>
      <c r="BO298" s="56"/>
      <c r="BP298" s="56"/>
      <c r="BQ298" s="5"/>
      <c r="BR298" s="25"/>
      <c r="BS298" s="5"/>
    </row>
    <row r="299" spans="1:71" s="3" customFormat="1" x14ac:dyDescent="0.25">
      <c r="A299" s="5"/>
      <c r="B299" s="3" t="str">
        <f t="array" ref="B299">IFERROR(INDEX(DemandSupply,MATCH(INDEX($AH$1:AH299,SMALL(ROW($AH$1:AH299)+(10000*($AH$1:AH299="")),COUNTA($AH$1:AH299))),Sectors,0)),"")</f>
        <v>Demand</v>
      </c>
      <c r="E299" s="10"/>
      <c r="F299" s="207"/>
      <c r="G299" s="207"/>
      <c r="H299" s="207"/>
      <c r="I299" s="207"/>
      <c r="J299" s="207"/>
      <c r="K299" s="207"/>
      <c r="L299" s="207"/>
      <c r="M299" s="207"/>
      <c r="N299" s="207"/>
      <c r="O299" s="207"/>
      <c r="P299" s="207"/>
      <c r="Q299" s="207"/>
      <c r="R299" s="207"/>
      <c r="S299" s="207"/>
      <c r="T299" s="207"/>
      <c r="U299" s="207"/>
      <c r="V299" s="207"/>
      <c r="W299" s="207"/>
      <c r="X299" s="207"/>
      <c r="Y299" s="207"/>
      <c r="Z299" s="207"/>
      <c r="AA299" s="207"/>
      <c r="AB299" s="207"/>
      <c r="AC299" s="5"/>
      <c r="AD299" s="63"/>
      <c r="AE299" s="64"/>
      <c r="AF299" s="64"/>
      <c r="AG299" s="212"/>
      <c r="AH299" s="64"/>
      <c r="AI299" s="64"/>
      <c r="AJ299" s="64"/>
      <c r="AK299" s="212"/>
      <c r="AL299" s="64"/>
      <c r="AM299" s="212"/>
      <c r="AN299" s="64"/>
      <c r="AO299" s="64"/>
      <c r="AP299" s="63"/>
      <c r="AQ299" s="64"/>
      <c r="AR299" s="63"/>
      <c r="AS299" s="64"/>
      <c r="AT299" s="63"/>
      <c r="AU299" s="64"/>
      <c r="AV299" s="63"/>
      <c r="AW299" s="64"/>
      <c r="AX299" s="63"/>
      <c r="AY299" s="5"/>
      <c r="AZ299" s="21" t="str">
        <f t="shared" si="66"/>
        <v/>
      </c>
      <c r="BA299" s="264" t="s">
        <v>341</v>
      </c>
      <c r="BB299" s="264"/>
      <c r="BC299" s="264"/>
      <c r="BD299" s="264" t="s">
        <v>99</v>
      </c>
      <c r="BE299" s="216" t="s">
        <v>52</v>
      </c>
      <c r="BF299" s="303">
        <v>0.25</v>
      </c>
      <c r="BG299" s="304">
        <f t="shared" ref="BG299:BP299" si="73">BF299</f>
        <v>0.25</v>
      </c>
      <c r="BH299" s="304">
        <f t="shared" si="73"/>
        <v>0.25</v>
      </c>
      <c r="BI299" s="304">
        <f t="shared" si="73"/>
        <v>0.25</v>
      </c>
      <c r="BJ299" s="304">
        <f t="shared" si="73"/>
        <v>0.25</v>
      </c>
      <c r="BK299" s="304">
        <f t="shared" si="73"/>
        <v>0.25</v>
      </c>
      <c r="BL299" s="304">
        <f t="shared" si="73"/>
        <v>0.25</v>
      </c>
      <c r="BM299" s="304">
        <f t="shared" si="73"/>
        <v>0.25</v>
      </c>
      <c r="BN299" s="304">
        <f t="shared" si="73"/>
        <v>0.25</v>
      </c>
      <c r="BO299" s="304">
        <f t="shared" si="73"/>
        <v>0.25</v>
      </c>
      <c r="BP299" s="304">
        <f t="shared" si="73"/>
        <v>0.25</v>
      </c>
      <c r="BQ299" s="5"/>
      <c r="BR299" s="25"/>
      <c r="BS299" s="5"/>
    </row>
    <row r="300" spans="1:71" s="3" customFormat="1" x14ac:dyDescent="0.25">
      <c r="A300" s="5"/>
      <c r="B300" s="3" t="str">
        <f t="array" ref="B300">IFERROR(INDEX(DemandSupply,MATCH(INDEX($AH$1:AH300,SMALL(ROW($AH$1:AH300)+(10000*($AH$1:AH300="")),COUNTA($AH$1:AH300))),Sectors,0)),"")</f>
        <v>Demand</v>
      </c>
      <c r="E300" s="10"/>
      <c r="F300" s="207"/>
      <c r="G300" s="207"/>
      <c r="H300" s="207"/>
      <c r="I300" s="207"/>
      <c r="J300" s="207"/>
      <c r="K300" s="207"/>
      <c r="L300" s="207"/>
      <c r="M300" s="207"/>
      <c r="N300" s="207"/>
      <c r="O300" s="207"/>
      <c r="P300" s="207"/>
      <c r="Q300" s="207"/>
      <c r="R300" s="207"/>
      <c r="S300" s="207"/>
      <c r="T300" s="207"/>
      <c r="U300" s="207"/>
      <c r="V300" s="207"/>
      <c r="W300" s="207"/>
      <c r="X300" s="207"/>
      <c r="Y300" s="207"/>
      <c r="Z300" s="207"/>
      <c r="AA300" s="207"/>
      <c r="AB300" s="207"/>
      <c r="AC300" s="5"/>
      <c r="AD300" s="63"/>
      <c r="AE300" s="64"/>
      <c r="AF300" s="64"/>
      <c r="AG300" s="212"/>
      <c r="AH300" s="64"/>
      <c r="AI300" s="64"/>
      <c r="AJ300" s="64"/>
      <c r="AK300" s="212"/>
      <c r="AL300" s="64"/>
      <c r="AM300" s="212"/>
      <c r="AN300" s="64"/>
      <c r="AO300" s="64"/>
      <c r="AP300" s="63"/>
      <c r="AQ300" s="64"/>
      <c r="AR300" s="63"/>
      <c r="AS300" s="64"/>
      <c r="AT300" s="63"/>
      <c r="AU300" s="64"/>
      <c r="AV300" s="63"/>
      <c r="AW300" s="64"/>
      <c r="AX300" s="63"/>
      <c r="AY300" s="5"/>
      <c r="AZ300" s="21" t="str">
        <f t="shared" si="66"/>
        <v/>
      </c>
      <c r="BA300" s="264" t="s">
        <v>392</v>
      </c>
      <c r="BB300" s="264"/>
      <c r="BC300" s="264"/>
      <c r="BD300" s="264" t="s">
        <v>99</v>
      </c>
      <c r="BE300" s="216" t="s">
        <v>52</v>
      </c>
      <c r="BF300" s="303"/>
      <c r="BG300" s="303"/>
      <c r="BH300" s="303"/>
      <c r="BI300" s="303"/>
      <c r="BJ300" s="303"/>
      <c r="BK300" s="303"/>
      <c r="BL300" s="303"/>
      <c r="BM300" s="303"/>
      <c r="BN300" s="303"/>
      <c r="BO300" s="303"/>
      <c r="BP300" s="303"/>
      <c r="BQ300" s="5"/>
      <c r="BR300" s="25"/>
      <c r="BS300" s="5"/>
    </row>
    <row r="301" spans="1:71" s="3" customFormat="1" x14ac:dyDescent="0.25">
      <c r="A301" s="5"/>
      <c r="B301" s="3" t="str">
        <f t="array" ref="B301">IFERROR(INDEX(DemandSupply,MATCH(INDEX($AH$1:AH301,SMALL(ROW($AH$1:AH301)+(10000*($AH$1:AH301="")),COUNTA($AH$1:AH301))),Sectors,0)),"")</f>
        <v>Demand</v>
      </c>
      <c r="E301" s="10"/>
      <c r="F301" s="207"/>
      <c r="G301" s="207"/>
      <c r="H301" s="207"/>
      <c r="I301" s="207"/>
      <c r="J301" s="207"/>
      <c r="K301" s="207"/>
      <c r="L301" s="207"/>
      <c r="M301" s="207"/>
      <c r="N301" s="207"/>
      <c r="O301" s="207"/>
      <c r="P301" s="207"/>
      <c r="Q301" s="207"/>
      <c r="R301" s="207"/>
      <c r="S301" s="207"/>
      <c r="T301" s="207"/>
      <c r="U301" s="207"/>
      <c r="V301" s="207"/>
      <c r="W301" s="207"/>
      <c r="X301" s="207"/>
      <c r="Y301" s="207"/>
      <c r="Z301" s="207"/>
      <c r="AA301" s="207"/>
      <c r="AB301" s="207"/>
      <c r="AC301" s="5"/>
      <c r="AD301" s="63"/>
      <c r="AE301" s="64"/>
      <c r="AF301" s="64"/>
      <c r="AG301" s="212"/>
      <c r="AH301" s="64"/>
      <c r="AI301" s="64"/>
      <c r="AJ301" s="64"/>
      <c r="AK301" s="212"/>
      <c r="AL301" s="64"/>
      <c r="AM301" s="212"/>
      <c r="AN301" s="64"/>
      <c r="AO301" s="64"/>
      <c r="AP301" s="63"/>
      <c r="AQ301" s="64"/>
      <c r="AR301" s="63"/>
      <c r="AS301" s="64"/>
      <c r="AT301" s="63"/>
      <c r="AU301" s="64"/>
      <c r="AV301" s="63"/>
      <c r="AW301" s="64"/>
      <c r="AX301" s="63"/>
      <c r="AY301" s="5"/>
      <c r="AZ301" s="21" t="str">
        <f t="shared" si="66"/>
        <v/>
      </c>
      <c r="BA301" s="264" t="s">
        <v>391</v>
      </c>
      <c r="BB301" s="264"/>
      <c r="BC301" s="264"/>
      <c r="BD301" s="264" t="s">
        <v>99</v>
      </c>
      <c r="BE301" s="216" t="s">
        <v>52</v>
      </c>
      <c r="BF301" s="303"/>
      <c r="BG301" s="303"/>
      <c r="BH301" s="303"/>
      <c r="BI301" s="303"/>
      <c r="BJ301" s="303"/>
      <c r="BK301" s="303"/>
      <c r="BL301" s="303"/>
      <c r="BM301" s="303"/>
      <c r="BN301" s="303"/>
      <c r="BO301" s="303"/>
      <c r="BP301" s="303"/>
      <c r="BQ301" s="5"/>
      <c r="BR301" s="25"/>
      <c r="BS301" s="5"/>
    </row>
    <row r="302" spans="1:71" s="3" customFormat="1" x14ac:dyDescent="0.25">
      <c r="A302" s="5"/>
      <c r="B302" s="3" t="str">
        <f t="array" ref="B302">IFERROR(INDEX(DemandSupply,MATCH(INDEX($AH$1:AH302,SMALL(ROW($AH$1:AH302)+(10000*($AH$1:AH302="")),COUNTA($AH$1:AH302))),Sectors,0)),"")</f>
        <v>Demand</v>
      </c>
      <c r="E302" s="10"/>
      <c r="F302" s="207"/>
      <c r="G302" s="207"/>
      <c r="H302" s="207"/>
      <c r="I302" s="207"/>
      <c r="J302" s="207"/>
      <c r="K302" s="207"/>
      <c r="L302" s="207"/>
      <c r="M302" s="207"/>
      <c r="N302" s="207"/>
      <c r="O302" s="207"/>
      <c r="P302" s="207"/>
      <c r="Q302" s="207"/>
      <c r="R302" s="207"/>
      <c r="S302" s="207"/>
      <c r="T302" s="207"/>
      <c r="U302" s="207"/>
      <c r="V302" s="207"/>
      <c r="W302" s="207"/>
      <c r="X302" s="207"/>
      <c r="Y302" s="207"/>
      <c r="Z302" s="207"/>
      <c r="AA302" s="207"/>
      <c r="AB302" s="207"/>
      <c r="AC302" s="5"/>
      <c r="AD302" s="63"/>
      <c r="AE302" s="64"/>
      <c r="AF302" s="64"/>
      <c r="AG302" s="212"/>
      <c r="AH302" s="64"/>
      <c r="AI302" s="64"/>
      <c r="AJ302" s="64"/>
      <c r="AK302" s="212"/>
      <c r="AL302" s="64"/>
      <c r="AM302" s="212"/>
      <c r="AN302" s="64"/>
      <c r="AO302" s="64"/>
      <c r="AP302" s="63"/>
      <c r="AQ302" s="64"/>
      <c r="AR302" s="63"/>
      <c r="AS302" s="64"/>
      <c r="AT302" s="63"/>
      <c r="AU302" s="64"/>
      <c r="AV302" s="63"/>
      <c r="AW302" s="64"/>
      <c r="AX302" s="63"/>
      <c r="AY302" s="5"/>
      <c r="AZ302" s="21" t="str">
        <f t="shared" si="66"/>
        <v/>
      </c>
      <c r="BA302" s="264" t="s">
        <v>144</v>
      </c>
      <c r="BB302" s="264"/>
      <c r="BC302" s="264"/>
      <c r="BD302" s="264" t="s">
        <v>34</v>
      </c>
      <c r="BE302" s="216" t="s">
        <v>52</v>
      </c>
      <c r="BF302" s="56"/>
      <c r="BG302" s="56"/>
      <c r="BH302" s="56"/>
      <c r="BI302" s="56"/>
      <c r="BJ302" s="56"/>
      <c r="BK302" s="56"/>
      <c r="BL302" s="56"/>
      <c r="BM302" s="56"/>
      <c r="BN302" s="56"/>
      <c r="BO302" s="56"/>
      <c r="BP302" s="56"/>
      <c r="BQ302" s="5"/>
      <c r="BR302" s="25"/>
      <c r="BS302" s="5"/>
    </row>
    <row r="303" spans="1:71" s="3" customFormat="1" x14ac:dyDescent="0.25">
      <c r="A303" s="5"/>
      <c r="B303" s="3" t="str">
        <f t="array" ref="B303">IFERROR(INDEX(DemandSupply,MATCH(INDEX($AH$1:AH303,SMALL(ROW($AH$1:AH303)+(10000*($AH$1:AH303="")),COUNTA($AH$1:AH303))),Sectors,0)),"")</f>
        <v>Demand</v>
      </c>
      <c r="E303" s="10"/>
      <c r="F303" s="207"/>
      <c r="G303" s="207"/>
      <c r="H303" s="207"/>
      <c r="I303" s="207"/>
      <c r="J303" s="207"/>
      <c r="K303" s="207"/>
      <c r="L303" s="207"/>
      <c r="M303" s="207"/>
      <c r="N303" s="207"/>
      <c r="O303" s="207"/>
      <c r="P303" s="207"/>
      <c r="Q303" s="207"/>
      <c r="R303" s="207"/>
      <c r="S303" s="207"/>
      <c r="T303" s="207"/>
      <c r="U303" s="207"/>
      <c r="V303" s="207"/>
      <c r="W303" s="207"/>
      <c r="X303" s="207"/>
      <c r="Y303" s="207"/>
      <c r="Z303" s="207"/>
      <c r="AA303" s="207"/>
      <c r="AB303" s="207"/>
      <c r="AC303" s="5"/>
      <c r="AD303" s="63"/>
      <c r="AE303" s="64"/>
      <c r="AF303" s="64"/>
      <c r="AG303" s="212"/>
      <c r="AH303" s="64"/>
      <c r="AI303" s="64"/>
      <c r="AJ303" s="64"/>
      <c r="AK303" s="212"/>
      <c r="AL303" s="64"/>
      <c r="AM303" s="212"/>
      <c r="AN303" s="64"/>
      <c r="AO303" s="64"/>
      <c r="AP303" s="63"/>
      <c r="AQ303" s="64"/>
      <c r="AR303" s="63"/>
      <c r="AS303" s="64"/>
      <c r="AT303" s="63"/>
      <c r="AU303" s="64"/>
      <c r="AV303" s="63"/>
      <c r="AW303" s="64"/>
      <c r="AX303" s="63"/>
      <c r="AY303" s="5"/>
      <c r="AZ303" s="21" t="str">
        <f t="shared" si="66"/>
        <v/>
      </c>
      <c r="BA303" s="264" t="s">
        <v>76</v>
      </c>
      <c r="BB303" s="264"/>
      <c r="BC303" s="264"/>
      <c r="BD303" s="264" t="s">
        <v>99</v>
      </c>
      <c r="BE303" s="216" t="s">
        <v>52</v>
      </c>
      <c r="BF303" s="303">
        <v>0.94</v>
      </c>
      <c r="BG303" s="303"/>
      <c r="BH303" s="303"/>
      <c r="BI303" s="303"/>
      <c r="BJ303" s="303"/>
      <c r="BK303" s="303"/>
      <c r="BL303" s="303"/>
      <c r="BM303" s="303"/>
      <c r="BN303" s="303"/>
      <c r="BO303" s="303"/>
      <c r="BP303" s="303"/>
      <c r="BQ303" s="5"/>
      <c r="BR303" s="25"/>
      <c r="BS303" s="5"/>
    </row>
    <row r="304" spans="1:71" s="3" customFormat="1" x14ac:dyDescent="0.25">
      <c r="A304" s="5"/>
      <c r="B304" s="3" t="str">
        <f t="array" ref="B304">IFERROR(INDEX(DemandSupply,MATCH(INDEX($AH$1:AH304,SMALL(ROW($AH$1:AH304)+(10000*($AH$1:AH304="")),COUNTA($AH$1:AH304))),Sectors,0)),"")</f>
        <v>Demand</v>
      </c>
      <c r="E304" s="10"/>
      <c r="F304" s="207"/>
      <c r="G304" s="207"/>
      <c r="H304" s="207"/>
      <c r="I304" s="207"/>
      <c r="J304" s="207"/>
      <c r="K304" s="207"/>
      <c r="L304" s="207"/>
      <c r="M304" s="207"/>
      <c r="N304" s="207"/>
      <c r="O304" s="207"/>
      <c r="P304" s="207"/>
      <c r="Q304" s="207"/>
      <c r="R304" s="207"/>
      <c r="S304" s="207"/>
      <c r="T304" s="207"/>
      <c r="U304" s="207"/>
      <c r="V304" s="207"/>
      <c r="W304" s="207"/>
      <c r="X304" s="207"/>
      <c r="Y304" s="207"/>
      <c r="Z304" s="207"/>
      <c r="AA304" s="207"/>
      <c r="AB304" s="207"/>
      <c r="AC304" s="5"/>
      <c r="AD304" s="63"/>
      <c r="AE304" s="64"/>
      <c r="AF304" s="64"/>
      <c r="AG304" s="212"/>
      <c r="AH304" s="64"/>
      <c r="AI304" s="64"/>
      <c r="AJ304" s="64"/>
      <c r="AK304" s="212"/>
      <c r="AL304" s="64"/>
      <c r="AM304" s="212"/>
      <c r="AN304" s="64"/>
      <c r="AO304" s="64"/>
      <c r="AP304" s="63"/>
      <c r="AQ304" s="64"/>
      <c r="AR304" s="63"/>
      <c r="AS304" s="64"/>
      <c r="AT304" s="63"/>
      <c r="AU304" s="64"/>
      <c r="AV304" s="63"/>
      <c r="AW304" s="64"/>
      <c r="AX304" s="63"/>
      <c r="AY304" s="5"/>
      <c r="AZ304" s="21" t="str">
        <f t="shared" si="66"/>
        <v/>
      </c>
      <c r="BA304" s="75" t="s">
        <v>166</v>
      </c>
      <c r="BB304" s="75"/>
      <c r="BC304" s="270"/>
      <c r="BD304" s="75" t="s">
        <v>99</v>
      </c>
      <c r="BE304" s="216" t="s">
        <v>52</v>
      </c>
      <c r="BF304" s="303"/>
      <c r="BG304" s="303"/>
      <c r="BH304" s="303"/>
      <c r="BI304" s="303"/>
      <c r="BJ304" s="303"/>
      <c r="BK304" s="303"/>
      <c r="BL304" s="303"/>
      <c r="BM304" s="303"/>
      <c r="BN304" s="303"/>
      <c r="BO304" s="303"/>
      <c r="BP304" s="303"/>
      <c r="BQ304" s="5"/>
      <c r="BR304" s="25"/>
      <c r="BS304" s="5"/>
    </row>
    <row r="305" spans="1:71" s="3" customFormat="1" x14ac:dyDescent="0.25">
      <c r="A305" s="5"/>
      <c r="B305" s="3" t="str">
        <f t="array" ref="B305">IFERROR(INDEX(DemandSupply,MATCH(INDEX($AH$1:AH305,SMALL(ROW($AH$1:AH305)+(10000*($AH$1:AH305="")),COUNTA($AH$1:AH305))),Sectors,0)),"")</f>
        <v>Demand</v>
      </c>
      <c r="E305" s="10"/>
      <c r="F305" s="207"/>
      <c r="G305" s="207"/>
      <c r="H305" s="207"/>
      <c r="I305" s="207"/>
      <c r="J305" s="207"/>
      <c r="K305" s="207"/>
      <c r="L305" s="207"/>
      <c r="M305" s="207"/>
      <c r="N305" s="207"/>
      <c r="O305" s="207"/>
      <c r="P305" s="207"/>
      <c r="Q305" s="207"/>
      <c r="R305" s="207"/>
      <c r="S305" s="207"/>
      <c r="T305" s="207"/>
      <c r="U305" s="207"/>
      <c r="V305" s="207"/>
      <c r="W305" s="207"/>
      <c r="X305" s="207"/>
      <c r="Y305" s="207"/>
      <c r="Z305" s="207"/>
      <c r="AA305" s="207"/>
      <c r="AB305" s="207"/>
      <c r="AC305" s="5"/>
      <c r="AD305" s="63"/>
      <c r="AE305" s="64"/>
      <c r="AF305" s="64"/>
      <c r="AG305" s="212"/>
      <c r="AH305" s="64"/>
      <c r="AI305" s="64"/>
      <c r="AJ305" s="64"/>
      <c r="AK305" s="212"/>
      <c r="AL305" s="64"/>
      <c r="AM305" s="212"/>
      <c r="AN305" s="64"/>
      <c r="AO305" s="64"/>
      <c r="AP305" s="63"/>
      <c r="AQ305" s="64"/>
      <c r="AR305" s="63"/>
      <c r="AS305" s="64"/>
      <c r="AT305" s="63"/>
      <c r="AU305" s="64"/>
      <c r="AV305" s="63"/>
      <c r="AW305" s="64"/>
      <c r="AX305" s="63"/>
      <c r="AY305" s="5"/>
      <c r="AZ305" s="21" t="str">
        <f t="shared" si="66"/>
        <v/>
      </c>
      <c r="BA305" s="75" t="s">
        <v>167</v>
      </c>
      <c r="BB305" s="75"/>
      <c r="BC305" s="270"/>
      <c r="BD305" s="75" t="s">
        <v>99</v>
      </c>
      <c r="BE305" s="216" t="s">
        <v>52</v>
      </c>
      <c r="BF305" s="303"/>
      <c r="BG305" s="303"/>
      <c r="BH305" s="303"/>
      <c r="BI305" s="303"/>
      <c r="BJ305" s="303"/>
      <c r="BK305" s="303"/>
      <c r="BL305" s="303"/>
      <c r="BM305" s="303"/>
      <c r="BN305" s="303"/>
      <c r="BO305" s="303"/>
      <c r="BP305" s="303"/>
      <c r="BQ305" s="5"/>
      <c r="BR305" s="25"/>
      <c r="BS305" s="5"/>
    </row>
    <row r="306" spans="1:71" s="3" customFormat="1" x14ac:dyDescent="0.25">
      <c r="A306" s="5"/>
      <c r="B306" s="3" t="str">
        <f t="array" ref="B306">IFERROR(INDEX(DemandSupply,MATCH(INDEX($AH$1:AH306,SMALL(ROW($AH$1:AH306)+(10000*($AH$1:AH306="")),COUNTA($AH$1:AH306))),Sectors,0)),"")</f>
        <v>Demand</v>
      </c>
      <c r="E306" s="10"/>
      <c r="F306" s="207"/>
      <c r="G306" s="207"/>
      <c r="H306" s="207"/>
      <c r="I306" s="207"/>
      <c r="J306" s="207"/>
      <c r="K306" s="207"/>
      <c r="L306" s="207"/>
      <c r="M306" s="207"/>
      <c r="N306" s="207"/>
      <c r="O306" s="207"/>
      <c r="P306" s="207"/>
      <c r="Q306" s="207"/>
      <c r="R306" s="207"/>
      <c r="S306" s="207"/>
      <c r="T306" s="207"/>
      <c r="U306" s="207"/>
      <c r="V306" s="207"/>
      <c r="W306" s="207"/>
      <c r="X306" s="207"/>
      <c r="Y306" s="207"/>
      <c r="Z306" s="207"/>
      <c r="AA306" s="207"/>
      <c r="AB306" s="207"/>
      <c r="AC306" s="5"/>
      <c r="AD306" s="63"/>
      <c r="AE306" s="64"/>
      <c r="AF306" s="64"/>
      <c r="AG306" s="212"/>
      <c r="AH306" s="64"/>
      <c r="AI306" s="64"/>
      <c r="AJ306" s="64"/>
      <c r="AK306" s="212"/>
      <c r="AL306" s="64"/>
      <c r="AM306" s="212"/>
      <c r="AN306" s="64"/>
      <c r="AO306" s="64"/>
      <c r="AP306" s="63"/>
      <c r="AQ306" s="64"/>
      <c r="AR306" s="63"/>
      <c r="AS306" s="64"/>
      <c r="AT306" s="63"/>
      <c r="AU306" s="64"/>
      <c r="AV306" s="63"/>
      <c r="AW306" s="64"/>
      <c r="AX306" s="63"/>
      <c r="AY306" s="5"/>
      <c r="AZ306" s="21" t="str">
        <f t="shared" si="66"/>
        <v/>
      </c>
      <c r="BA306" s="75" t="s">
        <v>408</v>
      </c>
      <c r="BB306" s="75"/>
      <c r="BC306" s="270"/>
      <c r="BD306" s="75" t="s">
        <v>99</v>
      </c>
      <c r="BE306" s="216" t="s">
        <v>52</v>
      </c>
      <c r="BF306" s="303"/>
      <c r="BG306" s="303"/>
      <c r="BH306" s="303"/>
      <c r="BI306" s="303"/>
      <c r="BJ306" s="303"/>
      <c r="BK306" s="303"/>
      <c r="BL306" s="303"/>
      <c r="BM306" s="303"/>
      <c r="BN306" s="303"/>
      <c r="BO306" s="303"/>
      <c r="BP306" s="303"/>
      <c r="BQ306" s="5"/>
      <c r="BR306" s="25"/>
      <c r="BS306" s="5"/>
    </row>
    <row r="307" spans="1:71" s="3" customFormat="1" x14ac:dyDescent="0.25">
      <c r="A307" s="5"/>
      <c r="B307" s="3" t="str">
        <f t="array" ref="B307">IFERROR(INDEX(DemandSupply,MATCH(INDEX($AH$1:AH307,SMALL(ROW($AH$1:AH307)+(10000*($AH$1:AH307="")),COUNTA($AH$1:AH307))),Sectors,0)),"")</f>
        <v>Demand</v>
      </c>
      <c r="E307" s="10"/>
      <c r="F307" s="207"/>
      <c r="G307" s="207"/>
      <c r="H307" s="207"/>
      <c r="I307" s="207"/>
      <c r="J307" s="207"/>
      <c r="K307" s="207"/>
      <c r="L307" s="207"/>
      <c r="M307" s="207"/>
      <c r="N307" s="207"/>
      <c r="O307" s="207"/>
      <c r="P307" s="207"/>
      <c r="Q307" s="207"/>
      <c r="R307" s="207"/>
      <c r="S307" s="207"/>
      <c r="T307" s="207"/>
      <c r="U307" s="207"/>
      <c r="V307" s="207"/>
      <c r="W307" s="207"/>
      <c r="X307" s="207"/>
      <c r="Y307" s="207"/>
      <c r="Z307" s="207"/>
      <c r="AA307" s="207"/>
      <c r="AB307" s="207"/>
      <c r="AC307" s="5"/>
      <c r="AD307" s="63"/>
      <c r="AE307" s="64"/>
      <c r="AF307" s="64"/>
      <c r="AG307" s="212"/>
      <c r="AH307" s="64"/>
      <c r="AI307" s="64"/>
      <c r="AJ307" s="64"/>
      <c r="AK307" s="212"/>
      <c r="AL307" s="64"/>
      <c r="AM307" s="212"/>
      <c r="AN307" s="64"/>
      <c r="AO307" s="64"/>
      <c r="AP307" s="63"/>
      <c r="AQ307" s="64"/>
      <c r="AR307" s="63"/>
      <c r="AS307" s="64"/>
      <c r="AT307" s="63"/>
      <c r="AU307" s="64"/>
      <c r="AV307" s="63"/>
      <c r="AW307" s="64"/>
      <c r="AX307" s="63"/>
      <c r="AY307" s="5"/>
      <c r="AZ307" s="21" t="str">
        <f t="shared" si="66"/>
        <v/>
      </c>
      <c r="BA307" s="75" t="s">
        <v>409</v>
      </c>
      <c r="BB307" s="75"/>
      <c r="BC307" s="270"/>
      <c r="BD307" s="75" t="s">
        <v>99</v>
      </c>
      <c r="BE307" s="216" t="s">
        <v>52</v>
      </c>
      <c r="BF307" s="303"/>
      <c r="BG307" s="303"/>
      <c r="BH307" s="303"/>
      <c r="BI307" s="303"/>
      <c r="BJ307" s="303"/>
      <c r="BK307" s="303"/>
      <c r="BL307" s="303"/>
      <c r="BM307" s="303"/>
      <c r="BN307" s="303"/>
      <c r="BO307" s="303"/>
      <c r="BP307" s="303"/>
      <c r="BQ307" s="5"/>
      <c r="BR307" s="25"/>
      <c r="BS307" s="5"/>
    </row>
    <row r="308" spans="1:71" s="3" customFormat="1" x14ac:dyDescent="0.25">
      <c r="A308" s="5"/>
      <c r="B308" s="3" t="str">
        <f t="array" ref="B308">IFERROR(INDEX(DemandSupply,MATCH(INDEX($AH$1:AH308,SMALL(ROW($AH$1:AH308)+(10000*($AH$1:AH308="")),COUNTA($AH$1:AH308))),Sectors,0)),"")</f>
        <v>Demand</v>
      </c>
      <c r="E308" s="10"/>
      <c r="F308" s="207"/>
      <c r="G308" s="207"/>
      <c r="H308" s="207"/>
      <c r="I308" s="207"/>
      <c r="J308" s="207"/>
      <c r="K308" s="207"/>
      <c r="L308" s="207"/>
      <c r="M308" s="207"/>
      <c r="N308" s="207"/>
      <c r="O308" s="207"/>
      <c r="P308" s="207"/>
      <c r="Q308" s="207"/>
      <c r="R308" s="207"/>
      <c r="S308" s="207"/>
      <c r="T308" s="207"/>
      <c r="U308" s="207"/>
      <c r="V308" s="207"/>
      <c r="W308" s="207"/>
      <c r="X308" s="207"/>
      <c r="Y308" s="207"/>
      <c r="Z308" s="207"/>
      <c r="AA308" s="207"/>
      <c r="AB308" s="207"/>
      <c r="AC308" s="5"/>
      <c r="AD308" s="63"/>
      <c r="AE308" s="64"/>
      <c r="AF308" s="64"/>
      <c r="AG308" s="212"/>
      <c r="AH308" s="64"/>
      <c r="AI308" s="64"/>
      <c r="AJ308" s="64"/>
      <c r="AK308" s="212"/>
      <c r="AL308" s="64"/>
      <c r="AM308" s="212"/>
      <c r="AN308" s="64"/>
      <c r="AO308" s="64"/>
      <c r="AP308" s="63"/>
      <c r="AQ308" s="64"/>
      <c r="AR308" s="63"/>
      <c r="AS308" s="64"/>
      <c r="AT308" s="63"/>
      <c r="AU308" s="64"/>
      <c r="AV308" s="63"/>
      <c r="AW308" s="64"/>
      <c r="AX308" s="63"/>
      <c r="AY308" s="5"/>
      <c r="AZ308" s="21" t="str">
        <f t="shared" si="66"/>
        <v/>
      </c>
      <c r="BA308" s="264" t="s">
        <v>371</v>
      </c>
      <c r="BB308" s="264"/>
      <c r="BC308" s="264"/>
      <c r="BD308" s="264" t="s">
        <v>34</v>
      </c>
      <c r="BE308" s="216" t="s">
        <v>52</v>
      </c>
      <c r="BF308" s="56"/>
      <c r="BG308" s="56"/>
      <c r="BH308" s="56"/>
      <c r="BI308" s="56"/>
      <c r="BJ308" s="56"/>
      <c r="BK308" s="56"/>
      <c r="BL308" s="56"/>
      <c r="BM308" s="56"/>
      <c r="BN308" s="56"/>
      <c r="BO308" s="56"/>
      <c r="BP308" s="56"/>
      <c r="BQ308" s="5"/>
      <c r="BR308" s="25"/>
      <c r="BS308" s="5"/>
    </row>
    <row r="309" spans="1:71" s="3" customFormat="1" x14ac:dyDescent="0.25">
      <c r="A309" s="5"/>
      <c r="B309" s="3" t="str">
        <f t="array" ref="B309">IFERROR(INDEX(DemandSupply,MATCH(INDEX($AH$1:AH309,SMALL(ROW($AH$1:AH309)+(10000*($AH$1:AH309="")),COUNTA($AH$1:AH309))),Sectors,0)),"")</f>
        <v>Demand</v>
      </c>
      <c r="E309" s="10"/>
      <c r="F309" s="207"/>
      <c r="G309" s="207"/>
      <c r="H309" s="207"/>
      <c r="I309" s="207"/>
      <c r="J309" s="207"/>
      <c r="K309" s="207"/>
      <c r="L309" s="207"/>
      <c r="M309" s="207"/>
      <c r="N309" s="207"/>
      <c r="O309" s="207"/>
      <c r="P309" s="207"/>
      <c r="Q309" s="207"/>
      <c r="R309" s="207"/>
      <c r="S309" s="207"/>
      <c r="T309" s="207"/>
      <c r="U309" s="207"/>
      <c r="V309" s="207"/>
      <c r="W309" s="207"/>
      <c r="X309" s="207"/>
      <c r="Y309" s="207"/>
      <c r="Z309" s="207"/>
      <c r="AA309" s="207"/>
      <c r="AB309" s="207"/>
      <c r="AC309" s="5"/>
      <c r="AD309" s="63"/>
      <c r="AE309" s="64"/>
      <c r="AF309" s="64"/>
      <c r="AG309" s="212"/>
      <c r="AH309" s="64"/>
      <c r="AI309" s="64"/>
      <c r="AJ309" s="64"/>
      <c r="AK309" s="212"/>
      <c r="AL309" s="64"/>
      <c r="AM309" s="212"/>
      <c r="AN309" s="64"/>
      <c r="AO309" s="64"/>
      <c r="AP309" s="63"/>
      <c r="AQ309" s="64"/>
      <c r="AR309" s="63"/>
      <c r="AS309" s="64"/>
      <c r="AT309" s="63"/>
      <c r="AU309" s="64"/>
      <c r="AV309" s="63"/>
      <c r="AW309" s="64"/>
      <c r="AX309" s="63"/>
      <c r="AY309" s="5"/>
      <c r="AZ309" s="21" t="str">
        <f t="shared" si="66"/>
        <v/>
      </c>
      <c r="BA309" s="264" t="s">
        <v>170</v>
      </c>
      <c r="BB309" s="264"/>
      <c r="BC309" s="264"/>
      <c r="BD309" s="264" t="s">
        <v>354</v>
      </c>
      <c r="BE309" s="216" t="s">
        <v>52</v>
      </c>
      <c r="BF309" s="308">
        <f>BF402/2</f>
        <v>1782.5</v>
      </c>
      <c r="BG309" s="245">
        <f>BF309</f>
        <v>1782.5</v>
      </c>
      <c r="BH309" s="245">
        <f t="shared" ref="BH309:BP309" si="74">BG309</f>
        <v>1782.5</v>
      </c>
      <c r="BI309" s="245">
        <f t="shared" si="74"/>
        <v>1782.5</v>
      </c>
      <c r="BJ309" s="245">
        <f t="shared" si="74"/>
        <v>1782.5</v>
      </c>
      <c r="BK309" s="245">
        <f t="shared" si="74"/>
        <v>1782.5</v>
      </c>
      <c r="BL309" s="245">
        <f t="shared" si="74"/>
        <v>1782.5</v>
      </c>
      <c r="BM309" s="245">
        <f t="shared" si="74"/>
        <v>1782.5</v>
      </c>
      <c r="BN309" s="245">
        <f t="shared" si="74"/>
        <v>1782.5</v>
      </c>
      <c r="BO309" s="245">
        <f t="shared" si="74"/>
        <v>1782.5</v>
      </c>
      <c r="BP309" s="245">
        <f t="shared" si="74"/>
        <v>1782.5</v>
      </c>
      <c r="BQ309" s="5"/>
      <c r="BR309" s="25"/>
      <c r="BS309" s="5"/>
    </row>
    <row r="310" spans="1:71" s="3" customFormat="1" x14ac:dyDescent="0.25">
      <c r="A310" s="5"/>
      <c r="B310" s="3" t="str">
        <f t="array" ref="B310">IFERROR(INDEX(DemandSupply,MATCH(INDEX($AH$1:AH310,SMALL(ROW($AH$1:AH310)+(10000*($AH$1:AH310="")),COUNTA($AH$1:AH310))),Sectors,0)),"")</f>
        <v>Demand</v>
      </c>
      <c r="E310" s="10"/>
      <c r="F310" s="207"/>
      <c r="G310" s="207"/>
      <c r="H310" s="207"/>
      <c r="I310" s="207"/>
      <c r="J310" s="207"/>
      <c r="K310" s="207"/>
      <c r="L310" s="207"/>
      <c r="M310" s="207"/>
      <c r="N310" s="207"/>
      <c r="O310" s="207"/>
      <c r="P310" s="207"/>
      <c r="Q310" s="207"/>
      <c r="R310" s="207"/>
      <c r="S310" s="207"/>
      <c r="T310" s="207"/>
      <c r="U310" s="207"/>
      <c r="V310" s="207"/>
      <c r="W310" s="207"/>
      <c r="X310" s="207"/>
      <c r="Y310" s="207"/>
      <c r="Z310" s="207"/>
      <c r="AA310" s="207"/>
      <c r="AB310" s="207"/>
      <c r="AC310" s="5"/>
      <c r="AD310" s="63"/>
      <c r="AE310" s="64"/>
      <c r="AF310" s="64"/>
      <c r="AG310" s="212"/>
      <c r="AH310" s="64"/>
      <c r="AI310" s="64"/>
      <c r="AJ310" s="64"/>
      <c r="AK310" s="212"/>
      <c r="AL310" s="64"/>
      <c r="AM310" s="212"/>
      <c r="AN310" s="64"/>
      <c r="AO310" s="64"/>
      <c r="AP310" s="63"/>
      <c r="AQ310" s="64"/>
      <c r="AR310" s="63"/>
      <c r="AS310" s="64"/>
      <c r="AT310" s="63"/>
      <c r="AU310" s="64"/>
      <c r="AV310" s="63"/>
      <c r="AW310" s="64"/>
      <c r="AX310" s="63"/>
      <c r="AY310" s="5"/>
      <c r="AZ310" s="21" t="str">
        <f t="shared" si="66"/>
        <v/>
      </c>
      <c r="BA310" s="264" t="s">
        <v>425</v>
      </c>
      <c r="BB310" s="264"/>
      <c r="BC310" s="264"/>
      <c r="BD310" s="264" t="s">
        <v>99</v>
      </c>
      <c r="BE310" s="216" t="s">
        <v>52</v>
      </c>
      <c r="BF310" s="303"/>
      <c r="BG310" s="303"/>
      <c r="BH310" s="303"/>
      <c r="BI310" s="303"/>
      <c r="BJ310" s="303"/>
      <c r="BK310" s="303"/>
      <c r="BL310" s="303"/>
      <c r="BM310" s="303"/>
      <c r="BN310" s="303"/>
      <c r="BO310" s="303"/>
      <c r="BP310" s="303"/>
      <c r="BQ310" s="5"/>
      <c r="BR310" s="25"/>
      <c r="BS310" s="5"/>
    </row>
    <row r="311" spans="1:71" s="3" customFormat="1" x14ac:dyDescent="0.25">
      <c r="A311" s="5"/>
      <c r="B311" s="3" t="str">
        <f t="array" ref="B311">IFERROR(INDEX(DemandSupply,MATCH(INDEX($AH$1:AH311,SMALL(ROW($AH$1:AH311)+(10000*($AH$1:AH311="")),COUNTA($AH$1:AH311))),Sectors,0)),"")</f>
        <v>Demand</v>
      </c>
      <c r="E311" s="10"/>
      <c r="F311" s="207"/>
      <c r="G311" s="207"/>
      <c r="H311" s="207"/>
      <c r="I311" s="207"/>
      <c r="J311" s="207"/>
      <c r="K311" s="207"/>
      <c r="L311" s="207"/>
      <c r="M311" s="207"/>
      <c r="N311" s="207"/>
      <c r="O311" s="207"/>
      <c r="P311" s="207"/>
      <c r="Q311" s="207"/>
      <c r="R311" s="207"/>
      <c r="S311" s="207"/>
      <c r="T311" s="207"/>
      <c r="U311" s="207"/>
      <c r="V311" s="207"/>
      <c r="W311" s="207"/>
      <c r="X311" s="207"/>
      <c r="Y311" s="207"/>
      <c r="Z311" s="207"/>
      <c r="AA311" s="207"/>
      <c r="AB311" s="207"/>
      <c r="AC311" s="5"/>
      <c r="AD311" s="63"/>
      <c r="AE311" s="64"/>
      <c r="AF311" s="64"/>
      <c r="AG311" s="212"/>
      <c r="AH311" s="64"/>
      <c r="AI311" s="64"/>
      <c r="AJ311" s="64"/>
      <c r="AK311" s="212"/>
      <c r="AL311" s="64"/>
      <c r="AM311" s="212"/>
      <c r="AN311" s="64"/>
      <c r="AO311" s="64"/>
      <c r="AP311" s="63"/>
      <c r="AQ311" s="64"/>
      <c r="AR311" s="63"/>
      <c r="AS311" s="64"/>
      <c r="AT311" s="63"/>
      <c r="AU311" s="64"/>
      <c r="AV311" s="63"/>
      <c r="AW311" s="64"/>
      <c r="AX311" s="63"/>
      <c r="AY311" s="5"/>
      <c r="AZ311" s="21" t="str">
        <f t="shared" si="66"/>
        <v/>
      </c>
      <c r="BA311" s="264" t="s">
        <v>438</v>
      </c>
      <c r="BB311" s="264"/>
      <c r="BC311" s="264"/>
      <c r="BD311" s="264" t="s">
        <v>34</v>
      </c>
      <c r="BE311" s="216" t="s">
        <v>52</v>
      </c>
      <c r="BF311" s="56"/>
      <c r="BG311" s="56"/>
      <c r="BH311" s="56"/>
      <c r="BI311" s="56"/>
      <c r="BJ311" s="56"/>
      <c r="BK311" s="56"/>
      <c r="BL311" s="56"/>
      <c r="BM311" s="56"/>
      <c r="BN311" s="56"/>
      <c r="BO311" s="56"/>
      <c r="BP311" s="56"/>
      <c r="BQ311" s="5"/>
      <c r="BR311" s="25"/>
      <c r="BS311" s="5"/>
    </row>
    <row r="312" spans="1:71" s="3" customFormat="1" x14ac:dyDescent="0.25">
      <c r="A312" s="5"/>
      <c r="B312" s="3" t="str">
        <f t="array" ref="B312">IFERROR(INDEX(DemandSupply,MATCH(INDEX($AH$1:AH312,SMALL(ROW($AH$1:AH312)+(10000*($AH$1:AH312="")),COUNTA($AH$1:AH312))),Sectors,0)),"")</f>
        <v>Demand</v>
      </c>
      <c r="E312" s="10"/>
      <c r="F312" s="207"/>
      <c r="G312" s="207"/>
      <c r="H312" s="207"/>
      <c r="I312" s="207"/>
      <c r="J312" s="207"/>
      <c r="K312" s="207"/>
      <c r="L312" s="207"/>
      <c r="M312" s="207"/>
      <c r="N312" s="207"/>
      <c r="O312" s="207"/>
      <c r="P312" s="207"/>
      <c r="Q312" s="207"/>
      <c r="R312" s="207"/>
      <c r="S312" s="207"/>
      <c r="T312" s="207"/>
      <c r="U312" s="207"/>
      <c r="V312" s="207"/>
      <c r="W312" s="207"/>
      <c r="X312" s="207"/>
      <c r="Y312" s="207"/>
      <c r="Z312" s="207"/>
      <c r="AA312" s="207"/>
      <c r="AB312" s="207"/>
      <c r="AC312" s="5"/>
      <c r="AD312" s="63"/>
      <c r="AE312" s="64"/>
      <c r="AF312" s="64"/>
      <c r="AG312" s="212"/>
      <c r="AH312" s="64"/>
      <c r="AI312" s="64"/>
      <c r="AJ312" s="64"/>
      <c r="AK312" s="212"/>
      <c r="AL312" s="64"/>
      <c r="AM312" s="212"/>
      <c r="AN312" s="64"/>
      <c r="AO312" s="64"/>
      <c r="AP312" s="63"/>
      <c r="AQ312" s="64"/>
      <c r="AR312" s="63"/>
      <c r="AS312" s="64"/>
      <c r="AT312" s="63"/>
      <c r="AU312" s="64"/>
      <c r="AV312" s="63"/>
      <c r="AW312" s="64"/>
      <c r="AX312" s="63"/>
      <c r="AY312" s="5"/>
      <c r="AZ312" s="21" t="str">
        <f t="shared" si="66"/>
        <v/>
      </c>
      <c r="BA312" s="264" t="s">
        <v>435</v>
      </c>
      <c r="BB312" s="264"/>
      <c r="BC312" s="264"/>
      <c r="BD312" s="264"/>
      <c r="BE312" s="216" t="s">
        <v>52</v>
      </c>
      <c r="BF312" s="55"/>
      <c r="BG312" s="55"/>
      <c r="BH312" s="55"/>
      <c r="BI312" s="55"/>
      <c r="BJ312" s="55"/>
      <c r="BK312" s="55"/>
      <c r="BL312" s="55"/>
      <c r="BM312" s="55"/>
      <c r="BN312" s="55"/>
      <c r="BO312" s="55"/>
      <c r="BP312" s="55"/>
      <c r="BQ312" s="5"/>
      <c r="BR312" s="25"/>
      <c r="BS312" s="5"/>
    </row>
    <row r="313" spans="1:71" s="3" customFormat="1" x14ac:dyDescent="0.25">
      <c r="A313" s="5"/>
      <c r="B313" s="3" t="str">
        <f t="array" ref="B313">IFERROR(INDEX(DemandSupply,MATCH(INDEX($AH$1:AH313,SMALL(ROW($AH$1:AH313)+(10000*($AH$1:AH313="")),COUNTA($AH$1:AH313))),Sectors,0)),"")</f>
        <v>Demand</v>
      </c>
      <c r="E313" s="10"/>
      <c r="F313" s="207"/>
      <c r="G313" s="207"/>
      <c r="H313" s="207"/>
      <c r="I313" s="207"/>
      <c r="J313" s="207"/>
      <c r="K313" s="207"/>
      <c r="L313" s="207"/>
      <c r="M313" s="207"/>
      <c r="N313" s="207"/>
      <c r="O313" s="207"/>
      <c r="P313" s="207"/>
      <c r="Q313" s="207"/>
      <c r="R313" s="207"/>
      <c r="S313" s="207"/>
      <c r="T313" s="207"/>
      <c r="U313" s="207"/>
      <c r="V313" s="207"/>
      <c r="W313" s="207"/>
      <c r="X313" s="207"/>
      <c r="Y313" s="207"/>
      <c r="Z313" s="207"/>
      <c r="AA313" s="207"/>
      <c r="AB313" s="207"/>
      <c r="AC313" s="5"/>
      <c r="AD313" s="63"/>
      <c r="AE313" s="64"/>
      <c r="AF313" s="64"/>
      <c r="AG313" s="212"/>
      <c r="AH313" s="64"/>
      <c r="AI313" s="64"/>
      <c r="AJ313" s="64"/>
      <c r="AK313" s="212"/>
      <c r="AL313" s="64"/>
      <c r="AM313" s="212"/>
      <c r="AN313" s="64"/>
      <c r="AO313" s="64"/>
      <c r="AP313" s="63"/>
      <c r="AQ313" s="64"/>
      <c r="AR313" s="63"/>
      <c r="AS313" s="64"/>
      <c r="AT313" s="63"/>
      <c r="AU313" s="64"/>
      <c r="AV313" s="63"/>
      <c r="AW313" s="64"/>
      <c r="AX313" s="63"/>
      <c r="AY313" s="5"/>
      <c r="AZ313" s="21" t="str">
        <f t="shared" si="66"/>
        <v/>
      </c>
      <c r="BA313" s="264" t="s">
        <v>407</v>
      </c>
      <c r="BB313" s="264"/>
      <c r="BC313" s="264"/>
      <c r="BD313" s="264" t="s">
        <v>99</v>
      </c>
      <c r="BE313" s="216" t="s">
        <v>52</v>
      </c>
      <c r="BF313" s="303"/>
      <c r="BG313" s="303"/>
      <c r="BH313" s="303"/>
      <c r="BI313" s="303"/>
      <c r="BJ313" s="303"/>
      <c r="BK313" s="303"/>
      <c r="BL313" s="303"/>
      <c r="BM313" s="303"/>
      <c r="BN313" s="303"/>
      <c r="BO313" s="303"/>
      <c r="BP313" s="303"/>
      <c r="BQ313" s="5"/>
      <c r="BR313" s="25"/>
      <c r="BS313" s="5"/>
    </row>
    <row r="314" spans="1:71" s="3" customFormat="1" x14ac:dyDescent="0.25">
      <c r="A314" s="5"/>
      <c r="B314" s="3" t="str">
        <f t="array" ref="B314">IFERROR(INDEX(DemandSupply,MATCH(INDEX($AH$1:AH314,SMALL(ROW($AH$1:AH314)+(10000*($AH$1:AH314="")),COUNTA($AH$1:AH314))),Sectors,0)),"")</f>
        <v>Demand</v>
      </c>
      <c r="E314" s="10"/>
      <c r="F314" s="207"/>
      <c r="G314" s="207"/>
      <c r="H314" s="207"/>
      <c r="I314" s="207"/>
      <c r="J314" s="207"/>
      <c r="K314" s="207"/>
      <c r="L314" s="207"/>
      <c r="M314" s="207"/>
      <c r="N314" s="207"/>
      <c r="O314" s="207"/>
      <c r="P314" s="207"/>
      <c r="Q314" s="207"/>
      <c r="R314" s="207"/>
      <c r="S314" s="207"/>
      <c r="T314" s="207"/>
      <c r="U314" s="207"/>
      <c r="V314" s="207"/>
      <c r="W314" s="207"/>
      <c r="X314" s="207"/>
      <c r="Y314" s="207"/>
      <c r="Z314" s="207"/>
      <c r="AA314" s="207"/>
      <c r="AB314" s="207"/>
      <c r="AC314" s="5"/>
      <c r="AD314" s="63"/>
      <c r="AE314" s="64"/>
      <c r="AF314" s="64"/>
      <c r="AG314" s="212"/>
      <c r="AH314" s="64"/>
      <c r="AI314" s="64"/>
      <c r="AJ314" s="64"/>
      <c r="AK314" s="212"/>
      <c r="AL314" s="64"/>
      <c r="AM314" s="212"/>
      <c r="AN314" s="64"/>
      <c r="AO314" s="64"/>
      <c r="AP314" s="63"/>
      <c r="AQ314" s="64"/>
      <c r="AR314" s="63"/>
      <c r="AS314" s="64"/>
      <c r="AT314" s="63"/>
      <c r="AU314" s="64"/>
      <c r="AV314" s="63"/>
      <c r="AW314" s="64"/>
      <c r="AX314" s="63"/>
      <c r="AY314" s="5"/>
      <c r="AZ314" s="21" t="str">
        <f t="shared" si="66"/>
        <v/>
      </c>
      <c r="BA314" s="264" t="s">
        <v>444</v>
      </c>
      <c r="BB314" s="264"/>
      <c r="BC314" s="264"/>
      <c r="BD314" s="264" t="s">
        <v>354</v>
      </c>
      <c r="BE314" s="216" t="s">
        <v>52</v>
      </c>
      <c r="BF314" s="56"/>
      <c r="BG314" s="56"/>
      <c r="BH314" s="56"/>
      <c r="BI314" s="56"/>
      <c r="BJ314" s="56"/>
      <c r="BK314" s="56"/>
      <c r="BL314" s="56"/>
      <c r="BM314" s="56"/>
      <c r="BN314" s="56"/>
      <c r="BO314" s="56"/>
      <c r="BP314" s="56"/>
      <c r="BQ314" s="5"/>
      <c r="BR314" s="25"/>
      <c r="BS314" s="5"/>
    </row>
    <row r="315" spans="1:71" s="3" customFormat="1" x14ac:dyDescent="0.25">
      <c r="A315" s="5"/>
      <c r="B315" s="3" t="str">
        <f t="array" ref="B315">IFERROR(INDEX(DemandSupply,MATCH(INDEX($AH$1:AH315,SMALL(ROW($AH$1:AH315)+(10000*($AH$1:AH315="")),COUNTA($AH$1:AH315))),Sectors,0)),"")</f>
        <v>Demand</v>
      </c>
      <c r="E315" s="10"/>
      <c r="F315" s="207"/>
      <c r="G315" s="207"/>
      <c r="H315" s="207"/>
      <c r="I315" s="207"/>
      <c r="J315" s="207"/>
      <c r="K315" s="207"/>
      <c r="L315" s="207"/>
      <c r="M315" s="207"/>
      <c r="N315" s="207"/>
      <c r="O315" s="207"/>
      <c r="P315" s="207"/>
      <c r="Q315" s="207"/>
      <c r="R315" s="207"/>
      <c r="S315" s="207"/>
      <c r="T315" s="207"/>
      <c r="U315" s="207"/>
      <c r="V315" s="207"/>
      <c r="W315" s="207"/>
      <c r="X315" s="207"/>
      <c r="Y315" s="207"/>
      <c r="Z315" s="207"/>
      <c r="AA315" s="207"/>
      <c r="AB315" s="207"/>
      <c r="AC315" s="5"/>
      <c r="AD315" s="63"/>
      <c r="AE315" s="64"/>
      <c r="AF315" s="64"/>
      <c r="AG315" s="212"/>
      <c r="AH315" s="64"/>
      <c r="AI315" s="64"/>
      <c r="AJ315" s="64"/>
      <c r="AK315" s="212"/>
      <c r="AL315" s="64"/>
      <c r="AM315" s="212"/>
      <c r="AN315" s="64"/>
      <c r="AO315" s="64"/>
      <c r="AP315" s="63"/>
      <c r="AQ315" s="64"/>
      <c r="AR315" s="63"/>
      <c r="AS315" s="64"/>
      <c r="AT315" s="63"/>
      <c r="AU315" s="64"/>
      <c r="AV315" s="63"/>
      <c r="AW315" s="64"/>
      <c r="AX315" s="63"/>
      <c r="AY315" s="5"/>
      <c r="AZ315" s="21" t="str">
        <f t="shared" si="66"/>
        <v/>
      </c>
      <c r="BA315" s="264" t="s">
        <v>446</v>
      </c>
      <c r="BB315" s="264"/>
      <c r="BC315" s="264"/>
      <c r="BD315" s="264" t="s">
        <v>354</v>
      </c>
      <c r="BE315" s="216" t="s">
        <v>52</v>
      </c>
      <c r="BF315" s="56"/>
      <c r="BG315" s="56"/>
      <c r="BH315" s="56"/>
      <c r="BI315" s="56"/>
      <c r="BJ315" s="56"/>
      <c r="BK315" s="56"/>
      <c r="BL315" s="56"/>
      <c r="BM315" s="56"/>
      <c r="BN315" s="56"/>
      <c r="BO315" s="56"/>
      <c r="BP315" s="56"/>
      <c r="BQ315" s="5"/>
      <c r="BR315" s="25"/>
      <c r="BS315" s="5"/>
    </row>
    <row r="316" spans="1:71" s="3" customFormat="1" x14ac:dyDescent="0.25">
      <c r="A316" s="5"/>
      <c r="B316" s="3" t="str">
        <f t="array" ref="B316">IFERROR(INDEX(DemandSupply,MATCH(INDEX($AH$1:AH316,SMALL(ROW($AH$1:AH316)+(10000*($AH$1:AH316="")),COUNTA($AH$1:AH316))),Sectors,0)),"")</f>
        <v>Demand</v>
      </c>
      <c r="E316" s="10"/>
      <c r="F316" s="207"/>
      <c r="G316" s="207"/>
      <c r="H316" s="207"/>
      <c r="I316" s="207"/>
      <c r="J316" s="207"/>
      <c r="K316" s="207"/>
      <c r="L316" s="207"/>
      <c r="M316" s="207"/>
      <c r="N316" s="207"/>
      <c r="O316" s="207"/>
      <c r="P316" s="207"/>
      <c r="Q316" s="207"/>
      <c r="R316" s="207"/>
      <c r="S316" s="207"/>
      <c r="T316" s="207"/>
      <c r="U316" s="207"/>
      <c r="V316" s="207"/>
      <c r="W316" s="207"/>
      <c r="X316" s="207"/>
      <c r="Y316" s="207"/>
      <c r="Z316" s="207"/>
      <c r="AA316" s="207"/>
      <c r="AB316" s="207"/>
      <c r="AC316" s="5"/>
      <c r="AD316" s="63"/>
      <c r="AE316" s="64"/>
      <c r="AF316" s="64"/>
      <c r="AG316" s="212"/>
      <c r="AH316" s="64"/>
      <c r="AI316" s="64"/>
      <c r="AJ316" s="64"/>
      <c r="AK316" s="212"/>
      <c r="AL316" s="64"/>
      <c r="AM316" s="212"/>
      <c r="AN316" s="64"/>
      <c r="AO316" s="64"/>
      <c r="AP316" s="63"/>
      <c r="AQ316" s="64"/>
      <c r="AR316" s="63"/>
      <c r="AS316" s="64"/>
      <c r="AT316" s="63"/>
      <c r="AU316" s="64"/>
      <c r="AV316" s="63"/>
      <c r="AW316" s="64"/>
      <c r="AX316" s="63"/>
      <c r="AY316" s="5"/>
      <c r="AZ316" s="21" t="str">
        <f t="shared" si="66"/>
        <v/>
      </c>
      <c r="BA316" s="264" t="s">
        <v>447</v>
      </c>
      <c r="BB316" s="264"/>
      <c r="BC316" s="264"/>
      <c r="BD316" s="264"/>
      <c r="BE316" s="216" t="s">
        <v>52</v>
      </c>
      <c r="BF316" s="55"/>
      <c r="BG316" s="55"/>
      <c r="BH316" s="55"/>
      <c r="BI316" s="55"/>
      <c r="BJ316" s="55"/>
      <c r="BK316" s="55"/>
      <c r="BL316" s="55"/>
      <c r="BM316" s="55"/>
      <c r="BN316" s="55"/>
      <c r="BO316" s="55"/>
      <c r="BP316" s="55"/>
      <c r="BQ316" s="5"/>
      <c r="BR316" s="25"/>
      <c r="BS316" s="5"/>
    </row>
    <row r="317" spans="1:71" s="3" customFormat="1" x14ac:dyDescent="0.25">
      <c r="A317" s="5"/>
      <c r="B317" s="3" t="str">
        <f t="array" ref="B317">IFERROR(INDEX(DemandSupply,MATCH(INDEX($AH$1:AH317,SMALL(ROW($AH$1:AH317)+(10000*($AH$1:AH317="")),COUNTA($AH$1:AH317))),Sectors,0)),"")</f>
        <v>Demand</v>
      </c>
      <c r="E317" s="10"/>
      <c r="F317" s="207"/>
      <c r="G317" s="207"/>
      <c r="H317" s="207"/>
      <c r="I317" s="207"/>
      <c r="J317" s="207"/>
      <c r="K317" s="207"/>
      <c r="L317" s="207"/>
      <c r="M317" s="207"/>
      <c r="N317" s="207"/>
      <c r="O317" s="207"/>
      <c r="P317" s="207"/>
      <c r="Q317" s="207"/>
      <c r="R317" s="207"/>
      <c r="S317" s="207"/>
      <c r="T317" s="207"/>
      <c r="U317" s="207"/>
      <c r="V317" s="207"/>
      <c r="W317" s="207"/>
      <c r="X317" s="207"/>
      <c r="Y317" s="207"/>
      <c r="Z317" s="207"/>
      <c r="AA317" s="207"/>
      <c r="AB317" s="207"/>
      <c r="AC317" s="5"/>
      <c r="AD317" s="63"/>
      <c r="AE317" s="64"/>
      <c r="AF317" s="64"/>
      <c r="AG317" s="212"/>
      <c r="AH317" s="64"/>
      <c r="AI317" s="64"/>
      <c r="AJ317" s="64"/>
      <c r="AK317" s="212"/>
      <c r="AL317" s="64"/>
      <c r="AM317" s="212"/>
      <c r="AN317" s="64"/>
      <c r="AO317" s="64"/>
      <c r="AP317" s="63"/>
      <c r="AQ317" s="64"/>
      <c r="AR317" s="63"/>
      <c r="AS317" s="64"/>
      <c r="AT317" s="63"/>
      <c r="AU317" s="64"/>
      <c r="AV317" s="63"/>
      <c r="AW317" s="64"/>
      <c r="AX317" s="63"/>
      <c r="AY317" s="5"/>
      <c r="AZ317" s="21" t="str">
        <f t="shared" si="66"/>
        <v/>
      </c>
      <c r="BA317" s="264" t="s">
        <v>448</v>
      </c>
      <c r="BB317" s="264"/>
      <c r="BC317" s="264"/>
      <c r="BD317" s="264"/>
      <c r="BE317" s="216" t="s">
        <v>52</v>
      </c>
      <c r="BF317" s="55"/>
      <c r="BG317" s="55"/>
      <c r="BH317" s="55"/>
      <c r="BI317" s="55"/>
      <c r="BJ317" s="55"/>
      <c r="BK317" s="55"/>
      <c r="BL317" s="55"/>
      <c r="BM317" s="55"/>
      <c r="BN317" s="55"/>
      <c r="BO317" s="55"/>
      <c r="BP317" s="55"/>
      <c r="BQ317" s="5"/>
      <c r="BR317" s="25"/>
      <c r="BS317" s="5"/>
    </row>
    <row r="318" spans="1:71" s="3" customFormat="1" x14ac:dyDescent="0.25">
      <c r="A318" s="5"/>
      <c r="B318" s="3" t="str">
        <f t="array" ref="B318">IFERROR(INDEX(DemandSupply,MATCH(INDEX($AH$1:AH318,SMALL(ROW($AH$1:AH318)+(10000*($AH$1:AH318="")),COUNTA($AH$1:AH318))),Sectors,0)),"")</f>
        <v>Demand</v>
      </c>
      <c r="E318" s="10"/>
      <c r="F318" s="207"/>
      <c r="G318" s="207"/>
      <c r="H318" s="207"/>
      <c r="I318" s="207"/>
      <c r="J318" s="207"/>
      <c r="K318" s="207"/>
      <c r="L318" s="207"/>
      <c r="M318" s="207"/>
      <c r="N318" s="207"/>
      <c r="O318" s="207"/>
      <c r="P318" s="207"/>
      <c r="Q318" s="207"/>
      <c r="R318" s="207"/>
      <c r="S318" s="207"/>
      <c r="T318" s="207"/>
      <c r="U318" s="207"/>
      <c r="V318" s="207"/>
      <c r="W318" s="207"/>
      <c r="X318" s="207"/>
      <c r="Y318" s="207"/>
      <c r="Z318" s="207"/>
      <c r="AA318" s="207"/>
      <c r="AB318" s="207"/>
      <c r="AC318" s="5"/>
      <c r="AD318" s="63"/>
      <c r="AE318" s="64"/>
      <c r="AF318" s="64"/>
      <c r="AG318" s="212"/>
      <c r="AH318" s="64"/>
      <c r="AI318" s="64"/>
      <c r="AJ318" s="64"/>
      <c r="AK318" s="212"/>
      <c r="AL318" s="64"/>
      <c r="AM318" s="212"/>
      <c r="AN318" s="64"/>
      <c r="AO318" s="64"/>
      <c r="AP318" s="63"/>
      <c r="AQ318" s="64"/>
      <c r="AR318" s="63"/>
      <c r="AS318" s="64"/>
      <c r="AT318" s="63"/>
      <c r="AU318" s="64"/>
      <c r="AV318" s="63"/>
      <c r="AW318" s="64"/>
      <c r="AX318" s="63"/>
      <c r="AY318" s="5"/>
      <c r="AZ318" s="21" t="str">
        <f t="shared" si="66"/>
        <v/>
      </c>
      <c r="BA318" s="264" t="s">
        <v>445</v>
      </c>
      <c r="BB318" s="264"/>
      <c r="BC318" s="264"/>
      <c r="BD318" s="264" t="s">
        <v>355</v>
      </c>
      <c r="BE318" s="216" t="s">
        <v>52</v>
      </c>
      <c r="BF318" s="56"/>
      <c r="BG318" s="56"/>
      <c r="BH318" s="56"/>
      <c r="BI318" s="56"/>
      <c r="BJ318" s="56"/>
      <c r="BK318" s="56"/>
      <c r="BL318" s="56"/>
      <c r="BM318" s="56"/>
      <c r="BN318" s="56"/>
      <c r="BO318" s="56"/>
      <c r="BP318" s="56"/>
      <c r="BQ318" s="5"/>
      <c r="BR318" s="25"/>
      <c r="BS318" s="5"/>
    </row>
    <row r="319" spans="1:71" s="3" customFormat="1" x14ac:dyDescent="0.25">
      <c r="A319" s="5"/>
      <c r="B319" s="3" t="str">
        <f t="array" ref="B319">IFERROR(INDEX(DemandSupply,MATCH(INDEX($AH$1:AH319,SMALL(ROW($AH$1:AH319)+(10000*($AH$1:AH319="")),COUNTA($AH$1:AH319))),Sectors,0)),"")</f>
        <v>Demand</v>
      </c>
      <c r="E319" s="10"/>
      <c r="F319" s="207"/>
      <c r="G319" s="207"/>
      <c r="H319" s="207"/>
      <c r="I319" s="207"/>
      <c r="J319" s="207"/>
      <c r="K319" s="207"/>
      <c r="L319" s="207"/>
      <c r="M319" s="207"/>
      <c r="N319" s="207"/>
      <c r="O319" s="207"/>
      <c r="P319" s="207"/>
      <c r="Q319" s="207"/>
      <c r="R319" s="207"/>
      <c r="S319" s="207"/>
      <c r="T319" s="207"/>
      <c r="U319" s="207"/>
      <c r="V319" s="207"/>
      <c r="W319" s="207"/>
      <c r="X319" s="207"/>
      <c r="Y319" s="207"/>
      <c r="Z319" s="207"/>
      <c r="AA319" s="207"/>
      <c r="AB319" s="207"/>
      <c r="AC319" s="5"/>
      <c r="AD319" s="63"/>
      <c r="AE319" s="64"/>
      <c r="AF319" s="64"/>
      <c r="AG319" s="212"/>
      <c r="AH319" s="64"/>
      <c r="AI319" s="64"/>
      <c r="AJ319" s="64"/>
      <c r="AK319" s="212"/>
      <c r="AL319" s="64"/>
      <c r="AM319" s="212"/>
      <c r="AN319" s="64"/>
      <c r="AO319" s="64"/>
      <c r="AP319" s="63"/>
      <c r="AQ319" s="64"/>
      <c r="AR319" s="63"/>
      <c r="AS319" s="64"/>
      <c r="AT319" s="63"/>
      <c r="AU319" s="64"/>
      <c r="AV319" s="63"/>
      <c r="AW319" s="64"/>
      <c r="AX319" s="63"/>
      <c r="AY319" s="5"/>
      <c r="AZ319" s="21" t="str">
        <f t="shared" si="66"/>
        <v/>
      </c>
      <c r="BA319" s="264" t="s">
        <v>449</v>
      </c>
      <c r="BB319" s="264"/>
      <c r="BC319" s="264"/>
      <c r="BD319" s="264" t="s">
        <v>355</v>
      </c>
      <c r="BE319" s="216" t="s">
        <v>52</v>
      </c>
      <c r="BF319" s="56"/>
      <c r="BG319" s="56"/>
      <c r="BH319" s="56"/>
      <c r="BI319" s="56"/>
      <c r="BJ319" s="56"/>
      <c r="BK319" s="56"/>
      <c r="BL319" s="56"/>
      <c r="BM319" s="56"/>
      <c r="BN319" s="56"/>
      <c r="BO319" s="56"/>
      <c r="BP319" s="56"/>
      <c r="BQ319" s="5"/>
      <c r="BR319" s="25"/>
      <c r="BS319" s="5"/>
    </row>
    <row r="320" spans="1:71" s="3" customFormat="1" x14ac:dyDescent="0.25">
      <c r="A320" s="5"/>
      <c r="B320" s="3" t="str">
        <f t="array" ref="B320">IFERROR(INDEX(DemandSupply,MATCH(INDEX($AH$1:AH320,SMALL(ROW($AH$1:AH320)+(10000*($AH$1:AH320="")),COUNTA($AH$1:AH320))),Sectors,0)),"")</f>
        <v>Demand</v>
      </c>
      <c r="E320" s="10"/>
      <c r="F320" s="207"/>
      <c r="G320" s="207"/>
      <c r="H320" s="207"/>
      <c r="I320" s="207"/>
      <c r="J320" s="207"/>
      <c r="K320" s="207"/>
      <c r="L320" s="207"/>
      <c r="M320" s="207"/>
      <c r="N320" s="207"/>
      <c r="O320" s="207"/>
      <c r="P320" s="207"/>
      <c r="Q320" s="207"/>
      <c r="R320" s="207"/>
      <c r="S320" s="207"/>
      <c r="T320" s="207"/>
      <c r="U320" s="207"/>
      <c r="V320" s="207"/>
      <c r="W320" s="207"/>
      <c r="X320" s="207"/>
      <c r="Y320" s="207"/>
      <c r="Z320" s="207"/>
      <c r="AA320" s="207"/>
      <c r="AB320" s="207"/>
      <c r="AC320" s="5"/>
      <c r="AD320" s="63"/>
      <c r="AE320" s="64"/>
      <c r="AF320" s="64"/>
      <c r="AG320" s="212"/>
      <c r="AH320" s="64"/>
      <c r="AI320" s="64"/>
      <c r="AJ320" s="64"/>
      <c r="AK320" s="212"/>
      <c r="AL320" s="64"/>
      <c r="AM320" s="212"/>
      <c r="AN320" s="64"/>
      <c r="AO320" s="64"/>
      <c r="AP320" s="63"/>
      <c r="AQ320" s="64"/>
      <c r="AR320" s="63"/>
      <c r="AS320" s="64"/>
      <c r="AT320" s="63"/>
      <c r="AU320" s="64"/>
      <c r="AV320" s="63"/>
      <c r="AW320" s="64"/>
      <c r="AX320" s="63"/>
      <c r="AY320" s="5"/>
      <c r="AZ320" s="21" t="str">
        <f t="shared" si="66"/>
        <v/>
      </c>
      <c r="BA320" s="264" t="s">
        <v>450</v>
      </c>
      <c r="BB320" s="264"/>
      <c r="BC320" s="264"/>
      <c r="BD320" s="264"/>
      <c r="BE320" s="216" t="s">
        <v>52</v>
      </c>
      <c r="BF320" s="55"/>
      <c r="BG320" s="55"/>
      <c r="BH320" s="55"/>
      <c r="BI320" s="55"/>
      <c r="BJ320" s="55"/>
      <c r="BK320" s="55"/>
      <c r="BL320" s="55"/>
      <c r="BM320" s="55"/>
      <c r="BN320" s="55"/>
      <c r="BO320" s="55"/>
      <c r="BP320" s="55"/>
      <c r="BQ320" s="5"/>
      <c r="BR320" s="25"/>
      <c r="BS320" s="5"/>
    </row>
    <row r="321" spans="1:71" s="3" customFormat="1" x14ac:dyDescent="0.25">
      <c r="A321" s="5"/>
      <c r="B321" s="3" t="str">
        <f t="array" ref="B321">IFERROR(INDEX(DemandSupply,MATCH(INDEX($AH$1:AH321,SMALL(ROW($AH$1:AH321)+(10000*($AH$1:AH321="")),COUNTA($AH$1:AH321))),Sectors,0)),"")</f>
        <v>Demand</v>
      </c>
      <c r="E321" s="10"/>
      <c r="F321" s="207"/>
      <c r="G321" s="207"/>
      <c r="H321" s="207"/>
      <c r="I321" s="207"/>
      <c r="J321" s="207"/>
      <c r="K321" s="207"/>
      <c r="L321" s="207"/>
      <c r="M321" s="207"/>
      <c r="N321" s="207"/>
      <c r="O321" s="207"/>
      <c r="P321" s="207"/>
      <c r="Q321" s="207"/>
      <c r="R321" s="207"/>
      <c r="S321" s="207"/>
      <c r="T321" s="207"/>
      <c r="U321" s="207"/>
      <c r="V321" s="207"/>
      <c r="W321" s="207"/>
      <c r="X321" s="207"/>
      <c r="Y321" s="207"/>
      <c r="Z321" s="207"/>
      <c r="AA321" s="207"/>
      <c r="AB321" s="207"/>
      <c r="AC321" s="5"/>
      <c r="AD321" s="63"/>
      <c r="AE321" s="64"/>
      <c r="AF321" s="64"/>
      <c r="AG321" s="212"/>
      <c r="AH321" s="64"/>
      <c r="AI321" s="64"/>
      <c r="AJ321" s="64"/>
      <c r="AK321" s="212"/>
      <c r="AL321" s="64"/>
      <c r="AM321" s="212"/>
      <c r="AN321" s="64"/>
      <c r="AO321" s="64"/>
      <c r="AP321" s="63"/>
      <c r="AQ321" s="64"/>
      <c r="AR321" s="63"/>
      <c r="AS321" s="64"/>
      <c r="AT321" s="63"/>
      <c r="AU321" s="64"/>
      <c r="AV321" s="63"/>
      <c r="AW321" s="64"/>
      <c r="AX321" s="63"/>
      <c r="AY321" s="5"/>
      <c r="AZ321" s="21" t="str">
        <f t="shared" si="66"/>
        <v/>
      </c>
      <c r="BA321" s="264" t="s">
        <v>451</v>
      </c>
      <c r="BB321" s="264"/>
      <c r="BC321" s="264"/>
      <c r="BD321" s="264"/>
      <c r="BE321" s="216" t="s">
        <v>52</v>
      </c>
      <c r="BF321" s="55"/>
      <c r="BG321" s="55"/>
      <c r="BH321" s="55"/>
      <c r="BI321" s="55"/>
      <c r="BJ321" s="55"/>
      <c r="BK321" s="55"/>
      <c r="BL321" s="55"/>
      <c r="BM321" s="55"/>
      <c r="BN321" s="55"/>
      <c r="BO321" s="55"/>
      <c r="BP321" s="55"/>
      <c r="BQ321" s="5"/>
      <c r="BR321" s="25"/>
      <c r="BS321" s="5"/>
    </row>
    <row r="322" spans="1:71" s="3" customFormat="1" x14ac:dyDescent="0.25">
      <c r="A322" s="5"/>
      <c r="B322" s="3" t="str">
        <f t="array" ref="B322">IFERROR(INDEX(DemandSupply,MATCH(INDEX($AH$1:AH322,SMALL(ROW($AH$1:AH322)+(10000*($AH$1:AH322="")),COUNTA($AH$1:AH322))),Sectors,0)),"")</f>
        <v>Demand</v>
      </c>
      <c r="E322" s="10"/>
      <c r="F322" s="207"/>
      <c r="G322" s="207"/>
      <c r="H322" s="207"/>
      <c r="I322" s="207"/>
      <c r="J322" s="207"/>
      <c r="K322" s="207"/>
      <c r="L322" s="207"/>
      <c r="M322" s="207"/>
      <c r="N322" s="207"/>
      <c r="O322" s="207"/>
      <c r="P322" s="207"/>
      <c r="Q322" s="207"/>
      <c r="R322" s="207"/>
      <c r="S322" s="207"/>
      <c r="T322" s="207"/>
      <c r="U322" s="207"/>
      <c r="V322" s="207"/>
      <c r="W322" s="207"/>
      <c r="X322" s="207"/>
      <c r="Y322" s="207"/>
      <c r="Z322" s="207"/>
      <c r="AA322" s="207"/>
      <c r="AB322" s="207"/>
      <c r="AC322" s="5"/>
      <c r="AD322" s="63"/>
      <c r="AE322" s="64"/>
      <c r="AF322" s="64"/>
      <c r="AG322" s="212"/>
      <c r="AH322" s="64"/>
      <c r="AI322" s="64"/>
      <c r="AJ322" s="64"/>
      <c r="AK322" s="212"/>
      <c r="AL322" s="64"/>
      <c r="AM322" s="212"/>
      <c r="AN322" s="64"/>
      <c r="AO322" s="64"/>
      <c r="AP322" s="63"/>
      <c r="AQ322" s="64"/>
      <c r="AR322" s="63"/>
      <c r="AS322" s="64"/>
      <c r="AT322" s="63"/>
      <c r="AU322" s="64"/>
      <c r="AV322" s="63"/>
      <c r="AW322" s="64"/>
      <c r="AX322" s="63"/>
      <c r="AY322" s="5"/>
      <c r="AZ322" s="21" t="str">
        <f t="shared" si="66"/>
        <v/>
      </c>
      <c r="BA322" s="264" t="s">
        <v>342</v>
      </c>
      <c r="BB322" s="264"/>
      <c r="BC322" s="264"/>
      <c r="BD322" s="264" t="s">
        <v>355</v>
      </c>
      <c r="BE322" s="216" t="s">
        <v>52</v>
      </c>
      <c r="BF322" s="56"/>
      <c r="BG322" s="56"/>
      <c r="BH322" s="56"/>
      <c r="BI322" s="56"/>
      <c r="BJ322" s="56"/>
      <c r="BK322" s="56"/>
      <c r="BL322" s="56"/>
      <c r="BM322" s="56"/>
      <c r="BN322" s="56"/>
      <c r="BO322" s="56"/>
      <c r="BP322" s="56"/>
      <c r="BQ322" s="5"/>
      <c r="BR322" s="25"/>
      <c r="BS322" s="5"/>
    </row>
    <row r="323" spans="1:71" s="3" customFormat="1" x14ac:dyDescent="0.25">
      <c r="A323" s="5"/>
      <c r="B323" s="3" t="str">
        <f t="array" ref="B323">IFERROR(INDEX(DemandSupply,MATCH(INDEX($AH$1:AH323,SMALL(ROW($AH$1:AH323)+(10000*($AH$1:AH323="")),COUNTA($AH$1:AH323))),Sectors,0)),"")</f>
        <v>Demand</v>
      </c>
      <c r="E323" s="10"/>
      <c r="F323" s="207"/>
      <c r="G323" s="207"/>
      <c r="H323" s="207"/>
      <c r="I323" s="207"/>
      <c r="J323" s="207"/>
      <c r="K323" s="207"/>
      <c r="L323" s="207"/>
      <c r="M323" s="207"/>
      <c r="N323" s="207"/>
      <c r="O323" s="207"/>
      <c r="P323" s="207"/>
      <c r="Q323" s="207"/>
      <c r="R323" s="207"/>
      <c r="S323" s="207"/>
      <c r="T323" s="207"/>
      <c r="U323" s="207"/>
      <c r="V323" s="207"/>
      <c r="W323" s="207"/>
      <c r="X323" s="207"/>
      <c r="Y323" s="207"/>
      <c r="Z323" s="207"/>
      <c r="AA323" s="207"/>
      <c r="AB323" s="207"/>
      <c r="AC323" s="5"/>
      <c r="AD323" s="63"/>
      <c r="AE323" s="64"/>
      <c r="AF323" s="64"/>
      <c r="AG323" s="212"/>
      <c r="AH323" s="64"/>
      <c r="AI323" s="64"/>
      <c r="AJ323" s="64"/>
      <c r="AK323" s="212"/>
      <c r="AL323" s="64"/>
      <c r="AM323" s="212"/>
      <c r="AN323" s="64"/>
      <c r="AO323" s="64"/>
      <c r="AP323" s="63"/>
      <c r="AQ323" s="64"/>
      <c r="AR323" s="63"/>
      <c r="AS323" s="64"/>
      <c r="AT323" s="63"/>
      <c r="AU323" s="64"/>
      <c r="AV323" s="63"/>
      <c r="AW323" s="64"/>
      <c r="AX323" s="63"/>
      <c r="AY323" s="5"/>
      <c r="AZ323" s="21" t="str">
        <f t="shared" si="66"/>
        <v/>
      </c>
      <c r="BA323" s="264" t="s">
        <v>394</v>
      </c>
      <c r="BB323" s="264"/>
      <c r="BC323" s="264"/>
      <c r="BD323" s="264" t="s">
        <v>354</v>
      </c>
      <c r="BE323" s="216" t="s">
        <v>52</v>
      </c>
      <c r="BF323" s="56"/>
      <c r="BG323" s="56"/>
      <c r="BH323" s="56"/>
      <c r="BI323" s="56"/>
      <c r="BJ323" s="56"/>
      <c r="BK323" s="56"/>
      <c r="BL323" s="56"/>
      <c r="BM323" s="56"/>
      <c r="BN323" s="56"/>
      <c r="BO323" s="56"/>
      <c r="BP323" s="56"/>
      <c r="BQ323" s="5"/>
      <c r="BR323" s="25"/>
      <c r="BS323" s="5"/>
    </row>
    <row r="324" spans="1:71" s="3" customFormat="1" x14ac:dyDescent="0.25">
      <c r="A324" s="5"/>
      <c r="B324" s="3" t="str">
        <f t="array" ref="B324">IFERROR(INDEX(DemandSupply,MATCH(INDEX($AH$1:AH324,SMALL(ROW($AH$1:AH324)+(10000*($AH$1:AH324="")),COUNTA($AH$1:AH324))),Sectors,0)),"")</f>
        <v>Demand</v>
      </c>
      <c r="E324" s="10">
        <f t="shared" si="56"/>
        <v>0</v>
      </c>
      <c r="F324" s="207">
        <v>1</v>
      </c>
      <c r="G324" s="207">
        <v>1</v>
      </c>
      <c r="H324" s="207">
        <v>1</v>
      </c>
      <c r="I324" s="207">
        <v>1</v>
      </c>
      <c r="J324" s="207">
        <v>1</v>
      </c>
      <c r="K324" s="207">
        <v>1</v>
      </c>
      <c r="L324" s="207">
        <v>1</v>
      </c>
      <c r="M324" s="207">
        <v>1</v>
      </c>
      <c r="N324" s="207">
        <v>1</v>
      </c>
      <c r="O324" s="207">
        <v>1</v>
      </c>
      <c r="P324" s="207">
        <v>1</v>
      </c>
      <c r="Q324" s="207">
        <v>1</v>
      </c>
      <c r="R324" s="207">
        <v>1</v>
      </c>
      <c r="S324" s="207">
        <v>1</v>
      </c>
      <c r="T324" s="207">
        <v>1</v>
      </c>
      <c r="U324" s="207">
        <v>1</v>
      </c>
      <c r="V324" s="207">
        <v>1</v>
      </c>
      <c r="W324" s="207">
        <v>1</v>
      </c>
      <c r="X324" s="207">
        <v>1</v>
      </c>
      <c r="Y324" s="207">
        <v>1</v>
      </c>
      <c r="Z324" s="207">
        <v>1</v>
      </c>
      <c r="AA324" s="207">
        <v>1</v>
      </c>
      <c r="AB324" s="207">
        <v>1</v>
      </c>
      <c r="AC324" s="5"/>
      <c r="AD324" s="63"/>
      <c r="AE324" s="64"/>
      <c r="AF324" s="64"/>
      <c r="AG324" s="212"/>
      <c r="AH324" s="64"/>
      <c r="AI324" s="64"/>
      <c r="AJ324" s="65"/>
      <c r="AK324" s="212"/>
      <c r="AL324" s="64"/>
      <c r="AM324" s="212"/>
      <c r="AN324" s="63"/>
      <c r="AO324" s="64"/>
      <c r="AP324" s="64"/>
      <c r="AQ324" s="64"/>
      <c r="AR324" s="63"/>
      <c r="AS324" s="64"/>
      <c r="AT324" s="63"/>
      <c r="AU324" s="64"/>
      <c r="AV324" s="63"/>
      <c r="AW324" s="64"/>
      <c r="AX324" s="63"/>
      <c r="AY324" s="5"/>
      <c r="AZ324" s="21" t="str">
        <f t="shared" si="66"/>
        <v/>
      </c>
      <c r="BA324" s="74" t="s">
        <v>338</v>
      </c>
      <c r="BB324" s="25"/>
      <c r="BC324" s="74" t="s">
        <v>185</v>
      </c>
      <c r="BD324" s="74" t="s">
        <v>367</v>
      </c>
      <c r="BE324" s="216" t="s">
        <v>52</v>
      </c>
      <c r="BF324" s="314">
        <f>1/0.62</f>
        <v>1.6129032258064517</v>
      </c>
      <c r="BG324" s="314">
        <f t="shared" ref="BG324:BP324" si="75">1/0.62</f>
        <v>1.6129032258064517</v>
      </c>
      <c r="BH324" s="314">
        <f t="shared" si="75"/>
        <v>1.6129032258064517</v>
      </c>
      <c r="BI324" s="314">
        <f t="shared" si="75"/>
        <v>1.6129032258064517</v>
      </c>
      <c r="BJ324" s="314">
        <f t="shared" si="75"/>
        <v>1.6129032258064517</v>
      </c>
      <c r="BK324" s="314">
        <f t="shared" si="75"/>
        <v>1.6129032258064517</v>
      </c>
      <c r="BL324" s="314">
        <f t="shared" si="75"/>
        <v>1.6129032258064517</v>
      </c>
      <c r="BM324" s="314">
        <f t="shared" si="75"/>
        <v>1.6129032258064517</v>
      </c>
      <c r="BN324" s="314">
        <f t="shared" si="75"/>
        <v>1.6129032258064517</v>
      </c>
      <c r="BO324" s="314">
        <f t="shared" si="75"/>
        <v>1.6129032258064517</v>
      </c>
      <c r="BP324" s="314">
        <f t="shared" si="75"/>
        <v>1.6129032258064517</v>
      </c>
      <c r="BQ324" s="5"/>
      <c r="BR324" s="25"/>
      <c r="BS324" s="5"/>
    </row>
    <row r="325" spans="1:71" s="3" customFormat="1" x14ac:dyDescent="0.25">
      <c r="A325" s="5"/>
      <c r="B325" s="3" t="str">
        <f t="array" ref="B325">IFERROR(INDEX(DemandSupply,MATCH(INDEX($AH$1:AH325,SMALL(ROW($AH$1:AH325)+(10000*($AH$1:AH325="")),COUNTA($AH$1:AH325))),Sectors,0)),"")</f>
        <v>Demand</v>
      </c>
      <c r="E325" s="10">
        <f t="shared" si="56"/>
        <v>0</v>
      </c>
      <c r="F325" s="207">
        <v>1</v>
      </c>
      <c r="G325" s="207">
        <v>1</v>
      </c>
      <c r="H325" s="207">
        <v>1</v>
      </c>
      <c r="I325" s="207">
        <v>1</v>
      </c>
      <c r="J325" s="207">
        <v>1</v>
      </c>
      <c r="K325" s="207">
        <v>1</v>
      </c>
      <c r="L325" s="207">
        <v>1</v>
      </c>
      <c r="M325" s="207">
        <v>1</v>
      </c>
      <c r="N325" s="207">
        <v>1</v>
      </c>
      <c r="O325" s="207">
        <v>1</v>
      </c>
      <c r="P325" s="207">
        <v>1</v>
      </c>
      <c r="Q325" s="207">
        <v>1</v>
      </c>
      <c r="R325" s="207">
        <v>1</v>
      </c>
      <c r="S325" s="207">
        <v>1</v>
      </c>
      <c r="T325" s="207">
        <v>1</v>
      </c>
      <c r="U325" s="207">
        <v>1</v>
      </c>
      <c r="V325" s="207">
        <v>1</v>
      </c>
      <c r="W325" s="207">
        <v>1</v>
      </c>
      <c r="X325" s="207">
        <v>1</v>
      </c>
      <c r="Y325" s="207">
        <v>1</v>
      </c>
      <c r="Z325" s="207">
        <v>1</v>
      </c>
      <c r="AA325" s="207">
        <v>1</v>
      </c>
      <c r="AB325" s="207">
        <v>1</v>
      </c>
      <c r="AC325" s="5"/>
      <c r="AD325" s="63"/>
      <c r="AE325" s="64"/>
      <c r="AF325" s="64"/>
      <c r="AG325" s="212"/>
      <c r="AH325" s="64"/>
      <c r="AI325" s="64"/>
      <c r="AJ325" s="65"/>
      <c r="AK325" s="212"/>
      <c r="AL325" s="64"/>
      <c r="AM325" s="212"/>
      <c r="AN325" s="63"/>
      <c r="AO325" s="64"/>
      <c r="AP325" s="64"/>
      <c r="AQ325" s="64"/>
      <c r="AR325" s="63"/>
      <c r="AS325" s="64"/>
      <c r="AT325" s="63"/>
      <c r="AU325" s="64"/>
      <c r="AV325" s="63"/>
      <c r="AW325" s="64"/>
      <c r="AX325" s="63"/>
      <c r="AY325" s="5"/>
      <c r="AZ325" s="21" t="str">
        <f t="shared" si="66"/>
        <v/>
      </c>
      <c r="BA325" s="291" t="s">
        <v>51</v>
      </c>
      <c r="BB325" s="25"/>
      <c r="BC325" s="2"/>
      <c r="BD325" s="2"/>
      <c r="BE325" s="216" t="s">
        <v>54</v>
      </c>
      <c r="BF325" s="4"/>
      <c r="BG325" s="4"/>
      <c r="BH325" s="4"/>
      <c r="BI325" s="4"/>
      <c r="BJ325" s="4"/>
      <c r="BK325" s="4"/>
      <c r="BL325" s="4"/>
      <c r="BM325" s="4"/>
      <c r="BN325" s="4"/>
      <c r="BO325" s="4"/>
      <c r="BP325" s="4"/>
      <c r="BQ325" s="5"/>
      <c r="BR325" s="25"/>
      <c r="BS325" s="5"/>
    </row>
    <row r="326" spans="1:71" s="3" customFormat="1" x14ac:dyDescent="0.25">
      <c r="A326" s="5"/>
      <c r="B326" s="3" t="str">
        <f t="array" ref="B326">IFERROR(INDEX(DemandSupply,MATCH(INDEX($AH$1:AH326,SMALL(ROW($AH$1:AH326)+(10000*($AH$1:AH326="")),COUNTA($AH$1:AH326))),Sectors,0)),"")</f>
        <v>Demand</v>
      </c>
      <c r="E326" s="10"/>
      <c r="F326" s="207"/>
      <c r="G326" s="207"/>
      <c r="H326" s="207"/>
      <c r="I326" s="207"/>
      <c r="J326" s="207"/>
      <c r="K326" s="207"/>
      <c r="L326" s="207"/>
      <c r="M326" s="207"/>
      <c r="N326" s="207"/>
      <c r="O326" s="207"/>
      <c r="P326" s="207"/>
      <c r="Q326" s="207"/>
      <c r="R326" s="207"/>
      <c r="S326" s="207"/>
      <c r="T326" s="207"/>
      <c r="U326" s="207"/>
      <c r="V326" s="207"/>
      <c r="W326" s="207"/>
      <c r="X326" s="207"/>
      <c r="Y326" s="207"/>
      <c r="Z326" s="207"/>
      <c r="AA326" s="207"/>
      <c r="AB326" s="207"/>
      <c r="AC326" s="5"/>
      <c r="AD326" s="63"/>
      <c r="AE326" s="64"/>
      <c r="AF326" s="64"/>
      <c r="AG326" s="212"/>
      <c r="AH326" s="64"/>
      <c r="AI326" s="64"/>
      <c r="AJ326" s="64"/>
      <c r="AK326" s="212"/>
      <c r="AL326" s="64"/>
      <c r="AM326" s="212"/>
      <c r="AN326" s="64"/>
      <c r="AO326" s="64"/>
      <c r="AP326" s="63"/>
      <c r="AQ326" s="64"/>
      <c r="AR326" s="63"/>
      <c r="AS326" s="64"/>
      <c r="AT326" s="63"/>
      <c r="AU326" s="64"/>
      <c r="AV326" s="63"/>
      <c r="AW326" s="64"/>
      <c r="AX326" s="63"/>
      <c r="AY326" s="5"/>
      <c r="AZ326" s="21" t="str">
        <f t="shared" si="66"/>
        <v/>
      </c>
      <c r="BA326" s="264" t="s">
        <v>38</v>
      </c>
      <c r="BB326" s="264"/>
      <c r="BC326" s="264"/>
      <c r="BD326" s="264" t="s">
        <v>40</v>
      </c>
      <c r="BE326" s="216" t="s">
        <v>54</v>
      </c>
      <c r="BF326" s="309">
        <v>2000</v>
      </c>
      <c r="BG326" s="310">
        <f t="shared" ref="BG326:BP326" si="76">BF326</f>
        <v>2000</v>
      </c>
      <c r="BH326" s="310">
        <f t="shared" si="76"/>
        <v>2000</v>
      </c>
      <c r="BI326" s="310">
        <f t="shared" si="76"/>
        <v>2000</v>
      </c>
      <c r="BJ326" s="310">
        <f t="shared" si="76"/>
        <v>2000</v>
      </c>
      <c r="BK326" s="310">
        <f t="shared" si="76"/>
        <v>2000</v>
      </c>
      <c r="BL326" s="310">
        <f t="shared" si="76"/>
        <v>2000</v>
      </c>
      <c r="BM326" s="310">
        <f t="shared" si="76"/>
        <v>2000</v>
      </c>
      <c r="BN326" s="310">
        <f t="shared" si="76"/>
        <v>2000</v>
      </c>
      <c r="BO326" s="310">
        <f t="shared" si="76"/>
        <v>2000</v>
      </c>
      <c r="BP326" s="310">
        <f t="shared" si="76"/>
        <v>2000</v>
      </c>
      <c r="BQ326" s="5"/>
      <c r="BR326" s="25"/>
      <c r="BS326" s="5"/>
    </row>
    <row r="327" spans="1:71" s="3" customFormat="1" x14ac:dyDescent="0.25">
      <c r="A327" s="5"/>
      <c r="B327" s="3" t="str">
        <f t="array" ref="B327">IFERROR(INDEX(DemandSupply,MATCH(INDEX($AH$1:AH327,SMALL(ROW($AH$1:AH327)+(10000*($AH$1:AH327="")),COUNTA($AH$1:AH327))),Sectors,0)),"")</f>
        <v>Demand</v>
      </c>
      <c r="E327" s="10"/>
      <c r="F327" s="207"/>
      <c r="G327" s="207"/>
      <c r="H327" s="207"/>
      <c r="I327" s="207"/>
      <c r="J327" s="207"/>
      <c r="K327" s="207"/>
      <c r="L327" s="207"/>
      <c r="M327" s="207"/>
      <c r="N327" s="207"/>
      <c r="O327" s="207"/>
      <c r="P327" s="207"/>
      <c r="Q327" s="207"/>
      <c r="R327" s="207"/>
      <c r="S327" s="207"/>
      <c r="T327" s="207"/>
      <c r="U327" s="207"/>
      <c r="V327" s="207"/>
      <c r="W327" s="207"/>
      <c r="X327" s="207"/>
      <c r="Y327" s="207"/>
      <c r="Z327" s="207"/>
      <c r="AA327" s="207"/>
      <c r="AB327" s="207"/>
      <c r="AC327" s="5"/>
      <c r="AD327" s="63"/>
      <c r="AE327" s="64"/>
      <c r="AF327" s="64"/>
      <c r="AG327" s="212"/>
      <c r="AH327" s="64"/>
      <c r="AI327" s="64"/>
      <c r="AJ327" s="64"/>
      <c r="AK327" s="212"/>
      <c r="AL327" s="64"/>
      <c r="AM327" s="212"/>
      <c r="AN327" s="64"/>
      <c r="AO327" s="64"/>
      <c r="AP327" s="63"/>
      <c r="AQ327" s="64"/>
      <c r="AR327" s="63"/>
      <c r="AS327" s="64"/>
      <c r="AT327" s="63"/>
      <c r="AU327" s="64"/>
      <c r="AV327" s="63"/>
      <c r="AW327" s="64"/>
      <c r="AX327" s="63"/>
      <c r="AY327" s="5"/>
      <c r="AZ327" s="21" t="str">
        <f t="shared" si="66"/>
        <v/>
      </c>
      <c r="BA327" s="264" t="s">
        <v>37</v>
      </c>
      <c r="BB327" s="264"/>
      <c r="BC327" s="264"/>
      <c r="BD327" s="264" t="s">
        <v>40</v>
      </c>
      <c r="BE327" s="216" t="s">
        <v>54</v>
      </c>
      <c r="BF327" s="309">
        <v>2100</v>
      </c>
      <c r="BG327" s="310">
        <f t="shared" ref="BG327:BP327" si="77">BF327</f>
        <v>2100</v>
      </c>
      <c r="BH327" s="310">
        <f t="shared" si="77"/>
        <v>2100</v>
      </c>
      <c r="BI327" s="310">
        <f t="shared" si="77"/>
        <v>2100</v>
      </c>
      <c r="BJ327" s="310">
        <f t="shared" si="77"/>
        <v>2100</v>
      </c>
      <c r="BK327" s="310">
        <f t="shared" si="77"/>
        <v>2100</v>
      </c>
      <c r="BL327" s="310">
        <f t="shared" si="77"/>
        <v>2100</v>
      </c>
      <c r="BM327" s="310">
        <f t="shared" si="77"/>
        <v>2100</v>
      </c>
      <c r="BN327" s="310">
        <f t="shared" si="77"/>
        <v>2100</v>
      </c>
      <c r="BO327" s="310">
        <f t="shared" si="77"/>
        <v>2100</v>
      </c>
      <c r="BP327" s="310">
        <f t="shared" si="77"/>
        <v>2100</v>
      </c>
      <c r="BQ327" s="5"/>
      <c r="BR327" s="25"/>
      <c r="BS327" s="5"/>
    </row>
    <row r="328" spans="1:71" s="3" customFormat="1" x14ac:dyDescent="0.25">
      <c r="A328" s="5"/>
      <c r="B328" s="3" t="str">
        <f t="array" ref="B328">IFERROR(INDEX(DemandSupply,MATCH(INDEX($AH$1:AH328,SMALL(ROW($AH$1:AH328)+(10000*($AH$1:AH328="")),COUNTA($AH$1:AH328))),Sectors,0)),"")</f>
        <v>Demand</v>
      </c>
      <c r="E328" s="10"/>
      <c r="F328" s="207"/>
      <c r="G328" s="207"/>
      <c r="H328" s="207"/>
      <c r="I328" s="207"/>
      <c r="J328" s="207"/>
      <c r="K328" s="207"/>
      <c r="L328" s="207"/>
      <c r="M328" s="207"/>
      <c r="N328" s="207"/>
      <c r="O328" s="207"/>
      <c r="P328" s="207"/>
      <c r="Q328" s="207"/>
      <c r="R328" s="207"/>
      <c r="S328" s="207"/>
      <c r="T328" s="207"/>
      <c r="U328" s="207"/>
      <c r="V328" s="207"/>
      <c r="W328" s="207"/>
      <c r="X328" s="207"/>
      <c r="Y328" s="207"/>
      <c r="Z328" s="207"/>
      <c r="AA328" s="207"/>
      <c r="AB328" s="207"/>
      <c r="AC328" s="5"/>
      <c r="AD328" s="63"/>
      <c r="AE328" s="64"/>
      <c r="AF328" s="64"/>
      <c r="AG328" s="212"/>
      <c r="AH328" s="64"/>
      <c r="AI328" s="64"/>
      <c r="AJ328" s="64"/>
      <c r="AK328" s="212"/>
      <c r="AL328" s="64"/>
      <c r="AM328" s="212"/>
      <c r="AN328" s="64"/>
      <c r="AO328" s="64"/>
      <c r="AP328" s="63"/>
      <c r="AQ328" s="64"/>
      <c r="AR328" s="63"/>
      <c r="AS328" s="64"/>
      <c r="AT328" s="63"/>
      <c r="AU328" s="64"/>
      <c r="AV328" s="63"/>
      <c r="AW328" s="64"/>
      <c r="AX328" s="63"/>
      <c r="AY328" s="5"/>
      <c r="AZ328" s="21" t="str">
        <f t="shared" si="66"/>
        <v/>
      </c>
      <c r="BA328" s="264" t="s">
        <v>39</v>
      </c>
      <c r="BB328" s="264"/>
      <c r="BC328" s="264"/>
      <c r="BD328" s="264" t="s">
        <v>10</v>
      </c>
      <c r="BE328" s="216" t="s">
        <v>54</v>
      </c>
      <c r="BF328" s="56">
        <v>12</v>
      </c>
      <c r="BG328" s="245">
        <f t="shared" ref="BG328:BP328" si="78">BF328</f>
        <v>12</v>
      </c>
      <c r="BH328" s="245">
        <f t="shared" si="78"/>
        <v>12</v>
      </c>
      <c r="BI328" s="245">
        <f t="shared" si="78"/>
        <v>12</v>
      </c>
      <c r="BJ328" s="245">
        <f t="shared" si="78"/>
        <v>12</v>
      </c>
      <c r="BK328" s="245">
        <f t="shared" si="78"/>
        <v>12</v>
      </c>
      <c r="BL328" s="245">
        <f t="shared" si="78"/>
        <v>12</v>
      </c>
      <c r="BM328" s="245">
        <f t="shared" si="78"/>
        <v>12</v>
      </c>
      <c r="BN328" s="245">
        <f t="shared" si="78"/>
        <v>12</v>
      </c>
      <c r="BO328" s="245">
        <f t="shared" si="78"/>
        <v>12</v>
      </c>
      <c r="BP328" s="245">
        <f t="shared" si="78"/>
        <v>12</v>
      </c>
      <c r="BQ328" s="5"/>
      <c r="BR328" s="25"/>
      <c r="BS328" s="5"/>
    </row>
    <row r="329" spans="1:71" s="3" customFormat="1" x14ac:dyDescent="0.25">
      <c r="A329" s="5"/>
      <c r="B329" s="3" t="str">
        <f t="array" ref="B329">IFERROR(INDEX(DemandSupply,MATCH(INDEX($AH$1:AH329,SMALL(ROW($AH$1:AH329)+(10000*($AH$1:AH329="")),COUNTA($AH$1:AH329))),Sectors,0)),"")</f>
        <v>Demand</v>
      </c>
      <c r="E329" s="10"/>
      <c r="F329" s="207"/>
      <c r="G329" s="207"/>
      <c r="H329" s="207"/>
      <c r="I329" s="207"/>
      <c r="J329" s="207"/>
      <c r="K329" s="207"/>
      <c r="L329" s="207"/>
      <c r="M329" s="207"/>
      <c r="N329" s="207"/>
      <c r="O329" s="207"/>
      <c r="P329" s="207"/>
      <c r="Q329" s="207"/>
      <c r="R329" s="207"/>
      <c r="S329" s="207"/>
      <c r="T329" s="207"/>
      <c r="U329" s="207"/>
      <c r="V329" s="207"/>
      <c r="W329" s="207"/>
      <c r="X329" s="207"/>
      <c r="Y329" s="207"/>
      <c r="Z329" s="207"/>
      <c r="AA329" s="207"/>
      <c r="AB329" s="207"/>
      <c r="AC329" s="5"/>
      <c r="AD329" s="63"/>
      <c r="AE329" s="64"/>
      <c r="AF329" s="64"/>
      <c r="AG329" s="212"/>
      <c r="AH329" s="64"/>
      <c r="AI329" s="64"/>
      <c r="AJ329" s="64"/>
      <c r="AK329" s="212"/>
      <c r="AL329" s="64"/>
      <c r="AM329" s="212"/>
      <c r="AN329" s="64"/>
      <c r="AO329" s="64"/>
      <c r="AP329" s="63"/>
      <c r="AQ329" s="64"/>
      <c r="AR329" s="63"/>
      <c r="AS329" s="64"/>
      <c r="AT329" s="63"/>
      <c r="AU329" s="64"/>
      <c r="AV329" s="63"/>
      <c r="AW329" s="64"/>
      <c r="AX329" s="63"/>
      <c r="AY329" s="5"/>
      <c r="AZ329" s="21" t="str">
        <f t="shared" si="66"/>
        <v/>
      </c>
      <c r="BA329" s="264" t="s">
        <v>395</v>
      </c>
      <c r="BB329" s="264"/>
      <c r="BC329" s="264"/>
      <c r="BD329" s="264" t="s">
        <v>10</v>
      </c>
      <c r="BE329" s="216" t="s">
        <v>54</v>
      </c>
      <c r="BF329" s="56"/>
      <c r="BG329" s="56"/>
      <c r="BH329" s="56"/>
      <c r="BI329" s="56"/>
      <c r="BJ329" s="56"/>
      <c r="BK329" s="56"/>
      <c r="BL329" s="56"/>
      <c r="BM329" s="56"/>
      <c r="BN329" s="56"/>
      <c r="BO329" s="56"/>
      <c r="BP329" s="56"/>
      <c r="BQ329" s="5"/>
      <c r="BR329" s="25"/>
      <c r="BS329" s="5"/>
    </row>
    <row r="330" spans="1:71" s="3" customFormat="1" x14ac:dyDescent="0.25">
      <c r="A330" s="5"/>
      <c r="B330" s="3" t="str">
        <f t="array" ref="B330">IFERROR(INDEX(DemandSupply,MATCH(INDEX($AH$1:AH330,SMALL(ROW($AH$1:AH330)+(10000*($AH$1:AH330="")),COUNTA($AH$1:AH330))),Sectors,0)),"")</f>
        <v>Demand</v>
      </c>
      <c r="E330" s="10"/>
      <c r="F330" s="207"/>
      <c r="G330" s="207"/>
      <c r="H330" s="207"/>
      <c r="I330" s="207"/>
      <c r="J330" s="207"/>
      <c r="K330" s="207"/>
      <c r="L330" s="207"/>
      <c r="M330" s="207"/>
      <c r="N330" s="207"/>
      <c r="O330" s="207"/>
      <c r="P330" s="207"/>
      <c r="Q330" s="207"/>
      <c r="R330" s="207"/>
      <c r="S330" s="207"/>
      <c r="T330" s="207"/>
      <c r="U330" s="207"/>
      <c r="V330" s="207"/>
      <c r="W330" s="207"/>
      <c r="X330" s="207"/>
      <c r="Y330" s="207"/>
      <c r="Z330" s="207"/>
      <c r="AA330" s="207"/>
      <c r="AB330" s="207"/>
      <c r="AC330" s="5"/>
      <c r="AD330" s="63"/>
      <c r="AE330" s="64"/>
      <c r="AF330" s="64"/>
      <c r="AG330" s="212"/>
      <c r="AH330" s="64"/>
      <c r="AI330" s="64"/>
      <c r="AJ330" s="64"/>
      <c r="AK330" s="212"/>
      <c r="AL330" s="64"/>
      <c r="AM330" s="212"/>
      <c r="AN330" s="64"/>
      <c r="AO330" s="64"/>
      <c r="AP330" s="63"/>
      <c r="AQ330" s="64"/>
      <c r="AR330" s="63"/>
      <c r="AS330" s="64"/>
      <c r="AT330" s="63"/>
      <c r="AU330" s="64"/>
      <c r="AV330" s="63"/>
      <c r="AW330" s="64"/>
      <c r="AX330" s="63"/>
      <c r="AY330" s="5"/>
      <c r="AZ330" s="21" t="str">
        <f t="shared" si="66"/>
        <v/>
      </c>
      <c r="BA330" s="264" t="s">
        <v>341</v>
      </c>
      <c r="BB330" s="264"/>
      <c r="BC330" s="264"/>
      <c r="BD330" s="264" t="s">
        <v>99</v>
      </c>
      <c r="BE330" s="216" t="s">
        <v>54</v>
      </c>
      <c r="BF330" s="303">
        <v>0.25</v>
      </c>
      <c r="BG330" s="304">
        <f t="shared" ref="BG330:BP330" si="79">BF330</f>
        <v>0.25</v>
      </c>
      <c r="BH330" s="304">
        <f t="shared" si="79"/>
        <v>0.25</v>
      </c>
      <c r="BI330" s="304">
        <f t="shared" si="79"/>
        <v>0.25</v>
      </c>
      <c r="BJ330" s="304">
        <f t="shared" si="79"/>
        <v>0.25</v>
      </c>
      <c r="BK330" s="304">
        <f t="shared" si="79"/>
        <v>0.25</v>
      </c>
      <c r="BL330" s="304">
        <f t="shared" si="79"/>
        <v>0.25</v>
      </c>
      <c r="BM330" s="304">
        <f t="shared" si="79"/>
        <v>0.25</v>
      </c>
      <c r="BN330" s="304">
        <f t="shared" si="79"/>
        <v>0.25</v>
      </c>
      <c r="BO330" s="304">
        <f t="shared" si="79"/>
        <v>0.25</v>
      </c>
      <c r="BP330" s="304">
        <f t="shared" si="79"/>
        <v>0.25</v>
      </c>
      <c r="BQ330" s="5"/>
      <c r="BR330" s="25"/>
      <c r="BS330" s="5"/>
    </row>
    <row r="331" spans="1:71" s="3" customFormat="1" x14ac:dyDescent="0.25">
      <c r="A331" s="5"/>
      <c r="B331" s="3" t="str">
        <f t="array" ref="B331">IFERROR(INDEX(DemandSupply,MATCH(INDEX($AH$1:AH331,SMALL(ROW($AH$1:AH331)+(10000*($AH$1:AH331="")),COUNTA($AH$1:AH331))),Sectors,0)),"")</f>
        <v>Demand</v>
      </c>
      <c r="E331" s="10"/>
      <c r="F331" s="207"/>
      <c r="G331" s="207"/>
      <c r="H331" s="207"/>
      <c r="I331" s="207"/>
      <c r="J331" s="207"/>
      <c r="K331" s="207"/>
      <c r="L331" s="207"/>
      <c r="M331" s="207"/>
      <c r="N331" s="207"/>
      <c r="O331" s="207"/>
      <c r="P331" s="207"/>
      <c r="Q331" s="207"/>
      <c r="R331" s="207"/>
      <c r="S331" s="207"/>
      <c r="T331" s="207"/>
      <c r="U331" s="207"/>
      <c r="V331" s="207"/>
      <c r="W331" s="207"/>
      <c r="X331" s="207"/>
      <c r="Y331" s="207"/>
      <c r="Z331" s="207"/>
      <c r="AA331" s="207"/>
      <c r="AB331" s="207"/>
      <c r="AC331" s="5"/>
      <c r="AD331" s="63"/>
      <c r="AE331" s="64"/>
      <c r="AF331" s="64"/>
      <c r="AG331" s="212"/>
      <c r="AH331" s="64"/>
      <c r="AI331" s="64"/>
      <c r="AJ331" s="64"/>
      <c r="AK331" s="212"/>
      <c r="AL331" s="64"/>
      <c r="AM331" s="212"/>
      <c r="AN331" s="64"/>
      <c r="AO331" s="64"/>
      <c r="AP331" s="63"/>
      <c r="AQ331" s="64"/>
      <c r="AR331" s="63"/>
      <c r="AS331" s="64"/>
      <c r="AT331" s="63"/>
      <c r="AU331" s="64"/>
      <c r="AV331" s="63"/>
      <c r="AW331" s="64"/>
      <c r="AX331" s="63"/>
      <c r="AY331" s="5"/>
      <c r="AZ331" s="21" t="str">
        <f t="shared" si="66"/>
        <v/>
      </c>
      <c r="BA331" s="264" t="s">
        <v>392</v>
      </c>
      <c r="BB331" s="264"/>
      <c r="BC331" s="264"/>
      <c r="BD331" s="264" t="s">
        <v>99</v>
      </c>
      <c r="BE331" s="216" t="s">
        <v>54</v>
      </c>
      <c r="BF331" s="303"/>
      <c r="BG331" s="303"/>
      <c r="BH331" s="303"/>
      <c r="BI331" s="303"/>
      <c r="BJ331" s="303"/>
      <c r="BK331" s="303"/>
      <c r="BL331" s="303"/>
      <c r="BM331" s="303"/>
      <c r="BN331" s="303"/>
      <c r="BO331" s="303"/>
      <c r="BP331" s="303"/>
      <c r="BQ331" s="5"/>
      <c r="BR331" s="25"/>
      <c r="BS331" s="5"/>
    </row>
    <row r="332" spans="1:71" s="3" customFormat="1" x14ac:dyDescent="0.25">
      <c r="A332" s="5"/>
      <c r="B332" s="3" t="str">
        <f t="array" ref="B332">IFERROR(INDEX(DemandSupply,MATCH(INDEX($AH$1:AH332,SMALL(ROW($AH$1:AH332)+(10000*($AH$1:AH332="")),COUNTA($AH$1:AH332))),Sectors,0)),"")</f>
        <v>Demand</v>
      </c>
      <c r="E332" s="10"/>
      <c r="F332" s="207"/>
      <c r="G332" s="207"/>
      <c r="H332" s="207"/>
      <c r="I332" s="207"/>
      <c r="J332" s="207"/>
      <c r="K332" s="207"/>
      <c r="L332" s="207"/>
      <c r="M332" s="207"/>
      <c r="N332" s="207"/>
      <c r="O332" s="207"/>
      <c r="P332" s="207"/>
      <c r="Q332" s="207"/>
      <c r="R332" s="207"/>
      <c r="S332" s="207"/>
      <c r="T332" s="207"/>
      <c r="U332" s="207"/>
      <c r="V332" s="207"/>
      <c r="W332" s="207"/>
      <c r="X332" s="207"/>
      <c r="Y332" s="207"/>
      <c r="Z332" s="207"/>
      <c r="AA332" s="207"/>
      <c r="AB332" s="207"/>
      <c r="AC332" s="5"/>
      <c r="AD332" s="63"/>
      <c r="AE332" s="64"/>
      <c r="AF332" s="64"/>
      <c r="AG332" s="212"/>
      <c r="AH332" s="64"/>
      <c r="AI332" s="64"/>
      <c r="AJ332" s="64"/>
      <c r="AK332" s="212"/>
      <c r="AL332" s="64"/>
      <c r="AM332" s="212"/>
      <c r="AN332" s="64"/>
      <c r="AO332" s="64"/>
      <c r="AP332" s="63"/>
      <c r="AQ332" s="64"/>
      <c r="AR332" s="63"/>
      <c r="AS332" s="64"/>
      <c r="AT332" s="63"/>
      <c r="AU332" s="64"/>
      <c r="AV332" s="63"/>
      <c r="AW332" s="64"/>
      <c r="AX332" s="63"/>
      <c r="AY332" s="5"/>
      <c r="AZ332" s="21" t="str">
        <f t="shared" si="66"/>
        <v/>
      </c>
      <c r="BA332" s="264" t="s">
        <v>391</v>
      </c>
      <c r="BB332" s="264"/>
      <c r="BC332" s="264"/>
      <c r="BD332" s="264" t="s">
        <v>99</v>
      </c>
      <c r="BE332" s="216" t="s">
        <v>54</v>
      </c>
      <c r="BF332" s="303"/>
      <c r="BG332" s="303"/>
      <c r="BH332" s="303"/>
      <c r="BI332" s="303"/>
      <c r="BJ332" s="303"/>
      <c r="BK332" s="303"/>
      <c r="BL332" s="303"/>
      <c r="BM332" s="303"/>
      <c r="BN332" s="303"/>
      <c r="BO332" s="303"/>
      <c r="BP332" s="303"/>
      <c r="BQ332" s="5"/>
      <c r="BR332" s="25"/>
      <c r="BS332" s="5"/>
    </row>
    <row r="333" spans="1:71" s="3" customFormat="1" x14ac:dyDescent="0.25">
      <c r="A333" s="5"/>
      <c r="B333" s="3" t="str">
        <f t="array" ref="B333">IFERROR(INDEX(DemandSupply,MATCH(INDEX($AH$1:AH333,SMALL(ROW($AH$1:AH333)+(10000*($AH$1:AH333="")),COUNTA($AH$1:AH333))),Sectors,0)),"")</f>
        <v>Demand</v>
      </c>
      <c r="E333" s="10"/>
      <c r="F333" s="207"/>
      <c r="G333" s="207"/>
      <c r="H333" s="207"/>
      <c r="I333" s="207"/>
      <c r="J333" s="207"/>
      <c r="K333" s="207"/>
      <c r="L333" s="207"/>
      <c r="M333" s="207"/>
      <c r="N333" s="207"/>
      <c r="O333" s="207"/>
      <c r="P333" s="207"/>
      <c r="Q333" s="207"/>
      <c r="R333" s="207"/>
      <c r="S333" s="207"/>
      <c r="T333" s="207"/>
      <c r="U333" s="207"/>
      <c r="V333" s="207"/>
      <c r="W333" s="207"/>
      <c r="X333" s="207"/>
      <c r="Y333" s="207"/>
      <c r="Z333" s="207"/>
      <c r="AA333" s="207"/>
      <c r="AB333" s="207"/>
      <c r="AC333" s="5"/>
      <c r="AD333" s="63"/>
      <c r="AE333" s="64"/>
      <c r="AF333" s="64"/>
      <c r="AG333" s="212"/>
      <c r="AH333" s="64"/>
      <c r="AI333" s="64"/>
      <c r="AJ333" s="64"/>
      <c r="AK333" s="212"/>
      <c r="AL333" s="64"/>
      <c r="AM333" s="212"/>
      <c r="AN333" s="64"/>
      <c r="AO333" s="64"/>
      <c r="AP333" s="63"/>
      <c r="AQ333" s="64"/>
      <c r="AR333" s="63"/>
      <c r="AS333" s="64"/>
      <c r="AT333" s="63"/>
      <c r="AU333" s="64"/>
      <c r="AV333" s="63"/>
      <c r="AW333" s="64"/>
      <c r="AX333" s="63"/>
      <c r="AY333" s="5"/>
      <c r="AZ333" s="21" t="str">
        <f t="shared" si="66"/>
        <v/>
      </c>
      <c r="BA333" s="264" t="s">
        <v>144</v>
      </c>
      <c r="BB333" s="264"/>
      <c r="BC333" s="264"/>
      <c r="BD333" s="264" t="s">
        <v>34</v>
      </c>
      <c r="BE333" s="216" t="s">
        <v>54</v>
      </c>
      <c r="BF333" s="56"/>
      <c r="BG333" s="56"/>
      <c r="BH333" s="56"/>
      <c r="BI333" s="56"/>
      <c r="BJ333" s="56"/>
      <c r="BK333" s="56"/>
      <c r="BL333" s="56"/>
      <c r="BM333" s="56"/>
      <c r="BN333" s="56"/>
      <c r="BO333" s="56"/>
      <c r="BP333" s="56"/>
      <c r="BQ333" s="5"/>
      <c r="BR333" s="25"/>
      <c r="BS333" s="5"/>
    </row>
    <row r="334" spans="1:71" s="3" customFormat="1" x14ac:dyDescent="0.25">
      <c r="A334" s="5"/>
      <c r="B334" s="3" t="str">
        <f t="array" ref="B334">IFERROR(INDEX(DemandSupply,MATCH(INDEX($AH$1:AH334,SMALL(ROW($AH$1:AH334)+(10000*($AH$1:AH334="")),COUNTA($AH$1:AH334))),Sectors,0)),"")</f>
        <v>Demand</v>
      </c>
      <c r="E334" s="10"/>
      <c r="F334" s="207"/>
      <c r="G334" s="207"/>
      <c r="H334" s="207"/>
      <c r="I334" s="207"/>
      <c r="J334" s="207"/>
      <c r="K334" s="207"/>
      <c r="L334" s="207"/>
      <c r="M334" s="207"/>
      <c r="N334" s="207"/>
      <c r="O334" s="207"/>
      <c r="P334" s="207"/>
      <c r="Q334" s="207"/>
      <c r="R334" s="207"/>
      <c r="S334" s="207"/>
      <c r="T334" s="207"/>
      <c r="U334" s="207"/>
      <c r="V334" s="207"/>
      <c r="W334" s="207"/>
      <c r="X334" s="207"/>
      <c r="Y334" s="207"/>
      <c r="Z334" s="207"/>
      <c r="AA334" s="207"/>
      <c r="AB334" s="207"/>
      <c r="AC334" s="5"/>
      <c r="AD334" s="63"/>
      <c r="AE334" s="64"/>
      <c r="AF334" s="64"/>
      <c r="AG334" s="212"/>
      <c r="AH334" s="64"/>
      <c r="AI334" s="64"/>
      <c r="AJ334" s="64"/>
      <c r="AK334" s="212"/>
      <c r="AL334" s="64"/>
      <c r="AM334" s="212"/>
      <c r="AN334" s="64"/>
      <c r="AO334" s="64"/>
      <c r="AP334" s="63"/>
      <c r="AQ334" s="64"/>
      <c r="AR334" s="63"/>
      <c r="AS334" s="64"/>
      <c r="AT334" s="63"/>
      <c r="AU334" s="64"/>
      <c r="AV334" s="63"/>
      <c r="AW334" s="64"/>
      <c r="AX334" s="63"/>
      <c r="AY334" s="5"/>
      <c r="AZ334" s="21" t="str">
        <f t="shared" si="66"/>
        <v/>
      </c>
      <c r="BA334" s="264" t="s">
        <v>76</v>
      </c>
      <c r="BB334" s="264"/>
      <c r="BC334" s="264"/>
      <c r="BD334" s="264" t="s">
        <v>99</v>
      </c>
      <c r="BE334" s="216" t="s">
        <v>54</v>
      </c>
      <c r="BF334" s="303">
        <v>0.01</v>
      </c>
      <c r="BG334" s="303"/>
      <c r="BH334" s="303"/>
      <c r="BI334" s="303"/>
      <c r="BJ334" s="303"/>
      <c r="BK334" s="303"/>
      <c r="BL334" s="303"/>
      <c r="BM334" s="303"/>
      <c r="BN334" s="303"/>
      <c r="BO334" s="303"/>
      <c r="BP334" s="303"/>
      <c r="BQ334" s="5"/>
      <c r="BR334" s="25"/>
      <c r="BS334" s="5"/>
    </row>
    <row r="335" spans="1:71" s="3" customFormat="1" x14ac:dyDescent="0.25">
      <c r="A335" s="5"/>
      <c r="B335" s="3" t="str">
        <f t="array" ref="B335">IFERROR(INDEX(DemandSupply,MATCH(INDEX($AH$1:AH335,SMALL(ROW($AH$1:AH335)+(10000*($AH$1:AH335="")),COUNTA($AH$1:AH335))),Sectors,0)),"")</f>
        <v>Demand</v>
      </c>
      <c r="E335" s="10"/>
      <c r="F335" s="207"/>
      <c r="G335" s="207"/>
      <c r="H335" s="207"/>
      <c r="I335" s="207"/>
      <c r="J335" s="207"/>
      <c r="K335" s="207"/>
      <c r="L335" s="207"/>
      <c r="M335" s="207"/>
      <c r="N335" s="207"/>
      <c r="O335" s="207"/>
      <c r="P335" s="207"/>
      <c r="Q335" s="207"/>
      <c r="R335" s="207"/>
      <c r="S335" s="207"/>
      <c r="T335" s="207"/>
      <c r="U335" s="207"/>
      <c r="V335" s="207"/>
      <c r="W335" s="207"/>
      <c r="X335" s="207"/>
      <c r="Y335" s="207"/>
      <c r="Z335" s="207"/>
      <c r="AA335" s="207"/>
      <c r="AB335" s="207"/>
      <c r="AC335" s="5"/>
      <c r="AD335" s="63"/>
      <c r="AE335" s="64"/>
      <c r="AF335" s="64"/>
      <c r="AG335" s="212"/>
      <c r="AH335" s="64"/>
      <c r="AI335" s="64"/>
      <c r="AJ335" s="64"/>
      <c r="AK335" s="212"/>
      <c r="AL335" s="64"/>
      <c r="AM335" s="212"/>
      <c r="AN335" s="64"/>
      <c r="AO335" s="64"/>
      <c r="AP335" s="63"/>
      <c r="AQ335" s="64"/>
      <c r="AR335" s="63"/>
      <c r="AS335" s="64"/>
      <c r="AT335" s="63"/>
      <c r="AU335" s="64"/>
      <c r="AV335" s="63"/>
      <c r="AW335" s="64"/>
      <c r="AX335" s="63"/>
      <c r="AY335" s="5"/>
      <c r="AZ335" s="21" t="str">
        <f t="shared" si="66"/>
        <v/>
      </c>
      <c r="BA335" s="75" t="s">
        <v>166</v>
      </c>
      <c r="BB335" s="75"/>
      <c r="BC335" s="270"/>
      <c r="BD335" s="75" t="s">
        <v>99</v>
      </c>
      <c r="BE335" s="216" t="s">
        <v>54</v>
      </c>
      <c r="BF335" s="303"/>
      <c r="BG335" s="303"/>
      <c r="BH335" s="303"/>
      <c r="BI335" s="303"/>
      <c r="BJ335" s="303"/>
      <c r="BK335" s="303"/>
      <c r="BL335" s="303"/>
      <c r="BM335" s="303"/>
      <c r="BN335" s="303"/>
      <c r="BO335" s="303"/>
      <c r="BP335" s="303"/>
      <c r="BQ335" s="5"/>
      <c r="BR335" s="25"/>
      <c r="BS335" s="5"/>
    </row>
    <row r="336" spans="1:71" s="3" customFormat="1" x14ac:dyDescent="0.25">
      <c r="A336" s="5"/>
      <c r="B336" s="3" t="str">
        <f t="array" ref="B336">IFERROR(INDEX(DemandSupply,MATCH(INDEX($AH$1:AH336,SMALL(ROW($AH$1:AH336)+(10000*($AH$1:AH336="")),COUNTA($AH$1:AH336))),Sectors,0)),"")</f>
        <v>Demand</v>
      </c>
      <c r="E336" s="10"/>
      <c r="F336" s="207"/>
      <c r="G336" s="207"/>
      <c r="H336" s="207"/>
      <c r="I336" s="207"/>
      <c r="J336" s="207"/>
      <c r="K336" s="207"/>
      <c r="L336" s="207"/>
      <c r="M336" s="207"/>
      <c r="N336" s="207"/>
      <c r="O336" s="207"/>
      <c r="P336" s="207"/>
      <c r="Q336" s="207"/>
      <c r="R336" s="207"/>
      <c r="S336" s="207"/>
      <c r="T336" s="207"/>
      <c r="U336" s="207"/>
      <c r="V336" s="207"/>
      <c r="W336" s="207"/>
      <c r="X336" s="207"/>
      <c r="Y336" s="207"/>
      <c r="Z336" s="207"/>
      <c r="AA336" s="207"/>
      <c r="AB336" s="207"/>
      <c r="AC336" s="5"/>
      <c r="AD336" s="63"/>
      <c r="AE336" s="64"/>
      <c r="AF336" s="64"/>
      <c r="AG336" s="212"/>
      <c r="AH336" s="64"/>
      <c r="AI336" s="64"/>
      <c r="AJ336" s="64"/>
      <c r="AK336" s="212"/>
      <c r="AL336" s="64"/>
      <c r="AM336" s="212"/>
      <c r="AN336" s="64"/>
      <c r="AO336" s="64"/>
      <c r="AP336" s="63"/>
      <c r="AQ336" s="64"/>
      <c r="AR336" s="63"/>
      <c r="AS336" s="64"/>
      <c r="AT336" s="63"/>
      <c r="AU336" s="64"/>
      <c r="AV336" s="63"/>
      <c r="AW336" s="64"/>
      <c r="AX336" s="63"/>
      <c r="AY336" s="5"/>
      <c r="AZ336" s="21" t="str">
        <f t="shared" si="66"/>
        <v/>
      </c>
      <c r="BA336" s="75" t="s">
        <v>167</v>
      </c>
      <c r="BB336" s="75"/>
      <c r="BC336" s="270"/>
      <c r="BD336" s="75" t="s">
        <v>99</v>
      </c>
      <c r="BE336" s="216" t="s">
        <v>54</v>
      </c>
      <c r="BF336" s="303"/>
      <c r="BG336" s="303"/>
      <c r="BH336" s="303"/>
      <c r="BI336" s="303"/>
      <c r="BJ336" s="303"/>
      <c r="BK336" s="303"/>
      <c r="BL336" s="303"/>
      <c r="BM336" s="303"/>
      <c r="BN336" s="303"/>
      <c r="BO336" s="303"/>
      <c r="BP336" s="303"/>
      <c r="BQ336" s="5"/>
      <c r="BR336" s="25"/>
      <c r="BS336" s="5"/>
    </row>
    <row r="337" spans="1:71" s="3" customFormat="1" x14ac:dyDescent="0.25">
      <c r="A337" s="5"/>
      <c r="B337" s="3" t="str">
        <f t="array" ref="B337">IFERROR(INDEX(DemandSupply,MATCH(INDEX($AH$1:AH337,SMALL(ROW($AH$1:AH337)+(10000*($AH$1:AH337="")),COUNTA($AH$1:AH337))),Sectors,0)),"")</f>
        <v>Demand</v>
      </c>
      <c r="E337" s="10"/>
      <c r="F337" s="207"/>
      <c r="G337" s="207"/>
      <c r="H337" s="207"/>
      <c r="I337" s="207"/>
      <c r="J337" s="207"/>
      <c r="K337" s="207"/>
      <c r="L337" s="207"/>
      <c r="M337" s="207"/>
      <c r="N337" s="207"/>
      <c r="O337" s="207"/>
      <c r="P337" s="207"/>
      <c r="Q337" s="207"/>
      <c r="R337" s="207"/>
      <c r="S337" s="207"/>
      <c r="T337" s="207"/>
      <c r="U337" s="207"/>
      <c r="V337" s="207"/>
      <c r="W337" s="207"/>
      <c r="X337" s="207"/>
      <c r="Y337" s="207"/>
      <c r="Z337" s="207"/>
      <c r="AA337" s="207"/>
      <c r="AB337" s="207"/>
      <c r="AC337" s="5"/>
      <c r="AD337" s="63"/>
      <c r="AE337" s="64"/>
      <c r="AF337" s="64"/>
      <c r="AG337" s="212"/>
      <c r="AH337" s="64"/>
      <c r="AI337" s="64"/>
      <c r="AJ337" s="64"/>
      <c r="AK337" s="212"/>
      <c r="AL337" s="64"/>
      <c r="AM337" s="212"/>
      <c r="AN337" s="64"/>
      <c r="AO337" s="64"/>
      <c r="AP337" s="63"/>
      <c r="AQ337" s="64"/>
      <c r="AR337" s="63"/>
      <c r="AS337" s="64"/>
      <c r="AT337" s="63"/>
      <c r="AU337" s="64"/>
      <c r="AV337" s="63"/>
      <c r="AW337" s="64"/>
      <c r="AX337" s="63"/>
      <c r="AY337" s="5"/>
      <c r="AZ337" s="21" t="str">
        <f t="shared" si="66"/>
        <v/>
      </c>
      <c r="BA337" s="75" t="s">
        <v>408</v>
      </c>
      <c r="BB337" s="75"/>
      <c r="BC337" s="270"/>
      <c r="BD337" s="75" t="s">
        <v>99</v>
      </c>
      <c r="BE337" s="216" t="s">
        <v>54</v>
      </c>
      <c r="BF337" s="303"/>
      <c r="BG337" s="303"/>
      <c r="BH337" s="303"/>
      <c r="BI337" s="303"/>
      <c r="BJ337" s="303"/>
      <c r="BK337" s="303"/>
      <c r="BL337" s="303"/>
      <c r="BM337" s="303"/>
      <c r="BN337" s="303"/>
      <c r="BO337" s="303"/>
      <c r="BP337" s="303"/>
      <c r="BQ337" s="5"/>
      <c r="BR337" s="25"/>
      <c r="BS337" s="5"/>
    </row>
    <row r="338" spans="1:71" s="3" customFormat="1" x14ac:dyDescent="0.25">
      <c r="A338" s="5"/>
      <c r="B338" s="3" t="str">
        <f t="array" ref="B338">IFERROR(INDEX(DemandSupply,MATCH(INDEX($AH$1:AH338,SMALL(ROW($AH$1:AH338)+(10000*($AH$1:AH338="")),COUNTA($AH$1:AH338))),Sectors,0)),"")</f>
        <v>Demand</v>
      </c>
      <c r="E338" s="10"/>
      <c r="F338" s="207"/>
      <c r="G338" s="207"/>
      <c r="H338" s="207"/>
      <c r="I338" s="207"/>
      <c r="J338" s="207"/>
      <c r="K338" s="207"/>
      <c r="L338" s="207"/>
      <c r="M338" s="207"/>
      <c r="N338" s="207"/>
      <c r="O338" s="207"/>
      <c r="P338" s="207"/>
      <c r="Q338" s="207"/>
      <c r="R338" s="207"/>
      <c r="S338" s="207"/>
      <c r="T338" s="207"/>
      <c r="U338" s="207"/>
      <c r="V338" s="207"/>
      <c r="W338" s="207"/>
      <c r="X338" s="207"/>
      <c r="Y338" s="207"/>
      <c r="Z338" s="207"/>
      <c r="AA338" s="207"/>
      <c r="AB338" s="207"/>
      <c r="AC338" s="5"/>
      <c r="AD338" s="63"/>
      <c r="AE338" s="64"/>
      <c r="AF338" s="64"/>
      <c r="AG338" s="212"/>
      <c r="AH338" s="64"/>
      <c r="AI338" s="64"/>
      <c r="AJ338" s="64"/>
      <c r="AK338" s="212"/>
      <c r="AL338" s="64"/>
      <c r="AM338" s="212"/>
      <c r="AN338" s="64"/>
      <c r="AO338" s="64"/>
      <c r="AP338" s="63"/>
      <c r="AQ338" s="64"/>
      <c r="AR338" s="63"/>
      <c r="AS338" s="64"/>
      <c r="AT338" s="63"/>
      <c r="AU338" s="64"/>
      <c r="AV338" s="63"/>
      <c r="AW338" s="64"/>
      <c r="AX338" s="63"/>
      <c r="AY338" s="5"/>
      <c r="AZ338" s="21" t="str">
        <f t="shared" si="66"/>
        <v/>
      </c>
      <c r="BA338" s="75" t="s">
        <v>409</v>
      </c>
      <c r="BB338" s="75"/>
      <c r="BC338" s="270"/>
      <c r="BD338" s="75" t="s">
        <v>99</v>
      </c>
      <c r="BE338" s="216" t="s">
        <v>54</v>
      </c>
      <c r="BF338" s="303"/>
      <c r="BG338" s="303"/>
      <c r="BH338" s="303"/>
      <c r="BI338" s="303"/>
      <c r="BJ338" s="303"/>
      <c r="BK338" s="303"/>
      <c r="BL338" s="303"/>
      <c r="BM338" s="303"/>
      <c r="BN338" s="303"/>
      <c r="BO338" s="303"/>
      <c r="BP338" s="303"/>
      <c r="BQ338" s="5"/>
      <c r="BR338" s="25"/>
      <c r="BS338" s="5"/>
    </row>
    <row r="339" spans="1:71" s="3" customFormat="1" x14ac:dyDescent="0.25">
      <c r="A339" s="5"/>
      <c r="B339" s="3" t="str">
        <f t="array" ref="B339">IFERROR(INDEX(DemandSupply,MATCH(INDEX($AH$1:AH339,SMALL(ROW($AH$1:AH339)+(10000*($AH$1:AH339="")),COUNTA($AH$1:AH339))),Sectors,0)),"")</f>
        <v>Demand</v>
      </c>
      <c r="E339" s="10"/>
      <c r="F339" s="207"/>
      <c r="G339" s="207"/>
      <c r="H339" s="207"/>
      <c r="I339" s="207"/>
      <c r="J339" s="207"/>
      <c r="K339" s="207"/>
      <c r="L339" s="207"/>
      <c r="M339" s="207"/>
      <c r="N339" s="207"/>
      <c r="O339" s="207"/>
      <c r="P339" s="207"/>
      <c r="Q339" s="207"/>
      <c r="R339" s="207"/>
      <c r="S339" s="207"/>
      <c r="T339" s="207"/>
      <c r="U339" s="207"/>
      <c r="V339" s="207"/>
      <c r="W339" s="207"/>
      <c r="X339" s="207"/>
      <c r="Y339" s="207"/>
      <c r="Z339" s="207"/>
      <c r="AA339" s="207"/>
      <c r="AB339" s="207"/>
      <c r="AC339" s="5"/>
      <c r="AD339" s="63"/>
      <c r="AE339" s="64"/>
      <c r="AF339" s="64"/>
      <c r="AG339" s="212"/>
      <c r="AH339" s="64"/>
      <c r="AI339" s="64"/>
      <c r="AJ339" s="64"/>
      <c r="AK339" s="212"/>
      <c r="AL339" s="64"/>
      <c r="AM339" s="212"/>
      <c r="AN339" s="64"/>
      <c r="AO339" s="64"/>
      <c r="AP339" s="63"/>
      <c r="AQ339" s="64"/>
      <c r="AR339" s="63"/>
      <c r="AS339" s="64"/>
      <c r="AT339" s="63"/>
      <c r="AU339" s="64"/>
      <c r="AV339" s="63"/>
      <c r="AW339" s="64"/>
      <c r="AX339" s="63"/>
      <c r="AY339" s="5"/>
      <c r="AZ339" s="21" t="str">
        <f t="shared" si="66"/>
        <v/>
      </c>
      <c r="BA339" s="264" t="s">
        <v>371</v>
      </c>
      <c r="BB339" s="264"/>
      <c r="BC339" s="264"/>
      <c r="BD339" s="264" t="s">
        <v>34</v>
      </c>
      <c r="BE339" s="216" t="s">
        <v>54</v>
      </c>
      <c r="BF339" s="56"/>
      <c r="BG339" s="56"/>
      <c r="BH339" s="56"/>
      <c r="BI339" s="56"/>
      <c r="BJ339" s="56"/>
      <c r="BK339" s="56"/>
      <c r="BL339" s="56"/>
      <c r="BM339" s="56"/>
      <c r="BN339" s="56"/>
      <c r="BO339" s="56"/>
      <c r="BP339" s="56"/>
      <c r="BQ339" s="5"/>
      <c r="BR339" s="25"/>
      <c r="BS339" s="5"/>
    </row>
    <row r="340" spans="1:71" s="3" customFormat="1" x14ac:dyDescent="0.25">
      <c r="A340" s="5"/>
      <c r="B340" s="3" t="str">
        <f t="array" ref="B340">IFERROR(INDEX(DemandSupply,MATCH(INDEX($AH$1:AH340,SMALL(ROW($AH$1:AH340)+(10000*($AH$1:AH340="")),COUNTA($AH$1:AH340))),Sectors,0)),"")</f>
        <v>Demand</v>
      </c>
      <c r="E340" s="10"/>
      <c r="F340" s="207"/>
      <c r="G340" s="207"/>
      <c r="H340" s="207"/>
      <c r="I340" s="207"/>
      <c r="J340" s="207"/>
      <c r="K340" s="207"/>
      <c r="L340" s="207"/>
      <c r="M340" s="207"/>
      <c r="N340" s="207"/>
      <c r="O340" s="207"/>
      <c r="P340" s="207"/>
      <c r="Q340" s="207"/>
      <c r="R340" s="207"/>
      <c r="S340" s="207"/>
      <c r="T340" s="207"/>
      <c r="U340" s="207"/>
      <c r="V340" s="207"/>
      <c r="W340" s="207"/>
      <c r="X340" s="207"/>
      <c r="Y340" s="207"/>
      <c r="Z340" s="207"/>
      <c r="AA340" s="207"/>
      <c r="AB340" s="207"/>
      <c r="AC340" s="5"/>
      <c r="AD340" s="63"/>
      <c r="AE340" s="64"/>
      <c r="AF340" s="64"/>
      <c r="AG340" s="212"/>
      <c r="AH340" s="64"/>
      <c r="AI340" s="64"/>
      <c r="AJ340" s="64"/>
      <c r="AK340" s="212"/>
      <c r="AL340" s="64"/>
      <c r="AM340" s="212"/>
      <c r="AN340" s="64"/>
      <c r="AO340" s="64"/>
      <c r="AP340" s="63"/>
      <c r="AQ340" s="64"/>
      <c r="AR340" s="63"/>
      <c r="AS340" s="64"/>
      <c r="AT340" s="63"/>
      <c r="AU340" s="64"/>
      <c r="AV340" s="63"/>
      <c r="AW340" s="64"/>
      <c r="AX340" s="63"/>
      <c r="AY340" s="5"/>
      <c r="AZ340" s="21" t="str">
        <f t="shared" si="66"/>
        <v/>
      </c>
      <c r="BA340" s="264" t="s">
        <v>170</v>
      </c>
      <c r="BB340" s="264"/>
      <c r="BC340" s="264"/>
      <c r="BD340" s="264" t="s">
        <v>354</v>
      </c>
      <c r="BE340" s="216" t="s">
        <v>54</v>
      </c>
      <c r="BF340" s="308">
        <v>4886</v>
      </c>
      <c r="BG340" s="245">
        <f>BF340*0.95</f>
        <v>4641.7</v>
      </c>
      <c r="BH340" s="245">
        <f t="shared" ref="BH340:BP340" si="80">BG340*0.95</f>
        <v>4409.6149999999998</v>
      </c>
      <c r="BI340" s="245">
        <f t="shared" si="80"/>
        <v>4189.1342499999992</v>
      </c>
      <c r="BJ340" s="245">
        <f t="shared" si="80"/>
        <v>3979.6775374999988</v>
      </c>
      <c r="BK340" s="245">
        <f t="shared" si="80"/>
        <v>3780.6936606249988</v>
      </c>
      <c r="BL340" s="245">
        <f t="shared" si="80"/>
        <v>3591.6589775937487</v>
      </c>
      <c r="BM340" s="245">
        <f t="shared" si="80"/>
        <v>3412.0760287140611</v>
      </c>
      <c r="BN340" s="245">
        <f t="shared" si="80"/>
        <v>3241.4722272783579</v>
      </c>
      <c r="BO340" s="245">
        <f t="shared" si="80"/>
        <v>3079.3986159144397</v>
      </c>
      <c r="BP340" s="245">
        <f t="shared" si="80"/>
        <v>2925.4286851187176</v>
      </c>
      <c r="BQ340" s="5"/>
      <c r="BR340" s="25"/>
      <c r="BS340" s="5"/>
    </row>
    <row r="341" spans="1:71" s="3" customFormat="1" x14ac:dyDescent="0.25">
      <c r="A341" s="5"/>
      <c r="B341" s="3" t="str">
        <f t="array" ref="B341">IFERROR(INDEX(DemandSupply,MATCH(INDEX($AH$1:AH341,SMALL(ROW($AH$1:AH341)+(10000*($AH$1:AH341="")),COUNTA($AH$1:AH341))),Sectors,0)),"")</f>
        <v>Demand</v>
      </c>
      <c r="E341" s="10"/>
      <c r="F341" s="207"/>
      <c r="G341" s="207"/>
      <c r="H341" s="207"/>
      <c r="I341" s="207"/>
      <c r="J341" s="207"/>
      <c r="K341" s="207"/>
      <c r="L341" s="207"/>
      <c r="M341" s="207"/>
      <c r="N341" s="207"/>
      <c r="O341" s="207"/>
      <c r="P341" s="207"/>
      <c r="Q341" s="207"/>
      <c r="R341" s="207"/>
      <c r="S341" s="207"/>
      <c r="T341" s="207"/>
      <c r="U341" s="207"/>
      <c r="V341" s="207"/>
      <c r="W341" s="207"/>
      <c r="X341" s="207"/>
      <c r="Y341" s="207"/>
      <c r="Z341" s="207"/>
      <c r="AA341" s="207"/>
      <c r="AB341" s="207"/>
      <c r="AC341" s="5"/>
      <c r="AD341" s="63"/>
      <c r="AE341" s="64"/>
      <c r="AF341" s="64"/>
      <c r="AG341" s="212"/>
      <c r="AH341" s="64"/>
      <c r="AI341" s="64"/>
      <c r="AJ341" s="64"/>
      <c r="AK341" s="212"/>
      <c r="AL341" s="64"/>
      <c r="AM341" s="212"/>
      <c r="AN341" s="64"/>
      <c r="AO341" s="64"/>
      <c r="AP341" s="63"/>
      <c r="AQ341" s="64"/>
      <c r="AR341" s="63"/>
      <c r="AS341" s="64"/>
      <c r="AT341" s="63"/>
      <c r="AU341" s="64"/>
      <c r="AV341" s="63"/>
      <c r="AW341" s="64"/>
      <c r="AX341" s="63"/>
      <c r="AY341" s="5"/>
      <c r="AZ341" s="21" t="str">
        <f t="shared" si="66"/>
        <v/>
      </c>
      <c r="BA341" s="264" t="s">
        <v>425</v>
      </c>
      <c r="BB341" s="264"/>
      <c r="BC341" s="264"/>
      <c r="BD341" s="264" t="s">
        <v>99</v>
      </c>
      <c r="BE341" s="216" t="s">
        <v>54</v>
      </c>
      <c r="BF341" s="303"/>
      <c r="BG341" s="303"/>
      <c r="BH341" s="303"/>
      <c r="BI341" s="303"/>
      <c r="BJ341" s="303"/>
      <c r="BK341" s="303"/>
      <c r="BL341" s="303"/>
      <c r="BM341" s="303"/>
      <c r="BN341" s="303"/>
      <c r="BO341" s="303"/>
      <c r="BP341" s="303"/>
      <c r="BQ341" s="5"/>
      <c r="BR341" s="25"/>
      <c r="BS341" s="5"/>
    </row>
    <row r="342" spans="1:71" s="3" customFormat="1" x14ac:dyDescent="0.25">
      <c r="A342" s="5"/>
      <c r="B342" s="3" t="str">
        <f t="array" ref="B342">IFERROR(INDEX(DemandSupply,MATCH(INDEX($AH$1:AH342,SMALL(ROW($AH$1:AH342)+(10000*($AH$1:AH342="")),COUNTA($AH$1:AH342))),Sectors,0)),"")</f>
        <v>Demand</v>
      </c>
      <c r="E342" s="10"/>
      <c r="F342" s="207"/>
      <c r="G342" s="207"/>
      <c r="H342" s="207"/>
      <c r="I342" s="207"/>
      <c r="J342" s="207"/>
      <c r="K342" s="207"/>
      <c r="L342" s="207"/>
      <c r="M342" s="207"/>
      <c r="N342" s="207"/>
      <c r="O342" s="207"/>
      <c r="P342" s="207"/>
      <c r="Q342" s="207"/>
      <c r="R342" s="207"/>
      <c r="S342" s="207"/>
      <c r="T342" s="207"/>
      <c r="U342" s="207"/>
      <c r="V342" s="207"/>
      <c r="W342" s="207"/>
      <c r="X342" s="207"/>
      <c r="Y342" s="207"/>
      <c r="Z342" s="207"/>
      <c r="AA342" s="207"/>
      <c r="AB342" s="207"/>
      <c r="AC342" s="5"/>
      <c r="AD342" s="63"/>
      <c r="AE342" s="64"/>
      <c r="AF342" s="64"/>
      <c r="AG342" s="212"/>
      <c r="AH342" s="64"/>
      <c r="AI342" s="64"/>
      <c r="AJ342" s="64"/>
      <c r="AK342" s="212"/>
      <c r="AL342" s="64"/>
      <c r="AM342" s="212"/>
      <c r="AN342" s="64"/>
      <c r="AO342" s="64"/>
      <c r="AP342" s="63"/>
      <c r="AQ342" s="64"/>
      <c r="AR342" s="63"/>
      <c r="AS342" s="64"/>
      <c r="AT342" s="63"/>
      <c r="AU342" s="64"/>
      <c r="AV342" s="63"/>
      <c r="AW342" s="64"/>
      <c r="AX342" s="63"/>
      <c r="AY342" s="5"/>
      <c r="AZ342" s="21" t="str">
        <f t="shared" si="66"/>
        <v/>
      </c>
      <c r="BA342" s="264" t="s">
        <v>438</v>
      </c>
      <c r="BB342" s="264"/>
      <c r="BC342" s="264"/>
      <c r="BD342" s="264" t="s">
        <v>34</v>
      </c>
      <c r="BE342" s="216" t="s">
        <v>54</v>
      </c>
      <c r="BF342" s="56"/>
      <c r="BG342" s="56"/>
      <c r="BH342" s="56"/>
      <c r="BI342" s="56"/>
      <c r="BJ342" s="56"/>
      <c r="BK342" s="56"/>
      <c r="BL342" s="56"/>
      <c r="BM342" s="56"/>
      <c r="BN342" s="56"/>
      <c r="BO342" s="56"/>
      <c r="BP342" s="56"/>
      <c r="BQ342" s="5"/>
      <c r="BR342" s="25"/>
      <c r="BS342" s="5"/>
    </row>
    <row r="343" spans="1:71" s="3" customFormat="1" x14ac:dyDescent="0.25">
      <c r="A343" s="5"/>
      <c r="B343" s="3" t="str">
        <f t="array" ref="B343">IFERROR(INDEX(DemandSupply,MATCH(INDEX($AH$1:AH343,SMALL(ROW($AH$1:AH343)+(10000*($AH$1:AH343="")),COUNTA($AH$1:AH343))),Sectors,0)),"")</f>
        <v>Demand</v>
      </c>
      <c r="E343" s="10"/>
      <c r="F343" s="207"/>
      <c r="G343" s="207"/>
      <c r="H343" s="207"/>
      <c r="I343" s="207"/>
      <c r="J343" s="207"/>
      <c r="K343" s="207"/>
      <c r="L343" s="207"/>
      <c r="M343" s="207"/>
      <c r="N343" s="207"/>
      <c r="O343" s="207"/>
      <c r="P343" s="207"/>
      <c r="Q343" s="207"/>
      <c r="R343" s="207"/>
      <c r="S343" s="207"/>
      <c r="T343" s="207"/>
      <c r="U343" s="207"/>
      <c r="V343" s="207"/>
      <c r="W343" s="207"/>
      <c r="X343" s="207"/>
      <c r="Y343" s="207"/>
      <c r="Z343" s="207"/>
      <c r="AA343" s="207"/>
      <c r="AB343" s="207"/>
      <c r="AC343" s="5"/>
      <c r="AD343" s="63"/>
      <c r="AE343" s="64"/>
      <c r="AF343" s="64"/>
      <c r="AG343" s="212"/>
      <c r="AH343" s="64"/>
      <c r="AI343" s="64"/>
      <c r="AJ343" s="64"/>
      <c r="AK343" s="212"/>
      <c r="AL343" s="64"/>
      <c r="AM343" s="212"/>
      <c r="AN343" s="64"/>
      <c r="AO343" s="64"/>
      <c r="AP343" s="63"/>
      <c r="AQ343" s="64"/>
      <c r="AR343" s="63"/>
      <c r="AS343" s="64"/>
      <c r="AT343" s="63"/>
      <c r="AU343" s="64"/>
      <c r="AV343" s="63"/>
      <c r="AW343" s="64"/>
      <c r="AX343" s="63"/>
      <c r="AY343" s="5"/>
      <c r="AZ343" s="21" t="str">
        <f t="shared" si="66"/>
        <v/>
      </c>
      <c r="BA343" s="264" t="s">
        <v>435</v>
      </c>
      <c r="BB343" s="264"/>
      <c r="BC343" s="264"/>
      <c r="BD343" s="264"/>
      <c r="BE343" s="216" t="s">
        <v>54</v>
      </c>
      <c r="BF343" s="55"/>
      <c r="BG343" s="55"/>
      <c r="BH343" s="55"/>
      <c r="BI343" s="55"/>
      <c r="BJ343" s="55"/>
      <c r="BK343" s="55"/>
      <c r="BL343" s="55"/>
      <c r="BM343" s="55"/>
      <c r="BN343" s="55"/>
      <c r="BO343" s="55"/>
      <c r="BP343" s="55"/>
      <c r="BQ343" s="5"/>
      <c r="BR343" s="25"/>
      <c r="BS343" s="5"/>
    </row>
    <row r="344" spans="1:71" s="3" customFormat="1" x14ac:dyDescent="0.25">
      <c r="A344" s="5"/>
      <c r="B344" s="3" t="str">
        <f t="array" ref="B344">IFERROR(INDEX(DemandSupply,MATCH(INDEX($AH$1:AH344,SMALL(ROW($AH$1:AH344)+(10000*($AH$1:AH344="")),COUNTA($AH$1:AH344))),Sectors,0)),"")</f>
        <v>Demand</v>
      </c>
      <c r="E344" s="10"/>
      <c r="F344" s="207"/>
      <c r="G344" s="207"/>
      <c r="H344" s="207"/>
      <c r="I344" s="207"/>
      <c r="J344" s="207"/>
      <c r="K344" s="207"/>
      <c r="L344" s="207"/>
      <c r="M344" s="207"/>
      <c r="N344" s="207"/>
      <c r="O344" s="207"/>
      <c r="P344" s="207"/>
      <c r="Q344" s="207"/>
      <c r="R344" s="207"/>
      <c r="S344" s="207"/>
      <c r="T344" s="207"/>
      <c r="U344" s="207"/>
      <c r="V344" s="207"/>
      <c r="W344" s="207"/>
      <c r="X344" s="207"/>
      <c r="Y344" s="207"/>
      <c r="Z344" s="207"/>
      <c r="AA344" s="207"/>
      <c r="AB344" s="207"/>
      <c r="AC344" s="5"/>
      <c r="AD344" s="63"/>
      <c r="AE344" s="64"/>
      <c r="AF344" s="64"/>
      <c r="AG344" s="212"/>
      <c r="AH344" s="64"/>
      <c r="AI344" s="64"/>
      <c r="AJ344" s="64"/>
      <c r="AK344" s="212"/>
      <c r="AL344" s="64"/>
      <c r="AM344" s="212"/>
      <c r="AN344" s="64"/>
      <c r="AO344" s="64"/>
      <c r="AP344" s="63"/>
      <c r="AQ344" s="64"/>
      <c r="AR344" s="63"/>
      <c r="AS344" s="64"/>
      <c r="AT344" s="63"/>
      <c r="AU344" s="64"/>
      <c r="AV344" s="63"/>
      <c r="AW344" s="64"/>
      <c r="AX344" s="63"/>
      <c r="AY344" s="5"/>
      <c r="AZ344" s="21" t="str">
        <f t="shared" si="66"/>
        <v/>
      </c>
      <c r="BA344" s="264" t="s">
        <v>407</v>
      </c>
      <c r="BB344" s="264"/>
      <c r="BC344" s="264"/>
      <c r="BD344" s="264" t="s">
        <v>99</v>
      </c>
      <c r="BE344" s="216" t="s">
        <v>54</v>
      </c>
      <c r="BF344" s="303"/>
      <c r="BG344" s="303"/>
      <c r="BH344" s="303"/>
      <c r="BI344" s="303"/>
      <c r="BJ344" s="303"/>
      <c r="BK344" s="303"/>
      <c r="BL344" s="303"/>
      <c r="BM344" s="303"/>
      <c r="BN344" s="303"/>
      <c r="BO344" s="303"/>
      <c r="BP344" s="303"/>
      <c r="BQ344" s="5"/>
      <c r="BR344" s="25"/>
      <c r="BS344" s="5"/>
    </row>
    <row r="345" spans="1:71" s="3" customFormat="1" x14ac:dyDescent="0.25">
      <c r="A345" s="5"/>
      <c r="B345" s="3" t="str">
        <f t="array" ref="B345">IFERROR(INDEX(DemandSupply,MATCH(INDEX($AH$1:AH345,SMALL(ROW($AH$1:AH345)+(10000*($AH$1:AH345="")),COUNTA($AH$1:AH345))),Sectors,0)),"")</f>
        <v>Demand</v>
      </c>
      <c r="E345" s="10"/>
      <c r="F345" s="207"/>
      <c r="G345" s="207"/>
      <c r="H345" s="207"/>
      <c r="I345" s="207"/>
      <c r="J345" s="207"/>
      <c r="K345" s="207"/>
      <c r="L345" s="207"/>
      <c r="M345" s="207"/>
      <c r="N345" s="207"/>
      <c r="O345" s="207"/>
      <c r="P345" s="207"/>
      <c r="Q345" s="207"/>
      <c r="R345" s="207"/>
      <c r="S345" s="207"/>
      <c r="T345" s="207"/>
      <c r="U345" s="207"/>
      <c r="V345" s="207"/>
      <c r="W345" s="207"/>
      <c r="X345" s="207"/>
      <c r="Y345" s="207"/>
      <c r="Z345" s="207"/>
      <c r="AA345" s="207"/>
      <c r="AB345" s="207"/>
      <c r="AC345" s="5"/>
      <c r="AD345" s="63"/>
      <c r="AE345" s="64"/>
      <c r="AF345" s="64"/>
      <c r="AG345" s="212"/>
      <c r="AH345" s="64"/>
      <c r="AI345" s="64"/>
      <c r="AJ345" s="64"/>
      <c r="AK345" s="212"/>
      <c r="AL345" s="64"/>
      <c r="AM345" s="212"/>
      <c r="AN345" s="64"/>
      <c r="AO345" s="64"/>
      <c r="AP345" s="63"/>
      <c r="AQ345" s="64"/>
      <c r="AR345" s="63"/>
      <c r="AS345" s="64"/>
      <c r="AT345" s="63"/>
      <c r="AU345" s="64"/>
      <c r="AV345" s="63"/>
      <c r="AW345" s="64"/>
      <c r="AX345" s="63"/>
      <c r="AY345" s="5"/>
      <c r="AZ345" s="21" t="str">
        <f t="shared" si="66"/>
        <v/>
      </c>
      <c r="BA345" s="264" t="s">
        <v>444</v>
      </c>
      <c r="BB345" s="264"/>
      <c r="BC345" s="264"/>
      <c r="BD345" s="264" t="s">
        <v>354</v>
      </c>
      <c r="BE345" s="216" t="s">
        <v>54</v>
      </c>
      <c r="BF345" s="56"/>
      <c r="BG345" s="56"/>
      <c r="BH345" s="56"/>
      <c r="BI345" s="56"/>
      <c r="BJ345" s="56"/>
      <c r="BK345" s="56"/>
      <c r="BL345" s="56"/>
      <c r="BM345" s="56"/>
      <c r="BN345" s="56"/>
      <c r="BO345" s="56"/>
      <c r="BP345" s="56"/>
      <c r="BQ345" s="5"/>
      <c r="BR345" s="25"/>
      <c r="BS345" s="5"/>
    </row>
    <row r="346" spans="1:71" s="3" customFormat="1" x14ac:dyDescent="0.25">
      <c r="A346" s="5"/>
      <c r="B346" s="3" t="str">
        <f t="array" ref="B346">IFERROR(INDEX(DemandSupply,MATCH(INDEX($AH$1:AH346,SMALL(ROW($AH$1:AH346)+(10000*($AH$1:AH346="")),COUNTA($AH$1:AH346))),Sectors,0)),"")</f>
        <v>Demand</v>
      </c>
      <c r="E346" s="10"/>
      <c r="F346" s="207"/>
      <c r="G346" s="207"/>
      <c r="H346" s="207"/>
      <c r="I346" s="207"/>
      <c r="J346" s="207"/>
      <c r="K346" s="207"/>
      <c r="L346" s="207"/>
      <c r="M346" s="207"/>
      <c r="N346" s="207"/>
      <c r="O346" s="207"/>
      <c r="P346" s="207"/>
      <c r="Q346" s="207"/>
      <c r="R346" s="207"/>
      <c r="S346" s="207"/>
      <c r="T346" s="207"/>
      <c r="U346" s="207"/>
      <c r="V346" s="207"/>
      <c r="W346" s="207"/>
      <c r="X346" s="207"/>
      <c r="Y346" s="207"/>
      <c r="Z346" s="207"/>
      <c r="AA346" s="207"/>
      <c r="AB346" s="207"/>
      <c r="AC346" s="5"/>
      <c r="AD346" s="63"/>
      <c r="AE346" s="64"/>
      <c r="AF346" s="64"/>
      <c r="AG346" s="212"/>
      <c r="AH346" s="64"/>
      <c r="AI346" s="64"/>
      <c r="AJ346" s="64"/>
      <c r="AK346" s="212"/>
      <c r="AL346" s="64"/>
      <c r="AM346" s="212"/>
      <c r="AN346" s="64"/>
      <c r="AO346" s="64"/>
      <c r="AP346" s="63"/>
      <c r="AQ346" s="64"/>
      <c r="AR346" s="63"/>
      <c r="AS346" s="64"/>
      <c r="AT346" s="63"/>
      <c r="AU346" s="64"/>
      <c r="AV346" s="63"/>
      <c r="AW346" s="64"/>
      <c r="AX346" s="63"/>
      <c r="AY346" s="5"/>
      <c r="AZ346" s="21" t="str">
        <f t="shared" si="66"/>
        <v/>
      </c>
      <c r="BA346" s="264" t="s">
        <v>446</v>
      </c>
      <c r="BB346" s="264"/>
      <c r="BC346" s="264"/>
      <c r="BD346" s="264" t="s">
        <v>354</v>
      </c>
      <c r="BE346" s="216" t="s">
        <v>54</v>
      </c>
      <c r="BF346" s="56"/>
      <c r="BG346" s="56"/>
      <c r="BH346" s="56"/>
      <c r="BI346" s="56"/>
      <c r="BJ346" s="56"/>
      <c r="BK346" s="56"/>
      <c r="BL346" s="56"/>
      <c r="BM346" s="56"/>
      <c r="BN346" s="56"/>
      <c r="BO346" s="56"/>
      <c r="BP346" s="56"/>
      <c r="BQ346" s="5"/>
      <c r="BR346" s="25"/>
      <c r="BS346" s="5"/>
    </row>
    <row r="347" spans="1:71" s="3" customFormat="1" x14ac:dyDescent="0.25">
      <c r="A347" s="5"/>
      <c r="B347" s="3" t="str">
        <f t="array" ref="B347">IFERROR(INDEX(DemandSupply,MATCH(INDEX($AH$1:AH347,SMALL(ROW($AH$1:AH347)+(10000*($AH$1:AH347="")),COUNTA($AH$1:AH347))),Sectors,0)),"")</f>
        <v>Demand</v>
      </c>
      <c r="E347" s="10"/>
      <c r="F347" s="207"/>
      <c r="G347" s="207"/>
      <c r="H347" s="207"/>
      <c r="I347" s="207"/>
      <c r="J347" s="207"/>
      <c r="K347" s="207"/>
      <c r="L347" s="207"/>
      <c r="M347" s="207"/>
      <c r="N347" s="207"/>
      <c r="O347" s="207"/>
      <c r="P347" s="207"/>
      <c r="Q347" s="207"/>
      <c r="R347" s="207"/>
      <c r="S347" s="207"/>
      <c r="T347" s="207"/>
      <c r="U347" s="207"/>
      <c r="V347" s="207"/>
      <c r="W347" s="207"/>
      <c r="X347" s="207"/>
      <c r="Y347" s="207"/>
      <c r="Z347" s="207"/>
      <c r="AA347" s="207"/>
      <c r="AB347" s="207"/>
      <c r="AC347" s="5"/>
      <c r="AD347" s="63"/>
      <c r="AE347" s="64"/>
      <c r="AF347" s="64"/>
      <c r="AG347" s="212"/>
      <c r="AH347" s="64"/>
      <c r="AI347" s="64"/>
      <c r="AJ347" s="64"/>
      <c r="AK347" s="212"/>
      <c r="AL347" s="64"/>
      <c r="AM347" s="212"/>
      <c r="AN347" s="64"/>
      <c r="AO347" s="64"/>
      <c r="AP347" s="63"/>
      <c r="AQ347" s="64"/>
      <c r="AR347" s="63"/>
      <c r="AS347" s="64"/>
      <c r="AT347" s="63"/>
      <c r="AU347" s="64"/>
      <c r="AV347" s="63"/>
      <c r="AW347" s="64"/>
      <c r="AX347" s="63"/>
      <c r="AY347" s="5"/>
      <c r="AZ347" s="21" t="str">
        <f t="shared" si="66"/>
        <v/>
      </c>
      <c r="BA347" s="264" t="s">
        <v>447</v>
      </c>
      <c r="BB347" s="264"/>
      <c r="BC347" s="264"/>
      <c r="BD347" s="264"/>
      <c r="BE347" s="216" t="s">
        <v>54</v>
      </c>
      <c r="BF347" s="55"/>
      <c r="BG347" s="55"/>
      <c r="BH347" s="55"/>
      <c r="BI347" s="55"/>
      <c r="BJ347" s="55"/>
      <c r="BK347" s="55"/>
      <c r="BL347" s="55"/>
      <c r="BM347" s="55"/>
      <c r="BN347" s="55"/>
      <c r="BO347" s="55"/>
      <c r="BP347" s="55"/>
      <c r="BQ347" s="5"/>
      <c r="BR347" s="25"/>
      <c r="BS347" s="5"/>
    </row>
    <row r="348" spans="1:71" s="3" customFormat="1" x14ac:dyDescent="0.25">
      <c r="A348" s="5"/>
      <c r="B348" s="3" t="str">
        <f t="array" ref="B348">IFERROR(INDEX(DemandSupply,MATCH(INDEX($AH$1:AH348,SMALL(ROW($AH$1:AH348)+(10000*($AH$1:AH348="")),COUNTA($AH$1:AH348))),Sectors,0)),"")</f>
        <v>Demand</v>
      </c>
      <c r="E348" s="10"/>
      <c r="F348" s="207"/>
      <c r="G348" s="207"/>
      <c r="H348" s="207"/>
      <c r="I348" s="207"/>
      <c r="J348" s="207"/>
      <c r="K348" s="207"/>
      <c r="L348" s="207"/>
      <c r="M348" s="207"/>
      <c r="N348" s="207"/>
      <c r="O348" s="207"/>
      <c r="P348" s="207"/>
      <c r="Q348" s="207"/>
      <c r="R348" s="207"/>
      <c r="S348" s="207"/>
      <c r="T348" s="207"/>
      <c r="U348" s="207"/>
      <c r="V348" s="207"/>
      <c r="W348" s="207"/>
      <c r="X348" s="207"/>
      <c r="Y348" s="207"/>
      <c r="Z348" s="207"/>
      <c r="AA348" s="207"/>
      <c r="AB348" s="207"/>
      <c r="AC348" s="5"/>
      <c r="AD348" s="63"/>
      <c r="AE348" s="64"/>
      <c r="AF348" s="64"/>
      <c r="AG348" s="212"/>
      <c r="AH348" s="64"/>
      <c r="AI348" s="64"/>
      <c r="AJ348" s="64"/>
      <c r="AK348" s="212"/>
      <c r="AL348" s="64"/>
      <c r="AM348" s="212"/>
      <c r="AN348" s="64"/>
      <c r="AO348" s="64"/>
      <c r="AP348" s="63"/>
      <c r="AQ348" s="64"/>
      <c r="AR348" s="63"/>
      <c r="AS348" s="64"/>
      <c r="AT348" s="63"/>
      <c r="AU348" s="64"/>
      <c r="AV348" s="63"/>
      <c r="AW348" s="64"/>
      <c r="AX348" s="63"/>
      <c r="AY348" s="5"/>
      <c r="AZ348" s="21" t="str">
        <f t="shared" si="66"/>
        <v/>
      </c>
      <c r="BA348" s="264" t="s">
        <v>448</v>
      </c>
      <c r="BB348" s="264"/>
      <c r="BC348" s="264"/>
      <c r="BD348" s="264"/>
      <c r="BE348" s="216" t="s">
        <v>54</v>
      </c>
      <c r="BF348" s="55"/>
      <c r="BG348" s="55"/>
      <c r="BH348" s="55"/>
      <c r="BI348" s="55"/>
      <c r="BJ348" s="55"/>
      <c r="BK348" s="55"/>
      <c r="BL348" s="55"/>
      <c r="BM348" s="55"/>
      <c r="BN348" s="55"/>
      <c r="BO348" s="55"/>
      <c r="BP348" s="55"/>
      <c r="BQ348" s="5"/>
      <c r="BR348" s="25"/>
      <c r="BS348" s="5"/>
    </row>
    <row r="349" spans="1:71" s="3" customFormat="1" x14ac:dyDescent="0.25">
      <c r="A349" s="5"/>
      <c r="B349" s="3" t="str">
        <f t="array" ref="B349">IFERROR(INDEX(DemandSupply,MATCH(INDEX($AH$1:AH349,SMALL(ROW($AH$1:AH349)+(10000*($AH$1:AH349="")),COUNTA($AH$1:AH349))),Sectors,0)),"")</f>
        <v>Demand</v>
      </c>
      <c r="E349" s="10"/>
      <c r="F349" s="207"/>
      <c r="G349" s="207"/>
      <c r="H349" s="207"/>
      <c r="I349" s="207"/>
      <c r="J349" s="207"/>
      <c r="K349" s="207"/>
      <c r="L349" s="207"/>
      <c r="M349" s="207"/>
      <c r="N349" s="207"/>
      <c r="O349" s="207"/>
      <c r="P349" s="207"/>
      <c r="Q349" s="207"/>
      <c r="R349" s="207"/>
      <c r="S349" s="207"/>
      <c r="T349" s="207"/>
      <c r="U349" s="207"/>
      <c r="V349" s="207"/>
      <c r="W349" s="207"/>
      <c r="X349" s="207"/>
      <c r="Y349" s="207"/>
      <c r="Z349" s="207"/>
      <c r="AA349" s="207"/>
      <c r="AB349" s="207"/>
      <c r="AC349" s="5"/>
      <c r="AD349" s="63"/>
      <c r="AE349" s="64"/>
      <c r="AF349" s="64"/>
      <c r="AG349" s="212"/>
      <c r="AH349" s="64"/>
      <c r="AI349" s="64"/>
      <c r="AJ349" s="64"/>
      <c r="AK349" s="212"/>
      <c r="AL349" s="64"/>
      <c r="AM349" s="212"/>
      <c r="AN349" s="64"/>
      <c r="AO349" s="64"/>
      <c r="AP349" s="63"/>
      <c r="AQ349" s="64"/>
      <c r="AR349" s="63"/>
      <c r="AS349" s="64"/>
      <c r="AT349" s="63"/>
      <c r="AU349" s="64"/>
      <c r="AV349" s="63"/>
      <c r="AW349" s="64"/>
      <c r="AX349" s="63"/>
      <c r="AY349" s="5"/>
      <c r="AZ349" s="21" t="str">
        <f t="shared" ref="AZ349:AZ412" si="81">IFERROR(INDEX($AD349:$AX349,MATCH(TRUE,INDEX(($AD349:$AX349&lt;&gt;0),0),0)),"")</f>
        <v/>
      </c>
      <c r="BA349" s="264" t="s">
        <v>445</v>
      </c>
      <c r="BB349" s="264"/>
      <c r="BC349" s="264"/>
      <c r="BD349" s="264" t="s">
        <v>355</v>
      </c>
      <c r="BE349" s="216" t="s">
        <v>54</v>
      </c>
      <c r="BF349" s="56"/>
      <c r="BG349" s="56"/>
      <c r="BH349" s="56"/>
      <c r="BI349" s="56"/>
      <c r="BJ349" s="56"/>
      <c r="BK349" s="56"/>
      <c r="BL349" s="56"/>
      <c r="BM349" s="56"/>
      <c r="BN349" s="56"/>
      <c r="BO349" s="56"/>
      <c r="BP349" s="56"/>
      <c r="BQ349" s="5"/>
      <c r="BR349" s="25"/>
      <c r="BS349" s="5"/>
    </row>
    <row r="350" spans="1:71" s="3" customFormat="1" x14ac:dyDescent="0.25">
      <c r="A350" s="5"/>
      <c r="B350" s="3" t="str">
        <f t="array" ref="B350">IFERROR(INDEX(DemandSupply,MATCH(INDEX($AH$1:AH350,SMALL(ROW($AH$1:AH350)+(10000*($AH$1:AH350="")),COUNTA($AH$1:AH350))),Sectors,0)),"")</f>
        <v>Demand</v>
      </c>
      <c r="E350" s="10"/>
      <c r="F350" s="207"/>
      <c r="G350" s="207"/>
      <c r="H350" s="207"/>
      <c r="I350" s="207"/>
      <c r="J350" s="207"/>
      <c r="K350" s="207"/>
      <c r="L350" s="207"/>
      <c r="M350" s="207"/>
      <c r="N350" s="207"/>
      <c r="O350" s="207"/>
      <c r="P350" s="207"/>
      <c r="Q350" s="207"/>
      <c r="R350" s="207"/>
      <c r="S350" s="207"/>
      <c r="T350" s="207"/>
      <c r="U350" s="207"/>
      <c r="V350" s="207"/>
      <c r="W350" s="207"/>
      <c r="X350" s="207"/>
      <c r="Y350" s="207"/>
      <c r="Z350" s="207"/>
      <c r="AA350" s="207"/>
      <c r="AB350" s="207"/>
      <c r="AC350" s="5"/>
      <c r="AD350" s="63"/>
      <c r="AE350" s="64"/>
      <c r="AF350" s="64"/>
      <c r="AG350" s="212"/>
      <c r="AH350" s="64"/>
      <c r="AI350" s="64"/>
      <c r="AJ350" s="64"/>
      <c r="AK350" s="212"/>
      <c r="AL350" s="64"/>
      <c r="AM350" s="212"/>
      <c r="AN350" s="64"/>
      <c r="AO350" s="64"/>
      <c r="AP350" s="63"/>
      <c r="AQ350" s="64"/>
      <c r="AR350" s="63"/>
      <c r="AS350" s="64"/>
      <c r="AT350" s="63"/>
      <c r="AU350" s="64"/>
      <c r="AV350" s="63"/>
      <c r="AW350" s="64"/>
      <c r="AX350" s="63"/>
      <c r="AY350" s="5"/>
      <c r="AZ350" s="21" t="str">
        <f t="shared" si="81"/>
        <v/>
      </c>
      <c r="BA350" s="264" t="s">
        <v>449</v>
      </c>
      <c r="BB350" s="264"/>
      <c r="BC350" s="264"/>
      <c r="BD350" s="264" t="s">
        <v>355</v>
      </c>
      <c r="BE350" s="216" t="s">
        <v>54</v>
      </c>
      <c r="BF350" s="56"/>
      <c r="BG350" s="56"/>
      <c r="BH350" s="56"/>
      <c r="BI350" s="56"/>
      <c r="BJ350" s="56"/>
      <c r="BK350" s="56"/>
      <c r="BL350" s="56"/>
      <c r="BM350" s="56"/>
      <c r="BN350" s="56"/>
      <c r="BO350" s="56"/>
      <c r="BP350" s="56"/>
      <c r="BQ350" s="5"/>
      <c r="BR350" s="25"/>
      <c r="BS350" s="5"/>
    </row>
    <row r="351" spans="1:71" s="3" customFormat="1" x14ac:dyDescent="0.25">
      <c r="A351" s="5"/>
      <c r="B351" s="3" t="str">
        <f t="array" ref="B351">IFERROR(INDEX(DemandSupply,MATCH(INDEX($AH$1:AH351,SMALL(ROW($AH$1:AH351)+(10000*($AH$1:AH351="")),COUNTA($AH$1:AH351))),Sectors,0)),"")</f>
        <v>Demand</v>
      </c>
      <c r="E351" s="10"/>
      <c r="F351" s="207"/>
      <c r="G351" s="207"/>
      <c r="H351" s="207"/>
      <c r="I351" s="207"/>
      <c r="J351" s="207"/>
      <c r="K351" s="207"/>
      <c r="L351" s="207"/>
      <c r="M351" s="207"/>
      <c r="N351" s="207"/>
      <c r="O351" s="207"/>
      <c r="P351" s="207"/>
      <c r="Q351" s="207"/>
      <c r="R351" s="207"/>
      <c r="S351" s="207"/>
      <c r="T351" s="207"/>
      <c r="U351" s="207"/>
      <c r="V351" s="207"/>
      <c r="W351" s="207"/>
      <c r="X351" s="207"/>
      <c r="Y351" s="207"/>
      <c r="Z351" s="207"/>
      <c r="AA351" s="207"/>
      <c r="AB351" s="207"/>
      <c r="AC351" s="5"/>
      <c r="AD351" s="63"/>
      <c r="AE351" s="64"/>
      <c r="AF351" s="64"/>
      <c r="AG351" s="212"/>
      <c r="AH351" s="64"/>
      <c r="AI351" s="64"/>
      <c r="AJ351" s="64"/>
      <c r="AK351" s="212"/>
      <c r="AL351" s="64"/>
      <c r="AM351" s="212"/>
      <c r="AN351" s="64"/>
      <c r="AO351" s="64"/>
      <c r="AP351" s="63"/>
      <c r="AQ351" s="64"/>
      <c r="AR351" s="63"/>
      <c r="AS351" s="64"/>
      <c r="AT351" s="63"/>
      <c r="AU351" s="64"/>
      <c r="AV351" s="63"/>
      <c r="AW351" s="64"/>
      <c r="AX351" s="63"/>
      <c r="AY351" s="5"/>
      <c r="AZ351" s="21" t="str">
        <f t="shared" si="81"/>
        <v/>
      </c>
      <c r="BA351" s="264" t="s">
        <v>450</v>
      </c>
      <c r="BB351" s="264"/>
      <c r="BC351" s="264"/>
      <c r="BD351" s="264"/>
      <c r="BE351" s="216" t="s">
        <v>54</v>
      </c>
      <c r="BF351" s="55"/>
      <c r="BG351" s="55"/>
      <c r="BH351" s="55"/>
      <c r="BI351" s="55"/>
      <c r="BJ351" s="55"/>
      <c r="BK351" s="55"/>
      <c r="BL351" s="55"/>
      <c r="BM351" s="55"/>
      <c r="BN351" s="55"/>
      <c r="BO351" s="55"/>
      <c r="BP351" s="55"/>
      <c r="BQ351" s="5"/>
      <c r="BR351" s="25"/>
      <c r="BS351" s="5"/>
    </row>
    <row r="352" spans="1:71" s="3" customFormat="1" x14ac:dyDescent="0.25">
      <c r="A352" s="5"/>
      <c r="B352" s="3" t="str">
        <f t="array" ref="B352">IFERROR(INDEX(DemandSupply,MATCH(INDEX($AH$1:AH352,SMALL(ROW($AH$1:AH352)+(10000*($AH$1:AH352="")),COUNTA($AH$1:AH352))),Sectors,0)),"")</f>
        <v>Demand</v>
      </c>
      <c r="E352" s="10"/>
      <c r="F352" s="207"/>
      <c r="G352" s="207"/>
      <c r="H352" s="207"/>
      <c r="I352" s="207"/>
      <c r="J352" s="207"/>
      <c r="K352" s="207"/>
      <c r="L352" s="207"/>
      <c r="M352" s="207"/>
      <c r="N352" s="207"/>
      <c r="O352" s="207"/>
      <c r="P352" s="207"/>
      <c r="Q352" s="207"/>
      <c r="R352" s="207"/>
      <c r="S352" s="207"/>
      <c r="T352" s="207"/>
      <c r="U352" s="207"/>
      <c r="V352" s="207"/>
      <c r="W352" s="207"/>
      <c r="X352" s="207"/>
      <c r="Y352" s="207"/>
      <c r="Z352" s="207"/>
      <c r="AA352" s="207"/>
      <c r="AB352" s="207"/>
      <c r="AC352" s="5"/>
      <c r="AD352" s="63"/>
      <c r="AE352" s="64"/>
      <c r="AF352" s="64"/>
      <c r="AG352" s="212"/>
      <c r="AH352" s="64"/>
      <c r="AI352" s="64"/>
      <c r="AJ352" s="64"/>
      <c r="AK352" s="212"/>
      <c r="AL352" s="64"/>
      <c r="AM352" s="212"/>
      <c r="AN352" s="64"/>
      <c r="AO352" s="64"/>
      <c r="AP352" s="63"/>
      <c r="AQ352" s="64"/>
      <c r="AR352" s="63"/>
      <c r="AS352" s="64"/>
      <c r="AT352" s="63"/>
      <c r="AU352" s="64"/>
      <c r="AV352" s="63"/>
      <c r="AW352" s="64"/>
      <c r="AX352" s="63"/>
      <c r="AY352" s="5"/>
      <c r="AZ352" s="21" t="str">
        <f t="shared" si="81"/>
        <v/>
      </c>
      <c r="BA352" s="264" t="s">
        <v>451</v>
      </c>
      <c r="BB352" s="264"/>
      <c r="BC352" s="264"/>
      <c r="BD352" s="264"/>
      <c r="BE352" s="216" t="s">
        <v>54</v>
      </c>
      <c r="BF352" s="55"/>
      <c r="BG352" s="55"/>
      <c r="BH352" s="55"/>
      <c r="BI352" s="55"/>
      <c r="BJ352" s="55"/>
      <c r="BK352" s="55"/>
      <c r="BL352" s="55"/>
      <c r="BM352" s="55"/>
      <c r="BN352" s="55"/>
      <c r="BO352" s="55"/>
      <c r="BP352" s="55"/>
      <c r="BQ352" s="5"/>
      <c r="BR352" s="25"/>
      <c r="BS352" s="5"/>
    </row>
    <row r="353" spans="1:71" s="3" customFormat="1" x14ac:dyDescent="0.25">
      <c r="A353" s="5"/>
      <c r="B353" s="3" t="str">
        <f t="array" ref="B353">IFERROR(INDEX(DemandSupply,MATCH(INDEX($AH$1:AH353,SMALL(ROW($AH$1:AH353)+(10000*($AH$1:AH353="")),COUNTA($AH$1:AH353))),Sectors,0)),"")</f>
        <v>Demand</v>
      </c>
      <c r="E353" s="10"/>
      <c r="F353" s="207"/>
      <c r="G353" s="207"/>
      <c r="H353" s="207"/>
      <c r="I353" s="207"/>
      <c r="J353" s="207"/>
      <c r="K353" s="207"/>
      <c r="L353" s="207"/>
      <c r="M353" s="207"/>
      <c r="N353" s="207"/>
      <c r="O353" s="207"/>
      <c r="P353" s="207"/>
      <c r="Q353" s="207"/>
      <c r="R353" s="207"/>
      <c r="S353" s="207"/>
      <c r="T353" s="207"/>
      <c r="U353" s="207"/>
      <c r="V353" s="207"/>
      <c r="W353" s="207"/>
      <c r="X353" s="207"/>
      <c r="Y353" s="207"/>
      <c r="Z353" s="207"/>
      <c r="AA353" s="207"/>
      <c r="AB353" s="207"/>
      <c r="AC353" s="5"/>
      <c r="AD353" s="63"/>
      <c r="AE353" s="64"/>
      <c r="AF353" s="64"/>
      <c r="AG353" s="212"/>
      <c r="AH353" s="64"/>
      <c r="AI353" s="64"/>
      <c r="AJ353" s="64"/>
      <c r="AK353" s="212"/>
      <c r="AL353" s="64"/>
      <c r="AM353" s="212"/>
      <c r="AN353" s="64"/>
      <c r="AO353" s="64"/>
      <c r="AP353" s="63"/>
      <c r="AQ353" s="64"/>
      <c r="AR353" s="63"/>
      <c r="AS353" s="64"/>
      <c r="AT353" s="63"/>
      <c r="AU353" s="64"/>
      <c r="AV353" s="63"/>
      <c r="AW353" s="64"/>
      <c r="AX353" s="63"/>
      <c r="AY353" s="5"/>
      <c r="AZ353" s="21" t="str">
        <f t="shared" si="81"/>
        <v/>
      </c>
      <c r="BA353" s="264" t="s">
        <v>342</v>
      </c>
      <c r="BB353" s="264"/>
      <c r="BC353" s="264"/>
      <c r="BD353" s="264" t="s">
        <v>355</v>
      </c>
      <c r="BE353" s="216" t="s">
        <v>54</v>
      </c>
      <c r="BF353" s="56"/>
      <c r="BG353" s="56"/>
      <c r="BH353" s="56"/>
      <c r="BI353" s="56"/>
      <c r="BJ353" s="56"/>
      <c r="BK353" s="56"/>
      <c r="BL353" s="56"/>
      <c r="BM353" s="56"/>
      <c r="BN353" s="56"/>
      <c r="BO353" s="56"/>
      <c r="BP353" s="56"/>
      <c r="BQ353" s="5"/>
      <c r="BR353" s="25"/>
      <c r="BS353" s="5"/>
    </row>
    <row r="354" spans="1:71" s="3" customFormat="1" x14ac:dyDescent="0.25">
      <c r="A354" s="5"/>
      <c r="B354" s="3" t="str">
        <f t="array" ref="B354">IFERROR(INDEX(DemandSupply,MATCH(INDEX($AH$1:AH354,SMALL(ROW($AH$1:AH354)+(10000*($AH$1:AH354="")),COUNTA($AH$1:AH354))),Sectors,0)),"")</f>
        <v>Demand</v>
      </c>
      <c r="E354" s="10"/>
      <c r="F354" s="207"/>
      <c r="G354" s="207"/>
      <c r="H354" s="207"/>
      <c r="I354" s="207"/>
      <c r="J354" s="207"/>
      <c r="K354" s="207"/>
      <c r="L354" s="207"/>
      <c r="M354" s="207"/>
      <c r="N354" s="207"/>
      <c r="O354" s="207"/>
      <c r="P354" s="207"/>
      <c r="Q354" s="207"/>
      <c r="R354" s="207"/>
      <c r="S354" s="207"/>
      <c r="T354" s="207"/>
      <c r="U354" s="207"/>
      <c r="V354" s="207"/>
      <c r="W354" s="207"/>
      <c r="X354" s="207"/>
      <c r="Y354" s="207"/>
      <c r="Z354" s="207"/>
      <c r="AA354" s="207"/>
      <c r="AB354" s="207"/>
      <c r="AC354" s="5"/>
      <c r="AD354" s="63"/>
      <c r="AE354" s="64"/>
      <c r="AF354" s="64"/>
      <c r="AG354" s="212"/>
      <c r="AH354" s="64"/>
      <c r="AI354" s="64"/>
      <c r="AJ354" s="64"/>
      <c r="AK354" s="212"/>
      <c r="AL354" s="64"/>
      <c r="AM354" s="212"/>
      <c r="AN354" s="64"/>
      <c r="AO354" s="64"/>
      <c r="AP354" s="63"/>
      <c r="AQ354" s="64"/>
      <c r="AR354" s="63"/>
      <c r="AS354" s="64"/>
      <c r="AT354" s="63"/>
      <c r="AU354" s="64"/>
      <c r="AV354" s="63"/>
      <c r="AW354" s="64"/>
      <c r="AX354" s="63"/>
      <c r="AY354" s="5"/>
      <c r="AZ354" s="21" t="str">
        <f t="shared" si="81"/>
        <v/>
      </c>
      <c r="BA354" s="264" t="s">
        <v>394</v>
      </c>
      <c r="BB354" s="264"/>
      <c r="BC354" s="264"/>
      <c r="BD354" s="264" t="s">
        <v>354</v>
      </c>
      <c r="BE354" s="216" t="s">
        <v>54</v>
      </c>
      <c r="BF354" s="56"/>
      <c r="BG354" s="56"/>
      <c r="BH354" s="56"/>
      <c r="BI354" s="56"/>
      <c r="BJ354" s="56"/>
      <c r="BK354" s="56"/>
      <c r="BL354" s="56"/>
      <c r="BM354" s="56"/>
      <c r="BN354" s="56"/>
      <c r="BO354" s="56"/>
      <c r="BP354" s="56"/>
      <c r="BQ354" s="5"/>
      <c r="BR354" s="25"/>
      <c r="BS354" s="5"/>
    </row>
    <row r="355" spans="1:71" s="3" customFormat="1" x14ac:dyDescent="0.25">
      <c r="A355" s="5"/>
      <c r="B355" s="3" t="str">
        <f t="array" ref="B355">IFERROR(INDEX(DemandSupply,MATCH(INDEX($AH$1:AH355,SMALL(ROW($AH$1:AH355)+(10000*($AH$1:AH355="")),COUNTA($AH$1:AH355))),Sectors,0)),"")</f>
        <v>Demand</v>
      </c>
      <c r="E355" s="10">
        <f t="shared" si="56"/>
        <v>0</v>
      </c>
      <c r="F355" s="207">
        <v>1</v>
      </c>
      <c r="G355" s="207">
        <v>1</v>
      </c>
      <c r="H355" s="207">
        <v>1</v>
      </c>
      <c r="I355" s="207">
        <v>1</v>
      </c>
      <c r="J355" s="207">
        <v>1</v>
      </c>
      <c r="K355" s="207">
        <v>1</v>
      </c>
      <c r="L355" s="207">
        <v>1</v>
      </c>
      <c r="M355" s="207">
        <v>1</v>
      </c>
      <c r="N355" s="207">
        <v>1</v>
      </c>
      <c r="O355" s="207">
        <v>1</v>
      </c>
      <c r="P355" s="207">
        <v>1</v>
      </c>
      <c r="Q355" s="207">
        <v>1</v>
      </c>
      <c r="R355" s="207">
        <v>1</v>
      </c>
      <c r="S355" s="207">
        <v>1</v>
      </c>
      <c r="T355" s="207">
        <v>1</v>
      </c>
      <c r="U355" s="207">
        <v>1</v>
      </c>
      <c r="V355" s="207">
        <v>1</v>
      </c>
      <c r="W355" s="207">
        <v>1</v>
      </c>
      <c r="X355" s="207">
        <v>1</v>
      </c>
      <c r="Y355" s="207">
        <v>1</v>
      </c>
      <c r="Z355" s="207">
        <v>1</v>
      </c>
      <c r="AA355" s="207">
        <v>1</v>
      </c>
      <c r="AB355" s="207">
        <v>1</v>
      </c>
      <c r="AC355" s="5"/>
      <c r="AD355" s="63"/>
      <c r="AE355" s="64"/>
      <c r="AF355" s="64"/>
      <c r="AG355" s="212"/>
      <c r="AH355" s="64"/>
      <c r="AI355" s="64"/>
      <c r="AJ355" s="65"/>
      <c r="AK355" s="212"/>
      <c r="AL355" s="64"/>
      <c r="AM355" s="212"/>
      <c r="AN355" s="63"/>
      <c r="AO355" s="64"/>
      <c r="AP355" s="64"/>
      <c r="AQ355" s="64"/>
      <c r="AR355" s="63"/>
      <c r="AS355" s="64"/>
      <c r="AT355" s="63"/>
      <c r="AU355" s="64"/>
      <c r="AV355" s="63"/>
      <c r="AW355" s="64"/>
      <c r="AX355" s="63"/>
      <c r="AY355" s="5"/>
      <c r="AZ355" s="21" t="str">
        <f t="shared" si="81"/>
        <v/>
      </c>
      <c r="BA355" s="74" t="s">
        <v>338</v>
      </c>
      <c r="BB355" s="25"/>
      <c r="BC355" s="74" t="s">
        <v>123</v>
      </c>
      <c r="BD355" s="74" t="s">
        <v>367</v>
      </c>
      <c r="BE355" s="216" t="s">
        <v>54</v>
      </c>
      <c r="BF355" s="314">
        <f>1/1.9</f>
        <v>0.52631578947368418</v>
      </c>
      <c r="BG355" s="314">
        <f>1/2.2</f>
        <v>0.45454545454545453</v>
      </c>
      <c r="BH355" s="314">
        <f>1/2.5</f>
        <v>0.4</v>
      </c>
      <c r="BI355" s="314">
        <f>1/2.8</f>
        <v>0.35714285714285715</v>
      </c>
      <c r="BJ355" s="314">
        <f>BI355</f>
        <v>0.35714285714285715</v>
      </c>
      <c r="BK355" s="314">
        <f t="shared" ref="BK355:BP355" si="82">BJ355</f>
        <v>0.35714285714285715</v>
      </c>
      <c r="BL355" s="314">
        <f t="shared" si="82"/>
        <v>0.35714285714285715</v>
      </c>
      <c r="BM355" s="314">
        <f t="shared" si="82"/>
        <v>0.35714285714285715</v>
      </c>
      <c r="BN355" s="314">
        <f t="shared" si="82"/>
        <v>0.35714285714285715</v>
      </c>
      <c r="BO355" s="314">
        <f t="shared" si="82"/>
        <v>0.35714285714285715</v>
      </c>
      <c r="BP355" s="314">
        <f t="shared" si="82"/>
        <v>0.35714285714285715</v>
      </c>
      <c r="BQ355" s="5"/>
      <c r="BR355" s="25"/>
      <c r="BS355" s="5"/>
    </row>
    <row r="356" spans="1:71" s="3" customFormat="1" x14ac:dyDescent="0.25">
      <c r="A356" s="5"/>
      <c r="B356" s="3" t="str">
        <f t="array" ref="B356">IFERROR(INDEX(DemandSupply,MATCH(INDEX($AH$1:AH356,SMALL(ROW($AH$1:AH356)+(10000*($AH$1:AH356="")),COUNTA($AH$1:AH356))),Sectors,0)),"")</f>
        <v>Demand</v>
      </c>
      <c r="E356" s="10">
        <f t="shared" si="56"/>
        <v>0</v>
      </c>
      <c r="F356" s="207">
        <v>1</v>
      </c>
      <c r="G356" s="207">
        <v>1</v>
      </c>
      <c r="H356" s="207">
        <v>1</v>
      </c>
      <c r="I356" s="207">
        <v>1</v>
      </c>
      <c r="J356" s="207">
        <v>1</v>
      </c>
      <c r="K356" s="207">
        <v>1</v>
      </c>
      <c r="L356" s="207">
        <v>1</v>
      </c>
      <c r="M356" s="207">
        <v>1</v>
      </c>
      <c r="N356" s="207">
        <v>1</v>
      </c>
      <c r="O356" s="207">
        <v>1</v>
      </c>
      <c r="P356" s="207">
        <v>1</v>
      </c>
      <c r="Q356" s="207">
        <v>1</v>
      </c>
      <c r="R356" s="207">
        <v>1</v>
      </c>
      <c r="S356" s="207">
        <v>1</v>
      </c>
      <c r="T356" s="207">
        <v>1</v>
      </c>
      <c r="U356" s="207">
        <v>1</v>
      </c>
      <c r="V356" s="207">
        <v>1</v>
      </c>
      <c r="W356" s="207">
        <v>1</v>
      </c>
      <c r="X356" s="207">
        <v>1</v>
      </c>
      <c r="Y356" s="207">
        <v>1</v>
      </c>
      <c r="Z356" s="207">
        <v>1</v>
      </c>
      <c r="AA356" s="207">
        <v>1</v>
      </c>
      <c r="AB356" s="207">
        <v>1</v>
      </c>
      <c r="AC356" s="5"/>
      <c r="AD356" s="63"/>
      <c r="AE356" s="64"/>
      <c r="AF356" s="64"/>
      <c r="AG356" s="212"/>
      <c r="AH356" s="64"/>
      <c r="AI356" s="64"/>
      <c r="AJ356" s="65"/>
      <c r="AK356" s="212"/>
      <c r="AL356" s="64"/>
      <c r="AM356" s="212"/>
      <c r="AN356" s="63"/>
      <c r="AO356" s="64"/>
      <c r="AP356" s="64"/>
      <c r="AQ356" s="64"/>
      <c r="AR356" s="63"/>
      <c r="AS356" s="64"/>
      <c r="AT356" s="63"/>
      <c r="AU356" s="64"/>
      <c r="AV356" s="63"/>
      <c r="AW356" s="64"/>
      <c r="AX356" s="63"/>
      <c r="AY356" s="5"/>
      <c r="AZ356" s="21" t="str">
        <f t="shared" si="81"/>
        <v/>
      </c>
      <c r="BA356" s="291" t="s">
        <v>51</v>
      </c>
      <c r="BB356" s="25"/>
      <c r="BC356" s="2"/>
      <c r="BD356" s="2"/>
      <c r="BE356" s="216" t="s">
        <v>119</v>
      </c>
      <c r="BF356" s="4"/>
      <c r="BG356" s="4"/>
      <c r="BH356" s="4"/>
      <c r="BI356" s="4"/>
      <c r="BJ356" s="4"/>
      <c r="BK356" s="4"/>
      <c r="BL356" s="4"/>
      <c r="BM356" s="4"/>
      <c r="BN356" s="4"/>
      <c r="BO356" s="4"/>
      <c r="BP356" s="4"/>
      <c r="BQ356" s="5"/>
      <c r="BR356" s="25"/>
      <c r="BS356" s="5"/>
    </row>
    <row r="357" spans="1:71" s="3" customFormat="1" x14ac:dyDescent="0.25">
      <c r="A357" s="5"/>
      <c r="B357" s="3" t="str">
        <f t="array" ref="B357">IFERROR(INDEX(DemandSupply,MATCH(INDEX($AH$1:AH357,SMALL(ROW($AH$1:AH357)+(10000*($AH$1:AH357="")),COUNTA($AH$1:AH357))),Sectors,0)),"")</f>
        <v>Demand</v>
      </c>
      <c r="E357" s="10"/>
      <c r="F357" s="207"/>
      <c r="G357" s="207"/>
      <c r="H357" s="207"/>
      <c r="I357" s="207"/>
      <c r="J357" s="207"/>
      <c r="K357" s="207"/>
      <c r="L357" s="207"/>
      <c r="M357" s="207"/>
      <c r="N357" s="207"/>
      <c r="O357" s="207"/>
      <c r="P357" s="207"/>
      <c r="Q357" s="207"/>
      <c r="R357" s="207"/>
      <c r="S357" s="207"/>
      <c r="T357" s="207"/>
      <c r="U357" s="207"/>
      <c r="V357" s="207"/>
      <c r="W357" s="207"/>
      <c r="X357" s="207"/>
      <c r="Y357" s="207"/>
      <c r="Z357" s="207"/>
      <c r="AA357" s="207"/>
      <c r="AB357" s="207"/>
      <c r="AC357" s="5"/>
      <c r="AD357" s="63"/>
      <c r="AE357" s="64"/>
      <c r="AF357" s="64"/>
      <c r="AG357" s="212"/>
      <c r="AH357" s="64"/>
      <c r="AI357" s="64"/>
      <c r="AJ357" s="64"/>
      <c r="AK357" s="212"/>
      <c r="AL357" s="64"/>
      <c r="AM357" s="212"/>
      <c r="AN357" s="64"/>
      <c r="AO357" s="64"/>
      <c r="AP357" s="63"/>
      <c r="AQ357" s="64"/>
      <c r="AR357" s="63"/>
      <c r="AS357" s="64"/>
      <c r="AT357" s="63"/>
      <c r="AU357" s="64"/>
      <c r="AV357" s="63"/>
      <c r="AW357" s="64"/>
      <c r="AX357" s="63"/>
      <c r="AY357" s="5"/>
      <c r="AZ357" s="21" t="str">
        <f t="shared" si="81"/>
        <v/>
      </c>
      <c r="BA357" s="264" t="s">
        <v>38</v>
      </c>
      <c r="BB357" s="264"/>
      <c r="BC357" s="264"/>
      <c r="BD357" s="264" t="s">
        <v>40</v>
      </c>
      <c r="BE357" s="216" t="s">
        <v>119</v>
      </c>
      <c r="BF357" s="309">
        <v>2010</v>
      </c>
      <c r="BG357" s="310">
        <f t="shared" ref="BG357:BP357" si="83">BF357</f>
        <v>2010</v>
      </c>
      <c r="BH357" s="310">
        <f t="shared" si="83"/>
        <v>2010</v>
      </c>
      <c r="BI357" s="310">
        <f t="shared" si="83"/>
        <v>2010</v>
      </c>
      <c r="BJ357" s="310">
        <f t="shared" si="83"/>
        <v>2010</v>
      </c>
      <c r="BK357" s="310">
        <f t="shared" si="83"/>
        <v>2010</v>
      </c>
      <c r="BL357" s="310">
        <f t="shared" si="83"/>
        <v>2010</v>
      </c>
      <c r="BM357" s="310">
        <f t="shared" si="83"/>
        <v>2010</v>
      </c>
      <c r="BN357" s="310">
        <f t="shared" si="83"/>
        <v>2010</v>
      </c>
      <c r="BO357" s="310">
        <f t="shared" si="83"/>
        <v>2010</v>
      </c>
      <c r="BP357" s="310">
        <f t="shared" si="83"/>
        <v>2010</v>
      </c>
      <c r="BQ357" s="5"/>
      <c r="BR357" s="25"/>
      <c r="BS357" s="5"/>
    </row>
    <row r="358" spans="1:71" s="3" customFormat="1" x14ac:dyDescent="0.25">
      <c r="A358" s="5"/>
      <c r="B358" s="3" t="str">
        <f t="array" ref="B358">IFERROR(INDEX(DemandSupply,MATCH(INDEX($AH$1:AH358,SMALL(ROW($AH$1:AH358)+(10000*($AH$1:AH358="")),COUNTA($AH$1:AH358))),Sectors,0)),"")</f>
        <v>Demand</v>
      </c>
      <c r="E358" s="10"/>
      <c r="F358" s="207"/>
      <c r="G358" s="207"/>
      <c r="H358" s="207"/>
      <c r="I358" s="207"/>
      <c r="J358" s="207"/>
      <c r="K358" s="207"/>
      <c r="L358" s="207"/>
      <c r="M358" s="207"/>
      <c r="N358" s="207"/>
      <c r="O358" s="207"/>
      <c r="P358" s="207"/>
      <c r="Q358" s="207"/>
      <c r="R358" s="207"/>
      <c r="S358" s="207"/>
      <c r="T358" s="207"/>
      <c r="U358" s="207"/>
      <c r="V358" s="207"/>
      <c r="W358" s="207"/>
      <c r="X358" s="207"/>
      <c r="Y358" s="207"/>
      <c r="Z358" s="207"/>
      <c r="AA358" s="207"/>
      <c r="AB358" s="207"/>
      <c r="AC358" s="5"/>
      <c r="AD358" s="63"/>
      <c r="AE358" s="64"/>
      <c r="AF358" s="64"/>
      <c r="AG358" s="212"/>
      <c r="AH358" s="64"/>
      <c r="AI358" s="64"/>
      <c r="AJ358" s="64"/>
      <c r="AK358" s="212"/>
      <c r="AL358" s="64"/>
      <c r="AM358" s="212"/>
      <c r="AN358" s="64"/>
      <c r="AO358" s="64"/>
      <c r="AP358" s="63"/>
      <c r="AQ358" s="64"/>
      <c r="AR358" s="63"/>
      <c r="AS358" s="64"/>
      <c r="AT358" s="63"/>
      <c r="AU358" s="64"/>
      <c r="AV358" s="63"/>
      <c r="AW358" s="64"/>
      <c r="AX358" s="63"/>
      <c r="AY358" s="5"/>
      <c r="AZ358" s="21" t="str">
        <f t="shared" si="81"/>
        <v/>
      </c>
      <c r="BA358" s="264" t="s">
        <v>37</v>
      </c>
      <c r="BB358" s="264"/>
      <c r="BC358" s="264"/>
      <c r="BD358" s="264" t="s">
        <v>40</v>
      </c>
      <c r="BE358" s="216" t="s">
        <v>119</v>
      </c>
      <c r="BF358" s="309">
        <v>2100</v>
      </c>
      <c r="BG358" s="310">
        <f t="shared" ref="BG358:BP358" si="84">BF358</f>
        <v>2100</v>
      </c>
      <c r="BH358" s="310">
        <f t="shared" si="84"/>
        <v>2100</v>
      </c>
      <c r="BI358" s="310">
        <f t="shared" si="84"/>
        <v>2100</v>
      </c>
      <c r="BJ358" s="310">
        <f t="shared" si="84"/>
        <v>2100</v>
      </c>
      <c r="BK358" s="310">
        <f t="shared" si="84"/>
        <v>2100</v>
      </c>
      <c r="BL358" s="310">
        <f t="shared" si="84"/>
        <v>2100</v>
      </c>
      <c r="BM358" s="310">
        <f t="shared" si="84"/>
        <v>2100</v>
      </c>
      <c r="BN358" s="310">
        <f t="shared" si="84"/>
        <v>2100</v>
      </c>
      <c r="BO358" s="310">
        <f t="shared" si="84"/>
        <v>2100</v>
      </c>
      <c r="BP358" s="310">
        <f t="shared" si="84"/>
        <v>2100</v>
      </c>
      <c r="BQ358" s="5"/>
      <c r="BR358" s="25"/>
      <c r="BS358" s="5"/>
    </row>
    <row r="359" spans="1:71" s="3" customFormat="1" x14ac:dyDescent="0.25">
      <c r="A359" s="5"/>
      <c r="B359" s="3" t="str">
        <f t="array" ref="B359">IFERROR(INDEX(DemandSupply,MATCH(INDEX($AH$1:AH359,SMALL(ROW($AH$1:AH359)+(10000*($AH$1:AH359="")),COUNTA($AH$1:AH359))),Sectors,0)),"")</f>
        <v>Demand</v>
      </c>
      <c r="E359" s="10"/>
      <c r="F359" s="207"/>
      <c r="G359" s="207"/>
      <c r="H359" s="207"/>
      <c r="I359" s="207"/>
      <c r="J359" s="207"/>
      <c r="K359" s="207"/>
      <c r="L359" s="207"/>
      <c r="M359" s="207"/>
      <c r="N359" s="207"/>
      <c r="O359" s="207"/>
      <c r="P359" s="207"/>
      <c r="Q359" s="207"/>
      <c r="R359" s="207"/>
      <c r="S359" s="207"/>
      <c r="T359" s="207"/>
      <c r="U359" s="207"/>
      <c r="V359" s="207"/>
      <c r="W359" s="207"/>
      <c r="X359" s="207"/>
      <c r="Y359" s="207"/>
      <c r="Z359" s="207"/>
      <c r="AA359" s="207"/>
      <c r="AB359" s="207"/>
      <c r="AC359" s="5"/>
      <c r="AD359" s="63"/>
      <c r="AE359" s="64"/>
      <c r="AF359" s="64"/>
      <c r="AG359" s="212"/>
      <c r="AH359" s="64"/>
      <c r="AI359" s="64"/>
      <c r="AJ359" s="64"/>
      <c r="AK359" s="212"/>
      <c r="AL359" s="64"/>
      <c r="AM359" s="212"/>
      <c r="AN359" s="64"/>
      <c r="AO359" s="64"/>
      <c r="AP359" s="63"/>
      <c r="AQ359" s="64"/>
      <c r="AR359" s="63"/>
      <c r="AS359" s="64"/>
      <c r="AT359" s="63"/>
      <c r="AU359" s="64"/>
      <c r="AV359" s="63"/>
      <c r="AW359" s="64"/>
      <c r="AX359" s="63"/>
      <c r="AY359" s="5"/>
      <c r="AZ359" s="21" t="str">
        <f t="shared" si="81"/>
        <v/>
      </c>
      <c r="BA359" s="264" t="s">
        <v>39</v>
      </c>
      <c r="BB359" s="264"/>
      <c r="BC359" s="264"/>
      <c r="BD359" s="264" t="s">
        <v>10</v>
      </c>
      <c r="BE359" s="216" t="s">
        <v>119</v>
      </c>
      <c r="BF359" s="56">
        <v>50</v>
      </c>
      <c r="BG359" s="245">
        <f t="shared" ref="BG359:BP359" si="85">BF359</f>
        <v>50</v>
      </c>
      <c r="BH359" s="245">
        <f t="shared" si="85"/>
        <v>50</v>
      </c>
      <c r="BI359" s="245">
        <f t="shared" si="85"/>
        <v>50</v>
      </c>
      <c r="BJ359" s="245">
        <f t="shared" si="85"/>
        <v>50</v>
      </c>
      <c r="BK359" s="245">
        <f t="shared" si="85"/>
        <v>50</v>
      </c>
      <c r="BL359" s="245">
        <f t="shared" si="85"/>
        <v>50</v>
      </c>
      <c r="BM359" s="245">
        <f t="shared" si="85"/>
        <v>50</v>
      </c>
      <c r="BN359" s="245">
        <f t="shared" si="85"/>
        <v>50</v>
      </c>
      <c r="BO359" s="245">
        <f t="shared" si="85"/>
        <v>50</v>
      </c>
      <c r="BP359" s="245">
        <f t="shared" si="85"/>
        <v>50</v>
      </c>
      <c r="BQ359" s="5"/>
      <c r="BR359" s="25"/>
      <c r="BS359" s="5"/>
    </row>
    <row r="360" spans="1:71" s="3" customFormat="1" x14ac:dyDescent="0.25">
      <c r="A360" s="5"/>
      <c r="B360" s="3" t="str">
        <f t="array" ref="B360">IFERROR(INDEX(DemandSupply,MATCH(INDEX($AH$1:AH360,SMALL(ROW($AH$1:AH360)+(10000*($AH$1:AH360="")),COUNTA($AH$1:AH360))),Sectors,0)),"")</f>
        <v>Demand</v>
      </c>
      <c r="E360" s="10"/>
      <c r="F360" s="207"/>
      <c r="G360" s="207"/>
      <c r="H360" s="207"/>
      <c r="I360" s="207"/>
      <c r="J360" s="207"/>
      <c r="K360" s="207"/>
      <c r="L360" s="207"/>
      <c r="M360" s="207"/>
      <c r="N360" s="207"/>
      <c r="O360" s="207"/>
      <c r="P360" s="207"/>
      <c r="Q360" s="207"/>
      <c r="R360" s="207"/>
      <c r="S360" s="207"/>
      <c r="T360" s="207"/>
      <c r="U360" s="207"/>
      <c r="V360" s="207"/>
      <c r="W360" s="207"/>
      <c r="X360" s="207"/>
      <c r="Y360" s="207"/>
      <c r="Z360" s="207"/>
      <c r="AA360" s="207"/>
      <c r="AB360" s="207"/>
      <c r="AC360" s="5"/>
      <c r="AD360" s="63"/>
      <c r="AE360" s="64"/>
      <c r="AF360" s="64"/>
      <c r="AG360" s="212"/>
      <c r="AH360" s="64"/>
      <c r="AI360" s="64"/>
      <c r="AJ360" s="64"/>
      <c r="AK360" s="212"/>
      <c r="AL360" s="64"/>
      <c r="AM360" s="212"/>
      <c r="AN360" s="64"/>
      <c r="AO360" s="64"/>
      <c r="AP360" s="63"/>
      <c r="AQ360" s="64"/>
      <c r="AR360" s="63"/>
      <c r="AS360" s="64"/>
      <c r="AT360" s="63"/>
      <c r="AU360" s="64"/>
      <c r="AV360" s="63"/>
      <c r="AW360" s="64"/>
      <c r="AX360" s="63"/>
      <c r="AY360" s="5"/>
      <c r="AZ360" s="21" t="str">
        <f t="shared" si="81"/>
        <v/>
      </c>
      <c r="BA360" s="264" t="s">
        <v>395</v>
      </c>
      <c r="BB360" s="264"/>
      <c r="BC360" s="264"/>
      <c r="BD360" s="264" t="s">
        <v>10</v>
      </c>
      <c r="BE360" s="216" t="s">
        <v>119</v>
      </c>
      <c r="BF360" s="56"/>
      <c r="BG360" s="56"/>
      <c r="BH360" s="56"/>
      <c r="BI360" s="56"/>
      <c r="BJ360" s="56"/>
      <c r="BK360" s="56"/>
      <c r="BL360" s="56"/>
      <c r="BM360" s="56"/>
      <c r="BN360" s="56"/>
      <c r="BO360" s="56"/>
      <c r="BP360" s="56"/>
      <c r="BQ360" s="5"/>
      <c r="BR360" s="25"/>
      <c r="BS360" s="5"/>
    </row>
    <row r="361" spans="1:71" s="3" customFormat="1" x14ac:dyDescent="0.25">
      <c r="A361" s="5"/>
      <c r="B361" s="3" t="str">
        <f t="array" ref="B361">IFERROR(INDEX(DemandSupply,MATCH(INDEX($AH$1:AH361,SMALL(ROW($AH$1:AH361)+(10000*($AH$1:AH361="")),COUNTA($AH$1:AH361))),Sectors,0)),"")</f>
        <v>Demand</v>
      </c>
      <c r="E361" s="10"/>
      <c r="F361" s="207"/>
      <c r="G361" s="207"/>
      <c r="H361" s="207"/>
      <c r="I361" s="207"/>
      <c r="J361" s="207"/>
      <c r="K361" s="207"/>
      <c r="L361" s="207"/>
      <c r="M361" s="207"/>
      <c r="N361" s="207"/>
      <c r="O361" s="207"/>
      <c r="P361" s="207"/>
      <c r="Q361" s="207"/>
      <c r="R361" s="207"/>
      <c r="S361" s="207"/>
      <c r="T361" s="207"/>
      <c r="U361" s="207"/>
      <c r="V361" s="207"/>
      <c r="W361" s="207"/>
      <c r="X361" s="207"/>
      <c r="Y361" s="207"/>
      <c r="Z361" s="207"/>
      <c r="AA361" s="207"/>
      <c r="AB361" s="207"/>
      <c r="AC361" s="5"/>
      <c r="AD361" s="63"/>
      <c r="AE361" s="64"/>
      <c r="AF361" s="64"/>
      <c r="AG361" s="212"/>
      <c r="AH361" s="64"/>
      <c r="AI361" s="64"/>
      <c r="AJ361" s="64"/>
      <c r="AK361" s="212"/>
      <c r="AL361" s="64"/>
      <c r="AM361" s="212"/>
      <c r="AN361" s="64"/>
      <c r="AO361" s="64"/>
      <c r="AP361" s="63"/>
      <c r="AQ361" s="64"/>
      <c r="AR361" s="63"/>
      <c r="AS361" s="64"/>
      <c r="AT361" s="63"/>
      <c r="AU361" s="64"/>
      <c r="AV361" s="63"/>
      <c r="AW361" s="64"/>
      <c r="AX361" s="63"/>
      <c r="AY361" s="5"/>
      <c r="AZ361" s="21" t="str">
        <f t="shared" si="81"/>
        <v/>
      </c>
      <c r="BA361" s="264" t="s">
        <v>341</v>
      </c>
      <c r="BB361" s="264"/>
      <c r="BC361" s="264"/>
      <c r="BD361" s="264" t="s">
        <v>99</v>
      </c>
      <c r="BE361" s="216" t="s">
        <v>119</v>
      </c>
      <c r="BF361" s="303">
        <v>0.25</v>
      </c>
      <c r="BG361" s="304">
        <f t="shared" ref="BG361:BP361" si="86">BF361</f>
        <v>0.25</v>
      </c>
      <c r="BH361" s="304">
        <f t="shared" si="86"/>
        <v>0.25</v>
      </c>
      <c r="BI361" s="304">
        <f t="shared" si="86"/>
        <v>0.25</v>
      </c>
      <c r="BJ361" s="304">
        <f t="shared" si="86"/>
        <v>0.25</v>
      </c>
      <c r="BK361" s="304">
        <f t="shared" si="86"/>
        <v>0.25</v>
      </c>
      <c r="BL361" s="304">
        <f t="shared" si="86"/>
        <v>0.25</v>
      </c>
      <c r="BM361" s="304">
        <f t="shared" si="86"/>
        <v>0.25</v>
      </c>
      <c r="BN361" s="304">
        <f t="shared" si="86"/>
        <v>0.25</v>
      </c>
      <c r="BO361" s="304">
        <f t="shared" si="86"/>
        <v>0.25</v>
      </c>
      <c r="BP361" s="304">
        <f t="shared" si="86"/>
        <v>0.25</v>
      </c>
      <c r="BQ361" s="5"/>
      <c r="BR361" s="25"/>
      <c r="BS361" s="5"/>
    </row>
    <row r="362" spans="1:71" s="3" customFormat="1" x14ac:dyDescent="0.25">
      <c r="A362" s="5"/>
      <c r="B362" s="3" t="str">
        <f t="array" ref="B362">IFERROR(INDEX(DemandSupply,MATCH(INDEX($AH$1:AH362,SMALL(ROW($AH$1:AH362)+(10000*($AH$1:AH362="")),COUNTA($AH$1:AH362))),Sectors,0)),"")</f>
        <v>Demand</v>
      </c>
      <c r="E362" s="10"/>
      <c r="F362" s="207"/>
      <c r="G362" s="207"/>
      <c r="H362" s="207"/>
      <c r="I362" s="207"/>
      <c r="J362" s="207"/>
      <c r="K362" s="207"/>
      <c r="L362" s="207"/>
      <c r="M362" s="207"/>
      <c r="N362" s="207"/>
      <c r="O362" s="207"/>
      <c r="P362" s="207"/>
      <c r="Q362" s="207"/>
      <c r="R362" s="207"/>
      <c r="S362" s="207"/>
      <c r="T362" s="207"/>
      <c r="U362" s="207"/>
      <c r="V362" s="207"/>
      <c r="W362" s="207"/>
      <c r="X362" s="207"/>
      <c r="Y362" s="207"/>
      <c r="Z362" s="207"/>
      <c r="AA362" s="207"/>
      <c r="AB362" s="207"/>
      <c r="AC362" s="5"/>
      <c r="AD362" s="63"/>
      <c r="AE362" s="64"/>
      <c r="AF362" s="64"/>
      <c r="AG362" s="212"/>
      <c r="AH362" s="64"/>
      <c r="AI362" s="64"/>
      <c r="AJ362" s="64"/>
      <c r="AK362" s="212"/>
      <c r="AL362" s="64"/>
      <c r="AM362" s="212"/>
      <c r="AN362" s="64"/>
      <c r="AO362" s="64"/>
      <c r="AP362" s="63"/>
      <c r="AQ362" s="64"/>
      <c r="AR362" s="63"/>
      <c r="AS362" s="64"/>
      <c r="AT362" s="63"/>
      <c r="AU362" s="64"/>
      <c r="AV362" s="63"/>
      <c r="AW362" s="64"/>
      <c r="AX362" s="63"/>
      <c r="AY362" s="5"/>
      <c r="AZ362" s="21" t="str">
        <f t="shared" si="81"/>
        <v/>
      </c>
      <c r="BA362" s="264" t="s">
        <v>392</v>
      </c>
      <c r="BB362" s="264"/>
      <c r="BC362" s="264"/>
      <c r="BD362" s="264" t="s">
        <v>99</v>
      </c>
      <c r="BE362" s="216" t="s">
        <v>119</v>
      </c>
      <c r="BF362" s="303"/>
      <c r="BG362" s="303"/>
      <c r="BH362" s="303"/>
      <c r="BI362" s="303"/>
      <c r="BJ362" s="303"/>
      <c r="BK362" s="303"/>
      <c r="BL362" s="303"/>
      <c r="BM362" s="303"/>
      <c r="BN362" s="303"/>
      <c r="BO362" s="303"/>
      <c r="BP362" s="303"/>
      <c r="BQ362" s="5"/>
      <c r="BR362" s="25"/>
      <c r="BS362" s="5"/>
    </row>
    <row r="363" spans="1:71" s="3" customFormat="1" x14ac:dyDescent="0.25">
      <c r="A363" s="5"/>
      <c r="B363" s="3" t="str">
        <f t="array" ref="B363">IFERROR(INDEX(DemandSupply,MATCH(INDEX($AH$1:AH363,SMALL(ROW($AH$1:AH363)+(10000*($AH$1:AH363="")),COUNTA($AH$1:AH363))),Sectors,0)),"")</f>
        <v>Demand</v>
      </c>
      <c r="E363" s="10"/>
      <c r="F363" s="207"/>
      <c r="G363" s="207"/>
      <c r="H363" s="207"/>
      <c r="I363" s="207"/>
      <c r="J363" s="207"/>
      <c r="K363" s="207"/>
      <c r="L363" s="207"/>
      <c r="M363" s="207"/>
      <c r="N363" s="207"/>
      <c r="O363" s="207"/>
      <c r="P363" s="207"/>
      <c r="Q363" s="207"/>
      <c r="R363" s="207"/>
      <c r="S363" s="207"/>
      <c r="T363" s="207"/>
      <c r="U363" s="207"/>
      <c r="V363" s="207"/>
      <c r="W363" s="207"/>
      <c r="X363" s="207"/>
      <c r="Y363" s="207"/>
      <c r="Z363" s="207"/>
      <c r="AA363" s="207"/>
      <c r="AB363" s="207"/>
      <c r="AC363" s="5"/>
      <c r="AD363" s="63"/>
      <c r="AE363" s="64"/>
      <c r="AF363" s="64"/>
      <c r="AG363" s="212"/>
      <c r="AH363" s="64"/>
      <c r="AI363" s="64"/>
      <c r="AJ363" s="64"/>
      <c r="AK363" s="212"/>
      <c r="AL363" s="64"/>
      <c r="AM363" s="212"/>
      <c r="AN363" s="64"/>
      <c r="AO363" s="64"/>
      <c r="AP363" s="63"/>
      <c r="AQ363" s="64"/>
      <c r="AR363" s="63"/>
      <c r="AS363" s="64"/>
      <c r="AT363" s="63"/>
      <c r="AU363" s="64"/>
      <c r="AV363" s="63"/>
      <c r="AW363" s="64"/>
      <c r="AX363" s="63"/>
      <c r="AY363" s="5"/>
      <c r="AZ363" s="21" t="str">
        <f t="shared" si="81"/>
        <v/>
      </c>
      <c r="BA363" s="264" t="s">
        <v>391</v>
      </c>
      <c r="BB363" s="264"/>
      <c r="BC363" s="264"/>
      <c r="BD363" s="264" t="s">
        <v>99</v>
      </c>
      <c r="BE363" s="216" t="s">
        <v>119</v>
      </c>
      <c r="BF363" s="303"/>
      <c r="BG363" s="303"/>
      <c r="BH363" s="303"/>
      <c r="BI363" s="303"/>
      <c r="BJ363" s="303"/>
      <c r="BK363" s="303"/>
      <c r="BL363" s="303"/>
      <c r="BM363" s="303"/>
      <c r="BN363" s="303"/>
      <c r="BO363" s="303"/>
      <c r="BP363" s="303"/>
      <c r="BQ363" s="5"/>
      <c r="BR363" s="25"/>
      <c r="BS363" s="5"/>
    </row>
    <row r="364" spans="1:71" s="3" customFormat="1" x14ac:dyDescent="0.25">
      <c r="A364" s="5"/>
      <c r="B364" s="3" t="str">
        <f t="array" ref="B364">IFERROR(INDEX(DemandSupply,MATCH(INDEX($AH$1:AH364,SMALL(ROW($AH$1:AH364)+(10000*($AH$1:AH364="")),COUNTA($AH$1:AH364))),Sectors,0)),"")</f>
        <v>Demand</v>
      </c>
      <c r="E364" s="10"/>
      <c r="F364" s="207"/>
      <c r="G364" s="207"/>
      <c r="H364" s="207"/>
      <c r="I364" s="207"/>
      <c r="J364" s="207"/>
      <c r="K364" s="207"/>
      <c r="L364" s="207"/>
      <c r="M364" s="207"/>
      <c r="N364" s="207"/>
      <c r="O364" s="207"/>
      <c r="P364" s="207"/>
      <c r="Q364" s="207"/>
      <c r="R364" s="207"/>
      <c r="S364" s="207"/>
      <c r="T364" s="207"/>
      <c r="U364" s="207"/>
      <c r="V364" s="207"/>
      <c r="W364" s="207"/>
      <c r="X364" s="207"/>
      <c r="Y364" s="207"/>
      <c r="Z364" s="207"/>
      <c r="AA364" s="207"/>
      <c r="AB364" s="207"/>
      <c r="AC364" s="5"/>
      <c r="AD364" s="63"/>
      <c r="AE364" s="64"/>
      <c r="AF364" s="64"/>
      <c r="AG364" s="212"/>
      <c r="AH364" s="64"/>
      <c r="AI364" s="64"/>
      <c r="AJ364" s="64"/>
      <c r="AK364" s="212"/>
      <c r="AL364" s="64"/>
      <c r="AM364" s="212"/>
      <c r="AN364" s="64"/>
      <c r="AO364" s="64"/>
      <c r="AP364" s="63"/>
      <c r="AQ364" s="64"/>
      <c r="AR364" s="63"/>
      <c r="AS364" s="64"/>
      <c r="AT364" s="63"/>
      <c r="AU364" s="64"/>
      <c r="AV364" s="63"/>
      <c r="AW364" s="64"/>
      <c r="AX364" s="63"/>
      <c r="AY364" s="5"/>
      <c r="AZ364" s="21" t="str">
        <f t="shared" si="81"/>
        <v/>
      </c>
      <c r="BA364" s="264" t="s">
        <v>144</v>
      </c>
      <c r="BB364" s="264"/>
      <c r="BC364" s="264"/>
      <c r="BD364" s="264" t="s">
        <v>34</v>
      </c>
      <c r="BE364" s="216" t="s">
        <v>119</v>
      </c>
      <c r="BF364" s="56"/>
      <c r="BG364" s="56"/>
      <c r="BH364" s="56"/>
      <c r="BI364" s="56"/>
      <c r="BJ364" s="56"/>
      <c r="BK364" s="56"/>
      <c r="BL364" s="56"/>
      <c r="BM364" s="56"/>
      <c r="BN364" s="56"/>
      <c r="BO364" s="56"/>
      <c r="BP364" s="56"/>
      <c r="BQ364" s="5"/>
      <c r="BR364" s="25"/>
      <c r="BS364" s="5"/>
    </row>
    <row r="365" spans="1:71" s="3" customFormat="1" x14ac:dyDescent="0.25">
      <c r="A365" s="5"/>
      <c r="B365" s="3" t="str">
        <f t="array" ref="B365">IFERROR(INDEX(DemandSupply,MATCH(INDEX($AH$1:AH365,SMALL(ROW($AH$1:AH365)+(10000*($AH$1:AH365="")),COUNTA($AH$1:AH365))),Sectors,0)),"")</f>
        <v>Demand</v>
      </c>
      <c r="E365" s="10"/>
      <c r="F365" s="207"/>
      <c r="G365" s="207"/>
      <c r="H365" s="207"/>
      <c r="I365" s="207"/>
      <c r="J365" s="207"/>
      <c r="K365" s="207"/>
      <c r="L365" s="207"/>
      <c r="M365" s="207"/>
      <c r="N365" s="207"/>
      <c r="O365" s="207"/>
      <c r="P365" s="207"/>
      <c r="Q365" s="207"/>
      <c r="R365" s="207"/>
      <c r="S365" s="207"/>
      <c r="T365" s="207"/>
      <c r="U365" s="207"/>
      <c r="V365" s="207"/>
      <c r="W365" s="207"/>
      <c r="X365" s="207"/>
      <c r="Y365" s="207"/>
      <c r="Z365" s="207"/>
      <c r="AA365" s="207"/>
      <c r="AB365" s="207"/>
      <c r="AC365" s="5"/>
      <c r="AD365" s="63"/>
      <c r="AE365" s="64"/>
      <c r="AF365" s="64"/>
      <c r="AG365" s="212"/>
      <c r="AH365" s="64"/>
      <c r="AI365" s="64"/>
      <c r="AJ365" s="64"/>
      <c r="AK365" s="212"/>
      <c r="AL365" s="64"/>
      <c r="AM365" s="212"/>
      <c r="AN365" s="64"/>
      <c r="AO365" s="64"/>
      <c r="AP365" s="63"/>
      <c r="AQ365" s="64"/>
      <c r="AR365" s="63"/>
      <c r="AS365" s="64"/>
      <c r="AT365" s="63"/>
      <c r="AU365" s="64"/>
      <c r="AV365" s="63"/>
      <c r="AW365" s="64"/>
      <c r="AX365" s="63"/>
      <c r="AY365" s="5"/>
      <c r="AZ365" s="21" t="str">
        <f t="shared" si="81"/>
        <v/>
      </c>
      <c r="BA365" s="264" t="s">
        <v>76</v>
      </c>
      <c r="BB365" s="264"/>
      <c r="BC365" s="264"/>
      <c r="BD365" s="264" t="s">
        <v>99</v>
      </c>
      <c r="BE365" s="216" t="s">
        <v>119</v>
      </c>
      <c r="BF365" s="303">
        <v>0</v>
      </c>
      <c r="BG365" s="303"/>
      <c r="BH365" s="303"/>
      <c r="BI365" s="303"/>
      <c r="BJ365" s="303"/>
      <c r="BK365" s="303"/>
      <c r="BL365" s="303"/>
      <c r="BM365" s="303"/>
      <c r="BN365" s="303"/>
      <c r="BO365" s="303"/>
      <c r="BP365" s="303"/>
      <c r="BQ365" s="5"/>
      <c r="BR365" s="25"/>
      <c r="BS365" s="5"/>
    </row>
    <row r="366" spans="1:71" s="3" customFormat="1" x14ac:dyDescent="0.25">
      <c r="A366" s="5"/>
      <c r="B366" s="3" t="str">
        <f t="array" ref="B366">IFERROR(INDEX(DemandSupply,MATCH(INDEX($AH$1:AH366,SMALL(ROW($AH$1:AH366)+(10000*($AH$1:AH366="")),COUNTA($AH$1:AH366))),Sectors,0)),"")</f>
        <v>Demand</v>
      </c>
      <c r="E366" s="10"/>
      <c r="F366" s="207"/>
      <c r="G366" s="207"/>
      <c r="H366" s="207"/>
      <c r="I366" s="207"/>
      <c r="J366" s="207"/>
      <c r="K366" s="207"/>
      <c r="L366" s="207"/>
      <c r="M366" s="207"/>
      <c r="N366" s="207"/>
      <c r="O366" s="207"/>
      <c r="P366" s="207"/>
      <c r="Q366" s="207"/>
      <c r="R366" s="207"/>
      <c r="S366" s="207"/>
      <c r="T366" s="207"/>
      <c r="U366" s="207"/>
      <c r="V366" s="207"/>
      <c r="W366" s="207"/>
      <c r="X366" s="207"/>
      <c r="Y366" s="207"/>
      <c r="Z366" s="207"/>
      <c r="AA366" s="207"/>
      <c r="AB366" s="207"/>
      <c r="AC366" s="5"/>
      <c r="AD366" s="63"/>
      <c r="AE366" s="64"/>
      <c r="AF366" s="64"/>
      <c r="AG366" s="212"/>
      <c r="AH366" s="64"/>
      <c r="AI366" s="64"/>
      <c r="AJ366" s="64"/>
      <c r="AK366" s="212"/>
      <c r="AL366" s="64"/>
      <c r="AM366" s="212"/>
      <c r="AN366" s="64"/>
      <c r="AO366" s="64"/>
      <c r="AP366" s="63"/>
      <c r="AQ366" s="64"/>
      <c r="AR366" s="63"/>
      <c r="AS366" s="64"/>
      <c r="AT366" s="63"/>
      <c r="AU366" s="64"/>
      <c r="AV366" s="63"/>
      <c r="AW366" s="64"/>
      <c r="AX366" s="63"/>
      <c r="AY366" s="5"/>
      <c r="AZ366" s="21" t="str">
        <f t="shared" si="81"/>
        <v/>
      </c>
      <c r="BA366" s="75" t="s">
        <v>166</v>
      </c>
      <c r="BB366" s="75"/>
      <c r="BC366" s="270"/>
      <c r="BD366" s="75" t="s">
        <v>99</v>
      </c>
      <c r="BE366" s="216" t="s">
        <v>119</v>
      </c>
      <c r="BF366" s="303"/>
      <c r="BG366" s="303"/>
      <c r="BH366" s="303"/>
      <c r="BI366" s="303"/>
      <c r="BJ366" s="303"/>
      <c r="BK366" s="303"/>
      <c r="BL366" s="303"/>
      <c r="BM366" s="303"/>
      <c r="BN366" s="303"/>
      <c r="BO366" s="303"/>
      <c r="BP366" s="303"/>
      <c r="BQ366" s="5"/>
      <c r="BR366" s="25"/>
      <c r="BS366" s="5"/>
    </row>
    <row r="367" spans="1:71" s="3" customFormat="1" x14ac:dyDescent="0.25">
      <c r="A367" s="5"/>
      <c r="B367" s="3" t="str">
        <f t="array" ref="B367">IFERROR(INDEX(DemandSupply,MATCH(INDEX($AH$1:AH367,SMALL(ROW($AH$1:AH367)+(10000*($AH$1:AH367="")),COUNTA($AH$1:AH367))),Sectors,0)),"")</f>
        <v>Demand</v>
      </c>
      <c r="E367" s="10"/>
      <c r="F367" s="207"/>
      <c r="G367" s="207"/>
      <c r="H367" s="207"/>
      <c r="I367" s="207"/>
      <c r="J367" s="207"/>
      <c r="K367" s="207"/>
      <c r="L367" s="207"/>
      <c r="M367" s="207"/>
      <c r="N367" s="207"/>
      <c r="O367" s="207"/>
      <c r="P367" s="207"/>
      <c r="Q367" s="207"/>
      <c r="R367" s="207"/>
      <c r="S367" s="207"/>
      <c r="T367" s="207"/>
      <c r="U367" s="207"/>
      <c r="V367" s="207"/>
      <c r="W367" s="207"/>
      <c r="X367" s="207"/>
      <c r="Y367" s="207"/>
      <c r="Z367" s="207"/>
      <c r="AA367" s="207"/>
      <c r="AB367" s="207"/>
      <c r="AC367" s="5"/>
      <c r="AD367" s="63"/>
      <c r="AE367" s="64"/>
      <c r="AF367" s="64"/>
      <c r="AG367" s="212"/>
      <c r="AH367" s="64"/>
      <c r="AI367" s="64"/>
      <c r="AJ367" s="64"/>
      <c r="AK367" s="212"/>
      <c r="AL367" s="64"/>
      <c r="AM367" s="212"/>
      <c r="AN367" s="64"/>
      <c r="AO367" s="64"/>
      <c r="AP367" s="63"/>
      <c r="AQ367" s="64"/>
      <c r="AR367" s="63"/>
      <c r="AS367" s="64"/>
      <c r="AT367" s="63"/>
      <c r="AU367" s="64"/>
      <c r="AV367" s="63"/>
      <c r="AW367" s="64"/>
      <c r="AX367" s="63"/>
      <c r="AY367" s="5"/>
      <c r="AZ367" s="21" t="str">
        <f t="shared" si="81"/>
        <v/>
      </c>
      <c r="BA367" s="75" t="s">
        <v>167</v>
      </c>
      <c r="BB367" s="75"/>
      <c r="BC367" s="270"/>
      <c r="BD367" s="75" t="s">
        <v>99</v>
      </c>
      <c r="BE367" s="216" t="s">
        <v>119</v>
      </c>
      <c r="BF367" s="303"/>
      <c r="BG367" s="303"/>
      <c r="BH367" s="303"/>
      <c r="BI367" s="303"/>
      <c r="BJ367" s="303"/>
      <c r="BK367" s="303"/>
      <c r="BL367" s="303"/>
      <c r="BM367" s="303"/>
      <c r="BN367" s="303"/>
      <c r="BO367" s="303"/>
      <c r="BP367" s="303"/>
      <c r="BQ367" s="5"/>
      <c r="BR367" s="25"/>
      <c r="BS367" s="5"/>
    </row>
    <row r="368" spans="1:71" s="3" customFormat="1" x14ac:dyDescent="0.25">
      <c r="A368" s="5"/>
      <c r="B368" s="3" t="str">
        <f t="array" ref="B368">IFERROR(INDEX(DemandSupply,MATCH(INDEX($AH$1:AH368,SMALL(ROW($AH$1:AH368)+(10000*($AH$1:AH368="")),COUNTA($AH$1:AH368))),Sectors,0)),"")</f>
        <v>Demand</v>
      </c>
      <c r="E368" s="10"/>
      <c r="F368" s="207"/>
      <c r="G368" s="207"/>
      <c r="H368" s="207"/>
      <c r="I368" s="207"/>
      <c r="J368" s="207"/>
      <c r="K368" s="207"/>
      <c r="L368" s="207"/>
      <c r="M368" s="207"/>
      <c r="N368" s="207"/>
      <c r="O368" s="207"/>
      <c r="P368" s="207"/>
      <c r="Q368" s="207"/>
      <c r="R368" s="207"/>
      <c r="S368" s="207"/>
      <c r="T368" s="207"/>
      <c r="U368" s="207"/>
      <c r="V368" s="207"/>
      <c r="W368" s="207"/>
      <c r="X368" s="207"/>
      <c r="Y368" s="207"/>
      <c r="Z368" s="207"/>
      <c r="AA368" s="207"/>
      <c r="AB368" s="207"/>
      <c r="AC368" s="5"/>
      <c r="AD368" s="63"/>
      <c r="AE368" s="64"/>
      <c r="AF368" s="64"/>
      <c r="AG368" s="212"/>
      <c r="AH368" s="64"/>
      <c r="AI368" s="64"/>
      <c r="AJ368" s="64"/>
      <c r="AK368" s="212"/>
      <c r="AL368" s="64"/>
      <c r="AM368" s="212"/>
      <c r="AN368" s="64"/>
      <c r="AO368" s="64"/>
      <c r="AP368" s="63"/>
      <c r="AQ368" s="64"/>
      <c r="AR368" s="63"/>
      <c r="AS368" s="64"/>
      <c r="AT368" s="63"/>
      <c r="AU368" s="64"/>
      <c r="AV368" s="63"/>
      <c r="AW368" s="64"/>
      <c r="AX368" s="63"/>
      <c r="AY368" s="5"/>
      <c r="AZ368" s="21" t="str">
        <f t="shared" si="81"/>
        <v/>
      </c>
      <c r="BA368" s="75" t="s">
        <v>408</v>
      </c>
      <c r="BB368" s="75"/>
      <c r="BC368" s="270"/>
      <c r="BD368" s="75" t="s">
        <v>99</v>
      </c>
      <c r="BE368" s="216" t="s">
        <v>119</v>
      </c>
      <c r="BF368" s="303"/>
      <c r="BG368" s="303"/>
      <c r="BH368" s="303"/>
      <c r="BI368" s="303"/>
      <c r="BJ368" s="303"/>
      <c r="BK368" s="303"/>
      <c r="BL368" s="303"/>
      <c r="BM368" s="303"/>
      <c r="BN368" s="303"/>
      <c r="BO368" s="303"/>
      <c r="BP368" s="303"/>
      <c r="BQ368" s="5"/>
      <c r="BR368" s="25"/>
      <c r="BS368" s="5"/>
    </row>
    <row r="369" spans="1:71" s="3" customFormat="1" x14ac:dyDescent="0.25">
      <c r="A369" s="5"/>
      <c r="B369" s="3" t="str">
        <f t="array" ref="B369">IFERROR(INDEX(DemandSupply,MATCH(INDEX($AH$1:AH369,SMALL(ROW($AH$1:AH369)+(10000*($AH$1:AH369="")),COUNTA($AH$1:AH369))),Sectors,0)),"")</f>
        <v>Demand</v>
      </c>
      <c r="E369" s="10"/>
      <c r="F369" s="207"/>
      <c r="G369" s="207"/>
      <c r="H369" s="207"/>
      <c r="I369" s="207"/>
      <c r="J369" s="207"/>
      <c r="K369" s="207"/>
      <c r="L369" s="207"/>
      <c r="M369" s="207"/>
      <c r="N369" s="207"/>
      <c r="O369" s="207"/>
      <c r="P369" s="207"/>
      <c r="Q369" s="207"/>
      <c r="R369" s="207"/>
      <c r="S369" s="207"/>
      <c r="T369" s="207"/>
      <c r="U369" s="207"/>
      <c r="V369" s="207"/>
      <c r="W369" s="207"/>
      <c r="X369" s="207"/>
      <c r="Y369" s="207"/>
      <c r="Z369" s="207"/>
      <c r="AA369" s="207"/>
      <c r="AB369" s="207"/>
      <c r="AC369" s="5"/>
      <c r="AD369" s="63"/>
      <c r="AE369" s="64"/>
      <c r="AF369" s="64"/>
      <c r="AG369" s="212"/>
      <c r="AH369" s="64"/>
      <c r="AI369" s="64"/>
      <c r="AJ369" s="64"/>
      <c r="AK369" s="212"/>
      <c r="AL369" s="64"/>
      <c r="AM369" s="212"/>
      <c r="AN369" s="64"/>
      <c r="AO369" s="64"/>
      <c r="AP369" s="63"/>
      <c r="AQ369" s="64"/>
      <c r="AR369" s="63"/>
      <c r="AS369" s="64"/>
      <c r="AT369" s="63"/>
      <c r="AU369" s="64"/>
      <c r="AV369" s="63"/>
      <c r="AW369" s="64"/>
      <c r="AX369" s="63"/>
      <c r="AY369" s="5"/>
      <c r="AZ369" s="21" t="str">
        <f t="shared" si="81"/>
        <v/>
      </c>
      <c r="BA369" s="75" t="s">
        <v>409</v>
      </c>
      <c r="BB369" s="75"/>
      <c r="BC369" s="270"/>
      <c r="BD369" s="75" t="s">
        <v>99</v>
      </c>
      <c r="BE369" s="216" t="s">
        <v>119</v>
      </c>
      <c r="BF369" s="303"/>
      <c r="BG369" s="303"/>
      <c r="BH369" s="303"/>
      <c r="BI369" s="303"/>
      <c r="BJ369" s="303"/>
      <c r="BK369" s="303"/>
      <c r="BL369" s="303"/>
      <c r="BM369" s="303"/>
      <c r="BN369" s="303"/>
      <c r="BO369" s="303"/>
      <c r="BP369" s="303"/>
      <c r="BQ369" s="5"/>
      <c r="BR369" s="25"/>
      <c r="BS369" s="5"/>
    </row>
    <row r="370" spans="1:71" s="3" customFormat="1" x14ac:dyDescent="0.25">
      <c r="A370" s="5"/>
      <c r="B370" s="3" t="str">
        <f t="array" ref="B370">IFERROR(INDEX(DemandSupply,MATCH(INDEX($AH$1:AH370,SMALL(ROW($AH$1:AH370)+(10000*($AH$1:AH370="")),COUNTA($AH$1:AH370))),Sectors,0)),"")</f>
        <v>Demand</v>
      </c>
      <c r="E370" s="10"/>
      <c r="F370" s="207"/>
      <c r="G370" s="207"/>
      <c r="H370" s="207"/>
      <c r="I370" s="207"/>
      <c r="J370" s="207"/>
      <c r="K370" s="207"/>
      <c r="L370" s="207"/>
      <c r="M370" s="207"/>
      <c r="N370" s="207"/>
      <c r="O370" s="207"/>
      <c r="P370" s="207"/>
      <c r="Q370" s="207"/>
      <c r="R370" s="207"/>
      <c r="S370" s="207"/>
      <c r="T370" s="207"/>
      <c r="U370" s="207"/>
      <c r="V370" s="207"/>
      <c r="W370" s="207"/>
      <c r="X370" s="207"/>
      <c r="Y370" s="207"/>
      <c r="Z370" s="207"/>
      <c r="AA370" s="207"/>
      <c r="AB370" s="207"/>
      <c r="AC370" s="5"/>
      <c r="AD370" s="63"/>
      <c r="AE370" s="64"/>
      <c r="AF370" s="64"/>
      <c r="AG370" s="212"/>
      <c r="AH370" s="64"/>
      <c r="AI370" s="64"/>
      <c r="AJ370" s="64"/>
      <c r="AK370" s="212"/>
      <c r="AL370" s="64"/>
      <c r="AM370" s="212"/>
      <c r="AN370" s="64"/>
      <c r="AO370" s="64"/>
      <c r="AP370" s="63"/>
      <c r="AQ370" s="64"/>
      <c r="AR370" s="63"/>
      <c r="AS370" s="64"/>
      <c r="AT370" s="63"/>
      <c r="AU370" s="64"/>
      <c r="AV370" s="63"/>
      <c r="AW370" s="64"/>
      <c r="AX370" s="63"/>
      <c r="AY370" s="5"/>
      <c r="AZ370" s="21" t="str">
        <f t="shared" si="81"/>
        <v/>
      </c>
      <c r="BA370" s="264" t="s">
        <v>371</v>
      </c>
      <c r="BB370" s="264"/>
      <c r="BC370" s="264"/>
      <c r="BD370" s="264" t="s">
        <v>34</v>
      </c>
      <c r="BE370" s="216" t="s">
        <v>119</v>
      </c>
      <c r="BF370" s="56"/>
      <c r="BG370" s="56"/>
      <c r="BH370" s="56"/>
      <c r="BI370" s="56"/>
      <c r="BJ370" s="56"/>
      <c r="BK370" s="56"/>
      <c r="BL370" s="56"/>
      <c r="BM370" s="56"/>
      <c r="BN370" s="56"/>
      <c r="BO370" s="56"/>
      <c r="BP370" s="56"/>
      <c r="BQ370" s="5"/>
      <c r="BR370" s="25"/>
      <c r="BS370" s="5"/>
    </row>
    <row r="371" spans="1:71" s="3" customFormat="1" x14ac:dyDescent="0.25">
      <c r="A371" s="5"/>
      <c r="B371" s="3" t="str">
        <f t="array" ref="B371">IFERROR(INDEX(DemandSupply,MATCH(INDEX($AH$1:AH371,SMALL(ROW($AH$1:AH371)+(10000*($AH$1:AH371="")),COUNTA($AH$1:AH371))),Sectors,0)),"")</f>
        <v>Demand</v>
      </c>
      <c r="E371" s="10"/>
      <c r="F371" s="207"/>
      <c r="G371" s="207"/>
      <c r="H371" s="207"/>
      <c r="I371" s="207"/>
      <c r="J371" s="207"/>
      <c r="K371" s="207"/>
      <c r="L371" s="207"/>
      <c r="M371" s="207"/>
      <c r="N371" s="207"/>
      <c r="O371" s="207"/>
      <c r="P371" s="207"/>
      <c r="Q371" s="207"/>
      <c r="R371" s="207"/>
      <c r="S371" s="207"/>
      <c r="T371" s="207"/>
      <c r="U371" s="207"/>
      <c r="V371" s="207"/>
      <c r="W371" s="207"/>
      <c r="X371" s="207"/>
      <c r="Y371" s="207"/>
      <c r="Z371" s="207"/>
      <c r="AA371" s="207"/>
      <c r="AB371" s="207"/>
      <c r="AC371" s="5"/>
      <c r="AD371" s="63"/>
      <c r="AE371" s="64"/>
      <c r="AF371" s="64"/>
      <c r="AG371" s="212"/>
      <c r="AH371" s="64"/>
      <c r="AI371" s="64"/>
      <c r="AJ371" s="64"/>
      <c r="AK371" s="212"/>
      <c r="AL371" s="64"/>
      <c r="AM371" s="212"/>
      <c r="AN371" s="64"/>
      <c r="AO371" s="64"/>
      <c r="AP371" s="63"/>
      <c r="AQ371" s="64"/>
      <c r="AR371" s="63"/>
      <c r="AS371" s="64"/>
      <c r="AT371" s="63"/>
      <c r="AU371" s="64"/>
      <c r="AV371" s="63"/>
      <c r="AW371" s="64"/>
      <c r="AX371" s="63"/>
      <c r="AY371" s="5"/>
      <c r="AZ371" s="21" t="str">
        <f t="shared" si="81"/>
        <v/>
      </c>
      <c r="BA371" s="264" t="s">
        <v>170</v>
      </c>
      <c r="BB371" s="264"/>
      <c r="BC371" s="264"/>
      <c r="BD371" s="264" t="s">
        <v>354</v>
      </c>
      <c r="BE371" s="216" t="s">
        <v>119</v>
      </c>
      <c r="BF371" s="308">
        <v>15521</v>
      </c>
      <c r="BG371" s="245">
        <f>BF371</f>
        <v>15521</v>
      </c>
      <c r="BH371" s="245">
        <f t="shared" ref="BH371:BP371" si="87">BG371</f>
        <v>15521</v>
      </c>
      <c r="BI371" s="245">
        <f t="shared" si="87"/>
        <v>15521</v>
      </c>
      <c r="BJ371" s="245">
        <f t="shared" si="87"/>
        <v>15521</v>
      </c>
      <c r="BK371" s="245">
        <f t="shared" si="87"/>
        <v>15521</v>
      </c>
      <c r="BL371" s="245">
        <f t="shared" si="87"/>
        <v>15521</v>
      </c>
      <c r="BM371" s="245">
        <f t="shared" si="87"/>
        <v>15521</v>
      </c>
      <c r="BN371" s="245">
        <f t="shared" si="87"/>
        <v>15521</v>
      </c>
      <c r="BO371" s="245">
        <f t="shared" si="87"/>
        <v>15521</v>
      </c>
      <c r="BP371" s="245">
        <f t="shared" si="87"/>
        <v>15521</v>
      </c>
      <c r="BQ371" s="5"/>
      <c r="BR371" s="25"/>
      <c r="BS371" s="5"/>
    </row>
    <row r="372" spans="1:71" s="3" customFormat="1" x14ac:dyDescent="0.25">
      <c r="A372" s="5"/>
      <c r="B372" s="3" t="str">
        <f t="array" ref="B372">IFERROR(INDEX(DemandSupply,MATCH(INDEX($AH$1:AH372,SMALL(ROW($AH$1:AH372)+(10000*($AH$1:AH372="")),COUNTA($AH$1:AH372))),Sectors,0)),"")</f>
        <v>Demand</v>
      </c>
      <c r="E372" s="10"/>
      <c r="F372" s="207"/>
      <c r="G372" s="207"/>
      <c r="H372" s="207"/>
      <c r="I372" s="207"/>
      <c r="J372" s="207"/>
      <c r="K372" s="207"/>
      <c r="L372" s="207"/>
      <c r="M372" s="207"/>
      <c r="N372" s="207"/>
      <c r="O372" s="207"/>
      <c r="P372" s="207"/>
      <c r="Q372" s="207"/>
      <c r="R372" s="207"/>
      <c r="S372" s="207"/>
      <c r="T372" s="207"/>
      <c r="U372" s="207"/>
      <c r="V372" s="207"/>
      <c r="W372" s="207"/>
      <c r="X372" s="207"/>
      <c r="Y372" s="207"/>
      <c r="Z372" s="207"/>
      <c r="AA372" s="207"/>
      <c r="AB372" s="207"/>
      <c r="AC372" s="5"/>
      <c r="AD372" s="63"/>
      <c r="AE372" s="64"/>
      <c r="AF372" s="64"/>
      <c r="AG372" s="212"/>
      <c r="AH372" s="64"/>
      <c r="AI372" s="64"/>
      <c r="AJ372" s="64"/>
      <c r="AK372" s="212"/>
      <c r="AL372" s="64"/>
      <c r="AM372" s="212"/>
      <c r="AN372" s="64"/>
      <c r="AO372" s="64"/>
      <c r="AP372" s="63"/>
      <c r="AQ372" s="64"/>
      <c r="AR372" s="63"/>
      <c r="AS372" s="64"/>
      <c r="AT372" s="63"/>
      <c r="AU372" s="64"/>
      <c r="AV372" s="63"/>
      <c r="AW372" s="64"/>
      <c r="AX372" s="63"/>
      <c r="AY372" s="5"/>
      <c r="AZ372" s="21" t="str">
        <f t="shared" si="81"/>
        <v/>
      </c>
      <c r="BA372" s="264" t="s">
        <v>425</v>
      </c>
      <c r="BB372" s="264"/>
      <c r="BC372" s="264"/>
      <c r="BD372" s="264" t="s">
        <v>99</v>
      </c>
      <c r="BE372" s="216" t="s">
        <v>119</v>
      </c>
      <c r="BF372" s="303"/>
      <c r="BG372" s="303"/>
      <c r="BH372" s="303"/>
      <c r="BI372" s="303"/>
      <c r="BJ372" s="303"/>
      <c r="BK372" s="303"/>
      <c r="BL372" s="303"/>
      <c r="BM372" s="303"/>
      <c r="BN372" s="303"/>
      <c r="BO372" s="303"/>
      <c r="BP372" s="303"/>
      <c r="BQ372" s="5"/>
      <c r="BR372" s="25"/>
      <c r="BS372" s="5"/>
    </row>
    <row r="373" spans="1:71" s="3" customFormat="1" x14ac:dyDescent="0.25">
      <c r="A373" s="5"/>
      <c r="B373" s="3" t="str">
        <f t="array" ref="B373">IFERROR(INDEX(DemandSupply,MATCH(INDEX($AH$1:AH373,SMALL(ROW($AH$1:AH373)+(10000*($AH$1:AH373="")),COUNTA($AH$1:AH373))),Sectors,0)),"")</f>
        <v>Demand</v>
      </c>
      <c r="E373" s="10"/>
      <c r="F373" s="207"/>
      <c r="G373" s="207"/>
      <c r="H373" s="207"/>
      <c r="I373" s="207"/>
      <c r="J373" s="207"/>
      <c r="K373" s="207"/>
      <c r="L373" s="207"/>
      <c r="M373" s="207"/>
      <c r="N373" s="207"/>
      <c r="O373" s="207"/>
      <c r="P373" s="207"/>
      <c r="Q373" s="207"/>
      <c r="R373" s="207"/>
      <c r="S373" s="207"/>
      <c r="T373" s="207"/>
      <c r="U373" s="207"/>
      <c r="V373" s="207"/>
      <c r="W373" s="207"/>
      <c r="X373" s="207"/>
      <c r="Y373" s="207"/>
      <c r="Z373" s="207"/>
      <c r="AA373" s="207"/>
      <c r="AB373" s="207"/>
      <c r="AC373" s="5"/>
      <c r="AD373" s="63"/>
      <c r="AE373" s="64"/>
      <c r="AF373" s="64"/>
      <c r="AG373" s="212"/>
      <c r="AH373" s="64"/>
      <c r="AI373" s="64"/>
      <c r="AJ373" s="64"/>
      <c r="AK373" s="212"/>
      <c r="AL373" s="64"/>
      <c r="AM373" s="212"/>
      <c r="AN373" s="64"/>
      <c r="AO373" s="64"/>
      <c r="AP373" s="63"/>
      <c r="AQ373" s="64"/>
      <c r="AR373" s="63"/>
      <c r="AS373" s="64"/>
      <c r="AT373" s="63"/>
      <c r="AU373" s="64"/>
      <c r="AV373" s="63"/>
      <c r="AW373" s="64"/>
      <c r="AX373" s="63"/>
      <c r="AY373" s="5"/>
      <c r="AZ373" s="21" t="str">
        <f t="shared" si="81"/>
        <v/>
      </c>
      <c r="BA373" s="264" t="s">
        <v>438</v>
      </c>
      <c r="BB373" s="264"/>
      <c r="BC373" s="264"/>
      <c r="BD373" s="264" t="s">
        <v>34</v>
      </c>
      <c r="BE373" s="216" t="s">
        <v>119</v>
      </c>
      <c r="BF373" s="56"/>
      <c r="BG373" s="56"/>
      <c r="BH373" s="56"/>
      <c r="BI373" s="56"/>
      <c r="BJ373" s="56"/>
      <c r="BK373" s="56"/>
      <c r="BL373" s="56"/>
      <c r="BM373" s="56"/>
      <c r="BN373" s="56"/>
      <c r="BO373" s="56"/>
      <c r="BP373" s="56"/>
      <c r="BQ373" s="5"/>
      <c r="BR373" s="25"/>
      <c r="BS373" s="5"/>
    </row>
    <row r="374" spans="1:71" s="3" customFormat="1" x14ac:dyDescent="0.25">
      <c r="A374" s="5"/>
      <c r="B374" s="3" t="str">
        <f t="array" ref="B374">IFERROR(INDEX(DemandSupply,MATCH(INDEX($AH$1:AH374,SMALL(ROW($AH$1:AH374)+(10000*($AH$1:AH374="")),COUNTA($AH$1:AH374))),Sectors,0)),"")</f>
        <v>Demand</v>
      </c>
      <c r="E374" s="10"/>
      <c r="F374" s="207"/>
      <c r="G374" s="207"/>
      <c r="H374" s="207"/>
      <c r="I374" s="207"/>
      <c r="J374" s="207"/>
      <c r="K374" s="207"/>
      <c r="L374" s="207"/>
      <c r="M374" s="207"/>
      <c r="N374" s="207"/>
      <c r="O374" s="207"/>
      <c r="P374" s="207"/>
      <c r="Q374" s="207"/>
      <c r="R374" s="207"/>
      <c r="S374" s="207"/>
      <c r="T374" s="207"/>
      <c r="U374" s="207"/>
      <c r="V374" s="207"/>
      <c r="W374" s="207"/>
      <c r="X374" s="207"/>
      <c r="Y374" s="207"/>
      <c r="Z374" s="207"/>
      <c r="AA374" s="207"/>
      <c r="AB374" s="207"/>
      <c r="AC374" s="5"/>
      <c r="AD374" s="63"/>
      <c r="AE374" s="64"/>
      <c r="AF374" s="64"/>
      <c r="AG374" s="212"/>
      <c r="AH374" s="64"/>
      <c r="AI374" s="64"/>
      <c r="AJ374" s="64"/>
      <c r="AK374" s="212"/>
      <c r="AL374" s="64"/>
      <c r="AM374" s="212"/>
      <c r="AN374" s="64"/>
      <c r="AO374" s="64"/>
      <c r="AP374" s="63"/>
      <c r="AQ374" s="64"/>
      <c r="AR374" s="63"/>
      <c r="AS374" s="64"/>
      <c r="AT374" s="63"/>
      <c r="AU374" s="64"/>
      <c r="AV374" s="63"/>
      <c r="AW374" s="64"/>
      <c r="AX374" s="63"/>
      <c r="AY374" s="5"/>
      <c r="AZ374" s="21" t="str">
        <f t="shared" si="81"/>
        <v/>
      </c>
      <c r="BA374" s="264" t="s">
        <v>435</v>
      </c>
      <c r="BB374" s="264"/>
      <c r="BC374" s="264"/>
      <c r="BD374" s="264"/>
      <c r="BE374" s="216" t="s">
        <v>119</v>
      </c>
      <c r="BF374" s="55"/>
      <c r="BG374" s="55"/>
      <c r="BH374" s="55"/>
      <c r="BI374" s="55"/>
      <c r="BJ374" s="55"/>
      <c r="BK374" s="55"/>
      <c r="BL374" s="55"/>
      <c r="BM374" s="55"/>
      <c r="BN374" s="55"/>
      <c r="BO374" s="55"/>
      <c r="BP374" s="55"/>
      <c r="BQ374" s="5"/>
      <c r="BR374" s="25"/>
      <c r="BS374" s="5"/>
    </row>
    <row r="375" spans="1:71" s="3" customFormat="1" x14ac:dyDescent="0.25">
      <c r="A375" s="5"/>
      <c r="B375" s="3" t="str">
        <f t="array" ref="B375">IFERROR(INDEX(DemandSupply,MATCH(INDEX($AH$1:AH375,SMALL(ROW($AH$1:AH375)+(10000*($AH$1:AH375="")),COUNTA($AH$1:AH375))),Sectors,0)),"")</f>
        <v>Demand</v>
      </c>
      <c r="E375" s="10"/>
      <c r="F375" s="207"/>
      <c r="G375" s="207"/>
      <c r="H375" s="207"/>
      <c r="I375" s="207"/>
      <c r="J375" s="207"/>
      <c r="K375" s="207"/>
      <c r="L375" s="207"/>
      <c r="M375" s="207"/>
      <c r="N375" s="207"/>
      <c r="O375" s="207"/>
      <c r="P375" s="207"/>
      <c r="Q375" s="207"/>
      <c r="R375" s="207"/>
      <c r="S375" s="207"/>
      <c r="T375" s="207"/>
      <c r="U375" s="207"/>
      <c r="V375" s="207"/>
      <c r="W375" s="207"/>
      <c r="X375" s="207"/>
      <c r="Y375" s="207"/>
      <c r="Z375" s="207"/>
      <c r="AA375" s="207"/>
      <c r="AB375" s="207"/>
      <c r="AC375" s="5"/>
      <c r="AD375" s="63"/>
      <c r="AE375" s="64"/>
      <c r="AF375" s="64"/>
      <c r="AG375" s="212"/>
      <c r="AH375" s="64"/>
      <c r="AI375" s="64"/>
      <c r="AJ375" s="64"/>
      <c r="AK375" s="212"/>
      <c r="AL375" s="64"/>
      <c r="AM375" s="212"/>
      <c r="AN375" s="64"/>
      <c r="AO375" s="64"/>
      <c r="AP375" s="63"/>
      <c r="AQ375" s="64"/>
      <c r="AR375" s="63"/>
      <c r="AS375" s="64"/>
      <c r="AT375" s="63"/>
      <c r="AU375" s="64"/>
      <c r="AV375" s="63"/>
      <c r="AW375" s="64"/>
      <c r="AX375" s="63"/>
      <c r="AY375" s="5"/>
      <c r="AZ375" s="21" t="str">
        <f t="shared" si="81"/>
        <v/>
      </c>
      <c r="BA375" s="264" t="s">
        <v>407</v>
      </c>
      <c r="BB375" s="264"/>
      <c r="BC375" s="264"/>
      <c r="BD375" s="264" t="s">
        <v>99</v>
      </c>
      <c r="BE375" s="216" t="s">
        <v>119</v>
      </c>
      <c r="BF375" s="303"/>
      <c r="BG375" s="303"/>
      <c r="BH375" s="303"/>
      <c r="BI375" s="303"/>
      <c r="BJ375" s="303"/>
      <c r="BK375" s="303"/>
      <c r="BL375" s="303"/>
      <c r="BM375" s="303"/>
      <c r="BN375" s="303"/>
      <c r="BO375" s="303"/>
      <c r="BP375" s="303"/>
      <c r="BQ375" s="5"/>
      <c r="BR375" s="25"/>
      <c r="BS375" s="5"/>
    </row>
    <row r="376" spans="1:71" s="3" customFormat="1" x14ac:dyDescent="0.25">
      <c r="A376" s="5"/>
      <c r="B376" s="3" t="str">
        <f t="array" ref="B376">IFERROR(INDEX(DemandSupply,MATCH(INDEX($AH$1:AH376,SMALL(ROW($AH$1:AH376)+(10000*($AH$1:AH376="")),COUNTA($AH$1:AH376))),Sectors,0)),"")</f>
        <v>Demand</v>
      </c>
      <c r="E376" s="10"/>
      <c r="F376" s="207"/>
      <c r="G376" s="207"/>
      <c r="H376" s="207"/>
      <c r="I376" s="207"/>
      <c r="J376" s="207"/>
      <c r="K376" s="207"/>
      <c r="L376" s="207"/>
      <c r="M376" s="207"/>
      <c r="N376" s="207"/>
      <c r="O376" s="207"/>
      <c r="P376" s="207"/>
      <c r="Q376" s="207"/>
      <c r="R376" s="207"/>
      <c r="S376" s="207"/>
      <c r="T376" s="207"/>
      <c r="U376" s="207"/>
      <c r="V376" s="207"/>
      <c r="W376" s="207"/>
      <c r="X376" s="207"/>
      <c r="Y376" s="207"/>
      <c r="Z376" s="207"/>
      <c r="AA376" s="207"/>
      <c r="AB376" s="207"/>
      <c r="AC376" s="5"/>
      <c r="AD376" s="63"/>
      <c r="AE376" s="64"/>
      <c r="AF376" s="64"/>
      <c r="AG376" s="212"/>
      <c r="AH376" s="64"/>
      <c r="AI376" s="64"/>
      <c r="AJ376" s="64"/>
      <c r="AK376" s="212"/>
      <c r="AL376" s="64"/>
      <c r="AM376" s="212"/>
      <c r="AN376" s="64"/>
      <c r="AO376" s="64"/>
      <c r="AP376" s="63"/>
      <c r="AQ376" s="64"/>
      <c r="AR376" s="63"/>
      <c r="AS376" s="64"/>
      <c r="AT376" s="63"/>
      <c r="AU376" s="64"/>
      <c r="AV376" s="63"/>
      <c r="AW376" s="64"/>
      <c r="AX376" s="63"/>
      <c r="AY376" s="5"/>
      <c r="AZ376" s="21" t="str">
        <f t="shared" si="81"/>
        <v/>
      </c>
      <c r="BA376" s="264" t="s">
        <v>444</v>
      </c>
      <c r="BB376" s="264"/>
      <c r="BC376" s="264"/>
      <c r="BD376" s="264" t="s">
        <v>354</v>
      </c>
      <c r="BE376" s="216" t="s">
        <v>119</v>
      </c>
      <c r="BF376" s="56"/>
      <c r="BG376" s="56"/>
      <c r="BH376" s="56"/>
      <c r="BI376" s="56"/>
      <c r="BJ376" s="56"/>
      <c r="BK376" s="56"/>
      <c r="BL376" s="56"/>
      <c r="BM376" s="56"/>
      <c r="BN376" s="56"/>
      <c r="BO376" s="56"/>
      <c r="BP376" s="56"/>
      <c r="BQ376" s="5"/>
      <c r="BR376" s="25"/>
      <c r="BS376" s="5"/>
    </row>
    <row r="377" spans="1:71" s="3" customFormat="1" x14ac:dyDescent="0.25">
      <c r="A377" s="5"/>
      <c r="B377" s="3" t="str">
        <f t="array" ref="B377">IFERROR(INDEX(DemandSupply,MATCH(INDEX($AH$1:AH377,SMALL(ROW($AH$1:AH377)+(10000*($AH$1:AH377="")),COUNTA($AH$1:AH377))),Sectors,0)),"")</f>
        <v>Demand</v>
      </c>
      <c r="E377" s="10"/>
      <c r="F377" s="207"/>
      <c r="G377" s="207"/>
      <c r="H377" s="207"/>
      <c r="I377" s="207"/>
      <c r="J377" s="207"/>
      <c r="K377" s="207"/>
      <c r="L377" s="207"/>
      <c r="M377" s="207"/>
      <c r="N377" s="207"/>
      <c r="O377" s="207"/>
      <c r="P377" s="207"/>
      <c r="Q377" s="207"/>
      <c r="R377" s="207"/>
      <c r="S377" s="207"/>
      <c r="T377" s="207"/>
      <c r="U377" s="207"/>
      <c r="V377" s="207"/>
      <c r="W377" s="207"/>
      <c r="X377" s="207"/>
      <c r="Y377" s="207"/>
      <c r="Z377" s="207"/>
      <c r="AA377" s="207"/>
      <c r="AB377" s="207"/>
      <c r="AC377" s="5"/>
      <c r="AD377" s="63"/>
      <c r="AE377" s="64"/>
      <c r="AF377" s="64"/>
      <c r="AG377" s="212"/>
      <c r="AH377" s="64"/>
      <c r="AI377" s="64"/>
      <c r="AJ377" s="64"/>
      <c r="AK377" s="212"/>
      <c r="AL377" s="64"/>
      <c r="AM377" s="212"/>
      <c r="AN377" s="64"/>
      <c r="AO377" s="64"/>
      <c r="AP377" s="63"/>
      <c r="AQ377" s="64"/>
      <c r="AR377" s="63"/>
      <c r="AS377" s="64"/>
      <c r="AT377" s="63"/>
      <c r="AU377" s="64"/>
      <c r="AV377" s="63"/>
      <c r="AW377" s="64"/>
      <c r="AX377" s="63"/>
      <c r="AY377" s="5"/>
      <c r="AZ377" s="21" t="str">
        <f t="shared" si="81"/>
        <v/>
      </c>
      <c r="BA377" s="264" t="s">
        <v>446</v>
      </c>
      <c r="BB377" s="264"/>
      <c r="BC377" s="264"/>
      <c r="BD377" s="264" t="s">
        <v>354</v>
      </c>
      <c r="BE377" s="216" t="s">
        <v>119</v>
      </c>
      <c r="BF377" s="56"/>
      <c r="BG377" s="56"/>
      <c r="BH377" s="56"/>
      <c r="BI377" s="56"/>
      <c r="BJ377" s="56"/>
      <c r="BK377" s="56"/>
      <c r="BL377" s="56"/>
      <c r="BM377" s="56"/>
      <c r="BN377" s="56"/>
      <c r="BO377" s="56"/>
      <c r="BP377" s="56"/>
      <c r="BQ377" s="5"/>
      <c r="BR377" s="25"/>
      <c r="BS377" s="5"/>
    </row>
    <row r="378" spans="1:71" s="3" customFormat="1" x14ac:dyDescent="0.25">
      <c r="A378" s="5"/>
      <c r="B378" s="3" t="str">
        <f t="array" ref="B378">IFERROR(INDEX(DemandSupply,MATCH(INDEX($AH$1:AH378,SMALL(ROW($AH$1:AH378)+(10000*($AH$1:AH378="")),COUNTA($AH$1:AH378))),Sectors,0)),"")</f>
        <v>Demand</v>
      </c>
      <c r="E378" s="10"/>
      <c r="F378" s="207"/>
      <c r="G378" s="207"/>
      <c r="H378" s="207"/>
      <c r="I378" s="207"/>
      <c r="J378" s="207"/>
      <c r="K378" s="207"/>
      <c r="L378" s="207"/>
      <c r="M378" s="207"/>
      <c r="N378" s="207"/>
      <c r="O378" s="207"/>
      <c r="P378" s="207"/>
      <c r="Q378" s="207"/>
      <c r="R378" s="207"/>
      <c r="S378" s="207"/>
      <c r="T378" s="207"/>
      <c r="U378" s="207"/>
      <c r="V378" s="207"/>
      <c r="W378" s="207"/>
      <c r="X378" s="207"/>
      <c r="Y378" s="207"/>
      <c r="Z378" s="207"/>
      <c r="AA378" s="207"/>
      <c r="AB378" s="207"/>
      <c r="AC378" s="5"/>
      <c r="AD378" s="63"/>
      <c r="AE378" s="64"/>
      <c r="AF378" s="64"/>
      <c r="AG378" s="212"/>
      <c r="AH378" s="64"/>
      <c r="AI378" s="64"/>
      <c r="AJ378" s="64"/>
      <c r="AK378" s="212"/>
      <c r="AL378" s="64"/>
      <c r="AM378" s="212"/>
      <c r="AN378" s="64"/>
      <c r="AO378" s="64"/>
      <c r="AP378" s="63"/>
      <c r="AQ378" s="64"/>
      <c r="AR378" s="63"/>
      <c r="AS378" s="64"/>
      <c r="AT378" s="63"/>
      <c r="AU378" s="64"/>
      <c r="AV378" s="63"/>
      <c r="AW378" s="64"/>
      <c r="AX378" s="63"/>
      <c r="AY378" s="5"/>
      <c r="AZ378" s="21" t="str">
        <f t="shared" si="81"/>
        <v/>
      </c>
      <c r="BA378" s="264" t="s">
        <v>447</v>
      </c>
      <c r="BB378" s="264"/>
      <c r="BC378" s="264"/>
      <c r="BD378" s="264"/>
      <c r="BE378" s="216" t="s">
        <v>119</v>
      </c>
      <c r="BF378" s="55"/>
      <c r="BG378" s="55"/>
      <c r="BH378" s="55"/>
      <c r="BI378" s="55"/>
      <c r="BJ378" s="55"/>
      <c r="BK378" s="55"/>
      <c r="BL378" s="55"/>
      <c r="BM378" s="55"/>
      <c r="BN378" s="55"/>
      <c r="BO378" s="55"/>
      <c r="BP378" s="55"/>
      <c r="BQ378" s="5"/>
      <c r="BR378" s="25"/>
      <c r="BS378" s="5"/>
    </row>
    <row r="379" spans="1:71" s="3" customFormat="1" x14ac:dyDescent="0.25">
      <c r="A379" s="5"/>
      <c r="B379" s="3" t="str">
        <f t="array" ref="B379">IFERROR(INDEX(DemandSupply,MATCH(INDEX($AH$1:AH379,SMALL(ROW($AH$1:AH379)+(10000*($AH$1:AH379="")),COUNTA($AH$1:AH379))),Sectors,0)),"")</f>
        <v>Demand</v>
      </c>
      <c r="E379" s="10"/>
      <c r="F379" s="207"/>
      <c r="G379" s="207"/>
      <c r="H379" s="207"/>
      <c r="I379" s="207"/>
      <c r="J379" s="207"/>
      <c r="K379" s="207"/>
      <c r="L379" s="207"/>
      <c r="M379" s="207"/>
      <c r="N379" s="207"/>
      <c r="O379" s="207"/>
      <c r="P379" s="207"/>
      <c r="Q379" s="207"/>
      <c r="R379" s="207"/>
      <c r="S379" s="207"/>
      <c r="T379" s="207"/>
      <c r="U379" s="207"/>
      <c r="V379" s="207"/>
      <c r="W379" s="207"/>
      <c r="X379" s="207"/>
      <c r="Y379" s="207"/>
      <c r="Z379" s="207"/>
      <c r="AA379" s="207"/>
      <c r="AB379" s="207"/>
      <c r="AC379" s="5"/>
      <c r="AD379" s="63"/>
      <c r="AE379" s="64"/>
      <c r="AF379" s="64"/>
      <c r="AG379" s="212"/>
      <c r="AH379" s="64"/>
      <c r="AI379" s="64"/>
      <c r="AJ379" s="64"/>
      <c r="AK379" s="212"/>
      <c r="AL379" s="64"/>
      <c r="AM379" s="212"/>
      <c r="AN379" s="64"/>
      <c r="AO379" s="64"/>
      <c r="AP379" s="63"/>
      <c r="AQ379" s="64"/>
      <c r="AR379" s="63"/>
      <c r="AS379" s="64"/>
      <c r="AT379" s="63"/>
      <c r="AU379" s="64"/>
      <c r="AV379" s="63"/>
      <c r="AW379" s="64"/>
      <c r="AX379" s="63"/>
      <c r="AY379" s="5"/>
      <c r="AZ379" s="21" t="str">
        <f t="shared" si="81"/>
        <v/>
      </c>
      <c r="BA379" s="264" t="s">
        <v>448</v>
      </c>
      <c r="BB379" s="264"/>
      <c r="BC379" s="264"/>
      <c r="BD379" s="264"/>
      <c r="BE379" s="216" t="s">
        <v>119</v>
      </c>
      <c r="BF379" s="55"/>
      <c r="BG379" s="55"/>
      <c r="BH379" s="55"/>
      <c r="BI379" s="55"/>
      <c r="BJ379" s="55"/>
      <c r="BK379" s="55"/>
      <c r="BL379" s="55"/>
      <c r="BM379" s="55"/>
      <c r="BN379" s="55"/>
      <c r="BO379" s="55"/>
      <c r="BP379" s="55"/>
      <c r="BQ379" s="5"/>
      <c r="BR379" s="25"/>
      <c r="BS379" s="5"/>
    </row>
    <row r="380" spans="1:71" s="3" customFormat="1" x14ac:dyDescent="0.25">
      <c r="A380" s="5"/>
      <c r="B380" s="3" t="str">
        <f t="array" ref="B380">IFERROR(INDEX(DemandSupply,MATCH(INDEX($AH$1:AH380,SMALL(ROW($AH$1:AH380)+(10000*($AH$1:AH380="")),COUNTA($AH$1:AH380))),Sectors,0)),"")</f>
        <v>Demand</v>
      </c>
      <c r="E380" s="10"/>
      <c r="F380" s="207"/>
      <c r="G380" s="207"/>
      <c r="H380" s="207"/>
      <c r="I380" s="207"/>
      <c r="J380" s="207"/>
      <c r="K380" s="207"/>
      <c r="L380" s="207"/>
      <c r="M380" s="207"/>
      <c r="N380" s="207"/>
      <c r="O380" s="207"/>
      <c r="P380" s="207"/>
      <c r="Q380" s="207"/>
      <c r="R380" s="207"/>
      <c r="S380" s="207"/>
      <c r="T380" s="207"/>
      <c r="U380" s="207"/>
      <c r="V380" s="207"/>
      <c r="W380" s="207"/>
      <c r="X380" s="207"/>
      <c r="Y380" s="207"/>
      <c r="Z380" s="207"/>
      <c r="AA380" s="207"/>
      <c r="AB380" s="207"/>
      <c r="AC380" s="5"/>
      <c r="AD380" s="63"/>
      <c r="AE380" s="64"/>
      <c r="AF380" s="64"/>
      <c r="AG380" s="212"/>
      <c r="AH380" s="64"/>
      <c r="AI380" s="64"/>
      <c r="AJ380" s="64"/>
      <c r="AK380" s="212"/>
      <c r="AL380" s="64"/>
      <c r="AM380" s="212"/>
      <c r="AN380" s="64"/>
      <c r="AO380" s="64"/>
      <c r="AP380" s="63"/>
      <c r="AQ380" s="64"/>
      <c r="AR380" s="63"/>
      <c r="AS380" s="64"/>
      <c r="AT380" s="63"/>
      <c r="AU380" s="64"/>
      <c r="AV380" s="63"/>
      <c r="AW380" s="64"/>
      <c r="AX380" s="63"/>
      <c r="AY380" s="5"/>
      <c r="AZ380" s="21" t="str">
        <f t="shared" si="81"/>
        <v/>
      </c>
      <c r="BA380" s="264" t="s">
        <v>445</v>
      </c>
      <c r="BB380" s="264"/>
      <c r="BC380" s="264"/>
      <c r="BD380" s="264" t="s">
        <v>355</v>
      </c>
      <c r="BE380" s="216" t="s">
        <v>119</v>
      </c>
      <c r="BF380" s="56"/>
      <c r="BG380" s="56"/>
      <c r="BH380" s="56"/>
      <c r="BI380" s="56"/>
      <c r="BJ380" s="56"/>
      <c r="BK380" s="56"/>
      <c r="BL380" s="56"/>
      <c r="BM380" s="56"/>
      <c r="BN380" s="56"/>
      <c r="BO380" s="56"/>
      <c r="BP380" s="56"/>
      <c r="BQ380" s="5"/>
      <c r="BR380" s="25"/>
      <c r="BS380" s="5"/>
    </row>
    <row r="381" spans="1:71" s="3" customFormat="1" x14ac:dyDescent="0.25">
      <c r="A381" s="5"/>
      <c r="B381" s="3" t="str">
        <f t="array" ref="B381">IFERROR(INDEX(DemandSupply,MATCH(INDEX($AH$1:AH381,SMALL(ROW($AH$1:AH381)+(10000*($AH$1:AH381="")),COUNTA($AH$1:AH381))),Sectors,0)),"")</f>
        <v>Demand</v>
      </c>
      <c r="E381" s="10"/>
      <c r="F381" s="207"/>
      <c r="G381" s="207"/>
      <c r="H381" s="207"/>
      <c r="I381" s="207"/>
      <c r="J381" s="207"/>
      <c r="K381" s="207"/>
      <c r="L381" s="207"/>
      <c r="M381" s="207"/>
      <c r="N381" s="207"/>
      <c r="O381" s="207"/>
      <c r="P381" s="207"/>
      <c r="Q381" s="207"/>
      <c r="R381" s="207"/>
      <c r="S381" s="207"/>
      <c r="T381" s="207"/>
      <c r="U381" s="207"/>
      <c r="V381" s="207"/>
      <c r="W381" s="207"/>
      <c r="X381" s="207"/>
      <c r="Y381" s="207"/>
      <c r="Z381" s="207"/>
      <c r="AA381" s="207"/>
      <c r="AB381" s="207"/>
      <c r="AC381" s="5"/>
      <c r="AD381" s="63"/>
      <c r="AE381" s="64"/>
      <c r="AF381" s="64"/>
      <c r="AG381" s="212"/>
      <c r="AH381" s="64"/>
      <c r="AI381" s="64"/>
      <c r="AJ381" s="64"/>
      <c r="AK381" s="212"/>
      <c r="AL381" s="64"/>
      <c r="AM381" s="212"/>
      <c r="AN381" s="64"/>
      <c r="AO381" s="64"/>
      <c r="AP381" s="63"/>
      <c r="AQ381" s="64"/>
      <c r="AR381" s="63"/>
      <c r="AS381" s="64"/>
      <c r="AT381" s="63"/>
      <c r="AU381" s="64"/>
      <c r="AV381" s="63"/>
      <c r="AW381" s="64"/>
      <c r="AX381" s="63"/>
      <c r="AY381" s="5"/>
      <c r="AZ381" s="21" t="str">
        <f t="shared" si="81"/>
        <v/>
      </c>
      <c r="BA381" s="264" t="s">
        <v>449</v>
      </c>
      <c r="BB381" s="264"/>
      <c r="BC381" s="264"/>
      <c r="BD381" s="264" t="s">
        <v>355</v>
      </c>
      <c r="BE381" s="216" t="s">
        <v>119</v>
      </c>
      <c r="BF381" s="56"/>
      <c r="BG381" s="56"/>
      <c r="BH381" s="56"/>
      <c r="BI381" s="56"/>
      <c r="BJ381" s="56"/>
      <c r="BK381" s="56"/>
      <c r="BL381" s="56"/>
      <c r="BM381" s="56"/>
      <c r="BN381" s="56"/>
      <c r="BO381" s="56"/>
      <c r="BP381" s="56"/>
      <c r="BQ381" s="5"/>
      <c r="BR381" s="25"/>
      <c r="BS381" s="5"/>
    </row>
    <row r="382" spans="1:71" s="3" customFormat="1" x14ac:dyDescent="0.25">
      <c r="A382" s="5"/>
      <c r="B382" s="3" t="str">
        <f t="array" ref="B382">IFERROR(INDEX(DemandSupply,MATCH(INDEX($AH$1:AH382,SMALL(ROW($AH$1:AH382)+(10000*($AH$1:AH382="")),COUNTA($AH$1:AH382))),Sectors,0)),"")</f>
        <v>Demand</v>
      </c>
      <c r="E382" s="10"/>
      <c r="F382" s="207"/>
      <c r="G382" s="207"/>
      <c r="H382" s="207"/>
      <c r="I382" s="207"/>
      <c r="J382" s="207"/>
      <c r="K382" s="207"/>
      <c r="L382" s="207"/>
      <c r="M382" s="207"/>
      <c r="N382" s="207"/>
      <c r="O382" s="207"/>
      <c r="P382" s="207"/>
      <c r="Q382" s="207"/>
      <c r="R382" s="207"/>
      <c r="S382" s="207"/>
      <c r="T382" s="207"/>
      <c r="U382" s="207"/>
      <c r="V382" s="207"/>
      <c r="W382" s="207"/>
      <c r="X382" s="207"/>
      <c r="Y382" s="207"/>
      <c r="Z382" s="207"/>
      <c r="AA382" s="207"/>
      <c r="AB382" s="207"/>
      <c r="AC382" s="5"/>
      <c r="AD382" s="63"/>
      <c r="AE382" s="64"/>
      <c r="AF382" s="64"/>
      <c r="AG382" s="212"/>
      <c r="AH382" s="64"/>
      <c r="AI382" s="64"/>
      <c r="AJ382" s="64"/>
      <c r="AK382" s="212"/>
      <c r="AL382" s="64"/>
      <c r="AM382" s="212"/>
      <c r="AN382" s="64"/>
      <c r="AO382" s="64"/>
      <c r="AP382" s="63"/>
      <c r="AQ382" s="64"/>
      <c r="AR382" s="63"/>
      <c r="AS382" s="64"/>
      <c r="AT382" s="63"/>
      <c r="AU382" s="64"/>
      <c r="AV382" s="63"/>
      <c r="AW382" s="64"/>
      <c r="AX382" s="63"/>
      <c r="AY382" s="5"/>
      <c r="AZ382" s="21" t="str">
        <f t="shared" si="81"/>
        <v/>
      </c>
      <c r="BA382" s="264" t="s">
        <v>450</v>
      </c>
      <c r="BB382" s="264"/>
      <c r="BC382" s="264"/>
      <c r="BD382" s="264"/>
      <c r="BE382" s="216" t="s">
        <v>119</v>
      </c>
      <c r="BF382" s="55"/>
      <c r="BG382" s="55"/>
      <c r="BH382" s="55"/>
      <c r="BI382" s="55"/>
      <c r="BJ382" s="55"/>
      <c r="BK382" s="55"/>
      <c r="BL382" s="55"/>
      <c r="BM382" s="55"/>
      <c r="BN382" s="55"/>
      <c r="BO382" s="55"/>
      <c r="BP382" s="55"/>
      <c r="BQ382" s="5"/>
      <c r="BR382" s="25"/>
      <c r="BS382" s="5"/>
    </row>
    <row r="383" spans="1:71" s="3" customFormat="1" x14ac:dyDescent="0.25">
      <c r="A383" s="5"/>
      <c r="B383" s="3" t="str">
        <f t="array" ref="B383">IFERROR(INDEX(DemandSupply,MATCH(INDEX($AH$1:AH383,SMALL(ROW($AH$1:AH383)+(10000*($AH$1:AH383="")),COUNTA($AH$1:AH383))),Sectors,0)),"")</f>
        <v>Demand</v>
      </c>
      <c r="E383" s="10"/>
      <c r="F383" s="207"/>
      <c r="G383" s="207"/>
      <c r="H383" s="207"/>
      <c r="I383" s="207"/>
      <c r="J383" s="207"/>
      <c r="K383" s="207"/>
      <c r="L383" s="207"/>
      <c r="M383" s="207"/>
      <c r="N383" s="207"/>
      <c r="O383" s="207"/>
      <c r="P383" s="207"/>
      <c r="Q383" s="207"/>
      <c r="R383" s="207"/>
      <c r="S383" s="207"/>
      <c r="T383" s="207"/>
      <c r="U383" s="207"/>
      <c r="V383" s="207"/>
      <c r="W383" s="207"/>
      <c r="X383" s="207"/>
      <c r="Y383" s="207"/>
      <c r="Z383" s="207"/>
      <c r="AA383" s="207"/>
      <c r="AB383" s="207"/>
      <c r="AC383" s="5"/>
      <c r="AD383" s="63"/>
      <c r="AE383" s="64"/>
      <c r="AF383" s="64"/>
      <c r="AG383" s="212"/>
      <c r="AH383" s="64"/>
      <c r="AI383" s="64"/>
      <c r="AJ383" s="64"/>
      <c r="AK383" s="212"/>
      <c r="AL383" s="64"/>
      <c r="AM383" s="212"/>
      <c r="AN383" s="64"/>
      <c r="AO383" s="64"/>
      <c r="AP383" s="63"/>
      <c r="AQ383" s="64"/>
      <c r="AR383" s="63"/>
      <c r="AS383" s="64"/>
      <c r="AT383" s="63"/>
      <c r="AU383" s="64"/>
      <c r="AV383" s="63"/>
      <c r="AW383" s="64"/>
      <c r="AX383" s="63"/>
      <c r="AY383" s="5"/>
      <c r="AZ383" s="21" t="str">
        <f t="shared" si="81"/>
        <v/>
      </c>
      <c r="BA383" s="264" t="s">
        <v>451</v>
      </c>
      <c r="BB383" s="264"/>
      <c r="BC383" s="264"/>
      <c r="BD383" s="264"/>
      <c r="BE383" s="216" t="s">
        <v>119</v>
      </c>
      <c r="BF383" s="55"/>
      <c r="BG383" s="55"/>
      <c r="BH383" s="55"/>
      <c r="BI383" s="55"/>
      <c r="BJ383" s="55"/>
      <c r="BK383" s="55"/>
      <c r="BL383" s="55"/>
      <c r="BM383" s="55"/>
      <c r="BN383" s="55"/>
      <c r="BO383" s="55"/>
      <c r="BP383" s="55"/>
      <c r="BQ383" s="5"/>
      <c r="BR383" s="25"/>
      <c r="BS383" s="5"/>
    </row>
    <row r="384" spans="1:71" s="3" customFormat="1" x14ac:dyDescent="0.25">
      <c r="A384" s="5"/>
      <c r="B384" s="3" t="str">
        <f t="array" ref="B384">IFERROR(INDEX(DemandSupply,MATCH(INDEX($AH$1:AH384,SMALL(ROW($AH$1:AH384)+(10000*($AH$1:AH384="")),COUNTA($AH$1:AH384))),Sectors,0)),"")</f>
        <v>Demand</v>
      </c>
      <c r="E384" s="10"/>
      <c r="F384" s="207"/>
      <c r="G384" s="207"/>
      <c r="H384" s="207"/>
      <c r="I384" s="207"/>
      <c r="J384" s="207"/>
      <c r="K384" s="207"/>
      <c r="L384" s="207"/>
      <c r="M384" s="207"/>
      <c r="N384" s="207"/>
      <c r="O384" s="207"/>
      <c r="P384" s="207"/>
      <c r="Q384" s="207"/>
      <c r="R384" s="207"/>
      <c r="S384" s="207"/>
      <c r="T384" s="207"/>
      <c r="U384" s="207"/>
      <c r="V384" s="207"/>
      <c r="W384" s="207"/>
      <c r="X384" s="207"/>
      <c r="Y384" s="207"/>
      <c r="Z384" s="207"/>
      <c r="AA384" s="207"/>
      <c r="AB384" s="207"/>
      <c r="AC384" s="5"/>
      <c r="AD384" s="63"/>
      <c r="AE384" s="64"/>
      <c r="AF384" s="64"/>
      <c r="AG384" s="212"/>
      <c r="AH384" s="64"/>
      <c r="AI384" s="64"/>
      <c r="AJ384" s="64"/>
      <c r="AK384" s="212"/>
      <c r="AL384" s="64"/>
      <c r="AM384" s="212"/>
      <c r="AN384" s="64"/>
      <c r="AO384" s="64"/>
      <c r="AP384" s="63"/>
      <c r="AQ384" s="64"/>
      <c r="AR384" s="63"/>
      <c r="AS384" s="64"/>
      <c r="AT384" s="63"/>
      <c r="AU384" s="64"/>
      <c r="AV384" s="63"/>
      <c r="AW384" s="64"/>
      <c r="AX384" s="63"/>
      <c r="AY384" s="5"/>
      <c r="AZ384" s="21" t="str">
        <f t="shared" si="81"/>
        <v/>
      </c>
      <c r="BA384" s="264" t="s">
        <v>342</v>
      </c>
      <c r="BB384" s="264"/>
      <c r="BC384" s="264"/>
      <c r="BD384" s="264" t="s">
        <v>355</v>
      </c>
      <c r="BE384" s="216" t="s">
        <v>119</v>
      </c>
      <c r="BF384" s="56"/>
      <c r="BG384" s="56"/>
      <c r="BH384" s="56"/>
      <c r="BI384" s="56"/>
      <c r="BJ384" s="56"/>
      <c r="BK384" s="56"/>
      <c r="BL384" s="56"/>
      <c r="BM384" s="56"/>
      <c r="BN384" s="56"/>
      <c r="BO384" s="56"/>
      <c r="BP384" s="56"/>
      <c r="BQ384" s="5"/>
      <c r="BR384" s="25"/>
      <c r="BS384" s="5"/>
    </row>
    <row r="385" spans="1:71" s="3" customFormat="1" x14ac:dyDescent="0.25">
      <c r="A385" s="5"/>
      <c r="B385" s="3" t="str">
        <f t="array" ref="B385">IFERROR(INDEX(DemandSupply,MATCH(INDEX($AH$1:AH385,SMALL(ROW($AH$1:AH385)+(10000*($AH$1:AH385="")),COUNTA($AH$1:AH385))),Sectors,0)),"")</f>
        <v>Demand</v>
      </c>
      <c r="E385" s="10"/>
      <c r="F385" s="207"/>
      <c r="G385" s="207"/>
      <c r="H385" s="207"/>
      <c r="I385" s="207"/>
      <c r="J385" s="207"/>
      <c r="K385" s="207"/>
      <c r="L385" s="207"/>
      <c r="M385" s="207"/>
      <c r="N385" s="207"/>
      <c r="O385" s="207"/>
      <c r="P385" s="207"/>
      <c r="Q385" s="207"/>
      <c r="R385" s="207"/>
      <c r="S385" s="207"/>
      <c r="T385" s="207"/>
      <c r="U385" s="207"/>
      <c r="V385" s="207"/>
      <c r="W385" s="207"/>
      <c r="X385" s="207"/>
      <c r="Y385" s="207"/>
      <c r="Z385" s="207"/>
      <c r="AA385" s="207"/>
      <c r="AB385" s="207"/>
      <c r="AC385" s="5"/>
      <c r="AD385" s="63"/>
      <c r="AE385" s="64"/>
      <c r="AF385" s="64"/>
      <c r="AG385" s="212"/>
      <c r="AH385" s="64"/>
      <c r="AI385" s="64"/>
      <c r="AJ385" s="64"/>
      <c r="AK385" s="212"/>
      <c r="AL385" s="64"/>
      <c r="AM385" s="212"/>
      <c r="AN385" s="64"/>
      <c r="AO385" s="64"/>
      <c r="AP385" s="63"/>
      <c r="AQ385" s="64"/>
      <c r="AR385" s="63"/>
      <c r="AS385" s="64"/>
      <c r="AT385" s="63"/>
      <c r="AU385" s="64"/>
      <c r="AV385" s="63"/>
      <c r="AW385" s="64"/>
      <c r="AX385" s="63"/>
      <c r="AY385" s="5"/>
      <c r="AZ385" s="21" t="str">
        <f t="shared" si="81"/>
        <v/>
      </c>
      <c r="BA385" s="264" t="s">
        <v>394</v>
      </c>
      <c r="BB385" s="264"/>
      <c r="BC385" s="264"/>
      <c r="BD385" s="264" t="s">
        <v>354</v>
      </c>
      <c r="BE385" s="216" t="s">
        <v>119</v>
      </c>
      <c r="BF385" s="56"/>
      <c r="BG385" s="56"/>
      <c r="BH385" s="56"/>
      <c r="BI385" s="56"/>
      <c r="BJ385" s="56"/>
      <c r="BK385" s="56"/>
      <c r="BL385" s="56"/>
      <c r="BM385" s="56"/>
      <c r="BN385" s="56"/>
      <c r="BO385" s="56"/>
      <c r="BP385" s="56"/>
      <c r="BQ385" s="5"/>
      <c r="BR385" s="25"/>
      <c r="BS385" s="5"/>
    </row>
    <row r="386" spans="1:71" s="3" customFormat="1" x14ac:dyDescent="0.25">
      <c r="A386" s="5"/>
      <c r="B386" s="3" t="str">
        <f t="array" ref="B386">IFERROR(INDEX(DemandSupply,MATCH(INDEX($AH$1:AH386,SMALL(ROW($AH$1:AH386)+(10000*($AH$1:AH386="")),COUNTA($AH$1:AH386))),Sectors,0)),"")</f>
        <v>Demand</v>
      </c>
      <c r="E386" s="10">
        <f t="shared" ref="E386:E485" si="88">IF(COUNTA(BA386)=1,0,MIN(F386:AA386))</f>
        <v>0</v>
      </c>
      <c r="F386" s="207">
        <v>1</v>
      </c>
      <c r="G386" s="207">
        <v>1</v>
      </c>
      <c r="H386" s="207">
        <v>1</v>
      </c>
      <c r="I386" s="207">
        <v>1</v>
      </c>
      <c r="J386" s="207">
        <v>1</v>
      </c>
      <c r="K386" s="207">
        <v>1</v>
      </c>
      <c r="L386" s="207">
        <v>1</v>
      </c>
      <c r="M386" s="207">
        <v>1</v>
      </c>
      <c r="N386" s="207">
        <v>1</v>
      </c>
      <c r="O386" s="207">
        <v>1</v>
      </c>
      <c r="P386" s="207">
        <v>1</v>
      </c>
      <c r="Q386" s="207">
        <v>1</v>
      </c>
      <c r="R386" s="207">
        <v>1</v>
      </c>
      <c r="S386" s="207">
        <v>1</v>
      </c>
      <c r="T386" s="207">
        <v>1</v>
      </c>
      <c r="U386" s="207">
        <v>1</v>
      </c>
      <c r="V386" s="207">
        <v>1</v>
      </c>
      <c r="W386" s="207">
        <v>1</v>
      </c>
      <c r="X386" s="207">
        <v>1</v>
      </c>
      <c r="Y386" s="207">
        <v>1</v>
      </c>
      <c r="Z386" s="207">
        <v>1</v>
      </c>
      <c r="AA386" s="207">
        <v>1</v>
      </c>
      <c r="AB386" s="207">
        <v>1</v>
      </c>
      <c r="AC386" s="5"/>
      <c r="AD386" s="63"/>
      <c r="AE386" s="64"/>
      <c r="AF386" s="64"/>
      <c r="AG386" s="212"/>
      <c r="AH386" s="64"/>
      <c r="AI386" s="64"/>
      <c r="AJ386" s="65"/>
      <c r="AK386" s="212"/>
      <c r="AL386" s="64"/>
      <c r="AM386" s="212"/>
      <c r="AN386" s="63"/>
      <c r="AO386" s="64"/>
      <c r="AP386" s="64"/>
      <c r="AQ386" s="64"/>
      <c r="AR386" s="63"/>
      <c r="AS386" s="64"/>
      <c r="AT386" s="63"/>
      <c r="AU386" s="64"/>
      <c r="AV386" s="63"/>
      <c r="AW386" s="64"/>
      <c r="AX386" s="63"/>
      <c r="AY386" s="5"/>
      <c r="AZ386" s="21" t="str">
        <f t="shared" si="81"/>
        <v/>
      </c>
      <c r="BA386" s="74" t="s">
        <v>338</v>
      </c>
      <c r="BB386" s="25"/>
      <c r="BC386" s="74" t="s">
        <v>123</v>
      </c>
      <c r="BD386" s="74" t="s">
        <v>367</v>
      </c>
      <c r="BE386" s="216" t="s">
        <v>119</v>
      </c>
      <c r="BF386" s="314">
        <f>1/2.5</f>
        <v>0.4</v>
      </c>
      <c r="BG386" s="314">
        <f t="shared" ref="BG386:BP386" si="89">1/2.5</f>
        <v>0.4</v>
      </c>
      <c r="BH386" s="314">
        <f t="shared" si="89"/>
        <v>0.4</v>
      </c>
      <c r="BI386" s="314">
        <f t="shared" si="89"/>
        <v>0.4</v>
      </c>
      <c r="BJ386" s="314">
        <f t="shared" si="89"/>
        <v>0.4</v>
      </c>
      <c r="BK386" s="314">
        <f t="shared" si="89"/>
        <v>0.4</v>
      </c>
      <c r="BL386" s="314">
        <f t="shared" si="89"/>
        <v>0.4</v>
      </c>
      <c r="BM386" s="314">
        <f t="shared" si="89"/>
        <v>0.4</v>
      </c>
      <c r="BN386" s="314">
        <f t="shared" si="89"/>
        <v>0.4</v>
      </c>
      <c r="BO386" s="314">
        <f t="shared" si="89"/>
        <v>0.4</v>
      </c>
      <c r="BP386" s="314">
        <f t="shared" si="89"/>
        <v>0.4</v>
      </c>
      <c r="BQ386" s="5"/>
      <c r="BR386" s="25"/>
      <c r="BS386" s="5"/>
    </row>
    <row r="387" spans="1:71" s="3" customFormat="1" x14ac:dyDescent="0.25">
      <c r="A387" s="5"/>
      <c r="B387" s="3" t="str">
        <f t="array" ref="B387">IFERROR(INDEX(DemandSupply,MATCH(INDEX($AH$1:AH387,SMALL(ROW($AH$1:AH387)+(10000*($AH$1:AH387="")),COUNTA($AH$1:AH387))),Sectors,0)),"")</f>
        <v>Demand</v>
      </c>
      <c r="E387" s="10">
        <f t="shared" si="88"/>
        <v>0</v>
      </c>
      <c r="F387" s="207">
        <v>1</v>
      </c>
      <c r="G387" s="207">
        <v>1</v>
      </c>
      <c r="H387" s="207">
        <v>1</v>
      </c>
      <c r="I387" s="207">
        <v>1</v>
      </c>
      <c r="J387" s="207">
        <v>1</v>
      </c>
      <c r="K387" s="207">
        <v>1</v>
      </c>
      <c r="L387" s="207">
        <v>1</v>
      </c>
      <c r="M387" s="207">
        <v>1</v>
      </c>
      <c r="N387" s="207">
        <v>1</v>
      </c>
      <c r="O387" s="207">
        <v>1</v>
      </c>
      <c r="P387" s="207">
        <v>1</v>
      </c>
      <c r="Q387" s="207">
        <v>1</v>
      </c>
      <c r="R387" s="207">
        <v>1</v>
      </c>
      <c r="S387" s="207">
        <v>1</v>
      </c>
      <c r="T387" s="207">
        <v>1</v>
      </c>
      <c r="U387" s="207">
        <v>1</v>
      </c>
      <c r="V387" s="207">
        <v>1</v>
      </c>
      <c r="W387" s="207">
        <v>1</v>
      </c>
      <c r="X387" s="207">
        <v>1</v>
      </c>
      <c r="Y387" s="207">
        <v>1</v>
      </c>
      <c r="Z387" s="207">
        <v>1</v>
      </c>
      <c r="AA387" s="207">
        <v>1</v>
      </c>
      <c r="AB387" s="207">
        <v>1</v>
      </c>
      <c r="AC387" s="5"/>
      <c r="AD387" s="63"/>
      <c r="AE387" s="64"/>
      <c r="AF387" s="64"/>
      <c r="AG387" s="212"/>
      <c r="AH387" s="64"/>
      <c r="AI387" s="64"/>
      <c r="AJ387" s="65"/>
      <c r="AK387" s="212"/>
      <c r="AL387" s="64"/>
      <c r="AM387" s="212"/>
      <c r="AN387" s="63"/>
      <c r="AO387" s="64"/>
      <c r="AP387" s="64"/>
      <c r="AQ387" s="64"/>
      <c r="AR387" s="63"/>
      <c r="AS387" s="64"/>
      <c r="AT387" s="63"/>
      <c r="AU387" s="64"/>
      <c r="AV387" s="63"/>
      <c r="AW387" s="64"/>
      <c r="AX387" s="63"/>
      <c r="AY387" s="5"/>
      <c r="AZ387" s="21" t="str">
        <f t="shared" si="81"/>
        <v/>
      </c>
      <c r="BA387" s="291" t="s">
        <v>51</v>
      </c>
      <c r="BB387" s="25"/>
      <c r="BC387" s="2"/>
      <c r="BD387" s="2"/>
      <c r="BE387" s="216" t="s">
        <v>53</v>
      </c>
      <c r="BF387" s="4"/>
      <c r="BG387" s="4"/>
      <c r="BH387" s="4"/>
      <c r="BI387" s="4"/>
      <c r="BJ387" s="4"/>
      <c r="BK387" s="4"/>
      <c r="BL387" s="4"/>
      <c r="BM387" s="4"/>
      <c r="BN387" s="4"/>
      <c r="BO387" s="4"/>
      <c r="BP387" s="4"/>
      <c r="BQ387" s="5"/>
      <c r="BR387" s="25"/>
      <c r="BS387" s="5"/>
    </row>
    <row r="388" spans="1:71" s="3" customFormat="1" x14ac:dyDescent="0.25">
      <c r="A388" s="5"/>
      <c r="B388" s="3" t="str">
        <f t="array" ref="B388">IFERROR(INDEX(DemandSupply,MATCH(INDEX($AH$1:AH388,SMALL(ROW($AH$1:AH388)+(10000*($AH$1:AH388="")),COUNTA($AH$1:AH388))),Sectors,0)),"")</f>
        <v>Demand</v>
      </c>
      <c r="E388" s="10"/>
      <c r="F388" s="207"/>
      <c r="G388" s="207"/>
      <c r="H388" s="207"/>
      <c r="I388" s="207"/>
      <c r="J388" s="207"/>
      <c r="K388" s="207"/>
      <c r="L388" s="207"/>
      <c r="M388" s="207"/>
      <c r="N388" s="207"/>
      <c r="O388" s="207"/>
      <c r="P388" s="207"/>
      <c r="Q388" s="207"/>
      <c r="R388" s="207"/>
      <c r="S388" s="207"/>
      <c r="T388" s="207"/>
      <c r="U388" s="207"/>
      <c r="V388" s="207"/>
      <c r="W388" s="207"/>
      <c r="X388" s="207"/>
      <c r="Y388" s="207"/>
      <c r="Z388" s="207"/>
      <c r="AA388" s="207"/>
      <c r="AB388" s="207"/>
      <c r="AC388" s="5"/>
      <c r="AD388" s="63"/>
      <c r="AE388" s="64"/>
      <c r="AF388" s="64"/>
      <c r="AG388" s="212"/>
      <c r="AH388" s="64"/>
      <c r="AI388" s="64"/>
      <c r="AJ388" s="64"/>
      <c r="AK388" s="212"/>
      <c r="AL388" s="64"/>
      <c r="AM388" s="212"/>
      <c r="AN388" s="64"/>
      <c r="AO388" s="64"/>
      <c r="AP388" s="63"/>
      <c r="AQ388" s="64"/>
      <c r="AR388" s="63"/>
      <c r="AS388" s="64"/>
      <c r="AT388" s="63"/>
      <c r="AU388" s="64"/>
      <c r="AV388" s="63"/>
      <c r="AW388" s="64"/>
      <c r="AX388" s="63"/>
      <c r="AY388" s="5"/>
      <c r="AZ388" s="21" t="str">
        <f t="shared" si="81"/>
        <v/>
      </c>
      <c r="BA388" s="264" t="s">
        <v>38</v>
      </c>
      <c r="BB388" s="264"/>
      <c r="BC388" s="264"/>
      <c r="BD388" s="264" t="s">
        <v>40</v>
      </c>
      <c r="BE388" s="216" t="s">
        <v>53</v>
      </c>
      <c r="BF388" s="309">
        <v>2000</v>
      </c>
      <c r="BG388" s="310">
        <f t="shared" ref="BG388:BP388" si="90">BF388</f>
        <v>2000</v>
      </c>
      <c r="BH388" s="310">
        <f t="shared" si="90"/>
        <v>2000</v>
      </c>
      <c r="BI388" s="310">
        <f t="shared" si="90"/>
        <v>2000</v>
      </c>
      <c r="BJ388" s="310">
        <f t="shared" si="90"/>
        <v>2000</v>
      </c>
      <c r="BK388" s="310">
        <f t="shared" si="90"/>
        <v>2000</v>
      </c>
      <c r="BL388" s="310">
        <f t="shared" si="90"/>
        <v>2000</v>
      </c>
      <c r="BM388" s="310">
        <f t="shared" si="90"/>
        <v>2000</v>
      </c>
      <c r="BN388" s="310">
        <f t="shared" si="90"/>
        <v>2000</v>
      </c>
      <c r="BO388" s="310">
        <f t="shared" si="90"/>
        <v>2000</v>
      </c>
      <c r="BP388" s="310">
        <f t="shared" si="90"/>
        <v>2000</v>
      </c>
      <c r="BQ388" s="5"/>
      <c r="BR388" s="25"/>
      <c r="BS388" s="5"/>
    </row>
    <row r="389" spans="1:71" s="3" customFormat="1" x14ac:dyDescent="0.25">
      <c r="A389" s="5"/>
      <c r="B389" s="3" t="str">
        <f t="array" ref="B389">IFERROR(INDEX(DemandSupply,MATCH(INDEX($AH$1:AH389,SMALL(ROW($AH$1:AH389)+(10000*($AH$1:AH389="")),COUNTA($AH$1:AH389))),Sectors,0)),"")</f>
        <v>Demand</v>
      </c>
      <c r="E389" s="10"/>
      <c r="F389" s="207"/>
      <c r="G389" s="207"/>
      <c r="H389" s="207"/>
      <c r="I389" s="207"/>
      <c r="J389" s="207"/>
      <c r="K389" s="207"/>
      <c r="L389" s="207"/>
      <c r="M389" s="207"/>
      <c r="N389" s="207"/>
      <c r="O389" s="207"/>
      <c r="P389" s="207"/>
      <c r="Q389" s="207"/>
      <c r="R389" s="207"/>
      <c r="S389" s="207"/>
      <c r="T389" s="207"/>
      <c r="U389" s="207"/>
      <c r="V389" s="207"/>
      <c r="W389" s="207"/>
      <c r="X389" s="207"/>
      <c r="Y389" s="207"/>
      <c r="Z389" s="207"/>
      <c r="AA389" s="207"/>
      <c r="AB389" s="207"/>
      <c r="AC389" s="5"/>
      <c r="AD389" s="63"/>
      <c r="AE389" s="64"/>
      <c r="AF389" s="64"/>
      <c r="AG389" s="212"/>
      <c r="AH389" s="64"/>
      <c r="AI389" s="64"/>
      <c r="AJ389" s="64"/>
      <c r="AK389" s="212"/>
      <c r="AL389" s="64"/>
      <c r="AM389" s="212"/>
      <c r="AN389" s="64"/>
      <c r="AO389" s="64"/>
      <c r="AP389" s="63"/>
      <c r="AQ389" s="64"/>
      <c r="AR389" s="63"/>
      <c r="AS389" s="64"/>
      <c r="AT389" s="63"/>
      <c r="AU389" s="64"/>
      <c r="AV389" s="63"/>
      <c r="AW389" s="64"/>
      <c r="AX389" s="63"/>
      <c r="AY389" s="5"/>
      <c r="AZ389" s="21" t="str">
        <f t="shared" si="81"/>
        <v/>
      </c>
      <c r="BA389" s="264" t="s">
        <v>37</v>
      </c>
      <c r="BB389" s="264"/>
      <c r="BC389" s="264"/>
      <c r="BD389" s="264" t="s">
        <v>40</v>
      </c>
      <c r="BE389" s="216" t="s">
        <v>53</v>
      </c>
      <c r="BF389" s="309">
        <v>2100</v>
      </c>
      <c r="BG389" s="310">
        <f t="shared" ref="BG389:BP389" si="91">BF389</f>
        <v>2100</v>
      </c>
      <c r="BH389" s="310">
        <f t="shared" si="91"/>
        <v>2100</v>
      </c>
      <c r="BI389" s="310">
        <f t="shared" si="91"/>
        <v>2100</v>
      </c>
      <c r="BJ389" s="310">
        <f t="shared" si="91"/>
        <v>2100</v>
      </c>
      <c r="BK389" s="310">
        <f t="shared" si="91"/>
        <v>2100</v>
      </c>
      <c r="BL389" s="310">
        <f t="shared" si="91"/>
        <v>2100</v>
      </c>
      <c r="BM389" s="310">
        <f t="shared" si="91"/>
        <v>2100</v>
      </c>
      <c r="BN389" s="310">
        <f t="shared" si="91"/>
        <v>2100</v>
      </c>
      <c r="BO389" s="310">
        <f t="shared" si="91"/>
        <v>2100</v>
      </c>
      <c r="BP389" s="310">
        <f t="shared" si="91"/>
        <v>2100</v>
      </c>
      <c r="BQ389" s="5"/>
      <c r="BR389" s="25"/>
      <c r="BS389" s="5"/>
    </row>
    <row r="390" spans="1:71" s="3" customFormat="1" x14ac:dyDescent="0.25">
      <c r="A390" s="5"/>
      <c r="B390" s="3" t="str">
        <f t="array" ref="B390">IFERROR(INDEX(DemandSupply,MATCH(INDEX($AH$1:AH390,SMALL(ROW($AH$1:AH390)+(10000*($AH$1:AH390="")),COUNTA($AH$1:AH390))),Sectors,0)),"")</f>
        <v>Demand</v>
      </c>
      <c r="E390" s="10"/>
      <c r="F390" s="207"/>
      <c r="G390" s="207"/>
      <c r="H390" s="207"/>
      <c r="I390" s="207"/>
      <c r="J390" s="207"/>
      <c r="K390" s="207"/>
      <c r="L390" s="207"/>
      <c r="M390" s="207"/>
      <c r="N390" s="207"/>
      <c r="O390" s="207"/>
      <c r="P390" s="207"/>
      <c r="Q390" s="207"/>
      <c r="R390" s="207"/>
      <c r="S390" s="207"/>
      <c r="T390" s="207"/>
      <c r="U390" s="207"/>
      <c r="V390" s="207"/>
      <c r="W390" s="207"/>
      <c r="X390" s="207"/>
      <c r="Y390" s="207"/>
      <c r="Z390" s="207"/>
      <c r="AA390" s="207"/>
      <c r="AB390" s="207"/>
      <c r="AC390" s="5"/>
      <c r="AD390" s="63"/>
      <c r="AE390" s="64"/>
      <c r="AF390" s="64"/>
      <c r="AG390" s="212"/>
      <c r="AH390" s="64"/>
      <c r="AI390" s="64"/>
      <c r="AJ390" s="64"/>
      <c r="AK390" s="212"/>
      <c r="AL390" s="64"/>
      <c r="AM390" s="212"/>
      <c r="AN390" s="64"/>
      <c r="AO390" s="64"/>
      <c r="AP390" s="63"/>
      <c r="AQ390" s="64"/>
      <c r="AR390" s="63"/>
      <c r="AS390" s="64"/>
      <c r="AT390" s="63"/>
      <c r="AU390" s="64"/>
      <c r="AV390" s="63"/>
      <c r="AW390" s="64"/>
      <c r="AX390" s="63"/>
      <c r="AY390" s="5"/>
      <c r="AZ390" s="21" t="str">
        <f t="shared" si="81"/>
        <v/>
      </c>
      <c r="BA390" s="264" t="s">
        <v>39</v>
      </c>
      <c r="BB390" s="264"/>
      <c r="BC390" s="264"/>
      <c r="BD390" s="264" t="s">
        <v>10</v>
      </c>
      <c r="BE390" s="216" t="s">
        <v>53</v>
      </c>
      <c r="BF390" s="56">
        <v>18</v>
      </c>
      <c r="BG390" s="245">
        <f t="shared" ref="BG390:BP390" si="92">BF390</f>
        <v>18</v>
      </c>
      <c r="BH390" s="245">
        <f t="shared" si="92"/>
        <v>18</v>
      </c>
      <c r="BI390" s="245">
        <f t="shared" si="92"/>
        <v>18</v>
      </c>
      <c r="BJ390" s="245">
        <f t="shared" si="92"/>
        <v>18</v>
      </c>
      <c r="BK390" s="245">
        <f t="shared" si="92"/>
        <v>18</v>
      </c>
      <c r="BL390" s="245">
        <f t="shared" si="92"/>
        <v>18</v>
      </c>
      <c r="BM390" s="245">
        <f t="shared" si="92"/>
        <v>18</v>
      </c>
      <c r="BN390" s="245">
        <f t="shared" si="92"/>
        <v>18</v>
      </c>
      <c r="BO390" s="245">
        <f t="shared" si="92"/>
        <v>18</v>
      </c>
      <c r="BP390" s="245">
        <f t="shared" si="92"/>
        <v>18</v>
      </c>
      <c r="BQ390" s="5"/>
      <c r="BR390" s="25"/>
      <c r="BS390" s="5"/>
    </row>
    <row r="391" spans="1:71" s="3" customFormat="1" x14ac:dyDescent="0.25">
      <c r="A391" s="5"/>
      <c r="B391" s="3" t="str">
        <f t="array" ref="B391">IFERROR(INDEX(DemandSupply,MATCH(INDEX($AH$1:AH391,SMALL(ROW($AH$1:AH391)+(10000*($AH$1:AH391="")),COUNTA($AH$1:AH391))),Sectors,0)),"")</f>
        <v>Demand</v>
      </c>
      <c r="E391" s="10"/>
      <c r="F391" s="207"/>
      <c r="G391" s="207"/>
      <c r="H391" s="207"/>
      <c r="I391" s="207"/>
      <c r="J391" s="207"/>
      <c r="K391" s="207"/>
      <c r="L391" s="207"/>
      <c r="M391" s="207"/>
      <c r="N391" s="207"/>
      <c r="O391" s="207"/>
      <c r="P391" s="207"/>
      <c r="Q391" s="207"/>
      <c r="R391" s="207"/>
      <c r="S391" s="207"/>
      <c r="T391" s="207"/>
      <c r="U391" s="207"/>
      <c r="V391" s="207"/>
      <c r="W391" s="207"/>
      <c r="X391" s="207"/>
      <c r="Y391" s="207"/>
      <c r="Z391" s="207"/>
      <c r="AA391" s="207"/>
      <c r="AB391" s="207"/>
      <c r="AC391" s="5"/>
      <c r="AD391" s="63"/>
      <c r="AE391" s="64"/>
      <c r="AF391" s="64"/>
      <c r="AG391" s="212"/>
      <c r="AH391" s="64"/>
      <c r="AI391" s="64"/>
      <c r="AJ391" s="64"/>
      <c r="AK391" s="212"/>
      <c r="AL391" s="64"/>
      <c r="AM391" s="212"/>
      <c r="AN391" s="64"/>
      <c r="AO391" s="64"/>
      <c r="AP391" s="63"/>
      <c r="AQ391" s="64"/>
      <c r="AR391" s="63"/>
      <c r="AS391" s="64"/>
      <c r="AT391" s="63"/>
      <c r="AU391" s="64"/>
      <c r="AV391" s="63"/>
      <c r="AW391" s="64"/>
      <c r="AX391" s="63"/>
      <c r="AY391" s="5"/>
      <c r="AZ391" s="21" t="str">
        <f t="shared" si="81"/>
        <v/>
      </c>
      <c r="BA391" s="264" t="s">
        <v>395</v>
      </c>
      <c r="BB391" s="264"/>
      <c r="BC391" s="264"/>
      <c r="BD391" s="264" t="s">
        <v>10</v>
      </c>
      <c r="BE391" s="216" t="s">
        <v>53</v>
      </c>
      <c r="BF391" s="56"/>
      <c r="BG391" s="56"/>
      <c r="BH391" s="56"/>
      <c r="BI391" s="56"/>
      <c r="BJ391" s="56"/>
      <c r="BK391" s="56"/>
      <c r="BL391" s="56"/>
      <c r="BM391" s="56"/>
      <c r="BN391" s="56"/>
      <c r="BO391" s="56"/>
      <c r="BP391" s="56"/>
      <c r="BQ391" s="5"/>
      <c r="BR391" s="25"/>
      <c r="BS391" s="5"/>
    </row>
    <row r="392" spans="1:71" s="3" customFormat="1" x14ac:dyDescent="0.25">
      <c r="A392" s="5"/>
      <c r="B392" s="3" t="str">
        <f t="array" ref="B392">IFERROR(INDEX(DemandSupply,MATCH(INDEX($AH$1:AH392,SMALL(ROW($AH$1:AH392)+(10000*($AH$1:AH392="")),COUNTA($AH$1:AH392))),Sectors,0)),"")</f>
        <v>Demand</v>
      </c>
      <c r="E392" s="10"/>
      <c r="F392" s="207"/>
      <c r="G392" s="207"/>
      <c r="H392" s="207"/>
      <c r="I392" s="207"/>
      <c r="J392" s="207"/>
      <c r="K392" s="207"/>
      <c r="L392" s="207"/>
      <c r="M392" s="207"/>
      <c r="N392" s="207"/>
      <c r="O392" s="207"/>
      <c r="P392" s="207"/>
      <c r="Q392" s="207"/>
      <c r="R392" s="207"/>
      <c r="S392" s="207"/>
      <c r="T392" s="207"/>
      <c r="U392" s="207"/>
      <c r="V392" s="207"/>
      <c r="W392" s="207"/>
      <c r="X392" s="207"/>
      <c r="Y392" s="207"/>
      <c r="Z392" s="207"/>
      <c r="AA392" s="207"/>
      <c r="AB392" s="207"/>
      <c r="AC392" s="5"/>
      <c r="AD392" s="63"/>
      <c r="AE392" s="64"/>
      <c r="AF392" s="64"/>
      <c r="AG392" s="212"/>
      <c r="AH392" s="64"/>
      <c r="AI392" s="64"/>
      <c r="AJ392" s="64"/>
      <c r="AK392" s="212"/>
      <c r="AL392" s="64"/>
      <c r="AM392" s="212"/>
      <c r="AN392" s="64"/>
      <c r="AO392" s="64"/>
      <c r="AP392" s="63"/>
      <c r="AQ392" s="64"/>
      <c r="AR392" s="63"/>
      <c r="AS392" s="64"/>
      <c r="AT392" s="63"/>
      <c r="AU392" s="64"/>
      <c r="AV392" s="63"/>
      <c r="AW392" s="64"/>
      <c r="AX392" s="63"/>
      <c r="AY392" s="5"/>
      <c r="AZ392" s="21" t="str">
        <f t="shared" si="81"/>
        <v/>
      </c>
      <c r="BA392" s="264" t="s">
        <v>341</v>
      </c>
      <c r="BB392" s="264"/>
      <c r="BC392" s="264"/>
      <c r="BD392" s="264" t="s">
        <v>99</v>
      </c>
      <c r="BE392" s="216" t="s">
        <v>53</v>
      </c>
      <c r="BF392" s="303">
        <v>0.25</v>
      </c>
      <c r="BG392" s="304">
        <f t="shared" ref="BG392:BP392" si="93">BF392</f>
        <v>0.25</v>
      </c>
      <c r="BH392" s="304">
        <f t="shared" si="93"/>
        <v>0.25</v>
      </c>
      <c r="BI392" s="304">
        <f t="shared" si="93"/>
        <v>0.25</v>
      </c>
      <c r="BJ392" s="304">
        <f t="shared" si="93"/>
        <v>0.25</v>
      </c>
      <c r="BK392" s="304">
        <f t="shared" si="93"/>
        <v>0.25</v>
      </c>
      <c r="BL392" s="304">
        <f t="shared" si="93"/>
        <v>0.25</v>
      </c>
      <c r="BM392" s="304">
        <f t="shared" si="93"/>
        <v>0.25</v>
      </c>
      <c r="BN392" s="304">
        <f t="shared" si="93"/>
        <v>0.25</v>
      </c>
      <c r="BO392" s="304">
        <f t="shared" si="93"/>
        <v>0.25</v>
      </c>
      <c r="BP392" s="304">
        <f t="shared" si="93"/>
        <v>0.25</v>
      </c>
      <c r="BQ392" s="5"/>
      <c r="BR392" s="25"/>
      <c r="BS392" s="5"/>
    </row>
    <row r="393" spans="1:71" s="3" customFormat="1" x14ac:dyDescent="0.25">
      <c r="A393" s="5"/>
      <c r="B393" s="3" t="str">
        <f t="array" ref="B393">IFERROR(INDEX(DemandSupply,MATCH(INDEX($AH$1:AH393,SMALL(ROW($AH$1:AH393)+(10000*($AH$1:AH393="")),COUNTA($AH$1:AH393))),Sectors,0)),"")</f>
        <v>Demand</v>
      </c>
      <c r="E393" s="10"/>
      <c r="F393" s="207"/>
      <c r="G393" s="207"/>
      <c r="H393" s="207"/>
      <c r="I393" s="207"/>
      <c r="J393" s="207"/>
      <c r="K393" s="207"/>
      <c r="L393" s="207"/>
      <c r="M393" s="207"/>
      <c r="N393" s="207"/>
      <c r="O393" s="207"/>
      <c r="P393" s="207"/>
      <c r="Q393" s="207"/>
      <c r="R393" s="207"/>
      <c r="S393" s="207"/>
      <c r="T393" s="207"/>
      <c r="U393" s="207"/>
      <c r="V393" s="207"/>
      <c r="W393" s="207"/>
      <c r="X393" s="207"/>
      <c r="Y393" s="207"/>
      <c r="Z393" s="207"/>
      <c r="AA393" s="207"/>
      <c r="AB393" s="207"/>
      <c r="AC393" s="5"/>
      <c r="AD393" s="63"/>
      <c r="AE393" s="64"/>
      <c r="AF393" s="64"/>
      <c r="AG393" s="212"/>
      <c r="AH393" s="64"/>
      <c r="AI393" s="64"/>
      <c r="AJ393" s="64"/>
      <c r="AK393" s="212"/>
      <c r="AL393" s="64"/>
      <c r="AM393" s="212"/>
      <c r="AN393" s="64"/>
      <c r="AO393" s="64"/>
      <c r="AP393" s="63"/>
      <c r="AQ393" s="64"/>
      <c r="AR393" s="63"/>
      <c r="AS393" s="64"/>
      <c r="AT393" s="63"/>
      <c r="AU393" s="64"/>
      <c r="AV393" s="63"/>
      <c r="AW393" s="64"/>
      <c r="AX393" s="63"/>
      <c r="AY393" s="5"/>
      <c r="AZ393" s="21" t="str">
        <f t="shared" si="81"/>
        <v/>
      </c>
      <c r="BA393" s="264" t="s">
        <v>392</v>
      </c>
      <c r="BB393" s="264"/>
      <c r="BC393" s="264"/>
      <c r="BD393" s="264" t="s">
        <v>99</v>
      </c>
      <c r="BE393" s="216" t="s">
        <v>53</v>
      </c>
      <c r="BF393" s="303"/>
      <c r="BG393" s="303"/>
      <c r="BH393" s="303"/>
      <c r="BI393" s="303"/>
      <c r="BJ393" s="303"/>
      <c r="BK393" s="303"/>
      <c r="BL393" s="303"/>
      <c r="BM393" s="303"/>
      <c r="BN393" s="303"/>
      <c r="BO393" s="303"/>
      <c r="BP393" s="303"/>
      <c r="BQ393" s="5"/>
      <c r="BR393" s="25"/>
      <c r="BS393" s="5"/>
    </row>
    <row r="394" spans="1:71" s="3" customFormat="1" x14ac:dyDescent="0.25">
      <c r="A394" s="5"/>
      <c r="B394" s="3" t="str">
        <f t="array" ref="B394">IFERROR(INDEX(DemandSupply,MATCH(INDEX($AH$1:AH394,SMALL(ROW($AH$1:AH394)+(10000*($AH$1:AH394="")),COUNTA($AH$1:AH394))),Sectors,0)),"")</f>
        <v>Demand</v>
      </c>
      <c r="E394" s="10"/>
      <c r="F394" s="207"/>
      <c r="G394" s="207"/>
      <c r="H394" s="207"/>
      <c r="I394" s="207"/>
      <c r="J394" s="207"/>
      <c r="K394" s="207"/>
      <c r="L394" s="207"/>
      <c r="M394" s="207"/>
      <c r="N394" s="207"/>
      <c r="O394" s="207"/>
      <c r="P394" s="207"/>
      <c r="Q394" s="207"/>
      <c r="R394" s="207"/>
      <c r="S394" s="207"/>
      <c r="T394" s="207"/>
      <c r="U394" s="207"/>
      <c r="V394" s="207"/>
      <c r="W394" s="207"/>
      <c r="X394" s="207"/>
      <c r="Y394" s="207"/>
      <c r="Z394" s="207"/>
      <c r="AA394" s="207"/>
      <c r="AB394" s="207"/>
      <c r="AC394" s="5"/>
      <c r="AD394" s="63"/>
      <c r="AE394" s="64"/>
      <c r="AF394" s="64"/>
      <c r="AG394" s="212"/>
      <c r="AH394" s="64"/>
      <c r="AI394" s="64"/>
      <c r="AJ394" s="64"/>
      <c r="AK394" s="212"/>
      <c r="AL394" s="64"/>
      <c r="AM394" s="212"/>
      <c r="AN394" s="64"/>
      <c r="AO394" s="64"/>
      <c r="AP394" s="63"/>
      <c r="AQ394" s="64"/>
      <c r="AR394" s="63"/>
      <c r="AS394" s="64"/>
      <c r="AT394" s="63"/>
      <c r="AU394" s="64"/>
      <c r="AV394" s="63"/>
      <c r="AW394" s="64"/>
      <c r="AX394" s="63"/>
      <c r="AY394" s="5"/>
      <c r="AZ394" s="21" t="str">
        <f t="shared" si="81"/>
        <v/>
      </c>
      <c r="BA394" s="264" t="s">
        <v>391</v>
      </c>
      <c r="BB394" s="264"/>
      <c r="BC394" s="264"/>
      <c r="BD394" s="264" t="s">
        <v>99</v>
      </c>
      <c r="BE394" s="216" t="s">
        <v>53</v>
      </c>
      <c r="BF394" s="303"/>
      <c r="BG394" s="303"/>
      <c r="BH394" s="303"/>
      <c r="BI394" s="303"/>
      <c r="BJ394" s="303"/>
      <c r="BK394" s="303"/>
      <c r="BL394" s="303"/>
      <c r="BM394" s="303"/>
      <c r="BN394" s="303"/>
      <c r="BO394" s="303"/>
      <c r="BP394" s="303"/>
      <c r="BQ394" s="5"/>
      <c r="BR394" s="25"/>
      <c r="BS394" s="5"/>
    </row>
    <row r="395" spans="1:71" s="3" customFormat="1" x14ac:dyDescent="0.25">
      <c r="A395" s="5"/>
      <c r="B395" s="3" t="str">
        <f t="array" ref="B395">IFERROR(INDEX(DemandSupply,MATCH(INDEX($AH$1:AH395,SMALL(ROW($AH$1:AH395)+(10000*($AH$1:AH395="")),COUNTA($AH$1:AH395))),Sectors,0)),"")</f>
        <v>Demand</v>
      </c>
      <c r="E395" s="10"/>
      <c r="F395" s="207"/>
      <c r="G395" s="207"/>
      <c r="H395" s="207"/>
      <c r="I395" s="207"/>
      <c r="J395" s="207"/>
      <c r="K395" s="207"/>
      <c r="L395" s="207"/>
      <c r="M395" s="207"/>
      <c r="N395" s="207"/>
      <c r="O395" s="207"/>
      <c r="P395" s="207"/>
      <c r="Q395" s="207"/>
      <c r="R395" s="207"/>
      <c r="S395" s="207"/>
      <c r="T395" s="207"/>
      <c r="U395" s="207"/>
      <c r="V395" s="207"/>
      <c r="W395" s="207"/>
      <c r="X395" s="207"/>
      <c r="Y395" s="207"/>
      <c r="Z395" s="207"/>
      <c r="AA395" s="207"/>
      <c r="AB395" s="207"/>
      <c r="AC395" s="5"/>
      <c r="AD395" s="63"/>
      <c r="AE395" s="64"/>
      <c r="AF395" s="64"/>
      <c r="AG395" s="212"/>
      <c r="AH395" s="64"/>
      <c r="AI395" s="64"/>
      <c r="AJ395" s="64"/>
      <c r="AK395" s="212"/>
      <c r="AL395" s="64"/>
      <c r="AM395" s="212"/>
      <c r="AN395" s="64"/>
      <c r="AO395" s="64"/>
      <c r="AP395" s="63"/>
      <c r="AQ395" s="64"/>
      <c r="AR395" s="63"/>
      <c r="AS395" s="64"/>
      <c r="AT395" s="63"/>
      <c r="AU395" s="64"/>
      <c r="AV395" s="63"/>
      <c r="AW395" s="64"/>
      <c r="AX395" s="63"/>
      <c r="AY395" s="5"/>
      <c r="AZ395" s="21" t="str">
        <f t="shared" si="81"/>
        <v/>
      </c>
      <c r="BA395" s="264" t="s">
        <v>144</v>
      </c>
      <c r="BB395" s="264"/>
      <c r="BC395" s="264"/>
      <c r="BD395" s="264" t="s">
        <v>34</v>
      </c>
      <c r="BE395" s="216" t="s">
        <v>53</v>
      </c>
      <c r="BF395" s="56"/>
      <c r="BG395" s="56"/>
      <c r="BH395" s="56"/>
      <c r="BI395" s="56"/>
      <c r="BJ395" s="56"/>
      <c r="BK395" s="56"/>
      <c r="BL395" s="56"/>
      <c r="BM395" s="56"/>
      <c r="BN395" s="56"/>
      <c r="BO395" s="56"/>
      <c r="BP395" s="56"/>
      <c r="BQ395" s="5"/>
      <c r="BR395" s="25"/>
      <c r="BS395" s="5"/>
    </row>
    <row r="396" spans="1:71" s="3" customFormat="1" x14ac:dyDescent="0.25">
      <c r="A396" s="5"/>
      <c r="B396" s="3" t="str">
        <f t="array" ref="B396">IFERROR(INDEX(DemandSupply,MATCH(INDEX($AH$1:AH396,SMALL(ROW($AH$1:AH396)+(10000*($AH$1:AH396="")),COUNTA($AH$1:AH396))),Sectors,0)),"")</f>
        <v>Demand</v>
      </c>
      <c r="E396" s="10"/>
      <c r="F396" s="207"/>
      <c r="G396" s="207"/>
      <c r="H396" s="207"/>
      <c r="I396" s="207"/>
      <c r="J396" s="207"/>
      <c r="K396" s="207"/>
      <c r="L396" s="207"/>
      <c r="M396" s="207"/>
      <c r="N396" s="207"/>
      <c r="O396" s="207"/>
      <c r="P396" s="207"/>
      <c r="Q396" s="207"/>
      <c r="R396" s="207"/>
      <c r="S396" s="207"/>
      <c r="T396" s="207"/>
      <c r="U396" s="207"/>
      <c r="V396" s="207"/>
      <c r="W396" s="207"/>
      <c r="X396" s="207"/>
      <c r="Y396" s="207"/>
      <c r="Z396" s="207"/>
      <c r="AA396" s="207"/>
      <c r="AB396" s="207"/>
      <c r="AC396" s="5"/>
      <c r="AD396" s="63"/>
      <c r="AE396" s="64"/>
      <c r="AF396" s="64"/>
      <c r="AG396" s="212"/>
      <c r="AH396" s="64"/>
      <c r="AI396" s="64"/>
      <c r="AJ396" s="64"/>
      <c r="AK396" s="212"/>
      <c r="AL396" s="64"/>
      <c r="AM396" s="212"/>
      <c r="AN396" s="64"/>
      <c r="AO396" s="64"/>
      <c r="AP396" s="63"/>
      <c r="AQ396" s="64"/>
      <c r="AR396" s="63"/>
      <c r="AS396" s="64"/>
      <c r="AT396" s="63"/>
      <c r="AU396" s="64"/>
      <c r="AV396" s="63"/>
      <c r="AW396" s="64"/>
      <c r="AX396" s="63"/>
      <c r="AY396" s="5"/>
      <c r="AZ396" s="21" t="str">
        <f t="shared" si="81"/>
        <v/>
      </c>
      <c r="BA396" s="264" t="s">
        <v>76</v>
      </c>
      <c r="BB396" s="264"/>
      <c r="BC396" s="264"/>
      <c r="BD396" s="264" t="s">
        <v>99</v>
      </c>
      <c r="BE396" s="216" t="s">
        <v>53</v>
      </c>
      <c r="BF396" s="303">
        <v>0.05</v>
      </c>
      <c r="BG396" s="303"/>
      <c r="BH396" s="303"/>
      <c r="BI396" s="303"/>
      <c r="BJ396" s="303"/>
      <c r="BK396" s="303"/>
      <c r="BL396" s="303"/>
      <c r="BM396" s="303"/>
      <c r="BN396" s="303"/>
      <c r="BO396" s="303"/>
      <c r="BP396" s="303"/>
      <c r="BQ396" s="5"/>
      <c r="BR396" s="25"/>
      <c r="BS396" s="5"/>
    </row>
    <row r="397" spans="1:71" s="3" customFormat="1" x14ac:dyDescent="0.25">
      <c r="A397" s="5"/>
      <c r="B397" s="3" t="str">
        <f t="array" ref="B397">IFERROR(INDEX(DemandSupply,MATCH(INDEX($AH$1:AH397,SMALL(ROW($AH$1:AH397)+(10000*($AH$1:AH397="")),COUNTA($AH$1:AH397))),Sectors,0)),"")</f>
        <v>Demand</v>
      </c>
      <c r="E397" s="10"/>
      <c r="F397" s="207"/>
      <c r="G397" s="207"/>
      <c r="H397" s="207"/>
      <c r="I397" s="207"/>
      <c r="J397" s="207"/>
      <c r="K397" s="207"/>
      <c r="L397" s="207"/>
      <c r="M397" s="207"/>
      <c r="N397" s="207"/>
      <c r="O397" s="207"/>
      <c r="P397" s="207"/>
      <c r="Q397" s="207"/>
      <c r="R397" s="207"/>
      <c r="S397" s="207"/>
      <c r="T397" s="207"/>
      <c r="U397" s="207"/>
      <c r="V397" s="207"/>
      <c r="W397" s="207"/>
      <c r="X397" s="207"/>
      <c r="Y397" s="207"/>
      <c r="Z397" s="207"/>
      <c r="AA397" s="207"/>
      <c r="AB397" s="207"/>
      <c r="AC397" s="5"/>
      <c r="AD397" s="63"/>
      <c r="AE397" s="64"/>
      <c r="AF397" s="64"/>
      <c r="AG397" s="212"/>
      <c r="AH397" s="64"/>
      <c r="AI397" s="64"/>
      <c r="AJ397" s="64"/>
      <c r="AK397" s="212"/>
      <c r="AL397" s="64"/>
      <c r="AM397" s="212"/>
      <c r="AN397" s="64"/>
      <c r="AO397" s="64"/>
      <c r="AP397" s="63"/>
      <c r="AQ397" s="64"/>
      <c r="AR397" s="63"/>
      <c r="AS397" s="64"/>
      <c r="AT397" s="63"/>
      <c r="AU397" s="64"/>
      <c r="AV397" s="63"/>
      <c r="AW397" s="64"/>
      <c r="AX397" s="63"/>
      <c r="AY397" s="5"/>
      <c r="AZ397" s="21" t="str">
        <f t="shared" si="81"/>
        <v/>
      </c>
      <c r="BA397" s="75" t="s">
        <v>166</v>
      </c>
      <c r="BB397" s="75"/>
      <c r="BC397" s="270"/>
      <c r="BD397" s="75" t="s">
        <v>99</v>
      </c>
      <c r="BE397" s="216" t="s">
        <v>53</v>
      </c>
      <c r="BF397" s="303"/>
      <c r="BG397" s="303"/>
      <c r="BH397" s="303"/>
      <c r="BI397" s="303"/>
      <c r="BJ397" s="303"/>
      <c r="BK397" s="303"/>
      <c r="BL397" s="303"/>
      <c r="BM397" s="303"/>
      <c r="BN397" s="303"/>
      <c r="BO397" s="303"/>
      <c r="BP397" s="303"/>
      <c r="BQ397" s="5"/>
      <c r="BR397" s="25"/>
      <c r="BS397" s="5"/>
    </row>
    <row r="398" spans="1:71" s="3" customFormat="1" x14ac:dyDescent="0.25">
      <c r="A398" s="5"/>
      <c r="B398" s="3" t="str">
        <f t="array" ref="B398">IFERROR(INDEX(DemandSupply,MATCH(INDEX($AH$1:AH398,SMALL(ROW($AH$1:AH398)+(10000*($AH$1:AH398="")),COUNTA($AH$1:AH398))),Sectors,0)),"")</f>
        <v>Demand</v>
      </c>
      <c r="E398" s="10"/>
      <c r="F398" s="207"/>
      <c r="G398" s="207"/>
      <c r="H398" s="207"/>
      <c r="I398" s="207"/>
      <c r="J398" s="207"/>
      <c r="K398" s="207"/>
      <c r="L398" s="207"/>
      <c r="M398" s="207"/>
      <c r="N398" s="207"/>
      <c r="O398" s="207"/>
      <c r="P398" s="207"/>
      <c r="Q398" s="207"/>
      <c r="R398" s="207"/>
      <c r="S398" s="207"/>
      <c r="T398" s="207"/>
      <c r="U398" s="207"/>
      <c r="V398" s="207"/>
      <c r="W398" s="207"/>
      <c r="X398" s="207"/>
      <c r="Y398" s="207"/>
      <c r="Z398" s="207"/>
      <c r="AA398" s="207"/>
      <c r="AB398" s="207"/>
      <c r="AC398" s="5"/>
      <c r="AD398" s="63"/>
      <c r="AE398" s="64"/>
      <c r="AF398" s="64"/>
      <c r="AG398" s="212"/>
      <c r="AH398" s="64"/>
      <c r="AI398" s="64"/>
      <c r="AJ398" s="64"/>
      <c r="AK398" s="212"/>
      <c r="AL398" s="64"/>
      <c r="AM398" s="212"/>
      <c r="AN398" s="64"/>
      <c r="AO398" s="64"/>
      <c r="AP398" s="63"/>
      <c r="AQ398" s="64"/>
      <c r="AR398" s="63"/>
      <c r="AS398" s="64"/>
      <c r="AT398" s="63"/>
      <c r="AU398" s="64"/>
      <c r="AV398" s="63"/>
      <c r="AW398" s="64"/>
      <c r="AX398" s="63"/>
      <c r="AY398" s="5"/>
      <c r="AZ398" s="21" t="str">
        <f t="shared" si="81"/>
        <v/>
      </c>
      <c r="BA398" s="75" t="s">
        <v>167</v>
      </c>
      <c r="BB398" s="75"/>
      <c r="BC398" s="270"/>
      <c r="BD398" s="75" t="s">
        <v>99</v>
      </c>
      <c r="BE398" s="216" t="s">
        <v>53</v>
      </c>
      <c r="BF398" s="303"/>
      <c r="BG398" s="303"/>
      <c r="BH398" s="303"/>
      <c r="BI398" s="303"/>
      <c r="BJ398" s="303"/>
      <c r="BK398" s="303"/>
      <c r="BL398" s="303"/>
      <c r="BM398" s="303"/>
      <c r="BN398" s="303"/>
      <c r="BO398" s="303"/>
      <c r="BP398" s="303"/>
      <c r="BQ398" s="5"/>
      <c r="BR398" s="25"/>
      <c r="BS398" s="5"/>
    </row>
    <row r="399" spans="1:71" s="3" customFormat="1" x14ac:dyDescent="0.25">
      <c r="A399" s="5"/>
      <c r="B399" s="3" t="str">
        <f t="array" ref="B399">IFERROR(INDEX(DemandSupply,MATCH(INDEX($AH$1:AH399,SMALL(ROW($AH$1:AH399)+(10000*($AH$1:AH399="")),COUNTA($AH$1:AH399))),Sectors,0)),"")</f>
        <v>Demand</v>
      </c>
      <c r="E399" s="10"/>
      <c r="F399" s="207"/>
      <c r="G399" s="207"/>
      <c r="H399" s="207"/>
      <c r="I399" s="207"/>
      <c r="J399" s="207"/>
      <c r="K399" s="207"/>
      <c r="L399" s="207"/>
      <c r="M399" s="207"/>
      <c r="N399" s="207"/>
      <c r="O399" s="207"/>
      <c r="P399" s="207"/>
      <c r="Q399" s="207"/>
      <c r="R399" s="207"/>
      <c r="S399" s="207"/>
      <c r="T399" s="207"/>
      <c r="U399" s="207"/>
      <c r="V399" s="207"/>
      <c r="W399" s="207"/>
      <c r="X399" s="207"/>
      <c r="Y399" s="207"/>
      <c r="Z399" s="207"/>
      <c r="AA399" s="207"/>
      <c r="AB399" s="207"/>
      <c r="AC399" s="5"/>
      <c r="AD399" s="63"/>
      <c r="AE399" s="64"/>
      <c r="AF399" s="64"/>
      <c r="AG399" s="212"/>
      <c r="AH399" s="64"/>
      <c r="AI399" s="64"/>
      <c r="AJ399" s="64"/>
      <c r="AK399" s="212"/>
      <c r="AL399" s="64"/>
      <c r="AM399" s="212"/>
      <c r="AN399" s="64"/>
      <c r="AO399" s="64"/>
      <c r="AP399" s="63"/>
      <c r="AQ399" s="64"/>
      <c r="AR399" s="63"/>
      <c r="AS399" s="64"/>
      <c r="AT399" s="63"/>
      <c r="AU399" s="64"/>
      <c r="AV399" s="63"/>
      <c r="AW399" s="64"/>
      <c r="AX399" s="63"/>
      <c r="AY399" s="5"/>
      <c r="AZ399" s="21" t="str">
        <f t="shared" si="81"/>
        <v/>
      </c>
      <c r="BA399" s="75" t="s">
        <v>408</v>
      </c>
      <c r="BB399" s="75"/>
      <c r="BC399" s="270"/>
      <c r="BD399" s="75" t="s">
        <v>99</v>
      </c>
      <c r="BE399" s="216" t="s">
        <v>53</v>
      </c>
      <c r="BF399" s="303"/>
      <c r="BG399" s="303"/>
      <c r="BH399" s="303"/>
      <c r="BI399" s="303"/>
      <c r="BJ399" s="303"/>
      <c r="BK399" s="303"/>
      <c r="BL399" s="303"/>
      <c r="BM399" s="303"/>
      <c r="BN399" s="303"/>
      <c r="BO399" s="303"/>
      <c r="BP399" s="303"/>
      <c r="BQ399" s="5"/>
      <c r="BR399" s="25"/>
      <c r="BS399" s="5"/>
    </row>
    <row r="400" spans="1:71" s="3" customFormat="1" x14ac:dyDescent="0.25">
      <c r="A400" s="5"/>
      <c r="B400" s="3" t="str">
        <f t="array" ref="B400">IFERROR(INDEX(DemandSupply,MATCH(INDEX($AH$1:AH400,SMALL(ROW($AH$1:AH400)+(10000*($AH$1:AH400="")),COUNTA($AH$1:AH400))),Sectors,0)),"")</f>
        <v>Demand</v>
      </c>
      <c r="E400" s="10"/>
      <c r="F400" s="207"/>
      <c r="G400" s="207"/>
      <c r="H400" s="207"/>
      <c r="I400" s="207"/>
      <c r="J400" s="207"/>
      <c r="K400" s="207"/>
      <c r="L400" s="207"/>
      <c r="M400" s="207"/>
      <c r="N400" s="207"/>
      <c r="O400" s="207"/>
      <c r="P400" s="207"/>
      <c r="Q400" s="207"/>
      <c r="R400" s="207"/>
      <c r="S400" s="207"/>
      <c r="T400" s="207"/>
      <c r="U400" s="207"/>
      <c r="V400" s="207"/>
      <c r="W400" s="207"/>
      <c r="X400" s="207"/>
      <c r="Y400" s="207"/>
      <c r="Z400" s="207"/>
      <c r="AA400" s="207"/>
      <c r="AB400" s="207"/>
      <c r="AC400" s="5"/>
      <c r="AD400" s="63"/>
      <c r="AE400" s="64"/>
      <c r="AF400" s="64"/>
      <c r="AG400" s="212"/>
      <c r="AH400" s="64"/>
      <c r="AI400" s="64"/>
      <c r="AJ400" s="64"/>
      <c r="AK400" s="212"/>
      <c r="AL400" s="64"/>
      <c r="AM400" s="212"/>
      <c r="AN400" s="64"/>
      <c r="AO400" s="64"/>
      <c r="AP400" s="63"/>
      <c r="AQ400" s="64"/>
      <c r="AR400" s="63"/>
      <c r="AS400" s="64"/>
      <c r="AT400" s="63"/>
      <c r="AU400" s="64"/>
      <c r="AV400" s="63"/>
      <c r="AW400" s="64"/>
      <c r="AX400" s="63"/>
      <c r="AY400" s="5"/>
      <c r="AZ400" s="21" t="str">
        <f t="shared" si="81"/>
        <v/>
      </c>
      <c r="BA400" s="75" t="s">
        <v>409</v>
      </c>
      <c r="BB400" s="75"/>
      <c r="BC400" s="270"/>
      <c r="BD400" s="75" t="s">
        <v>99</v>
      </c>
      <c r="BE400" s="216" t="s">
        <v>53</v>
      </c>
      <c r="BF400" s="303"/>
      <c r="BG400" s="303"/>
      <c r="BH400" s="303"/>
      <c r="BI400" s="303"/>
      <c r="BJ400" s="303"/>
      <c r="BK400" s="303"/>
      <c r="BL400" s="303"/>
      <c r="BM400" s="303"/>
      <c r="BN400" s="303"/>
      <c r="BO400" s="303"/>
      <c r="BP400" s="303"/>
      <c r="BQ400" s="5"/>
      <c r="BR400" s="25"/>
      <c r="BS400" s="5"/>
    </row>
    <row r="401" spans="1:71" s="3" customFormat="1" x14ac:dyDescent="0.25">
      <c r="A401" s="5"/>
      <c r="B401" s="3" t="str">
        <f t="array" ref="B401">IFERROR(INDEX(DemandSupply,MATCH(INDEX($AH$1:AH401,SMALL(ROW($AH$1:AH401)+(10000*($AH$1:AH401="")),COUNTA($AH$1:AH401))),Sectors,0)),"")</f>
        <v>Demand</v>
      </c>
      <c r="E401" s="10"/>
      <c r="F401" s="207"/>
      <c r="G401" s="207"/>
      <c r="H401" s="207"/>
      <c r="I401" s="207"/>
      <c r="J401" s="207"/>
      <c r="K401" s="207"/>
      <c r="L401" s="207"/>
      <c r="M401" s="207"/>
      <c r="N401" s="207"/>
      <c r="O401" s="207"/>
      <c r="P401" s="207"/>
      <c r="Q401" s="207"/>
      <c r="R401" s="207"/>
      <c r="S401" s="207"/>
      <c r="T401" s="207"/>
      <c r="U401" s="207"/>
      <c r="V401" s="207"/>
      <c r="W401" s="207"/>
      <c r="X401" s="207"/>
      <c r="Y401" s="207"/>
      <c r="Z401" s="207"/>
      <c r="AA401" s="207"/>
      <c r="AB401" s="207"/>
      <c r="AC401" s="5"/>
      <c r="AD401" s="63"/>
      <c r="AE401" s="64"/>
      <c r="AF401" s="64"/>
      <c r="AG401" s="212"/>
      <c r="AH401" s="64"/>
      <c r="AI401" s="64"/>
      <c r="AJ401" s="64"/>
      <c r="AK401" s="212"/>
      <c r="AL401" s="64"/>
      <c r="AM401" s="212"/>
      <c r="AN401" s="64"/>
      <c r="AO401" s="64"/>
      <c r="AP401" s="63"/>
      <c r="AQ401" s="64"/>
      <c r="AR401" s="63"/>
      <c r="AS401" s="64"/>
      <c r="AT401" s="63"/>
      <c r="AU401" s="64"/>
      <c r="AV401" s="63"/>
      <c r="AW401" s="64"/>
      <c r="AX401" s="63"/>
      <c r="AY401" s="5"/>
      <c r="AZ401" s="21" t="str">
        <f t="shared" si="81"/>
        <v/>
      </c>
      <c r="BA401" s="264" t="s">
        <v>371</v>
      </c>
      <c r="BB401" s="264"/>
      <c r="BC401" s="264"/>
      <c r="BD401" s="264" t="s">
        <v>34</v>
      </c>
      <c r="BE401" s="216" t="s">
        <v>53</v>
      </c>
      <c r="BF401" s="56"/>
      <c r="BG401" s="56"/>
      <c r="BH401" s="56"/>
      <c r="BI401" s="56"/>
      <c r="BJ401" s="56"/>
      <c r="BK401" s="56"/>
      <c r="BL401" s="56"/>
      <c r="BM401" s="56"/>
      <c r="BN401" s="56"/>
      <c r="BO401" s="56"/>
      <c r="BP401" s="56"/>
      <c r="BQ401" s="5"/>
      <c r="BR401" s="25"/>
      <c r="BS401" s="5"/>
    </row>
    <row r="402" spans="1:71" s="3" customFormat="1" x14ac:dyDescent="0.25">
      <c r="A402" s="5"/>
      <c r="B402" s="3" t="str">
        <f t="array" ref="B402">IFERROR(INDEX(DemandSupply,MATCH(INDEX($AH$1:AH402,SMALL(ROW($AH$1:AH402)+(10000*($AH$1:AH402="")),COUNTA($AH$1:AH402))),Sectors,0)),"")</f>
        <v>Demand</v>
      </c>
      <c r="E402" s="10"/>
      <c r="F402" s="207"/>
      <c r="G402" s="207"/>
      <c r="H402" s="207"/>
      <c r="I402" s="207"/>
      <c r="J402" s="207"/>
      <c r="K402" s="207"/>
      <c r="L402" s="207"/>
      <c r="M402" s="207"/>
      <c r="N402" s="207"/>
      <c r="O402" s="207"/>
      <c r="P402" s="207"/>
      <c r="Q402" s="207"/>
      <c r="R402" s="207"/>
      <c r="S402" s="207"/>
      <c r="T402" s="207"/>
      <c r="U402" s="207"/>
      <c r="V402" s="207"/>
      <c r="W402" s="207"/>
      <c r="X402" s="207"/>
      <c r="Y402" s="207"/>
      <c r="Z402" s="207"/>
      <c r="AA402" s="207"/>
      <c r="AB402" s="207"/>
      <c r="AC402" s="5"/>
      <c r="AD402" s="63"/>
      <c r="AE402" s="64"/>
      <c r="AF402" s="64"/>
      <c r="AG402" s="212"/>
      <c r="AH402" s="64"/>
      <c r="AI402" s="64"/>
      <c r="AJ402" s="64"/>
      <c r="AK402" s="212"/>
      <c r="AL402" s="64"/>
      <c r="AM402" s="212"/>
      <c r="AN402" s="64"/>
      <c r="AO402" s="64"/>
      <c r="AP402" s="63"/>
      <c r="AQ402" s="64"/>
      <c r="AR402" s="63"/>
      <c r="AS402" s="64"/>
      <c r="AT402" s="63"/>
      <c r="AU402" s="64"/>
      <c r="AV402" s="63"/>
      <c r="AW402" s="64"/>
      <c r="AX402" s="63"/>
      <c r="AY402" s="5"/>
      <c r="AZ402" s="21" t="str">
        <f t="shared" si="81"/>
        <v/>
      </c>
      <c r="BA402" s="264" t="s">
        <v>170</v>
      </c>
      <c r="BB402" s="264"/>
      <c r="BC402" s="264"/>
      <c r="BD402" s="264" t="s">
        <v>354</v>
      </c>
      <c r="BE402" s="216" t="s">
        <v>53</v>
      </c>
      <c r="BF402" s="308">
        <v>3565</v>
      </c>
      <c r="BG402" s="245">
        <f>BF402</f>
        <v>3565</v>
      </c>
      <c r="BH402" s="245">
        <f t="shared" ref="BH402:BP402" si="94">BG402</f>
        <v>3565</v>
      </c>
      <c r="BI402" s="245">
        <f t="shared" si="94"/>
        <v>3565</v>
      </c>
      <c r="BJ402" s="245">
        <f t="shared" si="94"/>
        <v>3565</v>
      </c>
      <c r="BK402" s="245">
        <f t="shared" si="94"/>
        <v>3565</v>
      </c>
      <c r="BL402" s="245">
        <f t="shared" si="94"/>
        <v>3565</v>
      </c>
      <c r="BM402" s="245">
        <f t="shared" si="94"/>
        <v>3565</v>
      </c>
      <c r="BN402" s="245">
        <f t="shared" si="94"/>
        <v>3565</v>
      </c>
      <c r="BO402" s="245">
        <f t="shared" si="94"/>
        <v>3565</v>
      </c>
      <c r="BP402" s="245">
        <f t="shared" si="94"/>
        <v>3565</v>
      </c>
      <c r="BQ402" s="5"/>
      <c r="BR402" s="25"/>
      <c r="BS402" s="5"/>
    </row>
    <row r="403" spans="1:71" s="3" customFormat="1" x14ac:dyDescent="0.25">
      <c r="A403" s="5"/>
      <c r="B403" s="3" t="str">
        <f t="array" ref="B403">IFERROR(INDEX(DemandSupply,MATCH(INDEX($AH$1:AH403,SMALL(ROW($AH$1:AH403)+(10000*($AH$1:AH403="")),COUNTA($AH$1:AH403))),Sectors,0)),"")</f>
        <v>Demand</v>
      </c>
      <c r="E403" s="10"/>
      <c r="F403" s="207"/>
      <c r="G403" s="207"/>
      <c r="H403" s="207"/>
      <c r="I403" s="207"/>
      <c r="J403" s="207"/>
      <c r="K403" s="207"/>
      <c r="L403" s="207"/>
      <c r="M403" s="207"/>
      <c r="N403" s="207"/>
      <c r="O403" s="207"/>
      <c r="P403" s="207"/>
      <c r="Q403" s="207"/>
      <c r="R403" s="207"/>
      <c r="S403" s="207"/>
      <c r="T403" s="207"/>
      <c r="U403" s="207"/>
      <c r="V403" s="207"/>
      <c r="W403" s="207"/>
      <c r="X403" s="207"/>
      <c r="Y403" s="207"/>
      <c r="Z403" s="207"/>
      <c r="AA403" s="207"/>
      <c r="AB403" s="207"/>
      <c r="AC403" s="5"/>
      <c r="AD403" s="63"/>
      <c r="AE403" s="64"/>
      <c r="AF403" s="64"/>
      <c r="AG403" s="212"/>
      <c r="AH403" s="64"/>
      <c r="AI403" s="64"/>
      <c r="AJ403" s="64"/>
      <c r="AK403" s="212"/>
      <c r="AL403" s="64"/>
      <c r="AM403" s="212"/>
      <c r="AN403" s="64"/>
      <c r="AO403" s="64"/>
      <c r="AP403" s="63"/>
      <c r="AQ403" s="64"/>
      <c r="AR403" s="63"/>
      <c r="AS403" s="64"/>
      <c r="AT403" s="63"/>
      <c r="AU403" s="64"/>
      <c r="AV403" s="63"/>
      <c r="AW403" s="64"/>
      <c r="AX403" s="63"/>
      <c r="AY403" s="5"/>
      <c r="AZ403" s="21" t="str">
        <f t="shared" si="81"/>
        <v/>
      </c>
      <c r="BA403" s="264" t="s">
        <v>425</v>
      </c>
      <c r="BB403" s="264"/>
      <c r="BC403" s="264"/>
      <c r="BD403" s="264" t="s">
        <v>99</v>
      </c>
      <c r="BE403" s="216" t="s">
        <v>53</v>
      </c>
      <c r="BF403" s="303"/>
      <c r="BG403" s="303"/>
      <c r="BH403" s="303"/>
      <c r="BI403" s="303"/>
      <c r="BJ403" s="303"/>
      <c r="BK403" s="303"/>
      <c r="BL403" s="303"/>
      <c r="BM403" s="303"/>
      <c r="BN403" s="303"/>
      <c r="BO403" s="303"/>
      <c r="BP403" s="303"/>
      <c r="BQ403" s="5"/>
      <c r="BR403" s="25"/>
      <c r="BS403" s="5"/>
    </row>
    <row r="404" spans="1:71" s="3" customFormat="1" x14ac:dyDescent="0.25">
      <c r="A404" s="5"/>
      <c r="B404" s="3" t="str">
        <f t="array" ref="B404">IFERROR(INDEX(DemandSupply,MATCH(INDEX($AH$1:AH404,SMALL(ROW($AH$1:AH404)+(10000*($AH$1:AH404="")),COUNTA($AH$1:AH404))),Sectors,0)),"")</f>
        <v>Demand</v>
      </c>
      <c r="E404" s="10"/>
      <c r="F404" s="207"/>
      <c r="G404" s="207"/>
      <c r="H404" s="207"/>
      <c r="I404" s="207"/>
      <c r="J404" s="207"/>
      <c r="K404" s="207"/>
      <c r="L404" s="207"/>
      <c r="M404" s="207"/>
      <c r="N404" s="207"/>
      <c r="O404" s="207"/>
      <c r="P404" s="207"/>
      <c r="Q404" s="207"/>
      <c r="R404" s="207"/>
      <c r="S404" s="207"/>
      <c r="T404" s="207"/>
      <c r="U404" s="207"/>
      <c r="V404" s="207"/>
      <c r="W404" s="207"/>
      <c r="X404" s="207"/>
      <c r="Y404" s="207"/>
      <c r="Z404" s="207"/>
      <c r="AA404" s="207"/>
      <c r="AB404" s="207"/>
      <c r="AC404" s="5"/>
      <c r="AD404" s="63"/>
      <c r="AE404" s="64"/>
      <c r="AF404" s="64"/>
      <c r="AG404" s="212"/>
      <c r="AH404" s="64"/>
      <c r="AI404" s="64"/>
      <c r="AJ404" s="64"/>
      <c r="AK404" s="212"/>
      <c r="AL404" s="64"/>
      <c r="AM404" s="212"/>
      <c r="AN404" s="64"/>
      <c r="AO404" s="64"/>
      <c r="AP404" s="63"/>
      <c r="AQ404" s="64"/>
      <c r="AR404" s="63"/>
      <c r="AS404" s="64"/>
      <c r="AT404" s="63"/>
      <c r="AU404" s="64"/>
      <c r="AV404" s="63"/>
      <c r="AW404" s="64"/>
      <c r="AX404" s="63"/>
      <c r="AY404" s="5"/>
      <c r="AZ404" s="21" t="str">
        <f t="shared" si="81"/>
        <v/>
      </c>
      <c r="BA404" s="264" t="s">
        <v>438</v>
      </c>
      <c r="BB404" s="264"/>
      <c r="BC404" s="264"/>
      <c r="BD404" s="264" t="s">
        <v>34</v>
      </c>
      <c r="BE404" s="216" t="s">
        <v>53</v>
      </c>
      <c r="BF404" s="56"/>
      <c r="BG404" s="56"/>
      <c r="BH404" s="56"/>
      <c r="BI404" s="56"/>
      <c r="BJ404" s="56"/>
      <c r="BK404" s="56"/>
      <c r="BL404" s="56"/>
      <c r="BM404" s="56"/>
      <c r="BN404" s="56"/>
      <c r="BO404" s="56"/>
      <c r="BP404" s="56"/>
      <c r="BQ404" s="5"/>
      <c r="BR404" s="25"/>
      <c r="BS404" s="5"/>
    </row>
    <row r="405" spans="1:71" s="3" customFormat="1" x14ac:dyDescent="0.25">
      <c r="A405" s="5"/>
      <c r="B405" s="3" t="str">
        <f t="array" ref="B405">IFERROR(INDEX(DemandSupply,MATCH(INDEX($AH$1:AH405,SMALL(ROW($AH$1:AH405)+(10000*($AH$1:AH405="")),COUNTA($AH$1:AH405))),Sectors,0)),"")</f>
        <v>Demand</v>
      </c>
      <c r="E405" s="10"/>
      <c r="F405" s="207"/>
      <c r="G405" s="207"/>
      <c r="H405" s="207"/>
      <c r="I405" s="207"/>
      <c r="J405" s="207"/>
      <c r="K405" s="207"/>
      <c r="L405" s="207"/>
      <c r="M405" s="207"/>
      <c r="N405" s="207"/>
      <c r="O405" s="207"/>
      <c r="P405" s="207"/>
      <c r="Q405" s="207"/>
      <c r="R405" s="207"/>
      <c r="S405" s="207"/>
      <c r="T405" s="207"/>
      <c r="U405" s="207"/>
      <c r="V405" s="207"/>
      <c r="W405" s="207"/>
      <c r="X405" s="207"/>
      <c r="Y405" s="207"/>
      <c r="Z405" s="207"/>
      <c r="AA405" s="207"/>
      <c r="AB405" s="207"/>
      <c r="AC405" s="5"/>
      <c r="AD405" s="63"/>
      <c r="AE405" s="64"/>
      <c r="AF405" s="64"/>
      <c r="AG405" s="212"/>
      <c r="AH405" s="64"/>
      <c r="AI405" s="64"/>
      <c r="AJ405" s="64"/>
      <c r="AK405" s="212"/>
      <c r="AL405" s="64"/>
      <c r="AM405" s="212"/>
      <c r="AN405" s="64"/>
      <c r="AO405" s="64"/>
      <c r="AP405" s="63"/>
      <c r="AQ405" s="64"/>
      <c r="AR405" s="63"/>
      <c r="AS405" s="64"/>
      <c r="AT405" s="63"/>
      <c r="AU405" s="64"/>
      <c r="AV405" s="63"/>
      <c r="AW405" s="64"/>
      <c r="AX405" s="63"/>
      <c r="AY405" s="5"/>
      <c r="AZ405" s="21" t="str">
        <f t="shared" si="81"/>
        <v/>
      </c>
      <c r="BA405" s="264" t="s">
        <v>435</v>
      </c>
      <c r="BB405" s="264"/>
      <c r="BC405" s="264"/>
      <c r="BD405" s="264"/>
      <c r="BE405" s="216" t="s">
        <v>53</v>
      </c>
      <c r="BF405" s="55"/>
      <c r="BG405" s="55"/>
      <c r="BH405" s="55"/>
      <c r="BI405" s="55"/>
      <c r="BJ405" s="55"/>
      <c r="BK405" s="55"/>
      <c r="BL405" s="55"/>
      <c r="BM405" s="55"/>
      <c r="BN405" s="55"/>
      <c r="BO405" s="55"/>
      <c r="BP405" s="55"/>
      <c r="BQ405" s="5"/>
      <c r="BR405" s="25"/>
      <c r="BS405" s="5"/>
    </row>
    <row r="406" spans="1:71" s="3" customFormat="1" x14ac:dyDescent="0.25">
      <c r="A406" s="5"/>
      <c r="B406" s="3" t="str">
        <f t="array" ref="B406">IFERROR(INDEX(DemandSupply,MATCH(INDEX($AH$1:AH406,SMALL(ROW($AH$1:AH406)+(10000*($AH$1:AH406="")),COUNTA($AH$1:AH406))),Sectors,0)),"")</f>
        <v>Demand</v>
      </c>
      <c r="E406" s="10"/>
      <c r="F406" s="207"/>
      <c r="G406" s="207"/>
      <c r="H406" s="207"/>
      <c r="I406" s="207"/>
      <c r="J406" s="207"/>
      <c r="K406" s="207"/>
      <c r="L406" s="207"/>
      <c r="M406" s="207"/>
      <c r="N406" s="207"/>
      <c r="O406" s="207"/>
      <c r="P406" s="207"/>
      <c r="Q406" s="207"/>
      <c r="R406" s="207"/>
      <c r="S406" s="207"/>
      <c r="T406" s="207"/>
      <c r="U406" s="207"/>
      <c r="V406" s="207"/>
      <c r="W406" s="207"/>
      <c r="X406" s="207"/>
      <c r="Y406" s="207"/>
      <c r="Z406" s="207"/>
      <c r="AA406" s="207"/>
      <c r="AB406" s="207"/>
      <c r="AC406" s="5"/>
      <c r="AD406" s="63"/>
      <c r="AE406" s="64"/>
      <c r="AF406" s="64"/>
      <c r="AG406" s="212"/>
      <c r="AH406" s="64"/>
      <c r="AI406" s="64"/>
      <c r="AJ406" s="64"/>
      <c r="AK406" s="212"/>
      <c r="AL406" s="64"/>
      <c r="AM406" s="212"/>
      <c r="AN406" s="64"/>
      <c r="AO406" s="64"/>
      <c r="AP406" s="63"/>
      <c r="AQ406" s="64"/>
      <c r="AR406" s="63"/>
      <c r="AS406" s="64"/>
      <c r="AT406" s="63"/>
      <c r="AU406" s="64"/>
      <c r="AV406" s="63"/>
      <c r="AW406" s="64"/>
      <c r="AX406" s="63"/>
      <c r="AY406" s="5"/>
      <c r="AZ406" s="21" t="str">
        <f t="shared" si="81"/>
        <v/>
      </c>
      <c r="BA406" s="264" t="s">
        <v>407</v>
      </c>
      <c r="BB406" s="264"/>
      <c r="BC406" s="264"/>
      <c r="BD406" s="264" t="s">
        <v>99</v>
      </c>
      <c r="BE406" s="216" t="s">
        <v>53</v>
      </c>
      <c r="BF406" s="303"/>
      <c r="BG406" s="303"/>
      <c r="BH406" s="303"/>
      <c r="BI406" s="303"/>
      <c r="BJ406" s="303"/>
      <c r="BK406" s="303"/>
      <c r="BL406" s="303"/>
      <c r="BM406" s="303"/>
      <c r="BN406" s="303"/>
      <c r="BO406" s="303"/>
      <c r="BP406" s="303"/>
      <c r="BQ406" s="5"/>
      <c r="BR406" s="25"/>
      <c r="BS406" s="5"/>
    </row>
    <row r="407" spans="1:71" s="3" customFormat="1" x14ac:dyDescent="0.25">
      <c r="A407" s="5"/>
      <c r="B407" s="3" t="str">
        <f t="array" ref="B407">IFERROR(INDEX(DemandSupply,MATCH(INDEX($AH$1:AH407,SMALL(ROW($AH$1:AH407)+(10000*($AH$1:AH407="")),COUNTA($AH$1:AH407))),Sectors,0)),"")</f>
        <v>Demand</v>
      </c>
      <c r="E407" s="10"/>
      <c r="F407" s="207"/>
      <c r="G407" s="207"/>
      <c r="H407" s="207"/>
      <c r="I407" s="207"/>
      <c r="J407" s="207"/>
      <c r="K407" s="207"/>
      <c r="L407" s="207"/>
      <c r="M407" s="207"/>
      <c r="N407" s="207"/>
      <c r="O407" s="207"/>
      <c r="P407" s="207"/>
      <c r="Q407" s="207"/>
      <c r="R407" s="207"/>
      <c r="S407" s="207"/>
      <c r="T407" s="207"/>
      <c r="U407" s="207"/>
      <c r="V407" s="207"/>
      <c r="W407" s="207"/>
      <c r="X407" s="207"/>
      <c r="Y407" s="207"/>
      <c r="Z407" s="207"/>
      <c r="AA407" s="207"/>
      <c r="AB407" s="207"/>
      <c r="AC407" s="5"/>
      <c r="AD407" s="63"/>
      <c r="AE407" s="64"/>
      <c r="AF407" s="64"/>
      <c r="AG407" s="212"/>
      <c r="AH407" s="64"/>
      <c r="AI407" s="64"/>
      <c r="AJ407" s="64"/>
      <c r="AK407" s="212"/>
      <c r="AL407" s="64"/>
      <c r="AM407" s="212"/>
      <c r="AN407" s="64"/>
      <c r="AO407" s="64"/>
      <c r="AP407" s="63"/>
      <c r="AQ407" s="64"/>
      <c r="AR407" s="63"/>
      <c r="AS407" s="64"/>
      <c r="AT407" s="63"/>
      <c r="AU407" s="64"/>
      <c r="AV407" s="63"/>
      <c r="AW407" s="64"/>
      <c r="AX407" s="63"/>
      <c r="AY407" s="5"/>
      <c r="AZ407" s="21" t="str">
        <f t="shared" si="81"/>
        <v/>
      </c>
      <c r="BA407" s="264" t="s">
        <v>444</v>
      </c>
      <c r="BB407" s="264"/>
      <c r="BC407" s="264"/>
      <c r="BD407" s="264" t="s">
        <v>354</v>
      </c>
      <c r="BE407" s="216" t="s">
        <v>53</v>
      </c>
      <c r="BF407" s="56"/>
      <c r="BG407" s="56"/>
      <c r="BH407" s="56"/>
      <c r="BI407" s="56"/>
      <c r="BJ407" s="56"/>
      <c r="BK407" s="56"/>
      <c r="BL407" s="56"/>
      <c r="BM407" s="56"/>
      <c r="BN407" s="56"/>
      <c r="BO407" s="56"/>
      <c r="BP407" s="56"/>
      <c r="BQ407" s="5"/>
      <c r="BR407" s="25"/>
      <c r="BS407" s="5"/>
    </row>
    <row r="408" spans="1:71" s="3" customFormat="1" x14ac:dyDescent="0.25">
      <c r="A408" s="5"/>
      <c r="B408" s="3" t="str">
        <f t="array" ref="B408">IFERROR(INDEX(DemandSupply,MATCH(INDEX($AH$1:AH408,SMALL(ROW($AH$1:AH408)+(10000*($AH$1:AH408="")),COUNTA($AH$1:AH408))),Sectors,0)),"")</f>
        <v>Demand</v>
      </c>
      <c r="E408" s="10"/>
      <c r="F408" s="207"/>
      <c r="G408" s="207"/>
      <c r="H408" s="207"/>
      <c r="I408" s="207"/>
      <c r="J408" s="207"/>
      <c r="K408" s="207"/>
      <c r="L408" s="207"/>
      <c r="M408" s="207"/>
      <c r="N408" s="207"/>
      <c r="O408" s="207"/>
      <c r="P408" s="207"/>
      <c r="Q408" s="207"/>
      <c r="R408" s="207"/>
      <c r="S408" s="207"/>
      <c r="T408" s="207"/>
      <c r="U408" s="207"/>
      <c r="V408" s="207"/>
      <c r="W408" s="207"/>
      <c r="X408" s="207"/>
      <c r="Y408" s="207"/>
      <c r="Z408" s="207"/>
      <c r="AA408" s="207"/>
      <c r="AB408" s="207"/>
      <c r="AC408" s="5"/>
      <c r="AD408" s="63"/>
      <c r="AE408" s="64"/>
      <c r="AF408" s="64"/>
      <c r="AG408" s="212"/>
      <c r="AH408" s="64"/>
      <c r="AI408" s="64"/>
      <c r="AJ408" s="64"/>
      <c r="AK408" s="212"/>
      <c r="AL408" s="64"/>
      <c r="AM408" s="212"/>
      <c r="AN408" s="64"/>
      <c r="AO408" s="64"/>
      <c r="AP408" s="63"/>
      <c r="AQ408" s="64"/>
      <c r="AR408" s="63"/>
      <c r="AS408" s="64"/>
      <c r="AT408" s="63"/>
      <c r="AU408" s="64"/>
      <c r="AV408" s="63"/>
      <c r="AW408" s="64"/>
      <c r="AX408" s="63"/>
      <c r="AY408" s="5"/>
      <c r="AZ408" s="21" t="str">
        <f t="shared" si="81"/>
        <v/>
      </c>
      <c r="BA408" s="264" t="s">
        <v>446</v>
      </c>
      <c r="BB408" s="264"/>
      <c r="BC408" s="264"/>
      <c r="BD408" s="264" t="s">
        <v>354</v>
      </c>
      <c r="BE408" s="216" t="s">
        <v>53</v>
      </c>
      <c r="BF408" s="56"/>
      <c r="BG408" s="56"/>
      <c r="BH408" s="56"/>
      <c r="BI408" s="56"/>
      <c r="BJ408" s="56"/>
      <c r="BK408" s="56"/>
      <c r="BL408" s="56"/>
      <c r="BM408" s="56"/>
      <c r="BN408" s="56"/>
      <c r="BO408" s="56"/>
      <c r="BP408" s="56"/>
      <c r="BQ408" s="5"/>
      <c r="BR408" s="25"/>
      <c r="BS408" s="5"/>
    </row>
    <row r="409" spans="1:71" s="3" customFormat="1" x14ac:dyDescent="0.25">
      <c r="A409" s="5"/>
      <c r="B409" s="3" t="str">
        <f t="array" ref="B409">IFERROR(INDEX(DemandSupply,MATCH(INDEX($AH$1:AH409,SMALL(ROW($AH$1:AH409)+(10000*($AH$1:AH409="")),COUNTA($AH$1:AH409))),Sectors,0)),"")</f>
        <v>Demand</v>
      </c>
      <c r="E409" s="10"/>
      <c r="F409" s="207"/>
      <c r="G409" s="207"/>
      <c r="H409" s="207"/>
      <c r="I409" s="207"/>
      <c r="J409" s="207"/>
      <c r="K409" s="207"/>
      <c r="L409" s="207"/>
      <c r="M409" s="207"/>
      <c r="N409" s="207"/>
      <c r="O409" s="207"/>
      <c r="P409" s="207"/>
      <c r="Q409" s="207"/>
      <c r="R409" s="207"/>
      <c r="S409" s="207"/>
      <c r="T409" s="207"/>
      <c r="U409" s="207"/>
      <c r="V409" s="207"/>
      <c r="W409" s="207"/>
      <c r="X409" s="207"/>
      <c r="Y409" s="207"/>
      <c r="Z409" s="207"/>
      <c r="AA409" s="207"/>
      <c r="AB409" s="207"/>
      <c r="AC409" s="5"/>
      <c r="AD409" s="63"/>
      <c r="AE409" s="64"/>
      <c r="AF409" s="64"/>
      <c r="AG409" s="212"/>
      <c r="AH409" s="64"/>
      <c r="AI409" s="64"/>
      <c r="AJ409" s="64"/>
      <c r="AK409" s="212"/>
      <c r="AL409" s="64"/>
      <c r="AM409" s="212"/>
      <c r="AN409" s="64"/>
      <c r="AO409" s="64"/>
      <c r="AP409" s="63"/>
      <c r="AQ409" s="64"/>
      <c r="AR409" s="63"/>
      <c r="AS409" s="64"/>
      <c r="AT409" s="63"/>
      <c r="AU409" s="64"/>
      <c r="AV409" s="63"/>
      <c r="AW409" s="64"/>
      <c r="AX409" s="63"/>
      <c r="AY409" s="5"/>
      <c r="AZ409" s="21" t="str">
        <f t="shared" si="81"/>
        <v/>
      </c>
      <c r="BA409" s="264" t="s">
        <v>447</v>
      </c>
      <c r="BB409" s="264"/>
      <c r="BC409" s="264"/>
      <c r="BD409" s="264"/>
      <c r="BE409" s="216" t="s">
        <v>53</v>
      </c>
      <c r="BF409" s="55"/>
      <c r="BG409" s="55"/>
      <c r="BH409" s="55"/>
      <c r="BI409" s="55"/>
      <c r="BJ409" s="55"/>
      <c r="BK409" s="55"/>
      <c r="BL409" s="55"/>
      <c r="BM409" s="55"/>
      <c r="BN409" s="55"/>
      <c r="BO409" s="55"/>
      <c r="BP409" s="55"/>
      <c r="BQ409" s="5"/>
      <c r="BR409" s="25"/>
      <c r="BS409" s="5"/>
    </row>
    <row r="410" spans="1:71" s="3" customFormat="1" x14ac:dyDescent="0.25">
      <c r="A410" s="5"/>
      <c r="B410" s="3" t="str">
        <f t="array" ref="B410">IFERROR(INDEX(DemandSupply,MATCH(INDEX($AH$1:AH410,SMALL(ROW($AH$1:AH410)+(10000*($AH$1:AH410="")),COUNTA($AH$1:AH410))),Sectors,0)),"")</f>
        <v>Demand</v>
      </c>
      <c r="E410" s="10"/>
      <c r="F410" s="207"/>
      <c r="G410" s="207"/>
      <c r="H410" s="207"/>
      <c r="I410" s="207"/>
      <c r="J410" s="207"/>
      <c r="K410" s="207"/>
      <c r="L410" s="207"/>
      <c r="M410" s="207"/>
      <c r="N410" s="207"/>
      <c r="O410" s="207"/>
      <c r="P410" s="207"/>
      <c r="Q410" s="207"/>
      <c r="R410" s="207"/>
      <c r="S410" s="207"/>
      <c r="T410" s="207"/>
      <c r="U410" s="207"/>
      <c r="V410" s="207"/>
      <c r="W410" s="207"/>
      <c r="X410" s="207"/>
      <c r="Y410" s="207"/>
      <c r="Z410" s="207"/>
      <c r="AA410" s="207"/>
      <c r="AB410" s="207"/>
      <c r="AC410" s="5"/>
      <c r="AD410" s="63"/>
      <c r="AE410" s="64"/>
      <c r="AF410" s="64"/>
      <c r="AG410" s="212"/>
      <c r="AH410" s="64"/>
      <c r="AI410" s="64"/>
      <c r="AJ410" s="64"/>
      <c r="AK410" s="212"/>
      <c r="AL410" s="64"/>
      <c r="AM410" s="212"/>
      <c r="AN410" s="64"/>
      <c r="AO410" s="64"/>
      <c r="AP410" s="63"/>
      <c r="AQ410" s="64"/>
      <c r="AR410" s="63"/>
      <c r="AS410" s="64"/>
      <c r="AT410" s="63"/>
      <c r="AU410" s="64"/>
      <c r="AV410" s="63"/>
      <c r="AW410" s="64"/>
      <c r="AX410" s="63"/>
      <c r="AY410" s="5"/>
      <c r="AZ410" s="21" t="str">
        <f t="shared" si="81"/>
        <v/>
      </c>
      <c r="BA410" s="264" t="s">
        <v>448</v>
      </c>
      <c r="BB410" s="264"/>
      <c r="BC410" s="264"/>
      <c r="BD410" s="264"/>
      <c r="BE410" s="216" t="s">
        <v>53</v>
      </c>
      <c r="BF410" s="55"/>
      <c r="BG410" s="55"/>
      <c r="BH410" s="55"/>
      <c r="BI410" s="55"/>
      <c r="BJ410" s="55"/>
      <c r="BK410" s="55"/>
      <c r="BL410" s="55"/>
      <c r="BM410" s="55"/>
      <c r="BN410" s="55"/>
      <c r="BO410" s="55"/>
      <c r="BP410" s="55"/>
      <c r="BQ410" s="5"/>
      <c r="BR410" s="25"/>
      <c r="BS410" s="5"/>
    </row>
    <row r="411" spans="1:71" s="3" customFormat="1" x14ac:dyDescent="0.25">
      <c r="A411" s="5"/>
      <c r="B411" s="3" t="str">
        <f t="array" ref="B411">IFERROR(INDEX(DemandSupply,MATCH(INDEX($AH$1:AH411,SMALL(ROW($AH$1:AH411)+(10000*($AH$1:AH411="")),COUNTA($AH$1:AH411))),Sectors,0)),"")</f>
        <v>Demand</v>
      </c>
      <c r="E411" s="10"/>
      <c r="F411" s="207"/>
      <c r="G411" s="207"/>
      <c r="H411" s="207"/>
      <c r="I411" s="207"/>
      <c r="J411" s="207"/>
      <c r="K411" s="207"/>
      <c r="L411" s="207"/>
      <c r="M411" s="207"/>
      <c r="N411" s="207"/>
      <c r="O411" s="207"/>
      <c r="P411" s="207"/>
      <c r="Q411" s="207"/>
      <c r="R411" s="207"/>
      <c r="S411" s="207"/>
      <c r="T411" s="207"/>
      <c r="U411" s="207"/>
      <c r="V411" s="207"/>
      <c r="W411" s="207"/>
      <c r="X411" s="207"/>
      <c r="Y411" s="207"/>
      <c r="Z411" s="207"/>
      <c r="AA411" s="207"/>
      <c r="AB411" s="207"/>
      <c r="AC411" s="5"/>
      <c r="AD411" s="63"/>
      <c r="AE411" s="64"/>
      <c r="AF411" s="64"/>
      <c r="AG411" s="212"/>
      <c r="AH411" s="64"/>
      <c r="AI411" s="64"/>
      <c r="AJ411" s="64"/>
      <c r="AK411" s="212"/>
      <c r="AL411" s="64"/>
      <c r="AM411" s="212"/>
      <c r="AN411" s="64"/>
      <c r="AO411" s="64"/>
      <c r="AP411" s="63"/>
      <c r="AQ411" s="64"/>
      <c r="AR411" s="63"/>
      <c r="AS411" s="64"/>
      <c r="AT411" s="63"/>
      <c r="AU411" s="64"/>
      <c r="AV411" s="63"/>
      <c r="AW411" s="64"/>
      <c r="AX411" s="63"/>
      <c r="AY411" s="5"/>
      <c r="AZ411" s="21" t="str">
        <f t="shared" si="81"/>
        <v/>
      </c>
      <c r="BA411" s="264" t="s">
        <v>445</v>
      </c>
      <c r="BB411" s="264"/>
      <c r="BC411" s="264"/>
      <c r="BD411" s="264" t="s">
        <v>355</v>
      </c>
      <c r="BE411" s="216" t="s">
        <v>53</v>
      </c>
      <c r="BF411" s="56"/>
      <c r="BG411" s="56"/>
      <c r="BH411" s="56"/>
      <c r="BI411" s="56"/>
      <c r="BJ411" s="56"/>
      <c r="BK411" s="56"/>
      <c r="BL411" s="56"/>
      <c r="BM411" s="56"/>
      <c r="BN411" s="56"/>
      <c r="BO411" s="56"/>
      <c r="BP411" s="56"/>
      <c r="BQ411" s="5"/>
      <c r="BR411" s="25"/>
      <c r="BS411" s="5"/>
    </row>
    <row r="412" spans="1:71" s="3" customFormat="1" x14ac:dyDescent="0.25">
      <c r="A412" s="5"/>
      <c r="B412" s="3" t="str">
        <f t="array" ref="B412">IFERROR(INDEX(DemandSupply,MATCH(INDEX($AH$1:AH412,SMALL(ROW($AH$1:AH412)+(10000*($AH$1:AH412="")),COUNTA($AH$1:AH412))),Sectors,0)),"")</f>
        <v>Demand</v>
      </c>
      <c r="E412" s="10"/>
      <c r="F412" s="207"/>
      <c r="G412" s="207"/>
      <c r="H412" s="207"/>
      <c r="I412" s="207"/>
      <c r="J412" s="207"/>
      <c r="K412" s="207"/>
      <c r="L412" s="207"/>
      <c r="M412" s="207"/>
      <c r="N412" s="207"/>
      <c r="O412" s="207"/>
      <c r="P412" s="207"/>
      <c r="Q412" s="207"/>
      <c r="R412" s="207"/>
      <c r="S412" s="207"/>
      <c r="T412" s="207"/>
      <c r="U412" s="207"/>
      <c r="V412" s="207"/>
      <c r="W412" s="207"/>
      <c r="X412" s="207"/>
      <c r="Y412" s="207"/>
      <c r="Z412" s="207"/>
      <c r="AA412" s="207"/>
      <c r="AB412" s="207"/>
      <c r="AC412" s="5"/>
      <c r="AD412" s="63"/>
      <c r="AE412" s="64"/>
      <c r="AF412" s="64"/>
      <c r="AG412" s="212"/>
      <c r="AH412" s="64"/>
      <c r="AI412" s="64"/>
      <c r="AJ412" s="64"/>
      <c r="AK412" s="212"/>
      <c r="AL412" s="64"/>
      <c r="AM412" s="212"/>
      <c r="AN412" s="64"/>
      <c r="AO412" s="64"/>
      <c r="AP412" s="63"/>
      <c r="AQ412" s="64"/>
      <c r="AR412" s="63"/>
      <c r="AS412" s="64"/>
      <c r="AT412" s="63"/>
      <c r="AU412" s="64"/>
      <c r="AV412" s="63"/>
      <c r="AW412" s="64"/>
      <c r="AX412" s="63"/>
      <c r="AY412" s="5"/>
      <c r="AZ412" s="21" t="str">
        <f t="shared" si="81"/>
        <v/>
      </c>
      <c r="BA412" s="264" t="s">
        <v>449</v>
      </c>
      <c r="BB412" s="264"/>
      <c r="BC412" s="264"/>
      <c r="BD412" s="264" t="s">
        <v>355</v>
      </c>
      <c r="BE412" s="216" t="s">
        <v>53</v>
      </c>
      <c r="BF412" s="56"/>
      <c r="BG412" s="56"/>
      <c r="BH412" s="56"/>
      <c r="BI412" s="56"/>
      <c r="BJ412" s="56"/>
      <c r="BK412" s="56"/>
      <c r="BL412" s="56"/>
      <c r="BM412" s="56"/>
      <c r="BN412" s="56"/>
      <c r="BO412" s="56"/>
      <c r="BP412" s="56"/>
      <c r="BQ412" s="5"/>
      <c r="BR412" s="25"/>
      <c r="BS412" s="5"/>
    </row>
    <row r="413" spans="1:71" s="3" customFormat="1" x14ac:dyDescent="0.25">
      <c r="A413" s="5"/>
      <c r="B413" s="3" t="str">
        <f t="array" ref="B413">IFERROR(INDEX(DemandSupply,MATCH(INDEX($AH$1:AH413,SMALL(ROW($AH$1:AH413)+(10000*($AH$1:AH413="")),COUNTA($AH$1:AH413))),Sectors,0)),"")</f>
        <v>Demand</v>
      </c>
      <c r="E413" s="10"/>
      <c r="F413" s="207"/>
      <c r="G413" s="207"/>
      <c r="H413" s="207"/>
      <c r="I413" s="207"/>
      <c r="J413" s="207"/>
      <c r="K413" s="207"/>
      <c r="L413" s="207"/>
      <c r="M413" s="207"/>
      <c r="N413" s="207"/>
      <c r="O413" s="207"/>
      <c r="P413" s="207"/>
      <c r="Q413" s="207"/>
      <c r="R413" s="207"/>
      <c r="S413" s="207"/>
      <c r="T413" s="207"/>
      <c r="U413" s="207"/>
      <c r="V413" s="207"/>
      <c r="W413" s="207"/>
      <c r="X413" s="207"/>
      <c r="Y413" s="207"/>
      <c r="Z413" s="207"/>
      <c r="AA413" s="207"/>
      <c r="AB413" s="207"/>
      <c r="AC413" s="5"/>
      <c r="AD413" s="63"/>
      <c r="AE413" s="64"/>
      <c r="AF413" s="64"/>
      <c r="AG413" s="212"/>
      <c r="AH413" s="64"/>
      <c r="AI413" s="64"/>
      <c r="AJ413" s="64"/>
      <c r="AK413" s="212"/>
      <c r="AL413" s="64"/>
      <c r="AM413" s="212"/>
      <c r="AN413" s="64"/>
      <c r="AO413" s="64"/>
      <c r="AP413" s="63"/>
      <c r="AQ413" s="64"/>
      <c r="AR413" s="63"/>
      <c r="AS413" s="64"/>
      <c r="AT413" s="63"/>
      <c r="AU413" s="64"/>
      <c r="AV413" s="63"/>
      <c r="AW413" s="64"/>
      <c r="AX413" s="63"/>
      <c r="AY413" s="5"/>
      <c r="AZ413" s="21" t="str">
        <f t="shared" ref="AZ413:AZ476" si="95">IFERROR(INDEX($AD413:$AX413,MATCH(TRUE,INDEX(($AD413:$AX413&lt;&gt;0),0),0)),"")</f>
        <v/>
      </c>
      <c r="BA413" s="264" t="s">
        <v>450</v>
      </c>
      <c r="BB413" s="264"/>
      <c r="BC413" s="264"/>
      <c r="BD413" s="264"/>
      <c r="BE413" s="216" t="s">
        <v>53</v>
      </c>
      <c r="BF413" s="55"/>
      <c r="BG413" s="55"/>
      <c r="BH413" s="55"/>
      <c r="BI413" s="55"/>
      <c r="BJ413" s="55"/>
      <c r="BK413" s="55"/>
      <c r="BL413" s="55"/>
      <c r="BM413" s="55"/>
      <c r="BN413" s="55"/>
      <c r="BO413" s="55"/>
      <c r="BP413" s="55"/>
      <c r="BQ413" s="5"/>
      <c r="BR413" s="25"/>
      <c r="BS413" s="5"/>
    </row>
    <row r="414" spans="1:71" s="3" customFormat="1" x14ac:dyDescent="0.25">
      <c r="A414" s="5"/>
      <c r="B414" s="3" t="str">
        <f t="array" ref="B414">IFERROR(INDEX(DemandSupply,MATCH(INDEX($AH$1:AH414,SMALL(ROW($AH$1:AH414)+(10000*($AH$1:AH414="")),COUNTA($AH$1:AH414))),Sectors,0)),"")</f>
        <v>Demand</v>
      </c>
      <c r="E414" s="10"/>
      <c r="F414" s="207"/>
      <c r="G414" s="207"/>
      <c r="H414" s="207"/>
      <c r="I414" s="207"/>
      <c r="J414" s="207"/>
      <c r="K414" s="207"/>
      <c r="L414" s="207"/>
      <c r="M414" s="207"/>
      <c r="N414" s="207"/>
      <c r="O414" s="207"/>
      <c r="P414" s="207"/>
      <c r="Q414" s="207"/>
      <c r="R414" s="207"/>
      <c r="S414" s="207"/>
      <c r="T414" s="207"/>
      <c r="U414" s="207"/>
      <c r="V414" s="207"/>
      <c r="W414" s="207"/>
      <c r="X414" s="207"/>
      <c r="Y414" s="207"/>
      <c r="Z414" s="207"/>
      <c r="AA414" s="207"/>
      <c r="AB414" s="207"/>
      <c r="AC414" s="5"/>
      <c r="AD414" s="63"/>
      <c r="AE414" s="64"/>
      <c r="AF414" s="64"/>
      <c r="AG414" s="212"/>
      <c r="AH414" s="64"/>
      <c r="AI414" s="64"/>
      <c r="AJ414" s="64"/>
      <c r="AK414" s="212"/>
      <c r="AL414" s="64"/>
      <c r="AM414" s="212"/>
      <c r="AN414" s="64"/>
      <c r="AO414" s="64"/>
      <c r="AP414" s="63"/>
      <c r="AQ414" s="64"/>
      <c r="AR414" s="63"/>
      <c r="AS414" s="64"/>
      <c r="AT414" s="63"/>
      <c r="AU414" s="64"/>
      <c r="AV414" s="63"/>
      <c r="AW414" s="64"/>
      <c r="AX414" s="63"/>
      <c r="AY414" s="5"/>
      <c r="AZ414" s="21" t="str">
        <f t="shared" si="95"/>
        <v/>
      </c>
      <c r="BA414" s="264" t="s">
        <v>451</v>
      </c>
      <c r="BB414" s="264"/>
      <c r="BC414" s="264"/>
      <c r="BD414" s="264"/>
      <c r="BE414" s="216" t="s">
        <v>53</v>
      </c>
      <c r="BF414" s="55"/>
      <c r="BG414" s="55"/>
      <c r="BH414" s="55"/>
      <c r="BI414" s="55"/>
      <c r="BJ414" s="55"/>
      <c r="BK414" s="55"/>
      <c r="BL414" s="55"/>
      <c r="BM414" s="55"/>
      <c r="BN414" s="55"/>
      <c r="BO414" s="55"/>
      <c r="BP414" s="55"/>
      <c r="BQ414" s="5"/>
      <c r="BR414" s="25"/>
      <c r="BS414" s="5"/>
    </row>
    <row r="415" spans="1:71" s="3" customFormat="1" x14ac:dyDescent="0.25">
      <c r="A415" s="5"/>
      <c r="B415" s="3" t="str">
        <f t="array" ref="B415">IFERROR(INDEX(DemandSupply,MATCH(INDEX($AH$1:AH415,SMALL(ROW($AH$1:AH415)+(10000*($AH$1:AH415="")),COUNTA($AH$1:AH415))),Sectors,0)),"")</f>
        <v>Demand</v>
      </c>
      <c r="E415" s="10"/>
      <c r="F415" s="207"/>
      <c r="G415" s="207"/>
      <c r="H415" s="207"/>
      <c r="I415" s="207"/>
      <c r="J415" s="207"/>
      <c r="K415" s="207"/>
      <c r="L415" s="207"/>
      <c r="M415" s="207"/>
      <c r="N415" s="207"/>
      <c r="O415" s="207"/>
      <c r="P415" s="207"/>
      <c r="Q415" s="207"/>
      <c r="R415" s="207"/>
      <c r="S415" s="207"/>
      <c r="T415" s="207"/>
      <c r="U415" s="207"/>
      <c r="V415" s="207"/>
      <c r="W415" s="207"/>
      <c r="X415" s="207"/>
      <c r="Y415" s="207"/>
      <c r="Z415" s="207"/>
      <c r="AA415" s="207"/>
      <c r="AB415" s="207"/>
      <c r="AC415" s="5"/>
      <c r="AD415" s="63"/>
      <c r="AE415" s="64"/>
      <c r="AF415" s="64"/>
      <c r="AG415" s="212"/>
      <c r="AH415" s="64"/>
      <c r="AI415" s="64"/>
      <c r="AJ415" s="64"/>
      <c r="AK415" s="212"/>
      <c r="AL415" s="64"/>
      <c r="AM415" s="212"/>
      <c r="AN415" s="64"/>
      <c r="AO415" s="64"/>
      <c r="AP415" s="63"/>
      <c r="AQ415" s="64"/>
      <c r="AR415" s="63"/>
      <c r="AS415" s="64"/>
      <c r="AT415" s="63"/>
      <c r="AU415" s="64"/>
      <c r="AV415" s="63"/>
      <c r="AW415" s="64"/>
      <c r="AX415" s="63"/>
      <c r="AY415" s="5"/>
      <c r="AZ415" s="21" t="str">
        <f t="shared" si="95"/>
        <v/>
      </c>
      <c r="BA415" s="264" t="s">
        <v>342</v>
      </c>
      <c r="BB415" s="264"/>
      <c r="BC415" s="264"/>
      <c r="BD415" s="264" t="s">
        <v>355</v>
      </c>
      <c r="BE415" s="216" t="s">
        <v>53</v>
      </c>
      <c r="BF415" s="56"/>
      <c r="BG415" s="56"/>
      <c r="BH415" s="56"/>
      <c r="BI415" s="56"/>
      <c r="BJ415" s="56"/>
      <c r="BK415" s="56"/>
      <c r="BL415" s="56"/>
      <c r="BM415" s="56"/>
      <c r="BN415" s="56"/>
      <c r="BO415" s="56"/>
      <c r="BP415" s="56"/>
      <c r="BQ415" s="5"/>
      <c r="BR415" s="25"/>
      <c r="BS415" s="5"/>
    </row>
    <row r="416" spans="1:71" s="3" customFormat="1" x14ac:dyDescent="0.25">
      <c r="A416" s="5"/>
      <c r="B416" s="3" t="str">
        <f t="array" ref="B416">IFERROR(INDEX(DemandSupply,MATCH(INDEX($AH$1:AH416,SMALL(ROW($AH$1:AH416)+(10000*($AH$1:AH416="")),COUNTA($AH$1:AH416))),Sectors,0)),"")</f>
        <v>Demand</v>
      </c>
      <c r="E416" s="10"/>
      <c r="F416" s="207"/>
      <c r="G416" s="207"/>
      <c r="H416" s="207"/>
      <c r="I416" s="207"/>
      <c r="J416" s="207"/>
      <c r="K416" s="207"/>
      <c r="L416" s="207"/>
      <c r="M416" s="207"/>
      <c r="N416" s="207"/>
      <c r="O416" s="207"/>
      <c r="P416" s="207"/>
      <c r="Q416" s="207"/>
      <c r="R416" s="207"/>
      <c r="S416" s="207"/>
      <c r="T416" s="207"/>
      <c r="U416" s="207"/>
      <c r="V416" s="207"/>
      <c r="W416" s="207"/>
      <c r="X416" s="207"/>
      <c r="Y416" s="207"/>
      <c r="Z416" s="207"/>
      <c r="AA416" s="207"/>
      <c r="AB416" s="207"/>
      <c r="AC416" s="5"/>
      <c r="AD416" s="63"/>
      <c r="AE416" s="64"/>
      <c r="AF416" s="64"/>
      <c r="AG416" s="212"/>
      <c r="AH416" s="64"/>
      <c r="AI416" s="64"/>
      <c r="AJ416" s="64"/>
      <c r="AK416" s="212"/>
      <c r="AL416" s="64"/>
      <c r="AM416" s="212"/>
      <c r="AN416" s="64"/>
      <c r="AO416" s="64"/>
      <c r="AP416" s="63"/>
      <c r="AQ416" s="64"/>
      <c r="AR416" s="63"/>
      <c r="AS416" s="64"/>
      <c r="AT416" s="63"/>
      <c r="AU416" s="64"/>
      <c r="AV416" s="63"/>
      <c r="AW416" s="64"/>
      <c r="AX416" s="63"/>
      <c r="AY416" s="5"/>
      <c r="AZ416" s="21" t="str">
        <f t="shared" si="95"/>
        <v/>
      </c>
      <c r="BA416" s="264" t="s">
        <v>394</v>
      </c>
      <c r="BB416" s="264"/>
      <c r="BC416" s="264"/>
      <c r="BD416" s="264" t="s">
        <v>354</v>
      </c>
      <c r="BE416" s="216" t="s">
        <v>53</v>
      </c>
      <c r="BF416" s="56"/>
      <c r="BG416" s="56"/>
      <c r="BH416" s="56"/>
      <c r="BI416" s="56"/>
      <c r="BJ416" s="56"/>
      <c r="BK416" s="56"/>
      <c r="BL416" s="56"/>
      <c r="BM416" s="56"/>
      <c r="BN416" s="56"/>
      <c r="BO416" s="56"/>
      <c r="BP416" s="56"/>
      <c r="BQ416" s="5"/>
      <c r="BR416" s="25"/>
      <c r="BS416" s="5"/>
    </row>
    <row r="417" spans="1:71" s="3" customFormat="1" x14ac:dyDescent="0.25">
      <c r="A417" s="5"/>
      <c r="B417" s="3" t="str">
        <f t="array" ref="B417">IFERROR(INDEX(DemandSupply,MATCH(INDEX($AH$1:AH417,SMALL(ROW($AH$1:AH417)+(10000*($AH$1:AH417="")),COUNTA($AH$1:AH417))),Sectors,0)),"")</f>
        <v>Demand</v>
      </c>
      <c r="E417" s="10">
        <f t="shared" si="88"/>
        <v>0</v>
      </c>
      <c r="F417" s="207">
        <v>1</v>
      </c>
      <c r="G417" s="207">
        <v>1</v>
      </c>
      <c r="H417" s="207">
        <v>1</v>
      </c>
      <c r="I417" s="207">
        <v>1</v>
      </c>
      <c r="J417" s="207">
        <v>1</v>
      </c>
      <c r="K417" s="207">
        <v>1</v>
      </c>
      <c r="L417" s="207">
        <v>1</v>
      </c>
      <c r="M417" s="207">
        <v>1</v>
      </c>
      <c r="N417" s="207">
        <v>1</v>
      </c>
      <c r="O417" s="207">
        <v>1</v>
      </c>
      <c r="P417" s="207">
        <v>1</v>
      </c>
      <c r="Q417" s="207">
        <v>1</v>
      </c>
      <c r="R417" s="207">
        <v>1</v>
      </c>
      <c r="S417" s="207">
        <v>1</v>
      </c>
      <c r="T417" s="207">
        <v>1</v>
      </c>
      <c r="U417" s="207">
        <v>1</v>
      </c>
      <c r="V417" s="207">
        <v>1</v>
      </c>
      <c r="W417" s="207">
        <v>1</v>
      </c>
      <c r="X417" s="207">
        <v>1</v>
      </c>
      <c r="Y417" s="207">
        <v>1</v>
      </c>
      <c r="Z417" s="207">
        <v>1</v>
      </c>
      <c r="AA417" s="207">
        <v>1</v>
      </c>
      <c r="AB417" s="207">
        <v>1</v>
      </c>
      <c r="AC417" s="5"/>
      <c r="AD417" s="63"/>
      <c r="AE417" s="64"/>
      <c r="AF417" s="64"/>
      <c r="AG417" s="212"/>
      <c r="AH417" s="64"/>
      <c r="AI417" s="64"/>
      <c r="AJ417" s="65"/>
      <c r="AK417" s="212"/>
      <c r="AL417" s="64"/>
      <c r="AM417" s="212"/>
      <c r="AN417" s="63"/>
      <c r="AO417" s="64"/>
      <c r="AP417" s="64"/>
      <c r="AQ417" s="64"/>
      <c r="AR417" s="63"/>
      <c r="AS417" s="64"/>
      <c r="AT417" s="63"/>
      <c r="AU417" s="64"/>
      <c r="AV417" s="63"/>
      <c r="AW417" s="64"/>
      <c r="AX417" s="63"/>
      <c r="AY417" s="5"/>
      <c r="AZ417" s="21" t="str">
        <f t="shared" si="95"/>
        <v/>
      </c>
      <c r="BA417" s="74" t="s">
        <v>338</v>
      </c>
      <c r="BB417" s="25"/>
      <c r="BC417" s="74" t="s">
        <v>185</v>
      </c>
      <c r="BD417" s="74" t="s">
        <v>367</v>
      </c>
      <c r="BE417" s="216" t="s">
        <v>53</v>
      </c>
      <c r="BF417" s="314">
        <f>1/0.9</f>
        <v>1.1111111111111112</v>
      </c>
      <c r="BG417" s="314">
        <f t="shared" ref="BG417:BP417" si="96">1/0.9</f>
        <v>1.1111111111111112</v>
      </c>
      <c r="BH417" s="314">
        <f t="shared" si="96"/>
        <v>1.1111111111111112</v>
      </c>
      <c r="BI417" s="314">
        <f t="shared" si="96"/>
        <v>1.1111111111111112</v>
      </c>
      <c r="BJ417" s="314">
        <f t="shared" si="96"/>
        <v>1.1111111111111112</v>
      </c>
      <c r="BK417" s="314">
        <f t="shared" si="96"/>
        <v>1.1111111111111112</v>
      </c>
      <c r="BL417" s="314">
        <f t="shared" si="96"/>
        <v>1.1111111111111112</v>
      </c>
      <c r="BM417" s="314">
        <f t="shared" si="96"/>
        <v>1.1111111111111112</v>
      </c>
      <c r="BN417" s="314">
        <f t="shared" si="96"/>
        <v>1.1111111111111112</v>
      </c>
      <c r="BO417" s="314">
        <f t="shared" si="96"/>
        <v>1.1111111111111112</v>
      </c>
      <c r="BP417" s="314">
        <f t="shared" si="96"/>
        <v>1.1111111111111112</v>
      </c>
      <c r="BQ417" s="5"/>
      <c r="BR417" s="25"/>
      <c r="BS417" s="5"/>
    </row>
    <row r="418" spans="1:71" s="3" customFormat="1" x14ac:dyDescent="0.25">
      <c r="A418" s="5"/>
      <c r="B418" s="3" t="str">
        <f t="array" ref="B418">IFERROR(INDEX(DemandSupply,MATCH(INDEX($AH$1:AH418,SMALL(ROW($AH$1:AH418)+(10000*($AH$1:AH418="")),COUNTA($AH$1:AH418))),Sectors,0)),"")</f>
        <v>Demand</v>
      </c>
      <c r="E418" s="10">
        <f t="shared" si="88"/>
        <v>1</v>
      </c>
      <c r="F418" s="207">
        <v>1</v>
      </c>
      <c r="G418" s="207">
        <v>1</v>
      </c>
      <c r="H418" s="207">
        <v>1</v>
      </c>
      <c r="I418" s="207">
        <v>1</v>
      </c>
      <c r="J418" s="207">
        <v>1</v>
      </c>
      <c r="K418" s="207">
        <v>1</v>
      </c>
      <c r="L418" s="207">
        <v>1</v>
      </c>
      <c r="M418" s="207">
        <v>1</v>
      </c>
      <c r="N418" s="207">
        <v>1</v>
      </c>
      <c r="O418" s="207">
        <v>1</v>
      </c>
      <c r="P418" s="207">
        <v>1</v>
      </c>
      <c r="Q418" s="207">
        <v>1</v>
      </c>
      <c r="R418" s="207">
        <v>1</v>
      </c>
      <c r="S418" s="207">
        <v>1</v>
      </c>
      <c r="T418" s="207">
        <v>1</v>
      </c>
      <c r="U418" s="207">
        <v>1</v>
      </c>
      <c r="V418" s="207">
        <v>1</v>
      </c>
      <c r="W418" s="207">
        <v>1</v>
      </c>
      <c r="X418" s="207">
        <v>1</v>
      </c>
      <c r="Y418" s="207">
        <v>1</v>
      </c>
      <c r="Z418" s="207">
        <v>1</v>
      </c>
      <c r="AA418" s="207">
        <v>1</v>
      </c>
      <c r="AB418" s="207">
        <v>1</v>
      </c>
      <c r="AC418" s="5"/>
      <c r="AD418" s="63"/>
      <c r="AE418" s="64"/>
      <c r="AF418" s="64"/>
      <c r="AG418" s="212"/>
      <c r="AH418" s="64"/>
      <c r="AI418" s="64"/>
      <c r="AJ418" s="63"/>
      <c r="AK418" s="212"/>
      <c r="AL418" s="63"/>
      <c r="AM418" s="212"/>
      <c r="AN418" s="64"/>
      <c r="AO418" s="64"/>
      <c r="AP418" s="63"/>
      <c r="AQ418" s="64"/>
      <c r="AR418" s="63"/>
      <c r="AS418" s="64"/>
      <c r="AT418" s="63"/>
      <c r="AU418" s="64"/>
      <c r="AV418" s="63"/>
      <c r="AW418" s="64"/>
      <c r="AX418" s="63"/>
      <c r="AY418" s="5"/>
      <c r="AZ418" s="21" t="str">
        <f t="shared" si="95"/>
        <v/>
      </c>
      <c r="BA418" s="4"/>
      <c r="BB418" s="13"/>
      <c r="BC418" s="4"/>
      <c r="BD418" s="4"/>
      <c r="BE418" s="9"/>
      <c r="BF418" s="4"/>
      <c r="BG418" s="4"/>
      <c r="BH418" s="4"/>
      <c r="BI418" s="4"/>
      <c r="BJ418" s="4"/>
      <c r="BK418" s="4"/>
      <c r="BL418" s="4"/>
      <c r="BM418" s="4"/>
      <c r="BN418" s="4"/>
      <c r="BO418" s="4"/>
      <c r="BP418" s="4"/>
      <c r="BQ418" s="5"/>
      <c r="BR418" s="13"/>
      <c r="BS418" s="5"/>
    </row>
    <row r="419" spans="1:71" s="3" customFormat="1" x14ac:dyDescent="0.25">
      <c r="A419" s="5"/>
      <c r="B419" s="3" t="str">
        <f t="array" ref="B419">IFERROR(INDEX(DemandSupply,MATCH(INDEX($AH$1:AH419,SMALL(ROW($AH$1:AH419)+(10000*($AH$1:AH419="")),COUNTA($AH$1:AH419))),Sectors,0)),"")</f>
        <v>Demand</v>
      </c>
      <c r="E419" s="10">
        <f t="shared" si="88"/>
        <v>1</v>
      </c>
      <c r="F419" s="207">
        <v>1</v>
      </c>
      <c r="G419" s="207">
        <v>1</v>
      </c>
      <c r="H419" s="207">
        <v>1</v>
      </c>
      <c r="I419" s="207">
        <v>1</v>
      </c>
      <c r="J419" s="207">
        <v>1</v>
      </c>
      <c r="K419" s="207">
        <v>1</v>
      </c>
      <c r="L419" s="207">
        <v>1</v>
      </c>
      <c r="M419" s="207">
        <v>1</v>
      </c>
      <c r="N419" s="207">
        <v>1</v>
      </c>
      <c r="O419" s="207">
        <v>1</v>
      </c>
      <c r="P419" s="207">
        <v>1</v>
      </c>
      <c r="Q419" s="207">
        <v>1</v>
      </c>
      <c r="R419" s="207">
        <v>1</v>
      </c>
      <c r="S419" s="207">
        <v>1</v>
      </c>
      <c r="T419" s="207">
        <v>1</v>
      </c>
      <c r="U419" s="207">
        <v>1</v>
      </c>
      <c r="V419" s="207">
        <v>1</v>
      </c>
      <c r="W419" s="207">
        <v>1</v>
      </c>
      <c r="X419" s="207">
        <v>1</v>
      </c>
      <c r="Y419" s="207">
        <v>1</v>
      </c>
      <c r="Z419" s="207">
        <v>1</v>
      </c>
      <c r="AA419" s="207">
        <v>1</v>
      </c>
      <c r="AB419" s="207">
        <v>1</v>
      </c>
      <c r="AC419" s="5"/>
      <c r="AD419" s="63"/>
      <c r="AE419" s="64"/>
      <c r="AF419" s="64"/>
      <c r="AG419" s="212"/>
      <c r="AH419" s="64"/>
      <c r="AI419" s="64"/>
      <c r="AJ419" s="63"/>
      <c r="AK419" s="212"/>
      <c r="AL419" s="63"/>
      <c r="AM419" s="212"/>
      <c r="AN419" s="211" t="s">
        <v>70</v>
      </c>
      <c r="AO419" s="64"/>
      <c r="AP419" s="63"/>
      <c r="AQ419" s="64"/>
      <c r="AR419" s="63"/>
      <c r="AS419" s="64"/>
      <c r="AT419" s="63"/>
      <c r="AU419" s="64"/>
      <c r="AV419" s="63"/>
      <c r="AW419" s="64"/>
      <c r="AX419" s="63"/>
      <c r="AY419" s="5"/>
      <c r="AZ419" s="208" t="str">
        <f t="shared" si="95"/>
        <v>Water heating</v>
      </c>
      <c r="BA419" s="4"/>
      <c r="BB419" s="13"/>
      <c r="BC419" s="4"/>
      <c r="BD419" s="4"/>
      <c r="BE419" s="9"/>
      <c r="BF419" s="4"/>
      <c r="BG419" s="4"/>
      <c r="BH419" s="4"/>
      <c r="BI419" s="4"/>
      <c r="BJ419" s="4"/>
      <c r="BK419" s="4"/>
      <c r="BL419" s="4"/>
      <c r="BM419" s="4"/>
      <c r="BN419" s="4"/>
      <c r="BO419" s="4"/>
      <c r="BP419" s="4"/>
      <c r="BQ419" s="5"/>
      <c r="BR419" s="13"/>
      <c r="BS419" s="5"/>
    </row>
    <row r="420" spans="1:71" s="3" customFormat="1" x14ac:dyDescent="0.25">
      <c r="A420" s="5"/>
      <c r="B420" s="3" t="str">
        <f t="array" ref="B420">IFERROR(INDEX(DemandSupply,MATCH(INDEX($AH$1:AH420,SMALL(ROW($AH$1:AH420)+(10000*($AH$1:AH420="")),COUNTA($AH$1:AH420))),Sectors,0)),"")</f>
        <v>Demand</v>
      </c>
      <c r="E420" s="10">
        <f t="shared" si="88"/>
        <v>0</v>
      </c>
      <c r="F420" s="207">
        <v>1</v>
      </c>
      <c r="G420" s="207">
        <v>1</v>
      </c>
      <c r="H420" s="207">
        <v>1</v>
      </c>
      <c r="I420" s="207">
        <v>1</v>
      </c>
      <c r="J420" s="207">
        <v>1</v>
      </c>
      <c r="K420" s="207">
        <v>1</v>
      </c>
      <c r="L420" s="207">
        <v>1</v>
      </c>
      <c r="M420" s="207">
        <v>1</v>
      </c>
      <c r="N420" s="207">
        <v>1</v>
      </c>
      <c r="O420" s="207">
        <v>1</v>
      </c>
      <c r="P420" s="207">
        <v>1</v>
      </c>
      <c r="Q420" s="207">
        <v>1</v>
      </c>
      <c r="R420" s="207">
        <v>1</v>
      </c>
      <c r="S420" s="207">
        <v>1</v>
      </c>
      <c r="T420" s="207">
        <v>1</v>
      </c>
      <c r="U420" s="207">
        <v>1</v>
      </c>
      <c r="V420" s="207">
        <v>1</v>
      </c>
      <c r="W420" s="207">
        <v>1</v>
      </c>
      <c r="X420" s="207">
        <v>1</v>
      </c>
      <c r="Y420" s="207">
        <v>1</v>
      </c>
      <c r="Z420" s="207">
        <v>1</v>
      </c>
      <c r="AA420" s="207">
        <v>1</v>
      </c>
      <c r="AB420" s="207">
        <v>1</v>
      </c>
      <c r="AC420" s="5"/>
      <c r="AD420" s="63"/>
      <c r="AE420" s="64"/>
      <c r="AF420" s="64"/>
      <c r="AG420" s="212"/>
      <c r="AH420" s="64"/>
      <c r="AI420" s="64"/>
      <c r="AJ420" s="64"/>
      <c r="AK420" s="212"/>
      <c r="AL420" s="64"/>
      <c r="AM420" s="64"/>
      <c r="AN420" s="64"/>
      <c r="AO420" s="64"/>
      <c r="AP420" s="63"/>
      <c r="AQ420" s="64"/>
      <c r="AR420" s="63"/>
      <c r="AS420" s="64"/>
      <c r="AT420" s="63"/>
      <c r="AU420" s="64"/>
      <c r="AV420" s="63"/>
      <c r="AW420" s="64"/>
      <c r="AX420" s="63"/>
      <c r="AY420" s="5"/>
      <c r="AZ420" s="21" t="str">
        <f t="shared" si="95"/>
        <v/>
      </c>
      <c r="BA420" s="74" t="s">
        <v>337</v>
      </c>
      <c r="BB420" s="25"/>
      <c r="BC420" s="74" t="s">
        <v>133</v>
      </c>
      <c r="BD420" s="74" t="s">
        <v>34</v>
      </c>
      <c r="BE420" s="216" t="str">
        <f>AZ419</f>
        <v>Water heating</v>
      </c>
      <c r="BF420" s="56"/>
      <c r="BG420" s="56"/>
      <c r="BH420" s="56"/>
      <c r="BI420" s="56"/>
      <c r="BJ420" s="56"/>
      <c r="BK420" s="56"/>
      <c r="BL420" s="56"/>
      <c r="BM420" s="56"/>
      <c r="BN420" s="56"/>
      <c r="BO420" s="56"/>
      <c r="BP420" s="56"/>
      <c r="BQ420" s="5"/>
      <c r="BR420" s="25"/>
      <c r="BS420" s="5"/>
    </row>
    <row r="421" spans="1:71" s="3" customFormat="1" x14ac:dyDescent="0.25">
      <c r="A421" s="5"/>
      <c r="B421" s="3" t="str">
        <f t="array" ref="B421">IFERROR(INDEX(DemandSupply,MATCH(INDEX($AH$1:AH421,SMALL(ROW($AH$1:AH421)+(10000*($AH$1:AH421="")),COUNTA($AH$1:AH421))),Sectors,0)),"")</f>
        <v>Demand</v>
      </c>
      <c r="E421" s="10">
        <f t="shared" si="88"/>
        <v>0</v>
      </c>
      <c r="F421" s="207">
        <v>1</v>
      </c>
      <c r="G421" s="207">
        <v>1</v>
      </c>
      <c r="H421" s="207">
        <v>1</v>
      </c>
      <c r="I421" s="207">
        <v>1</v>
      </c>
      <c r="J421" s="207">
        <v>1</v>
      </c>
      <c r="K421" s="207">
        <v>1</v>
      </c>
      <c r="L421" s="207">
        <v>1</v>
      </c>
      <c r="M421" s="207">
        <v>1</v>
      </c>
      <c r="N421" s="207">
        <v>1</v>
      </c>
      <c r="O421" s="207">
        <v>1</v>
      </c>
      <c r="P421" s="207">
        <v>1</v>
      </c>
      <c r="Q421" s="207">
        <v>1</v>
      </c>
      <c r="R421" s="207">
        <v>1</v>
      </c>
      <c r="S421" s="207">
        <v>1</v>
      </c>
      <c r="T421" s="207">
        <v>1</v>
      </c>
      <c r="U421" s="207">
        <v>1</v>
      </c>
      <c r="V421" s="207">
        <v>1</v>
      </c>
      <c r="W421" s="207">
        <v>1</v>
      </c>
      <c r="X421" s="207">
        <v>1</v>
      </c>
      <c r="Y421" s="207">
        <v>1</v>
      </c>
      <c r="Z421" s="207">
        <v>1</v>
      </c>
      <c r="AA421" s="207">
        <v>1</v>
      </c>
      <c r="AB421" s="207">
        <v>1</v>
      </c>
      <c r="AC421" s="5"/>
      <c r="AD421" s="63"/>
      <c r="AE421" s="64"/>
      <c r="AF421" s="64"/>
      <c r="AG421" s="212"/>
      <c r="AH421" s="64"/>
      <c r="AI421" s="64"/>
      <c r="AJ421" s="64"/>
      <c r="AK421" s="212"/>
      <c r="AL421" s="64"/>
      <c r="AM421" s="64"/>
      <c r="AN421" s="64"/>
      <c r="AO421" s="64"/>
      <c r="AP421" s="63"/>
      <c r="AQ421" s="64"/>
      <c r="AR421" s="63"/>
      <c r="AS421" s="64"/>
      <c r="AT421" s="63"/>
      <c r="AU421" s="64"/>
      <c r="AV421" s="63"/>
      <c r="AW421" s="64"/>
      <c r="AX421" s="63"/>
      <c r="AY421" s="5"/>
      <c r="AZ421" s="21" t="str">
        <f t="shared" si="95"/>
        <v/>
      </c>
      <c r="BA421" s="74" t="s">
        <v>47</v>
      </c>
      <c r="BB421" s="25"/>
      <c r="BC421" s="2"/>
      <c r="BD421" s="2"/>
      <c r="BE421" s="216" t="s">
        <v>21</v>
      </c>
      <c r="BF421" s="4"/>
      <c r="BG421" s="4"/>
      <c r="BH421" s="4"/>
      <c r="BI421" s="4"/>
      <c r="BJ421" s="4"/>
      <c r="BK421" s="4"/>
      <c r="BL421" s="4"/>
      <c r="BM421" s="4"/>
      <c r="BN421" s="4"/>
      <c r="BO421" s="4"/>
      <c r="BP421" s="4"/>
      <c r="BQ421" s="5"/>
      <c r="BR421" s="25"/>
      <c r="BS421" s="5"/>
    </row>
    <row r="422" spans="1:71" s="3" customFormat="1" x14ac:dyDescent="0.25">
      <c r="A422" s="5"/>
      <c r="B422" s="3" t="str">
        <f t="array" ref="B422">IFERROR(INDEX(DemandSupply,MATCH(INDEX($AH$1:AH422,SMALL(ROW($AH$1:AH422)+(10000*($AH$1:AH422="")),COUNTA($AH$1:AH422))),Sectors,0)),"")</f>
        <v>Demand</v>
      </c>
      <c r="E422" s="10">
        <f t="shared" si="88"/>
        <v>0</v>
      </c>
      <c r="F422" s="207">
        <v>1</v>
      </c>
      <c r="G422" s="207">
        <v>1</v>
      </c>
      <c r="H422" s="207">
        <v>1</v>
      </c>
      <c r="I422" s="207">
        <v>1</v>
      </c>
      <c r="J422" s="207">
        <v>1</v>
      </c>
      <c r="K422" s="207">
        <v>1</v>
      </c>
      <c r="L422" s="207">
        <v>1</v>
      </c>
      <c r="M422" s="207">
        <v>1</v>
      </c>
      <c r="N422" s="207">
        <v>1</v>
      </c>
      <c r="O422" s="207">
        <v>1</v>
      </c>
      <c r="P422" s="207">
        <v>1</v>
      </c>
      <c r="Q422" s="207">
        <v>1</v>
      </c>
      <c r="R422" s="207">
        <v>1</v>
      </c>
      <c r="S422" s="207">
        <v>1</v>
      </c>
      <c r="T422" s="207">
        <v>1</v>
      </c>
      <c r="U422" s="207">
        <v>1</v>
      </c>
      <c r="V422" s="207">
        <v>1</v>
      </c>
      <c r="W422" s="207">
        <v>1</v>
      </c>
      <c r="X422" s="207">
        <v>1</v>
      </c>
      <c r="Y422" s="207">
        <v>1</v>
      </c>
      <c r="Z422" s="207">
        <v>1</v>
      </c>
      <c r="AA422" s="207">
        <v>1</v>
      </c>
      <c r="AB422" s="207">
        <v>1</v>
      </c>
      <c r="AC422" s="5"/>
      <c r="AD422" s="63"/>
      <c r="AE422" s="64"/>
      <c r="AF422" s="64"/>
      <c r="AG422" s="212"/>
      <c r="AH422" s="64"/>
      <c r="AI422" s="64"/>
      <c r="AJ422" s="64"/>
      <c r="AK422" s="212"/>
      <c r="AL422" s="64"/>
      <c r="AM422" s="64"/>
      <c r="AN422" s="64"/>
      <c r="AO422" s="64"/>
      <c r="AP422" s="63"/>
      <c r="AQ422" s="64"/>
      <c r="AR422" s="63"/>
      <c r="AS422" s="64"/>
      <c r="AT422" s="63"/>
      <c r="AU422" s="64"/>
      <c r="AV422" s="63"/>
      <c r="AW422" s="64"/>
      <c r="AX422" s="63"/>
      <c r="AY422" s="5"/>
      <c r="AZ422" s="21" t="str">
        <f t="shared" si="95"/>
        <v/>
      </c>
      <c r="BA422" s="74" t="s">
        <v>66</v>
      </c>
      <c r="BB422" s="25"/>
      <c r="BC422" s="2"/>
      <c r="BD422" s="2"/>
      <c r="BE422" s="216" t="s">
        <v>35</v>
      </c>
      <c r="BF422" s="4">
        <v>10</v>
      </c>
      <c r="BG422" s="223">
        <f t="shared" ref="BG422:BP422" si="97">BF422</f>
        <v>10</v>
      </c>
      <c r="BH422" s="223">
        <f t="shared" si="97"/>
        <v>10</v>
      </c>
      <c r="BI422" s="223">
        <f t="shared" si="97"/>
        <v>10</v>
      </c>
      <c r="BJ422" s="223">
        <f t="shared" si="97"/>
        <v>10</v>
      </c>
      <c r="BK422" s="223">
        <f t="shared" si="97"/>
        <v>10</v>
      </c>
      <c r="BL422" s="223">
        <f t="shared" si="97"/>
        <v>10</v>
      </c>
      <c r="BM422" s="223">
        <f t="shared" si="97"/>
        <v>10</v>
      </c>
      <c r="BN422" s="223">
        <f t="shared" si="97"/>
        <v>10</v>
      </c>
      <c r="BO422" s="223">
        <f t="shared" si="97"/>
        <v>10</v>
      </c>
      <c r="BP422" s="223">
        <f t="shared" si="97"/>
        <v>10</v>
      </c>
      <c r="BQ422" s="5"/>
      <c r="BR422" s="25"/>
      <c r="BS422" s="5"/>
    </row>
    <row r="423" spans="1:71" s="3" customFormat="1" x14ac:dyDescent="0.25">
      <c r="A423" s="5"/>
      <c r="B423" s="3" t="str">
        <f t="array" ref="B423">IFERROR(INDEX(DemandSupply,MATCH(INDEX($AH$1:AH423,SMALL(ROW($AH$1:AH423)+(10000*($AH$1:AH423="")),COUNTA($AH$1:AH423))),Sectors,0)),"")</f>
        <v>Demand</v>
      </c>
      <c r="E423" s="10">
        <f t="shared" si="88"/>
        <v>0</v>
      </c>
      <c r="F423" s="207">
        <v>1</v>
      </c>
      <c r="G423" s="207">
        <v>1</v>
      </c>
      <c r="H423" s="207">
        <v>1</v>
      </c>
      <c r="I423" s="207">
        <v>1</v>
      </c>
      <c r="J423" s="207">
        <v>1</v>
      </c>
      <c r="K423" s="207">
        <v>1</v>
      </c>
      <c r="L423" s="207">
        <v>1</v>
      </c>
      <c r="M423" s="207">
        <v>1</v>
      </c>
      <c r="N423" s="207">
        <v>1</v>
      </c>
      <c r="O423" s="207">
        <v>1</v>
      </c>
      <c r="P423" s="207">
        <v>1</v>
      </c>
      <c r="Q423" s="207">
        <v>1</v>
      </c>
      <c r="R423" s="207">
        <v>1</v>
      </c>
      <c r="S423" s="207">
        <v>1</v>
      </c>
      <c r="T423" s="207">
        <v>1</v>
      </c>
      <c r="U423" s="207">
        <v>1</v>
      </c>
      <c r="V423" s="207">
        <v>1</v>
      </c>
      <c r="W423" s="207">
        <v>1</v>
      </c>
      <c r="X423" s="207">
        <v>1</v>
      </c>
      <c r="Y423" s="207">
        <v>1</v>
      </c>
      <c r="Z423" s="207">
        <v>1</v>
      </c>
      <c r="AA423" s="207">
        <v>1</v>
      </c>
      <c r="AB423" s="207">
        <v>1</v>
      </c>
      <c r="AC423" s="5"/>
      <c r="AD423" s="63"/>
      <c r="AE423" s="64"/>
      <c r="AF423" s="64"/>
      <c r="AG423" s="212"/>
      <c r="AH423" s="64"/>
      <c r="AI423" s="64"/>
      <c r="AJ423" s="65"/>
      <c r="AK423" s="212"/>
      <c r="AL423" s="64"/>
      <c r="AM423" s="64"/>
      <c r="AN423" s="64"/>
      <c r="AO423" s="64"/>
      <c r="AP423" s="64"/>
      <c r="AQ423" s="64"/>
      <c r="AR423" s="63"/>
      <c r="AS423" s="64"/>
      <c r="AT423" s="63"/>
      <c r="AU423" s="64"/>
      <c r="AV423" s="63"/>
      <c r="AW423" s="64"/>
      <c r="AX423" s="63"/>
      <c r="AY423" s="5"/>
      <c r="AZ423" s="21" t="str">
        <f t="shared" si="95"/>
        <v/>
      </c>
      <c r="BA423" s="291" t="s">
        <v>51</v>
      </c>
      <c r="BB423" s="25"/>
      <c r="BC423" s="2"/>
      <c r="BD423" s="2"/>
      <c r="BE423" s="216" t="s">
        <v>134</v>
      </c>
      <c r="BF423" s="4"/>
      <c r="BG423" s="4"/>
      <c r="BH423" s="4"/>
      <c r="BI423" s="4"/>
      <c r="BJ423" s="4"/>
      <c r="BK423" s="4"/>
      <c r="BL423" s="4"/>
      <c r="BM423" s="4"/>
      <c r="BN423" s="4"/>
      <c r="BO423" s="4"/>
      <c r="BP423" s="4"/>
      <c r="BQ423" s="5"/>
      <c r="BR423" s="25"/>
      <c r="BS423" s="5"/>
    </row>
    <row r="424" spans="1:71" s="3" customFormat="1" x14ac:dyDescent="0.25">
      <c r="A424" s="5"/>
      <c r="B424" s="3" t="str">
        <f t="array" ref="B424">IFERROR(INDEX(DemandSupply,MATCH(INDEX($AH$1:AH424,SMALL(ROW($AH$1:AH424)+(10000*($AH$1:AH424="")),COUNTA($AH$1:AH424))),Sectors,0)),"")</f>
        <v>Demand</v>
      </c>
      <c r="E424" s="10"/>
      <c r="F424" s="207"/>
      <c r="G424" s="207"/>
      <c r="H424" s="207"/>
      <c r="I424" s="207"/>
      <c r="J424" s="207"/>
      <c r="K424" s="207"/>
      <c r="L424" s="207"/>
      <c r="M424" s="207"/>
      <c r="N424" s="207"/>
      <c r="O424" s="207"/>
      <c r="P424" s="207"/>
      <c r="Q424" s="207"/>
      <c r="R424" s="207"/>
      <c r="S424" s="207"/>
      <c r="T424" s="207"/>
      <c r="U424" s="207"/>
      <c r="V424" s="207"/>
      <c r="W424" s="207"/>
      <c r="X424" s="207"/>
      <c r="Y424" s="207"/>
      <c r="Z424" s="207"/>
      <c r="AA424" s="207"/>
      <c r="AB424" s="207"/>
      <c r="AC424" s="5"/>
      <c r="AD424" s="63"/>
      <c r="AE424" s="64"/>
      <c r="AF424" s="64"/>
      <c r="AG424" s="212"/>
      <c r="AH424" s="64"/>
      <c r="AI424" s="64"/>
      <c r="AJ424" s="64"/>
      <c r="AK424" s="212"/>
      <c r="AL424" s="64"/>
      <c r="AM424" s="64"/>
      <c r="AN424" s="64"/>
      <c r="AO424" s="64"/>
      <c r="AP424" s="63"/>
      <c r="AQ424" s="64"/>
      <c r="AR424" s="63"/>
      <c r="AS424" s="64"/>
      <c r="AT424" s="63"/>
      <c r="AU424" s="64"/>
      <c r="AV424" s="63"/>
      <c r="AW424" s="64"/>
      <c r="AX424" s="63"/>
      <c r="AY424" s="5"/>
      <c r="AZ424" s="21" t="str">
        <f t="shared" si="95"/>
        <v/>
      </c>
      <c r="BA424" s="264" t="s">
        <v>38</v>
      </c>
      <c r="BB424" s="264"/>
      <c r="BC424" s="264"/>
      <c r="BD424" s="264" t="s">
        <v>40</v>
      </c>
      <c r="BE424" s="216" t="s">
        <v>134</v>
      </c>
      <c r="BF424" s="309">
        <v>1990</v>
      </c>
      <c r="BG424" s="310">
        <f t="shared" ref="BG424:BP424" si="98">BF424</f>
        <v>1990</v>
      </c>
      <c r="BH424" s="310">
        <f t="shared" si="98"/>
        <v>1990</v>
      </c>
      <c r="BI424" s="310">
        <f t="shared" si="98"/>
        <v>1990</v>
      </c>
      <c r="BJ424" s="310">
        <f t="shared" si="98"/>
        <v>1990</v>
      </c>
      <c r="BK424" s="310">
        <f t="shared" si="98"/>
        <v>1990</v>
      </c>
      <c r="BL424" s="310">
        <f t="shared" si="98"/>
        <v>1990</v>
      </c>
      <c r="BM424" s="310">
        <f t="shared" si="98"/>
        <v>1990</v>
      </c>
      <c r="BN424" s="310">
        <f t="shared" si="98"/>
        <v>1990</v>
      </c>
      <c r="BO424" s="310">
        <f t="shared" si="98"/>
        <v>1990</v>
      </c>
      <c r="BP424" s="310">
        <f t="shared" si="98"/>
        <v>1990</v>
      </c>
      <c r="BQ424" s="5"/>
      <c r="BR424" s="25"/>
      <c r="BS424" s="5"/>
    </row>
    <row r="425" spans="1:71" s="3" customFormat="1" x14ac:dyDescent="0.25">
      <c r="A425" s="5"/>
      <c r="B425" s="3" t="str">
        <f t="array" ref="B425">IFERROR(INDEX(DemandSupply,MATCH(INDEX($AH$1:AH425,SMALL(ROW($AH$1:AH425)+(10000*($AH$1:AH425="")),COUNTA($AH$1:AH425))),Sectors,0)),"")</f>
        <v>Demand</v>
      </c>
      <c r="E425" s="10"/>
      <c r="F425" s="207"/>
      <c r="G425" s="207"/>
      <c r="H425" s="207"/>
      <c r="I425" s="207"/>
      <c r="J425" s="207"/>
      <c r="K425" s="207"/>
      <c r="L425" s="207"/>
      <c r="M425" s="207"/>
      <c r="N425" s="207"/>
      <c r="O425" s="207"/>
      <c r="P425" s="207"/>
      <c r="Q425" s="207"/>
      <c r="R425" s="207"/>
      <c r="S425" s="207"/>
      <c r="T425" s="207"/>
      <c r="U425" s="207"/>
      <c r="V425" s="207"/>
      <c r="W425" s="207"/>
      <c r="X425" s="207"/>
      <c r="Y425" s="207"/>
      <c r="Z425" s="207"/>
      <c r="AA425" s="207"/>
      <c r="AB425" s="207"/>
      <c r="AC425" s="5"/>
      <c r="AD425" s="63"/>
      <c r="AE425" s="64"/>
      <c r="AF425" s="64"/>
      <c r="AG425" s="212"/>
      <c r="AH425" s="64"/>
      <c r="AI425" s="64"/>
      <c r="AJ425" s="64"/>
      <c r="AK425" s="212"/>
      <c r="AL425" s="64"/>
      <c r="AM425" s="64"/>
      <c r="AN425" s="64"/>
      <c r="AO425" s="64"/>
      <c r="AP425" s="63"/>
      <c r="AQ425" s="64"/>
      <c r="AR425" s="63"/>
      <c r="AS425" s="64"/>
      <c r="AT425" s="63"/>
      <c r="AU425" s="64"/>
      <c r="AV425" s="63"/>
      <c r="AW425" s="64"/>
      <c r="AX425" s="63"/>
      <c r="AY425" s="5"/>
      <c r="AZ425" s="21" t="str">
        <f t="shared" si="95"/>
        <v/>
      </c>
      <c r="BA425" s="264" t="s">
        <v>37</v>
      </c>
      <c r="BB425" s="264"/>
      <c r="BC425" s="264"/>
      <c r="BD425" s="264" t="s">
        <v>40</v>
      </c>
      <c r="BE425" s="216" t="s">
        <v>134</v>
      </c>
      <c r="BF425" s="309">
        <v>2000</v>
      </c>
      <c r="BG425" s="310">
        <f t="shared" ref="BG425:BP425" si="99">BF425</f>
        <v>2000</v>
      </c>
      <c r="BH425" s="310">
        <f t="shared" si="99"/>
        <v>2000</v>
      </c>
      <c r="BI425" s="310">
        <f t="shared" si="99"/>
        <v>2000</v>
      </c>
      <c r="BJ425" s="310">
        <f t="shared" si="99"/>
        <v>2000</v>
      </c>
      <c r="BK425" s="310">
        <f t="shared" si="99"/>
        <v>2000</v>
      </c>
      <c r="BL425" s="310">
        <f t="shared" si="99"/>
        <v>2000</v>
      </c>
      <c r="BM425" s="310">
        <f t="shared" si="99"/>
        <v>2000</v>
      </c>
      <c r="BN425" s="310">
        <f t="shared" si="99"/>
        <v>2000</v>
      </c>
      <c r="BO425" s="310">
        <f t="shared" si="99"/>
        <v>2000</v>
      </c>
      <c r="BP425" s="310">
        <f t="shared" si="99"/>
        <v>2000</v>
      </c>
      <c r="BQ425" s="5"/>
      <c r="BR425" s="25"/>
      <c r="BS425" s="5"/>
    </row>
    <row r="426" spans="1:71" s="3" customFormat="1" x14ac:dyDescent="0.25">
      <c r="A426" s="5"/>
      <c r="B426" s="3" t="str">
        <f t="array" ref="B426">IFERROR(INDEX(DemandSupply,MATCH(INDEX($AH$1:AH426,SMALL(ROW($AH$1:AH426)+(10000*($AH$1:AH426="")),COUNTA($AH$1:AH426))),Sectors,0)),"")</f>
        <v>Demand</v>
      </c>
      <c r="E426" s="10"/>
      <c r="F426" s="207"/>
      <c r="G426" s="207"/>
      <c r="H426" s="207"/>
      <c r="I426" s="207"/>
      <c r="J426" s="207"/>
      <c r="K426" s="207"/>
      <c r="L426" s="207"/>
      <c r="M426" s="207"/>
      <c r="N426" s="207"/>
      <c r="O426" s="207"/>
      <c r="P426" s="207"/>
      <c r="Q426" s="207"/>
      <c r="R426" s="207"/>
      <c r="S426" s="207"/>
      <c r="T426" s="207"/>
      <c r="U426" s="207"/>
      <c r="V426" s="207"/>
      <c r="W426" s="207"/>
      <c r="X426" s="207"/>
      <c r="Y426" s="207"/>
      <c r="Z426" s="207"/>
      <c r="AA426" s="207"/>
      <c r="AB426" s="207"/>
      <c r="AC426" s="5"/>
      <c r="AD426" s="63"/>
      <c r="AE426" s="64"/>
      <c r="AF426" s="64"/>
      <c r="AG426" s="212"/>
      <c r="AH426" s="64"/>
      <c r="AI426" s="64"/>
      <c r="AJ426" s="64"/>
      <c r="AK426" s="212"/>
      <c r="AL426" s="64"/>
      <c r="AM426" s="64"/>
      <c r="AN426" s="64"/>
      <c r="AO426" s="64"/>
      <c r="AP426" s="63"/>
      <c r="AQ426" s="64"/>
      <c r="AR426" s="63"/>
      <c r="AS426" s="64"/>
      <c r="AT426" s="63"/>
      <c r="AU426" s="64"/>
      <c r="AV426" s="63"/>
      <c r="AW426" s="64"/>
      <c r="AX426" s="63"/>
      <c r="AY426" s="5"/>
      <c r="AZ426" s="21" t="str">
        <f t="shared" si="95"/>
        <v/>
      </c>
      <c r="BA426" s="264" t="s">
        <v>39</v>
      </c>
      <c r="BB426" s="264"/>
      <c r="BC426" s="264"/>
      <c r="BD426" s="264" t="s">
        <v>10</v>
      </c>
      <c r="BE426" s="216" t="s">
        <v>134</v>
      </c>
      <c r="BF426" s="56">
        <v>9</v>
      </c>
      <c r="BG426" s="56"/>
      <c r="BH426" s="56"/>
      <c r="BI426" s="56"/>
      <c r="BJ426" s="56"/>
      <c r="BK426" s="56"/>
      <c r="BL426" s="56"/>
      <c r="BM426" s="56"/>
      <c r="BN426" s="56"/>
      <c r="BO426" s="56"/>
      <c r="BP426" s="56"/>
      <c r="BQ426" s="5"/>
      <c r="BR426" s="25"/>
      <c r="BS426" s="5"/>
    </row>
    <row r="427" spans="1:71" s="3" customFormat="1" x14ac:dyDescent="0.25">
      <c r="A427" s="5"/>
      <c r="B427" s="3" t="str">
        <f t="array" ref="B427">IFERROR(INDEX(DemandSupply,MATCH(INDEX($AH$1:AH427,SMALL(ROW($AH$1:AH427)+(10000*($AH$1:AH427="")),COUNTA($AH$1:AH427))),Sectors,0)),"")</f>
        <v>Demand</v>
      </c>
      <c r="E427" s="10"/>
      <c r="F427" s="207"/>
      <c r="G427" s="207"/>
      <c r="H427" s="207"/>
      <c r="I427" s="207"/>
      <c r="J427" s="207"/>
      <c r="K427" s="207"/>
      <c r="L427" s="207"/>
      <c r="M427" s="207"/>
      <c r="N427" s="207"/>
      <c r="O427" s="207"/>
      <c r="P427" s="207"/>
      <c r="Q427" s="207"/>
      <c r="R427" s="207"/>
      <c r="S427" s="207"/>
      <c r="T427" s="207"/>
      <c r="U427" s="207"/>
      <c r="V427" s="207"/>
      <c r="W427" s="207"/>
      <c r="X427" s="207"/>
      <c r="Y427" s="207"/>
      <c r="Z427" s="207"/>
      <c r="AA427" s="207"/>
      <c r="AB427" s="207"/>
      <c r="AC427" s="5"/>
      <c r="AD427" s="63"/>
      <c r="AE427" s="64"/>
      <c r="AF427" s="64"/>
      <c r="AG427" s="212"/>
      <c r="AH427" s="64"/>
      <c r="AI427" s="64"/>
      <c r="AJ427" s="64"/>
      <c r="AK427" s="212"/>
      <c r="AL427" s="64"/>
      <c r="AM427" s="64"/>
      <c r="AN427" s="64"/>
      <c r="AO427" s="64"/>
      <c r="AP427" s="63"/>
      <c r="AQ427" s="64"/>
      <c r="AR427" s="63"/>
      <c r="AS427" s="64"/>
      <c r="AT427" s="63"/>
      <c r="AU427" s="64"/>
      <c r="AV427" s="63"/>
      <c r="AW427" s="64"/>
      <c r="AX427" s="63"/>
      <c r="AY427" s="5"/>
      <c r="AZ427" s="21" t="str">
        <f t="shared" si="95"/>
        <v/>
      </c>
      <c r="BA427" s="264" t="s">
        <v>395</v>
      </c>
      <c r="BB427" s="264"/>
      <c r="BC427" s="264"/>
      <c r="BD427" s="264" t="s">
        <v>10</v>
      </c>
      <c r="BE427" s="216" t="s">
        <v>134</v>
      </c>
      <c r="BF427" s="56"/>
      <c r="BG427" s="56"/>
      <c r="BH427" s="56"/>
      <c r="BI427" s="56"/>
      <c r="BJ427" s="56"/>
      <c r="BK427" s="56"/>
      <c r="BL427" s="56"/>
      <c r="BM427" s="56"/>
      <c r="BN427" s="56"/>
      <c r="BO427" s="56"/>
      <c r="BP427" s="56"/>
      <c r="BQ427" s="5"/>
      <c r="BR427" s="25"/>
      <c r="BS427" s="5"/>
    </row>
    <row r="428" spans="1:71" s="3" customFormat="1" x14ac:dyDescent="0.25">
      <c r="A428" s="5"/>
      <c r="B428" s="3" t="str">
        <f t="array" ref="B428">IFERROR(INDEX(DemandSupply,MATCH(INDEX($AH$1:AH428,SMALL(ROW($AH$1:AH428)+(10000*($AH$1:AH428="")),COUNTA($AH$1:AH428))),Sectors,0)),"")</f>
        <v>Demand</v>
      </c>
      <c r="E428" s="10"/>
      <c r="F428" s="207"/>
      <c r="G428" s="207"/>
      <c r="H428" s="207"/>
      <c r="I428" s="207"/>
      <c r="J428" s="207"/>
      <c r="K428" s="207"/>
      <c r="L428" s="207"/>
      <c r="M428" s="207"/>
      <c r="N428" s="207"/>
      <c r="O428" s="207"/>
      <c r="P428" s="207"/>
      <c r="Q428" s="207"/>
      <c r="R428" s="207"/>
      <c r="S428" s="207"/>
      <c r="T428" s="207"/>
      <c r="U428" s="207"/>
      <c r="V428" s="207"/>
      <c r="W428" s="207"/>
      <c r="X428" s="207"/>
      <c r="Y428" s="207"/>
      <c r="Z428" s="207"/>
      <c r="AA428" s="207"/>
      <c r="AB428" s="207"/>
      <c r="AC428" s="5"/>
      <c r="AD428" s="63"/>
      <c r="AE428" s="64"/>
      <c r="AF428" s="64"/>
      <c r="AG428" s="212"/>
      <c r="AH428" s="64"/>
      <c r="AI428" s="64"/>
      <c r="AJ428" s="64"/>
      <c r="AK428" s="212"/>
      <c r="AL428" s="64"/>
      <c r="AM428" s="64"/>
      <c r="AN428" s="64"/>
      <c r="AO428" s="64"/>
      <c r="AP428" s="63"/>
      <c r="AQ428" s="64"/>
      <c r="AR428" s="63"/>
      <c r="AS428" s="64"/>
      <c r="AT428" s="63"/>
      <c r="AU428" s="64"/>
      <c r="AV428" s="63"/>
      <c r="AW428" s="64"/>
      <c r="AX428" s="63"/>
      <c r="AY428" s="5"/>
      <c r="AZ428" s="21" t="str">
        <f t="shared" si="95"/>
        <v/>
      </c>
      <c r="BA428" s="264" t="s">
        <v>341</v>
      </c>
      <c r="BB428" s="264"/>
      <c r="BC428" s="264"/>
      <c r="BD428" s="264" t="s">
        <v>99</v>
      </c>
      <c r="BE428" s="216" t="s">
        <v>134</v>
      </c>
      <c r="BF428" s="303">
        <v>0.3</v>
      </c>
      <c r="BG428" s="306">
        <f t="shared" ref="BG428" si="100">BF428</f>
        <v>0.3</v>
      </c>
      <c r="BH428" s="306">
        <f t="shared" ref="BH428" si="101">BG428</f>
        <v>0.3</v>
      </c>
      <c r="BI428" s="306">
        <f t="shared" ref="BI428" si="102">BH428</f>
        <v>0.3</v>
      </c>
      <c r="BJ428" s="306">
        <f t="shared" ref="BJ428" si="103">BI428</f>
        <v>0.3</v>
      </c>
      <c r="BK428" s="306">
        <f t="shared" ref="BK428" si="104">BJ428</f>
        <v>0.3</v>
      </c>
      <c r="BL428" s="306">
        <f t="shared" ref="BL428" si="105">BK428</f>
        <v>0.3</v>
      </c>
      <c r="BM428" s="306">
        <f t="shared" ref="BM428" si="106">BL428</f>
        <v>0.3</v>
      </c>
      <c r="BN428" s="306">
        <f t="shared" ref="BN428" si="107">BM428</f>
        <v>0.3</v>
      </c>
      <c r="BO428" s="306">
        <f t="shared" ref="BO428" si="108">BN428</f>
        <v>0.3</v>
      </c>
      <c r="BP428" s="306">
        <f t="shared" ref="BP428" si="109">BO428</f>
        <v>0.3</v>
      </c>
      <c r="BQ428" s="5"/>
      <c r="BR428" s="25"/>
      <c r="BS428" s="5"/>
    </row>
    <row r="429" spans="1:71" s="3" customFormat="1" x14ac:dyDescent="0.25">
      <c r="A429" s="5"/>
      <c r="B429" s="3" t="str">
        <f t="array" ref="B429">IFERROR(INDEX(DemandSupply,MATCH(INDEX($AH$1:AH429,SMALL(ROW($AH$1:AH429)+(10000*($AH$1:AH429="")),COUNTA($AH$1:AH429))),Sectors,0)),"")</f>
        <v>Demand</v>
      </c>
      <c r="E429" s="10"/>
      <c r="F429" s="207"/>
      <c r="G429" s="207"/>
      <c r="H429" s="207"/>
      <c r="I429" s="207"/>
      <c r="J429" s="207"/>
      <c r="K429" s="207"/>
      <c r="L429" s="207"/>
      <c r="M429" s="207"/>
      <c r="N429" s="207"/>
      <c r="O429" s="207"/>
      <c r="P429" s="207"/>
      <c r="Q429" s="207"/>
      <c r="R429" s="207"/>
      <c r="S429" s="207"/>
      <c r="T429" s="207"/>
      <c r="U429" s="207"/>
      <c r="V429" s="207"/>
      <c r="W429" s="207"/>
      <c r="X429" s="207"/>
      <c r="Y429" s="207"/>
      <c r="Z429" s="207"/>
      <c r="AA429" s="207"/>
      <c r="AB429" s="207"/>
      <c r="AC429" s="5"/>
      <c r="AD429" s="63"/>
      <c r="AE429" s="64"/>
      <c r="AF429" s="64"/>
      <c r="AG429" s="212"/>
      <c r="AH429" s="64"/>
      <c r="AI429" s="64"/>
      <c r="AJ429" s="64"/>
      <c r="AK429" s="212"/>
      <c r="AL429" s="64"/>
      <c r="AM429" s="64"/>
      <c r="AN429" s="64"/>
      <c r="AO429" s="64"/>
      <c r="AP429" s="63"/>
      <c r="AQ429" s="64"/>
      <c r="AR429" s="63"/>
      <c r="AS429" s="64"/>
      <c r="AT429" s="63"/>
      <c r="AU429" s="64"/>
      <c r="AV429" s="63"/>
      <c r="AW429" s="64"/>
      <c r="AX429" s="63"/>
      <c r="AY429" s="5"/>
      <c r="AZ429" s="21" t="str">
        <f t="shared" si="95"/>
        <v/>
      </c>
      <c r="BA429" s="264" t="s">
        <v>392</v>
      </c>
      <c r="BB429" s="264"/>
      <c r="BC429" s="264"/>
      <c r="BD429" s="264" t="s">
        <v>99</v>
      </c>
      <c r="BE429" s="216" t="s">
        <v>134</v>
      </c>
      <c r="BF429" s="303"/>
      <c r="BG429" s="303"/>
      <c r="BH429" s="303"/>
      <c r="BI429" s="303"/>
      <c r="BJ429" s="303"/>
      <c r="BK429" s="303"/>
      <c r="BL429" s="303"/>
      <c r="BM429" s="303"/>
      <c r="BN429" s="303"/>
      <c r="BO429" s="303"/>
      <c r="BP429" s="303"/>
      <c r="BQ429" s="5"/>
      <c r="BR429" s="25"/>
      <c r="BS429" s="5"/>
    </row>
    <row r="430" spans="1:71" s="3" customFormat="1" x14ac:dyDescent="0.25">
      <c r="A430" s="5"/>
      <c r="B430" s="3" t="str">
        <f t="array" ref="B430">IFERROR(INDEX(DemandSupply,MATCH(INDEX($AH$1:AH430,SMALL(ROW($AH$1:AH430)+(10000*($AH$1:AH430="")),COUNTA($AH$1:AH430))),Sectors,0)),"")</f>
        <v>Demand</v>
      </c>
      <c r="E430" s="10"/>
      <c r="F430" s="207"/>
      <c r="G430" s="207"/>
      <c r="H430" s="207"/>
      <c r="I430" s="207"/>
      <c r="J430" s="207"/>
      <c r="K430" s="207"/>
      <c r="L430" s="207"/>
      <c r="M430" s="207"/>
      <c r="N430" s="207"/>
      <c r="O430" s="207"/>
      <c r="P430" s="207"/>
      <c r="Q430" s="207"/>
      <c r="R430" s="207"/>
      <c r="S430" s="207"/>
      <c r="T430" s="207"/>
      <c r="U430" s="207"/>
      <c r="V430" s="207"/>
      <c r="W430" s="207"/>
      <c r="X430" s="207"/>
      <c r="Y430" s="207"/>
      <c r="Z430" s="207"/>
      <c r="AA430" s="207"/>
      <c r="AB430" s="207"/>
      <c r="AC430" s="5"/>
      <c r="AD430" s="63"/>
      <c r="AE430" s="64"/>
      <c r="AF430" s="64"/>
      <c r="AG430" s="212"/>
      <c r="AH430" s="64"/>
      <c r="AI430" s="64"/>
      <c r="AJ430" s="64"/>
      <c r="AK430" s="212"/>
      <c r="AL430" s="64"/>
      <c r="AM430" s="64"/>
      <c r="AN430" s="64"/>
      <c r="AO430" s="64"/>
      <c r="AP430" s="63"/>
      <c r="AQ430" s="64"/>
      <c r="AR430" s="63"/>
      <c r="AS430" s="64"/>
      <c r="AT430" s="63"/>
      <c r="AU430" s="64"/>
      <c r="AV430" s="63"/>
      <c r="AW430" s="64"/>
      <c r="AX430" s="63"/>
      <c r="AY430" s="5"/>
      <c r="AZ430" s="21" t="str">
        <f t="shared" si="95"/>
        <v/>
      </c>
      <c r="BA430" s="264" t="s">
        <v>391</v>
      </c>
      <c r="BB430" s="264"/>
      <c r="BC430" s="264"/>
      <c r="BD430" s="264" t="s">
        <v>99</v>
      </c>
      <c r="BE430" s="216" t="s">
        <v>134</v>
      </c>
      <c r="BF430" s="303"/>
      <c r="BG430" s="303"/>
      <c r="BH430" s="303"/>
      <c r="BI430" s="303"/>
      <c r="BJ430" s="303"/>
      <c r="BK430" s="303"/>
      <c r="BL430" s="303"/>
      <c r="BM430" s="303"/>
      <c r="BN430" s="303"/>
      <c r="BO430" s="303"/>
      <c r="BP430" s="303"/>
      <c r="BQ430" s="5"/>
      <c r="BR430" s="25"/>
      <c r="BS430" s="5"/>
    </row>
    <row r="431" spans="1:71" s="3" customFormat="1" x14ac:dyDescent="0.25">
      <c r="A431" s="5"/>
      <c r="B431" s="3" t="str">
        <f t="array" ref="B431">IFERROR(INDEX(DemandSupply,MATCH(INDEX($AH$1:AH431,SMALL(ROW($AH$1:AH431)+(10000*($AH$1:AH431="")),COUNTA($AH$1:AH431))),Sectors,0)),"")</f>
        <v>Demand</v>
      </c>
      <c r="E431" s="10"/>
      <c r="F431" s="207"/>
      <c r="G431" s="207"/>
      <c r="H431" s="207"/>
      <c r="I431" s="207"/>
      <c r="J431" s="207"/>
      <c r="K431" s="207"/>
      <c r="L431" s="207"/>
      <c r="M431" s="207"/>
      <c r="N431" s="207"/>
      <c r="O431" s="207"/>
      <c r="P431" s="207"/>
      <c r="Q431" s="207"/>
      <c r="R431" s="207"/>
      <c r="S431" s="207"/>
      <c r="T431" s="207"/>
      <c r="U431" s="207"/>
      <c r="V431" s="207"/>
      <c r="W431" s="207"/>
      <c r="X431" s="207"/>
      <c r="Y431" s="207"/>
      <c r="Z431" s="207"/>
      <c r="AA431" s="207"/>
      <c r="AB431" s="207"/>
      <c r="AC431" s="5"/>
      <c r="AD431" s="63"/>
      <c r="AE431" s="64"/>
      <c r="AF431" s="64"/>
      <c r="AG431" s="212"/>
      <c r="AH431" s="64"/>
      <c r="AI431" s="64"/>
      <c r="AJ431" s="64"/>
      <c r="AK431" s="212"/>
      <c r="AL431" s="64"/>
      <c r="AM431" s="64"/>
      <c r="AN431" s="64"/>
      <c r="AO431" s="64"/>
      <c r="AP431" s="63"/>
      <c r="AQ431" s="64"/>
      <c r="AR431" s="63"/>
      <c r="AS431" s="64"/>
      <c r="AT431" s="63"/>
      <c r="AU431" s="64"/>
      <c r="AV431" s="63"/>
      <c r="AW431" s="64"/>
      <c r="AX431" s="63"/>
      <c r="AY431" s="5"/>
      <c r="AZ431" s="21" t="str">
        <f t="shared" si="95"/>
        <v/>
      </c>
      <c r="BA431" s="264" t="s">
        <v>144</v>
      </c>
      <c r="BB431" s="264"/>
      <c r="BC431" s="264"/>
      <c r="BD431" s="264" t="s">
        <v>34</v>
      </c>
      <c r="BE431" s="216" t="s">
        <v>134</v>
      </c>
      <c r="BF431" s="56"/>
      <c r="BG431" s="56"/>
      <c r="BH431" s="56"/>
      <c r="BI431" s="56"/>
      <c r="BJ431" s="56"/>
      <c r="BK431" s="56"/>
      <c r="BL431" s="56"/>
      <c r="BM431" s="56"/>
      <c r="BN431" s="56"/>
      <c r="BO431" s="56"/>
      <c r="BP431" s="56"/>
      <c r="BQ431" s="5"/>
      <c r="BR431" s="25"/>
      <c r="BS431" s="5"/>
    </row>
    <row r="432" spans="1:71" s="3" customFormat="1" x14ac:dyDescent="0.25">
      <c r="A432" s="5"/>
      <c r="B432" s="3" t="str">
        <f t="array" ref="B432">IFERROR(INDEX(DemandSupply,MATCH(INDEX($AH$1:AH432,SMALL(ROW($AH$1:AH432)+(10000*($AH$1:AH432="")),COUNTA($AH$1:AH432))),Sectors,0)),"")</f>
        <v>Demand</v>
      </c>
      <c r="E432" s="10"/>
      <c r="F432" s="207"/>
      <c r="G432" s="207"/>
      <c r="H432" s="207"/>
      <c r="I432" s="207"/>
      <c r="J432" s="207"/>
      <c r="K432" s="207"/>
      <c r="L432" s="207"/>
      <c r="M432" s="207"/>
      <c r="N432" s="207"/>
      <c r="O432" s="207"/>
      <c r="P432" s="207"/>
      <c r="Q432" s="207"/>
      <c r="R432" s="207"/>
      <c r="S432" s="207"/>
      <c r="T432" s="207"/>
      <c r="U432" s="207"/>
      <c r="V432" s="207"/>
      <c r="W432" s="207"/>
      <c r="X432" s="207"/>
      <c r="Y432" s="207"/>
      <c r="Z432" s="207"/>
      <c r="AA432" s="207"/>
      <c r="AB432" s="207"/>
      <c r="AC432" s="5"/>
      <c r="AD432" s="63"/>
      <c r="AE432" s="64"/>
      <c r="AF432" s="64"/>
      <c r="AG432" s="212"/>
      <c r="AH432" s="64"/>
      <c r="AI432" s="64"/>
      <c r="AJ432" s="64"/>
      <c r="AK432" s="212"/>
      <c r="AL432" s="64"/>
      <c r="AM432" s="64"/>
      <c r="AN432" s="64"/>
      <c r="AO432" s="64"/>
      <c r="AP432" s="63"/>
      <c r="AQ432" s="64"/>
      <c r="AR432" s="63"/>
      <c r="AS432" s="64"/>
      <c r="AT432" s="63"/>
      <c r="AU432" s="64"/>
      <c r="AV432" s="63"/>
      <c r="AW432" s="64"/>
      <c r="AX432" s="63"/>
      <c r="AY432" s="5"/>
      <c r="AZ432" s="21" t="str">
        <f t="shared" si="95"/>
        <v/>
      </c>
      <c r="BA432" s="264" t="s">
        <v>76</v>
      </c>
      <c r="BB432" s="264"/>
      <c r="BC432" s="264"/>
      <c r="BD432" s="264" t="s">
        <v>99</v>
      </c>
      <c r="BE432" s="216" t="s">
        <v>134</v>
      </c>
      <c r="BF432" s="303">
        <v>0.93</v>
      </c>
      <c r="BG432" s="303"/>
      <c r="BH432" s="303"/>
      <c r="BI432" s="303"/>
      <c r="BJ432" s="303"/>
      <c r="BK432" s="303"/>
      <c r="BL432" s="303"/>
      <c r="BM432" s="303"/>
      <c r="BN432" s="303"/>
      <c r="BO432" s="303"/>
      <c r="BP432" s="303"/>
      <c r="BQ432" s="5"/>
      <c r="BR432" s="25"/>
      <c r="BS432" s="5"/>
    </row>
    <row r="433" spans="1:71" s="3" customFormat="1" x14ac:dyDescent="0.25">
      <c r="A433" s="5"/>
      <c r="B433" s="3" t="str">
        <f t="array" ref="B433">IFERROR(INDEX(DemandSupply,MATCH(INDEX($AH$1:AH433,SMALL(ROW($AH$1:AH433)+(10000*($AH$1:AH433="")),COUNTA($AH$1:AH433))),Sectors,0)),"")</f>
        <v>Demand</v>
      </c>
      <c r="E433" s="10"/>
      <c r="F433" s="207"/>
      <c r="G433" s="207"/>
      <c r="H433" s="207"/>
      <c r="I433" s="207"/>
      <c r="J433" s="207"/>
      <c r="K433" s="207"/>
      <c r="L433" s="207"/>
      <c r="M433" s="207"/>
      <c r="N433" s="207"/>
      <c r="O433" s="207"/>
      <c r="P433" s="207"/>
      <c r="Q433" s="207"/>
      <c r="R433" s="207"/>
      <c r="S433" s="207"/>
      <c r="T433" s="207"/>
      <c r="U433" s="207"/>
      <c r="V433" s="207"/>
      <c r="W433" s="207"/>
      <c r="X433" s="207"/>
      <c r="Y433" s="207"/>
      <c r="Z433" s="207"/>
      <c r="AA433" s="207"/>
      <c r="AB433" s="207"/>
      <c r="AC433" s="5"/>
      <c r="AD433" s="63"/>
      <c r="AE433" s="64"/>
      <c r="AF433" s="64"/>
      <c r="AG433" s="212"/>
      <c r="AH433" s="64"/>
      <c r="AI433" s="64"/>
      <c r="AJ433" s="64"/>
      <c r="AK433" s="212"/>
      <c r="AL433" s="64"/>
      <c r="AM433" s="64"/>
      <c r="AN433" s="64"/>
      <c r="AO433" s="64"/>
      <c r="AP433" s="63"/>
      <c r="AQ433" s="64"/>
      <c r="AR433" s="63"/>
      <c r="AS433" s="64"/>
      <c r="AT433" s="63"/>
      <c r="AU433" s="64"/>
      <c r="AV433" s="63"/>
      <c r="AW433" s="64"/>
      <c r="AX433" s="63"/>
      <c r="AY433" s="5"/>
      <c r="AZ433" s="21" t="str">
        <f t="shared" si="95"/>
        <v/>
      </c>
      <c r="BA433" s="75" t="s">
        <v>166</v>
      </c>
      <c r="BB433" s="75"/>
      <c r="BC433" s="270"/>
      <c r="BD433" s="75" t="s">
        <v>99</v>
      </c>
      <c r="BE433" s="216" t="s">
        <v>134</v>
      </c>
      <c r="BF433" s="303"/>
      <c r="BG433" s="303"/>
      <c r="BH433" s="303"/>
      <c r="BI433" s="303"/>
      <c r="BJ433" s="303"/>
      <c r="BK433" s="303"/>
      <c r="BL433" s="303"/>
      <c r="BM433" s="303"/>
      <c r="BN433" s="303"/>
      <c r="BO433" s="303"/>
      <c r="BP433" s="303"/>
      <c r="BQ433" s="5"/>
      <c r="BR433" s="25"/>
      <c r="BS433" s="5"/>
    </row>
    <row r="434" spans="1:71" s="3" customFormat="1" x14ac:dyDescent="0.25">
      <c r="A434" s="5"/>
      <c r="B434" s="3" t="str">
        <f t="array" ref="B434">IFERROR(INDEX(DemandSupply,MATCH(INDEX($AH$1:AH434,SMALL(ROW($AH$1:AH434)+(10000*($AH$1:AH434="")),COUNTA($AH$1:AH434))),Sectors,0)),"")</f>
        <v>Demand</v>
      </c>
      <c r="E434" s="10"/>
      <c r="F434" s="207"/>
      <c r="G434" s="207"/>
      <c r="H434" s="207"/>
      <c r="I434" s="207"/>
      <c r="J434" s="207"/>
      <c r="K434" s="207"/>
      <c r="L434" s="207"/>
      <c r="M434" s="207"/>
      <c r="N434" s="207"/>
      <c r="O434" s="207"/>
      <c r="P434" s="207"/>
      <c r="Q434" s="207"/>
      <c r="R434" s="207"/>
      <c r="S434" s="207"/>
      <c r="T434" s="207"/>
      <c r="U434" s="207"/>
      <c r="V434" s="207"/>
      <c r="W434" s="207"/>
      <c r="X434" s="207"/>
      <c r="Y434" s="207"/>
      <c r="Z434" s="207"/>
      <c r="AA434" s="207"/>
      <c r="AB434" s="207"/>
      <c r="AC434" s="5"/>
      <c r="AD434" s="63"/>
      <c r="AE434" s="64"/>
      <c r="AF434" s="64"/>
      <c r="AG434" s="212"/>
      <c r="AH434" s="64"/>
      <c r="AI434" s="64"/>
      <c r="AJ434" s="64"/>
      <c r="AK434" s="212"/>
      <c r="AL434" s="64"/>
      <c r="AM434" s="64"/>
      <c r="AN434" s="64"/>
      <c r="AO434" s="64"/>
      <c r="AP434" s="63"/>
      <c r="AQ434" s="64"/>
      <c r="AR434" s="63"/>
      <c r="AS434" s="64"/>
      <c r="AT434" s="63"/>
      <c r="AU434" s="64"/>
      <c r="AV434" s="63"/>
      <c r="AW434" s="64"/>
      <c r="AX434" s="63"/>
      <c r="AY434" s="5"/>
      <c r="AZ434" s="21" t="str">
        <f t="shared" si="95"/>
        <v/>
      </c>
      <c r="BA434" s="75" t="s">
        <v>167</v>
      </c>
      <c r="BB434" s="75"/>
      <c r="BC434" s="270"/>
      <c r="BD434" s="75" t="s">
        <v>99</v>
      </c>
      <c r="BE434" s="216" t="s">
        <v>134</v>
      </c>
      <c r="BF434" s="303"/>
      <c r="BG434" s="303"/>
      <c r="BH434" s="303"/>
      <c r="BI434" s="303"/>
      <c r="BJ434" s="303"/>
      <c r="BK434" s="303"/>
      <c r="BL434" s="303"/>
      <c r="BM434" s="303"/>
      <c r="BN434" s="303"/>
      <c r="BO434" s="303"/>
      <c r="BP434" s="303"/>
      <c r="BQ434" s="5"/>
      <c r="BR434" s="25"/>
      <c r="BS434" s="5"/>
    </row>
    <row r="435" spans="1:71" s="3" customFormat="1" x14ac:dyDescent="0.25">
      <c r="A435" s="5"/>
      <c r="B435" s="3" t="str">
        <f t="array" ref="B435">IFERROR(INDEX(DemandSupply,MATCH(INDEX($AH$1:AH435,SMALL(ROW($AH$1:AH435)+(10000*($AH$1:AH435="")),COUNTA($AH$1:AH435))),Sectors,0)),"")</f>
        <v>Demand</v>
      </c>
      <c r="E435" s="10"/>
      <c r="F435" s="207"/>
      <c r="G435" s="207"/>
      <c r="H435" s="207"/>
      <c r="I435" s="207"/>
      <c r="J435" s="207"/>
      <c r="K435" s="207"/>
      <c r="L435" s="207"/>
      <c r="M435" s="207"/>
      <c r="N435" s="207"/>
      <c r="O435" s="207"/>
      <c r="P435" s="207"/>
      <c r="Q435" s="207"/>
      <c r="R435" s="207"/>
      <c r="S435" s="207"/>
      <c r="T435" s="207"/>
      <c r="U435" s="207"/>
      <c r="V435" s="207"/>
      <c r="W435" s="207"/>
      <c r="X435" s="207"/>
      <c r="Y435" s="207"/>
      <c r="Z435" s="207"/>
      <c r="AA435" s="207"/>
      <c r="AB435" s="207"/>
      <c r="AC435" s="5"/>
      <c r="AD435" s="63"/>
      <c r="AE435" s="64"/>
      <c r="AF435" s="64"/>
      <c r="AG435" s="212"/>
      <c r="AH435" s="64"/>
      <c r="AI435" s="64"/>
      <c r="AJ435" s="64"/>
      <c r="AK435" s="212"/>
      <c r="AL435" s="64"/>
      <c r="AM435" s="64"/>
      <c r="AN435" s="64"/>
      <c r="AO435" s="64"/>
      <c r="AP435" s="63"/>
      <c r="AQ435" s="64"/>
      <c r="AR435" s="63"/>
      <c r="AS435" s="64"/>
      <c r="AT435" s="63"/>
      <c r="AU435" s="64"/>
      <c r="AV435" s="63"/>
      <c r="AW435" s="64"/>
      <c r="AX435" s="63"/>
      <c r="AY435" s="5"/>
      <c r="AZ435" s="21" t="str">
        <f t="shared" si="95"/>
        <v/>
      </c>
      <c r="BA435" s="75" t="s">
        <v>408</v>
      </c>
      <c r="BB435" s="75"/>
      <c r="BC435" s="270"/>
      <c r="BD435" s="75" t="s">
        <v>99</v>
      </c>
      <c r="BE435" s="216" t="s">
        <v>134</v>
      </c>
      <c r="BF435" s="303"/>
      <c r="BG435" s="303"/>
      <c r="BH435" s="303"/>
      <c r="BI435" s="303"/>
      <c r="BJ435" s="303"/>
      <c r="BK435" s="303"/>
      <c r="BL435" s="303"/>
      <c r="BM435" s="303"/>
      <c r="BN435" s="303"/>
      <c r="BO435" s="303"/>
      <c r="BP435" s="303"/>
      <c r="BQ435" s="5"/>
      <c r="BR435" s="25"/>
      <c r="BS435" s="5"/>
    </row>
    <row r="436" spans="1:71" s="3" customFormat="1" x14ac:dyDescent="0.25">
      <c r="A436" s="5"/>
      <c r="B436" s="3" t="str">
        <f t="array" ref="B436">IFERROR(INDEX(DemandSupply,MATCH(INDEX($AH$1:AH436,SMALL(ROW($AH$1:AH436)+(10000*($AH$1:AH436="")),COUNTA($AH$1:AH436))),Sectors,0)),"")</f>
        <v>Demand</v>
      </c>
      <c r="E436" s="10"/>
      <c r="F436" s="207"/>
      <c r="G436" s="207"/>
      <c r="H436" s="207"/>
      <c r="I436" s="207"/>
      <c r="J436" s="207"/>
      <c r="K436" s="207"/>
      <c r="L436" s="207"/>
      <c r="M436" s="207"/>
      <c r="N436" s="207"/>
      <c r="O436" s="207"/>
      <c r="P436" s="207"/>
      <c r="Q436" s="207"/>
      <c r="R436" s="207"/>
      <c r="S436" s="207"/>
      <c r="T436" s="207"/>
      <c r="U436" s="207"/>
      <c r="V436" s="207"/>
      <c r="W436" s="207"/>
      <c r="X436" s="207"/>
      <c r="Y436" s="207"/>
      <c r="Z436" s="207"/>
      <c r="AA436" s="207"/>
      <c r="AB436" s="207"/>
      <c r="AC436" s="5"/>
      <c r="AD436" s="63"/>
      <c r="AE436" s="64"/>
      <c r="AF436" s="64"/>
      <c r="AG436" s="212"/>
      <c r="AH436" s="64"/>
      <c r="AI436" s="64"/>
      <c r="AJ436" s="64"/>
      <c r="AK436" s="212"/>
      <c r="AL436" s="64"/>
      <c r="AM436" s="64"/>
      <c r="AN436" s="64"/>
      <c r="AO436" s="64"/>
      <c r="AP436" s="63"/>
      <c r="AQ436" s="64"/>
      <c r="AR436" s="63"/>
      <c r="AS436" s="64"/>
      <c r="AT436" s="63"/>
      <c r="AU436" s="64"/>
      <c r="AV436" s="63"/>
      <c r="AW436" s="64"/>
      <c r="AX436" s="63"/>
      <c r="AY436" s="5"/>
      <c r="AZ436" s="21" t="str">
        <f t="shared" si="95"/>
        <v/>
      </c>
      <c r="BA436" s="75" t="s">
        <v>409</v>
      </c>
      <c r="BB436" s="75"/>
      <c r="BC436" s="270"/>
      <c r="BD436" s="75" t="s">
        <v>99</v>
      </c>
      <c r="BE436" s="216" t="s">
        <v>134</v>
      </c>
      <c r="BF436" s="303"/>
      <c r="BG436" s="303"/>
      <c r="BH436" s="303"/>
      <c r="BI436" s="303"/>
      <c r="BJ436" s="303"/>
      <c r="BK436" s="303"/>
      <c r="BL436" s="303"/>
      <c r="BM436" s="303"/>
      <c r="BN436" s="303"/>
      <c r="BO436" s="303"/>
      <c r="BP436" s="303"/>
      <c r="BQ436" s="5"/>
      <c r="BR436" s="25"/>
      <c r="BS436" s="5"/>
    </row>
    <row r="437" spans="1:71" s="3" customFormat="1" x14ac:dyDescent="0.25">
      <c r="A437" s="5"/>
      <c r="B437" s="3" t="str">
        <f t="array" ref="B437">IFERROR(INDEX(DemandSupply,MATCH(INDEX($AH$1:AH437,SMALL(ROW($AH$1:AH437)+(10000*($AH$1:AH437="")),COUNTA($AH$1:AH437))),Sectors,0)),"")</f>
        <v>Demand</v>
      </c>
      <c r="E437" s="10"/>
      <c r="F437" s="207"/>
      <c r="G437" s="207"/>
      <c r="H437" s="207"/>
      <c r="I437" s="207"/>
      <c r="J437" s="207"/>
      <c r="K437" s="207"/>
      <c r="L437" s="207"/>
      <c r="M437" s="207"/>
      <c r="N437" s="207"/>
      <c r="O437" s="207"/>
      <c r="P437" s="207"/>
      <c r="Q437" s="207"/>
      <c r="R437" s="207"/>
      <c r="S437" s="207"/>
      <c r="T437" s="207"/>
      <c r="U437" s="207"/>
      <c r="V437" s="207"/>
      <c r="W437" s="207"/>
      <c r="X437" s="207"/>
      <c r="Y437" s="207"/>
      <c r="Z437" s="207"/>
      <c r="AA437" s="207"/>
      <c r="AB437" s="207"/>
      <c r="AC437" s="5"/>
      <c r="AD437" s="63"/>
      <c r="AE437" s="64"/>
      <c r="AF437" s="64"/>
      <c r="AG437" s="212"/>
      <c r="AH437" s="64"/>
      <c r="AI437" s="64"/>
      <c r="AJ437" s="64"/>
      <c r="AK437" s="212"/>
      <c r="AL437" s="64"/>
      <c r="AM437" s="64"/>
      <c r="AN437" s="64"/>
      <c r="AO437" s="64"/>
      <c r="AP437" s="63"/>
      <c r="AQ437" s="64"/>
      <c r="AR437" s="63"/>
      <c r="AS437" s="64"/>
      <c r="AT437" s="63"/>
      <c r="AU437" s="64"/>
      <c r="AV437" s="63"/>
      <c r="AW437" s="64"/>
      <c r="AX437" s="63"/>
      <c r="AY437" s="5"/>
      <c r="AZ437" s="21" t="str">
        <f t="shared" si="95"/>
        <v/>
      </c>
      <c r="BA437" s="264" t="s">
        <v>371</v>
      </c>
      <c r="BB437" s="264"/>
      <c r="BC437" s="264"/>
      <c r="BD437" s="264" t="s">
        <v>34</v>
      </c>
      <c r="BE437" s="216" t="s">
        <v>134</v>
      </c>
      <c r="BF437" s="56">
        <v>68.62</v>
      </c>
      <c r="BG437" s="56"/>
      <c r="BH437" s="56"/>
      <c r="BI437" s="56"/>
      <c r="BJ437" s="56"/>
      <c r="BK437" s="56"/>
      <c r="BL437" s="56"/>
      <c r="BM437" s="56"/>
      <c r="BN437" s="56"/>
      <c r="BO437" s="56"/>
      <c r="BP437" s="56"/>
      <c r="BQ437" s="5"/>
      <c r="BR437" s="25"/>
      <c r="BS437" s="5"/>
    </row>
    <row r="438" spans="1:71" s="3" customFormat="1" x14ac:dyDescent="0.25">
      <c r="A438" s="5"/>
      <c r="B438" s="3" t="str">
        <f t="array" ref="B438">IFERROR(INDEX(DemandSupply,MATCH(INDEX($AH$1:AH438,SMALL(ROW($AH$1:AH438)+(10000*($AH$1:AH438="")),COUNTA($AH$1:AH438))),Sectors,0)),"")</f>
        <v>Demand</v>
      </c>
      <c r="E438" s="10"/>
      <c r="F438" s="207"/>
      <c r="G438" s="207"/>
      <c r="H438" s="207"/>
      <c r="I438" s="207"/>
      <c r="J438" s="207"/>
      <c r="K438" s="207"/>
      <c r="L438" s="207"/>
      <c r="M438" s="207"/>
      <c r="N438" s="207"/>
      <c r="O438" s="207"/>
      <c r="P438" s="207"/>
      <c r="Q438" s="207"/>
      <c r="R438" s="207"/>
      <c r="S438" s="207"/>
      <c r="T438" s="207"/>
      <c r="U438" s="207"/>
      <c r="V438" s="207"/>
      <c r="W438" s="207"/>
      <c r="X438" s="207"/>
      <c r="Y438" s="207"/>
      <c r="Z438" s="207"/>
      <c r="AA438" s="207"/>
      <c r="AB438" s="207"/>
      <c r="AC438" s="5"/>
      <c r="AD438" s="63"/>
      <c r="AE438" s="64"/>
      <c r="AF438" s="64"/>
      <c r="AG438" s="212"/>
      <c r="AH438" s="64"/>
      <c r="AI438" s="64"/>
      <c r="AJ438" s="64"/>
      <c r="AK438" s="212"/>
      <c r="AL438" s="64"/>
      <c r="AM438" s="64"/>
      <c r="AN438" s="64"/>
      <c r="AO438" s="64"/>
      <c r="AP438" s="63"/>
      <c r="AQ438" s="64"/>
      <c r="AR438" s="63"/>
      <c r="AS438" s="64"/>
      <c r="AT438" s="63"/>
      <c r="AU438" s="64"/>
      <c r="AV438" s="63"/>
      <c r="AW438" s="64"/>
      <c r="AX438" s="63"/>
      <c r="AY438" s="5"/>
      <c r="AZ438" s="21" t="str">
        <f t="shared" si="95"/>
        <v/>
      </c>
      <c r="BA438" s="264" t="s">
        <v>170</v>
      </c>
      <c r="BB438" s="264"/>
      <c r="BC438" s="264"/>
      <c r="BD438" s="264" t="s">
        <v>354</v>
      </c>
      <c r="BE438" s="216" t="s">
        <v>134</v>
      </c>
      <c r="BF438" s="56">
        <v>592.51900000000001</v>
      </c>
      <c r="BG438" s="282">
        <f t="shared" ref="BG438" si="110">BF438</f>
        <v>592.51900000000001</v>
      </c>
      <c r="BH438" s="282">
        <f t="shared" ref="BH438" si="111">BG438</f>
        <v>592.51900000000001</v>
      </c>
      <c r="BI438" s="282">
        <f t="shared" ref="BI438" si="112">BH438</f>
        <v>592.51900000000001</v>
      </c>
      <c r="BJ438" s="282">
        <f t="shared" ref="BJ438" si="113">BI438</f>
        <v>592.51900000000001</v>
      </c>
      <c r="BK438" s="282">
        <f t="shared" ref="BK438" si="114">BJ438</f>
        <v>592.51900000000001</v>
      </c>
      <c r="BL438" s="282">
        <f t="shared" ref="BL438" si="115">BK438</f>
        <v>592.51900000000001</v>
      </c>
      <c r="BM438" s="282">
        <f t="shared" ref="BM438" si="116">BL438</f>
        <v>592.51900000000001</v>
      </c>
      <c r="BN438" s="282">
        <f t="shared" ref="BN438" si="117">BM438</f>
        <v>592.51900000000001</v>
      </c>
      <c r="BO438" s="282">
        <f t="shared" ref="BO438" si="118">BN438</f>
        <v>592.51900000000001</v>
      </c>
      <c r="BP438" s="282">
        <f t="shared" ref="BP438" si="119">BO438</f>
        <v>592.51900000000001</v>
      </c>
      <c r="BQ438" s="5"/>
      <c r="BR438" s="25"/>
      <c r="BS438" s="5"/>
    </row>
    <row r="439" spans="1:71" s="3" customFormat="1" x14ac:dyDescent="0.25">
      <c r="A439" s="5"/>
      <c r="B439" s="3" t="str">
        <f t="array" ref="B439">IFERROR(INDEX(DemandSupply,MATCH(INDEX($AH$1:AH439,SMALL(ROW($AH$1:AH439)+(10000*($AH$1:AH439="")),COUNTA($AH$1:AH439))),Sectors,0)),"")</f>
        <v>Demand</v>
      </c>
      <c r="E439" s="10"/>
      <c r="F439" s="207"/>
      <c r="G439" s="207"/>
      <c r="H439" s="207"/>
      <c r="I439" s="207"/>
      <c r="J439" s="207"/>
      <c r="K439" s="207"/>
      <c r="L439" s="207"/>
      <c r="M439" s="207"/>
      <c r="N439" s="207"/>
      <c r="O439" s="207"/>
      <c r="P439" s="207"/>
      <c r="Q439" s="207"/>
      <c r="R439" s="207"/>
      <c r="S439" s="207"/>
      <c r="T439" s="207"/>
      <c r="U439" s="207"/>
      <c r="V439" s="207"/>
      <c r="W439" s="207"/>
      <c r="X439" s="207"/>
      <c r="Y439" s="207"/>
      <c r="Z439" s="207"/>
      <c r="AA439" s="207"/>
      <c r="AB439" s="207"/>
      <c r="AC439" s="5"/>
      <c r="AD439" s="63"/>
      <c r="AE439" s="64"/>
      <c r="AF439" s="64"/>
      <c r="AG439" s="212"/>
      <c r="AH439" s="64"/>
      <c r="AI439" s="64"/>
      <c r="AJ439" s="64"/>
      <c r="AK439" s="212"/>
      <c r="AL439" s="64"/>
      <c r="AM439" s="64"/>
      <c r="AN439" s="64"/>
      <c r="AO439" s="64"/>
      <c r="AP439" s="63"/>
      <c r="AQ439" s="64"/>
      <c r="AR439" s="63"/>
      <c r="AS439" s="64"/>
      <c r="AT439" s="63"/>
      <c r="AU439" s="64"/>
      <c r="AV439" s="63"/>
      <c r="AW439" s="64"/>
      <c r="AX439" s="63"/>
      <c r="AY439" s="5"/>
      <c r="AZ439" s="21" t="str">
        <f t="shared" si="95"/>
        <v/>
      </c>
      <c r="BA439" s="264" t="s">
        <v>425</v>
      </c>
      <c r="BB439" s="264"/>
      <c r="BC439" s="264"/>
      <c r="BD439" s="264" t="s">
        <v>99</v>
      </c>
      <c r="BE439" s="216" t="s">
        <v>134</v>
      </c>
      <c r="BF439" s="303"/>
      <c r="BG439" s="303"/>
      <c r="BH439" s="303"/>
      <c r="BI439" s="303"/>
      <c r="BJ439" s="303"/>
      <c r="BK439" s="303"/>
      <c r="BL439" s="303"/>
      <c r="BM439" s="303"/>
      <c r="BN439" s="303"/>
      <c r="BO439" s="303"/>
      <c r="BP439" s="303"/>
      <c r="BQ439" s="5"/>
      <c r="BR439" s="25"/>
      <c r="BS439" s="5"/>
    </row>
    <row r="440" spans="1:71" s="3" customFormat="1" x14ac:dyDescent="0.25">
      <c r="A440" s="5"/>
      <c r="B440" s="3" t="str">
        <f t="array" ref="B440">IFERROR(INDEX(DemandSupply,MATCH(INDEX($AH$1:AH440,SMALL(ROW($AH$1:AH440)+(10000*($AH$1:AH440="")),COUNTA($AH$1:AH440))),Sectors,0)),"")</f>
        <v>Demand</v>
      </c>
      <c r="E440" s="10"/>
      <c r="F440" s="207"/>
      <c r="G440" s="207"/>
      <c r="H440" s="207"/>
      <c r="I440" s="207"/>
      <c r="J440" s="207"/>
      <c r="K440" s="207"/>
      <c r="L440" s="207"/>
      <c r="M440" s="207"/>
      <c r="N440" s="207"/>
      <c r="O440" s="207"/>
      <c r="P440" s="207"/>
      <c r="Q440" s="207"/>
      <c r="R440" s="207"/>
      <c r="S440" s="207"/>
      <c r="T440" s="207"/>
      <c r="U440" s="207"/>
      <c r="V440" s="207"/>
      <c r="W440" s="207"/>
      <c r="X440" s="207"/>
      <c r="Y440" s="207"/>
      <c r="Z440" s="207"/>
      <c r="AA440" s="207"/>
      <c r="AB440" s="207"/>
      <c r="AC440" s="5"/>
      <c r="AD440" s="63"/>
      <c r="AE440" s="64"/>
      <c r="AF440" s="64"/>
      <c r="AG440" s="212"/>
      <c r="AH440" s="64"/>
      <c r="AI440" s="64"/>
      <c r="AJ440" s="64"/>
      <c r="AK440" s="212"/>
      <c r="AL440" s="64"/>
      <c r="AM440" s="64"/>
      <c r="AN440" s="64"/>
      <c r="AO440" s="64"/>
      <c r="AP440" s="63"/>
      <c r="AQ440" s="64"/>
      <c r="AR440" s="63"/>
      <c r="AS440" s="64"/>
      <c r="AT440" s="63"/>
      <c r="AU440" s="64"/>
      <c r="AV440" s="63"/>
      <c r="AW440" s="64"/>
      <c r="AX440" s="63"/>
      <c r="AY440" s="5"/>
      <c r="AZ440" s="21" t="str">
        <f t="shared" si="95"/>
        <v/>
      </c>
      <c r="BA440" s="264" t="s">
        <v>438</v>
      </c>
      <c r="BB440" s="264"/>
      <c r="BC440" s="264"/>
      <c r="BD440" s="264" t="s">
        <v>34</v>
      </c>
      <c r="BE440" s="216" t="s">
        <v>134</v>
      </c>
      <c r="BF440" s="56"/>
      <c r="BG440" s="56"/>
      <c r="BH440" s="56"/>
      <c r="BI440" s="56"/>
      <c r="BJ440" s="56"/>
      <c r="BK440" s="56"/>
      <c r="BL440" s="56"/>
      <c r="BM440" s="56"/>
      <c r="BN440" s="56"/>
      <c r="BO440" s="56"/>
      <c r="BP440" s="56"/>
      <c r="BQ440" s="5"/>
      <c r="BR440" s="25"/>
      <c r="BS440" s="5"/>
    </row>
    <row r="441" spans="1:71" s="3" customFormat="1" x14ac:dyDescent="0.25">
      <c r="A441" s="5"/>
      <c r="B441" s="3" t="str">
        <f t="array" ref="B441">IFERROR(INDEX(DemandSupply,MATCH(INDEX($AH$1:AH441,SMALL(ROW($AH$1:AH441)+(10000*($AH$1:AH441="")),COUNTA($AH$1:AH441))),Sectors,0)),"")</f>
        <v>Demand</v>
      </c>
      <c r="E441" s="10"/>
      <c r="F441" s="207"/>
      <c r="G441" s="207"/>
      <c r="H441" s="207"/>
      <c r="I441" s="207"/>
      <c r="J441" s="207"/>
      <c r="K441" s="207"/>
      <c r="L441" s="207"/>
      <c r="M441" s="207"/>
      <c r="N441" s="207"/>
      <c r="O441" s="207"/>
      <c r="P441" s="207"/>
      <c r="Q441" s="207"/>
      <c r="R441" s="207"/>
      <c r="S441" s="207"/>
      <c r="T441" s="207"/>
      <c r="U441" s="207"/>
      <c r="V441" s="207"/>
      <c r="W441" s="207"/>
      <c r="X441" s="207"/>
      <c r="Y441" s="207"/>
      <c r="Z441" s="207"/>
      <c r="AA441" s="207"/>
      <c r="AB441" s="207"/>
      <c r="AC441" s="5"/>
      <c r="AD441" s="63"/>
      <c r="AE441" s="64"/>
      <c r="AF441" s="64"/>
      <c r="AG441" s="212"/>
      <c r="AH441" s="64"/>
      <c r="AI441" s="64"/>
      <c r="AJ441" s="64"/>
      <c r="AK441" s="212"/>
      <c r="AL441" s="64"/>
      <c r="AM441" s="64"/>
      <c r="AN441" s="64"/>
      <c r="AO441" s="64"/>
      <c r="AP441" s="63"/>
      <c r="AQ441" s="64"/>
      <c r="AR441" s="63"/>
      <c r="AS441" s="64"/>
      <c r="AT441" s="63"/>
      <c r="AU441" s="64"/>
      <c r="AV441" s="63"/>
      <c r="AW441" s="64"/>
      <c r="AX441" s="63"/>
      <c r="AY441" s="5"/>
      <c r="AZ441" s="21" t="str">
        <f t="shared" si="95"/>
        <v/>
      </c>
      <c r="BA441" s="264" t="s">
        <v>435</v>
      </c>
      <c r="BB441" s="264"/>
      <c r="BC441" s="264"/>
      <c r="BD441" s="264"/>
      <c r="BE441" s="216" t="s">
        <v>134</v>
      </c>
      <c r="BF441" s="55"/>
      <c r="BG441" s="55"/>
      <c r="BH441" s="55"/>
      <c r="BI441" s="55"/>
      <c r="BJ441" s="55"/>
      <c r="BK441" s="55"/>
      <c r="BL441" s="55"/>
      <c r="BM441" s="55"/>
      <c r="BN441" s="55"/>
      <c r="BO441" s="55"/>
      <c r="BP441" s="55"/>
      <c r="BQ441" s="5"/>
      <c r="BR441" s="25"/>
      <c r="BS441" s="5"/>
    </row>
    <row r="442" spans="1:71" s="3" customFormat="1" x14ac:dyDescent="0.25">
      <c r="A442" s="5"/>
      <c r="B442" s="3" t="str">
        <f t="array" ref="B442">IFERROR(INDEX(DemandSupply,MATCH(INDEX($AH$1:AH442,SMALL(ROW($AH$1:AH442)+(10000*($AH$1:AH442="")),COUNTA($AH$1:AH442))),Sectors,0)),"")</f>
        <v>Demand</v>
      </c>
      <c r="E442" s="10"/>
      <c r="F442" s="207"/>
      <c r="G442" s="207"/>
      <c r="H442" s="207"/>
      <c r="I442" s="207"/>
      <c r="J442" s="207"/>
      <c r="K442" s="207"/>
      <c r="L442" s="207"/>
      <c r="M442" s="207"/>
      <c r="N442" s="207"/>
      <c r="O442" s="207"/>
      <c r="P442" s="207"/>
      <c r="Q442" s="207"/>
      <c r="R442" s="207"/>
      <c r="S442" s="207"/>
      <c r="T442" s="207"/>
      <c r="U442" s="207"/>
      <c r="V442" s="207"/>
      <c r="W442" s="207"/>
      <c r="X442" s="207"/>
      <c r="Y442" s="207"/>
      <c r="Z442" s="207"/>
      <c r="AA442" s="207"/>
      <c r="AB442" s="207"/>
      <c r="AC442" s="5"/>
      <c r="AD442" s="63"/>
      <c r="AE442" s="64"/>
      <c r="AF442" s="64"/>
      <c r="AG442" s="212"/>
      <c r="AH442" s="64"/>
      <c r="AI442" s="64"/>
      <c r="AJ442" s="64"/>
      <c r="AK442" s="212"/>
      <c r="AL442" s="64"/>
      <c r="AM442" s="64"/>
      <c r="AN442" s="64"/>
      <c r="AO442" s="64"/>
      <c r="AP442" s="63"/>
      <c r="AQ442" s="64"/>
      <c r="AR442" s="63"/>
      <c r="AS442" s="64"/>
      <c r="AT442" s="63"/>
      <c r="AU442" s="64"/>
      <c r="AV442" s="63"/>
      <c r="AW442" s="64"/>
      <c r="AX442" s="63"/>
      <c r="AY442" s="5"/>
      <c r="AZ442" s="21" t="str">
        <f t="shared" si="95"/>
        <v/>
      </c>
      <c r="BA442" s="264" t="s">
        <v>407</v>
      </c>
      <c r="BB442" s="264"/>
      <c r="BC442" s="264"/>
      <c r="BD442" s="264" t="s">
        <v>99</v>
      </c>
      <c r="BE442" s="216" t="s">
        <v>134</v>
      </c>
      <c r="BF442" s="303"/>
      <c r="BG442" s="303"/>
      <c r="BH442" s="303"/>
      <c r="BI442" s="303"/>
      <c r="BJ442" s="303"/>
      <c r="BK442" s="303"/>
      <c r="BL442" s="303"/>
      <c r="BM442" s="303"/>
      <c r="BN442" s="303"/>
      <c r="BO442" s="303"/>
      <c r="BP442" s="303"/>
      <c r="BQ442" s="5"/>
      <c r="BR442" s="25"/>
      <c r="BS442" s="5"/>
    </row>
    <row r="443" spans="1:71" s="3" customFormat="1" x14ac:dyDescent="0.25">
      <c r="A443" s="5"/>
      <c r="B443" s="3" t="str">
        <f t="array" ref="B443">IFERROR(INDEX(DemandSupply,MATCH(INDEX($AH$1:AH443,SMALL(ROW($AH$1:AH443)+(10000*($AH$1:AH443="")),COUNTA($AH$1:AH443))),Sectors,0)),"")</f>
        <v>Demand</v>
      </c>
      <c r="E443" s="10"/>
      <c r="F443" s="207"/>
      <c r="G443" s="207"/>
      <c r="H443" s="207"/>
      <c r="I443" s="207"/>
      <c r="J443" s="207"/>
      <c r="K443" s="207"/>
      <c r="L443" s="207"/>
      <c r="M443" s="207"/>
      <c r="N443" s="207"/>
      <c r="O443" s="207"/>
      <c r="P443" s="207"/>
      <c r="Q443" s="207"/>
      <c r="R443" s="207"/>
      <c r="S443" s="207"/>
      <c r="T443" s="207"/>
      <c r="U443" s="207"/>
      <c r="V443" s="207"/>
      <c r="W443" s="207"/>
      <c r="X443" s="207"/>
      <c r="Y443" s="207"/>
      <c r="Z443" s="207"/>
      <c r="AA443" s="207"/>
      <c r="AB443" s="207"/>
      <c r="AC443" s="5"/>
      <c r="AD443" s="63"/>
      <c r="AE443" s="64"/>
      <c r="AF443" s="64"/>
      <c r="AG443" s="212"/>
      <c r="AH443" s="64"/>
      <c r="AI443" s="64"/>
      <c r="AJ443" s="64"/>
      <c r="AK443" s="212"/>
      <c r="AL443" s="64"/>
      <c r="AM443" s="64"/>
      <c r="AN443" s="64"/>
      <c r="AO443" s="64"/>
      <c r="AP443" s="63"/>
      <c r="AQ443" s="64"/>
      <c r="AR443" s="63"/>
      <c r="AS443" s="64"/>
      <c r="AT443" s="63"/>
      <c r="AU443" s="64"/>
      <c r="AV443" s="63"/>
      <c r="AW443" s="64"/>
      <c r="AX443" s="63"/>
      <c r="AY443" s="5"/>
      <c r="AZ443" s="21" t="str">
        <f t="shared" si="95"/>
        <v/>
      </c>
      <c r="BA443" s="264" t="s">
        <v>444</v>
      </c>
      <c r="BB443" s="264"/>
      <c r="BC443" s="264"/>
      <c r="BD443" s="264" t="s">
        <v>354</v>
      </c>
      <c r="BE443" s="216" t="s">
        <v>134</v>
      </c>
      <c r="BF443" s="56"/>
      <c r="BG443" s="56"/>
      <c r="BH443" s="56"/>
      <c r="BI443" s="56"/>
      <c r="BJ443" s="56"/>
      <c r="BK443" s="56"/>
      <c r="BL443" s="56"/>
      <c r="BM443" s="56"/>
      <c r="BN443" s="56"/>
      <c r="BO443" s="56"/>
      <c r="BP443" s="56"/>
      <c r="BQ443" s="5"/>
      <c r="BR443" s="25"/>
      <c r="BS443" s="5"/>
    </row>
    <row r="444" spans="1:71" s="3" customFormat="1" x14ac:dyDescent="0.25">
      <c r="A444" s="5"/>
      <c r="B444" s="3" t="str">
        <f t="array" ref="B444">IFERROR(INDEX(DemandSupply,MATCH(INDEX($AH$1:AH444,SMALL(ROW($AH$1:AH444)+(10000*($AH$1:AH444="")),COUNTA($AH$1:AH444))),Sectors,0)),"")</f>
        <v>Demand</v>
      </c>
      <c r="E444" s="10"/>
      <c r="F444" s="207"/>
      <c r="G444" s="207"/>
      <c r="H444" s="207"/>
      <c r="I444" s="207"/>
      <c r="J444" s="207"/>
      <c r="K444" s="207"/>
      <c r="L444" s="207"/>
      <c r="M444" s="207"/>
      <c r="N444" s="207"/>
      <c r="O444" s="207"/>
      <c r="P444" s="207"/>
      <c r="Q444" s="207"/>
      <c r="R444" s="207"/>
      <c r="S444" s="207"/>
      <c r="T444" s="207"/>
      <c r="U444" s="207"/>
      <c r="V444" s="207"/>
      <c r="W444" s="207"/>
      <c r="X444" s="207"/>
      <c r="Y444" s="207"/>
      <c r="Z444" s="207"/>
      <c r="AA444" s="207"/>
      <c r="AB444" s="207"/>
      <c r="AC444" s="5"/>
      <c r="AD444" s="63"/>
      <c r="AE444" s="64"/>
      <c r="AF444" s="64"/>
      <c r="AG444" s="212"/>
      <c r="AH444" s="64"/>
      <c r="AI444" s="64"/>
      <c r="AJ444" s="64"/>
      <c r="AK444" s="212"/>
      <c r="AL444" s="64"/>
      <c r="AM444" s="64"/>
      <c r="AN444" s="64"/>
      <c r="AO444" s="64"/>
      <c r="AP444" s="63"/>
      <c r="AQ444" s="64"/>
      <c r="AR444" s="63"/>
      <c r="AS444" s="64"/>
      <c r="AT444" s="63"/>
      <c r="AU444" s="64"/>
      <c r="AV444" s="63"/>
      <c r="AW444" s="64"/>
      <c r="AX444" s="63"/>
      <c r="AY444" s="5"/>
      <c r="AZ444" s="21" t="str">
        <f t="shared" si="95"/>
        <v/>
      </c>
      <c r="BA444" s="264" t="s">
        <v>446</v>
      </c>
      <c r="BB444" s="264"/>
      <c r="BC444" s="264"/>
      <c r="BD444" s="264" t="s">
        <v>354</v>
      </c>
      <c r="BE444" s="216" t="s">
        <v>134</v>
      </c>
      <c r="BF444" s="56"/>
      <c r="BG444" s="56"/>
      <c r="BH444" s="56"/>
      <c r="BI444" s="56"/>
      <c r="BJ444" s="56"/>
      <c r="BK444" s="56"/>
      <c r="BL444" s="56"/>
      <c r="BM444" s="56"/>
      <c r="BN444" s="56"/>
      <c r="BO444" s="56"/>
      <c r="BP444" s="56"/>
      <c r="BQ444" s="5"/>
      <c r="BR444" s="25"/>
      <c r="BS444" s="5"/>
    </row>
    <row r="445" spans="1:71" s="3" customFormat="1" x14ac:dyDescent="0.25">
      <c r="A445" s="5"/>
      <c r="B445" s="3" t="str">
        <f t="array" ref="B445">IFERROR(INDEX(DemandSupply,MATCH(INDEX($AH$1:AH445,SMALL(ROW($AH$1:AH445)+(10000*($AH$1:AH445="")),COUNTA($AH$1:AH445))),Sectors,0)),"")</f>
        <v>Demand</v>
      </c>
      <c r="E445" s="10"/>
      <c r="F445" s="207"/>
      <c r="G445" s="207"/>
      <c r="H445" s="207"/>
      <c r="I445" s="207"/>
      <c r="J445" s="207"/>
      <c r="K445" s="207"/>
      <c r="L445" s="207"/>
      <c r="M445" s="207"/>
      <c r="N445" s="207"/>
      <c r="O445" s="207"/>
      <c r="P445" s="207"/>
      <c r="Q445" s="207"/>
      <c r="R445" s="207"/>
      <c r="S445" s="207"/>
      <c r="T445" s="207"/>
      <c r="U445" s="207"/>
      <c r="V445" s="207"/>
      <c r="W445" s="207"/>
      <c r="X445" s="207"/>
      <c r="Y445" s="207"/>
      <c r="Z445" s="207"/>
      <c r="AA445" s="207"/>
      <c r="AB445" s="207"/>
      <c r="AC445" s="5"/>
      <c r="AD445" s="63"/>
      <c r="AE445" s="64"/>
      <c r="AF445" s="64"/>
      <c r="AG445" s="212"/>
      <c r="AH445" s="64"/>
      <c r="AI445" s="64"/>
      <c r="AJ445" s="64"/>
      <c r="AK445" s="212"/>
      <c r="AL445" s="64"/>
      <c r="AM445" s="64"/>
      <c r="AN445" s="64"/>
      <c r="AO445" s="64"/>
      <c r="AP445" s="63"/>
      <c r="AQ445" s="64"/>
      <c r="AR445" s="63"/>
      <c r="AS445" s="64"/>
      <c r="AT445" s="63"/>
      <c r="AU445" s="64"/>
      <c r="AV445" s="63"/>
      <c r="AW445" s="64"/>
      <c r="AX445" s="63"/>
      <c r="AY445" s="5"/>
      <c r="AZ445" s="21" t="str">
        <f t="shared" si="95"/>
        <v/>
      </c>
      <c r="BA445" s="264" t="s">
        <v>447</v>
      </c>
      <c r="BB445" s="264"/>
      <c r="BC445" s="264"/>
      <c r="BD445" s="264"/>
      <c r="BE445" s="216" t="s">
        <v>134</v>
      </c>
      <c r="BF445" s="55"/>
      <c r="BG445" s="55"/>
      <c r="BH445" s="55"/>
      <c r="BI445" s="55"/>
      <c r="BJ445" s="55"/>
      <c r="BK445" s="55"/>
      <c r="BL445" s="55"/>
      <c r="BM445" s="55"/>
      <c r="BN445" s="55"/>
      <c r="BO445" s="55"/>
      <c r="BP445" s="55"/>
      <c r="BQ445" s="5"/>
      <c r="BR445" s="25"/>
      <c r="BS445" s="5"/>
    </row>
    <row r="446" spans="1:71" s="3" customFormat="1" x14ac:dyDescent="0.25">
      <c r="A446" s="5"/>
      <c r="B446" s="3" t="str">
        <f t="array" ref="B446">IFERROR(INDEX(DemandSupply,MATCH(INDEX($AH$1:AH446,SMALL(ROW($AH$1:AH446)+(10000*($AH$1:AH446="")),COUNTA($AH$1:AH446))),Sectors,0)),"")</f>
        <v>Demand</v>
      </c>
      <c r="E446" s="10"/>
      <c r="F446" s="207"/>
      <c r="G446" s="207"/>
      <c r="H446" s="207"/>
      <c r="I446" s="207"/>
      <c r="J446" s="207"/>
      <c r="K446" s="207"/>
      <c r="L446" s="207"/>
      <c r="M446" s="207"/>
      <c r="N446" s="207"/>
      <c r="O446" s="207"/>
      <c r="P446" s="207"/>
      <c r="Q446" s="207"/>
      <c r="R446" s="207"/>
      <c r="S446" s="207"/>
      <c r="T446" s="207"/>
      <c r="U446" s="207"/>
      <c r="V446" s="207"/>
      <c r="W446" s="207"/>
      <c r="X446" s="207"/>
      <c r="Y446" s="207"/>
      <c r="Z446" s="207"/>
      <c r="AA446" s="207"/>
      <c r="AB446" s="207"/>
      <c r="AC446" s="5"/>
      <c r="AD446" s="63"/>
      <c r="AE446" s="64"/>
      <c r="AF446" s="64"/>
      <c r="AG446" s="212"/>
      <c r="AH446" s="64"/>
      <c r="AI446" s="64"/>
      <c r="AJ446" s="64"/>
      <c r="AK446" s="212"/>
      <c r="AL446" s="64"/>
      <c r="AM446" s="64"/>
      <c r="AN446" s="64"/>
      <c r="AO446" s="64"/>
      <c r="AP446" s="63"/>
      <c r="AQ446" s="64"/>
      <c r="AR446" s="63"/>
      <c r="AS446" s="64"/>
      <c r="AT446" s="63"/>
      <c r="AU446" s="64"/>
      <c r="AV446" s="63"/>
      <c r="AW446" s="64"/>
      <c r="AX446" s="63"/>
      <c r="AY446" s="5"/>
      <c r="AZ446" s="21" t="str">
        <f t="shared" si="95"/>
        <v/>
      </c>
      <c r="BA446" s="264" t="s">
        <v>448</v>
      </c>
      <c r="BB446" s="264"/>
      <c r="BC446" s="264"/>
      <c r="BD446" s="264"/>
      <c r="BE446" s="216" t="s">
        <v>134</v>
      </c>
      <c r="BF446" s="55"/>
      <c r="BG446" s="55"/>
      <c r="BH446" s="55"/>
      <c r="BI446" s="55"/>
      <c r="BJ446" s="55"/>
      <c r="BK446" s="55"/>
      <c r="BL446" s="55"/>
      <c r="BM446" s="55"/>
      <c r="BN446" s="55"/>
      <c r="BO446" s="55"/>
      <c r="BP446" s="55"/>
      <c r="BQ446" s="5"/>
      <c r="BR446" s="25"/>
      <c r="BS446" s="5"/>
    </row>
    <row r="447" spans="1:71" s="3" customFormat="1" x14ac:dyDescent="0.25">
      <c r="A447" s="5"/>
      <c r="B447" s="3" t="str">
        <f t="array" ref="B447">IFERROR(INDEX(DemandSupply,MATCH(INDEX($AH$1:AH447,SMALL(ROW($AH$1:AH447)+(10000*($AH$1:AH447="")),COUNTA($AH$1:AH447))),Sectors,0)),"")</f>
        <v>Demand</v>
      </c>
      <c r="E447" s="10"/>
      <c r="F447" s="207"/>
      <c r="G447" s="207"/>
      <c r="H447" s="207"/>
      <c r="I447" s="207"/>
      <c r="J447" s="207"/>
      <c r="K447" s="207"/>
      <c r="L447" s="207"/>
      <c r="M447" s="207"/>
      <c r="N447" s="207"/>
      <c r="O447" s="207"/>
      <c r="P447" s="207"/>
      <c r="Q447" s="207"/>
      <c r="R447" s="207"/>
      <c r="S447" s="207"/>
      <c r="T447" s="207"/>
      <c r="U447" s="207"/>
      <c r="V447" s="207"/>
      <c r="W447" s="207"/>
      <c r="X447" s="207"/>
      <c r="Y447" s="207"/>
      <c r="Z447" s="207"/>
      <c r="AA447" s="207"/>
      <c r="AB447" s="207"/>
      <c r="AC447" s="5"/>
      <c r="AD447" s="63"/>
      <c r="AE447" s="64"/>
      <c r="AF447" s="64"/>
      <c r="AG447" s="212"/>
      <c r="AH447" s="64"/>
      <c r="AI447" s="64"/>
      <c r="AJ447" s="64"/>
      <c r="AK447" s="212"/>
      <c r="AL447" s="64"/>
      <c r="AM447" s="64"/>
      <c r="AN447" s="64"/>
      <c r="AO447" s="64"/>
      <c r="AP447" s="63"/>
      <c r="AQ447" s="64"/>
      <c r="AR447" s="63"/>
      <c r="AS447" s="64"/>
      <c r="AT447" s="63"/>
      <c r="AU447" s="64"/>
      <c r="AV447" s="63"/>
      <c r="AW447" s="64"/>
      <c r="AX447" s="63"/>
      <c r="AY447" s="5"/>
      <c r="AZ447" s="21" t="str">
        <f t="shared" si="95"/>
        <v/>
      </c>
      <c r="BA447" s="264" t="s">
        <v>445</v>
      </c>
      <c r="BB447" s="264"/>
      <c r="BC447" s="264"/>
      <c r="BD447" s="264" t="s">
        <v>355</v>
      </c>
      <c r="BE447" s="216" t="s">
        <v>134</v>
      </c>
      <c r="BF447" s="56"/>
      <c r="BG447" s="56"/>
      <c r="BH447" s="56"/>
      <c r="BI447" s="56"/>
      <c r="BJ447" s="56"/>
      <c r="BK447" s="56"/>
      <c r="BL447" s="56"/>
      <c r="BM447" s="56"/>
      <c r="BN447" s="56"/>
      <c r="BO447" s="56"/>
      <c r="BP447" s="56"/>
      <c r="BQ447" s="5"/>
      <c r="BR447" s="25"/>
      <c r="BS447" s="5"/>
    </row>
    <row r="448" spans="1:71" s="3" customFormat="1" x14ac:dyDescent="0.25">
      <c r="A448" s="5"/>
      <c r="B448" s="3" t="str">
        <f t="array" ref="B448">IFERROR(INDEX(DemandSupply,MATCH(INDEX($AH$1:AH448,SMALL(ROW($AH$1:AH448)+(10000*($AH$1:AH448="")),COUNTA($AH$1:AH448))),Sectors,0)),"")</f>
        <v>Demand</v>
      </c>
      <c r="E448" s="10"/>
      <c r="F448" s="207"/>
      <c r="G448" s="207"/>
      <c r="H448" s="207"/>
      <c r="I448" s="207"/>
      <c r="J448" s="207"/>
      <c r="K448" s="207"/>
      <c r="L448" s="207"/>
      <c r="M448" s="207"/>
      <c r="N448" s="207"/>
      <c r="O448" s="207"/>
      <c r="P448" s="207"/>
      <c r="Q448" s="207"/>
      <c r="R448" s="207"/>
      <c r="S448" s="207"/>
      <c r="T448" s="207"/>
      <c r="U448" s="207"/>
      <c r="V448" s="207"/>
      <c r="W448" s="207"/>
      <c r="X448" s="207"/>
      <c r="Y448" s="207"/>
      <c r="Z448" s="207"/>
      <c r="AA448" s="207"/>
      <c r="AB448" s="207"/>
      <c r="AC448" s="5"/>
      <c r="AD448" s="63"/>
      <c r="AE448" s="64"/>
      <c r="AF448" s="64"/>
      <c r="AG448" s="212"/>
      <c r="AH448" s="64"/>
      <c r="AI448" s="64"/>
      <c r="AJ448" s="64"/>
      <c r="AK448" s="212"/>
      <c r="AL448" s="64"/>
      <c r="AM448" s="64"/>
      <c r="AN448" s="64"/>
      <c r="AO448" s="64"/>
      <c r="AP448" s="63"/>
      <c r="AQ448" s="64"/>
      <c r="AR448" s="63"/>
      <c r="AS448" s="64"/>
      <c r="AT448" s="63"/>
      <c r="AU448" s="64"/>
      <c r="AV448" s="63"/>
      <c r="AW448" s="64"/>
      <c r="AX448" s="63"/>
      <c r="AY448" s="5"/>
      <c r="AZ448" s="21" t="str">
        <f t="shared" si="95"/>
        <v/>
      </c>
      <c r="BA448" s="264" t="s">
        <v>449</v>
      </c>
      <c r="BB448" s="264"/>
      <c r="BC448" s="264"/>
      <c r="BD448" s="264" t="s">
        <v>355</v>
      </c>
      <c r="BE448" s="216" t="s">
        <v>134</v>
      </c>
      <c r="BF448" s="56"/>
      <c r="BG448" s="56"/>
      <c r="BH448" s="56"/>
      <c r="BI448" s="56"/>
      <c r="BJ448" s="56"/>
      <c r="BK448" s="56"/>
      <c r="BL448" s="56"/>
      <c r="BM448" s="56"/>
      <c r="BN448" s="56"/>
      <c r="BO448" s="56"/>
      <c r="BP448" s="56"/>
      <c r="BQ448" s="5"/>
      <c r="BR448" s="25"/>
      <c r="BS448" s="5"/>
    </row>
    <row r="449" spans="1:71" s="3" customFormat="1" x14ac:dyDescent="0.25">
      <c r="A449" s="5"/>
      <c r="B449" s="3" t="str">
        <f t="array" ref="B449">IFERROR(INDEX(DemandSupply,MATCH(INDEX($AH$1:AH449,SMALL(ROW($AH$1:AH449)+(10000*($AH$1:AH449="")),COUNTA($AH$1:AH449))),Sectors,0)),"")</f>
        <v>Demand</v>
      </c>
      <c r="E449" s="10"/>
      <c r="F449" s="207"/>
      <c r="G449" s="207"/>
      <c r="H449" s="207"/>
      <c r="I449" s="207"/>
      <c r="J449" s="207"/>
      <c r="K449" s="207"/>
      <c r="L449" s="207"/>
      <c r="M449" s="207"/>
      <c r="N449" s="207"/>
      <c r="O449" s="207"/>
      <c r="P449" s="207"/>
      <c r="Q449" s="207"/>
      <c r="R449" s="207"/>
      <c r="S449" s="207"/>
      <c r="T449" s="207"/>
      <c r="U449" s="207"/>
      <c r="V449" s="207"/>
      <c r="W449" s="207"/>
      <c r="X449" s="207"/>
      <c r="Y449" s="207"/>
      <c r="Z449" s="207"/>
      <c r="AA449" s="207"/>
      <c r="AB449" s="207"/>
      <c r="AC449" s="5"/>
      <c r="AD449" s="63"/>
      <c r="AE449" s="64"/>
      <c r="AF449" s="64"/>
      <c r="AG449" s="212"/>
      <c r="AH449" s="64"/>
      <c r="AI449" s="64"/>
      <c r="AJ449" s="64"/>
      <c r="AK449" s="212"/>
      <c r="AL449" s="64"/>
      <c r="AM449" s="64"/>
      <c r="AN449" s="64"/>
      <c r="AO449" s="64"/>
      <c r="AP449" s="63"/>
      <c r="AQ449" s="64"/>
      <c r="AR449" s="63"/>
      <c r="AS449" s="64"/>
      <c r="AT449" s="63"/>
      <c r="AU449" s="64"/>
      <c r="AV449" s="63"/>
      <c r="AW449" s="64"/>
      <c r="AX449" s="63"/>
      <c r="AY449" s="5"/>
      <c r="AZ449" s="21" t="str">
        <f t="shared" si="95"/>
        <v/>
      </c>
      <c r="BA449" s="264" t="s">
        <v>450</v>
      </c>
      <c r="BB449" s="264"/>
      <c r="BC449" s="264"/>
      <c r="BD449" s="264"/>
      <c r="BE449" s="216" t="s">
        <v>134</v>
      </c>
      <c r="BF449" s="55"/>
      <c r="BG449" s="55"/>
      <c r="BH449" s="55"/>
      <c r="BI449" s="55"/>
      <c r="BJ449" s="55"/>
      <c r="BK449" s="55"/>
      <c r="BL449" s="55"/>
      <c r="BM449" s="55"/>
      <c r="BN449" s="55"/>
      <c r="BO449" s="55"/>
      <c r="BP449" s="55"/>
      <c r="BQ449" s="5"/>
      <c r="BR449" s="25"/>
      <c r="BS449" s="5"/>
    </row>
    <row r="450" spans="1:71" s="3" customFormat="1" x14ac:dyDescent="0.25">
      <c r="A450" s="5"/>
      <c r="B450" s="3" t="str">
        <f t="array" ref="B450">IFERROR(INDEX(DemandSupply,MATCH(INDEX($AH$1:AH450,SMALL(ROW($AH$1:AH450)+(10000*($AH$1:AH450="")),COUNTA($AH$1:AH450))),Sectors,0)),"")</f>
        <v>Demand</v>
      </c>
      <c r="E450" s="10"/>
      <c r="F450" s="207"/>
      <c r="G450" s="207"/>
      <c r="H450" s="207"/>
      <c r="I450" s="207"/>
      <c r="J450" s="207"/>
      <c r="K450" s="207"/>
      <c r="L450" s="207"/>
      <c r="M450" s="207"/>
      <c r="N450" s="207"/>
      <c r="O450" s="207"/>
      <c r="P450" s="207"/>
      <c r="Q450" s="207"/>
      <c r="R450" s="207"/>
      <c r="S450" s="207"/>
      <c r="T450" s="207"/>
      <c r="U450" s="207"/>
      <c r="V450" s="207"/>
      <c r="W450" s="207"/>
      <c r="X450" s="207"/>
      <c r="Y450" s="207"/>
      <c r="Z450" s="207"/>
      <c r="AA450" s="207"/>
      <c r="AB450" s="207"/>
      <c r="AC450" s="5"/>
      <c r="AD450" s="63"/>
      <c r="AE450" s="64"/>
      <c r="AF450" s="64"/>
      <c r="AG450" s="212"/>
      <c r="AH450" s="64"/>
      <c r="AI450" s="64"/>
      <c r="AJ450" s="64"/>
      <c r="AK450" s="212"/>
      <c r="AL450" s="64"/>
      <c r="AM450" s="64"/>
      <c r="AN450" s="64"/>
      <c r="AO450" s="64"/>
      <c r="AP450" s="63"/>
      <c r="AQ450" s="64"/>
      <c r="AR450" s="63"/>
      <c r="AS450" s="64"/>
      <c r="AT450" s="63"/>
      <c r="AU450" s="64"/>
      <c r="AV450" s="63"/>
      <c r="AW450" s="64"/>
      <c r="AX450" s="63"/>
      <c r="AY450" s="5"/>
      <c r="AZ450" s="21" t="str">
        <f t="shared" si="95"/>
        <v/>
      </c>
      <c r="BA450" s="264" t="s">
        <v>451</v>
      </c>
      <c r="BB450" s="264"/>
      <c r="BC450" s="264"/>
      <c r="BD450" s="264"/>
      <c r="BE450" s="216" t="s">
        <v>134</v>
      </c>
      <c r="BF450" s="55"/>
      <c r="BG450" s="55"/>
      <c r="BH450" s="55"/>
      <c r="BI450" s="55"/>
      <c r="BJ450" s="55"/>
      <c r="BK450" s="55"/>
      <c r="BL450" s="55"/>
      <c r="BM450" s="55"/>
      <c r="BN450" s="55"/>
      <c r="BO450" s="55"/>
      <c r="BP450" s="55"/>
      <c r="BQ450" s="5"/>
      <c r="BR450" s="25"/>
      <c r="BS450" s="5"/>
    </row>
    <row r="451" spans="1:71" s="3" customFormat="1" x14ac:dyDescent="0.25">
      <c r="A451" s="5"/>
      <c r="B451" s="3" t="str">
        <f t="array" ref="B451">IFERROR(INDEX(DemandSupply,MATCH(INDEX($AH$1:AH451,SMALL(ROW($AH$1:AH451)+(10000*($AH$1:AH451="")),COUNTA($AH$1:AH451))),Sectors,0)),"")</f>
        <v>Demand</v>
      </c>
      <c r="E451" s="10"/>
      <c r="F451" s="207"/>
      <c r="G451" s="207"/>
      <c r="H451" s="207"/>
      <c r="I451" s="207"/>
      <c r="J451" s="207"/>
      <c r="K451" s="207"/>
      <c r="L451" s="207"/>
      <c r="M451" s="207"/>
      <c r="N451" s="207"/>
      <c r="O451" s="207"/>
      <c r="P451" s="207"/>
      <c r="Q451" s="207"/>
      <c r="R451" s="207"/>
      <c r="S451" s="207"/>
      <c r="T451" s="207"/>
      <c r="U451" s="207"/>
      <c r="V451" s="207"/>
      <c r="W451" s="207"/>
      <c r="X451" s="207"/>
      <c r="Y451" s="207"/>
      <c r="Z451" s="207"/>
      <c r="AA451" s="207"/>
      <c r="AB451" s="207"/>
      <c r="AC451" s="5"/>
      <c r="AD451" s="63"/>
      <c r="AE451" s="64"/>
      <c r="AF451" s="64"/>
      <c r="AG451" s="212"/>
      <c r="AH451" s="64"/>
      <c r="AI451" s="64"/>
      <c r="AJ451" s="64"/>
      <c r="AK451" s="212"/>
      <c r="AL451" s="64"/>
      <c r="AM451" s="64"/>
      <c r="AN451" s="64"/>
      <c r="AO451" s="64"/>
      <c r="AP451" s="63"/>
      <c r="AQ451" s="64"/>
      <c r="AR451" s="63"/>
      <c r="AS451" s="64"/>
      <c r="AT451" s="63"/>
      <c r="AU451" s="64"/>
      <c r="AV451" s="63"/>
      <c r="AW451" s="64"/>
      <c r="AX451" s="63"/>
      <c r="AY451" s="5"/>
      <c r="AZ451" s="21" t="str">
        <f t="shared" si="95"/>
        <v/>
      </c>
      <c r="BA451" s="264" t="s">
        <v>342</v>
      </c>
      <c r="BB451" s="264"/>
      <c r="BC451" s="264"/>
      <c r="BD451" s="264" t="s">
        <v>355</v>
      </c>
      <c r="BE451" s="216" t="s">
        <v>134</v>
      </c>
      <c r="BF451" s="56">
        <v>12.217000000000001</v>
      </c>
      <c r="BG451" s="282">
        <f t="shared" ref="BG451" si="120">BF451</f>
        <v>12.217000000000001</v>
      </c>
      <c r="BH451" s="282">
        <f t="shared" ref="BH451" si="121">BG451</f>
        <v>12.217000000000001</v>
      </c>
      <c r="BI451" s="282">
        <f t="shared" ref="BI451" si="122">BH451</f>
        <v>12.217000000000001</v>
      </c>
      <c r="BJ451" s="282">
        <f t="shared" ref="BJ451" si="123">BI451</f>
        <v>12.217000000000001</v>
      </c>
      <c r="BK451" s="282">
        <f t="shared" ref="BK451" si="124">BJ451</f>
        <v>12.217000000000001</v>
      </c>
      <c r="BL451" s="282">
        <f t="shared" ref="BL451" si="125">BK451</f>
        <v>12.217000000000001</v>
      </c>
      <c r="BM451" s="282">
        <f t="shared" ref="BM451" si="126">BL451</f>
        <v>12.217000000000001</v>
      </c>
      <c r="BN451" s="282">
        <f t="shared" ref="BN451" si="127">BM451</f>
        <v>12.217000000000001</v>
      </c>
      <c r="BO451" s="282">
        <f t="shared" ref="BO451" si="128">BN451</f>
        <v>12.217000000000001</v>
      </c>
      <c r="BP451" s="282">
        <f t="shared" ref="BP451" si="129">BO451</f>
        <v>12.217000000000001</v>
      </c>
      <c r="BQ451" s="5"/>
      <c r="BR451" s="25"/>
      <c r="BS451" s="5"/>
    </row>
    <row r="452" spans="1:71" s="3" customFormat="1" x14ac:dyDescent="0.25">
      <c r="A452" s="5"/>
      <c r="B452" s="3" t="str">
        <f t="array" ref="B452">IFERROR(INDEX(DemandSupply,MATCH(INDEX($AH$1:AH452,SMALL(ROW($AH$1:AH452)+(10000*($AH$1:AH452="")),COUNTA($AH$1:AH452))),Sectors,0)),"")</f>
        <v>Demand</v>
      </c>
      <c r="E452" s="10"/>
      <c r="F452" s="207"/>
      <c r="G452" s="207"/>
      <c r="H452" s="207"/>
      <c r="I452" s="207"/>
      <c r="J452" s="207"/>
      <c r="K452" s="207"/>
      <c r="L452" s="207"/>
      <c r="M452" s="207"/>
      <c r="N452" s="207"/>
      <c r="O452" s="207"/>
      <c r="P452" s="207"/>
      <c r="Q452" s="207"/>
      <c r="R452" s="207"/>
      <c r="S452" s="207"/>
      <c r="T452" s="207"/>
      <c r="U452" s="207"/>
      <c r="V452" s="207"/>
      <c r="W452" s="207"/>
      <c r="X452" s="207"/>
      <c r="Y452" s="207"/>
      <c r="Z452" s="207"/>
      <c r="AA452" s="207"/>
      <c r="AB452" s="207"/>
      <c r="AC452" s="5"/>
      <c r="AD452" s="63"/>
      <c r="AE452" s="64"/>
      <c r="AF452" s="64"/>
      <c r="AG452" s="212"/>
      <c r="AH452" s="64"/>
      <c r="AI452" s="64"/>
      <c r="AJ452" s="64"/>
      <c r="AK452" s="212"/>
      <c r="AL452" s="64"/>
      <c r="AM452" s="64"/>
      <c r="AN452" s="64"/>
      <c r="AO452" s="64"/>
      <c r="AP452" s="63"/>
      <c r="AQ452" s="64"/>
      <c r="AR452" s="63"/>
      <c r="AS452" s="64"/>
      <c r="AT452" s="63"/>
      <c r="AU452" s="64"/>
      <c r="AV452" s="63"/>
      <c r="AW452" s="64"/>
      <c r="AX452" s="63"/>
      <c r="AY452" s="5"/>
      <c r="AZ452" s="21" t="str">
        <f t="shared" si="95"/>
        <v/>
      </c>
      <c r="BA452" s="264" t="s">
        <v>394</v>
      </c>
      <c r="BB452" s="264"/>
      <c r="BC452" s="264"/>
      <c r="BD452" s="264" t="s">
        <v>354</v>
      </c>
      <c r="BE452" s="216" t="s">
        <v>134</v>
      </c>
      <c r="BF452" s="56"/>
      <c r="BG452" s="56"/>
      <c r="BH452" s="56"/>
      <c r="BI452" s="56"/>
      <c r="BJ452" s="56"/>
      <c r="BK452" s="56"/>
      <c r="BL452" s="56"/>
      <c r="BM452" s="56"/>
      <c r="BN452" s="56"/>
      <c r="BO452" s="56"/>
      <c r="BP452" s="56"/>
      <c r="BQ452" s="5"/>
      <c r="BR452" s="25"/>
      <c r="BS452" s="5"/>
    </row>
    <row r="453" spans="1:71" s="3" customFormat="1" x14ac:dyDescent="0.25">
      <c r="A453" s="5"/>
      <c r="B453" s="3" t="str">
        <f t="array" ref="B453">IFERROR(INDEX(DemandSupply,MATCH(INDEX($AH$1:AH453,SMALL(ROW($AH$1:AH453)+(10000*($AH$1:AH453="")),COUNTA($AH$1:AH453))),Sectors,0)),"")</f>
        <v>Demand</v>
      </c>
      <c r="E453" s="10">
        <f t="shared" si="88"/>
        <v>0</v>
      </c>
      <c r="F453" s="207">
        <v>1</v>
      </c>
      <c r="G453" s="207">
        <v>1</v>
      </c>
      <c r="H453" s="207">
        <v>1</v>
      </c>
      <c r="I453" s="207">
        <v>1</v>
      </c>
      <c r="J453" s="207">
        <v>1</v>
      </c>
      <c r="K453" s="207">
        <v>1</v>
      </c>
      <c r="L453" s="207">
        <v>1</v>
      </c>
      <c r="M453" s="207">
        <v>1</v>
      </c>
      <c r="N453" s="207">
        <v>1</v>
      </c>
      <c r="O453" s="207">
        <v>1</v>
      </c>
      <c r="P453" s="207">
        <v>1</v>
      </c>
      <c r="Q453" s="207">
        <v>1</v>
      </c>
      <c r="R453" s="207">
        <v>1</v>
      </c>
      <c r="S453" s="207">
        <v>1</v>
      </c>
      <c r="T453" s="207">
        <v>1</v>
      </c>
      <c r="U453" s="207">
        <v>1</v>
      </c>
      <c r="V453" s="207">
        <v>1</v>
      </c>
      <c r="W453" s="207">
        <v>1</v>
      </c>
      <c r="X453" s="207">
        <v>1</v>
      </c>
      <c r="Y453" s="207">
        <v>1</v>
      </c>
      <c r="Z453" s="207">
        <v>1</v>
      </c>
      <c r="AA453" s="207">
        <v>1</v>
      </c>
      <c r="AB453" s="207">
        <v>1</v>
      </c>
      <c r="AC453" s="5"/>
      <c r="AD453" s="63"/>
      <c r="AE453" s="64"/>
      <c r="AF453" s="64"/>
      <c r="AG453" s="212"/>
      <c r="AH453" s="64"/>
      <c r="AI453" s="64"/>
      <c r="AJ453" s="65"/>
      <c r="AK453" s="212"/>
      <c r="AL453" s="64"/>
      <c r="AM453" s="64"/>
      <c r="AN453" s="64"/>
      <c r="AO453" s="64"/>
      <c r="AP453" s="64"/>
      <c r="AQ453" s="64"/>
      <c r="AR453" s="63"/>
      <c r="AS453" s="64"/>
      <c r="AT453" s="63"/>
      <c r="AU453" s="64"/>
      <c r="AV453" s="63"/>
      <c r="AW453" s="64"/>
      <c r="AX453" s="63"/>
      <c r="AY453" s="5"/>
      <c r="AZ453" s="21" t="str">
        <f t="shared" si="95"/>
        <v/>
      </c>
      <c r="BA453" s="74" t="s">
        <v>338</v>
      </c>
      <c r="BB453" s="25"/>
      <c r="BC453" s="2" t="s">
        <v>185</v>
      </c>
      <c r="BD453" s="74" t="s">
        <v>367</v>
      </c>
      <c r="BE453" s="216" t="s">
        <v>134</v>
      </c>
      <c r="BF453" s="55">
        <v>0.34100000000000003</v>
      </c>
      <c r="BG453" s="55">
        <v>0.34100000000000003</v>
      </c>
      <c r="BH453" s="55">
        <v>0.34100000000000003</v>
      </c>
      <c r="BI453" s="55">
        <v>0.34100000000000003</v>
      </c>
      <c r="BJ453" s="55">
        <v>0.34100000000000003</v>
      </c>
      <c r="BK453" s="55">
        <v>0.34100000000000003</v>
      </c>
      <c r="BL453" s="55">
        <v>0.34100000000000003</v>
      </c>
      <c r="BM453" s="55">
        <v>0.34100000000000003</v>
      </c>
      <c r="BN453" s="55">
        <v>0.34100000000000003</v>
      </c>
      <c r="BO453" s="55">
        <v>0.34100000000000003</v>
      </c>
      <c r="BP453" s="55">
        <v>0.34100000000000003</v>
      </c>
      <c r="BQ453" s="5"/>
      <c r="BR453" s="25"/>
      <c r="BS453" s="5"/>
    </row>
    <row r="454" spans="1:71" s="3" customFormat="1" x14ac:dyDescent="0.25">
      <c r="A454" s="5"/>
      <c r="B454" s="3" t="str">
        <f t="array" ref="B454">IFERROR(INDEX(DemandSupply,MATCH(INDEX($AH$1:AH454,SMALL(ROW($AH$1:AH454)+(10000*($AH$1:AH454="")),COUNTA($AH$1:AH454))),Sectors,0)),"")</f>
        <v>Demand</v>
      </c>
      <c r="E454" s="10">
        <f t="shared" si="88"/>
        <v>0</v>
      </c>
      <c r="F454" s="207">
        <v>1</v>
      </c>
      <c r="G454" s="207">
        <v>1</v>
      </c>
      <c r="H454" s="207">
        <v>1</v>
      </c>
      <c r="I454" s="207">
        <v>1</v>
      </c>
      <c r="J454" s="207">
        <v>1</v>
      </c>
      <c r="K454" s="207">
        <v>1</v>
      </c>
      <c r="L454" s="207">
        <v>1</v>
      </c>
      <c r="M454" s="207">
        <v>1</v>
      </c>
      <c r="N454" s="207">
        <v>1</v>
      </c>
      <c r="O454" s="207">
        <v>1</v>
      </c>
      <c r="P454" s="207">
        <v>1</v>
      </c>
      <c r="Q454" s="207">
        <v>1</v>
      </c>
      <c r="R454" s="207">
        <v>1</v>
      </c>
      <c r="S454" s="207">
        <v>1</v>
      </c>
      <c r="T454" s="207">
        <v>1</v>
      </c>
      <c r="U454" s="207">
        <v>1</v>
      </c>
      <c r="V454" s="207">
        <v>1</v>
      </c>
      <c r="W454" s="207">
        <v>1</v>
      </c>
      <c r="X454" s="207">
        <v>1</v>
      </c>
      <c r="Y454" s="207">
        <v>1</v>
      </c>
      <c r="Z454" s="207">
        <v>1</v>
      </c>
      <c r="AA454" s="207">
        <v>1</v>
      </c>
      <c r="AB454" s="207">
        <v>1</v>
      </c>
      <c r="AC454" s="5"/>
      <c r="AD454" s="63"/>
      <c r="AE454" s="64"/>
      <c r="AF454" s="64"/>
      <c r="AG454" s="212"/>
      <c r="AH454" s="64"/>
      <c r="AI454" s="64"/>
      <c r="AJ454" s="65"/>
      <c r="AK454" s="212"/>
      <c r="AL454" s="64"/>
      <c r="AM454" s="64"/>
      <c r="AN454" s="64"/>
      <c r="AO454" s="64"/>
      <c r="AP454" s="64"/>
      <c r="AQ454" s="64"/>
      <c r="AR454" s="63"/>
      <c r="AS454" s="64"/>
      <c r="AT454" s="63"/>
      <c r="AU454" s="64"/>
      <c r="AV454" s="63"/>
      <c r="AW454" s="64"/>
      <c r="AX454" s="63"/>
      <c r="AY454" s="5"/>
      <c r="AZ454" s="21" t="str">
        <f t="shared" si="95"/>
        <v/>
      </c>
      <c r="BA454" s="291" t="s">
        <v>51</v>
      </c>
      <c r="BB454" s="25"/>
      <c r="BC454" s="2"/>
      <c r="BD454" s="2"/>
      <c r="BE454" s="216" t="s">
        <v>136</v>
      </c>
      <c r="BF454" s="4"/>
      <c r="BG454" s="4"/>
      <c r="BH454" s="4"/>
      <c r="BI454" s="4"/>
      <c r="BJ454" s="4"/>
      <c r="BK454" s="4"/>
      <c r="BL454" s="4"/>
      <c r="BM454" s="4"/>
      <c r="BN454" s="4"/>
      <c r="BO454" s="4"/>
      <c r="BP454" s="4"/>
      <c r="BQ454" s="5"/>
      <c r="BR454" s="25"/>
      <c r="BS454" s="5"/>
    </row>
    <row r="455" spans="1:71" s="3" customFormat="1" x14ac:dyDescent="0.25">
      <c r="A455" s="5"/>
      <c r="B455" s="3" t="str">
        <f t="array" ref="B455">IFERROR(INDEX(DemandSupply,MATCH(INDEX($AH$1:AH455,SMALL(ROW($AH$1:AH455)+(10000*($AH$1:AH455="")),COUNTA($AH$1:AH455))),Sectors,0)),"")</f>
        <v>Demand</v>
      </c>
      <c r="E455" s="10"/>
      <c r="F455" s="207"/>
      <c r="G455" s="207"/>
      <c r="H455" s="207"/>
      <c r="I455" s="207"/>
      <c r="J455" s="207"/>
      <c r="K455" s="207"/>
      <c r="L455" s="207"/>
      <c r="M455" s="207"/>
      <c r="N455" s="207"/>
      <c r="O455" s="207"/>
      <c r="P455" s="207"/>
      <c r="Q455" s="207"/>
      <c r="R455" s="207"/>
      <c r="S455" s="207"/>
      <c r="T455" s="207"/>
      <c r="U455" s="207"/>
      <c r="V455" s="207"/>
      <c r="W455" s="207"/>
      <c r="X455" s="207"/>
      <c r="Y455" s="207"/>
      <c r="Z455" s="207"/>
      <c r="AA455" s="207"/>
      <c r="AB455" s="207"/>
      <c r="AC455" s="5"/>
      <c r="AD455" s="63"/>
      <c r="AE455" s="64"/>
      <c r="AF455" s="64"/>
      <c r="AG455" s="212"/>
      <c r="AH455" s="64"/>
      <c r="AI455" s="64"/>
      <c r="AJ455" s="64"/>
      <c r="AK455" s="212"/>
      <c r="AL455" s="64"/>
      <c r="AM455" s="64"/>
      <c r="AN455" s="64"/>
      <c r="AO455" s="64"/>
      <c r="AP455" s="63"/>
      <c r="AQ455" s="64"/>
      <c r="AR455" s="63"/>
      <c r="AS455" s="64"/>
      <c r="AT455" s="63"/>
      <c r="AU455" s="64"/>
      <c r="AV455" s="63"/>
      <c r="AW455" s="64"/>
      <c r="AX455" s="63"/>
      <c r="AY455" s="5"/>
      <c r="AZ455" s="21" t="str">
        <f t="shared" si="95"/>
        <v/>
      </c>
      <c r="BA455" s="264" t="s">
        <v>38</v>
      </c>
      <c r="BB455" s="264"/>
      <c r="BC455" s="264"/>
      <c r="BD455" s="264" t="s">
        <v>40</v>
      </c>
      <c r="BE455" s="216" t="s">
        <v>136</v>
      </c>
      <c r="BF455" s="309">
        <v>1990</v>
      </c>
      <c r="BG455" s="310">
        <f t="shared" ref="BG455:BP455" si="130">BF455</f>
        <v>1990</v>
      </c>
      <c r="BH455" s="310">
        <f t="shared" si="130"/>
        <v>1990</v>
      </c>
      <c r="BI455" s="310">
        <f t="shared" si="130"/>
        <v>1990</v>
      </c>
      <c r="BJ455" s="310">
        <f t="shared" si="130"/>
        <v>1990</v>
      </c>
      <c r="BK455" s="310">
        <f t="shared" si="130"/>
        <v>1990</v>
      </c>
      <c r="BL455" s="310">
        <f t="shared" si="130"/>
        <v>1990</v>
      </c>
      <c r="BM455" s="310">
        <f t="shared" si="130"/>
        <v>1990</v>
      </c>
      <c r="BN455" s="310">
        <f t="shared" si="130"/>
        <v>1990</v>
      </c>
      <c r="BO455" s="310">
        <f t="shared" si="130"/>
        <v>1990</v>
      </c>
      <c r="BP455" s="310">
        <f t="shared" si="130"/>
        <v>1990</v>
      </c>
      <c r="BQ455" s="5"/>
      <c r="BR455" s="25"/>
      <c r="BS455" s="5"/>
    </row>
    <row r="456" spans="1:71" s="3" customFormat="1" x14ac:dyDescent="0.25">
      <c r="A456" s="5"/>
      <c r="B456" s="3" t="str">
        <f t="array" ref="B456">IFERROR(INDEX(DemandSupply,MATCH(INDEX($AH$1:AH456,SMALL(ROW($AH$1:AH456)+(10000*($AH$1:AH456="")),COUNTA($AH$1:AH456))),Sectors,0)),"")</f>
        <v>Demand</v>
      </c>
      <c r="E456" s="10"/>
      <c r="F456" s="207"/>
      <c r="G456" s="207"/>
      <c r="H456" s="207"/>
      <c r="I456" s="207"/>
      <c r="J456" s="207"/>
      <c r="K456" s="207"/>
      <c r="L456" s="207"/>
      <c r="M456" s="207"/>
      <c r="N456" s="207"/>
      <c r="O456" s="207"/>
      <c r="P456" s="207"/>
      <c r="Q456" s="207"/>
      <c r="R456" s="207"/>
      <c r="S456" s="207"/>
      <c r="T456" s="207"/>
      <c r="U456" s="207"/>
      <c r="V456" s="207"/>
      <c r="W456" s="207"/>
      <c r="X456" s="207"/>
      <c r="Y456" s="207"/>
      <c r="Z456" s="207"/>
      <c r="AA456" s="207"/>
      <c r="AB456" s="207"/>
      <c r="AC456" s="5"/>
      <c r="AD456" s="63"/>
      <c r="AE456" s="64"/>
      <c r="AF456" s="64"/>
      <c r="AG456" s="212"/>
      <c r="AH456" s="64"/>
      <c r="AI456" s="64"/>
      <c r="AJ456" s="64"/>
      <c r="AK456" s="212"/>
      <c r="AL456" s="64"/>
      <c r="AM456" s="64"/>
      <c r="AN456" s="64"/>
      <c r="AO456" s="64"/>
      <c r="AP456" s="63"/>
      <c r="AQ456" s="64"/>
      <c r="AR456" s="63"/>
      <c r="AS456" s="64"/>
      <c r="AT456" s="63"/>
      <c r="AU456" s="64"/>
      <c r="AV456" s="63"/>
      <c r="AW456" s="64"/>
      <c r="AX456" s="63"/>
      <c r="AY456" s="5"/>
      <c r="AZ456" s="21" t="str">
        <f t="shared" si="95"/>
        <v/>
      </c>
      <c r="BA456" s="264" t="s">
        <v>37</v>
      </c>
      <c r="BB456" s="264"/>
      <c r="BC456" s="264"/>
      <c r="BD456" s="264" t="s">
        <v>40</v>
      </c>
      <c r="BE456" s="216" t="s">
        <v>136</v>
      </c>
      <c r="BF456" s="309">
        <v>2000</v>
      </c>
      <c r="BG456" s="310">
        <f t="shared" ref="BG456:BP457" si="131">BF456</f>
        <v>2000</v>
      </c>
      <c r="BH456" s="310">
        <f t="shared" si="131"/>
        <v>2000</v>
      </c>
      <c r="BI456" s="310">
        <f t="shared" si="131"/>
        <v>2000</v>
      </c>
      <c r="BJ456" s="310">
        <f t="shared" si="131"/>
        <v>2000</v>
      </c>
      <c r="BK456" s="310">
        <f t="shared" si="131"/>
        <v>2000</v>
      </c>
      <c r="BL456" s="310">
        <f t="shared" si="131"/>
        <v>2000</v>
      </c>
      <c r="BM456" s="310">
        <f t="shared" si="131"/>
        <v>2000</v>
      </c>
      <c r="BN456" s="310">
        <f t="shared" si="131"/>
        <v>2000</v>
      </c>
      <c r="BO456" s="310">
        <f t="shared" si="131"/>
        <v>2000</v>
      </c>
      <c r="BP456" s="310">
        <f t="shared" si="131"/>
        <v>2000</v>
      </c>
      <c r="BQ456" s="5"/>
      <c r="BR456" s="25"/>
      <c r="BS456" s="5"/>
    </row>
    <row r="457" spans="1:71" s="3" customFormat="1" x14ac:dyDescent="0.25">
      <c r="A457" s="5"/>
      <c r="B457" s="3" t="str">
        <f t="array" ref="B457">IFERROR(INDEX(DemandSupply,MATCH(INDEX($AH$1:AH457,SMALL(ROW($AH$1:AH457)+(10000*($AH$1:AH457="")),COUNTA($AH$1:AH457))),Sectors,0)),"")</f>
        <v>Demand</v>
      </c>
      <c r="E457" s="10"/>
      <c r="F457" s="207"/>
      <c r="G457" s="207"/>
      <c r="H457" s="207"/>
      <c r="I457" s="207"/>
      <c r="J457" s="207"/>
      <c r="K457" s="207"/>
      <c r="L457" s="207"/>
      <c r="M457" s="207"/>
      <c r="N457" s="207"/>
      <c r="O457" s="207"/>
      <c r="P457" s="207"/>
      <c r="Q457" s="207"/>
      <c r="R457" s="207"/>
      <c r="S457" s="207"/>
      <c r="T457" s="207"/>
      <c r="U457" s="207"/>
      <c r="V457" s="207"/>
      <c r="W457" s="207"/>
      <c r="X457" s="207"/>
      <c r="Y457" s="207"/>
      <c r="Z457" s="207"/>
      <c r="AA457" s="207"/>
      <c r="AB457" s="207"/>
      <c r="AC457" s="5"/>
      <c r="AD457" s="63"/>
      <c r="AE457" s="64"/>
      <c r="AF457" s="64"/>
      <c r="AG457" s="212"/>
      <c r="AH457" s="64"/>
      <c r="AI457" s="64"/>
      <c r="AJ457" s="64"/>
      <c r="AK457" s="212"/>
      <c r="AL457" s="64"/>
      <c r="AM457" s="64"/>
      <c r="AN457" s="64"/>
      <c r="AO457" s="64"/>
      <c r="AP457" s="63"/>
      <c r="AQ457" s="64"/>
      <c r="AR457" s="63"/>
      <c r="AS457" s="64"/>
      <c r="AT457" s="63"/>
      <c r="AU457" s="64"/>
      <c r="AV457" s="63"/>
      <c r="AW457" s="64"/>
      <c r="AX457" s="63"/>
      <c r="AY457" s="5"/>
      <c r="AZ457" s="21" t="str">
        <f t="shared" si="95"/>
        <v/>
      </c>
      <c r="BA457" s="264" t="s">
        <v>39</v>
      </c>
      <c r="BB457" s="264"/>
      <c r="BC457" s="264"/>
      <c r="BD457" s="264" t="s">
        <v>10</v>
      </c>
      <c r="BE457" s="216" t="s">
        <v>136</v>
      </c>
      <c r="BF457" s="56">
        <v>9</v>
      </c>
      <c r="BG457" s="282">
        <f t="shared" si="131"/>
        <v>9</v>
      </c>
      <c r="BH457" s="282">
        <f t="shared" si="131"/>
        <v>9</v>
      </c>
      <c r="BI457" s="282">
        <f t="shared" si="131"/>
        <v>9</v>
      </c>
      <c r="BJ457" s="282">
        <f t="shared" si="131"/>
        <v>9</v>
      </c>
      <c r="BK457" s="282">
        <f t="shared" si="131"/>
        <v>9</v>
      </c>
      <c r="BL457" s="282">
        <f t="shared" si="131"/>
        <v>9</v>
      </c>
      <c r="BM457" s="282">
        <f t="shared" si="131"/>
        <v>9</v>
      </c>
      <c r="BN457" s="282">
        <f t="shared" si="131"/>
        <v>9</v>
      </c>
      <c r="BO457" s="282">
        <f t="shared" si="131"/>
        <v>9</v>
      </c>
      <c r="BP457" s="282">
        <f t="shared" si="131"/>
        <v>9</v>
      </c>
      <c r="BQ457" s="5"/>
      <c r="BR457" s="25"/>
      <c r="BS457" s="5"/>
    </row>
    <row r="458" spans="1:71" s="3" customFormat="1" x14ac:dyDescent="0.25">
      <c r="A458" s="5"/>
      <c r="B458" s="3" t="str">
        <f t="array" ref="B458">IFERROR(INDEX(DemandSupply,MATCH(INDEX($AH$1:AH458,SMALL(ROW($AH$1:AH458)+(10000*($AH$1:AH458="")),COUNTA($AH$1:AH458))),Sectors,0)),"")</f>
        <v>Demand</v>
      </c>
      <c r="E458" s="10"/>
      <c r="F458" s="207"/>
      <c r="G458" s="207"/>
      <c r="H458" s="207"/>
      <c r="I458" s="207"/>
      <c r="J458" s="207"/>
      <c r="K458" s="207"/>
      <c r="L458" s="207"/>
      <c r="M458" s="207"/>
      <c r="N458" s="207"/>
      <c r="O458" s="207"/>
      <c r="P458" s="207"/>
      <c r="Q458" s="207"/>
      <c r="R458" s="207"/>
      <c r="S458" s="207"/>
      <c r="T458" s="207"/>
      <c r="U458" s="207"/>
      <c r="V458" s="207"/>
      <c r="W458" s="207"/>
      <c r="X458" s="207"/>
      <c r="Y458" s="207"/>
      <c r="Z458" s="207"/>
      <c r="AA458" s="207"/>
      <c r="AB458" s="207"/>
      <c r="AC458" s="5"/>
      <c r="AD458" s="63"/>
      <c r="AE458" s="64"/>
      <c r="AF458" s="64"/>
      <c r="AG458" s="212"/>
      <c r="AH458" s="64"/>
      <c r="AI458" s="64"/>
      <c r="AJ458" s="64"/>
      <c r="AK458" s="212"/>
      <c r="AL458" s="64"/>
      <c r="AM458" s="64"/>
      <c r="AN458" s="64"/>
      <c r="AO458" s="64"/>
      <c r="AP458" s="63"/>
      <c r="AQ458" s="64"/>
      <c r="AR458" s="63"/>
      <c r="AS458" s="64"/>
      <c r="AT458" s="63"/>
      <c r="AU458" s="64"/>
      <c r="AV458" s="63"/>
      <c r="AW458" s="64"/>
      <c r="AX458" s="63"/>
      <c r="AY458" s="5"/>
      <c r="AZ458" s="21" t="str">
        <f t="shared" si="95"/>
        <v/>
      </c>
      <c r="BA458" s="264" t="s">
        <v>395</v>
      </c>
      <c r="BB458" s="264"/>
      <c r="BC458" s="264"/>
      <c r="BD458" s="264" t="s">
        <v>10</v>
      </c>
      <c r="BE458" s="216" t="s">
        <v>136</v>
      </c>
      <c r="BF458" s="56"/>
      <c r="BG458" s="56"/>
      <c r="BH458" s="56"/>
      <c r="BI458" s="56"/>
      <c r="BJ458" s="56"/>
      <c r="BK458" s="56"/>
      <c r="BL458" s="56"/>
      <c r="BM458" s="56"/>
      <c r="BN458" s="56"/>
      <c r="BO458" s="56"/>
      <c r="BP458" s="56"/>
      <c r="BQ458" s="5"/>
      <c r="BR458" s="25"/>
      <c r="BS458" s="5"/>
    </row>
    <row r="459" spans="1:71" s="3" customFormat="1" x14ac:dyDescent="0.25">
      <c r="A459" s="5"/>
      <c r="B459" s="3" t="str">
        <f t="array" ref="B459">IFERROR(INDEX(DemandSupply,MATCH(INDEX($AH$1:AH459,SMALL(ROW($AH$1:AH459)+(10000*($AH$1:AH459="")),COUNTA($AH$1:AH459))),Sectors,0)),"")</f>
        <v>Demand</v>
      </c>
      <c r="E459" s="10"/>
      <c r="F459" s="207"/>
      <c r="G459" s="207"/>
      <c r="H459" s="207"/>
      <c r="I459" s="207"/>
      <c r="J459" s="207"/>
      <c r="K459" s="207"/>
      <c r="L459" s="207"/>
      <c r="M459" s="207"/>
      <c r="N459" s="207"/>
      <c r="O459" s="207"/>
      <c r="P459" s="207"/>
      <c r="Q459" s="207"/>
      <c r="R459" s="207"/>
      <c r="S459" s="207"/>
      <c r="T459" s="207"/>
      <c r="U459" s="207"/>
      <c r="V459" s="207"/>
      <c r="W459" s="207"/>
      <c r="X459" s="207"/>
      <c r="Y459" s="207"/>
      <c r="Z459" s="207"/>
      <c r="AA459" s="207"/>
      <c r="AB459" s="207"/>
      <c r="AC459" s="5"/>
      <c r="AD459" s="63"/>
      <c r="AE459" s="64"/>
      <c r="AF459" s="64"/>
      <c r="AG459" s="212"/>
      <c r="AH459" s="64"/>
      <c r="AI459" s="64"/>
      <c r="AJ459" s="64"/>
      <c r="AK459" s="212"/>
      <c r="AL459" s="64"/>
      <c r="AM459" s="64"/>
      <c r="AN459" s="64"/>
      <c r="AO459" s="64"/>
      <c r="AP459" s="63"/>
      <c r="AQ459" s="64"/>
      <c r="AR459" s="63"/>
      <c r="AS459" s="64"/>
      <c r="AT459" s="63"/>
      <c r="AU459" s="64"/>
      <c r="AV459" s="63"/>
      <c r="AW459" s="64"/>
      <c r="AX459" s="63"/>
      <c r="AY459" s="5"/>
      <c r="AZ459" s="21" t="str">
        <f t="shared" si="95"/>
        <v/>
      </c>
      <c r="BA459" s="264" t="s">
        <v>341</v>
      </c>
      <c r="BB459" s="264"/>
      <c r="BC459" s="264"/>
      <c r="BD459" s="264" t="s">
        <v>99</v>
      </c>
      <c r="BE459" s="216" t="s">
        <v>136</v>
      </c>
      <c r="BF459" s="303">
        <v>0.3</v>
      </c>
      <c r="BG459" s="306">
        <f t="shared" ref="BG459" si="132">BF459</f>
        <v>0.3</v>
      </c>
      <c r="BH459" s="306">
        <f t="shared" ref="BH459" si="133">BG459</f>
        <v>0.3</v>
      </c>
      <c r="BI459" s="306">
        <f t="shared" ref="BI459" si="134">BH459</f>
        <v>0.3</v>
      </c>
      <c r="BJ459" s="306">
        <f t="shared" ref="BJ459" si="135">BI459</f>
        <v>0.3</v>
      </c>
      <c r="BK459" s="306">
        <f t="shared" ref="BK459" si="136">BJ459</f>
        <v>0.3</v>
      </c>
      <c r="BL459" s="306">
        <f t="shared" ref="BL459" si="137">BK459</f>
        <v>0.3</v>
      </c>
      <c r="BM459" s="306">
        <f t="shared" ref="BM459" si="138">BL459</f>
        <v>0.3</v>
      </c>
      <c r="BN459" s="306">
        <f t="shared" ref="BN459" si="139">BM459</f>
        <v>0.3</v>
      </c>
      <c r="BO459" s="306">
        <f t="shared" ref="BO459" si="140">BN459</f>
        <v>0.3</v>
      </c>
      <c r="BP459" s="306">
        <f t="shared" ref="BP459" si="141">BO459</f>
        <v>0.3</v>
      </c>
      <c r="BQ459" s="5"/>
      <c r="BR459" s="25"/>
      <c r="BS459" s="5"/>
    </row>
    <row r="460" spans="1:71" s="3" customFormat="1" x14ac:dyDescent="0.25">
      <c r="A460" s="5"/>
      <c r="B460" s="3" t="str">
        <f t="array" ref="B460">IFERROR(INDEX(DemandSupply,MATCH(INDEX($AH$1:AH460,SMALL(ROW($AH$1:AH460)+(10000*($AH$1:AH460="")),COUNTA($AH$1:AH460))),Sectors,0)),"")</f>
        <v>Demand</v>
      </c>
      <c r="E460" s="10"/>
      <c r="F460" s="207"/>
      <c r="G460" s="207"/>
      <c r="H460" s="207"/>
      <c r="I460" s="207"/>
      <c r="J460" s="207"/>
      <c r="K460" s="207"/>
      <c r="L460" s="207"/>
      <c r="M460" s="207"/>
      <c r="N460" s="207"/>
      <c r="O460" s="207"/>
      <c r="P460" s="207"/>
      <c r="Q460" s="207"/>
      <c r="R460" s="207"/>
      <c r="S460" s="207"/>
      <c r="T460" s="207"/>
      <c r="U460" s="207"/>
      <c r="V460" s="207"/>
      <c r="W460" s="207"/>
      <c r="X460" s="207"/>
      <c r="Y460" s="207"/>
      <c r="Z460" s="207"/>
      <c r="AA460" s="207"/>
      <c r="AB460" s="207"/>
      <c r="AC460" s="5"/>
      <c r="AD460" s="63"/>
      <c r="AE460" s="64"/>
      <c r="AF460" s="64"/>
      <c r="AG460" s="212"/>
      <c r="AH460" s="64"/>
      <c r="AI460" s="64"/>
      <c r="AJ460" s="64"/>
      <c r="AK460" s="212"/>
      <c r="AL460" s="64"/>
      <c r="AM460" s="64"/>
      <c r="AN460" s="64"/>
      <c r="AO460" s="64"/>
      <c r="AP460" s="63"/>
      <c r="AQ460" s="64"/>
      <c r="AR460" s="63"/>
      <c r="AS460" s="64"/>
      <c r="AT460" s="63"/>
      <c r="AU460" s="64"/>
      <c r="AV460" s="63"/>
      <c r="AW460" s="64"/>
      <c r="AX460" s="63"/>
      <c r="AY460" s="5"/>
      <c r="AZ460" s="21" t="str">
        <f t="shared" si="95"/>
        <v/>
      </c>
      <c r="BA460" s="264" t="s">
        <v>392</v>
      </c>
      <c r="BB460" s="264"/>
      <c r="BC460" s="264"/>
      <c r="BD460" s="264" t="s">
        <v>99</v>
      </c>
      <c r="BE460" s="216" t="s">
        <v>136</v>
      </c>
      <c r="BF460" s="303"/>
      <c r="BG460" s="303"/>
      <c r="BH460" s="303"/>
      <c r="BI460" s="303"/>
      <c r="BJ460" s="303"/>
      <c r="BK460" s="303"/>
      <c r="BL460" s="303"/>
      <c r="BM460" s="303"/>
      <c r="BN460" s="303"/>
      <c r="BO460" s="303"/>
      <c r="BP460" s="303"/>
      <c r="BQ460" s="5"/>
      <c r="BR460" s="25"/>
      <c r="BS460" s="5"/>
    </row>
    <row r="461" spans="1:71" s="3" customFormat="1" x14ac:dyDescent="0.25">
      <c r="A461" s="5"/>
      <c r="B461" s="3" t="str">
        <f t="array" ref="B461">IFERROR(INDEX(DemandSupply,MATCH(INDEX($AH$1:AH461,SMALL(ROW($AH$1:AH461)+(10000*($AH$1:AH461="")),COUNTA($AH$1:AH461))),Sectors,0)),"")</f>
        <v>Demand</v>
      </c>
      <c r="E461" s="10"/>
      <c r="F461" s="207"/>
      <c r="G461" s="207"/>
      <c r="H461" s="207"/>
      <c r="I461" s="207"/>
      <c r="J461" s="207"/>
      <c r="K461" s="207"/>
      <c r="L461" s="207"/>
      <c r="M461" s="207"/>
      <c r="N461" s="207"/>
      <c r="O461" s="207"/>
      <c r="P461" s="207"/>
      <c r="Q461" s="207"/>
      <c r="R461" s="207"/>
      <c r="S461" s="207"/>
      <c r="T461" s="207"/>
      <c r="U461" s="207"/>
      <c r="V461" s="207"/>
      <c r="W461" s="207"/>
      <c r="X461" s="207"/>
      <c r="Y461" s="207"/>
      <c r="Z461" s="207"/>
      <c r="AA461" s="207"/>
      <c r="AB461" s="207"/>
      <c r="AC461" s="5"/>
      <c r="AD461" s="63"/>
      <c r="AE461" s="64"/>
      <c r="AF461" s="64"/>
      <c r="AG461" s="212"/>
      <c r="AH461" s="64"/>
      <c r="AI461" s="64"/>
      <c r="AJ461" s="64"/>
      <c r="AK461" s="212"/>
      <c r="AL461" s="64"/>
      <c r="AM461" s="64"/>
      <c r="AN461" s="64"/>
      <c r="AO461" s="64"/>
      <c r="AP461" s="63"/>
      <c r="AQ461" s="64"/>
      <c r="AR461" s="63"/>
      <c r="AS461" s="64"/>
      <c r="AT461" s="63"/>
      <c r="AU461" s="64"/>
      <c r="AV461" s="63"/>
      <c r="AW461" s="64"/>
      <c r="AX461" s="63"/>
      <c r="AY461" s="5"/>
      <c r="AZ461" s="21" t="str">
        <f t="shared" si="95"/>
        <v/>
      </c>
      <c r="BA461" s="264" t="s">
        <v>391</v>
      </c>
      <c r="BB461" s="264"/>
      <c r="BC461" s="264"/>
      <c r="BD461" s="264" t="s">
        <v>99</v>
      </c>
      <c r="BE461" s="216" t="s">
        <v>136</v>
      </c>
      <c r="BF461" s="303"/>
      <c r="BG461" s="303"/>
      <c r="BH461" s="303"/>
      <c r="BI461" s="303"/>
      <c r="BJ461" s="303"/>
      <c r="BK461" s="303"/>
      <c r="BL461" s="303"/>
      <c r="BM461" s="303"/>
      <c r="BN461" s="303"/>
      <c r="BO461" s="303"/>
      <c r="BP461" s="303"/>
      <c r="BQ461" s="5"/>
      <c r="BR461" s="25"/>
      <c r="BS461" s="5"/>
    </row>
    <row r="462" spans="1:71" s="3" customFormat="1" x14ac:dyDescent="0.25">
      <c r="A462" s="5"/>
      <c r="B462" s="3" t="str">
        <f t="array" ref="B462">IFERROR(INDEX(DemandSupply,MATCH(INDEX($AH$1:AH462,SMALL(ROW($AH$1:AH462)+(10000*($AH$1:AH462="")),COUNTA($AH$1:AH462))),Sectors,0)),"")</f>
        <v>Demand</v>
      </c>
      <c r="E462" s="10"/>
      <c r="F462" s="207"/>
      <c r="G462" s="207"/>
      <c r="H462" s="207"/>
      <c r="I462" s="207"/>
      <c r="J462" s="207"/>
      <c r="K462" s="207"/>
      <c r="L462" s="207"/>
      <c r="M462" s="207"/>
      <c r="N462" s="207"/>
      <c r="O462" s="207"/>
      <c r="P462" s="207"/>
      <c r="Q462" s="207"/>
      <c r="R462" s="207"/>
      <c r="S462" s="207"/>
      <c r="T462" s="207"/>
      <c r="U462" s="207"/>
      <c r="V462" s="207"/>
      <c r="W462" s="207"/>
      <c r="X462" s="207"/>
      <c r="Y462" s="207"/>
      <c r="Z462" s="207"/>
      <c r="AA462" s="207"/>
      <c r="AB462" s="207"/>
      <c r="AC462" s="5"/>
      <c r="AD462" s="63"/>
      <c r="AE462" s="64"/>
      <c r="AF462" s="64"/>
      <c r="AG462" s="212"/>
      <c r="AH462" s="64"/>
      <c r="AI462" s="64"/>
      <c r="AJ462" s="64"/>
      <c r="AK462" s="212"/>
      <c r="AL462" s="64"/>
      <c r="AM462" s="64"/>
      <c r="AN462" s="64"/>
      <c r="AO462" s="64"/>
      <c r="AP462" s="63"/>
      <c r="AQ462" s="64"/>
      <c r="AR462" s="63"/>
      <c r="AS462" s="64"/>
      <c r="AT462" s="63"/>
      <c r="AU462" s="64"/>
      <c r="AV462" s="63"/>
      <c r="AW462" s="64"/>
      <c r="AX462" s="63"/>
      <c r="AY462" s="5"/>
      <c r="AZ462" s="21" t="str">
        <f t="shared" si="95"/>
        <v/>
      </c>
      <c r="BA462" s="264" t="s">
        <v>144</v>
      </c>
      <c r="BB462" s="264"/>
      <c r="BC462" s="264"/>
      <c r="BD462" s="264" t="s">
        <v>34</v>
      </c>
      <c r="BE462" s="216" t="s">
        <v>136</v>
      </c>
      <c r="BF462" s="56"/>
      <c r="BG462" s="56"/>
      <c r="BH462" s="56"/>
      <c r="BI462" s="56"/>
      <c r="BJ462" s="56"/>
      <c r="BK462" s="56"/>
      <c r="BL462" s="56"/>
      <c r="BM462" s="56"/>
      <c r="BN462" s="56"/>
      <c r="BO462" s="56"/>
      <c r="BP462" s="56"/>
      <c r="BQ462" s="5"/>
      <c r="BR462" s="25"/>
      <c r="BS462" s="5"/>
    </row>
    <row r="463" spans="1:71" s="3" customFormat="1" x14ac:dyDescent="0.25">
      <c r="A463" s="5"/>
      <c r="B463" s="3" t="str">
        <f t="array" ref="B463">IFERROR(INDEX(DemandSupply,MATCH(INDEX($AH$1:AH463,SMALL(ROW($AH$1:AH463)+(10000*($AH$1:AH463="")),COUNTA($AH$1:AH463))),Sectors,0)),"")</f>
        <v>Demand</v>
      </c>
      <c r="E463" s="10"/>
      <c r="F463" s="207"/>
      <c r="G463" s="207"/>
      <c r="H463" s="207"/>
      <c r="I463" s="207"/>
      <c r="J463" s="207"/>
      <c r="K463" s="207"/>
      <c r="L463" s="207"/>
      <c r="M463" s="207"/>
      <c r="N463" s="207"/>
      <c r="O463" s="207"/>
      <c r="P463" s="207"/>
      <c r="Q463" s="207"/>
      <c r="R463" s="207"/>
      <c r="S463" s="207"/>
      <c r="T463" s="207"/>
      <c r="U463" s="207"/>
      <c r="V463" s="207"/>
      <c r="W463" s="207"/>
      <c r="X463" s="207"/>
      <c r="Y463" s="207"/>
      <c r="Z463" s="207"/>
      <c r="AA463" s="207"/>
      <c r="AB463" s="207"/>
      <c r="AC463" s="5"/>
      <c r="AD463" s="63"/>
      <c r="AE463" s="64"/>
      <c r="AF463" s="64"/>
      <c r="AG463" s="212"/>
      <c r="AH463" s="64"/>
      <c r="AI463" s="64"/>
      <c r="AJ463" s="64"/>
      <c r="AK463" s="212"/>
      <c r="AL463" s="64"/>
      <c r="AM463" s="64"/>
      <c r="AN463" s="64"/>
      <c r="AO463" s="64"/>
      <c r="AP463" s="63"/>
      <c r="AQ463" s="64"/>
      <c r="AR463" s="63"/>
      <c r="AS463" s="64"/>
      <c r="AT463" s="63"/>
      <c r="AU463" s="64"/>
      <c r="AV463" s="63"/>
      <c r="AW463" s="64"/>
      <c r="AX463" s="63"/>
      <c r="AY463" s="5"/>
      <c r="AZ463" s="21" t="str">
        <f t="shared" si="95"/>
        <v/>
      </c>
      <c r="BA463" s="264" t="s">
        <v>76</v>
      </c>
      <c r="BB463" s="264"/>
      <c r="BC463" s="264"/>
      <c r="BD463" s="264" t="s">
        <v>99</v>
      </c>
      <c r="BE463" s="216" t="s">
        <v>136</v>
      </c>
      <c r="BF463" s="303">
        <v>7.0000000000000007E-2</v>
      </c>
      <c r="BG463" s="303"/>
      <c r="BH463" s="303"/>
      <c r="BI463" s="303"/>
      <c r="BJ463" s="303"/>
      <c r="BK463" s="303"/>
      <c r="BL463" s="303"/>
      <c r="BM463" s="303"/>
      <c r="BN463" s="303"/>
      <c r="BO463" s="303"/>
      <c r="BP463" s="303"/>
      <c r="BQ463" s="5"/>
      <c r="BR463" s="25"/>
      <c r="BS463" s="5"/>
    </row>
    <row r="464" spans="1:71" s="3" customFormat="1" x14ac:dyDescent="0.25">
      <c r="A464" s="5"/>
      <c r="B464" s="3" t="str">
        <f t="array" ref="B464">IFERROR(INDEX(DemandSupply,MATCH(INDEX($AH$1:AH464,SMALL(ROW($AH$1:AH464)+(10000*($AH$1:AH464="")),COUNTA($AH$1:AH464))),Sectors,0)),"")</f>
        <v>Demand</v>
      </c>
      <c r="E464" s="10"/>
      <c r="F464" s="207"/>
      <c r="G464" s="207"/>
      <c r="H464" s="207"/>
      <c r="I464" s="207"/>
      <c r="J464" s="207"/>
      <c r="K464" s="207"/>
      <c r="L464" s="207"/>
      <c r="M464" s="207"/>
      <c r="N464" s="207"/>
      <c r="O464" s="207"/>
      <c r="P464" s="207"/>
      <c r="Q464" s="207"/>
      <c r="R464" s="207"/>
      <c r="S464" s="207"/>
      <c r="T464" s="207"/>
      <c r="U464" s="207"/>
      <c r="V464" s="207"/>
      <c r="W464" s="207"/>
      <c r="X464" s="207"/>
      <c r="Y464" s="207"/>
      <c r="Z464" s="207"/>
      <c r="AA464" s="207"/>
      <c r="AB464" s="207"/>
      <c r="AC464" s="5"/>
      <c r="AD464" s="63"/>
      <c r="AE464" s="64"/>
      <c r="AF464" s="64"/>
      <c r="AG464" s="212"/>
      <c r="AH464" s="64"/>
      <c r="AI464" s="64"/>
      <c r="AJ464" s="64"/>
      <c r="AK464" s="212"/>
      <c r="AL464" s="64"/>
      <c r="AM464" s="64"/>
      <c r="AN464" s="64"/>
      <c r="AO464" s="64"/>
      <c r="AP464" s="63"/>
      <c r="AQ464" s="64"/>
      <c r="AR464" s="63"/>
      <c r="AS464" s="64"/>
      <c r="AT464" s="63"/>
      <c r="AU464" s="64"/>
      <c r="AV464" s="63"/>
      <c r="AW464" s="64"/>
      <c r="AX464" s="63"/>
      <c r="AY464" s="5"/>
      <c r="AZ464" s="21" t="str">
        <f t="shared" si="95"/>
        <v/>
      </c>
      <c r="BA464" s="75" t="s">
        <v>166</v>
      </c>
      <c r="BB464" s="75"/>
      <c r="BC464" s="270"/>
      <c r="BD464" s="75" t="s">
        <v>99</v>
      </c>
      <c r="BE464" s="216" t="s">
        <v>136</v>
      </c>
      <c r="BF464" s="303"/>
      <c r="BG464" s="303"/>
      <c r="BH464" s="303"/>
      <c r="BI464" s="303"/>
      <c r="BJ464" s="303"/>
      <c r="BK464" s="303"/>
      <c r="BL464" s="303"/>
      <c r="BM464" s="303"/>
      <c r="BN464" s="303"/>
      <c r="BO464" s="303"/>
      <c r="BP464" s="303"/>
      <c r="BQ464" s="5"/>
      <c r="BR464" s="25"/>
      <c r="BS464" s="5"/>
    </row>
    <row r="465" spans="1:71" s="3" customFormat="1" x14ac:dyDescent="0.25">
      <c r="A465" s="5"/>
      <c r="B465" s="3" t="str">
        <f t="array" ref="B465">IFERROR(INDEX(DemandSupply,MATCH(INDEX($AH$1:AH465,SMALL(ROW($AH$1:AH465)+(10000*($AH$1:AH465="")),COUNTA($AH$1:AH465))),Sectors,0)),"")</f>
        <v>Demand</v>
      </c>
      <c r="E465" s="10"/>
      <c r="F465" s="207"/>
      <c r="G465" s="207"/>
      <c r="H465" s="207"/>
      <c r="I465" s="207"/>
      <c r="J465" s="207"/>
      <c r="K465" s="207"/>
      <c r="L465" s="207"/>
      <c r="M465" s="207"/>
      <c r="N465" s="207"/>
      <c r="O465" s="207"/>
      <c r="P465" s="207"/>
      <c r="Q465" s="207"/>
      <c r="R465" s="207"/>
      <c r="S465" s="207"/>
      <c r="T465" s="207"/>
      <c r="U465" s="207"/>
      <c r="V465" s="207"/>
      <c r="W465" s="207"/>
      <c r="X465" s="207"/>
      <c r="Y465" s="207"/>
      <c r="Z465" s="207"/>
      <c r="AA465" s="207"/>
      <c r="AB465" s="207"/>
      <c r="AC465" s="5"/>
      <c r="AD465" s="63"/>
      <c r="AE465" s="64"/>
      <c r="AF465" s="64"/>
      <c r="AG465" s="212"/>
      <c r="AH465" s="64"/>
      <c r="AI465" s="64"/>
      <c r="AJ465" s="64"/>
      <c r="AK465" s="212"/>
      <c r="AL465" s="64"/>
      <c r="AM465" s="64"/>
      <c r="AN465" s="64"/>
      <c r="AO465" s="64"/>
      <c r="AP465" s="63"/>
      <c r="AQ465" s="64"/>
      <c r="AR465" s="63"/>
      <c r="AS465" s="64"/>
      <c r="AT465" s="63"/>
      <c r="AU465" s="64"/>
      <c r="AV465" s="63"/>
      <c r="AW465" s="64"/>
      <c r="AX465" s="63"/>
      <c r="AY465" s="5"/>
      <c r="AZ465" s="21" t="str">
        <f t="shared" si="95"/>
        <v/>
      </c>
      <c r="BA465" s="75" t="s">
        <v>167</v>
      </c>
      <c r="BB465" s="75"/>
      <c r="BC465" s="270"/>
      <c r="BD465" s="75" t="s">
        <v>99</v>
      </c>
      <c r="BE465" s="216" t="s">
        <v>136</v>
      </c>
      <c r="BF465" s="303"/>
      <c r="BG465" s="303"/>
      <c r="BH465" s="303"/>
      <c r="BI465" s="303"/>
      <c r="BJ465" s="303"/>
      <c r="BK465" s="303"/>
      <c r="BL465" s="303"/>
      <c r="BM465" s="303"/>
      <c r="BN465" s="303"/>
      <c r="BO465" s="303"/>
      <c r="BP465" s="303"/>
      <c r="BQ465" s="5"/>
      <c r="BR465" s="25"/>
      <c r="BS465" s="5"/>
    </row>
    <row r="466" spans="1:71" s="3" customFormat="1" x14ac:dyDescent="0.25">
      <c r="A466" s="5"/>
      <c r="B466" s="3" t="str">
        <f t="array" ref="B466">IFERROR(INDEX(DemandSupply,MATCH(INDEX($AH$1:AH466,SMALL(ROW($AH$1:AH466)+(10000*($AH$1:AH466="")),COUNTA($AH$1:AH466))),Sectors,0)),"")</f>
        <v>Demand</v>
      </c>
      <c r="E466" s="10"/>
      <c r="F466" s="207"/>
      <c r="G466" s="207"/>
      <c r="H466" s="207"/>
      <c r="I466" s="207"/>
      <c r="J466" s="207"/>
      <c r="K466" s="207"/>
      <c r="L466" s="207"/>
      <c r="M466" s="207"/>
      <c r="N466" s="207"/>
      <c r="O466" s="207"/>
      <c r="P466" s="207"/>
      <c r="Q466" s="207"/>
      <c r="R466" s="207"/>
      <c r="S466" s="207"/>
      <c r="T466" s="207"/>
      <c r="U466" s="207"/>
      <c r="V466" s="207"/>
      <c r="W466" s="207"/>
      <c r="X466" s="207"/>
      <c r="Y466" s="207"/>
      <c r="Z466" s="207"/>
      <c r="AA466" s="207"/>
      <c r="AB466" s="207"/>
      <c r="AC466" s="5"/>
      <c r="AD466" s="63"/>
      <c r="AE466" s="64"/>
      <c r="AF466" s="64"/>
      <c r="AG466" s="212"/>
      <c r="AH466" s="64"/>
      <c r="AI466" s="64"/>
      <c r="AJ466" s="64"/>
      <c r="AK466" s="212"/>
      <c r="AL466" s="64"/>
      <c r="AM466" s="64"/>
      <c r="AN466" s="64"/>
      <c r="AO466" s="64"/>
      <c r="AP466" s="63"/>
      <c r="AQ466" s="64"/>
      <c r="AR466" s="63"/>
      <c r="AS466" s="64"/>
      <c r="AT466" s="63"/>
      <c r="AU466" s="64"/>
      <c r="AV466" s="63"/>
      <c r="AW466" s="64"/>
      <c r="AX466" s="63"/>
      <c r="AY466" s="5"/>
      <c r="AZ466" s="21" t="str">
        <f t="shared" si="95"/>
        <v/>
      </c>
      <c r="BA466" s="75" t="s">
        <v>408</v>
      </c>
      <c r="BB466" s="75"/>
      <c r="BC466" s="270"/>
      <c r="BD466" s="75" t="s">
        <v>99</v>
      </c>
      <c r="BE466" s="216" t="s">
        <v>136</v>
      </c>
      <c r="BF466" s="303"/>
      <c r="BG466" s="303"/>
      <c r="BH466" s="303"/>
      <c r="BI466" s="303"/>
      <c r="BJ466" s="303"/>
      <c r="BK466" s="303"/>
      <c r="BL466" s="303"/>
      <c r="BM466" s="303"/>
      <c r="BN466" s="303"/>
      <c r="BO466" s="303"/>
      <c r="BP466" s="303"/>
      <c r="BQ466" s="5"/>
      <c r="BR466" s="25"/>
      <c r="BS466" s="5"/>
    </row>
    <row r="467" spans="1:71" s="3" customFormat="1" x14ac:dyDescent="0.25">
      <c r="A467" s="5"/>
      <c r="B467" s="3" t="str">
        <f t="array" ref="B467">IFERROR(INDEX(DemandSupply,MATCH(INDEX($AH$1:AH467,SMALL(ROW($AH$1:AH467)+(10000*($AH$1:AH467="")),COUNTA($AH$1:AH467))),Sectors,0)),"")</f>
        <v>Demand</v>
      </c>
      <c r="E467" s="10"/>
      <c r="F467" s="207"/>
      <c r="G467" s="207"/>
      <c r="H467" s="207"/>
      <c r="I467" s="207"/>
      <c r="J467" s="207"/>
      <c r="K467" s="207"/>
      <c r="L467" s="207"/>
      <c r="M467" s="207"/>
      <c r="N467" s="207"/>
      <c r="O467" s="207"/>
      <c r="P467" s="207"/>
      <c r="Q467" s="207"/>
      <c r="R467" s="207"/>
      <c r="S467" s="207"/>
      <c r="T467" s="207"/>
      <c r="U467" s="207"/>
      <c r="V467" s="207"/>
      <c r="W467" s="207"/>
      <c r="X467" s="207"/>
      <c r="Y467" s="207"/>
      <c r="Z467" s="207"/>
      <c r="AA467" s="207"/>
      <c r="AB467" s="207"/>
      <c r="AC467" s="5"/>
      <c r="AD467" s="63"/>
      <c r="AE467" s="64"/>
      <c r="AF467" s="64"/>
      <c r="AG467" s="212"/>
      <c r="AH467" s="64"/>
      <c r="AI467" s="64"/>
      <c r="AJ467" s="64"/>
      <c r="AK467" s="212"/>
      <c r="AL467" s="64"/>
      <c r="AM467" s="64"/>
      <c r="AN467" s="64"/>
      <c r="AO467" s="64"/>
      <c r="AP467" s="63"/>
      <c r="AQ467" s="64"/>
      <c r="AR467" s="63"/>
      <c r="AS467" s="64"/>
      <c r="AT467" s="63"/>
      <c r="AU467" s="64"/>
      <c r="AV467" s="63"/>
      <c r="AW467" s="64"/>
      <c r="AX467" s="63"/>
      <c r="AY467" s="5"/>
      <c r="AZ467" s="21" t="str">
        <f t="shared" si="95"/>
        <v/>
      </c>
      <c r="BA467" s="75" t="s">
        <v>409</v>
      </c>
      <c r="BB467" s="75"/>
      <c r="BC467" s="270"/>
      <c r="BD467" s="75" t="s">
        <v>99</v>
      </c>
      <c r="BE467" s="216" t="s">
        <v>136</v>
      </c>
      <c r="BF467" s="303"/>
      <c r="BG467" s="303"/>
      <c r="BH467" s="303"/>
      <c r="BI467" s="303"/>
      <c r="BJ467" s="303"/>
      <c r="BK467" s="303"/>
      <c r="BL467" s="303"/>
      <c r="BM467" s="303"/>
      <c r="BN467" s="303"/>
      <c r="BO467" s="303"/>
      <c r="BP467" s="303"/>
      <c r="BQ467" s="5"/>
      <c r="BR467" s="25"/>
      <c r="BS467" s="5"/>
    </row>
    <row r="468" spans="1:71" s="3" customFormat="1" x14ac:dyDescent="0.25">
      <c r="A468" s="5"/>
      <c r="B468" s="3" t="str">
        <f t="array" ref="B468">IFERROR(INDEX(DemandSupply,MATCH(INDEX($AH$1:AH468,SMALL(ROW($AH$1:AH468)+(10000*($AH$1:AH468="")),COUNTA($AH$1:AH468))),Sectors,0)),"")</f>
        <v>Demand</v>
      </c>
      <c r="E468" s="10"/>
      <c r="F468" s="207"/>
      <c r="G468" s="207"/>
      <c r="H468" s="207"/>
      <c r="I468" s="207"/>
      <c r="J468" s="207"/>
      <c r="K468" s="207"/>
      <c r="L468" s="207"/>
      <c r="M468" s="207"/>
      <c r="N468" s="207"/>
      <c r="O468" s="207"/>
      <c r="P468" s="207"/>
      <c r="Q468" s="207"/>
      <c r="R468" s="207"/>
      <c r="S468" s="207"/>
      <c r="T468" s="207"/>
      <c r="U468" s="207"/>
      <c r="V468" s="207"/>
      <c r="W468" s="207"/>
      <c r="X468" s="207"/>
      <c r="Y468" s="207"/>
      <c r="Z468" s="207"/>
      <c r="AA468" s="207"/>
      <c r="AB468" s="207"/>
      <c r="AC468" s="5"/>
      <c r="AD468" s="63"/>
      <c r="AE468" s="64"/>
      <c r="AF468" s="64"/>
      <c r="AG468" s="212"/>
      <c r="AH468" s="64"/>
      <c r="AI468" s="64"/>
      <c r="AJ468" s="64"/>
      <c r="AK468" s="212"/>
      <c r="AL468" s="64"/>
      <c r="AM468" s="64"/>
      <c r="AN468" s="64"/>
      <c r="AO468" s="64"/>
      <c r="AP468" s="63"/>
      <c r="AQ468" s="64"/>
      <c r="AR468" s="63"/>
      <c r="AS468" s="64"/>
      <c r="AT468" s="63"/>
      <c r="AU468" s="64"/>
      <c r="AV468" s="63"/>
      <c r="AW468" s="64"/>
      <c r="AX468" s="63"/>
      <c r="AY468" s="5"/>
      <c r="AZ468" s="21" t="str">
        <f t="shared" si="95"/>
        <v/>
      </c>
      <c r="BA468" s="264" t="s">
        <v>371</v>
      </c>
      <c r="BB468" s="264"/>
      <c r="BC468" s="264"/>
      <c r="BD468" s="264" t="s">
        <v>34</v>
      </c>
      <c r="BE468" s="216" t="s">
        <v>136</v>
      </c>
      <c r="BF468" s="56">
        <v>68.62</v>
      </c>
      <c r="BG468" s="282">
        <f t="shared" ref="BG468:BG469" si="142">BF468</f>
        <v>68.62</v>
      </c>
      <c r="BH468" s="282">
        <f t="shared" ref="BH468:BH469" si="143">BG468</f>
        <v>68.62</v>
      </c>
      <c r="BI468" s="282">
        <f t="shared" ref="BI468:BI469" si="144">BH468</f>
        <v>68.62</v>
      </c>
      <c r="BJ468" s="282">
        <f t="shared" ref="BJ468:BJ469" si="145">BI468</f>
        <v>68.62</v>
      </c>
      <c r="BK468" s="282">
        <f t="shared" ref="BK468:BK469" si="146">BJ468</f>
        <v>68.62</v>
      </c>
      <c r="BL468" s="282">
        <f t="shared" ref="BL468:BL469" si="147">BK468</f>
        <v>68.62</v>
      </c>
      <c r="BM468" s="282">
        <f t="shared" ref="BM468:BM469" si="148">BL468</f>
        <v>68.62</v>
      </c>
      <c r="BN468" s="282">
        <f t="shared" ref="BN468:BN469" si="149">BM468</f>
        <v>68.62</v>
      </c>
      <c r="BO468" s="282">
        <f t="shared" ref="BO468:BO469" si="150">BN468</f>
        <v>68.62</v>
      </c>
      <c r="BP468" s="282">
        <f t="shared" ref="BP468:BP469" si="151">BO468</f>
        <v>68.62</v>
      </c>
      <c r="BQ468" s="5"/>
      <c r="BR468" s="25"/>
      <c r="BS468" s="5"/>
    </row>
    <row r="469" spans="1:71" s="3" customFormat="1" x14ac:dyDescent="0.25">
      <c r="A469" s="5"/>
      <c r="B469" s="3" t="str">
        <f t="array" ref="B469">IFERROR(INDEX(DemandSupply,MATCH(INDEX($AH$1:AH469,SMALL(ROW($AH$1:AH469)+(10000*($AH$1:AH469="")),COUNTA($AH$1:AH469))),Sectors,0)),"")</f>
        <v>Demand</v>
      </c>
      <c r="E469" s="10"/>
      <c r="F469" s="207"/>
      <c r="G469" s="207"/>
      <c r="H469" s="207"/>
      <c r="I469" s="207"/>
      <c r="J469" s="207"/>
      <c r="K469" s="207"/>
      <c r="L469" s="207"/>
      <c r="M469" s="207"/>
      <c r="N469" s="207"/>
      <c r="O469" s="207"/>
      <c r="P469" s="207"/>
      <c r="Q469" s="207"/>
      <c r="R469" s="207"/>
      <c r="S469" s="207"/>
      <c r="T469" s="207"/>
      <c r="U469" s="207"/>
      <c r="V469" s="207"/>
      <c r="W469" s="207"/>
      <c r="X469" s="207"/>
      <c r="Y469" s="207"/>
      <c r="Z469" s="207"/>
      <c r="AA469" s="207"/>
      <c r="AB469" s="207"/>
      <c r="AC469" s="5"/>
      <c r="AD469" s="63"/>
      <c r="AE469" s="64"/>
      <c r="AF469" s="64"/>
      <c r="AG469" s="212"/>
      <c r="AH469" s="64"/>
      <c r="AI469" s="64"/>
      <c r="AJ469" s="64"/>
      <c r="AK469" s="212"/>
      <c r="AL469" s="64"/>
      <c r="AM469" s="64"/>
      <c r="AN469" s="64"/>
      <c r="AO469" s="64"/>
      <c r="AP469" s="63"/>
      <c r="AQ469" s="64"/>
      <c r="AR469" s="63"/>
      <c r="AS469" s="64"/>
      <c r="AT469" s="63"/>
      <c r="AU469" s="64"/>
      <c r="AV469" s="63"/>
      <c r="AW469" s="64"/>
      <c r="AX469" s="63"/>
      <c r="AY469" s="5"/>
      <c r="AZ469" s="21" t="str">
        <f t="shared" si="95"/>
        <v/>
      </c>
      <c r="BA469" s="264" t="s">
        <v>170</v>
      </c>
      <c r="BB469" s="264"/>
      <c r="BC469" s="264"/>
      <c r="BD469" s="264" t="s">
        <v>354</v>
      </c>
      <c r="BE469" s="216" t="s">
        <v>136</v>
      </c>
      <c r="BF469" s="56">
        <v>592.58299999999997</v>
      </c>
      <c r="BG469" s="282">
        <f t="shared" si="142"/>
        <v>592.58299999999997</v>
      </c>
      <c r="BH469" s="282">
        <f t="shared" si="143"/>
        <v>592.58299999999997</v>
      </c>
      <c r="BI469" s="282">
        <f t="shared" si="144"/>
        <v>592.58299999999997</v>
      </c>
      <c r="BJ469" s="282">
        <f t="shared" si="145"/>
        <v>592.58299999999997</v>
      </c>
      <c r="BK469" s="282">
        <f t="shared" si="146"/>
        <v>592.58299999999997</v>
      </c>
      <c r="BL469" s="282">
        <f t="shared" si="147"/>
        <v>592.58299999999997</v>
      </c>
      <c r="BM469" s="282">
        <f t="shared" si="148"/>
        <v>592.58299999999997</v>
      </c>
      <c r="BN469" s="282">
        <f t="shared" si="149"/>
        <v>592.58299999999997</v>
      </c>
      <c r="BO469" s="282">
        <f t="shared" si="150"/>
        <v>592.58299999999997</v>
      </c>
      <c r="BP469" s="282">
        <f t="shared" si="151"/>
        <v>592.58299999999997</v>
      </c>
      <c r="BQ469" s="5"/>
      <c r="BR469" s="25"/>
      <c r="BS469" s="5"/>
    </row>
    <row r="470" spans="1:71" s="3" customFormat="1" x14ac:dyDescent="0.25">
      <c r="A470" s="5"/>
      <c r="B470" s="3" t="str">
        <f t="array" ref="B470">IFERROR(INDEX(DemandSupply,MATCH(INDEX($AH$1:AH470,SMALL(ROW($AH$1:AH470)+(10000*($AH$1:AH470="")),COUNTA($AH$1:AH470))),Sectors,0)),"")</f>
        <v>Demand</v>
      </c>
      <c r="E470" s="10"/>
      <c r="F470" s="207"/>
      <c r="G470" s="207"/>
      <c r="H470" s="207"/>
      <c r="I470" s="207"/>
      <c r="J470" s="207"/>
      <c r="K470" s="207"/>
      <c r="L470" s="207"/>
      <c r="M470" s="207"/>
      <c r="N470" s="207"/>
      <c r="O470" s="207"/>
      <c r="P470" s="207"/>
      <c r="Q470" s="207"/>
      <c r="R470" s="207"/>
      <c r="S470" s="207"/>
      <c r="T470" s="207"/>
      <c r="U470" s="207"/>
      <c r="V470" s="207"/>
      <c r="W470" s="207"/>
      <c r="X470" s="207"/>
      <c r="Y470" s="207"/>
      <c r="Z470" s="207"/>
      <c r="AA470" s="207"/>
      <c r="AB470" s="207"/>
      <c r="AC470" s="5"/>
      <c r="AD470" s="63"/>
      <c r="AE470" s="64"/>
      <c r="AF470" s="64"/>
      <c r="AG470" s="212"/>
      <c r="AH470" s="64"/>
      <c r="AI470" s="64"/>
      <c r="AJ470" s="64"/>
      <c r="AK470" s="212"/>
      <c r="AL470" s="64"/>
      <c r="AM470" s="64"/>
      <c r="AN470" s="64"/>
      <c r="AO470" s="64"/>
      <c r="AP470" s="63"/>
      <c r="AQ470" s="64"/>
      <c r="AR470" s="63"/>
      <c r="AS470" s="64"/>
      <c r="AT470" s="63"/>
      <c r="AU470" s="64"/>
      <c r="AV470" s="63"/>
      <c r="AW470" s="64"/>
      <c r="AX470" s="63"/>
      <c r="AY470" s="5"/>
      <c r="AZ470" s="21" t="str">
        <f t="shared" si="95"/>
        <v/>
      </c>
      <c r="BA470" s="264" t="s">
        <v>425</v>
      </c>
      <c r="BB470" s="264"/>
      <c r="BC470" s="264"/>
      <c r="BD470" s="264" t="s">
        <v>99</v>
      </c>
      <c r="BE470" s="216" t="s">
        <v>136</v>
      </c>
      <c r="BF470" s="303"/>
      <c r="BG470" s="303"/>
      <c r="BH470" s="303"/>
      <c r="BI470" s="303"/>
      <c r="BJ470" s="303"/>
      <c r="BK470" s="303"/>
      <c r="BL470" s="303"/>
      <c r="BM470" s="303"/>
      <c r="BN470" s="303"/>
      <c r="BO470" s="303"/>
      <c r="BP470" s="303"/>
      <c r="BQ470" s="5"/>
      <c r="BR470" s="25"/>
      <c r="BS470" s="5"/>
    </row>
    <row r="471" spans="1:71" s="3" customFormat="1" x14ac:dyDescent="0.25">
      <c r="A471" s="5"/>
      <c r="B471" s="3" t="str">
        <f t="array" ref="B471">IFERROR(INDEX(DemandSupply,MATCH(INDEX($AH$1:AH471,SMALL(ROW($AH$1:AH471)+(10000*($AH$1:AH471="")),COUNTA($AH$1:AH471))),Sectors,0)),"")</f>
        <v>Demand</v>
      </c>
      <c r="E471" s="10"/>
      <c r="F471" s="207"/>
      <c r="G471" s="207"/>
      <c r="H471" s="207"/>
      <c r="I471" s="207"/>
      <c r="J471" s="207"/>
      <c r="K471" s="207"/>
      <c r="L471" s="207"/>
      <c r="M471" s="207"/>
      <c r="N471" s="207"/>
      <c r="O471" s="207"/>
      <c r="P471" s="207"/>
      <c r="Q471" s="207"/>
      <c r="R471" s="207"/>
      <c r="S471" s="207"/>
      <c r="T471" s="207"/>
      <c r="U471" s="207"/>
      <c r="V471" s="207"/>
      <c r="W471" s="207"/>
      <c r="X471" s="207"/>
      <c r="Y471" s="207"/>
      <c r="Z471" s="207"/>
      <c r="AA471" s="207"/>
      <c r="AB471" s="207"/>
      <c r="AC471" s="5"/>
      <c r="AD471" s="63"/>
      <c r="AE471" s="64"/>
      <c r="AF471" s="64"/>
      <c r="AG471" s="212"/>
      <c r="AH471" s="64"/>
      <c r="AI471" s="64"/>
      <c r="AJ471" s="64"/>
      <c r="AK471" s="212"/>
      <c r="AL471" s="64"/>
      <c r="AM471" s="64"/>
      <c r="AN471" s="64"/>
      <c r="AO471" s="64"/>
      <c r="AP471" s="63"/>
      <c r="AQ471" s="64"/>
      <c r="AR471" s="63"/>
      <c r="AS471" s="64"/>
      <c r="AT471" s="63"/>
      <c r="AU471" s="64"/>
      <c r="AV471" s="63"/>
      <c r="AW471" s="64"/>
      <c r="AX471" s="63"/>
      <c r="AY471" s="5"/>
      <c r="AZ471" s="21" t="str">
        <f t="shared" si="95"/>
        <v/>
      </c>
      <c r="BA471" s="264" t="s">
        <v>438</v>
      </c>
      <c r="BB471" s="264"/>
      <c r="BC471" s="264"/>
      <c r="BD471" s="264" t="s">
        <v>34</v>
      </c>
      <c r="BE471" s="216" t="s">
        <v>136</v>
      </c>
      <c r="BF471" s="56"/>
      <c r="BG471" s="56"/>
      <c r="BH471" s="56"/>
      <c r="BI471" s="56"/>
      <c r="BJ471" s="56"/>
      <c r="BK471" s="56"/>
      <c r="BL471" s="56"/>
      <c r="BM471" s="56"/>
      <c r="BN471" s="56"/>
      <c r="BO471" s="56"/>
      <c r="BP471" s="56"/>
      <c r="BQ471" s="5"/>
      <c r="BR471" s="25"/>
      <c r="BS471" s="5"/>
    </row>
    <row r="472" spans="1:71" s="3" customFormat="1" x14ac:dyDescent="0.25">
      <c r="A472" s="5"/>
      <c r="B472" s="3" t="str">
        <f t="array" ref="B472">IFERROR(INDEX(DemandSupply,MATCH(INDEX($AH$1:AH472,SMALL(ROW($AH$1:AH472)+(10000*($AH$1:AH472="")),COUNTA($AH$1:AH472))),Sectors,0)),"")</f>
        <v>Demand</v>
      </c>
      <c r="E472" s="10"/>
      <c r="F472" s="207"/>
      <c r="G472" s="207"/>
      <c r="H472" s="207"/>
      <c r="I472" s="207"/>
      <c r="J472" s="207"/>
      <c r="K472" s="207"/>
      <c r="L472" s="207"/>
      <c r="M472" s="207"/>
      <c r="N472" s="207"/>
      <c r="O472" s="207"/>
      <c r="P472" s="207"/>
      <c r="Q472" s="207"/>
      <c r="R472" s="207"/>
      <c r="S472" s="207"/>
      <c r="T472" s="207"/>
      <c r="U472" s="207"/>
      <c r="V472" s="207"/>
      <c r="W472" s="207"/>
      <c r="X472" s="207"/>
      <c r="Y472" s="207"/>
      <c r="Z472" s="207"/>
      <c r="AA472" s="207"/>
      <c r="AB472" s="207"/>
      <c r="AC472" s="5"/>
      <c r="AD472" s="63"/>
      <c r="AE472" s="64"/>
      <c r="AF472" s="64"/>
      <c r="AG472" s="212"/>
      <c r="AH472" s="64"/>
      <c r="AI472" s="64"/>
      <c r="AJ472" s="64"/>
      <c r="AK472" s="212"/>
      <c r="AL472" s="64"/>
      <c r="AM472" s="64"/>
      <c r="AN472" s="64"/>
      <c r="AO472" s="64"/>
      <c r="AP472" s="63"/>
      <c r="AQ472" s="64"/>
      <c r="AR472" s="63"/>
      <c r="AS472" s="64"/>
      <c r="AT472" s="63"/>
      <c r="AU472" s="64"/>
      <c r="AV472" s="63"/>
      <c r="AW472" s="64"/>
      <c r="AX472" s="63"/>
      <c r="AY472" s="5"/>
      <c r="AZ472" s="21" t="str">
        <f t="shared" si="95"/>
        <v/>
      </c>
      <c r="BA472" s="264" t="s">
        <v>435</v>
      </c>
      <c r="BB472" s="264"/>
      <c r="BC472" s="264"/>
      <c r="BD472" s="264"/>
      <c r="BE472" s="216" t="s">
        <v>136</v>
      </c>
      <c r="BF472" s="55"/>
      <c r="BG472" s="55"/>
      <c r="BH472" s="55"/>
      <c r="BI472" s="55"/>
      <c r="BJ472" s="55"/>
      <c r="BK472" s="55"/>
      <c r="BL472" s="55"/>
      <c r="BM472" s="55"/>
      <c r="BN472" s="55"/>
      <c r="BO472" s="55"/>
      <c r="BP472" s="55"/>
      <c r="BQ472" s="5"/>
      <c r="BR472" s="25"/>
      <c r="BS472" s="5"/>
    </row>
    <row r="473" spans="1:71" s="3" customFormat="1" x14ac:dyDescent="0.25">
      <c r="A473" s="5"/>
      <c r="B473" s="3" t="str">
        <f t="array" ref="B473">IFERROR(INDEX(DemandSupply,MATCH(INDEX($AH$1:AH473,SMALL(ROW($AH$1:AH473)+(10000*($AH$1:AH473="")),COUNTA($AH$1:AH473))),Sectors,0)),"")</f>
        <v>Demand</v>
      </c>
      <c r="E473" s="10"/>
      <c r="F473" s="207"/>
      <c r="G473" s="207"/>
      <c r="H473" s="207"/>
      <c r="I473" s="207"/>
      <c r="J473" s="207"/>
      <c r="K473" s="207"/>
      <c r="L473" s="207"/>
      <c r="M473" s="207"/>
      <c r="N473" s="207"/>
      <c r="O473" s="207"/>
      <c r="P473" s="207"/>
      <c r="Q473" s="207"/>
      <c r="R473" s="207"/>
      <c r="S473" s="207"/>
      <c r="T473" s="207"/>
      <c r="U473" s="207"/>
      <c r="V473" s="207"/>
      <c r="W473" s="207"/>
      <c r="X473" s="207"/>
      <c r="Y473" s="207"/>
      <c r="Z473" s="207"/>
      <c r="AA473" s="207"/>
      <c r="AB473" s="207"/>
      <c r="AC473" s="5"/>
      <c r="AD473" s="63"/>
      <c r="AE473" s="64"/>
      <c r="AF473" s="64"/>
      <c r="AG473" s="212"/>
      <c r="AH473" s="64"/>
      <c r="AI473" s="64"/>
      <c r="AJ473" s="64"/>
      <c r="AK473" s="212"/>
      <c r="AL473" s="64"/>
      <c r="AM473" s="64"/>
      <c r="AN473" s="64"/>
      <c r="AO473" s="64"/>
      <c r="AP473" s="63"/>
      <c r="AQ473" s="64"/>
      <c r="AR473" s="63"/>
      <c r="AS473" s="64"/>
      <c r="AT473" s="63"/>
      <c r="AU473" s="64"/>
      <c r="AV473" s="63"/>
      <c r="AW473" s="64"/>
      <c r="AX473" s="63"/>
      <c r="AY473" s="5"/>
      <c r="AZ473" s="21" t="str">
        <f t="shared" si="95"/>
        <v/>
      </c>
      <c r="BA473" s="264" t="s">
        <v>407</v>
      </c>
      <c r="BB473" s="264"/>
      <c r="BC473" s="264"/>
      <c r="BD473" s="264" t="s">
        <v>99</v>
      </c>
      <c r="BE473" s="216" t="s">
        <v>136</v>
      </c>
      <c r="BF473" s="303"/>
      <c r="BG473" s="303"/>
      <c r="BH473" s="303"/>
      <c r="BI473" s="303"/>
      <c r="BJ473" s="303"/>
      <c r="BK473" s="303"/>
      <c r="BL473" s="303"/>
      <c r="BM473" s="303"/>
      <c r="BN473" s="303"/>
      <c r="BO473" s="303"/>
      <c r="BP473" s="303"/>
      <c r="BQ473" s="5"/>
      <c r="BR473" s="25"/>
      <c r="BS473" s="5"/>
    </row>
    <row r="474" spans="1:71" s="3" customFormat="1" x14ac:dyDescent="0.25">
      <c r="A474" s="5"/>
      <c r="B474" s="3" t="str">
        <f t="array" ref="B474">IFERROR(INDEX(DemandSupply,MATCH(INDEX($AH$1:AH474,SMALL(ROW($AH$1:AH474)+(10000*($AH$1:AH474="")),COUNTA($AH$1:AH474))),Sectors,0)),"")</f>
        <v>Demand</v>
      </c>
      <c r="E474" s="10"/>
      <c r="F474" s="207"/>
      <c r="G474" s="207"/>
      <c r="H474" s="207"/>
      <c r="I474" s="207"/>
      <c r="J474" s="207"/>
      <c r="K474" s="207"/>
      <c r="L474" s="207"/>
      <c r="M474" s="207"/>
      <c r="N474" s="207"/>
      <c r="O474" s="207"/>
      <c r="P474" s="207"/>
      <c r="Q474" s="207"/>
      <c r="R474" s="207"/>
      <c r="S474" s="207"/>
      <c r="T474" s="207"/>
      <c r="U474" s="207"/>
      <c r="V474" s="207"/>
      <c r="W474" s="207"/>
      <c r="X474" s="207"/>
      <c r="Y474" s="207"/>
      <c r="Z474" s="207"/>
      <c r="AA474" s="207"/>
      <c r="AB474" s="207"/>
      <c r="AC474" s="5"/>
      <c r="AD474" s="63"/>
      <c r="AE474" s="64"/>
      <c r="AF474" s="64"/>
      <c r="AG474" s="212"/>
      <c r="AH474" s="64"/>
      <c r="AI474" s="64"/>
      <c r="AJ474" s="64"/>
      <c r="AK474" s="212"/>
      <c r="AL474" s="64"/>
      <c r="AM474" s="64"/>
      <c r="AN474" s="64"/>
      <c r="AO474" s="64"/>
      <c r="AP474" s="63"/>
      <c r="AQ474" s="64"/>
      <c r="AR474" s="63"/>
      <c r="AS474" s="64"/>
      <c r="AT474" s="63"/>
      <c r="AU474" s="64"/>
      <c r="AV474" s="63"/>
      <c r="AW474" s="64"/>
      <c r="AX474" s="63"/>
      <c r="AY474" s="5"/>
      <c r="AZ474" s="21" t="str">
        <f t="shared" si="95"/>
        <v/>
      </c>
      <c r="BA474" s="264" t="s">
        <v>444</v>
      </c>
      <c r="BB474" s="264"/>
      <c r="BC474" s="264"/>
      <c r="BD474" s="264" t="s">
        <v>354</v>
      </c>
      <c r="BE474" s="216" t="s">
        <v>136</v>
      </c>
      <c r="BF474" s="56">
        <v>244.33799999999999</v>
      </c>
      <c r="BG474" s="282">
        <f t="shared" ref="BG474" si="152">BF474</f>
        <v>244.33799999999999</v>
      </c>
      <c r="BH474" s="282">
        <f t="shared" ref="BH474" si="153">BG474</f>
        <v>244.33799999999999</v>
      </c>
      <c r="BI474" s="282">
        <f t="shared" ref="BI474" si="154">BH474</f>
        <v>244.33799999999999</v>
      </c>
      <c r="BJ474" s="282">
        <f t="shared" ref="BJ474" si="155">BI474</f>
        <v>244.33799999999999</v>
      </c>
      <c r="BK474" s="282">
        <f t="shared" ref="BK474" si="156">BJ474</f>
        <v>244.33799999999999</v>
      </c>
      <c r="BL474" s="282">
        <f t="shared" ref="BL474" si="157">BK474</f>
        <v>244.33799999999999</v>
      </c>
      <c r="BM474" s="282">
        <f t="shared" ref="BM474" si="158">BL474</f>
        <v>244.33799999999999</v>
      </c>
      <c r="BN474" s="282">
        <f t="shared" ref="BN474" si="159">BM474</f>
        <v>244.33799999999999</v>
      </c>
      <c r="BO474" s="282">
        <f t="shared" ref="BO474" si="160">BN474</f>
        <v>244.33799999999999</v>
      </c>
      <c r="BP474" s="282">
        <f t="shared" ref="BP474" si="161">BO474</f>
        <v>244.33799999999999</v>
      </c>
      <c r="BQ474" s="5"/>
      <c r="BR474" s="25"/>
      <c r="BS474" s="5"/>
    </row>
    <row r="475" spans="1:71" s="3" customFormat="1" x14ac:dyDescent="0.25">
      <c r="A475" s="5"/>
      <c r="B475" s="3" t="str">
        <f t="array" ref="B475">IFERROR(INDEX(DemandSupply,MATCH(INDEX($AH$1:AH475,SMALL(ROW($AH$1:AH475)+(10000*($AH$1:AH475="")),COUNTA($AH$1:AH475))),Sectors,0)),"")</f>
        <v>Demand</v>
      </c>
      <c r="E475" s="10"/>
      <c r="F475" s="207"/>
      <c r="G475" s="207"/>
      <c r="H475" s="207"/>
      <c r="I475" s="207"/>
      <c r="J475" s="207"/>
      <c r="K475" s="207"/>
      <c r="L475" s="207"/>
      <c r="M475" s="207"/>
      <c r="N475" s="207"/>
      <c r="O475" s="207"/>
      <c r="P475" s="207"/>
      <c r="Q475" s="207"/>
      <c r="R475" s="207"/>
      <c r="S475" s="207"/>
      <c r="T475" s="207"/>
      <c r="U475" s="207"/>
      <c r="V475" s="207"/>
      <c r="W475" s="207"/>
      <c r="X475" s="207"/>
      <c r="Y475" s="207"/>
      <c r="Z475" s="207"/>
      <c r="AA475" s="207"/>
      <c r="AB475" s="207"/>
      <c r="AC475" s="5"/>
      <c r="AD475" s="63"/>
      <c r="AE475" s="64"/>
      <c r="AF475" s="64"/>
      <c r="AG475" s="212"/>
      <c r="AH475" s="64"/>
      <c r="AI475" s="64"/>
      <c r="AJ475" s="64"/>
      <c r="AK475" s="212"/>
      <c r="AL475" s="64"/>
      <c r="AM475" s="64"/>
      <c r="AN475" s="64"/>
      <c r="AO475" s="64"/>
      <c r="AP475" s="63"/>
      <c r="AQ475" s="64"/>
      <c r="AR475" s="63"/>
      <c r="AS475" s="64"/>
      <c r="AT475" s="63"/>
      <c r="AU475" s="64"/>
      <c r="AV475" s="63"/>
      <c r="AW475" s="64"/>
      <c r="AX475" s="63"/>
      <c r="AY475" s="5"/>
      <c r="AZ475" s="21" t="str">
        <f t="shared" si="95"/>
        <v/>
      </c>
      <c r="BA475" s="264" t="s">
        <v>446</v>
      </c>
      <c r="BB475" s="264"/>
      <c r="BC475" s="264"/>
      <c r="BD475" s="264" t="s">
        <v>354</v>
      </c>
      <c r="BE475" s="216" t="s">
        <v>136</v>
      </c>
      <c r="BF475" s="56"/>
      <c r="BG475" s="56"/>
      <c r="BH475" s="56"/>
      <c r="BI475" s="56"/>
      <c r="BJ475" s="56"/>
      <c r="BK475" s="56"/>
      <c r="BL475" s="56"/>
      <c r="BM475" s="56"/>
      <c r="BN475" s="56"/>
      <c r="BO475" s="56"/>
      <c r="BP475" s="56"/>
      <c r="BQ475" s="5"/>
      <c r="BR475" s="25"/>
      <c r="BS475" s="5"/>
    </row>
    <row r="476" spans="1:71" s="3" customFormat="1" x14ac:dyDescent="0.25">
      <c r="A476" s="5"/>
      <c r="B476" s="3" t="str">
        <f t="array" ref="B476">IFERROR(INDEX(DemandSupply,MATCH(INDEX($AH$1:AH476,SMALL(ROW($AH$1:AH476)+(10000*($AH$1:AH476="")),COUNTA($AH$1:AH476))),Sectors,0)),"")</f>
        <v>Demand</v>
      </c>
      <c r="E476" s="10"/>
      <c r="F476" s="207"/>
      <c r="G476" s="207"/>
      <c r="H476" s="207"/>
      <c r="I476" s="207"/>
      <c r="J476" s="207"/>
      <c r="K476" s="207"/>
      <c r="L476" s="207"/>
      <c r="M476" s="207"/>
      <c r="N476" s="207"/>
      <c r="O476" s="207"/>
      <c r="P476" s="207"/>
      <c r="Q476" s="207"/>
      <c r="R476" s="207"/>
      <c r="S476" s="207"/>
      <c r="T476" s="207"/>
      <c r="U476" s="207"/>
      <c r="V476" s="207"/>
      <c r="W476" s="207"/>
      <c r="X476" s="207"/>
      <c r="Y476" s="207"/>
      <c r="Z476" s="207"/>
      <c r="AA476" s="207"/>
      <c r="AB476" s="207"/>
      <c r="AC476" s="5"/>
      <c r="AD476" s="63"/>
      <c r="AE476" s="64"/>
      <c r="AF476" s="64"/>
      <c r="AG476" s="212"/>
      <c r="AH476" s="64"/>
      <c r="AI476" s="64"/>
      <c r="AJ476" s="64"/>
      <c r="AK476" s="212"/>
      <c r="AL476" s="64"/>
      <c r="AM476" s="64"/>
      <c r="AN476" s="64"/>
      <c r="AO476" s="64"/>
      <c r="AP476" s="63"/>
      <c r="AQ476" s="64"/>
      <c r="AR476" s="63"/>
      <c r="AS476" s="64"/>
      <c r="AT476" s="63"/>
      <c r="AU476" s="64"/>
      <c r="AV476" s="63"/>
      <c r="AW476" s="64"/>
      <c r="AX476" s="63"/>
      <c r="AY476" s="5"/>
      <c r="AZ476" s="21" t="str">
        <f t="shared" si="95"/>
        <v/>
      </c>
      <c r="BA476" s="264" t="s">
        <v>447</v>
      </c>
      <c r="BB476" s="264"/>
      <c r="BC476" s="264"/>
      <c r="BD476" s="264"/>
      <c r="BE476" s="216" t="s">
        <v>136</v>
      </c>
      <c r="BF476" s="55"/>
      <c r="BG476" s="55"/>
      <c r="BH476" s="55"/>
      <c r="BI476" s="55"/>
      <c r="BJ476" s="55"/>
      <c r="BK476" s="55"/>
      <c r="BL476" s="55"/>
      <c r="BM476" s="55"/>
      <c r="BN476" s="55"/>
      <c r="BO476" s="55"/>
      <c r="BP476" s="55"/>
      <c r="BQ476" s="5"/>
      <c r="BR476" s="25"/>
      <c r="BS476" s="5"/>
    </row>
    <row r="477" spans="1:71" s="3" customFormat="1" x14ac:dyDescent="0.25">
      <c r="A477" s="5"/>
      <c r="B477" s="3" t="str">
        <f t="array" ref="B477">IFERROR(INDEX(DemandSupply,MATCH(INDEX($AH$1:AH477,SMALL(ROW($AH$1:AH477)+(10000*($AH$1:AH477="")),COUNTA($AH$1:AH477))),Sectors,0)),"")</f>
        <v>Demand</v>
      </c>
      <c r="E477" s="10"/>
      <c r="F477" s="207"/>
      <c r="G477" s="207"/>
      <c r="H477" s="207"/>
      <c r="I477" s="207"/>
      <c r="J477" s="207"/>
      <c r="K477" s="207"/>
      <c r="L477" s="207"/>
      <c r="M477" s="207"/>
      <c r="N477" s="207"/>
      <c r="O477" s="207"/>
      <c r="P477" s="207"/>
      <c r="Q477" s="207"/>
      <c r="R477" s="207"/>
      <c r="S477" s="207"/>
      <c r="T477" s="207"/>
      <c r="U477" s="207"/>
      <c r="V477" s="207"/>
      <c r="W477" s="207"/>
      <c r="X477" s="207"/>
      <c r="Y477" s="207"/>
      <c r="Z477" s="207"/>
      <c r="AA477" s="207"/>
      <c r="AB477" s="207"/>
      <c r="AC477" s="5"/>
      <c r="AD477" s="63"/>
      <c r="AE477" s="64"/>
      <c r="AF477" s="64"/>
      <c r="AG477" s="212"/>
      <c r="AH477" s="64"/>
      <c r="AI477" s="64"/>
      <c r="AJ477" s="64"/>
      <c r="AK477" s="212"/>
      <c r="AL477" s="64"/>
      <c r="AM477" s="64"/>
      <c r="AN477" s="64"/>
      <c r="AO477" s="64"/>
      <c r="AP477" s="63"/>
      <c r="AQ477" s="64"/>
      <c r="AR477" s="63"/>
      <c r="AS477" s="64"/>
      <c r="AT477" s="63"/>
      <c r="AU477" s="64"/>
      <c r="AV477" s="63"/>
      <c r="AW477" s="64"/>
      <c r="AX477" s="63"/>
      <c r="AY477" s="5"/>
      <c r="AZ477" s="21" t="str">
        <f t="shared" ref="AZ477:AZ540" si="162">IFERROR(INDEX($AD477:$AX477,MATCH(TRUE,INDEX(($AD477:$AX477&lt;&gt;0),0),0)),"")</f>
        <v/>
      </c>
      <c r="BA477" s="264" t="s">
        <v>448</v>
      </c>
      <c r="BB477" s="264"/>
      <c r="BC477" s="264"/>
      <c r="BD477" s="264"/>
      <c r="BE477" s="216" t="s">
        <v>136</v>
      </c>
      <c r="BF477" s="55"/>
      <c r="BG477" s="55"/>
      <c r="BH477" s="55"/>
      <c r="BI477" s="55"/>
      <c r="BJ477" s="55"/>
      <c r="BK477" s="55"/>
      <c r="BL477" s="55"/>
      <c r="BM477" s="55"/>
      <c r="BN477" s="55"/>
      <c r="BO477" s="55"/>
      <c r="BP477" s="55"/>
      <c r="BQ477" s="5"/>
      <c r="BR477" s="25"/>
      <c r="BS477" s="5"/>
    </row>
    <row r="478" spans="1:71" s="3" customFormat="1" x14ac:dyDescent="0.25">
      <c r="A478" s="5"/>
      <c r="B478" s="3" t="str">
        <f t="array" ref="B478">IFERROR(INDEX(DemandSupply,MATCH(INDEX($AH$1:AH478,SMALL(ROW($AH$1:AH478)+(10000*($AH$1:AH478="")),COUNTA($AH$1:AH478))),Sectors,0)),"")</f>
        <v>Demand</v>
      </c>
      <c r="E478" s="10"/>
      <c r="F478" s="207"/>
      <c r="G478" s="207"/>
      <c r="H478" s="207"/>
      <c r="I478" s="207"/>
      <c r="J478" s="207"/>
      <c r="K478" s="207"/>
      <c r="L478" s="207"/>
      <c r="M478" s="207"/>
      <c r="N478" s="207"/>
      <c r="O478" s="207"/>
      <c r="P478" s="207"/>
      <c r="Q478" s="207"/>
      <c r="R478" s="207"/>
      <c r="S478" s="207"/>
      <c r="T478" s="207"/>
      <c r="U478" s="207"/>
      <c r="V478" s="207"/>
      <c r="W478" s="207"/>
      <c r="X478" s="207"/>
      <c r="Y478" s="207"/>
      <c r="Z478" s="207"/>
      <c r="AA478" s="207"/>
      <c r="AB478" s="207"/>
      <c r="AC478" s="5"/>
      <c r="AD478" s="63"/>
      <c r="AE478" s="64"/>
      <c r="AF478" s="64"/>
      <c r="AG478" s="212"/>
      <c r="AH478" s="64"/>
      <c r="AI478" s="64"/>
      <c r="AJ478" s="64"/>
      <c r="AK478" s="212"/>
      <c r="AL478" s="64"/>
      <c r="AM478" s="64"/>
      <c r="AN478" s="64"/>
      <c r="AO478" s="64"/>
      <c r="AP478" s="63"/>
      <c r="AQ478" s="64"/>
      <c r="AR478" s="63"/>
      <c r="AS478" s="64"/>
      <c r="AT478" s="63"/>
      <c r="AU478" s="64"/>
      <c r="AV478" s="63"/>
      <c r="AW478" s="64"/>
      <c r="AX478" s="63"/>
      <c r="AY478" s="5"/>
      <c r="AZ478" s="21" t="str">
        <f t="shared" si="162"/>
        <v/>
      </c>
      <c r="BA478" s="264" t="s">
        <v>445</v>
      </c>
      <c r="BB478" s="264"/>
      <c r="BC478" s="264"/>
      <c r="BD478" s="264" t="s">
        <v>355</v>
      </c>
      <c r="BE478" s="216" t="s">
        <v>136</v>
      </c>
      <c r="BF478" s="56"/>
      <c r="BG478" s="56"/>
      <c r="BH478" s="56"/>
      <c r="BI478" s="56"/>
      <c r="BJ478" s="56"/>
      <c r="BK478" s="56"/>
      <c r="BL478" s="56"/>
      <c r="BM478" s="56"/>
      <c r="BN478" s="56"/>
      <c r="BO478" s="56"/>
      <c r="BP478" s="56"/>
      <c r="BQ478" s="5"/>
      <c r="BR478" s="25"/>
      <c r="BS478" s="5"/>
    </row>
    <row r="479" spans="1:71" s="3" customFormat="1" x14ac:dyDescent="0.25">
      <c r="A479" s="5"/>
      <c r="B479" s="3" t="str">
        <f t="array" ref="B479">IFERROR(INDEX(DemandSupply,MATCH(INDEX($AH$1:AH479,SMALL(ROW($AH$1:AH479)+(10000*($AH$1:AH479="")),COUNTA($AH$1:AH479))),Sectors,0)),"")</f>
        <v>Demand</v>
      </c>
      <c r="E479" s="10"/>
      <c r="F479" s="207"/>
      <c r="G479" s="207"/>
      <c r="H479" s="207"/>
      <c r="I479" s="207"/>
      <c r="J479" s="207"/>
      <c r="K479" s="207"/>
      <c r="L479" s="207"/>
      <c r="M479" s="207"/>
      <c r="N479" s="207"/>
      <c r="O479" s="207"/>
      <c r="P479" s="207"/>
      <c r="Q479" s="207"/>
      <c r="R479" s="207"/>
      <c r="S479" s="207"/>
      <c r="T479" s="207"/>
      <c r="U479" s="207"/>
      <c r="V479" s="207"/>
      <c r="W479" s="207"/>
      <c r="X479" s="207"/>
      <c r="Y479" s="207"/>
      <c r="Z479" s="207"/>
      <c r="AA479" s="207"/>
      <c r="AB479" s="207"/>
      <c r="AC479" s="5"/>
      <c r="AD479" s="63"/>
      <c r="AE479" s="64"/>
      <c r="AF479" s="64"/>
      <c r="AG479" s="212"/>
      <c r="AH479" s="64"/>
      <c r="AI479" s="64"/>
      <c r="AJ479" s="64"/>
      <c r="AK479" s="212"/>
      <c r="AL479" s="64"/>
      <c r="AM479" s="64"/>
      <c r="AN479" s="64"/>
      <c r="AO479" s="64"/>
      <c r="AP479" s="63"/>
      <c r="AQ479" s="64"/>
      <c r="AR479" s="63"/>
      <c r="AS479" s="64"/>
      <c r="AT479" s="63"/>
      <c r="AU479" s="64"/>
      <c r="AV479" s="63"/>
      <c r="AW479" s="64"/>
      <c r="AX479" s="63"/>
      <c r="AY479" s="5"/>
      <c r="AZ479" s="21" t="str">
        <f t="shared" si="162"/>
        <v/>
      </c>
      <c r="BA479" s="264" t="s">
        <v>449</v>
      </c>
      <c r="BB479" s="264"/>
      <c r="BC479" s="264"/>
      <c r="BD479" s="264" t="s">
        <v>355</v>
      </c>
      <c r="BE479" s="216" t="s">
        <v>136</v>
      </c>
      <c r="BF479" s="56"/>
      <c r="BG479" s="56"/>
      <c r="BH479" s="56"/>
      <c r="BI479" s="56"/>
      <c r="BJ479" s="56"/>
      <c r="BK479" s="56"/>
      <c r="BL479" s="56"/>
      <c r="BM479" s="56"/>
      <c r="BN479" s="56"/>
      <c r="BO479" s="56"/>
      <c r="BP479" s="56"/>
      <c r="BQ479" s="5"/>
      <c r="BR479" s="25"/>
      <c r="BS479" s="5"/>
    </row>
    <row r="480" spans="1:71" s="3" customFormat="1" x14ac:dyDescent="0.25">
      <c r="A480" s="5"/>
      <c r="B480" s="3" t="str">
        <f t="array" ref="B480">IFERROR(INDEX(DemandSupply,MATCH(INDEX($AH$1:AH480,SMALL(ROW($AH$1:AH480)+(10000*($AH$1:AH480="")),COUNTA($AH$1:AH480))),Sectors,0)),"")</f>
        <v>Demand</v>
      </c>
      <c r="E480" s="10"/>
      <c r="F480" s="207"/>
      <c r="G480" s="207"/>
      <c r="H480" s="207"/>
      <c r="I480" s="207"/>
      <c r="J480" s="207"/>
      <c r="K480" s="207"/>
      <c r="L480" s="207"/>
      <c r="M480" s="207"/>
      <c r="N480" s="207"/>
      <c r="O480" s="207"/>
      <c r="P480" s="207"/>
      <c r="Q480" s="207"/>
      <c r="R480" s="207"/>
      <c r="S480" s="207"/>
      <c r="T480" s="207"/>
      <c r="U480" s="207"/>
      <c r="V480" s="207"/>
      <c r="W480" s="207"/>
      <c r="X480" s="207"/>
      <c r="Y480" s="207"/>
      <c r="Z480" s="207"/>
      <c r="AA480" s="207"/>
      <c r="AB480" s="207"/>
      <c r="AC480" s="5"/>
      <c r="AD480" s="63"/>
      <c r="AE480" s="64"/>
      <c r="AF480" s="64"/>
      <c r="AG480" s="212"/>
      <c r="AH480" s="64"/>
      <c r="AI480" s="64"/>
      <c r="AJ480" s="64"/>
      <c r="AK480" s="212"/>
      <c r="AL480" s="64"/>
      <c r="AM480" s="64"/>
      <c r="AN480" s="64"/>
      <c r="AO480" s="64"/>
      <c r="AP480" s="63"/>
      <c r="AQ480" s="64"/>
      <c r="AR480" s="63"/>
      <c r="AS480" s="64"/>
      <c r="AT480" s="63"/>
      <c r="AU480" s="64"/>
      <c r="AV480" s="63"/>
      <c r="AW480" s="64"/>
      <c r="AX480" s="63"/>
      <c r="AY480" s="5"/>
      <c r="AZ480" s="21" t="str">
        <f t="shared" si="162"/>
        <v/>
      </c>
      <c r="BA480" s="264" t="s">
        <v>450</v>
      </c>
      <c r="BB480" s="264"/>
      <c r="BC480" s="264"/>
      <c r="BD480" s="264"/>
      <c r="BE480" s="216" t="s">
        <v>136</v>
      </c>
      <c r="BF480" s="55"/>
      <c r="BG480" s="55"/>
      <c r="BH480" s="55"/>
      <c r="BI480" s="55"/>
      <c r="BJ480" s="55"/>
      <c r="BK480" s="55"/>
      <c r="BL480" s="55"/>
      <c r="BM480" s="55"/>
      <c r="BN480" s="55"/>
      <c r="BO480" s="55"/>
      <c r="BP480" s="55"/>
      <c r="BQ480" s="5"/>
      <c r="BR480" s="25"/>
      <c r="BS480" s="5"/>
    </row>
    <row r="481" spans="1:71" s="3" customFormat="1" x14ac:dyDescent="0.25">
      <c r="A481" s="5"/>
      <c r="B481" s="3" t="str">
        <f t="array" ref="B481">IFERROR(INDEX(DemandSupply,MATCH(INDEX($AH$1:AH481,SMALL(ROW($AH$1:AH481)+(10000*($AH$1:AH481="")),COUNTA($AH$1:AH481))),Sectors,0)),"")</f>
        <v>Demand</v>
      </c>
      <c r="E481" s="10"/>
      <c r="F481" s="207"/>
      <c r="G481" s="207"/>
      <c r="H481" s="207"/>
      <c r="I481" s="207"/>
      <c r="J481" s="207"/>
      <c r="K481" s="207"/>
      <c r="L481" s="207"/>
      <c r="M481" s="207"/>
      <c r="N481" s="207"/>
      <c r="O481" s="207"/>
      <c r="P481" s="207"/>
      <c r="Q481" s="207"/>
      <c r="R481" s="207"/>
      <c r="S481" s="207"/>
      <c r="T481" s="207"/>
      <c r="U481" s="207"/>
      <c r="V481" s="207"/>
      <c r="W481" s="207"/>
      <c r="X481" s="207"/>
      <c r="Y481" s="207"/>
      <c r="Z481" s="207"/>
      <c r="AA481" s="207"/>
      <c r="AB481" s="207"/>
      <c r="AC481" s="5"/>
      <c r="AD481" s="63"/>
      <c r="AE481" s="64"/>
      <c r="AF481" s="64"/>
      <c r="AG481" s="212"/>
      <c r="AH481" s="64"/>
      <c r="AI481" s="64"/>
      <c r="AJ481" s="64"/>
      <c r="AK481" s="212"/>
      <c r="AL481" s="64"/>
      <c r="AM481" s="64"/>
      <c r="AN481" s="64"/>
      <c r="AO481" s="64"/>
      <c r="AP481" s="63"/>
      <c r="AQ481" s="64"/>
      <c r="AR481" s="63"/>
      <c r="AS481" s="64"/>
      <c r="AT481" s="63"/>
      <c r="AU481" s="64"/>
      <c r="AV481" s="63"/>
      <c r="AW481" s="64"/>
      <c r="AX481" s="63"/>
      <c r="AY481" s="5"/>
      <c r="AZ481" s="21" t="str">
        <f t="shared" si="162"/>
        <v/>
      </c>
      <c r="BA481" s="264" t="s">
        <v>451</v>
      </c>
      <c r="BB481" s="264"/>
      <c r="BC481" s="264"/>
      <c r="BD481" s="264"/>
      <c r="BE481" s="216" t="s">
        <v>136</v>
      </c>
      <c r="BF481" s="55"/>
      <c r="BG481" s="55"/>
      <c r="BH481" s="55"/>
      <c r="BI481" s="55"/>
      <c r="BJ481" s="55"/>
      <c r="BK481" s="55"/>
      <c r="BL481" s="55"/>
      <c r="BM481" s="55"/>
      <c r="BN481" s="55"/>
      <c r="BO481" s="55"/>
      <c r="BP481" s="55"/>
      <c r="BQ481" s="5"/>
      <c r="BR481" s="25"/>
      <c r="BS481" s="5"/>
    </row>
    <row r="482" spans="1:71" s="3" customFormat="1" x14ac:dyDescent="0.25">
      <c r="A482" s="5"/>
      <c r="B482" s="3" t="str">
        <f t="array" ref="B482">IFERROR(INDEX(DemandSupply,MATCH(INDEX($AH$1:AH482,SMALL(ROW($AH$1:AH482)+(10000*($AH$1:AH482="")),COUNTA($AH$1:AH482))),Sectors,0)),"")</f>
        <v>Demand</v>
      </c>
      <c r="E482" s="10"/>
      <c r="F482" s="207"/>
      <c r="G482" s="207"/>
      <c r="H482" s="207"/>
      <c r="I482" s="207"/>
      <c r="J482" s="207"/>
      <c r="K482" s="207"/>
      <c r="L482" s="207"/>
      <c r="M482" s="207"/>
      <c r="N482" s="207"/>
      <c r="O482" s="207"/>
      <c r="P482" s="207"/>
      <c r="Q482" s="207"/>
      <c r="R482" s="207"/>
      <c r="S482" s="207"/>
      <c r="T482" s="207"/>
      <c r="U482" s="207"/>
      <c r="V482" s="207"/>
      <c r="W482" s="207"/>
      <c r="X482" s="207"/>
      <c r="Y482" s="207"/>
      <c r="Z482" s="207"/>
      <c r="AA482" s="207"/>
      <c r="AB482" s="207"/>
      <c r="AC482" s="5"/>
      <c r="AD482" s="63"/>
      <c r="AE482" s="64"/>
      <c r="AF482" s="64"/>
      <c r="AG482" s="212"/>
      <c r="AH482" s="64"/>
      <c r="AI482" s="64"/>
      <c r="AJ482" s="64"/>
      <c r="AK482" s="212"/>
      <c r="AL482" s="64"/>
      <c r="AM482" s="64"/>
      <c r="AN482" s="64"/>
      <c r="AO482" s="64"/>
      <c r="AP482" s="63"/>
      <c r="AQ482" s="64"/>
      <c r="AR482" s="63"/>
      <c r="AS482" s="64"/>
      <c r="AT482" s="63"/>
      <c r="AU482" s="64"/>
      <c r="AV482" s="63"/>
      <c r="AW482" s="64"/>
      <c r="AX482" s="63"/>
      <c r="AY482" s="5"/>
      <c r="AZ482" s="21" t="str">
        <f t="shared" si="162"/>
        <v/>
      </c>
      <c r="BA482" s="264" t="s">
        <v>342</v>
      </c>
      <c r="BB482" s="264"/>
      <c r="BC482" s="264"/>
      <c r="BD482" s="264" t="s">
        <v>355</v>
      </c>
      <c r="BE482" s="216" t="s">
        <v>136</v>
      </c>
      <c r="BF482" s="56">
        <v>12.217000000000001</v>
      </c>
      <c r="BG482" s="282">
        <f t="shared" ref="BG482" si="163">BF482</f>
        <v>12.217000000000001</v>
      </c>
      <c r="BH482" s="282">
        <f t="shared" ref="BH482" si="164">BG482</f>
        <v>12.217000000000001</v>
      </c>
      <c r="BI482" s="282">
        <f t="shared" ref="BI482" si="165">BH482</f>
        <v>12.217000000000001</v>
      </c>
      <c r="BJ482" s="282">
        <f t="shared" ref="BJ482" si="166">BI482</f>
        <v>12.217000000000001</v>
      </c>
      <c r="BK482" s="282">
        <f t="shared" ref="BK482" si="167">BJ482</f>
        <v>12.217000000000001</v>
      </c>
      <c r="BL482" s="282">
        <f t="shared" ref="BL482" si="168">BK482</f>
        <v>12.217000000000001</v>
      </c>
      <c r="BM482" s="282">
        <f t="shared" ref="BM482" si="169">BL482</f>
        <v>12.217000000000001</v>
      </c>
      <c r="BN482" s="282">
        <f t="shared" ref="BN482" si="170">BM482</f>
        <v>12.217000000000001</v>
      </c>
      <c r="BO482" s="282">
        <f t="shared" ref="BO482" si="171">BN482</f>
        <v>12.217000000000001</v>
      </c>
      <c r="BP482" s="282">
        <f t="shared" ref="BP482" si="172">BO482</f>
        <v>12.217000000000001</v>
      </c>
      <c r="BQ482" s="5"/>
      <c r="BR482" s="25"/>
      <c r="BS482" s="5"/>
    </row>
    <row r="483" spans="1:71" s="3" customFormat="1" x14ac:dyDescent="0.25">
      <c r="A483" s="5"/>
      <c r="B483" s="3" t="str">
        <f t="array" ref="B483">IFERROR(INDEX(DemandSupply,MATCH(INDEX($AH$1:AH483,SMALL(ROW($AH$1:AH483)+(10000*($AH$1:AH483="")),COUNTA($AH$1:AH483))),Sectors,0)),"")</f>
        <v>Demand</v>
      </c>
      <c r="E483" s="10"/>
      <c r="F483" s="207"/>
      <c r="G483" s="207"/>
      <c r="H483" s="207"/>
      <c r="I483" s="207"/>
      <c r="J483" s="207"/>
      <c r="K483" s="207"/>
      <c r="L483" s="207"/>
      <c r="M483" s="207"/>
      <c r="N483" s="207"/>
      <c r="O483" s="207"/>
      <c r="P483" s="207"/>
      <c r="Q483" s="207"/>
      <c r="R483" s="207"/>
      <c r="S483" s="207"/>
      <c r="T483" s="207"/>
      <c r="U483" s="207"/>
      <c r="V483" s="207"/>
      <c r="W483" s="207"/>
      <c r="X483" s="207"/>
      <c r="Y483" s="207"/>
      <c r="Z483" s="207"/>
      <c r="AA483" s="207"/>
      <c r="AB483" s="207"/>
      <c r="AC483" s="5"/>
      <c r="AD483" s="63"/>
      <c r="AE483" s="64"/>
      <c r="AF483" s="64"/>
      <c r="AG483" s="212"/>
      <c r="AH483" s="64"/>
      <c r="AI483" s="64"/>
      <c r="AJ483" s="64"/>
      <c r="AK483" s="212"/>
      <c r="AL483" s="64"/>
      <c r="AM483" s="64"/>
      <c r="AN483" s="64"/>
      <c r="AO483" s="64"/>
      <c r="AP483" s="63"/>
      <c r="AQ483" s="64"/>
      <c r="AR483" s="63"/>
      <c r="AS483" s="64"/>
      <c r="AT483" s="63"/>
      <c r="AU483" s="64"/>
      <c r="AV483" s="63"/>
      <c r="AW483" s="64"/>
      <c r="AX483" s="63"/>
      <c r="AY483" s="5"/>
      <c r="AZ483" s="21" t="str">
        <f t="shared" si="162"/>
        <v/>
      </c>
      <c r="BA483" s="264" t="s">
        <v>394</v>
      </c>
      <c r="BB483" s="264"/>
      <c r="BC483" s="264"/>
      <c r="BD483" s="264" t="s">
        <v>354</v>
      </c>
      <c r="BE483" s="216" t="s">
        <v>136</v>
      </c>
      <c r="BF483" s="56"/>
      <c r="BG483" s="56"/>
      <c r="BH483" s="56"/>
      <c r="BI483" s="56"/>
      <c r="BJ483" s="56"/>
      <c r="BK483" s="56"/>
      <c r="BL483" s="56"/>
      <c r="BM483" s="56"/>
      <c r="BN483" s="56"/>
      <c r="BO483" s="56"/>
      <c r="BP483" s="56"/>
      <c r="BQ483" s="5"/>
      <c r="BR483" s="25"/>
      <c r="BS483" s="5"/>
    </row>
    <row r="484" spans="1:71" s="3" customFormat="1" x14ac:dyDescent="0.25">
      <c r="A484" s="5"/>
      <c r="B484" s="3" t="str">
        <f t="array" ref="B484">IFERROR(INDEX(DemandSupply,MATCH(INDEX($AH$1:AH484,SMALL(ROW($AH$1:AH484)+(10000*($AH$1:AH484="")),COUNTA($AH$1:AH484))),Sectors,0)),"")</f>
        <v>Demand</v>
      </c>
      <c r="E484" s="10">
        <f t="shared" si="88"/>
        <v>0</v>
      </c>
      <c r="F484" s="207">
        <v>1</v>
      </c>
      <c r="G484" s="207">
        <v>1</v>
      </c>
      <c r="H484" s="207">
        <v>1</v>
      </c>
      <c r="I484" s="207">
        <v>1</v>
      </c>
      <c r="J484" s="207">
        <v>1</v>
      </c>
      <c r="K484" s="207">
        <v>1</v>
      </c>
      <c r="L484" s="207">
        <v>1</v>
      </c>
      <c r="M484" s="207">
        <v>1</v>
      </c>
      <c r="N484" s="207">
        <v>1</v>
      </c>
      <c r="O484" s="207">
        <v>1</v>
      </c>
      <c r="P484" s="207">
        <v>1</v>
      </c>
      <c r="Q484" s="207">
        <v>1</v>
      </c>
      <c r="R484" s="207">
        <v>1</v>
      </c>
      <c r="S484" s="207">
        <v>1</v>
      </c>
      <c r="T484" s="207">
        <v>1</v>
      </c>
      <c r="U484" s="207">
        <v>1</v>
      </c>
      <c r="V484" s="207">
        <v>1</v>
      </c>
      <c r="W484" s="207">
        <v>1</v>
      </c>
      <c r="X484" s="207">
        <v>1</v>
      </c>
      <c r="Y484" s="207">
        <v>1</v>
      </c>
      <c r="Z484" s="207">
        <v>1</v>
      </c>
      <c r="AA484" s="207">
        <v>1</v>
      </c>
      <c r="AB484" s="207">
        <v>1</v>
      </c>
      <c r="AC484" s="5"/>
      <c r="AD484" s="63"/>
      <c r="AE484" s="64"/>
      <c r="AF484" s="64"/>
      <c r="AG484" s="212"/>
      <c r="AH484" s="64"/>
      <c r="AI484" s="64"/>
      <c r="AJ484" s="65"/>
      <c r="AK484" s="212"/>
      <c r="AL484" s="64"/>
      <c r="AM484" s="64"/>
      <c r="AN484" s="64"/>
      <c r="AO484" s="64"/>
      <c r="AP484" s="64"/>
      <c r="AQ484" s="64"/>
      <c r="AR484" s="63"/>
      <c r="AS484" s="64"/>
      <c r="AT484" s="63"/>
      <c r="AU484" s="64"/>
      <c r="AV484" s="63"/>
      <c r="AW484" s="64"/>
      <c r="AX484" s="63"/>
      <c r="AY484" s="5"/>
      <c r="AZ484" s="21" t="str">
        <f t="shared" si="162"/>
        <v/>
      </c>
      <c r="BA484" s="74" t="s">
        <v>338</v>
      </c>
      <c r="BB484" s="25"/>
      <c r="BC484" s="2" t="s">
        <v>123</v>
      </c>
      <c r="BD484" s="74" t="s">
        <v>367</v>
      </c>
      <c r="BE484" s="216" t="s">
        <v>136</v>
      </c>
      <c r="BF484" s="55">
        <v>0.20899999999999999</v>
      </c>
      <c r="BG484" s="55">
        <v>0.20899999999999999</v>
      </c>
      <c r="BH484" s="55">
        <v>0.20899999999999999</v>
      </c>
      <c r="BI484" s="55">
        <v>0.20899999999999999</v>
      </c>
      <c r="BJ484" s="55">
        <v>0.20899999999999999</v>
      </c>
      <c r="BK484" s="55">
        <v>0.20899999999999999</v>
      </c>
      <c r="BL484" s="55">
        <v>0.20899999999999999</v>
      </c>
      <c r="BM484" s="55">
        <v>0.20899999999999999</v>
      </c>
      <c r="BN484" s="55">
        <v>0.20899999999999999</v>
      </c>
      <c r="BO484" s="55">
        <v>0.20899999999999999</v>
      </c>
      <c r="BP484" s="55">
        <v>0.20899999999999999</v>
      </c>
      <c r="BQ484" s="5"/>
      <c r="BR484" s="25"/>
      <c r="BS484" s="5"/>
    </row>
    <row r="485" spans="1:71" s="3" customFormat="1" x14ac:dyDescent="0.25">
      <c r="A485" s="5"/>
      <c r="B485" s="3" t="str">
        <f t="array" ref="B485">IFERROR(INDEX(DemandSupply,MATCH(INDEX($AH$1:AH485,SMALL(ROW($AH$1:AH485)+(10000*($AH$1:AH485="")),COUNTA($AH$1:AH485))),Sectors,0)),"")</f>
        <v>Demand</v>
      </c>
      <c r="E485" s="10">
        <f t="shared" si="88"/>
        <v>0</v>
      </c>
      <c r="F485" s="207">
        <v>1</v>
      </c>
      <c r="G485" s="207">
        <v>1</v>
      </c>
      <c r="H485" s="207">
        <v>1</v>
      </c>
      <c r="I485" s="207">
        <v>1</v>
      </c>
      <c r="J485" s="207">
        <v>1</v>
      </c>
      <c r="K485" s="207">
        <v>1</v>
      </c>
      <c r="L485" s="207">
        <v>1</v>
      </c>
      <c r="M485" s="207">
        <v>1</v>
      </c>
      <c r="N485" s="207">
        <v>1</v>
      </c>
      <c r="O485" s="207">
        <v>1</v>
      </c>
      <c r="P485" s="207">
        <v>1</v>
      </c>
      <c r="Q485" s="207">
        <v>1</v>
      </c>
      <c r="R485" s="207">
        <v>1</v>
      </c>
      <c r="S485" s="207">
        <v>1</v>
      </c>
      <c r="T485" s="207">
        <v>1</v>
      </c>
      <c r="U485" s="207">
        <v>1</v>
      </c>
      <c r="V485" s="207">
        <v>1</v>
      </c>
      <c r="W485" s="207">
        <v>1</v>
      </c>
      <c r="X485" s="207">
        <v>1</v>
      </c>
      <c r="Y485" s="207">
        <v>1</v>
      </c>
      <c r="Z485" s="207">
        <v>1</v>
      </c>
      <c r="AA485" s="207">
        <v>1</v>
      </c>
      <c r="AB485" s="207">
        <v>1</v>
      </c>
      <c r="AC485" s="5"/>
      <c r="AD485" s="63"/>
      <c r="AE485" s="64"/>
      <c r="AF485" s="64"/>
      <c r="AG485" s="212"/>
      <c r="AH485" s="64"/>
      <c r="AI485" s="64"/>
      <c r="AJ485" s="65"/>
      <c r="AK485" s="212"/>
      <c r="AL485" s="64"/>
      <c r="AM485" s="64"/>
      <c r="AN485" s="64"/>
      <c r="AO485" s="64"/>
      <c r="AP485" s="64"/>
      <c r="AQ485" s="64"/>
      <c r="AR485" s="63"/>
      <c r="AS485" s="64"/>
      <c r="AT485" s="63"/>
      <c r="AU485" s="64"/>
      <c r="AV485" s="63"/>
      <c r="AW485" s="64"/>
      <c r="AX485" s="63"/>
      <c r="AY485" s="5"/>
      <c r="AZ485" s="21" t="str">
        <f t="shared" si="162"/>
        <v/>
      </c>
      <c r="BA485" s="291" t="s">
        <v>51</v>
      </c>
      <c r="BB485" s="25"/>
      <c r="BC485" s="2"/>
      <c r="BD485" s="2"/>
      <c r="BE485" s="216" t="s">
        <v>135</v>
      </c>
      <c r="BF485" s="4"/>
      <c r="BG485" s="4"/>
      <c r="BH485" s="4"/>
      <c r="BI485" s="4"/>
      <c r="BJ485" s="4"/>
      <c r="BK485" s="4"/>
      <c r="BL485" s="4"/>
      <c r="BM485" s="4"/>
      <c r="BN485" s="4"/>
      <c r="BO485" s="4"/>
      <c r="BP485" s="4"/>
      <c r="BQ485" s="5"/>
      <c r="BR485" s="25"/>
      <c r="BS485" s="5"/>
    </row>
    <row r="486" spans="1:71" s="3" customFormat="1" x14ac:dyDescent="0.25">
      <c r="A486" s="5"/>
      <c r="B486" s="3" t="str">
        <f t="array" ref="B486">IFERROR(INDEX(DemandSupply,MATCH(INDEX($AH$1:AH486,SMALL(ROW($AH$1:AH486)+(10000*($AH$1:AH486="")),COUNTA($AH$1:AH486))),Sectors,0)),"")</f>
        <v>Demand</v>
      </c>
      <c r="E486" s="10"/>
      <c r="F486" s="207"/>
      <c r="G486" s="207"/>
      <c r="H486" s="207"/>
      <c r="I486" s="207"/>
      <c r="J486" s="207"/>
      <c r="K486" s="207"/>
      <c r="L486" s="207"/>
      <c r="M486" s="207"/>
      <c r="N486" s="207"/>
      <c r="O486" s="207"/>
      <c r="P486" s="207"/>
      <c r="Q486" s="207"/>
      <c r="R486" s="207"/>
      <c r="S486" s="207"/>
      <c r="T486" s="207"/>
      <c r="U486" s="207"/>
      <c r="V486" s="207"/>
      <c r="W486" s="207"/>
      <c r="X486" s="207"/>
      <c r="Y486" s="207"/>
      <c r="Z486" s="207"/>
      <c r="AA486" s="207"/>
      <c r="AB486" s="207"/>
      <c r="AC486" s="5"/>
      <c r="AD486" s="63"/>
      <c r="AE486" s="64"/>
      <c r="AF486" s="64"/>
      <c r="AG486" s="212"/>
      <c r="AH486" s="64"/>
      <c r="AI486" s="64"/>
      <c r="AJ486" s="64"/>
      <c r="AK486" s="212"/>
      <c r="AL486" s="64"/>
      <c r="AM486" s="64"/>
      <c r="AN486" s="64"/>
      <c r="AO486" s="64"/>
      <c r="AP486" s="63"/>
      <c r="AQ486" s="64"/>
      <c r="AR486" s="63"/>
      <c r="AS486" s="64"/>
      <c r="AT486" s="63"/>
      <c r="AU486" s="64"/>
      <c r="AV486" s="63"/>
      <c r="AW486" s="64"/>
      <c r="AX486" s="63"/>
      <c r="AY486" s="5"/>
      <c r="AZ486" s="21" t="str">
        <f t="shared" si="162"/>
        <v/>
      </c>
      <c r="BA486" s="264" t="s">
        <v>38</v>
      </c>
      <c r="BB486" s="264"/>
      <c r="BC486" s="264"/>
      <c r="BD486" s="264" t="s">
        <v>40</v>
      </c>
      <c r="BE486" s="216" t="s">
        <v>135</v>
      </c>
      <c r="BF486" s="309">
        <v>2000</v>
      </c>
      <c r="BG486" s="310">
        <f t="shared" ref="BG486:BP486" si="173">BF486</f>
        <v>2000</v>
      </c>
      <c r="BH486" s="310">
        <f t="shared" si="173"/>
        <v>2000</v>
      </c>
      <c r="BI486" s="310">
        <f t="shared" si="173"/>
        <v>2000</v>
      </c>
      <c r="BJ486" s="310">
        <f t="shared" si="173"/>
        <v>2000</v>
      </c>
      <c r="BK486" s="310">
        <f t="shared" si="173"/>
        <v>2000</v>
      </c>
      <c r="BL486" s="310">
        <f t="shared" si="173"/>
        <v>2000</v>
      </c>
      <c r="BM486" s="310">
        <f t="shared" si="173"/>
        <v>2000</v>
      </c>
      <c r="BN486" s="310">
        <f t="shared" si="173"/>
        <v>2000</v>
      </c>
      <c r="BO486" s="310">
        <f t="shared" si="173"/>
        <v>2000</v>
      </c>
      <c r="BP486" s="310">
        <f t="shared" si="173"/>
        <v>2000</v>
      </c>
      <c r="BQ486" s="5"/>
      <c r="BR486" s="25"/>
      <c r="BS486" s="5"/>
    </row>
    <row r="487" spans="1:71" s="3" customFormat="1" x14ac:dyDescent="0.25">
      <c r="A487" s="5"/>
      <c r="B487" s="3" t="str">
        <f t="array" ref="B487">IFERROR(INDEX(DemandSupply,MATCH(INDEX($AH$1:AH487,SMALL(ROW($AH$1:AH487)+(10000*($AH$1:AH487="")),COUNTA($AH$1:AH487))),Sectors,0)),"")</f>
        <v>Demand</v>
      </c>
      <c r="E487" s="10"/>
      <c r="F487" s="207"/>
      <c r="G487" s="207"/>
      <c r="H487" s="207"/>
      <c r="I487" s="207"/>
      <c r="J487" s="207"/>
      <c r="K487" s="207"/>
      <c r="L487" s="207"/>
      <c r="M487" s="207"/>
      <c r="N487" s="207"/>
      <c r="O487" s="207"/>
      <c r="P487" s="207"/>
      <c r="Q487" s="207"/>
      <c r="R487" s="207"/>
      <c r="S487" s="207"/>
      <c r="T487" s="207"/>
      <c r="U487" s="207"/>
      <c r="V487" s="207"/>
      <c r="W487" s="207"/>
      <c r="X487" s="207"/>
      <c r="Y487" s="207"/>
      <c r="Z487" s="207"/>
      <c r="AA487" s="207"/>
      <c r="AB487" s="207"/>
      <c r="AC487" s="5"/>
      <c r="AD487" s="63"/>
      <c r="AE487" s="64"/>
      <c r="AF487" s="64"/>
      <c r="AG487" s="212"/>
      <c r="AH487" s="64"/>
      <c r="AI487" s="64"/>
      <c r="AJ487" s="64"/>
      <c r="AK487" s="212"/>
      <c r="AL487" s="64"/>
      <c r="AM487" s="64"/>
      <c r="AN487" s="64"/>
      <c r="AO487" s="64"/>
      <c r="AP487" s="63"/>
      <c r="AQ487" s="64"/>
      <c r="AR487" s="63"/>
      <c r="AS487" s="64"/>
      <c r="AT487" s="63"/>
      <c r="AU487" s="64"/>
      <c r="AV487" s="63"/>
      <c r="AW487" s="64"/>
      <c r="AX487" s="63"/>
      <c r="AY487" s="5"/>
      <c r="AZ487" s="21" t="str">
        <f t="shared" si="162"/>
        <v/>
      </c>
      <c r="BA487" s="264" t="s">
        <v>37</v>
      </c>
      <c r="BB487" s="264"/>
      <c r="BC487" s="264"/>
      <c r="BD487" s="264" t="s">
        <v>40</v>
      </c>
      <c r="BE487" s="216" t="s">
        <v>135</v>
      </c>
      <c r="BF487" s="309">
        <v>2100</v>
      </c>
      <c r="BG487" s="310">
        <f t="shared" ref="BG487:BP488" si="174">BF487</f>
        <v>2100</v>
      </c>
      <c r="BH487" s="310">
        <f t="shared" si="174"/>
        <v>2100</v>
      </c>
      <c r="BI487" s="310">
        <f t="shared" si="174"/>
        <v>2100</v>
      </c>
      <c r="BJ487" s="310">
        <f t="shared" si="174"/>
        <v>2100</v>
      </c>
      <c r="BK487" s="310">
        <f t="shared" si="174"/>
        <v>2100</v>
      </c>
      <c r="BL487" s="310">
        <f t="shared" si="174"/>
        <v>2100</v>
      </c>
      <c r="BM487" s="310">
        <f t="shared" si="174"/>
        <v>2100</v>
      </c>
      <c r="BN487" s="310">
        <f t="shared" si="174"/>
        <v>2100</v>
      </c>
      <c r="BO487" s="310">
        <f t="shared" si="174"/>
        <v>2100</v>
      </c>
      <c r="BP487" s="310">
        <f t="shared" si="174"/>
        <v>2100</v>
      </c>
      <c r="BQ487" s="5"/>
      <c r="BR487" s="25"/>
      <c r="BS487" s="5"/>
    </row>
    <row r="488" spans="1:71" s="3" customFormat="1" x14ac:dyDescent="0.25">
      <c r="A488" s="5"/>
      <c r="B488" s="3" t="str">
        <f t="array" ref="B488">IFERROR(INDEX(DemandSupply,MATCH(INDEX($AH$1:AH488,SMALL(ROW($AH$1:AH488)+(10000*($AH$1:AH488="")),COUNTA($AH$1:AH488))),Sectors,0)),"")</f>
        <v>Demand</v>
      </c>
      <c r="E488" s="10"/>
      <c r="F488" s="207"/>
      <c r="G488" s="207"/>
      <c r="H488" s="207"/>
      <c r="I488" s="207"/>
      <c r="J488" s="207"/>
      <c r="K488" s="207"/>
      <c r="L488" s="207"/>
      <c r="M488" s="207"/>
      <c r="N488" s="207"/>
      <c r="O488" s="207"/>
      <c r="P488" s="207"/>
      <c r="Q488" s="207"/>
      <c r="R488" s="207"/>
      <c r="S488" s="207"/>
      <c r="T488" s="207"/>
      <c r="U488" s="207"/>
      <c r="V488" s="207"/>
      <c r="W488" s="207"/>
      <c r="X488" s="207"/>
      <c r="Y488" s="207"/>
      <c r="Z488" s="207"/>
      <c r="AA488" s="207"/>
      <c r="AB488" s="207"/>
      <c r="AC488" s="5"/>
      <c r="AD488" s="63"/>
      <c r="AE488" s="64"/>
      <c r="AF488" s="64"/>
      <c r="AG488" s="212"/>
      <c r="AH488" s="64"/>
      <c r="AI488" s="64"/>
      <c r="AJ488" s="64"/>
      <c r="AK488" s="212"/>
      <c r="AL488" s="64"/>
      <c r="AM488" s="64"/>
      <c r="AN488" s="64"/>
      <c r="AO488" s="64"/>
      <c r="AP488" s="63"/>
      <c r="AQ488" s="64"/>
      <c r="AR488" s="63"/>
      <c r="AS488" s="64"/>
      <c r="AT488" s="63"/>
      <c r="AU488" s="64"/>
      <c r="AV488" s="63"/>
      <c r="AW488" s="64"/>
      <c r="AX488" s="63"/>
      <c r="AY488" s="5"/>
      <c r="AZ488" s="21" t="str">
        <f t="shared" si="162"/>
        <v/>
      </c>
      <c r="BA488" s="264" t="s">
        <v>39</v>
      </c>
      <c r="BB488" s="264"/>
      <c r="BC488" s="264"/>
      <c r="BD488" s="264" t="s">
        <v>10</v>
      </c>
      <c r="BE488" s="216" t="s">
        <v>135</v>
      </c>
      <c r="BF488" s="56">
        <v>9</v>
      </c>
      <c r="BG488" s="282">
        <f t="shared" si="174"/>
        <v>9</v>
      </c>
      <c r="BH488" s="282">
        <f t="shared" si="174"/>
        <v>9</v>
      </c>
      <c r="BI488" s="282">
        <f t="shared" si="174"/>
        <v>9</v>
      </c>
      <c r="BJ488" s="282">
        <f t="shared" si="174"/>
        <v>9</v>
      </c>
      <c r="BK488" s="282">
        <f t="shared" si="174"/>
        <v>9</v>
      </c>
      <c r="BL488" s="282">
        <f t="shared" si="174"/>
        <v>9</v>
      </c>
      <c r="BM488" s="282">
        <f t="shared" si="174"/>
        <v>9</v>
      </c>
      <c r="BN488" s="282">
        <f t="shared" si="174"/>
        <v>9</v>
      </c>
      <c r="BO488" s="282">
        <f t="shared" si="174"/>
        <v>9</v>
      </c>
      <c r="BP488" s="282">
        <f t="shared" si="174"/>
        <v>9</v>
      </c>
      <c r="BQ488" s="5"/>
      <c r="BR488" s="25"/>
      <c r="BS488" s="5"/>
    </row>
    <row r="489" spans="1:71" s="3" customFormat="1" x14ac:dyDescent="0.25">
      <c r="A489" s="5"/>
      <c r="B489" s="3" t="str">
        <f t="array" ref="B489">IFERROR(INDEX(DemandSupply,MATCH(INDEX($AH$1:AH489,SMALL(ROW($AH$1:AH489)+(10000*($AH$1:AH489="")),COUNTA($AH$1:AH489))),Sectors,0)),"")</f>
        <v>Demand</v>
      </c>
      <c r="E489" s="10"/>
      <c r="F489" s="207"/>
      <c r="G489" s="207"/>
      <c r="H489" s="207"/>
      <c r="I489" s="207"/>
      <c r="J489" s="207"/>
      <c r="K489" s="207"/>
      <c r="L489" s="207"/>
      <c r="M489" s="207"/>
      <c r="N489" s="207"/>
      <c r="O489" s="207"/>
      <c r="P489" s="207"/>
      <c r="Q489" s="207"/>
      <c r="R489" s="207"/>
      <c r="S489" s="207"/>
      <c r="T489" s="207"/>
      <c r="U489" s="207"/>
      <c r="V489" s="207"/>
      <c r="W489" s="207"/>
      <c r="X489" s="207"/>
      <c r="Y489" s="207"/>
      <c r="Z489" s="207"/>
      <c r="AA489" s="207"/>
      <c r="AB489" s="207"/>
      <c r="AC489" s="5"/>
      <c r="AD489" s="63"/>
      <c r="AE489" s="64"/>
      <c r="AF489" s="64"/>
      <c r="AG489" s="212"/>
      <c r="AH489" s="64"/>
      <c r="AI489" s="64"/>
      <c r="AJ489" s="64"/>
      <c r="AK489" s="212"/>
      <c r="AL489" s="64"/>
      <c r="AM489" s="64"/>
      <c r="AN489" s="64"/>
      <c r="AO489" s="64"/>
      <c r="AP489" s="63"/>
      <c r="AQ489" s="64"/>
      <c r="AR489" s="63"/>
      <c r="AS489" s="64"/>
      <c r="AT489" s="63"/>
      <c r="AU489" s="64"/>
      <c r="AV489" s="63"/>
      <c r="AW489" s="64"/>
      <c r="AX489" s="63"/>
      <c r="AY489" s="5"/>
      <c r="AZ489" s="21" t="str">
        <f t="shared" si="162"/>
        <v/>
      </c>
      <c r="BA489" s="264" t="s">
        <v>395</v>
      </c>
      <c r="BB489" s="264"/>
      <c r="BC489" s="264"/>
      <c r="BD489" s="264" t="s">
        <v>10</v>
      </c>
      <c r="BE489" s="216" t="s">
        <v>135</v>
      </c>
      <c r="BF489" s="56"/>
      <c r="BG489" s="56"/>
      <c r="BH489" s="56"/>
      <c r="BI489" s="56"/>
      <c r="BJ489" s="56"/>
      <c r="BK489" s="56"/>
      <c r="BL489" s="56"/>
      <c r="BM489" s="56"/>
      <c r="BN489" s="56"/>
      <c r="BO489" s="56"/>
      <c r="BP489" s="56"/>
      <c r="BQ489" s="5"/>
      <c r="BR489" s="25"/>
      <c r="BS489" s="5"/>
    </row>
    <row r="490" spans="1:71" s="3" customFormat="1" x14ac:dyDescent="0.25">
      <c r="A490" s="5"/>
      <c r="B490" s="3" t="str">
        <f t="array" ref="B490">IFERROR(INDEX(DemandSupply,MATCH(INDEX($AH$1:AH490,SMALL(ROW($AH$1:AH490)+(10000*($AH$1:AH490="")),COUNTA($AH$1:AH490))),Sectors,0)),"")</f>
        <v>Demand</v>
      </c>
      <c r="E490" s="10"/>
      <c r="F490" s="207"/>
      <c r="G490" s="207"/>
      <c r="H490" s="207"/>
      <c r="I490" s="207"/>
      <c r="J490" s="207"/>
      <c r="K490" s="207"/>
      <c r="L490" s="207"/>
      <c r="M490" s="207"/>
      <c r="N490" s="207"/>
      <c r="O490" s="207"/>
      <c r="P490" s="207"/>
      <c r="Q490" s="207"/>
      <c r="R490" s="207"/>
      <c r="S490" s="207"/>
      <c r="T490" s="207"/>
      <c r="U490" s="207"/>
      <c r="V490" s="207"/>
      <c r="W490" s="207"/>
      <c r="X490" s="207"/>
      <c r="Y490" s="207"/>
      <c r="Z490" s="207"/>
      <c r="AA490" s="207"/>
      <c r="AB490" s="207"/>
      <c r="AC490" s="5"/>
      <c r="AD490" s="63"/>
      <c r="AE490" s="64"/>
      <c r="AF490" s="64"/>
      <c r="AG490" s="212"/>
      <c r="AH490" s="64"/>
      <c r="AI490" s="64"/>
      <c r="AJ490" s="64"/>
      <c r="AK490" s="212"/>
      <c r="AL490" s="64"/>
      <c r="AM490" s="64"/>
      <c r="AN490" s="64"/>
      <c r="AO490" s="64"/>
      <c r="AP490" s="63"/>
      <c r="AQ490" s="64"/>
      <c r="AR490" s="63"/>
      <c r="AS490" s="64"/>
      <c r="AT490" s="63"/>
      <c r="AU490" s="64"/>
      <c r="AV490" s="63"/>
      <c r="AW490" s="64"/>
      <c r="AX490" s="63"/>
      <c r="AY490" s="5"/>
      <c r="AZ490" s="21" t="str">
        <f t="shared" si="162"/>
        <v/>
      </c>
      <c r="BA490" s="264" t="s">
        <v>341</v>
      </c>
      <c r="BB490" s="264"/>
      <c r="BC490" s="264"/>
      <c r="BD490" s="264" t="s">
        <v>99</v>
      </c>
      <c r="BE490" s="216" t="s">
        <v>135</v>
      </c>
      <c r="BF490" s="303">
        <v>0.3</v>
      </c>
      <c r="BG490" s="306">
        <f t="shared" ref="BG490" si="175">BF490</f>
        <v>0.3</v>
      </c>
      <c r="BH490" s="306">
        <f t="shared" ref="BH490" si="176">BG490</f>
        <v>0.3</v>
      </c>
      <c r="BI490" s="306">
        <f t="shared" ref="BI490" si="177">BH490</f>
        <v>0.3</v>
      </c>
      <c r="BJ490" s="306">
        <f t="shared" ref="BJ490" si="178">BI490</f>
        <v>0.3</v>
      </c>
      <c r="BK490" s="306">
        <f t="shared" ref="BK490" si="179">BJ490</f>
        <v>0.3</v>
      </c>
      <c r="BL490" s="306">
        <f t="shared" ref="BL490" si="180">BK490</f>
        <v>0.3</v>
      </c>
      <c r="BM490" s="306">
        <f t="shared" ref="BM490" si="181">BL490</f>
        <v>0.3</v>
      </c>
      <c r="BN490" s="306">
        <f t="shared" ref="BN490" si="182">BM490</f>
        <v>0.3</v>
      </c>
      <c r="BO490" s="306">
        <f t="shared" ref="BO490" si="183">BN490</f>
        <v>0.3</v>
      </c>
      <c r="BP490" s="306">
        <f t="shared" ref="BP490" si="184">BO490</f>
        <v>0.3</v>
      </c>
      <c r="BQ490" s="5"/>
      <c r="BR490" s="25"/>
      <c r="BS490" s="5"/>
    </row>
    <row r="491" spans="1:71" s="3" customFormat="1" x14ac:dyDescent="0.25">
      <c r="A491" s="5"/>
      <c r="B491" s="3" t="str">
        <f t="array" ref="B491">IFERROR(INDEX(DemandSupply,MATCH(INDEX($AH$1:AH491,SMALL(ROW($AH$1:AH491)+(10000*($AH$1:AH491="")),COUNTA($AH$1:AH491))),Sectors,0)),"")</f>
        <v>Demand</v>
      </c>
      <c r="E491" s="10"/>
      <c r="F491" s="207"/>
      <c r="G491" s="207"/>
      <c r="H491" s="207"/>
      <c r="I491" s="207"/>
      <c r="J491" s="207"/>
      <c r="K491" s="207"/>
      <c r="L491" s="207"/>
      <c r="M491" s="207"/>
      <c r="N491" s="207"/>
      <c r="O491" s="207"/>
      <c r="P491" s="207"/>
      <c r="Q491" s="207"/>
      <c r="R491" s="207"/>
      <c r="S491" s="207"/>
      <c r="T491" s="207"/>
      <c r="U491" s="207"/>
      <c r="V491" s="207"/>
      <c r="W491" s="207"/>
      <c r="X491" s="207"/>
      <c r="Y491" s="207"/>
      <c r="Z491" s="207"/>
      <c r="AA491" s="207"/>
      <c r="AB491" s="207"/>
      <c r="AC491" s="5"/>
      <c r="AD491" s="63"/>
      <c r="AE491" s="64"/>
      <c r="AF491" s="64"/>
      <c r="AG491" s="212"/>
      <c r="AH491" s="64"/>
      <c r="AI491" s="64"/>
      <c r="AJ491" s="64"/>
      <c r="AK491" s="212"/>
      <c r="AL491" s="64"/>
      <c r="AM491" s="64"/>
      <c r="AN491" s="64"/>
      <c r="AO491" s="64"/>
      <c r="AP491" s="63"/>
      <c r="AQ491" s="64"/>
      <c r="AR491" s="63"/>
      <c r="AS491" s="64"/>
      <c r="AT491" s="63"/>
      <c r="AU491" s="64"/>
      <c r="AV491" s="63"/>
      <c r="AW491" s="64"/>
      <c r="AX491" s="63"/>
      <c r="AY491" s="5"/>
      <c r="AZ491" s="21" t="str">
        <f t="shared" si="162"/>
        <v/>
      </c>
      <c r="BA491" s="264" t="s">
        <v>392</v>
      </c>
      <c r="BB491" s="264"/>
      <c r="BC491" s="264"/>
      <c r="BD491" s="264" t="s">
        <v>99</v>
      </c>
      <c r="BE491" s="216" t="s">
        <v>135</v>
      </c>
      <c r="BF491" s="303"/>
      <c r="BG491" s="303"/>
      <c r="BH491" s="303"/>
      <c r="BI491" s="303"/>
      <c r="BJ491" s="303"/>
      <c r="BK491" s="303"/>
      <c r="BL491" s="303"/>
      <c r="BM491" s="303"/>
      <c r="BN491" s="303"/>
      <c r="BO491" s="303"/>
      <c r="BP491" s="303"/>
      <c r="BQ491" s="5"/>
      <c r="BR491" s="25"/>
      <c r="BS491" s="5"/>
    </row>
    <row r="492" spans="1:71" s="3" customFormat="1" x14ac:dyDescent="0.25">
      <c r="A492" s="5"/>
      <c r="B492" s="3" t="str">
        <f t="array" ref="B492">IFERROR(INDEX(DemandSupply,MATCH(INDEX($AH$1:AH492,SMALL(ROW($AH$1:AH492)+(10000*($AH$1:AH492="")),COUNTA($AH$1:AH492))),Sectors,0)),"")</f>
        <v>Demand</v>
      </c>
      <c r="E492" s="10"/>
      <c r="F492" s="207"/>
      <c r="G492" s="207"/>
      <c r="H492" s="207"/>
      <c r="I492" s="207"/>
      <c r="J492" s="207"/>
      <c r="K492" s="207"/>
      <c r="L492" s="207"/>
      <c r="M492" s="207"/>
      <c r="N492" s="207"/>
      <c r="O492" s="207"/>
      <c r="P492" s="207"/>
      <c r="Q492" s="207"/>
      <c r="R492" s="207"/>
      <c r="S492" s="207"/>
      <c r="T492" s="207"/>
      <c r="U492" s="207"/>
      <c r="V492" s="207"/>
      <c r="W492" s="207"/>
      <c r="X492" s="207"/>
      <c r="Y492" s="207"/>
      <c r="Z492" s="207"/>
      <c r="AA492" s="207"/>
      <c r="AB492" s="207"/>
      <c r="AC492" s="5"/>
      <c r="AD492" s="63"/>
      <c r="AE492" s="64"/>
      <c r="AF492" s="64"/>
      <c r="AG492" s="212"/>
      <c r="AH492" s="64"/>
      <c r="AI492" s="64"/>
      <c r="AJ492" s="64"/>
      <c r="AK492" s="212"/>
      <c r="AL492" s="64"/>
      <c r="AM492" s="64"/>
      <c r="AN492" s="64"/>
      <c r="AO492" s="64"/>
      <c r="AP492" s="63"/>
      <c r="AQ492" s="64"/>
      <c r="AR492" s="63"/>
      <c r="AS492" s="64"/>
      <c r="AT492" s="63"/>
      <c r="AU492" s="64"/>
      <c r="AV492" s="63"/>
      <c r="AW492" s="64"/>
      <c r="AX492" s="63"/>
      <c r="AY492" s="5"/>
      <c r="AZ492" s="21" t="str">
        <f t="shared" si="162"/>
        <v/>
      </c>
      <c r="BA492" s="264" t="s">
        <v>391</v>
      </c>
      <c r="BB492" s="264"/>
      <c r="BC492" s="264"/>
      <c r="BD492" s="264" t="s">
        <v>99</v>
      </c>
      <c r="BE492" s="216" t="s">
        <v>135</v>
      </c>
      <c r="BF492" s="303"/>
      <c r="BG492" s="303"/>
      <c r="BH492" s="303"/>
      <c r="BI492" s="303"/>
      <c r="BJ492" s="303"/>
      <c r="BK492" s="303"/>
      <c r="BL492" s="303"/>
      <c r="BM492" s="303"/>
      <c r="BN492" s="303"/>
      <c r="BO492" s="303"/>
      <c r="BP492" s="303"/>
      <c r="BQ492" s="5"/>
      <c r="BR492" s="25"/>
      <c r="BS492" s="5"/>
    </row>
    <row r="493" spans="1:71" s="3" customFormat="1" x14ac:dyDescent="0.25">
      <c r="A493" s="5"/>
      <c r="B493" s="3" t="str">
        <f t="array" ref="B493">IFERROR(INDEX(DemandSupply,MATCH(INDEX($AH$1:AH493,SMALL(ROW($AH$1:AH493)+(10000*($AH$1:AH493="")),COUNTA($AH$1:AH493))),Sectors,0)),"")</f>
        <v>Demand</v>
      </c>
      <c r="E493" s="10"/>
      <c r="F493" s="207"/>
      <c r="G493" s="207"/>
      <c r="H493" s="207"/>
      <c r="I493" s="207"/>
      <c r="J493" s="207"/>
      <c r="K493" s="207"/>
      <c r="L493" s="207"/>
      <c r="M493" s="207"/>
      <c r="N493" s="207"/>
      <c r="O493" s="207"/>
      <c r="P493" s="207"/>
      <c r="Q493" s="207"/>
      <c r="R493" s="207"/>
      <c r="S493" s="207"/>
      <c r="T493" s="207"/>
      <c r="U493" s="207"/>
      <c r="V493" s="207"/>
      <c r="W493" s="207"/>
      <c r="X493" s="207"/>
      <c r="Y493" s="207"/>
      <c r="Z493" s="207"/>
      <c r="AA493" s="207"/>
      <c r="AB493" s="207"/>
      <c r="AC493" s="5"/>
      <c r="AD493" s="63"/>
      <c r="AE493" s="64"/>
      <c r="AF493" s="64"/>
      <c r="AG493" s="212"/>
      <c r="AH493" s="64"/>
      <c r="AI493" s="64"/>
      <c r="AJ493" s="64"/>
      <c r="AK493" s="212"/>
      <c r="AL493" s="64"/>
      <c r="AM493" s="64"/>
      <c r="AN493" s="64"/>
      <c r="AO493" s="64"/>
      <c r="AP493" s="63"/>
      <c r="AQ493" s="64"/>
      <c r="AR493" s="63"/>
      <c r="AS493" s="64"/>
      <c r="AT493" s="63"/>
      <c r="AU493" s="64"/>
      <c r="AV493" s="63"/>
      <c r="AW493" s="64"/>
      <c r="AX493" s="63"/>
      <c r="AY493" s="5"/>
      <c r="AZ493" s="21" t="str">
        <f t="shared" si="162"/>
        <v/>
      </c>
      <c r="BA493" s="264" t="s">
        <v>144</v>
      </c>
      <c r="BB493" s="264"/>
      <c r="BC493" s="264"/>
      <c r="BD493" s="264" t="s">
        <v>34</v>
      </c>
      <c r="BE493" s="216" t="s">
        <v>135</v>
      </c>
      <c r="BF493" s="56"/>
      <c r="BG493" s="56"/>
      <c r="BH493" s="56"/>
      <c r="BI493" s="56"/>
      <c r="BJ493" s="56"/>
      <c r="BK493" s="56"/>
      <c r="BL493" s="56"/>
      <c r="BM493" s="56"/>
      <c r="BN493" s="56"/>
      <c r="BO493" s="56"/>
      <c r="BP493" s="56"/>
      <c r="BQ493" s="5"/>
      <c r="BR493" s="25"/>
      <c r="BS493" s="5"/>
    </row>
    <row r="494" spans="1:71" s="3" customFormat="1" x14ac:dyDescent="0.25">
      <c r="A494" s="5"/>
      <c r="B494" s="3" t="str">
        <f t="array" ref="B494">IFERROR(INDEX(DemandSupply,MATCH(INDEX($AH$1:AH494,SMALL(ROW($AH$1:AH494)+(10000*($AH$1:AH494="")),COUNTA($AH$1:AH494))),Sectors,0)),"")</f>
        <v>Demand</v>
      </c>
      <c r="E494" s="10"/>
      <c r="F494" s="207"/>
      <c r="G494" s="207"/>
      <c r="H494" s="207"/>
      <c r="I494" s="207"/>
      <c r="J494" s="207"/>
      <c r="K494" s="207"/>
      <c r="L494" s="207"/>
      <c r="M494" s="207"/>
      <c r="N494" s="207"/>
      <c r="O494" s="207"/>
      <c r="P494" s="207"/>
      <c r="Q494" s="207"/>
      <c r="R494" s="207"/>
      <c r="S494" s="207"/>
      <c r="T494" s="207"/>
      <c r="U494" s="207"/>
      <c r="V494" s="207"/>
      <c r="W494" s="207"/>
      <c r="X494" s="207"/>
      <c r="Y494" s="207"/>
      <c r="Z494" s="207"/>
      <c r="AA494" s="207"/>
      <c r="AB494" s="207"/>
      <c r="AC494" s="5"/>
      <c r="AD494" s="63"/>
      <c r="AE494" s="64"/>
      <c r="AF494" s="64"/>
      <c r="AG494" s="212"/>
      <c r="AH494" s="64"/>
      <c r="AI494" s="64"/>
      <c r="AJ494" s="64"/>
      <c r="AK494" s="212"/>
      <c r="AL494" s="64"/>
      <c r="AM494" s="64"/>
      <c r="AN494" s="64"/>
      <c r="AO494" s="64"/>
      <c r="AP494" s="63"/>
      <c r="AQ494" s="64"/>
      <c r="AR494" s="63"/>
      <c r="AS494" s="64"/>
      <c r="AT494" s="63"/>
      <c r="AU494" s="64"/>
      <c r="AV494" s="63"/>
      <c r="AW494" s="64"/>
      <c r="AX494" s="63"/>
      <c r="AY494" s="5"/>
      <c r="AZ494" s="21" t="str">
        <f t="shared" si="162"/>
        <v/>
      </c>
      <c r="BA494" s="264" t="s">
        <v>76</v>
      </c>
      <c r="BB494" s="264"/>
      <c r="BC494" s="264"/>
      <c r="BD494" s="264" t="s">
        <v>99</v>
      </c>
      <c r="BE494" s="216" t="s">
        <v>135</v>
      </c>
      <c r="BF494" s="303">
        <v>0</v>
      </c>
      <c r="BG494" s="303"/>
      <c r="BH494" s="303"/>
      <c r="BI494" s="303"/>
      <c r="BJ494" s="303"/>
      <c r="BK494" s="303"/>
      <c r="BL494" s="303"/>
      <c r="BM494" s="303"/>
      <c r="BN494" s="303"/>
      <c r="BO494" s="303"/>
      <c r="BP494" s="303"/>
      <c r="BQ494" s="5"/>
      <c r="BR494" s="25"/>
      <c r="BS494" s="5"/>
    </row>
    <row r="495" spans="1:71" s="3" customFormat="1" x14ac:dyDescent="0.25">
      <c r="A495" s="5"/>
      <c r="B495" s="3" t="str">
        <f t="array" ref="B495">IFERROR(INDEX(DemandSupply,MATCH(INDEX($AH$1:AH495,SMALL(ROW($AH$1:AH495)+(10000*($AH$1:AH495="")),COUNTA($AH$1:AH495))),Sectors,0)),"")</f>
        <v>Demand</v>
      </c>
      <c r="E495" s="10"/>
      <c r="F495" s="207"/>
      <c r="G495" s="207"/>
      <c r="H495" s="207"/>
      <c r="I495" s="207"/>
      <c r="J495" s="207"/>
      <c r="K495" s="207"/>
      <c r="L495" s="207"/>
      <c r="M495" s="207"/>
      <c r="N495" s="207"/>
      <c r="O495" s="207"/>
      <c r="P495" s="207"/>
      <c r="Q495" s="207"/>
      <c r="R495" s="207"/>
      <c r="S495" s="207"/>
      <c r="T495" s="207"/>
      <c r="U495" s="207"/>
      <c r="V495" s="207"/>
      <c r="W495" s="207"/>
      <c r="X495" s="207"/>
      <c r="Y495" s="207"/>
      <c r="Z495" s="207"/>
      <c r="AA495" s="207"/>
      <c r="AB495" s="207"/>
      <c r="AC495" s="5"/>
      <c r="AD495" s="63"/>
      <c r="AE495" s="64"/>
      <c r="AF495" s="64"/>
      <c r="AG495" s="212"/>
      <c r="AH495" s="64"/>
      <c r="AI495" s="64"/>
      <c r="AJ495" s="64"/>
      <c r="AK495" s="212"/>
      <c r="AL495" s="64"/>
      <c r="AM495" s="64"/>
      <c r="AN495" s="64"/>
      <c r="AO495" s="64"/>
      <c r="AP495" s="63"/>
      <c r="AQ495" s="64"/>
      <c r="AR495" s="63"/>
      <c r="AS495" s="64"/>
      <c r="AT495" s="63"/>
      <c r="AU495" s="64"/>
      <c r="AV495" s="63"/>
      <c r="AW495" s="64"/>
      <c r="AX495" s="63"/>
      <c r="AY495" s="5"/>
      <c r="AZ495" s="21" t="str">
        <f t="shared" si="162"/>
        <v/>
      </c>
      <c r="BA495" s="75" t="s">
        <v>166</v>
      </c>
      <c r="BB495" s="75"/>
      <c r="BC495" s="270"/>
      <c r="BD495" s="75" t="s">
        <v>99</v>
      </c>
      <c r="BE495" s="216" t="s">
        <v>135</v>
      </c>
      <c r="BF495" s="303"/>
      <c r="BG495" s="303"/>
      <c r="BH495" s="303"/>
      <c r="BI495" s="303"/>
      <c r="BJ495" s="303"/>
      <c r="BK495" s="303"/>
      <c r="BL495" s="303"/>
      <c r="BM495" s="303"/>
      <c r="BN495" s="303"/>
      <c r="BO495" s="303"/>
      <c r="BP495" s="303"/>
      <c r="BQ495" s="5"/>
      <c r="BR495" s="25"/>
      <c r="BS495" s="5"/>
    </row>
    <row r="496" spans="1:71" s="3" customFormat="1" x14ac:dyDescent="0.25">
      <c r="A496" s="5"/>
      <c r="B496" s="3" t="str">
        <f t="array" ref="B496">IFERROR(INDEX(DemandSupply,MATCH(INDEX($AH$1:AH496,SMALL(ROW($AH$1:AH496)+(10000*($AH$1:AH496="")),COUNTA($AH$1:AH496))),Sectors,0)),"")</f>
        <v>Demand</v>
      </c>
      <c r="E496" s="10"/>
      <c r="F496" s="207"/>
      <c r="G496" s="207"/>
      <c r="H496" s="207"/>
      <c r="I496" s="207"/>
      <c r="J496" s="207"/>
      <c r="K496" s="207"/>
      <c r="L496" s="207"/>
      <c r="M496" s="207"/>
      <c r="N496" s="207"/>
      <c r="O496" s="207"/>
      <c r="P496" s="207"/>
      <c r="Q496" s="207"/>
      <c r="R496" s="207"/>
      <c r="S496" s="207"/>
      <c r="T496" s="207"/>
      <c r="U496" s="207"/>
      <c r="V496" s="207"/>
      <c r="W496" s="207"/>
      <c r="X496" s="207"/>
      <c r="Y496" s="207"/>
      <c r="Z496" s="207"/>
      <c r="AA496" s="207"/>
      <c r="AB496" s="207"/>
      <c r="AC496" s="5"/>
      <c r="AD496" s="63"/>
      <c r="AE496" s="64"/>
      <c r="AF496" s="64"/>
      <c r="AG496" s="212"/>
      <c r="AH496" s="64"/>
      <c r="AI496" s="64"/>
      <c r="AJ496" s="64"/>
      <c r="AK496" s="212"/>
      <c r="AL496" s="64"/>
      <c r="AM496" s="64"/>
      <c r="AN496" s="64"/>
      <c r="AO496" s="64"/>
      <c r="AP496" s="63"/>
      <c r="AQ496" s="64"/>
      <c r="AR496" s="63"/>
      <c r="AS496" s="64"/>
      <c r="AT496" s="63"/>
      <c r="AU496" s="64"/>
      <c r="AV496" s="63"/>
      <c r="AW496" s="64"/>
      <c r="AX496" s="63"/>
      <c r="AY496" s="5"/>
      <c r="AZ496" s="21" t="str">
        <f t="shared" si="162"/>
        <v/>
      </c>
      <c r="BA496" s="75" t="s">
        <v>167</v>
      </c>
      <c r="BB496" s="75"/>
      <c r="BC496" s="270"/>
      <c r="BD496" s="75" t="s">
        <v>99</v>
      </c>
      <c r="BE496" s="216" t="s">
        <v>135</v>
      </c>
      <c r="BF496" s="303"/>
      <c r="BG496" s="303"/>
      <c r="BH496" s="303"/>
      <c r="BI496" s="303"/>
      <c r="BJ496" s="303"/>
      <c r="BK496" s="303"/>
      <c r="BL496" s="303"/>
      <c r="BM496" s="303"/>
      <c r="BN496" s="303"/>
      <c r="BO496" s="303"/>
      <c r="BP496" s="303"/>
      <c r="BQ496" s="5"/>
      <c r="BR496" s="25"/>
      <c r="BS496" s="5"/>
    </row>
    <row r="497" spans="1:71" s="3" customFormat="1" x14ac:dyDescent="0.25">
      <c r="A497" s="5"/>
      <c r="B497" s="3" t="str">
        <f t="array" ref="B497">IFERROR(INDEX(DemandSupply,MATCH(INDEX($AH$1:AH497,SMALL(ROW($AH$1:AH497)+(10000*($AH$1:AH497="")),COUNTA($AH$1:AH497))),Sectors,0)),"")</f>
        <v>Demand</v>
      </c>
      <c r="E497" s="10"/>
      <c r="F497" s="207"/>
      <c r="G497" s="207"/>
      <c r="H497" s="207"/>
      <c r="I497" s="207"/>
      <c r="J497" s="207"/>
      <c r="K497" s="207"/>
      <c r="L497" s="207"/>
      <c r="M497" s="207"/>
      <c r="N497" s="207"/>
      <c r="O497" s="207"/>
      <c r="P497" s="207"/>
      <c r="Q497" s="207"/>
      <c r="R497" s="207"/>
      <c r="S497" s="207"/>
      <c r="T497" s="207"/>
      <c r="U497" s="207"/>
      <c r="V497" s="207"/>
      <c r="W497" s="207"/>
      <c r="X497" s="207"/>
      <c r="Y497" s="207"/>
      <c r="Z497" s="207"/>
      <c r="AA497" s="207"/>
      <c r="AB497" s="207"/>
      <c r="AC497" s="5"/>
      <c r="AD497" s="63"/>
      <c r="AE497" s="64"/>
      <c r="AF497" s="64"/>
      <c r="AG497" s="212"/>
      <c r="AH497" s="64"/>
      <c r="AI497" s="64"/>
      <c r="AJ497" s="64"/>
      <c r="AK497" s="212"/>
      <c r="AL497" s="64"/>
      <c r="AM497" s="64"/>
      <c r="AN497" s="64"/>
      <c r="AO497" s="64"/>
      <c r="AP497" s="63"/>
      <c r="AQ497" s="64"/>
      <c r="AR497" s="63"/>
      <c r="AS497" s="64"/>
      <c r="AT497" s="63"/>
      <c r="AU497" s="64"/>
      <c r="AV497" s="63"/>
      <c r="AW497" s="64"/>
      <c r="AX497" s="63"/>
      <c r="AY497" s="5"/>
      <c r="AZ497" s="21" t="str">
        <f t="shared" si="162"/>
        <v/>
      </c>
      <c r="BA497" s="75" t="s">
        <v>408</v>
      </c>
      <c r="BB497" s="75"/>
      <c r="BC497" s="270"/>
      <c r="BD497" s="75" t="s">
        <v>99</v>
      </c>
      <c r="BE497" s="216" t="s">
        <v>135</v>
      </c>
      <c r="BF497" s="303"/>
      <c r="BG497" s="303"/>
      <c r="BH497" s="303"/>
      <c r="BI497" s="303"/>
      <c r="BJ497" s="303"/>
      <c r="BK497" s="303"/>
      <c r="BL497" s="303"/>
      <c r="BM497" s="303"/>
      <c r="BN497" s="303"/>
      <c r="BO497" s="303"/>
      <c r="BP497" s="303"/>
      <c r="BQ497" s="5"/>
      <c r="BR497" s="25"/>
      <c r="BS497" s="5"/>
    </row>
    <row r="498" spans="1:71" s="3" customFormat="1" x14ac:dyDescent="0.25">
      <c r="A498" s="5"/>
      <c r="B498" s="3" t="str">
        <f t="array" ref="B498">IFERROR(INDEX(DemandSupply,MATCH(INDEX($AH$1:AH498,SMALL(ROW($AH$1:AH498)+(10000*($AH$1:AH498="")),COUNTA($AH$1:AH498))),Sectors,0)),"")</f>
        <v>Demand</v>
      </c>
      <c r="E498" s="10"/>
      <c r="F498" s="207"/>
      <c r="G498" s="207"/>
      <c r="H498" s="207"/>
      <c r="I498" s="207"/>
      <c r="J498" s="207"/>
      <c r="K498" s="207"/>
      <c r="L498" s="207"/>
      <c r="M498" s="207"/>
      <c r="N498" s="207"/>
      <c r="O498" s="207"/>
      <c r="P498" s="207"/>
      <c r="Q498" s="207"/>
      <c r="R498" s="207"/>
      <c r="S498" s="207"/>
      <c r="T498" s="207"/>
      <c r="U498" s="207"/>
      <c r="V498" s="207"/>
      <c r="W498" s="207"/>
      <c r="X498" s="207"/>
      <c r="Y498" s="207"/>
      <c r="Z498" s="207"/>
      <c r="AA498" s="207"/>
      <c r="AB498" s="207"/>
      <c r="AC498" s="5"/>
      <c r="AD498" s="63"/>
      <c r="AE498" s="64"/>
      <c r="AF498" s="64"/>
      <c r="AG498" s="212"/>
      <c r="AH498" s="64"/>
      <c r="AI498" s="64"/>
      <c r="AJ498" s="64"/>
      <c r="AK498" s="212"/>
      <c r="AL498" s="64"/>
      <c r="AM498" s="64"/>
      <c r="AN498" s="64"/>
      <c r="AO498" s="64"/>
      <c r="AP498" s="63"/>
      <c r="AQ498" s="64"/>
      <c r="AR498" s="63"/>
      <c r="AS498" s="64"/>
      <c r="AT498" s="63"/>
      <c r="AU498" s="64"/>
      <c r="AV498" s="63"/>
      <c r="AW498" s="64"/>
      <c r="AX498" s="63"/>
      <c r="AY498" s="5"/>
      <c r="AZ498" s="21" t="str">
        <f t="shared" si="162"/>
        <v/>
      </c>
      <c r="BA498" s="75" t="s">
        <v>409</v>
      </c>
      <c r="BB498" s="75"/>
      <c r="BC498" s="270"/>
      <c r="BD498" s="75" t="s">
        <v>99</v>
      </c>
      <c r="BE498" s="216" t="s">
        <v>135</v>
      </c>
      <c r="BF498" s="303"/>
      <c r="BG498" s="303"/>
      <c r="BH498" s="303"/>
      <c r="BI498" s="303"/>
      <c r="BJ498" s="303"/>
      <c r="BK498" s="303"/>
      <c r="BL498" s="303"/>
      <c r="BM498" s="303"/>
      <c r="BN498" s="303"/>
      <c r="BO498" s="303"/>
      <c r="BP498" s="303"/>
      <c r="BQ498" s="5"/>
      <c r="BR498" s="25"/>
      <c r="BS498" s="5"/>
    </row>
    <row r="499" spans="1:71" s="3" customFormat="1" x14ac:dyDescent="0.25">
      <c r="A499" s="5"/>
      <c r="B499" s="3" t="str">
        <f t="array" ref="B499">IFERROR(INDEX(DemandSupply,MATCH(INDEX($AH$1:AH499,SMALL(ROW($AH$1:AH499)+(10000*($AH$1:AH499="")),COUNTA($AH$1:AH499))),Sectors,0)),"")</f>
        <v>Demand</v>
      </c>
      <c r="E499" s="10"/>
      <c r="F499" s="207"/>
      <c r="G499" s="207"/>
      <c r="H499" s="207"/>
      <c r="I499" s="207"/>
      <c r="J499" s="207"/>
      <c r="K499" s="207"/>
      <c r="L499" s="207"/>
      <c r="M499" s="207"/>
      <c r="N499" s="207"/>
      <c r="O499" s="207"/>
      <c r="P499" s="207"/>
      <c r="Q499" s="207"/>
      <c r="R499" s="207"/>
      <c r="S499" s="207"/>
      <c r="T499" s="207"/>
      <c r="U499" s="207"/>
      <c r="V499" s="207"/>
      <c r="W499" s="207"/>
      <c r="X499" s="207"/>
      <c r="Y499" s="207"/>
      <c r="Z499" s="207"/>
      <c r="AA499" s="207"/>
      <c r="AB499" s="207"/>
      <c r="AC499" s="5"/>
      <c r="AD499" s="63"/>
      <c r="AE499" s="64"/>
      <c r="AF499" s="64"/>
      <c r="AG499" s="212"/>
      <c r="AH499" s="64"/>
      <c r="AI499" s="64"/>
      <c r="AJ499" s="64"/>
      <c r="AK499" s="212"/>
      <c r="AL499" s="64"/>
      <c r="AM499" s="64"/>
      <c r="AN499" s="64"/>
      <c r="AO499" s="64"/>
      <c r="AP499" s="63"/>
      <c r="AQ499" s="64"/>
      <c r="AR499" s="63"/>
      <c r="AS499" s="64"/>
      <c r="AT499" s="63"/>
      <c r="AU499" s="64"/>
      <c r="AV499" s="63"/>
      <c r="AW499" s="64"/>
      <c r="AX499" s="63"/>
      <c r="AY499" s="5"/>
      <c r="AZ499" s="21" t="str">
        <f t="shared" si="162"/>
        <v/>
      </c>
      <c r="BA499" s="264" t="s">
        <v>371</v>
      </c>
      <c r="BB499" s="264"/>
      <c r="BC499" s="264"/>
      <c r="BD499" s="264" t="s">
        <v>34</v>
      </c>
      <c r="BE499" s="216" t="s">
        <v>135</v>
      </c>
      <c r="BF499" s="56">
        <v>68.62</v>
      </c>
      <c r="BG499" s="282">
        <f t="shared" ref="BG499:BG500" si="185">BF499</f>
        <v>68.62</v>
      </c>
      <c r="BH499" s="282">
        <f t="shared" ref="BH499:BH500" si="186">BG499</f>
        <v>68.62</v>
      </c>
      <c r="BI499" s="282">
        <f t="shared" ref="BI499:BI500" si="187">BH499</f>
        <v>68.62</v>
      </c>
      <c r="BJ499" s="282">
        <f t="shared" ref="BJ499:BJ500" si="188">BI499</f>
        <v>68.62</v>
      </c>
      <c r="BK499" s="282">
        <f t="shared" ref="BK499:BK500" si="189">BJ499</f>
        <v>68.62</v>
      </c>
      <c r="BL499" s="282">
        <f t="shared" ref="BL499:BL500" si="190">BK499</f>
        <v>68.62</v>
      </c>
      <c r="BM499" s="282">
        <f t="shared" ref="BM499:BM500" si="191">BL499</f>
        <v>68.62</v>
      </c>
      <c r="BN499" s="282">
        <f t="shared" ref="BN499:BN500" si="192">BM499</f>
        <v>68.62</v>
      </c>
      <c r="BO499" s="282">
        <f t="shared" ref="BO499:BO500" si="193">BN499</f>
        <v>68.62</v>
      </c>
      <c r="BP499" s="282">
        <f t="shared" ref="BP499:BP500" si="194">BO499</f>
        <v>68.62</v>
      </c>
      <c r="BQ499" s="5"/>
      <c r="BR499" s="25"/>
      <c r="BS499" s="5"/>
    </row>
    <row r="500" spans="1:71" s="3" customFormat="1" x14ac:dyDescent="0.25">
      <c r="A500" s="5"/>
      <c r="B500" s="3" t="str">
        <f t="array" ref="B500">IFERROR(INDEX(DemandSupply,MATCH(INDEX($AH$1:AH500,SMALL(ROW($AH$1:AH500)+(10000*($AH$1:AH500="")),COUNTA($AH$1:AH500))),Sectors,0)),"")</f>
        <v>Demand</v>
      </c>
      <c r="E500" s="10"/>
      <c r="F500" s="207"/>
      <c r="G500" s="207"/>
      <c r="H500" s="207"/>
      <c r="I500" s="207"/>
      <c r="J500" s="207"/>
      <c r="K500" s="207"/>
      <c r="L500" s="207"/>
      <c r="M500" s="207"/>
      <c r="N500" s="207"/>
      <c r="O500" s="207"/>
      <c r="P500" s="207"/>
      <c r="Q500" s="207"/>
      <c r="R500" s="207"/>
      <c r="S500" s="207"/>
      <c r="T500" s="207"/>
      <c r="U500" s="207"/>
      <c r="V500" s="207"/>
      <c r="W500" s="207"/>
      <c r="X500" s="207"/>
      <c r="Y500" s="207"/>
      <c r="Z500" s="207"/>
      <c r="AA500" s="207"/>
      <c r="AB500" s="207"/>
      <c r="AC500" s="5"/>
      <c r="AD500" s="63"/>
      <c r="AE500" s="64"/>
      <c r="AF500" s="64"/>
      <c r="AG500" s="212"/>
      <c r="AH500" s="64"/>
      <c r="AI500" s="64"/>
      <c r="AJ500" s="64"/>
      <c r="AK500" s="212"/>
      <c r="AL500" s="64"/>
      <c r="AM500" s="64"/>
      <c r="AN500" s="64"/>
      <c r="AO500" s="64"/>
      <c r="AP500" s="63"/>
      <c r="AQ500" s="64"/>
      <c r="AR500" s="63"/>
      <c r="AS500" s="64"/>
      <c r="AT500" s="63"/>
      <c r="AU500" s="64"/>
      <c r="AV500" s="63"/>
      <c r="AW500" s="64"/>
      <c r="AX500" s="63"/>
      <c r="AY500" s="5"/>
      <c r="AZ500" s="21" t="str">
        <f t="shared" si="162"/>
        <v/>
      </c>
      <c r="BA500" s="264" t="s">
        <v>170</v>
      </c>
      <c r="BB500" s="264"/>
      <c r="BC500" s="264"/>
      <c r="BD500" s="264" t="s">
        <v>354</v>
      </c>
      <c r="BE500" s="216" t="s">
        <v>135</v>
      </c>
      <c r="BF500" s="56">
        <v>529.51900000000001</v>
      </c>
      <c r="BG500" s="282">
        <f t="shared" si="185"/>
        <v>529.51900000000001</v>
      </c>
      <c r="BH500" s="282">
        <f t="shared" si="186"/>
        <v>529.51900000000001</v>
      </c>
      <c r="BI500" s="282">
        <f t="shared" si="187"/>
        <v>529.51900000000001</v>
      </c>
      <c r="BJ500" s="282">
        <f t="shared" si="188"/>
        <v>529.51900000000001</v>
      </c>
      <c r="BK500" s="282">
        <f t="shared" si="189"/>
        <v>529.51900000000001</v>
      </c>
      <c r="BL500" s="282">
        <f t="shared" si="190"/>
        <v>529.51900000000001</v>
      </c>
      <c r="BM500" s="282">
        <f t="shared" si="191"/>
        <v>529.51900000000001</v>
      </c>
      <c r="BN500" s="282">
        <f t="shared" si="192"/>
        <v>529.51900000000001</v>
      </c>
      <c r="BO500" s="282">
        <f t="shared" si="193"/>
        <v>529.51900000000001</v>
      </c>
      <c r="BP500" s="282">
        <f t="shared" si="194"/>
        <v>529.51900000000001</v>
      </c>
      <c r="BQ500" s="5"/>
      <c r="BR500" s="25"/>
      <c r="BS500" s="5"/>
    </row>
    <row r="501" spans="1:71" s="3" customFormat="1" x14ac:dyDescent="0.25">
      <c r="A501" s="5"/>
      <c r="B501" s="3" t="str">
        <f t="array" ref="B501">IFERROR(INDEX(DemandSupply,MATCH(INDEX($AH$1:AH501,SMALL(ROW($AH$1:AH501)+(10000*($AH$1:AH501="")),COUNTA($AH$1:AH501))),Sectors,0)),"")</f>
        <v>Demand</v>
      </c>
      <c r="E501" s="10"/>
      <c r="F501" s="207"/>
      <c r="G501" s="207"/>
      <c r="H501" s="207"/>
      <c r="I501" s="207"/>
      <c r="J501" s="207"/>
      <c r="K501" s="207"/>
      <c r="L501" s="207"/>
      <c r="M501" s="207"/>
      <c r="N501" s="207"/>
      <c r="O501" s="207"/>
      <c r="P501" s="207"/>
      <c r="Q501" s="207"/>
      <c r="R501" s="207"/>
      <c r="S501" s="207"/>
      <c r="T501" s="207"/>
      <c r="U501" s="207"/>
      <c r="V501" s="207"/>
      <c r="W501" s="207"/>
      <c r="X501" s="207"/>
      <c r="Y501" s="207"/>
      <c r="Z501" s="207"/>
      <c r="AA501" s="207"/>
      <c r="AB501" s="207"/>
      <c r="AC501" s="5"/>
      <c r="AD501" s="63"/>
      <c r="AE501" s="64"/>
      <c r="AF501" s="64"/>
      <c r="AG501" s="212"/>
      <c r="AH501" s="64"/>
      <c r="AI501" s="64"/>
      <c r="AJ501" s="64"/>
      <c r="AK501" s="212"/>
      <c r="AL501" s="64"/>
      <c r="AM501" s="64"/>
      <c r="AN501" s="64"/>
      <c r="AO501" s="64"/>
      <c r="AP501" s="63"/>
      <c r="AQ501" s="64"/>
      <c r="AR501" s="63"/>
      <c r="AS501" s="64"/>
      <c r="AT501" s="63"/>
      <c r="AU501" s="64"/>
      <c r="AV501" s="63"/>
      <c r="AW501" s="64"/>
      <c r="AX501" s="63"/>
      <c r="AY501" s="5"/>
      <c r="AZ501" s="21" t="str">
        <f t="shared" si="162"/>
        <v/>
      </c>
      <c r="BA501" s="264" t="s">
        <v>425</v>
      </c>
      <c r="BB501" s="264"/>
      <c r="BC501" s="264"/>
      <c r="BD501" s="264" t="s">
        <v>99</v>
      </c>
      <c r="BE501" s="216" t="s">
        <v>135</v>
      </c>
      <c r="BF501" s="303"/>
      <c r="BG501" s="303"/>
      <c r="BH501" s="303"/>
      <c r="BI501" s="303"/>
      <c r="BJ501" s="303"/>
      <c r="BK501" s="303"/>
      <c r="BL501" s="303"/>
      <c r="BM501" s="303"/>
      <c r="BN501" s="303"/>
      <c r="BO501" s="303"/>
      <c r="BP501" s="303"/>
      <c r="BQ501" s="5"/>
      <c r="BR501" s="25"/>
      <c r="BS501" s="5"/>
    </row>
    <row r="502" spans="1:71" s="3" customFormat="1" x14ac:dyDescent="0.25">
      <c r="A502" s="5"/>
      <c r="B502" s="3" t="str">
        <f t="array" ref="B502">IFERROR(INDEX(DemandSupply,MATCH(INDEX($AH$1:AH502,SMALL(ROW($AH$1:AH502)+(10000*($AH$1:AH502="")),COUNTA($AH$1:AH502))),Sectors,0)),"")</f>
        <v>Demand</v>
      </c>
      <c r="E502" s="10"/>
      <c r="F502" s="207"/>
      <c r="G502" s="207"/>
      <c r="H502" s="207"/>
      <c r="I502" s="207"/>
      <c r="J502" s="207"/>
      <c r="K502" s="207"/>
      <c r="L502" s="207"/>
      <c r="M502" s="207"/>
      <c r="N502" s="207"/>
      <c r="O502" s="207"/>
      <c r="P502" s="207"/>
      <c r="Q502" s="207"/>
      <c r="R502" s="207"/>
      <c r="S502" s="207"/>
      <c r="T502" s="207"/>
      <c r="U502" s="207"/>
      <c r="V502" s="207"/>
      <c r="W502" s="207"/>
      <c r="X502" s="207"/>
      <c r="Y502" s="207"/>
      <c r="Z502" s="207"/>
      <c r="AA502" s="207"/>
      <c r="AB502" s="207"/>
      <c r="AC502" s="5"/>
      <c r="AD502" s="63"/>
      <c r="AE502" s="64"/>
      <c r="AF502" s="64"/>
      <c r="AG502" s="212"/>
      <c r="AH502" s="64"/>
      <c r="AI502" s="64"/>
      <c r="AJ502" s="64"/>
      <c r="AK502" s="212"/>
      <c r="AL502" s="64"/>
      <c r="AM502" s="64"/>
      <c r="AN502" s="64"/>
      <c r="AO502" s="64"/>
      <c r="AP502" s="63"/>
      <c r="AQ502" s="64"/>
      <c r="AR502" s="63"/>
      <c r="AS502" s="64"/>
      <c r="AT502" s="63"/>
      <c r="AU502" s="64"/>
      <c r="AV502" s="63"/>
      <c r="AW502" s="64"/>
      <c r="AX502" s="63"/>
      <c r="AY502" s="5"/>
      <c r="AZ502" s="21" t="str">
        <f t="shared" si="162"/>
        <v/>
      </c>
      <c r="BA502" s="264" t="s">
        <v>438</v>
      </c>
      <c r="BB502" s="264"/>
      <c r="BC502" s="264"/>
      <c r="BD502" s="264" t="s">
        <v>34</v>
      </c>
      <c r="BE502" s="216" t="s">
        <v>135</v>
      </c>
      <c r="BF502" s="56"/>
      <c r="BG502" s="56"/>
      <c r="BH502" s="56"/>
      <c r="BI502" s="56"/>
      <c r="BJ502" s="56"/>
      <c r="BK502" s="56"/>
      <c r="BL502" s="56"/>
      <c r="BM502" s="56"/>
      <c r="BN502" s="56"/>
      <c r="BO502" s="56"/>
      <c r="BP502" s="56"/>
      <c r="BQ502" s="5"/>
      <c r="BR502" s="25"/>
      <c r="BS502" s="5"/>
    </row>
    <row r="503" spans="1:71" s="3" customFormat="1" x14ac:dyDescent="0.25">
      <c r="A503" s="5"/>
      <c r="B503" s="3" t="str">
        <f t="array" ref="B503">IFERROR(INDEX(DemandSupply,MATCH(INDEX($AH$1:AH503,SMALL(ROW($AH$1:AH503)+(10000*($AH$1:AH503="")),COUNTA($AH$1:AH503))),Sectors,0)),"")</f>
        <v>Demand</v>
      </c>
      <c r="E503" s="10"/>
      <c r="F503" s="207"/>
      <c r="G503" s="207"/>
      <c r="H503" s="207"/>
      <c r="I503" s="207"/>
      <c r="J503" s="207"/>
      <c r="K503" s="207"/>
      <c r="L503" s="207"/>
      <c r="M503" s="207"/>
      <c r="N503" s="207"/>
      <c r="O503" s="207"/>
      <c r="P503" s="207"/>
      <c r="Q503" s="207"/>
      <c r="R503" s="207"/>
      <c r="S503" s="207"/>
      <c r="T503" s="207"/>
      <c r="U503" s="207"/>
      <c r="V503" s="207"/>
      <c r="W503" s="207"/>
      <c r="X503" s="207"/>
      <c r="Y503" s="207"/>
      <c r="Z503" s="207"/>
      <c r="AA503" s="207"/>
      <c r="AB503" s="207"/>
      <c r="AC503" s="5"/>
      <c r="AD503" s="63"/>
      <c r="AE503" s="64"/>
      <c r="AF503" s="64"/>
      <c r="AG503" s="212"/>
      <c r="AH503" s="64"/>
      <c r="AI503" s="64"/>
      <c r="AJ503" s="64"/>
      <c r="AK503" s="212"/>
      <c r="AL503" s="64"/>
      <c r="AM503" s="64"/>
      <c r="AN503" s="64"/>
      <c r="AO503" s="64"/>
      <c r="AP503" s="63"/>
      <c r="AQ503" s="64"/>
      <c r="AR503" s="63"/>
      <c r="AS503" s="64"/>
      <c r="AT503" s="63"/>
      <c r="AU503" s="64"/>
      <c r="AV503" s="63"/>
      <c r="AW503" s="64"/>
      <c r="AX503" s="63"/>
      <c r="AY503" s="5"/>
      <c r="AZ503" s="21" t="str">
        <f t="shared" si="162"/>
        <v/>
      </c>
      <c r="BA503" s="264" t="s">
        <v>435</v>
      </c>
      <c r="BB503" s="264"/>
      <c r="BC503" s="264"/>
      <c r="BD503" s="264"/>
      <c r="BE503" s="216" t="s">
        <v>135</v>
      </c>
      <c r="BF503" s="55"/>
      <c r="BG503" s="55"/>
      <c r="BH503" s="55"/>
      <c r="BI503" s="55"/>
      <c r="BJ503" s="55"/>
      <c r="BK503" s="55"/>
      <c r="BL503" s="55"/>
      <c r="BM503" s="55"/>
      <c r="BN503" s="55"/>
      <c r="BO503" s="55"/>
      <c r="BP503" s="55"/>
      <c r="BQ503" s="5"/>
      <c r="BR503" s="25"/>
      <c r="BS503" s="5"/>
    </row>
    <row r="504" spans="1:71" s="3" customFormat="1" x14ac:dyDescent="0.25">
      <c r="A504" s="5"/>
      <c r="B504" s="3" t="str">
        <f t="array" ref="B504">IFERROR(INDEX(DemandSupply,MATCH(INDEX($AH$1:AH504,SMALL(ROW($AH$1:AH504)+(10000*($AH$1:AH504="")),COUNTA($AH$1:AH504))),Sectors,0)),"")</f>
        <v>Demand</v>
      </c>
      <c r="E504" s="10"/>
      <c r="F504" s="207"/>
      <c r="G504" s="207"/>
      <c r="H504" s="207"/>
      <c r="I504" s="207"/>
      <c r="J504" s="207"/>
      <c r="K504" s="207"/>
      <c r="L504" s="207"/>
      <c r="M504" s="207"/>
      <c r="N504" s="207"/>
      <c r="O504" s="207"/>
      <c r="P504" s="207"/>
      <c r="Q504" s="207"/>
      <c r="R504" s="207"/>
      <c r="S504" s="207"/>
      <c r="T504" s="207"/>
      <c r="U504" s="207"/>
      <c r="V504" s="207"/>
      <c r="W504" s="207"/>
      <c r="X504" s="207"/>
      <c r="Y504" s="207"/>
      <c r="Z504" s="207"/>
      <c r="AA504" s="207"/>
      <c r="AB504" s="207"/>
      <c r="AC504" s="5"/>
      <c r="AD504" s="63"/>
      <c r="AE504" s="64"/>
      <c r="AF504" s="64"/>
      <c r="AG504" s="212"/>
      <c r="AH504" s="64"/>
      <c r="AI504" s="64"/>
      <c r="AJ504" s="64"/>
      <c r="AK504" s="212"/>
      <c r="AL504" s="64"/>
      <c r="AM504" s="64"/>
      <c r="AN504" s="64"/>
      <c r="AO504" s="64"/>
      <c r="AP504" s="63"/>
      <c r="AQ504" s="64"/>
      <c r="AR504" s="63"/>
      <c r="AS504" s="64"/>
      <c r="AT504" s="63"/>
      <c r="AU504" s="64"/>
      <c r="AV504" s="63"/>
      <c r="AW504" s="64"/>
      <c r="AX504" s="63"/>
      <c r="AY504" s="5"/>
      <c r="AZ504" s="21" t="str">
        <f t="shared" si="162"/>
        <v/>
      </c>
      <c r="BA504" s="264" t="s">
        <v>407</v>
      </c>
      <c r="BB504" s="264"/>
      <c r="BC504" s="264"/>
      <c r="BD504" s="264" t="s">
        <v>99</v>
      </c>
      <c r="BE504" s="216" t="s">
        <v>135</v>
      </c>
      <c r="BF504" s="303"/>
      <c r="BG504" s="303"/>
      <c r="BH504" s="303"/>
      <c r="BI504" s="303"/>
      <c r="BJ504" s="303"/>
      <c r="BK504" s="303"/>
      <c r="BL504" s="303"/>
      <c r="BM504" s="303"/>
      <c r="BN504" s="303"/>
      <c r="BO504" s="303"/>
      <c r="BP504" s="303"/>
      <c r="BQ504" s="5"/>
      <c r="BR504" s="25"/>
      <c r="BS504" s="5"/>
    </row>
    <row r="505" spans="1:71" s="3" customFormat="1" x14ac:dyDescent="0.25">
      <c r="A505" s="5"/>
      <c r="B505" s="3" t="str">
        <f t="array" ref="B505">IFERROR(INDEX(DemandSupply,MATCH(INDEX($AH$1:AH505,SMALL(ROW($AH$1:AH505)+(10000*($AH$1:AH505="")),COUNTA($AH$1:AH505))),Sectors,0)),"")</f>
        <v>Demand</v>
      </c>
      <c r="E505" s="10"/>
      <c r="F505" s="207"/>
      <c r="G505" s="207"/>
      <c r="H505" s="207"/>
      <c r="I505" s="207"/>
      <c r="J505" s="207"/>
      <c r="K505" s="207"/>
      <c r="L505" s="207"/>
      <c r="M505" s="207"/>
      <c r="N505" s="207"/>
      <c r="O505" s="207"/>
      <c r="P505" s="207"/>
      <c r="Q505" s="207"/>
      <c r="R505" s="207"/>
      <c r="S505" s="207"/>
      <c r="T505" s="207"/>
      <c r="U505" s="207"/>
      <c r="V505" s="207"/>
      <c r="W505" s="207"/>
      <c r="X505" s="207"/>
      <c r="Y505" s="207"/>
      <c r="Z505" s="207"/>
      <c r="AA505" s="207"/>
      <c r="AB505" s="207"/>
      <c r="AC505" s="5"/>
      <c r="AD505" s="63"/>
      <c r="AE505" s="64"/>
      <c r="AF505" s="64"/>
      <c r="AG505" s="212"/>
      <c r="AH505" s="64"/>
      <c r="AI505" s="64"/>
      <c r="AJ505" s="64"/>
      <c r="AK505" s="212"/>
      <c r="AL505" s="64"/>
      <c r="AM505" s="64"/>
      <c r="AN505" s="64"/>
      <c r="AO505" s="64"/>
      <c r="AP505" s="63"/>
      <c r="AQ505" s="64"/>
      <c r="AR505" s="63"/>
      <c r="AS505" s="64"/>
      <c r="AT505" s="63"/>
      <c r="AU505" s="64"/>
      <c r="AV505" s="63"/>
      <c r="AW505" s="64"/>
      <c r="AX505" s="63"/>
      <c r="AY505" s="5"/>
      <c r="AZ505" s="21" t="str">
        <f t="shared" si="162"/>
        <v/>
      </c>
      <c r="BA505" s="264" t="s">
        <v>444</v>
      </c>
      <c r="BB505" s="264"/>
      <c r="BC505" s="264"/>
      <c r="BD505" s="264" t="s">
        <v>354</v>
      </c>
      <c r="BE505" s="216" t="s">
        <v>135</v>
      </c>
      <c r="BF505" s="56"/>
      <c r="BG505" s="56"/>
      <c r="BH505" s="56"/>
      <c r="BI505" s="56"/>
      <c r="BJ505" s="56"/>
      <c r="BK505" s="56"/>
      <c r="BL505" s="56"/>
      <c r="BM505" s="56"/>
      <c r="BN505" s="56"/>
      <c r="BO505" s="56"/>
      <c r="BP505" s="56"/>
      <c r="BQ505" s="5"/>
      <c r="BR505" s="25"/>
      <c r="BS505" s="5"/>
    </row>
    <row r="506" spans="1:71" s="3" customFormat="1" x14ac:dyDescent="0.25">
      <c r="A506" s="5"/>
      <c r="B506" s="3" t="str">
        <f t="array" ref="B506">IFERROR(INDEX(DemandSupply,MATCH(INDEX($AH$1:AH506,SMALL(ROW($AH$1:AH506)+(10000*($AH$1:AH506="")),COUNTA($AH$1:AH506))),Sectors,0)),"")</f>
        <v>Demand</v>
      </c>
      <c r="E506" s="10"/>
      <c r="F506" s="207"/>
      <c r="G506" s="207"/>
      <c r="H506" s="207"/>
      <c r="I506" s="207"/>
      <c r="J506" s="207"/>
      <c r="K506" s="207"/>
      <c r="L506" s="207"/>
      <c r="M506" s="207"/>
      <c r="N506" s="207"/>
      <c r="O506" s="207"/>
      <c r="P506" s="207"/>
      <c r="Q506" s="207"/>
      <c r="R506" s="207"/>
      <c r="S506" s="207"/>
      <c r="T506" s="207"/>
      <c r="U506" s="207"/>
      <c r="V506" s="207"/>
      <c r="W506" s="207"/>
      <c r="X506" s="207"/>
      <c r="Y506" s="207"/>
      <c r="Z506" s="207"/>
      <c r="AA506" s="207"/>
      <c r="AB506" s="207"/>
      <c r="AC506" s="5"/>
      <c r="AD506" s="63"/>
      <c r="AE506" s="64"/>
      <c r="AF506" s="64"/>
      <c r="AG506" s="212"/>
      <c r="AH506" s="64"/>
      <c r="AI506" s="64"/>
      <c r="AJ506" s="64"/>
      <c r="AK506" s="212"/>
      <c r="AL506" s="64"/>
      <c r="AM506" s="64"/>
      <c r="AN506" s="64"/>
      <c r="AO506" s="64"/>
      <c r="AP506" s="63"/>
      <c r="AQ506" s="64"/>
      <c r="AR506" s="63"/>
      <c r="AS506" s="64"/>
      <c r="AT506" s="63"/>
      <c r="AU506" s="64"/>
      <c r="AV506" s="63"/>
      <c r="AW506" s="64"/>
      <c r="AX506" s="63"/>
      <c r="AY506" s="5"/>
      <c r="AZ506" s="21" t="str">
        <f t="shared" si="162"/>
        <v/>
      </c>
      <c r="BA506" s="264" t="s">
        <v>446</v>
      </c>
      <c r="BB506" s="264"/>
      <c r="BC506" s="264"/>
      <c r="BD506" s="264" t="s">
        <v>354</v>
      </c>
      <c r="BE506" s="216" t="s">
        <v>135</v>
      </c>
      <c r="BF506" s="56"/>
      <c r="BG506" s="56"/>
      <c r="BH506" s="56"/>
      <c r="BI506" s="56"/>
      <c r="BJ506" s="56"/>
      <c r="BK506" s="56"/>
      <c r="BL506" s="56"/>
      <c r="BM506" s="56"/>
      <c r="BN506" s="56"/>
      <c r="BO506" s="56"/>
      <c r="BP506" s="56"/>
      <c r="BQ506" s="5"/>
      <c r="BR506" s="25"/>
      <c r="BS506" s="5"/>
    </row>
    <row r="507" spans="1:71" s="3" customFormat="1" x14ac:dyDescent="0.25">
      <c r="A507" s="5"/>
      <c r="B507" s="3" t="str">
        <f t="array" ref="B507">IFERROR(INDEX(DemandSupply,MATCH(INDEX($AH$1:AH507,SMALL(ROW($AH$1:AH507)+(10000*($AH$1:AH507="")),COUNTA($AH$1:AH507))),Sectors,0)),"")</f>
        <v>Demand</v>
      </c>
      <c r="E507" s="10"/>
      <c r="F507" s="207"/>
      <c r="G507" s="207"/>
      <c r="H507" s="207"/>
      <c r="I507" s="207"/>
      <c r="J507" s="207"/>
      <c r="K507" s="207"/>
      <c r="L507" s="207"/>
      <c r="M507" s="207"/>
      <c r="N507" s="207"/>
      <c r="O507" s="207"/>
      <c r="P507" s="207"/>
      <c r="Q507" s="207"/>
      <c r="R507" s="207"/>
      <c r="S507" s="207"/>
      <c r="T507" s="207"/>
      <c r="U507" s="207"/>
      <c r="V507" s="207"/>
      <c r="W507" s="207"/>
      <c r="X507" s="207"/>
      <c r="Y507" s="207"/>
      <c r="Z507" s="207"/>
      <c r="AA507" s="207"/>
      <c r="AB507" s="207"/>
      <c r="AC507" s="5"/>
      <c r="AD507" s="63"/>
      <c r="AE507" s="64"/>
      <c r="AF507" s="64"/>
      <c r="AG507" s="212"/>
      <c r="AH507" s="64"/>
      <c r="AI507" s="64"/>
      <c r="AJ507" s="64"/>
      <c r="AK507" s="212"/>
      <c r="AL507" s="64"/>
      <c r="AM507" s="64"/>
      <c r="AN507" s="64"/>
      <c r="AO507" s="64"/>
      <c r="AP507" s="63"/>
      <c r="AQ507" s="64"/>
      <c r="AR507" s="63"/>
      <c r="AS507" s="64"/>
      <c r="AT507" s="63"/>
      <c r="AU507" s="64"/>
      <c r="AV507" s="63"/>
      <c r="AW507" s="64"/>
      <c r="AX507" s="63"/>
      <c r="AY507" s="5"/>
      <c r="AZ507" s="21" t="str">
        <f t="shared" si="162"/>
        <v/>
      </c>
      <c r="BA507" s="264" t="s">
        <v>447</v>
      </c>
      <c r="BB507" s="264"/>
      <c r="BC507" s="264"/>
      <c r="BD507" s="264"/>
      <c r="BE507" s="216" t="s">
        <v>135</v>
      </c>
      <c r="BF507" s="55"/>
      <c r="BG507" s="55"/>
      <c r="BH507" s="55"/>
      <c r="BI507" s="55"/>
      <c r="BJ507" s="55"/>
      <c r="BK507" s="55"/>
      <c r="BL507" s="55"/>
      <c r="BM507" s="55"/>
      <c r="BN507" s="55"/>
      <c r="BO507" s="55"/>
      <c r="BP507" s="55"/>
      <c r="BQ507" s="5"/>
      <c r="BR507" s="25"/>
      <c r="BS507" s="5"/>
    </row>
    <row r="508" spans="1:71" s="3" customFormat="1" x14ac:dyDescent="0.25">
      <c r="A508" s="5"/>
      <c r="B508" s="3" t="str">
        <f t="array" ref="B508">IFERROR(INDEX(DemandSupply,MATCH(INDEX($AH$1:AH508,SMALL(ROW($AH$1:AH508)+(10000*($AH$1:AH508="")),COUNTA($AH$1:AH508))),Sectors,0)),"")</f>
        <v>Demand</v>
      </c>
      <c r="E508" s="10"/>
      <c r="F508" s="207"/>
      <c r="G508" s="207"/>
      <c r="H508" s="207"/>
      <c r="I508" s="207"/>
      <c r="J508" s="207"/>
      <c r="K508" s="207"/>
      <c r="L508" s="207"/>
      <c r="M508" s="207"/>
      <c r="N508" s="207"/>
      <c r="O508" s="207"/>
      <c r="P508" s="207"/>
      <c r="Q508" s="207"/>
      <c r="R508" s="207"/>
      <c r="S508" s="207"/>
      <c r="T508" s="207"/>
      <c r="U508" s="207"/>
      <c r="V508" s="207"/>
      <c r="W508" s="207"/>
      <c r="X508" s="207"/>
      <c r="Y508" s="207"/>
      <c r="Z508" s="207"/>
      <c r="AA508" s="207"/>
      <c r="AB508" s="207"/>
      <c r="AC508" s="5"/>
      <c r="AD508" s="63"/>
      <c r="AE508" s="64"/>
      <c r="AF508" s="64"/>
      <c r="AG508" s="212"/>
      <c r="AH508" s="64"/>
      <c r="AI508" s="64"/>
      <c r="AJ508" s="64"/>
      <c r="AK508" s="212"/>
      <c r="AL508" s="64"/>
      <c r="AM508" s="64"/>
      <c r="AN508" s="64"/>
      <c r="AO508" s="64"/>
      <c r="AP508" s="63"/>
      <c r="AQ508" s="64"/>
      <c r="AR508" s="63"/>
      <c r="AS508" s="64"/>
      <c r="AT508" s="63"/>
      <c r="AU508" s="64"/>
      <c r="AV508" s="63"/>
      <c r="AW508" s="64"/>
      <c r="AX508" s="63"/>
      <c r="AY508" s="5"/>
      <c r="AZ508" s="21" t="str">
        <f t="shared" si="162"/>
        <v/>
      </c>
      <c r="BA508" s="264" t="s">
        <v>448</v>
      </c>
      <c r="BB508" s="264"/>
      <c r="BC508" s="264"/>
      <c r="BD508" s="264"/>
      <c r="BE508" s="216" t="s">
        <v>135</v>
      </c>
      <c r="BF508" s="55"/>
      <c r="BG508" s="55"/>
      <c r="BH508" s="55"/>
      <c r="BI508" s="55"/>
      <c r="BJ508" s="55"/>
      <c r="BK508" s="55"/>
      <c r="BL508" s="55"/>
      <c r="BM508" s="55"/>
      <c r="BN508" s="55"/>
      <c r="BO508" s="55"/>
      <c r="BP508" s="55"/>
      <c r="BQ508" s="5"/>
      <c r="BR508" s="25"/>
      <c r="BS508" s="5"/>
    </row>
    <row r="509" spans="1:71" s="3" customFormat="1" x14ac:dyDescent="0.25">
      <c r="A509" s="5"/>
      <c r="B509" s="3" t="str">
        <f t="array" ref="B509">IFERROR(INDEX(DemandSupply,MATCH(INDEX($AH$1:AH509,SMALL(ROW($AH$1:AH509)+(10000*($AH$1:AH509="")),COUNTA($AH$1:AH509))),Sectors,0)),"")</f>
        <v>Demand</v>
      </c>
      <c r="E509" s="10"/>
      <c r="F509" s="207"/>
      <c r="G509" s="207"/>
      <c r="H509" s="207"/>
      <c r="I509" s="207"/>
      <c r="J509" s="207"/>
      <c r="K509" s="207"/>
      <c r="L509" s="207"/>
      <c r="M509" s="207"/>
      <c r="N509" s="207"/>
      <c r="O509" s="207"/>
      <c r="P509" s="207"/>
      <c r="Q509" s="207"/>
      <c r="R509" s="207"/>
      <c r="S509" s="207"/>
      <c r="T509" s="207"/>
      <c r="U509" s="207"/>
      <c r="V509" s="207"/>
      <c r="W509" s="207"/>
      <c r="X509" s="207"/>
      <c r="Y509" s="207"/>
      <c r="Z509" s="207"/>
      <c r="AA509" s="207"/>
      <c r="AB509" s="207"/>
      <c r="AC509" s="5"/>
      <c r="AD509" s="63"/>
      <c r="AE509" s="64"/>
      <c r="AF509" s="64"/>
      <c r="AG509" s="212"/>
      <c r="AH509" s="64"/>
      <c r="AI509" s="64"/>
      <c r="AJ509" s="64"/>
      <c r="AK509" s="212"/>
      <c r="AL509" s="64"/>
      <c r="AM509" s="64"/>
      <c r="AN509" s="64"/>
      <c r="AO509" s="64"/>
      <c r="AP509" s="63"/>
      <c r="AQ509" s="64"/>
      <c r="AR509" s="63"/>
      <c r="AS509" s="64"/>
      <c r="AT509" s="63"/>
      <c r="AU509" s="64"/>
      <c r="AV509" s="63"/>
      <c r="AW509" s="64"/>
      <c r="AX509" s="63"/>
      <c r="AY509" s="5"/>
      <c r="AZ509" s="21" t="str">
        <f t="shared" si="162"/>
        <v/>
      </c>
      <c r="BA509" s="264" t="s">
        <v>445</v>
      </c>
      <c r="BB509" s="264"/>
      <c r="BC509" s="264"/>
      <c r="BD509" s="264" t="s">
        <v>355</v>
      </c>
      <c r="BE509" s="216" t="s">
        <v>135</v>
      </c>
      <c r="BF509" s="56"/>
      <c r="BG509" s="56"/>
      <c r="BH509" s="56"/>
      <c r="BI509" s="56"/>
      <c r="BJ509" s="56"/>
      <c r="BK509" s="56"/>
      <c r="BL509" s="56"/>
      <c r="BM509" s="56"/>
      <c r="BN509" s="56"/>
      <c r="BO509" s="56"/>
      <c r="BP509" s="56"/>
      <c r="BQ509" s="5"/>
      <c r="BR509" s="25"/>
      <c r="BS509" s="5"/>
    </row>
    <row r="510" spans="1:71" s="3" customFormat="1" x14ac:dyDescent="0.25">
      <c r="A510" s="5"/>
      <c r="B510" s="3" t="str">
        <f t="array" ref="B510">IFERROR(INDEX(DemandSupply,MATCH(INDEX($AH$1:AH510,SMALL(ROW($AH$1:AH510)+(10000*($AH$1:AH510="")),COUNTA($AH$1:AH510))),Sectors,0)),"")</f>
        <v>Demand</v>
      </c>
      <c r="E510" s="10"/>
      <c r="F510" s="207"/>
      <c r="G510" s="207"/>
      <c r="H510" s="207"/>
      <c r="I510" s="207"/>
      <c r="J510" s="207"/>
      <c r="K510" s="207"/>
      <c r="L510" s="207"/>
      <c r="M510" s="207"/>
      <c r="N510" s="207"/>
      <c r="O510" s="207"/>
      <c r="P510" s="207"/>
      <c r="Q510" s="207"/>
      <c r="R510" s="207"/>
      <c r="S510" s="207"/>
      <c r="T510" s="207"/>
      <c r="U510" s="207"/>
      <c r="V510" s="207"/>
      <c r="W510" s="207"/>
      <c r="X510" s="207"/>
      <c r="Y510" s="207"/>
      <c r="Z510" s="207"/>
      <c r="AA510" s="207"/>
      <c r="AB510" s="207"/>
      <c r="AC510" s="5"/>
      <c r="AD510" s="63"/>
      <c r="AE510" s="64"/>
      <c r="AF510" s="64"/>
      <c r="AG510" s="212"/>
      <c r="AH510" s="64"/>
      <c r="AI510" s="64"/>
      <c r="AJ510" s="64"/>
      <c r="AK510" s="212"/>
      <c r="AL510" s="64"/>
      <c r="AM510" s="64"/>
      <c r="AN510" s="64"/>
      <c r="AO510" s="64"/>
      <c r="AP510" s="63"/>
      <c r="AQ510" s="64"/>
      <c r="AR510" s="63"/>
      <c r="AS510" s="64"/>
      <c r="AT510" s="63"/>
      <c r="AU510" s="64"/>
      <c r="AV510" s="63"/>
      <c r="AW510" s="64"/>
      <c r="AX510" s="63"/>
      <c r="AY510" s="5"/>
      <c r="AZ510" s="21" t="str">
        <f t="shared" si="162"/>
        <v/>
      </c>
      <c r="BA510" s="264" t="s">
        <v>449</v>
      </c>
      <c r="BB510" s="264"/>
      <c r="BC510" s="264"/>
      <c r="BD510" s="264" t="s">
        <v>355</v>
      </c>
      <c r="BE510" s="216" t="s">
        <v>135</v>
      </c>
      <c r="BF510" s="56"/>
      <c r="BG510" s="56"/>
      <c r="BH510" s="56"/>
      <c r="BI510" s="56"/>
      <c r="BJ510" s="56"/>
      <c r="BK510" s="56"/>
      <c r="BL510" s="56"/>
      <c r="BM510" s="56"/>
      <c r="BN510" s="56"/>
      <c r="BO510" s="56"/>
      <c r="BP510" s="56"/>
      <c r="BQ510" s="5"/>
      <c r="BR510" s="25"/>
      <c r="BS510" s="5"/>
    </row>
    <row r="511" spans="1:71" s="3" customFormat="1" x14ac:dyDescent="0.25">
      <c r="A511" s="5"/>
      <c r="B511" s="3" t="str">
        <f t="array" ref="B511">IFERROR(INDEX(DemandSupply,MATCH(INDEX($AH$1:AH511,SMALL(ROW($AH$1:AH511)+(10000*($AH$1:AH511="")),COUNTA($AH$1:AH511))),Sectors,0)),"")</f>
        <v>Demand</v>
      </c>
      <c r="E511" s="10"/>
      <c r="F511" s="207"/>
      <c r="G511" s="207"/>
      <c r="H511" s="207"/>
      <c r="I511" s="207"/>
      <c r="J511" s="207"/>
      <c r="K511" s="207"/>
      <c r="L511" s="207"/>
      <c r="M511" s="207"/>
      <c r="N511" s="207"/>
      <c r="O511" s="207"/>
      <c r="P511" s="207"/>
      <c r="Q511" s="207"/>
      <c r="R511" s="207"/>
      <c r="S511" s="207"/>
      <c r="T511" s="207"/>
      <c r="U511" s="207"/>
      <c r="V511" s="207"/>
      <c r="W511" s="207"/>
      <c r="X511" s="207"/>
      <c r="Y511" s="207"/>
      <c r="Z511" s="207"/>
      <c r="AA511" s="207"/>
      <c r="AB511" s="207"/>
      <c r="AC511" s="5"/>
      <c r="AD511" s="63"/>
      <c r="AE511" s="64"/>
      <c r="AF511" s="64"/>
      <c r="AG511" s="212"/>
      <c r="AH511" s="64"/>
      <c r="AI511" s="64"/>
      <c r="AJ511" s="64"/>
      <c r="AK511" s="212"/>
      <c r="AL511" s="64"/>
      <c r="AM511" s="64"/>
      <c r="AN511" s="64"/>
      <c r="AO511" s="64"/>
      <c r="AP511" s="63"/>
      <c r="AQ511" s="64"/>
      <c r="AR511" s="63"/>
      <c r="AS511" s="64"/>
      <c r="AT511" s="63"/>
      <c r="AU511" s="64"/>
      <c r="AV511" s="63"/>
      <c r="AW511" s="64"/>
      <c r="AX511" s="63"/>
      <c r="AY511" s="5"/>
      <c r="AZ511" s="21" t="str">
        <f t="shared" si="162"/>
        <v/>
      </c>
      <c r="BA511" s="264" t="s">
        <v>450</v>
      </c>
      <c r="BB511" s="264"/>
      <c r="BC511" s="264"/>
      <c r="BD511" s="264"/>
      <c r="BE511" s="216" t="s">
        <v>135</v>
      </c>
      <c r="BF511" s="55"/>
      <c r="BG511" s="55"/>
      <c r="BH511" s="55"/>
      <c r="BI511" s="55"/>
      <c r="BJ511" s="55"/>
      <c r="BK511" s="55"/>
      <c r="BL511" s="55"/>
      <c r="BM511" s="55"/>
      <c r="BN511" s="55"/>
      <c r="BO511" s="55"/>
      <c r="BP511" s="55"/>
      <c r="BQ511" s="5"/>
      <c r="BR511" s="25"/>
      <c r="BS511" s="5"/>
    </row>
    <row r="512" spans="1:71" s="3" customFormat="1" x14ac:dyDescent="0.25">
      <c r="A512" s="5"/>
      <c r="B512" s="3" t="str">
        <f t="array" ref="B512">IFERROR(INDEX(DemandSupply,MATCH(INDEX($AH$1:AH512,SMALL(ROW($AH$1:AH512)+(10000*($AH$1:AH512="")),COUNTA($AH$1:AH512))),Sectors,0)),"")</f>
        <v>Demand</v>
      </c>
      <c r="E512" s="10"/>
      <c r="F512" s="207"/>
      <c r="G512" s="207"/>
      <c r="H512" s="207"/>
      <c r="I512" s="207"/>
      <c r="J512" s="207"/>
      <c r="K512" s="207"/>
      <c r="L512" s="207"/>
      <c r="M512" s="207"/>
      <c r="N512" s="207"/>
      <c r="O512" s="207"/>
      <c r="P512" s="207"/>
      <c r="Q512" s="207"/>
      <c r="R512" s="207"/>
      <c r="S512" s="207"/>
      <c r="T512" s="207"/>
      <c r="U512" s="207"/>
      <c r="V512" s="207"/>
      <c r="W512" s="207"/>
      <c r="X512" s="207"/>
      <c r="Y512" s="207"/>
      <c r="Z512" s="207"/>
      <c r="AA512" s="207"/>
      <c r="AB512" s="207"/>
      <c r="AC512" s="5"/>
      <c r="AD512" s="63"/>
      <c r="AE512" s="64"/>
      <c r="AF512" s="64"/>
      <c r="AG512" s="212"/>
      <c r="AH512" s="64"/>
      <c r="AI512" s="64"/>
      <c r="AJ512" s="64"/>
      <c r="AK512" s="212"/>
      <c r="AL512" s="64"/>
      <c r="AM512" s="64"/>
      <c r="AN512" s="64"/>
      <c r="AO512" s="64"/>
      <c r="AP512" s="63"/>
      <c r="AQ512" s="64"/>
      <c r="AR512" s="63"/>
      <c r="AS512" s="64"/>
      <c r="AT512" s="63"/>
      <c r="AU512" s="64"/>
      <c r="AV512" s="63"/>
      <c r="AW512" s="64"/>
      <c r="AX512" s="63"/>
      <c r="AY512" s="5"/>
      <c r="AZ512" s="21" t="str">
        <f t="shared" si="162"/>
        <v/>
      </c>
      <c r="BA512" s="264" t="s">
        <v>451</v>
      </c>
      <c r="BB512" s="264"/>
      <c r="BC512" s="264"/>
      <c r="BD512" s="264"/>
      <c r="BE512" s="216" t="s">
        <v>135</v>
      </c>
      <c r="BF512" s="55"/>
      <c r="BG512" s="55"/>
      <c r="BH512" s="55"/>
      <c r="BI512" s="55"/>
      <c r="BJ512" s="55"/>
      <c r="BK512" s="55"/>
      <c r="BL512" s="55"/>
      <c r="BM512" s="55"/>
      <c r="BN512" s="55"/>
      <c r="BO512" s="55"/>
      <c r="BP512" s="55"/>
      <c r="BQ512" s="5"/>
      <c r="BR512" s="25"/>
      <c r="BS512" s="5"/>
    </row>
    <row r="513" spans="1:71" s="3" customFormat="1" x14ac:dyDescent="0.25">
      <c r="A513" s="5"/>
      <c r="B513" s="3" t="str">
        <f t="array" ref="B513">IFERROR(INDEX(DemandSupply,MATCH(INDEX($AH$1:AH513,SMALL(ROW($AH$1:AH513)+(10000*($AH$1:AH513="")),COUNTA($AH$1:AH513))),Sectors,0)),"")</f>
        <v>Demand</v>
      </c>
      <c r="E513" s="10"/>
      <c r="F513" s="207"/>
      <c r="G513" s="207"/>
      <c r="H513" s="207"/>
      <c r="I513" s="207"/>
      <c r="J513" s="207"/>
      <c r="K513" s="207"/>
      <c r="L513" s="207"/>
      <c r="M513" s="207"/>
      <c r="N513" s="207"/>
      <c r="O513" s="207"/>
      <c r="P513" s="207"/>
      <c r="Q513" s="207"/>
      <c r="R513" s="207"/>
      <c r="S513" s="207"/>
      <c r="T513" s="207"/>
      <c r="U513" s="207"/>
      <c r="V513" s="207"/>
      <c r="W513" s="207"/>
      <c r="X513" s="207"/>
      <c r="Y513" s="207"/>
      <c r="Z513" s="207"/>
      <c r="AA513" s="207"/>
      <c r="AB513" s="207"/>
      <c r="AC513" s="5"/>
      <c r="AD513" s="63"/>
      <c r="AE513" s="64"/>
      <c r="AF513" s="64"/>
      <c r="AG513" s="212"/>
      <c r="AH513" s="64"/>
      <c r="AI513" s="64"/>
      <c r="AJ513" s="64"/>
      <c r="AK513" s="212"/>
      <c r="AL513" s="64"/>
      <c r="AM513" s="64"/>
      <c r="AN513" s="64"/>
      <c r="AO513" s="64"/>
      <c r="AP513" s="63"/>
      <c r="AQ513" s="64"/>
      <c r="AR513" s="63"/>
      <c r="AS513" s="64"/>
      <c r="AT513" s="63"/>
      <c r="AU513" s="64"/>
      <c r="AV513" s="63"/>
      <c r="AW513" s="64"/>
      <c r="AX513" s="63"/>
      <c r="AY513" s="5"/>
      <c r="AZ513" s="21" t="str">
        <f t="shared" si="162"/>
        <v/>
      </c>
      <c r="BA513" s="264" t="s">
        <v>342</v>
      </c>
      <c r="BB513" s="264"/>
      <c r="BC513" s="264"/>
      <c r="BD513" s="264" t="s">
        <v>355</v>
      </c>
      <c r="BE513" s="216" t="s">
        <v>135</v>
      </c>
      <c r="BF513" s="56">
        <v>12.217000000000001</v>
      </c>
      <c r="BG513" s="282">
        <f t="shared" ref="BG513" si="195">BF513</f>
        <v>12.217000000000001</v>
      </c>
      <c r="BH513" s="282">
        <f t="shared" ref="BH513" si="196">BG513</f>
        <v>12.217000000000001</v>
      </c>
      <c r="BI513" s="282">
        <f t="shared" ref="BI513" si="197">BH513</f>
        <v>12.217000000000001</v>
      </c>
      <c r="BJ513" s="282">
        <f t="shared" ref="BJ513" si="198">BI513</f>
        <v>12.217000000000001</v>
      </c>
      <c r="BK513" s="282">
        <f t="shared" ref="BK513" si="199">BJ513</f>
        <v>12.217000000000001</v>
      </c>
      <c r="BL513" s="282">
        <f t="shared" ref="BL513" si="200">BK513</f>
        <v>12.217000000000001</v>
      </c>
      <c r="BM513" s="282">
        <f t="shared" ref="BM513" si="201">BL513</f>
        <v>12.217000000000001</v>
      </c>
      <c r="BN513" s="282">
        <f t="shared" ref="BN513" si="202">BM513</f>
        <v>12.217000000000001</v>
      </c>
      <c r="BO513" s="282">
        <f t="shared" ref="BO513" si="203">BN513</f>
        <v>12.217000000000001</v>
      </c>
      <c r="BP513" s="282">
        <f t="shared" ref="BP513" si="204">BO513</f>
        <v>12.217000000000001</v>
      </c>
      <c r="BQ513" s="5"/>
      <c r="BR513" s="25"/>
      <c r="BS513" s="5"/>
    </row>
    <row r="514" spans="1:71" s="3" customFormat="1" x14ac:dyDescent="0.25">
      <c r="A514" s="5"/>
      <c r="B514" s="3" t="str">
        <f t="array" ref="B514">IFERROR(INDEX(DemandSupply,MATCH(INDEX($AH$1:AH514,SMALL(ROW($AH$1:AH514)+(10000*($AH$1:AH514="")),COUNTA($AH$1:AH514))),Sectors,0)),"")</f>
        <v>Demand</v>
      </c>
      <c r="E514" s="10"/>
      <c r="F514" s="207"/>
      <c r="G514" s="207"/>
      <c r="H514" s="207"/>
      <c r="I514" s="207"/>
      <c r="J514" s="207"/>
      <c r="K514" s="207"/>
      <c r="L514" s="207"/>
      <c r="M514" s="207"/>
      <c r="N514" s="207"/>
      <c r="O514" s="207"/>
      <c r="P514" s="207"/>
      <c r="Q514" s="207"/>
      <c r="R514" s="207"/>
      <c r="S514" s="207"/>
      <c r="T514" s="207"/>
      <c r="U514" s="207"/>
      <c r="V514" s="207"/>
      <c r="W514" s="207"/>
      <c r="X514" s="207"/>
      <c r="Y514" s="207"/>
      <c r="Z514" s="207"/>
      <c r="AA514" s="207"/>
      <c r="AB514" s="207"/>
      <c r="AC514" s="5"/>
      <c r="AD514" s="63"/>
      <c r="AE514" s="64"/>
      <c r="AF514" s="64"/>
      <c r="AG514" s="212"/>
      <c r="AH514" s="64"/>
      <c r="AI514" s="64"/>
      <c r="AJ514" s="64"/>
      <c r="AK514" s="212"/>
      <c r="AL514" s="64"/>
      <c r="AM514" s="64"/>
      <c r="AN514" s="64"/>
      <c r="AO514" s="64"/>
      <c r="AP514" s="63"/>
      <c r="AQ514" s="64"/>
      <c r="AR514" s="63"/>
      <c r="AS514" s="64"/>
      <c r="AT514" s="63"/>
      <c r="AU514" s="64"/>
      <c r="AV514" s="63"/>
      <c r="AW514" s="64"/>
      <c r="AX514" s="63"/>
      <c r="AY514" s="5"/>
      <c r="AZ514" s="21" t="str">
        <f t="shared" si="162"/>
        <v/>
      </c>
      <c r="BA514" s="264" t="s">
        <v>394</v>
      </c>
      <c r="BB514" s="264"/>
      <c r="BC514" s="264"/>
      <c r="BD514" s="264" t="s">
        <v>354</v>
      </c>
      <c r="BE514" s="216" t="s">
        <v>135</v>
      </c>
      <c r="BF514" s="56"/>
      <c r="BG514" s="56"/>
      <c r="BH514" s="56"/>
      <c r="BI514" s="56"/>
      <c r="BJ514" s="56"/>
      <c r="BK514" s="56"/>
      <c r="BL514" s="56"/>
      <c r="BM514" s="56"/>
      <c r="BN514" s="56"/>
      <c r="BO514" s="56"/>
      <c r="BP514" s="56"/>
      <c r="BQ514" s="5"/>
      <c r="BR514" s="25"/>
      <c r="BS514" s="5"/>
    </row>
    <row r="515" spans="1:71" s="3" customFormat="1" x14ac:dyDescent="0.25">
      <c r="A515" s="5"/>
      <c r="B515" s="3" t="str">
        <f t="array" ref="B515">IFERROR(INDEX(DemandSupply,MATCH(INDEX($AH$1:AH515,SMALL(ROW($AH$1:AH515)+(10000*($AH$1:AH515="")),COUNTA($AH$1:AH515))),Sectors,0)),"")</f>
        <v>Demand</v>
      </c>
      <c r="E515" s="10">
        <f t="shared" ref="E515:E639" si="205">IF(COUNTA(BA515)=1,0,MIN(F515:AA515))</f>
        <v>0</v>
      </c>
      <c r="F515" s="207">
        <v>1</v>
      </c>
      <c r="G515" s="207">
        <v>1</v>
      </c>
      <c r="H515" s="207">
        <v>1</v>
      </c>
      <c r="I515" s="207">
        <v>1</v>
      </c>
      <c r="J515" s="207">
        <v>1</v>
      </c>
      <c r="K515" s="207">
        <v>1</v>
      </c>
      <c r="L515" s="207">
        <v>1</v>
      </c>
      <c r="M515" s="207">
        <v>1</v>
      </c>
      <c r="N515" s="207">
        <v>1</v>
      </c>
      <c r="O515" s="207">
        <v>1</v>
      </c>
      <c r="P515" s="207">
        <v>1</v>
      </c>
      <c r="Q515" s="207">
        <v>1</v>
      </c>
      <c r="R515" s="207">
        <v>1</v>
      </c>
      <c r="S515" s="207">
        <v>1</v>
      </c>
      <c r="T515" s="207">
        <v>1</v>
      </c>
      <c r="U515" s="207">
        <v>1</v>
      </c>
      <c r="V515" s="207">
        <v>1</v>
      </c>
      <c r="W515" s="207">
        <v>1</v>
      </c>
      <c r="X515" s="207">
        <v>1</v>
      </c>
      <c r="Y515" s="207">
        <v>1</v>
      </c>
      <c r="Z515" s="207">
        <v>1</v>
      </c>
      <c r="AA515" s="207">
        <v>1</v>
      </c>
      <c r="AB515" s="207">
        <v>1</v>
      </c>
      <c r="AC515" s="5"/>
      <c r="AD515" s="63"/>
      <c r="AE515" s="64"/>
      <c r="AF515" s="64"/>
      <c r="AG515" s="212"/>
      <c r="AH515" s="64"/>
      <c r="AI515" s="64"/>
      <c r="AJ515" s="65"/>
      <c r="AK515" s="212"/>
      <c r="AL515" s="64"/>
      <c r="AM515" s="64"/>
      <c r="AN515" s="64"/>
      <c r="AO515" s="64"/>
      <c r="AP515" s="64"/>
      <c r="AQ515" s="64"/>
      <c r="AR515" s="63"/>
      <c r="AS515" s="64"/>
      <c r="AT515" s="63"/>
      <c r="AU515" s="64"/>
      <c r="AV515" s="63"/>
      <c r="AW515" s="64"/>
      <c r="AX515" s="63"/>
      <c r="AY515" s="5"/>
      <c r="AZ515" s="21" t="str">
        <f t="shared" si="162"/>
        <v/>
      </c>
      <c r="BA515" s="74" t="s">
        <v>338</v>
      </c>
      <c r="BB515" s="25"/>
      <c r="BC515" s="2" t="s">
        <v>185</v>
      </c>
      <c r="BD515" s="74" t="s">
        <v>367</v>
      </c>
      <c r="BE515" s="216" t="s">
        <v>135</v>
      </c>
      <c r="BF515" s="55">
        <v>0.31</v>
      </c>
      <c r="BG515" s="55">
        <v>0.31</v>
      </c>
      <c r="BH515" s="55">
        <v>0.31</v>
      </c>
      <c r="BI515" s="55">
        <v>0.31</v>
      </c>
      <c r="BJ515" s="55">
        <v>0.31</v>
      </c>
      <c r="BK515" s="55">
        <v>0.31</v>
      </c>
      <c r="BL515" s="55">
        <v>0.31</v>
      </c>
      <c r="BM515" s="55">
        <v>0.31</v>
      </c>
      <c r="BN515" s="55">
        <v>0.31</v>
      </c>
      <c r="BO515" s="55">
        <v>0.31</v>
      </c>
      <c r="BP515" s="55">
        <v>0.31</v>
      </c>
      <c r="BQ515" s="5"/>
      <c r="BR515" s="25"/>
      <c r="BS515" s="5"/>
    </row>
    <row r="516" spans="1:71" s="3" customFormat="1" x14ac:dyDescent="0.25">
      <c r="A516" s="5"/>
      <c r="B516" s="3" t="str">
        <f t="array" ref="B516">IFERROR(INDEX(DemandSupply,MATCH(INDEX($AH$1:AH516,SMALL(ROW($AH$1:AH516)+(10000*($AH$1:AH516="")),COUNTA($AH$1:AH516))),Sectors,0)),"")</f>
        <v>Demand</v>
      </c>
      <c r="E516" s="10">
        <f t="shared" si="205"/>
        <v>0</v>
      </c>
      <c r="F516" s="207">
        <v>1</v>
      </c>
      <c r="G516" s="207">
        <v>1</v>
      </c>
      <c r="H516" s="207">
        <v>1</v>
      </c>
      <c r="I516" s="207">
        <v>1</v>
      </c>
      <c r="J516" s="207">
        <v>1</v>
      </c>
      <c r="K516" s="207">
        <v>1</v>
      </c>
      <c r="L516" s="207">
        <v>1</v>
      </c>
      <c r="M516" s="207">
        <v>1</v>
      </c>
      <c r="N516" s="207">
        <v>1</v>
      </c>
      <c r="O516" s="207">
        <v>1</v>
      </c>
      <c r="P516" s="207">
        <v>1</v>
      </c>
      <c r="Q516" s="207">
        <v>1</v>
      </c>
      <c r="R516" s="207">
        <v>1</v>
      </c>
      <c r="S516" s="207">
        <v>1</v>
      </c>
      <c r="T516" s="207">
        <v>1</v>
      </c>
      <c r="U516" s="207">
        <v>1</v>
      </c>
      <c r="V516" s="207">
        <v>1</v>
      </c>
      <c r="W516" s="207">
        <v>1</v>
      </c>
      <c r="X516" s="207">
        <v>1</v>
      </c>
      <c r="Y516" s="207">
        <v>1</v>
      </c>
      <c r="Z516" s="207">
        <v>1</v>
      </c>
      <c r="AA516" s="207">
        <v>1</v>
      </c>
      <c r="AB516" s="207">
        <v>1</v>
      </c>
      <c r="AC516" s="5"/>
      <c r="AD516" s="63"/>
      <c r="AE516" s="64"/>
      <c r="AF516" s="64"/>
      <c r="AG516" s="212"/>
      <c r="AH516" s="64"/>
      <c r="AI516" s="64"/>
      <c r="AJ516" s="65"/>
      <c r="AK516" s="212"/>
      <c r="AL516" s="64"/>
      <c r="AM516" s="64"/>
      <c r="AN516" s="64"/>
      <c r="AO516" s="64"/>
      <c r="AP516" s="64"/>
      <c r="AQ516" s="64"/>
      <c r="AR516" s="63"/>
      <c r="AS516" s="64"/>
      <c r="AT516" s="63"/>
      <c r="AU516" s="64"/>
      <c r="AV516" s="63"/>
      <c r="AW516" s="64"/>
      <c r="AX516" s="63"/>
      <c r="AY516" s="5"/>
      <c r="AZ516" s="21" t="str">
        <f t="shared" si="162"/>
        <v/>
      </c>
      <c r="BA516" s="291" t="s">
        <v>51</v>
      </c>
      <c r="BB516" s="25"/>
      <c r="BC516" s="2"/>
      <c r="BD516" s="2"/>
      <c r="BE516" s="216" t="s">
        <v>137</v>
      </c>
      <c r="BF516" s="4"/>
      <c r="BG516" s="4"/>
      <c r="BH516" s="4"/>
      <c r="BI516" s="4"/>
      <c r="BJ516" s="4"/>
      <c r="BK516" s="4"/>
      <c r="BL516" s="4"/>
      <c r="BM516" s="4"/>
      <c r="BN516" s="4"/>
      <c r="BO516" s="4"/>
      <c r="BP516" s="4"/>
      <c r="BQ516" s="5"/>
      <c r="BR516" s="25"/>
      <c r="BS516" s="5"/>
    </row>
    <row r="517" spans="1:71" s="3" customFormat="1" x14ac:dyDescent="0.25">
      <c r="A517" s="5"/>
      <c r="B517" s="3" t="str">
        <f t="array" ref="B517">IFERROR(INDEX(DemandSupply,MATCH(INDEX($AH$1:AH517,SMALL(ROW($AH$1:AH517)+(10000*($AH$1:AH517="")),COUNTA($AH$1:AH517))),Sectors,0)),"")</f>
        <v>Demand</v>
      </c>
      <c r="E517" s="10"/>
      <c r="F517" s="207"/>
      <c r="G517" s="207"/>
      <c r="H517" s="207"/>
      <c r="I517" s="207"/>
      <c r="J517" s="207"/>
      <c r="K517" s="207"/>
      <c r="L517" s="207"/>
      <c r="M517" s="207"/>
      <c r="N517" s="207"/>
      <c r="O517" s="207"/>
      <c r="P517" s="207"/>
      <c r="Q517" s="207"/>
      <c r="R517" s="207"/>
      <c r="S517" s="207"/>
      <c r="T517" s="207"/>
      <c r="U517" s="207"/>
      <c r="V517" s="207"/>
      <c r="W517" s="207"/>
      <c r="X517" s="207"/>
      <c r="Y517" s="207"/>
      <c r="Z517" s="207"/>
      <c r="AA517" s="207"/>
      <c r="AB517" s="207"/>
      <c r="AC517" s="5"/>
      <c r="AD517" s="63"/>
      <c r="AE517" s="64"/>
      <c r="AF517" s="64"/>
      <c r="AG517" s="212"/>
      <c r="AH517" s="64"/>
      <c r="AI517" s="64"/>
      <c r="AJ517" s="64"/>
      <c r="AK517" s="212"/>
      <c r="AL517" s="64"/>
      <c r="AM517" s="64"/>
      <c r="AN517" s="64"/>
      <c r="AO517" s="64"/>
      <c r="AP517" s="63"/>
      <c r="AQ517" s="64"/>
      <c r="AR517" s="63"/>
      <c r="AS517" s="64"/>
      <c r="AT517" s="63"/>
      <c r="AU517" s="64"/>
      <c r="AV517" s="63"/>
      <c r="AW517" s="64"/>
      <c r="AX517" s="63"/>
      <c r="AY517" s="5"/>
      <c r="AZ517" s="21" t="str">
        <f t="shared" si="162"/>
        <v/>
      </c>
      <c r="BA517" s="264" t="s">
        <v>38</v>
      </c>
      <c r="BB517" s="264"/>
      <c r="BC517" s="264"/>
      <c r="BD517" s="264" t="s">
        <v>40</v>
      </c>
      <c r="BE517" s="216" t="s">
        <v>137</v>
      </c>
      <c r="BF517" s="309">
        <v>2000</v>
      </c>
      <c r="BG517" s="310">
        <f t="shared" ref="BG517:BP517" si="206">BF517</f>
        <v>2000</v>
      </c>
      <c r="BH517" s="310">
        <f t="shared" si="206"/>
        <v>2000</v>
      </c>
      <c r="BI517" s="310">
        <f t="shared" si="206"/>
        <v>2000</v>
      </c>
      <c r="BJ517" s="310">
        <f t="shared" si="206"/>
        <v>2000</v>
      </c>
      <c r="BK517" s="310">
        <f t="shared" si="206"/>
        <v>2000</v>
      </c>
      <c r="BL517" s="310">
        <f t="shared" si="206"/>
        <v>2000</v>
      </c>
      <c r="BM517" s="310">
        <f t="shared" si="206"/>
        <v>2000</v>
      </c>
      <c r="BN517" s="310">
        <f t="shared" si="206"/>
        <v>2000</v>
      </c>
      <c r="BO517" s="310">
        <f t="shared" si="206"/>
        <v>2000</v>
      </c>
      <c r="BP517" s="310">
        <f t="shared" si="206"/>
        <v>2000</v>
      </c>
      <c r="BQ517" s="5"/>
      <c r="BR517" s="25"/>
      <c r="BS517" s="5"/>
    </row>
    <row r="518" spans="1:71" s="3" customFormat="1" x14ac:dyDescent="0.25">
      <c r="A518" s="5"/>
      <c r="B518" s="3" t="str">
        <f t="array" ref="B518">IFERROR(INDEX(DemandSupply,MATCH(INDEX($AH$1:AH518,SMALL(ROW($AH$1:AH518)+(10000*($AH$1:AH518="")),COUNTA($AH$1:AH518))),Sectors,0)),"")</f>
        <v>Demand</v>
      </c>
      <c r="E518" s="10"/>
      <c r="F518" s="207"/>
      <c r="G518" s="207"/>
      <c r="H518" s="207"/>
      <c r="I518" s="207"/>
      <c r="J518" s="207"/>
      <c r="K518" s="207"/>
      <c r="L518" s="207"/>
      <c r="M518" s="207"/>
      <c r="N518" s="207"/>
      <c r="O518" s="207"/>
      <c r="P518" s="207"/>
      <c r="Q518" s="207"/>
      <c r="R518" s="207"/>
      <c r="S518" s="207"/>
      <c r="T518" s="207"/>
      <c r="U518" s="207"/>
      <c r="V518" s="207"/>
      <c r="W518" s="207"/>
      <c r="X518" s="207"/>
      <c r="Y518" s="207"/>
      <c r="Z518" s="207"/>
      <c r="AA518" s="207"/>
      <c r="AB518" s="207"/>
      <c r="AC518" s="5"/>
      <c r="AD518" s="63"/>
      <c r="AE518" s="64"/>
      <c r="AF518" s="64"/>
      <c r="AG518" s="212"/>
      <c r="AH518" s="64"/>
      <c r="AI518" s="64"/>
      <c r="AJ518" s="64"/>
      <c r="AK518" s="212"/>
      <c r="AL518" s="64"/>
      <c r="AM518" s="64"/>
      <c r="AN518" s="64"/>
      <c r="AO518" s="64"/>
      <c r="AP518" s="63"/>
      <c r="AQ518" s="64"/>
      <c r="AR518" s="63"/>
      <c r="AS518" s="64"/>
      <c r="AT518" s="63"/>
      <c r="AU518" s="64"/>
      <c r="AV518" s="63"/>
      <c r="AW518" s="64"/>
      <c r="AX518" s="63"/>
      <c r="AY518" s="5"/>
      <c r="AZ518" s="21" t="str">
        <f t="shared" si="162"/>
        <v/>
      </c>
      <c r="BA518" s="264" t="s">
        <v>37</v>
      </c>
      <c r="BB518" s="264"/>
      <c r="BC518" s="264"/>
      <c r="BD518" s="264" t="s">
        <v>40</v>
      </c>
      <c r="BE518" s="216" t="s">
        <v>137</v>
      </c>
      <c r="BF518" s="309">
        <v>2100</v>
      </c>
      <c r="BG518" s="310">
        <f t="shared" ref="BG518:BP519" si="207">BF518</f>
        <v>2100</v>
      </c>
      <c r="BH518" s="310">
        <f t="shared" si="207"/>
        <v>2100</v>
      </c>
      <c r="BI518" s="310">
        <f t="shared" si="207"/>
        <v>2100</v>
      </c>
      <c r="BJ518" s="310">
        <f t="shared" si="207"/>
        <v>2100</v>
      </c>
      <c r="BK518" s="310">
        <f t="shared" si="207"/>
        <v>2100</v>
      </c>
      <c r="BL518" s="310">
        <f t="shared" si="207"/>
        <v>2100</v>
      </c>
      <c r="BM518" s="310">
        <f t="shared" si="207"/>
        <v>2100</v>
      </c>
      <c r="BN518" s="310">
        <f t="shared" si="207"/>
        <v>2100</v>
      </c>
      <c r="BO518" s="310">
        <f t="shared" si="207"/>
        <v>2100</v>
      </c>
      <c r="BP518" s="310">
        <f t="shared" si="207"/>
        <v>2100</v>
      </c>
      <c r="BQ518" s="5"/>
      <c r="BR518" s="25"/>
      <c r="BS518" s="5"/>
    </row>
    <row r="519" spans="1:71" s="3" customFormat="1" x14ac:dyDescent="0.25">
      <c r="A519" s="5"/>
      <c r="B519" s="3" t="str">
        <f t="array" ref="B519">IFERROR(INDEX(DemandSupply,MATCH(INDEX($AH$1:AH519,SMALL(ROW($AH$1:AH519)+(10000*($AH$1:AH519="")),COUNTA($AH$1:AH519))),Sectors,0)),"")</f>
        <v>Demand</v>
      </c>
      <c r="E519" s="10"/>
      <c r="F519" s="207"/>
      <c r="G519" s="207"/>
      <c r="H519" s="207"/>
      <c r="I519" s="207"/>
      <c r="J519" s="207"/>
      <c r="K519" s="207"/>
      <c r="L519" s="207"/>
      <c r="M519" s="207"/>
      <c r="N519" s="207"/>
      <c r="O519" s="207"/>
      <c r="P519" s="207"/>
      <c r="Q519" s="207"/>
      <c r="R519" s="207"/>
      <c r="S519" s="207"/>
      <c r="T519" s="207"/>
      <c r="U519" s="207"/>
      <c r="V519" s="207"/>
      <c r="W519" s="207"/>
      <c r="X519" s="207"/>
      <c r="Y519" s="207"/>
      <c r="Z519" s="207"/>
      <c r="AA519" s="207"/>
      <c r="AB519" s="207"/>
      <c r="AC519" s="5"/>
      <c r="AD519" s="63"/>
      <c r="AE519" s="64"/>
      <c r="AF519" s="64"/>
      <c r="AG519" s="212"/>
      <c r="AH519" s="64"/>
      <c r="AI519" s="64"/>
      <c r="AJ519" s="64"/>
      <c r="AK519" s="212"/>
      <c r="AL519" s="64"/>
      <c r="AM519" s="64"/>
      <c r="AN519" s="64"/>
      <c r="AO519" s="64"/>
      <c r="AP519" s="63"/>
      <c r="AQ519" s="64"/>
      <c r="AR519" s="63"/>
      <c r="AS519" s="64"/>
      <c r="AT519" s="63"/>
      <c r="AU519" s="64"/>
      <c r="AV519" s="63"/>
      <c r="AW519" s="64"/>
      <c r="AX519" s="63"/>
      <c r="AY519" s="5"/>
      <c r="AZ519" s="21" t="str">
        <f t="shared" si="162"/>
        <v/>
      </c>
      <c r="BA519" s="264" t="s">
        <v>39</v>
      </c>
      <c r="BB519" s="264"/>
      <c r="BC519" s="264"/>
      <c r="BD519" s="264" t="s">
        <v>10</v>
      </c>
      <c r="BE519" s="216" t="s">
        <v>137</v>
      </c>
      <c r="BF519" s="56">
        <v>9</v>
      </c>
      <c r="BG519" s="282">
        <f t="shared" si="207"/>
        <v>9</v>
      </c>
      <c r="BH519" s="282">
        <f t="shared" si="207"/>
        <v>9</v>
      </c>
      <c r="BI519" s="282">
        <f t="shared" si="207"/>
        <v>9</v>
      </c>
      <c r="BJ519" s="282">
        <f t="shared" si="207"/>
        <v>9</v>
      </c>
      <c r="BK519" s="282">
        <f t="shared" si="207"/>
        <v>9</v>
      </c>
      <c r="BL519" s="282">
        <f t="shared" si="207"/>
        <v>9</v>
      </c>
      <c r="BM519" s="282">
        <f t="shared" si="207"/>
        <v>9</v>
      </c>
      <c r="BN519" s="282">
        <f t="shared" si="207"/>
        <v>9</v>
      </c>
      <c r="BO519" s="282">
        <f t="shared" si="207"/>
        <v>9</v>
      </c>
      <c r="BP519" s="282">
        <f t="shared" si="207"/>
        <v>9</v>
      </c>
      <c r="BQ519" s="5"/>
      <c r="BR519" s="25"/>
      <c r="BS519" s="5"/>
    </row>
    <row r="520" spans="1:71" s="3" customFormat="1" x14ac:dyDescent="0.25">
      <c r="A520" s="5"/>
      <c r="B520" s="3" t="str">
        <f t="array" ref="B520">IFERROR(INDEX(DemandSupply,MATCH(INDEX($AH$1:AH520,SMALL(ROW($AH$1:AH520)+(10000*($AH$1:AH520="")),COUNTA($AH$1:AH520))),Sectors,0)),"")</f>
        <v>Demand</v>
      </c>
      <c r="E520" s="10"/>
      <c r="F520" s="207"/>
      <c r="G520" s="207"/>
      <c r="H520" s="207"/>
      <c r="I520" s="207"/>
      <c r="J520" s="207"/>
      <c r="K520" s="207"/>
      <c r="L520" s="207"/>
      <c r="M520" s="207"/>
      <c r="N520" s="207"/>
      <c r="O520" s="207"/>
      <c r="P520" s="207"/>
      <c r="Q520" s="207"/>
      <c r="R520" s="207"/>
      <c r="S520" s="207"/>
      <c r="T520" s="207"/>
      <c r="U520" s="207"/>
      <c r="V520" s="207"/>
      <c r="W520" s="207"/>
      <c r="X520" s="207"/>
      <c r="Y520" s="207"/>
      <c r="Z520" s="207"/>
      <c r="AA520" s="207"/>
      <c r="AB520" s="207"/>
      <c r="AC520" s="5"/>
      <c r="AD520" s="63"/>
      <c r="AE520" s="64"/>
      <c r="AF520" s="64"/>
      <c r="AG520" s="212"/>
      <c r="AH520" s="64"/>
      <c r="AI520" s="64"/>
      <c r="AJ520" s="64"/>
      <c r="AK520" s="212"/>
      <c r="AL520" s="64"/>
      <c r="AM520" s="64"/>
      <c r="AN520" s="64"/>
      <c r="AO520" s="64"/>
      <c r="AP520" s="63"/>
      <c r="AQ520" s="64"/>
      <c r="AR520" s="63"/>
      <c r="AS520" s="64"/>
      <c r="AT520" s="63"/>
      <c r="AU520" s="64"/>
      <c r="AV520" s="63"/>
      <c r="AW520" s="64"/>
      <c r="AX520" s="63"/>
      <c r="AY520" s="5"/>
      <c r="AZ520" s="21" t="str">
        <f t="shared" si="162"/>
        <v/>
      </c>
      <c r="BA520" s="264" t="s">
        <v>395</v>
      </c>
      <c r="BB520" s="264"/>
      <c r="BC520" s="264"/>
      <c r="BD520" s="264" t="s">
        <v>10</v>
      </c>
      <c r="BE520" s="216" t="s">
        <v>137</v>
      </c>
      <c r="BF520" s="56"/>
      <c r="BG520" s="56"/>
      <c r="BH520" s="56"/>
      <c r="BI520" s="56"/>
      <c r="BJ520" s="56"/>
      <c r="BK520" s="56"/>
      <c r="BL520" s="56"/>
      <c r="BM520" s="56"/>
      <c r="BN520" s="56"/>
      <c r="BO520" s="56"/>
      <c r="BP520" s="56"/>
      <c r="BQ520" s="5"/>
      <c r="BR520" s="25"/>
      <c r="BS520" s="5"/>
    </row>
    <row r="521" spans="1:71" s="3" customFormat="1" x14ac:dyDescent="0.25">
      <c r="A521" s="5"/>
      <c r="B521" s="3" t="str">
        <f t="array" ref="B521">IFERROR(INDEX(DemandSupply,MATCH(INDEX($AH$1:AH521,SMALL(ROW($AH$1:AH521)+(10000*($AH$1:AH521="")),COUNTA($AH$1:AH521))),Sectors,0)),"")</f>
        <v>Demand</v>
      </c>
      <c r="E521" s="10"/>
      <c r="F521" s="207"/>
      <c r="G521" s="207"/>
      <c r="H521" s="207"/>
      <c r="I521" s="207"/>
      <c r="J521" s="207"/>
      <c r="K521" s="207"/>
      <c r="L521" s="207"/>
      <c r="M521" s="207"/>
      <c r="N521" s="207"/>
      <c r="O521" s="207"/>
      <c r="P521" s="207"/>
      <c r="Q521" s="207"/>
      <c r="R521" s="207"/>
      <c r="S521" s="207"/>
      <c r="T521" s="207"/>
      <c r="U521" s="207"/>
      <c r="V521" s="207"/>
      <c r="W521" s="207"/>
      <c r="X521" s="207"/>
      <c r="Y521" s="207"/>
      <c r="Z521" s="207"/>
      <c r="AA521" s="207"/>
      <c r="AB521" s="207"/>
      <c r="AC521" s="5"/>
      <c r="AD521" s="63"/>
      <c r="AE521" s="64"/>
      <c r="AF521" s="64"/>
      <c r="AG521" s="212"/>
      <c r="AH521" s="64"/>
      <c r="AI521" s="64"/>
      <c r="AJ521" s="64"/>
      <c r="AK521" s="212"/>
      <c r="AL521" s="64"/>
      <c r="AM521" s="64"/>
      <c r="AN521" s="64"/>
      <c r="AO521" s="64"/>
      <c r="AP521" s="63"/>
      <c r="AQ521" s="64"/>
      <c r="AR521" s="63"/>
      <c r="AS521" s="64"/>
      <c r="AT521" s="63"/>
      <c r="AU521" s="64"/>
      <c r="AV521" s="63"/>
      <c r="AW521" s="64"/>
      <c r="AX521" s="63"/>
      <c r="AY521" s="5"/>
      <c r="AZ521" s="21" t="str">
        <f t="shared" si="162"/>
        <v/>
      </c>
      <c r="BA521" s="264" t="s">
        <v>341</v>
      </c>
      <c r="BB521" s="264"/>
      <c r="BC521" s="264"/>
      <c r="BD521" s="264" t="s">
        <v>99</v>
      </c>
      <c r="BE521" s="216" t="s">
        <v>137</v>
      </c>
      <c r="BF521" s="303">
        <v>0.3</v>
      </c>
      <c r="BG521" s="306">
        <f t="shared" ref="BG521" si="208">BF521</f>
        <v>0.3</v>
      </c>
      <c r="BH521" s="306">
        <f t="shared" ref="BH521" si="209">BG521</f>
        <v>0.3</v>
      </c>
      <c r="BI521" s="306">
        <f t="shared" ref="BI521" si="210">BH521</f>
        <v>0.3</v>
      </c>
      <c r="BJ521" s="306">
        <f t="shared" ref="BJ521" si="211">BI521</f>
        <v>0.3</v>
      </c>
      <c r="BK521" s="306">
        <f t="shared" ref="BK521" si="212">BJ521</f>
        <v>0.3</v>
      </c>
      <c r="BL521" s="306">
        <f t="shared" ref="BL521" si="213">BK521</f>
        <v>0.3</v>
      </c>
      <c r="BM521" s="306">
        <f t="shared" ref="BM521" si="214">BL521</f>
        <v>0.3</v>
      </c>
      <c r="BN521" s="306">
        <f t="shared" ref="BN521" si="215">BM521</f>
        <v>0.3</v>
      </c>
      <c r="BO521" s="306">
        <f t="shared" ref="BO521" si="216">BN521</f>
        <v>0.3</v>
      </c>
      <c r="BP521" s="306">
        <f t="shared" ref="BP521" si="217">BO521</f>
        <v>0.3</v>
      </c>
      <c r="BQ521" s="5"/>
      <c r="BR521" s="25"/>
      <c r="BS521" s="5"/>
    </row>
    <row r="522" spans="1:71" s="3" customFormat="1" x14ac:dyDescent="0.25">
      <c r="A522" s="5"/>
      <c r="B522" s="3" t="str">
        <f t="array" ref="B522">IFERROR(INDEX(DemandSupply,MATCH(INDEX($AH$1:AH522,SMALL(ROW($AH$1:AH522)+(10000*($AH$1:AH522="")),COUNTA($AH$1:AH522))),Sectors,0)),"")</f>
        <v>Demand</v>
      </c>
      <c r="E522" s="10"/>
      <c r="F522" s="207"/>
      <c r="G522" s="207"/>
      <c r="H522" s="207"/>
      <c r="I522" s="207"/>
      <c r="J522" s="207"/>
      <c r="K522" s="207"/>
      <c r="L522" s="207"/>
      <c r="M522" s="207"/>
      <c r="N522" s="207"/>
      <c r="O522" s="207"/>
      <c r="P522" s="207"/>
      <c r="Q522" s="207"/>
      <c r="R522" s="207"/>
      <c r="S522" s="207"/>
      <c r="T522" s="207"/>
      <c r="U522" s="207"/>
      <c r="V522" s="207"/>
      <c r="W522" s="207"/>
      <c r="X522" s="207"/>
      <c r="Y522" s="207"/>
      <c r="Z522" s="207"/>
      <c r="AA522" s="207"/>
      <c r="AB522" s="207"/>
      <c r="AC522" s="5"/>
      <c r="AD522" s="63"/>
      <c r="AE522" s="64"/>
      <c r="AF522" s="64"/>
      <c r="AG522" s="212"/>
      <c r="AH522" s="64"/>
      <c r="AI522" s="64"/>
      <c r="AJ522" s="64"/>
      <c r="AK522" s="212"/>
      <c r="AL522" s="64"/>
      <c r="AM522" s="64"/>
      <c r="AN522" s="64"/>
      <c r="AO522" s="64"/>
      <c r="AP522" s="63"/>
      <c r="AQ522" s="64"/>
      <c r="AR522" s="63"/>
      <c r="AS522" s="64"/>
      <c r="AT522" s="63"/>
      <c r="AU522" s="64"/>
      <c r="AV522" s="63"/>
      <c r="AW522" s="64"/>
      <c r="AX522" s="63"/>
      <c r="AY522" s="5"/>
      <c r="AZ522" s="21" t="str">
        <f t="shared" si="162"/>
        <v/>
      </c>
      <c r="BA522" s="264" t="s">
        <v>392</v>
      </c>
      <c r="BB522" s="264"/>
      <c r="BC522" s="264"/>
      <c r="BD522" s="264" t="s">
        <v>99</v>
      </c>
      <c r="BE522" s="216" t="s">
        <v>137</v>
      </c>
      <c r="BF522" s="303"/>
      <c r="BG522" s="303"/>
      <c r="BH522" s="303"/>
      <c r="BI522" s="303"/>
      <c r="BJ522" s="303"/>
      <c r="BK522" s="303"/>
      <c r="BL522" s="303"/>
      <c r="BM522" s="303"/>
      <c r="BN522" s="303"/>
      <c r="BO522" s="303"/>
      <c r="BP522" s="303"/>
      <c r="BQ522" s="5"/>
      <c r="BR522" s="25"/>
      <c r="BS522" s="5"/>
    </row>
    <row r="523" spans="1:71" s="3" customFormat="1" x14ac:dyDescent="0.25">
      <c r="A523" s="5"/>
      <c r="B523" s="3" t="str">
        <f t="array" ref="B523">IFERROR(INDEX(DemandSupply,MATCH(INDEX($AH$1:AH523,SMALL(ROW($AH$1:AH523)+(10000*($AH$1:AH523="")),COUNTA($AH$1:AH523))),Sectors,0)),"")</f>
        <v>Demand</v>
      </c>
      <c r="E523" s="10"/>
      <c r="F523" s="207"/>
      <c r="G523" s="207"/>
      <c r="H523" s="207"/>
      <c r="I523" s="207"/>
      <c r="J523" s="207"/>
      <c r="K523" s="207"/>
      <c r="L523" s="207"/>
      <c r="M523" s="207"/>
      <c r="N523" s="207"/>
      <c r="O523" s="207"/>
      <c r="P523" s="207"/>
      <c r="Q523" s="207"/>
      <c r="R523" s="207"/>
      <c r="S523" s="207"/>
      <c r="T523" s="207"/>
      <c r="U523" s="207"/>
      <c r="V523" s="207"/>
      <c r="W523" s="207"/>
      <c r="X523" s="207"/>
      <c r="Y523" s="207"/>
      <c r="Z523" s="207"/>
      <c r="AA523" s="207"/>
      <c r="AB523" s="207"/>
      <c r="AC523" s="5"/>
      <c r="AD523" s="63"/>
      <c r="AE523" s="64"/>
      <c r="AF523" s="64"/>
      <c r="AG523" s="212"/>
      <c r="AH523" s="64"/>
      <c r="AI523" s="64"/>
      <c r="AJ523" s="64"/>
      <c r="AK523" s="212"/>
      <c r="AL523" s="64"/>
      <c r="AM523" s="64"/>
      <c r="AN523" s="64"/>
      <c r="AO523" s="64"/>
      <c r="AP523" s="63"/>
      <c r="AQ523" s="64"/>
      <c r="AR523" s="63"/>
      <c r="AS523" s="64"/>
      <c r="AT523" s="63"/>
      <c r="AU523" s="64"/>
      <c r="AV523" s="63"/>
      <c r="AW523" s="64"/>
      <c r="AX523" s="63"/>
      <c r="AY523" s="5"/>
      <c r="AZ523" s="21" t="str">
        <f t="shared" si="162"/>
        <v/>
      </c>
      <c r="BA523" s="264" t="s">
        <v>391</v>
      </c>
      <c r="BB523" s="264"/>
      <c r="BC523" s="264"/>
      <c r="BD523" s="264" t="s">
        <v>99</v>
      </c>
      <c r="BE523" s="216" t="s">
        <v>137</v>
      </c>
      <c r="BF523" s="303"/>
      <c r="BG523" s="303"/>
      <c r="BH523" s="303"/>
      <c r="BI523" s="303"/>
      <c r="BJ523" s="303"/>
      <c r="BK523" s="303"/>
      <c r="BL523" s="303"/>
      <c r="BM523" s="303"/>
      <c r="BN523" s="303"/>
      <c r="BO523" s="303"/>
      <c r="BP523" s="303"/>
      <c r="BQ523" s="5"/>
      <c r="BR523" s="25"/>
      <c r="BS523" s="5"/>
    </row>
    <row r="524" spans="1:71" s="3" customFormat="1" x14ac:dyDescent="0.25">
      <c r="A524" s="5"/>
      <c r="B524" s="3" t="str">
        <f t="array" ref="B524">IFERROR(INDEX(DemandSupply,MATCH(INDEX($AH$1:AH524,SMALL(ROW($AH$1:AH524)+(10000*($AH$1:AH524="")),COUNTA($AH$1:AH524))),Sectors,0)),"")</f>
        <v>Demand</v>
      </c>
      <c r="E524" s="10"/>
      <c r="F524" s="207"/>
      <c r="G524" s="207"/>
      <c r="H524" s="207"/>
      <c r="I524" s="207"/>
      <c r="J524" s="207"/>
      <c r="K524" s="207"/>
      <c r="L524" s="207"/>
      <c r="M524" s="207"/>
      <c r="N524" s="207"/>
      <c r="O524" s="207"/>
      <c r="P524" s="207"/>
      <c r="Q524" s="207"/>
      <c r="R524" s="207"/>
      <c r="S524" s="207"/>
      <c r="T524" s="207"/>
      <c r="U524" s="207"/>
      <c r="V524" s="207"/>
      <c r="W524" s="207"/>
      <c r="X524" s="207"/>
      <c r="Y524" s="207"/>
      <c r="Z524" s="207"/>
      <c r="AA524" s="207"/>
      <c r="AB524" s="207"/>
      <c r="AC524" s="5"/>
      <c r="AD524" s="63"/>
      <c r="AE524" s="64"/>
      <c r="AF524" s="64"/>
      <c r="AG524" s="212"/>
      <c r="AH524" s="64"/>
      <c r="AI524" s="64"/>
      <c r="AJ524" s="64"/>
      <c r="AK524" s="212"/>
      <c r="AL524" s="64"/>
      <c r="AM524" s="64"/>
      <c r="AN524" s="64"/>
      <c r="AO524" s="64"/>
      <c r="AP524" s="63"/>
      <c r="AQ524" s="64"/>
      <c r="AR524" s="63"/>
      <c r="AS524" s="64"/>
      <c r="AT524" s="63"/>
      <c r="AU524" s="64"/>
      <c r="AV524" s="63"/>
      <c r="AW524" s="64"/>
      <c r="AX524" s="63"/>
      <c r="AY524" s="5"/>
      <c r="AZ524" s="21" t="str">
        <f t="shared" si="162"/>
        <v/>
      </c>
      <c r="BA524" s="264" t="s">
        <v>144</v>
      </c>
      <c r="BB524" s="264"/>
      <c r="BC524" s="264"/>
      <c r="BD524" s="264" t="s">
        <v>34</v>
      </c>
      <c r="BE524" s="216" t="s">
        <v>137</v>
      </c>
      <c r="BF524" s="56"/>
      <c r="BG524" s="56"/>
      <c r="BH524" s="56"/>
      <c r="BI524" s="56"/>
      <c r="BJ524" s="56"/>
      <c r="BK524" s="56"/>
      <c r="BL524" s="56"/>
      <c r="BM524" s="56"/>
      <c r="BN524" s="56"/>
      <c r="BO524" s="56"/>
      <c r="BP524" s="56"/>
      <c r="BQ524" s="5"/>
      <c r="BR524" s="25"/>
      <c r="BS524" s="5"/>
    </row>
    <row r="525" spans="1:71" s="3" customFormat="1" x14ac:dyDescent="0.25">
      <c r="A525" s="5"/>
      <c r="B525" s="3" t="str">
        <f t="array" ref="B525">IFERROR(INDEX(DemandSupply,MATCH(INDEX($AH$1:AH525,SMALL(ROW($AH$1:AH525)+(10000*($AH$1:AH525="")),COUNTA($AH$1:AH525))),Sectors,0)),"")</f>
        <v>Demand</v>
      </c>
      <c r="E525" s="10"/>
      <c r="F525" s="207"/>
      <c r="G525" s="207"/>
      <c r="H525" s="207"/>
      <c r="I525" s="207"/>
      <c r="J525" s="207"/>
      <c r="K525" s="207"/>
      <c r="L525" s="207"/>
      <c r="M525" s="207"/>
      <c r="N525" s="207"/>
      <c r="O525" s="207"/>
      <c r="P525" s="207"/>
      <c r="Q525" s="207"/>
      <c r="R525" s="207"/>
      <c r="S525" s="207"/>
      <c r="T525" s="207"/>
      <c r="U525" s="207"/>
      <c r="V525" s="207"/>
      <c r="W525" s="207"/>
      <c r="X525" s="207"/>
      <c r="Y525" s="207"/>
      <c r="Z525" s="207"/>
      <c r="AA525" s="207"/>
      <c r="AB525" s="207"/>
      <c r="AC525" s="5"/>
      <c r="AD525" s="63"/>
      <c r="AE525" s="64"/>
      <c r="AF525" s="64"/>
      <c r="AG525" s="212"/>
      <c r="AH525" s="64"/>
      <c r="AI525" s="64"/>
      <c r="AJ525" s="64"/>
      <c r="AK525" s="212"/>
      <c r="AL525" s="64"/>
      <c r="AM525" s="64"/>
      <c r="AN525" s="64"/>
      <c r="AO525" s="64"/>
      <c r="AP525" s="63"/>
      <c r="AQ525" s="64"/>
      <c r="AR525" s="63"/>
      <c r="AS525" s="64"/>
      <c r="AT525" s="63"/>
      <c r="AU525" s="64"/>
      <c r="AV525" s="63"/>
      <c r="AW525" s="64"/>
      <c r="AX525" s="63"/>
      <c r="AY525" s="5"/>
      <c r="AZ525" s="21" t="str">
        <f t="shared" si="162"/>
        <v/>
      </c>
      <c r="BA525" s="264" t="s">
        <v>76</v>
      </c>
      <c r="BB525" s="264"/>
      <c r="BC525" s="264"/>
      <c r="BD525" s="264" t="s">
        <v>99</v>
      </c>
      <c r="BE525" s="216" t="s">
        <v>137</v>
      </c>
      <c r="BF525" s="303">
        <v>0</v>
      </c>
      <c r="BG525" s="303"/>
      <c r="BH525" s="303"/>
      <c r="BI525" s="303"/>
      <c r="BJ525" s="303"/>
      <c r="BK525" s="303"/>
      <c r="BL525" s="303"/>
      <c r="BM525" s="303"/>
      <c r="BN525" s="303"/>
      <c r="BO525" s="303"/>
      <c r="BP525" s="303"/>
      <c r="BQ525" s="5"/>
      <c r="BR525" s="25"/>
      <c r="BS525" s="5"/>
    </row>
    <row r="526" spans="1:71" s="3" customFormat="1" x14ac:dyDescent="0.25">
      <c r="A526" s="5"/>
      <c r="B526" s="3" t="str">
        <f t="array" ref="B526">IFERROR(INDEX(DemandSupply,MATCH(INDEX($AH$1:AH526,SMALL(ROW($AH$1:AH526)+(10000*($AH$1:AH526="")),COUNTA($AH$1:AH526))),Sectors,0)),"")</f>
        <v>Demand</v>
      </c>
      <c r="E526" s="10"/>
      <c r="F526" s="207"/>
      <c r="G526" s="207"/>
      <c r="H526" s="207"/>
      <c r="I526" s="207"/>
      <c r="J526" s="207"/>
      <c r="K526" s="207"/>
      <c r="L526" s="207"/>
      <c r="M526" s="207"/>
      <c r="N526" s="207"/>
      <c r="O526" s="207"/>
      <c r="P526" s="207"/>
      <c r="Q526" s="207"/>
      <c r="R526" s="207"/>
      <c r="S526" s="207"/>
      <c r="T526" s="207"/>
      <c r="U526" s="207"/>
      <c r="V526" s="207"/>
      <c r="W526" s="207"/>
      <c r="X526" s="207"/>
      <c r="Y526" s="207"/>
      <c r="Z526" s="207"/>
      <c r="AA526" s="207"/>
      <c r="AB526" s="207"/>
      <c r="AC526" s="5"/>
      <c r="AD526" s="63"/>
      <c r="AE526" s="64"/>
      <c r="AF526" s="64"/>
      <c r="AG526" s="212"/>
      <c r="AH526" s="64"/>
      <c r="AI526" s="64"/>
      <c r="AJ526" s="64"/>
      <c r="AK526" s="212"/>
      <c r="AL526" s="64"/>
      <c r="AM526" s="64"/>
      <c r="AN526" s="64"/>
      <c r="AO526" s="64"/>
      <c r="AP526" s="63"/>
      <c r="AQ526" s="64"/>
      <c r="AR526" s="63"/>
      <c r="AS526" s="64"/>
      <c r="AT526" s="63"/>
      <c r="AU526" s="64"/>
      <c r="AV526" s="63"/>
      <c r="AW526" s="64"/>
      <c r="AX526" s="63"/>
      <c r="AY526" s="5"/>
      <c r="AZ526" s="21" t="str">
        <f t="shared" si="162"/>
        <v/>
      </c>
      <c r="BA526" s="75" t="s">
        <v>166</v>
      </c>
      <c r="BB526" s="75"/>
      <c r="BC526" s="270"/>
      <c r="BD526" s="75" t="s">
        <v>99</v>
      </c>
      <c r="BE526" s="216" t="s">
        <v>137</v>
      </c>
      <c r="BF526" s="303"/>
      <c r="BG526" s="303"/>
      <c r="BH526" s="303"/>
      <c r="BI526" s="303"/>
      <c r="BJ526" s="303"/>
      <c r="BK526" s="303"/>
      <c r="BL526" s="303"/>
      <c r="BM526" s="303"/>
      <c r="BN526" s="303"/>
      <c r="BO526" s="303"/>
      <c r="BP526" s="303"/>
      <c r="BQ526" s="5"/>
      <c r="BR526" s="25"/>
      <c r="BS526" s="5"/>
    </row>
    <row r="527" spans="1:71" s="3" customFormat="1" x14ac:dyDescent="0.25">
      <c r="A527" s="5"/>
      <c r="B527" s="3" t="str">
        <f t="array" ref="B527">IFERROR(INDEX(DemandSupply,MATCH(INDEX($AH$1:AH527,SMALL(ROW($AH$1:AH527)+(10000*($AH$1:AH527="")),COUNTA($AH$1:AH527))),Sectors,0)),"")</f>
        <v>Demand</v>
      </c>
      <c r="E527" s="10"/>
      <c r="F527" s="207"/>
      <c r="G527" s="207"/>
      <c r="H527" s="207"/>
      <c r="I527" s="207"/>
      <c r="J527" s="207"/>
      <c r="K527" s="207"/>
      <c r="L527" s="207"/>
      <c r="M527" s="207"/>
      <c r="N527" s="207"/>
      <c r="O527" s="207"/>
      <c r="P527" s="207"/>
      <c r="Q527" s="207"/>
      <c r="R527" s="207"/>
      <c r="S527" s="207"/>
      <c r="T527" s="207"/>
      <c r="U527" s="207"/>
      <c r="V527" s="207"/>
      <c r="W527" s="207"/>
      <c r="X527" s="207"/>
      <c r="Y527" s="207"/>
      <c r="Z527" s="207"/>
      <c r="AA527" s="207"/>
      <c r="AB527" s="207"/>
      <c r="AC527" s="5"/>
      <c r="AD527" s="63"/>
      <c r="AE527" s="64"/>
      <c r="AF527" s="64"/>
      <c r="AG527" s="212"/>
      <c r="AH527" s="64"/>
      <c r="AI527" s="64"/>
      <c r="AJ527" s="64"/>
      <c r="AK527" s="212"/>
      <c r="AL527" s="64"/>
      <c r="AM527" s="64"/>
      <c r="AN527" s="64"/>
      <c r="AO527" s="64"/>
      <c r="AP527" s="63"/>
      <c r="AQ527" s="64"/>
      <c r="AR527" s="63"/>
      <c r="AS527" s="64"/>
      <c r="AT527" s="63"/>
      <c r="AU527" s="64"/>
      <c r="AV527" s="63"/>
      <c r="AW527" s="64"/>
      <c r="AX527" s="63"/>
      <c r="AY527" s="5"/>
      <c r="AZ527" s="21" t="str">
        <f t="shared" si="162"/>
        <v/>
      </c>
      <c r="BA527" s="75" t="s">
        <v>167</v>
      </c>
      <c r="BB527" s="75"/>
      <c r="BC527" s="270"/>
      <c r="BD527" s="75" t="s">
        <v>99</v>
      </c>
      <c r="BE527" s="216" t="s">
        <v>137</v>
      </c>
      <c r="BF527" s="303"/>
      <c r="BG527" s="303"/>
      <c r="BH527" s="303"/>
      <c r="BI527" s="303"/>
      <c r="BJ527" s="303"/>
      <c r="BK527" s="303"/>
      <c r="BL527" s="303"/>
      <c r="BM527" s="303"/>
      <c r="BN527" s="303"/>
      <c r="BO527" s="303"/>
      <c r="BP527" s="303"/>
      <c r="BQ527" s="5"/>
      <c r="BR527" s="25"/>
      <c r="BS527" s="5"/>
    </row>
    <row r="528" spans="1:71" s="3" customFormat="1" x14ac:dyDescent="0.25">
      <c r="A528" s="5"/>
      <c r="B528" s="3" t="str">
        <f t="array" ref="B528">IFERROR(INDEX(DemandSupply,MATCH(INDEX($AH$1:AH528,SMALL(ROW($AH$1:AH528)+(10000*($AH$1:AH528="")),COUNTA($AH$1:AH528))),Sectors,0)),"")</f>
        <v>Demand</v>
      </c>
      <c r="E528" s="10"/>
      <c r="F528" s="207"/>
      <c r="G528" s="207"/>
      <c r="H528" s="207"/>
      <c r="I528" s="207"/>
      <c r="J528" s="207"/>
      <c r="K528" s="207"/>
      <c r="L528" s="207"/>
      <c r="M528" s="207"/>
      <c r="N528" s="207"/>
      <c r="O528" s="207"/>
      <c r="P528" s="207"/>
      <c r="Q528" s="207"/>
      <c r="R528" s="207"/>
      <c r="S528" s="207"/>
      <c r="T528" s="207"/>
      <c r="U528" s="207"/>
      <c r="V528" s="207"/>
      <c r="W528" s="207"/>
      <c r="X528" s="207"/>
      <c r="Y528" s="207"/>
      <c r="Z528" s="207"/>
      <c r="AA528" s="207"/>
      <c r="AB528" s="207"/>
      <c r="AC528" s="5"/>
      <c r="AD528" s="63"/>
      <c r="AE528" s="64"/>
      <c r="AF528" s="64"/>
      <c r="AG528" s="212"/>
      <c r="AH528" s="64"/>
      <c r="AI528" s="64"/>
      <c r="AJ528" s="64"/>
      <c r="AK528" s="212"/>
      <c r="AL528" s="64"/>
      <c r="AM528" s="64"/>
      <c r="AN528" s="64"/>
      <c r="AO528" s="64"/>
      <c r="AP528" s="63"/>
      <c r="AQ528" s="64"/>
      <c r="AR528" s="63"/>
      <c r="AS528" s="64"/>
      <c r="AT528" s="63"/>
      <c r="AU528" s="64"/>
      <c r="AV528" s="63"/>
      <c r="AW528" s="64"/>
      <c r="AX528" s="63"/>
      <c r="AY528" s="5"/>
      <c r="AZ528" s="21" t="str">
        <f t="shared" si="162"/>
        <v/>
      </c>
      <c r="BA528" s="75" t="s">
        <v>408</v>
      </c>
      <c r="BB528" s="75"/>
      <c r="BC528" s="270"/>
      <c r="BD528" s="75" t="s">
        <v>99</v>
      </c>
      <c r="BE528" s="216" t="s">
        <v>137</v>
      </c>
      <c r="BF528" s="303"/>
      <c r="BG528" s="303"/>
      <c r="BH528" s="303"/>
      <c r="BI528" s="303"/>
      <c r="BJ528" s="303"/>
      <c r="BK528" s="303"/>
      <c r="BL528" s="303"/>
      <c r="BM528" s="303"/>
      <c r="BN528" s="303"/>
      <c r="BO528" s="303"/>
      <c r="BP528" s="303"/>
      <c r="BQ528" s="5"/>
      <c r="BR528" s="25"/>
      <c r="BS528" s="5"/>
    </row>
    <row r="529" spans="1:71" s="3" customFormat="1" x14ac:dyDescent="0.25">
      <c r="A529" s="5"/>
      <c r="B529" s="3" t="str">
        <f t="array" ref="B529">IFERROR(INDEX(DemandSupply,MATCH(INDEX($AH$1:AH529,SMALL(ROW($AH$1:AH529)+(10000*($AH$1:AH529="")),COUNTA($AH$1:AH529))),Sectors,0)),"")</f>
        <v>Demand</v>
      </c>
      <c r="E529" s="10"/>
      <c r="F529" s="207"/>
      <c r="G529" s="207"/>
      <c r="H529" s="207"/>
      <c r="I529" s="207"/>
      <c r="J529" s="207"/>
      <c r="K529" s="207"/>
      <c r="L529" s="207"/>
      <c r="M529" s="207"/>
      <c r="N529" s="207"/>
      <c r="O529" s="207"/>
      <c r="P529" s="207"/>
      <c r="Q529" s="207"/>
      <c r="R529" s="207"/>
      <c r="S529" s="207"/>
      <c r="T529" s="207"/>
      <c r="U529" s="207"/>
      <c r="V529" s="207"/>
      <c r="W529" s="207"/>
      <c r="X529" s="207"/>
      <c r="Y529" s="207"/>
      <c r="Z529" s="207"/>
      <c r="AA529" s="207"/>
      <c r="AB529" s="207"/>
      <c r="AC529" s="5"/>
      <c r="AD529" s="63"/>
      <c r="AE529" s="64"/>
      <c r="AF529" s="64"/>
      <c r="AG529" s="212"/>
      <c r="AH529" s="64"/>
      <c r="AI529" s="64"/>
      <c r="AJ529" s="64"/>
      <c r="AK529" s="212"/>
      <c r="AL529" s="64"/>
      <c r="AM529" s="64"/>
      <c r="AN529" s="64"/>
      <c r="AO529" s="64"/>
      <c r="AP529" s="63"/>
      <c r="AQ529" s="64"/>
      <c r="AR529" s="63"/>
      <c r="AS529" s="64"/>
      <c r="AT529" s="63"/>
      <c r="AU529" s="64"/>
      <c r="AV529" s="63"/>
      <c r="AW529" s="64"/>
      <c r="AX529" s="63"/>
      <c r="AY529" s="5"/>
      <c r="AZ529" s="21" t="str">
        <f t="shared" si="162"/>
        <v/>
      </c>
      <c r="BA529" s="75" t="s">
        <v>409</v>
      </c>
      <c r="BB529" s="75"/>
      <c r="BC529" s="270"/>
      <c r="BD529" s="75" t="s">
        <v>99</v>
      </c>
      <c r="BE529" s="216" t="s">
        <v>137</v>
      </c>
      <c r="BF529" s="303"/>
      <c r="BG529" s="303"/>
      <c r="BH529" s="303"/>
      <c r="BI529" s="303"/>
      <c r="BJ529" s="303"/>
      <c r="BK529" s="303"/>
      <c r="BL529" s="303"/>
      <c r="BM529" s="303"/>
      <c r="BN529" s="303"/>
      <c r="BO529" s="303"/>
      <c r="BP529" s="303"/>
      <c r="BQ529" s="5"/>
      <c r="BR529" s="25"/>
      <c r="BS529" s="5"/>
    </row>
    <row r="530" spans="1:71" s="3" customFormat="1" x14ac:dyDescent="0.25">
      <c r="A530" s="5"/>
      <c r="B530" s="3" t="str">
        <f t="array" ref="B530">IFERROR(INDEX(DemandSupply,MATCH(INDEX($AH$1:AH530,SMALL(ROW($AH$1:AH530)+(10000*($AH$1:AH530="")),COUNTA($AH$1:AH530))),Sectors,0)),"")</f>
        <v>Demand</v>
      </c>
      <c r="E530" s="10"/>
      <c r="F530" s="207"/>
      <c r="G530" s="207"/>
      <c r="H530" s="207"/>
      <c r="I530" s="207"/>
      <c r="J530" s="207"/>
      <c r="K530" s="207"/>
      <c r="L530" s="207"/>
      <c r="M530" s="207"/>
      <c r="N530" s="207"/>
      <c r="O530" s="207"/>
      <c r="P530" s="207"/>
      <c r="Q530" s="207"/>
      <c r="R530" s="207"/>
      <c r="S530" s="207"/>
      <c r="T530" s="207"/>
      <c r="U530" s="207"/>
      <c r="V530" s="207"/>
      <c r="W530" s="207"/>
      <c r="X530" s="207"/>
      <c r="Y530" s="207"/>
      <c r="Z530" s="207"/>
      <c r="AA530" s="207"/>
      <c r="AB530" s="207"/>
      <c r="AC530" s="5"/>
      <c r="AD530" s="63"/>
      <c r="AE530" s="64"/>
      <c r="AF530" s="64"/>
      <c r="AG530" s="212"/>
      <c r="AH530" s="64"/>
      <c r="AI530" s="64"/>
      <c r="AJ530" s="64"/>
      <c r="AK530" s="212"/>
      <c r="AL530" s="64"/>
      <c r="AM530" s="64"/>
      <c r="AN530" s="64"/>
      <c r="AO530" s="64"/>
      <c r="AP530" s="63"/>
      <c r="AQ530" s="64"/>
      <c r="AR530" s="63"/>
      <c r="AS530" s="64"/>
      <c r="AT530" s="63"/>
      <c r="AU530" s="64"/>
      <c r="AV530" s="63"/>
      <c r="AW530" s="64"/>
      <c r="AX530" s="63"/>
      <c r="AY530" s="5"/>
      <c r="AZ530" s="21" t="str">
        <f t="shared" si="162"/>
        <v/>
      </c>
      <c r="BA530" s="264" t="s">
        <v>371</v>
      </c>
      <c r="BB530" s="264"/>
      <c r="BC530" s="264"/>
      <c r="BD530" s="264" t="s">
        <v>34</v>
      </c>
      <c r="BE530" s="216" t="s">
        <v>137</v>
      </c>
      <c r="BF530" s="56">
        <v>68.62</v>
      </c>
      <c r="BG530" s="282">
        <f t="shared" ref="BG530:BG531" si="218">BF530</f>
        <v>68.62</v>
      </c>
      <c r="BH530" s="282">
        <f t="shared" ref="BH530:BH531" si="219">BG530</f>
        <v>68.62</v>
      </c>
      <c r="BI530" s="282">
        <f t="shared" ref="BI530:BI531" si="220">BH530</f>
        <v>68.62</v>
      </c>
      <c r="BJ530" s="282">
        <f t="shared" ref="BJ530:BJ531" si="221">BI530</f>
        <v>68.62</v>
      </c>
      <c r="BK530" s="282">
        <f t="shared" ref="BK530:BK531" si="222">BJ530</f>
        <v>68.62</v>
      </c>
      <c r="BL530" s="282">
        <f t="shared" ref="BL530:BL531" si="223">BK530</f>
        <v>68.62</v>
      </c>
      <c r="BM530" s="282">
        <f t="shared" ref="BM530:BM531" si="224">BL530</f>
        <v>68.62</v>
      </c>
      <c r="BN530" s="282">
        <f t="shared" ref="BN530:BN531" si="225">BM530</f>
        <v>68.62</v>
      </c>
      <c r="BO530" s="282">
        <f t="shared" ref="BO530:BO531" si="226">BN530</f>
        <v>68.62</v>
      </c>
      <c r="BP530" s="282">
        <f t="shared" ref="BP530:BP531" si="227">BO530</f>
        <v>68.62</v>
      </c>
      <c r="BQ530" s="5"/>
      <c r="BR530" s="25"/>
      <c r="BS530" s="5"/>
    </row>
    <row r="531" spans="1:71" s="3" customFormat="1" x14ac:dyDescent="0.25">
      <c r="A531" s="5"/>
      <c r="B531" s="3" t="str">
        <f t="array" ref="B531">IFERROR(INDEX(DemandSupply,MATCH(INDEX($AH$1:AH531,SMALL(ROW($AH$1:AH531)+(10000*($AH$1:AH531="")),COUNTA($AH$1:AH531))),Sectors,0)),"")</f>
        <v>Demand</v>
      </c>
      <c r="E531" s="10"/>
      <c r="F531" s="207"/>
      <c r="G531" s="207"/>
      <c r="H531" s="207"/>
      <c r="I531" s="207"/>
      <c r="J531" s="207"/>
      <c r="K531" s="207"/>
      <c r="L531" s="207"/>
      <c r="M531" s="207"/>
      <c r="N531" s="207"/>
      <c r="O531" s="207"/>
      <c r="P531" s="207"/>
      <c r="Q531" s="207"/>
      <c r="R531" s="207"/>
      <c r="S531" s="207"/>
      <c r="T531" s="207"/>
      <c r="U531" s="207"/>
      <c r="V531" s="207"/>
      <c r="W531" s="207"/>
      <c r="X531" s="207"/>
      <c r="Y531" s="207"/>
      <c r="Z531" s="207"/>
      <c r="AA531" s="207"/>
      <c r="AB531" s="207"/>
      <c r="AC531" s="5"/>
      <c r="AD531" s="63"/>
      <c r="AE531" s="64"/>
      <c r="AF531" s="64"/>
      <c r="AG531" s="212"/>
      <c r="AH531" s="64"/>
      <c r="AI531" s="64"/>
      <c r="AJ531" s="64"/>
      <c r="AK531" s="212"/>
      <c r="AL531" s="64"/>
      <c r="AM531" s="64"/>
      <c r="AN531" s="64"/>
      <c r="AO531" s="64"/>
      <c r="AP531" s="63"/>
      <c r="AQ531" s="64"/>
      <c r="AR531" s="63"/>
      <c r="AS531" s="64"/>
      <c r="AT531" s="63"/>
      <c r="AU531" s="64"/>
      <c r="AV531" s="63"/>
      <c r="AW531" s="64"/>
      <c r="AX531" s="63"/>
      <c r="AY531" s="5"/>
      <c r="AZ531" s="21" t="str">
        <f t="shared" si="162"/>
        <v/>
      </c>
      <c r="BA531" s="264" t="s">
        <v>170</v>
      </c>
      <c r="BB531" s="264"/>
      <c r="BC531" s="264"/>
      <c r="BD531" s="264" t="s">
        <v>354</v>
      </c>
      <c r="BE531" s="216" t="s">
        <v>137</v>
      </c>
      <c r="BF531" s="56">
        <v>592.51900000000001</v>
      </c>
      <c r="BG531" s="282">
        <f t="shared" si="218"/>
        <v>592.51900000000001</v>
      </c>
      <c r="BH531" s="282">
        <f t="shared" si="219"/>
        <v>592.51900000000001</v>
      </c>
      <c r="BI531" s="282">
        <f t="shared" si="220"/>
        <v>592.51900000000001</v>
      </c>
      <c r="BJ531" s="282">
        <f t="shared" si="221"/>
        <v>592.51900000000001</v>
      </c>
      <c r="BK531" s="282">
        <f t="shared" si="222"/>
        <v>592.51900000000001</v>
      </c>
      <c r="BL531" s="282">
        <f t="shared" si="223"/>
        <v>592.51900000000001</v>
      </c>
      <c r="BM531" s="282">
        <f t="shared" si="224"/>
        <v>592.51900000000001</v>
      </c>
      <c r="BN531" s="282">
        <f t="shared" si="225"/>
        <v>592.51900000000001</v>
      </c>
      <c r="BO531" s="282">
        <f t="shared" si="226"/>
        <v>592.51900000000001</v>
      </c>
      <c r="BP531" s="282">
        <f t="shared" si="227"/>
        <v>592.51900000000001</v>
      </c>
      <c r="BQ531" s="5"/>
      <c r="BR531" s="25"/>
      <c r="BS531" s="5"/>
    </row>
    <row r="532" spans="1:71" s="3" customFormat="1" x14ac:dyDescent="0.25">
      <c r="A532" s="5"/>
      <c r="B532" s="3" t="str">
        <f t="array" ref="B532">IFERROR(INDEX(DemandSupply,MATCH(INDEX($AH$1:AH532,SMALL(ROW($AH$1:AH532)+(10000*($AH$1:AH532="")),COUNTA($AH$1:AH532))),Sectors,0)),"")</f>
        <v>Demand</v>
      </c>
      <c r="E532" s="10"/>
      <c r="F532" s="207"/>
      <c r="G532" s="207"/>
      <c r="H532" s="207"/>
      <c r="I532" s="207"/>
      <c r="J532" s="207"/>
      <c r="K532" s="207"/>
      <c r="L532" s="207"/>
      <c r="M532" s="207"/>
      <c r="N532" s="207"/>
      <c r="O532" s="207"/>
      <c r="P532" s="207"/>
      <c r="Q532" s="207"/>
      <c r="R532" s="207"/>
      <c r="S532" s="207"/>
      <c r="T532" s="207"/>
      <c r="U532" s="207"/>
      <c r="V532" s="207"/>
      <c r="W532" s="207"/>
      <c r="X532" s="207"/>
      <c r="Y532" s="207"/>
      <c r="Z532" s="207"/>
      <c r="AA532" s="207"/>
      <c r="AB532" s="207"/>
      <c r="AC532" s="5"/>
      <c r="AD532" s="63"/>
      <c r="AE532" s="64"/>
      <c r="AF532" s="64"/>
      <c r="AG532" s="212"/>
      <c r="AH532" s="64"/>
      <c r="AI532" s="64"/>
      <c r="AJ532" s="64"/>
      <c r="AK532" s="212"/>
      <c r="AL532" s="64"/>
      <c r="AM532" s="64"/>
      <c r="AN532" s="64"/>
      <c r="AO532" s="64"/>
      <c r="AP532" s="63"/>
      <c r="AQ532" s="64"/>
      <c r="AR532" s="63"/>
      <c r="AS532" s="64"/>
      <c r="AT532" s="63"/>
      <c r="AU532" s="64"/>
      <c r="AV532" s="63"/>
      <c r="AW532" s="64"/>
      <c r="AX532" s="63"/>
      <c r="AY532" s="5"/>
      <c r="AZ532" s="21" t="str">
        <f t="shared" si="162"/>
        <v/>
      </c>
      <c r="BA532" s="264" t="s">
        <v>425</v>
      </c>
      <c r="BB532" s="264"/>
      <c r="BC532" s="264"/>
      <c r="BD532" s="264" t="s">
        <v>99</v>
      </c>
      <c r="BE532" s="216" t="s">
        <v>137</v>
      </c>
      <c r="BF532" s="303"/>
      <c r="BG532" s="303"/>
      <c r="BH532" s="303"/>
      <c r="BI532" s="303"/>
      <c r="BJ532" s="303"/>
      <c r="BK532" s="303"/>
      <c r="BL532" s="303"/>
      <c r="BM532" s="303"/>
      <c r="BN532" s="303"/>
      <c r="BO532" s="303"/>
      <c r="BP532" s="303"/>
      <c r="BQ532" s="5"/>
      <c r="BR532" s="25"/>
      <c r="BS532" s="5"/>
    </row>
    <row r="533" spans="1:71" s="3" customFormat="1" x14ac:dyDescent="0.25">
      <c r="A533" s="5"/>
      <c r="B533" s="3" t="str">
        <f t="array" ref="B533">IFERROR(INDEX(DemandSupply,MATCH(INDEX($AH$1:AH533,SMALL(ROW($AH$1:AH533)+(10000*($AH$1:AH533="")),COUNTA($AH$1:AH533))),Sectors,0)),"")</f>
        <v>Demand</v>
      </c>
      <c r="E533" s="10"/>
      <c r="F533" s="207"/>
      <c r="G533" s="207"/>
      <c r="H533" s="207"/>
      <c r="I533" s="207"/>
      <c r="J533" s="207"/>
      <c r="K533" s="207"/>
      <c r="L533" s="207"/>
      <c r="M533" s="207"/>
      <c r="N533" s="207"/>
      <c r="O533" s="207"/>
      <c r="P533" s="207"/>
      <c r="Q533" s="207"/>
      <c r="R533" s="207"/>
      <c r="S533" s="207"/>
      <c r="T533" s="207"/>
      <c r="U533" s="207"/>
      <c r="V533" s="207"/>
      <c r="W533" s="207"/>
      <c r="X533" s="207"/>
      <c r="Y533" s="207"/>
      <c r="Z533" s="207"/>
      <c r="AA533" s="207"/>
      <c r="AB533" s="207"/>
      <c r="AC533" s="5"/>
      <c r="AD533" s="63"/>
      <c r="AE533" s="64"/>
      <c r="AF533" s="64"/>
      <c r="AG533" s="212"/>
      <c r="AH533" s="64"/>
      <c r="AI533" s="64"/>
      <c r="AJ533" s="64"/>
      <c r="AK533" s="212"/>
      <c r="AL533" s="64"/>
      <c r="AM533" s="64"/>
      <c r="AN533" s="64"/>
      <c r="AO533" s="64"/>
      <c r="AP533" s="63"/>
      <c r="AQ533" s="64"/>
      <c r="AR533" s="63"/>
      <c r="AS533" s="64"/>
      <c r="AT533" s="63"/>
      <c r="AU533" s="64"/>
      <c r="AV533" s="63"/>
      <c r="AW533" s="64"/>
      <c r="AX533" s="63"/>
      <c r="AY533" s="5"/>
      <c r="AZ533" s="21" t="str">
        <f t="shared" si="162"/>
        <v/>
      </c>
      <c r="BA533" s="264" t="s">
        <v>438</v>
      </c>
      <c r="BB533" s="264"/>
      <c r="BC533" s="264"/>
      <c r="BD533" s="264" t="s">
        <v>34</v>
      </c>
      <c r="BE533" s="216" t="s">
        <v>137</v>
      </c>
      <c r="BF533" s="56"/>
      <c r="BG533" s="56"/>
      <c r="BH533" s="56"/>
      <c r="BI533" s="56"/>
      <c r="BJ533" s="56"/>
      <c r="BK533" s="56"/>
      <c r="BL533" s="56"/>
      <c r="BM533" s="56"/>
      <c r="BN533" s="56"/>
      <c r="BO533" s="56"/>
      <c r="BP533" s="56"/>
      <c r="BQ533" s="5"/>
      <c r="BR533" s="25"/>
      <c r="BS533" s="5"/>
    </row>
    <row r="534" spans="1:71" s="3" customFormat="1" x14ac:dyDescent="0.25">
      <c r="A534" s="5"/>
      <c r="B534" s="3" t="str">
        <f t="array" ref="B534">IFERROR(INDEX(DemandSupply,MATCH(INDEX($AH$1:AH534,SMALL(ROW($AH$1:AH534)+(10000*($AH$1:AH534="")),COUNTA($AH$1:AH534))),Sectors,0)),"")</f>
        <v>Demand</v>
      </c>
      <c r="E534" s="10"/>
      <c r="F534" s="207"/>
      <c r="G534" s="207"/>
      <c r="H534" s="207"/>
      <c r="I534" s="207"/>
      <c r="J534" s="207"/>
      <c r="K534" s="207"/>
      <c r="L534" s="207"/>
      <c r="M534" s="207"/>
      <c r="N534" s="207"/>
      <c r="O534" s="207"/>
      <c r="P534" s="207"/>
      <c r="Q534" s="207"/>
      <c r="R534" s="207"/>
      <c r="S534" s="207"/>
      <c r="T534" s="207"/>
      <c r="U534" s="207"/>
      <c r="V534" s="207"/>
      <c r="W534" s="207"/>
      <c r="X534" s="207"/>
      <c r="Y534" s="207"/>
      <c r="Z534" s="207"/>
      <c r="AA534" s="207"/>
      <c r="AB534" s="207"/>
      <c r="AC534" s="5"/>
      <c r="AD534" s="63"/>
      <c r="AE534" s="64"/>
      <c r="AF534" s="64"/>
      <c r="AG534" s="212"/>
      <c r="AH534" s="64"/>
      <c r="AI534" s="64"/>
      <c r="AJ534" s="64"/>
      <c r="AK534" s="212"/>
      <c r="AL534" s="64"/>
      <c r="AM534" s="64"/>
      <c r="AN534" s="64"/>
      <c r="AO534" s="64"/>
      <c r="AP534" s="63"/>
      <c r="AQ534" s="64"/>
      <c r="AR534" s="63"/>
      <c r="AS534" s="64"/>
      <c r="AT534" s="63"/>
      <c r="AU534" s="64"/>
      <c r="AV534" s="63"/>
      <c r="AW534" s="64"/>
      <c r="AX534" s="63"/>
      <c r="AY534" s="5"/>
      <c r="AZ534" s="21" t="str">
        <f t="shared" si="162"/>
        <v/>
      </c>
      <c r="BA534" s="264" t="s">
        <v>435</v>
      </c>
      <c r="BB534" s="264"/>
      <c r="BC534" s="264"/>
      <c r="BD534" s="264"/>
      <c r="BE534" s="216" t="s">
        <v>137</v>
      </c>
      <c r="BF534" s="55"/>
      <c r="BG534" s="55"/>
      <c r="BH534" s="55"/>
      <c r="BI534" s="55"/>
      <c r="BJ534" s="55"/>
      <c r="BK534" s="55"/>
      <c r="BL534" s="55"/>
      <c r="BM534" s="55"/>
      <c r="BN534" s="55"/>
      <c r="BO534" s="55"/>
      <c r="BP534" s="55"/>
      <c r="BQ534" s="5"/>
      <c r="BR534" s="25"/>
      <c r="BS534" s="5"/>
    </row>
    <row r="535" spans="1:71" s="3" customFormat="1" x14ac:dyDescent="0.25">
      <c r="A535" s="5"/>
      <c r="B535" s="3" t="str">
        <f t="array" ref="B535">IFERROR(INDEX(DemandSupply,MATCH(INDEX($AH$1:AH535,SMALL(ROW($AH$1:AH535)+(10000*($AH$1:AH535="")),COUNTA($AH$1:AH535))),Sectors,0)),"")</f>
        <v>Demand</v>
      </c>
      <c r="E535" s="10"/>
      <c r="F535" s="207"/>
      <c r="G535" s="207"/>
      <c r="H535" s="207"/>
      <c r="I535" s="207"/>
      <c r="J535" s="207"/>
      <c r="K535" s="207"/>
      <c r="L535" s="207"/>
      <c r="M535" s="207"/>
      <c r="N535" s="207"/>
      <c r="O535" s="207"/>
      <c r="P535" s="207"/>
      <c r="Q535" s="207"/>
      <c r="R535" s="207"/>
      <c r="S535" s="207"/>
      <c r="T535" s="207"/>
      <c r="U535" s="207"/>
      <c r="V535" s="207"/>
      <c r="W535" s="207"/>
      <c r="X535" s="207"/>
      <c r="Y535" s="207"/>
      <c r="Z535" s="207"/>
      <c r="AA535" s="207"/>
      <c r="AB535" s="207"/>
      <c r="AC535" s="5"/>
      <c r="AD535" s="63"/>
      <c r="AE535" s="64"/>
      <c r="AF535" s="64"/>
      <c r="AG535" s="212"/>
      <c r="AH535" s="64"/>
      <c r="AI535" s="64"/>
      <c r="AJ535" s="64"/>
      <c r="AK535" s="212"/>
      <c r="AL535" s="64"/>
      <c r="AM535" s="64"/>
      <c r="AN535" s="64"/>
      <c r="AO535" s="64"/>
      <c r="AP535" s="63"/>
      <c r="AQ535" s="64"/>
      <c r="AR535" s="63"/>
      <c r="AS535" s="64"/>
      <c r="AT535" s="63"/>
      <c r="AU535" s="64"/>
      <c r="AV535" s="63"/>
      <c r="AW535" s="64"/>
      <c r="AX535" s="63"/>
      <c r="AY535" s="5"/>
      <c r="AZ535" s="21" t="str">
        <f t="shared" si="162"/>
        <v/>
      </c>
      <c r="BA535" s="264" t="s">
        <v>407</v>
      </c>
      <c r="BB535" s="264"/>
      <c r="BC535" s="264"/>
      <c r="BD535" s="264" t="s">
        <v>99</v>
      </c>
      <c r="BE535" s="216" t="s">
        <v>137</v>
      </c>
      <c r="BF535" s="303"/>
      <c r="BG535" s="303"/>
      <c r="BH535" s="303"/>
      <c r="BI535" s="303"/>
      <c r="BJ535" s="303"/>
      <c r="BK535" s="303"/>
      <c r="BL535" s="303"/>
      <c r="BM535" s="303"/>
      <c r="BN535" s="303"/>
      <c r="BO535" s="303"/>
      <c r="BP535" s="303"/>
      <c r="BQ535" s="5"/>
      <c r="BR535" s="25"/>
      <c r="BS535" s="5"/>
    </row>
    <row r="536" spans="1:71" s="3" customFormat="1" x14ac:dyDescent="0.25">
      <c r="A536" s="5"/>
      <c r="B536" s="3" t="str">
        <f t="array" ref="B536">IFERROR(INDEX(DemandSupply,MATCH(INDEX($AH$1:AH536,SMALL(ROW($AH$1:AH536)+(10000*($AH$1:AH536="")),COUNTA($AH$1:AH536))),Sectors,0)),"")</f>
        <v>Demand</v>
      </c>
      <c r="E536" s="10"/>
      <c r="F536" s="207"/>
      <c r="G536" s="207"/>
      <c r="H536" s="207"/>
      <c r="I536" s="207"/>
      <c r="J536" s="207"/>
      <c r="K536" s="207"/>
      <c r="L536" s="207"/>
      <c r="M536" s="207"/>
      <c r="N536" s="207"/>
      <c r="O536" s="207"/>
      <c r="P536" s="207"/>
      <c r="Q536" s="207"/>
      <c r="R536" s="207"/>
      <c r="S536" s="207"/>
      <c r="T536" s="207"/>
      <c r="U536" s="207"/>
      <c r="V536" s="207"/>
      <c r="W536" s="207"/>
      <c r="X536" s="207"/>
      <c r="Y536" s="207"/>
      <c r="Z536" s="207"/>
      <c r="AA536" s="207"/>
      <c r="AB536" s="207"/>
      <c r="AC536" s="5"/>
      <c r="AD536" s="63"/>
      <c r="AE536" s="64"/>
      <c r="AF536" s="64"/>
      <c r="AG536" s="212"/>
      <c r="AH536" s="64"/>
      <c r="AI536" s="64"/>
      <c r="AJ536" s="64"/>
      <c r="AK536" s="212"/>
      <c r="AL536" s="64"/>
      <c r="AM536" s="64"/>
      <c r="AN536" s="64"/>
      <c r="AO536" s="64"/>
      <c r="AP536" s="63"/>
      <c r="AQ536" s="64"/>
      <c r="AR536" s="63"/>
      <c r="AS536" s="64"/>
      <c r="AT536" s="63"/>
      <c r="AU536" s="64"/>
      <c r="AV536" s="63"/>
      <c r="AW536" s="64"/>
      <c r="AX536" s="63"/>
      <c r="AY536" s="5"/>
      <c r="AZ536" s="21" t="str">
        <f t="shared" si="162"/>
        <v/>
      </c>
      <c r="BA536" s="264" t="s">
        <v>444</v>
      </c>
      <c r="BB536" s="264"/>
      <c r="BC536" s="264"/>
      <c r="BD536" s="264" t="s">
        <v>354</v>
      </c>
      <c r="BE536" s="216" t="s">
        <v>137</v>
      </c>
      <c r="BF536" s="56">
        <v>244.33799999999999</v>
      </c>
      <c r="BG536" s="282">
        <f t="shared" ref="BG536" si="228">BF536</f>
        <v>244.33799999999999</v>
      </c>
      <c r="BH536" s="282">
        <f t="shared" ref="BH536" si="229">BG536</f>
        <v>244.33799999999999</v>
      </c>
      <c r="BI536" s="282">
        <f t="shared" ref="BI536" si="230">BH536</f>
        <v>244.33799999999999</v>
      </c>
      <c r="BJ536" s="282">
        <f t="shared" ref="BJ536" si="231">BI536</f>
        <v>244.33799999999999</v>
      </c>
      <c r="BK536" s="282">
        <f t="shared" ref="BK536" si="232">BJ536</f>
        <v>244.33799999999999</v>
      </c>
      <c r="BL536" s="282">
        <f t="shared" ref="BL536" si="233">BK536</f>
        <v>244.33799999999999</v>
      </c>
      <c r="BM536" s="282">
        <f t="shared" ref="BM536" si="234">BL536</f>
        <v>244.33799999999999</v>
      </c>
      <c r="BN536" s="282">
        <f t="shared" ref="BN536" si="235">BM536</f>
        <v>244.33799999999999</v>
      </c>
      <c r="BO536" s="282">
        <f t="shared" ref="BO536" si="236">BN536</f>
        <v>244.33799999999999</v>
      </c>
      <c r="BP536" s="282">
        <f t="shared" ref="BP536" si="237">BO536</f>
        <v>244.33799999999999</v>
      </c>
      <c r="BQ536" s="5"/>
      <c r="BR536" s="25"/>
      <c r="BS536" s="5"/>
    </row>
    <row r="537" spans="1:71" s="3" customFormat="1" x14ac:dyDescent="0.25">
      <c r="A537" s="5"/>
      <c r="B537" s="3" t="str">
        <f t="array" ref="B537">IFERROR(INDEX(DemandSupply,MATCH(INDEX($AH$1:AH537,SMALL(ROW($AH$1:AH537)+(10000*($AH$1:AH537="")),COUNTA($AH$1:AH537))),Sectors,0)),"")</f>
        <v>Demand</v>
      </c>
      <c r="E537" s="10"/>
      <c r="F537" s="207"/>
      <c r="G537" s="207"/>
      <c r="H537" s="207"/>
      <c r="I537" s="207"/>
      <c r="J537" s="207"/>
      <c r="K537" s="207"/>
      <c r="L537" s="207"/>
      <c r="M537" s="207"/>
      <c r="N537" s="207"/>
      <c r="O537" s="207"/>
      <c r="P537" s="207"/>
      <c r="Q537" s="207"/>
      <c r="R537" s="207"/>
      <c r="S537" s="207"/>
      <c r="T537" s="207"/>
      <c r="U537" s="207"/>
      <c r="V537" s="207"/>
      <c r="W537" s="207"/>
      <c r="X537" s="207"/>
      <c r="Y537" s="207"/>
      <c r="Z537" s="207"/>
      <c r="AA537" s="207"/>
      <c r="AB537" s="207"/>
      <c r="AC537" s="5"/>
      <c r="AD537" s="63"/>
      <c r="AE537" s="64"/>
      <c r="AF537" s="64"/>
      <c r="AG537" s="212"/>
      <c r="AH537" s="64"/>
      <c r="AI537" s="64"/>
      <c r="AJ537" s="64"/>
      <c r="AK537" s="212"/>
      <c r="AL537" s="64"/>
      <c r="AM537" s="64"/>
      <c r="AN537" s="64"/>
      <c r="AO537" s="64"/>
      <c r="AP537" s="63"/>
      <c r="AQ537" s="64"/>
      <c r="AR537" s="63"/>
      <c r="AS537" s="64"/>
      <c r="AT537" s="63"/>
      <c r="AU537" s="64"/>
      <c r="AV537" s="63"/>
      <c r="AW537" s="64"/>
      <c r="AX537" s="63"/>
      <c r="AY537" s="5"/>
      <c r="AZ537" s="21" t="str">
        <f t="shared" si="162"/>
        <v/>
      </c>
      <c r="BA537" s="264" t="s">
        <v>446</v>
      </c>
      <c r="BB537" s="264"/>
      <c r="BC537" s="264"/>
      <c r="BD537" s="264" t="s">
        <v>354</v>
      </c>
      <c r="BE537" s="216" t="s">
        <v>137</v>
      </c>
      <c r="BF537" s="56"/>
      <c r="BG537" s="56"/>
      <c r="BH537" s="56"/>
      <c r="BI537" s="56"/>
      <c r="BJ537" s="56"/>
      <c r="BK537" s="56"/>
      <c r="BL537" s="56"/>
      <c r="BM537" s="56"/>
      <c r="BN537" s="56"/>
      <c r="BO537" s="56"/>
      <c r="BP537" s="56"/>
      <c r="BQ537" s="5"/>
      <c r="BR537" s="25"/>
      <c r="BS537" s="5"/>
    </row>
    <row r="538" spans="1:71" s="3" customFormat="1" x14ac:dyDescent="0.25">
      <c r="A538" s="5"/>
      <c r="B538" s="3" t="str">
        <f t="array" ref="B538">IFERROR(INDEX(DemandSupply,MATCH(INDEX($AH$1:AH538,SMALL(ROW($AH$1:AH538)+(10000*($AH$1:AH538="")),COUNTA($AH$1:AH538))),Sectors,0)),"")</f>
        <v>Demand</v>
      </c>
      <c r="E538" s="10"/>
      <c r="F538" s="207"/>
      <c r="G538" s="207"/>
      <c r="H538" s="207"/>
      <c r="I538" s="207"/>
      <c r="J538" s="207"/>
      <c r="K538" s="207"/>
      <c r="L538" s="207"/>
      <c r="M538" s="207"/>
      <c r="N538" s="207"/>
      <c r="O538" s="207"/>
      <c r="P538" s="207"/>
      <c r="Q538" s="207"/>
      <c r="R538" s="207"/>
      <c r="S538" s="207"/>
      <c r="T538" s="207"/>
      <c r="U538" s="207"/>
      <c r="V538" s="207"/>
      <c r="W538" s="207"/>
      <c r="X538" s="207"/>
      <c r="Y538" s="207"/>
      <c r="Z538" s="207"/>
      <c r="AA538" s="207"/>
      <c r="AB538" s="207"/>
      <c r="AC538" s="5"/>
      <c r="AD538" s="63"/>
      <c r="AE538" s="64"/>
      <c r="AF538" s="64"/>
      <c r="AG538" s="212"/>
      <c r="AH538" s="64"/>
      <c r="AI538" s="64"/>
      <c r="AJ538" s="64"/>
      <c r="AK538" s="212"/>
      <c r="AL538" s="64"/>
      <c r="AM538" s="64"/>
      <c r="AN538" s="64"/>
      <c r="AO538" s="64"/>
      <c r="AP538" s="63"/>
      <c r="AQ538" s="64"/>
      <c r="AR538" s="63"/>
      <c r="AS538" s="64"/>
      <c r="AT538" s="63"/>
      <c r="AU538" s="64"/>
      <c r="AV538" s="63"/>
      <c r="AW538" s="64"/>
      <c r="AX538" s="63"/>
      <c r="AY538" s="5"/>
      <c r="AZ538" s="21" t="str">
        <f t="shared" si="162"/>
        <v/>
      </c>
      <c r="BA538" s="264" t="s">
        <v>447</v>
      </c>
      <c r="BB538" s="264"/>
      <c r="BC538" s="264"/>
      <c r="BD538" s="264"/>
      <c r="BE538" s="216" t="s">
        <v>137</v>
      </c>
      <c r="BF538" s="55"/>
      <c r="BG538" s="55"/>
      <c r="BH538" s="55"/>
      <c r="BI538" s="55"/>
      <c r="BJ538" s="55"/>
      <c r="BK538" s="55"/>
      <c r="BL538" s="55"/>
      <c r="BM538" s="55"/>
      <c r="BN538" s="55"/>
      <c r="BO538" s="55"/>
      <c r="BP538" s="55"/>
      <c r="BQ538" s="5"/>
      <c r="BR538" s="25"/>
      <c r="BS538" s="5"/>
    </row>
    <row r="539" spans="1:71" s="3" customFormat="1" x14ac:dyDescent="0.25">
      <c r="A539" s="5"/>
      <c r="B539" s="3" t="str">
        <f t="array" ref="B539">IFERROR(INDEX(DemandSupply,MATCH(INDEX($AH$1:AH539,SMALL(ROW($AH$1:AH539)+(10000*($AH$1:AH539="")),COUNTA($AH$1:AH539))),Sectors,0)),"")</f>
        <v>Demand</v>
      </c>
      <c r="E539" s="10"/>
      <c r="F539" s="207"/>
      <c r="G539" s="207"/>
      <c r="H539" s="207"/>
      <c r="I539" s="207"/>
      <c r="J539" s="207"/>
      <c r="K539" s="207"/>
      <c r="L539" s="207"/>
      <c r="M539" s="207"/>
      <c r="N539" s="207"/>
      <c r="O539" s="207"/>
      <c r="P539" s="207"/>
      <c r="Q539" s="207"/>
      <c r="R539" s="207"/>
      <c r="S539" s="207"/>
      <c r="T539" s="207"/>
      <c r="U539" s="207"/>
      <c r="V539" s="207"/>
      <c r="W539" s="207"/>
      <c r="X539" s="207"/>
      <c r="Y539" s="207"/>
      <c r="Z539" s="207"/>
      <c r="AA539" s="207"/>
      <c r="AB539" s="207"/>
      <c r="AC539" s="5"/>
      <c r="AD539" s="63"/>
      <c r="AE539" s="64"/>
      <c r="AF539" s="64"/>
      <c r="AG539" s="212"/>
      <c r="AH539" s="64"/>
      <c r="AI539" s="64"/>
      <c r="AJ539" s="64"/>
      <c r="AK539" s="212"/>
      <c r="AL539" s="64"/>
      <c r="AM539" s="64"/>
      <c r="AN539" s="64"/>
      <c r="AO539" s="64"/>
      <c r="AP539" s="63"/>
      <c r="AQ539" s="64"/>
      <c r="AR539" s="63"/>
      <c r="AS539" s="64"/>
      <c r="AT539" s="63"/>
      <c r="AU539" s="64"/>
      <c r="AV539" s="63"/>
      <c r="AW539" s="64"/>
      <c r="AX539" s="63"/>
      <c r="AY539" s="5"/>
      <c r="AZ539" s="21" t="str">
        <f t="shared" si="162"/>
        <v/>
      </c>
      <c r="BA539" s="264" t="s">
        <v>448</v>
      </c>
      <c r="BB539" s="264"/>
      <c r="BC539" s="264"/>
      <c r="BD539" s="264"/>
      <c r="BE539" s="216" t="s">
        <v>137</v>
      </c>
      <c r="BF539" s="55"/>
      <c r="BG539" s="55"/>
      <c r="BH539" s="55"/>
      <c r="BI539" s="55"/>
      <c r="BJ539" s="55"/>
      <c r="BK539" s="55"/>
      <c r="BL539" s="55"/>
      <c r="BM539" s="55"/>
      <c r="BN539" s="55"/>
      <c r="BO539" s="55"/>
      <c r="BP539" s="55"/>
      <c r="BQ539" s="5"/>
      <c r="BR539" s="25"/>
      <c r="BS539" s="5"/>
    </row>
    <row r="540" spans="1:71" s="3" customFormat="1" x14ac:dyDescent="0.25">
      <c r="A540" s="5"/>
      <c r="B540" s="3" t="str">
        <f t="array" ref="B540">IFERROR(INDEX(DemandSupply,MATCH(INDEX($AH$1:AH540,SMALL(ROW($AH$1:AH540)+(10000*($AH$1:AH540="")),COUNTA($AH$1:AH540))),Sectors,0)),"")</f>
        <v>Demand</v>
      </c>
      <c r="E540" s="10"/>
      <c r="F540" s="207"/>
      <c r="G540" s="207"/>
      <c r="H540" s="207"/>
      <c r="I540" s="207"/>
      <c r="J540" s="207"/>
      <c r="K540" s="207"/>
      <c r="L540" s="207"/>
      <c r="M540" s="207"/>
      <c r="N540" s="207"/>
      <c r="O540" s="207"/>
      <c r="P540" s="207"/>
      <c r="Q540" s="207"/>
      <c r="R540" s="207"/>
      <c r="S540" s="207"/>
      <c r="T540" s="207"/>
      <c r="U540" s="207"/>
      <c r="V540" s="207"/>
      <c r="W540" s="207"/>
      <c r="X540" s="207"/>
      <c r="Y540" s="207"/>
      <c r="Z540" s="207"/>
      <c r="AA540" s="207"/>
      <c r="AB540" s="207"/>
      <c r="AC540" s="5"/>
      <c r="AD540" s="63"/>
      <c r="AE540" s="64"/>
      <c r="AF540" s="64"/>
      <c r="AG540" s="212"/>
      <c r="AH540" s="64"/>
      <c r="AI540" s="64"/>
      <c r="AJ540" s="64"/>
      <c r="AK540" s="212"/>
      <c r="AL540" s="64"/>
      <c r="AM540" s="64"/>
      <c r="AN540" s="64"/>
      <c r="AO540" s="64"/>
      <c r="AP540" s="63"/>
      <c r="AQ540" s="64"/>
      <c r="AR540" s="63"/>
      <c r="AS540" s="64"/>
      <c r="AT540" s="63"/>
      <c r="AU540" s="64"/>
      <c r="AV540" s="63"/>
      <c r="AW540" s="64"/>
      <c r="AX540" s="63"/>
      <c r="AY540" s="5"/>
      <c r="AZ540" s="21" t="str">
        <f t="shared" si="162"/>
        <v/>
      </c>
      <c r="BA540" s="264" t="s">
        <v>445</v>
      </c>
      <c r="BB540" s="264"/>
      <c r="BC540" s="264"/>
      <c r="BD540" s="264" t="s">
        <v>355</v>
      </c>
      <c r="BE540" s="216" t="s">
        <v>137</v>
      </c>
      <c r="BF540" s="56"/>
      <c r="BG540" s="56"/>
      <c r="BH540" s="56"/>
      <c r="BI540" s="56"/>
      <c r="BJ540" s="56"/>
      <c r="BK540" s="56"/>
      <c r="BL540" s="56"/>
      <c r="BM540" s="56"/>
      <c r="BN540" s="56"/>
      <c r="BO540" s="56"/>
      <c r="BP540" s="56"/>
      <c r="BQ540" s="5"/>
      <c r="BR540" s="25"/>
      <c r="BS540" s="5"/>
    </row>
    <row r="541" spans="1:71" s="3" customFormat="1" x14ac:dyDescent="0.25">
      <c r="A541" s="5"/>
      <c r="B541" s="3" t="str">
        <f t="array" ref="B541">IFERROR(INDEX(DemandSupply,MATCH(INDEX($AH$1:AH541,SMALL(ROW($AH$1:AH541)+(10000*($AH$1:AH541="")),COUNTA($AH$1:AH541))),Sectors,0)),"")</f>
        <v>Demand</v>
      </c>
      <c r="E541" s="10"/>
      <c r="F541" s="207"/>
      <c r="G541" s="207"/>
      <c r="H541" s="207"/>
      <c r="I541" s="207"/>
      <c r="J541" s="207"/>
      <c r="K541" s="207"/>
      <c r="L541" s="207"/>
      <c r="M541" s="207"/>
      <c r="N541" s="207"/>
      <c r="O541" s="207"/>
      <c r="P541" s="207"/>
      <c r="Q541" s="207"/>
      <c r="R541" s="207"/>
      <c r="S541" s="207"/>
      <c r="T541" s="207"/>
      <c r="U541" s="207"/>
      <c r="V541" s="207"/>
      <c r="W541" s="207"/>
      <c r="X541" s="207"/>
      <c r="Y541" s="207"/>
      <c r="Z541" s="207"/>
      <c r="AA541" s="207"/>
      <c r="AB541" s="207"/>
      <c r="AC541" s="5"/>
      <c r="AD541" s="63"/>
      <c r="AE541" s="64"/>
      <c r="AF541" s="64"/>
      <c r="AG541" s="212"/>
      <c r="AH541" s="64"/>
      <c r="AI541" s="64"/>
      <c r="AJ541" s="64"/>
      <c r="AK541" s="212"/>
      <c r="AL541" s="64"/>
      <c r="AM541" s="64"/>
      <c r="AN541" s="64"/>
      <c r="AO541" s="64"/>
      <c r="AP541" s="63"/>
      <c r="AQ541" s="64"/>
      <c r="AR541" s="63"/>
      <c r="AS541" s="64"/>
      <c r="AT541" s="63"/>
      <c r="AU541" s="64"/>
      <c r="AV541" s="63"/>
      <c r="AW541" s="64"/>
      <c r="AX541" s="63"/>
      <c r="AY541" s="5"/>
      <c r="AZ541" s="21" t="str">
        <f t="shared" ref="AZ541:AZ604" si="238">IFERROR(INDEX($AD541:$AX541,MATCH(TRUE,INDEX(($AD541:$AX541&lt;&gt;0),0),0)),"")</f>
        <v/>
      </c>
      <c r="BA541" s="264" t="s">
        <v>449</v>
      </c>
      <c r="BB541" s="264"/>
      <c r="BC541" s="264"/>
      <c r="BD541" s="264" t="s">
        <v>355</v>
      </c>
      <c r="BE541" s="216" t="s">
        <v>137</v>
      </c>
      <c r="BF541" s="56"/>
      <c r="BG541" s="56"/>
      <c r="BH541" s="56"/>
      <c r="BI541" s="56"/>
      <c r="BJ541" s="56"/>
      <c r="BK541" s="56"/>
      <c r="BL541" s="56"/>
      <c r="BM541" s="56"/>
      <c r="BN541" s="56"/>
      <c r="BO541" s="56"/>
      <c r="BP541" s="56"/>
      <c r="BQ541" s="5"/>
      <c r="BR541" s="25"/>
      <c r="BS541" s="5"/>
    </row>
    <row r="542" spans="1:71" s="3" customFormat="1" x14ac:dyDescent="0.25">
      <c r="A542" s="5"/>
      <c r="B542" s="3" t="str">
        <f t="array" ref="B542">IFERROR(INDEX(DemandSupply,MATCH(INDEX($AH$1:AH542,SMALL(ROW($AH$1:AH542)+(10000*($AH$1:AH542="")),COUNTA($AH$1:AH542))),Sectors,0)),"")</f>
        <v>Demand</v>
      </c>
      <c r="E542" s="10"/>
      <c r="F542" s="207"/>
      <c r="G542" s="207"/>
      <c r="H542" s="207"/>
      <c r="I542" s="207"/>
      <c r="J542" s="207"/>
      <c r="K542" s="207"/>
      <c r="L542" s="207"/>
      <c r="M542" s="207"/>
      <c r="N542" s="207"/>
      <c r="O542" s="207"/>
      <c r="P542" s="207"/>
      <c r="Q542" s="207"/>
      <c r="R542" s="207"/>
      <c r="S542" s="207"/>
      <c r="T542" s="207"/>
      <c r="U542" s="207"/>
      <c r="V542" s="207"/>
      <c r="W542" s="207"/>
      <c r="X542" s="207"/>
      <c r="Y542" s="207"/>
      <c r="Z542" s="207"/>
      <c r="AA542" s="207"/>
      <c r="AB542" s="207"/>
      <c r="AC542" s="5"/>
      <c r="AD542" s="63"/>
      <c r="AE542" s="64"/>
      <c r="AF542" s="64"/>
      <c r="AG542" s="212"/>
      <c r="AH542" s="64"/>
      <c r="AI542" s="64"/>
      <c r="AJ542" s="64"/>
      <c r="AK542" s="212"/>
      <c r="AL542" s="64"/>
      <c r="AM542" s="64"/>
      <c r="AN542" s="64"/>
      <c r="AO542" s="64"/>
      <c r="AP542" s="63"/>
      <c r="AQ542" s="64"/>
      <c r="AR542" s="63"/>
      <c r="AS542" s="64"/>
      <c r="AT542" s="63"/>
      <c r="AU542" s="64"/>
      <c r="AV542" s="63"/>
      <c r="AW542" s="64"/>
      <c r="AX542" s="63"/>
      <c r="AY542" s="5"/>
      <c r="AZ542" s="21" t="str">
        <f t="shared" si="238"/>
        <v/>
      </c>
      <c r="BA542" s="264" t="s">
        <v>450</v>
      </c>
      <c r="BB542" s="264"/>
      <c r="BC542" s="264"/>
      <c r="BD542" s="264"/>
      <c r="BE542" s="216" t="s">
        <v>137</v>
      </c>
      <c r="BF542" s="55"/>
      <c r="BG542" s="55"/>
      <c r="BH542" s="55"/>
      <c r="BI542" s="55"/>
      <c r="BJ542" s="55"/>
      <c r="BK542" s="55"/>
      <c r="BL542" s="55"/>
      <c r="BM542" s="55"/>
      <c r="BN542" s="55"/>
      <c r="BO542" s="55"/>
      <c r="BP542" s="55"/>
      <c r="BQ542" s="5"/>
      <c r="BR542" s="25"/>
      <c r="BS542" s="5"/>
    </row>
    <row r="543" spans="1:71" s="3" customFormat="1" x14ac:dyDescent="0.25">
      <c r="A543" s="5"/>
      <c r="B543" s="3" t="str">
        <f t="array" ref="B543">IFERROR(INDEX(DemandSupply,MATCH(INDEX($AH$1:AH543,SMALL(ROW($AH$1:AH543)+(10000*($AH$1:AH543="")),COUNTA($AH$1:AH543))),Sectors,0)),"")</f>
        <v>Demand</v>
      </c>
      <c r="E543" s="10"/>
      <c r="F543" s="207"/>
      <c r="G543" s="207"/>
      <c r="H543" s="207"/>
      <c r="I543" s="207"/>
      <c r="J543" s="207"/>
      <c r="K543" s="207"/>
      <c r="L543" s="207"/>
      <c r="M543" s="207"/>
      <c r="N543" s="207"/>
      <c r="O543" s="207"/>
      <c r="P543" s="207"/>
      <c r="Q543" s="207"/>
      <c r="R543" s="207"/>
      <c r="S543" s="207"/>
      <c r="T543" s="207"/>
      <c r="U543" s="207"/>
      <c r="V543" s="207"/>
      <c r="W543" s="207"/>
      <c r="X543" s="207"/>
      <c r="Y543" s="207"/>
      <c r="Z543" s="207"/>
      <c r="AA543" s="207"/>
      <c r="AB543" s="207"/>
      <c r="AC543" s="5"/>
      <c r="AD543" s="63"/>
      <c r="AE543" s="64"/>
      <c r="AF543" s="64"/>
      <c r="AG543" s="212"/>
      <c r="AH543" s="64"/>
      <c r="AI543" s="64"/>
      <c r="AJ543" s="64"/>
      <c r="AK543" s="212"/>
      <c r="AL543" s="64"/>
      <c r="AM543" s="64"/>
      <c r="AN543" s="64"/>
      <c r="AO543" s="64"/>
      <c r="AP543" s="63"/>
      <c r="AQ543" s="64"/>
      <c r="AR543" s="63"/>
      <c r="AS543" s="64"/>
      <c r="AT543" s="63"/>
      <c r="AU543" s="64"/>
      <c r="AV543" s="63"/>
      <c r="AW543" s="64"/>
      <c r="AX543" s="63"/>
      <c r="AY543" s="5"/>
      <c r="AZ543" s="21" t="str">
        <f t="shared" si="238"/>
        <v/>
      </c>
      <c r="BA543" s="264" t="s">
        <v>451</v>
      </c>
      <c r="BB543" s="264"/>
      <c r="BC543" s="264"/>
      <c r="BD543" s="264"/>
      <c r="BE543" s="216" t="s">
        <v>137</v>
      </c>
      <c r="BF543" s="55"/>
      <c r="BG543" s="55"/>
      <c r="BH543" s="55"/>
      <c r="BI543" s="55"/>
      <c r="BJ543" s="55"/>
      <c r="BK543" s="55"/>
      <c r="BL543" s="55"/>
      <c r="BM543" s="55"/>
      <c r="BN543" s="55"/>
      <c r="BO543" s="55"/>
      <c r="BP543" s="55"/>
      <c r="BQ543" s="5"/>
      <c r="BR543" s="25"/>
      <c r="BS543" s="5"/>
    </row>
    <row r="544" spans="1:71" s="3" customFormat="1" x14ac:dyDescent="0.25">
      <c r="A544" s="5"/>
      <c r="B544" s="3" t="str">
        <f t="array" ref="B544">IFERROR(INDEX(DemandSupply,MATCH(INDEX($AH$1:AH544,SMALL(ROW($AH$1:AH544)+(10000*($AH$1:AH544="")),COUNTA($AH$1:AH544))),Sectors,0)),"")</f>
        <v>Demand</v>
      </c>
      <c r="E544" s="10"/>
      <c r="F544" s="207"/>
      <c r="G544" s="207"/>
      <c r="H544" s="207"/>
      <c r="I544" s="207"/>
      <c r="J544" s="207"/>
      <c r="K544" s="207"/>
      <c r="L544" s="207"/>
      <c r="M544" s="207"/>
      <c r="N544" s="207"/>
      <c r="O544" s="207"/>
      <c r="P544" s="207"/>
      <c r="Q544" s="207"/>
      <c r="R544" s="207"/>
      <c r="S544" s="207"/>
      <c r="T544" s="207"/>
      <c r="U544" s="207"/>
      <c r="V544" s="207"/>
      <c r="W544" s="207"/>
      <c r="X544" s="207"/>
      <c r="Y544" s="207"/>
      <c r="Z544" s="207"/>
      <c r="AA544" s="207"/>
      <c r="AB544" s="207"/>
      <c r="AC544" s="5"/>
      <c r="AD544" s="63"/>
      <c r="AE544" s="64"/>
      <c r="AF544" s="64"/>
      <c r="AG544" s="212"/>
      <c r="AH544" s="64"/>
      <c r="AI544" s="64"/>
      <c r="AJ544" s="64"/>
      <c r="AK544" s="212"/>
      <c r="AL544" s="64"/>
      <c r="AM544" s="64"/>
      <c r="AN544" s="64"/>
      <c r="AO544" s="64"/>
      <c r="AP544" s="63"/>
      <c r="AQ544" s="64"/>
      <c r="AR544" s="63"/>
      <c r="AS544" s="64"/>
      <c r="AT544" s="63"/>
      <c r="AU544" s="64"/>
      <c r="AV544" s="63"/>
      <c r="AW544" s="64"/>
      <c r="AX544" s="63"/>
      <c r="AY544" s="5"/>
      <c r="AZ544" s="21" t="str">
        <f t="shared" si="238"/>
        <v/>
      </c>
      <c r="BA544" s="264" t="s">
        <v>342</v>
      </c>
      <c r="BB544" s="264"/>
      <c r="BC544" s="264"/>
      <c r="BD544" s="264" t="s">
        <v>355</v>
      </c>
      <c r="BE544" s="216" t="s">
        <v>137</v>
      </c>
      <c r="BF544" s="56">
        <v>12.217000000000001</v>
      </c>
      <c r="BG544" s="282">
        <f t="shared" ref="BG544" si="239">BF544</f>
        <v>12.217000000000001</v>
      </c>
      <c r="BH544" s="282">
        <f t="shared" ref="BH544" si="240">BG544</f>
        <v>12.217000000000001</v>
      </c>
      <c r="BI544" s="282">
        <f t="shared" ref="BI544" si="241">BH544</f>
        <v>12.217000000000001</v>
      </c>
      <c r="BJ544" s="282">
        <f t="shared" ref="BJ544" si="242">BI544</f>
        <v>12.217000000000001</v>
      </c>
      <c r="BK544" s="282">
        <f t="shared" ref="BK544" si="243">BJ544</f>
        <v>12.217000000000001</v>
      </c>
      <c r="BL544" s="282">
        <f t="shared" ref="BL544" si="244">BK544</f>
        <v>12.217000000000001</v>
      </c>
      <c r="BM544" s="282">
        <f t="shared" ref="BM544" si="245">BL544</f>
        <v>12.217000000000001</v>
      </c>
      <c r="BN544" s="282">
        <f t="shared" ref="BN544" si="246">BM544</f>
        <v>12.217000000000001</v>
      </c>
      <c r="BO544" s="282">
        <f t="shared" ref="BO544" si="247">BN544</f>
        <v>12.217000000000001</v>
      </c>
      <c r="BP544" s="282">
        <f t="shared" ref="BP544" si="248">BO544</f>
        <v>12.217000000000001</v>
      </c>
      <c r="BQ544" s="5"/>
      <c r="BR544" s="25"/>
      <c r="BS544" s="5"/>
    </row>
    <row r="545" spans="1:71" s="3" customFormat="1" x14ac:dyDescent="0.25">
      <c r="A545" s="5"/>
      <c r="B545" s="3" t="str">
        <f t="array" ref="B545">IFERROR(INDEX(DemandSupply,MATCH(INDEX($AH$1:AH545,SMALL(ROW($AH$1:AH545)+(10000*($AH$1:AH545="")),COUNTA($AH$1:AH545))),Sectors,0)),"")</f>
        <v>Demand</v>
      </c>
      <c r="E545" s="10"/>
      <c r="F545" s="207"/>
      <c r="G545" s="207"/>
      <c r="H545" s="207"/>
      <c r="I545" s="207"/>
      <c r="J545" s="207"/>
      <c r="K545" s="207"/>
      <c r="L545" s="207"/>
      <c r="M545" s="207"/>
      <c r="N545" s="207"/>
      <c r="O545" s="207"/>
      <c r="P545" s="207"/>
      <c r="Q545" s="207"/>
      <c r="R545" s="207"/>
      <c r="S545" s="207"/>
      <c r="T545" s="207"/>
      <c r="U545" s="207"/>
      <c r="V545" s="207"/>
      <c r="W545" s="207"/>
      <c r="X545" s="207"/>
      <c r="Y545" s="207"/>
      <c r="Z545" s="207"/>
      <c r="AA545" s="207"/>
      <c r="AB545" s="207"/>
      <c r="AC545" s="5"/>
      <c r="AD545" s="63"/>
      <c r="AE545" s="64"/>
      <c r="AF545" s="64"/>
      <c r="AG545" s="212"/>
      <c r="AH545" s="64"/>
      <c r="AI545" s="64"/>
      <c r="AJ545" s="64"/>
      <c r="AK545" s="212"/>
      <c r="AL545" s="64"/>
      <c r="AM545" s="64"/>
      <c r="AN545" s="64"/>
      <c r="AO545" s="64"/>
      <c r="AP545" s="63"/>
      <c r="AQ545" s="64"/>
      <c r="AR545" s="63"/>
      <c r="AS545" s="64"/>
      <c r="AT545" s="63"/>
      <c r="AU545" s="64"/>
      <c r="AV545" s="63"/>
      <c r="AW545" s="64"/>
      <c r="AX545" s="63"/>
      <c r="AY545" s="5"/>
      <c r="AZ545" s="21" t="str">
        <f t="shared" si="238"/>
        <v/>
      </c>
      <c r="BA545" s="264" t="s">
        <v>394</v>
      </c>
      <c r="BB545" s="264"/>
      <c r="BC545" s="264"/>
      <c r="BD545" s="264" t="s">
        <v>354</v>
      </c>
      <c r="BE545" s="216" t="s">
        <v>137</v>
      </c>
      <c r="BF545" s="56"/>
      <c r="BG545" s="56"/>
      <c r="BH545" s="56"/>
      <c r="BI545" s="56"/>
      <c r="BJ545" s="56"/>
      <c r="BK545" s="56"/>
      <c r="BL545" s="56"/>
      <c r="BM545" s="56"/>
      <c r="BN545" s="56"/>
      <c r="BO545" s="56"/>
      <c r="BP545" s="56"/>
      <c r="BQ545" s="5"/>
      <c r="BR545" s="25"/>
      <c r="BS545" s="5"/>
    </row>
    <row r="546" spans="1:71" s="3" customFormat="1" x14ac:dyDescent="0.25">
      <c r="A546" s="5"/>
      <c r="B546" s="3" t="str">
        <f t="array" ref="B546">IFERROR(INDEX(DemandSupply,MATCH(INDEX($AH$1:AH546,SMALL(ROW($AH$1:AH546)+(10000*($AH$1:AH546="")),COUNTA($AH$1:AH546))),Sectors,0)),"")</f>
        <v>Demand</v>
      </c>
      <c r="E546" s="10">
        <f t="shared" si="205"/>
        <v>0</v>
      </c>
      <c r="F546" s="207">
        <v>1</v>
      </c>
      <c r="G546" s="207">
        <v>1</v>
      </c>
      <c r="H546" s="207">
        <v>1</v>
      </c>
      <c r="I546" s="207">
        <v>1</v>
      </c>
      <c r="J546" s="207">
        <v>1</v>
      </c>
      <c r="K546" s="207">
        <v>1</v>
      </c>
      <c r="L546" s="207">
        <v>1</v>
      </c>
      <c r="M546" s="207">
        <v>1</v>
      </c>
      <c r="N546" s="207">
        <v>1</v>
      </c>
      <c r="O546" s="207">
        <v>1</v>
      </c>
      <c r="P546" s="207">
        <v>1</v>
      </c>
      <c r="Q546" s="207">
        <v>1</v>
      </c>
      <c r="R546" s="207">
        <v>1</v>
      </c>
      <c r="S546" s="207">
        <v>1</v>
      </c>
      <c r="T546" s="207">
        <v>1</v>
      </c>
      <c r="U546" s="207">
        <v>1</v>
      </c>
      <c r="V546" s="207">
        <v>1</v>
      </c>
      <c r="W546" s="207">
        <v>1</v>
      </c>
      <c r="X546" s="207">
        <v>1</v>
      </c>
      <c r="Y546" s="207">
        <v>1</v>
      </c>
      <c r="Z546" s="207">
        <v>1</v>
      </c>
      <c r="AA546" s="207">
        <v>1</v>
      </c>
      <c r="AB546" s="207">
        <v>1</v>
      </c>
      <c r="AC546" s="5"/>
      <c r="AD546" s="63"/>
      <c r="AE546" s="64"/>
      <c r="AF546" s="64"/>
      <c r="AG546" s="212"/>
      <c r="AH546" s="64"/>
      <c r="AI546" s="64"/>
      <c r="AJ546" s="65"/>
      <c r="AK546" s="212"/>
      <c r="AL546" s="64"/>
      <c r="AM546" s="64"/>
      <c r="AN546" s="64"/>
      <c r="AO546" s="64"/>
      <c r="AP546" s="64"/>
      <c r="AQ546" s="64"/>
      <c r="AR546" s="63"/>
      <c r="AS546" s="64"/>
      <c r="AT546" s="63"/>
      <c r="AU546" s="64"/>
      <c r="AV546" s="63"/>
      <c r="AW546" s="64"/>
      <c r="AX546" s="63"/>
      <c r="AY546" s="5"/>
      <c r="AZ546" s="21" t="str">
        <f t="shared" si="238"/>
        <v/>
      </c>
      <c r="BA546" s="74" t="s">
        <v>338</v>
      </c>
      <c r="BB546" s="25"/>
      <c r="BC546" s="2" t="s">
        <v>123</v>
      </c>
      <c r="BD546" s="74" t="s">
        <v>367</v>
      </c>
      <c r="BE546" s="216" t="s">
        <v>137</v>
      </c>
      <c r="BF546" s="55">
        <v>0.20599999999999999</v>
      </c>
      <c r="BG546" s="55">
        <v>0.20599999999999999</v>
      </c>
      <c r="BH546" s="55">
        <v>0.20599999999999999</v>
      </c>
      <c r="BI546" s="55">
        <v>0.20599999999999999</v>
      </c>
      <c r="BJ546" s="55">
        <v>0.20599999999999999</v>
      </c>
      <c r="BK546" s="55">
        <v>0.20599999999999999</v>
      </c>
      <c r="BL546" s="55">
        <v>0.20599999999999999</v>
      </c>
      <c r="BM546" s="55">
        <v>0.20599999999999999</v>
      </c>
      <c r="BN546" s="55">
        <v>0.20599999999999999</v>
      </c>
      <c r="BO546" s="55">
        <v>0.20599999999999999</v>
      </c>
      <c r="BP546" s="55">
        <v>0.20599999999999999</v>
      </c>
      <c r="BQ546" s="5"/>
      <c r="BR546" s="25"/>
      <c r="BS546" s="5"/>
    </row>
    <row r="547" spans="1:71" s="3" customFormat="1" x14ac:dyDescent="0.25">
      <c r="A547" s="5"/>
      <c r="B547" s="3" t="str">
        <f t="array" ref="B547">IFERROR(INDEX(DemandSupply,MATCH(INDEX($AH$1:AH547,SMALL(ROW($AH$1:AH547)+(10000*($AH$1:AH547="")),COUNTA($AH$1:AH547))),Sectors,0)),"")</f>
        <v>Demand</v>
      </c>
      <c r="E547" s="10">
        <f t="shared" si="205"/>
        <v>0</v>
      </c>
      <c r="F547" s="207">
        <v>1</v>
      </c>
      <c r="G547" s="207">
        <v>1</v>
      </c>
      <c r="H547" s="207">
        <v>1</v>
      </c>
      <c r="I547" s="207">
        <v>1</v>
      </c>
      <c r="J547" s="207">
        <v>1</v>
      </c>
      <c r="K547" s="207">
        <v>1</v>
      </c>
      <c r="L547" s="207">
        <v>1</v>
      </c>
      <c r="M547" s="207">
        <v>1</v>
      </c>
      <c r="N547" s="207">
        <v>1</v>
      </c>
      <c r="O547" s="207">
        <v>1</v>
      </c>
      <c r="P547" s="207">
        <v>1</v>
      </c>
      <c r="Q547" s="207">
        <v>1</v>
      </c>
      <c r="R547" s="207">
        <v>1</v>
      </c>
      <c r="S547" s="207">
        <v>1</v>
      </c>
      <c r="T547" s="207">
        <v>1</v>
      </c>
      <c r="U547" s="207">
        <v>1</v>
      </c>
      <c r="V547" s="207">
        <v>1</v>
      </c>
      <c r="W547" s="207">
        <v>1</v>
      </c>
      <c r="X547" s="207">
        <v>1</v>
      </c>
      <c r="Y547" s="207">
        <v>1</v>
      </c>
      <c r="Z547" s="207">
        <v>1</v>
      </c>
      <c r="AA547" s="207">
        <v>1</v>
      </c>
      <c r="AB547" s="207">
        <v>1</v>
      </c>
      <c r="AC547" s="5"/>
      <c r="AD547" s="63"/>
      <c r="AE547" s="64"/>
      <c r="AF547" s="64"/>
      <c r="AG547" s="212"/>
      <c r="AH547" s="64"/>
      <c r="AI547" s="64"/>
      <c r="AJ547" s="65"/>
      <c r="AK547" s="212"/>
      <c r="AL547" s="64"/>
      <c r="AM547" s="64"/>
      <c r="AN547" s="64"/>
      <c r="AO547" s="64"/>
      <c r="AP547" s="64"/>
      <c r="AQ547" s="64"/>
      <c r="AR547" s="63"/>
      <c r="AS547" s="64"/>
      <c r="AT547" s="63"/>
      <c r="AU547" s="64"/>
      <c r="AV547" s="63"/>
      <c r="AW547" s="64"/>
      <c r="AX547" s="63"/>
      <c r="AY547" s="5"/>
      <c r="AZ547" s="21" t="str">
        <f t="shared" si="238"/>
        <v/>
      </c>
      <c r="BA547" s="291" t="s">
        <v>51</v>
      </c>
      <c r="BB547" s="25"/>
      <c r="BC547" s="2"/>
      <c r="BD547" s="2"/>
      <c r="BE547" s="216" t="s">
        <v>363</v>
      </c>
      <c r="BF547" s="4"/>
      <c r="BG547" s="4"/>
      <c r="BH547" s="4"/>
      <c r="BI547" s="4"/>
      <c r="BJ547" s="4"/>
      <c r="BK547" s="4"/>
      <c r="BL547" s="4"/>
      <c r="BM547" s="4"/>
      <c r="BN547" s="4"/>
      <c r="BO547" s="4"/>
      <c r="BP547" s="4"/>
      <c r="BQ547" s="5"/>
      <c r="BR547" s="25"/>
      <c r="BS547" s="5"/>
    </row>
    <row r="548" spans="1:71" s="3" customFormat="1" x14ac:dyDescent="0.25">
      <c r="A548" s="5"/>
      <c r="B548" s="3" t="str">
        <f t="array" ref="B548">IFERROR(INDEX(DemandSupply,MATCH(INDEX($AH$1:AH548,SMALL(ROW($AH$1:AH548)+(10000*($AH$1:AH548="")),COUNTA($AH$1:AH548))),Sectors,0)),"")</f>
        <v>Demand</v>
      </c>
      <c r="E548" s="10"/>
      <c r="F548" s="207"/>
      <c r="G548" s="207"/>
      <c r="H548" s="207"/>
      <c r="I548" s="207"/>
      <c r="J548" s="207"/>
      <c r="K548" s="207"/>
      <c r="L548" s="207"/>
      <c r="M548" s="207"/>
      <c r="N548" s="207"/>
      <c r="O548" s="207"/>
      <c r="P548" s="207"/>
      <c r="Q548" s="207"/>
      <c r="R548" s="207"/>
      <c r="S548" s="207"/>
      <c r="T548" s="207"/>
      <c r="U548" s="207"/>
      <c r="V548" s="207"/>
      <c r="W548" s="207"/>
      <c r="X548" s="207"/>
      <c r="Y548" s="207"/>
      <c r="Z548" s="207"/>
      <c r="AA548" s="207"/>
      <c r="AB548" s="207"/>
      <c r="AC548" s="5"/>
      <c r="AD548" s="63"/>
      <c r="AE548" s="64"/>
      <c r="AF548" s="64"/>
      <c r="AG548" s="212"/>
      <c r="AH548" s="64"/>
      <c r="AI548" s="64"/>
      <c r="AJ548" s="64"/>
      <c r="AK548" s="212"/>
      <c r="AL548" s="64"/>
      <c r="AM548" s="64"/>
      <c r="AN548" s="64"/>
      <c r="AO548" s="64"/>
      <c r="AP548" s="63"/>
      <c r="AQ548" s="64"/>
      <c r="AR548" s="63"/>
      <c r="AS548" s="64"/>
      <c r="AT548" s="63"/>
      <c r="AU548" s="64"/>
      <c r="AV548" s="63"/>
      <c r="AW548" s="64"/>
      <c r="AX548" s="63"/>
      <c r="AY548" s="5"/>
      <c r="AZ548" s="21" t="str">
        <f t="shared" si="238"/>
        <v/>
      </c>
      <c r="BA548" s="264" t="s">
        <v>38</v>
      </c>
      <c r="BB548" s="264"/>
      <c r="BC548" s="264"/>
      <c r="BD548" s="264" t="s">
        <v>40</v>
      </c>
      <c r="BE548" s="216" t="s">
        <v>363</v>
      </c>
      <c r="BF548" s="309">
        <v>1990</v>
      </c>
      <c r="BG548" s="310">
        <f t="shared" ref="BG548:BP548" si="249">BF548</f>
        <v>1990</v>
      </c>
      <c r="BH548" s="310">
        <f t="shared" si="249"/>
        <v>1990</v>
      </c>
      <c r="BI548" s="310">
        <f t="shared" si="249"/>
        <v>1990</v>
      </c>
      <c r="BJ548" s="310">
        <f t="shared" si="249"/>
        <v>1990</v>
      </c>
      <c r="BK548" s="310">
        <f t="shared" si="249"/>
        <v>1990</v>
      </c>
      <c r="BL548" s="310">
        <f t="shared" si="249"/>
        <v>1990</v>
      </c>
      <c r="BM548" s="310">
        <f t="shared" si="249"/>
        <v>1990</v>
      </c>
      <c r="BN548" s="310">
        <f t="shared" si="249"/>
        <v>1990</v>
      </c>
      <c r="BO548" s="310">
        <f t="shared" si="249"/>
        <v>1990</v>
      </c>
      <c r="BP548" s="310">
        <f t="shared" si="249"/>
        <v>1990</v>
      </c>
      <c r="BQ548" s="5"/>
      <c r="BR548" s="25"/>
      <c r="BS548" s="5"/>
    </row>
    <row r="549" spans="1:71" s="3" customFormat="1" x14ac:dyDescent="0.25">
      <c r="A549" s="5"/>
      <c r="B549" s="3" t="str">
        <f t="array" ref="B549">IFERROR(INDEX(DemandSupply,MATCH(INDEX($AH$1:AH549,SMALL(ROW($AH$1:AH549)+(10000*($AH$1:AH549="")),COUNTA($AH$1:AH549))),Sectors,0)),"")</f>
        <v>Demand</v>
      </c>
      <c r="E549" s="10"/>
      <c r="F549" s="207"/>
      <c r="G549" s="207"/>
      <c r="H549" s="207"/>
      <c r="I549" s="207"/>
      <c r="J549" s="207"/>
      <c r="K549" s="207"/>
      <c r="L549" s="207"/>
      <c r="M549" s="207"/>
      <c r="N549" s="207"/>
      <c r="O549" s="207"/>
      <c r="P549" s="207"/>
      <c r="Q549" s="207"/>
      <c r="R549" s="207"/>
      <c r="S549" s="207"/>
      <c r="T549" s="207"/>
      <c r="U549" s="207"/>
      <c r="V549" s="207"/>
      <c r="W549" s="207"/>
      <c r="X549" s="207"/>
      <c r="Y549" s="207"/>
      <c r="Z549" s="207"/>
      <c r="AA549" s="207"/>
      <c r="AB549" s="207"/>
      <c r="AC549" s="5"/>
      <c r="AD549" s="63"/>
      <c r="AE549" s="64"/>
      <c r="AF549" s="64"/>
      <c r="AG549" s="212"/>
      <c r="AH549" s="64"/>
      <c r="AI549" s="64"/>
      <c r="AJ549" s="64"/>
      <c r="AK549" s="212"/>
      <c r="AL549" s="64"/>
      <c r="AM549" s="64"/>
      <c r="AN549" s="64"/>
      <c r="AO549" s="64"/>
      <c r="AP549" s="63"/>
      <c r="AQ549" s="64"/>
      <c r="AR549" s="63"/>
      <c r="AS549" s="64"/>
      <c r="AT549" s="63"/>
      <c r="AU549" s="64"/>
      <c r="AV549" s="63"/>
      <c r="AW549" s="64"/>
      <c r="AX549" s="63"/>
      <c r="AY549" s="5"/>
      <c r="AZ549" s="21" t="str">
        <f t="shared" si="238"/>
        <v/>
      </c>
      <c r="BA549" s="264" t="s">
        <v>37</v>
      </c>
      <c r="BB549" s="264"/>
      <c r="BC549" s="264"/>
      <c r="BD549" s="264" t="s">
        <v>40</v>
      </c>
      <c r="BE549" s="216" t="s">
        <v>363</v>
      </c>
      <c r="BF549" s="309">
        <v>2000</v>
      </c>
      <c r="BG549" s="310">
        <f t="shared" ref="BG549:BP550" si="250">BF549</f>
        <v>2000</v>
      </c>
      <c r="BH549" s="310">
        <f t="shared" si="250"/>
        <v>2000</v>
      </c>
      <c r="BI549" s="310">
        <f t="shared" si="250"/>
        <v>2000</v>
      </c>
      <c r="BJ549" s="310">
        <f t="shared" si="250"/>
        <v>2000</v>
      </c>
      <c r="BK549" s="310">
        <f t="shared" si="250"/>
        <v>2000</v>
      </c>
      <c r="BL549" s="310">
        <f t="shared" si="250"/>
        <v>2000</v>
      </c>
      <c r="BM549" s="310">
        <f t="shared" si="250"/>
        <v>2000</v>
      </c>
      <c r="BN549" s="310">
        <f t="shared" si="250"/>
        <v>2000</v>
      </c>
      <c r="BO549" s="310">
        <f t="shared" si="250"/>
        <v>2000</v>
      </c>
      <c r="BP549" s="310">
        <f t="shared" si="250"/>
        <v>2000</v>
      </c>
      <c r="BQ549" s="5"/>
      <c r="BR549" s="25"/>
      <c r="BS549" s="5"/>
    </row>
    <row r="550" spans="1:71" s="3" customFormat="1" x14ac:dyDescent="0.25">
      <c r="A550" s="5"/>
      <c r="B550" s="3" t="str">
        <f t="array" ref="B550">IFERROR(INDEX(DemandSupply,MATCH(INDEX($AH$1:AH550,SMALL(ROW($AH$1:AH550)+(10000*($AH$1:AH550="")),COUNTA($AH$1:AH550))),Sectors,0)),"")</f>
        <v>Demand</v>
      </c>
      <c r="E550" s="10"/>
      <c r="F550" s="207"/>
      <c r="G550" s="207"/>
      <c r="H550" s="207"/>
      <c r="I550" s="207"/>
      <c r="J550" s="207"/>
      <c r="K550" s="207"/>
      <c r="L550" s="207"/>
      <c r="M550" s="207"/>
      <c r="N550" s="207"/>
      <c r="O550" s="207"/>
      <c r="P550" s="207"/>
      <c r="Q550" s="207"/>
      <c r="R550" s="207"/>
      <c r="S550" s="207"/>
      <c r="T550" s="207"/>
      <c r="U550" s="207"/>
      <c r="V550" s="207"/>
      <c r="W550" s="207"/>
      <c r="X550" s="207"/>
      <c r="Y550" s="207"/>
      <c r="Z550" s="207"/>
      <c r="AA550" s="207"/>
      <c r="AB550" s="207"/>
      <c r="AC550" s="5"/>
      <c r="AD550" s="63"/>
      <c r="AE550" s="64"/>
      <c r="AF550" s="64"/>
      <c r="AG550" s="212"/>
      <c r="AH550" s="64"/>
      <c r="AI550" s="64"/>
      <c r="AJ550" s="64"/>
      <c r="AK550" s="212"/>
      <c r="AL550" s="64"/>
      <c r="AM550" s="64"/>
      <c r="AN550" s="64"/>
      <c r="AO550" s="64"/>
      <c r="AP550" s="63"/>
      <c r="AQ550" s="64"/>
      <c r="AR550" s="63"/>
      <c r="AS550" s="64"/>
      <c r="AT550" s="63"/>
      <c r="AU550" s="64"/>
      <c r="AV550" s="63"/>
      <c r="AW550" s="64"/>
      <c r="AX550" s="63"/>
      <c r="AY550" s="5"/>
      <c r="AZ550" s="21" t="str">
        <f t="shared" si="238"/>
        <v/>
      </c>
      <c r="BA550" s="264" t="s">
        <v>39</v>
      </c>
      <c r="BB550" s="264"/>
      <c r="BC550" s="264"/>
      <c r="BD550" s="264" t="s">
        <v>10</v>
      </c>
      <c r="BE550" s="216" t="s">
        <v>363</v>
      </c>
      <c r="BF550" s="56">
        <v>9</v>
      </c>
      <c r="BG550" s="282">
        <f t="shared" si="250"/>
        <v>9</v>
      </c>
      <c r="BH550" s="282">
        <f t="shared" si="250"/>
        <v>9</v>
      </c>
      <c r="BI550" s="282">
        <f t="shared" si="250"/>
        <v>9</v>
      </c>
      <c r="BJ550" s="282">
        <f t="shared" si="250"/>
        <v>9</v>
      </c>
      <c r="BK550" s="282">
        <f t="shared" si="250"/>
        <v>9</v>
      </c>
      <c r="BL550" s="282">
        <f t="shared" si="250"/>
        <v>9</v>
      </c>
      <c r="BM550" s="282">
        <f t="shared" si="250"/>
        <v>9</v>
      </c>
      <c r="BN550" s="282">
        <f t="shared" si="250"/>
        <v>9</v>
      </c>
      <c r="BO550" s="282">
        <f t="shared" si="250"/>
        <v>9</v>
      </c>
      <c r="BP550" s="282">
        <f t="shared" si="250"/>
        <v>9</v>
      </c>
      <c r="BQ550" s="5"/>
      <c r="BR550" s="25"/>
      <c r="BS550" s="5"/>
    </row>
    <row r="551" spans="1:71" s="3" customFormat="1" x14ac:dyDescent="0.25">
      <c r="A551" s="5"/>
      <c r="B551" s="3" t="str">
        <f t="array" ref="B551">IFERROR(INDEX(DemandSupply,MATCH(INDEX($AH$1:AH551,SMALL(ROW($AH$1:AH551)+(10000*($AH$1:AH551="")),COUNTA($AH$1:AH551))),Sectors,0)),"")</f>
        <v>Demand</v>
      </c>
      <c r="E551" s="10"/>
      <c r="F551" s="207"/>
      <c r="G551" s="207"/>
      <c r="H551" s="207"/>
      <c r="I551" s="207"/>
      <c r="J551" s="207"/>
      <c r="K551" s="207"/>
      <c r="L551" s="207"/>
      <c r="M551" s="207"/>
      <c r="N551" s="207"/>
      <c r="O551" s="207"/>
      <c r="P551" s="207"/>
      <c r="Q551" s="207"/>
      <c r="R551" s="207"/>
      <c r="S551" s="207"/>
      <c r="T551" s="207"/>
      <c r="U551" s="207"/>
      <c r="V551" s="207"/>
      <c r="W551" s="207"/>
      <c r="X551" s="207"/>
      <c r="Y551" s="207"/>
      <c r="Z551" s="207"/>
      <c r="AA551" s="207"/>
      <c r="AB551" s="207"/>
      <c r="AC551" s="5"/>
      <c r="AD551" s="63"/>
      <c r="AE551" s="64"/>
      <c r="AF551" s="64"/>
      <c r="AG551" s="212"/>
      <c r="AH551" s="64"/>
      <c r="AI551" s="64"/>
      <c r="AJ551" s="64"/>
      <c r="AK551" s="212"/>
      <c r="AL551" s="64"/>
      <c r="AM551" s="64"/>
      <c r="AN551" s="64"/>
      <c r="AO551" s="64"/>
      <c r="AP551" s="63"/>
      <c r="AQ551" s="64"/>
      <c r="AR551" s="63"/>
      <c r="AS551" s="64"/>
      <c r="AT551" s="63"/>
      <c r="AU551" s="64"/>
      <c r="AV551" s="63"/>
      <c r="AW551" s="64"/>
      <c r="AX551" s="63"/>
      <c r="AY551" s="5"/>
      <c r="AZ551" s="21" t="str">
        <f t="shared" si="238"/>
        <v/>
      </c>
      <c r="BA551" s="264" t="s">
        <v>395</v>
      </c>
      <c r="BB551" s="264"/>
      <c r="BC551" s="264"/>
      <c r="BD551" s="264" t="s">
        <v>10</v>
      </c>
      <c r="BE551" s="216" t="s">
        <v>363</v>
      </c>
      <c r="BF551" s="56"/>
      <c r="BG551" s="56"/>
      <c r="BH551" s="56"/>
      <c r="BI551" s="56"/>
      <c r="BJ551" s="56"/>
      <c r="BK551" s="56"/>
      <c r="BL551" s="56"/>
      <c r="BM551" s="56"/>
      <c r="BN551" s="56"/>
      <c r="BO551" s="56"/>
      <c r="BP551" s="56"/>
      <c r="BQ551" s="5"/>
      <c r="BR551" s="25"/>
      <c r="BS551" s="5"/>
    </row>
    <row r="552" spans="1:71" s="3" customFormat="1" x14ac:dyDescent="0.25">
      <c r="A552" s="5"/>
      <c r="B552" s="3" t="str">
        <f t="array" ref="B552">IFERROR(INDEX(DemandSupply,MATCH(INDEX($AH$1:AH552,SMALL(ROW($AH$1:AH552)+(10000*($AH$1:AH552="")),COUNTA($AH$1:AH552))),Sectors,0)),"")</f>
        <v>Demand</v>
      </c>
      <c r="E552" s="10"/>
      <c r="F552" s="207"/>
      <c r="G552" s="207"/>
      <c r="H552" s="207"/>
      <c r="I552" s="207"/>
      <c r="J552" s="207"/>
      <c r="K552" s="207"/>
      <c r="L552" s="207"/>
      <c r="M552" s="207"/>
      <c r="N552" s="207"/>
      <c r="O552" s="207"/>
      <c r="P552" s="207"/>
      <c r="Q552" s="207"/>
      <c r="R552" s="207"/>
      <c r="S552" s="207"/>
      <c r="T552" s="207"/>
      <c r="U552" s="207"/>
      <c r="V552" s="207"/>
      <c r="W552" s="207"/>
      <c r="X552" s="207"/>
      <c r="Y552" s="207"/>
      <c r="Z552" s="207"/>
      <c r="AA552" s="207"/>
      <c r="AB552" s="207"/>
      <c r="AC552" s="5"/>
      <c r="AD552" s="63"/>
      <c r="AE552" s="64"/>
      <c r="AF552" s="64"/>
      <c r="AG552" s="212"/>
      <c r="AH552" s="64"/>
      <c r="AI552" s="64"/>
      <c r="AJ552" s="64"/>
      <c r="AK552" s="212"/>
      <c r="AL552" s="64"/>
      <c r="AM552" s="64"/>
      <c r="AN552" s="64"/>
      <c r="AO552" s="64"/>
      <c r="AP552" s="63"/>
      <c r="AQ552" s="64"/>
      <c r="AR552" s="63"/>
      <c r="AS552" s="64"/>
      <c r="AT552" s="63"/>
      <c r="AU552" s="64"/>
      <c r="AV552" s="63"/>
      <c r="AW552" s="64"/>
      <c r="AX552" s="63"/>
      <c r="AY552" s="5"/>
      <c r="AZ552" s="21" t="str">
        <f t="shared" si="238"/>
        <v/>
      </c>
      <c r="BA552" s="264" t="s">
        <v>341</v>
      </c>
      <c r="BB552" s="264"/>
      <c r="BC552" s="264"/>
      <c r="BD552" s="264" t="s">
        <v>99</v>
      </c>
      <c r="BE552" s="216" t="s">
        <v>363</v>
      </c>
      <c r="BF552" s="303">
        <v>0.3</v>
      </c>
      <c r="BG552" s="306">
        <f t="shared" ref="BG552" si="251">BF552</f>
        <v>0.3</v>
      </c>
      <c r="BH552" s="306">
        <f t="shared" ref="BH552" si="252">BG552</f>
        <v>0.3</v>
      </c>
      <c r="BI552" s="306">
        <f t="shared" ref="BI552" si="253">BH552</f>
        <v>0.3</v>
      </c>
      <c r="BJ552" s="306">
        <f t="shared" ref="BJ552" si="254">BI552</f>
        <v>0.3</v>
      </c>
      <c r="BK552" s="306">
        <f t="shared" ref="BK552" si="255">BJ552</f>
        <v>0.3</v>
      </c>
      <c r="BL552" s="306">
        <f t="shared" ref="BL552" si="256">BK552</f>
        <v>0.3</v>
      </c>
      <c r="BM552" s="306">
        <f t="shared" ref="BM552" si="257">BL552</f>
        <v>0.3</v>
      </c>
      <c r="BN552" s="306">
        <f t="shared" ref="BN552" si="258">BM552</f>
        <v>0.3</v>
      </c>
      <c r="BO552" s="306">
        <f t="shared" ref="BO552" si="259">BN552</f>
        <v>0.3</v>
      </c>
      <c r="BP552" s="306">
        <f t="shared" ref="BP552" si="260">BO552</f>
        <v>0.3</v>
      </c>
      <c r="BQ552" s="5"/>
      <c r="BR552" s="25"/>
      <c r="BS552" s="5"/>
    </row>
    <row r="553" spans="1:71" s="3" customFormat="1" x14ac:dyDescent="0.25">
      <c r="A553" s="5"/>
      <c r="B553" s="3" t="str">
        <f t="array" ref="B553">IFERROR(INDEX(DemandSupply,MATCH(INDEX($AH$1:AH553,SMALL(ROW($AH$1:AH553)+(10000*($AH$1:AH553="")),COUNTA($AH$1:AH553))),Sectors,0)),"")</f>
        <v>Demand</v>
      </c>
      <c r="E553" s="10"/>
      <c r="F553" s="207"/>
      <c r="G553" s="207"/>
      <c r="H553" s="207"/>
      <c r="I553" s="207"/>
      <c r="J553" s="207"/>
      <c r="K553" s="207"/>
      <c r="L553" s="207"/>
      <c r="M553" s="207"/>
      <c r="N553" s="207"/>
      <c r="O553" s="207"/>
      <c r="P553" s="207"/>
      <c r="Q553" s="207"/>
      <c r="R553" s="207"/>
      <c r="S553" s="207"/>
      <c r="T553" s="207"/>
      <c r="U553" s="207"/>
      <c r="V553" s="207"/>
      <c r="W553" s="207"/>
      <c r="X553" s="207"/>
      <c r="Y553" s="207"/>
      <c r="Z553" s="207"/>
      <c r="AA553" s="207"/>
      <c r="AB553" s="207"/>
      <c r="AC553" s="5"/>
      <c r="AD553" s="63"/>
      <c r="AE553" s="64"/>
      <c r="AF553" s="64"/>
      <c r="AG553" s="212"/>
      <c r="AH553" s="64"/>
      <c r="AI553" s="64"/>
      <c r="AJ553" s="64"/>
      <c r="AK553" s="212"/>
      <c r="AL553" s="64"/>
      <c r="AM553" s="64"/>
      <c r="AN553" s="64"/>
      <c r="AO553" s="64"/>
      <c r="AP553" s="63"/>
      <c r="AQ553" s="64"/>
      <c r="AR553" s="63"/>
      <c r="AS553" s="64"/>
      <c r="AT553" s="63"/>
      <c r="AU553" s="64"/>
      <c r="AV553" s="63"/>
      <c r="AW553" s="64"/>
      <c r="AX553" s="63"/>
      <c r="AY553" s="5"/>
      <c r="AZ553" s="21" t="str">
        <f t="shared" si="238"/>
        <v/>
      </c>
      <c r="BA553" s="264" t="s">
        <v>392</v>
      </c>
      <c r="BB553" s="264"/>
      <c r="BC553" s="264"/>
      <c r="BD553" s="264" t="s">
        <v>99</v>
      </c>
      <c r="BE553" s="216" t="s">
        <v>363</v>
      </c>
      <c r="BF553" s="303"/>
      <c r="BG553" s="303"/>
      <c r="BH553" s="303"/>
      <c r="BI553" s="303"/>
      <c r="BJ553" s="303"/>
      <c r="BK553" s="303"/>
      <c r="BL553" s="303"/>
      <c r="BM553" s="303"/>
      <c r="BN553" s="303"/>
      <c r="BO553" s="303"/>
      <c r="BP553" s="303"/>
      <c r="BQ553" s="5"/>
      <c r="BR553" s="25"/>
      <c r="BS553" s="5"/>
    </row>
    <row r="554" spans="1:71" s="3" customFormat="1" x14ac:dyDescent="0.25">
      <c r="A554" s="5"/>
      <c r="B554" s="3" t="str">
        <f t="array" ref="B554">IFERROR(INDEX(DemandSupply,MATCH(INDEX($AH$1:AH554,SMALL(ROW($AH$1:AH554)+(10000*($AH$1:AH554="")),COUNTA($AH$1:AH554))),Sectors,0)),"")</f>
        <v>Demand</v>
      </c>
      <c r="E554" s="10"/>
      <c r="F554" s="207"/>
      <c r="G554" s="207"/>
      <c r="H554" s="207"/>
      <c r="I554" s="207"/>
      <c r="J554" s="207"/>
      <c r="K554" s="207"/>
      <c r="L554" s="207"/>
      <c r="M554" s="207"/>
      <c r="N554" s="207"/>
      <c r="O554" s="207"/>
      <c r="P554" s="207"/>
      <c r="Q554" s="207"/>
      <c r="R554" s="207"/>
      <c r="S554" s="207"/>
      <c r="T554" s="207"/>
      <c r="U554" s="207"/>
      <c r="V554" s="207"/>
      <c r="W554" s="207"/>
      <c r="X554" s="207"/>
      <c r="Y554" s="207"/>
      <c r="Z554" s="207"/>
      <c r="AA554" s="207"/>
      <c r="AB554" s="207"/>
      <c r="AC554" s="5"/>
      <c r="AD554" s="63"/>
      <c r="AE554" s="64"/>
      <c r="AF554" s="64"/>
      <c r="AG554" s="212"/>
      <c r="AH554" s="64"/>
      <c r="AI554" s="64"/>
      <c r="AJ554" s="64"/>
      <c r="AK554" s="212"/>
      <c r="AL554" s="64"/>
      <c r="AM554" s="64"/>
      <c r="AN554" s="64"/>
      <c r="AO554" s="64"/>
      <c r="AP554" s="63"/>
      <c r="AQ554" s="64"/>
      <c r="AR554" s="63"/>
      <c r="AS554" s="64"/>
      <c r="AT554" s="63"/>
      <c r="AU554" s="64"/>
      <c r="AV554" s="63"/>
      <c r="AW554" s="64"/>
      <c r="AX554" s="63"/>
      <c r="AY554" s="5"/>
      <c r="AZ554" s="21" t="str">
        <f t="shared" si="238"/>
        <v/>
      </c>
      <c r="BA554" s="264" t="s">
        <v>391</v>
      </c>
      <c r="BB554" s="264"/>
      <c r="BC554" s="264"/>
      <c r="BD554" s="264" t="s">
        <v>99</v>
      </c>
      <c r="BE554" s="216" t="s">
        <v>363</v>
      </c>
      <c r="BF554" s="303"/>
      <c r="BG554" s="303"/>
      <c r="BH554" s="303"/>
      <c r="BI554" s="303"/>
      <c r="BJ554" s="303"/>
      <c r="BK554" s="303"/>
      <c r="BL554" s="303"/>
      <c r="BM554" s="303"/>
      <c r="BN554" s="303"/>
      <c r="BO554" s="303"/>
      <c r="BP554" s="303"/>
      <c r="BQ554" s="5"/>
      <c r="BR554" s="25"/>
      <c r="BS554" s="5"/>
    </row>
    <row r="555" spans="1:71" s="3" customFormat="1" x14ac:dyDescent="0.25">
      <c r="A555" s="5"/>
      <c r="B555" s="3" t="str">
        <f t="array" ref="B555">IFERROR(INDEX(DemandSupply,MATCH(INDEX($AH$1:AH555,SMALL(ROW($AH$1:AH555)+(10000*($AH$1:AH555="")),COUNTA($AH$1:AH555))),Sectors,0)),"")</f>
        <v>Demand</v>
      </c>
      <c r="E555" s="10"/>
      <c r="F555" s="207"/>
      <c r="G555" s="207"/>
      <c r="H555" s="207"/>
      <c r="I555" s="207"/>
      <c r="J555" s="207"/>
      <c r="K555" s="207"/>
      <c r="L555" s="207"/>
      <c r="M555" s="207"/>
      <c r="N555" s="207"/>
      <c r="O555" s="207"/>
      <c r="P555" s="207"/>
      <c r="Q555" s="207"/>
      <c r="R555" s="207"/>
      <c r="S555" s="207"/>
      <c r="T555" s="207"/>
      <c r="U555" s="207"/>
      <c r="V555" s="207"/>
      <c r="W555" s="207"/>
      <c r="X555" s="207"/>
      <c r="Y555" s="207"/>
      <c r="Z555" s="207"/>
      <c r="AA555" s="207"/>
      <c r="AB555" s="207"/>
      <c r="AC555" s="5"/>
      <c r="AD555" s="63"/>
      <c r="AE555" s="64"/>
      <c r="AF555" s="64"/>
      <c r="AG555" s="212"/>
      <c r="AH555" s="64"/>
      <c r="AI555" s="64"/>
      <c r="AJ555" s="64"/>
      <c r="AK555" s="212"/>
      <c r="AL555" s="64"/>
      <c r="AM555" s="64"/>
      <c r="AN555" s="64"/>
      <c r="AO555" s="64"/>
      <c r="AP555" s="63"/>
      <c r="AQ555" s="64"/>
      <c r="AR555" s="63"/>
      <c r="AS555" s="64"/>
      <c r="AT555" s="63"/>
      <c r="AU555" s="64"/>
      <c r="AV555" s="63"/>
      <c r="AW555" s="64"/>
      <c r="AX555" s="63"/>
      <c r="AY555" s="5"/>
      <c r="AZ555" s="21" t="str">
        <f t="shared" si="238"/>
        <v/>
      </c>
      <c r="BA555" s="264" t="s">
        <v>144</v>
      </c>
      <c r="BB555" s="264"/>
      <c r="BC555" s="264"/>
      <c r="BD555" s="264" t="s">
        <v>34</v>
      </c>
      <c r="BE555" s="216" t="s">
        <v>363</v>
      </c>
      <c r="BF555" s="56"/>
      <c r="BG555" s="56"/>
      <c r="BH555" s="56"/>
      <c r="BI555" s="56"/>
      <c r="BJ555" s="56"/>
      <c r="BK555" s="56"/>
      <c r="BL555" s="56"/>
      <c r="BM555" s="56"/>
      <c r="BN555" s="56"/>
      <c r="BO555" s="56"/>
      <c r="BP555" s="56"/>
      <c r="BQ555" s="5"/>
      <c r="BR555" s="25"/>
      <c r="BS555" s="5"/>
    </row>
    <row r="556" spans="1:71" s="3" customFormat="1" x14ac:dyDescent="0.25">
      <c r="A556" s="5"/>
      <c r="B556" s="3" t="str">
        <f t="array" ref="B556">IFERROR(INDEX(DemandSupply,MATCH(INDEX($AH$1:AH556,SMALL(ROW($AH$1:AH556)+(10000*($AH$1:AH556="")),COUNTA($AH$1:AH556))),Sectors,0)),"")</f>
        <v>Demand</v>
      </c>
      <c r="E556" s="10"/>
      <c r="F556" s="207"/>
      <c r="G556" s="207"/>
      <c r="H556" s="207"/>
      <c r="I556" s="207"/>
      <c r="J556" s="207"/>
      <c r="K556" s="207"/>
      <c r="L556" s="207"/>
      <c r="M556" s="207"/>
      <c r="N556" s="207"/>
      <c r="O556" s="207"/>
      <c r="P556" s="207"/>
      <c r="Q556" s="207"/>
      <c r="R556" s="207"/>
      <c r="S556" s="207"/>
      <c r="T556" s="207"/>
      <c r="U556" s="207"/>
      <c r="V556" s="207"/>
      <c r="W556" s="207"/>
      <c r="X556" s="207"/>
      <c r="Y556" s="207"/>
      <c r="Z556" s="207"/>
      <c r="AA556" s="207"/>
      <c r="AB556" s="207"/>
      <c r="AC556" s="5"/>
      <c r="AD556" s="63"/>
      <c r="AE556" s="64"/>
      <c r="AF556" s="64"/>
      <c r="AG556" s="212"/>
      <c r="AH556" s="64"/>
      <c r="AI556" s="64"/>
      <c r="AJ556" s="64"/>
      <c r="AK556" s="212"/>
      <c r="AL556" s="64"/>
      <c r="AM556" s="64"/>
      <c r="AN556" s="64"/>
      <c r="AO556" s="64"/>
      <c r="AP556" s="63"/>
      <c r="AQ556" s="64"/>
      <c r="AR556" s="63"/>
      <c r="AS556" s="64"/>
      <c r="AT556" s="63"/>
      <c r="AU556" s="64"/>
      <c r="AV556" s="63"/>
      <c r="AW556" s="64"/>
      <c r="AX556" s="63"/>
      <c r="AY556" s="5"/>
      <c r="AZ556" s="21" t="str">
        <f t="shared" si="238"/>
        <v/>
      </c>
      <c r="BA556" s="264" t="s">
        <v>76</v>
      </c>
      <c r="BB556" s="264"/>
      <c r="BC556" s="264"/>
      <c r="BD556" s="264" t="s">
        <v>99</v>
      </c>
      <c r="BE556" s="216" t="s">
        <v>363</v>
      </c>
      <c r="BF556" s="303">
        <v>0.95</v>
      </c>
      <c r="BG556" s="303"/>
      <c r="BH556" s="303"/>
      <c r="BI556" s="303"/>
      <c r="BJ556" s="303"/>
      <c r="BK556" s="303"/>
      <c r="BL556" s="303"/>
      <c r="BM556" s="303"/>
      <c r="BN556" s="303"/>
      <c r="BO556" s="303"/>
      <c r="BP556" s="303"/>
      <c r="BQ556" s="5"/>
      <c r="BR556" s="25"/>
      <c r="BS556" s="5"/>
    </row>
    <row r="557" spans="1:71" s="3" customFormat="1" x14ac:dyDescent="0.25">
      <c r="A557" s="5"/>
      <c r="B557" s="3" t="str">
        <f t="array" ref="B557">IFERROR(INDEX(DemandSupply,MATCH(INDEX($AH$1:AH557,SMALL(ROW($AH$1:AH557)+(10000*($AH$1:AH557="")),COUNTA($AH$1:AH557))),Sectors,0)),"")</f>
        <v>Demand</v>
      </c>
      <c r="E557" s="10"/>
      <c r="F557" s="207"/>
      <c r="G557" s="207"/>
      <c r="H557" s="207"/>
      <c r="I557" s="207"/>
      <c r="J557" s="207"/>
      <c r="K557" s="207"/>
      <c r="L557" s="207"/>
      <c r="M557" s="207"/>
      <c r="N557" s="207"/>
      <c r="O557" s="207"/>
      <c r="P557" s="207"/>
      <c r="Q557" s="207"/>
      <c r="R557" s="207"/>
      <c r="S557" s="207"/>
      <c r="T557" s="207"/>
      <c r="U557" s="207"/>
      <c r="V557" s="207"/>
      <c r="W557" s="207"/>
      <c r="X557" s="207"/>
      <c r="Y557" s="207"/>
      <c r="Z557" s="207"/>
      <c r="AA557" s="207"/>
      <c r="AB557" s="207"/>
      <c r="AC557" s="5"/>
      <c r="AD557" s="63"/>
      <c r="AE557" s="64"/>
      <c r="AF557" s="64"/>
      <c r="AG557" s="212"/>
      <c r="AH557" s="64"/>
      <c r="AI557" s="64"/>
      <c r="AJ557" s="64"/>
      <c r="AK557" s="212"/>
      <c r="AL557" s="64"/>
      <c r="AM557" s="64"/>
      <c r="AN557" s="64"/>
      <c r="AO557" s="64"/>
      <c r="AP557" s="63"/>
      <c r="AQ557" s="64"/>
      <c r="AR557" s="63"/>
      <c r="AS557" s="64"/>
      <c r="AT557" s="63"/>
      <c r="AU557" s="64"/>
      <c r="AV557" s="63"/>
      <c r="AW557" s="64"/>
      <c r="AX557" s="63"/>
      <c r="AY557" s="5"/>
      <c r="AZ557" s="21" t="str">
        <f t="shared" si="238"/>
        <v/>
      </c>
      <c r="BA557" s="75" t="s">
        <v>166</v>
      </c>
      <c r="BB557" s="75"/>
      <c r="BC557" s="270"/>
      <c r="BD557" s="75" t="s">
        <v>99</v>
      </c>
      <c r="BE557" s="216" t="s">
        <v>363</v>
      </c>
      <c r="BF557" s="303"/>
      <c r="BG557" s="303"/>
      <c r="BH557" s="303"/>
      <c r="BI557" s="303"/>
      <c r="BJ557" s="303"/>
      <c r="BK557" s="303"/>
      <c r="BL557" s="303"/>
      <c r="BM557" s="303"/>
      <c r="BN557" s="303"/>
      <c r="BO557" s="303"/>
      <c r="BP557" s="303"/>
      <c r="BQ557" s="5"/>
      <c r="BR557" s="25"/>
      <c r="BS557" s="5"/>
    </row>
    <row r="558" spans="1:71" s="3" customFormat="1" x14ac:dyDescent="0.25">
      <c r="A558" s="5"/>
      <c r="B558" s="3" t="str">
        <f t="array" ref="B558">IFERROR(INDEX(DemandSupply,MATCH(INDEX($AH$1:AH558,SMALL(ROW($AH$1:AH558)+(10000*($AH$1:AH558="")),COUNTA($AH$1:AH558))),Sectors,0)),"")</f>
        <v>Demand</v>
      </c>
      <c r="E558" s="10"/>
      <c r="F558" s="207"/>
      <c r="G558" s="207"/>
      <c r="H558" s="207"/>
      <c r="I558" s="207"/>
      <c r="J558" s="207"/>
      <c r="K558" s="207"/>
      <c r="L558" s="207"/>
      <c r="M558" s="207"/>
      <c r="N558" s="207"/>
      <c r="O558" s="207"/>
      <c r="P558" s="207"/>
      <c r="Q558" s="207"/>
      <c r="R558" s="207"/>
      <c r="S558" s="207"/>
      <c r="T558" s="207"/>
      <c r="U558" s="207"/>
      <c r="V558" s="207"/>
      <c r="W558" s="207"/>
      <c r="X558" s="207"/>
      <c r="Y558" s="207"/>
      <c r="Z558" s="207"/>
      <c r="AA558" s="207"/>
      <c r="AB558" s="207"/>
      <c r="AC558" s="5"/>
      <c r="AD558" s="63"/>
      <c r="AE558" s="64"/>
      <c r="AF558" s="64"/>
      <c r="AG558" s="212"/>
      <c r="AH558" s="64"/>
      <c r="AI558" s="64"/>
      <c r="AJ558" s="64"/>
      <c r="AK558" s="212"/>
      <c r="AL558" s="64"/>
      <c r="AM558" s="64"/>
      <c r="AN558" s="64"/>
      <c r="AO558" s="64"/>
      <c r="AP558" s="63"/>
      <c r="AQ558" s="64"/>
      <c r="AR558" s="63"/>
      <c r="AS558" s="64"/>
      <c r="AT558" s="63"/>
      <c r="AU558" s="64"/>
      <c r="AV558" s="63"/>
      <c r="AW558" s="64"/>
      <c r="AX558" s="63"/>
      <c r="AY558" s="5"/>
      <c r="AZ558" s="21" t="str">
        <f t="shared" si="238"/>
        <v/>
      </c>
      <c r="BA558" s="75" t="s">
        <v>167</v>
      </c>
      <c r="BB558" s="75"/>
      <c r="BC558" s="270"/>
      <c r="BD558" s="75" t="s">
        <v>99</v>
      </c>
      <c r="BE558" s="216" t="s">
        <v>363</v>
      </c>
      <c r="BF558" s="303"/>
      <c r="BG558" s="303"/>
      <c r="BH558" s="303"/>
      <c r="BI558" s="303"/>
      <c r="BJ558" s="303"/>
      <c r="BK558" s="303"/>
      <c r="BL558" s="303"/>
      <c r="BM558" s="303"/>
      <c r="BN558" s="303"/>
      <c r="BO558" s="303"/>
      <c r="BP558" s="303"/>
      <c r="BQ558" s="5"/>
      <c r="BR558" s="25"/>
      <c r="BS558" s="5"/>
    </row>
    <row r="559" spans="1:71" s="3" customFormat="1" x14ac:dyDescent="0.25">
      <c r="A559" s="5"/>
      <c r="B559" s="3" t="str">
        <f t="array" ref="B559">IFERROR(INDEX(DemandSupply,MATCH(INDEX($AH$1:AH559,SMALL(ROW($AH$1:AH559)+(10000*($AH$1:AH559="")),COUNTA($AH$1:AH559))),Sectors,0)),"")</f>
        <v>Demand</v>
      </c>
      <c r="E559" s="10"/>
      <c r="F559" s="207"/>
      <c r="G559" s="207"/>
      <c r="H559" s="207"/>
      <c r="I559" s="207"/>
      <c r="J559" s="207"/>
      <c r="K559" s="207"/>
      <c r="L559" s="207"/>
      <c r="M559" s="207"/>
      <c r="N559" s="207"/>
      <c r="O559" s="207"/>
      <c r="P559" s="207"/>
      <c r="Q559" s="207"/>
      <c r="R559" s="207"/>
      <c r="S559" s="207"/>
      <c r="T559" s="207"/>
      <c r="U559" s="207"/>
      <c r="V559" s="207"/>
      <c r="W559" s="207"/>
      <c r="X559" s="207"/>
      <c r="Y559" s="207"/>
      <c r="Z559" s="207"/>
      <c r="AA559" s="207"/>
      <c r="AB559" s="207"/>
      <c r="AC559" s="5"/>
      <c r="AD559" s="63"/>
      <c r="AE559" s="64"/>
      <c r="AF559" s="64"/>
      <c r="AG559" s="212"/>
      <c r="AH559" s="64"/>
      <c r="AI559" s="64"/>
      <c r="AJ559" s="64"/>
      <c r="AK559" s="212"/>
      <c r="AL559" s="64"/>
      <c r="AM559" s="64"/>
      <c r="AN559" s="64"/>
      <c r="AO559" s="64"/>
      <c r="AP559" s="63"/>
      <c r="AQ559" s="64"/>
      <c r="AR559" s="63"/>
      <c r="AS559" s="64"/>
      <c r="AT559" s="63"/>
      <c r="AU559" s="64"/>
      <c r="AV559" s="63"/>
      <c r="AW559" s="64"/>
      <c r="AX559" s="63"/>
      <c r="AY559" s="5"/>
      <c r="AZ559" s="21" t="str">
        <f t="shared" si="238"/>
        <v/>
      </c>
      <c r="BA559" s="75" t="s">
        <v>408</v>
      </c>
      <c r="BB559" s="75"/>
      <c r="BC559" s="270"/>
      <c r="BD559" s="75" t="s">
        <v>99</v>
      </c>
      <c r="BE559" s="216" t="s">
        <v>363</v>
      </c>
      <c r="BF559" s="303"/>
      <c r="BG559" s="303"/>
      <c r="BH559" s="303"/>
      <c r="BI559" s="303"/>
      <c r="BJ559" s="303"/>
      <c r="BK559" s="303"/>
      <c r="BL559" s="303"/>
      <c r="BM559" s="303"/>
      <c r="BN559" s="303"/>
      <c r="BO559" s="303"/>
      <c r="BP559" s="303"/>
      <c r="BQ559" s="5"/>
      <c r="BR559" s="25"/>
      <c r="BS559" s="5"/>
    </row>
    <row r="560" spans="1:71" s="3" customFormat="1" x14ac:dyDescent="0.25">
      <c r="A560" s="5"/>
      <c r="B560" s="3" t="str">
        <f t="array" ref="B560">IFERROR(INDEX(DemandSupply,MATCH(INDEX($AH$1:AH560,SMALL(ROW($AH$1:AH560)+(10000*($AH$1:AH560="")),COUNTA($AH$1:AH560))),Sectors,0)),"")</f>
        <v>Demand</v>
      </c>
      <c r="E560" s="10"/>
      <c r="F560" s="207"/>
      <c r="G560" s="207"/>
      <c r="H560" s="207"/>
      <c r="I560" s="207"/>
      <c r="J560" s="207"/>
      <c r="K560" s="207"/>
      <c r="L560" s="207"/>
      <c r="M560" s="207"/>
      <c r="N560" s="207"/>
      <c r="O560" s="207"/>
      <c r="P560" s="207"/>
      <c r="Q560" s="207"/>
      <c r="R560" s="207"/>
      <c r="S560" s="207"/>
      <c r="T560" s="207"/>
      <c r="U560" s="207"/>
      <c r="V560" s="207"/>
      <c r="W560" s="207"/>
      <c r="X560" s="207"/>
      <c r="Y560" s="207"/>
      <c r="Z560" s="207"/>
      <c r="AA560" s="207"/>
      <c r="AB560" s="207"/>
      <c r="AC560" s="5"/>
      <c r="AD560" s="63"/>
      <c r="AE560" s="64"/>
      <c r="AF560" s="64"/>
      <c r="AG560" s="212"/>
      <c r="AH560" s="64"/>
      <c r="AI560" s="64"/>
      <c r="AJ560" s="64"/>
      <c r="AK560" s="212"/>
      <c r="AL560" s="64"/>
      <c r="AM560" s="64"/>
      <c r="AN560" s="64"/>
      <c r="AO560" s="64"/>
      <c r="AP560" s="63"/>
      <c r="AQ560" s="64"/>
      <c r="AR560" s="63"/>
      <c r="AS560" s="64"/>
      <c r="AT560" s="63"/>
      <c r="AU560" s="64"/>
      <c r="AV560" s="63"/>
      <c r="AW560" s="64"/>
      <c r="AX560" s="63"/>
      <c r="AY560" s="5"/>
      <c r="AZ560" s="21" t="str">
        <f t="shared" si="238"/>
        <v/>
      </c>
      <c r="BA560" s="75" t="s">
        <v>409</v>
      </c>
      <c r="BB560" s="75"/>
      <c r="BC560" s="270"/>
      <c r="BD560" s="75" t="s">
        <v>99</v>
      </c>
      <c r="BE560" s="216" t="s">
        <v>363</v>
      </c>
      <c r="BF560" s="303"/>
      <c r="BG560" s="303"/>
      <c r="BH560" s="303"/>
      <c r="BI560" s="303"/>
      <c r="BJ560" s="303"/>
      <c r="BK560" s="303"/>
      <c r="BL560" s="303"/>
      <c r="BM560" s="303"/>
      <c r="BN560" s="303"/>
      <c r="BO560" s="303"/>
      <c r="BP560" s="303"/>
      <c r="BQ560" s="5"/>
      <c r="BR560" s="25"/>
      <c r="BS560" s="5"/>
    </row>
    <row r="561" spans="1:71" s="3" customFormat="1" x14ac:dyDescent="0.25">
      <c r="A561" s="5"/>
      <c r="B561" s="3" t="str">
        <f t="array" ref="B561">IFERROR(INDEX(DemandSupply,MATCH(INDEX($AH$1:AH561,SMALL(ROW($AH$1:AH561)+(10000*($AH$1:AH561="")),COUNTA($AH$1:AH561))),Sectors,0)),"")</f>
        <v>Demand</v>
      </c>
      <c r="E561" s="10"/>
      <c r="F561" s="207"/>
      <c r="G561" s="207"/>
      <c r="H561" s="207"/>
      <c r="I561" s="207"/>
      <c r="J561" s="207"/>
      <c r="K561" s="207"/>
      <c r="L561" s="207"/>
      <c r="M561" s="207"/>
      <c r="N561" s="207"/>
      <c r="O561" s="207"/>
      <c r="P561" s="207"/>
      <c r="Q561" s="207"/>
      <c r="R561" s="207"/>
      <c r="S561" s="207"/>
      <c r="T561" s="207"/>
      <c r="U561" s="207"/>
      <c r="V561" s="207"/>
      <c r="W561" s="207"/>
      <c r="X561" s="207"/>
      <c r="Y561" s="207"/>
      <c r="Z561" s="207"/>
      <c r="AA561" s="207"/>
      <c r="AB561" s="207"/>
      <c r="AC561" s="5"/>
      <c r="AD561" s="63"/>
      <c r="AE561" s="64"/>
      <c r="AF561" s="64"/>
      <c r="AG561" s="212"/>
      <c r="AH561" s="64"/>
      <c r="AI561" s="64"/>
      <c r="AJ561" s="64"/>
      <c r="AK561" s="212"/>
      <c r="AL561" s="64"/>
      <c r="AM561" s="64"/>
      <c r="AN561" s="64"/>
      <c r="AO561" s="64"/>
      <c r="AP561" s="63"/>
      <c r="AQ561" s="64"/>
      <c r="AR561" s="63"/>
      <c r="AS561" s="64"/>
      <c r="AT561" s="63"/>
      <c r="AU561" s="64"/>
      <c r="AV561" s="63"/>
      <c r="AW561" s="64"/>
      <c r="AX561" s="63"/>
      <c r="AY561" s="5"/>
      <c r="AZ561" s="21" t="str">
        <f t="shared" si="238"/>
        <v/>
      </c>
      <c r="BA561" s="264" t="s">
        <v>371</v>
      </c>
      <c r="BB561" s="264"/>
      <c r="BC561" s="264"/>
      <c r="BD561" s="264" t="s">
        <v>34</v>
      </c>
      <c r="BE561" s="216" t="s">
        <v>363</v>
      </c>
      <c r="BF561" s="56">
        <v>642.4</v>
      </c>
      <c r="BG561" s="282">
        <f t="shared" ref="BG561:BG562" si="261">BF561</f>
        <v>642.4</v>
      </c>
      <c r="BH561" s="282">
        <f t="shared" ref="BH561:BH562" si="262">BG561</f>
        <v>642.4</v>
      </c>
      <c r="BI561" s="282">
        <f t="shared" ref="BI561:BI562" si="263">BH561</f>
        <v>642.4</v>
      </c>
      <c r="BJ561" s="282">
        <f t="shared" ref="BJ561:BJ562" si="264">BI561</f>
        <v>642.4</v>
      </c>
      <c r="BK561" s="282">
        <f t="shared" ref="BK561:BK562" si="265">BJ561</f>
        <v>642.4</v>
      </c>
      <c r="BL561" s="282">
        <f t="shared" ref="BL561:BL562" si="266">BK561</f>
        <v>642.4</v>
      </c>
      <c r="BM561" s="282">
        <f t="shared" ref="BM561:BM562" si="267">BL561</f>
        <v>642.4</v>
      </c>
      <c r="BN561" s="282">
        <f t="shared" ref="BN561:BN562" si="268">BM561</f>
        <v>642.4</v>
      </c>
      <c r="BO561" s="282">
        <f t="shared" ref="BO561:BO562" si="269">BN561</f>
        <v>642.4</v>
      </c>
      <c r="BP561" s="282">
        <f t="shared" ref="BP561:BP562" si="270">BO561</f>
        <v>642.4</v>
      </c>
      <c r="BQ561" s="5"/>
      <c r="BR561" s="25"/>
      <c r="BS561" s="5"/>
    </row>
    <row r="562" spans="1:71" s="3" customFormat="1" x14ac:dyDescent="0.25">
      <c r="A562" s="5"/>
      <c r="B562" s="3" t="str">
        <f t="array" ref="B562">IFERROR(INDEX(DemandSupply,MATCH(INDEX($AH$1:AH562,SMALL(ROW($AH$1:AH562)+(10000*($AH$1:AH562="")),COUNTA($AH$1:AH562))),Sectors,0)),"")</f>
        <v>Demand</v>
      </c>
      <c r="E562" s="10"/>
      <c r="F562" s="207"/>
      <c r="G562" s="207"/>
      <c r="H562" s="207"/>
      <c r="I562" s="207"/>
      <c r="J562" s="207"/>
      <c r="K562" s="207"/>
      <c r="L562" s="207"/>
      <c r="M562" s="207"/>
      <c r="N562" s="207"/>
      <c r="O562" s="207"/>
      <c r="P562" s="207"/>
      <c r="Q562" s="207"/>
      <c r="R562" s="207"/>
      <c r="S562" s="207"/>
      <c r="T562" s="207"/>
      <c r="U562" s="207"/>
      <c r="V562" s="207"/>
      <c r="W562" s="207"/>
      <c r="X562" s="207"/>
      <c r="Y562" s="207"/>
      <c r="Z562" s="207"/>
      <c r="AA562" s="207"/>
      <c r="AB562" s="207"/>
      <c r="AC562" s="5"/>
      <c r="AD562" s="63"/>
      <c r="AE562" s="64"/>
      <c r="AF562" s="64"/>
      <c r="AG562" s="212"/>
      <c r="AH562" s="64"/>
      <c r="AI562" s="64"/>
      <c r="AJ562" s="64"/>
      <c r="AK562" s="212"/>
      <c r="AL562" s="64"/>
      <c r="AM562" s="64"/>
      <c r="AN562" s="64"/>
      <c r="AO562" s="64"/>
      <c r="AP562" s="63"/>
      <c r="AQ562" s="64"/>
      <c r="AR562" s="63"/>
      <c r="AS562" s="64"/>
      <c r="AT562" s="63"/>
      <c r="AU562" s="64"/>
      <c r="AV562" s="63"/>
      <c r="AW562" s="64"/>
      <c r="AX562" s="63"/>
      <c r="AY562" s="5"/>
      <c r="AZ562" s="21" t="str">
        <f t="shared" si="238"/>
        <v/>
      </c>
      <c r="BA562" s="264" t="s">
        <v>170</v>
      </c>
      <c r="BB562" s="264"/>
      <c r="BC562" s="264"/>
      <c r="BD562" s="264" t="s">
        <v>354</v>
      </c>
      <c r="BE562" s="216" t="s">
        <v>363</v>
      </c>
      <c r="BF562" s="56">
        <v>2962.596</v>
      </c>
      <c r="BG562" s="282">
        <f t="shared" si="261"/>
        <v>2962.596</v>
      </c>
      <c r="BH562" s="282">
        <f t="shared" si="262"/>
        <v>2962.596</v>
      </c>
      <c r="BI562" s="282">
        <f t="shared" si="263"/>
        <v>2962.596</v>
      </c>
      <c r="BJ562" s="282">
        <f t="shared" si="264"/>
        <v>2962.596</v>
      </c>
      <c r="BK562" s="282">
        <f t="shared" si="265"/>
        <v>2962.596</v>
      </c>
      <c r="BL562" s="282">
        <f t="shared" si="266"/>
        <v>2962.596</v>
      </c>
      <c r="BM562" s="282">
        <f t="shared" si="267"/>
        <v>2962.596</v>
      </c>
      <c r="BN562" s="282">
        <f t="shared" si="268"/>
        <v>2962.596</v>
      </c>
      <c r="BO562" s="282">
        <f t="shared" si="269"/>
        <v>2962.596</v>
      </c>
      <c r="BP562" s="282">
        <f t="shared" si="270"/>
        <v>2962.596</v>
      </c>
      <c r="BQ562" s="5"/>
      <c r="BR562" s="25"/>
      <c r="BS562" s="5"/>
    </row>
    <row r="563" spans="1:71" s="3" customFormat="1" x14ac:dyDescent="0.25">
      <c r="A563" s="5"/>
      <c r="B563" s="3" t="str">
        <f t="array" ref="B563">IFERROR(INDEX(DemandSupply,MATCH(INDEX($AH$1:AH563,SMALL(ROW($AH$1:AH563)+(10000*($AH$1:AH563="")),COUNTA($AH$1:AH563))),Sectors,0)),"")</f>
        <v>Demand</v>
      </c>
      <c r="E563" s="10"/>
      <c r="F563" s="207"/>
      <c r="G563" s="207"/>
      <c r="H563" s="207"/>
      <c r="I563" s="207"/>
      <c r="J563" s="207"/>
      <c r="K563" s="207"/>
      <c r="L563" s="207"/>
      <c r="M563" s="207"/>
      <c r="N563" s="207"/>
      <c r="O563" s="207"/>
      <c r="P563" s="207"/>
      <c r="Q563" s="207"/>
      <c r="R563" s="207"/>
      <c r="S563" s="207"/>
      <c r="T563" s="207"/>
      <c r="U563" s="207"/>
      <c r="V563" s="207"/>
      <c r="W563" s="207"/>
      <c r="X563" s="207"/>
      <c r="Y563" s="207"/>
      <c r="Z563" s="207"/>
      <c r="AA563" s="207"/>
      <c r="AB563" s="207"/>
      <c r="AC563" s="5"/>
      <c r="AD563" s="63"/>
      <c r="AE563" s="64"/>
      <c r="AF563" s="64"/>
      <c r="AG563" s="212"/>
      <c r="AH563" s="64"/>
      <c r="AI563" s="64"/>
      <c r="AJ563" s="64"/>
      <c r="AK563" s="212"/>
      <c r="AL563" s="64"/>
      <c r="AM563" s="64"/>
      <c r="AN563" s="64"/>
      <c r="AO563" s="64"/>
      <c r="AP563" s="63"/>
      <c r="AQ563" s="64"/>
      <c r="AR563" s="63"/>
      <c r="AS563" s="64"/>
      <c r="AT563" s="63"/>
      <c r="AU563" s="64"/>
      <c r="AV563" s="63"/>
      <c r="AW563" s="64"/>
      <c r="AX563" s="63"/>
      <c r="AY563" s="5"/>
      <c r="AZ563" s="21" t="str">
        <f t="shared" si="238"/>
        <v/>
      </c>
      <c r="BA563" s="264" t="s">
        <v>425</v>
      </c>
      <c r="BB563" s="264"/>
      <c r="BC563" s="264"/>
      <c r="BD563" s="264" t="s">
        <v>99</v>
      </c>
      <c r="BE563" s="216" t="s">
        <v>363</v>
      </c>
      <c r="BF563" s="303"/>
      <c r="BG563" s="303"/>
      <c r="BH563" s="303"/>
      <c r="BI563" s="303"/>
      <c r="BJ563" s="303"/>
      <c r="BK563" s="303"/>
      <c r="BL563" s="303"/>
      <c r="BM563" s="303"/>
      <c r="BN563" s="303"/>
      <c r="BO563" s="303"/>
      <c r="BP563" s="303"/>
      <c r="BQ563" s="5"/>
      <c r="BR563" s="25"/>
      <c r="BS563" s="5"/>
    </row>
    <row r="564" spans="1:71" s="3" customFormat="1" x14ac:dyDescent="0.25">
      <c r="A564" s="5"/>
      <c r="B564" s="3" t="str">
        <f t="array" ref="B564">IFERROR(INDEX(DemandSupply,MATCH(INDEX($AH$1:AH564,SMALL(ROW($AH$1:AH564)+(10000*($AH$1:AH564="")),COUNTA($AH$1:AH564))),Sectors,0)),"")</f>
        <v>Demand</v>
      </c>
      <c r="E564" s="10"/>
      <c r="F564" s="207"/>
      <c r="G564" s="207"/>
      <c r="H564" s="207"/>
      <c r="I564" s="207"/>
      <c r="J564" s="207"/>
      <c r="K564" s="207"/>
      <c r="L564" s="207"/>
      <c r="M564" s="207"/>
      <c r="N564" s="207"/>
      <c r="O564" s="207"/>
      <c r="P564" s="207"/>
      <c r="Q564" s="207"/>
      <c r="R564" s="207"/>
      <c r="S564" s="207"/>
      <c r="T564" s="207"/>
      <c r="U564" s="207"/>
      <c r="V564" s="207"/>
      <c r="W564" s="207"/>
      <c r="X564" s="207"/>
      <c r="Y564" s="207"/>
      <c r="Z564" s="207"/>
      <c r="AA564" s="207"/>
      <c r="AB564" s="207"/>
      <c r="AC564" s="5"/>
      <c r="AD564" s="63"/>
      <c r="AE564" s="64"/>
      <c r="AF564" s="64"/>
      <c r="AG564" s="212"/>
      <c r="AH564" s="64"/>
      <c r="AI564" s="64"/>
      <c r="AJ564" s="64"/>
      <c r="AK564" s="212"/>
      <c r="AL564" s="64"/>
      <c r="AM564" s="64"/>
      <c r="AN564" s="64"/>
      <c r="AO564" s="64"/>
      <c r="AP564" s="63"/>
      <c r="AQ564" s="64"/>
      <c r="AR564" s="63"/>
      <c r="AS564" s="64"/>
      <c r="AT564" s="63"/>
      <c r="AU564" s="64"/>
      <c r="AV564" s="63"/>
      <c r="AW564" s="64"/>
      <c r="AX564" s="63"/>
      <c r="AY564" s="5"/>
      <c r="AZ564" s="21" t="str">
        <f t="shared" si="238"/>
        <v/>
      </c>
      <c r="BA564" s="264" t="s">
        <v>438</v>
      </c>
      <c r="BB564" s="264"/>
      <c r="BC564" s="264"/>
      <c r="BD564" s="264" t="s">
        <v>34</v>
      </c>
      <c r="BE564" s="216" t="s">
        <v>363</v>
      </c>
      <c r="BF564" s="56"/>
      <c r="BG564" s="56"/>
      <c r="BH564" s="56"/>
      <c r="BI564" s="56"/>
      <c r="BJ564" s="56"/>
      <c r="BK564" s="56"/>
      <c r="BL564" s="56"/>
      <c r="BM564" s="56"/>
      <c r="BN564" s="56"/>
      <c r="BO564" s="56"/>
      <c r="BP564" s="56"/>
      <c r="BQ564" s="5"/>
      <c r="BR564" s="25"/>
      <c r="BS564" s="5"/>
    </row>
    <row r="565" spans="1:71" s="3" customFormat="1" x14ac:dyDescent="0.25">
      <c r="A565" s="5"/>
      <c r="B565" s="3" t="str">
        <f t="array" ref="B565">IFERROR(INDEX(DemandSupply,MATCH(INDEX($AH$1:AH565,SMALL(ROW($AH$1:AH565)+(10000*($AH$1:AH565="")),COUNTA($AH$1:AH565))),Sectors,0)),"")</f>
        <v>Demand</v>
      </c>
      <c r="E565" s="10"/>
      <c r="F565" s="207"/>
      <c r="G565" s="207"/>
      <c r="H565" s="207"/>
      <c r="I565" s="207"/>
      <c r="J565" s="207"/>
      <c r="K565" s="207"/>
      <c r="L565" s="207"/>
      <c r="M565" s="207"/>
      <c r="N565" s="207"/>
      <c r="O565" s="207"/>
      <c r="P565" s="207"/>
      <c r="Q565" s="207"/>
      <c r="R565" s="207"/>
      <c r="S565" s="207"/>
      <c r="T565" s="207"/>
      <c r="U565" s="207"/>
      <c r="V565" s="207"/>
      <c r="W565" s="207"/>
      <c r="X565" s="207"/>
      <c r="Y565" s="207"/>
      <c r="Z565" s="207"/>
      <c r="AA565" s="207"/>
      <c r="AB565" s="207"/>
      <c r="AC565" s="5"/>
      <c r="AD565" s="63"/>
      <c r="AE565" s="64"/>
      <c r="AF565" s="64"/>
      <c r="AG565" s="212"/>
      <c r="AH565" s="64"/>
      <c r="AI565" s="64"/>
      <c r="AJ565" s="64"/>
      <c r="AK565" s="212"/>
      <c r="AL565" s="64"/>
      <c r="AM565" s="64"/>
      <c r="AN565" s="64"/>
      <c r="AO565" s="64"/>
      <c r="AP565" s="63"/>
      <c r="AQ565" s="64"/>
      <c r="AR565" s="63"/>
      <c r="AS565" s="64"/>
      <c r="AT565" s="63"/>
      <c r="AU565" s="64"/>
      <c r="AV565" s="63"/>
      <c r="AW565" s="64"/>
      <c r="AX565" s="63"/>
      <c r="AY565" s="5"/>
      <c r="AZ565" s="21" t="str">
        <f t="shared" si="238"/>
        <v/>
      </c>
      <c r="BA565" s="264" t="s">
        <v>435</v>
      </c>
      <c r="BB565" s="264"/>
      <c r="BC565" s="264"/>
      <c r="BD565" s="264"/>
      <c r="BE565" s="216" t="s">
        <v>363</v>
      </c>
      <c r="BF565" s="55"/>
      <c r="BG565" s="55"/>
      <c r="BH565" s="55"/>
      <c r="BI565" s="55"/>
      <c r="BJ565" s="55"/>
      <c r="BK565" s="55"/>
      <c r="BL565" s="55"/>
      <c r="BM565" s="55"/>
      <c r="BN565" s="55"/>
      <c r="BO565" s="55"/>
      <c r="BP565" s="55"/>
      <c r="BQ565" s="5"/>
      <c r="BR565" s="25"/>
      <c r="BS565" s="5"/>
    </row>
    <row r="566" spans="1:71" s="3" customFormat="1" x14ac:dyDescent="0.25">
      <c r="A566" s="5"/>
      <c r="B566" s="3" t="str">
        <f t="array" ref="B566">IFERROR(INDEX(DemandSupply,MATCH(INDEX($AH$1:AH566,SMALL(ROW($AH$1:AH566)+(10000*($AH$1:AH566="")),COUNTA($AH$1:AH566))),Sectors,0)),"")</f>
        <v>Demand</v>
      </c>
      <c r="E566" s="10"/>
      <c r="F566" s="207"/>
      <c r="G566" s="207"/>
      <c r="H566" s="207"/>
      <c r="I566" s="207"/>
      <c r="J566" s="207"/>
      <c r="K566" s="207"/>
      <c r="L566" s="207"/>
      <c r="M566" s="207"/>
      <c r="N566" s="207"/>
      <c r="O566" s="207"/>
      <c r="P566" s="207"/>
      <c r="Q566" s="207"/>
      <c r="R566" s="207"/>
      <c r="S566" s="207"/>
      <c r="T566" s="207"/>
      <c r="U566" s="207"/>
      <c r="V566" s="207"/>
      <c r="W566" s="207"/>
      <c r="X566" s="207"/>
      <c r="Y566" s="207"/>
      <c r="Z566" s="207"/>
      <c r="AA566" s="207"/>
      <c r="AB566" s="207"/>
      <c r="AC566" s="5"/>
      <c r="AD566" s="63"/>
      <c r="AE566" s="64"/>
      <c r="AF566" s="64"/>
      <c r="AG566" s="212"/>
      <c r="AH566" s="64"/>
      <c r="AI566" s="64"/>
      <c r="AJ566" s="64"/>
      <c r="AK566" s="212"/>
      <c r="AL566" s="64"/>
      <c r="AM566" s="64"/>
      <c r="AN566" s="64"/>
      <c r="AO566" s="64"/>
      <c r="AP566" s="63"/>
      <c r="AQ566" s="64"/>
      <c r="AR566" s="63"/>
      <c r="AS566" s="64"/>
      <c r="AT566" s="63"/>
      <c r="AU566" s="64"/>
      <c r="AV566" s="63"/>
      <c r="AW566" s="64"/>
      <c r="AX566" s="63"/>
      <c r="AY566" s="5"/>
      <c r="AZ566" s="21" t="str">
        <f t="shared" si="238"/>
        <v/>
      </c>
      <c r="BA566" s="264" t="s">
        <v>407</v>
      </c>
      <c r="BB566" s="264"/>
      <c r="BC566" s="264"/>
      <c r="BD566" s="264" t="s">
        <v>99</v>
      </c>
      <c r="BE566" s="216" t="s">
        <v>363</v>
      </c>
      <c r="BF566" s="303"/>
      <c r="BG566" s="303"/>
      <c r="BH566" s="303"/>
      <c r="BI566" s="303"/>
      <c r="BJ566" s="303"/>
      <c r="BK566" s="303"/>
      <c r="BL566" s="303"/>
      <c r="BM566" s="303"/>
      <c r="BN566" s="303"/>
      <c r="BO566" s="303"/>
      <c r="BP566" s="303"/>
      <c r="BQ566" s="5"/>
      <c r="BR566" s="25"/>
      <c r="BS566" s="5"/>
    </row>
    <row r="567" spans="1:71" s="3" customFormat="1" x14ac:dyDescent="0.25">
      <c r="A567" s="5"/>
      <c r="B567" s="3" t="str">
        <f t="array" ref="B567">IFERROR(INDEX(DemandSupply,MATCH(INDEX($AH$1:AH567,SMALL(ROW($AH$1:AH567)+(10000*($AH$1:AH567="")),COUNTA($AH$1:AH567))),Sectors,0)),"")</f>
        <v>Demand</v>
      </c>
      <c r="E567" s="10"/>
      <c r="F567" s="207"/>
      <c r="G567" s="207"/>
      <c r="H567" s="207"/>
      <c r="I567" s="207"/>
      <c r="J567" s="207"/>
      <c r="K567" s="207"/>
      <c r="L567" s="207"/>
      <c r="M567" s="207"/>
      <c r="N567" s="207"/>
      <c r="O567" s="207"/>
      <c r="P567" s="207"/>
      <c r="Q567" s="207"/>
      <c r="R567" s="207"/>
      <c r="S567" s="207"/>
      <c r="T567" s="207"/>
      <c r="U567" s="207"/>
      <c r="V567" s="207"/>
      <c r="W567" s="207"/>
      <c r="X567" s="207"/>
      <c r="Y567" s="207"/>
      <c r="Z567" s="207"/>
      <c r="AA567" s="207"/>
      <c r="AB567" s="207"/>
      <c r="AC567" s="5"/>
      <c r="AD567" s="63"/>
      <c r="AE567" s="64"/>
      <c r="AF567" s="64"/>
      <c r="AG567" s="212"/>
      <c r="AH567" s="64"/>
      <c r="AI567" s="64"/>
      <c r="AJ567" s="64"/>
      <c r="AK567" s="212"/>
      <c r="AL567" s="64"/>
      <c r="AM567" s="64"/>
      <c r="AN567" s="64"/>
      <c r="AO567" s="64"/>
      <c r="AP567" s="63"/>
      <c r="AQ567" s="64"/>
      <c r="AR567" s="63"/>
      <c r="AS567" s="64"/>
      <c r="AT567" s="63"/>
      <c r="AU567" s="64"/>
      <c r="AV567" s="63"/>
      <c r="AW567" s="64"/>
      <c r="AX567" s="63"/>
      <c r="AY567" s="5"/>
      <c r="AZ567" s="21" t="str">
        <f t="shared" si="238"/>
        <v/>
      </c>
      <c r="BA567" s="264" t="s">
        <v>444</v>
      </c>
      <c r="BB567" s="264"/>
      <c r="BC567" s="264"/>
      <c r="BD567" s="264" t="s">
        <v>354</v>
      </c>
      <c r="BE567" s="216" t="s">
        <v>363</v>
      </c>
      <c r="BF567" s="56"/>
      <c r="BG567" s="56"/>
      <c r="BH567" s="56"/>
      <c r="BI567" s="56"/>
      <c r="BJ567" s="56"/>
      <c r="BK567" s="56"/>
      <c r="BL567" s="56"/>
      <c r="BM567" s="56"/>
      <c r="BN567" s="56"/>
      <c r="BO567" s="56"/>
      <c r="BP567" s="56"/>
      <c r="BQ567" s="5"/>
      <c r="BR567" s="25"/>
      <c r="BS567" s="5"/>
    </row>
    <row r="568" spans="1:71" s="3" customFormat="1" x14ac:dyDescent="0.25">
      <c r="A568" s="5"/>
      <c r="B568" s="3" t="str">
        <f t="array" ref="B568">IFERROR(INDEX(DemandSupply,MATCH(INDEX($AH$1:AH568,SMALL(ROW($AH$1:AH568)+(10000*($AH$1:AH568="")),COUNTA($AH$1:AH568))),Sectors,0)),"")</f>
        <v>Demand</v>
      </c>
      <c r="E568" s="10"/>
      <c r="F568" s="207"/>
      <c r="G568" s="207"/>
      <c r="H568" s="207"/>
      <c r="I568" s="207"/>
      <c r="J568" s="207"/>
      <c r="K568" s="207"/>
      <c r="L568" s="207"/>
      <c r="M568" s="207"/>
      <c r="N568" s="207"/>
      <c r="O568" s="207"/>
      <c r="P568" s="207"/>
      <c r="Q568" s="207"/>
      <c r="R568" s="207"/>
      <c r="S568" s="207"/>
      <c r="T568" s="207"/>
      <c r="U568" s="207"/>
      <c r="V568" s="207"/>
      <c r="W568" s="207"/>
      <c r="X568" s="207"/>
      <c r="Y568" s="207"/>
      <c r="Z568" s="207"/>
      <c r="AA568" s="207"/>
      <c r="AB568" s="207"/>
      <c r="AC568" s="5"/>
      <c r="AD568" s="63"/>
      <c r="AE568" s="64"/>
      <c r="AF568" s="64"/>
      <c r="AG568" s="212"/>
      <c r="AH568" s="64"/>
      <c r="AI568" s="64"/>
      <c r="AJ568" s="64"/>
      <c r="AK568" s="212"/>
      <c r="AL568" s="64"/>
      <c r="AM568" s="64"/>
      <c r="AN568" s="64"/>
      <c r="AO568" s="64"/>
      <c r="AP568" s="63"/>
      <c r="AQ568" s="64"/>
      <c r="AR568" s="63"/>
      <c r="AS568" s="64"/>
      <c r="AT568" s="63"/>
      <c r="AU568" s="64"/>
      <c r="AV568" s="63"/>
      <c r="AW568" s="64"/>
      <c r="AX568" s="63"/>
      <c r="AY568" s="5"/>
      <c r="AZ568" s="21" t="str">
        <f t="shared" si="238"/>
        <v/>
      </c>
      <c r="BA568" s="264" t="s">
        <v>446</v>
      </c>
      <c r="BB568" s="264"/>
      <c r="BC568" s="264"/>
      <c r="BD568" s="264" t="s">
        <v>354</v>
      </c>
      <c r="BE568" s="216" t="s">
        <v>363</v>
      </c>
      <c r="BF568" s="56"/>
      <c r="BG568" s="56"/>
      <c r="BH568" s="56"/>
      <c r="BI568" s="56"/>
      <c r="BJ568" s="56"/>
      <c r="BK568" s="56"/>
      <c r="BL568" s="56"/>
      <c r="BM568" s="56"/>
      <c r="BN568" s="56"/>
      <c r="BO568" s="56"/>
      <c r="BP568" s="56"/>
      <c r="BQ568" s="5"/>
      <c r="BR568" s="25"/>
      <c r="BS568" s="5"/>
    </row>
    <row r="569" spans="1:71" s="3" customFormat="1" x14ac:dyDescent="0.25">
      <c r="A569" s="5"/>
      <c r="B569" s="3" t="str">
        <f t="array" ref="B569">IFERROR(INDEX(DemandSupply,MATCH(INDEX($AH$1:AH569,SMALL(ROW($AH$1:AH569)+(10000*($AH$1:AH569="")),COUNTA($AH$1:AH569))),Sectors,0)),"")</f>
        <v>Demand</v>
      </c>
      <c r="E569" s="10"/>
      <c r="F569" s="207"/>
      <c r="G569" s="207"/>
      <c r="H569" s="207"/>
      <c r="I569" s="207"/>
      <c r="J569" s="207"/>
      <c r="K569" s="207"/>
      <c r="L569" s="207"/>
      <c r="M569" s="207"/>
      <c r="N569" s="207"/>
      <c r="O569" s="207"/>
      <c r="P569" s="207"/>
      <c r="Q569" s="207"/>
      <c r="R569" s="207"/>
      <c r="S569" s="207"/>
      <c r="T569" s="207"/>
      <c r="U569" s="207"/>
      <c r="V569" s="207"/>
      <c r="W569" s="207"/>
      <c r="X569" s="207"/>
      <c r="Y569" s="207"/>
      <c r="Z569" s="207"/>
      <c r="AA569" s="207"/>
      <c r="AB569" s="207"/>
      <c r="AC569" s="5"/>
      <c r="AD569" s="63"/>
      <c r="AE569" s="64"/>
      <c r="AF569" s="64"/>
      <c r="AG569" s="212"/>
      <c r="AH569" s="64"/>
      <c r="AI569" s="64"/>
      <c r="AJ569" s="64"/>
      <c r="AK569" s="212"/>
      <c r="AL569" s="64"/>
      <c r="AM569" s="64"/>
      <c r="AN569" s="64"/>
      <c r="AO569" s="64"/>
      <c r="AP569" s="63"/>
      <c r="AQ569" s="64"/>
      <c r="AR569" s="63"/>
      <c r="AS569" s="64"/>
      <c r="AT569" s="63"/>
      <c r="AU569" s="64"/>
      <c r="AV569" s="63"/>
      <c r="AW569" s="64"/>
      <c r="AX569" s="63"/>
      <c r="AY569" s="5"/>
      <c r="AZ569" s="21" t="str">
        <f t="shared" si="238"/>
        <v/>
      </c>
      <c r="BA569" s="264" t="s">
        <v>447</v>
      </c>
      <c r="BB569" s="264"/>
      <c r="BC569" s="264"/>
      <c r="BD569" s="264"/>
      <c r="BE569" s="216" t="s">
        <v>363</v>
      </c>
      <c r="BF569" s="55"/>
      <c r="BG569" s="55"/>
      <c r="BH569" s="55"/>
      <c r="BI569" s="55"/>
      <c r="BJ569" s="55"/>
      <c r="BK569" s="55"/>
      <c r="BL569" s="55"/>
      <c r="BM569" s="55"/>
      <c r="BN569" s="55"/>
      <c r="BO569" s="55"/>
      <c r="BP569" s="55"/>
      <c r="BQ569" s="5"/>
      <c r="BR569" s="25"/>
      <c r="BS569" s="5"/>
    </row>
    <row r="570" spans="1:71" s="3" customFormat="1" x14ac:dyDescent="0.25">
      <c r="A570" s="5"/>
      <c r="B570" s="3" t="str">
        <f t="array" ref="B570">IFERROR(INDEX(DemandSupply,MATCH(INDEX($AH$1:AH570,SMALL(ROW($AH$1:AH570)+(10000*($AH$1:AH570="")),COUNTA($AH$1:AH570))),Sectors,0)),"")</f>
        <v>Demand</v>
      </c>
      <c r="E570" s="10"/>
      <c r="F570" s="207"/>
      <c r="G570" s="207"/>
      <c r="H570" s="207"/>
      <c r="I570" s="207"/>
      <c r="J570" s="207"/>
      <c r="K570" s="207"/>
      <c r="L570" s="207"/>
      <c r="M570" s="207"/>
      <c r="N570" s="207"/>
      <c r="O570" s="207"/>
      <c r="P570" s="207"/>
      <c r="Q570" s="207"/>
      <c r="R570" s="207"/>
      <c r="S570" s="207"/>
      <c r="T570" s="207"/>
      <c r="U570" s="207"/>
      <c r="V570" s="207"/>
      <c r="W570" s="207"/>
      <c r="X570" s="207"/>
      <c r="Y570" s="207"/>
      <c r="Z570" s="207"/>
      <c r="AA570" s="207"/>
      <c r="AB570" s="207"/>
      <c r="AC570" s="5"/>
      <c r="AD570" s="63"/>
      <c r="AE570" s="64"/>
      <c r="AF570" s="64"/>
      <c r="AG570" s="212"/>
      <c r="AH570" s="64"/>
      <c r="AI570" s="64"/>
      <c r="AJ570" s="64"/>
      <c r="AK570" s="212"/>
      <c r="AL570" s="64"/>
      <c r="AM570" s="64"/>
      <c r="AN570" s="64"/>
      <c r="AO570" s="64"/>
      <c r="AP570" s="63"/>
      <c r="AQ570" s="64"/>
      <c r="AR570" s="63"/>
      <c r="AS570" s="64"/>
      <c r="AT570" s="63"/>
      <c r="AU570" s="64"/>
      <c r="AV570" s="63"/>
      <c r="AW570" s="64"/>
      <c r="AX570" s="63"/>
      <c r="AY570" s="5"/>
      <c r="AZ570" s="21" t="str">
        <f t="shared" si="238"/>
        <v/>
      </c>
      <c r="BA570" s="264" t="s">
        <v>448</v>
      </c>
      <c r="BB570" s="264"/>
      <c r="BC570" s="264"/>
      <c r="BD570" s="264"/>
      <c r="BE570" s="216" t="s">
        <v>363</v>
      </c>
      <c r="BF570" s="55"/>
      <c r="BG570" s="55"/>
      <c r="BH570" s="55"/>
      <c r="BI570" s="55"/>
      <c r="BJ570" s="55"/>
      <c r="BK570" s="55"/>
      <c r="BL570" s="55"/>
      <c r="BM570" s="55"/>
      <c r="BN570" s="55"/>
      <c r="BO570" s="55"/>
      <c r="BP570" s="55"/>
      <c r="BQ570" s="5"/>
      <c r="BR570" s="25"/>
      <c r="BS570" s="5"/>
    </row>
    <row r="571" spans="1:71" s="3" customFormat="1" x14ac:dyDescent="0.25">
      <c r="A571" s="5"/>
      <c r="B571" s="3" t="str">
        <f t="array" ref="B571">IFERROR(INDEX(DemandSupply,MATCH(INDEX($AH$1:AH571,SMALL(ROW($AH$1:AH571)+(10000*($AH$1:AH571="")),COUNTA($AH$1:AH571))),Sectors,0)),"")</f>
        <v>Demand</v>
      </c>
      <c r="E571" s="10"/>
      <c r="F571" s="207"/>
      <c r="G571" s="207"/>
      <c r="H571" s="207"/>
      <c r="I571" s="207"/>
      <c r="J571" s="207"/>
      <c r="K571" s="207"/>
      <c r="L571" s="207"/>
      <c r="M571" s="207"/>
      <c r="N571" s="207"/>
      <c r="O571" s="207"/>
      <c r="P571" s="207"/>
      <c r="Q571" s="207"/>
      <c r="R571" s="207"/>
      <c r="S571" s="207"/>
      <c r="T571" s="207"/>
      <c r="U571" s="207"/>
      <c r="V571" s="207"/>
      <c r="W571" s="207"/>
      <c r="X571" s="207"/>
      <c r="Y571" s="207"/>
      <c r="Z571" s="207"/>
      <c r="AA571" s="207"/>
      <c r="AB571" s="207"/>
      <c r="AC571" s="5"/>
      <c r="AD571" s="63"/>
      <c r="AE571" s="64"/>
      <c r="AF571" s="64"/>
      <c r="AG571" s="212"/>
      <c r="AH571" s="64"/>
      <c r="AI571" s="64"/>
      <c r="AJ571" s="64"/>
      <c r="AK571" s="212"/>
      <c r="AL571" s="64"/>
      <c r="AM571" s="64"/>
      <c r="AN571" s="64"/>
      <c r="AO571" s="64"/>
      <c r="AP571" s="63"/>
      <c r="AQ571" s="64"/>
      <c r="AR571" s="63"/>
      <c r="AS571" s="64"/>
      <c r="AT571" s="63"/>
      <c r="AU571" s="64"/>
      <c r="AV571" s="63"/>
      <c r="AW571" s="64"/>
      <c r="AX571" s="63"/>
      <c r="AY571" s="5"/>
      <c r="AZ571" s="21" t="str">
        <f t="shared" si="238"/>
        <v/>
      </c>
      <c r="BA571" s="264" t="s">
        <v>445</v>
      </c>
      <c r="BB571" s="264"/>
      <c r="BC571" s="264"/>
      <c r="BD571" s="264" t="s">
        <v>355</v>
      </c>
      <c r="BE571" s="216" t="s">
        <v>363</v>
      </c>
      <c r="BF571" s="56"/>
      <c r="BG571" s="56"/>
      <c r="BH571" s="56"/>
      <c r="BI571" s="56"/>
      <c r="BJ571" s="56"/>
      <c r="BK571" s="56"/>
      <c r="BL571" s="56"/>
      <c r="BM571" s="56"/>
      <c r="BN571" s="56"/>
      <c r="BO571" s="56"/>
      <c r="BP571" s="56"/>
      <c r="BQ571" s="5"/>
      <c r="BR571" s="25"/>
      <c r="BS571" s="5"/>
    </row>
    <row r="572" spans="1:71" s="3" customFormat="1" x14ac:dyDescent="0.25">
      <c r="A572" s="5"/>
      <c r="B572" s="3" t="str">
        <f t="array" ref="B572">IFERROR(INDEX(DemandSupply,MATCH(INDEX($AH$1:AH572,SMALL(ROW($AH$1:AH572)+(10000*($AH$1:AH572="")),COUNTA($AH$1:AH572))),Sectors,0)),"")</f>
        <v>Demand</v>
      </c>
      <c r="E572" s="10"/>
      <c r="F572" s="207"/>
      <c r="G572" s="207"/>
      <c r="H572" s="207"/>
      <c r="I572" s="207"/>
      <c r="J572" s="207"/>
      <c r="K572" s="207"/>
      <c r="L572" s="207"/>
      <c r="M572" s="207"/>
      <c r="N572" s="207"/>
      <c r="O572" s="207"/>
      <c r="P572" s="207"/>
      <c r="Q572" s="207"/>
      <c r="R572" s="207"/>
      <c r="S572" s="207"/>
      <c r="T572" s="207"/>
      <c r="U572" s="207"/>
      <c r="V572" s="207"/>
      <c r="W572" s="207"/>
      <c r="X572" s="207"/>
      <c r="Y572" s="207"/>
      <c r="Z572" s="207"/>
      <c r="AA572" s="207"/>
      <c r="AB572" s="207"/>
      <c r="AC572" s="5"/>
      <c r="AD572" s="63"/>
      <c r="AE572" s="64"/>
      <c r="AF572" s="64"/>
      <c r="AG572" s="212"/>
      <c r="AH572" s="64"/>
      <c r="AI572" s="64"/>
      <c r="AJ572" s="64"/>
      <c r="AK572" s="212"/>
      <c r="AL572" s="64"/>
      <c r="AM572" s="64"/>
      <c r="AN572" s="64"/>
      <c r="AO572" s="64"/>
      <c r="AP572" s="63"/>
      <c r="AQ572" s="64"/>
      <c r="AR572" s="63"/>
      <c r="AS572" s="64"/>
      <c r="AT572" s="63"/>
      <c r="AU572" s="64"/>
      <c r="AV572" s="63"/>
      <c r="AW572" s="64"/>
      <c r="AX572" s="63"/>
      <c r="AY572" s="5"/>
      <c r="AZ572" s="21" t="str">
        <f t="shared" si="238"/>
        <v/>
      </c>
      <c r="BA572" s="264" t="s">
        <v>449</v>
      </c>
      <c r="BB572" s="264"/>
      <c r="BC572" s="264"/>
      <c r="BD572" s="264" t="s">
        <v>355</v>
      </c>
      <c r="BE572" s="216" t="s">
        <v>363</v>
      </c>
      <c r="BF572" s="56"/>
      <c r="BG572" s="56"/>
      <c r="BH572" s="56"/>
      <c r="BI572" s="56"/>
      <c r="BJ572" s="56"/>
      <c r="BK572" s="56"/>
      <c r="BL572" s="56"/>
      <c r="BM572" s="56"/>
      <c r="BN572" s="56"/>
      <c r="BO572" s="56"/>
      <c r="BP572" s="56"/>
      <c r="BQ572" s="5"/>
      <c r="BR572" s="25"/>
      <c r="BS572" s="5"/>
    </row>
    <row r="573" spans="1:71" s="3" customFormat="1" x14ac:dyDescent="0.25">
      <c r="A573" s="5"/>
      <c r="B573" s="3" t="str">
        <f t="array" ref="B573">IFERROR(INDEX(DemandSupply,MATCH(INDEX($AH$1:AH573,SMALL(ROW($AH$1:AH573)+(10000*($AH$1:AH573="")),COUNTA($AH$1:AH573))),Sectors,0)),"")</f>
        <v>Demand</v>
      </c>
      <c r="E573" s="10"/>
      <c r="F573" s="207"/>
      <c r="G573" s="207"/>
      <c r="H573" s="207"/>
      <c r="I573" s="207"/>
      <c r="J573" s="207"/>
      <c r="K573" s="207"/>
      <c r="L573" s="207"/>
      <c r="M573" s="207"/>
      <c r="N573" s="207"/>
      <c r="O573" s="207"/>
      <c r="P573" s="207"/>
      <c r="Q573" s="207"/>
      <c r="R573" s="207"/>
      <c r="S573" s="207"/>
      <c r="T573" s="207"/>
      <c r="U573" s="207"/>
      <c r="V573" s="207"/>
      <c r="W573" s="207"/>
      <c r="X573" s="207"/>
      <c r="Y573" s="207"/>
      <c r="Z573" s="207"/>
      <c r="AA573" s="207"/>
      <c r="AB573" s="207"/>
      <c r="AC573" s="5"/>
      <c r="AD573" s="63"/>
      <c r="AE573" s="64"/>
      <c r="AF573" s="64"/>
      <c r="AG573" s="212"/>
      <c r="AH573" s="64"/>
      <c r="AI573" s="64"/>
      <c r="AJ573" s="64"/>
      <c r="AK573" s="212"/>
      <c r="AL573" s="64"/>
      <c r="AM573" s="64"/>
      <c r="AN573" s="64"/>
      <c r="AO573" s="64"/>
      <c r="AP573" s="63"/>
      <c r="AQ573" s="64"/>
      <c r="AR573" s="63"/>
      <c r="AS573" s="64"/>
      <c r="AT573" s="63"/>
      <c r="AU573" s="64"/>
      <c r="AV573" s="63"/>
      <c r="AW573" s="64"/>
      <c r="AX573" s="63"/>
      <c r="AY573" s="5"/>
      <c r="AZ573" s="21" t="str">
        <f t="shared" si="238"/>
        <v/>
      </c>
      <c r="BA573" s="264" t="s">
        <v>450</v>
      </c>
      <c r="BB573" s="264"/>
      <c r="BC573" s="264"/>
      <c r="BD573" s="264"/>
      <c r="BE573" s="216" t="s">
        <v>363</v>
      </c>
      <c r="BF573" s="55"/>
      <c r="BG573" s="55"/>
      <c r="BH573" s="55"/>
      <c r="BI573" s="55"/>
      <c r="BJ573" s="55"/>
      <c r="BK573" s="55"/>
      <c r="BL573" s="55"/>
      <c r="BM573" s="55"/>
      <c r="BN573" s="55"/>
      <c r="BO573" s="55"/>
      <c r="BP573" s="55"/>
      <c r="BQ573" s="5"/>
      <c r="BR573" s="25"/>
      <c r="BS573" s="5"/>
    </row>
    <row r="574" spans="1:71" s="3" customFormat="1" x14ac:dyDescent="0.25">
      <c r="A574" s="5"/>
      <c r="B574" s="3" t="str">
        <f t="array" ref="B574">IFERROR(INDEX(DemandSupply,MATCH(INDEX($AH$1:AH574,SMALL(ROW($AH$1:AH574)+(10000*($AH$1:AH574="")),COUNTA($AH$1:AH574))),Sectors,0)),"")</f>
        <v>Demand</v>
      </c>
      <c r="E574" s="10"/>
      <c r="F574" s="207"/>
      <c r="G574" s="207"/>
      <c r="H574" s="207"/>
      <c r="I574" s="207"/>
      <c r="J574" s="207"/>
      <c r="K574" s="207"/>
      <c r="L574" s="207"/>
      <c r="M574" s="207"/>
      <c r="N574" s="207"/>
      <c r="O574" s="207"/>
      <c r="P574" s="207"/>
      <c r="Q574" s="207"/>
      <c r="R574" s="207"/>
      <c r="S574" s="207"/>
      <c r="T574" s="207"/>
      <c r="U574" s="207"/>
      <c r="V574" s="207"/>
      <c r="W574" s="207"/>
      <c r="X574" s="207"/>
      <c r="Y574" s="207"/>
      <c r="Z574" s="207"/>
      <c r="AA574" s="207"/>
      <c r="AB574" s="207"/>
      <c r="AC574" s="5"/>
      <c r="AD574" s="63"/>
      <c r="AE574" s="64"/>
      <c r="AF574" s="64"/>
      <c r="AG574" s="212"/>
      <c r="AH574" s="64"/>
      <c r="AI574" s="64"/>
      <c r="AJ574" s="64"/>
      <c r="AK574" s="212"/>
      <c r="AL574" s="64"/>
      <c r="AM574" s="64"/>
      <c r="AN574" s="64"/>
      <c r="AO574" s="64"/>
      <c r="AP574" s="63"/>
      <c r="AQ574" s="64"/>
      <c r="AR574" s="63"/>
      <c r="AS574" s="64"/>
      <c r="AT574" s="63"/>
      <c r="AU574" s="64"/>
      <c r="AV574" s="63"/>
      <c r="AW574" s="64"/>
      <c r="AX574" s="63"/>
      <c r="AY574" s="5"/>
      <c r="AZ574" s="21" t="str">
        <f t="shared" si="238"/>
        <v/>
      </c>
      <c r="BA574" s="264" t="s">
        <v>451</v>
      </c>
      <c r="BB574" s="264"/>
      <c r="BC574" s="264"/>
      <c r="BD574" s="264"/>
      <c r="BE574" s="216" t="s">
        <v>363</v>
      </c>
      <c r="BF574" s="55"/>
      <c r="BG574" s="55"/>
      <c r="BH574" s="55"/>
      <c r="BI574" s="55"/>
      <c r="BJ574" s="55"/>
      <c r="BK574" s="55"/>
      <c r="BL574" s="55"/>
      <c r="BM574" s="55"/>
      <c r="BN574" s="55"/>
      <c r="BO574" s="55"/>
      <c r="BP574" s="55"/>
      <c r="BQ574" s="5"/>
      <c r="BR574" s="25"/>
      <c r="BS574" s="5"/>
    </row>
    <row r="575" spans="1:71" s="3" customFormat="1" x14ac:dyDescent="0.25">
      <c r="A575" s="5"/>
      <c r="B575" s="3" t="str">
        <f t="array" ref="B575">IFERROR(INDEX(DemandSupply,MATCH(INDEX($AH$1:AH575,SMALL(ROW($AH$1:AH575)+(10000*($AH$1:AH575="")),COUNTA($AH$1:AH575))),Sectors,0)),"")</f>
        <v>Demand</v>
      </c>
      <c r="E575" s="10"/>
      <c r="F575" s="207"/>
      <c r="G575" s="207"/>
      <c r="H575" s="207"/>
      <c r="I575" s="207"/>
      <c r="J575" s="207"/>
      <c r="K575" s="207"/>
      <c r="L575" s="207"/>
      <c r="M575" s="207"/>
      <c r="N575" s="207"/>
      <c r="O575" s="207"/>
      <c r="P575" s="207"/>
      <c r="Q575" s="207"/>
      <c r="R575" s="207"/>
      <c r="S575" s="207"/>
      <c r="T575" s="207"/>
      <c r="U575" s="207"/>
      <c r="V575" s="207"/>
      <c r="W575" s="207"/>
      <c r="X575" s="207"/>
      <c r="Y575" s="207"/>
      <c r="Z575" s="207"/>
      <c r="AA575" s="207"/>
      <c r="AB575" s="207"/>
      <c r="AC575" s="5"/>
      <c r="AD575" s="63"/>
      <c r="AE575" s="64"/>
      <c r="AF575" s="64"/>
      <c r="AG575" s="212"/>
      <c r="AH575" s="64"/>
      <c r="AI575" s="64"/>
      <c r="AJ575" s="64"/>
      <c r="AK575" s="212"/>
      <c r="AL575" s="64"/>
      <c r="AM575" s="64"/>
      <c r="AN575" s="64"/>
      <c r="AO575" s="64"/>
      <c r="AP575" s="63"/>
      <c r="AQ575" s="64"/>
      <c r="AR575" s="63"/>
      <c r="AS575" s="64"/>
      <c r="AT575" s="63"/>
      <c r="AU575" s="64"/>
      <c r="AV575" s="63"/>
      <c r="AW575" s="64"/>
      <c r="AX575" s="63"/>
      <c r="AY575" s="5"/>
      <c r="AZ575" s="21" t="str">
        <f t="shared" si="238"/>
        <v/>
      </c>
      <c r="BA575" s="264" t="s">
        <v>342</v>
      </c>
      <c r="BB575" s="264"/>
      <c r="BC575" s="264"/>
      <c r="BD575" s="264" t="s">
        <v>355</v>
      </c>
      <c r="BE575" s="216" t="s">
        <v>363</v>
      </c>
      <c r="BF575" s="56">
        <v>12.217000000000001</v>
      </c>
      <c r="BG575" s="282">
        <f t="shared" ref="BG575" si="271">BF575</f>
        <v>12.217000000000001</v>
      </c>
      <c r="BH575" s="282">
        <f t="shared" ref="BH575" si="272">BG575</f>
        <v>12.217000000000001</v>
      </c>
      <c r="BI575" s="282">
        <f t="shared" ref="BI575" si="273">BH575</f>
        <v>12.217000000000001</v>
      </c>
      <c r="BJ575" s="282">
        <f t="shared" ref="BJ575" si="274">BI575</f>
        <v>12.217000000000001</v>
      </c>
      <c r="BK575" s="282">
        <f t="shared" ref="BK575" si="275">BJ575</f>
        <v>12.217000000000001</v>
      </c>
      <c r="BL575" s="282">
        <f t="shared" ref="BL575" si="276">BK575</f>
        <v>12.217000000000001</v>
      </c>
      <c r="BM575" s="282">
        <f t="shared" ref="BM575" si="277">BL575</f>
        <v>12.217000000000001</v>
      </c>
      <c r="BN575" s="282">
        <f t="shared" ref="BN575" si="278">BM575</f>
        <v>12.217000000000001</v>
      </c>
      <c r="BO575" s="282">
        <f t="shared" ref="BO575" si="279">BN575</f>
        <v>12.217000000000001</v>
      </c>
      <c r="BP575" s="282">
        <f t="shared" ref="BP575" si="280">BO575</f>
        <v>12.217000000000001</v>
      </c>
      <c r="BQ575" s="5"/>
      <c r="BR575" s="25"/>
      <c r="BS575" s="5"/>
    </row>
    <row r="576" spans="1:71" s="3" customFormat="1" x14ac:dyDescent="0.25">
      <c r="A576" s="5"/>
      <c r="B576" s="3" t="str">
        <f t="array" ref="B576">IFERROR(INDEX(DemandSupply,MATCH(INDEX($AH$1:AH576,SMALL(ROW($AH$1:AH576)+(10000*($AH$1:AH576="")),COUNTA($AH$1:AH576))),Sectors,0)),"")</f>
        <v>Demand</v>
      </c>
      <c r="E576" s="10"/>
      <c r="F576" s="207"/>
      <c r="G576" s="207"/>
      <c r="H576" s="207"/>
      <c r="I576" s="207"/>
      <c r="J576" s="207"/>
      <c r="K576" s="207"/>
      <c r="L576" s="207"/>
      <c r="M576" s="207"/>
      <c r="N576" s="207"/>
      <c r="O576" s="207"/>
      <c r="P576" s="207"/>
      <c r="Q576" s="207"/>
      <c r="R576" s="207"/>
      <c r="S576" s="207"/>
      <c r="T576" s="207"/>
      <c r="U576" s="207"/>
      <c r="V576" s="207"/>
      <c r="W576" s="207"/>
      <c r="X576" s="207"/>
      <c r="Y576" s="207"/>
      <c r="Z576" s="207"/>
      <c r="AA576" s="207"/>
      <c r="AB576" s="207"/>
      <c r="AC576" s="5"/>
      <c r="AD576" s="63"/>
      <c r="AE576" s="64"/>
      <c r="AF576" s="64"/>
      <c r="AG576" s="212"/>
      <c r="AH576" s="64"/>
      <c r="AI576" s="64"/>
      <c r="AJ576" s="64"/>
      <c r="AK576" s="212"/>
      <c r="AL576" s="64"/>
      <c r="AM576" s="64"/>
      <c r="AN576" s="64"/>
      <c r="AO576" s="64"/>
      <c r="AP576" s="63"/>
      <c r="AQ576" s="64"/>
      <c r="AR576" s="63"/>
      <c r="AS576" s="64"/>
      <c r="AT576" s="63"/>
      <c r="AU576" s="64"/>
      <c r="AV576" s="63"/>
      <c r="AW576" s="64"/>
      <c r="AX576" s="63"/>
      <c r="AY576" s="5"/>
      <c r="AZ576" s="21" t="str">
        <f t="shared" si="238"/>
        <v/>
      </c>
      <c r="BA576" s="264" t="s">
        <v>394</v>
      </c>
      <c r="BB576" s="264"/>
      <c r="BC576" s="264"/>
      <c r="BD576" s="264" t="s">
        <v>354</v>
      </c>
      <c r="BE576" s="216" t="s">
        <v>363</v>
      </c>
      <c r="BF576" s="56"/>
      <c r="BG576" s="56"/>
      <c r="BH576" s="56"/>
      <c r="BI576" s="56"/>
      <c r="BJ576" s="56"/>
      <c r="BK576" s="56"/>
      <c r="BL576" s="56"/>
      <c r="BM576" s="56"/>
      <c r="BN576" s="56"/>
      <c r="BO576" s="56"/>
      <c r="BP576" s="56"/>
      <c r="BQ576" s="5"/>
      <c r="BR576" s="25"/>
      <c r="BS576" s="5"/>
    </row>
    <row r="577" spans="1:71" s="3" customFormat="1" x14ac:dyDescent="0.25">
      <c r="A577" s="5"/>
      <c r="B577" s="3" t="str">
        <f t="array" ref="B577">IFERROR(INDEX(DemandSupply,MATCH(INDEX($AH$1:AH577,SMALL(ROW($AH$1:AH577)+(10000*($AH$1:AH577="")),COUNTA($AH$1:AH577))),Sectors,0)),"")</f>
        <v>Demand</v>
      </c>
      <c r="E577" s="10">
        <f t="shared" si="205"/>
        <v>0</v>
      </c>
      <c r="F577" s="207">
        <v>1</v>
      </c>
      <c r="G577" s="207">
        <v>1</v>
      </c>
      <c r="H577" s="207">
        <v>1</v>
      </c>
      <c r="I577" s="207">
        <v>1</v>
      </c>
      <c r="J577" s="207">
        <v>1</v>
      </c>
      <c r="K577" s="207">
        <v>1</v>
      </c>
      <c r="L577" s="207">
        <v>1</v>
      </c>
      <c r="M577" s="207">
        <v>1</v>
      </c>
      <c r="N577" s="207">
        <v>1</v>
      </c>
      <c r="O577" s="207">
        <v>1</v>
      </c>
      <c r="P577" s="207">
        <v>1</v>
      </c>
      <c r="Q577" s="207">
        <v>1</v>
      </c>
      <c r="R577" s="207">
        <v>1</v>
      </c>
      <c r="S577" s="207">
        <v>1</v>
      </c>
      <c r="T577" s="207">
        <v>1</v>
      </c>
      <c r="U577" s="207">
        <v>1</v>
      </c>
      <c r="V577" s="207">
        <v>1</v>
      </c>
      <c r="W577" s="207">
        <v>1</v>
      </c>
      <c r="X577" s="207">
        <v>1</v>
      </c>
      <c r="Y577" s="207">
        <v>1</v>
      </c>
      <c r="Z577" s="207">
        <v>1</v>
      </c>
      <c r="AA577" s="207">
        <v>1</v>
      </c>
      <c r="AB577" s="207">
        <v>1</v>
      </c>
      <c r="AC577" s="5"/>
      <c r="AD577" s="63"/>
      <c r="AE577" s="64"/>
      <c r="AF577" s="64"/>
      <c r="AG577" s="212"/>
      <c r="AH577" s="64"/>
      <c r="AI577" s="64"/>
      <c r="AJ577" s="65"/>
      <c r="AK577" s="212"/>
      <c r="AL577" s="64"/>
      <c r="AM577" s="64"/>
      <c r="AN577" s="64"/>
      <c r="AO577" s="64"/>
      <c r="AP577" s="64"/>
      <c r="AQ577" s="64"/>
      <c r="AR577" s="63"/>
      <c r="AS577" s="64"/>
      <c r="AT577" s="63"/>
      <c r="AU577" s="64"/>
      <c r="AV577" s="63"/>
      <c r="AW577" s="64"/>
      <c r="AX577" s="63"/>
      <c r="AY577" s="5"/>
      <c r="AZ577" s="21" t="str">
        <f t="shared" si="238"/>
        <v/>
      </c>
      <c r="BA577" s="74" t="s">
        <v>338</v>
      </c>
      <c r="BB577" s="25"/>
      <c r="BC577" s="2" t="s">
        <v>185</v>
      </c>
      <c r="BD577" s="74" t="s">
        <v>367</v>
      </c>
      <c r="BE577" s="216" t="s">
        <v>363</v>
      </c>
      <c r="BF577" s="55">
        <v>0.376</v>
      </c>
      <c r="BG577" s="55">
        <v>0.376</v>
      </c>
      <c r="BH577" s="55">
        <v>0.376</v>
      </c>
      <c r="BI577" s="55">
        <v>0.376</v>
      </c>
      <c r="BJ577" s="55">
        <v>0.376</v>
      </c>
      <c r="BK577" s="55">
        <v>0.376</v>
      </c>
      <c r="BL577" s="55">
        <v>0.376</v>
      </c>
      <c r="BM577" s="55">
        <v>0.376</v>
      </c>
      <c r="BN577" s="55">
        <v>0.376</v>
      </c>
      <c r="BO577" s="55">
        <v>0.376</v>
      </c>
      <c r="BP577" s="55">
        <v>0.376</v>
      </c>
      <c r="BQ577" s="5"/>
      <c r="BR577" s="25"/>
      <c r="BS577" s="5"/>
    </row>
    <row r="578" spans="1:71" s="3" customFormat="1" x14ac:dyDescent="0.25">
      <c r="A578" s="5"/>
      <c r="B578" s="3" t="str">
        <f t="array" ref="B578">IFERROR(INDEX(DemandSupply,MATCH(INDEX($AH$1:AH578,SMALL(ROW($AH$1:AH578)+(10000*($AH$1:AH578="")),COUNTA($AH$1:AH578))),Sectors,0)),"")</f>
        <v>Demand</v>
      </c>
      <c r="E578" s="10">
        <f t="shared" si="205"/>
        <v>0</v>
      </c>
      <c r="F578" s="207">
        <v>1</v>
      </c>
      <c r="G578" s="207">
        <v>1</v>
      </c>
      <c r="H578" s="207">
        <v>1</v>
      </c>
      <c r="I578" s="207">
        <v>1</v>
      </c>
      <c r="J578" s="207">
        <v>1</v>
      </c>
      <c r="K578" s="207">
        <v>1</v>
      </c>
      <c r="L578" s="207">
        <v>1</v>
      </c>
      <c r="M578" s="207">
        <v>1</v>
      </c>
      <c r="N578" s="207">
        <v>1</v>
      </c>
      <c r="O578" s="207">
        <v>1</v>
      </c>
      <c r="P578" s="207">
        <v>1</v>
      </c>
      <c r="Q578" s="207">
        <v>1</v>
      </c>
      <c r="R578" s="207">
        <v>1</v>
      </c>
      <c r="S578" s="207">
        <v>1</v>
      </c>
      <c r="T578" s="207">
        <v>1</v>
      </c>
      <c r="U578" s="207">
        <v>1</v>
      </c>
      <c r="V578" s="207">
        <v>1</v>
      </c>
      <c r="W578" s="207">
        <v>1</v>
      </c>
      <c r="X578" s="207">
        <v>1</v>
      </c>
      <c r="Y578" s="207">
        <v>1</v>
      </c>
      <c r="Z578" s="207">
        <v>1</v>
      </c>
      <c r="AA578" s="207">
        <v>1</v>
      </c>
      <c r="AB578" s="207">
        <v>1</v>
      </c>
      <c r="AC578" s="5"/>
      <c r="AD578" s="63"/>
      <c r="AE578" s="64"/>
      <c r="AF578" s="64"/>
      <c r="AG578" s="212"/>
      <c r="AH578" s="64"/>
      <c r="AI578" s="64"/>
      <c r="AJ578" s="65"/>
      <c r="AK578" s="212"/>
      <c r="AL578" s="64"/>
      <c r="AM578" s="64"/>
      <c r="AN578" s="64"/>
      <c r="AO578" s="64"/>
      <c r="AP578" s="64"/>
      <c r="AQ578" s="64"/>
      <c r="AR578" s="63"/>
      <c r="AS578" s="64"/>
      <c r="AT578" s="63"/>
      <c r="AU578" s="64"/>
      <c r="AV578" s="63"/>
      <c r="AW578" s="64"/>
      <c r="AX578" s="63"/>
      <c r="AY578" s="5"/>
      <c r="AZ578" s="21" t="str">
        <f t="shared" si="238"/>
        <v/>
      </c>
      <c r="BA578" s="291" t="s">
        <v>51</v>
      </c>
      <c r="BB578" s="25"/>
      <c r="BC578" s="2"/>
      <c r="BD578" s="2"/>
      <c r="BE578" s="216" t="s">
        <v>364</v>
      </c>
      <c r="BF578" s="4"/>
      <c r="BG578" s="4"/>
      <c r="BH578" s="4"/>
      <c r="BI578" s="4"/>
      <c r="BJ578" s="4"/>
      <c r="BK578" s="4"/>
      <c r="BL578" s="4"/>
      <c r="BM578" s="4"/>
      <c r="BN578" s="4"/>
      <c r="BO578" s="4"/>
      <c r="BP578" s="4"/>
      <c r="BQ578" s="5"/>
      <c r="BR578" s="25"/>
      <c r="BS578" s="5"/>
    </row>
    <row r="579" spans="1:71" s="3" customFormat="1" x14ac:dyDescent="0.25">
      <c r="A579" s="5"/>
      <c r="B579" s="3" t="str">
        <f t="array" ref="B579">IFERROR(INDEX(DemandSupply,MATCH(INDEX($AH$1:AH579,SMALL(ROW($AH$1:AH579)+(10000*($AH$1:AH579="")),COUNTA($AH$1:AH579))),Sectors,0)),"")</f>
        <v>Demand</v>
      </c>
      <c r="E579" s="10"/>
      <c r="F579" s="207"/>
      <c r="G579" s="207"/>
      <c r="H579" s="207"/>
      <c r="I579" s="207"/>
      <c r="J579" s="207"/>
      <c r="K579" s="207"/>
      <c r="L579" s="207"/>
      <c r="M579" s="207"/>
      <c r="N579" s="207"/>
      <c r="O579" s="207"/>
      <c r="P579" s="207"/>
      <c r="Q579" s="207"/>
      <c r="R579" s="207"/>
      <c r="S579" s="207"/>
      <c r="T579" s="207"/>
      <c r="U579" s="207"/>
      <c r="V579" s="207"/>
      <c r="W579" s="207"/>
      <c r="X579" s="207"/>
      <c r="Y579" s="207"/>
      <c r="Z579" s="207"/>
      <c r="AA579" s="207"/>
      <c r="AB579" s="207"/>
      <c r="AC579" s="5"/>
      <c r="AD579" s="63"/>
      <c r="AE579" s="64"/>
      <c r="AF579" s="64"/>
      <c r="AG579" s="212"/>
      <c r="AH579" s="64"/>
      <c r="AI579" s="64"/>
      <c r="AJ579" s="64"/>
      <c r="AK579" s="212"/>
      <c r="AL579" s="64"/>
      <c r="AM579" s="64"/>
      <c r="AN579" s="64"/>
      <c r="AO579" s="64"/>
      <c r="AP579" s="63"/>
      <c r="AQ579" s="64"/>
      <c r="AR579" s="63"/>
      <c r="AS579" s="64"/>
      <c r="AT579" s="63"/>
      <c r="AU579" s="64"/>
      <c r="AV579" s="63"/>
      <c r="AW579" s="64"/>
      <c r="AX579" s="63"/>
      <c r="AY579" s="5"/>
      <c r="AZ579" s="21" t="str">
        <f t="shared" si="238"/>
        <v/>
      </c>
      <c r="BA579" s="264" t="s">
        <v>38</v>
      </c>
      <c r="BB579" s="264"/>
      <c r="BC579" s="264"/>
      <c r="BD579" s="264" t="s">
        <v>40</v>
      </c>
      <c r="BE579" s="216" t="s">
        <v>364</v>
      </c>
      <c r="BF579" s="309">
        <v>1990</v>
      </c>
      <c r="BG579" s="310">
        <f t="shared" ref="BG579:BP579" si="281">BF579</f>
        <v>1990</v>
      </c>
      <c r="BH579" s="310">
        <f t="shared" si="281"/>
        <v>1990</v>
      </c>
      <c r="BI579" s="310">
        <f t="shared" si="281"/>
        <v>1990</v>
      </c>
      <c r="BJ579" s="310">
        <f t="shared" si="281"/>
        <v>1990</v>
      </c>
      <c r="BK579" s="310">
        <f t="shared" si="281"/>
        <v>1990</v>
      </c>
      <c r="BL579" s="310">
        <f t="shared" si="281"/>
        <v>1990</v>
      </c>
      <c r="BM579" s="310">
        <f t="shared" si="281"/>
        <v>1990</v>
      </c>
      <c r="BN579" s="310">
        <f t="shared" si="281"/>
        <v>1990</v>
      </c>
      <c r="BO579" s="310">
        <f t="shared" si="281"/>
        <v>1990</v>
      </c>
      <c r="BP579" s="310">
        <f t="shared" si="281"/>
        <v>1990</v>
      </c>
      <c r="BQ579" s="5"/>
      <c r="BR579" s="25"/>
      <c r="BS579" s="5"/>
    </row>
    <row r="580" spans="1:71" s="3" customFormat="1" x14ac:dyDescent="0.25">
      <c r="A580" s="5"/>
      <c r="B580" s="3" t="str">
        <f t="array" ref="B580">IFERROR(INDEX(DemandSupply,MATCH(INDEX($AH$1:AH580,SMALL(ROW($AH$1:AH580)+(10000*($AH$1:AH580="")),COUNTA($AH$1:AH580))),Sectors,0)),"")</f>
        <v>Demand</v>
      </c>
      <c r="E580" s="10"/>
      <c r="F580" s="207"/>
      <c r="G580" s="207"/>
      <c r="H580" s="207"/>
      <c r="I580" s="207"/>
      <c r="J580" s="207"/>
      <c r="K580" s="207"/>
      <c r="L580" s="207"/>
      <c r="M580" s="207"/>
      <c r="N580" s="207"/>
      <c r="O580" s="207"/>
      <c r="P580" s="207"/>
      <c r="Q580" s="207"/>
      <c r="R580" s="207"/>
      <c r="S580" s="207"/>
      <c r="T580" s="207"/>
      <c r="U580" s="207"/>
      <c r="V580" s="207"/>
      <c r="W580" s="207"/>
      <c r="X580" s="207"/>
      <c r="Y580" s="207"/>
      <c r="Z580" s="207"/>
      <c r="AA580" s="207"/>
      <c r="AB580" s="207"/>
      <c r="AC580" s="5"/>
      <c r="AD580" s="63"/>
      <c r="AE580" s="64"/>
      <c r="AF580" s="64"/>
      <c r="AG580" s="212"/>
      <c r="AH580" s="64"/>
      <c r="AI580" s="64"/>
      <c r="AJ580" s="64"/>
      <c r="AK580" s="212"/>
      <c r="AL580" s="64"/>
      <c r="AM580" s="64"/>
      <c r="AN580" s="64"/>
      <c r="AO580" s="64"/>
      <c r="AP580" s="63"/>
      <c r="AQ580" s="64"/>
      <c r="AR580" s="63"/>
      <c r="AS580" s="64"/>
      <c r="AT580" s="63"/>
      <c r="AU580" s="64"/>
      <c r="AV580" s="63"/>
      <c r="AW580" s="64"/>
      <c r="AX580" s="63"/>
      <c r="AY580" s="5"/>
      <c r="AZ580" s="21" t="str">
        <f t="shared" si="238"/>
        <v/>
      </c>
      <c r="BA580" s="264" t="s">
        <v>37</v>
      </c>
      <c r="BB580" s="264"/>
      <c r="BC580" s="264"/>
      <c r="BD580" s="264" t="s">
        <v>40</v>
      </c>
      <c r="BE580" s="216" t="s">
        <v>364</v>
      </c>
      <c r="BF580" s="309">
        <v>2000</v>
      </c>
      <c r="BG580" s="310">
        <f t="shared" ref="BG580:BP581" si="282">BF580</f>
        <v>2000</v>
      </c>
      <c r="BH580" s="310">
        <f t="shared" si="282"/>
        <v>2000</v>
      </c>
      <c r="BI580" s="310">
        <f t="shared" si="282"/>
        <v>2000</v>
      </c>
      <c r="BJ580" s="310">
        <f t="shared" si="282"/>
        <v>2000</v>
      </c>
      <c r="BK580" s="310">
        <f t="shared" si="282"/>
        <v>2000</v>
      </c>
      <c r="BL580" s="310">
        <f t="shared" si="282"/>
        <v>2000</v>
      </c>
      <c r="BM580" s="310">
        <f t="shared" si="282"/>
        <v>2000</v>
      </c>
      <c r="BN580" s="310">
        <f t="shared" si="282"/>
        <v>2000</v>
      </c>
      <c r="BO580" s="310">
        <f t="shared" si="282"/>
        <v>2000</v>
      </c>
      <c r="BP580" s="310">
        <f t="shared" si="282"/>
        <v>2000</v>
      </c>
      <c r="BQ580" s="5"/>
      <c r="BR580" s="25"/>
      <c r="BS580" s="5"/>
    </row>
    <row r="581" spans="1:71" s="3" customFormat="1" x14ac:dyDescent="0.25">
      <c r="A581" s="5"/>
      <c r="B581" s="3" t="str">
        <f t="array" ref="B581">IFERROR(INDEX(DemandSupply,MATCH(INDEX($AH$1:AH581,SMALL(ROW($AH$1:AH581)+(10000*($AH$1:AH581="")),COUNTA($AH$1:AH581))),Sectors,0)),"")</f>
        <v>Demand</v>
      </c>
      <c r="E581" s="10"/>
      <c r="F581" s="207"/>
      <c r="G581" s="207"/>
      <c r="H581" s="207"/>
      <c r="I581" s="207"/>
      <c r="J581" s="207"/>
      <c r="K581" s="207"/>
      <c r="L581" s="207"/>
      <c r="M581" s="207"/>
      <c r="N581" s="207"/>
      <c r="O581" s="207"/>
      <c r="P581" s="207"/>
      <c r="Q581" s="207"/>
      <c r="R581" s="207"/>
      <c r="S581" s="207"/>
      <c r="T581" s="207"/>
      <c r="U581" s="207"/>
      <c r="V581" s="207"/>
      <c r="W581" s="207"/>
      <c r="X581" s="207"/>
      <c r="Y581" s="207"/>
      <c r="Z581" s="207"/>
      <c r="AA581" s="207"/>
      <c r="AB581" s="207"/>
      <c r="AC581" s="5"/>
      <c r="AD581" s="63"/>
      <c r="AE581" s="64"/>
      <c r="AF581" s="64"/>
      <c r="AG581" s="212"/>
      <c r="AH581" s="64"/>
      <c r="AI581" s="64"/>
      <c r="AJ581" s="64"/>
      <c r="AK581" s="212"/>
      <c r="AL581" s="64"/>
      <c r="AM581" s="64"/>
      <c r="AN581" s="64"/>
      <c r="AO581" s="64"/>
      <c r="AP581" s="63"/>
      <c r="AQ581" s="64"/>
      <c r="AR581" s="63"/>
      <c r="AS581" s="64"/>
      <c r="AT581" s="63"/>
      <c r="AU581" s="64"/>
      <c r="AV581" s="63"/>
      <c r="AW581" s="64"/>
      <c r="AX581" s="63"/>
      <c r="AY581" s="5"/>
      <c r="AZ581" s="21" t="str">
        <f t="shared" si="238"/>
        <v/>
      </c>
      <c r="BA581" s="264" t="s">
        <v>39</v>
      </c>
      <c r="BB581" s="264"/>
      <c r="BC581" s="264"/>
      <c r="BD581" s="264" t="s">
        <v>10</v>
      </c>
      <c r="BE581" s="216" t="s">
        <v>364</v>
      </c>
      <c r="BF581" s="56">
        <v>9</v>
      </c>
      <c r="BG581" s="282">
        <f t="shared" si="282"/>
        <v>9</v>
      </c>
      <c r="BH581" s="282">
        <f t="shared" si="282"/>
        <v>9</v>
      </c>
      <c r="BI581" s="282">
        <f t="shared" si="282"/>
        <v>9</v>
      </c>
      <c r="BJ581" s="282">
        <f t="shared" si="282"/>
        <v>9</v>
      </c>
      <c r="BK581" s="282">
        <f t="shared" si="282"/>
        <v>9</v>
      </c>
      <c r="BL581" s="282">
        <f t="shared" si="282"/>
        <v>9</v>
      </c>
      <c r="BM581" s="282">
        <f t="shared" si="282"/>
        <v>9</v>
      </c>
      <c r="BN581" s="282">
        <f t="shared" si="282"/>
        <v>9</v>
      </c>
      <c r="BO581" s="282">
        <f t="shared" si="282"/>
        <v>9</v>
      </c>
      <c r="BP581" s="282">
        <f t="shared" si="282"/>
        <v>9</v>
      </c>
      <c r="BQ581" s="5"/>
      <c r="BR581" s="25"/>
      <c r="BS581" s="5"/>
    </row>
    <row r="582" spans="1:71" s="3" customFormat="1" x14ac:dyDescent="0.25">
      <c r="A582" s="5"/>
      <c r="B582" s="3" t="str">
        <f t="array" ref="B582">IFERROR(INDEX(DemandSupply,MATCH(INDEX($AH$1:AH582,SMALL(ROW($AH$1:AH582)+(10000*($AH$1:AH582="")),COUNTA($AH$1:AH582))),Sectors,0)),"")</f>
        <v>Demand</v>
      </c>
      <c r="E582" s="10"/>
      <c r="F582" s="207"/>
      <c r="G582" s="207"/>
      <c r="H582" s="207"/>
      <c r="I582" s="207"/>
      <c r="J582" s="207"/>
      <c r="K582" s="207"/>
      <c r="L582" s="207"/>
      <c r="M582" s="207"/>
      <c r="N582" s="207"/>
      <c r="O582" s="207"/>
      <c r="P582" s="207"/>
      <c r="Q582" s="207"/>
      <c r="R582" s="207"/>
      <c r="S582" s="207"/>
      <c r="T582" s="207"/>
      <c r="U582" s="207"/>
      <c r="V582" s="207"/>
      <c r="W582" s="207"/>
      <c r="X582" s="207"/>
      <c r="Y582" s="207"/>
      <c r="Z582" s="207"/>
      <c r="AA582" s="207"/>
      <c r="AB582" s="207"/>
      <c r="AC582" s="5"/>
      <c r="AD582" s="63"/>
      <c r="AE582" s="64"/>
      <c r="AF582" s="64"/>
      <c r="AG582" s="212"/>
      <c r="AH582" s="64"/>
      <c r="AI582" s="64"/>
      <c r="AJ582" s="64"/>
      <c r="AK582" s="212"/>
      <c r="AL582" s="64"/>
      <c r="AM582" s="64"/>
      <c r="AN582" s="64"/>
      <c r="AO582" s="64"/>
      <c r="AP582" s="63"/>
      <c r="AQ582" s="64"/>
      <c r="AR582" s="63"/>
      <c r="AS582" s="64"/>
      <c r="AT582" s="63"/>
      <c r="AU582" s="64"/>
      <c r="AV582" s="63"/>
      <c r="AW582" s="64"/>
      <c r="AX582" s="63"/>
      <c r="AY582" s="5"/>
      <c r="AZ582" s="21" t="str">
        <f t="shared" si="238"/>
        <v/>
      </c>
      <c r="BA582" s="264" t="s">
        <v>395</v>
      </c>
      <c r="BB582" s="264"/>
      <c r="BC582" s="264"/>
      <c r="BD582" s="264" t="s">
        <v>10</v>
      </c>
      <c r="BE582" s="216" t="s">
        <v>364</v>
      </c>
      <c r="BF582" s="56"/>
      <c r="BG582" s="56"/>
      <c r="BH582" s="56"/>
      <c r="BI582" s="56"/>
      <c r="BJ582" s="56"/>
      <c r="BK582" s="56"/>
      <c r="BL582" s="56"/>
      <c r="BM582" s="56"/>
      <c r="BN582" s="56"/>
      <c r="BO582" s="56"/>
      <c r="BP582" s="56"/>
      <c r="BQ582" s="5"/>
      <c r="BR582" s="25"/>
      <c r="BS582" s="5"/>
    </row>
    <row r="583" spans="1:71" s="3" customFormat="1" x14ac:dyDescent="0.25">
      <c r="A583" s="5"/>
      <c r="B583" s="3" t="str">
        <f t="array" ref="B583">IFERROR(INDEX(DemandSupply,MATCH(INDEX($AH$1:AH583,SMALL(ROW($AH$1:AH583)+(10000*($AH$1:AH583="")),COUNTA($AH$1:AH583))),Sectors,0)),"")</f>
        <v>Demand</v>
      </c>
      <c r="E583" s="10"/>
      <c r="F583" s="207"/>
      <c r="G583" s="207"/>
      <c r="H583" s="207"/>
      <c r="I583" s="207"/>
      <c r="J583" s="207"/>
      <c r="K583" s="207"/>
      <c r="L583" s="207"/>
      <c r="M583" s="207"/>
      <c r="N583" s="207"/>
      <c r="O583" s="207"/>
      <c r="P583" s="207"/>
      <c r="Q583" s="207"/>
      <c r="R583" s="207"/>
      <c r="S583" s="207"/>
      <c r="T583" s="207"/>
      <c r="U583" s="207"/>
      <c r="V583" s="207"/>
      <c r="W583" s="207"/>
      <c r="X583" s="207"/>
      <c r="Y583" s="207"/>
      <c r="Z583" s="207"/>
      <c r="AA583" s="207"/>
      <c r="AB583" s="207"/>
      <c r="AC583" s="5"/>
      <c r="AD583" s="63"/>
      <c r="AE583" s="64"/>
      <c r="AF583" s="64"/>
      <c r="AG583" s="212"/>
      <c r="AH583" s="64"/>
      <c r="AI583" s="64"/>
      <c r="AJ583" s="64"/>
      <c r="AK583" s="212"/>
      <c r="AL583" s="64"/>
      <c r="AM583" s="64"/>
      <c r="AN583" s="64"/>
      <c r="AO583" s="64"/>
      <c r="AP583" s="63"/>
      <c r="AQ583" s="64"/>
      <c r="AR583" s="63"/>
      <c r="AS583" s="64"/>
      <c r="AT583" s="63"/>
      <c r="AU583" s="64"/>
      <c r="AV583" s="63"/>
      <c r="AW583" s="64"/>
      <c r="AX583" s="63"/>
      <c r="AY583" s="5"/>
      <c r="AZ583" s="21" t="str">
        <f t="shared" si="238"/>
        <v/>
      </c>
      <c r="BA583" s="264" t="s">
        <v>341</v>
      </c>
      <c r="BB583" s="264"/>
      <c r="BC583" s="264"/>
      <c r="BD583" s="264" t="s">
        <v>99</v>
      </c>
      <c r="BE583" s="216" t="s">
        <v>364</v>
      </c>
      <c r="BF583" s="303">
        <v>0.3</v>
      </c>
      <c r="BG583" s="306">
        <f t="shared" ref="BG583" si="283">BF583</f>
        <v>0.3</v>
      </c>
      <c r="BH583" s="306">
        <f t="shared" ref="BH583" si="284">BG583</f>
        <v>0.3</v>
      </c>
      <c r="BI583" s="306">
        <f t="shared" ref="BI583" si="285">BH583</f>
        <v>0.3</v>
      </c>
      <c r="BJ583" s="306">
        <f t="shared" ref="BJ583" si="286">BI583</f>
        <v>0.3</v>
      </c>
      <c r="BK583" s="306">
        <f t="shared" ref="BK583" si="287">BJ583</f>
        <v>0.3</v>
      </c>
      <c r="BL583" s="306">
        <f t="shared" ref="BL583" si="288">BK583</f>
        <v>0.3</v>
      </c>
      <c r="BM583" s="306">
        <f t="shared" ref="BM583" si="289">BL583</f>
        <v>0.3</v>
      </c>
      <c r="BN583" s="306">
        <f t="shared" ref="BN583" si="290">BM583</f>
        <v>0.3</v>
      </c>
      <c r="BO583" s="306">
        <f t="shared" ref="BO583" si="291">BN583</f>
        <v>0.3</v>
      </c>
      <c r="BP583" s="306">
        <f t="shared" ref="BP583" si="292">BO583</f>
        <v>0.3</v>
      </c>
      <c r="BQ583" s="5"/>
      <c r="BR583" s="25"/>
      <c r="BS583" s="5"/>
    </row>
    <row r="584" spans="1:71" s="3" customFormat="1" x14ac:dyDescent="0.25">
      <c r="A584" s="5"/>
      <c r="B584" s="3" t="str">
        <f t="array" ref="B584">IFERROR(INDEX(DemandSupply,MATCH(INDEX($AH$1:AH584,SMALL(ROW($AH$1:AH584)+(10000*($AH$1:AH584="")),COUNTA($AH$1:AH584))),Sectors,0)),"")</f>
        <v>Demand</v>
      </c>
      <c r="E584" s="10"/>
      <c r="F584" s="207"/>
      <c r="G584" s="207"/>
      <c r="H584" s="207"/>
      <c r="I584" s="207"/>
      <c r="J584" s="207"/>
      <c r="K584" s="207"/>
      <c r="L584" s="207"/>
      <c r="M584" s="207"/>
      <c r="N584" s="207"/>
      <c r="O584" s="207"/>
      <c r="P584" s="207"/>
      <c r="Q584" s="207"/>
      <c r="R584" s="207"/>
      <c r="S584" s="207"/>
      <c r="T584" s="207"/>
      <c r="U584" s="207"/>
      <c r="V584" s="207"/>
      <c r="W584" s="207"/>
      <c r="X584" s="207"/>
      <c r="Y584" s="207"/>
      <c r="Z584" s="207"/>
      <c r="AA584" s="207"/>
      <c r="AB584" s="207"/>
      <c r="AC584" s="5"/>
      <c r="AD584" s="63"/>
      <c r="AE584" s="64"/>
      <c r="AF584" s="64"/>
      <c r="AG584" s="212"/>
      <c r="AH584" s="64"/>
      <c r="AI584" s="64"/>
      <c r="AJ584" s="64"/>
      <c r="AK584" s="212"/>
      <c r="AL584" s="64"/>
      <c r="AM584" s="64"/>
      <c r="AN584" s="64"/>
      <c r="AO584" s="64"/>
      <c r="AP584" s="63"/>
      <c r="AQ584" s="64"/>
      <c r="AR584" s="63"/>
      <c r="AS584" s="64"/>
      <c r="AT584" s="63"/>
      <c r="AU584" s="64"/>
      <c r="AV584" s="63"/>
      <c r="AW584" s="64"/>
      <c r="AX584" s="63"/>
      <c r="AY584" s="5"/>
      <c r="AZ584" s="21" t="str">
        <f t="shared" si="238"/>
        <v/>
      </c>
      <c r="BA584" s="264" t="s">
        <v>392</v>
      </c>
      <c r="BB584" s="264"/>
      <c r="BC584" s="264"/>
      <c r="BD584" s="264" t="s">
        <v>99</v>
      </c>
      <c r="BE584" s="216" t="s">
        <v>364</v>
      </c>
      <c r="BF584" s="303"/>
      <c r="BG584" s="303"/>
      <c r="BH584" s="303"/>
      <c r="BI584" s="303"/>
      <c r="BJ584" s="303"/>
      <c r="BK584" s="303"/>
      <c r="BL584" s="303"/>
      <c r="BM584" s="303"/>
      <c r="BN584" s="303"/>
      <c r="BO584" s="303"/>
      <c r="BP584" s="303"/>
      <c r="BQ584" s="5"/>
      <c r="BR584" s="25"/>
      <c r="BS584" s="5"/>
    </row>
    <row r="585" spans="1:71" s="3" customFormat="1" x14ac:dyDescent="0.25">
      <c r="A585" s="5"/>
      <c r="B585" s="3" t="str">
        <f t="array" ref="B585">IFERROR(INDEX(DemandSupply,MATCH(INDEX($AH$1:AH585,SMALL(ROW($AH$1:AH585)+(10000*($AH$1:AH585="")),COUNTA($AH$1:AH585))),Sectors,0)),"")</f>
        <v>Demand</v>
      </c>
      <c r="E585" s="10"/>
      <c r="F585" s="207"/>
      <c r="G585" s="207"/>
      <c r="H585" s="207"/>
      <c r="I585" s="207"/>
      <c r="J585" s="207"/>
      <c r="K585" s="207"/>
      <c r="L585" s="207"/>
      <c r="M585" s="207"/>
      <c r="N585" s="207"/>
      <c r="O585" s="207"/>
      <c r="P585" s="207"/>
      <c r="Q585" s="207"/>
      <c r="R585" s="207"/>
      <c r="S585" s="207"/>
      <c r="T585" s="207"/>
      <c r="U585" s="207"/>
      <c r="V585" s="207"/>
      <c r="W585" s="207"/>
      <c r="X585" s="207"/>
      <c r="Y585" s="207"/>
      <c r="Z585" s="207"/>
      <c r="AA585" s="207"/>
      <c r="AB585" s="207"/>
      <c r="AC585" s="5"/>
      <c r="AD585" s="63"/>
      <c r="AE585" s="64"/>
      <c r="AF585" s="64"/>
      <c r="AG585" s="212"/>
      <c r="AH585" s="64"/>
      <c r="AI585" s="64"/>
      <c r="AJ585" s="64"/>
      <c r="AK585" s="212"/>
      <c r="AL585" s="64"/>
      <c r="AM585" s="64"/>
      <c r="AN585" s="64"/>
      <c r="AO585" s="64"/>
      <c r="AP585" s="63"/>
      <c r="AQ585" s="64"/>
      <c r="AR585" s="63"/>
      <c r="AS585" s="64"/>
      <c r="AT585" s="63"/>
      <c r="AU585" s="64"/>
      <c r="AV585" s="63"/>
      <c r="AW585" s="64"/>
      <c r="AX585" s="63"/>
      <c r="AY585" s="5"/>
      <c r="AZ585" s="21" t="str">
        <f t="shared" si="238"/>
        <v/>
      </c>
      <c r="BA585" s="264" t="s">
        <v>391</v>
      </c>
      <c r="BB585" s="264"/>
      <c r="BC585" s="264"/>
      <c r="BD585" s="264" t="s">
        <v>99</v>
      </c>
      <c r="BE585" s="216" t="s">
        <v>364</v>
      </c>
      <c r="BF585" s="303"/>
      <c r="BG585" s="303"/>
      <c r="BH585" s="303"/>
      <c r="BI585" s="303"/>
      <c r="BJ585" s="303"/>
      <c r="BK585" s="303"/>
      <c r="BL585" s="303"/>
      <c r="BM585" s="303"/>
      <c r="BN585" s="303"/>
      <c r="BO585" s="303"/>
      <c r="BP585" s="303"/>
      <c r="BQ585" s="5"/>
      <c r="BR585" s="25"/>
      <c r="BS585" s="5"/>
    </row>
    <row r="586" spans="1:71" s="3" customFormat="1" x14ac:dyDescent="0.25">
      <c r="A586" s="5"/>
      <c r="B586" s="3" t="str">
        <f t="array" ref="B586">IFERROR(INDEX(DemandSupply,MATCH(INDEX($AH$1:AH586,SMALL(ROW($AH$1:AH586)+(10000*($AH$1:AH586="")),COUNTA($AH$1:AH586))),Sectors,0)),"")</f>
        <v>Demand</v>
      </c>
      <c r="E586" s="10"/>
      <c r="F586" s="207"/>
      <c r="G586" s="207"/>
      <c r="H586" s="207"/>
      <c r="I586" s="207"/>
      <c r="J586" s="207"/>
      <c r="K586" s="207"/>
      <c r="L586" s="207"/>
      <c r="M586" s="207"/>
      <c r="N586" s="207"/>
      <c r="O586" s="207"/>
      <c r="P586" s="207"/>
      <c r="Q586" s="207"/>
      <c r="R586" s="207"/>
      <c r="S586" s="207"/>
      <c r="T586" s="207"/>
      <c r="U586" s="207"/>
      <c r="V586" s="207"/>
      <c r="W586" s="207"/>
      <c r="X586" s="207"/>
      <c r="Y586" s="207"/>
      <c r="Z586" s="207"/>
      <c r="AA586" s="207"/>
      <c r="AB586" s="207"/>
      <c r="AC586" s="5"/>
      <c r="AD586" s="63"/>
      <c r="AE586" s="64"/>
      <c r="AF586" s="64"/>
      <c r="AG586" s="212"/>
      <c r="AH586" s="64"/>
      <c r="AI586" s="64"/>
      <c r="AJ586" s="64"/>
      <c r="AK586" s="212"/>
      <c r="AL586" s="64"/>
      <c r="AM586" s="64"/>
      <c r="AN586" s="64"/>
      <c r="AO586" s="64"/>
      <c r="AP586" s="63"/>
      <c r="AQ586" s="64"/>
      <c r="AR586" s="63"/>
      <c r="AS586" s="64"/>
      <c r="AT586" s="63"/>
      <c r="AU586" s="64"/>
      <c r="AV586" s="63"/>
      <c r="AW586" s="64"/>
      <c r="AX586" s="63"/>
      <c r="AY586" s="5"/>
      <c r="AZ586" s="21" t="str">
        <f t="shared" si="238"/>
        <v/>
      </c>
      <c r="BA586" s="264" t="s">
        <v>144</v>
      </c>
      <c r="BB586" s="264"/>
      <c r="BC586" s="264"/>
      <c r="BD586" s="264" t="s">
        <v>34</v>
      </c>
      <c r="BE586" s="216" t="s">
        <v>364</v>
      </c>
      <c r="BF586" s="56"/>
      <c r="BG586" s="56"/>
      <c r="BH586" s="56"/>
      <c r="BI586" s="56"/>
      <c r="BJ586" s="56"/>
      <c r="BK586" s="56"/>
      <c r="BL586" s="56"/>
      <c r="BM586" s="56"/>
      <c r="BN586" s="56"/>
      <c r="BO586" s="56"/>
      <c r="BP586" s="56"/>
      <c r="BQ586" s="5"/>
      <c r="BR586" s="25"/>
      <c r="BS586" s="5"/>
    </row>
    <row r="587" spans="1:71" s="3" customFormat="1" x14ac:dyDescent="0.25">
      <c r="A587" s="5"/>
      <c r="B587" s="3" t="str">
        <f t="array" ref="B587">IFERROR(INDEX(DemandSupply,MATCH(INDEX($AH$1:AH587,SMALL(ROW($AH$1:AH587)+(10000*($AH$1:AH587="")),COUNTA($AH$1:AH587))),Sectors,0)),"")</f>
        <v>Demand</v>
      </c>
      <c r="E587" s="10"/>
      <c r="F587" s="207"/>
      <c r="G587" s="207"/>
      <c r="H587" s="207"/>
      <c r="I587" s="207"/>
      <c r="J587" s="207"/>
      <c r="K587" s="207"/>
      <c r="L587" s="207"/>
      <c r="M587" s="207"/>
      <c r="N587" s="207"/>
      <c r="O587" s="207"/>
      <c r="P587" s="207"/>
      <c r="Q587" s="207"/>
      <c r="R587" s="207"/>
      <c r="S587" s="207"/>
      <c r="T587" s="207"/>
      <c r="U587" s="207"/>
      <c r="V587" s="207"/>
      <c r="W587" s="207"/>
      <c r="X587" s="207"/>
      <c r="Y587" s="207"/>
      <c r="Z587" s="207"/>
      <c r="AA587" s="207"/>
      <c r="AB587" s="207"/>
      <c r="AC587" s="5"/>
      <c r="AD587" s="63"/>
      <c r="AE587" s="64"/>
      <c r="AF587" s="64"/>
      <c r="AG587" s="212"/>
      <c r="AH587" s="64"/>
      <c r="AI587" s="64"/>
      <c r="AJ587" s="64"/>
      <c r="AK587" s="212"/>
      <c r="AL587" s="64"/>
      <c r="AM587" s="64"/>
      <c r="AN587" s="64"/>
      <c r="AO587" s="64"/>
      <c r="AP587" s="63"/>
      <c r="AQ587" s="64"/>
      <c r="AR587" s="63"/>
      <c r="AS587" s="64"/>
      <c r="AT587" s="63"/>
      <c r="AU587" s="64"/>
      <c r="AV587" s="63"/>
      <c r="AW587" s="64"/>
      <c r="AX587" s="63"/>
      <c r="AY587" s="5"/>
      <c r="AZ587" s="21" t="str">
        <f t="shared" si="238"/>
        <v/>
      </c>
      <c r="BA587" s="264" t="s">
        <v>76</v>
      </c>
      <c r="BB587" s="264"/>
      <c r="BC587" s="264"/>
      <c r="BD587" s="264" t="s">
        <v>99</v>
      </c>
      <c r="BE587" s="216" t="s">
        <v>364</v>
      </c>
      <c r="BF587" s="303">
        <v>0.05</v>
      </c>
      <c r="BG587" s="303"/>
      <c r="BH587" s="303"/>
      <c r="BI587" s="303"/>
      <c r="BJ587" s="303"/>
      <c r="BK587" s="303"/>
      <c r="BL587" s="303"/>
      <c r="BM587" s="303"/>
      <c r="BN587" s="303"/>
      <c r="BO587" s="303"/>
      <c r="BP587" s="303"/>
      <c r="BQ587" s="5"/>
      <c r="BR587" s="25"/>
      <c r="BS587" s="5"/>
    </row>
    <row r="588" spans="1:71" s="3" customFormat="1" x14ac:dyDescent="0.25">
      <c r="A588" s="5"/>
      <c r="B588" s="3" t="str">
        <f t="array" ref="B588">IFERROR(INDEX(DemandSupply,MATCH(INDEX($AH$1:AH588,SMALL(ROW($AH$1:AH588)+(10000*($AH$1:AH588="")),COUNTA($AH$1:AH588))),Sectors,0)),"")</f>
        <v>Demand</v>
      </c>
      <c r="E588" s="10"/>
      <c r="F588" s="207"/>
      <c r="G588" s="207"/>
      <c r="H588" s="207"/>
      <c r="I588" s="207"/>
      <c r="J588" s="207"/>
      <c r="K588" s="207"/>
      <c r="L588" s="207"/>
      <c r="M588" s="207"/>
      <c r="N588" s="207"/>
      <c r="O588" s="207"/>
      <c r="P588" s="207"/>
      <c r="Q588" s="207"/>
      <c r="R588" s="207"/>
      <c r="S588" s="207"/>
      <c r="T588" s="207"/>
      <c r="U588" s="207"/>
      <c r="V588" s="207"/>
      <c r="W588" s="207"/>
      <c r="X588" s="207"/>
      <c r="Y588" s="207"/>
      <c r="Z588" s="207"/>
      <c r="AA588" s="207"/>
      <c r="AB588" s="207"/>
      <c r="AC588" s="5"/>
      <c r="AD588" s="63"/>
      <c r="AE588" s="64"/>
      <c r="AF588" s="64"/>
      <c r="AG588" s="212"/>
      <c r="AH588" s="64"/>
      <c r="AI588" s="64"/>
      <c r="AJ588" s="64"/>
      <c r="AK588" s="212"/>
      <c r="AL588" s="64"/>
      <c r="AM588" s="64"/>
      <c r="AN588" s="64"/>
      <c r="AO588" s="64"/>
      <c r="AP588" s="63"/>
      <c r="AQ588" s="64"/>
      <c r="AR588" s="63"/>
      <c r="AS588" s="64"/>
      <c r="AT588" s="63"/>
      <c r="AU588" s="64"/>
      <c r="AV588" s="63"/>
      <c r="AW588" s="64"/>
      <c r="AX588" s="63"/>
      <c r="AY588" s="5"/>
      <c r="AZ588" s="21" t="str">
        <f t="shared" si="238"/>
        <v/>
      </c>
      <c r="BA588" s="75" t="s">
        <v>166</v>
      </c>
      <c r="BB588" s="75"/>
      <c r="BC588" s="270"/>
      <c r="BD588" s="75" t="s">
        <v>99</v>
      </c>
      <c r="BE588" s="216" t="s">
        <v>364</v>
      </c>
      <c r="BF588" s="303"/>
      <c r="BG588" s="303"/>
      <c r="BH588" s="303"/>
      <c r="BI588" s="303"/>
      <c r="BJ588" s="303"/>
      <c r="BK588" s="303"/>
      <c r="BL588" s="303"/>
      <c r="BM588" s="303"/>
      <c r="BN588" s="303"/>
      <c r="BO588" s="303"/>
      <c r="BP588" s="303"/>
      <c r="BQ588" s="5"/>
      <c r="BR588" s="25"/>
      <c r="BS588" s="5"/>
    </row>
    <row r="589" spans="1:71" s="3" customFormat="1" x14ac:dyDescent="0.25">
      <c r="A589" s="5"/>
      <c r="B589" s="3" t="str">
        <f t="array" ref="B589">IFERROR(INDEX(DemandSupply,MATCH(INDEX($AH$1:AH589,SMALL(ROW($AH$1:AH589)+(10000*($AH$1:AH589="")),COUNTA($AH$1:AH589))),Sectors,0)),"")</f>
        <v>Demand</v>
      </c>
      <c r="E589" s="10"/>
      <c r="F589" s="207"/>
      <c r="G589" s="207"/>
      <c r="H589" s="207"/>
      <c r="I589" s="207"/>
      <c r="J589" s="207"/>
      <c r="K589" s="207"/>
      <c r="L589" s="207"/>
      <c r="M589" s="207"/>
      <c r="N589" s="207"/>
      <c r="O589" s="207"/>
      <c r="P589" s="207"/>
      <c r="Q589" s="207"/>
      <c r="R589" s="207"/>
      <c r="S589" s="207"/>
      <c r="T589" s="207"/>
      <c r="U589" s="207"/>
      <c r="V589" s="207"/>
      <c r="W589" s="207"/>
      <c r="X589" s="207"/>
      <c r="Y589" s="207"/>
      <c r="Z589" s="207"/>
      <c r="AA589" s="207"/>
      <c r="AB589" s="207"/>
      <c r="AC589" s="5"/>
      <c r="AD589" s="63"/>
      <c r="AE589" s="64"/>
      <c r="AF589" s="64"/>
      <c r="AG589" s="212"/>
      <c r="AH589" s="64"/>
      <c r="AI589" s="64"/>
      <c r="AJ589" s="64"/>
      <c r="AK589" s="212"/>
      <c r="AL589" s="64"/>
      <c r="AM589" s="64"/>
      <c r="AN589" s="64"/>
      <c r="AO589" s="64"/>
      <c r="AP589" s="63"/>
      <c r="AQ589" s="64"/>
      <c r="AR589" s="63"/>
      <c r="AS589" s="64"/>
      <c r="AT589" s="63"/>
      <c r="AU589" s="64"/>
      <c r="AV589" s="63"/>
      <c r="AW589" s="64"/>
      <c r="AX589" s="63"/>
      <c r="AY589" s="5"/>
      <c r="AZ589" s="21" t="str">
        <f t="shared" si="238"/>
        <v/>
      </c>
      <c r="BA589" s="75" t="s">
        <v>167</v>
      </c>
      <c r="BB589" s="75"/>
      <c r="BC589" s="270"/>
      <c r="BD589" s="75" t="s">
        <v>99</v>
      </c>
      <c r="BE589" s="216" t="s">
        <v>364</v>
      </c>
      <c r="BF589" s="303"/>
      <c r="BG589" s="303"/>
      <c r="BH589" s="303"/>
      <c r="BI589" s="303"/>
      <c r="BJ589" s="303"/>
      <c r="BK589" s="303"/>
      <c r="BL589" s="303"/>
      <c r="BM589" s="303"/>
      <c r="BN589" s="303"/>
      <c r="BO589" s="303"/>
      <c r="BP589" s="303"/>
      <c r="BQ589" s="5"/>
      <c r="BR589" s="25"/>
      <c r="BS589" s="5"/>
    </row>
    <row r="590" spans="1:71" s="3" customFormat="1" x14ac:dyDescent="0.25">
      <c r="A590" s="5"/>
      <c r="B590" s="3" t="str">
        <f t="array" ref="B590">IFERROR(INDEX(DemandSupply,MATCH(INDEX($AH$1:AH590,SMALL(ROW($AH$1:AH590)+(10000*($AH$1:AH590="")),COUNTA($AH$1:AH590))),Sectors,0)),"")</f>
        <v>Demand</v>
      </c>
      <c r="E590" s="10"/>
      <c r="F590" s="207"/>
      <c r="G590" s="207"/>
      <c r="H590" s="207"/>
      <c r="I590" s="207"/>
      <c r="J590" s="207"/>
      <c r="K590" s="207"/>
      <c r="L590" s="207"/>
      <c r="M590" s="207"/>
      <c r="N590" s="207"/>
      <c r="O590" s="207"/>
      <c r="P590" s="207"/>
      <c r="Q590" s="207"/>
      <c r="R590" s="207"/>
      <c r="S590" s="207"/>
      <c r="T590" s="207"/>
      <c r="U590" s="207"/>
      <c r="V590" s="207"/>
      <c r="W590" s="207"/>
      <c r="X590" s="207"/>
      <c r="Y590" s="207"/>
      <c r="Z590" s="207"/>
      <c r="AA590" s="207"/>
      <c r="AB590" s="207"/>
      <c r="AC590" s="5"/>
      <c r="AD590" s="63"/>
      <c r="AE590" s="64"/>
      <c r="AF590" s="64"/>
      <c r="AG590" s="212"/>
      <c r="AH590" s="64"/>
      <c r="AI590" s="64"/>
      <c r="AJ590" s="64"/>
      <c r="AK590" s="212"/>
      <c r="AL590" s="64"/>
      <c r="AM590" s="64"/>
      <c r="AN590" s="64"/>
      <c r="AO590" s="64"/>
      <c r="AP590" s="63"/>
      <c r="AQ590" s="64"/>
      <c r="AR590" s="63"/>
      <c r="AS590" s="64"/>
      <c r="AT590" s="63"/>
      <c r="AU590" s="64"/>
      <c r="AV590" s="63"/>
      <c r="AW590" s="64"/>
      <c r="AX590" s="63"/>
      <c r="AY590" s="5"/>
      <c r="AZ590" s="21" t="str">
        <f t="shared" si="238"/>
        <v/>
      </c>
      <c r="BA590" s="75" t="s">
        <v>408</v>
      </c>
      <c r="BB590" s="75"/>
      <c r="BC590" s="270"/>
      <c r="BD590" s="75" t="s">
        <v>99</v>
      </c>
      <c r="BE590" s="216" t="s">
        <v>364</v>
      </c>
      <c r="BF590" s="303"/>
      <c r="BG590" s="303"/>
      <c r="BH590" s="303"/>
      <c r="BI590" s="303"/>
      <c r="BJ590" s="303"/>
      <c r="BK590" s="303"/>
      <c r="BL590" s="303"/>
      <c r="BM590" s="303"/>
      <c r="BN590" s="303"/>
      <c r="BO590" s="303"/>
      <c r="BP590" s="303"/>
      <c r="BQ590" s="5"/>
      <c r="BR590" s="25"/>
      <c r="BS590" s="5"/>
    </row>
    <row r="591" spans="1:71" s="3" customFormat="1" x14ac:dyDescent="0.25">
      <c r="A591" s="5"/>
      <c r="B591" s="3" t="str">
        <f t="array" ref="B591">IFERROR(INDEX(DemandSupply,MATCH(INDEX($AH$1:AH591,SMALL(ROW($AH$1:AH591)+(10000*($AH$1:AH591="")),COUNTA($AH$1:AH591))),Sectors,0)),"")</f>
        <v>Demand</v>
      </c>
      <c r="E591" s="10"/>
      <c r="F591" s="207"/>
      <c r="G591" s="207"/>
      <c r="H591" s="207"/>
      <c r="I591" s="207"/>
      <c r="J591" s="207"/>
      <c r="K591" s="207"/>
      <c r="L591" s="207"/>
      <c r="M591" s="207"/>
      <c r="N591" s="207"/>
      <c r="O591" s="207"/>
      <c r="P591" s="207"/>
      <c r="Q591" s="207"/>
      <c r="R591" s="207"/>
      <c r="S591" s="207"/>
      <c r="T591" s="207"/>
      <c r="U591" s="207"/>
      <c r="V591" s="207"/>
      <c r="W591" s="207"/>
      <c r="X591" s="207"/>
      <c r="Y591" s="207"/>
      <c r="Z591" s="207"/>
      <c r="AA591" s="207"/>
      <c r="AB591" s="207"/>
      <c r="AC591" s="5"/>
      <c r="AD591" s="63"/>
      <c r="AE591" s="64"/>
      <c r="AF591" s="64"/>
      <c r="AG591" s="212"/>
      <c r="AH591" s="64"/>
      <c r="AI591" s="64"/>
      <c r="AJ591" s="64"/>
      <c r="AK591" s="212"/>
      <c r="AL591" s="64"/>
      <c r="AM591" s="64"/>
      <c r="AN591" s="64"/>
      <c r="AO591" s="64"/>
      <c r="AP591" s="63"/>
      <c r="AQ591" s="64"/>
      <c r="AR591" s="63"/>
      <c r="AS591" s="64"/>
      <c r="AT591" s="63"/>
      <c r="AU591" s="64"/>
      <c r="AV591" s="63"/>
      <c r="AW591" s="64"/>
      <c r="AX591" s="63"/>
      <c r="AY591" s="5"/>
      <c r="AZ591" s="21" t="str">
        <f t="shared" si="238"/>
        <v/>
      </c>
      <c r="BA591" s="75" t="s">
        <v>409</v>
      </c>
      <c r="BB591" s="75"/>
      <c r="BC591" s="270"/>
      <c r="BD591" s="75" t="s">
        <v>99</v>
      </c>
      <c r="BE591" s="216" t="s">
        <v>364</v>
      </c>
      <c r="BF591" s="303"/>
      <c r="BG591" s="303"/>
      <c r="BH591" s="303"/>
      <c r="BI591" s="303"/>
      <c r="BJ591" s="303"/>
      <c r="BK591" s="303"/>
      <c r="BL591" s="303"/>
      <c r="BM591" s="303"/>
      <c r="BN591" s="303"/>
      <c r="BO591" s="303"/>
      <c r="BP591" s="303"/>
      <c r="BQ591" s="5"/>
      <c r="BR591" s="25"/>
      <c r="BS591" s="5"/>
    </row>
    <row r="592" spans="1:71" s="3" customFormat="1" x14ac:dyDescent="0.25">
      <c r="A592" s="5"/>
      <c r="B592" s="3" t="str">
        <f t="array" ref="B592">IFERROR(INDEX(DemandSupply,MATCH(INDEX($AH$1:AH592,SMALL(ROW($AH$1:AH592)+(10000*($AH$1:AH592="")),COUNTA($AH$1:AH592))),Sectors,0)),"")</f>
        <v>Demand</v>
      </c>
      <c r="E592" s="10"/>
      <c r="F592" s="207"/>
      <c r="G592" s="207"/>
      <c r="H592" s="207"/>
      <c r="I592" s="207"/>
      <c r="J592" s="207"/>
      <c r="K592" s="207"/>
      <c r="L592" s="207"/>
      <c r="M592" s="207"/>
      <c r="N592" s="207"/>
      <c r="O592" s="207"/>
      <c r="P592" s="207"/>
      <c r="Q592" s="207"/>
      <c r="R592" s="207"/>
      <c r="S592" s="207"/>
      <c r="T592" s="207"/>
      <c r="U592" s="207"/>
      <c r="V592" s="207"/>
      <c r="W592" s="207"/>
      <c r="X592" s="207"/>
      <c r="Y592" s="207"/>
      <c r="Z592" s="207"/>
      <c r="AA592" s="207"/>
      <c r="AB592" s="207"/>
      <c r="AC592" s="5"/>
      <c r="AD592" s="63"/>
      <c r="AE592" s="64"/>
      <c r="AF592" s="64"/>
      <c r="AG592" s="212"/>
      <c r="AH592" s="64"/>
      <c r="AI592" s="64"/>
      <c r="AJ592" s="64"/>
      <c r="AK592" s="212"/>
      <c r="AL592" s="64"/>
      <c r="AM592" s="64"/>
      <c r="AN592" s="64"/>
      <c r="AO592" s="64"/>
      <c r="AP592" s="63"/>
      <c r="AQ592" s="64"/>
      <c r="AR592" s="63"/>
      <c r="AS592" s="64"/>
      <c r="AT592" s="63"/>
      <c r="AU592" s="64"/>
      <c r="AV592" s="63"/>
      <c r="AW592" s="64"/>
      <c r="AX592" s="63"/>
      <c r="AY592" s="5"/>
      <c r="AZ592" s="21" t="str">
        <f t="shared" si="238"/>
        <v/>
      </c>
      <c r="BA592" s="264" t="s">
        <v>371</v>
      </c>
      <c r="BB592" s="264"/>
      <c r="BC592" s="264"/>
      <c r="BD592" s="264" t="s">
        <v>34</v>
      </c>
      <c r="BE592" s="216" t="s">
        <v>364</v>
      </c>
      <c r="BF592" s="56">
        <v>642.4</v>
      </c>
      <c r="BG592" s="282">
        <f t="shared" ref="BG592:BG593" si="293">BF592</f>
        <v>642.4</v>
      </c>
      <c r="BH592" s="282">
        <f t="shared" ref="BH592:BH593" si="294">BG592</f>
        <v>642.4</v>
      </c>
      <c r="BI592" s="282">
        <f t="shared" ref="BI592:BI593" si="295">BH592</f>
        <v>642.4</v>
      </c>
      <c r="BJ592" s="282">
        <f t="shared" ref="BJ592:BJ593" si="296">BI592</f>
        <v>642.4</v>
      </c>
      <c r="BK592" s="282">
        <f t="shared" ref="BK592:BK593" si="297">BJ592</f>
        <v>642.4</v>
      </c>
      <c r="BL592" s="282">
        <f t="shared" ref="BL592:BL593" si="298">BK592</f>
        <v>642.4</v>
      </c>
      <c r="BM592" s="282">
        <f t="shared" ref="BM592:BM593" si="299">BL592</f>
        <v>642.4</v>
      </c>
      <c r="BN592" s="282">
        <f t="shared" ref="BN592:BN593" si="300">BM592</f>
        <v>642.4</v>
      </c>
      <c r="BO592" s="282">
        <f t="shared" ref="BO592:BO593" si="301">BN592</f>
        <v>642.4</v>
      </c>
      <c r="BP592" s="282">
        <f t="shared" ref="BP592:BP593" si="302">BO592</f>
        <v>642.4</v>
      </c>
      <c r="BQ592" s="5"/>
      <c r="BR592" s="25"/>
      <c r="BS592" s="5"/>
    </row>
    <row r="593" spans="1:71" s="3" customFormat="1" x14ac:dyDescent="0.25">
      <c r="A593" s="5"/>
      <c r="B593" s="3" t="str">
        <f t="array" ref="B593">IFERROR(INDEX(DemandSupply,MATCH(INDEX($AH$1:AH593,SMALL(ROW($AH$1:AH593)+(10000*($AH$1:AH593="")),COUNTA($AH$1:AH593))),Sectors,0)),"")</f>
        <v>Demand</v>
      </c>
      <c r="E593" s="10"/>
      <c r="F593" s="207"/>
      <c r="G593" s="207"/>
      <c r="H593" s="207"/>
      <c r="I593" s="207"/>
      <c r="J593" s="207"/>
      <c r="K593" s="207"/>
      <c r="L593" s="207"/>
      <c r="M593" s="207"/>
      <c r="N593" s="207"/>
      <c r="O593" s="207"/>
      <c r="P593" s="207"/>
      <c r="Q593" s="207"/>
      <c r="R593" s="207"/>
      <c r="S593" s="207"/>
      <c r="T593" s="207"/>
      <c r="U593" s="207"/>
      <c r="V593" s="207"/>
      <c r="W593" s="207"/>
      <c r="X593" s="207"/>
      <c r="Y593" s="207"/>
      <c r="Z593" s="207"/>
      <c r="AA593" s="207"/>
      <c r="AB593" s="207"/>
      <c r="AC593" s="5"/>
      <c r="AD593" s="63"/>
      <c r="AE593" s="64"/>
      <c r="AF593" s="64"/>
      <c r="AG593" s="212"/>
      <c r="AH593" s="64"/>
      <c r="AI593" s="64"/>
      <c r="AJ593" s="64"/>
      <c r="AK593" s="212"/>
      <c r="AL593" s="64"/>
      <c r="AM593" s="64"/>
      <c r="AN593" s="64"/>
      <c r="AO593" s="64"/>
      <c r="AP593" s="63"/>
      <c r="AQ593" s="64"/>
      <c r="AR593" s="63"/>
      <c r="AS593" s="64"/>
      <c r="AT593" s="63"/>
      <c r="AU593" s="64"/>
      <c r="AV593" s="63"/>
      <c r="AW593" s="64"/>
      <c r="AX593" s="63"/>
      <c r="AY593" s="5"/>
      <c r="AZ593" s="21" t="str">
        <f t="shared" si="238"/>
        <v/>
      </c>
      <c r="BA593" s="264" t="s">
        <v>170</v>
      </c>
      <c r="BB593" s="264"/>
      <c r="BC593" s="264"/>
      <c r="BD593" s="264" t="s">
        <v>354</v>
      </c>
      <c r="BE593" s="216" t="s">
        <v>364</v>
      </c>
      <c r="BF593" s="56">
        <v>2647.9160000000002</v>
      </c>
      <c r="BG593" s="282">
        <f t="shared" si="293"/>
        <v>2647.9160000000002</v>
      </c>
      <c r="BH593" s="282">
        <f t="shared" si="294"/>
        <v>2647.9160000000002</v>
      </c>
      <c r="BI593" s="282">
        <f t="shared" si="295"/>
        <v>2647.9160000000002</v>
      </c>
      <c r="BJ593" s="282">
        <f t="shared" si="296"/>
        <v>2647.9160000000002</v>
      </c>
      <c r="BK593" s="282">
        <f t="shared" si="297"/>
        <v>2647.9160000000002</v>
      </c>
      <c r="BL593" s="282">
        <f t="shared" si="298"/>
        <v>2647.9160000000002</v>
      </c>
      <c r="BM593" s="282">
        <f t="shared" si="299"/>
        <v>2647.9160000000002</v>
      </c>
      <c r="BN593" s="282">
        <f t="shared" si="300"/>
        <v>2647.9160000000002</v>
      </c>
      <c r="BO593" s="282">
        <f t="shared" si="301"/>
        <v>2647.9160000000002</v>
      </c>
      <c r="BP593" s="282">
        <f t="shared" si="302"/>
        <v>2647.9160000000002</v>
      </c>
      <c r="BQ593" s="5"/>
      <c r="BR593" s="25"/>
      <c r="BS593" s="5"/>
    </row>
    <row r="594" spans="1:71" s="3" customFormat="1" x14ac:dyDescent="0.25">
      <c r="A594" s="5"/>
      <c r="B594" s="3" t="str">
        <f t="array" ref="B594">IFERROR(INDEX(DemandSupply,MATCH(INDEX($AH$1:AH594,SMALL(ROW($AH$1:AH594)+(10000*($AH$1:AH594="")),COUNTA($AH$1:AH594))),Sectors,0)),"")</f>
        <v>Demand</v>
      </c>
      <c r="E594" s="10"/>
      <c r="F594" s="207"/>
      <c r="G594" s="207"/>
      <c r="H594" s="207"/>
      <c r="I594" s="207"/>
      <c r="J594" s="207"/>
      <c r="K594" s="207"/>
      <c r="L594" s="207"/>
      <c r="M594" s="207"/>
      <c r="N594" s="207"/>
      <c r="O594" s="207"/>
      <c r="P594" s="207"/>
      <c r="Q594" s="207"/>
      <c r="R594" s="207"/>
      <c r="S594" s="207"/>
      <c r="T594" s="207"/>
      <c r="U594" s="207"/>
      <c r="V594" s="207"/>
      <c r="W594" s="207"/>
      <c r="X594" s="207"/>
      <c r="Y594" s="207"/>
      <c r="Z594" s="207"/>
      <c r="AA594" s="207"/>
      <c r="AB594" s="207"/>
      <c r="AC594" s="5"/>
      <c r="AD594" s="63"/>
      <c r="AE594" s="64"/>
      <c r="AF594" s="64"/>
      <c r="AG594" s="212"/>
      <c r="AH594" s="64"/>
      <c r="AI594" s="64"/>
      <c r="AJ594" s="64"/>
      <c r="AK594" s="212"/>
      <c r="AL594" s="64"/>
      <c r="AM594" s="64"/>
      <c r="AN594" s="64"/>
      <c r="AO594" s="64"/>
      <c r="AP594" s="63"/>
      <c r="AQ594" s="64"/>
      <c r="AR594" s="63"/>
      <c r="AS594" s="64"/>
      <c r="AT594" s="63"/>
      <c r="AU594" s="64"/>
      <c r="AV594" s="63"/>
      <c r="AW594" s="64"/>
      <c r="AX594" s="63"/>
      <c r="AY594" s="5"/>
      <c r="AZ594" s="21" t="str">
        <f t="shared" si="238"/>
        <v/>
      </c>
      <c r="BA594" s="264" t="s">
        <v>425</v>
      </c>
      <c r="BB594" s="264"/>
      <c r="BC594" s="264"/>
      <c r="BD594" s="264" t="s">
        <v>99</v>
      </c>
      <c r="BE594" s="216" t="s">
        <v>364</v>
      </c>
      <c r="BF594" s="303"/>
      <c r="BG594" s="303"/>
      <c r="BH594" s="303"/>
      <c r="BI594" s="303"/>
      <c r="BJ594" s="303"/>
      <c r="BK594" s="303"/>
      <c r="BL594" s="303"/>
      <c r="BM594" s="303"/>
      <c r="BN594" s="303"/>
      <c r="BO594" s="303"/>
      <c r="BP594" s="303"/>
      <c r="BQ594" s="5"/>
      <c r="BR594" s="25"/>
      <c r="BS594" s="5"/>
    </row>
    <row r="595" spans="1:71" s="3" customFormat="1" x14ac:dyDescent="0.25">
      <c r="A595" s="5"/>
      <c r="B595" s="3" t="str">
        <f t="array" ref="B595">IFERROR(INDEX(DemandSupply,MATCH(INDEX($AH$1:AH595,SMALL(ROW($AH$1:AH595)+(10000*($AH$1:AH595="")),COUNTA($AH$1:AH595))),Sectors,0)),"")</f>
        <v>Demand</v>
      </c>
      <c r="E595" s="10"/>
      <c r="F595" s="207"/>
      <c r="G595" s="207"/>
      <c r="H595" s="207"/>
      <c r="I595" s="207"/>
      <c r="J595" s="207"/>
      <c r="K595" s="207"/>
      <c r="L595" s="207"/>
      <c r="M595" s="207"/>
      <c r="N595" s="207"/>
      <c r="O595" s="207"/>
      <c r="P595" s="207"/>
      <c r="Q595" s="207"/>
      <c r="R595" s="207"/>
      <c r="S595" s="207"/>
      <c r="T595" s="207"/>
      <c r="U595" s="207"/>
      <c r="V595" s="207"/>
      <c r="W595" s="207"/>
      <c r="X595" s="207"/>
      <c r="Y595" s="207"/>
      <c r="Z595" s="207"/>
      <c r="AA595" s="207"/>
      <c r="AB595" s="207"/>
      <c r="AC595" s="5"/>
      <c r="AD595" s="63"/>
      <c r="AE595" s="64"/>
      <c r="AF595" s="64"/>
      <c r="AG595" s="212"/>
      <c r="AH595" s="64"/>
      <c r="AI595" s="64"/>
      <c r="AJ595" s="64"/>
      <c r="AK595" s="212"/>
      <c r="AL595" s="64"/>
      <c r="AM595" s="64"/>
      <c r="AN595" s="64"/>
      <c r="AO595" s="64"/>
      <c r="AP595" s="63"/>
      <c r="AQ595" s="64"/>
      <c r="AR595" s="63"/>
      <c r="AS595" s="64"/>
      <c r="AT595" s="63"/>
      <c r="AU595" s="64"/>
      <c r="AV595" s="63"/>
      <c r="AW595" s="64"/>
      <c r="AX595" s="63"/>
      <c r="AY595" s="5"/>
      <c r="AZ595" s="21" t="str">
        <f t="shared" si="238"/>
        <v/>
      </c>
      <c r="BA595" s="264" t="s">
        <v>438</v>
      </c>
      <c r="BB595" s="264"/>
      <c r="BC595" s="264"/>
      <c r="BD595" s="264" t="s">
        <v>34</v>
      </c>
      <c r="BE595" s="216" t="s">
        <v>364</v>
      </c>
      <c r="BF595" s="56"/>
      <c r="BG595" s="56"/>
      <c r="BH595" s="56"/>
      <c r="BI595" s="56"/>
      <c r="BJ595" s="56"/>
      <c r="BK595" s="56"/>
      <c r="BL595" s="56"/>
      <c r="BM595" s="56"/>
      <c r="BN595" s="56"/>
      <c r="BO595" s="56"/>
      <c r="BP595" s="56"/>
      <c r="BQ595" s="5"/>
      <c r="BR595" s="25"/>
      <c r="BS595" s="5"/>
    </row>
    <row r="596" spans="1:71" s="3" customFormat="1" x14ac:dyDescent="0.25">
      <c r="A596" s="5"/>
      <c r="B596" s="3" t="str">
        <f t="array" ref="B596">IFERROR(INDEX(DemandSupply,MATCH(INDEX($AH$1:AH596,SMALL(ROW($AH$1:AH596)+(10000*($AH$1:AH596="")),COUNTA($AH$1:AH596))),Sectors,0)),"")</f>
        <v>Demand</v>
      </c>
      <c r="E596" s="10"/>
      <c r="F596" s="207"/>
      <c r="G596" s="207"/>
      <c r="H596" s="207"/>
      <c r="I596" s="207"/>
      <c r="J596" s="207"/>
      <c r="K596" s="207"/>
      <c r="L596" s="207"/>
      <c r="M596" s="207"/>
      <c r="N596" s="207"/>
      <c r="O596" s="207"/>
      <c r="P596" s="207"/>
      <c r="Q596" s="207"/>
      <c r="R596" s="207"/>
      <c r="S596" s="207"/>
      <c r="T596" s="207"/>
      <c r="U596" s="207"/>
      <c r="V596" s="207"/>
      <c r="W596" s="207"/>
      <c r="X596" s="207"/>
      <c r="Y596" s="207"/>
      <c r="Z596" s="207"/>
      <c r="AA596" s="207"/>
      <c r="AB596" s="207"/>
      <c r="AC596" s="5"/>
      <c r="AD596" s="63"/>
      <c r="AE596" s="64"/>
      <c r="AF596" s="64"/>
      <c r="AG596" s="212"/>
      <c r="AH596" s="64"/>
      <c r="AI596" s="64"/>
      <c r="AJ596" s="64"/>
      <c r="AK596" s="212"/>
      <c r="AL596" s="64"/>
      <c r="AM596" s="64"/>
      <c r="AN596" s="64"/>
      <c r="AO596" s="64"/>
      <c r="AP596" s="63"/>
      <c r="AQ596" s="64"/>
      <c r="AR596" s="63"/>
      <c r="AS596" s="64"/>
      <c r="AT596" s="63"/>
      <c r="AU596" s="64"/>
      <c r="AV596" s="63"/>
      <c r="AW596" s="64"/>
      <c r="AX596" s="63"/>
      <c r="AY596" s="5"/>
      <c r="AZ596" s="21" t="str">
        <f t="shared" si="238"/>
        <v/>
      </c>
      <c r="BA596" s="264" t="s">
        <v>435</v>
      </c>
      <c r="BB596" s="264"/>
      <c r="BC596" s="264"/>
      <c r="BD596" s="264"/>
      <c r="BE596" s="216" t="s">
        <v>364</v>
      </c>
      <c r="BF596" s="55"/>
      <c r="BG596" s="55"/>
      <c r="BH596" s="55"/>
      <c r="BI596" s="55"/>
      <c r="BJ596" s="55"/>
      <c r="BK596" s="55"/>
      <c r="BL596" s="55"/>
      <c r="BM596" s="55"/>
      <c r="BN596" s="55"/>
      <c r="BO596" s="55"/>
      <c r="BP596" s="55"/>
      <c r="BQ596" s="5"/>
      <c r="BR596" s="25"/>
      <c r="BS596" s="5"/>
    </row>
    <row r="597" spans="1:71" s="3" customFormat="1" x14ac:dyDescent="0.25">
      <c r="A597" s="5"/>
      <c r="B597" s="3" t="str">
        <f t="array" ref="B597">IFERROR(INDEX(DemandSupply,MATCH(INDEX($AH$1:AH597,SMALL(ROW($AH$1:AH597)+(10000*($AH$1:AH597="")),COUNTA($AH$1:AH597))),Sectors,0)),"")</f>
        <v>Demand</v>
      </c>
      <c r="E597" s="10"/>
      <c r="F597" s="207"/>
      <c r="G597" s="207"/>
      <c r="H597" s="207"/>
      <c r="I597" s="207"/>
      <c r="J597" s="207"/>
      <c r="K597" s="207"/>
      <c r="L597" s="207"/>
      <c r="M597" s="207"/>
      <c r="N597" s="207"/>
      <c r="O597" s="207"/>
      <c r="P597" s="207"/>
      <c r="Q597" s="207"/>
      <c r="R597" s="207"/>
      <c r="S597" s="207"/>
      <c r="T597" s="207"/>
      <c r="U597" s="207"/>
      <c r="V597" s="207"/>
      <c r="W597" s="207"/>
      <c r="X597" s="207"/>
      <c r="Y597" s="207"/>
      <c r="Z597" s="207"/>
      <c r="AA597" s="207"/>
      <c r="AB597" s="207"/>
      <c r="AC597" s="5"/>
      <c r="AD597" s="63"/>
      <c r="AE597" s="64"/>
      <c r="AF597" s="64"/>
      <c r="AG597" s="212"/>
      <c r="AH597" s="64"/>
      <c r="AI597" s="64"/>
      <c r="AJ597" s="64"/>
      <c r="AK597" s="212"/>
      <c r="AL597" s="64"/>
      <c r="AM597" s="64"/>
      <c r="AN597" s="64"/>
      <c r="AO597" s="64"/>
      <c r="AP597" s="63"/>
      <c r="AQ597" s="64"/>
      <c r="AR597" s="63"/>
      <c r="AS597" s="64"/>
      <c r="AT597" s="63"/>
      <c r="AU597" s="64"/>
      <c r="AV597" s="63"/>
      <c r="AW597" s="64"/>
      <c r="AX597" s="63"/>
      <c r="AY597" s="5"/>
      <c r="AZ597" s="21" t="str">
        <f t="shared" si="238"/>
        <v/>
      </c>
      <c r="BA597" s="264" t="s">
        <v>407</v>
      </c>
      <c r="BB597" s="264"/>
      <c r="BC597" s="264"/>
      <c r="BD597" s="264" t="s">
        <v>99</v>
      </c>
      <c r="BE597" s="216" t="s">
        <v>364</v>
      </c>
      <c r="BF597" s="303"/>
      <c r="BG597" s="303"/>
      <c r="BH597" s="303"/>
      <c r="BI597" s="303"/>
      <c r="BJ597" s="303"/>
      <c r="BK597" s="303"/>
      <c r="BL597" s="303"/>
      <c r="BM597" s="303"/>
      <c r="BN597" s="303"/>
      <c r="BO597" s="303"/>
      <c r="BP597" s="303"/>
      <c r="BQ597" s="5"/>
      <c r="BR597" s="25"/>
      <c r="BS597" s="5"/>
    </row>
    <row r="598" spans="1:71" s="3" customFormat="1" x14ac:dyDescent="0.25">
      <c r="A598" s="5"/>
      <c r="B598" s="3" t="str">
        <f t="array" ref="B598">IFERROR(INDEX(DemandSupply,MATCH(INDEX($AH$1:AH598,SMALL(ROW($AH$1:AH598)+(10000*($AH$1:AH598="")),COUNTA($AH$1:AH598))),Sectors,0)),"")</f>
        <v>Demand</v>
      </c>
      <c r="E598" s="10"/>
      <c r="F598" s="207"/>
      <c r="G598" s="207"/>
      <c r="H598" s="207"/>
      <c r="I598" s="207"/>
      <c r="J598" s="207"/>
      <c r="K598" s="207"/>
      <c r="L598" s="207"/>
      <c r="M598" s="207"/>
      <c r="N598" s="207"/>
      <c r="O598" s="207"/>
      <c r="P598" s="207"/>
      <c r="Q598" s="207"/>
      <c r="R598" s="207"/>
      <c r="S598" s="207"/>
      <c r="T598" s="207"/>
      <c r="U598" s="207"/>
      <c r="V598" s="207"/>
      <c r="W598" s="207"/>
      <c r="X598" s="207"/>
      <c r="Y598" s="207"/>
      <c r="Z598" s="207"/>
      <c r="AA598" s="207"/>
      <c r="AB598" s="207"/>
      <c r="AC598" s="5"/>
      <c r="AD598" s="63"/>
      <c r="AE598" s="64"/>
      <c r="AF598" s="64"/>
      <c r="AG598" s="212"/>
      <c r="AH598" s="64"/>
      <c r="AI598" s="64"/>
      <c r="AJ598" s="64"/>
      <c r="AK598" s="212"/>
      <c r="AL598" s="64"/>
      <c r="AM598" s="64"/>
      <c r="AN598" s="64"/>
      <c r="AO598" s="64"/>
      <c r="AP598" s="63"/>
      <c r="AQ598" s="64"/>
      <c r="AR598" s="63"/>
      <c r="AS598" s="64"/>
      <c r="AT598" s="63"/>
      <c r="AU598" s="64"/>
      <c r="AV598" s="63"/>
      <c r="AW598" s="64"/>
      <c r="AX598" s="63"/>
      <c r="AY598" s="5"/>
      <c r="AZ598" s="21" t="str">
        <f t="shared" si="238"/>
        <v/>
      </c>
      <c r="BA598" s="264" t="s">
        <v>444</v>
      </c>
      <c r="BB598" s="264"/>
      <c r="BC598" s="264"/>
      <c r="BD598" s="264" t="s">
        <v>354</v>
      </c>
      <c r="BE598" s="216" t="s">
        <v>364</v>
      </c>
      <c r="BF598" s="56">
        <v>1221.6890000000001</v>
      </c>
      <c r="BG598" s="282">
        <f t="shared" ref="BG598" si="303">BF598</f>
        <v>1221.6890000000001</v>
      </c>
      <c r="BH598" s="282">
        <f t="shared" ref="BH598" si="304">BG598</f>
        <v>1221.6890000000001</v>
      </c>
      <c r="BI598" s="282">
        <f t="shared" ref="BI598" si="305">BH598</f>
        <v>1221.6890000000001</v>
      </c>
      <c r="BJ598" s="282">
        <f t="shared" ref="BJ598" si="306">BI598</f>
        <v>1221.6890000000001</v>
      </c>
      <c r="BK598" s="282">
        <f t="shared" ref="BK598" si="307">BJ598</f>
        <v>1221.6890000000001</v>
      </c>
      <c r="BL598" s="282">
        <f t="shared" ref="BL598" si="308">BK598</f>
        <v>1221.6890000000001</v>
      </c>
      <c r="BM598" s="282">
        <f t="shared" ref="BM598" si="309">BL598</f>
        <v>1221.6890000000001</v>
      </c>
      <c r="BN598" s="282">
        <f t="shared" ref="BN598" si="310">BM598</f>
        <v>1221.6890000000001</v>
      </c>
      <c r="BO598" s="282">
        <f t="shared" ref="BO598" si="311">BN598</f>
        <v>1221.6890000000001</v>
      </c>
      <c r="BP598" s="282">
        <f t="shared" ref="BP598" si="312">BO598</f>
        <v>1221.6890000000001</v>
      </c>
      <c r="BQ598" s="5"/>
      <c r="BR598" s="25"/>
      <c r="BS598" s="5"/>
    </row>
    <row r="599" spans="1:71" s="3" customFormat="1" x14ac:dyDescent="0.25">
      <c r="A599" s="5"/>
      <c r="B599" s="3" t="str">
        <f t="array" ref="B599">IFERROR(INDEX(DemandSupply,MATCH(INDEX($AH$1:AH599,SMALL(ROW($AH$1:AH599)+(10000*($AH$1:AH599="")),COUNTA($AH$1:AH599))),Sectors,0)),"")</f>
        <v>Demand</v>
      </c>
      <c r="E599" s="10"/>
      <c r="F599" s="207"/>
      <c r="G599" s="207"/>
      <c r="H599" s="207"/>
      <c r="I599" s="207"/>
      <c r="J599" s="207"/>
      <c r="K599" s="207"/>
      <c r="L599" s="207"/>
      <c r="M599" s="207"/>
      <c r="N599" s="207"/>
      <c r="O599" s="207"/>
      <c r="P599" s="207"/>
      <c r="Q599" s="207"/>
      <c r="R599" s="207"/>
      <c r="S599" s="207"/>
      <c r="T599" s="207"/>
      <c r="U599" s="207"/>
      <c r="V599" s="207"/>
      <c r="W599" s="207"/>
      <c r="X599" s="207"/>
      <c r="Y599" s="207"/>
      <c r="Z599" s="207"/>
      <c r="AA599" s="207"/>
      <c r="AB599" s="207"/>
      <c r="AC599" s="5"/>
      <c r="AD599" s="63"/>
      <c r="AE599" s="64"/>
      <c r="AF599" s="64"/>
      <c r="AG599" s="212"/>
      <c r="AH599" s="64"/>
      <c r="AI599" s="64"/>
      <c r="AJ599" s="64"/>
      <c r="AK599" s="212"/>
      <c r="AL599" s="64"/>
      <c r="AM599" s="64"/>
      <c r="AN599" s="64"/>
      <c r="AO599" s="64"/>
      <c r="AP599" s="63"/>
      <c r="AQ599" s="64"/>
      <c r="AR599" s="63"/>
      <c r="AS599" s="64"/>
      <c r="AT599" s="63"/>
      <c r="AU599" s="64"/>
      <c r="AV599" s="63"/>
      <c r="AW599" s="64"/>
      <c r="AX599" s="63"/>
      <c r="AY599" s="5"/>
      <c r="AZ599" s="21" t="str">
        <f t="shared" si="238"/>
        <v/>
      </c>
      <c r="BA599" s="264" t="s">
        <v>446</v>
      </c>
      <c r="BB599" s="264"/>
      <c r="BC599" s="264"/>
      <c r="BD599" s="264" t="s">
        <v>354</v>
      </c>
      <c r="BE599" s="216" t="s">
        <v>364</v>
      </c>
      <c r="BF599" s="56"/>
      <c r="BG599" s="56"/>
      <c r="BH599" s="56"/>
      <c r="BI599" s="56"/>
      <c r="BJ599" s="56"/>
      <c r="BK599" s="56"/>
      <c r="BL599" s="56"/>
      <c r="BM599" s="56"/>
      <c r="BN599" s="56"/>
      <c r="BO599" s="56"/>
      <c r="BP599" s="56"/>
      <c r="BQ599" s="5"/>
      <c r="BR599" s="25"/>
      <c r="BS599" s="5"/>
    </row>
    <row r="600" spans="1:71" s="3" customFormat="1" x14ac:dyDescent="0.25">
      <c r="A600" s="5"/>
      <c r="B600" s="3" t="str">
        <f t="array" ref="B600">IFERROR(INDEX(DemandSupply,MATCH(INDEX($AH$1:AH600,SMALL(ROW($AH$1:AH600)+(10000*($AH$1:AH600="")),COUNTA($AH$1:AH600))),Sectors,0)),"")</f>
        <v>Demand</v>
      </c>
      <c r="E600" s="10"/>
      <c r="F600" s="207"/>
      <c r="G600" s="207"/>
      <c r="H600" s="207"/>
      <c r="I600" s="207"/>
      <c r="J600" s="207"/>
      <c r="K600" s="207"/>
      <c r="L600" s="207"/>
      <c r="M600" s="207"/>
      <c r="N600" s="207"/>
      <c r="O600" s="207"/>
      <c r="P600" s="207"/>
      <c r="Q600" s="207"/>
      <c r="R600" s="207"/>
      <c r="S600" s="207"/>
      <c r="T600" s="207"/>
      <c r="U600" s="207"/>
      <c r="V600" s="207"/>
      <c r="W600" s="207"/>
      <c r="X600" s="207"/>
      <c r="Y600" s="207"/>
      <c r="Z600" s="207"/>
      <c r="AA600" s="207"/>
      <c r="AB600" s="207"/>
      <c r="AC600" s="5"/>
      <c r="AD600" s="63"/>
      <c r="AE600" s="64"/>
      <c r="AF600" s="64"/>
      <c r="AG600" s="212"/>
      <c r="AH600" s="64"/>
      <c r="AI600" s="64"/>
      <c r="AJ600" s="64"/>
      <c r="AK600" s="212"/>
      <c r="AL600" s="64"/>
      <c r="AM600" s="64"/>
      <c r="AN600" s="64"/>
      <c r="AO600" s="64"/>
      <c r="AP600" s="63"/>
      <c r="AQ600" s="64"/>
      <c r="AR600" s="63"/>
      <c r="AS600" s="64"/>
      <c r="AT600" s="63"/>
      <c r="AU600" s="64"/>
      <c r="AV600" s="63"/>
      <c r="AW600" s="64"/>
      <c r="AX600" s="63"/>
      <c r="AY600" s="5"/>
      <c r="AZ600" s="21" t="str">
        <f t="shared" si="238"/>
        <v/>
      </c>
      <c r="BA600" s="264" t="s">
        <v>447</v>
      </c>
      <c r="BB600" s="264"/>
      <c r="BC600" s="264"/>
      <c r="BD600" s="264"/>
      <c r="BE600" s="216" t="s">
        <v>364</v>
      </c>
      <c r="BF600" s="55"/>
      <c r="BG600" s="55"/>
      <c r="BH600" s="55"/>
      <c r="BI600" s="55"/>
      <c r="BJ600" s="55"/>
      <c r="BK600" s="55"/>
      <c r="BL600" s="55"/>
      <c r="BM600" s="55"/>
      <c r="BN600" s="55"/>
      <c r="BO600" s="55"/>
      <c r="BP600" s="55"/>
      <c r="BQ600" s="5"/>
      <c r="BR600" s="25"/>
      <c r="BS600" s="5"/>
    </row>
    <row r="601" spans="1:71" s="3" customFormat="1" x14ac:dyDescent="0.25">
      <c r="A601" s="5"/>
      <c r="B601" s="3" t="str">
        <f t="array" ref="B601">IFERROR(INDEX(DemandSupply,MATCH(INDEX($AH$1:AH601,SMALL(ROW($AH$1:AH601)+(10000*($AH$1:AH601="")),COUNTA($AH$1:AH601))),Sectors,0)),"")</f>
        <v>Demand</v>
      </c>
      <c r="E601" s="10"/>
      <c r="F601" s="207"/>
      <c r="G601" s="207"/>
      <c r="H601" s="207"/>
      <c r="I601" s="207"/>
      <c r="J601" s="207"/>
      <c r="K601" s="207"/>
      <c r="L601" s="207"/>
      <c r="M601" s="207"/>
      <c r="N601" s="207"/>
      <c r="O601" s="207"/>
      <c r="P601" s="207"/>
      <c r="Q601" s="207"/>
      <c r="R601" s="207"/>
      <c r="S601" s="207"/>
      <c r="T601" s="207"/>
      <c r="U601" s="207"/>
      <c r="V601" s="207"/>
      <c r="W601" s="207"/>
      <c r="X601" s="207"/>
      <c r="Y601" s="207"/>
      <c r="Z601" s="207"/>
      <c r="AA601" s="207"/>
      <c r="AB601" s="207"/>
      <c r="AC601" s="5"/>
      <c r="AD601" s="63"/>
      <c r="AE601" s="64"/>
      <c r="AF601" s="64"/>
      <c r="AG601" s="212"/>
      <c r="AH601" s="64"/>
      <c r="AI601" s="64"/>
      <c r="AJ601" s="64"/>
      <c r="AK601" s="212"/>
      <c r="AL601" s="64"/>
      <c r="AM601" s="64"/>
      <c r="AN601" s="64"/>
      <c r="AO601" s="64"/>
      <c r="AP601" s="63"/>
      <c r="AQ601" s="64"/>
      <c r="AR601" s="63"/>
      <c r="AS601" s="64"/>
      <c r="AT601" s="63"/>
      <c r="AU601" s="64"/>
      <c r="AV601" s="63"/>
      <c r="AW601" s="64"/>
      <c r="AX601" s="63"/>
      <c r="AY601" s="5"/>
      <c r="AZ601" s="21" t="str">
        <f t="shared" si="238"/>
        <v/>
      </c>
      <c r="BA601" s="264" t="s">
        <v>448</v>
      </c>
      <c r="BB601" s="264"/>
      <c r="BC601" s="264"/>
      <c r="BD601" s="264"/>
      <c r="BE601" s="216" t="s">
        <v>364</v>
      </c>
      <c r="BF601" s="55"/>
      <c r="BG601" s="55"/>
      <c r="BH601" s="55"/>
      <c r="BI601" s="55"/>
      <c r="BJ601" s="55"/>
      <c r="BK601" s="55"/>
      <c r="BL601" s="55"/>
      <c r="BM601" s="55"/>
      <c r="BN601" s="55"/>
      <c r="BO601" s="55"/>
      <c r="BP601" s="55"/>
      <c r="BQ601" s="5"/>
      <c r="BR601" s="25"/>
      <c r="BS601" s="5"/>
    </row>
    <row r="602" spans="1:71" s="3" customFormat="1" x14ac:dyDescent="0.25">
      <c r="A602" s="5"/>
      <c r="B602" s="3" t="str">
        <f t="array" ref="B602">IFERROR(INDEX(DemandSupply,MATCH(INDEX($AH$1:AH602,SMALL(ROW($AH$1:AH602)+(10000*($AH$1:AH602="")),COUNTA($AH$1:AH602))),Sectors,0)),"")</f>
        <v>Demand</v>
      </c>
      <c r="E602" s="10"/>
      <c r="F602" s="207"/>
      <c r="G602" s="207"/>
      <c r="H602" s="207"/>
      <c r="I602" s="207"/>
      <c r="J602" s="207"/>
      <c r="K602" s="207"/>
      <c r="L602" s="207"/>
      <c r="M602" s="207"/>
      <c r="N602" s="207"/>
      <c r="O602" s="207"/>
      <c r="P602" s="207"/>
      <c r="Q602" s="207"/>
      <c r="R602" s="207"/>
      <c r="S602" s="207"/>
      <c r="T602" s="207"/>
      <c r="U602" s="207"/>
      <c r="V602" s="207"/>
      <c r="W602" s="207"/>
      <c r="X602" s="207"/>
      <c r="Y602" s="207"/>
      <c r="Z602" s="207"/>
      <c r="AA602" s="207"/>
      <c r="AB602" s="207"/>
      <c r="AC602" s="5"/>
      <c r="AD602" s="63"/>
      <c r="AE602" s="64"/>
      <c r="AF602" s="64"/>
      <c r="AG602" s="212"/>
      <c r="AH602" s="64"/>
      <c r="AI602" s="64"/>
      <c r="AJ602" s="64"/>
      <c r="AK602" s="212"/>
      <c r="AL602" s="64"/>
      <c r="AM602" s="64"/>
      <c r="AN602" s="64"/>
      <c r="AO602" s="64"/>
      <c r="AP602" s="63"/>
      <c r="AQ602" s="64"/>
      <c r="AR602" s="63"/>
      <c r="AS602" s="64"/>
      <c r="AT602" s="63"/>
      <c r="AU602" s="64"/>
      <c r="AV602" s="63"/>
      <c r="AW602" s="64"/>
      <c r="AX602" s="63"/>
      <c r="AY602" s="5"/>
      <c r="AZ602" s="21" t="str">
        <f t="shared" si="238"/>
        <v/>
      </c>
      <c r="BA602" s="264" t="s">
        <v>445</v>
      </c>
      <c r="BB602" s="264"/>
      <c r="BC602" s="264"/>
      <c r="BD602" s="264" t="s">
        <v>355</v>
      </c>
      <c r="BE602" s="216" t="s">
        <v>364</v>
      </c>
      <c r="BF602" s="56"/>
      <c r="BG602" s="56"/>
      <c r="BH602" s="56"/>
      <c r="BI602" s="56"/>
      <c r="BJ602" s="56"/>
      <c r="BK602" s="56"/>
      <c r="BL602" s="56"/>
      <c r="BM602" s="56"/>
      <c r="BN602" s="56"/>
      <c r="BO602" s="56"/>
      <c r="BP602" s="56"/>
      <c r="BQ602" s="5"/>
      <c r="BR602" s="25"/>
      <c r="BS602" s="5"/>
    </row>
    <row r="603" spans="1:71" s="3" customFormat="1" x14ac:dyDescent="0.25">
      <c r="A603" s="5"/>
      <c r="B603" s="3" t="str">
        <f t="array" ref="B603">IFERROR(INDEX(DemandSupply,MATCH(INDEX($AH$1:AH603,SMALL(ROW($AH$1:AH603)+(10000*($AH$1:AH603="")),COUNTA($AH$1:AH603))),Sectors,0)),"")</f>
        <v>Demand</v>
      </c>
      <c r="E603" s="10"/>
      <c r="F603" s="207"/>
      <c r="G603" s="207"/>
      <c r="H603" s="207"/>
      <c r="I603" s="207"/>
      <c r="J603" s="207"/>
      <c r="K603" s="207"/>
      <c r="L603" s="207"/>
      <c r="M603" s="207"/>
      <c r="N603" s="207"/>
      <c r="O603" s="207"/>
      <c r="P603" s="207"/>
      <c r="Q603" s="207"/>
      <c r="R603" s="207"/>
      <c r="S603" s="207"/>
      <c r="T603" s="207"/>
      <c r="U603" s="207"/>
      <c r="V603" s="207"/>
      <c r="W603" s="207"/>
      <c r="X603" s="207"/>
      <c r="Y603" s="207"/>
      <c r="Z603" s="207"/>
      <c r="AA603" s="207"/>
      <c r="AB603" s="207"/>
      <c r="AC603" s="5"/>
      <c r="AD603" s="63"/>
      <c r="AE603" s="64"/>
      <c r="AF603" s="64"/>
      <c r="AG603" s="212"/>
      <c r="AH603" s="64"/>
      <c r="AI603" s="64"/>
      <c r="AJ603" s="64"/>
      <c r="AK603" s="212"/>
      <c r="AL603" s="64"/>
      <c r="AM603" s="64"/>
      <c r="AN603" s="64"/>
      <c r="AO603" s="64"/>
      <c r="AP603" s="63"/>
      <c r="AQ603" s="64"/>
      <c r="AR603" s="63"/>
      <c r="AS603" s="64"/>
      <c r="AT603" s="63"/>
      <c r="AU603" s="64"/>
      <c r="AV603" s="63"/>
      <c r="AW603" s="64"/>
      <c r="AX603" s="63"/>
      <c r="AY603" s="5"/>
      <c r="AZ603" s="21" t="str">
        <f t="shared" si="238"/>
        <v/>
      </c>
      <c r="BA603" s="264" t="s">
        <v>449</v>
      </c>
      <c r="BB603" s="264"/>
      <c r="BC603" s="264"/>
      <c r="BD603" s="264" t="s">
        <v>355</v>
      </c>
      <c r="BE603" s="216" t="s">
        <v>364</v>
      </c>
      <c r="BF603" s="56"/>
      <c r="BG603" s="56"/>
      <c r="BH603" s="56"/>
      <c r="BI603" s="56"/>
      <c r="BJ603" s="56"/>
      <c r="BK603" s="56"/>
      <c r="BL603" s="56"/>
      <c r="BM603" s="56"/>
      <c r="BN603" s="56"/>
      <c r="BO603" s="56"/>
      <c r="BP603" s="56"/>
      <c r="BQ603" s="5"/>
      <c r="BR603" s="25"/>
      <c r="BS603" s="5"/>
    </row>
    <row r="604" spans="1:71" s="3" customFormat="1" x14ac:dyDescent="0.25">
      <c r="A604" s="5"/>
      <c r="B604" s="3" t="str">
        <f t="array" ref="B604">IFERROR(INDEX(DemandSupply,MATCH(INDEX($AH$1:AH604,SMALL(ROW($AH$1:AH604)+(10000*($AH$1:AH604="")),COUNTA($AH$1:AH604))),Sectors,0)),"")</f>
        <v>Demand</v>
      </c>
      <c r="E604" s="10"/>
      <c r="F604" s="207"/>
      <c r="G604" s="207"/>
      <c r="H604" s="207"/>
      <c r="I604" s="207"/>
      <c r="J604" s="207"/>
      <c r="K604" s="207"/>
      <c r="L604" s="207"/>
      <c r="M604" s="207"/>
      <c r="N604" s="207"/>
      <c r="O604" s="207"/>
      <c r="P604" s="207"/>
      <c r="Q604" s="207"/>
      <c r="R604" s="207"/>
      <c r="S604" s="207"/>
      <c r="T604" s="207"/>
      <c r="U604" s="207"/>
      <c r="V604" s="207"/>
      <c r="W604" s="207"/>
      <c r="X604" s="207"/>
      <c r="Y604" s="207"/>
      <c r="Z604" s="207"/>
      <c r="AA604" s="207"/>
      <c r="AB604" s="207"/>
      <c r="AC604" s="5"/>
      <c r="AD604" s="63"/>
      <c r="AE604" s="64"/>
      <c r="AF604" s="64"/>
      <c r="AG604" s="212"/>
      <c r="AH604" s="64"/>
      <c r="AI604" s="64"/>
      <c r="AJ604" s="64"/>
      <c r="AK604" s="212"/>
      <c r="AL604" s="64"/>
      <c r="AM604" s="64"/>
      <c r="AN604" s="64"/>
      <c r="AO604" s="64"/>
      <c r="AP604" s="63"/>
      <c r="AQ604" s="64"/>
      <c r="AR604" s="63"/>
      <c r="AS604" s="64"/>
      <c r="AT604" s="63"/>
      <c r="AU604" s="64"/>
      <c r="AV604" s="63"/>
      <c r="AW604" s="64"/>
      <c r="AX604" s="63"/>
      <c r="AY604" s="5"/>
      <c r="AZ604" s="21" t="str">
        <f t="shared" si="238"/>
        <v/>
      </c>
      <c r="BA604" s="264" t="s">
        <v>450</v>
      </c>
      <c r="BB604" s="264"/>
      <c r="BC604" s="264"/>
      <c r="BD604" s="264"/>
      <c r="BE604" s="216" t="s">
        <v>364</v>
      </c>
      <c r="BF604" s="55"/>
      <c r="BG604" s="55"/>
      <c r="BH604" s="55"/>
      <c r="BI604" s="55"/>
      <c r="BJ604" s="55"/>
      <c r="BK604" s="55"/>
      <c r="BL604" s="55"/>
      <c r="BM604" s="55"/>
      <c r="BN604" s="55"/>
      <c r="BO604" s="55"/>
      <c r="BP604" s="55"/>
      <c r="BQ604" s="5"/>
      <c r="BR604" s="25"/>
      <c r="BS604" s="5"/>
    </row>
    <row r="605" spans="1:71" s="3" customFormat="1" x14ac:dyDescent="0.25">
      <c r="A605" s="5"/>
      <c r="B605" s="3" t="str">
        <f t="array" ref="B605">IFERROR(INDEX(DemandSupply,MATCH(INDEX($AH$1:AH605,SMALL(ROW($AH$1:AH605)+(10000*($AH$1:AH605="")),COUNTA($AH$1:AH605))),Sectors,0)),"")</f>
        <v>Demand</v>
      </c>
      <c r="E605" s="10"/>
      <c r="F605" s="207"/>
      <c r="G605" s="207"/>
      <c r="H605" s="207"/>
      <c r="I605" s="207"/>
      <c r="J605" s="207"/>
      <c r="K605" s="207"/>
      <c r="L605" s="207"/>
      <c r="M605" s="207"/>
      <c r="N605" s="207"/>
      <c r="O605" s="207"/>
      <c r="P605" s="207"/>
      <c r="Q605" s="207"/>
      <c r="R605" s="207"/>
      <c r="S605" s="207"/>
      <c r="T605" s="207"/>
      <c r="U605" s="207"/>
      <c r="V605" s="207"/>
      <c r="W605" s="207"/>
      <c r="X605" s="207"/>
      <c r="Y605" s="207"/>
      <c r="Z605" s="207"/>
      <c r="AA605" s="207"/>
      <c r="AB605" s="207"/>
      <c r="AC605" s="5"/>
      <c r="AD605" s="63"/>
      <c r="AE605" s="64"/>
      <c r="AF605" s="64"/>
      <c r="AG605" s="212"/>
      <c r="AH605" s="64"/>
      <c r="AI605" s="64"/>
      <c r="AJ605" s="64"/>
      <c r="AK605" s="212"/>
      <c r="AL605" s="64"/>
      <c r="AM605" s="64"/>
      <c r="AN605" s="64"/>
      <c r="AO605" s="64"/>
      <c r="AP605" s="63"/>
      <c r="AQ605" s="64"/>
      <c r="AR605" s="63"/>
      <c r="AS605" s="64"/>
      <c r="AT605" s="63"/>
      <c r="AU605" s="64"/>
      <c r="AV605" s="63"/>
      <c r="AW605" s="64"/>
      <c r="AX605" s="63"/>
      <c r="AY605" s="5"/>
      <c r="AZ605" s="21" t="str">
        <f t="shared" ref="AZ605:AZ668" si="313">IFERROR(INDEX($AD605:$AX605,MATCH(TRUE,INDEX(($AD605:$AX605&lt;&gt;0),0),0)),"")</f>
        <v/>
      </c>
      <c r="BA605" s="264" t="s">
        <v>451</v>
      </c>
      <c r="BB605" s="264"/>
      <c r="BC605" s="264"/>
      <c r="BD605" s="264"/>
      <c r="BE605" s="216" t="s">
        <v>364</v>
      </c>
      <c r="BF605" s="55"/>
      <c r="BG605" s="55"/>
      <c r="BH605" s="55"/>
      <c r="BI605" s="55"/>
      <c r="BJ605" s="55"/>
      <c r="BK605" s="55"/>
      <c r="BL605" s="55"/>
      <c r="BM605" s="55"/>
      <c r="BN605" s="55"/>
      <c r="BO605" s="55"/>
      <c r="BP605" s="55"/>
      <c r="BQ605" s="5"/>
      <c r="BR605" s="25"/>
      <c r="BS605" s="5"/>
    </row>
    <row r="606" spans="1:71" s="3" customFormat="1" x14ac:dyDescent="0.25">
      <c r="A606" s="5"/>
      <c r="B606" s="3" t="str">
        <f t="array" ref="B606">IFERROR(INDEX(DemandSupply,MATCH(INDEX($AH$1:AH606,SMALL(ROW($AH$1:AH606)+(10000*($AH$1:AH606="")),COUNTA($AH$1:AH606))),Sectors,0)),"")</f>
        <v>Demand</v>
      </c>
      <c r="E606" s="10"/>
      <c r="F606" s="207"/>
      <c r="G606" s="207"/>
      <c r="H606" s="207"/>
      <c r="I606" s="207"/>
      <c r="J606" s="207"/>
      <c r="K606" s="207"/>
      <c r="L606" s="207"/>
      <c r="M606" s="207"/>
      <c r="N606" s="207"/>
      <c r="O606" s="207"/>
      <c r="P606" s="207"/>
      <c r="Q606" s="207"/>
      <c r="R606" s="207"/>
      <c r="S606" s="207"/>
      <c r="T606" s="207"/>
      <c r="U606" s="207"/>
      <c r="V606" s="207"/>
      <c r="W606" s="207"/>
      <c r="X606" s="207"/>
      <c r="Y606" s="207"/>
      <c r="Z606" s="207"/>
      <c r="AA606" s="207"/>
      <c r="AB606" s="207"/>
      <c r="AC606" s="5"/>
      <c r="AD606" s="63"/>
      <c r="AE606" s="64"/>
      <c r="AF606" s="64"/>
      <c r="AG606" s="212"/>
      <c r="AH606" s="64"/>
      <c r="AI606" s="64"/>
      <c r="AJ606" s="64"/>
      <c r="AK606" s="212"/>
      <c r="AL606" s="64"/>
      <c r="AM606" s="64"/>
      <c r="AN606" s="64"/>
      <c r="AO606" s="64"/>
      <c r="AP606" s="63"/>
      <c r="AQ606" s="64"/>
      <c r="AR606" s="63"/>
      <c r="AS606" s="64"/>
      <c r="AT606" s="63"/>
      <c r="AU606" s="64"/>
      <c r="AV606" s="63"/>
      <c r="AW606" s="64"/>
      <c r="AX606" s="63"/>
      <c r="AY606" s="5"/>
      <c r="AZ606" s="21" t="str">
        <f t="shared" si="313"/>
        <v/>
      </c>
      <c r="BA606" s="264" t="s">
        <v>342</v>
      </c>
      <c r="BB606" s="264"/>
      <c r="BC606" s="264"/>
      <c r="BD606" s="264" t="s">
        <v>355</v>
      </c>
      <c r="BE606" s="216" t="s">
        <v>364</v>
      </c>
      <c r="BF606" s="56">
        <v>12.217000000000001</v>
      </c>
      <c r="BG606" s="282">
        <f t="shared" ref="BG606" si="314">BF606</f>
        <v>12.217000000000001</v>
      </c>
      <c r="BH606" s="282">
        <f t="shared" ref="BH606" si="315">BG606</f>
        <v>12.217000000000001</v>
      </c>
      <c r="BI606" s="282">
        <f t="shared" ref="BI606" si="316">BH606</f>
        <v>12.217000000000001</v>
      </c>
      <c r="BJ606" s="282">
        <f t="shared" ref="BJ606" si="317">BI606</f>
        <v>12.217000000000001</v>
      </c>
      <c r="BK606" s="282">
        <f t="shared" ref="BK606" si="318">BJ606</f>
        <v>12.217000000000001</v>
      </c>
      <c r="BL606" s="282">
        <f t="shared" ref="BL606" si="319">BK606</f>
        <v>12.217000000000001</v>
      </c>
      <c r="BM606" s="282">
        <f t="shared" ref="BM606" si="320">BL606</f>
        <v>12.217000000000001</v>
      </c>
      <c r="BN606" s="282">
        <f t="shared" ref="BN606" si="321">BM606</f>
        <v>12.217000000000001</v>
      </c>
      <c r="BO606" s="282">
        <f t="shared" ref="BO606" si="322">BN606</f>
        <v>12.217000000000001</v>
      </c>
      <c r="BP606" s="282">
        <f t="shared" ref="BP606" si="323">BO606</f>
        <v>12.217000000000001</v>
      </c>
      <c r="BQ606" s="5"/>
      <c r="BR606" s="25"/>
      <c r="BS606" s="5"/>
    </row>
    <row r="607" spans="1:71" s="3" customFormat="1" x14ac:dyDescent="0.25">
      <c r="A607" s="5"/>
      <c r="B607" s="3" t="str">
        <f t="array" ref="B607">IFERROR(INDEX(DemandSupply,MATCH(INDEX($AH$1:AH607,SMALL(ROW($AH$1:AH607)+(10000*($AH$1:AH607="")),COUNTA($AH$1:AH607))),Sectors,0)),"")</f>
        <v>Demand</v>
      </c>
      <c r="E607" s="10"/>
      <c r="F607" s="207"/>
      <c r="G607" s="207"/>
      <c r="H607" s="207"/>
      <c r="I607" s="207"/>
      <c r="J607" s="207"/>
      <c r="K607" s="207"/>
      <c r="L607" s="207"/>
      <c r="M607" s="207"/>
      <c r="N607" s="207"/>
      <c r="O607" s="207"/>
      <c r="P607" s="207"/>
      <c r="Q607" s="207"/>
      <c r="R607" s="207"/>
      <c r="S607" s="207"/>
      <c r="T607" s="207"/>
      <c r="U607" s="207"/>
      <c r="V607" s="207"/>
      <c r="W607" s="207"/>
      <c r="X607" s="207"/>
      <c r="Y607" s="207"/>
      <c r="Z607" s="207"/>
      <c r="AA607" s="207"/>
      <c r="AB607" s="207"/>
      <c r="AC607" s="5"/>
      <c r="AD607" s="63"/>
      <c r="AE607" s="64"/>
      <c r="AF607" s="64"/>
      <c r="AG607" s="212"/>
      <c r="AH607" s="64"/>
      <c r="AI607" s="64"/>
      <c r="AJ607" s="64"/>
      <c r="AK607" s="212"/>
      <c r="AL607" s="64"/>
      <c r="AM607" s="64"/>
      <c r="AN607" s="64"/>
      <c r="AO607" s="64"/>
      <c r="AP607" s="63"/>
      <c r="AQ607" s="64"/>
      <c r="AR607" s="63"/>
      <c r="AS607" s="64"/>
      <c r="AT607" s="63"/>
      <c r="AU607" s="64"/>
      <c r="AV607" s="63"/>
      <c r="AW607" s="64"/>
      <c r="AX607" s="63"/>
      <c r="AY607" s="5"/>
      <c r="AZ607" s="21" t="str">
        <f t="shared" si="313"/>
        <v/>
      </c>
      <c r="BA607" s="264" t="s">
        <v>394</v>
      </c>
      <c r="BB607" s="264"/>
      <c r="BC607" s="264"/>
      <c r="BD607" s="264" t="s">
        <v>354</v>
      </c>
      <c r="BE607" s="216" t="s">
        <v>364</v>
      </c>
      <c r="BF607" s="56"/>
      <c r="BG607" s="56"/>
      <c r="BH607" s="56"/>
      <c r="BI607" s="56"/>
      <c r="BJ607" s="56"/>
      <c r="BK607" s="56"/>
      <c r="BL607" s="56"/>
      <c r="BM607" s="56"/>
      <c r="BN607" s="56"/>
      <c r="BO607" s="56"/>
      <c r="BP607" s="56"/>
      <c r="BQ607" s="5"/>
      <c r="BR607" s="25"/>
      <c r="BS607" s="5"/>
    </row>
    <row r="608" spans="1:71" s="3" customFormat="1" x14ac:dyDescent="0.25">
      <c r="A608" s="5"/>
      <c r="B608" s="3" t="str">
        <f t="array" ref="B608">IFERROR(INDEX(DemandSupply,MATCH(INDEX($AH$1:AH608,SMALL(ROW($AH$1:AH608)+(10000*($AH$1:AH608="")),COUNTA($AH$1:AH608))),Sectors,0)),"")</f>
        <v>Demand</v>
      </c>
      <c r="E608" s="10">
        <f t="shared" si="205"/>
        <v>0</v>
      </c>
      <c r="F608" s="207">
        <v>1</v>
      </c>
      <c r="G608" s="207">
        <v>1</v>
      </c>
      <c r="H608" s="207">
        <v>1</v>
      </c>
      <c r="I608" s="207">
        <v>1</v>
      </c>
      <c r="J608" s="207">
        <v>1</v>
      </c>
      <c r="K608" s="207">
        <v>1</v>
      </c>
      <c r="L608" s="207">
        <v>1</v>
      </c>
      <c r="M608" s="207">
        <v>1</v>
      </c>
      <c r="N608" s="207">
        <v>1</v>
      </c>
      <c r="O608" s="207">
        <v>1</v>
      </c>
      <c r="P608" s="207">
        <v>1</v>
      </c>
      <c r="Q608" s="207">
        <v>1</v>
      </c>
      <c r="R608" s="207">
        <v>1</v>
      </c>
      <c r="S608" s="207">
        <v>1</v>
      </c>
      <c r="T608" s="207">
        <v>1</v>
      </c>
      <c r="U608" s="207">
        <v>1</v>
      </c>
      <c r="V608" s="207">
        <v>1</v>
      </c>
      <c r="W608" s="207">
        <v>1</v>
      </c>
      <c r="X608" s="207">
        <v>1</v>
      </c>
      <c r="Y608" s="207">
        <v>1</v>
      </c>
      <c r="Z608" s="207">
        <v>1</v>
      </c>
      <c r="AA608" s="207">
        <v>1</v>
      </c>
      <c r="AB608" s="207">
        <v>1</v>
      </c>
      <c r="AC608" s="5"/>
      <c r="AD608" s="63"/>
      <c r="AE608" s="64"/>
      <c r="AF608" s="64"/>
      <c r="AG608" s="212"/>
      <c r="AH608" s="64"/>
      <c r="AI608" s="64"/>
      <c r="AJ608" s="65"/>
      <c r="AK608" s="212"/>
      <c r="AL608" s="64"/>
      <c r="AM608" s="64"/>
      <c r="AN608" s="64"/>
      <c r="AO608" s="64"/>
      <c r="AP608" s="64"/>
      <c r="AQ608" s="64"/>
      <c r="AR608" s="63"/>
      <c r="AS608" s="64"/>
      <c r="AT608" s="63"/>
      <c r="AU608" s="64"/>
      <c r="AV608" s="63"/>
      <c r="AW608" s="64"/>
      <c r="AX608" s="63"/>
      <c r="AY608" s="5"/>
      <c r="AZ608" s="21" t="str">
        <f t="shared" si="313"/>
        <v/>
      </c>
      <c r="BA608" s="74" t="s">
        <v>338</v>
      </c>
      <c r="BB608" s="25"/>
      <c r="BC608" s="2" t="s">
        <v>123</v>
      </c>
      <c r="BD608" s="74" t="s">
        <v>367</v>
      </c>
      <c r="BE608" s="216" t="s">
        <v>364</v>
      </c>
      <c r="BF608" s="55">
        <v>0.23</v>
      </c>
      <c r="BG608" s="55">
        <v>0.23</v>
      </c>
      <c r="BH608" s="55">
        <v>0.23</v>
      </c>
      <c r="BI608" s="55">
        <v>0.23</v>
      </c>
      <c r="BJ608" s="55">
        <v>0.23</v>
      </c>
      <c r="BK608" s="55">
        <v>0.23</v>
      </c>
      <c r="BL608" s="55">
        <v>0.23</v>
      </c>
      <c r="BM608" s="55">
        <v>0.23</v>
      </c>
      <c r="BN608" s="55">
        <v>0.23</v>
      </c>
      <c r="BO608" s="55">
        <v>0.23</v>
      </c>
      <c r="BP608" s="55">
        <v>0.23</v>
      </c>
      <c r="BQ608" s="5"/>
      <c r="BR608" s="25"/>
      <c r="BS608" s="5"/>
    </row>
    <row r="609" spans="1:71" s="3" customFormat="1" x14ac:dyDescent="0.25">
      <c r="A609" s="5"/>
      <c r="B609" s="3" t="str">
        <f t="array" ref="B609">IFERROR(INDEX(DemandSupply,MATCH(INDEX($AH$1:AH609,SMALL(ROW($AH$1:AH609)+(10000*($AH$1:AH609="")),COUNTA($AH$1:AH609))),Sectors,0)),"")</f>
        <v>Demand</v>
      </c>
      <c r="E609" s="10">
        <f t="shared" si="205"/>
        <v>0</v>
      </c>
      <c r="F609" s="207">
        <v>1</v>
      </c>
      <c r="G609" s="207">
        <v>1</v>
      </c>
      <c r="H609" s="207">
        <v>1</v>
      </c>
      <c r="I609" s="207">
        <v>1</v>
      </c>
      <c r="J609" s="207">
        <v>1</v>
      </c>
      <c r="K609" s="207">
        <v>1</v>
      </c>
      <c r="L609" s="207">
        <v>1</v>
      </c>
      <c r="M609" s="207">
        <v>1</v>
      </c>
      <c r="N609" s="207">
        <v>1</v>
      </c>
      <c r="O609" s="207">
        <v>1</v>
      </c>
      <c r="P609" s="207">
        <v>1</v>
      </c>
      <c r="Q609" s="207">
        <v>1</v>
      </c>
      <c r="R609" s="207">
        <v>1</v>
      </c>
      <c r="S609" s="207">
        <v>1</v>
      </c>
      <c r="T609" s="207">
        <v>1</v>
      </c>
      <c r="U609" s="207">
        <v>1</v>
      </c>
      <c r="V609" s="207">
        <v>1</v>
      </c>
      <c r="W609" s="207">
        <v>1</v>
      </c>
      <c r="X609" s="207">
        <v>1</v>
      </c>
      <c r="Y609" s="207">
        <v>1</v>
      </c>
      <c r="Z609" s="207">
        <v>1</v>
      </c>
      <c r="AA609" s="207">
        <v>1</v>
      </c>
      <c r="AB609" s="207">
        <v>1</v>
      </c>
      <c r="AC609" s="5"/>
      <c r="AD609" s="63"/>
      <c r="AE609" s="64"/>
      <c r="AF609" s="64"/>
      <c r="AG609" s="212"/>
      <c r="AH609" s="64"/>
      <c r="AI609" s="64"/>
      <c r="AJ609" s="65"/>
      <c r="AK609" s="212"/>
      <c r="AL609" s="64"/>
      <c r="AM609" s="64"/>
      <c r="AN609" s="64"/>
      <c r="AO609" s="64"/>
      <c r="AP609" s="64"/>
      <c r="AQ609" s="64"/>
      <c r="AR609" s="63"/>
      <c r="AS609" s="64"/>
      <c r="AT609" s="63"/>
      <c r="AU609" s="64"/>
      <c r="AV609" s="63"/>
      <c r="AW609" s="64"/>
      <c r="AX609" s="63"/>
      <c r="AY609" s="5"/>
      <c r="AZ609" s="21" t="str">
        <f t="shared" si="313"/>
        <v/>
      </c>
      <c r="BA609" s="291" t="s">
        <v>51</v>
      </c>
      <c r="BB609" s="25"/>
      <c r="BC609" s="2"/>
      <c r="BD609" s="2"/>
      <c r="BE609" s="216" t="s">
        <v>365</v>
      </c>
      <c r="BF609" s="4"/>
      <c r="BG609" s="4"/>
      <c r="BH609" s="4"/>
      <c r="BI609" s="4"/>
      <c r="BJ609" s="4"/>
      <c r="BK609" s="4"/>
      <c r="BL609" s="4"/>
      <c r="BM609" s="4"/>
      <c r="BN609" s="4"/>
      <c r="BO609" s="4"/>
      <c r="BP609" s="4"/>
      <c r="BQ609" s="5"/>
      <c r="BR609" s="25"/>
      <c r="BS609" s="5"/>
    </row>
    <row r="610" spans="1:71" s="3" customFormat="1" x14ac:dyDescent="0.25">
      <c r="A610" s="5"/>
      <c r="B610" s="3" t="str">
        <f t="array" ref="B610">IFERROR(INDEX(DemandSupply,MATCH(INDEX($AH$1:AH610,SMALL(ROW($AH$1:AH610)+(10000*($AH$1:AH610="")),COUNTA($AH$1:AH610))),Sectors,0)),"")</f>
        <v>Demand</v>
      </c>
      <c r="E610" s="10"/>
      <c r="F610" s="207"/>
      <c r="G610" s="207"/>
      <c r="H610" s="207"/>
      <c r="I610" s="207"/>
      <c r="J610" s="207"/>
      <c r="K610" s="207"/>
      <c r="L610" s="207"/>
      <c r="M610" s="207"/>
      <c r="N610" s="207"/>
      <c r="O610" s="207"/>
      <c r="P610" s="207"/>
      <c r="Q610" s="207"/>
      <c r="R610" s="207"/>
      <c r="S610" s="207"/>
      <c r="T610" s="207"/>
      <c r="U610" s="207"/>
      <c r="V610" s="207"/>
      <c r="W610" s="207"/>
      <c r="X610" s="207"/>
      <c r="Y610" s="207"/>
      <c r="Z610" s="207"/>
      <c r="AA610" s="207"/>
      <c r="AB610" s="207"/>
      <c r="AC610" s="5"/>
      <c r="AD610" s="63"/>
      <c r="AE610" s="64"/>
      <c r="AF610" s="64"/>
      <c r="AG610" s="212"/>
      <c r="AH610" s="64"/>
      <c r="AI610" s="64"/>
      <c r="AJ610" s="64"/>
      <c r="AK610" s="212"/>
      <c r="AL610" s="64"/>
      <c r="AM610" s="64"/>
      <c r="AN610" s="64"/>
      <c r="AO610" s="64"/>
      <c r="AP610" s="63"/>
      <c r="AQ610" s="64"/>
      <c r="AR610" s="63"/>
      <c r="AS610" s="64"/>
      <c r="AT610" s="63"/>
      <c r="AU610" s="64"/>
      <c r="AV610" s="63"/>
      <c r="AW610" s="64"/>
      <c r="AX610" s="63"/>
      <c r="AY610" s="5"/>
      <c r="AZ610" s="21" t="str">
        <f t="shared" si="313"/>
        <v/>
      </c>
      <c r="BA610" s="264" t="s">
        <v>38</v>
      </c>
      <c r="BB610" s="264"/>
      <c r="BC610" s="264"/>
      <c r="BD610" s="264" t="s">
        <v>40</v>
      </c>
      <c r="BE610" s="216" t="s">
        <v>365</v>
      </c>
      <c r="BF610" s="309">
        <v>2000</v>
      </c>
      <c r="BG610" s="310">
        <f t="shared" ref="BG610:BP610" si="324">BF610</f>
        <v>2000</v>
      </c>
      <c r="BH610" s="310">
        <f t="shared" si="324"/>
        <v>2000</v>
      </c>
      <c r="BI610" s="310">
        <f t="shared" si="324"/>
        <v>2000</v>
      </c>
      <c r="BJ610" s="310">
        <f t="shared" si="324"/>
        <v>2000</v>
      </c>
      <c r="BK610" s="310">
        <f t="shared" si="324"/>
        <v>2000</v>
      </c>
      <c r="BL610" s="310">
        <f t="shared" si="324"/>
        <v>2000</v>
      </c>
      <c r="BM610" s="310">
        <f t="shared" si="324"/>
        <v>2000</v>
      </c>
      <c r="BN610" s="310">
        <f t="shared" si="324"/>
        <v>2000</v>
      </c>
      <c r="BO610" s="310">
        <f t="shared" si="324"/>
        <v>2000</v>
      </c>
      <c r="BP610" s="310">
        <f t="shared" si="324"/>
        <v>2000</v>
      </c>
      <c r="BQ610" s="5"/>
      <c r="BR610" s="25"/>
      <c r="BS610" s="5"/>
    </row>
    <row r="611" spans="1:71" s="3" customFormat="1" x14ac:dyDescent="0.25">
      <c r="A611" s="5"/>
      <c r="B611" s="3" t="str">
        <f t="array" ref="B611">IFERROR(INDEX(DemandSupply,MATCH(INDEX($AH$1:AH611,SMALL(ROW($AH$1:AH611)+(10000*($AH$1:AH611="")),COUNTA($AH$1:AH611))),Sectors,0)),"")</f>
        <v>Demand</v>
      </c>
      <c r="E611" s="10"/>
      <c r="F611" s="207"/>
      <c r="G611" s="207"/>
      <c r="H611" s="207"/>
      <c r="I611" s="207"/>
      <c r="J611" s="207"/>
      <c r="K611" s="207"/>
      <c r="L611" s="207"/>
      <c r="M611" s="207"/>
      <c r="N611" s="207"/>
      <c r="O611" s="207"/>
      <c r="P611" s="207"/>
      <c r="Q611" s="207"/>
      <c r="R611" s="207"/>
      <c r="S611" s="207"/>
      <c r="T611" s="207"/>
      <c r="U611" s="207"/>
      <c r="V611" s="207"/>
      <c r="W611" s="207"/>
      <c r="X611" s="207"/>
      <c r="Y611" s="207"/>
      <c r="Z611" s="207"/>
      <c r="AA611" s="207"/>
      <c r="AB611" s="207"/>
      <c r="AC611" s="5"/>
      <c r="AD611" s="63"/>
      <c r="AE611" s="64"/>
      <c r="AF611" s="64"/>
      <c r="AG611" s="212"/>
      <c r="AH611" s="64"/>
      <c r="AI611" s="64"/>
      <c r="AJ611" s="64"/>
      <c r="AK611" s="212"/>
      <c r="AL611" s="64"/>
      <c r="AM611" s="64"/>
      <c r="AN611" s="64"/>
      <c r="AO611" s="64"/>
      <c r="AP611" s="63"/>
      <c r="AQ611" s="64"/>
      <c r="AR611" s="63"/>
      <c r="AS611" s="64"/>
      <c r="AT611" s="63"/>
      <c r="AU611" s="64"/>
      <c r="AV611" s="63"/>
      <c r="AW611" s="64"/>
      <c r="AX611" s="63"/>
      <c r="AY611" s="5"/>
      <c r="AZ611" s="21" t="str">
        <f t="shared" si="313"/>
        <v/>
      </c>
      <c r="BA611" s="264" t="s">
        <v>37</v>
      </c>
      <c r="BB611" s="264"/>
      <c r="BC611" s="264"/>
      <c r="BD611" s="264" t="s">
        <v>40</v>
      </c>
      <c r="BE611" s="216" t="s">
        <v>365</v>
      </c>
      <c r="BF611" s="309">
        <v>2100</v>
      </c>
      <c r="BG611" s="310">
        <f t="shared" ref="BG611:BP612" si="325">BF611</f>
        <v>2100</v>
      </c>
      <c r="BH611" s="310">
        <f t="shared" si="325"/>
        <v>2100</v>
      </c>
      <c r="BI611" s="310">
        <f t="shared" si="325"/>
        <v>2100</v>
      </c>
      <c r="BJ611" s="310">
        <f t="shared" si="325"/>
        <v>2100</v>
      </c>
      <c r="BK611" s="310">
        <f t="shared" si="325"/>
        <v>2100</v>
      </c>
      <c r="BL611" s="310">
        <f t="shared" si="325"/>
        <v>2100</v>
      </c>
      <c r="BM611" s="310">
        <f t="shared" si="325"/>
        <v>2100</v>
      </c>
      <c r="BN611" s="310">
        <f t="shared" si="325"/>
        <v>2100</v>
      </c>
      <c r="BO611" s="310">
        <f t="shared" si="325"/>
        <v>2100</v>
      </c>
      <c r="BP611" s="310">
        <f t="shared" si="325"/>
        <v>2100</v>
      </c>
      <c r="BQ611" s="5"/>
      <c r="BR611" s="25"/>
      <c r="BS611" s="5"/>
    </row>
    <row r="612" spans="1:71" s="3" customFormat="1" x14ac:dyDescent="0.25">
      <c r="A612" s="5"/>
      <c r="B612" s="3" t="str">
        <f t="array" ref="B612">IFERROR(INDEX(DemandSupply,MATCH(INDEX($AH$1:AH612,SMALL(ROW($AH$1:AH612)+(10000*($AH$1:AH612="")),COUNTA($AH$1:AH612))),Sectors,0)),"")</f>
        <v>Demand</v>
      </c>
      <c r="E612" s="10"/>
      <c r="F612" s="207"/>
      <c r="G612" s="207"/>
      <c r="H612" s="207"/>
      <c r="I612" s="207"/>
      <c r="J612" s="207"/>
      <c r="K612" s="207"/>
      <c r="L612" s="207"/>
      <c r="M612" s="207"/>
      <c r="N612" s="207"/>
      <c r="O612" s="207"/>
      <c r="P612" s="207"/>
      <c r="Q612" s="207"/>
      <c r="R612" s="207"/>
      <c r="S612" s="207"/>
      <c r="T612" s="207"/>
      <c r="U612" s="207"/>
      <c r="V612" s="207"/>
      <c r="W612" s="207"/>
      <c r="X612" s="207"/>
      <c r="Y612" s="207"/>
      <c r="Z612" s="207"/>
      <c r="AA612" s="207"/>
      <c r="AB612" s="207"/>
      <c r="AC612" s="5"/>
      <c r="AD612" s="63"/>
      <c r="AE612" s="64"/>
      <c r="AF612" s="64"/>
      <c r="AG612" s="212"/>
      <c r="AH612" s="64"/>
      <c r="AI612" s="64"/>
      <c r="AJ612" s="64"/>
      <c r="AK612" s="212"/>
      <c r="AL612" s="64"/>
      <c r="AM612" s="64"/>
      <c r="AN612" s="64"/>
      <c r="AO612" s="64"/>
      <c r="AP612" s="63"/>
      <c r="AQ612" s="64"/>
      <c r="AR612" s="63"/>
      <c r="AS612" s="64"/>
      <c r="AT612" s="63"/>
      <c r="AU612" s="64"/>
      <c r="AV612" s="63"/>
      <c r="AW612" s="64"/>
      <c r="AX612" s="63"/>
      <c r="AY612" s="5"/>
      <c r="AZ612" s="21" t="str">
        <f t="shared" si="313"/>
        <v/>
      </c>
      <c r="BA612" s="264" t="s">
        <v>39</v>
      </c>
      <c r="BB612" s="264"/>
      <c r="BC612" s="264"/>
      <c r="BD612" s="264" t="s">
        <v>10</v>
      </c>
      <c r="BE612" s="216" t="s">
        <v>365</v>
      </c>
      <c r="BF612" s="56">
        <v>9</v>
      </c>
      <c r="BG612" s="282">
        <f t="shared" si="325"/>
        <v>9</v>
      </c>
      <c r="BH612" s="282">
        <f t="shared" si="325"/>
        <v>9</v>
      </c>
      <c r="BI612" s="282">
        <f t="shared" si="325"/>
        <v>9</v>
      </c>
      <c r="BJ612" s="282">
        <f t="shared" si="325"/>
        <v>9</v>
      </c>
      <c r="BK612" s="282">
        <f t="shared" si="325"/>
        <v>9</v>
      </c>
      <c r="BL612" s="282">
        <f t="shared" si="325"/>
        <v>9</v>
      </c>
      <c r="BM612" s="282">
        <f t="shared" si="325"/>
        <v>9</v>
      </c>
      <c r="BN612" s="282">
        <f t="shared" si="325"/>
        <v>9</v>
      </c>
      <c r="BO612" s="282">
        <f t="shared" si="325"/>
        <v>9</v>
      </c>
      <c r="BP612" s="282">
        <f t="shared" si="325"/>
        <v>9</v>
      </c>
      <c r="BQ612" s="5"/>
      <c r="BR612" s="25"/>
      <c r="BS612" s="5"/>
    </row>
    <row r="613" spans="1:71" s="3" customFormat="1" x14ac:dyDescent="0.25">
      <c r="A613" s="5"/>
      <c r="B613" s="3" t="str">
        <f t="array" ref="B613">IFERROR(INDEX(DemandSupply,MATCH(INDEX($AH$1:AH613,SMALL(ROW($AH$1:AH613)+(10000*($AH$1:AH613="")),COUNTA($AH$1:AH613))),Sectors,0)),"")</f>
        <v>Demand</v>
      </c>
      <c r="E613" s="10"/>
      <c r="F613" s="207"/>
      <c r="G613" s="207"/>
      <c r="H613" s="207"/>
      <c r="I613" s="207"/>
      <c r="J613" s="207"/>
      <c r="K613" s="207"/>
      <c r="L613" s="207"/>
      <c r="M613" s="207"/>
      <c r="N613" s="207"/>
      <c r="O613" s="207"/>
      <c r="P613" s="207"/>
      <c r="Q613" s="207"/>
      <c r="R613" s="207"/>
      <c r="S613" s="207"/>
      <c r="T613" s="207"/>
      <c r="U613" s="207"/>
      <c r="V613" s="207"/>
      <c r="W613" s="207"/>
      <c r="X613" s="207"/>
      <c r="Y613" s="207"/>
      <c r="Z613" s="207"/>
      <c r="AA613" s="207"/>
      <c r="AB613" s="207"/>
      <c r="AC613" s="5"/>
      <c r="AD613" s="63"/>
      <c r="AE613" s="64"/>
      <c r="AF613" s="64"/>
      <c r="AG613" s="212"/>
      <c r="AH613" s="64"/>
      <c r="AI613" s="64"/>
      <c r="AJ613" s="64"/>
      <c r="AK613" s="212"/>
      <c r="AL613" s="64"/>
      <c r="AM613" s="64"/>
      <c r="AN613" s="64"/>
      <c r="AO613" s="64"/>
      <c r="AP613" s="63"/>
      <c r="AQ613" s="64"/>
      <c r="AR613" s="63"/>
      <c r="AS613" s="64"/>
      <c r="AT613" s="63"/>
      <c r="AU613" s="64"/>
      <c r="AV613" s="63"/>
      <c r="AW613" s="64"/>
      <c r="AX613" s="63"/>
      <c r="AY613" s="5"/>
      <c r="AZ613" s="21" t="str">
        <f t="shared" si="313"/>
        <v/>
      </c>
      <c r="BA613" s="264" t="s">
        <v>395</v>
      </c>
      <c r="BB613" s="264"/>
      <c r="BC613" s="264"/>
      <c r="BD613" s="264" t="s">
        <v>10</v>
      </c>
      <c r="BE613" s="216" t="s">
        <v>365</v>
      </c>
      <c r="BF613" s="56"/>
      <c r="BG613" s="56"/>
      <c r="BH613" s="56"/>
      <c r="BI613" s="56"/>
      <c r="BJ613" s="56"/>
      <c r="BK613" s="56"/>
      <c r="BL613" s="56"/>
      <c r="BM613" s="56"/>
      <c r="BN613" s="56"/>
      <c r="BO613" s="56"/>
      <c r="BP613" s="56"/>
      <c r="BQ613" s="5"/>
      <c r="BR613" s="25"/>
      <c r="BS613" s="5"/>
    </row>
    <row r="614" spans="1:71" s="3" customFormat="1" x14ac:dyDescent="0.25">
      <c r="A614" s="5"/>
      <c r="B614" s="3" t="str">
        <f t="array" ref="B614">IFERROR(INDEX(DemandSupply,MATCH(INDEX($AH$1:AH614,SMALL(ROW($AH$1:AH614)+(10000*($AH$1:AH614="")),COUNTA($AH$1:AH614))),Sectors,0)),"")</f>
        <v>Demand</v>
      </c>
      <c r="E614" s="10"/>
      <c r="F614" s="207"/>
      <c r="G614" s="207"/>
      <c r="H614" s="207"/>
      <c r="I614" s="207"/>
      <c r="J614" s="207"/>
      <c r="K614" s="207"/>
      <c r="L614" s="207"/>
      <c r="M614" s="207"/>
      <c r="N614" s="207"/>
      <c r="O614" s="207"/>
      <c r="P614" s="207"/>
      <c r="Q614" s="207"/>
      <c r="R614" s="207"/>
      <c r="S614" s="207"/>
      <c r="T614" s="207"/>
      <c r="U614" s="207"/>
      <c r="V614" s="207"/>
      <c r="W614" s="207"/>
      <c r="X614" s="207"/>
      <c r="Y614" s="207"/>
      <c r="Z614" s="207"/>
      <c r="AA614" s="207"/>
      <c r="AB614" s="207"/>
      <c r="AC614" s="5"/>
      <c r="AD614" s="63"/>
      <c r="AE614" s="64"/>
      <c r="AF614" s="64"/>
      <c r="AG614" s="212"/>
      <c r="AH614" s="64"/>
      <c r="AI614" s="64"/>
      <c r="AJ614" s="64"/>
      <c r="AK614" s="212"/>
      <c r="AL614" s="64"/>
      <c r="AM614" s="64"/>
      <c r="AN614" s="64"/>
      <c r="AO614" s="64"/>
      <c r="AP614" s="63"/>
      <c r="AQ614" s="64"/>
      <c r="AR614" s="63"/>
      <c r="AS614" s="64"/>
      <c r="AT614" s="63"/>
      <c r="AU614" s="64"/>
      <c r="AV614" s="63"/>
      <c r="AW614" s="64"/>
      <c r="AX614" s="63"/>
      <c r="AY614" s="5"/>
      <c r="AZ614" s="21" t="str">
        <f t="shared" si="313"/>
        <v/>
      </c>
      <c r="BA614" s="264" t="s">
        <v>341</v>
      </c>
      <c r="BB614" s="264"/>
      <c r="BC614" s="264"/>
      <c r="BD614" s="264" t="s">
        <v>99</v>
      </c>
      <c r="BE614" s="216" t="s">
        <v>365</v>
      </c>
      <c r="BF614" s="303">
        <v>0.3</v>
      </c>
      <c r="BG614" s="306">
        <f t="shared" ref="BG614" si="326">BF614</f>
        <v>0.3</v>
      </c>
      <c r="BH614" s="306">
        <f t="shared" ref="BH614" si="327">BG614</f>
        <v>0.3</v>
      </c>
      <c r="BI614" s="306">
        <f t="shared" ref="BI614" si="328">BH614</f>
        <v>0.3</v>
      </c>
      <c r="BJ614" s="306">
        <f t="shared" ref="BJ614" si="329">BI614</f>
        <v>0.3</v>
      </c>
      <c r="BK614" s="306">
        <f t="shared" ref="BK614" si="330">BJ614</f>
        <v>0.3</v>
      </c>
      <c r="BL614" s="306">
        <f t="shared" ref="BL614" si="331">BK614</f>
        <v>0.3</v>
      </c>
      <c r="BM614" s="306">
        <f t="shared" ref="BM614" si="332">BL614</f>
        <v>0.3</v>
      </c>
      <c r="BN614" s="306">
        <f t="shared" ref="BN614" si="333">BM614</f>
        <v>0.3</v>
      </c>
      <c r="BO614" s="306">
        <f t="shared" ref="BO614" si="334">BN614</f>
        <v>0.3</v>
      </c>
      <c r="BP614" s="306">
        <f t="shared" ref="BP614" si="335">BO614</f>
        <v>0.3</v>
      </c>
      <c r="BQ614" s="5"/>
      <c r="BR614" s="25"/>
      <c r="BS614" s="5"/>
    </row>
    <row r="615" spans="1:71" s="3" customFormat="1" x14ac:dyDescent="0.25">
      <c r="A615" s="5"/>
      <c r="B615" s="3" t="str">
        <f t="array" ref="B615">IFERROR(INDEX(DemandSupply,MATCH(INDEX($AH$1:AH615,SMALL(ROW($AH$1:AH615)+(10000*($AH$1:AH615="")),COUNTA($AH$1:AH615))),Sectors,0)),"")</f>
        <v>Demand</v>
      </c>
      <c r="E615" s="10"/>
      <c r="F615" s="207"/>
      <c r="G615" s="207"/>
      <c r="H615" s="207"/>
      <c r="I615" s="207"/>
      <c r="J615" s="207"/>
      <c r="K615" s="207"/>
      <c r="L615" s="207"/>
      <c r="M615" s="207"/>
      <c r="N615" s="207"/>
      <c r="O615" s="207"/>
      <c r="P615" s="207"/>
      <c r="Q615" s="207"/>
      <c r="R615" s="207"/>
      <c r="S615" s="207"/>
      <c r="T615" s="207"/>
      <c r="U615" s="207"/>
      <c r="V615" s="207"/>
      <c r="W615" s="207"/>
      <c r="X615" s="207"/>
      <c r="Y615" s="207"/>
      <c r="Z615" s="207"/>
      <c r="AA615" s="207"/>
      <c r="AB615" s="207"/>
      <c r="AC615" s="5"/>
      <c r="AD615" s="63"/>
      <c r="AE615" s="64"/>
      <c r="AF615" s="64"/>
      <c r="AG615" s="212"/>
      <c r="AH615" s="64"/>
      <c r="AI615" s="64"/>
      <c r="AJ615" s="64"/>
      <c r="AK615" s="212"/>
      <c r="AL615" s="64"/>
      <c r="AM615" s="64"/>
      <c r="AN615" s="64"/>
      <c r="AO615" s="64"/>
      <c r="AP615" s="63"/>
      <c r="AQ615" s="64"/>
      <c r="AR615" s="63"/>
      <c r="AS615" s="64"/>
      <c r="AT615" s="63"/>
      <c r="AU615" s="64"/>
      <c r="AV615" s="63"/>
      <c r="AW615" s="64"/>
      <c r="AX615" s="63"/>
      <c r="AY615" s="5"/>
      <c r="AZ615" s="21" t="str">
        <f t="shared" si="313"/>
        <v/>
      </c>
      <c r="BA615" s="264" t="s">
        <v>392</v>
      </c>
      <c r="BB615" s="264"/>
      <c r="BC615" s="264"/>
      <c r="BD615" s="264" t="s">
        <v>99</v>
      </c>
      <c r="BE615" s="216" t="s">
        <v>365</v>
      </c>
      <c r="BF615" s="303"/>
      <c r="BG615" s="303"/>
      <c r="BH615" s="303"/>
      <c r="BI615" s="303"/>
      <c r="BJ615" s="303"/>
      <c r="BK615" s="303"/>
      <c r="BL615" s="303"/>
      <c r="BM615" s="303"/>
      <c r="BN615" s="303"/>
      <c r="BO615" s="303"/>
      <c r="BP615" s="303"/>
      <c r="BQ615" s="5"/>
      <c r="BR615" s="25"/>
      <c r="BS615" s="5"/>
    </row>
    <row r="616" spans="1:71" s="3" customFormat="1" x14ac:dyDescent="0.25">
      <c r="A616" s="5"/>
      <c r="B616" s="3" t="str">
        <f t="array" ref="B616">IFERROR(INDEX(DemandSupply,MATCH(INDEX($AH$1:AH616,SMALL(ROW($AH$1:AH616)+(10000*($AH$1:AH616="")),COUNTA($AH$1:AH616))),Sectors,0)),"")</f>
        <v>Demand</v>
      </c>
      <c r="E616" s="10"/>
      <c r="F616" s="207"/>
      <c r="G616" s="207"/>
      <c r="H616" s="207"/>
      <c r="I616" s="207"/>
      <c r="J616" s="207"/>
      <c r="K616" s="207"/>
      <c r="L616" s="207"/>
      <c r="M616" s="207"/>
      <c r="N616" s="207"/>
      <c r="O616" s="207"/>
      <c r="P616" s="207"/>
      <c r="Q616" s="207"/>
      <c r="R616" s="207"/>
      <c r="S616" s="207"/>
      <c r="T616" s="207"/>
      <c r="U616" s="207"/>
      <c r="V616" s="207"/>
      <c r="W616" s="207"/>
      <c r="X616" s="207"/>
      <c r="Y616" s="207"/>
      <c r="Z616" s="207"/>
      <c r="AA616" s="207"/>
      <c r="AB616" s="207"/>
      <c r="AC616" s="5"/>
      <c r="AD616" s="63"/>
      <c r="AE616" s="64"/>
      <c r="AF616" s="64"/>
      <c r="AG616" s="212"/>
      <c r="AH616" s="64"/>
      <c r="AI616" s="64"/>
      <c r="AJ616" s="64"/>
      <c r="AK616" s="212"/>
      <c r="AL616" s="64"/>
      <c r="AM616" s="64"/>
      <c r="AN616" s="64"/>
      <c r="AO616" s="64"/>
      <c r="AP616" s="63"/>
      <c r="AQ616" s="64"/>
      <c r="AR616" s="63"/>
      <c r="AS616" s="64"/>
      <c r="AT616" s="63"/>
      <c r="AU616" s="64"/>
      <c r="AV616" s="63"/>
      <c r="AW616" s="64"/>
      <c r="AX616" s="63"/>
      <c r="AY616" s="5"/>
      <c r="AZ616" s="21" t="str">
        <f t="shared" si="313"/>
        <v/>
      </c>
      <c r="BA616" s="264" t="s">
        <v>391</v>
      </c>
      <c r="BB616" s="264"/>
      <c r="BC616" s="264"/>
      <c r="BD616" s="264" t="s">
        <v>99</v>
      </c>
      <c r="BE616" s="216" t="s">
        <v>365</v>
      </c>
      <c r="BF616" s="303"/>
      <c r="BG616" s="303"/>
      <c r="BH616" s="303"/>
      <c r="BI616" s="303"/>
      <c r="BJ616" s="303"/>
      <c r="BK616" s="303"/>
      <c r="BL616" s="303"/>
      <c r="BM616" s="303"/>
      <c r="BN616" s="303"/>
      <c r="BO616" s="303"/>
      <c r="BP616" s="303"/>
      <c r="BQ616" s="5"/>
      <c r="BR616" s="25"/>
      <c r="BS616" s="5"/>
    </row>
    <row r="617" spans="1:71" s="3" customFormat="1" x14ac:dyDescent="0.25">
      <c r="A617" s="5"/>
      <c r="B617" s="3" t="str">
        <f t="array" ref="B617">IFERROR(INDEX(DemandSupply,MATCH(INDEX($AH$1:AH617,SMALL(ROW($AH$1:AH617)+(10000*($AH$1:AH617="")),COUNTA($AH$1:AH617))),Sectors,0)),"")</f>
        <v>Demand</v>
      </c>
      <c r="E617" s="10"/>
      <c r="F617" s="207"/>
      <c r="G617" s="207"/>
      <c r="H617" s="207"/>
      <c r="I617" s="207"/>
      <c r="J617" s="207"/>
      <c r="K617" s="207"/>
      <c r="L617" s="207"/>
      <c r="M617" s="207"/>
      <c r="N617" s="207"/>
      <c r="O617" s="207"/>
      <c r="P617" s="207"/>
      <c r="Q617" s="207"/>
      <c r="R617" s="207"/>
      <c r="S617" s="207"/>
      <c r="T617" s="207"/>
      <c r="U617" s="207"/>
      <c r="V617" s="207"/>
      <c r="W617" s="207"/>
      <c r="X617" s="207"/>
      <c r="Y617" s="207"/>
      <c r="Z617" s="207"/>
      <c r="AA617" s="207"/>
      <c r="AB617" s="207"/>
      <c r="AC617" s="5"/>
      <c r="AD617" s="63"/>
      <c r="AE617" s="64"/>
      <c r="AF617" s="64"/>
      <c r="AG617" s="212"/>
      <c r="AH617" s="64"/>
      <c r="AI617" s="64"/>
      <c r="AJ617" s="64"/>
      <c r="AK617" s="212"/>
      <c r="AL617" s="64"/>
      <c r="AM617" s="64"/>
      <c r="AN617" s="64"/>
      <c r="AO617" s="64"/>
      <c r="AP617" s="63"/>
      <c r="AQ617" s="64"/>
      <c r="AR617" s="63"/>
      <c r="AS617" s="64"/>
      <c r="AT617" s="63"/>
      <c r="AU617" s="64"/>
      <c r="AV617" s="63"/>
      <c r="AW617" s="64"/>
      <c r="AX617" s="63"/>
      <c r="AY617" s="5"/>
      <c r="AZ617" s="21" t="str">
        <f t="shared" si="313"/>
        <v/>
      </c>
      <c r="BA617" s="264" t="s">
        <v>144</v>
      </c>
      <c r="BB617" s="264"/>
      <c r="BC617" s="264"/>
      <c r="BD617" s="264" t="s">
        <v>34</v>
      </c>
      <c r="BE617" s="216" t="s">
        <v>365</v>
      </c>
      <c r="BF617" s="56"/>
      <c r="BG617" s="56"/>
      <c r="BH617" s="56"/>
      <c r="BI617" s="56"/>
      <c r="BJ617" s="56"/>
      <c r="BK617" s="56"/>
      <c r="BL617" s="56"/>
      <c r="BM617" s="56"/>
      <c r="BN617" s="56"/>
      <c r="BO617" s="56"/>
      <c r="BP617" s="56"/>
      <c r="BQ617" s="5"/>
      <c r="BR617" s="25"/>
      <c r="BS617" s="5"/>
    </row>
    <row r="618" spans="1:71" s="3" customFormat="1" x14ac:dyDescent="0.25">
      <c r="A618" s="5"/>
      <c r="B618" s="3" t="str">
        <f t="array" ref="B618">IFERROR(INDEX(DemandSupply,MATCH(INDEX($AH$1:AH618,SMALL(ROW($AH$1:AH618)+(10000*($AH$1:AH618="")),COUNTA($AH$1:AH618))),Sectors,0)),"")</f>
        <v>Demand</v>
      </c>
      <c r="E618" s="10"/>
      <c r="F618" s="207"/>
      <c r="G618" s="207"/>
      <c r="H618" s="207"/>
      <c r="I618" s="207"/>
      <c r="J618" s="207"/>
      <c r="K618" s="207"/>
      <c r="L618" s="207"/>
      <c r="M618" s="207"/>
      <c r="N618" s="207"/>
      <c r="O618" s="207"/>
      <c r="P618" s="207"/>
      <c r="Q618" s="207"/>
      <c r="R618" s="207"/>
      <c r="S618" s="207"/>
      <c r="T618" s="207"/>
      <c r="U618" s="207"/>
      <c r="V618" s="207"/>
      <c r="W618" s="207"/>
      <c r="X618" s="207"/>
      <c r="Y618" s="207"/>
      <c r="Z618" s="207"/>
      <c r="AA618" s="207"/>
      <c r="AB618" s="207"/>
      <c r="AC618" s="5"/>
      <c r="AD618" s="63"/>
      <c r="AE618" s="64"/>
      <c r="AF618" s="64"/>
      <c r="AG618" s="212"/>
      <c r="AH618" s="64"/>
      <c r="AI618" s="64"/>
      <c r="AJ618" s="64"/>
      <c r="AK618" s="212"/>
      <c r="AL618" s="64"/>
      <c r="AM618" s="64"/>
      <c r="AN618" s="64"/>
      <c r="AO618" s="64"/>
      <c r="AP618" s="63"/>
      <c r="AQ618" s="64"/>
      <c r="AR618" s="63"/>
      <c r="AS618" s="64"/>
      <c r="AT618" s="63"/>
      <c r="AU618" s="64"/>
      <c r="AV618" s="63"/>
      <c r="AW618" s="64"/>
      <c r="AX618" s="63"/>
      <c r="AY618" s="5"/>
      <c r="AZ618" s="21" t="str">
        <f t="shared" si="313"/>
        <v/>
      </c>
      <c r="BA618" s="264" t="s">
        <v>76</v>
      </c>
      <c r="BB618" s="264"/>
      <c r="BC618" s="264"/>
      <c r="BD618" s="264" t="s">
        <v>99</v>
      </c>
      <c r="BE618" s="216" t="s">
        <v>365</v>
      </c>
      <c r="BF618" s="303">
        <v>0</v>
      </c>
      <c r="BG618" s="303"/>
      <c r="BH618" s="303"/>
      <c r="BI618" s="303"/>
      <c r="BJ618" s="303"/>
      <c r="BK618" s="303"/>
      <c r="BL618" s="303"/>
      <c r="BM618" s="303"/>
      <c r="BN618" s="303"/>
      <c r="BO618" s="303"/>
      <c r="BP618" s="303"/>
      <c r="BQ618" s="5"/>
      <c r="BR618" s="25"/>
      <c r="BS618" s="5"/>
    </row>
    <row r="619" spans="1:71" s="3" customFormat="1" x14ac:dyDescent="0.25">
      <c r="A619" s="5"/>
      <c r="B619" s="3" t="str">
        <f t="array" ref="B619">IFERROR(INDEX(DemandSupply,MATCH(INDEX($AH$1:AH619,SMALL(ROW($AH$1:AH619)+(10000*($AH$1:AH619="")),COUNTA($AH$1:AH619))),Sectors,0)),"")</f>
        <v>Demand</v>
      </c>
      <c r="E619" s="10"/>
      <c r="F619" s="207"/>
      <c r="G619" s="207"/>
      <c r="H619" s="207"/>
      <c r="I619" s="207"/>
      <c r="J619" s="207"/>
      <c r="K619" s="207"/>
      <c r="L619" s="207"/>
      <c r="M619" s="207"/>
      <c r="N619" s="207"/>
      <c r="O619" s="207"/>
      <c r="P619" s="207"/>
      <c r="Q619" s="207"/>
      <c r="R619" s="207"/>
      <c r="S619" s="207"/>
      <c r="T619" s="207"/>
      <c r="U619" s="207"/>
      <c r="V619" s="207"/>
      <c r="W619" s="207"/>
      <c r="X619" s="207"/>
      <c r="Y619" s="207"/>
      <c r="Z619" s="207"/>
      <c r="AA619" s="207"/>
      <c r="AB619" s="207"/>
      <c r="AC619" s="5"/>
      <c r="AD619" s="63"/>
      <c r="AE619" s="64"/>
      <c r="AF619" s="64"/>
      <c r="AG619" s="212"/>
      <c r="AH619" s="64"/>
      <c r="AI619" s="64"/>
      <c r="AJ619" s="64"/>
      <c r="AK619" s="212"/>
      <c r="AL619" s="64"/>
      <c r="AM619" s="64"/>
      <c r="AN619" s="64"/>
      <c r="AO619" s="64"/>
      <c r="AP619" s="63"/>
      <c r="AQ619" s="64"/>
      <c r="AR619" s="63"/>
      <c r="AS619" s="64"/>
      <c r="AT619" s="63"/>
      <c r="AU619" s="64"/>
      <c r="AV619" s="63"/>
      <c r="AW619" s="64"/>
      <c r="AX619" s="63"/>
      <c r="AY619" s="5"/>
      <c r="AZ619" s="21" t="str">
        <f t="shared" si="313"/>
        <v/>
      </c>
      <c r="BA619" s="75" t="s">
        <v>166</v>
      </c>
      <c r="BB619" s="75"/>
      <c r="BC619" s="270"/>
      <c r="BD619" s="75" t="s">
        <v>99</v>
      </c>
      <c r="BE619" s="216" t="s">
        <v>365</v>
      </c>
      <c r="BF619" s="303"/>
      <c r="BG619" s="303"/>
      <c r="BH619" s="303"/>
      <c r="BI619" s="303"/>
      <c r="BJ619" s="303"/>
      <c r="BK619" s="303"/>
      <c r="BL619" s="303"/>
      <c r="BM619" s="303"/>
      <c r="BN619" s="303"/>
      <c r="BO619" s="303"/>
      <c r="BP619" s="303"/>
      <c r="BQ619" s="5"/>
      <c r="BR619" s="25"/>
      <c r="BS619" s="5"/>
    </row>
    <row r="620" spans="1:71" s="3" customFormat="1" x14ac:dyDescent="0.25">
      <c r="A620" s="5"/>
      <c r="B620" s="3" t="str">
        <f t="array" ref="B620">IFERROR(INDEX(DemandSupply,MATCH(INDEX($AH$1:AH620,SMALL(ROW($AH$1:AH620)+(10000*($AH$1:AH620="")),COUNTA($AH$1:AH620))),Sectors,0)),"")</f>
        <v>Demand</v>
      </c>
      <c r="E620" s="10"/>
      <c r="F620" s="207"/>
      <c r="G620" s="207"/>
      <c r="H620" s="207"/>
      <c r="I620" s="207"/>
      <c r="J620" s="207"/>
      <c r="K620" s="207"/>
      <c r="L620" s="207"/>
      <c r="M620" s="207"/>
      <c r="N620" s="207"/>
      <c r="O620" s="207"/>
      <c r="P620" s="207"/>
      <c r="Q620" s="207"/>
      <c r="R620" s="207"/>
      <c r="S620" s="207"/>
      <c r="T620" s="207"/>
      <c r="U620" s="207"/>
      <c r="V620" s="207"/>
      <c r="W620" s="207"/>
      <c r="X620" s="207"/>
      <c r="Y620" s="207"/>
      <c r="Z620" s="207"/>
      <c r="AA620" s="207"/>
      <c r="AB620" s="207"/>
      <c r="AC620" s="5"/>
      <c r="AD620" s="63"/>
      <c r="AE620" s="64"/>
      <c r="AF620" s="64"/>
      <c r="AG620" s="212"/>
      <c r="AH620" s="64"/>
      <c r="AI620" s="64"/>
      <c r="AJ620" s="64"/>
      <c r="AK620" s="212"/>
      <c r="AL620" s="64"/>
      <c r="AM620" s="64"/>
      <c r="AN620" s="64"/>
      <c r="AO620" s="64"/>
      <c r="AP620" s="63"/>
      <c r="AQ620" s="64"/>
      <c r="AR620" s="63"/>
      <c r="AS620" s="64"/>
      <c r="AT620" s="63"/>
      <c r="AU620" s="64"/>
      <c r="AV620" s="63"/>
      <c r="AW620" s="64"/>
      <c r="AX620" s="63"/>
      <c r="AY620" s="5"/>
      <c r="AZ620" s="21" t="str">
        <f t="shared" si="313"/>
        <v/>
      </c>
      <c r="BA620" s="75" t="s">
        <v>167</v>
      </c>
      <c r="BB620" s="75"/>
      <c r="BC620" s="270"/>
      <c r="BD620" s="75" t="s">
        <v>99</v>
      </c>
      <c r="BE620" s="216" t="s">
        <v>365</v>
      </c>
      <c r="BF620" s="303"/>
      <c r="BG620" s="303"/>
      <c r="BH620" s="303"/>
      <c r="BI620" s="303"/>
      <c r="BJ620" s="303"/>
      <c r="BK620" s="303"/>
      <c r="BL620" s="303"/>
      <c r="BM620" s="303"/>
      <c r="BN620" s="303"/>
      <c r="BO620" s="303"/>
      <c r="BP620" s="303"/>
      <c r="BQ620" s="5"/>
      <c r="BR620" s="25"/>
      <c r="BS620" s="5"/>
    </row>
    <row r="621" spans="1:71" s="3" customFormat="1" x14ac:dyDescent="0.25">
      <c r="A621" s="5"/>
      <c r="B621" s="3" t="str">
        <f t="array" ref="B621">IFERROR(INDEX(DemandSupply,MATCH(INDEX($AH$1:AH621,SMALL(ROW($AH$1:AH621)+(10000*($AH$1:AH621="")),COUNTA($AH$1:AH621))),Sectors,0)),"")</f>
        <v>Demand</v>
      </c>
      <c r="E621" s="10"/>
      <c r="F621" s="207"/>
      <c r="G621" s="207"/>
      <c r="H621" s="207"/>
      <c r="I621" s="207"/>
      <c r="J621" s="207"/>
      <c r="K621" s="207"/>
      <c r="L621" s="207"/>
      <c r="M621" s="207"/>
      <c r="N621" s="207"/>
      <c r="O621" s="207"/>
      <c r="P621" s="207"/>
      <c r="Q621" s="207"/>
      <c r="R621" s="207"/>
      <c r="S621" s="207"/>
      <c r="T621" s="207"/>
      <c r="U621" s="207"/>
      <c r="V621" s="207"/>
      <c r="W621" s="207"/>
      <c r="X621" s="207"/>
      <c r="Y621" s="207"/>
      <c r="Z621" s="207"/>
      <c r="AA621" s="207"/>
      <c r="AB621" s="207"/>
      <c r="AC621" s="5"/>
      <c r="AD621" s="63"/>
      <c r="AE621" s="64"/>
      <c r="AF621" s="64"/>
      <c r="AG621" s="212"/>
      <c r="AH621" s="64"/>
      <c r="AI621" s="64"/>
      <c r="AJ621" s="64"/>
      <c r="AK621" s="212"/>
      <c r="AL621" s="64"/>
      <c r="AM621" s="64"/>
      <c r="AN621" s="64"/>
      <c r="AO621" s="64"/>
      <c r="AP621" s="63"/>
      <c r="AQ621" s="64"/>
      <c r="AR621" s="63"/>
      <c r="AS621" s="64"/>
      <c r="AT621" s="63"/>
      <c r="AU621" s="64"/>
      <c r="AV621" s="63"/>
      <c r="AW621" s="64"/>
      <c r="AX621" s="63"/>
      <c r="AY621" s="5"/>
      <c r="AZ621" s="21" t="str">
        <f t="shared" si="313"/>
        <v/>
      </c>
      <c r="BA621" s="75" t="s">
        <v>408</v>
      </c>
      <c r="BB621" s="75"/>
      <c r="BC621" s="270"/>
      <c r="BD621" s="75" t="s">
        <v>99</v>
      </c>
      <c r="BE621" s="216" t="s">
        <v>365</v>
      </c>
      <c r="BF621" s="303"/>
      <c r="BG621" s="303"/>
      <c r="BH621" s="303"/>
      <c r="BI621" s="303"/>
      <c r="BJ621" s="303"/>
      <c r="BK621" s="303"/>
      <c r="BL621" s="303"/>
      <c r="BM621" s="303"/>
      <c r="BN621" s="303"/>
      <c r="BO621" s="303"/>
      <c r="BP621" s="303"/>
      <c r="BQ621" s="5"/>
      <c r="BR621" s="25"/>
      <c r="BS621" s="5"/>
    </row>
    <row r="622" spans="1:71" s="3" customFormat="1" x14ac:dyDescent="0.25">
      <c r="A622" s="5"/>
      <c r="B622" s="3" t="str">
        <f t="array" ref="B622">IFERROR(INDEX(DemandSupply,MATCH(INDEX($AH$1:AH622,SMALL(ROW($AH$1:AH622)+(10000*($AH$1:AH622="")),COUNTA($AH$1:AH622))),Sectors,0)),"")</f>
        <v>Demand</v>
      </c>
      <c r="E622" s="10"/>
      <c r="F622" s="207"/>
      <c r="G622" s="207"/>
      <c r="H622" s="207"/>
      <c r="I622" s="207"/>
      <c r="J622" s="207"/>
      <c r="K622" s="207"/>
      <c r="L622" s="207"/>
      <c r="M622" s="207"/>
      <c r="N622" s="207"/>
      <c r="O622" s="207"/>
      <c r="P622" s="207"/>
      <c r="Q622" s="207"/>
      <c r="R622" s="207"/>
      <c r="S622" s="207"/>
      <c r="T622" s="207"/>
      <c r="U622" s="207"/>
      <c r="V622" s="207"/>
      <c r="W622" s="207"/>
      <c r="X622" s="207"/>
      <c r="Y622" s="207"/>
      <c r="Z622" s="207"/>
      <c r="AA622" s="207"/>
      <c r="AB622" s="207"/>
      <c r="AC622" s="5"/>
      <c r="AD622" s="63"/>
      <c r="AE622" s="64"/>
      <c r="AF622" s="64"/>
      <c r="AG622" s="212"/>
      <c r="AH622" s="64"/>
      <c r="AI622" s="64"/>
      <c r="AJ622" s="64"/>
      <c r="AK622" s="212"/>
      <c r="AL622" s="64"/>
      <c r="AM622" s="64"/>
      <c r="AN622" s="64"/>
      <c r="AO622" s="64"/>
      <c r="AP622" s="63"/>
      <c r="AQ622" s="64"/>
      <c r="AR622" s="63"/>
      <c r="AS622" s="64"/>
      <c r="AT622" s="63"/>
      <c r="AU622" s="64"/>
      <c r="AV622" s="63"/>
      <c r="AW622" s="64"/>
      <c r="AX622" s="63"/>
      <c r="AY622" s="5"/>
      <c r="AZ622" s="21" t="str">
        <f t="shared" si="313"/>
        <v/>
      </c>
      <c r="BA622" s="75" t="s">
        <v>409</v>
      </c>
      <c r="BB622" s="75"/>
      <c r="BC622" s="270"/>
      <c r="BD622" s="75" t="s">
        <v>99</v>
      </c>
      <c r="BE622" s="216" t="s">
        <v>365</v>
      </c>
      <c r="BF622" s="303"/>
      <c r="BG622" s="303"/>
      <c r="BH622" s="303"/>
      <c r="BI622" s="303"/>
      <c r="BJ622" s="303"/>
      <c r="BK622" s="303"/>
      <c r="BL622" s="303"/>
      <c r="BM622" s="303"/>
      <c r="BN622" s="303"/>
      <c r="BO622" s="303"/>
      <c r="BP622" s="303"/>
      <c r="BQ622" s="5"/>
      <c r="BR622" s="25"/>
      <c r="BS622" s="5"/>
    </row>
    <row r="623" spans="1:71" s="3" customFormat="1" x14ac:dyDescent="0.25">
      <c r="A623" s="5"/>
      <c r="B623" s="3" t="str">
        <f t="array" ref="B623">IFERROR(INDEX(DemandSupply,MATCH(INDEX($AH$1:AH623,SMALL(ROW($AH$1:AH623)+(10000*($AH$1:AH623="")),COUNTA($AH$1:AH623))),Sectors,0)),"")</f>
        <v>Demand</v>
      </c>
      <c r="E623" s="10"/>
      <c r="F623" s="207"/>
      <c r="G623" s="207"/>
      <c r="H623" s="207"/>
      <c r="I623" s="207"/>
      <c r="J623" s="207"/>
      <c r="K623" s="207"/>
      <c r="L623" s="207"/>
      <c r="M623" s="207"/>
      <c r="N623" s="207"/>
      <c r="O623" s="207"/>
      <c r="P623" s="207"/>
      <c r="Q623" s="207"/>
      <c r="R623" s="207"/>
      <c r="S623" s="207"/>
      <c r="T623" s="207"/>
      <c r="U623" s="207"/>
      <c r="V623" s="207"/>
      <c r="W623" s="207"/>
      <c r="X623" s="207"/>
      <c r="Y623" s="207"/>
      <c r="Z623" s="207"/>
      <c r="AA623" s="207"/>
      <c r="AB623" s="207"/>
      <c r="AC623" s="5"/>
      <c r="AD623" s="63"/>
      <c r="AE623" s="64"/>
      <c r="AF623" s="64"/>
      <c r="AG623" s="212"/>
      <c r="AH623" s="64"/>
      <c r="AI623" s="64"/>
      <c r="AJ623" s="64"/>
      <c r="AK623" s="212"/>
      <c r="AL623" s="64"/>
      <c r="AM623" s="64"/>
      <c r="AN623" s="64"/>
      <c r="AO623" s="64"/>
      <c r="AP623" s="63"/>
      <c r="AQ623" s="64"/>
      <c r="AR623" s="63"/>
      <c r="AS623" s="64"/>
      <c r="AT623" s="63"/>
      <c r="AU623" s="64"/>
      <c r="AV623" s="63"/>
      <c r="AW623" s="64"/>
      <c r="AX623" s="63"/>
      <c r="AY623" s="5"/>
      <c r="AZ623" s="21" t="str">
        <f t="shared" si="313"/>
        <v/>
      </c>
      <c r="BA623" s="264" t="s">
        <v>371</v>
      </c>
      <c r="BB623" s="264"/>
      <c r="BC623" s="264"/>
      <c r="BD623" s="264" t="s">
        <v>34</v>
      </c>
      <c r="BE623" s="216" t="s">
        <v>365</v>
      </c>
      <c r="BF623" s="56">
        <v>642.4</v>
      </c>
      <c r="BG623" s="282">
        <f t="shared" ref="BG623:BG624" si="336">BF623</f>
        <v>642.4</v>
      </c>
      <c r="BH623" s="282">
        <f t="shared" ref="BH623:BH624" si="337">BG623</f>
        <v>642.4</v>
      </c>
      <c r="BI623" s="282">
        <f t="shared" ref="BI623:BI624" si="338">BH623</f>
        <v>642.4</v>
      </c>
      <c r="BJ623" s="282">
        <f t="shared" ref="BJ623:BJ624" si="339">BI623</f>
        <v>642.4</v>
      </c>
      <c r="BK623" s="282">
        <f t="shared" ref="BK623:BK624" si="340">BJ623</f>
        <v>642.4</v>
      </c>
      <c r="BL623" s="282">
        <f t="shared" ref="BL623:BL624" si="341">BK623</f>
        <v>642.4</v>
      </c>
      <c r="BM623" s="282">
        <f t="shared" ref="BM623:BM624" si="342">BL623</f>
        <v>642.4</v>
      </c>
      <c r="BN623" s="282">
        <f t="shared" ref="BN623:BN624" si="343">BM623</f>
        <v>642.4</v>
      </c>
      <c r="BO623" s="282">
        <f t="shared" ref="BO623:BO624" si="344">BN623</f>
        <v>642.4</v>
      </c>
      <c r="BP623" s="282">
        <f t="shared" ref="BP623:BP624" si="345">BO623</f>
        <v>642.4</v>
      </c>
      <c r="BQ623" s="5"/>
      <c r="BR623" s="25"/>
      <c r="BS623" s="5"/>
    </row>
    <row r="624" spans="1:71" s="3" customFormat="1" x14ac:dyDescent="0.25">
      <c r="A624" s="5"/>
      <c r="B624" s="3" t="str">
        <f t="array" ref="B624">IFERROR(INDEX(DemandSupply,MATCH(INDEX($AH$1:AH624,SMALL(ROW($AH$1:AH624)+(10000*($AH$1:AH624="")),COUNTA($AH$1:AH624))),Sectors,0)),"")</f>
        <v>Demand</v>
      </c>
      <c r="E624" s="10"/>
      <c r="F624" s="207"/>
      <c r="G624" s="207"/>
      <c r="H624" s="207"/>
      <c r="I624" s="207"/>
      <c r="J624" s="207"/>
      <c r="K624" s="207"/>
      <c r="L624" s="207"/>
      <c r="M624" s="207"/>
      <c r="N624" s="207"/>
      <c r="O624" s="207"/>
      <c r="P624" s="207"/>
      <c r="Q624" s="207"/>
      <c r="R624" s="207"/>
      <c r="S624" s="207"/>
      <c r="T624" s="207"/>
      <c r="U624" s="207"/>
      <c r="V624" s="207"/>
      <c r="W624" s="207"/>
      <c r="X624" s="207"/>
      <c r="Y624" s="207"/>
      <c r="Z624" s="207"/>
      <c r="AA624" s="207"/>
      <c r="AB624" s="207"/>
      <c r="AC624" s="5"/>
      <c r="AD624" s="63"/>
      <c r="AE624" s="64"/>
      <c r="AF624" s="64"/>
      <c r="AG624" s="212"/>
      <c r="AH624" s="64"/>
      <c r="AI624" s="64"/>
      <c r="AJ624" s="64"/>
      <c r="AK624" s="212"/>
      <c r="AL624" s="64"/>
      <c r="AM624" s="64"/>
      <c r="AN624" s="64"/>
      <c r="AO624" s="64"/>
      <c r="AP624" s="63"/>
      <c r="AQ624" s="64"/>
      <c r="AR624" s="63"/>
      <c r="AS624" s="64"/>
      <c r="AT624" s="63"/>
      <c r="AU624" s="64"/>
      <c r="AV624" s="63"/>
      <c r="AW624" s="64"/>
      <c r="AX624" s="63"/>
      <c r="AY624" s="5"/>
      <c r="AZ624" s="21" t="str">
        <f t="shared" si="313"/>
        <v/>
      </c>
      <c r="BA624" s="264" t="s">
        <v>170</v>
      </c>
      <c r="BB624" s="264"/>
      <c r="BC624" s="264"/>
      <c r="BD624" s="264" t="s">
        <v>354</v>
      </c>
      <c r="BE624" s="216" t="s">
        <v>365</v>
      </c>
      <c r="BF624" s="56">
        <v>2962.596</v>
      </c>
      <c r="BG624" s="282">
        <f t="shared" si="336"/>
        <v>2962.596</v>
      </c>
      <c r="BH624" s="282">
        <f t="shared" si="337"/>
        <v>2962.596</v>
      </c>
      <c r="BI624" s="282">
        <f t="shared" si="338"/>
        <v>2962.596</v>
      </c>
      <c r="BJ624" s="282">
        <f t="shared" si="339"/>
        <v>2962.596</v>
      </c>
      <c r="BK624" s="282">
        <f t="shared" si="340"/>
        <v>2962.596</v>
      </c>
      <c r="BL624" s="282">
        <f t="shared" si="341"/>
        <v>2962.596</v>
      </c>
      <c r="BM624" s="282">
        <f t="shared" si="342"/>
        <v>2962.596</v>
      </c>
      <c r="BN624" s="282">
        <f t="shared" si="343"/>
        <v>2962.596</v>
      </c>
      <c r="BO624" s="282">
        <f t="shared" si="344"/>
        <v>2962.596</v>
      </c>
      <c r="BP624" s="282">
        <f t="shared" si="345"/>
        <v>2962.596</v>
      </c>
      <c r="BQ624" s="5"/>
      <c r="BR624" s="25"/>
      <c r="BS624" s="5"/>
    </row>
    <row r="625" spans="1:71" s="3" customFormat="1" x14ac:dyDescent="0.25">
      <c r="A625" s="5"/>
      <c r="B625" s="3" t="str">
        <f t="array" ref="B625">IFERROR(INDEX(DemandSupply,MATCH(INDEX($AH$1:AH625,SMALL(ROW($AH$1:AH625)+(10000*($AH$1:AH625="")),COUNTA($AH$1:AH625))),Sectors,0)),"")</f>
        <v>Demand</v>
      </c>
      <c r="E625" s="10"/>
      <c r="F625" s="207"/>
      <c r="G625" s="207"/>
      <c r="H625" s="207"/>
      <c r="I625" s="207"/>
      <c r="J625" s="207"/>
      <c r="K625" s="207"/>
      <c r="L625" s="207"/>
      <c r="M625" s="207"/>
      <c r="N625" s="207"/>
      <c r="O625" s="207"/>
      <c r="P625" s="207"/>
      <c r="Q625" s="207"/>
      <c r="R625" s="207"/>
      <c r="S625" s="207"/>
      <c r="T625" s="207"/>
      <c r="U625" s="207"/>
      <c r="V625" s="207"/>
      <c r="W625" s="207"/>
      <c r="X625" s="207"/>
      <c r="Y625" s="207"/>
      <c r="Z625" s="207"/>
      <c r="AA625" s="207"/>
      <c r="AB625" s="207"/>
      <c r="AC625" s="5"/>
      <c r="AD625" s="63"/>
      <c r="AE625" s="64"/>
      <c r="AF625" s="64"/>
      <c r="AG625" s="212"/>
      <c r="AH625" s="64"/>
      <c r="AI625" s="64"/>
      <c r="AJ625" s="64"/>
      <c r="AK625" s="212"/>
      <c r="AL625" s="64"/>
      <c r="AM625" s="64"/>
      <c r="AN625" s="64"/>
      <c r="AO625" s="64"/>
      <c r="AP625" s="63"/>
      <c r="AQ625" s="64"/>
      <c r="AR625" s="63"/>
      <c r="AS625" s="64"/>
      <c r="AT625" s="63"/>
      <c r="AU625" s="64"/>
      <c r="AV625" s="63"/>
      <c r="AW625" s="64"/>
      <c r="AX625" s="63"/>
      <c r="AY625" s="5"/>
      <c r="AZ625" s="21" t="str">
        <f t="shared" si="313"/>
        <v/>
      </c>
      <c r="BA625" s="264" t="s">
        <v>425</v>
      </c>
      <c r="BB625" s="264"/>
      <c r="BC625" s="264"/>
      <c r="BD625" s="264" t="s">
        <v>99</v>
      </c>
      <c r="BE625" s="216" t="s">
        <v>365</v>
      </c>
      <c r="BF625" s="303"/>
      <c r="BG625" s="303"/>
      <c r="BH625" s="303"/>
      <c r="BI625" s="303"/>
      <c r="BJ625" s="303"/>
      <c r="BK625" s="303"/>
      <c r="BL625" s="303"/>
      <c r="BM625" s="303"/>
      <c r="BN625" s="303"/>
      <c r="BO625" s="303"/>
      <c r="BP625" s="303"/>
      <c r="BQ625" s="5"/>
      <c r="BR625" s="25"/>
      <c r="BS625" s="5"/>
    </row>
    <row r="626" spans="1:71" s="3" customFormat="1" x14ac:dyDescent="0.25">
      <c r="A626" s="5"/>
      <c r="B626" s="3" t="str">
        <f t="array" ref="B626">IFERROR(INDEX(DemandSupply,MATCH(INDEX($AH$1:AH626,SMALL(ROW($AH$1:AH626)+(10000*($AH$1:AH626="")),COUNTA($AH$1:AH626))),Sectors,0)),"")</f>
        <v>Demand</v>
      </c>
      <c r="E626" s="10"/>
      <c r="F626" s="207"/>
      <c r="G626" s="207"/>
      <c r="H626" s="207"/>
      <c r="I626" s="207"/>
      <c r="J626" s="207"/>
      <c r="K626" s="207"/>
      <c r="L626" s="207"/>
      <c r="M626" s="207"/>
      <c r="N626" s="207"/>
      <c r="O626" s="207"/>
      <c r="P626" s="207"/>
      <c r="Q626" s="207"/>
      <c r="R626" s="207"/>
      <c r="S626" s="207"/>
      <c r="T626" s="207"/>
      <c r="U626" s="207"/>
      <c r="V626" s="207"/>
      <c r="W626" s="207"/>
      <c r="X626" s="207"/>
      <c r="Y626" s="207"/>
      <c r="Z626" s="207"/>
      <c r="AA626" s="207"/>
      <c r="AB626" s="207"/>
      <c r="AC626" s="5"/>
      <c r="AD626" s="63"/>
      <c r="AE626" s="64"/>
      <c r="AF626" s="64"/>
      <c r="AG626" s="212"/>
      <c r="AH626" s="64"/>
      <c r="AI626" s="64"/>
      <c r="AJ626" s="64"/>
      <c r="AK626" s="212"/>
      <c r="AL626" s="64"/>
      <c r="AM626" s="64"/>
      <c r="AN626" s="64"/>
      <c r="AO626" s="64"/>
      <c r="AP626" s="63"/>
      <c r="AQ626" s="64"/>
      <c r="AR626" s="63"/>
      <c r="AS626" s="64"/>
      <c r="AT626" s="63"/>
      <c r="AU626" s="64"/>
      <c r="AV626" s="63"/>
      <c r="AW626" s="64"/>
      <c r="AX626" s="63"/>
      <c r="AY626" s="5"/>
      <c r="AZ626" s="21" t="str">
        <f t="shared" si="313"/>
        <v/>
      </c>
      <c r="BA626" s="264" t="s">
        <v>438</v>
      </c>
      <c r="BB626" s="264"/>
      <c r="BC626" s="264"/>
      <c r="BD626" s="264" t="s">
        <v>34</v>
      </c>
      <c r="BE626" s="216" t="s">
        <v>365</v>
      </c>
      <c r="BF626" s="56"/>
      <c r="BG626" s="56"/>
      <c r="BH626" s="56"/>
      <c r="BI626" s="56"/>
      <c r="BJ626" s="56"/>
      <c r="BK626" s="56"/>
      <c r="BL626" s="56"/>
      <c r="BM626" s="56"/>
      <c r="BN626" s="56"/>
      <c r="BO626" s="56"/>
      <c r="BP626" s="56"/>
      <c r="BQ626" s="5"/>
      <c r="BR626" s="25"/>
      <c r="BS626" s="5"/>
    </row>
    <row r="627" spans="1:71" s="3" customFormat="1" x14ac:dyDescent="0.25">
      <c r="A627" s="5"/>
      <c r="B627" s="3" t="str">
        <f t="array" ref="B627">IFERROR(INDEX(DemandSupply,MATCH(INDEX($AH$1:AH627,SMALL(ROW($AH$1:AH627)+(10000*($AH$1:AH627="")),COUNTA($AH$1:AH627))),Sectors,0)),"")</f>
        <v>Demand</v>
      </c>
      <c r="E627" s="10"/>
      <c r="F627" s="207"/>
      <c r="G627" s="207"/>
      <c r="H627" s="207"/>
      <c r="I627" s="207"/>
      <c r="J627" s="207"/>
      <c r="K627" s="207"/>
      <c r="L627" s="207"/>
      <c r="M627" s="207"/>
      <c r="N627" s="207"/>
      <c r="O627" s="207"/>
      <c r="P627" s="207"/>
      <c r="Q627" s="207"/>
      <c r="R627" s="207"/>
      <c r="S627" s="207"/>
      <c r="T627" s="207"/>
      <c r="U627" s="207"/>
      <c r="V627" s="207"/>
      <c r="W627" s="207"/>
      <c r="X627" s="207"/>
      <c r="Y627" s="207"/>
      <c r="Z627" s="207"/>
      <c r="AA627" s="207"/>
      <c r="AB627" s="207"/>
      <c r="AC627" s="5"/>
      <c r="AD627" s="63"/>
      <c r="AE627" s="64"/>
      <c r="AF627" s="64"/>
      <c r="AG627" s="212"/>
      <c r="AH627" s="64"/>
      <c r="AI627" s="64"/>
      <c r="AJ627" s="64"/>
      <c r="AK627" s="212"/>
      <c r="AL627" s="64"/>
      <c r="AM627" s="64"/>
      <c r="AN627" s="64"/>
      <c r="AO627" s="64"/>
      <c r="AP627" s="63"/>
      <c r="AQ627" s="64"/>
      <c r="AR627" s="63"/>
      <c r="AS627" s="64"/>
      <c r="AT627" s="63"/>
      <c r="AU627" s="64"/>
      <c r="AV627" s="63"/>
      <c r="AW627" s="64"/>
      <c r="AX627" s="63"/>
      <c r="AY627" s="5"/>
      <c r="AZ627" s="21" t="str">
        <f t="shared" si="313"/>
        <v/>
      </c>
      <c r="BA627" s="264" t="s">
        <v>435</v>
      </c>
      <c r="BB627" s="264"/>
      <c r="BC627" s="264"/>
      <c r="BD627" s="264"/>
      <c r="BE627" s="216" t="s">
        <v>365</v>
      </c>
      <c r="BF627" s="55"/>
      <c r="BG627" s="55"/>
      <c r="BH627" s="55"/>
      <c r="BI627" s="55"/>
      <c r="BJ627" s="55"/>
      <c r="BK627" s="55"/>
      <c r="BL627" s="55"/>
      <c r="BM627" s="55"/>
      <c r="BN627" s="55"/>
      <c r="BO627" s="55"/>
      <c r="BP627" s="55"/>
      <c r="BQ627" s="5"/>
      <c r="BR627" s="25"/>
      <c r="BS627" s="5"/>
    </row>
    <row r="628" spans="1:71" s="3" customFormat="1" x14ac:dyDescent="0.25">
      <c r="A628" s="5"/>
      <c r="B628" s="3" t="str">
        <f t="array" ref="B628">IFERROR(INDEX(DemandSupply,MATCH(INDEX($AH$1:AH628,SMALL(ROW($AH$1:AH628)+(10000*($AH$1:AH628="")),COUNTA($AH$1:AH628))),Sectors,0)),"")</f>
        <v>Demand</v>
      </c>
      <c r="E628" s="10"/>
      <c r="F628" s="207"/>
      <c r="G628" s="207"/>
      <c r="H628" s="207"/>
      <c r="I628" s="207"/>
      <c r="J628" s="207"/>
      <c r="K628" s="207"/>
      <c r="L628" s="207"/>
      <c r="M628" s="207"/>
      <c r="N628" s="207"/>
      <c r="O628" s="207"/>
      <c r="P628" s="207"/>
      <c r="Q628" s="207"/>
      <c r="R628" s="207"/>
      <c r="S628" s="207"/>
      <c r="T628" s="207"/>
      <c r="U628" s="207"/>
      <c r="V628" s="207"/>
      <c r="W628" s="207"/>
      <c r="X628" s="207"/>
      <c r="Y628" s="207"/>
      <c r="Z628" s="207"/>
      <c r="AA628" s="207"/>
      <c r="AB628" s="207"/>
      <c r="AC628" s="5"/>
      <c r="AD628" s="63"/>
      <c r="AE628" s="64"/>
      <c r="AF628" s="64"/>
      <c r="AG628" s="212"/>
      <c r="AH628" s="64"/>
      <c r="AI628" s="64"/>
      <c r="AJ628" s="64"/>
      <c r="AK628" s="212"/>
      <c r="AL628" s="64"/>
      <c r="AM628" s="64"/>
      <c r="AN628" s="64"/>
      <c r="AO628" s="64"/>
      <c r="AP628" s="63"/>
      <c r="AQ628" s="64"/>
      <c r="AR628" s="63"/>
      <c r="AS628" s="64"/>
      <c r="AT628" s="63"/>
      <c r="AU628" s="64"/>
      <c r="AV628" s="63"/>
      <c r="AW628" s="64"/>
      <c r="AX628" s="63"/>
      <c r="AY628" s="5"/>
      <c r="AZ628" s="21" t="str">
        <f t="shared" si="313"/>
        <v/>
      </c>
      <c r="BA628" s="264" t="s">
        <v>407</v>
      </c>
      <c r="BB628" s="264"/>
      <c r="BC628" s="264"/>
      <c r="BD628" s="264" t="s">
        <v>99</v>
      </c>
      <c r="BE628" s="216" t="s">
        <v>365</v>
      </c>
      <c r="BF628" s="303"/>
      <c r="BG628" s="303"/>
      <c r="BH628" s="303"/>
      <c r="BI628" s="303"/>
      <c r="BJ628" s="303"/>
      <c r="BK628" s="303"/>
      <c r="BL628" s="303"/>
      <c r="BM628" s="303"/>
      <c r="BN628" s="303"/>
      <c r="BO628" s="303"/>
      <c r="BP628" s="303"/>
      <c r="BQ628" s="5"/>
      <c r="BR628" s="25"/>
      <c r="BS628" s="5"/>
    </row>
    <row r="629" spans="1:71" s="3" customFormat="1" x14ac:dyDescent="0.25">
      <c r="A629" s="5"/>
      <c r="B629" s="3" t="str">
        <f t="array" ref="B629">IFERROR(INDEX(DemandSupply,MATCH(INDEX($AH$1:AH629,SMALL(ROW($AH$1:AH629)+(10000*($AH$1:AH629="")),COUNTA($AH$1:AH629))),Sectors,0)),"")</f>
        <v>Demand</v>
      </c>
      <c r="E629" s="10"/>
      <c r="F629" s="207"/>
      <c r="G629" s="207"/>
      <c r="H629" s="207"/>
      <c r="I629" s="207"/>
      <c r="J629" s="207"/>
      <c r="K629" s="207"/>
      <c r="L629" s="207"/>
      <c r="M629" s="207"/>
      <c r="N629" s="207"/>
      <c r="O629" s="207"/>
      <c r="P629" s="207"/>
      <c r="Q629" s="207"/>
      <c r="R629" s="207"/>
      <c r="S629" s="207"/>
      <c r="T629" s="207"/>
      <c r="U629" s="207"/>
      <c r="V629" s="207"/>
      <c r="W629" s="207"/>
      <c r="X629" s="207"/>
      <c r="Y629" s="207"/>
      <c r="Z629" s="207"/>
      <c r="AA629" s="207"/>
      <c r="AB629" s="207"/>
      <c r="AC629" s="5"/>
      <c r="AD629" s="63"/>
      <c r="AE629" s="64"/>
      <c r="AF629" s="64"/>
      <c r="AG629" s="212"/>
      <c r="AH629" s="64"/>
      <c r="AI629" s="64"/>
      <c r="AJ629" s="64"/>
      <c r="AK629" s="212"/>
      <c r="AL629" s="64"/>
      <c r="AM629" s="64"/>
      <c r="AN629" s="64"/>
      <c r="AO629" s="64"/>
      <c r="AP629" s="63"/>
      <c r="AQ629" s="64"/>
      <c r="AR629" s="63"/>
      <c r="AS629" s="64"/>
      <c r="AT629" s="63"/>
      <c r="AU629" s="64"/>
      <c r="AV629" s="63"/>
      <c r="AW629" s="64"/>
      <c r="AX629" s="63"/>
      <c r="AY629" s="5"/>
      <c r="AZ629" s="21" t="str">
        <f t="shared" si="313"/>
        <v/>
      </c>
      <c r="BA629" s="264" t="s">
        <v>444</v>
      </c>
      <c r="BB629" s="264"/>
      <c r="BC629" s="264"/>
      <c r="BD629" s="264" t="s">
        <v>354</v>
      </c>
      <c r="BE629" s="216" t="s">
        <v>365</v>
      </c>
      <c r="BF629" s="56"/>
      <c r="BG629" s="56"/>
      <c r="BH629" s="56"/>
      <c r="BI629" s="56"/>
      <c r="BJ629" s="56"/>
      <c r="BK629" s="56"/>
      <c r="BL629" s="56"/>
      <c r="BM629" s="56"/>
      <c r="BN629" s="56"/>
      <c r="BO629" s="56"/>
      <c r="BP629" s="56"/>
      <c r="BQ629" s="5"/>
      <c r="BR629" s="25"/>
      <c r="BS629" s="5"/>
    </row>
    <row r="630" spans="1:71" s="3" customFormat="1" x14ac:dyDescent="0.25">
      <c r="A630" s="5"/>
      <c r="B630" s="3" t="str">
        <f t="array" ref="B630">IFERROR(INDEX(DemandSupply,MATCH(INDEX($AH$1:AH630,SMALL(ROW($AH$1:AH630)+(10000*($AH$1:AH630="")),COUNTA($AH$1:AH630))),Sectors,0)),"")</f>
        <v>Demand</v>
      </c>
      <c r="E630" s="10"/>
      <c r="F630" s="207"/>
      <c r="G630" s="207"/>
      <c r="H630" s="207"/>
      <c r="I630" s="207"/>
      <c r="J630" s="207"/>
      <c r="K630" s="207"/>
      <c r="L630" s="207"/>
      <c r="M630" s="207"/>
      <c r="N630" s="207"/>
      <c r="O630" s="207"/>
      <c r="P630" s="207"/>
      <c r="Q630" s="207"/>
      <c r="R630" s="207"/>
      <c r="S630" s="207"/>
      <c r="T630" s="207"/>
      <c r="U630" s="207"/>
      <c r="V630" s="207"/>
      <c r="W630" s="207"/>
      <c r="X630" s="207"/>
      <c r="Y630" s="207"/>
      <c r="Z630" s="207"/>
      <c r="AA630" s="207"/>
      <c r="AB630" s="207"/>
      <c r="AC630" s="5"/>
      <c r="AD630" s="63"/>
      <c r="AE630" s="64"/>
      <c r="AF630" s="64"/>
      <c r="AG630" s="212"/>
      <c r="AH630" s="64"/>
      <c r="AI630" s="64"/>
      <c r="AJ630" s="64"/>
      <c r="AK630" s="212"/>
      <c r="AL630" s="64"/>
      <c r="AM630" s="64"/>
      <c r="AN630" s="64"/>
      <c r="AO630" s="64"/>
      <c r="AP630" s="63"/>
      <c r="AQ630" s="64"/>
      <c r="AR630" s="63"/>
      <c r="AS630" s="64"/>
      <c r="AT630" s="63"/>
      <c r="AU630" s="64"/>
      <c r="AV630" s="63"/>
      <c r="AW630" s="64"/>
      <c r="AX630" s="63"/>
      <c r="AY630" s="5"/>
      <c r="AZ630" s="21" t="str">
        <f t="shared" si="313"/>
        <v/>
      </c>
      <c r="BA630" s="264" t="s">
        <v>446</v>
      </c>
      <c r="BB630" s="264"/>
      <c r="BC630" s="264"/>
      <c r="BD630" s="264" t="s">
        <v>354</v>
      </c>
      <c r="BE630" s="216" t="s">
        <v>365</v>
      </c>
      <c r="BF630" s="56"/>
      <c r="BG630" s="56"/>
      <c r="BH630" s="56"/>
      <c r="BI630" s="56"/>
      <c r="BJ630" s="56"/>
      <c r="BK630" s="56"/>
      <c r="BL630" s="56"/>
      <c r="BM630" s="56"/>
      <c r="BN630" s="56"/>
      <c r="BO630" s="56"/>
      <c r="BP630" s="56"/>
      <c r="BQ630" s="5"/>
      <c r="BR630" s="25"/>
      <c r="BS630" s="5"/>
    </row>
    <row r="631" spans="1:71" s="3" customFormat="1" x14ac:dyDescent="0.25">
      <c r="A631" s="5"/>
      <c r="B631" s="3" t="str">
        <f t="array" ref="B631">IFERROR(INDEX(DemandSupply,MATCH(INDEX($AH$1:AH631,SMALL(ROW($AH$1:AH631)+(10000*($AH$1:AH631="")),COUNTA($AH$1:AH631))),Sectors,0)),"")</f>
        <v>Demand</v>
      </c>
      <c r="E631" s="10"/>
      <c r="F631" s="207"/>
      <c r="G631" s="207"/>
      <c r="H631" s="207"/>
      <c r="I631" s="207"/>
      <c r="J631" s="207"/>
      <c r="K631" s="207"/>
      <c r="L631" s="207"/>
      <c r="M631" s="207"/>
      <c r="N631" s="207"/>
      <c r="O631" s="207"/>
      <c r="P631" s="207"/>
      <c r="Q631" s="207"/>
      <c r="R631" s="207"/>
      <c r="S631" s="207"/>
      <c r="T631" s="207"/>
      <c r="U631" s="207"/>
      <c r="V631" s="207"/>
      <c r="W631" s="207"/>
      <c r="X631" s="207"/>
      <c r="Y631" s="207"/>
      <c r="Z631" s="207"/>
      <c r="AA631" s="207"/>
      <c r="AB631" s="207"/>
      <c r="AC631" s="5"/>
      <c r="AD631" s="63"/>
      <c r="AE631" s="64"/>
      <c r="AF631" s="64"/>
      <c r="AG631" s="212"/>
      <c r="AH631" s="64"/>
      <c r="AI631" s="64"/>
      <c r="AJ631" s="64"/>
      <c r="AK631" s="212"/>
      <c r="AL631" s="64"/>
      <c r="AM631" s="64"/>
      <c r="AN631" s="64"/>
      <c r="AO631" s="64"/>
      <c r="AP631" s="63"/>
      <c r="AQ631" s="64"/>
      <c r="AR631" s="63"/>
      <c r="AS631" s="64"/>
      <c r="AT631" s="63"/>
      <c r="AU631" s="64"/>
      <c r="AV631" s="63"/>
      <c r="AW631" s="64"/>
      <c r="AX631" s="63"/>
      <c r="AY631" s="5"/>
      <c r="AZ631" s="21" t="str">
        <f t="shared" si="313"/>
        <v/>
      </c>
      <c r="BA631" s="264" t="s">
        <v>447</v>
      </c>
      <c r="BB631" s="264"/>
      <c r="BC631" s="264"/>
      <c r="BD631" s="264"/>
      <c r="BE631" s="216" t="s">
        <v>365</v>
      </c>
      <c r="BF631" s="55"/>
      <c r="BG631" s="55"/>
      <c r="BH631" s="55"/>
      <c r="BI631" s="55"/>
      <c r="BJ631" s="55"/>
      <c r="BK631" s="55"/>
      <c r="BL631" s="55"/>
      <c r="BM631" s="55"/>
      <c r="BN631" s="55"/>
      <c r="BO631" s="55"/>
      <c r="BP631" s="55"/>
      <c r="BQ631" s="5"/>
      <c r="BR631" s="25"/>
      <c r="BS631" s="5"/>
    </row>
    <row r="632" spans="1:71" s="3" customFormat="1" x14ac:dyDescent="0.25">
      <c r="A632" s="5"/>
      <c r="B632" s="3" t="str">
        <f t="array" ref="B632">IFERROR(INDEX(DemandSupply,MATCH(INDEX($AH$1:AH632,SMALL(ROW($AH$1:AH632)+(10000*($AH$1:AH632="")),COUNTA($AH$1:AH632))),Sectors,0)),"")</f>
        <v>Demand</v>
      </c>
      <c r="E632" s="10"/>
      <c r="F632" s="207"/>
      <c r="G632" s="207"/>
      <c r="H632" s="207"/>
      <c r="I632" s="207"/>
      <c r="J632" s="207"/>
      <c r="K632" s="207"/>
      <c r="L632" s="207"/>
      <c r="M632" s="207"/>
      <c r="N632" s="207"/>
      <c r="O632" s="207"/>
      <c r="P632" s="207"/>
      <c r="Q632" s="207"/>
      <c r="R632" s="207"/>
      <c r="S632" s="207"/>
      <c r="T632" s="207"/>
      <c r="U632" s="207"/>
      <c r="V632" s="207"/>
      <c r="W632" s="207"/>
      <c r="X632" s="207"/>
      <c r="Y632" s="207"/>
      <c r="Z632" s="207"/>
      <c r="AA632" s="207"/>
      <c r="AB632" s="207"/>
      <c r="AC632" s="5"/>
      <c r="AD632" s="63"/>
      <c r="AE632" s="64"/>
      <c r="AF632" s="64"/>
      <c r="AG632" s="212"/>
      <c r="AH632" s="64"/>
      <c r="AI632" s="64"/>
      <c r="AJ632" s="64"/>
      <c r="AK632" s="212"/>
      <c r="AL632" s="64"/>
      <c r="AM632" s="64"/>
      <c r="AN632" s="64"/>
      <c r="AO632" s="64"/>
      <c r="AP632" s="63"/>
      <c r="AQ632" s="64"/>
      <c r="AR632" s="63"/>
      <c r="AS632" s="64"/>
      <c r="AT632" s="63"/>
      <c r="AU632" s="64"/>
      <c r="AV632" s="63"/>
      <c r="AW632" s="64"/>
      <c r="AX632" s="63"/>
      <c r="AY632" s="5"/>
      <c r="AZ632" s="21" t="str">
        <f t="shared" si="313"/>
        <v/>
      </c>
      <c r="BA632" s="264" t="s">
        <v>448</v>
      </c>
      <c r="BB632" s="264"/>
      <c r="BC632" s="264"/>
      <c r="BD632" s="264"/>
      <c r="BE632" s="216" t="s">
        <v>365</v>
      </c>
      <c r="BF632" s="55"/>
      <c r="BG632" s="55"/>
      <c r="BH632" s="55"/>
      <c r="BI632" s="55"/>
      <c r="BJ632" s="55"/>
      <c r="BK632" s="55"/>
      <c r="BL632" s="55"/>
      <c r="BM632" s="55"/>
      <c r="BN632" s="55"/>
      <c r="BO632" s="55"/>
      <c r="BP632" s="55"/>
      <c r="BQ632" s="5"/>
      <c r="BR632" s="25"/>
      <c r="BS632" s="5"/>
    </row>
    <row r="633" spans="1:71" s="3" customFormat="1" x14ac:dyDescent="0.25">
      <c r="A633" s="5"/>
      <c r="B633" s="3" t="str">
        <f t="array" ref="B633">IFERROR(INDEX(DemandSupply,MATCH(INDEX($AH$1:AH633,SMALL(ROW($AH$1:AH633)+(10000*($AH$1:AH633="")),COUNTA($AH$1:AH633))),Sectors,0)),"")</f>
        <v>Demand</v>
      </c>
      <c r="E633" s="10"/>
      <c r="F633" s="207"/>
      <c r="G633" s="207"/>
      <c r="H633" s="207"/>
      <c r="I633" s="207"/>
      <c r="J633" s="207"/>
      <c r="K633" s="207"/>
      <c r="L633" s="207"/>
      <c r="M633" s="207"/>
      <c r="N633" s="207"/>
      <c r="O633" s="207"/>
      <c r="P633" s="207"/>
      <c r="Q633" s="207"/>
      <c r="R633" s="207"/>
      <c r="S633" s="207"/>
      <c r="T633" s="207"/>
      <c r="U633" s="207"/>
      <c r="V633" s="207"/>
      <c r="W633" s="207"/>
      <c r="X633" s="207"/>
      <c r="Y633" s="207"/>
      <c r="Z633" s="207"/>
      <c r="AA633" s="207"/>
      <c r="AB633" s="207"/>
      <c r="AC633" s="5"/>
      <c r="AD633" s="63"/>
      <c r="AE633" s="64"/>
      <c r="AF633" s="64"/>
      <c r="AG633" s="212"/>
      <c r="AH633" s="64"/>
      <c r="AI633" s="64"/>
      <c r="AJ633" s="64"/>
      <c r="AK633" s="212"/>
      <c r="AL633" s="64"/>
      <c r="AM633" s="64"/>
      <c r="AN633" s="64"/>
      <c r="AO633" s="64"/>
      <c r="AP633" s="63"/>
      <c r="AQ633" s="64"/>
      <c r="AR633" s="63"/>
      <c r="AS633" s="64"/>
      <c r="AT633" s="63"/>
      <c r="AU633" s="64"/>
      <c r="AV633" s="63"/>
      <c r="AW633" s="64"/>
      <c r="AX633" s="63"/>
      <c r="AY633" s="5"/>
      <c r="AZ633" s="21" t="str">
        <f t="shared" si="313"/>
        <v/>
      </c>
      <c r="BA633" s="264" t="s">
        <v>445</v>
      </c>
      <c r="BB633" s="264"/>
      <c r="BC633" s="264"/>
      <c r="BD633" s="264" t="s">
        <v>355</v>
      </c>
      <c r="BE633" s="216" t="s">
        <v>365</v>
      </c>
      <c r="BF633" s="56"/>
      <c r="BG633" s="56"/>
      <c r="BH633" s="56"/>
      <c r="BI633" s="56"/>
      <c r="BJ633" s="56"/>
      <c r="BK633" s="56"/>
      <c r="BL633" s="56"/>
      <c r="BM633" s="56"/>
      <c r="BN633" s="56"/>
      <c r="BO633" s="56"/>
      <c r="BP633" s="56"/>
      <c r="BQ633" s="5"/>
      <c r="BR633" s="25"/>
      <c r="BS633" s="5"/>
    </row>
    <row r="634" spans="1:71" s="3" customFormat="1" x14ac:dyDescent="0.25">
      <c r="A634" s="5"/>
      <c r="B634" s="3" t="str">
        <f t="array" ref="B634">IFERROR(INDEX(DemandSupply,MATCH(INDEX($AH$1:AH634,SMALL(ROW($AH$1:AH634)+(10000*($AH$1:AH634="")),COUNTA($AH$1:AH634))),Sectors,0)),"")</f>
        <v>Demand</v>
      </c>
      <c r="E634" s="10"/>
      <c r="F634" s="207"/>
      <c r="G634" s="207"/>
      <c r="H634" s="207"/>
      <c r="I634" s="207"/>
      <c r="J634" s="207"/>
      <c r="K634" s="207"/>
      <c r="L634" s="207"/>
      <c r="M634" s="207"/>
      <c r="N634" s="207"/>
      <c r="O634" s="207"/>
      <c r="P634" s="207"/>
      <c r="Q634" s="207"/>
      <c r="R634" s="207"/>
      <c r="S634" s="207"/>
      <c r="T634" s="207"/>
      <c r="U634" s="207"/>
      <c r="V634" s="207"/>
      <c r="W634" s="207"/>
      <c r="X634" s="207"/>
      <c r="Y634" s="207"/>
      <c r="Z634" s="207"/>
      <c r="AA634" s="207"/>
      <c r="AB634" s="207"/>
      <c r="AC634" s="5"/>
      <c r="AD634" s="63"/>
      <c r="AE634" s="64"/>
      <c r="AF634" s="64"/>
      <c r="AG634" s="212"/>
      <c r="AH634" s="64"/>
      <c r="AI634" s="64"/>
      <c r="AJ634" s="64"/>
      <c r="AK634" s="212"/>
      <c r="AL634" s="64"/>
      <c r="AM634" s="64"/>
      <c r="AN634" s="64"/>
      <c r="AO634" s="64"/>
      <c r="AP634" s="63"/>
      <c r="AQ634" s="64"/>
      <c r="AR634" s="63"/>
      <c r="AS634" s="64"/>
      <c r="AT634" s="63"/>
      <c r="AU634" s="64"/>
      <c r="AV634" s="63"/>
      <c r="AW634" s="64"/>
      <c r="AX634" s="63"/>
      <c r="AY634" s="5"/>
      <c r="AZ634" s="21" t="str">
        <f t="shared" si="313"/>
        <v/>
      </c>
      <c r="BA634" s="264" t="s">
        <v>449</v>
      </c>
      <c r="BB634" s="264"/>
      <c r="BC634" s="264"/>
      <c r="BD634" s="264" t="s">
        <v>355</v>
      </c>
      <c r="BE634" s="216" t="s">
        <v>365</v>
      </c>
      <c r="BF634" s="56"/>
      <c r="BG634" s="56"/>
      <c r="BH634" s="56"/>
      <c r="BI634" s="56"/>
      <c r="BJ634" s="56"/>
      <c r="BK634" s="56"/>
      <c r="BL634" s="56"/>
      <c r="BM634" s="56"/>
      <c r="BN634" s="56"/>
      <c r="BO634" s="56"/>
      <c r="BP634" s="56"/>
      <c r="BQ634" s="5"/>
      <c r="BR634" s="25"/>
      <c r="BS634" s="5"/>
    </row>
    <row r="635" spans="1:71" s="3" customFormat="1" x14ac:dyDescent="0.25">
      <c r="A635" s="5"/>
      <c r="B635" s="3" t="str">
        <f t="array" ref="B635">IFERROR(INDEX(DemandSupply,MATCH(INDEX($AH$1:AH635,SMALL(ROW($AH$1:AH635)+(10000*($AH$1:AH635="")),COUNTA($AH$1:AH635))),Sectors,0)),"")</f>
        <v>Demand</v>
      </c>
      <c r="E635" s="10"/>
      <c r="F635" s="207"/>
      <c r="G635" s="207"/>
      <c r="H635" s="207"/>
      <c r="I635" s="207"/>
      <c r="J635" s="207"/>
      <c r="K635" s="207"/>
      <c r="L635" s="207"/>
      <c r="M635" s="207"/>
      <c r="N635" s="207"/>
      <c r="O635" s="207"/>
      <c r="P635" s="207"/>
      <c r="Q635" s="207"/>
      <c r="R635" s="207"/>
      <c r="S635" s="207"/>
      <c r="T635" s="207"/>
      <c r="U635" s="207"/>
      <c r="V635" s="207"/>
      <c r="W635" s="207"/>
      <c r="X635" s="207"/>
      <c r="Y635" s="207"/>
      <c r="Z635" s="207"/>
      <c r="AA635" s="207"/>
      <c r="AB635" s="207"/>
      <c r="AC635" s="5"/>
      <c r="AD635" s="63"/>
      <c r="AE635" s="64"/>
      <c r="AF635" s="64"/>
      <c r="AG635" s="212"/>
      <c r="AH635" s="64"/>
      <c r="AI635" s="64"/>
      <c r="AJ635" s="64"/>
      <c r="AK635" s="212"/>
      <c r="AL635" s="64"/>
      <c r="AM635" s="64"/>
      <c r="AN635" s="64"/>
      <c r="AO635" s="64"/>
      <c r="AP635" s="63"/>
      <c r="AQ635" s="64"/>
      <c r="AR635" s="63"/>
      <c r="AS635" s="64"/>
      <c r="AT635" s="63"/>
      <c r="AU635" s="64"/>
      <c r="AV635" s="63"/>
      <c r="AW635" s="64"/>
      <c r="AX635" s="63"/>
      <c r="AY635" s="5"/>
      <c r="AZ635" s="21" t="str">
        <f t="shared" si="313"/>
        <v/>
      </c>
      <c r="BA635" s="264" t="s">
        <v>450</v>
      </c>
      <c r="BB635" s="264"/>
      <c r="BC635" s="264"/>
      <c r="BD635" s="264"/>
      <c r="BE635" s="216" t="s">
        <v>365</v>
      </c>
      <c r="BF635" s="55"/>
      <c r="BG635" s="55"/>
      <c r="BH635" s="55"/>
      <c r="BI635" s="55"/>
      <c r="BJ635" s="55"/>
      <c r="BK635" s="55"/>
      <c r="BL635" s="55"/>
      <c r="BM635" s="55"/>
      <c r="BN635" s="55"/>
      <c r="BO635" s="55"/>
      <c r="BP635" s="55"/>
      <c r="BQ635" s="5"/>
      <c r="BR635" s="25"/>
      <c r="BS635" s="5"/>
    </row>
    <row r="636" spans="1:71" s="3" customFormat="1" x14ac:dyDescent="0.25">
      <c r="A636" s="5"/>
      <c r="B636" s="3" t="str">
        <f t="array" ref="B636">IFERROR(INDEX(DemandSupply,MATCH(INDEX($AH$1:AH636,SMALL(ROW($AH$1:AH636)+(10000*($AH$1:AH636="")),COUNTA($AH$1:AH636))),Sectors,0)),"")</f>
        <v>Demand</v>
      </c>
      <c r="E636" s="10"/>
      <c r="F636" s="207"/>
      <c r="G636" s="207"/>
      <c r="H636" s="207"/>
      <c r="I636" s="207"/>
      <c r="J636" s="207"/>
      <c r="K636" s="207"/>
      <c r="L636" s="207"/>
      <c r="M636" s="207"/>
      <c r="N636" s="207"/>
      <c r="O636" s="207"/>
      <c r="P636" s="207"/>
      <c r="Q636" s="207"/>
      <c r="R636" s="207"/>
      <c r="S636" s="207"/>
      <c r="T636" s="207"/>
      <c r="U636" s="207"/>
      <c r="V636" s="207"/>
      <c r="W636" s="207"/>
      <c r="X636" s="207"/>
      <c r="Y636" s="207"/>
      <c r="Z636" s="207"/>
      <c r="AA636" s="207"/>
      <c r="AB636" s="207"/>
      <c r="AC636" s="5"/>
      <c r="AD636" s="63"/>
      <c r="AE636" s="64"/>
      <c r="AF636" s="64"/>
      <c r="AG636" s="212"/>
      <c r="AH636" s="64"/>
      <c r="AI636" s="64"/>
      <c r="AJ636" s="64"/>
      <c r="AK636" s="212"/>
      <c r="AL636" s="64"/>
      <c r="AM636" s="64"/>
      <c r="AN636" s="64"/>
      <c r="AO636" s="64"/>
      <c r="AP636" s="63"/>
      <c r="AQ636" s="64"/>
      <c r="AR636" s="63"/>
      <c r="AS636" s="64"/>
      <c r="AT636" s="63"/>
      <c r="AU636" s="64"/>
      <c r="AV636" s="63"/>
      <c r="AW636" s="64"/>
      <c r="AX636" s="63"/>
      <c r="AY636" s="5"/>
      <c r="AZ636" s="21" t="str">
        <f t="shared" si="313"/>
        <v/>
      </c>
      <c r="BA636" s="264" t="s">
        <v>451</v>
      </c>
      <c r="BB636" s="264"/>
      <c r="BC636" s="264"/>
      <c r="BD636" s="264"/>
      <c r="BE636" s="216" t="s">
        <v>365</v>
      </c>
      <c r="BF636" s="55"/>
      <c r="BG636" s="55"/>
      <c r="BH636" s="55"/>
      <c r="BI636" s="55"/>
      <c r="BJ636" s="55"/>
      <c r="BK636" s="55"/>
      <c r="BL636" s="55"/>
      <c r="BM636" s="55"/>
      <c r="BN636" s="55"/>
      <c r="BO636" s="55"/>
      <c r="BP636" s="55"/>
      <c r="BQ636" s="5"/>
      <c r="BR636" s="25"/>
      <c r="BS636" s="5"/>
    </row>
    <row r="637" spans="1:71" s="3" customFormat="1" x14ac:dyDescent="0.25">
      <c r="A637" s="5"/>
      <c r="B637" s="3" t="str">
        <f t="array" ref="B637">IFERROR(INDEX(DemandSupply,MATCH(INDEX($AH$1:AH637,SMALL(ROW($AH$1:AH637)+(10000*($AH$1:AH637="")),COUNTA($AH$1:AH637))),Sectors,0)),"")</f>
        <v>Demand</v>
      </c>
      <c r="E637" s="10"/>
      <c r="F637" s="207"/>
      <c r="G637" s="207"/>
      <c r="H637" s="207"/>
      <c r="I637" s="207"/>
      <c r="J637" s="207"/>
      <c r="K637" s="207"/>
      <c r="L637" s="207"/>
      <c r="M637" s="207"/>
      <c r="N637" s="207"/>
      <c r="O637" s="207"/>
      <c r="P637" s="207"/>
      <c r="Q637" s="207"/>
      <c r="R637" s="207"/>
      <c r="S637" s="207"/>
      <c r="T637" s="207"/>
      <c r="U637" s="207"/>
      <c r="V637" s="207"/>
      <c r="W637" s="207"/>
      <c r="X637" s="207"/>
      <c r="Y637" s="207"/>
      <c r="Z637" s="207"/>
      <c r="AA637" s="207"/>
      <c r="AB637" s="207"/>
      <c r="AC637" s="5"/>
      <c r="AD637" s="63"/>
      <c r="AE637" s="64"/>
      <c r="AF637" s="64"/>
      <c r="AG637" s="212"/>
      <c r="AH637" s="64"/>
      <c r="AI637" s="64"/>
      <c r="AJ637" s="64"/>
      <c r="AK637" s="212"/>
      <c r="AL637" s="64"/>
      <c r="AM637" s="64"/>
      <c r="AN637" s="64"/>
      <c r="AO637" s="64"/>
      <c r="AP637" s="63"/>
      <c r="AQ637" s="64"/>
      <c r="AR637" s="63"/>
      <c r="AS637" s="64"/>
      <c r="AT637" s="63"/>
      <c r="AU637" s="64"/>
      <c r="AV637" s="63"/>
      <c r="AW637" s="64"/>
      <c r="AX637" s="63"/>
      <c r="AY637" s="5"/>
      <c r="AZ637" s="21" t="str">
        <f t="shared" si="313"/>
        <v/>
      </c>
      <c r="BA637" s="264" t="s">
        <v>342</v>
      </c>
      <c r="BB637" s="264"/>
      <c r="BC637" s="264"/>
      <c r="BD637" s="264" t="s">
        <v>355</v>
      </c>
      <c r="BE637" s="216" t="s">
        <v>365</v>
      </c>
      <c r="BF637" s="56">
        <v>12.217000000000001</v>
      </c>
      <c r="BG637" s="282">
        <f t="shared" ref="BG637" si="346">BF637</f>
        <v>12.217000000000001</v>
      </c>
      <c r="BH637" s="282">
        <f t="shared" ref="BH637" si="347">BG637</f>
        <v>12.217000000000001</v>
      </c>
      <c r="BI637" s="282">
        <f t="shared" ref="BI637" si="348">BH637</f>
        <v>12.217000000000001</v>
      </c>
      <c r="BJ637" s="282">
        <f t="shared" ref="BJ637" si="349">BI637</f>
        <v>12.217000000000001</v>
      </c>
      <c r="BK637" s="282">
        <f t="shared" ref="BK637" si="350">BJ637</f>
        <v>12.217000000000001</v>
      </c>
      <c r="BL637" s="282">
        <f t="shared" ref="BL637" si="351">BK637</f>
        <v>12.217000000000001</v>
      </c>
      <c r="BM637" s="282">
        <f t="shared" ref="BM637" si="352">BL637</f>
        <v>12.217000000000001</v>
      </c>
      <c r="BN637" s="282">
        <f t="shared" ref="BN637" si="353">BM637</f>
        <v>12.217000000000001</v>
      </c>
      <c r="BO637" s="282">
        <f t="shared" ref="BO637" si="354">BN637</f>
        <v>12.217000000000001</v>
      </c>
      <c r="BP637" s="282">
        <f t="shared" ref="BP637" si="355">BO637</f>
        <v>12.217000000000001</v>
      </c>
      <c r="BQ637" s="5"/>
      <c r="BR637" s="25"/>
      <c r="BS637" s="5"/>
    </row>
    <row r="638" spans="1:71" s="3" customFormat="1" x14ac:dyDescent="0.25">
      <c r="A638" s="5"/>
      <c r="B638" s="3" t="str">
        <f t="array" ref="B638">IFERROR(INDEX(DemandSupply,MATCH(INDEX($AH$1:AH638,SMALL(ROW($AH$1:AH638)+(10000*($AH$1:AH638="")),COUNTA($AH$1:AH638))),Sectors,0)),"")</f>
        <v>Demand</v>
      </c>
      <c r="E638" s="10"/>
      <c r="F638" s="207"/>
      <c r="G638" s="207"/>
      <c r="H638" s="207"/>
      <c r="I638" s="207"/>
      <c r="J638" s="207"/>
      <c r="K638" s="207"/>
      <c r="L638" s="207"/>
      <c r="M638" s="207"/>
      <c r="N638" s="207"/>
      <c r="O638" s="207"/>
      <c r="P638" s="207"/>
      <c r="Q638" s="207"/>
      <c r="R638" s="207"/>
      <c r="S638" s="207"/>
      <c r="T638" s="207"/>
      <c r="U638" s="207"/>
      <c r="V638" s="207"/>
      <c r="W638" s="207"/>
      <c r="X638" s="207"/>
      <c r="Y638" s="207"/>
      <c r="Z638" s="207"/>
      <c r="AA638" s="207"/>
      <c r="AB638" s="207"/>
      <c r="AC638" s="5"/>
      <c r="AD638" s="63"/>
      <c r="AE638" s="64"/>
      <c r="AF638" s="64"/>
      <c r="AG638" s="212"/>
      <c r="AH638" s="64"/>
      <c r="AI638" s="64"/>
      <c r="AJ638" s="64"/>
      <c r="AK638" s="212"/>
      <c r="AL638" s="64"/>
      <c r="AM638" s="64"/>
      <c r="AN638" s="64"/>
      <c r="AO638" s="64"/>
      <c r="AP638" s="63"/>
      <c r="AQ638" s="64"/>
      <c r="AR638" s="63"/>
      <c r="AS638" s="64"/>
      <c r="AT638" s="63"/>
      <c r="AU638" s="64"/>
      <c r="AV638" s="63"/>
      <c r="AW638" s="64"/>
      <c r="AX638" s="63"/>
      <c r="AY638" s="5"/>
      <c r="AZ638" s="21" t="str">
        <f t="shared" si="313"/>
        <v/>
      </c>
      <c r="BA638" s="264" t="s">
        <v>394</v>
      </c>
      <c r="BB638" s="264"/>
      <c r="BC638" s="264"/>
      <c r="BD638" s="264" t="s">
        <v>354</v>
      </c>
      <c r="BE638" s="216" t="s">
        <v>365</v>
      </c>
      <c r="BF638" s="56"/>
      <c r="BG638" s="56"/>
      <c r="BH638" s="56"/>
      <c r="BI638" s="56"/>
      <c r="BJ638" s="56"/>
      <c r="BK638" s="56"/>
      <c r="BL638" s="56"/>
      <c r="BM638" s="56"/>
      <c r="BN638" s="56"/>
      <c r="BO638" s="56"/>
      <c r="BP638" s="56"/>
      <c r="BQ638" s="5"/>
      <c r="BR638" s="25"/>
      <c r="BS638" s="5"/>
    </row>
    <row r="639" spans="1:71" s="3" customFormat="1" x14ac:dyDescent="0.25">
      <c r="A639" s="5"/>
      <c r="B639" s="3" t="str">
        <f t="array" ref="B639">IFERROR(INDEX(DemandSupply,MATCH(INDEX($AH$1:AH639,SMALL(ROW($AH$1:AH639)+(10000*($AH$1:AH639="")),COUNTA($AH$1:AH639))),Sectors,0)),"")</f>
        <v>Demand</v>
      </c>
      <c r="E639" s="10">
        <f t="shared" si="205"/>
        <v>0</v>
      </c>
      <c r="F639" s="207">
        <v>1</v>
      </c>
      <c r="G639" s="207">
        <v>1</v>
      </c>
      <c r="H639" s="207">
        <v>1</v>
      </c>
      <c r="I639" s="207">
        <v>1</v>
      </c>
      <c r="J639" s="207">
        <v>1</v>
      </c>
      <c r="K639" s="207">
        <v>1</v>
      </c>
      <c r="L639" s="207">
        <v>1</v>
      </c>
      <c r="M639" s="207">
        <v>1</v>
      </c>
      <c r="N639" s="207">
        <v>1</v>
      </c>
      <c r="O639" s="207">
        <v>1</v>
      </c>
      <c r="P639" s="207">
        <v>1</v>
      </c>
      <c r="Q639" s="207">
        <v>1</v>
      </c>
      <c r="R639" s="207">
        <v>1</v>
      </c>
      <c r="S639" s="207">
        <v>1</v>
      </c>
      <c r="T639" s="207">
        <v>1</v>
      </c>
      <c r="U639" s="207">
        <v>1</v>
      </c>
      <c r="V639" s="207">
        <v>1</v>
      </c>
      <c r="W639" s="207">
        <v>1</v>
      </c>
      <c r="X639" s="207">
        <v>1</v>
      </c>
      <c r="Y639" s="207">
        <v>1</v>
      </c>
      <c r="Z639" s="207">
        <v>1</v>
      </c>
      <c r="AA639" s="207">
        <v>1</v>
      </c>
      <c r="AB639" s="207">
        <v>1</v>
      </c>
      <c r="AC639" s="5"/>
      <c r="AD639" s="63"/>
      <c r="AE639" s="64"/>
      <c r="AF639" s="64"/>
      <c r="AG639" s="212"/>
      <c r="AH639" s="64"/>
      <c r="AI639" s="64"/>
      <c r="AJ639" s="65"/>
      <c r="AK639" s="212"/>
      <c r="AL639" s="64"/>
      <c r="AM639" s="64"/>
      <c r="AN639" s="64"/>
      <c r="AO639" s="64"/>
      <c r="AP639" s="64"/>
      <c r="AQ639" s="64"/>
      <c r="AR639" s="63"/>
      <c r="AS639" s="64"/>
      <c r="AT639" s="63"/>
      <c r="AU639" s="64"/>
      <c r="AV639" s="63"/>
      <c r="AW639" s="64"/>
      <c r="AX639" s="63"/>
      <c r="AY639" s="5"/>
      <c r="AZ639" s="21" t="str">
        <f t="shared" si="313"/>
        <v/>
      </c>
      <c r="BA639" s="74" t="s">
        <v>338</v>
      </c>
      <c r="BB639" s="25"/>
      <c r="BC639" s="2" t="s">
        <v>185</v>
      </c>
      <c r="BD639" s="74" t="s">
        <v>367</v>
      </c>
      <c r="BE639" s="216" t="s">
        <v>365</v>
      </c>
      <c r="BF639" s="55">
        <v>0.34100000000000003</v>
      </c>
      <c r="BG639" s="55">
        <v>0.34100000000000003</v>
      </c>
      <c r="BH639" s="55">
        <v>0.34100000000000003</v>
      </c>
      <c r="BI639" s="55">
        <v>0.34100000000000003</v>
      </c>
      <c r="BJ639" s="55">
        <v>0.34100000000000003</v>
      </c>
      <c r="BK639" s="55">
        <v>0.34100000000000003</v>
      </c>
      <c r="BL639" s="55">
        <v>0.34100000000000003</v>
      </c>
      <c r="BM639" s="55">
        <v>0.34100000000000003</v>
      </c>
      <c r="BN639" s="55">
        <v>0.34100000000000003</v>
      </c>
      <c r="BO639" s="55">
        <v>0.34100000000000003</v>
      </c>
      <c r="BP639" s="55">
        <v>0.34100000000000003</v>
      </c>
      <c r="BQ639" s="5"/>
      <c r="BR639" s="25"/>
      <c r="BS639" s="5"/>
    </row>
    <row r="640" spans="1:71" s="3" customFormat="1" x14ac:dyDescent="0.25">
      <c r="A640" s="5"/>
      <c r="B640" s="3" t="str">
        <f t="array" ref="B640">IFERROR(INDEX(DemandSupply,MATCH(INDEX($AH$1:AH640,SMALL(ROW($AH$1:AH640)+(10000*($AH$1:AH640="")),COUNTA($AH$1:AH640))),Sectors,0)),"")</f>
        <v>Demand</v>
      </c>
      <c r="E640" s="10">
        <f t="shared" ref="E640:E855" si="356">IF(COUNTA(BA640)=1,0,MIN(F640:AA640))</f>
        <v>0</v>
      </c>
      <c r="F640" s="207">
        <v>1</v>
      </c>
      <c r="G640" s="207">
        <v>1</v>
      </c>
      <c r="H640" s="207">
        <v>1</v>
      </c>
      <c r="I640" s="207">
        <v>1</v>
      </c>
      <c r="J640" s="207">
        <v>1</v>
      </c>
      <c r="K640" s="207">
        <v>1</v>
      </c>
      <c r="L640" s="207">
        <v>1</v>
      </c>
      <c r="M640" s="207">
        <v>1</v>
      </c>
      <c r="N640" s="207">
        <v>1</v>
      </c>
      <c r="O640" s="207">
        <v>1</v>
      </c>
      <c r="P640" s="207">
        <v>1</v>
      </c>
      <c r="Q640" s="207">
        <v>1</v>
      </c>
      <c r="R640" s="207">
        <v>1</v>
      </c>
      <c r="S640" s="207">
        <v>1</v>
      </c>
      <c r="T640" s="207">
        <v>1</v>
      </c>
      <c r="U640" s="207">
        <v>1</v>
      </c>
      <c r="V640" s="207">
        <v>1</v>
      </c>
      <c r="W640" s="207">
        <v>1</v>
      </c>
      <c r="X640" s="207">
        <v>1</v>
      </c>
      <c r="Y640" s="207">
        <v>1</v>
      </c>
      <c r="Z640" s="207">
        <v>1</v>
      </c>
      <c r="AA640" s="207">
        <v>1</v>
      </c>
      <c r="AB640" s="207">
        <v>1</v>
      </c>
      <c r="AC640" s="5"/>
      <c r="AD640" s="63"/>
      <c r="AE640" s="64"/>
      <c r="AF640" s="64"/>
      <c r="AG640" s="212"/>
      <c r="AH640" s="64"/>
      <c r="AI640" s="64"/>
      <c r="AJ640" s="65"/>
      <c r="AK640" s="212"/>
      <c r="AL640" s="64"/>
      <c r="AM640" s="64"/>
      <c r="AN640" s="64"/>
      <c r="AO640" s="64"/>
      <c r="AP640" s="64"/>
      <c r="AQ640" s="64"/>
      <c r="AR640" s="63"/>
      <c r="AS640" s="64"/>
      <c r="AT640" s="63"/>
      <c r="AU640" s="64"/>
      <c r="AV640" s="63"/>
      <c r="AW640" s="64"/>
      <c r="AX640" s="63"/>
      <c r="AY640" s="5"/>
      <c r="AZ640" s="21" t="str">
        <f t="shared" si="313"/>
        <v/>
      </c>
      <c r="BA640" s="291" t="s">
        <v>51</v>
      </c>
      <c r="BB640" s="25"/>
      <c r="BC640" s="2"/>
      <c r="BD640" s="2"/>
      <c r="BE640" s="216" t="s">
        <v>366</v>
      </c>
      <c r="BF640" s="4"/>
      <c r="BG640" s="4"/>
      <c r="BH640" s="4"/>
      <c r="BI640" s="4"/>
      <c r="BJ640" s="4"/>
      <c r="BK640" s="4"/>
      <c r="BL640" s="4"/>
      <c r="BM640" s="4"/>
      <c r="BN640" s="4"/>
      <c r="BO640" s="4"/>
      <c r="BP640" s="4"/>
      <c r="BQ640" s="5"/>
      <c r="BR640" s="25"/>
      <c r="BS640" s="5"/>
    </row>
    <row r="641" spans="1:71" s="3" customFormat="1" x14ac:dyDescent="0.25">
      <c r="A641" s="5"/>
      <c r="B641" s="3" t="str">
        <f t="array" ref="B641">IFERROR(INDEX(DemandSupply,MATCH(INDEX($AH$1:AH641,SMALL(ROW($AH$1:AH641)+(10000*($AH$1:AH641="")),COUNTA($AH$1:AH641))),Sectors,0)),"")</f>
        <v>Demand</v>
      </c>
      <c r="E641" s="10"/>
      <c r="F641" s="207"/>
      <c r="G641" s="207"/>
      <c r="H641" s="207"/>
      <c r="I641" s="207"/>
      <c r="J641" s="207"/>
      <c r="K641" s="207"/>
      <c r="L641" s="207"/>
      <c r="M641" s="207"/>
      <c r="N641" s="207"/>
      <c r="O641" s="207"/>
      <c r="P641" s="207"/>
      <c r="Q641" s="207"/>
      <c r="R641" s="207"/>
      <c r="S641" s="207"/>
      <c r="T641" s="207"/>
      <c r="U641" s="207"/>
      <c r="V641" s="207"/>
      <c r="W641" s="207"/>
      <c r="X641" s="207"/>
      <c r="Y641" s="207"/>
      <c r="Z641" s="207"/>
      <c r="AA641" s="207"/>
      <c r="AB641" s="207"/>
      <c r="AC641" s="5"/>
      <c r="AD641" s="63"/>
      <c r="AE641" s="64"/>
      <c r="AF641" s="64"/>
      <c r="AG641" s="212"/>
      <c r="AH641" s="64"/>
      <c r="AI641" s="64"/>
      <c r="AJ641" s="64"/>
      <c r="AK641" s="212"/>
      <c r="AL641" s="64"/>
      <c r="AM641" s="64"/>
      <c r="AN641" s="64"/>
      <c r="AO641" s="64"/>
      <c r="AP641" s="63"/>
      <c r="AQ641" s="64"/>
      <c r="AR641" s="63"/>
      <c r="AS641" s="64"/>
      <c r="AT641" s="63"/>
      <c r="AU641" s="64"/>
      <c r="AV641" s="63"/>
      <c r="AW641" s="64"/>
      <c r="AX641" s="63"/>
      <c r="AY641" s="5"/>
      <c r="AZ641" s="21" t="str">
        <f t="shared" si="313"/>
        <v/>
      </c>
      <c r="BA641" s="264" t="s">
        <v>38</v>
      </c>
      <c r="BB641" s="264"/>
      <c r="BC641" s="264"/>
      <c r="BD641" s="264" t="s">
        <v>40</v>
      </c>
      <c r="BE641" s="216" t="s">
        <v>366</v>
      </c>
      <c r="BF641" s="309">
        <v>2000</v>
      </c>
      <c r="BG641" s="310">
        <f t="shared" ref="BG641:BP641" si="357">BF641</f>
        <v>2000</v>
      </c>
      <c r="BH641" s="310">
        <f t="shared" si="357"/>
        <v>2000</v>
      </c>
      <c r="BI641" s="310">
        <f t="shared" si="357"/>
        <v>2000</v>
      </c>
      <c r="BJ641" s="310">
        <f t="shared" si="357"/>
        <v>2000</v>
      </c>
      <c r="BK641" s="310">
        <f t="shared" si="357"/>
        <v>2000</v>
      </c>
      <c r="BL641" s="310">
        <f t="shared" si="357"/>
        <v>2000</v>
      </c>
      <c r="BM641" s="310">
        <f t="shared" si="357"/>
        <v>2000</v>
      </c>
      <c r="BN641" s="310">
        <f t="shared" si="357"/>
        <v>2000</v>
      </c>
      <c r="BO641" s="310">
        <f t="shared" si="357"/>
        <v>2000</v>
      </c>
      <c r="BP641" s="310">
        <f t="shared" si="357"/>
        <v>2000</v>
      </c>
      <c r="BQ641" s="5"/>
      <c r="BR641" s="25"/>
      <c r="BS641" s="5"/>
    </row>
    <row r="642" spans="1:71" s="3" customFormat="1" x14ac:dyDescent="0.25">
      <c r="A642" s="5"/>
      <c r="B642" s="3" t="str">
        <f t="array" ref="B642">IFERROR(INDEX(DemandSupply,MATCH(INDEX($AH$1:AH642,SMALL(ROW($AH$1:AH642)+(10000*($AH$1:AH642="")),COUNTA($AH$1:AH642))),Sectors,0)),"")</f>
        <v>Demand</v>
      </c>
      <c r="E642" s="10"/>
      <c r="F642" s="207"/>
      <c r="G642" s="207"/>
      <c r="H642" s="207"/>
      <c r="I642" s="207"/>
      <c r="J642" s="207"/>
      <c r="K642" s="207"/>
      <c r="L642" s="207"/>
      <c r="M642" s="207"/>
      <c r="N642" s="207"/>
      <c r="O642" s="207"/>
      <c r="P642" s="207"/>
      <c r="Q642" s="207"/>
      <c r="R642" s="207"/>
      <c r="S642" s="207"/>
      <c r="T642" s="207"/>
      <c r="U642" s="207"/>
      <c r="V642" s="207"/>
      <c r="W642" s="207"/>
      <c r="X642" s="207"/>
      <c r="Y642" s="207"/>
      <c r="Z642" s="207"/>
      <c r="AA642" s="207"/>
      <c r="AB642" s="207"/>
      <c r="AC642" s="5"/>
      <c r="AD642" s="63"/>
      <c r="AE642" s="64"/>
      <c r="AF642" s="64"/>
      <c r="AG642" s="212"/>
      <c r="AH642" s="64"/>
      <c r="AI642" s="64"/>
      <c r="AJ642" s="64"/>
      <c r="AK642" s="212"/>
      <c r="AL642" s="64"/>
      <c r="AM642" s="64"/>
      <c r="AN642" s="64"/>
      <c r="AO642" s="64"/>
      <c r="AP642" s="63"/>
      <c r="AQ642" s="64"/>
      <c r="AR642" s="63"/>
      <c r="AS642" s="64"/>
      <c r="AT642" s="63"/>
      <c r="AU642" s="64"/>
      <c r="AV642" s="63"/>
      <c r="AW642" s="64"/>
      <c r="AX642" s="63"/>
      <c r="AY642" s="5"/>
      <c r="AZ642" s="21" t="str">
        <f t="shared" si="313"/>
        <v/>
      </c>
      <c r="BA642" s="264" t="s">
        <v>37</v>
      </c>
      <c r="BB642" s="264"/>
      <c r="BC642" s="264"/>
      <c r="BD642" s="264" t="s">
        <v>40</v>
      </c>
      <c r="BE642" s="216" t="s">
        <v>366</v>
      </c>
      <c r="BF642" s="309">
        <v>2100</v>
      </c>
      <c r="BG642" s="310">
        <f t="shared" ref="BG642:BP643" si="358">BF642</f>
        <v>2100</v>
      </c>
      <c r="BH642" s="310">
        <f t="shared" si="358"/>
        <v>2100</v>
      </c>
      <c r="BI642" s="310">
        <f t="shared" si="358"/>
        <v>2100</v>
      </c>
      <c r="BJ642" s="310">
        <f t="shared" si="358"/>
        <v>2100</v>
      </c>
      <c r="BK642" s="310">
        <f t="shared" si="358"/>
        <v>2100</v>
      </c>
      <c r="BL642" s="310">
        <f t="shared" si="358"/>
        <v>2100</v>
      </c>
      <c r="BM642" s="310">
        <f t="shared" si="358"/>
        <v>2100</v>
      </c>
      <c r="BN642" s="310">
        <f t="shared" si="358"/>
        <v>2100</v>
      </c>
      <c r="BO642" s="310">
        <f t="shared" si="358"/>
        <v>2100</v>
      </c>
      <c r="BP642" s="310">
        <f t="shared" si="358"/>
        <v>2100</v>
      </c>
      <c r="BQ642" s="5"/>
      <c r="BR642" s="25"/>
      <c r="BS642" s="5"/>
    </row>
    <row r="643" spans="1:71" s="3" customFormat="1" x14ac:dyDescent="0.25">
      <c r="A643" s="5"/>
      <c r="B643" s="3" t="str">
        <f t="array" ref="B643">IFERROR(INDEX(DemandSupply,MATCH(INDEX($AH$1:AH643,SMALL(ROW($AH$1:AH643)+(10000*($AH$1:AH643="")),COUNTA($AH$1:AH643))),Sectors,0)),"")</f>
        <v>Demand</v>
      </c>
      <c r="E643" s="10"/>
      <c r="F643" s="207"/>
      <c r="G643" s="207"/>
      <c r="H643" s="207"/>
      <c r="I643" s="207"/>
      <c r="J643" s="207"/>
      <c r="K643" s="207"/>
      <c r="L643" s="207"/>
      <c r="M643" s="207"/>
      <c r="N643" s="207"/>
      <c r="O643" s="207"/>
      <c r="P643" s="207"/>
      <c r="Q643" s="207"/>
      <c r="R643" s="207"/>
      <c r="S643" s="207"/>
      <c r="T643" s="207"/>
      <c r="U643" s="207"/>
      <c r="V643" s="207"/>
      <c r="W643" s="207"/>
      <c r="X643" s="207"/>
      <c r="Y643" s="207"/>
      <c r="Z643" s="207"/>
      <c r="AA643" s="207"/>
      <c r="AB643" s="207"/>
      <c r="AC643" s="5"/>
      <c r="AD643" s="63"/>
      <c r="AE643" s="64"/>
      <c r="AF643" s="64"/>
      <c r="AG643" s="212"/>
      <c r="AH643" s="64"/>
      <c r="AI643" s="64"/>
      <c r="AJ643" s="64"/>
      <c r="AK643" s="212"/>
      <c r="AL643" s="64"/>
      <c r="AM643" s="64"/>
      <c r="AN643" s="64"/>
      <c r="AO643" s="64"/>
      <c r="AP643" s="63"/>
      <c r="AQ643" s="64"/>
      <c r="AR643" s="63"/>
      <c r="AS643" s="64"/>
      <c r="AT643" s="63"/>
      <c r="AU643" s="64"/>
      <c r="AV643" s="63"/>
      <c r="AW643" s="64"/>
      <c r="AX643" s="63"/>
      <c r="AY643" s="5"/>
      <c r="AZ643" s="21" t="str">
        <f t="shared" si="313"/>
        <v/>
      </c>
      <c r="BA643" s="264" t="s">
        <v>39</v>
      </c>
      <c r="BB643" s="264"/>
      <c r="BC643" s="264"/>
      <c r="BD643" s="264" t="s">
        <v>10</v>
      </c>
      <c r="BE643" s="216" t="s">
        <v>366</v>
      </c>
      <c r="BF643" s="56">
        <v>9</v>
      </c>
      <c r="BG643" s="282">
        <f t="shared" si="358"/>
        <v>9</v>
      </c>
      <c r="BH643" s="282">
        <f t="shared" si="358"/>
        <v>9</v>
      </c>
      <c r="BI643" s="282">
        <f t="shared" si="358"/>
        <v>9</v>
      </c>
      <c r="BJ643" s="282">
        <f t="shared" si="358"/>
        <v>9</v>
      </c>
      <c r="BK643" s="282">
        <f t="shared" si="358"/>
        <v>9</v>
      </c>
      <c r="BL643" s="282">
        <f t="shared" si="358"/>
        <v>9</v>
      </c>
      <c r="BM643" s="282">
        <f t="shared" si="358"/>
        <v>9</v>
      </c>
      <c r="BN643" s="282">
        <f t="shared" si="358"/>
        <v>9</v>
      </c>
      <c r="BO643" s="282">
        <f t="shared" si="358"/>
        <v>9</v>
      </c>
      <c r="BP643" s="282">
        <f t="shared" si="358"/>
        <v>9</v>
      </c>
      <c r="BQ643" s="5"/>
      <c r="BR643" s="25"/>
      <c r="BS643" s="5"/>
    </row>
    <row r="644" spans="1:71" s="3" customFormat="1" x14ac:dyDescent="0.25">
      <c r="A644" s="5"/>
      <c r="B644" s="3" t="str">
        <f t="array" ref="B644">IFERROR(INDEX(DemandSupply,MATCH(INDEX($AH$1:AH644,SMALL(ROW($AH$1:AH644)+(10000*($AH$1:AH644="")),COUNTA($AH$1:AH644))),Sectors,0)),"")</f>
        <v>Demand</v>
      </c>
      <c r="E644" s="10"/>
      <c r="F644" s="207"/>
      <c r="G644" s="207"/>
      <c r="H644" s="207"/>
      <c r="I644" s="207"/>
      <c r="J644" s="207"/>
      <c r="K644" s="207"/>
      <c r="L644" s="207"/>
      <c r="M644" s="207"/>
      <c r="N644" s="207"/>
      <c r="O644" s="207"/>
      <c r="P644" s="207"/>
      <c r="Q644" s="207"/>
      <c r="R644" s="207"/>
      <c r="S644" s="207"/>
      <c r="T644" s="207"/>
      <c r="U644" s="207"/>
      <c r="V644" s="207"/>
      <c r="W644" s="207"/>
      <c r="X644" s="207"/>
      <c r="Y644" s="207"/>
      <c r="Z644" s="207"/>
      <c r="AA644" s="207"/>
      <c r="AB644" s="207"/>
      <c r="AC644" s="5"/>
      <c r="AD644" s="63"/>
      <c r="AE644" s="64"/>
      <c r="AF644" s="64"/>
      <c r="AG644" s="212"/>
      <c r="AH644" s="64"/>
      <c r="AI644" s="64"/>
      <c r="AJ644" s="64"/>
      <c r="AK644" s="212"/>
      <c r="AL644" s="64"/>
      <c r="AM644" s="64"/>
      <c r="AN644" s="64"/>
      <c r="AO644" s="64"/>
      <c r="AP644" s="63"/>
      <c r="AQ644" s="64"/>
      <c r="AR644" s="63"/>
      <c r="AS644" s="64"/>
      <c r="AT644" s="63"/>
      <c r="AU644" s="64"/>
      <c r="AV644" s="63"/>
      <c r="AW644" s="64"/>
      <c r="AX644" s="63"/>
      <c r="AY644" s="5"/>
      <c r="AZ644" s="21" t="str">
        <f t="shared" si="313"/>
        <v/>
      </c>
      <c r="BA644" s="264" t="s">
        <v>395</v>
      </c>
      <c r="BB644" s="264"/>
      <c r="BC644" s="264"/>
      <c r="BD644" s="264" t="s">
        <v>10</v>
      </c>
      <c r="BE644" s="216" t="s">
        <v>366</v>
      </c>
      <c r="BF644" s="56"/>
      <c r="BG644" s="56"/>
      <c r="BH644" s="56"/>
      <c r="BI644" s="56"/>
      <c r="BJ644" s="56"/>
      <c r="BK644" s="56"/>
      <c r="BL644" s="56"/>
      <c r="BM644" s="56"/>
      <c r="BN644" s="56"/>
      <c r="BO644" s="56"/>
      <c r="BP644" s="56"/>
      <c r="BQ644" s="5"/>
      <c r="BR644" s="25"/>
      <c r="BS644" s="5"/>
    </row>
    <row r="645" spans="1:71" s="3" customFormat="1" x14ac:dyDescent="0.25">
      <c r="A645" s="5"/>
      <c r="B645" s="3" t="str">
        <f t="array" ref="B645">IFERROR(INDEX(DemandSupply,MATCH(INDEX($AH$1:AH645,SMALL(ROW($AH$1:AH645)+(10000*($AH$1:AH645="")),COUNTA($AH$1:AH645))),Sectors,0)),"")</f>
        <v>Demand</v>
      </c>
      <c r="E645" s="10"/>
      <c r="F645" s="207"/>
      <c r="G645" s="207"/>
      <c r="H645" s="207"/>
      <c r="I645" s="207"/>
      <c r="J645" s="207"/>
      <c r="K645" s="207"/>
      <c r="L645" s="207"/>
      <c r="M645" s="207"/>
      <c r="N645" s="207"/>
      <c r="O645" s="207"/>
      <c r="P645" s="207"/>
      <c r="Q645" s="207"/>
      <c r="R645" s="207"/>
      <c r="S645" s="207"/>
      <c r="T645" s="207"/>
      <c r="U645" s="207"/>
      <c r="V645" s="207"/>
      <c r="W645" s="207"/>
      <c r="X645" s="207"/>
      <c r="Y645" s="207"/>
      <c r="Z645" s="207"/>
      <c r="AA645" s="207"/>
      <c r="AB645" s="207"/>
      <c r="AC645" s="5"/>
      <c r="AD645" s="63"/>
      <c r="AE645" s="64"/>
      <c r="AF645" s="64"/>
      <c r="AG645" s="212"/>
      <c r="AH645" s="64"/>
      <c r="AI645" s="64"/>
      <c r="AJ645" s="64"/>
      <c r="AK645" s="212"/>
      <c r="AL645" s="64"/>
      <c r="AM645" s="64"/>
      <c r="AN645" s="64"/>
      <c r="AO645" s="64"/>
      <c r="AP645" s="63"/>
      <c r="AQ645" s="64"/>
      <c r="AR645" s="63"/>
      <c r="AS645" s="64"/>
      <c r="AT645" s="63"/>
      <c r="AU645" s="64"/>
      <c r="AV645" s="63"/>
      <c r="AW645" s="64"/>
      <c r="AX645" s="63"/>
      <c r="AY645" s="5"/>
      <c r="AZ645" s="21" t="str">
        <f t="shared" si="313"/>
        <v/>
      </c>
      <c r="BA645" s="264" t="s">
        <v>341</v>
      </c>
      <c r="BB645" s="264"/>
      <c r="BC645" s="264"/>
      <c r="BD645" s="264" t="s">
        <v>99</v>
      </c>
      <c r="BE645" s="216" t="s">
        <v>366</v>
      </c>
      <c r="BF645" s="303">
        <v>0.3</v>
      </c>
      <c r="BG645" s="306">
        <f t="shared" ref="BG645" si="359">BF645</f>
        <v>0.3</v>
      </c>
      <c r="BH645" s="306">
        <f t="shared" ref="BH645" si="360">BG645</f>
        <v>0.3</v>
      </c>
      <c r="BI645" s="306">
        <f t="shared" ref="BI645" si="361">BH645</f>
        <v>0.3</v>
      </c>
      <c r="BJ645" s="306">
        <f t="shared" ref="BJ645" si="362">BI645</f>
        <v>0.3</v>
      </c>
      <c r="BK645" s="306">
        <f t="shared" ref="BK645" si="363">BJ645</f>
        <v>0.3</v>
      </c>
      <c r="BL645" s="306">
        <f t="shared" ref="BL645" si="364">BK645</f>
        <v>0.3</v>
      </c>
      <c r="BM645" s="306">
        <f t="shared" ref="BM645" si="365">BL645</f>
        <v>0.3</v>
      </c>
      <c r="BN645" s="306">
        <f t="shared" ref="BN645" si="366">BM645</f>
        <v>0.3</v>
      </c>
      <c r="BO645" s="306">
        <f t="shared" ref="BO645" si="367">BN645</f>
        <v>0.3</v>
      </c>
      <c r="BP645" s="306">
        <f t="shared" ref="BP645" si="368">BO645</f>
        <v>0.3</v>
      </c>
      <c r="BQ645" s="5"/>
      <c r="BR645" s="25"/>
      <c r="BS645" s="5"/>
    </row>
    <row r="646" spans="1:71" s="3" customFormat="1" x14ac:dyDescent="0.25">
      <c r="A646" s="5"/>
      <c r="B646" s="3" t="str">
        <f t="array" ref="B646">IFERROR(INDEX(DemandSupply,MATCH(INDEX($AH$1:AH646,SMALL(ROW($AH$1:AH646)+(10000*($AH$1:AH646="")),COUNTA($AH$1:AH646))),Sectors,0)),"")</f>
        <v>Demand</v>
      </c>
      <c r="E646" s="10"/>
      <c r="F646" s="207"/>
      <c r="G646" s="207"/>
      <c r="H646" s="207"/>
      <c r="I646" s="207"/>
      <c r="J646" s="207"/>
      <c r="K646" s="207"/>
      <c r="L646" s="207"/>
      <c r="M646" s="207"/>
      <c r="N646" s="207"/>
      <c r="O646" s="207"/>
      <c r="P646" s="207"/>
      <c r="Q646" s="207"/>
      <c r="R646" s="207"/>
      <c r="S646" s="207"/>
      <c r="T646" s="207"/>
      <c r="U646" s="207"/>
      <c r="V646" s="207"/>
      <c r="W646" s="207"/>
      <c r="X646" s="207"/>
      <c r="Y646" s="207"/>
      <c r="Z646" s="207"/>
      <c r="AA646" s="207"/>
      <c r="AB646" s="207"/>
      <c r="AC646" s="5"/>
      <c r="AD646" s="63"/>
      <c r="AE646" s="64"/>
      <c r="AF646" s="64"/>
      <c r="AG646" s="212"/>
      <c r="AH646" s="64"/>
      <c r="AI646" s="64"/>
      <c r="AJ646" s="64"/>
      <c r="AK646" s="212"/>
      <c r="AL646" s="64"/>
      <c r="AM646" s="64"/>
      <c r="AN646" s="64"/>
      <c r="AO646" s="64"/>
      <c r="AP646" s="63"/>
      <c r="AQ646" s="64"/>
      <c r="AR646" s="63"/>
      <c r="AS646" s="64"/>
      <c r="AT646" s="63"/>
      <c r="AU646" s="64"/>
      <c r="AV646" s="63"/>
      <c r="AW646" s="64"/>
      <c r="AX646" s="63"/>
      <c r="AY646" s="5"/>
      <c r="AZ646" s="21" t="str">
        <f t="shared" si="313"/>
        <v/>
      </c>
      <c r="BA646" s="264" t="s">
        <v>392</v>
      </c>
      <c r="BB646" s="264"/>
      <c r="BC646" s="264"/>
      <c r="BD646" s="264" t="s">
        <v>99</v>
      </c>
      <c r="BE646" s="216" t="s">
        <v>366</v>
      </c>
      <c r="BF646" s="303"/>
      <c r="BG646" s="303"/>
      <c r="BH646" s="303"/>
      <c r="BI646" s="303"/>
      <c r="BJ646" s="303"/>
      <c r="BK646" s="303"/>
      <c r="BL646" s="303"/>
      <c r="BM646" s="303"/>
      <c r="BN646" s="303"/>
      <c r="BO646" s="303"/>
      <c r="BP646" s="303"/>
      <c r="BQ646" s="5"/>
      <c r="BR646" s="25"/>
      <c r="BS646" s="5"/>
    </row>
    <row r="647" spans="1:71" s="3" customFormat="1" x14ac:dyDescent="0.25">
      <c r="A647" s="5"/>
      <c r="B647" s="3" t="str">
        <f t="array" ref="B647">IFERROR(INDEX(DemandSupply,MATCH(INDEX($AH$1:AH647,SMALL(ROW($AH$1:AH647)+(10000*($AH$1:AH647="")),COUNTA($AH$1:AH647))),Sectors,0)),"")</f>
        <v>Demand</v>
      </c>
      <c r="E647" s="10"/>
      <c r="F647" s="207"/>
      <c r="G647" s="207"/>
      <c r="H647" s="207"/>
      <c r="I647" s="207"/>
      <c r="J647" s="207"/>
      <c r="K647" s="207"/>
      <c r="L647" s="207"/>
      <c r="M647" s="207"/>
      <c r="N647" s="207"/>
      <c r="O647" s="207"/>
      <c r="P647" s="207"/>
      <c r="Q647" s="207"/>
      <c r="R647" s="207"/>
      <c r="S647" s="207"/>
      <c r="T647" s="207"/>
      <c r="U647" s="207"/>
      <c r="V647" s="207"/>
      <c r="W647" s="207"/>
      <c r="X647" s="207"/>
      <c r="Y647" s="207"/>
      <c r="Z647" s="207"/>
      <c r="AA647" s="207"/>
      <c r="AB647" s="207"/>
      <c r="AC647" s="5"/>
      <c r="AD647" s="63"/>
      <c r="AE647" s="64"/>
      <c r="AF647" s="64"/>
      <c r="AG647" s="212"/>
      <c r="AH647" s="64"/>
      <c r="AI647" s="64"/>
      <c r="AJ647" s="64"/>
      <c r="AK647" s="212"/>
      <c r="AL647" s="64"/>
      <c r="AM647" s="64"/>
      <c r="AN647" s="64"/>
      <c r="AO647" s="64"/>
      <c r="AP647" s="63"/>
      <c r="AQ647" s="64"/>
      <c r="AR647" s="63"/>
      <c r="AS647" s="64"/>
      <c r="AT647" s="63"/>
      <c r="AU647" s="64"/>
      <c r="AV647" s="63"/>
      <c r="AW647" s="64"/>
      <c r="AX647" s="63"/>
      <c r="AY647" s="5"/>
      <c r="AZ647" s="21" t="str">
        <f t="shared" si="313"/>
        <v/>
      </c>
      <c r="BA647" s="264" t="s">
        <v>391</v>
      </c>
      <c r="BB647" s="264"/>
      <c r="BC647" s="264"/>
      <c r="BD647" s="264" t="s">
        <v>99</v>
      </c>
      <c r="BE647" s="216" t="s">
        <v>366</v>
      </c>
      <c r="BF647" s="303"/>
      <c r="BG647" s="303"/>
      <c r="BH647" s="303"/>
      <c r="BI647" s="303"/>
      <c r="BJ647" s="303"/>
      <c r="BK647" s="303"/>
      <c r="BL647" s="303"/>
      <c r="BM647" s="303"/>
      <c r="BN647" s="303"/>
      <c r="BO647" s="303"/>
      <c r="BP647" s="303"/>
      <c r="BQ647" s="5"/>
      <c r="BR647" s="25"/>
      <c r="BS647" s="5"/>
    </row>
    <row r="648" spans="1:71" s="3" customFormat="1" x14ac:dyDescent="0.25">
      <c r="A648" s="5"/>
      <c r="B648" s="3" t="str">
        <f t="array" ref="B648">IFERROR(INDEX(DemandSupply,MATCH(INDEX($AH$1:AH648,SMALL(ROW($AH$1:AH648)+(10000*($AH$1:AH648="")),COUNTA($AH$1:AH648))),Sectors,0)),"")</f>
        <v>Demand</v>
      </c>
      <c r="E648" s="10"/>
      <c r="F648" s="207"/>
      <c r="G648" s="207"/>
      <c r="H648" s="207"/>
      <c r="I648" s="207"/>
      <c r="J648" s="207"/>
      <c r="K648" s="207"/>
      <c r="L648" s="207"/>
      <c r="M648" s="207"/>
      <c r="N648" s="207"/>
      <c r="O648" s="207"/>
      <c r="P648" s="207"/>
      <c r="Q648" s="207"/>
      <c r="R648" s="207"/>
      <c r="S648" s="207"/>
      <c r="T648" s="207"/>
      <c r="U648" s="207"/>
      <c r="V648" s="207"/>
      <c r="W648" s="207"/>
      <c r="X648" s="207"/>
      <c r="Y648" s="207"/>
      <c r="Z648" s="207"/>
      <c r="AA648" s="207"/>
      <c r="AB648" s="207"/>
      <c r="AC648" s="5"/>
      <c r="AD648" s="63"/>
      <c r="AE648" s="64"/>
      <c r="AF648" s="64"/>
      <c r="AG648" s="212"/>
      <c r="AH648" s="64"/>
      <c r="AI648" s="64"/>
      <c r="AJ648" s="64"/>
      <c r="AK648" s="212"/>
      <c r="AL648" s="64"/>
      <c r="AM648" s="64"/>
      <c r="AN648" s="64"/>
      <c r="AO648" s="64"/>
      <c r="AP648" s="63"/>
      <c r="AQ648" s="64"/>
      <c r="AR648" s="63"/>
      <c r="AS648" s="64"/>
      <c r="AT648" s="63"/>
      <c r="AU648" s="64"/>
      <c r="AV648" s="63"/>
      <c r="AW648" s="64"/>
      <c r="AX648" s="63"/>
      <c r="AY648" s="5"/>
      <c r="AZ648" s="21" t="str">
        <f t="shared" si="313"/>
        <v/>
      </c>
      <c r="BA648" s="264" t="s">
        <v>144</v>
      </c>
      <c r="BB648" s="264"/>
      <c r="BC648" s="264"/>
      <c r="BD648" s="264" t="s">
        <v>34</v>
      </c>
      <c r="BE648" s="216" t="s">
        <v>366</v>
      </c>
      <c r="BF648" s="56"/>
      <c r="BG648" s="56"/>
      <c r="BH648" s="56"/>
      <c r="BI648" s="56"/>
      <c r="BJ648" s="56"/>
      <c r="BK648" s="56"/>
      <c r="BL648" s="56"/>
      <c r="BM648" s="56"/>
      <c r="BN648" s="56"/>
      <c r="BO648" s="56"/>
      <c r="BP648" s="56"/>
      <c r="BQ648" s="5"/>
      <c r="BR648" s="25"/>
      <c r="BS648" s="5"/>
    </row>
    <row r="649" spans="1:71" s="3" customFormat="1" x14ac:dyDescent="0.25">
      <c r="A649" s="5"/>
      <c r="B649" s="3" t="str">
        <f t="array" ref="B649">IFERROR(INDEX(DemandSupply,MATCH(INDEX($AH$1:AH649,SMALL(ROW($AH$1:AH649)+(10000*($AH$1:AH649="")),COUNTA($AH$1:AH649))),Sectors,0)),"")</f>
        <v>Demand</v>
      </c>
      <c r="E649" s="10"/>
      <c r="F649" s="207"/>
      <c r="G649" s="207"/>
      <c r="H649" s="207"/>
      <c r="I649" s="207"/>
      <c r="J649" s="207"/>
      <c r="K649" s="207"/>
      <c r="L649" s="207"/>
      <c r="M649" s="207"/>
      <c r="N649" s="207"/>
      <c r="O649" s="207"/>
      <c r="P649" s="207"/>
      <c r="Q649" s="207"/>
      <c r="R649" s="207"/>
      <c r="S649" s="207"/>
      <c r="T649" s="207"/>
      <c r="U649" s="207"/>
      <c r="V649" s="207"/>
      <c r="W649" s="207"/>
      <c r="X649" s="207"/>
      <c r="Y649" s="207"/>
      <c r="Z649" s="207"/>
      <c r="AA649" s="207"/>
      <c r="AB649" s="207"/>
      <c r="AC649" s="5"/>
      <c r="AD649" s="63"/>
      <c r="AE649" s="64"/>
      <c r="AF649" s="64"/>
      <c r="AG649" s="212"/>
      <c r="AH649" s="64"/>
      <c r="AI649" s="64"/>
      <c r="AJ649" s="64"/>
      <c r="AK649" s="212"/>
      <c r="AL649" s="64"/>
      <c r="AM649" s="64"/>
      <c r="AN649" s="64"/>
      <c r="AO649" s="64"/>
      <c r="AP649" s="63"/>
      <c r="AQ649" s="64"/>
      <c r="AR649" s="63"/>
      <c r="AS649" s="64"/>
      <c r="AT649" s="63"/>
      <c r="AU649" s="64"/>
      <c r="AV649" s="63"/>
      <c r="AW649" s="64"/>
      <c r="AX649" s="63"/>
      <c r="AY649" s="5"/>
      <c r="AZ649" s="21" t="str">
        <f t="shared" si="313"/>
        <v/>
      </c>
      <c r="BA649" s="264" t="s">
        <v>76</v>
      </c>
      <c r="BB649" s="264"/>
      <c r="BC649" s="264"/>
      <c r="BD649" s="264" t="s">
        <v>99</v>
      </c>
      <c r="BE649" s="216" t="s">
        <v>366</v>
      </c>
      <c r="BF649" s="303">
        <v>0</v>
      </c>
      <c r="BG649" s="303"/>
      <c r="BH649" s="303"/>
      <c r="BI649" s="303"/>
      <c r="BJ649" s="303"/>
      <c r="BK649" s="303"/>
      <c r="BL649" s="303"/>
      <c r="BM649" s="303"/>
      <c r="BN649" s="303"/>
      <c r="BO649" s="303"/>
      <c r="BP649" s="303"/>
      <c r="BQ649" s="5"/>
      <c r="BR649" s="25"/>
      <c r="BS649" s="5"/>
    </row>
    <row r="650" spans="1:71" s="3" customFormat="1" x14ac:dyDescent="0.25">
      <c r="A650" s="5"/>
      <c r="B650" s="3" t="str">
        <f t="array" ref="B650">IFERROR(INDEX(DemandSupply,MATCH(INDEX($AH$1:AH650,SMALL(ROW($AH$1:AH650)+(10000*($AH$1:AH650="")),COUNTA($AH$1:AH650))),Sectors,0)),"")</f>
        <v>Demand</v>
      </c>
      <c r="E650" s="10"/>
      <c r="F650" s="207"/>
      <c r="G650" s="207"/>
      <c r="H650" s="207"/>
      <c r="I650" s="207"/>
      <c r="J650" s="207"/>
      <c r="K650" s="207"/>
      <c r="L650" s="207"/>
      <c r="M650" s="207"/>
      <c r="N650" s="207"/>
      <c r="O650" s="207"/>
      <c r="P650" s="207"/>
      <c r="Q650" s="207"/>
      <c r="R650" s="207"/>
      <c r="S650" s="207"/>
      <c r="T650" s="207"/>
      <c r="U650" s="207"/>
      <c r="V650" s="207"/>
      <c r="W650" s="207"/>
      <c r="X650" s="207"/>
      <c r="Y650" s="207"/>
      <c r="Z650" s="207"/>
      <c r="AA650" s="207"/>
      <c r="AB650" s="207"/>
      <c r="AC650" s="5"/>
      <c r="AD650" s="63"/>
      <c r="AE650" s="64"/>
      <c r="AF650" s="64"/>
      <c r="AG650" s="212"/>
      <c r="AH650" s="64"/>
      <c r="AI650" s="64"/>
      <c r="AJ650" s="64"/>
      <c r="AK650" s="212"/>
      <c r="AL650" s="64"/>
      <c r="AM650" s="64"/>
      <c r="AN650" s="64"/>
      <c r="AO650" s="64"/>
      <c r="AP650" s="63"/>
      <c r="AQ650" s="64"/>
      <c r="AR650" s="63"/>
      <c r="AS650" s="64"/>
      <c r="AT650" s="63"/>
      <c r="AU650" s="64"/>
      <c r="AV650" s="63"/>
      <c r="AW650" s="64"/>
      <c r="AX650" s="63"/>
      <c r="AY650" s="5"/>
      <c r="AZ650" s="21" t="str">
        <f t="shared" si="313"/>
        <v/>
      </c>
      <c r="BA650" s="75" t="s">
        <v>166</v>
      </c>
      <c r="BB650" s="75"/>
      <c r="BC650" s="270"/>
      <c r="BD650" s="75" t="s">
        <v>99</v>
      </c>
      <c r="BE650" s="216" t="s">
        <v>366</v>
      </c>
      <c r="BF650" s="303"/>
      <c r="BG650" s="303"/>
      <c r="BH650" s="303"/>
      <c r="BI650" s="303"/>
      <c r="BJ650" s="303"/>
      <c r="BK650" s="303"/>
      <c r="BL650" s="303"/>
      <c r="BM650" s="303"/>
      <c r="BN650" s="303"/>
      <c r="BO650" s="303"/>
      <c r="BP650" s="303"/>
      <c r="BQ650" s="5"/>
      <c r="BR650" s="25"/>
      <c r="BS650" s="5"/>
    </row>
    <row r="651" spans="1:71" s="3" customFormat="1" x14ac:dyDescent="0.25">
      <c r="A651" s="5"/>
      <c r="B651" s="3" t="str">
        <f t="array" ref="B651">IFERROR(INDEX(DemandSupply,MATCH(INDEX($AH$1:AH651,SMALL(ROW($AH$1:AH651)+(10000*($AH$1:AH651="")),COUNTA($AH$1:AH651))),Sectors,0)),"")</f>
        <v>Demand</v>
      </c>
      <c r="E651" s="10"/>
      <c r="F651" s="207"/>
      <c r="G651" s="207"/>
      <c r="H651" s="207"/>
      <c r="I651" s="207"/>
      <c r="J651" s="207"/>
      <c r="K651" s="207"/>
      <c r="L651" s="207"/>
      <c r="M651" s="207"/>
      <c r="N651" s="207"/>
      <c r="O651" s="207"/>
      <c r="P651" s="207"/>
      <c r="Q651" s="207"/>
      <c r="R651" s="207"/>
      <c r="S651" s="207"/>
      <c r="T651" s="207"/>
      <c r="U651" s="207"/>
      <c r="V651" s="207"/>
      <c r="W651" s="207"/>
      <c r="X651" s="207"/>
      <c r="Y651" s="207"/>
      <c r="Z651" s="207"/>
      <c r="AA651" s="207"/>
      <c r="AB651" s="207"/>
      <c r="AC651" s="5"/>
      <c r="AD651" s="63"/>
      <c r="AE651" s="64"/>
      <c r="AF651" s="64"/>
      <c r="AG651" s="212"/>
      <c r="AH651" s="64"/>
      <c r="AI651" s="64"/>
      <c r="AJ651" s="64"/>
      <c r="AK651" s="212"/>
      <c r="AL651" s="64"/>
      <c r="AM651" s="64"/>
      <c r="AN651" s="64"/>
      <c r="AO651" s="64"/>
      <c r="AP651" s="63"/>
      <c r="AQ651" s="64"/>
      <c r="AR651" s="63"/>
      <c r="AS651" s="64"/>
      <c r="AT651" s="63"/>
      <c r="AU651" s="64"/>
      <c r="AV651" s="63"/>
      <c r="AW651" s="64"/>
      <c r="AX651" s="63"/>
      <c r="AY651" s="5"/>
      <c r="AZ651" s="21" t="str">
        <f t="shared" si="313"/>
        <v/>
      </c>
      <c r="BA651" s="75" t="s">
        <v>167</v>
      </c>
      <c r="BB651" s="75"/>
      <c r="BC651" s="270"/>
      <c r="BD651" s="75" t="s">
        <v>99</v>
      </c>
      <c r="BE651" s="216" t="s">
        <v>366</v>
      </c>
      <c r="BF651" s="303"/>
      <c r="BG651" s="303"/>
      <c r="BH651" s="303"/>
      <c r="BI651" s="303"/>
      <c r="BJ651" s="303"/>
      <c r="BK651" s="303"/>
      <c r="BL651" s="303"/>
      <c r="BM651" s="303"/>
      <c r="BN651" s="303"/>
      <c r="BO651" s="303"/>
      <c r="BP651" s="303"/>
      <c r="BQ651" s="5"/>
      <c r="BR651" s="25"/>
      <c r="BS651" s="5"/>
    </row>
    <row r="652" spans="1:71" s="3" customFormat="1" x14ac:dyDescent="0.25">
      <c r="A652" s="5"/>
      <c r="B652" s="3" t="str">
        <f t="array" ref="B652">IFERROR(INDEX(DemandSupply,MATCH(INDEX($AH$1:AH652,SMALL(ROW($AH$1:AH652)+(10000*($AH$1:AH652="")),COUNTA($AH$1:AH652))),Sectors,0)),"")</f>
        <v>Demand</v>
      </c>
      <c r="E652" s="10"/>
      <c r="F652" s="207"/>
      <c r="G652" s="207"/>
      <c r="H652" s="207"/>
      <c r="I652" s="207"/>
      <c r="J652" s="207"/>
      <c r="K652" s="207"/>
      <c r="L652" s="207"/>
      <c r="M652" s="207"/>
      <c r="N652" s="207"/>
      <c r="O652" s="207"/>
      <c r="P652" s="207"/>
      <c r="Q652" s="207"/>
      <c r="R652" s="207"/>
      <c r="S652" s="207"/>
      <c r="T652" s="207"/>
      <c r="U652" s="207"/>
      <c r="V652" s="207"/>
      <c r="W652" s="207"/>
      <c r="X652" s="207"/>
      <c r="Y652" s="207"/>
      <c r="Z652" s="207"/>
      <c r="AA652" s="207"/>
      <c r="AB652" s="207"/>
      <c r="AC652" s="5"/>
      <c r="AD652" s="63"/>
      <c r="AE652" s="64"/>
      <c r="AF652" s="64"/>
      <c r="AG652" s="212"/>
      <c r="AH652" s="64"/>
      <c r="AI652" s="64"/>
      <c r="AJ652" s="64"/>
      <c r="AK652" s="212"/>
      <c r="AL652" s="64"/>
      <c r="AM652" s="64"/>
      <c r="AN652" s="64"/>
      <c r="AO652" s="64"/>
      <c r="AP652" s="63"/>
      <c r="AQ652" s="64"/>
      <c r="AR652" s="63"/>
      <c r="AS652" s="64"/>
      <c r="AT652" s="63"/>
      <c r="AU652" s="64"/>
      <c r="AV652" s="63"/>
      <c r="AW652" s="64"/>
      <c r="AX652" s="63"/>
      <c r="AY652" s="5"/>
      <c r="AZ652" s="21" t="str">
        <f t="shared" si="313"/>
        <v/>
      </c>
      <c r="BA652" s="75" t="s">
        <v>408</v>
      </c>
      <c r="BB652" s="75"/>
      <c r="BC652" s="270"/>
      <c r="BD652" s="75" t="s">
        <v>99</v>
      </c>
      <c r="BE652" s="216" t="s">
        <v>366</v>
      </c>
      <c r="BF652" s="303"/>
      <c r="BG652" s="303"/>
      <c r="BH652" s="303"/>
      <c r="BI652" s="303"/>
      <c r="BJ652" s="303"/>
      <c r="BK652" s="303"/>
      <c r="BL652" s="303"/>
      <c r="BM652" s="303"/>
      <c r="BN652" s="303"/>
      <c r="BO652" s="303"/>
      <c r="BP652" s="303"/>
      <c r="BQ652" s="5"/>
      <c r="BR652" s="25"/>
      <c r="BS652" s="5"/>
    </row>
    <row r="653" spans="1:71" s="3" customFormat="1" x14ac:dyDescent="0.25">
      <c r="A653" s="5"/>
      <c r="B653" s="3" t="str">
        <f t="array" ref="B653">IFERROR(INDEX(DemandSupply,MATCH(INDEX($AH$1:AH653,SMALL(ROW($AH$1:AH653)+(10000*($AH$1:AH653="")),COUNTA($AH$1:AH653))),Sectors,0)),"")</f>
        <v>Demand</v>
      </c>
      <c r="E653" s="10"/>
      <c r="F653" s="207"/>
      <c r="G653" s="207"/>
      <c r="H653" s="207"/>
      <c r="I653" s="207"/>
      <c r="J653" s="207"/>
      <c r="K653" s="207"/>
      <c r="L653" s="207"/>
      <c r="M653" s="207"/>
      <c r="N653" s="207"/>
      <c r="O653" s="207"/>
      <c r="P653" s="207"/>
      <c r="Q653" s="207"/>
      <c r="R653" s="207"/>
      <c r="S653" s="207"/>
      <c r="T653" s="207"/>
      <c r="U653" s="207"/>
      <c r="V653" s="207"/>
      <c r="W653" s="207"/>
      <c r="X653" s="207"/>
      <c r="Y653" s="207"/>
      <c r="Z653" s="207"/>
      <c r="AA653" s="207"/>
      <c r="AB653" s="207"/>
      <c r="AC653" s="5"/>
      <c r="AD653" s="63"/>
      <c r="AE653" s="64"/>
      <c r="AF653" s="64"/>
      <c r="AG653" s="212"/>
      <c r="AH653" s="64"/>
      <c r="AI653" s="64"/>
      <c r="AJ653" s="64"/>
      <c r="AK653" s="212"/>
      <c r="AL653" s="64"/>
      <c r="AM653" s="64"/>
      <c r="AN653" s="64"/>
      <c r="AO653" s="64"/>
      <c r="AP653" s="63"/>
      <c r="AQ653" s="64"/>
      <c r="AR653" s="63"/>
      <c r="AS653" s="64"/>
      <c r="AT653" s="63"/>
      <c r="AU653" s="64"/>
      <c r="AV653" s="63"/>
      <c r="AW653" s="64"/>
      <c r="AX653" s="63"/>
      <c r="AY653" s="5"/>
      <c r="AZ653" s="21" t="str">
        <f t="shared" si="313"/>
        <v/>
      </c>
      <c r="BA653" s="75" t="s">
        <v>409</v>
      </c>
      <c r="BB653" s="75"/>
      <c r="BC653" s="270"/>
      <c r="BD653" s="75" t="s">
        <v>99</v>
      </c>
      <c r="BE653" s="216" t="s">
        <v>366</v>
      </c>
      <c r="BF653" s="303"/>
      <c r="BG653" s="303"/>
      <c r="BH653" s="303"/>
      <c r="BI653" s="303"/>
      <c r="BJ653" s="303"/>
      <c r="BK653" s="303"/>
      <c r="BL653" s="303"/>
      <c r="BM653" s="303"/>
      <c r="BN653" s="303"/>
      <c r="BO653" s="303"/>
      <c r="BP653" s="303"/>
      <c r="BQ653" s="5"/>
      <c r="BR653" s="25"/>
      <c r="BS653" s="5"/>
    </row>
    <row r="654" spans="1:71" s="3" customFormat="1" x14ac:dyDescent="0.25">
      <c r="A654" s="5"/>
      <c r="B654" s="3" t="str">
        <f t="array" ref="B654">IFERROR(INDEX(DemandSupply,MATCH(INDEX($AH$1:AH654,SMALL(ROW($AH$1:AH654)+(10000*($AH$1:AH654="")),COUNTA($AH$1:AH654))),Sectors,0)),"")</f>
        <v>Demand</v>
      </c>
      <c r="E654" s="10"/>
      <c r="F654" s="207"/>
      <c r="G654" s="207"/>
      <c r="H654" s="207"/>
      <c r="I654" s="207"/>
      <c r="J654" s="207"/>
      <c r="K654" s="207"/>
      <c r="L654" s="207"/>
      <c r="M654" s="207"/>
      <c r="N654" s="207"/>
      <c r="O654" s="207"/>
      <c r="P654" s="207"/>
      <c r="Q654" s="207"/>
      <c r="R654" s="207"/>
      <c r="S654" s="207"/>
      <c r="T654" s="207"/>
      <c r="U654" s="207"/>
      <c r="V654" s="207"/>
      <c r="W654" s="207"/>
      <c r="X654" s="207"/>
      <c r="Y654" s="207"/>
      <c r="Z654" s="207"/>
      <c r="AA654" s="207"/>
      <c r="AB654" s="207"/>
      <c r="AC654" s="5"/>
      <c r="AD654" s="63"/>
      <c r="AE654" s="64"/>
      <c r="AF654" s="64"/>
      <c r="AG654" s="212"/>
      <c r="AH654" s="64"/>
      <c r="AI654" s="64"/>
      <c r="AJ654" s="64"/>
      <c r="AK654" s="212"/>
      <c r="AL654" s="64"/>
      <c r="AM654" s="64"/>
      <c r="AN654" s="64"/>
      <c r="AO654" s="64"/>
      <c r="AP654" s="63"/>
      <c r="AQ654" s="64"/>
      <c r="AR654" s="63"/>
      <c r="AS654" s="64"/>
      <c r="AT654" s="63"/>
      <c r="AU654" s="64"/>
      <c r="AV654" s="63"/>
      <c r="AW654" s="64"/>
      <c r="AX654" s="63"/>
      <c r="AY654" s="5"/>
      <c r="AZ654" s="21" t="str">
        <f t="shared" si="313"/>
        <v/>
      </c>
      <c r="BA654" s="264" t="s">
        <v>371</v>
      </c>
      <c r="BB654" s="264"/>
      <c r="BC654" s="264"/>
      <c r="BD654" s="264" t="s">
        <v>34</v>
      </c>
      <c r="BE654" s="216" t="s">
        <v>366</v>
      </c>
      <c r="BF654" s="56">
        <v>642.4</v>
      </c>
      <c r="BG654" s="282">
        <f t="shared" ref="BG654:BG655" si="369">BF654</f>
        <v>642.4</v>
      </c>
      <c r="BH654" s="282">
        <f t="shared" ref="BH654:BH655" si="370">BG654</f>
        <v>642.4</v>
      </c>
      <c r="BI654" s="282">
        <f t="shared" ref="BI654:BI655" si="371">BH654</f>
        <v>642.4</v>
      </c>
      <c r="BJ654" s="282">
        <f t="shared" ref="BJ654:BJ655" si="372">BI654</f>
        <v>642.4</v>
      </c>
      <c r="BK654" s="282">
        <f t="shared" ref="BK654:BK655" si="373">BJ654</f>
        <v>642.4</v>
      </c>
      <c r="BL654" s="282">
        <f t="shared" ref="BL654:BL655" si="374">BK654</f>
        <v>642.4</v>
      </c>
      <c r="BM654" s="282">
        <f t="shared" ref="BM654:BM655" si="375">BL654</f>
        <v>642.4</v>
      </c>
      <c r="BN654" s="282">
        <f t="shared" ref="BN654:BN655" si="376">BM654</f>
        <v>642.4</v>
      </c>
      <c r="BO654" s="282">
        <f t="shared" ref="BO654:BO655" si="377">BN654</f>
        <v>642.4</v>
      </c>
      <c r="BP654" s="282">
        <f t="shared" ref="BP654:BP655" si="378">BO654</f>
        <v>642.4</v>
      </c>
      <c r="BQ654" s="5"/>
      <c r="BR654" s="25"/>
      <c r="BS654" s="5"/>
    </row>
    <row r="655" spans="1:71" s="3" customFormat="1" x14ac:dyDescent="0.25">
      <c r="A655" s="5"/>
      <c r="B655" s="3" t="str">
        <f t="array" ref="B655">IFERROR(INDEX(DemandSupply,MATCH(INDEX($AH$1:AH655,SMALL(ROW($AH$1:AH655)+(10000*($AH$1:AH655="")),COUNTA($AH$1:AH655))),Sectors,0)),"")</f>
        <v>Demand</v>
      </c>
      <c r="E655" s="10"/>
      <c r="F655" s="207"/>
      <c r="G655" s="207"/>
      <c r="H655" s="207"/>
      <c r="I655" s="207"/>
      <c r="J655" s="207"/>
      <c r="K655" s="207"/>
      <c r="L655" s="207"/>
      <c r="M655" s="207"/>
      <c r="N655" s="207"/>
      <c r="O655" s="207"/>
      <c r="P655" s="207"/>
      <c r="Q655" s="207"/>
      <c r="R655" s="207"/>
      <c r="S655" s="207"/>
      <c r="T655" s="207"/>
      <c r="U655" s="207"/>
      <c r="V655" s="207"/>
      <c r="W655" s="207"/>
      <c r="X655" s="207"/>
      <c r="Y655" s="207"/>
      <c r="Z655" s="207"/>
      <c r="AA655" s="207"/>
      <c r="AB655" s="207"/>
      <c r="AC655" s="5"/>
      <c r="AD655" s="63"/>
      <c r="AE655" s="64"/>
      <c r="AF655" s="64"/>
      <c r="AG655" s="212"/>
      <c r="AH655" s="64"/>
      <c r="AI655" s="64"/>
      <c r="AJ655" s="64"/>
      <c r="AK655" s="212"/>
      <c r="AL655" s="64"/>
      <c r="AM655" s="64"/>
      <c r="AN655" s="64"/>
      <c r="AO655" s="64"/>
      <c r="AP655" s="63"/>
      <c r="AQ655" s="64"/>
      <c r="AR655" s="63"/>
      <c r="AS655" s="64"/>
      <c r="AT655" s="63"/>
      <c r="AU655" s="64"/>
      <c r="AV655" s="63"/>
      <c r="AW655" s="64"/>
      <c r="AX655" s="63"/>
      <c r="AY655" s="5"/>
      <c r="AZ655" s="21" t="str">
        <f t="shared" si="313"/>
        <v/>
      </c>
      <c r="BA655" s="264" t="s">
        <v>170</v>
      </c>
      <c r="BB655" s="264"/>
      <c r="BC655" s="264"/>
      <c r="BD655" s="264" t="s">
        <v>354</v>
      </c>
      <c r="BE655" s="216" t="s">
        <v>366</v>
      </c>
      <c r="BF655" s="56">
        <v>2647.9160000000002</v>
      </c>
      <c r="BG655" s="282">
        <f t="shared" si="369"/>
        <v>2647.9160000000002</v>
      </c>
      <c r="BH655" s="282">
        <f t="shared" si="370"/>
        <v>2647.9160000000002</v>
      </c>
      <c r="BI655" s="282">
        <f t="shared" si="371"/>
        <v>2647.9160000000002</v>
      </c>
      <c r="BJ655" s="282">
        <f t="shared" si="372"/>
        <v>2647.9160000000002</v>
      </c>
      <c r="BK655" s="282">
        <f t="shared" si="373"/>
        <v>2647.9160000000002</v>
      </c>
      <c r="BL655" s="282">
        <f t="shared" si="374"/>
        <v>2647.9160000000002</v>
      </c>
      <c r="BM655" s="282">
        <f t="shared" si="375"/>
        <v>2647.9160000000002</v>
      </c>
      <c r="BN655" s="282">
        <f t="shared" si="376"/>
        <v>2647.9160000000002</v>
      </c>
      <c r="BO655" s="282">
        <f t="shared" si="377"/>
        <v>2647.9160000000002</v>
      </c>
      <c r="BP655" s="282">
        <f t="shared" si="378"/>
        <v>2647.9160000000002</v>
      </c>
      <c r="BQ655" s="5"/>
      <c r="BR655" s="25"/>
      <c r="BS655" s="5"/>
    </row>
    <row r="656" spans="1:71" s="3" customFormat="1" x14ac:dyDescent="0.25">
      <c r="A656" s="5"/>
      <c r="B656" s="3" t="str">
        <f t="array" ref="B656">IFERROR(INDEX(DemandSupply,MATCH(INDEX($AH$1:AH656,SMALL(ROW($AH$1:AH656)+(10000*($AH$1:AH656="")),COUNTA($AH$1:AH656))),Sectors,0)),"")</f>
        <v>Demand</v>
      </c>
      <c r="E656" s="10"/>
      <c r="F656" s="207"/>
      <c r="G656" s="207"/>
      <c r="H656" s="207"/>
      <c r="I656" s="207"/>
      <c r="J656" s="207"/>
      <c r="K656" s="207"/>
      <c r="L656" s="207"/>
      <c r="M656" s="207"/>
      <c r="N656" s="207"/>
      <c r="O656" s="207"/>
      <c r="P656" s="207"/>
      <c r="Q656" s="207"/>
      <c r="R656" s="207"/>
      <c r="S656" s="207"/>
      <c r="T656" s="207"/>
      <c r="U656" s="207"/>
      <c r="V656" s="207"/>
      <c r="W656" s="207"/>
      <c r="X656" s="207"/>
      <c r="Y656" s="207"/>
      <c r="Z656" s="207"/>
      <c r="AA656" s="207"/>
      <c r="AB656" s="207"/>
      <c r="AC656" s="5"/>
      <c r="AD656" s="63"/>
      <c r="AE656" s="64"/>
      <c r="AF656" s="64"/>
      <c r="AG656" s="212"/>
      <c r="AH656" s="64"/>
      <c r="AI656" s="64"/>
      <c r="AJ656" s="64"/>
      <c r="AK656" s="212"/>
      <c r="AL656" s="64"/>
      <c r="AM656" s="64"/>
      <c r="AN656" s="64"/>
      <c r="AO656" s="64"/>
      <c r="AP656" s="63"/>
      <c r="AQ656" s="64"/>
      <c r="AR656" s="63"/>
      <c r="AS656" s="64"/>
      <c r="AT656" s="63"/>
      <c r="AU656" s="64"/>
      <c r="AV656" s="63"/>
      <c r="AW656" s="64"/>
      <c r="AX656" s="63"/>
      <c r="AY656" s="5"/>
      <c r="AZ656" s="21" t="str">
        <f t="shared" si="313"/>
        <v/>
      </c>
      <c r="BA656" s="264" t="s">
        <v>425</v>
      </c>
      <c r="BB656" s="264"/>
      <c r="BC656" s="264"/>
      <c r="BD656" s="264" t="s">
        <v>99</v>
      </c>
      <c r="BE656" s="216" t="s">
        <v>366</v>
      </c>
      <c r="BF656" s="303"/>
      <c r="BG656" s="303"/>
      <c r="BH656" s="303"/>
      <c r="BI656" s="303"/>
      <c r="BJ656" s="303"/>
      <c r="BK656" s="303"/>
      <c r="BL656" s="303"/>
      <c r="BM656" s="303"/>
      <c r="BN656" s="303"/>
      <c r="BO656" s="303"/>
      <c r="BP656" s="303"/>
      <c r="BQ656" s="5"/>
      <c r="BR656" s="25"/>
      <c r="BS656" s="5"/>
    </row>
    <row r="657" spans="1:71" s="3" customFormat="1" x14ac:dyDescent="0.25">
      <c r="A657" s="5"/>
      <c r="B657" s="3" t="str">
        <f t="array" ref="B657">IFERROR(INDEX(DemandSupply,MATCH(INDEX($AH$1:AH657,SMALL(ROW($AH$1:AH657)+(10000*($AH$1:AH657="")),COUNTA($AH$1:AH657))),Sectors,0)),"")</f>
        <v>Demand</v>
      </c>
      <c r="E657" s="10"/>
      <c r="F657" s="207"/>
      <c r="G657" s="207"/>
      <c r="H657" s="207"/>
      <c r="I657" s="207"/>
      <c r="J657" s="207"/>
      <c r="K657" s="207"/>
      <c r="L657" s="207"/>
      <c r="M657" s="207"/>
      <c r="N657" s="207"/>
      <c r="O657" s="207"/>
      <c r="P657" s="207"/>
      <c r="Q657" s="207"/>
      <c r="R657" s="207"/>
      <c r="S657" s="207"/>
      <c r="T657" s="207"/>
      <c r="U657" s="207"/>
      <c r="V657" s="207"/>
      <c r="W657" s="207"/>
      <c r="X657" s="207"/>
      <c r="Y657" s="207"/>
      <c r="Z657" s="207"/>
      <c r="AA657" s="207"/>
      <c r="AB657" s="207"/>
      <c r="AC657" s="5"/>
      <c r="AD657" s="63"/>
      <c r="AE657" s="64"/>
      <c r="AF657" s="64"/>
      <c r="AG657" s="212"/>
      <c r="AH657" s="64"/>
      <c r="AI657" s="64"/>
      <c r="AJ657" s="64"/>
      <c r="AK657" s="212"/>
      <c r="AL657" s="64"/>
      <c r="AM657" s="64"/>
      <c r="AN657" s="64"/>
      <c r="AO657" s="64"/>
      <c r="AP657" s="63"/>
      <c r="AQ657" s="64"/>
      <c r="AR657" s="63"/>
      <c r="AS657" s="64"/>
      <c r="AT657" s="63"/>
      <c r="AU657" s="64"/>
      <c r="AV657" s="63"/>
      <c r="AW657" s="64"/>
      <c r="AX657" s="63"/>
      <c r="AY657" s="5"/>
      <c r="AZ657" s="21" t="str">
        <f t="shared" si="313"/>
        <v/>
      </c>
      <c r="BA657" s="264" t="s">
        <v>438</v>
      </c>
      <c r="BB657" s="264"/>
      <c r="BC657" s="264"/>
      <c r="BD657" s="264" t="s">
        <v>34</v>
      </c>
      <c r="BE657" s="216" t="s">
        <v>366</v>
      </c>
      <c r="BF657" s="56"/>
      <c r="BG657" s="56"/>
      <c r="BH657" s="56"/>
      <c r="BI657" s="56"/>
      <c r="BJ657" s="56"/>
      <c r="BK657" s="56"/>
      <c r="BL657" s="56"/>
      <c r="BM657" s="56"/>
      <c r="BN657" s="56"/>
      <c r="BO657" s="56"/>
      <c r="BP657" s="56"/>
      <c r="BQ657" s="5"/>
      <c r="BR657" s="25"/>
      <c r="BS657" s="5"/>
    </row>
    <row r="658" spans="1:71" s="3" customFormat="1" x14ac:dyDescent="0.25">
      <c r="A658" s="5"/>
      <c r="B658" s="3" t="str">
        <f t="array" ref="B658">IFERROR(INDEX(DemandSupply,MATCH(INDEX($AH$1:AH658,SMALL(ROW($AH$1:AH658)+(10000*($AH$1:AH658="")),COUNTA($AH$1:AH658))),Sectors,0)),"")</f>
        <v>Demand</v>
      </c>
      <c r="E658" s="10"/>
      <c r="F658" s="207"/>
      <c r="G658" s="207"/>
      <c r="H658" s="207"/>
      <c r="I658" s="207"/>
      <c r="J658" s="207"/>
      <c r="K658" s="207"/>
      <c r="L658" s="207"/>
      <c r="M658" s="207"/>
      <c r="N658" s="207"/>
      <c r="O658" s="207"/>
      <c r="P658" s="207"/>
      <c r="Q658" s="207"/>
      <c r="R658" s="207"/>
      <c r="S658" s="207"/>
      <c r="T658" s="207"/>
      <c r="U658" s="207"/>
      <c r="V658" s="207"/>
      <c r="W658" s="207"/>
      <c r="X658" s="207"/>
      <c r="Y658" s="207"/>
      <c r="Z658" s="207"/>
      <c r="AA658" s="207"/>
      <c r="AB658" s="207"/>
      <c r="AC658" s="5"/>
      <c r="AD658" s="63"/>
      <c r="AE658" s="64"/>
      <c r="AF658" s="64"/>
      <c r="AG658" s="212"/>
      <c r="AH658" s="64"/>
      <c r="AI658" s="64"/>
      <c r="AJ658" s="64"/>
      <c r="AK658" s="212"/>
      <c r="AL658" s="64"/>
      <c r="AM658" s="64"/>
      <c r="AN658" s="64"/>
      <c r="AO658" s="64"/>
      <c r="AP658" s="63"/>
      <c r="AQ658" s="64"/>
      <c r="AR658" s="63"/>
      <c r="AS658" s="64"/>
      <c r="AT658" s="63"/>
      <c r="AU658" s="64"/>
      <c r="AV658" s="63"/>
      <c r="AW658" s="64"/>
      <c r="AX658" s="63"/>
      <c r="AY658" s="5"/>
      <c r="AZ658" s="21" t="str">
        <f t="shared" si="313"/>
        <v/>
      </c>
      <c r="BA658" s="264" t="s">
        <v>435</v>
      </c>
      <c r="BB658" s="264"/>
      <c r="BC658" s="264"/>
      <c r="BD658" s="264"/>
      <c r="BE658" s="216" t="s">
        <v>366</v>
      </c>
      <c r="BF658" s="55"/>
      <c r="BG658" s="55"/>
      <c r="BH658" s="55"/>
      <c r="BI658" s="55"/>
      <c r="BJ658" s="55"/>
      <c r="BK658" s="55"/>
      <c r="BL658" s="55"/>
      <c r="BM658" s="55"/>
      <c r="BN658" s="55"/>
      <c r="BO658" s="55"/>
      <c r="BP658" s="55"/>
      <c r="BQ658" s="5"/>
      <c r="BR658" s="25"/>
      <c r="BS658" s="5"/>
    </row>
    <row r="659" spans="1:71" s="3" customFormat="1" x14ac:dyDescent="0.25">
      <c r="A659" s="5"/>
      <c r="B659" s="3" t="str">
        <f t="array" ref="B659">IFERROR(INDEX(DemandSupply,MATCH(INDEX($AH$1:AH659,SMALL(ROW($AH$1:AH659)+(10000*($AH$1:AH659="")),COUNTA($AH$1:AH659))),Sectors,0)),"")</f>
        <v>Demand</v>
      </c>
      <c r="E659" s="10"/>
      <c r="F659" s="207"/>
      <c r="G659" s="207"/>
      <c r="H659" s="207"/>
      <c r="I659" s="207"/>
      <c r="J659" s="207"/>
      <c r="K659" s="207"/>
      <c r="L659" s="207"/>
      <c r="M659" s="207"/>
      <c r="N659" s="207"/>
      <c r="O659" s="207"/>
      <c r="P659" s="207"/>
      <c r="Q659" s="207"/>
      <c r="R659" s="207"/>
      <c r="S659" s="207"/>
      <c r="T659" s="207"/>
      <c r="U659" s="207"/>
      <c r="V659" s="207"/>
      <c r="W659" s="207"/>
      <c r="X659" s="207"/>
      <c r="Y659" s="207"/>
      <c r="Z659" s="207"/>
      <c r="AA659" s="207"/>
      <c r="AB659" s="207"/>
      <c r="AC659" s="5"/>
      <c r="AD659" s="63"/>
      <c r="AE659" s="64"/>
      <c r="AF659" s="64"/>
      <c r="AG659" s="212"/>
      <c r="AH659" s="64"/>
      <c r="AI659" s="64"/>
      <c r="AJ659" s="64"/>
      <c r="AK659" s="212"/>
      <c r="AL659" s="64"/>
      <c r="AM659" s="64"/>
      <c r="AN659" s="64"/>
      <c r="AO659" s="64"/>
      <c r="AP659" s="63"/>
      <c r="AQ659" s="64"/>
      <c r="AR659" s="63"/>
      <c r="AS659" s="64"/>
      <c r="AT659" s="63"/>
      <c r="AU659" s="64"/>
      <c r="AV659" s="63"/>
      <c r="AW659" s="64"/>
      <c r="AX659" s="63"/>
      <c r="AY659" s="5"/>
      <c r="AZ659" s="21" t="str">
        <f t="shared" si="313"/>
        <v/>
      </c>
      <c r="BA659" s="264" t="s">
        <v>407</v>
      </c>
      <c r="BB659" s="264"/>
      <c r="BC659" s="264"/>
      <c r="BD659" s="264" t="s">
        <v>99</v>
      </c>
      <c r="BE659" s="216" t="s">
        <v>366</v>
      </c>
      <c r="BF659" s="303"/>
      <c r="BG659" s="303"/>
      <c r="BH659" s="303"/>
      <c r="BI659" s="303"/>
      <c r="BJ659" s="303"/>
      <c r="BK659" s="303"/>
      <c r="BL659" s="303"/>
      <c r="BM659" s="303"/>
      <c r="BN659" s="303"/>
      <c r="BO659" s="303"/>
      <c r="BP659" s="303"/>
      <c r="BQ659" s="5"/>
      <c r="BR659" s="25"/>
      <c r="BS659" s="5"/>
    </row>
    <row r="660" spans="1:71" s="3" customFormat="1" x14ac:dyDescent="0.25">
      <c r="A660" s="5"/>
      <c r="B660" s="3" t="str">
        <f t="array" ref="B660">IFERROR(INDEX(DemandSupply,MATCH(INDEX($AH$1:AH660,SMALL(ROW($AH$1:AH660)+(10000*($AH$1:AH660="")),COUNTA($AH$1:AH660))),Sectors,0)),"")</f>
        <v>Demand</v>
      </c>
      <c r="E660" s="10"/>
      <c r="F660" s="207"/>
      <c r="G660" s="207"/>
      <c r="H660" s="207"/>
      <c r="I660" s="207"/>
      <c r="J660" s="207"/>
      <c r="K660" s="207"/>
      <c r="L660" s="207"/>
      <c r="M660" s="207"/>
      <c r="N660" s="207"/>
      <c r="O660" s="207"/>
      <c r="P660" s="207"/>
      <c r="Q660" s="207"/>
      <c r="R660" s="207"/>
      <c r="S660" s="207"/>
      <c r="T660" s="207"/>
      <c r="U660" s="207"/>
      <c r="V660" s="207"/>
      <c r="W660" s="207"/>
      <c r="X660" s="207"/>
      <c r="Y660" s="207"/>
      <c r="Z660" s="207"/>
      <c r="AA660" s="207"/>
      <c r="AB660" s="207"/>
      <c r="AC660" s="5"/>
      <c r="AD660" s="63"/>
      <c r="AE660" s="64"/>
      <c r="AF660" s="64"/>
      <c r="AG660" s="212"/>
      <c r="AH660" s="64"/>
      <c r="AI660" s="64"/>
      <c r="AJ660" s="64"/>
      <c r="AK660" s="212"/>
      <c r="AL660" s="64"/>
      <c r="AM660" s="64"/>
      <c r="AN660" s="64"/>
      <c r="AO660" s="64"/>
      <c r="AP660" s="63"/>
      <c r="AQ660" s="64"/>
      <c r="AR660" s="63"/>
      <c r="AS660" s="64"/>
      <c r="AT660" s="63"/>
      <c r="AU660" s="64"/>
      <c r="AV660" s="63"/>
      <c r="AW660" s="64"/>
      <c r="AX660" s="63"/>
      <c r="AY660" s="5"/>
      <c r="AZ660" s="21" t="str">
        <f t="shared" si="313"/>
        <v/>
      </c>
      <c r="BA660" s="264" t="s">
        <v>444</v>
      </c>
      <c r="BB660" s="264"/>
      <c r="BC660" s="264"/>
      <c r="BD660" s="264" t="s">
        <v>354</v>
      </c>
      <c r="BE660" s="216" t="s">
        <v>366</v>
      </c>
      <c r="BF660" s="56">
        <v>1221.6890000000001</v>
      </c>
      <c r="BG660" s="282">
        <f t="shared" ref="BG660" si="379">BF660</f>
        <v>1221.6890000000001</v>
      </c>
      <c r="BH660" s="282">
        <f t="shared" ref="BH660" si="380">BG660</f>
        <v>1221.6890000000001</v>
      </c>
      <c r="BI660" s="282">
        <f t="shared" ref="BI660" si="381">BH660</f>
        <v>1221.6890000000001</v>
      </c>
      <c r="BJ660" s="282">
        <f t="shared" ref="BJ660" si="382">BI660</f>
        <v>1221.6890000000001</v>
      </c>
      <c r="BK660" s="282">
        <f t="shared" ref="BK660" si="383">BJ660</f>
        <v>1221.6890000000001</v>
      </c>
      <c r="BL660" s="282">
        <f t="shared" ref="BL660" si="384">BK660</f>
        <v>1221.6890000000001</v>
      </c>
      <c r="BM660" s="282">
        <f t="shared" ref="BM660" si="385">BL660</f>
        <v>1221.6890000000001</v>
      </c>
      <c r="BN660" s="282">
        <f t="shared" ref="BN660" si="386">BM660</f>
        <v>1221.6890000000001</v>
      </c>
      <c r="BO660" s="282">
        <f t="shared" ref="BO660" si="387">BN660</f>
        <v>1221.6890000000001</v>
      </c>
      <c r="BP660" s="282">
        <f t="shared" ref="BP660" si="388">BO660</f>
        <v>1221.6890000000001</v>
      </c>
      <c r="BQ660" s="5"/>
      <c r="BR660" s="25"/>
      <c r="BS660" s="5"/>
    </row>
    <row r="661" spans="1:71" s="3" customFormat="1" x14ac:dyDescent="0.25">
      <c r="A661" s="5"/>
      <c r="B661" s="3" t="str">
        <f t="array" ref="B661">IFERROR(INDEX(DemandSupply,MATCH(INDEX($AH$1:AH661,SMALL(ROW($AH$1:AH661)+(10000*($AH$1:AH661="")),COUNTA($AH$1:AH661))),Sectors,0)),"")</f>
        <v>Demand</v>
      </c>
      <c r="E661" s="10"/>
      <c r="F661" s="207"/>
      <c r="G661" s="207"/>
      <c r="H661" s="207"/>
      <c r="I661" s="207"/>
      <c r="J661" s="207"/>
      <c r="K661" s="207"/>
      <c r="L661" s="207"/>
      <c r="M661" s="207"/>
      <c r="N661" s="207"/>
      <c r="O661" s="207"/>
      <c r="P661" s="207"/>
      <c r="Q661" s="207"/>
      <c r="R661" s="207"/>
      <c r="S661" s="207"/>
      <c r="T661" s="207"/>
      <c r="U661" s="207"/>
      <c r="V661" s="207"/>
      <c r="W661" s="207"/>
      <c r="X661" s="207"/>
      <c r="Y661" s="207"/>
      <c r="Z661" s="207"/>
      <c r="AA661" s="207"/>
      <c r="AB661" s="207"/>
      <c r="AC661" s="5"/>
      <c r="AD661" s="63"/>
      <c r="AE661" s="64"/>
      <c r="AF661" s="64"/>
      <c r="AG661" s="212"/>
      <c r="AH661" s="64"/>
      <c r="AI661" s="64"/>
      <c r="AJ661" s="64"/>
      <c r="AK661" s="212"/>
      <c r="AL661" s="64"/>
      <c r="AM661" s="64"/>
      <c r="AN661" s="64"/>
      <c r="AO661" s="64"/>
      <c r="AP661" s="63"/>
      <c r="AQ661" s="64"/>
      <c r="AR661" s="63"/>
      <c r="AS661" s="64"/>
      <c r="AT661" s="63"/>
      <c r="AU661" s="64"/>
      <c r="AV661" s="63"/>
      <c r="AW661" s="64"/>
      <c r="AX661" s="63"/>
      <c r="AY661" s="5"/>
      <c r="AZ661" s="21" t="str">
        <f t="shared" si="313"/>
        <v/>
      </c>
      <c r="BA661" s="264" t="s">
        <v>446</v>
      </c>
      <c r="BB661" s="264"/>
      <c r="BC661" s="264"/>
      <c r="BD661" s="264" t="s">
        <v>354</v>
      </c>
      <c r="BE661" s="216" t="s">
        <v>366</v>
      </c>
      <c r="BF661" s="56"/>
      <c r="BG661" s="56"/>
      <c r="BH661" s="56"/>
      <c r="BI661" s="56"/>
      <c r="BJ661" s="56"/>
      <c r="BK661" s="56"/>
      <c r="BL661" s="56"/>
      <c r="BM661" s="56"/>
      <c r="BN661" s="56"/>
      <c r="BO661" s="56"/>
      <c r="BP661" s="56"/>
      <c r="BQ661" s="5"/>
      <c r="BR661" s="25"/>
      <c r="BS661" s="5"/>
    </row>
    <row r="662" spans="1:71" s="3" customFormat="1" x14ac:dyDescent="0.25">
      <c r="A662" s="5"/>
      <c r="B662" s="3" t="str">
        <f t="array" ref="B662">IFERROR(INDEX(DemandSupply,MATCH(INDEX($AH$1:AH662,SMALL(ROW($AH$1:AH662)+(10000*($AH$1:AH662="")),COUNTA($AH$1:AH662))),Sectors,0)),"")</f>
        <v>Demand</v>
      </c>
      <c r="E662" s="10"/>
      <c r="F662" s="207"/>
      <c r="G662" s="207"/>
      <c r="H662" s="207"/>
      <c r="I662" s="207"/>
      <c r="J662" s="207"/>
      <c r="K662" s="207"/>
      <c r="L662" s="207"/>
      <c r="M662" s="207"/>
      <c r="N662" s="207"/>
      <c r="O662" s="207"/>
      <c r="P662" s="207"/>
      <c r="Q662" s="207"/>
      <c r="R662" s="207"/>
      <c r="S662" s="207"/>
      <c r="T662" s="207"/>
      <c r="U662" s="207"/>
      <c r="V662" s="207"/>
      <c r="W662" s="207"/>
      <c r="X662" s="207"/>
      <c r="Y662" s="207"/>
      <c r="Z662" s="207"/>
      <c r="AA662" s="207"/>
      <c r="AB662" s="207"/>
      <c r="AC662" s="5"/>
      <c r="AD662" s="63"/>
      <c r="AE662" s="64"/>
      <c r="AF662" s="64"/>
      <c r="AG662" s="212"/>
      <c r="AH662" s="64"/>
      <c r="AI662" s="64"/>
      <c r="AJ662" s="64"/>
      <c r="AK662" s="212"/>
      <c r="AL662" s="64"/>
      <c r="AM662" s="64"/>
      <c r="AN662" s="64"/>
      <c r="AO662" s="64"/>
      <c r="AP662" s="63"/>
      <c r="AQ662" s="64"/>
      <c r="AR662" s="63"/>
      <c r="AS662" s="64"/>
      <c r="AT662" s="63"/>
      <c r="AU662" s="64"/>
      <c r="AV662" s="63"/>
      <c r="AW662" s="64"/>
      <c r="AX662" s="63"/>
      <c r="AY662" s="5"/>
      <c r="AZ662" s="21" t="str">
        <f t="shared" si="313"/>
        <v/>
      </c>
      <c r="BA662" s="264" t="s">
        <v>447</v>
      </c>
      <c r="BB662" s="264"/>
      <c r="BC662" s="264"/>
      <c r="BD662" s="264"/>
      <c r="BE662" s="216" t="s">
        <v>366</v>
      </c>
      <c r="BF662" s="55"/>
      <c r="BG662" s="55"/>
      <c r="BH662" s="55"/>
      <c r="BI662" s="55"/>
      <c r="BJ662" s="55"/>
      <c r="BK662" s="55"/>
      <c r="BL662" s="55"/>
      <c r="BM662" s="55"/>
      <c r="BN662" s="55"/>
      <c r="BO662" s="55"/>
      <c r="BP662" s="55"/>
      <c r="BQ662" s="5"/>
      <c r="BR662" s="25"/>
      <c r="BS662" s="5"/>
    </row>
    <row r="663" spans="1:71" s="3" customFormat="1" x14ac:dyDescent="0.25">
      <c r="A663" s="5"/>
      <c r="B663" s="3" t="str">
        <f t="array" ref="B663">IFERROR(INDEX(DemandSupply,MATCH(INDEX($AH$1:AH663,SMALL(ROW($AH$1:AH663)+(10000*($AH$1:AH663="")),COUNTA($AH$1:AH663))),Sectors,0)),"")</f>
        <v>Demand</v>
      </c>
      <c r="E663" s="10"/>
      <c r="F663" s="207"/>
      <c r="G663" s="207"/>
      <c r="H663" s="207"/>
      <c r="I663" s="207"/>
      <c r="J663" s="207"/>
      <c r="K663" s="207"/>
      <c r="L663" s="207"/>
      <c r="M663" s="207"/>
      <c r="N663" s="207"/>
      <c r="O663" s="207"/>
      <c r="P663" s="207"/>
      <c r="Q663" s="207"/>
      <c r="R663" s="207"/>
      <c r="S663" s="207"/>
      <c r="T663" s="207"/>
      <c r="U663" s="207"/>
      <c r="V663" s="207"/>
      <c r="W663" s="207"/>
      <c r="X663" s="207"/>
      <c r="Y663" s="207"/>
      <c r="Z663" s="207"/>
      <c r="AA663" s="207"/>
      <c r="AB663" s="207"/>
      <c r="AC663" s="5"/>
      <c r="AD663" s="63"/>
      <c r="AE663" s="64"/>
      <c r="AF663" s="64"/>
      <c r="AG663" s="212"/>
      <c r="AH663" s="64"/>
      <c r="AI663" s="64"/>
      <c r="AJ663" s="64"/>
      <c r="AK663" s="212"/>
      <c r="AL663" s="64"/>
      <c r="AM663" s="64"/>
      <c r="AN663" s="64"/>
      <c r="AO663" s="64"/>
      <c r="AP663" s="63"/>
      <c r="AQ663" s="64"/>
      <c r="AR663" s="63"/>
      <c r="AS663" s="64"/>
      <c r="AT663" s="63"/>
      <c r="AU663" s="64"/>
      <c r="AV663" s="63"/>
      <c r="AW663" s="64"/>
      <c r="AX663" s="63"/>
      <c r="AY663" s="5"/>
      <c r="AZ663" s="21" t="str">
        <f t="shared" si="313"/>
        <v/>
      </c>
      <c r="BA663" s="264" t="s">
        <v>448</v>
      </c>
      <c r="BB663" s="264"/>
      <c r="BC663" s="264"/>
      <c r="BD663" s="264"/>
      <c r="BE663" s="216" t="s">
        <v>366</v>
      </c>
      <c r="BF663" s="55"/>
      <c r="BG663" s="55"/>
      <c r="BH663" s="55"/>
      <c r="BI663" s="55"/>
      <c r="BJ663" s="55"/>
      <c r="BK663" s="55"/>
      <c r="BL663" s="55"/>
      <c r="BM663" s="55"/>
      <c r="BN663" s="55"/>
      <c r="BO663" s="55"/>
      <c r="BP663" s="55"/>
      <c r="BQ663" s="5"/>
      <c r="BR663" s="25"/>
      <c r="BS663" s="5"/>
    </row>
    <row r="664" spans="1:71" s="3" customFormat="1" x14ac:dyDescent="0.25">
      <c r="A664" s="5"/>
      <c r="B664" s="3" t="str">
        <f t="array" ref="B664">IFERROR(INDEX(DemandSupply,MATCH(INDEX($AH$1:AH664,SMALL(ROW($AH$1:AH664)+(10000*($AH$1:AH664="")),COUNTA($AH$1:AH664))),Sectors,0)),"")</f>
        <v>Demand</v>
      </c>
      <c r="E664" s="10"/>
      <c r="F664" s="207"/>
      <c r="G664" s="207"/>
      <c r="H664" s="207"/>
      <c r="I664" s="207"/>
      <c r="J664" s="207"/>
      <c r="K664" s="207"/>
      <c r="L664" s="207"/>
      <c r="M664" s="207"/>
      <c r="N664" s="207"/>
      <c r="O664" s="207"/>
      <c r="P664" s="207"/>
      <c r="Q664" s="207"/>
      <c r="R664" s="207"/>
      <c r="S664" s="207"/>
      <c r="T664" s="207"/>
      <c r="U664" s="207"/>
      <c r="V664" s="207"/>
      <c r="W664" s="207"/>
      <c r="X664" s="207"/>
      <c r="Y664" s="207"/>
      <c r="Z664" s="207"/>
      <c r="AA664" s="207"/>
      <c r="AB664" s="207"/>
      <c r="AC664" s="5"/>
      <c r="AD664" s="63"/>
      <c r="AE664" s="64"/>
      <c r="AF664" s="64"/>
      <c r="AG664" s="212"/>
      <c r="AH664" s="64"/>
      <c r="AI664" s="64"/>
      <c r="AJ664" s="64"/>
      <c r="AK664" s="212"/>
      <c r="AL664" s="64"/>
      <c r="AM664" s="64"/>
      <c r="AN664" s="64"/>
      <c r="AO664" s="64"/>
      <c r="AP664" s="63"/>
      <c r="AQ664" s="64"/>
      <c r="AR664" s="63"/>
      <c r="AS664" s="64"/>
      <c r="AT664" s="63"/>
      <c r="AU664" s="64"/>
      <c r="AV664" s="63"/>
      <c r="AW664" s="64"/>
      <c r="AX664" s="63"/>
      <c r="AY664" s="5"/>
      <c r="AZ664" s="21" t="str">
        <f t="shared" si="313"/>
        <v/>
      </c>
      <c r="BA664" s="264" t="s">
        <v>445</v>
      </c>
      <c r="BB664" s="264"/>
      <c r="BC664" s="264"/>
      <c r="BD664" s="264" t="s">
        <v>355</v>
      </c>
      <c r="BE664" s="216" t="s">
        <v>366</v>
      </c>
      <c r="BF664" s="56"/>
      <c r="BG664" s="56"/>
      <c r="BH664" s="56"/>
      <c r="BI664" s="56"/>
      <c r="BJ664" s="56"/>
      <c r="BK664" s="56"/>
      <c r="BL664" s="56"/>
      <c r="BM664" s="56"/>
      <c r="BN664" s="56"/>
      <c r="BO664" s="56"/>
      <c r="BP664" s="56"/>
      <c r="BQ664" s="5"/>
      <c r="BR664" s="25"/>
      <c r="BS664" s="5"/>
    </row>
    <row r="665" spans="1:71" s="3" customFormat="1" x14ac:dyDescent="0.25">
      <c r="A665" s="5"/>
      <c r="B665" s="3" t="str">
        <f t="array" ref="B665">IFERROR(INDEX(DemandSupply,MATCH(INDEX($AH$1:AH665,SMALL(ROW($AH$1:AH665)+(10000*($AH$1:AH665="")),COUNTA($AH$1:AH665))),Sectors,0)),"")</f>
        <v>Demand</v>
      </c>
      <c r="E665" s="10"/>
      <c r="F665" s="207"/>
      <c r="G665" s="207"/>
      <c r="H665" s="207"/>
      <c r="I665" s="207"/>
      <c r="J665" s="207"/>
      <c r="K665" s="207"/>
      <c r="L665" s="207"/>
      <c r="M665" s="207"/>
      <c r="N665" s="207"/>
      <c r="O665" s="207"/>
      <c r="P665" s="207"/>
      <c r="Q665" s="207"/>
      <c r="R665" s="207"/>
      <c r="S665" s="207"/>
      <c r="T665" s="207"/>
      <c r="U665" s="207"/>
      <c r="V665" s="207"/>
      <c r="W665" s="207"/>
      <c r="X665" s="207"/>
      <c r="Y665" s="207"/>
      <c r="Z665" s="207"/>
      <c r="AA665" s="207"/>
      <c r="AB665" s="207"/>
      <c r="AC665" s="5"/>
      <c r="AD665" s="63"/>
      <c r="AE665" s="64"/>
      <c r="AF665" s="64"/>
      <c r="AG665" s="212"/>
      <c r="AH665" s="64"/>
      <c r="AI665" s="64"/>
      <c r="AJ665" s="64"/>
      <c r="AK665" s="212"/>
      <c r="AL665" s="64"/>
      <c r="AM665" s="64"/>
      <c r="AN665" s="64"/>
      <c r="AO665" s="64"/>
      <c r="AP665" s="63"/>
      <c r="AQ665" s="64"/>
      <c r="AR665" s="63"/>
      <c r="AS665" s="64"/>
      <c r="AT665" s="63"/>
      <c r="AU665" s="64"/>
      <c r="AV665" s="63"/>
      <c r="AW665" s="64"/>
      <c r="AX665" s="63"/>
      <c r="AY665" s="5"/>
      <c r="AZ665" s="21" t="str">
        <f t="shared" si="313"/>
        <v/>
      </c>
      <c r="BA665" s="264" t="s">
        <v>449</v>
      </c>
      <c r="BB665" s="264"/>
      <c r="BC665" s="264"/>
      <c r="BD665" s="264" t="s">
        <v>355</v>
      </c>
      <c r="BE665" s="216" t="s">
        <v>366</v>
      </c>
      <c r="BF665" s="56"/>
      <c r="BG665" s="56"/>
      <c r="BH665" s="56"/>
      <c r="BI665" s="56"/>
      <c r="BJ665" s="56"/>
      <c r="BK665" s="56"/>
      <c r="BL665" s="56"/>
      <c r="BM665" s="56"/>
      <c r="BN665" s="56"/>
      <c r="BO665" s="56"/>
      <c r="BP665" s="56"/>
      <c r="BQ665" s="5"/>
      <c r="BR665" s="25"/>
      <c r="BS665" s="5"/>
    </row>
    <row r="666" spans="1:71" s="3" customFormat="1" x14ac:dyDescent="0.25">
      <c r="A666" s="5"/>
      <c r="B666" s="3" t="str">
        <f t="array" ref="B666">IFERROR(INDEX(DemandSupply,MATCH(INDEX($AH$1:AH666,SMALL(ROW($AH$1:AH666)+(10000*($AH$1:AH666="")),COUNTA($AH$1:AH666))),Sectors,0)),"")</f>
        <v>Demand</v>
      </c>
      <c r="E666" s="10"/>
      <c r="F666" s="207"/>
      <c r="G666" s="207"/>
      <c r="H666" s="207"/>
      <c r="I666" s="207"/>
      <c r="J666" s="207"/>
      <c r="K666" s="207"/>
      <c r="L666" s="207"/>
      <c r="M666" s="207"/>
      <c r="N666" s="207"/>
      <c r="O666" s="207"/>
      <c r="P666" s="207"/>
      <c r="Q666" s="207"/>
      <c r="R666" s="207"/>
      <c r="S666" s="207"/>
      <c r="T666" s="207"/>
      <c r="U666" s="207"/>
      <c r="V666" s="207"/>
      <c r="W666" s="207"/>
      <c r="X666" s="207"/>
      <c r="Y666" s="207"/>
      <c r="Z666" s="207"/>
      <c r="AA666" s="207"/>
      <c r="AB666" s="207"/>
      <c r="AC666" s="5"/>
      <c r="AD666" s="63"/>
      <c r="AE666" s="64"/>
      <c r="AF666" s="64"/>
      <c r="AG666" s="212"/>
      <c r="AH666" s="64"/>
      <c r="AI666" s="64"/>
      <c r="AJ666" s="64"/>
      <c r="AK666" s="212"/>
      <c r="AL666" s="64"/>
      <c r="AM666" s="64"/>
      <c r="AN666" s="64"/>
      <c r="AO666" s="64"/>
      <c r="AP666" s="63"/>
      <c r="AQ666" s="64"/>
      <c r="AR666" s="63"/>
      <c r="AS666" s="64"/>
      <c r="AT666" s="63"/>
      <c r="AU666" s="64"/>
      <c r="AV666" s="63"/>
      <c r="AW666" s="64"/>
      <c r="AX666" s="63"/>
      <c r="AY666" s="5"/>
      <c r="AZ666" s="21" t="str">
        <f t="shared" si="313"/>
        <v/>
      </c>
      <c r="BA666" s="264" t="s">
        <v>450</v>
      </c>
      <c r="BB666" s="264"/>
      <c r="BC666" s="264"/>
      <c r="BD666" s="264"/>
      <c r="BE666" s="216" t="s">
        <v>366</v>
      </c>
      <c r="BF666" s="55"/>
      <c r="BG666" s="55"/>
      <c r="BH666" s="55"/>
      <c r="BI666" s="55"/>
      <c r="BJ666" s="55"/>
      <c r="BK666" s="55"/>
      <c r="BL666" s="55"/>
      <c r="BM666" s="55"/>
      <c r="BN666" s="55"/>
      <c r="BO666" s="55"/>
      <c r="BP666" s="55"/>
      <c r="BQ666" s="5"/>
      <c r="BR666" s="25"/>
      <c r="BS666" s="5"/>
    </row>
    <row r="667" spans="1:71" s="3" customFormat="1" x14ac:dyDescent="0.25">
      <c r="A667" s="5"/>
      <c r="B667" s="3" t="str">
        <f t="array" ref="B667">IFERROR(INDEX(DemandSupply,MATCH(INDEX($AH$1:AH667,SMALL(ROW($AH$1:AH667)+(10000*($AH$1:AH667="")),COUNTA($AH$1:AH667))),Sectors,0)),"")</f>
        <v>Demand</v>
      </c>
      <c r="E667" s="10"/>
      <c r="F667" s="207"/>
      <c r="G667" s="207"/>
      <c r="H667" s="207"/>
      <c r="I667" s="207"/>
      <c r="J667" s="207"/>
      <c r="K667" s="207"/>
      <c r="L667" s="207"/>
      <c r="M667" s="207"/>
      <c r="N667" s="207"/>
      <c r="O667" s="207"/>
      <c r="P667" s="207"/>
      <c r="Q667" s="207"/>
      <c r="R667" s="207"/>
      <c r="S667" s="207"/>
      <c r="T667" s="207"/>
      <c r="U667" s="207"/>
      <c r="V667" s="207"/>
      <c r="W667" s="207"/>
      <c r="X667" s="207"/>
      <c r="Y667" s="207"/>
      <c r="Z667" s="207"/>
      <c r="AA667" s="207"/>
      <c r="AB667" s="207"/>
      <c r="AC667" s="5"/>
      <c r="AD667" s="63"/>
      <c r="AE667" s="64"/>
      <c r="AF667" s="64"/>
      <c r="AG667" s="212"/>
      <c r="AH667" s="64"/>
      <c r="AI667" s="64"/>
      <c r="AJ667" s="64"/>
      <c r="AK667" s="212"/>
      <c r="AL667" s="64"/>
      <c r="AM667" s="64"/>
      <c r="AN667" s="64"/>
      <c r="AO667" s="64"/>
      <c r="AP667" s="63"/>
      <c r="AQ667" s="64"/>
      <c r="AR667" s="63"/>
      <c r="AS667" s="64"/>
      <c r="AT667" s="63"/>
      <c r="AU667" s="64"/>
      <c r="AV667" s="63"/>
      <c r="AW667" s="64"/>
      <c r="AX667" s="63"/>
      <c r="AY667" s="5"/>
      <c r="AZ667" s="21" t="str">
        <f t="shared" si="313"/>
        <v/>
      </c>
      <c r="BA667" s="264" t="s">
        <v>451</v>
      </c>
      <c r="BB667" s="264"/>
      <c r="BC667" s="264"/>
      <c r="BD667" s="264"/>
      <c r="BE667" s="216" t="s">
        <v>366</v>
      </c>
      <c r="BF667" s="55"/>
      <c r="BG667" s="55"/>
      <c r="BH667" s="55"/>
      <c r="BI667" s="55"/>
      <c r="BJ667" s="55"/>
      <c r="BK667" s="55"/>
      <c r="BL667" s="55"/>
      <c r="BM667" s="55"/>
      <c r="BN667" s="55"/>
      <c r="BO667" s="55"/>
      <c r="BP667" s="55"/>
      <c r="BQ667" s="5"/>
      <c r="BR667" s="25"/>
      <c r="BS667" s="5"/>
    </row>
    <row r="668" spans="1:71" s="3" customFormat="1" x14ac:dyDescent="0.25">
      <c r="A668" s="5"/>
      <c r="B668" s="3" t="str">
        <f t="array" ref="B668">IFERROR(INDEX(DemandSupply,MATCH(INDEX($AH$1:AH668,SMALL(ROW($AH$1:AH668)+(10000*($AH$1:AH668="")),COUNTA($AH$1:AH668))),Sectors,0)),"")</f>
        <v>Demand</v>
      </c>
      <c r="E668" s="10"/>
      <c r="F668" s="207"/>
      <c r="G668" s="207"/>
      <c r="H668" s="207"/>
      <c r="I668" s="207"/>
      <c r="J668" s="207"/>
      <c r="K668" s="207"/>
      <c r="L668" s="207"/>
      <c r="M668" s="207"/>
      <c r="N668" s="207"/>
      <c r="O668" s="207"/>
      <c r="P668" s="207"/>
      <c r="Q668" s="207"/>
      <c r="R668" s="207"/>
      <c r="S668" s="207"/>
      <c r="T668" s="207"/>
      <c r="U668" s="207"/>
      <c r="V668" s="207"/>
      <c r="W668" s="207"/>
      <c r="X668" s="207"/>
      <c r="Y668" s="207"/>
      <c r="Z668" s="207"/>
      <c r="AA668" s="207"/>
      <c r="AB668" s="207"/>
      <c r="AC668" s="5"/>
      <c r="AD668" s="63"/>
      <c r="AE668" s="64"/>
      <c r="AF668" s="64"/>
      <c r="AG668" s="212"/>
      <c r="AH668" s="64"/>
      <c r="AI668" s="64"/>
      <c r="AJ668" s="64"/>
      <c r="AK668" s="212"/>
      <c r="AL668" s="64"/>
      <c r="AM668" s="64"/>
      <c r="AN668" s="64"/>
      <c r="AO668" s="64"/>
      <c r="AP668" s="63"/>
      <c r="AQ668" s="64"/>
      <c r="AR668" s="63"/>
      <c r="AS668" s="64"/>
      <c r="AT668" s="63"/>
      <c r="AU668" s="64"/>
      <c r="AV668" s="63"/>
      <c r="AW668" s="64"/>
      <c r="AX668" s="63"/>
      <c r="AY668" s="5"/>
      <c r="AZ668" s="21" t="str">
        <f t="shared" si="313"/>
        <v/>
      </c>
      <c r="BA668" s="264" t="s">
        <v>342</v>
      </c>
      <c r="BB668" s="264"/>
      <c r="BC668" s="264"/>
      <c r="BD668" s="264" t="s">
        <v>355</v>
      </c>
      <c r="BE668" s="216" t="s">
        <v>366</v>
      </c>
      <c r="BF668" s="56">
        <v>12.217000000000001</v>
      </c>
      <c r="BG668" s="282">
        <f t="shared" ref="BG668" si="389">BF668</f>
        <v>12.217000000000001</v>
      </c>
      <c r="BH668" s="282">
        <f t="shared" ref="BH668" si="390">BG668</f>
        <v>12.217000000000001</v>
      </c>
      <c r="BI668" s="282">
        <f t="shared" ref="BI668" si="391">BH668</f>
        <v>12.217000000000001</v>
      </c>
      <c r="BJ668" s="282">
        <f t="shared" ref="BJ668" si="392">BI668</f>
        <v>12.217000000000001</v>
      </c>
      <c r="BK668" s="282">
        <f t="shared" ref="BK668" si="393">BJ668</f>
        <v>12.217000000000001</v>
      </c>
      <c r="BL668" s="282">
        <f t="shared" ref="BL668" si="394">BK668</f>
        <v>12.217000000000001</v>
      </c>
      <c r="BM668" s="282">
        <f t="shared" ref="BM668" si="395">BL668</f>
        <v>12.217000000000001</v>
      </c>
      <c r="BN668" s="282">
        <f t="shared" ref="BN668" si="396">BM668</f>
        <v>12.217000000000001</v>
      </c>
      <c r="BO668" s="282">
        <f t="shared" ref="BO668" si="397">BN668</f>
        <v>12.217000000000001</v>
      </c>
      <c r="BP668" s="282">
        <f t="shared" ref="BP668" si="398">BO668</f>
        <v>12.217000000000001</v>
      </c>
      <c r="BQ668" s="5"/>
      <c r="BR668" s="25"/>
      <c r="BS668" s="5"/>
    </row>
    <row r="669" spans="1:71" s="3" customFormat="1" x14ac:dyDescent="0.25">
      <c r="A669" s="5"/>
      <c r="B669" s="3" t="str">
        <f t="array" ref="B669">IFERROR(INDEX(DemandSupply,MATCH(INDEX($AH$1:AH669,SMALL(ROW($AH$1:AH669)+(10000*($AH$1:AH669="")),COUNTA($AH$1:AH669))),Sectors,0)),"")</f>
        <v>Demand</v>
      </c>
      <c r="E669" s="10"/>
      <c r="F669" s="207"/>
      <c r="G669" s="207"/>
      <c r="H669" s="207"/>
      <c r="I669" s="207"/>
      <c r="J669" s="207"/>
      <c r="K669" s="207"/>
      <c r="L669" s="207"/>
      <c r="M669" s="207"/>
      <c r="N669" s="207"/>
      <c r="O669" s="207"/>
      <c r="P669" s="207"/>
      <c r="Q669" s="207"/>
      <c r="R669" s="207"/>
      <c r="S669" s="207"/>
      <c r="T669" s="207"/>
      <c r="U669" s="207"/>
      <c r="V669" s="207"/>
      <c r="W669" s="207"/>
      <c r="X669" s="207"/>
      <c r="Y669" s="207"/>
      <c r="Z669" s="207"/>
      <c r="AA669" s="207"/>
      <c r="AB669" s="207"/>
      <c r="AC669" s="5"/>
      <c r="AD669" s="63"/>
      <c r="AE669" s="64"/>
      <c r="AF669" s="64"/>
      <c r="AG669" s="212"/>
      <c r="AH669" s="64"/>
      <c r="AI669" s="64"/>
      <c r="AJ669" s="64"/>
      <c r="AK669" s="212"/>
      <c r="AL669" s="64"/>
      <c r="AM669" s="64"/>
      <c r="AN669" s="64"/>
      <c r="AO669" s="64"/>
      <c r="AP669" s="63"/>
      <c r="AQ669" s="64"/>
      <c r="AR669" s="63"/>
      <c r="AS669" s="64"/>
      <c r="AT669" s="63"/>
      <c r="AU669" s="64"/>
      <c r="AV669" s="63"/>
      <c r="AW669" s="64"/>
      <c r="AX669" s="63"/>
      <c r="AY669" s="5"/>
      <c r="AZ669" s="21" t="str">
        <f t="shared" ref="AZ669:AZ732" si="399">IFERROR(INDEX($AD669:$AX669,MATCH(TRUE,INDEX(($AD669:$AX669&lt;&gt;0),0),0)),"")</f>
        <v/>
      </c>
      <c r="BA669" s="264" t="s">
        <v>394</v>
      </c>
      <c r="BB669" s="264"/>
      <c r="BC669" s="264"/>
      <c r="BD669" s="264" t="s">
        <v>354</v>
      </c>
      <c r="BE669" s="216" t="s">
        <v>366</v>
      </c>
      <c r="BF669" s="56"/>
      <c r="BG669" s="56"/>
      <c r="BH669" s="56"/>
      <c r="BI669" s="56"/>
      <c r="BJ669" s="56"/>
      <c r="BK669" s="56"/>
      <c r="BL669" s="56"/>
      <c r="BM669" s="56"/>
      <c r="BN669" s="56"/>
      <c r="BO669" s="56"/>
      <c r="BP669" s="56"/>
      <c r="BQ669" s="5"/>
      <c r="BR669" s="25"/>
      <c r="BS669" s="5"/>
    </row>
    <row r="670" spans="1:71" s="3" customFormat="1" x14ac:dyDescent="0.25">
      <c r="A670" s="5"/>
      <c r="B670" s="3" t="str">
        <f t="array" ref="B670">IFERROR(INDEX(DemandSupply,MATCH(INDEX($AH$1:AH670,SMALL(ROW($AH$1:AH670)+(10000*($AH$1:AH670="")),COUNTA($AH$1:AH670))),Sectors,0)),"")</f>
        <v>Demand</v>
      </c>
      <c r="E670" s="10">
        <f t="shared" si="356"/>
        <v>0</v>
      </c>
      <c r="F670" s="207">
        <v>1</v>
      </c>
      <c r="G670" s="207">
        <v>1</v>
      </c>
      <c r="H670" s="207">
        <v>1</v>
      </c>
      <c r="I670" s="207">
        <v>1</v>
      </c>
      <c r="J670" s="207">
        <v>1</v>
      </c>
      <c r="K670" s="207">
        <v>1</v>
      </c>
      <c r="L670" s="207">
        <v>1</v>
      </c>
      <c r="M670" s="207">
        <v>1</v>
      </c>
      <c r="N670" s="207">
        <v>1</v>
      </c>
      <c r="O670" s="207">
        <v>1</v>
      </c>
      <c r="P670" s="207">
        <v>1</v>
      </c>
      <c r="Q670" s="207">
        <v>1</v>
      </c>
      <c r="R670" s="207">
        <v>1</v>
      </c>
      <c r="S670" s="207">
        <v>1</v>
      </c>
      <c r="T670" s="207">
        <v>1</v>
      </c>
      <c r="U670" s="207">
        <v>1</v>
      </c>
      <c r="V670" s="207">
        <v>1</v>
      </c>
      <c r="W670" s="207">
        <v>1</v>
      </c>
      <c r="X670" s="207">
        <v>1</v>
      </c>
      <c r="Y670" s="207">
        <v>1</v>
      </c>
      <c r="Z670" s="207">
        <v>1</v>
      </c>
      <c r="AA670" s="207">
        <v>1</v>
      </c>
      <c r="AB670" s="207">
        <v>1</v>
      </c>
      <c r="AC670" s="5"/>
      <c r="AD670" s="63"/>
      <c r="AE670" s="64"/>
      <c r="AF670" s="64"/>
      <c r="AG670" s="212"/>
      <c r="AH670" s="64"/>
      <c r="AI670" s="64"/>
      <c r="AJ670" s="65"/>
      <c r="AK670" s="212"/>
      <c r="AL670" s="64"/>
      <c r="AM670" s="64"/>
      <c r="AN670" s="64"/>
      <c r="AO670" s="64"/>
      <c r="AP670" s="64"/>
      <c r="AQ670" s="64"/>
      <c r="AR670" s="63"/>
      <c r="AS670" s="64"/>
      <c r="AT670" s="63"/>
      <c r="AU670" s="64"/>
      <c r="AV670" s="63"/>
      <c r="AW670" s="64"/>
      <c r="AX670" s="63"/>
      <c r="AY670" s="5"/>
      <c r="AZ670" s="21" t="str">
        <f t="shared" si="399"/>
        <v/>
      </c>
      <c r="BA670" s="74" t="s">
        <v>338</v>
      </c>
      <c r="BB670" s="25"/>
      <c r="BC670" s="2" t="s">
        <v>123</v>
      </c>
      <c r="BD670" s="74" t="s">
        <v>367</v>
      </c>
      <c r="BE670" s="216" t="s">
        <v>366</v>
      </c>
      <c r="BF670" s="55">
        <v>0.22700000000000001</v>
      </c>
      <c r="BG670" s="55">
        <v>0.22700000000000001</v>
      </c>
      <c r="BH670" s="55">
        <v>0.22700000000000001</v>
      </c>
      <c r="BI670" s="55">
        <v>0.22700000000000001</v>
      </c>
      <c r="BJ670" s="55">
        <v>0.22700000000000001</v>
      </c>
      <c r="BK670" s="55">
        <v>0.22700000000000001</v>
      </c>
      <c r="BL670" s="55">
        <v>0.22700000000000001</v>
      </c>
      <c r="BM670" s="55">
        <v>0.22700000000000001</v>
      </c>
      <c r="BN670" s="55">
        <v>0.22700000000000001</v>
      </c>
      <c r="BO670" s="55">
        <v>0.22700000000000001</v>
      </c>
      <c r="BP670" s="55">
        <v>0.22700000000000001</v>
      </c>
      <c r="BQ670" s="5"/>
      <c r="BR670" s="25"/>
      <c r="BS670" s="5"/>
    </row>
    <row r="671" spans="1:71" s="3" customFormat="1" x14ac:dyDescent="0.25">
      <c r="A671" s="5"/>
      <c r="B671" s="3" t="str">
        <f t="array" ref="B671">IFERROR(INDEX(DemandSupply,MATCH(INDEX($AH$1:AH671,SMALL(ROW($AH$1:AH671)+(10000*($AH$1:AH671="")),COUNTA($AH$1:AH671))),Sectors,0)),"")</f>
        <v>Demand</v>
      </c>
      <c r="E671" s="10">
        <f t="shared" si="356"/>
        <v>1</v>
      </c>
      <c r="F671" s="207">
        <v>1</v>
      </c>
      <c r="G671" s="207">
        <v>1</v>
      </c>
      <c r="H671" s="207">
        <v>1</v>
      </c>
      <c r="I671" s="207">
        <v>1</v>
      </c>
      <c r="J671" s="207">
        <v>1</v>
      </c>
      <c r="K671" s="207">
        <v>1</v>
      </c>
      <c r="L671" s="207">
        <v>1</v>
      </c>
      <c r="M671" s="207">
        <v>1</v>
      </c>
      <c r="N671" s="207">
        <v>1</v>
      </c>
      <c r="O671" s="207">
        <v>1</v>
      </c>
      <c r="P671" s="207">
        <v>1</v>
      </c>
      <c r="Q671" s="207">
        <v>1</v>
      </c>
      <c r="R671" s="207">
        <v>1</v>
      </c>
      <c r="S671" s="207">
        <v>1</v>
      </c>
      <c r="T671" s="207">
        <v>1</v>
      </c>
      <c r="U671" s="207">
        <v>1</v>
      </c>
      <c r="V671" s="207">
        <v>1</v>
      </c>
      <c r="W671" s="207">
        <v>1</v>
      </c>
      <c r="X671" s="207">
        <v>1</v>
      </c>
      <c r="Y671" s="207">
        <v>1</v>
      </c>
      <c r="Z671" s="207">
        <v>1</v>
      </c>
      <c r="AA671" s="207">
        <v>1</v>
      </c>
      <c r="AB671" s="207">
        <v>1</v>
      </c>
      <c r="AC671" s="5"/>
      <c r="AD671" s="63"/>
      <c r="AE671" s="64"/>
      <c r="AF671" s="64"/>
      <c r="AG671" s="212"/>
      <c r="AH671" s="64"/>
      <c r="AI671" s="64"/>
      <c r="AJ671" s="65"/>
      <c r="AK671" s="212"/>
      <c r="AL671" s="63"/>
      <c r="AM671" s="64"/>
      <c r="AN671" s="64"/>
      <c r="AO671" s="64"/>
      <c r="AP671" s="64"/>
      <c r="AQ671" s="64"/>
      <c r="AR671" s="63"/>
      <c r="AS671" s="64"/>
      <c r="AT671" s="63"/>
      <c r="AU671" s="64"/>
      <c r="AV671" s="63"/>
      <c r="AW671" s="64"/>
      <c r="AX671" s="63"/>
      <c r="AY671" s="5"/>
      <c r="AZ671" s="21" t="str">
        <f t="shared" si="399"/>
        <v/>
      </c>
      <c r="BA671" s="4"/>
      <c r="BB671" s="13"/>
      <c r="BC671" s="4"/>
      <c r="BD671" s="4"/>
      <c r="BE671" s="9"/>
      <c r="BF671" s="4"/>
      <c r="BG671" s="4"/>
      <c r="BH671" s="4"/>
      <c r="BI671" s="4"/>
      <c r="BJ671" s="4"/>
      <c r="BK671" s="4"/>
      <c r="BL671" s="4"/>
      <c r="BM671" s="4"/>
      <c r="BN671" s="4"/>
      <c r="BO671" s="4"/>
      <c r="BP671" s="4"/>
      <c r="BQ671" s="5"/>
      <c r="BR671" s="13"/>
      <c r="BS671" s="5"/>
    </row>
    <row r="672" spans="1:71" s="3" customFormat="1" x14ac:dyDescent="0.25">
      <c r="A672" s="5"/>
      <c r="B672" s="3" t="str">
        <f t="array" ref="B672">IFERROR(INDEX(DemandSupply,MATCH(INDEX($AH$1:AH672,SMALL(ROW($AH$1:AH672)+(10000*($AH$1:AH672="")),COUNTA($AH$1:AH672))),Sectors,0)),"")</f>
        <v>Demand</v>
      </c>
      <c r="E672" s="10">
        <f t="shared" si="356"/>
        <v>1</v>
      </c>
      <c r="F672" s="207">
        <v>1</v>
      </c>
      <c r="G672" s="207">
        <v>1</v>
      </c>
      <c r="H672" s="207">
        <v>1</v>
      </c>
      <c r="I672" s="207">
        <v>1</v>
      </c>
      <c r="J672" s="207">
        <v>1</v>
      </c>
      <c r="K672" s="207">
        <v>1</v>
      </c>
      <c r="L672" s="207">
        <v>1</v>
      </c>
      <c r="M672" s="207">
        <v>1</v>
      </c>
      <c r="N672" s="207">
        <v>1</v>
      </c>
      <c r="O672" s="207">
        <v>1</v>
      </c>
      <c r="P672" s="207">
        <v>1</v>
      </c>
      <c r="Q672" s="207">
        <v>1</v>
      </c>
      <c r="R672" s="207">
        <v>1</v>
      </c>
      <c r="S672" s="207">
        <v>1</v>
      </c>
      <c r="T672" s="207">
        <v>1</v>
      </c>
      <c r="U672" s="207">
        <v>1</v>
      </c>
      <c r="V672" s="207">
        <v>1</v>
      </c>
      <c r="W672" s="207">
        <v>1</v>
      </c>
      <c r="X672" s="207">
        <v>1</v>
      </c>
      <c r="Y672" s="207">
        <v>1</v>
      </c>
      <c r="Z672" s="207">
        <v>1</v>
      </c>
      <c r="AA672" s="207">
        <v>1</v>
      </c>
      <c r="AB672" s="207">
        <v>1</v>
      </c>
      <c r="AC672" s="5"/>
      <c r="AD672" s="63"/>
      <c r="AE672" s="64"/>
      <c r="AF672" s="64"/>
      <c r="AG672" s="212"/>
      <c r="AH672" s="64"/>
      <c r="AI672" s="64"/>
      <c r="AJ672" s="64"/>
      <c r="AK672" s="212"/>
      <c r="AL672" s="211" t="s">
        <v>115</v>
      </c>
      <c r="AM672" s="64"/>
      <c r="AN672" s="64"/>
      <c r="AO672" s="64"/>
      <c r="AP672" s="63"/>
      <c r="AQ672" s="64"/>
      <c r="AR672" s="63"/>
      <c r="AS672" s="64"/>
      <c r="AT672" s="63"/>
      <c r="AU672" s="64"/>
      <c r="AV672" s="63"/>
      <c r="AW672" s="64"/>
      <c r="AX672" s="63"/>
      <c r="AY672" s="5"/>
      <c r="AZ672" s="208" t="str">
        <f t="shared" si="399"/>
        <v>Dishwashing</v>
      </c>
      <c r="BA672" s="4"/>
      <c r="BB672" s="13"/>
      <c r="BC672" s="4"/>
      <c r="BD672" s="4"/>
      <c r="BE672" s="9"/>
      <c r="BF672" s="4"/>
      <c r="BG672" s="4"/>
      <c r="BH672" s="4"/>
      <c r="BI672" s="4"/>
      <c r="BJ672" s="4"/>
      <c r="BK672" s="4"/>
      <c r="BL672" s="4"/>
      <c r="BM672" s="4"/>
      <c r="BN672" s="4"/>
      <c r="BO672" s="4"/>
      <c r="BP672" s="4"/>
      <c r="BQ672" s="5"/>
      <c r="BR672" s="13"/>
      <c r="BS672" s="5"/>
    </row>
    <row r="673" spans="1:71" s="3" customFormat="1" x14ac:dyDescent="0.25">
      <c r="A673" s="5"/>
      <c r="B673" s="3" t="str">
        <f t="array" ref="B673">IFERROR(INDEX(DemandSupply,MATCH(INDEX($AH$1:AH673,SMALL(ROW($AH$1:AH673)+(10000*($AH$1:AH673="")),COUNTA($AH$1:AH673))),Sectors,0)),"")</f>
        <v>Demand</v>
      </c>
      <c r="E673" s="10">
        <f t="shared" si="356"/>
        <v>0</v>
      </c>
      <c r="F673" s="207">
        <v>1</v>
      </c>
      <c r="G673" s="207">
        <v>1</v>
      </c>
      <c r="H673" s="207">
        <v>1</v>
      </c>
      <c r="I673" s="207">
        <v>1</v>
      </c>
      <c r="J673" s="207">
        <v>1</v>
      </c>
      <c r="K673" s="207">
        <v>1</v>
      </c>
      <c r="L673" s="207">
        <v>1</v>
      </c>
      <c r="M673" s="207">
        <v>1</v>
      </c>
      <c r="N673" s="207">
        <v>1</v>
      </c>
      <c r="O673" s="207">
        <v>1</v>
      </c>
      <c r="P673" s="207">
        <v>1</v>
      </c>
      <c r="Q673" s="207">
        <v>1</v>
      </c>
      <c r="R673" s="207">
        <v>1</v>
      </c>
      <c r="S673" s="207">
        <v>1</v>
      </c>
      <c r="T673" s="207">
        <v>1</v>
      </c>
      <c r="U673" s="207">
        <v>1</v>
      </c>
      <c r="V673" s="207">
        <v>1</v>
      </c>
      <c r="W673" s="207">
        <v>1</v>
      </c>
      <c r="X673" s="207">
        <v>1</v>
      </c>
      <c r="Y673" s="207">
        <v>1</v>
      </c>
      <c r="Z673" s="207">
        <v>1</v>
      </c>
      <c r="AA673" s="207">
        <v>1</v>
      </c>
      <c r="AB673" s="207">
        <v>1</v>
      </c>
      <c r="AC673" s="5"/>
      <c r="AD673" s="63"/>
      <c r="AE673" s="64"/>
      <c r="AF673" s="64"/>
      <c r="AG673" s="212"/>
      <c r="AH673" s="64"/>
      <c r="AI673" s="64"/>
      <c r="AJ673" s="64"/>
      <c r="AK673" s="212"/>
      <c r="AL673" s="80"/>
      <c r="AM673" s="64"/>
      <c r="AN673" s="64"/>
      <c r="AO673" s="64"/>
      <c r="AP673" s="63"/>
      <c r="AQ673" s="64"/>
      <c r="AR673" s="63"/>
      <c r="AS673" s="64"/>
      <c r="AT673" s="63"/>
      <c r="AU673" s="64"/>
      <c r="AV673" s="63"/>
      <c r="AW673" s="64"/>
      <c r="AX673" s="63"/>
      <c r="AY673" s="5"/>
      <c r="AZ673" s="21" t="str">
        <f t="shared" si="399"/>
        <v/>
      </c>
      <c r="BA673" s="74" t="s">
        <v>337</v>
      </c>
      <c r="BB673" s="13"/>
      <c r="BC673" s="74" t="s">
        <v>138</v>
      </c>
      <c r="BD673" s="74" t="s">
        <v>353</v>
      </c>
      <c r="BE673" s="216" t="str">
        <f>AZ672</f>
        <v>Dishwashing</v>
      </c>
      <c r="BF673" s="56"/>
      <c r="BG673" s="56"/>
      <c r="BH673" s="56"/>
      <c r="BI673" s="56"/>
      <c r="BJ673" s="56"/>
      <c r="BK673" s="56"/>
      <c r="BL673" s="56"/>
      <c r="BM673" s="56"/>
      <c r="BN673" s="56"/>
      <c r="BO673" s="56"/>
      <c r="BP673" s="56"/>
      <c r="BQ673" s="5"/>
      <c r="BR673" s="13"/>
      <c r="BS673" s="5"/>
    </row>
    <row r="674" spans="1:71" s="3" customFormat="1" x14ac:dyDescent="0.25">
      <c r="A674" s="5"/>
      <c r="B674" s="3" t="str">
        <f t="array" ref="B674">IFERROR(INDEX(DemandSupply,MATCH(INDEX($AH$1:AH674,SMALL(ROW($AH$1:AH674)+(10000*($AH$1:AH674="")),COUNTA($AH$1:AH674))),Sectors,0)),"")</f>
        <v>Demand</v>
      </c>
      <c r="E674" s="10">
        <f t="shared" si="356"/>
        <v>0</v>
      </c>
      <c r="F674" s="207">
        <v>1</v>
      </c>
      <c r="G674" s="207">
        <v>1</v>
      </c>
      <c r="H674" s="207">
        <v>1</v>
      </c>
      <c r="I674" s="207">
        <v>1</v>
      </c>
      <c r="J674" s="207">
        <v>1</v>
      </c>
      <c r="K674" s="207">
        <v>1</v>
      </c>
      <c r="L674" s="207">
        <v>1</v>
      </c>
      <c r="M674" s="207">
        <v>1</v>
      </c>
      <c r="N674" s="207">
        <v>1</v>
      </c>
      <c r="O674" s="207">
        <v>1</v>
      </c>
      <c r="P674" s="207">
        <v>1</v>
      </c>
      <c r="Q674" s="207">
        <v>1</v>
      </c>
      <c r="R674" s="207">
        <v>1</v>
      </c>
      <c r="S674" s="207">
        <v>1</v>
      </c>
      <c r="T674" s="207">
        <v>1</v>
      </c>
      <c r="U674" s="207">
        <v>1</v>
      </c>
      <c r="V674" s="207">
        <v>1</v>
      </c>
      <c r="W674" s="207">
        <v>1</v>
      </c>
      <c r="X674" s="207">
        <v>1</v>
      </c>
      <c r="Y674" s="207">
        <v>1</v>
      </c>
      <c r="Z674" s="207">
        <v>1</v>
      </c>
      <c r="AA674" s="207">
        <v>1</v>
      </c>
      <c r="AB674" s="207">
        <v>1</v>
      </c>
      <c r="AC674" s="5"/>
      <c r="AD674" s="63"/>
      <c r="AE674" s="64"/>
      <c r="AF674" s="64"/>
      <c r="AG674" s="212"/>
      <c r="AH674" s="64"/>
      <c r="AI674" s="64"/>
      <c r="AJ674" s="64"/>
      <c r="AK674" s="212"/>
      <c r="AL674" s="80"/>
      <c r="AM674" s="64"/>
      <c r="AN674" s="64"/>
      <c r="AO674" s="64"/>
      <c r="AP674" s="63"/>
      <c r="AQ674" s="64"/>
      <c r="AR674" s="63"/>
      <c r="AS674" s="64"/>
      <c r="AT674" s="63"/>
      <c r="AU674" s="64"/>
      <c r="AV674" s="63"/>
      <c r="AW674" s="64"/>
      <c r="AX674" s="63"/>
      <c r="AY674" s="5"/>
      <c r="AZ674" s="21" t="str">
        <f t="shared" si="399"/>
        <v/>
      </c>
      <c r="BA674" s="74" t="s">
        <v>47</v>
      </c>
      <c r="BB674" s="13"/>
      <c r="BC674" s="2"/>
      <c r="BD674" s="2"/>
      <c r="BE674" s="216" t="s">
        <v>21</v>
      </c>
      <c r="BF674" s="4"/>
      <c r="BG674" s="4"/>
      <c r="BH674" s="4"/>
      <c r="BI674" s="4"/>
      <c r="BJ674" s="4"/>
      <c r="BK674" s="4"/>
      <c r="BL674" s="4"/>
      <c r="BM674" s="4"/>
      <c r="BN674" s="4"/>
      <c r="BO674" s="4"/>
      <c r="BP674" s="4"/>
      <c r="BQ674" s="5"/>
      <c r="BR674" s="13"/>
      <c r="BS674" s="5"/>
    </row>
    <row r="675" spans="1:71" s="3" customFormat="1" x14ac:dyDescent="0.25">
      <c r="A675" s="5"/>
      <c r="B675" s="3" t="str">
        <f t="array" ref="B675">IFERROR(INDEX(DemandSupply,MATCH(INDEX($AH$1:AH675,SMALL(ROW($AH$1:AH675)+(10000*($AH$1:AH675="")),COUNTA($AH$1:AH675))),Sectors,0)),"")</f>
        <v>Demand</v>
      </c>
      <c r="E675" s="10">
        <f t="shared" si="356"/>
        <v>0</v>
      </c>
      <c r="F675" s="207">
        <v>1</v>
      </c>
      <c r="G675" s="207">
        <v>1</v>
      </c>
      <c r="H675" s="207">
        <v>1</v>
      </c>
      <c r="I675" s="207">
        <v>1</v>
      </c>
      <c r="J675" s="207">
        <v>1</v>
      </c>
      <c r="K675" s="207">
        <v>1</v>
      </c>
      <c r="L675" s="207">
        <v>1</v>
      </c>
      <c r="M675" s="207">
        <v>1</v>
      </c>
      <c r="N675" s="207">
        <v>1</v>
      </c>
      <c r="O675" s="207">
        <v>1</v>
      </c>
      <c r="P675" s="207">
        <v>1</v>
      </c>
      <c r="Q675" s="207">
        <v>1</v>
      </c>
      <c r="R675" s="207">
        <v>1</v>
      </c>
      <c r="S675" s="207">
        <v>1</v>
      </c>
      <c r="T675" s="207">
        <v>1</v>
      </c>
      <c r="U675" s="207">
        <v>1</v>
      </c>
      <c r="V675" s="207">
        <v>1</v>
      </c>
      <c r="W675" s="207">
        <v>1</v>
      </c>
      <c r="X675" s="207">
        <v>1</v>
      </c>
      <c r="Y675" s="207">
        <v>1</v>
      </c>
      <c r="Z675" s="207">
        <v>1</v>
      </c>
      <c r="AA675" s="207">
        <v>1</v>
      </c>
      <c r="AB675" s="207">
        <v>1</v>
      </c>
      <c r="AC675" s="5"/>
      <c r="AD675" s="63"/>
      <c r="AE675" s="64"/>
      <c r="AF675" s="64"/>
      <c r="AG675" s="212"/>
      <c r="AH675" s="64"/>
      <c r="AI675" s="64"/>
      <c r="AJ675" s="64"/>
      <c r="AK675" s="212"/>
      <c r="AL675" s="80"/>
      <c r="AM675" s="64"/>
      <c r="AN675" s="64"/>
      <c r="AO675" s="64"/>
      <c r="AP675" s="63"/>
      <c r="AQ675" s="64"/>
      <c r="AR675" s="63"/>
      <c r="AS675" s="64"/>
      <c r="AT675" s="63"/>
      <c r="AU675" s="64"/>
      <c r="AV675" s="63"/>
      <c r="AW675" s="64"/>
      <c r="AX675" s="63"/>
      <c r="AY675" s="5"/>
      <c r="AZ675" s="21" t="str">
        <f t="shared" si="399"/>
        <v/>
      </c>
      <c r="BA675" s="74" t="s">
        <v>66</v>
      </c>
      <c r="BB675" s="13"/>
      <c r="BC675" s="2"/>
      <c r="BD675" s="2"/>
      <c r="BE675" s="216" t="s">
        <v>35</v>
      </c>
      <c r="BF675" s="4">
        <v>10</v>
      </c>
      <c r="BG675" s="223">
        <f t="shared" ref="BG675:BP675" si="400">BF675</f>
        <v>10</v>
      </c>
      <c r="BH675" s="223">
        <f t="shared" si="400"/>
        <v>10</v>
      </c>
      <c r="BI675" s="223">
        <f t="shared" si="400"/>
        <v>10</v>
      </c>
      <c r="BJ675" s="223">
        <f t="shared" si="400"/>
        <v>10</v>
      </c>
      <c r="BK675" s="223">
        <f t="shared" si="400"/>
        <v>10</v>
      </c>
      <c r="BL675" s="223">
        <f t="shared" si="400"/>
        <v>10</v>
      </c>
      <c r="BM675" s="223">
        <f t="shared" si="400"/>
        <v>10</v>
      </c>
      <c r="BN675" s="223">
        <f t="shared" si="400"/>
        <v>10</v>
      </c>
      <c r="BO675" s="223">
        <f t="shared" si="400"/>
        <v>10</v>
      </c>
      <c r="BP675" s="223">
        <f t="shared" si="400"/>
        <v>10</v>
      </c>
      <c r="BQ675" s="5"/>
      <c r="BR675" s="13"/>
      <c r="BS675" s="5"/>
    </row>
    <row r="676" spans="1:71" s="3" customFormat="1" x14ac:dyDescent="0.25">
      <c r="A676" s="5"/>
      <c r="B676" s="3" t="str">
        <f t="array" ref="B676">IFERROR(INDEX(DemandSupply,MATCH(INDEX($AH$1:AH676,SMALL(ROW($AH$1:AH676)+(10000*($AH$1:AH676="")),COUNTA($AH$1:AH676))),Sectors,0)),"")</f>
        <v>Demand</v>
      </c>
      <c r="E676" s="10">
        <f t="shared" si="356"/>
        <v>0</v>
      </c>
      <c r="F676" s="207">
        <v>1</v>
      </c>
      <c r="G676" s="207">
        <v>1</v>
      </c>
      <c r="H676" s="207">
        <v>1</v>
      </c>
      <c r="I676" s="207">
        <v>1</v>
      </c>
      <c r="J676" s="207">
        <v>1</v>
      </c>
      <c r="K676" s="207">
        <v>1</v>
      </c>
      <c r="L676" s="207">
        <v>1</v>
      </c>
      <c r="M676" s="207">
        <v>1</v>
      </c>
      <c r="N676" s="207">
        <v>1</v>
      </c>
      <c r="O676" s="207">
        <v>1</v>
      </c>
      <c r="P676" s="207">
        <v>1</v>
      </c>
      <c r="Q676" s="207">
        <v>1</v>
      </c>
      <c r="R676" s="207">
        <v>1</v>
      </c>
      <c r="S676" s="207">
        <v>1</v>
      </c>
      <c r="T676" s="207">
        <v>1</v>
      </c>
      <c r="U676" s="207">
        <v>1</v>
      </c>
      <c r="V676" s="207">
        <v>1</v>
      </c>
      <c r="W676" s="207">
        <v>1</v>
      </c>
      <c r="X676" s="207">
        <v>1</v>
      </c>
      <c r="Y676" s="207">
        <v>1</v>
      </c>
      <c r="Z676" s="207">
        <v>1</v>
      </c>
      <c r="AA676" s="207">
        <v>1</v>
      </c>
      <c r="AB676" s="207">
        <v>1</v>
      </c>
      <c r="AC676" s="5"/>
      <c r="AD676" s="63"/>
      <c r="AE676" s="64"/>
      <c r="AF676" s="64"/>
      <c r="AG676" s="212"/>
      <c r="AH676" s="64"/>
      <c r="AI676" s="64"/>
      <c r="AJ676" s="64"/>
      <c r="AK676" s="212"/>
      <c r="AL676" s="80"/>
      <c r="AM676" s="64"/>
      <c r="AN676" s="64"/>
      <c r="AO676" s="64"/>
      <c r="AP676" s="63"/>
      <c r="AQ676" s="64"/>
      <c r="AR676" s="63"/>
      <c r="AS676" s="64"/>
      <c r="AT676" s="63"/>
      <c r="AU676" s="64"/>
      <c r="AV676" s="63"/>
      <c r="AW676" s="64"/>
      <c r="AX676" s="63"/>
      <c r="AY676" s="5"/>
      <c r="AZ676" s="21" t="str">
        <f t="shared" si="399"/>
        <v/>
      </c>
      <c r="BA676" s="291" t="s">
        <v>51</v>
      </c>
      <c r="BB676" s="13"/>
      <c r="BC676" s="2"/>
      <c r="BD676" s="2"/>
      <c r="BE676" s="216" t="s">
        <v>464</v>
      </c>
      <c r="BF676" s="4"/>
      <c r="BG676" s="4"/>
      <c r="BH676" s="4"/>
      <c r="BI676" s="4"/>
      <c r="BJ676" s="4"/>
      <c r="BK676" s="4"/>
      <c r="BL676" s="4"/>
      <c r="BM676" s="4"/>
      <c r="BN676" s="4"/>
      <c r="BO676" s="4"/>
      <c r="BP676" s="4"/>
      <c r="BQ676" s="5"/>
      <c r="BR676" s="13"/>
      <c r="BS676" s="5"/>
    </row>
    <row r="677" spans="1:71" s="3" customFormat="1" x14ac:dyDescent="0.25">
      <c r="A677" s="5"/>
      <c r="B677" s="3" t="str">
        <f t="array" ref="B677">IFERROR(INDEX(DemandSupply,MATCH(INDEX($AH$1:AH677,SMALL(ROW($AH$1:AH677)+(10000*($AH$1:AH677="")),COUNTA($AH$1:AH677))),Sectors,0)),"")</f>
        <v>Demand</v>
      </c>
      <c r="E677" s="10"/>
      <c r="F677" s="207"/>
      <c r="G677" s="207"/>
      <c r="H677" s="207"/>
      <c r="I677" s="207"/>
      <c r="J677" s="207"/>
      <c r="K677" s="207"/>
      <c r="L677" s="207"/>
      <c r="M677" s="207"/>
      <c r="N677" s="207"/>
      <c r="O677" s="207"/>
      <c r="P677" s="207"/>
      <c r="Q677" s="207"/>
      <c r="R677" s="207"/>
      <c r="S677" s="207"/>
      <c r="T677" s="207"/>
      <c r="U677" s="207"/>
      <c r="V677" s="207"/>
      <c r="W677" s="207"/>
      <c r="X677" s="207"/>
      <c r="Y677" s="207"/>
      <c r="Z677" s="207"/>
      <c r="AA677" s="207"/>
      <c r="AB677" s="207"/>
      <c r="AC677" s="5"/>
      <c r="AD677" s="63"/>
      <c r="AE677" s="64"/>
      <c r="AF677" s="64"/>
      <c r="AG677" s="212"/>
      <c r="AH677" s="64"/>
      <c r="AI677" s="64"/>
      <c r="AJ677" s="64"/>
      <c r="AK677" s="212"/>
      <c r="AL677" s="64"/>
      <c r="AM677" s="64"/>
      <c r="AN677" s="64"/>
      <c r="AO677" s="64"/>
      <c r="AP677" s="63"/>
      <c r="AQ677" s="64"/>
      <c r="AR677" s="63"/>
      <c r="AS677" s="64"/>
      <c r="AT677" s="63"/>
      <c r="AU677" s="64"/>
      <c r="AV677" s="63"/>
      <c r="AW677" s="64"/>
      <c r="AX677" s="63"/>
      <c r="AY677" s="5"/>
      <c r="AZ677" s="21" t="str">
        <f t="shared" si="399"/>
        <v/>
      </c>
      <c r="BA677" s="264" t="s">
        <v>38</v>
      </c>
      <c r="BB677" s="264"/>
      <c r="BC677" s="264"/>
      <c r="BD677" s="264" t="s">
        <v>40</v>
      </c>
      <c r="BE677" s="216" t="s">
        <v>464</v>
      </c>
      <c r="BF677" s="309">
        <v>1987</v>
      </c>
      <c r="BG677" s="310">
        <f t="shared" ref="BG677:BG679" si="401">BF677</f>
        <v>1987</v>
      </c>
      <c r="BH677" s="310">
        <f t="shared" ref="BH677:BH679" si="402">BG677</f>
        <v>1987</v>
      </c>
      <c r="BI677" s="310">
        <f t="shared" ref="BI677:BI679" si="403">BH677</f>
        <v>1987</v>
      </c>
      <c r="BJ677" s="310">
        <f t="shared" ref="BJ677:BJ679" si="404">BI677</f>
        <v>1987</v>
      </c>
      <c r="BK677" s="310">
        <f t="shared" ref="BK677:BK679" si="405">BJ677</f>
        <v>1987</v>
      </c>
      <c r="BL677" s="310">
        <f t="shared" ref="BL677:BL679" si="406">BK677</f>
        <v>1987</v>
      </c>
      <c r="BM677" s="310">
        <f t="shared" ref="BM677:BM679" si="407">BL677</f>
        <v>1987</v>
      </c>
      <c r="BN677" s="310">
        <f t="shared" ref="BN677:BN679" si="408">BM677</f>
        <v>1987</v>
      </c>
      <c r="BO677" s="310">
        <f t="shared" ref="BO677:BO679" si="409">BN677</f>
        <v>1987</v>
      </c>
      <c r="BP677" s="310">
        <f t="shared" ref="BP677:BP679" si="410">BO677</f>
        <v>1987</v>
      </c>
      <c r="BQ677" s="5"/>
      <c r="BR677" s="25"/>
      <c r="BS677" s="5"/>
    </row>
    <row r="678" spans="1:71" s="3" customFormat="1" x14ac:dyDescent="0.25">
      <c r="A678" s="5"/>
      <c r="B678" s="3" t="str">
        <f t="array" ref="B678">IFERROR(INDEX(DemandSupply,MATCH(INDEX($AH$1:AH678,SMALL(ROW($AH$1:AH678)+(10000*($AH$1:AH678="")),COUNTA($AH$1:AH678))),Sectors,0)),"")</f>
        <v>Demand</v>
      </c>
      <c r="E678" s="10"/>
      <c r="F678" s="207"/>
      <c r="G678" s="207"/>
      <c r="H678" s="207"/>
      <c r="I678" s="207"/>
      <c r="J678" s="207"/>
      <c r="K678" s="207"/>
      <c r="L678" s="207"/>
      <c r="M678" s="207"/>
      <c r="N678" s="207"/>
      <c r="O678" s="207"/>
      <c r="P678" s="207"/>
      <c r="Q678" s="207"/>
      <c r="R678" s="207"/>
      <c r="S678" s="207"/>
      <c r="T678" s="207"/>
      <c r="U678" s="207"/>
      <c r="V678" s="207"/>
      <c r="W678" s="207"/>
      <c r="X678" s="207"/>
      <c r="Y678" s="207"/>
      <c r="Z678" s="207"/>
      <c r="AA678" s="207"/>
      <c r="AB678" s="207"/>
      <c r="AC678" s="5"/>
      <c r="AD678" s="63"/>
      <c r="AE678" s="64"/>
      <c r="AF678" s="64"/>
      <c r="AG678" s="212"/>
      <c r="AH678" s="64"/>
      <c r="AI678" s="64"/>
      <c r="AJ678" s="64"/>
      <c r="AK678" s="212"/>
      <c r="AL678" s="64"/>
      <c r="AM678" s="64"/>
      <c r="AN678" s="64"/>
      <c r="AO678" s="64"/>
      <c r="AP678" s="63"/>
      <c r="AQ678" s="64"/>
      <c r="AR678" s="63"/>
      <c r="AS678" s="64"/>
      <c r="AT678" s="63"/>
      <c r="AU678" s="64"/>
      <c r="AV678" s="63"/>
      <c r="AW678" s="64"/>
      <c r="AX678" s="63"/>
      <c r="AY678" s="5"/>
      <c r="AZ678" s="21" t="str">
        <f t="shared" si="399"/>
        <v/>
      </c>
      <c r="BA678" s="264" t="s">
        <v>37</v>
      </c>
      <c r="BB678" s="264"/>
      <c r="BC678" s="264"/>
      <c r="BD678" s="264" t="s">
        <v>40</v>
      </c>
      <c r="BE678" s="216" t="s">
        <v>464</v>
      </c>
      <c r="BF678" s="309">
        <v>2000</v>
      </c>
      <c r="BG678" s="310">
        <f t="shared" si="401"/>
        <v>2000</v>
      </c>
      <c r="BH678" s="310">
        <f t="shared" si="402"/>
        <v>2000</v>
      </c>
      <c r="BI678" s="310">
        <f t="shared" si="403"/>
        <v>2000</v>
      </c>
      <c r="BJ678" s="310">
        <f t="shared" si="404"/>
        <v>2000</v>
      </c>
      <c r="BK678" s="310">
        <f t="shared" si="405"/>
        <v>2000</v>
      </c>
      <c r="BL678" s="310">
        <f t="shared" si="406"/>
        <v>2000</v>
      </c>
      <c r="BM678" s="310">
        <f t="shared" si="407"/>
        <v>2000</v>
      </c>
      <c r="BN678" s="310">
        <f t="shared" si="408"/>
        <v>2000</v>
      </c>
      <c r="BO678" s="310">
        <f t="shared" si="409"/>
        <v>2000</v>
      </c>
      <c r="BP678" s="310">
        <f t="shared" si="410"/>
        <v>2000</v>
      </c>
      <c r="BQ678" s="5"/>
      <c r="BR678" s="25"/>
      <c r="BS678" s="5"/>
    </row>
    <row r="679" spans="1:71" s="3" customFormat="1" x14ac:dyDescent="0.25">
      <c r="A679" s="5"/>
      <c r="B679" s="3" t="str">
        <f t="array" ref="B679">IFERROR(INDEX(DemandSupply,MATCH(INDEX($AH$1:AH679,SMALL(ROW($AH$1:AH679)+(10000*($AH$1:AH679="")),COUNTA($AH$1:AH679))),Sectors,0)),"")</f>
        <v>Demand</v>
      </c>
      <c r="E679" s="10"/>
      <c r="F679" s="207"/>
      <c r="G679" s="207"/>
      <c r="H679" s="207"/>
      <c r="I679" s="207"/>
      <c r="J679" s="207"/>
      <c r="K679" s="207"/>
      <c r="L679" s="207"/>
      <c r="M679" s="207"/>
      <c r="N679" s="207"/>
      <c r="O679" s="207"/>
      <c r="P679" s="207"/>
      <c r="Q679" s="207"/>
      <c r="R679" s="207"/>
      <c r="S679" s="207"/>
      <c r="T679" s="207"/>
      <c r="U679" s="207"/>
      <c r="V679" s="207"/>
      <c r="W679" s="207"/>
      <c r="X679" s="207"/>
      <c r="Y679" s="207"/>
      <c r="Z679" s="207"/>
      <c r="AA679" s="207"/>
      <c r="AB679" s="207"/>
      <c r="AC679" s="5"/>
      <c r="AD679" s="63"/>
      <c r="AE679" s="64"/>
      <c r="AF679" s="64"/>
      <c r="AG679" s="212"/>
      <c r="AH679" s="64"/>
      <c r="AI679" s="64"/>
      <c r="AJ679" s="64"/>
      <c r="AK679" s="212"/>
      <c r="AL679" s="64"/>
      <c r="AM679" s="64"/>
      <c r="AN679" s="64"/>
      <c r="AO679" s="64"/>
      <c r="AP679" s="63"/>
      <c r="AQ679" s="64"/>
      <c r="AR679" s="63"/>
      <c r="AS679" s="64"/>
      <c r="AT679" s="63"/>
      <c r="AU679" s="64"/>
      <c r="AV679" s="63"/>
      <c r="AW679" s="64"/>
      <c r="AX679" s="63"/>
      <c r="AY679" s="5"/>
      <c r="AZ679" s="21" t="str">
        <f t="shared" si="399"/>
        <v/>
      </c>
      <c r="BA679" s="264" t="s">
        <v>39</v>
      </c>
      <c r="BB679" s="264"/>
      <c r="BC679" s="264"/>
      <c r="BD679" s="264" t="s">
        <v>10</v>
      </c>
      <c r="BE679" s="216" t="s">
        <v>464</v>
      </c>
      <c r="BF679" s="56">
        <v>13</v>
      </c>
      <c r="BG679" s="282">
        <f t="shared" si="401"/>
        <v>13</v>
      </c>
      <c r="BH679" s="282">
        <f t="shared" si="402"/>
        <v>13</v>
      </c>
      <c r="BI679" s="282">
        <f t="shared" si="403"/>
        <v>13</v>
      </c>
      <c r="BJ679" s="282">
        <f t="shared" si="404"/>
        <v>13</v>
      </c>
      <c r="BK679" s="282">
        <f t="shared" si="405"/>
        <v>13</v>
      </c>
      <c r="BL679" s="282">
        <f t="shared" si="406"/>
        <v>13</v>
      </c>
      <c r="BM679" s="282">
        <f t="shared" si="407"/>
        <v>13</v>
      </c>
      <c r="BN679" s="282">
        <f t="shared" si="408"/>
        <v>13</v>
      </c>
      <c r="BO679" s="282">
        <f t="shared" si="409"/>
        <v>13</v>
      </c>
      <c r="BP679" s="282">
        <f t="shared" si="410"/>
        <v>13</v>
      </c>
      <c r="BQ679" s="5"/>
      <c r="BR679" s="25"/>
      <c r="BS679" s="5"/>
    </row>
    <row r="680" spans="1:71" s="3" customFormat="1" x14ac:dyDescent="0.25">
      <c r="A680" s="5"/>
      <c r="B680" s="3" t="str">
        <f t="array" ref="B680">IFERROR(INDEX(DemandSupply,MATCH(INDEX($AH$1:AH680,SMALL(ROW($AH$1:AH680)+(10000*($AH$1:AH680="")),COUNTA($AH$1:AH680))),Sectors,0)),"")</f>
        <v>Demand</v>
      </c>
      <c r="E680" s="10"/>
      <c r="F680" s="207"/>
      <c r="G680" s="207"/>
      <c r="H680" s="207"/>
      <c r="I680" s="207"/>
      <c r="J680" s="207"/>
      <c r="K680" s="207"/>
      <c r="L680" s="207"/>
      <c r="M680" s="207"/>
      <c r="N680" s="207"/>
      <c r="O680" s="207"/>
      <c r="P680" s="207"/>
      <c r="Q680" s="207"/>
      <c r="R680" s="207"/>
      <c r="S680" s="207"/>
      <c r="T680" s="207"/>
      <c r="U680" s="207"/>
      <c r="V680" s="207"/>
      <c r="W680" s="207"/>
      <c r="X680" s="207"/>
      <c r="Y680" s="207"/>
      <c r="Z680" s="207"/>
      <c r="AA680" s="207"/>
      <c r="AB680" s="207"/>
      <c r="AC680" s="5"/>
      <c r="AD680" s="63"/>
      <c r="AE680" s="64"/>
      <c r="AF680" s="64"/>
      <c r="AG680" s="212"/>
      <c r="AH680" s="64"/>
      <c r="AI680" s="64"/>
      <c r="AJ680" s="64"/>
      <c r="AK680" s="212"/>
      <c r="AL680" s="64"/>
      <c r="AM680" s="64"/>
      <c r="AN680" s="64"/>
      <c r="AO680" s="64"/>
      <c r="AP680" s="63"/>
      <c r="AQ680" s="64"/>
      <c r="AR680" s="63"/>
      <c r="AS680" s="64"/>
      <c r="AT680" s="63"/>
      <c r="AU680" s="64"/>
      <c r="AV680" s="63"/>
      <c r="AW680" s="64"/>
      <c r="AX680" s="63"/>
      <c r="AY680" s="5"/>
      <c r="AZ680" s="21" t="str">
        <f t="shared" si="399"/>
        <v/>
      </c>
      <c r="BA680" s="264" t="s">
        <v>395</v>
      </c>
      <c r="BB680" s="264"/>
      <c r="BC680" s="264"/>
      <c r="BD680" s="264" t="s">
        <v>10</v>
      </c>
      <c r="BE680" s="216" t="s">
        <v>464</v>
      </c>
      <c r="BF680" s="56"/>
      <c r="BG680" s="56"/>
      <c r="BH680" s="56"/>
      <c r="BI680" s="56"/>
      <c r="BJ680" s="56"/>
      <c r="BK680" s="56"/>
      <c r="BL680" s="56"/>
      <c r="BM680" s="56"/>
      <c r="BN680" s="56"/>
      <c r="BO680" s="56"/>
      <c r="BP680" s="56"/>
      <c r="BQ680" s="5"/>
      <c r="BR680" s="25"/>
      <c r="BS680" s="5"/>
    </row>
    <row r="681" spans="1:71" s="3" customFormat="1" x14ac:dyDescent="0.25">
      <c r="A681" s="5"/>
      <c r="B681" s="3" t="str">
        <f t="array" ref="B681">IFERROR(INDEX(DemandSupply,MATCH(INDEX($AH$1:AH681,SMALL(ROW($AH$1:AH681)+(10000*($AH$1:AH681="")),COUNTA($AH$1:AH681))),Sectors,0)),"")</f>
        <v>Demand</v>
      </c>
      <c r="E681" s="10"/>
      <c r="F681" s="207"/>
      <c r="G681" s="207"/>
      <c r="H681" s="207"/>
      <c r="I681" s="207"/>
      <c r="J681" s="207"/>
      <c r="K681" s="207"/>
      <c r="L681" s="207"/>
      <c r="M681" s="207"/>
      <c r="N681" s="207"/>
      <c r="O681" s="207"/>
      <c r="P681" s="207"/>
      <c r="Q681" s="207"/>
      <c r="R681" s="207"/>
      <c r="S681" s="207"/>
      <c r="T681" s="207"/>
      <c r="U681" s="207"/>
      <c r="V681" s="207"/>
      <c r="W681" s="207"/>
      <c r="X681" s="207"/>
      <c r="Y681" s="207"/>
      <c r="Z681" s="207"/>
      <c r="AA681" s="207"/>
      <c r="AB681" s="207"/>
      <c r="AC681" s="5"/>
      <c r="AD681" s="63"/>
      <c r="AE681" s="64"/>
      <c r="AF681" s="64"/>
      <c r="AG681" s="212"/>
      <c r="AH681" s="64"/>
      <c r="AI681" s="64"/>
      <c r="AJ681" s="64"/>
      <c r="AK681" s="212"/>
      <c r="AL681" s="64"/>
      <c r="AM681" s="64"/>
      <c r="AN681" s="64"/>
      <c r="AO681" s="64"/>
      <c r="AP681" s="63"/>
      <c r="AQ681" s="64"/>
      <c r="AR681" s="63"/>
      <c r="AS681" s="64"/>
      <c r="AT681" s="63"/>
      <c r="AU681" s="64"/>
      <c r="AV681" s="63"/>
      <c r="AW681" s="64"/>
      <c r="AX681" s="63"/>
      <c r="AY681" s="5"/>
      <c r="AZ681" s="21" t="str">
        <f t="shared" si="399"/>
        <v/>
      </c>
      <c r="BA681" s="264" t="s">
        <v>341</v>
      </c>
      <c r="BB681" s="264"/>
      <c r="BC681" s="264"/>
      <c r="BD681" s="264" t="s">
        <v>99</v>
      </c>
      <c r="BE681" s="216" t="s">
        <v>464</v>
      </c>
      <c r="BF681" s="303">
        <v>0.3</v>
      </c>
      <c r="BG681" s="306">
        <f t="shared" ref="BG681" si="411">BF681</f>
        <v>0.3</v>
      </c>
      <c r="BH681" s="306">
        <f t="shared" ref="BH681" si="412">BG681</f>
        <v>0.3</v>
      </c>
      <c r="BI681" s="306">
        <f t="shared" ref="BI681" si="413">BH681</f>
        <v>0.3</v>
      </c>
      <c r="BJ681" s="306">
        <f t="shared" ref="BJ681" si="414">BI681</f>
        <v>0.3</v>
      </c>
      <c r="BK681" s="306">
        <f t="shared" ref="BK681" si="415">BJ681</f>
        <v>0.3</v>
      </c>
      <c r="BL681" s="306">
        <f t="shared" ref="BL681" si="416">BK681</f>
        <v>0.3</v>
      </c>
      <c r="BM681" s="306">
        <f t="shared" ref="BM681" si="417">BL681</f>
        <v>0.3</v>
      </c>
      <c r="BN681" s="306">
        <f t="shared" ref="BN681" si="418">BM681</f>
        <v>0.3</v>
      </c>
      <c r="BO681" s="306">
        <f t="shared" ref="BO681" si="419">BN681</f>
        <v>0.3</v>
      </c>
      <c r="BP681" s="306">
        <f t="shared" ref="BP681" si="420">BO681</f>
        <v>0.3</v>
      </c>
      <c r="BQ681" s="5"/>
      <c r="BR681" s="25"/>
      <c r="BS681" s="5"/>
    </row>
    <row r="682" spans="1:71" s="3" customFormat="1" x14ac:dyDescent="0.25">
      <c r="A682" s="5"/>
      <c r="B682" s="3" t="str">
        <f t="array" ref="B682">IFERROR(INDEX(DemandSupply,MATCH(INDEX($AH$1:AH682,SMALL(ROW($AH$1:AH682)+(10000*($AH$1:AH682="")),COUNTA($AH$1:AH682))),Sectors,0)),"")</f>
        <v>Demand</v>
      </c>
      <c r="E682" s="10"/>
      <c r="F682" s="207"/>
      <c r="G682" s="207"/>
      <c r="H682" s="207"/>
      <c r="I682" s="207"/>
      <c r="J682" s="207"/>
      <c r="K682" s="207"/>
      <c r="L682" s="207"/>
      <c r="M682" s="207"/>
      <c r="N682" s="207"/>
      <c r="O682" s="207"/>
      <c r="P682" s="207"/>
      <c r="Q682" s="207"/>
      <c r="R682" s="207"/>
      <c r="S682" s="207"/>
      <c r="T682" s="207"/>
      <c r="U682" s="207"/>
      <c r="V682" s="207"/>
      <c r="W682" s="207"/>
      <c r="X682" s="207"/>
      <c r="Y682" s="207"/>
      <c r="Z682" s="207"/>
      <c r="AA682" s="207"/>
      <c r="AB682" s="207"/>
      <c r="AC682" s="5"/>
      <c r="AD682" s="63"/>
      <c r="AE682" s="64"/>
      <c r="AF682" s="64"/>
      <c r="AG682" s="212"/>
      <c r="AH682" s="64"/>
      <c r="AI682" s="64"/>
      <c r="AJ682" s="64"/>
      <c r="AK682" s="212"/>
      <c r="AL682" s="64"/>
      <c r="AM682" s="64"/>
      <c r="AN682" s="64"/>
      <c r="AO682" s="64"/>
      <c r="AP682" s="63"/>
      <c r="AQ682" s="64"/>
      <c r="AR682" s="63"/>
      <c r="AS682" s="64"/>
      <c r="AT682" s="63"/>
      <c r="AU682" s="64"/>
      <c r="AV682" s="63"/>
      <c r="AW682" s="64"/>
      <c r="AX682" s="63"/>
      <c r="AY682" s="5"/>
      <c r="AZ682" s="21" t="str">
        <f t="shared" si="399"/>
        <v/>
      </c>
      <c r="BA682" s="264" t="s">
        <v>392</v>
      </c>
      <c r="BB682" s="264"/>
      <c r="BC682" s="264"/>
      <c r="BD682" s="264" t="s">
        <v>99</v>
      </c>
      <c r="BE682" s="216" t="s">
        <v>464</v>
      </c>
      <c r="BF682" s="303"/>
      <c r="BG682" s="303"/>
      <c r="BH682" s="303"/>
      <c r="BI682" s="303"/>
      <c r="BJ682" s="303"/>
      <c r="BK682" s="303"/>
      <c r="BL682" s="303"/>
      <c r="BM682" s="303"/>
      <c r="BN682" s="303"/>
      <c r="BO682" s="303"/>
      <c r="BP682" s="303"/>
      <c r="BQ682" s="5"/>
      <c r="BR682" s="25"/>
      <c r="BS682" s="5"/>
    </row>
    <row r="683" spans="1:71" s="3" customFormat="1" x14ac:dyDescent="0.25">
      <c r="A683" s="5"/>
      <c r="B683" s="3" t="str">
        <f t="array" ref="B683">IFERROR(INDEX(DemandSupply,MATCH(INDEX($AH$1:AH683,SMALL(ROW($AH$1:AH683)+(10000*($AH$1:AH683="")),COUNTA($AH$1:AH683))),Sectors,0)),"")</f>
        <v>Demand</v>
      </c>
      <c r="E683" s="10"/>
      <c r="F683" s="207"/>
      <c r="G683" s="207"/>
      <c r="H683" s="207"/>
      <c r="I683" s="207"/>
      <c r="J683" s="207"/>
      <c r="K683" s="207"/>
      <c r="L683" s="207"/>
      <c r="M683" s="207"/>
      <c r="N683" s="207"/>
      <c r="O683" s="207"/>
      <c r="P683" s="207"/>
      <c r="Q683" s="207"/>
      <c r="R683" s="207"/>
      <c r="S683" s="207"/>
      <c r="T683" s="207"/>
      <c r="U683" s="207"/>
      <c r="V683" s="207"/>
      <c r="W683" s="207"/>
      <c r="X683" s="207"/>
      <c r="Y683" s="207"/>
      <c r="Z683" s="207"/>
      <c r="AA683" s="207"/>
      <c r="AB683" s="207"/>
      <c r="AC683" s="5"/>
      <c r="AD683" s="63"/>
      <c r="AE683" s="64"/>
      <c r="AF683" s="64"/>
      <c r="AG683" s="212"/>
      <c r="AH683" s="64"/>
      <c r="AI683" s="64"/>
      <c r="AJ683" s="64"/>
      <c r="AK683" s="212"/>
      <c r="AL683" s="64"/>
      <c r="AM683" s="64"/>
      <c r="AN683" s="64"/>
      <c r="AO683" s="64"/>
      <c r="AP683" s="63"/>
      <c r="AQ683" s="64"/>
      <c r="AR683" s="63"/>
      <c r="AS683" s="64"/>
      <c r="AT683" s="63"/>
      <c r="AU683" s="64"/>
      <c r="AV683" s="63"/>
      <c r="AW683" s="64"/>
      <c r="AX683" s="63"/>
      <c r="AY683" s="5"/>
      <c r="AZ683" s="21" t="str">
        <f t="shared" si="399"/>
        <v/>
      </c>
      <c r="BA683" s="264" t="s">
        <v>391</v>
      </c>
      <c r="BB683" s="264"/>
      <c r="BC683" s="264"/>
      <c r="BD683" s="264" t="s">
        <v>99</v>
      </c>
      <c r="BE683" s="216" t="s">
        <v>464</v>
      </c>
      <c r="BF683" s="303"/>
      <c r="BG683" s="303"/>
      <c r="BH683" s="303"/>
      <c r="BI683" s="303"/>
      <c r="BJ683" s="303"/>
      <c r="BK683" s="303"/>
      <c r="BL683" s="303"/>
      <c r="BM683" s="303"/>
      <c r="BN683" s="303"/>
      <c r="BO683" s="303"/>
      <c r="BP683" s="303"/>
      <c r="BQ683" s="5"/>
      <c r="BR683" s="25"/>
      <c r="BS683" s="5"/>
    </row>
    <row r="684" spans="1:71" s="3" customFormat="1" x14ac:dyDescent="0.25">
      <c r="A684" s="5"/>
      <c r="B684" s="3" t="str">
        <f t="array" ref="B684">IFERROR(INDEX(DemandSupply,MATCH(INDEX($AH$1:AH684,SMALL(ROW($AH$1:AH684)+(10000*($AH$1:AH684="")),COUNTA($AH$1:AH684))),Sectors,0)),"")</f>
        <v>Demand</v>
      </c>
      <c r="E684" s="10"/>
      <c r="F684" s="207"/>
      <c r="G684" s="207"/>
      <c r="H684" s="207"/>
      <c r="I684" s="207"/>
      <c r="J684" s="207"/>
      <c r="K684" s="207"/>
      <c r="L684" s="207"/>
      <c r="M684" s="207"/>
      <c r="N684" s="207"/>
      <c r="O684" s="207"/>
      <c r="P684" s="207"/>
      <c r="Q684" s="207"/>
      <c r="R684" s="207"/>
      <c r="S684" s="207"/>
      <c r="T684" s="207"/>
      <c r="U684" s="207"/>
      <c r="V684" s="207"/>
      <c r="W684" s="207"/>
      <c r="X684" s="207"/>
      <c r="Y684" s="207"/>
      <c r="Z684" s="207"/>
      <c r="AA684" s="207"/>
      <c r="AB684" s="207"/>
      <c r="AC684" s="5"/>
      <c r="AD684" s="63"/>
      <c r="AE684" s="64"/>
      <c r="AF684" s="64"/>
      <c r="AG684" s="212"/>
      <c r="AH684" s="64"/>
      <c r="AI684" s="64"/>
      <c r="AJ684" s="64"/>
      <c r="AK684" s="212"/>
      <c r="AL684" s="64"/>
      <c r="AM684" s="64"/>
      <c r="AN684" s="64"/>
      <c r="AO684" s="64"/>
      <c r="AP684" s="63"/>
      <c r="AQ684" s="64"/>
      <c r="AR684" s="63"/>
      <c r="AS684" s="64"/>
      <c r="AT684" s="63"/>
      <c r="AU684" s="64"/>
      <c r="AV684" s="63"/>
      <c r="AW684" s="64"/>
      <c r="AX684" s="63"/>
      <c r="AY684" s="5"/>
      <c r="AZ684" s="21" t="str">
        <f t="shared" si="399"/>
        <v/>
      </c>
      <c r="BA684" s="264" t="s">
        <v>144</v>
      </c>
      <c r="BB684" s="264"/>
      <c r="BC684" s="264"/>
      <c r="BD684" s="264" t="s">
        <v>353</v>
      </c>
      <c r="BE684" s="216" t="s">
        <v>464</v>
      </c>
      <c r="BF684" s="56"/>
      <c r="BG684" s="56"/>
      <c r="BH684" s="56"/>
      <c r="BI684" s="56"/>
      <c r="BJ684" s="56"/>
      <c r="BK684" s="56"/>
      <c r="BL684" s="56"/>
      <c r="BM684" s="56"/>
      <c r="BN684" s="56"/>
      <c r="BO684" s="56"/>
      <c r="BP684" s="56"/>
      <c r="BQ684" s="5"/>
      <c r="BR684" s="25"/>
      <c r="BS684" s="5"/>
    </row>
    <row r="685" spans="1:71" s="3" customFormat="1" x14ac:dyDescent="0.25">
      <c r="A685" s="5"/>
      <c r="B685" s="3" t="str">
        <f t="array" ref="B685">IFERROR(INDEX(DemandSupply,MATCH(INDEX($AH$1:AH685,SMALL(ROW($AH$1:AH685)+(10000*($AH$1:AH685="")),COUNTA($AH$1:AH685))),Sectors,0)),"")</f>
        <v>Demand</v>
      </c>
      <c r="E685" s="10"/>
      <c r="F685" s="207"/>
      <c r="G685" s="207"/>
      <c r="H685" s="207"/>
      <c r="I685" s="207"/>
      <c r="J685" s="207"/>
      <c r="K685" s="207"/>
      <c r="L685" s="207"/>
      <c r="M685" s="207"/>
      <c r="N685" s="207"/>
      <c r="O685" s="207"/>
      <c r="P685" s="207"/>
      <c r="Q685" s="207"/>
      <c r="R685" s="207"/>
      <c r="S685" s="207"/>
      <c r="T685" s="207"/>
      <c r="U685" s="207"/>
      <c r="V685" s="207"/>
      <c r="W685" s="207"/>
      <c r="X685" s="207"/>
      <c r="Y685" s="207"/>
      <c r="Z685" s="207"/>
      <c r="AA685" s="207"/>
      <c r="AB685" s="207"/>
      <c r="AC685" s="5"/>
      <c r="AD685" s="63"/>
      <c r="AE685" s="64"/>
      <c r="AF685" s="64"/>
      <c r="AG685" s="212"/>
      <c r="AH685" s="64"/>
      <c r="AI685" s="64"/>
      <c r="AJ685" s="64"/>
      <c r="AK685" s="212"/>
      <c r="AL685" s="64"/>
      <c r="AM685" s="64"/>
      <c r="AN685" s="64"/>
      <c r="AO685" s="64"/>
      <c r="AP685" s="63"/>
      <c r="AQ685" s="64"/>
      <c r="AR685" s="63"/>
      <c r="AS685" s="64"/>
      <c r="AT685" s="63"/>
      <c r="AU685" s="64"/>
      <c r="AV685" s="63"/>
      <c r="AW685" s="64"/>
      <c r="AX685" s="63"/>
      <c r="AY685" s="5"/>
      <c r="AZ685" s="21" t="str">
        <f t="shared" si="399"/>
        <v/>
      </c>
      <c r="BA685" s="264" t="s">
        <v>76</v>
      </c>
      <c r="BB685" s="264"/>
      <c r="BC685" s="264"/>
      <c r="BD685" s="264" t="s">
        <v>99</v>
      </c>
      <c r="BE685" s="216" t="s">
        <v>464</v>
      </c>
      <c r="BF685" s="303">
        <v>1</v>
      </c>
      <c r="BG685" s="303"/>
      <c r="BH685" s="303"/>
      <c r="BI685" s="303"/>
      <c r="BJ685" s="303"/>
      <c r="BK685" s="303"/>
      <c r="BL685" s="303"/>
      <c r="BM685" s="303"/>
      <c r="BN685" s="303"/>
      <c r="BO685" s="303"/>
      <c r="BP685" s="303"/>
      <c r="BQ685" s="5"/>
      <c r="BR685" s="25"/>
      <c r="BS685" s="5"/>
    </row>
    <row r="686" spans="1:71" s="3" customFormat="1" x14ac:dyDescent="0.25">
      <c r="A686" s="5"/>
      <c r="B686" s="3" t="str">
        <f t="array" ref="B686">IFERROR(INDEX(DemandSupply,MATCH(INDEX($AH$1:AH686,SMALL(ROW($AH$1:AH686)+(10000*($AH$1:AH686="")),COUNTA($AH$1:AH686))),Sectors,0)),"")</f>
        <v>Demand</v>
      </c>
      <c r="E686" s="10"/>
      <c r="F686" s="207"/>
      <c r="G686" s="207"/>
      <c r="H686" s="207"/>
      <c r="I686" s="207"/>
      <c r="J686" s="207"/>
      <c r="K686" s="207"/>
      <c r="L686" s="207"/>
      <c r="M686" s="207"/>
      <c r="N686" s="207"/>
      <c r="O686" s="207"/>
      <c r="P686" s="207"/>
      <c r="Q686" s="207"/>
      <c r="R686" s="207"/>
      <c r="S686" s="207"/>
      <c r="T686" s="207"/>
      <c r="U686" s="207"/>
      <c r="V686" s="207"/>
      <c r="W686" s="207"/>
      <c r="X686" s="207"/>
      <c r="Y686" s="207"/>
      <c r="Z686" s="207"/>
      <c r="AA686" s="207"/>
      <c r="AB686" s="207"/>
      <c r="AC686" s="5"/>
      <c r="AD686" s="63"/>
      <c r="AE686" s="64"/>
      <c r="AF686" s="64"/>
      <c r="AG686" s="212"/>
      <c r="AH686" s="64"/>
      <c r="AI686" s="64"/>
      <c r="AJ686" s="64"/>
      <c r="AK686" s="212"/>
      <c r="AL686" s="64"/>
      <c r="AM686" s="64"/>
      <c r="AN686" s="64"/>
      <c r="AO686" s="64"/>
      <c r="AP686" s="63"/>
      <c r="AQ686" s="64"/>
      <c r="AR686" s="63"/>
      <c r="AS686" s="64"/>
      <c r="AT686" s="63"/>
      <c r="AU686" s="64"/>
      <c r="AV686" s="63"/>
      <c r="AW686" s="64"/>
      <c r="AX686" s="63"/>
      <c r="AY686" s="5"/>
      <c r="AZ686" s="21" t="str">
        <f t="shared" si="399"/>
        <v/>
      </c>
      <c r="BA686" s="75" t="s">
        <v>166</v>
      </c>
      <c r="BB686" s="75"/>
      <c r="BC686" s="270"/>
      <c r="BD686" s="75" t="s">
        <v>99</v>
      </c>
      <c r="BE686" s="216" t="s">
        <v>464</v>
      </c>
      <c r="BF686" s="303"/>
      <c r="BG686" s="303"/>
      <c r="BH686" s="303"/>
      <c r="BI686" s="303"/>
      <c r="BJ686" s="303"/>
      <c r="BK686" s="303"/>
      <c r="BL686" s="303"/>
      <c r="BM686" s="303"/>
      <c r="BN686" s="303"/>
      <c r="BO686" s="303"/>
      <c r="BP686" s="303"/>
      <c r="BQ686" s="5"/>
      <c r="BR686" s="25"/>
      <c r="BS686" s="5"/>
    </row>
    <row r="687" spans="1:71" s="3" customFormat="1" x14ac:dyDescent="0.25">
      <c r="A687" s="5"/>
      <c r="B687" s="3" t="str">
        <f t="array" ref="B687">IFERROR(INDEX(DemandSupply,MATCH(INDEX($AH$1:AH687,SMALL(ROW($AH$1:AH687)+(10000*($AH$1:AH687="")),COUNTA($AH$1:AH687))),Sectors,0)),"")</f>
        <v>Demand</v>
      </c>
      <c r="E687" s="10"/>
      <c r="F687" s="207"/>
      <c r="G687" s="207"/>
      <c r="H687" s="207"/>
      <c r="I687" s="207"/>
      <c r="J687" s="207"/>
      <c r="K687" s="207"/>
      <c r="L687" s="207"/>
      <c r="M687" s="207"/>
      <c r="N687" s="207"/>
      <c r="O687" s="207"/>
      <c r="P687" s="207"/>
      <c r="Q687" s="207"/>
      <c r="R687" s="207"/>
      <c r="S687" s="207"/>
      <c r="T687" s="207"/>
      <c r="U687" s="207"/>
      <c r="V687" s="207"/>
      <c r="W687" s="207"/>
      <c r="X687" s="207"/>
      <c r="Y687" s="207"/>
      <c r="Z687" s="207"/>
      <c r="AA687" s="207"/>
      <c r="AB687" s="207"/>
      <c r="AC687" s="5"/>
      <c r="AD687" s="63"/>
      <c r="AE687" s="64"/>
      <c r="AF687" s="64"/>
      <c r="AG687" s="212"/>
      <c r="AH687" s="64"/>
      <c r="AI687" s="64"/>
      <c r="AJ687" s="64"/>
      <c r="AK687" s="212"/>
      <c r="AL687" s="64"/>
      <c r="AM687" s="64"/>
      <c r="AN687" s="64"/>
      <c r="AO687" s="64"/>
      <c r="AP687" s="63"/>
      <c r="AQ687" s="64"/>
      <c r="AR687" s="63"/>
      <c r="AS687" s="64"/>
      <c r="AT687" s="63"/>
      <c r="AU687" s="64"/>
      <c r="AV687" s="63"/>
      <c r="AW687" s="64"/>
      <c r="AX687" s="63"/>
      <c r="AY687" s="5"/>
      <c r="AZ687" s="21" t="str">
        <f t="shared" si="399"/>
        <v/>
      </c>
      <c r="BA687" s="75" t="s">
        <v>167</v>
      </c>
      <c r="BB687" s="75"/>
      <c r="BC687" s="270"/>
      <c r="BD687" s="75" t="s">
        <v>99</v>
      </c>
      <c r="BE687" s="216" t="s">
        <v>464</v>
      </c>
      <c r="BF687" s="303"/>
      <c r="BG687" s="303"/>
      <c r="BH687" s="303"/>
      <c r="BI687" s="303"/>
      <c r="BJ687" s="303"/>
      <c r="BK687" s="303"/>
      <c r="BL687" s="303"/>
      <c r="BM687" s="303"/>
      <c r="BN687" s="303"/>
      <c r="BO687" s="303"/>
      <c r="BP687" s="303"/>
      <c r="BQ687" s="5"/>
      <c r="BR687" s="25"/>
      <c r="BS687" s="5"/>
    </row>
    <row r="688" spans="1:71" s="3" customFormat="1" x14ac:dyDescent="0.25">
      <c r="A688" s="5"/>
      <c r="B688" s="3" t="str">
        <f t="array" ref="B688">IFERROR(INDEX(DemandSupply,MATCH(INDEX($AH$1:AH688,SMALL(ROW($AH$1:AH688)+(10000*($AH$1:AH688="")),COUNTA($AH$1:AH688))),Sectors,0)),"")</f>
        <v>Demand</v>
      </c>
      <c r="E688" s="10"/>
      <c r="F688" s="207"/>
      <c r="G688" s="207"/>
      <c r="H688" s="207"/>
      <c r="I688" s="207"/>
      <c r="J688" s="207"/>
      <c r="K688" s="207"/>
      <c r="L688" s="207"/>
      <c r="M688" s="207"/>
      <c r="N688" s="207"/>
      <c r="O688" s="207"/>
      <c r="P688" s="207"/>
      <c r="Q688" s="207"/>
      <c r="R688" s="207"/>
      <c r="S688" s="207"/>
      <c r="T688" s="207"/>
      <c r="U688" s="207"/>
      <c r="V688" s="207"/>
      <c r="W688" s="207"/>
      <c r="X688" s="207"/>
      <c r="Y688" s="207"/>
      <c r="Z688" s="207"/>
      <c r="AA688" s="207"/>
      <c r="AB688" s="207"/>
      <c r="AC688" s="5"/>
      <c r="AD688" s="63"/>
      <c r="AE688" s="64"/>
      <c r="AF688" s="64"/>
      <c r="AG688" s="212"/>
      <c r="AH688" s="64"/>
      <c r="AI688" s="64"/>
      <c r="AJ688" s="64"/>
      <c r="AK688" s="212"/>
      <c r="AL688" s="64"/>
      <c r="AM688" s="64"/>
      <c r="AN688" s="64"/>
      <c r="AO688" s="64"/>
      <c r="AP688" s="63"/>
      <c r="AQ688" s="64"/>
      <c r="AR688" s="63"/>
      <c r="AS688" s="64"/>
      <c r="AT688" s="63"/>
      <c r="AU688" s="64"/>
      <c r="AV688" s="63"/>
      <c r="AW688" s="64"/>
      <c r="AX688" s="63"/>
      <c r="AY688" s="5"/>
      <c r="AZ688" s="21" t="str">
        <f t="shared" si="399"/>
        <v/>
      </c>
      <c r="BA688" s="75" t="s">
        <v>408</v>
      </c>
      <c r="BB688" s="75"/>
      <c r="BC688" s="270"/>
      <c r="BD688" s="75" t="s">
        <v>99</v>
      </c>
      <c r="BE688" s="216" t="s">
        <v>464</v>
      </c>
      <c r="BF688" s="303"/>
      <c r="BG688" s="303"/>
      <c r="BH688" s="303"/>
      <c r="BI688" s="303"/>
      <c r="BJ688" s="303"/>
      <c r="BK688" s="303"/>
      <c r="BL688" s="303"/>
      <c r="BM688" s="303"/>
      <c r="BN688" s="303"/>
      <c r="BO688" s="303"/>
      <c r="BP688" s="303"/>
      <c r="BQ688" s="5"/>
      <c r="BR688" s="25"/>
      <c r="BS688" s="5"/>
    </row>
    <row r="689" spans="1:71" s="3" customFormat="1" x14ac:dyDescent="0.25">
      <c r="A689" s="5"/>
      <c r="B689" s="3" t="str">
        <f t="array" ref="B689">IFERROR(INDEX(DemandSupply,MATCH(INDEX($AH$1:AH689,SMALL(ROW($AH$1:AH689)+(10000*($AH$1:AH689="")),COUNTA($AH$1:AH689))),Sectors,0)),"")</f>
        <v>Demand</v>
      </c>
      <c r="E689" s="10"/>
      <c r="F689" s="207"/>
      <c r="G689" s="207"/>
      <c r="H689" s="207"/>
      <c r="I689" s="207"/>
      <c r="J689" s="207"/>
      <c r="K689" s="207"/>
      <c r="L689" s="207"/>
      <c r="M689" s="207"/>
      <c r="N689" s="207"/>
      <c r="O689" s="207"/>
      <c r="P689" s="207"/>
      <c r="Q689" s="207"/>
      <c r="R689" s="207"/>
      <c r="S689" s="207"/>
      <c r="T689" s="207"/>
      <c r="U689" s="207"/>
      <c r="V689" s="207"/>
      <c r="W689" s="207"/>
      <c r="X689" s="207"/>
      <c r="Y689" s="207"/>
      <c r="Z689" s="207"/>
      <c r="AA689" s="207"/>
      <c r="AB689" s="207"/>
      <c r="AC689" s="5"/>
      <c r="AD689" s="63"/>
      <c r="AE689" s="64"/>
      <c r="AF689" s="64"/>
      <c r="AG689" s="212"/>
      <c r="AH689" s="64"/>
      <c r="AI689" s="64"/>
      <c r="AJ689" s="64"/>
      <c r="AK689" s="212"/>
      <c r="AL689" s="64"/>
      <c r="AM689" s="64"/>
      <c r="AN689" s="64"/>
      <c r="AO689" s="64"/>
      <c r="AP689" s="63"/>
      <c r="AQ689" s="64"/>
      <c r="AR689" s="63"/>
      <c r="AS689" s="64"/>
      <c r="AT689" s="63"/>
      <c r="AU689" s="64"/>
      <c r="AV689" s="63"/>
      <c r="AW689" s="64"/>
      <c r="AX689" s="63"/>
      <c r="AY689" s="5"/>
      <c r="AZ689" s="21" t="str">
        <f t="shared" si="399"/>
        <v/>
      </c>
      <c r="BA689" s="75" t="s">
        <v>409</v>
      </c>
      <c r="BB689" s="75"/>
      <c r="BC689" s="270"/>
      <c r="BD689" s="75" t="s">
        <v>99</v>
      </c>
      <c r="BE689" s="216" t="s">
        <v>464</v>
      </c>
      <c r="BF689" s="303"/>
      <c r="BG689" s="303"/>
      <c r="BH689" s="303"/>
      <c r="BI689" s="303"/>
      <c r="BJ689" s="303"/>
      <c r="BK689" s="303"/>
      <c r="BL689" s="303"/>
      <c r="BM689" s="303"/>
      <c r="BN689" s="303"/>
      <c r="BO689" s="303"/>
      <c r="BP689" s="303"/>
      <c r="BQ689" s="5"/>
      <c r="BR689" s="25"/>
      <c r="BS689" s="5"/>
    </row>
    <row r="690" spans="1:71" s="3" customFormat="1" x14ac:dyDescent="0.25">
      <c r="A690" s="5"/>
      <c r="B690" s="3" t="str">
        <f t="array" ref="B690">IFERROR(INDEX(DemandSupply,MATCH(INDEX($AH$1:AH690,SMALL(ROW($AH$1:AH690)+(10000*($AH$1:AH690="")),COUNTA($AH$1:AH690))),Sectors,0)),"")</f>
        <v>Demand</v>
      </c>
      <c r="E690" s="10"/>
      <c r="F690" s="207"/>
      <c r="G690" s="207"/>
      <c r="H690" s="207"/>
      <c r="I690" s="207"/>
      <c r="J690" s="207"/>
      <c r="K690" s="207"/>
      <c r="L690" s="207"/>
      <c r="M690" s="207"/>
      <c r="N690" s="207"/>
      <c r="O690" s="207"/>
      <c r="P690" s="207"/>
      <c r="Q690" s="207"/>
      <c r="R690" s="207"/>
      <c r="S690" s="207"/>
      <c r="T690" s="207"/>
      <c r="U690" s="207"/>
      <c r="V690" s="207"/>
      <c r="W690" s="207"/>
      <c r="X690" s="207"/>
      <c r="Y690" s="207"/>
      <c r="Z690" s="207"/>
      <c r="AA690" s="207"/>
      <c r="AB690" s="207"/>
      <c r="AC690" s="5"/>
      <c r="AD690" s="63"/>
      <c r="AE690" s="64"/>
      <c r="AF690" s="64"/>
      <c r="AG690" s="212"/>
      <c r="AH690" s="64"/>
      <c r="AI690" s="64"/>
      <c r="AJ690" s="64"/>
      <c r="AK690" s="212"/>
      <c r="AL690" s="64"/>
      <c r="AM690" s="64"/>
      <c r="AN690" s="64"/>
      <c r="AO690" s="64"/>
      <c r="AP690" s="63"/>
      <c r="AQ690" s="64"/>
      <c r="AR690" s="63"/>
      <c r="AS690" s="64"/>
      <c r="AT690" s="63"/>
      <c r="AU690" s="64"/>
      <c r="AV690" s="63"/>
      <c r="AW690" s="64"/>
      <c r="AX690" s="63"/>
      <c r="AY690" s="5"/>
      <c r="AZ690" s="21" t="str">
        <f t="shared" si="399"/>
        <v/>
      </c>
      <c r="BA690" s="264" t="s">
        <v>371</v>
      </c>
      <c r="BB690" s="264"/>
      <c r="BC690" s="264"/>
      <c r="BD690" s="264" t="s">
        <v>353</v>
      </c>
      <c r="BE690" s="216" t="s">
        <v>464</v>
      </c>
      <c r="BF690" s="56">
        <v>1</v>
      </c>
      <c r="BG690" s="282">
        <f t="shared" ref="BG690:BG691" si="421">BF690</f>
        <v>1</v>
      </c>
      <c r="BH690" s="282">
        <f t="shared" ref="BH690:BH691" si="422">BG690</f>
        <v>1</v>
      </c>
      <c r="BI690" s="282">
        <f t="shared" ref="BI690:BI691" si="423">BH690</f>
        <v>1</v>
      </c>
      <c r="BJ690" s="282">
        <f t="shared" ref="BJ690:BJ691" si="424">BI690</f>
        <v>1</v>
      </c>
      <c r="BK690" s="282">
        <f t="shared" ref="BK690:BK691" si="425">BJ690</f>
        <v>1</v>
      </c>
      <c r="BL690" s="282">
        <f t="shared" ref="BL690:BL691" si="426">BK690</f>
        <v>1</v>
      </c>
      <c r="BM690" s="282">
        <f t="shared" ref="BM690:BM691" si="427">BL690</f>
        <v>1</v>
      </c>
      <c r="BN690" s="282">
        <f t="shared" ref="BN690:BN691" si="428">BM690</f>
        <v>1</v>
      </c>
      <c r="BO690" s="282">
        <f t="shared" ref="BO690:BO691" si="429">BN690</f>
        <v>1</v>
      </c>
      <c r="BP690" s="282">
        <f t="shared" ref="BP690:BP691" si="430">BO690</f>
        <v>1</v>
      </c>
      <c r="BQ690" s="5"/>
      <c r="BR690" s="25"/>
      <c r="BS690" s="5"/>
    </row>
    <row r="691" spans="1:71" s="3" customFormat="1" x14ac:dyDescent="0.25">
      <c r="A691" s="5"/>
      <c r="B691" s="3" t="str">
        <f t="array" ref="B691">IFERROR(INDEX(DemandSupply,MATCH(INDEX($AH$1:AH691,SMALL(ROW($AH$1:AH691)+(10000*($AH$1:AH691="")),COUNTA($AH$1:AH691))),Sectors,0)),"")</f>
        <v>Demand</v>
      </c>
      <c r="E691" s="10"/>
      <c r="F691" s="207"/>
      <c r="G691" s="207"/>
      <c r="H691" s="207"/>
      <c r="I691" s="207"/>
      <c r="J691" s="207"/>
      <c r="K691" s="207"/>
      <c r="L691" s="207"/>
      <c r="M691" s="207"/>
      <c r="N691" s="207"/>
      <c r="O691" s="207"/>
      <c r="P691" s="207"/>
      <c r="Q691" s="207"/>
      <c r="R691" s="207"/>
      <c r="S691" s="207"/>
      <c r="T691" s="207"/>
      <c r="U691" s="207"/>
      <c r="V691" s="207"/>
      <c r="W691" s="207"/>
      <c r="X691" s="207"/>
      <c r="Y691" s="207"/>
      <c r="Z691" s="207"/>
      <c r="AA691" s="207"/>
      <c r="AB691" s="207"/>
      <c r="AC691" s="5"/>
      <c r="AD691" s="63"/>
      <c r="AE691" s="64"/>
      <c r="AF691" s="64"/>
      <c r="AG691" s="212"/>
      <c r="AH691" s="64"/>
      <c r="AI691" s="64"/>
      <c r="AJ691" s="64"/>
      <c r="AK691" s="212"/>
      <c r="AL691" s="64"/>
      <c r="AM691" s="64"/>
      <c r="AN691" s="64"/>
      <c r="AO691" s="64"/>
      <c r="AP691" s="63"/>
      <c r="AQ691" s="64"/>
      <c r="AR691" s="63"/>
      <c r="AS691" s="64"/>
      <c r="AT691" s="63"/>
      <c r="AU691" s="64"/>
      <c r="AV691" s="63"/>
      <c r="AW691" s="64"/>
      <c r="AX691" s="63"/>
      <c r="AY691" s="5"/>
      <c r="AZ691" s="21" t="str">
        <f t="shared" si="399"/>
        <v/>
      </c>
      <c r="BA691" s="264" t="s">
        <v>170</v>
      </c>
      <c r="BB691" s="264"/>
      <c r="BC691" s="264"/>
      <c r="BD691" s="264" t="s">
        <v>354</v>
      </c>
      <c r="BE691" s="216" t="s">
        <v>464</v>
      </c>
      <c r="BF691" s="56">
        <v>746.44500000000005</v>
      </c>
      <c r="BG691" s="282">
        <f t="shared" si="421"/>
        <v>746.44500000000005</v>
      </c>
      <c r="BH691" s="282">
        <f t="shared" si="422"/>
        <v>746.44500000000005</v>
      </c>
      <c r="BI691" s="282">
        <f t="shared" si="423"/>
        <v>746.44500000000005</v>
      </c>
      <c r="BJ691" s="282">
        <f t="shared" si="424"/>
        <v>746.44500000000005</v>
      </c>
      <c r="BK691" s="282">
        <f t="shared" si="425"/>
        <v>746.44500000000005</v>
      </c>
      <c r="BL691" s="282">
        <f t="shared" si="426"/>
        <v>746.44500000000005</v>
      </c>
      <c r="BM691" s="282">
        <f t="shared" si="427"/>
        <v>746.44500000000005</v>
      </c>
      <c r="BN691" s="282">
        <f t="shared" si="428"/>
        <v>746.44500000000005</v>
      </c>
      <c r="BO691" s="282">
        <f t="shared" si="429"/>
        <v>746.44500000000005</v>
      </c>
      <c r="BP691" s="282">
        <f t="shared" si="430"/>
        <v>746.44500000000005</v>
      </c>
      <c r="BQ691" s="5"/>
      <c r="BR691" s="25"/>
      <c r="BS691" s="5"/>
    </row>
    <row r="692" spans="1:71" s="3" customFormat="1" x14ac:dyDescent="0.25">
      <c r="A692" s="5"/>
      <c r="B692" s="3" t="str">
        <f t="array" ref="B692">IFERROR(INDEX(DemandSupply,MATCH(INDEX($AH$1:AH692,SMALL(ROW($AH$1:AH692)+(10000*($AH$1:AH692="")),COUNTA($AH$1:AH692))),Sectors,0)),"")</f>
        <v>Demand</v>
      </c>
      <c r="E692" s="10"/>
      <c r="F692" s="207"/>
      <c r="G692" s="207"/>
      <c r="H692" s="207"/>
      <c r="I692" s="207"/>
      <c r="J692" s="207"/>
      <c r="K692" s="207"/>
      <c r="L692" s="207"/>
      <c r="M692" s="207"/>
      <c r="N692" s="207"/>
      <c r="O692" s="207"/>
      <c r="P692" s="207"/>
      <c r="Q692" s="207"/>
      <c r="R692" s="207"/>
      <c r="S692" s="207"/>
      <c r="T692" s="207"/>
      <c r="U692" s="207"/>
      <c r="V692" s="207"/>
      <c r="W692" s="207"/>
      <c r="X692" s="207"/>
      <c r="Y692" s="207"/>
      <c r="Z692" s="207"/>
      <c r="AA692" s="207"/>
      <c r="AB692" s="207"/>
      <c r="AC692" s="5"/>
      <c r="AD692" s="63"/>
      <c r="AE692" s="64"/>
      <c r="AF692" s="64"/>
      <c r="AG692" s="212"/>
      <c r="AH692" s="64"/>
      <c r="AI692" s="64"/>
      <c r="AJ692" s="64"/>
      <c r="AK692" s="212"/>
      <c r="AL692" s="64"/>
      <c r="AM692" s="64"/>
      <c r="AN692" s="64"/>
      <c r="AO692" s="64"/>
      <c r="AP692" s="63"/>
      <c r="AQ692" s="64"/>
      <c r="AR692" s="63"/>
      <c r="AS692" s="64"/>
      <c r="AT692" s="63"/>
      <c r="AU692" s="64"/>
      <c r="AV692" s="63"/>
      <c r="AW692" s="64"/>
      <c r="AX692" s="63"/>
      <c r="AY692" s="5"/>
      <c r="AZ692" s="21" t="str">
        <f t="shared" si="399"/>
        <v/>
      </c>
      <c r="BA692" s="264" t="s">
        <v>425</v>
      </c>
      <c r="BB692" s="264"/>
      <c r="BC692" s="264"/>
      <c r="BD692" s="264" t="s">
        <v>99</v>
      </c>
      <c r="BE692" s="216" t="s">
        <v>464</v>
      </c>
      <c r="BF692" s="303"/>
      <c r="BG692" s="303"/>
      <c r="BH692" s="303"/>
      <c r="BI692" s="303"/>
      <c r="BJ692" s="303"/>
      <c r="BK692" s="303"/>
      <c r="BL692" s="303"/>
      <c r="BM692" s="303"/>
      <c r="BN692" s="303"/>
      <c r="BO692" s="303"/>
      <c r="BP692" s="303"/>
      <c r="BQ692" s="5"/>
      <c r="BR692" s="25"/>
      <c r="BS692" s="5"/>
    </row>
    <row r="693" spans="1:71" s="3" customFormat="1" x14ac:dyDescent="0.25">
      <c r="A693" s="5"/>
      <c r="B693" s="3" t="str">
        <f t="array" ref="B693">IFERROR(INDEX(DemandSupply,MATCH(INDEX($AH$1:AH693,SMALL(ROW($AH$1:AH693)+(10000*($AH$1:AH693="")),COUNTA($AH$1:AH693))),Sectors,0)),"")</f>
        <v>Demand</v>
      </c>
      <c r="E693" s="10"/>
      <c r="F693" s="207"/>
      <c r="G693" s="207"/>
      <c r="H693" s="207"/>
      <c r="I693" s="207"/>
      <c r="J693" s="207"/>
      <c r="K693" s="207"/>
      <c r="L693" s="207"/>
      <c r="M693" s="207"/>
      <c r="N693" s="207"/>
      <c r="O693" s="207"/>
      <c r="P693" s="207"/>
      <c r="Q693" s="207"/>
      <c r="R693" s="207"/>
      <c r="S693" s="207"/>
      <c r="T693" s="207"/>
      <c r="U693" s="207"/>
      <c r="V693" s="207"/>
      <c r="W693" s="207"/>
      <c r="X693" s="207"/>
      <c r="Y693" s="207"/>
      <c r="Z693" s="207"/>
      <c r="AA693" s="207"/>
      <c r="AB693" s="207"/>
      <c r="AC693" s="5"/>
      <c r="AD693" s="63"/>
      <c r="AE693" s="64"/>
      <c r="AF693" s="64"/>
      <c r="AG693" s="212"/>
      <c r="AH693" s="64"/>
      <c r="AI693" s="64"/>
      <c r="AJ693" s="64"/>
      <c r="AK693" s="212"/>
      <c r="AL693" s="64"/>
      <c r="AM693" s="64"/>
      <c r="AN693" s="64"/>
      <c r="AO693" s="64"/>
      <c r="AP693" s="63"/>
      <c r="AQ693" s="64"/>
      <c r="AR693" s="63"/>
      <c r="AS693" s="64"/>
      <c r="AT693" s="63"/>
      <c r="AU693" s="64"/>
      <c r="AV693" s="63"/>
      <c r="AW693" s="64"/>
      <c r="AX693" s="63"/>
      <c r="AY693" s="5"/>
      <c r="AZ693" s="21" t="str">
        <f t="shared" si="399"/>
        <v/>
      </c>
      <c r="BA693" s="264" t="s">
        <v>438</v>
      </c>
      <c r="BB693" s="264"/>
      <c r="BC693" s="264"/>
      <c r="BD693" s="264" t="s">
        <v>353</v>
      </c>
      <c r="BE693" s="216" t="s">
        <v>464</v>
      </c>
      <c r="BF693" s="56"/>
      <c r="BG693" s="56"/>
      <c r="BH693" s="56"/>
      <c r="BI693" s="56"/>
      <c r="BJ693" s="56"/>
      <c r="BK693" s="56"/>
      <c r="BL693" s="56"/>
      <c r="BM693" s="56"/>
      <c r="BN693" s="56"/>
      <c r="BO693" s="56"/>
      <c r="BP693" s="56"/>
      <c r="BQ693" s="5"/>
      <c r="BR693" s="25"/>
      <c r="BS693" s="5"/>
    </row>
    <row r="694" spans="1:71" s="3" customFormat="1" x14ac:dyDescent="0.25">
      <c r="A694" s="5"/>
      <c r="B694" s="3" t="str">
        <f t="array" ref="B694">IFERROR(INDEX(DemandSupply,MATCH(INDEX($AH$1:AH694,SMALL(ROW($AH$1:AH694)+(10000*($AH$1:AH694="")),COUNTA($AH$1:AH694))),Sectors,0)),"")</f>
        <v>Demand</v>
      </c>
      <c r="E694" s="10"/>
      <c r="F694" s="207"/>
      <c r="G694" s="207"/>
      <c r="H694" s="207"/>
      <c r="I694" s="207"/>
      <c r="J694" s="207"/>
      <c r="K694" s="207"/>
      <c r="L694" s="207"/>
      <c r="M694" s="207"/>
      <c r="N694" s="207"/>
      <c r="O694" s="207"/>
      <c r="P694" s="207"/>
      <c r="Q694" s="207"/>
      <c r="R694" s="207"/>
      <c r="S694" s="207"/>
      <c r="T694" s="207"/>
      <c r="U694" s="207"/>
      <c r="V694" s="207"/>
      <c r="W694" s="207"/>
      <c r="X694" s="207"/>
      <c r="Y694" s="207"/>
      <c r="Z694" s="207"/>
      <c r="AA694" s="207"/>
      <c r="AB694" s="207"/>
      <c r="AC694" s="5"/>
      <c r="AD694" s="63"/>
      <c r="AE694" s="64"/>
      <c r="AF694" s="64"/>
      <c r="AG694" s="212"/>
      <c r="AH694" s="64"/>
      <c r="AI694" s="64"/>
      <c r="AJ694" s="64"/>
      <c r="AK694" s="212"/>
      <c r="AL694" s="64"/>
      <c r="AM694" s="64"/>
      <c r="AN694" s="64"/>
      <c r="AO694" s="64"/>
      <c r="AP694" s="63"/>
      <c r="AQ694" s="64"/>
      <c r="AR694" s="63"/>
      <c r="AS694" s="64"/>
      <c r="AT694" s="63"/>
      <c r="AU694" s="64"/>
      <c r="AV694" s="63"/>
      <c r="AW694" s="64"/>
      <c r="AX694" s="63"/>
      <c r="AY694" s="5"/>
      <c r="AZ694" s="21" t="str">
        <f t="shared" si="399"/>
        <v/>
      </c>
      <c r="BA694" s="264" t="s">
        <v>435</v>
      </c>
      <c r="BB694" s="264"/>
      <c r="BC694" s="264"/>
      <c r="BD694" s="264"/>
      <c r="BE694" s="216" t="s">
        <v>464</v>
      </c>
      <c r="BF694" s="55"/>
      <c r="BG694" s="55"/>
      <c r="BH694" s="55"/>
      <c r="BI694" s="55"/>
      <c r="BJ694" s="55"/>
      <c r="BK694" s="55"/>
      <c r="BL694" s="55"/>
      <c r="BM694" s="55"/>
      <c r="BN694" s="55"/>
      <c r="BO694" s="55"/>
      <c r="BP694" s="55"/>
      <c r="BQ694" s="5"/>
      <c r="BR694" s="25"/>
      <c r="BS694" s="5"/>
    </row>
    <row r="695" spans="1:71" s="3" customFormat="1" x14ac:dyDescent="0.25">
      <c r="A695" s="5"/>
      <c r="B695" s="3" t="str">
        <f t="array" ref="B695">IFERROR(INDEX(DemandSupply,MATCH(INDEX($AH$1:AH695,SMALL(ROW($AH$1:AH695)+(10000*($AH$1:AH695="")),COUNTA($AH$1:AH695))),Sectors,0)),"")</f>
        <v>Demand</v>
      </c>
      <c r="E695" s="10"/>
      <c r="F695" s="207"/>
      <c r="G695" s="207"/>
      <c r="H695" s="207"/>
      <c r="I695" s="207"/>
      <c r="J695" s="207"/>
      <c r="K695" s="207"/>
      <c r="L695" s="207"/>
      <c r="M695" s="207"/>
      <c r="N695" s="207"/>
      <c r="O695" s="207"/>
      <c r="P695" s="207"/>
      <c r="Q695" s="207"/>
      <c r="R695" s="207"/>
      <c r="S695" s="207"/>
      <c r="T695" s="207"/>
      <c r="U695" s="207"/>
      <c r="V695" s="207"/>
      <c r="W695" s="207"/>
      <c r="X695" s="207"/>
      <c r="Y695" s="207"/>
      <c r="Z695" s="207"/>
      <c r="AA695" s="207"/>
      <c r="AB695" s="207"/>
      <c r="AC695" s="5"/>
      <c r="AD695" s="63"/>
      <c r="AE695" s="64"/>
      <c r="AF695" s="64"/>
      <c r="AG695" s="212"/>
      <c r="AH695" s="64"/>
      <c r="AI695" s="64"/>
      <c r="AJ695" s="64"/>
      <c r="AK695" s="212"/>
      <c r="AL695" s="64"/>
      <c r="AM695" s="64"/>
      <c r="AN695" s="64"/>
      <c r="AO695" s="64"/>
      <c r="AP695" s="63"/>
      <c r="AQ695" s="64"/>
      <c r="AR695" s="63"/>
      <c r="AS695" s="64"/>
      <c r="AT695" s="63"/>
      <c r="AU695" s="64"/>
      <c r="AV695" s="63"/>
      <c r="AW695" s="64"/>
      <c r="AX695" s="63"/>
      <c r="AY695" s="5"/>
      <c r="AZ695" s="21" t="str">
        <f t="shared" si="399"/>
        <v/>
      </c>
      <c r="BA695" s="264" t="s">
        <v>407</v>
      </c>
      <c r="BB695" s="264"/>
      <c r="BC695" s="264"/>
      <c r="BD695" s="264" t="s">
        <v>99</v>
      </c>
      <c r="BE695" s="216" t="s">
        <v>464</v>
      </c>
      <c r="BF695" s="303"/>
      <c r="BG695" s="303"/>
      <c r="BH695" s="303"/>
      <c r="BI695" s="303"/>
      <c r="BJ695" s="303"/>
      <c r="BK695" s="303"/>
      <c r="BL695" s="303"/>
      <c r="BM695" s="303"/>
      <c r="BN695" s="303"/>
      <c r="BO695" s="303"/>
      <c r="BP695" s="303"/>
      <c r="BQ695" s="5"/>
      <c r="BR695" s="25"/>
      <c r="BS695" s="5"/>
    </row>
    <row r="696" spans="1:71" s="3" customFormat="1" x14ac:dyDescent="0.25">
      <c r="A696" s="5"/>
      <c r="B696" s="3" t="str">
        <f t="array" ref="B696">IFERROR(INDEX(DemandSupply,MATCH(INDEX($AH$1:AH696,SMALL(ROW($AH$1:AH696)+(10000*($AH$1:AH696="")),COUNTA($AH$1:AH696))),Sectors,0)),"")</f>
        <v>Demand</v>
      </c>
      <c r="E696" s="10"/>
      <c r="F696" s="207"/>
      <c r="G696" s="207"/>
      <c r="H696" s="207"/>
      <c r="I696" s="207"/>
      <c r="J696" s="207"/>
      <c r="K696" s="207"/>
      <c r="L696" s="207"/>
      <c r="M696" s="207"/>
      <c r="N696" s="207"/>
      <c r="O696" s="207"/>
      <c r="P696" s="207"/>
      <c r="Q696" s="207"/>
      <c r="R696" s="207"/>
      <c r="S696" s="207"/>
      <c r="T696" s="207"/>
      <c r="U696" s="207"/>
      <c r="V696" s="207"/>
      <c r="W696" s="207"/>
      <c r="X696" s="207"/>
      <c r="Y696" s="207"/>
      <c r="Z696" s="207"/>
      <c r="AA696" s="207"/>
      <c r="AB696" s="207"/>
      <c r="AC696" s="5"/>
      <c r="AD696" s="63"/>
      <c r="AE696" s="64"/>
      <c r="AF696" s="64"/>
      <c r="AG696" s="212"/>
      <c r="AH696" s="64"/>
      <c r="AI696" s="64"/>
      <c r="AJ696" s="64"/>
      <c r="AK696" s="212"/>
      <c r="AL696" s="64"/>
      <c r="AM696" s="64"/>
      <c r="AN696" s="64"/>
      <c r="AO696" s="64"/>
      <c r="AP696" s="63"/>
      <c r="AQ696" s="64"/>
      <c r="AR696" s="63"/>
      <c r="AS696" s="64"/>
      <c r="AT696" s="63"/>
      <c r="AU696" s="64"/>
      <c r="AV696" s="63"/>
      <c r="AW696" s="64"/>
      <c r="AX696" s="63"/>
      <c r="AY696" s="5"/>
      <c r="AZ696" s="21" t="str">
        <f t="shared" si="399"/>
        <v/>
      </c>
      <c r="BA696" s="264" t="s">
        <v>444</v>
      </c>
      <c r="BB696" s="264"/>
      <c r="BC696" s="264"/>
      <c r="BD696" s="264" t="s">
        <v>354</v>
      </c>
      <c r="BE696" s="216" t="s">
        <v>464</v>
      </c>
      <c r="BF696" s="56"/>
      <c r="BG696" s="282">
        <f t="shared" ref="BG696" si="431">BF696</f>
        <v>0</v>
      </c>
      <c r="BH696" s="282">
        <f t="shared" ref="BH696" si="432">BG696</f>
        <v>0</v>
      </c>
      <c r="BI696" s="282">
        <f t="shared" ref="BI696" si="433">BH696</f>
        <v>0</v>
      </c>
      <c r="BJ696" s="282">
        <f t="shared" ref="BJ696" si="434">BI696</f>
        <v>0</v>
      </c>
      <c r="BK696" s="282">
        <f t="shared" ref="BK696" si="435">BJ696</f>
        <v>0</v>
      </c>
      <c r="BL696" s="282">
        <f t="shared" ref="BL696" si="436">BK696</f>
        <v>0</v>
      </c>
      <c r="BM696" s="282">
        <f t="shared" ref="BM696" si="437">BL696</f>
        <v>0</v>
      </c>
      <c r="BN696" s="282">
        <f t="shared" ref="BN696" si="438">BM696</f>
        <v>0</v>
      </c>
      <c r="BO696" s="282">
        <f t="shared" ref="BO696" si="439">BN696</f>
        <v>0</v>
      </c>
      <c r="BP696" s="282">
        <f t="shared" ref="BP696" si="440">BO696</f>
        <v>0</v>
      </c>
      <c r="BQ696" s="5"/>
      <c r="BR696" s="25"/>
      <c r="BS696" s="5"/>
    </row>
    <row r="697" spans="1:71" s="3" customFormat="1" x14ac:dyDescent="0.25">
      <c r="A697" s="5"/>
      <c r="B697" s="3" t="str">
        <f t="array" ref="B697">IFERROR(INDEX(DemandSupply,MATCH(INDEX($AH$1:AH697,SMALL(ROW($AH$1:AH697)+(10000*($AH$1:AH697="")),COUNTA($AH$1:AH697))),Sectors,0)),"")</f>
        <v>Demand</v>
      </c>
      <c r="E697" s="10"/>
      <c r="F697" s="207"/>
      <c r="G697" s="207"/>
      <c r="H697" s="207"/>
      <c r="I697" s="207"/>
      <c r="J697" s="207"/>
      <c r="K697" s="207"/>
      <c r="L697" s="207"/>
      <c r="M697" s="207"/>
      <c r="N697" s="207"/>
      <c r="O697" s="207"/>
      <c r="P697" s="207"/>
      <c r="Q697" s="207"/>
      <c r="R697" s="207"/>
      <c r="S697" s="207"/>
      <c r="T697" s="207"/>
      <c r="U697" s="207"/>
      <c r="V697" s="207"/>
      <c r="W697" s="207"/>
      <c r="X697" s="207"/>
      <c r="Y697" s="207"/>
      <c r="Z697" s="207"/>
      <c r="AA697" s="207"/>
      <c r="AB697" s="207"/>
      <c r="AC697" s="5"/>
      <c r="AD697" s="63"/>
      <c r="AE697" s="64"/>
      <c r="AF697" s="64"/>
      <c r="AG697" s="212"/>
      <c r="AH697" s="64"/>
      <c r="AI697" s="64"/>
      <c r="AJ697" s="64"/>
      <c r="AK697" s="212"/>
      <c r="AL697" s="64"/>
      <c r="AM697" s="64"/>
      <c r="AN697" s="64"/>
      <c r="AO697" s="64"/>
      <c r="AP697" s="63"/>
      <c r="AQ697" s="64"/>
      <c r="AR697" s="63"/>
      <c r="AS697" s="64"/>
      <c r="AT697" s="63"/>
      <c r="AU697" s="64"/>
      <c r="AV697" s="63"/>
      <c r="AW697" s="64"/>
      <c r="AX697" s="63"/>
      <c r="AY697" s="5"/>
      <c r="AZ697" s="21" t="str">
        <f t="shared" si="399"/>
        <v/>
      </c>
      <c r="BA697" s="264" t="s">
        <v>446</v>
      </c>
      <c r="BB697" s="264"/>
      <c r="BC697" s="264"/>
      <c r="BD697" s="264" t="s">
        <v>354</v>
      </c>
      <c r="BE697" s="216" t="s">
        <v>464</v>
      </c>
      <c r="BF697" s="56"/>
      <c r="BG697" s="56"/>
      <c r="BH697" s="56"/>
      <c r="BI697" s="56"/>
      <c r="BJ697" s="56"/>
      <c r="BK697" s="56"/>
      <c r="BL697" s="56"/>
      <c r="BM697" s="56"/>
      <c r="BN697" s="56"/>
      <c r="BO697" s="56"/>
      <c r="BP697" s="56"/>
      <c r="BQ697" s="5"/>
      <c r="BR697" s="25"/>
      <c r="BS697" s="5"/>
    </row>
    <row r="698" spans="1:71" s="3" customFormat="1" x14ac:dyDescent="0.25">
      <c r="A698" s="5"/>
      <c r="B698" s="3" t="str">
        <f t="array" ref="B698">IFERROR(INDEX(DemandSupply,MATCH(INDEX($AH$1:AH698,SMALL(ROW($AH$1:AH698)+(10000*($AH$1:AH698="")),COUNTA($AH$1:AH698))),Sectors,0)),"")</f>
        <v>Demand</v>
      </c>
      <c r="E698" s="10"/>
      <c r="F698" s="207"/>
      <c r="G698" s="207"/>
      <c r="H698" s="207"/>
      <c r="I698" s="207"/>
      <c r="J698" s="207"/>
      <c r="K698" s="207"/>
      <c r="L698" s="207"/>
      <c r="M698" s="207"/>
      <c r="N698" s="207"/>
      <c r="O698" s="207"/>
      <c r="P698" s="207"/>
      <c r="Q698" s="207"/>
      <c r="R698" s="207"/>
      <c r="S698" s="207"/>
      <c r="T698" s="207"/>
      <c r="U698" s="207"/>
      <c r="V698" s="207"/>
      <c r="W698" s="207"/>
      <c r="X698" s="207"/>
      <c r="Y698" s="207"/>
      <c r="Z698" s="207"/>
      <c r="AA698" s="207"/>
      <c r="AB698" s="207"/>
      <c r="AC698" s="5"/>
      <c r="AD698" s="63"/>
      <c r="AE698" s="64"/>
      <c r="AF698" s="64"/>
      <c r="AG698" s="212"/>
      <c r="AH698" s="64"/>
      <c r="AI698" s="64"/>
      <c r="AJ698" s="64"/>
      <c r="AK698" s="212"/>
      <c r="AL698" s="64"/>
      <c r="AM698" s="64"/>
      <c r="AN698" s="64"/>
      <c r="AO698" s="64"/>
      <c r="AP698" s="63"/>
      <c r="AQ698" s="64"/>
      <c r="AR698" s="63"/>
      <c r="AS698" s="64"/>
      <c r="AT698" s="63"/>
      <c r="AU698" s="64"/>
      <c r="AV698" s="63"/>
      <c r="AW698" s="64"/>
      <c r="AX698" s="63"/>
      <c r="AY698" s="5"/>
      <c r="AZ698" s="21" t="str">
        <f t="shared" si="399"/>
        <v/>
      </c>
      <c r="BA698" s="264" t="s">
        <v>447</v>
      </c>
      <c r="BB698" s="264"/>
      <c r="BC698" s="264"/>
      <c r="BD698" s="264"/>
      <c r="BE698" s="216" t="s">
        <v>464</v>
      </c>
      <c r="BF698" s="55"/>
      <c r="BG698" s="55"/>
      <c r="BH698" s="55"/>
      <c r="BI698" s="55"/>
      <c r="BJ698" s="55"/>
      <c r="BK698" s="55"/>
      <c r="BL698" s="55"/>
      <c r="BM698" s="55"/>
      <c r="BN698" s="55"/>
      <c r="BO698" s="55"/>
      <c r="BP698" s="55"/>
      <c r="BQ698" s="5"/>
      <c r="BR698" s="25"/>
      <c r="BS698" s="5"/>
    </row>
    <row r="699" spans="1:71" s="3" customFormat="1" x14ac:dyDescent="0.25">
      <c r="A699" s="5"/>
      <c r="B699" s="3" t="str">
        <f t="array" ref="B699">IFERROR(INDEX(DemandSupply,MATCH(INDEX($AH$1:AH699,SMALL(ROW($AH$1:AH699)+(10000*($AH$1:AH699="")),COUNTA($AH$1:AH699))),Sectors,0)),"")</f>
        <v>Demand</v>
      </c>
      <c r="E699" s="10"/>
      <c r="F699" s="207"/>
      <c r="G699" s="207"/>
      <c r="H699" s="207"/>
      <c r="I699" s="207"/>
      <c r="J699" s="207"/>
      <c r="K699" s="207"/>
      <c r="L699" s="207"/>
      <c r="M699" s="207"/>
      <c r="N699" s="207"/>
      <c r="O699" s="207"/>
      <c r="P699" s="207"/>
      <c r="Q699" s="207"/>
      <c r="R699" s="207"/>
      <c r="S699" s="207"/>
      <c r="T699" s="207"/>
      <c r="U699" s="207"/>
      <c r="V699" s="207"/>
      <c r="W699" s="207"/>
      <c r="X699" s="207"/>
      <c r="Y699" s="207"/>
      <c r="Z699" s="207"/>
      <c r="AA699" s="207"/>
      <c r="AB699" s="207"/>
      <c r="AC699" s="5"/>
      <c r="AD699" s="63"/>
      <c r="AE699" s="64"/>
      <c r="AF699" s="64"/>
      <c r="AG699" s="212"/>
      <c r="AH699" s="64"/>
      <c r="AI699" s="64"/>
      <c r="AJ699" s="64"/>
      <c r="AK699" s="212"/>
      <c r="AL699" s="64"/>
      <c r="AM699" s="64"/>
      <c r="AN699" s="64"/>
      <c r="AO699" s="64"/>
      <c r="AP699" s="63"/>
      <c r="AQ699" s="64"/>
      <c r="AR699" s="63"/>
      <c r="AS699" s="64"/>
      <c r="AT699" s="63"/>
      <c r="AU699" s="64"/>
      <c r="AV699" s="63"/>
      <c r="AW699" s="64"/>
      <c r="AX699" s="63"/>
      <c r="AY699" s="5"/>
      <c r="AZ699" s="21" t="str">
        <f t="shared" si="399"/>
        <v/>
      </c>
      <c r="BA699" s="264" t="s">
        <v>448</v>
      </c>
      <c r="BB699" s="264"/>
      <c r="BC699" s="264"/>
      <c r="BD699" s="264"/>
      <c r="BE699" s="216" t="s">
        <v>464</v>
      </c>
      <c r="BF699" s="55"/>
      <c r="BG699" s="55"/>
      <c r="BH699" s="55"/>
      <c r="BI699" s="55"/>
      <c r="BJ699" s="55"/>
      <c r="BK699" s="55"/>
      <c r="BL699" s="55"/>
      <c r="BM699" s="55"/>
      <c r="BN699" s="55"/>
      <c r="BO699" s="55"/>
      <c r="BP699" s="55"/>
      <c r="BQ699" s="5"/>
      <c r="BR699" s="25"/>
      <c r="BS699" s="5"/>
    </row>
    <row r="700" spans="1:71" s="3" customFormat="1" x14ac:dyDescent="0.25">
      <c r="A700" s="5"/>
      <c r="B700" s="3" t="str">
        <f t="array" ref="B700">IFERROR(INDEX(DemandSupply,MATCH(INDEX($AH$1:AH700,SMALL(ROW($AH$1:AH700)+(10000*($AH$1:AH700="")),COUNTA($AH$1:AH700))),Sectors,0)),"")</f>
        <v>Demand</v>
      </c>
      <c r="E700" s="10"/>
      <c r="F700" s="207"/>
      <c r="G700" s="207"/>
      <c r="H700" s="207"/>
      <c r="I700" s="207"/>
      <c r="J700" s="207"/>
      <c r="K700" s="207"/>
      <c r="L700" s="207"/>
      <c r="M700" s="207"/>
      <c r="N700" s="207"/>
      <c r="O700" s="207"/>
      <c r="P700" s="207"/>
      <c r="Q700" s="207"/>
      <c r="R700" s="207"/>
      <c r="S700" s="207"/>
      <c r="T700" s="207"/>
      <c r="U700" s="207"/>
      <c r="V700" s="207"/>
      <c r="W700" s="207"/>
      <c r="X700" s="207"/>
      <c r="Y700" s="207"/>
      <c r="Z700" s="207"/>
      <c r="AA700" s="207"/>
      <c r="AB700" s="207"/>
      <c r="AC700" s="5"/>
      <c r="AD700" s="63"/>
      <c r="AE700" s="64"/>
      <c r="AF700" s="64"/>
      <c r="AG700" s="212"/>
      <c r="AH700" s="64"/>
      <c r="AI700" s="64"/>
      <c r="AJ700" s="64"/>
      <c r="AK700" s="212"/>
      <c r="AL700" s="64"/>
      <c r="AM700" s="64"/>
      <c r="AN700" s="64"/>
      <c r="AO700" s="64"/>
      <c r="AP700" s="63"/>
      <c r="AQ700" s="64"/>
      <c r="AR700" s="63"/>
      <c r="AS700" s="64"/>
      <c r="AT700" s="63"/>
      <c r="AU700" s="64"/>
      <c r="AV700" s="63"/>
      <c r="AW700" s="64"/>
      <c r="AX700" s="63"/>
      <c r="AY700" s="5"/>
      <c r="AZ700" s="21" t="str">
        <f t="shared" si="399"/>
        <v/>
      </c>
      <c r="BA700" s="264" t="s">
        <v>445</v>
      </c>
      <c r="BB700" s="264"/>
      <c r="BC700" s="264"/>
      <c r="BD700" s="264" t="s">
        <v>466</v>
      </c>
      <c r="BE700" s="216" t="s">
        <v>464</v>
      </c>
      <c r="BF700" s="56"/>
      <c r="BG700" s="56"/>
      <c r="BH700" s="56"/>
      <c r="BI700" s="56"/>
      <c r="BJ700" s="56"/>
      <c r="BK700" s="56"/>
      <c r="BL700" s="56"/>
      <c r="BM700" s="56"/>
      <c r="BN700" s="56"/>
      <c r="BO700" s="56"/>
      <c r="BP700" s="56"/>
      <c r="BQ700" s="5"/>
      <c r="BR700" s="25"/>
      <c r="BS700" s="5"/>
    </row>
    <row r="701" spans="1:71" s="3" customFormat="1" x14ac:dyDescent="0.25">
      <c r="A701" s="5"/>
      <c r="B701" s="3" t="str">
        <f t="array" ref="B701">IFERROR(INDEX(DemandSupply,MATCH(INDEX($AH$1:AH701,SMALL(ROW($AH$1:AH701)+(10000*($AH$1:AH701="")),COUNTA($AH$1:AH701))),Sectors,0)),"")</f>
        <v>Demand</v>
      </c>
      <c r="E701" s="10"/>
      <c r="F701" s="207"/>
      <c r="G701" s="207"/>
      <c r="H701" s="207"/>
      <c r="I701" s="207"/>
      <c r="J701" s="207"/>
      <c r="K701" s="207"/>
      <c r="L701" s="207"/>
      <c r="M701" s="207"/>
      <c r="N701" s="207"/>
      <c r="O701" s="207"/>
      <c r="P701" s="207"/>
      <c r="Q701" s="207"/>
      <c r="R701" s="207"/>
      <c r="S701" s="207"/>
      <c r="T701" s="207"/>
      <c r="U701" s="207"/>
      <c r="V701" s="207"/>
      <c r="W701" s="207"/>
      <c r="X701" s="207"/>
      <c r="Y701" s="207"/>
      <c r="Z701" s="207"/>
      <c r="AA701" s="207"/>
      <c r="AB701" s="207"/>
      <c r="AC701" s="5"/>
      <c r="AD701" s="63"/>
      <c r="AE701" s="64"/>
      <c r="AF701" s="64"/>
      <c r="AG701" s="212"/>
      <c r="AH701" s="64"/>
      <c r="AI701" s="64"/>
      <c r="AJ701" s="64"/>
      <c r="AK701" s="212"/>
      <c r="AL701" s="64"/>
      <c r="AM701" s="64"/>
      <c r="AN701" s="64"/>
      <c r="AO701" s="64"/>
      <c r="AP701" s="63"/>
      <c r="AQ701" s="64"/>
      <c r="AR701" s="63"/>
      <c r="AS701" s="64"/>
      <c r="AT701" s="63"/>
      <c r="AU701" s="64"/>
      <c r="AV701" s="63"/>
      <c r="AW701" s="64"/>
      <c r="AX701" s="63"/>
      <c r="AY701" s="5"/>
      <c r="AZ701" s="21" t="str">
        <f t="shared" si="399"/>
        <v/>
      </c>
      <c r="BA701" s="264" t="s">
        <v>449</v>
      </c>
      <c r="BB701" s="264"/>
      <c r="BC701" s="264"/>
      <c r="BD701" s="264" t="s">
        <v>466</v>
      </c>
      <c r="BE701" s="216" t="s">
        <v>464</v>
      </c>
      <c r="BF701" s="56"/>
      <c r="BG701" s="56"/>
      <c r="BH701" s="56"/>
      <c r="BI701" s="56"/>
      <c r="BJ701" s="56"/>
      <c r="BK701" s="56"/>
      <c r="BL701" s="56"/>
      <c r="BM701" s="56"/>
      <c r="BN701" s="56"/>
      <c r="BO701" s="56"/>
      <c r="BP701" s="56"/>
      <c r="BQ701" s="5"/>
      <c r="BR701" s="25"/>
      <c r="BS701" s="5"/>
    </row>
    <row r="702" spans="1:71" s="3" customFormat="1" x14ac:dyDescent="0.25">
      <c r="A702" s="5"/>
      <c r="B702" s="3" t="str">
        <f t="array" ref="B702">IFERROR(INDEX(DemandSupply,MATCH(INDEX($AH$1:AH702,SMALL(ROW($AH$1:AH702)+(10000*($AH$1:AH702="")),COUNTA($AH$1:AH702))),Sectors,0)),"")</f>
        <v>Demand</v>
      </c>
      <c r="E702" s="10"/>
      <c r="F702" s="207"/>
      <c r="G702" s="207"/>
      <c r="H702" s="207"/>
      <c r="I702" s="207"/>
      <c r="J702" s="207"/>
      <c r="K702" s="207"/>
      <c r="L702" s="207"/>
      <c r="M702" s="207"/>
      <c r="N702" s="207"/>
      <c r="O702" s="207"/>
      <c r="P702" s="207"/>
      <c r="Q702" s="207"/>
      <c r="R702" s="207"/>
      <c r="S702" s="207"/>
      <c r="T702" s="207"/>
      <c r="U702" s="207"/>
      <c r="V702" s="207"/>
      <c r="W702" s="207"/>
      <c r="X702" s="207"/>
      <c r="Y702" s="207"/>
      <c r="Z702" s="207"/>
      <c r="AA702" s="207"/>
      <c r="AB702" s="207"/>
      <c r="AC702" s="5"/>
      <c r="AD702" s="63"/>
      <c r="AE702" s="64"/>
      <c r="AF702" s="64"/>
      <c r="AG702" s="212"/>
      <c r="AH702" s="64"/>
      <c r="AI702" s="64"/>
      <c r="AJ702" s="64"/>
      <c r="AK702" s="212"/>
      <c r="AL702" s="64"/>
      <c r="AM702" s="64"/>
      <c r="AN702" s="64"/>
      <c r="AO702" s="64"/>
      <c r="AP702" s="63"/>
      <c r="AQ702" s="64"/>
      <c r="AR702" s="63"/>
      <c r="AS702" s="64"/>
      <c r="AT702" s="63"/>
      <c r="AU702" s="64"/>
      <c r="AV702" s="63"/>
      <c r="AW702" s="64"/>
      <c r="AX702" s="63"/>
      <c r="AY702" s="5"/>
      <c r="AZ702" s="21" t="str">
        <f t="shared" si="399"/>
        <v/>
      </c>
      <c r="BA702" s="264" t="s">
        <v>450</v>
      </c>
      <c r="BB702" s="264"/>
      <c r="BC702" s="264"/>
      <c r="BD702" s="264"/>
      <c r="BE702" s="216" t="s">
        <v>464</v>
      </c>
      <c r="BF702" s="55"/>
      <c r="BG702" s="55"/>
      <c r="BH702" s="55"/>
      <c r="BI702" s="55"/>
      <c r="BJ702" s="55"/>
      <c r="BK702" s="55"/>
      <c r="BL702" s="55"/>
      <c r="BM702" s="55"/>
      <c r="BN702" s="55"/>
      <c r="BO702" s="55"/>
      <c r="BP702" s="55"/>
      <c r="BQ702" s="5"/>
      <c r="BR702" s="25"/>
      <c r="BS702" s="5"/>
    </row>
    <row r="703" spans="1:71" s="3" customFormat="1" x14ac:dyDescent="0.25">
      <c r="A703" s="5"/>
      <c r="B703" s="3" t="str">
        <f t="array" ref="B703">IFERROR(INDEX(DemandSupply,MATCH(INDEX($AH$1:AH703,SMALL(ROW($AH$1:AH703)+(10000*($AH$1:AH703="")),COUNTA($AH$1:AH703))),Sectors,0)),"")</f>
        <v>Demand</v>
      </c>
      <c r="E703" s="10"/>
      <c r="F703" s="207"/>
      <c r="G703" s="207"/>
      <c r="H703" s="207"/>
      <c r="I703" s="207"/>
      <c r="J703" s="207"/>
      <c r="K703" s="207"/>
      <c r="L703" s="207"/>
      <c r="M703" s="207"/>
      <c r="N703" s="207"/>
      <c r="O703" s="207"/>
      <c r="P703" s="207"/>
      <c r="Q703" s="207"/>
      <c r="R703" s="207"/>
      <c r="S703" s="207"/>
      <c r="T703" s="207"/>
      <c r="U703" s="207"/>
      <c r="V703" s="207"/>
      <c r="W703" s="207"/>
      <c r="X703" s="207"/>
      <c r="Y703" s="207"/>
      <c r="Z703" s="207"/>
      <c r="AA703" s="207"/>
      <c r="AB703" s="207"/>
      <c r="AC703" s="5"/>
      <c r="AD703" s="63"/>
      <c r="AE703" s="64"/>
      <c r="AF703" s="64"/>
      <c r="AG703" s="212"/>
      <c r="AH703" s="64"/>
      <c r="AI703" s="64"/>
      <c r="AJ703" s="64"/>
      <c r="AK703" s="212"/>
      <c r="AL703" s="64"/>
      <c r="AM703" s="64"/>
      <c r="AN703" s="64"/>
      <c r="AO703" s="64"/>
      <c r="AP703" s="63"/>
      <c r="AQ703" s="64"/>
      <c r="AR703" s="63"/>
      <c r="AS703" s="64"/>
      <c r="AT703" s="63"/>
      <c r="AU703" s="64"/>
      <c r="AV703" s="63"/>
      <c r="AW703" s="64"/>
      <c r="AX703" s="63"/>
      <c r="AY703" s="5"/>
      <c r="AZ703" s="21" t="str">
        <f t="shared" si="399"/>
        <v/>
      </c>
      <c r="BA703" s="264" t="s">
        <v>451</v>
      </c>
      <c r="BB703" s="264"/>
      <c r="BC703" s="264"/>
      <c r="BD703" s="264"/>
      <c r="BE703" s="216" t="s">
        <v>464</v>
      </c>
      <c r="BF703" s="55"/>
      <c r="BG703" s="55"/>
      <c r="BH703" s="55"/>
      <c r="BI703" s="55"/>
      <c r="BJ703" s="55"/>
      <c r="BK703" s="55"/>
      <c r="BL703" s="55"/>
      <c r="BM703" s="55"/>
      <c r="BN703" s="55"/>
      <c r="BO703" s="55"/>
      <c r="BP703" s="55"/>
      <c r="BQ703" s="5"/>
      <c r="BR703" s="25"/>
      <c r="BS703" s="5"/>
    </row>
    <row r="704" spans="1:71" s="3" customFormat="1" x14ac:dyDescent="0.25">
      <c r="A704" s="5"/>
      <c r="B704" s="3" t="str">
        <f t="array" ref="B704">IFERROR(INDEX(DemandSupply,MATCH(INDEX($AH$1:AH704,SMALL(ROW($AH$1:AH704)+(10000*($AH$1:AH704="")),COUNTA($AH$1:AH704))),Sectors,0)),"")</f>
        <v>Demand</v>
      </c>
      <c r="E704" s="10"/>
      <c r="F704" s="207"/>
      <c r="G704" s="207"/>
      <c r="H704" s="207"/>
      <c r="I704" s="207"/>
      <c r="J704" s="207"/>
      <c r="K704" s="207"/>
      <c r="L704" s="207"/>
      <c r="M704" s="207"/>
      <c r="N704" s="207"/>
      <c r="O704" s="207"/>
      <c r="P704" s="207"/>
      <c r="Q704" s="207"/>
      <c r="R704" s="207"/>
      <c r="S704" s="207"/>
      <c r="T704" s="207"/>
      <c r="U704" s="207"/>
      <c r="V704" s="207"/>
      <c r="W704" s="207"/>
      <c r="X704" s="207"/>
      <c r="Y704" s="207"/>
      <c r="Z704" s="207"/>
      <c r="AA704" s="207"/>
      <c r="AB704" s="207"/>
      <c r="AC704" s="5"/>
      <c r="AD704" s="63"/>
      <c r="AE704" s="64"/>
      <c r="AF704" s="64"/>
      <c r="AG704" s="212"/>
      <c r="AH704" s="64"/>
      <c r="AI704" s="64"/>
      <c r="AJ704" s="64"/>
      <c r="AK704" s="212"/>
      <c r="AL704" s="64"/>
      <c r="AM704" s="64"/>
      <c r="AN704" s="64"/>
      <c r="AO704" s="64"/>
      <c r="AP704" s="63"/>
      <c r="AQ704" s="64"/>
      <c r="AR704" s="63"/>
      <c r="AS704" s="64"/>
      <c r="AT704" s="63"/>
      <c r="AU704" s="64"/>
      <c r="AV704" s="63"/>
      <c r="AW704" s="64"/>
      <c r="AX704" s="63"/>
      <c r="AY704" s="5"/>
      <c r="AZ704" s="21" t="str">
        <f t="shared" si="399"/>
        <v/>
      </c>
      <c r="BA704" s="264" t="s">
        <v>342</v>
      </c>
      <c r="BB704" s="264"/>
      <c r="BC704" s="264"/>
      <c r="BD704" s="264" t="s">
        <v>466</v>
      </c>
      <c r="BE704" s="216" t="s">
        <v>464</v>
      </c>
      <c r="BF704" s="56">
        <v>11.249000000000001</v>
      </c>
      <c r="BG704" s="282">
        <f t="shared" ref="BG704" si="441">BF704</f>
        <v>11.249000000000001</v>
      </c>
      <c r="BH704" s="282">
        <f t="shared" ref="BH704" si="442">BG704</f>
        <v>11.249000000000001</v>
      </c>
      <c r="BI704" s="282">
        <f t="shared" ref="BI704" si="443">BH704</f>
        <v>11.249000000000001</v>
      </c>
      <c r="BJ704" s="282">
        <f t="shared" ref="BJ704" si="444">BI704</f>
        <v>11.249000000000001</v>
      </c>
      <c r="BK704" s="282">
        <f t="shared" ref="BK704" si="445">BJ704</f>
        <v>11.249000000000001</v>
      </c>
      <c r="BL704" s="282">
        <f t="shared" ref="BL704" si="446">BK704</f>
        <v>11.249000000000001</v>
      </c>
      <c r="BM704" s="282">
        <f t="shared" ref="BM704" si="447">BL704</f>
        <v>11.249000000000001</v>
      </c>
      <c r="BN704" s="282">
        <f t="shared" ref="BN704" si="448">BM704</f>
        <v>11.249000000000001</v>
      </c>
      <c r="BO704" s="282">
        <f t="shared" ref="BO704" si="449">BN704</f>
        <v>11.249000000000001</v>
      </c>
      <c r="BP704" s="282">
        <f t="shared" ref="BP704" si="450">BO704</f>
        <v>11.249000000000001</v>
      </c>
      <c r="BQ704" s="5"/>
      <c r="BR704" s="25"/>
      <c r="BS704" s="5"/>
    </row>
    <row r="705" spans="1:71" s="3" customFormat="1" x14ac:dyDescent="0.25">
      <c r="A705" s="5"/>
      <c r="B705" s="3" t="str">
        <f t="array" ref="B705">IFERROR(INDEX(DemandSupply,MATCH(INDEX($AH$1:AH705,SMALL(ROW($AH$1:AH705)+(10000*($AH$1:AH705="")),COUNTA($AH$1:AH705))),Sectors,0)),"")</f>
        <v>Demand</v>
      </c>
      <c r="E705" s="10"/>
      <c r="F705" s="207"/>
      <c r="G705" s="207"/>
      <c r="H705" s="207"/>
      <c r="I705" s="207"/>
      <c r="J705" s="207"/>
      <c r="K705" s="207"/>
      <c r="L705" s="207"/>
      <c r="M705" s="207"/>
      <c r="N705" s="207"/>
      <c r="O705" s="207"/>
      <c r="P705" s="207"/>
      <c r="Q705" s="207"/>
      <c r="R705" s="207"/>
      <c r="S705" s="207"/>
      <c r="T705" s="207"/>
      <c r="U705" s="207"/>
      <c r="V705" s="207"/>
      <c r="W705" s="207"/>
      <c r="X705" s="207"/>
      <c r="Y705" s="207"/>
      <c r="Z705" s="207"/>
      <c r="AA705" s="207"/>
      <c r="AB705" s="207"/>
      <c r="AC705" s="5"/>
      <c r="AD705" s="63"/>
      <c r="AE705" s="64"/>
      <c r="AF705" s="64"/>
      <c r="AG705" s="212"/>
      <c r="AH705" s="64"/>
      <c r="AI705" s="64"/>
      <c r="AJ705" s="64"/>
      <c r="AK705" s="212"/>
      <c r="AL705" s="64"/>
      <c r="AM705" s="64"/>
      <c r="AN705" s="64"/>
      <c r="AO705" s="64"/>
      <c r="AP705" s="63"/>
      <c r="AQ705" s="64"/>
      <c r="AR705" s="63"/>
      <c r="AS705" s="64"/>
      <c r="AT705" s="63"/>
      <c r="AU705" s="64"/>
      <c r="AV705" s="63"/>
      <c r="AW705" s="64"/>
      <c r="AX705" s="63"/>
      <c r="AY705" s="5"/>
      <c r="AZ705" s="21" t="str">
        <f t="shared" si="399"/>
        <v/>
      </c>
      <c r="BA705" s="264" t="s">
        <v>394</v>
      </c>
      <c r="BB705" s="264"/>
      <c r="BC705" s="264"/>
      <c r="BD705" s="264" t="s">
        <v>354</v>
      </c>
      <c r="BE705" s="216" t="s">
        <v>464</v>
      </c>
      <c r="BF705" s="56"/>
      <c r="BG705" s="56"/>
      <c r="BH705" s="56"/>
      <c r="BI705" s="56"/>
      <c r="BJ705" s="56"/>
      <c r="BK705" s="56"/>
      <c r="BL705" s="56"/>
      <c r="BM705" s="56"/>
      <c r="BN705" s="56"/>
      <c r="BO705" s="56"/>
      <c r="BP705" s="56"/>
      <c r="BQ705" s="5"/>
      <c r="BR705" s="25"/>
      <c r="BS705" s="5"/>
    </row>
    <row r="706" spans="1:71" s="3" customFormat="1" x14ac:dyDescent="0.25">
      <c r="A706" s="5"/>
      <c r="B706" s="3" t="str">
        <f t="array" ref="B706">IFERROR(INDEX(DemandSupply,MATCH(INDEX($AH$1:AH706,SMALL(ROW($AH$1:AH706)+(10000*($AH$1:AH706="")),COUNTA($AH$1:AH706))),Sectors,0)),"")</f>
        <v>Demand</v>
      </c>
      <c r="E706" s="10">
        <f t="shared" si="356"/>
        <v>0</v>
      </c>
      <c r="F706" s="207">
        <v>1</v>
      </c>
      <c r="G706" s="207">
        <v>1</v>
      </c>
      <c r="H706" s="207">
        <v>1</v>
      </c>
      <c r="I706" s="207">
        <v>1</v>
      </c>
      <c r="J706" s="207">
        <v>1</v>
      </c>
      <c r="K706" s="207">
        <v>1</v>
      </c>
      <c r="L706" s="207">
        <v>1</v>
      </c>
      <c r="M706" s="207">
        <v>1</v>
      </c>
      <c r="N706" s="207">
        <v>1</v>
      </c>
      <c r="O706" s="207">
        <v>1</v>
      </c>
      <c r="P706" s="207">
        <v>1</v>
      </c>
      <c r="Q706" s="207">
        <v>1</v>
      </c>
      <c r="R706" s="207">
        <v>1</v>
      </c>
      <c r="S706" s="207">
        <v>1</v>
      </c>
      <c r="T706" s="207">
        <v>1</v>
      </c>
      <c r="U706" s="207">
        <v>1</v>
      </c>
      <c r="V706" s="207">
        <v>1</v>
      </c>
      <c r="W706" s="207">
        <v>1</v>
      </c>
      <c r="X706" s="207">
        <v>1</v>
      </c>
      <c r="Y706" s="207">
        <v>1</v>
      </c>
      <c r="Z706" s="207">
        <v>1</v>
      </c>
      <c r="AA706" s="207">
        <v>1</v>
      </c>
      <c r="AB706" s="207">
        <v>1</v>
      </c>
      <c r="AC706" s="5"/>
      <c r="AD706" s="63"/>
      <c r="AE706" s="64"/>
      <c r="AF706" s="64"/>
      <c r="AG706" s="212"/>
      <c r="AH706" s="64"/>
      <c r="AI706" s="64"/>
      <c r="AJ706" s="64"/>
      <c r="AK706" s="212"/>
      <c r="AL706" s="80"/>
      <c r="AM706" s="64"/>
      <c r="AN706" s="64"/>
      <c r="AO706" s="64"/>
      <c r="AP706" s="63"/>
      <c r="AQ706" s="64"/>
      <c r="AR706" s="63"/>
      <c r="AS706" s="64"/>
      <c r="AT706" s="63"/>
      <c r="AU706" s="64"/>
      <c r="AV706" s="63"/>
      <c r="AW706" s="64"/>
      <c r="AX706" s="63"/>
      <c r="AY706" s="5"/>
      <c r="AZ706" s="21" t="str">
        <f t="shared" si="399"/>
        <v/>
      </c>
      <c r="BA706" s="74" t="s">
        <v>338</v>
      </c>
      <c r="BB706" s="13"/>
      <c r="BC706" s="74" t="s">
        <v>123</v>
      </c>
      <c r="BD706" s="74" t="s">
        <v>467</v>
      </c>
      <c r="BE706" s="216" t="s">
        <v>464</v>
      </c>
      <c r="BF706" s="55">
        <v>0.58199999999999996</v>
      </c>
      <c r="BG706" s="55">
        <v>0.58199999999999996</v>
      </c>
      <c r="BH706" s="55">
        <v>0.58199999999999996</v>
      </c>
      <c r="BI706" s="55">
        <v>0.58199999999999996</v>
      </c>
      <c r="BJ706" s="55">
        <v>0.58199999999999996</v>
      </c>
      <c r="BK706" s="55">
        <v>0.58199999999999996</v>
      </c>
      <c r="BL706" s="55">
        <v>0.58199999999999996</v>
      </c>
      <c r="BM706" s="55">
        <v>0.58199999999999996</v>
      </c>
      <c r="BN706" s="55">
        <v>0.58199999999999996</v>
      </c>
      <c r="BO706" s="55">
        <v>0.58199999999999996</v>
      </c>
      <c r="BP706" s="55">
        <v>0.58199999999999996</v>
      </c>
      <c r="BQ706" s="5"/>
      <c r="BR706" s="13"/>
      <c r="BS706" s="5"/>
    </row>
    <row r="707" spans="1:71" s="3" customFormat="1" x14ac:dyDescent="0.25">
      <c r="A707" s="5"/>
      <c r="B707" s="3" t="str">
        <f t="array" ref="B707">IFERROR(INDEX(DemandSupply,MATCH(INDEX($AH$1:AH707,SMALL(ROW($AH$1:AH707)+(10000*($AH$1:AH707="")),COUNTA($AH$1:AH707))),Sectors,0)),"")</f>
        <v>Demand</v>
      </c>
      <c r="E707" s="10">
        <f t="shared" ref="E707" si="451">IF(COUNTA(BA707)=1,0,MIN(F707:AA707))</f>
        <v>0</v>
      </c>
      <c r="F707" s="207">
        <v>1</v>
      </c>
      <c r="G707" s="207">
        <v>1</v>
      </c>
      <c r="H707" s="207">
        <v>1</v>
      </c>
      <c r="I707" s="207">
        <v>1</v>
      </c>
      <c r="J707" s="207">
        <v>1</v>
      </c>
      <c r="K707" s="207">
        <v>1</v>
      </c>
      <c r="L707" s="207">
        <v>1</v>
      </c>
      <c r="M707" s="207">
        <v>1</v>
      </c>
      <c r="N707" s="207">
        <v>1</v>
      </c>
      <c r="O707" s="207">
        <v>1</v>
      </c>
      <c r="P707" s="207">
        <v>1</v>
      </c>
      <c r="Q707" s="207">
        <v>1</v>
      </c>
      <c r="R707" s="207">
        <v>1</v>
      </c>
      <c r="S707" s="207">
        <v>1</v>
      </c>
      <c r="T707" s="207">
        <v>1</v>
      </c>
      <c r="U707" s="207">
        <v>1</v>
      </c>
      <c r="V707" s="207">
        <v>1</v>
      </c>
      <c r="W707" s="207">
        <v>1</v>
      </c>
      <c r="X707" s="207">
        <v>1</v>
      </c>
      <c r="Y707" s="207">
        <v>1</v>
      </c>
      <c r="Z707" s="207">
        <v>1</v>
      </c>
      <c r="AA707" s="207">
        <v>1</v>
      </c>
      <c r="AB707" s="207">
        <v>1</v>
      </c>
      <c r="AC707" s="5"/>
      <c r="AD707" s="63"/>
      <c r="AE707" s="64"/>
      <c r="AF707" s="64"/>
      <c r="AG707" s="212"/>
      <c r="AH707" s="64"/>
      <c r="AI707" s="64"/>
      <c r="AJ707" s="64"/>
      <c r="AK707" s="212"/>
      <c r="AL707" s="80"/>
      <c r="AM707" s="64"/>
      <c r="AN707" s="64"/>
      <c r="AO707" s="64"/>
      <c r="AP707" s="63"/>
      <c r="AQ707" s="64"/>
      <c r="AR707" s="63"/>
      <c r="AS707" s="64"/>
      <c r="AT707" s="63"/>
      <c r="AU707" s="64"/>
      <c r="AV707" s="63"/>
      <c r="AW707" s="64"/>
      <c r="AX707" s="63"/>
      <c r="AY707" s="5"/>
      <c r="AZ707" s="21" t="str">
        <f t="shared" si="399"/>
        <v/>
      </c>
      <c r="BA707" s="74" t="s">
        <v>338</v>
      </c>
      <c r="BB707" s="13"/>
      <c r="BC707" s="74" t="s">
        <v>468</v>
      </c>
      <c r="BD707" s="74" t="s">
        <v>467</v>
      </c>
      <c r="BE707" s="216" t="s">
        <v>464</v>
      </c>
      <c r="BF707" s="55">
        <v>10.692</v>
      </c>
      <c r="BG707" s="55">
        <v>10.692</v>
      </c>
      <c r="BH707" s="55">
        <v>10.692</v>
      </c>
      <c r="BI707" s="55">
        <v>10.692</v>
      </c>
      <c r="BJ707" s="55">
        <v>10.692</v>
      </c>
      <c r="BK707" s="55">
        <v>10.692</v>
      </c>
      <c r="BL707" s="55">
        <v>10.692</v>
      </c>
      <c r="BM707" s="55">
        <v>10.692</v>
      </c>
      <c r="BN707" s="55">
        <v>10.692</v>
      </c>
      <c r="BO707" s="55">
        <v>10.692</v>
      </c>
      <c r="BP707" s="55">
        <v>10.692</v>
      </c>
      <c r="BQ707" s="5"/>
      <c r="BR707" s="13"/>
      <c r="BS707" s="5"/>
    </row>
    <row r="708" spans="1:71" s="3" customFormat="1" x14ac:dyDescent="0.25">
      <c r="A708" s="5"/>
      <c r="B708" s="3" t="str">
        <f t="array" ref="B708">IFERROR(INDEX(DemandSupply,MATCH(INDEX($AH$1:AH708,SMALL(ROW($AH$1:AH708)+(10000*($AH$1:AH708="")),COUNTA($AH$1:AH708))),Sectors,0)),"")</f>
        <v>Demand</v>
      </c>
      <c r="E708" s="10">
        <f t="shared" si="356"/>
        <v>0</v>
      </c>
      <c r="F708" s="207">
        <v>1</v>
      </c>
      <c r="G708" s="207">
        <v>1</v>
      </c>
      <c r="H708" s="207">
        <v>1</v>
      </c>
      <c r="I708" s="207">
        <v>1</v>
      </c>
      <c r="J708" s="207">
        <v>1</v>
      </c>
      <c r="K708" s="207">
        <v>1</v>
      </c>
      <c r="L708" s="207">
        <v>1</v>
      </c>
      <c r="M708" s="207">
        <v>1</v>
      </c>
      <c r="N708" s="207">
        <v>1</v>
      </c>
      <c r="O708" s="207">
        <v>1</v>
      </c>
      <c r="P708" s="207">
        <v>1</v>
      </c>
      <c r="Q708" s="207">
        <v>1</v>
      </c>
      <c r="R708" s="207">
        <v>1</v>
      </c>
      <c r="S708" s="207">
        <v>1</v>
      </c>
      <c r="T708" s="207">
        <v>1</v>
      </c>
      <c r="U708" s="207">
        <v>1</v>
      </c>
      <c r="V708" s="207">
        <v>1</v>
      </c>
      <c r="W708" s="207">
        <v>1</v>
      </c>
      <c r="X708" s="207">
        <v>1</v>
      </c>
      <c r="Y708" s="207">
        <v>1</v>
      </c>
      <c r="Z708" s="207">
        <v>1</v>
      </c>
      <c r="AA708" s="207">
        <v>1</v>
      </c>
      <c r="AB708" s="207">
        <v>1</v>
      </c>
      <c r="AC708" s="5"/>
      <c r="AD708" s="63"/>
      <c r="AE708" s="64"/>
      <c r="AF708" s="64"/>
      <c r="AG708" s="212"/>
      <c r="AH708" s="64"/>
      <c r="AI708" s="64"/>
      <c r="AJ708" s="64"/>
      <c r="AK708" s="212"/>
      <c r="AL708" s="80"/>
      <c r="AM708" s="64"/>
      <c r="AN708" s="64"/>
      <c r="AO708" s="64"/>
      <c r="AP708" s="63"/>
      <c r="AQ708" s="64"/>
      <c r="AR708" s="63"/>
      <c r="AS708" s="64"/>
      <c r="AT708" s="63"/>
      <c r="AU708" s="64"/>
      <c r="AV708" s="63"/>
      <c r="AW708" s="64"/>
      <c r="AX708" s="63"/>
      <c r="AY708" s="5"/>
      <c r="AZ708" s="21" t="str">
        <f t="shared" si="399"/>
        <v/>
      </c>
      <c r="BA708" s="291" t="s">
        <v>51</v>
      </c>
      <c r="BB708" s="13"/>
      <c r="BC708" s="2"/>
      <c r="BD708" s="2"/>
      <c r="BE708" s="221" t="s">
        <v>465</v>
      </c>
      <c r="BF708" s="4"/>
      <c r="BG708" s="4"/>
      <c r="BH708" s="4"/>
      <c r="BI708" s="4"/>
      <c r="BJ708" s="4"/>
      <c r="BK708" s="4"/>
      <c r="BL708" s="4"/>
      <c r="BM708" s="4"/>
      <c r="BN708" s="4"/>
      <c r="BO708" s="4"/>
      <c r="BP708" s="4"/>
      <c r="BQ708" s="5"/>
      <c r="BR708" s="13"/>
      <c r="BS708" s="5"/>
    </row>
    <row r="709" spans="1:71" s="3" customFormat="1" x14ac:dyDescent="0.25">
      <c r="A709" s="5"/>
      <c r="B709" s="3" t="str">
        <f t="array" ref="B709">IFERROR(INDEX(DemandSupply,MATCH(INDEX($AH$1:AH709,SMALL(ROW($AH$1:AH709)+(10000*($AH$1:AH709="")),COUNTA($AH$1:AH709))),Sectors,0)),"")</f>
        <v>Demand</v>
      </c>
      <c r="E709" s="10"/>
      <c r="F709" s="207"/>
      <c r="G709" s="207"/>
      <c r="H709" s="207"/>
      <c r="I709" s="207"/>
      <c r="J709" s="207"/>
      <c r="K709" s="207"/>
      <c r="L709" s="207"/>
      <c r="M709" s="207"/>
      <c r="N709" s="207"/>
      <c r="O709" s="207"/>
      <c r="P709" s="207"/>
      <c r="Q709" s="207"/>
      <c r="R709" s="207"/>
      <c r="S709" s="207"/>
      <c r="T709" s="207"/>
      <c r="U709" s="207"/>
      <c r="V709" s="207"/>
      <c r="W709" s="207"/>
      <c r="X709" s="207"/>
      <c r="Y709" s="207"/>
      <c r="Z709" s="207"/>
      <c r="AA709" s="207"/>
      <c r="AB709" s="207"/>
      <c r="AC709" s="5"/>
      <c r="AD709" s="63"/>
      <c r="AE709" s="64"/>
      <c r="AF709" s="64"/>
      <c r="AG709" s="212"/>
      <c r="AH709" s="64"/>
      <c r="AI709" s="64"/>
      <c r="AJ709" s="64"/>
      <c r="AK709" s="212"/>
      <c r="AL709" s="64"/>
      <c r="AM709" s="64"/>
      <c r="AN709" s="64"/>
      <c r="AO709" s="64"/>
      <c r="AP709" s="63"/>
      <c r="AQ709" s="64"/>
      <c r="AR709" s="63"/>
      <c r="AS709" s="64"/>
      <c r="AT709" s="63"/>
      <c r="AU709" s="64"/>
      <c r="AV709" s="63"/>
      <c r="AW709" s="64"/>
      <c r="AX709" s="63"/>
      <c r="AY709" s="5"/>
      <c r="AZ709" s="21" t="str">
        <f t="shared" si="399"/>
        <v/>
      </c>
      <c r="BA709" s="264" t="s">
        <v>38</v>
      </c>
      <c r="BB709" s="264"/>
      <c r="BC709" s="264"/>
      <c r="BD709" s="264" t="s">
        <v>40</v>
      </c>
      <c r="BE709" s="216" t="s">
        <v>465</v>
      </c>
      <c r="BF709" s="309">
        <v>2000</v>
      </c>
      <c r="BG709" s="310">
        <f t="shared" ref="BG709:BG711" si="452">BF709</f>
        <v>2000</v>
      </c>
      <c r="BH709" s="310">
        <f t="shared" ref="BH709:BH711" si="453">BG709</f>
        <v>2000</v>
      </c>
      <c r="BI709" s="310">
        <f t="shared" ref="BI709:BI711" si="454">BH709</f>
        <v>2000</v>
      </c>
      <c r="BJ709" s="310">
        <f t="shared" ref="BJ709:BJ711" si="455">BI709</f>
        <v>2000</v>
      </c>
      <c r="BK709" s="310">
        <f t="shared" ref="BK709:BK711" si="456">BJ709</f>
        <v>2000</v>
      </c>
      <c r="BL709" s="310">
        <f t="shared" ref="BL709:BL711" si="457">BK709</f>
        <v>2000</v>
      </c>
      <c r="BM709" s="310">
        <f t="shared" ref="BM709:BM711" si="458">BL709</f>
        <v>2000</v>
      </c>
      <c r="BN709" s="310">
        <f t="shared" ref="BN709:BN711" si="459">BM709</f>
        <v>2000</v>
      </c>
      <c r="BO709" s="310">
        <f t="shared" ref="BO709:BO711" si="460">BN709</f>
        <v>2000</v>
      </c>
      <c r="BP709" s="310">
        <f t="shared" ref="BP709:BP711" si="461">BO709</f>
        <v>2000</v>
      </c>
      <c r="BQ709" s="5"/>
      <c r="BR709" s="25"/>
      <c r="BS709" s="5"/>
    </row>
    <row r="710" spans="1:71" s="3" customFormat="1" x14ac:dyDescent="0.25">
      <c r="A710" s="5"/>
      <c r="B710" s="3" t="str">
        <f t="array" ref="B710">IFERROR(INDEX(DemandSupply,MATCH(INDEX($AH$1:AH710,SMALL(ROW($AH$1:AH710)+(10000*($AH$1:AH710="")),COUNTA($AH$1:AH710))),Sectors,0)),"")</f>
        <v>Demand</v>
      </c>
      <c r="E710" s="10"/>
      <c r="F710" s="207"/>
      <c r="G710" s="207"/>
      <c r="H710" s="207"/>
      <c r="I710" s="207"/>
      <c r="J710" s="207"/>
      <c r="K710" s="207"/>
      <c r="L710" s="207"/>
      <c r="M710" s="207"/>
      <c r="N710" s="207"/>
      <c r="O710" s="207"/>
      <c r="P710" s="207"/>
      <c r="Q710" s="207"/>
      <c r="R710" s="207"/>
      <c r="S710" s="207"/>
      <c r="T710" s="207"/>
      <c r="U710" s="207"/>
      <c r="V710" s="207"/>
      <c r="W710" s="207"/>
      <c r="X710" s="207"/>
      <c r="Y710" s="207"/>
      <c r="Z710" s="207"/>
      <c r="AA710" s="207"/>
      <c r="AB710" s="207"/>
      <c r="AC710" s="5"/>
      <c r="AD710" s="63"/>
      <c r="AE710" s="64"/>
      <c r="AF710" s="64"/>
      <c r="AG710" s="212"/>
      <c r="AH710" s="64"/>
      <c r="AI710" s="64"/>
      <c r="AJ710" s="64"/>
      <c r="AK710" s="212"/>
      <c r="AL710" s="64"/>
      <c r="AM710" s="64"/>
      <c r="AN710" s="64"/>
      <c r="AO710" s="64"/>
      <c r="AP710" s="63"/>
      <c r="AQ710" s="64"/>
      <c r="AR710" s="63"/>
      <c r="AS710" s="64"/>
      <c r="AT710" s="63"/>
      <c r="AU710" s="64"/>
      <c r="AV710" s="63"/>
      <c r="AW710" s="64"/>
      <c r="AX710" s="63"/>
      <c r="AY710" s="5"/>
      <c r="AZ710" s="21" t="str">
        <f t="shared" si="399"/>
        <v/>
      </c>
      <c r="BA710" s="264" t="s">
        <v>37</v>
      </c>
      <c r="BB710" s="264"/>
      <c r="BC710" s="264"/>
      <c r="BD710" s="264" t="s">
        <v>40</v>
      </c>
      <c r="BE710" s="216" t="s">
        <v>465</v>
      </c>
      <c r="BF710" s="309">
        <v>2100</v>
      </c>
      <c r="BG710" s="310">
        <f t="shared" si="452"/>
        <v>2100</v>
      </c>
      <c r="BH710" s="310">
        <f t="shared" si="453"/>
        <v>2100</v>
      </c>
      <c r="BI710" s="310">
        <f t="shared" si="454"/>
        <v>2100</v>
      </c>
      <c r="BJ710" s="310">
        <f t="shared" si="455"/>
        <v>2100</v>
      </c>
      <c r="BK710" s="310">
        <f t="shared" si="456"/>
        <v>2100</v>
      </c>
      <c r="BL710" s="310">
        <f t="shared" si="457"/>
        <v>2100</v>
      </c>
      <c r="BM710" s="310">
        <f t="shared" si="458"/>
        <v>2100</v>
      </c>
      <c r="BN710" s="310">
        <f t="shared" si="459"/>
        <v>2100</v>
      </c>
      <c r="BO710" s="310">
        <f t="shared" si="460"/>
        <v>2100</v>
      </c>
      <c r="BP710" s="310">
        <f t="shared" si="461"/>
        <v>2100</v>
      </c>
      <c r="BQ710" s="5"/>
      <c r="BR710" s="25"/>
      <c r="BS710" s="5"/>
    </row>
    <row r="711" spans="1:71" s="3" customFormat="1" x14ac:dyDescent="0.25">
      <c r="A711" s="5"/>
      <c r="B711" s="3" t="str">
        <f t="array" ref="B711">IFERROR(INDEX(DemandSupply,MATCH(INDEX($AH$1:AH711,SMALL(ROW($AH$1:AH711)+(10000*($AH$1:AH711="")),COUNTA($AH$1:AH711))),Sectors,0)),"")</f>
        <v>Demand</v>
      </c>
      <c r="E711" s="10"/>
      <c r="F711" s="207"/>
      <c r="G711" s="207"/>
      <c r="H711" s="207"/>
      <c r="I711" s="207"/>
      <c r="J711" s="207"/>
      <c r="K711" s="207"/>
      <c r="L711" s="207"/>
      <c r="M711" s="207"/>
      <c r="N711" s="207"/>
      <c r="O711" s="207"/>
      <c r="P711" s="207"/>
      <c r="Q711" s="207"/>
      <c r="R711" s="207"/>
      <c r="S711" s="207"/>
      <c r="T711" s="207"/>
      <c r="U711" s="207"/>
      <c r="V711" s="207"/>
      <c r="W711" s="207"/>
      <c r="X711" s="207"/>
      <c r="Y711" s="207"/>
      <c r="Z711" s="207"/>
      <c r="AA711" s="207"/>
      <c r="AB711" s="207"/>
      <c r="AC711" s="5"/>
      <c r="AD711" s="63"/>
      <c r="AE711" s="64"/>
      <c r="AF711" s="64"/>
      <c r="AG711" s="212"/>
      <c r="AH711" s="64"/>
      <c r="AI711" s="64"/>
      <c r="AJ711" s="64"/>
      <c r="AK711" s="212"/>
      <c r="AL711" s="64"/>
      <c r="AM711" s="64"/>
      <c r="AN711" s="64"/>
      <c r="AO711" s="64"/>
      <c r="AP711" s="63"/>
      <c r="AQ711" s="64"/>
      <c r="AR711" s="63"/>
      <c r="AS711" s="64"/>
      <c r="AT711" s="63"/>
      <c r="AU711" s="64"/>
      <c r="AV711" s="63"/>
      <c r="AW711" s="64"/>
      <c r="AX711" s="63"/>
      <c r="AY711" s="5"/>
      <c r="AZ711" s="21" t="str">
        <f t="shared" si="399"/>
        <v/>
      </c>
      <c r="BA711" s="264" t="s">
        <v>39</v>
      </c>
      <c r="BB711" s="264"/>
      <c r="BC711" s="264"/>
      <c r="BD711" s="264" t="s">
        <v>10</v>
      </c>
      <c r="BE711" s="216" t="s">
        <v>465</v>
      </c>
      <c r="BF711" s="56">
        <v>13</v>
      </c>
      <c r="BG711" s="282">
        <f t="shared" si="452"/>
        <v>13</v>
      </c>
      <c r="BH711" s="282">
        <f t="shared" si="453"/>
        <v>13</v>
      </c>
      <c r="BI711" s="282">
        <f t="shared" si="454"/>
        <v>13</v>
      </c>
      <c r="BJ711" s="282">
        <f t="shared" si="455"/>
        <v>13</v>
      </c>
      <c r="BK711" s="282">
        <f t="shared" si="456"/>
        <v>13</v>
      </c>
      <c r="BL711" s="282">
        <f t="shared" si="457"/>
        <v>13</v>
      </c>
      <c r="BM711" s="282">
        <f t="shared" si="458"/>
        <v>13</v>
      </c>
      <c r="BN711" s="282">
        <f t="shared" si="459"/>
        <v>13</v>
      </c>
      <c r="BO711" s="282">
        <f t="shared" si="460"/>
        <v>13</v>
      </c>
      <c r="BP711" s="282">
        <f t="shared" si="461"/>
        <v>13</v>
      </c>
      <c r="BQ711" s="5"/>
      <c r="BR711" s="25"/>
      <c r="BS711" s="5"/>
    </row>
    <row r="712" spans="1:71" s="3" customFormat="1" x14ac:dyDescent="0.25">
      <c r="A712" s="5"/>
      <c r="B712" s="3" t="str">
        <f t="array" ref="B712">IFERROR(INDEX(DemandSupply,MATCH(INDEX($AH$1:AH712,SMALL(ROW($AH$1:AH712)+(10000*($AH$1:AH712="")),COUNTA($AH$1:AH712))),Sectors,0)),"")</f>
        <v>Demand</v>
      </c>
      <c r="E712" s="10"/>
      <c r="F712" s="207"/>
      <c r="G712" s="207"/>
      <c r="H712" s="207"/>
      <c r="I712" s="207"/>
      <c r="J712" s="207"/>
      <c r="K712" s="207"/>
      <c r="L712" s="207"/>
      <c r="M712" s="207"/>
      <c r="N712" s="207"/>
      <c r="O712" s="207"/>
      <c r="P712" s="207"/>
      <c r="Q712" s="207"/>
      <c r="R712" s="207"/>
      <c r="S712" s="207"/>
      <c r="T712" s="207"/>
      <c r="U712" s="207"/>
      <c r="V712" s="207"/>
      <c r="W712" s="207"/>
      <c r="X712" s="207"/>
      <c r="Y712" s="207"/>
      <c r="Z712" s="207"/>
      <c r="AA712" s="207"/>
      <c r="AB712" s="207"/>
      <c r="AC712" s="5"/>
      <c r="AD712" s="63"/>
      <c r="AE712" s="64"/>
      <c r="AF712" s="64"/>
      <c r="AG712" s="212"/>
      <c r="AH712" s="64"/>
      <c r="AI712" s="64"/>
      <c r="AJ712" s="64"/>
      <c r="AK712" s="212"/>
      <c r="AL712" s="64"/>
      <c r="AM712" s="64"/>
      <c r="AN712" s="64"/>
      <c r="AO712" s="64"/>
      <c r="AP712" s="63"/>
      <c r="AQ712" s="64"/>
      <c r="AR712" s="63"/>
      <c r="AS712" s="64"/>
      <c r="AT712" s="63"/>
      <c r="AU712" s="64"/>
      <c r="AV712" s="63"/>
      <c r="AW712" s="64"/>
      <c r="AX712" s="63"/>
      <c r="AY712" s="5"/>
      <c r="AZ712" s="21" t="str">
        <f t="shared" si="399"/>
        <v/>
      </c>
      <c r="BA712" s="264" t="s">
        <v>395</v>
      </c>
      <c r="BB712" s="264"/>
      <c r="BC712" s="264"/>
      <c r="BD712" s="264" t="s">
        <v>10</v>
      </c>
      <c r="BE712" s="216" t="s">
        <v>465</v>
      </c>
      <c r="BF712" s="56"/>
      <c r="BG712" s="56"/>
      <c r="BH712" s="56"/>
      <c r="BI712" s="56"/>
      <c r="BJ712" s="56"/>
      <c r="BK712" s="56"/>
      <c r="BL712" s="56"/>
      <c r="BM712" s="56"/>
      <c r="BN712" s="56"/>
      <c r="BO712" s="56"/>
      <c r="BP712" s="56"/>
      <c r="BQ712" s="5"/>
      <c r="BR712" s="25"/>
      <c r="BS712" s="5"/>
    </row>
    <row r="713" spans="1:71" s="3" customFormat="1" x14ac:dyDescent="0.25">
      <c r="A713" s="5"/>
      <c r="B713" s="3" t="str">
        <f t="array" ref="B713">IFERROR(INDEX(DemandSupply,MATCH(INDEX($AH$1:AH713,SMALL(ROW($AH$1:AH713)+(10000*($AH$1:AH713="")),COUNTA($AH$1:AH713))),Sectors,0)),"")</f>
        <v>Demand</v>
      </c>
      <c r="E713" s="10"/>
      <c r="F713" s="207"/>
      <c r="G713" s="207"/>
      <c r="H713" s="207"/>
      <c r="I713" s="207"/>
      <c r="J713" s="207"/>
      <c r="K713" s="207"/>
      <c r="L713" s="207"/>
      <c r="M713" s="207"/>
      <c r="N713" s="207"/>
      <c r="O713" s="207"/>
      <c r="P713" s="207"/>
      <c r="Q713" s="207"/>
      <c r="R713" s="207"/>
      <c r="S713" s="207"/>
      <c r="T713" s="207"/>
      <c r="U713" s="207"/>
      <c r="V713" s="207"/>
      <c r="W713" s="207"/>
      <c r="X713" s="207"/>
      <c r="Y713" s="207"/>
      <c r="Z713" s="207"/>
      <c r="AA713" s="207"/>
      <c r="AB713" s="207"/>
      <c r="AC713" s="5"/>
      <c r="AD713" s="63"/>
      <c r="AE713" s="64"/>
      <c r="AF713" s="64"/>
      <c r="AG713" s="212"/>
      <c r="AH713" s="64"/>
      <c r="AI713" s="64"/>
      <c r="AJ713" s="64"/>
      <c r="AK713" s="212"/>
      <c r="AL713" s="64"/>
      <c r="AM713" s="64"/>
      <c r="AN713" s="64"/>
      <c r="AO713" s="64"/>
      <c r="AP713" s="63"/>
      <c r="AQ713" s="64"/>
      <c r="AR713" s="63"/>
      <c r="AS713" s="64"/>
      <c r="AT713" s="63"/>
      <c r="AU713" s="64"/>
      <c r="AV713" s="63"/>
      <c r="AW713" s="64"/>
      <c r="AX713" s="63"/>
      <c r="AY713" s="5"/>
      <c r="AZ713" s="21" t="str">
        <f t="shared" si="399"/>
        <v/>
      </c>
      <c r="BA713" s="264" t="s">
        <v>341</v>
      </c>
      <c r="BB713" s="264"/>
      <c r="BC713" s="264"/>
      <c r="BD713" s="264" t="s">
        <v>99</v>
      </c>
      <c r="BE713" s="216" t="s">
        <v>465</v>
      </c>
      <c r="BF713" s="303">
        <v>0.3</v>
      </c>
      <c r="BG713" s="306">
        <f t="shared" ref="BG713" si="462">BF713</f>
        <v>0.3</v>
      </c>
      <c r="BH713" s="306">
        <f t="shared" ref="BH713" si="463">BG713</f>
        <v>0.3</v>
      </c>
      <c r="BI713" s="306">
        <f t="shared" ref="BI713" si="464">BH713</f>
        <v>0.3</v>
      </c>
      <c r="BJ713" s="306">
        <f t="shared" ref="BJ713" si="465">BI713</f>
        <v>0.3</v>
      </c>
      <c r="BK713" s="306">
        <f t="shared" ref="BK713" si="466">BJ713</f>
        <v>0.3</v>
      </c>
      <c r="BL713" s="306">
        <f t="shared" ref="BL713" si="467">BK713</f>
        <v>0.3</v>
      </c>
      <c r="BM713" s="306">
        <f t="shared" ref="BM713" si="468">BL713</f>
        <v>0.3</v>
      </c>
      <c r="BN713" s="306">
        <f t="shared" ref="BN713" si="469">BM713</f>
        <v>0.3</v>
      </c>
      <c r="BO713" s="306">
        <f t="shared" ref="BO713" si="470">BN713</f>
        <v>0.3</v>
      </c>
      <c r="BP713" s="306">
        <f t="shared" ref="BP713" si="471">BO713</f>
        <v>0.3</v>
      </c>
      <c r="BQ713" s="5"/>
      <c r="BR713" s="25"/>
      <c r="BS713" s="5"/>
    </row>
    <row r="714" spans="1:71" s="3" customFormat="1" x14ac:dyDescent="0.25">
      <c r="A714" s="5"/>
      <c r="B714" s="3" t="str">
        <f t="array" ref="B714">IFERROR(INDEX(DemandSupply,MATCH(INDEX($AH$1:AH714,SMALL(ROW($AH$1:AH714)+(10000*($AH$1:AH714="")),COUNTA($AH$1:AH714))),Sectors,0)),"")</f>
        <v>Demand</v>
      </c>
      <c r="E714" s="10"/>
      <c r="F714" s="207"/>
      <c r="G714" s="207"/>
      <c r="H714" s="207"/>
      <c r="I714" s="207"/>
      <c r="J714" s="207"/>
      <c r="K714" s="207"/>
      <c r="L714" s="207"/>
      <c r="M714" s="207"/>
      <c r="N714" s="207"/>
      <c r="O714" s="207"/>
      <c r="P714" s="207"/>
      <c r="Q714" s="207"/>
      <c r="R714" s="207"/>
      <c r="S714" s="207"/>
      <c r="T714" s="207"/>
      <c r="U714" s="207"/>
      <c r="V714" s="207"/>
      <c r="W714" s="207"/>
      <c r="X714" s="207"/>
      <c r="Y714" s="207"/>
      <c r="Z714" s="207"/>
      <c r="AA714" s="207"/>
      <c r="AB714" s="207"/>
      <c r="AC714" s="5"/>
      <c r="AD714" s="63"/>
      <c r="AE714" s="64"/>
      <c r="AF714" s="64"/>
      <c r="AG714" s="212"/>
      <c r="AH714" s="64"/>
      <c r="AI714" s="64"/>
      <c r="AJ714" s="64"/>
      <c r="AK714" s="212"/>
      <c r="AL714" s="64"/>
      <c r="AM714" s="64"/>
      <c r="AN714" s="64"/>
      <c r="AO714" s="64"/>
      <c r="AP714" s="63"/>
      <c r="AQ714" s="64"/>
      <c r="AR714" s="63"/>
      <c r="AS714" s="64"/>
      <c r="AT714" s="63"/>
      <c r="AU714" s="64"/>
      <c r="AV714" s="63"/>
      <c r="AW714" s="64"/>
      <c r="AX714" s="63"/>
      <c r="AY714" s="5"/>
      <c r="AZ714" s="21" t="str">
        <f t="shared" si="399"/>
        <v/>
      </c>
      <c r="BA714" s="264" t="s">
        <v>392</v>
      </c>
      <c r="BB714" s="264"/>
      <c r="BC714" s="264"/>
      <c r="BD714" s="264" t="s">
        <v>99</v>
      </c>
      <c r="BE714" s="216" t="s">
        <v>465</v>
      </c>
      <c r="BF714" s="303"/>
      <c r="BG714" s="303"/>
      <c r="BH714" s="303"/>
      <c r="BI714" s="303"/>
      <c r="BJ714" s="303"/>
      <c r="BK714" s="303"/>
      <c r="BL714" s="303"/>
      <c r="BM714" s="303"/>
      <c r="BN714" s="303"/>
      <c r="BO714" s="303"/>
      <c r="BP714" s="303"/>
      <c r="BQ714" s="5"/>
      <c r="BR714" s="25"/>
      <c r="BS714" s="5"/>
    </row>
    <row r="715" spans="1:71" s="3" customFormat="1" x14ac:dyDescent="0.25">
      <c r="A715" s="5"/>
      <c r="B715" s="3" t="str">
        <f t="array" ref="B715">IFERROR(INDEX(DemandSupply,MATCH(INDEX($AH$1:AH715,SMALL(ROW($AH$1:AH715)+(10000*($AH$1:AH715="")),COUNTA($AH$1:AH715))),Sectors,0)),"")</f>
        <v>Demand</v>
      </c>
      <c r="E715" s="10"/>
      <c r="F715" s="207"/>
      <c r="G715" s="207"/>
      <c r="H715" s="207"/>
      <c r="I715" s="207"/>
      <c r="J715" s="207"/>
      <c r="K715" s="207"/>
      <c r="L715" s="207"/>
      <c r="M715" s="207"/>
      <c r="N715" s="207"/>
      <c r="O715" s="207"/>
      <c r="P715" s="207"/>
      <c r="Q715" s="207"/>
      <c r="R715" s="207"/>
      <c r="S715" s="207"/>
      <c r="T715" s="207"/>
      <c r="U715" s="207"/>
      <c r="V715" s="207"/>
      <c r="W715" s="207"/>
      <c r="X715" s="207"/>
      <c r="Y715" s="207"/>
      <c r="Z715" s="207"/>
      <c r="AA715" s="207"/>
      <c r="AB715" s="207"/>
      <c r="AC715" s="5"/>
      <c r="AD715" s="63"/>
      <c r="AE715" s="64"/>
      <c r="AF715" s="64"/>
      <c r="AG715" s="212"/>
      <c r="AH715" s="64"/>
      <c r="AI715" s="64"/>
      <c r="AJ715" s="64"/>
      <c r="AK715" s="212"/>
      <c r="AL715" s="64"/>
      <c r="AM715" s="64"/>
      <c r="AN715" s="64"/>
      <c r="AO715" s="64"/>
      <c r="AP715" s="63"/>
      <c r="AQ715" s="64"/>
      <c r="AR715" s="63"/>
      <c r="AS715" s="64"/>
      <c r="AT715" s="63"/>
      <c r="AU715" s="64"/>
      <c r="AV715" s="63"/>
      <c r="AW715" s="64"/>
      <c r="AX715" s="63"/>
      <c r="AY715" s="5"/>
      <c r="AZ715" s="21" t="str">
        <f t="shared" si="399"/>
        <v/>
      </c>
      <c r="BA715" s="264" t="s">
        <v>391</v>
      </c>
      <c r="BB715" s="264"/>
      <c r="BC715" s="264"/>
      <c r="BD715" s="264" t="s">
        <v>99</v>
      </c>
      <c r="BE715" s="216" t="s">
        <v>465</v>
      </c>
      <c r="BF715" s="303"/>
      <c r="BG715" s="303"/>
      <c r="BH715" s="303"/>
      <c r="BI715" s="303"/>
      <c r="BJ715" s="303"/>
      <c r="BK715" s="303"/>
      <c r="BL715" s="303"/>
      <c r="BM715" s="303"/>
      <c r="BN715" s="303"/>
      <c r="BO715" s="303"/>
      <c r="BP715" s="303"/>
      <c r="BQ715" s="5"/>
      <c r="BR715" s="25"/>
      <c r="BS715" s="5"/>
    </row>
    <row r="716" spans="1:71" s="3" customFormat="1" x14ac:dyDescent="0.25">
      <c r="A716" s="5"/>
      <c r="B716" s="3" t="str">
        <f t="array" ref="B716">IFERROR(INDEX(DemandSupply,MATCH(INDEX($AH$1:AH716,SMALL(ROW($AH$1:AH716)+(10000*($AH$1:AH716="")),COUNTA($AH$1:AH716))),Sectors,0)),"")</f>
        <v>Demand</v>
      </c>
      <c r="E716" s="10"/>
      <c r="F716" s="207"/>
      <c r="G716" s="207"/>
      <c r="H716" s="207"/>
      <c r="I716" s="207"/>
      <c r="J716" s="207"/>
      <c r="K716" s="207"/>
      <c r="L716" s="207"/>
      <c r="M716" s="207"/>
      <c r="N716" s="207"/>
      <c r="O716" s="207"/>
      <c r="P716" s="207"/>
      <c r="Q716" s="207"/>
      <c r="R716" s="207"/>
      <c r="S716" s="207"/>
      <c r="T716" s="207"/>
      <c r="U716" s="207"/>
      <c r="V716" s="207"/>
      <c r="W716" s="207"/>
      <c r="X716" s="207"/>
      <c r="Y716" s="207"/>
      <c r="Z716" s="207"/>
      <c r="AA716" s="207"/>
      <c r="AB716" s="207"/>
      <c r="AC716" s="5"/>
      <c r="AD716" s="63"/>
      <c r="AE716" s="64"/>
      <c r="AF716" s="64"/>
      <c r="AG716" s="212"/>
      <c r="AH716" s="64"/>
      <c r="AI716" s="64"/>
      <c r="AJ716" s="64"/>
      <c r="AK716" s="212"/>
      <c r="AL716" s="64"/>
      <c r="AM716" s="64"/>
      <c r="AN716" s="64"/>
      <c r="AO716" s="64"/>
      <c r="AP716" s="63"/>
      <c r="AQ716" s="64"/>
      <c r="AR716" s="63"/>
      <c r="AS716" s="64"/>
      <c r="AT716" s="63"/>
      <c r="AU716" s="64"/>
      <c r="AV716" s="63"/>
      <c r="AW716" s="64"/>
      <c r="AX716" s="63"/>
      <c r="AY716" s="5"/>
      <c r="AZ716" s="21" t="str">
        <f t="shared" si="399"/>
        <v/>
      </c>
      <c r="BA716" s="264" t="s">
        <v>144</v>
      </c>
      <c r="BB716" s="264"/>
      <c r="BC716" s="264"/>
      <c r="BD716" s="264" t="s">
        <v>353</v>
      </c>
      <c r="BE716" s="216" t="s">
        <v>465</v>
      </c>
      <c r="BF716" s="56"/>
      <c r="BG716" s="56"/>
      <c r="BH716" s="56"/>
      <c r="BI716" s="56"/>
      <c r="BJ716" s="56"/>
      <c r="BK716" s="56"/>
      <c r="BL716" s="56"/>
      <c r="BM716" s="56"/>
      <c r="BN716" s="56"/>
      <c r="BO716" s="56"/>
      <c r="BP716" s="56"/>
      <c r="BQ716" s="5"/>
      <c r="BR716" s="25"/>
      <c r="BS716" s="5"/>
    </row>
    <row r="717" spans="1:71" s="3" customFormat="1" x14ac:dyDescent="0.25">
      <c r="A717" s="5"/>
      <c r="B717" s="3" t="str">
        <f t="array" ref="B717">IFERROR(INDEX(DemandSupply,MATCH(INDEX($AH$1:AH717,SMALL(ROW($AH$1:AH717)+(10000*($AH$1:AH717="")),COUNTA($AH$1:AH717))),Sectors,0)),"")</f>
        <v>Demand</v>
      </c>
      <c r="E717" s="10"/>
      <c r="F717" s="207"/>
      <c r="G717" s="207"/>
      <c r="H717" s="207"/>
      <c r="I717" s="207"/>
      <c r="J717" s="207"/>
      <c r="K717" s="207"/>
      <c r="L717" s="207"/>
      <c r="M717" s="207"/>
      <c r="N717" s="207"/>
      <c r="O717" s="207"/>
      <c r="P717" s="207"/>
      <c r="Q717" s="207"/>
      <c r="R717" s="207"/>
      <c r="S717" s="207"/>
      <c r="T717" s="207"/>
      <c r="U717" s="207"/>
      <c r="V717" s="207"/>
      <c r="W717" s="207"/>
      <c r="X717" s="207"/>
      <c r="Y717" s="207"/>
      <c r="Z717" s="207"/>
      <c r="AA717" s="207"/>
      <c r="AB717" s="207"/>
      <c r="AC717" s="5"/>
      <c r="AD717" s="63"/>
      <c r="AE717" s="64"/>
      <c r="AF717" s="64"/>
      <c r="AG717" s="212"/>
      <c r="AH717" s="64"/>
      <c r="AI717" s="64"/>
      <c r="AJ717" s="64"/>
      <c r="AK717" s="212"/>
      <c r="AL717" s="64"/>
      <c r="AM717" s="64"/>
      <c r="AN717" s="64"/>
      <c r="AO717" s="64"/>
      <c r="AP717" s="63"/>
      <c r="AQ717" s="64"/>
      <c r="AR717" s="63"/>
      <c r="AS717" s="64"/>
      <c r="AT717" s="63"/>
      <c r="AU717" s="64"/>
      <c r="AV717" s="63"/>
      <c r="AW717" s="64"/>
      <c r="AX717" s="63"/>
      <c r="AY717" s="5"/>
      <c r="AZ717" s="21" t="str">
        <f t="shared" si="399"/>
        <v/>
      </c>
      <c r="BA717" s="264" t="s">
        <v>76</v>
      </c>
      <c r="BB717" s="264"/>
      <c r="BC717" s="264"/>
      <c r="BD717" s="264" t="s">
        <v>99</v>
      </c>
      <c r="BE717" s="216" t="s">
        <v>465</v>
      </c>
      <c r="BF717" s="303">
        <v>0</v>
      </c>
      <c r="BG717" s="303"/>
      <c r="BH717" s="303"/>
      <c r="BI717" s="303"/>
      <c r="BJ717" s="303"/>
      <c r="BK717" s="303"/>
      <c r="BL717" s="303"/>
      <c r="BM717" s="303"/>
      <c r="BN717" s="303"/>
      <c r="BO717" s="303"/>
      <c r="BP717" s="303"/>
      <c r="BQ717" s="5"/>
      <c r="BR717" s="25"/>
      <c r="BS717" s="5"/>
    </row>
    <row r="718" spans="1:71" s="3" customFormat="1" x14ac:dyDescent="0.25">
      <c r="A718" s="5"/>
      <c r="B718" s="3" t="str">
        <f t="array" ref="B718">IFERROR(INDEX(DemandSupply,MATCH(INDEX($AH$1:AH718,SMALL(ROW($AH$1:AH718)+(10000*($AH$1:AH718="")),COUNTA($AH$1:AH718))),Sectors,0)),"")</f>
        <v>Demand</v>
      </c>
      <c r="E718" s="10"/>
      <c r="F718" s="207"/>
      <c r="G718" s="207"/>
      <c r="H718" s="207"/>
      <c r="I718" s="207"/>
      <c r="J718" s="207"/>
      <c r="K718" s="207"/>
      <c r="L718" s="207"/>
      <c r="M718" s="207"/>
      <c r="N718" s="207"/>
      <c r="O718" s="207"/>
      <c r="P718" s="207"/>
      <c r="Q718" s="207"/>
      <c r="R718" s="207"/>
      <c r="S718" s="207"/>
      <c r="T718" s="207"/>
      <c r="U718" s="207"/>
      <c r="V718" s="207"/>
      <c r="W718" s="207"/>
      <c r="X718" s="207"/>
      <c r="Y718" s="207"/>
      <c r="Z718" s="207"/>
      <c r="AA718" s="207"/>
      <c r="AB718" s="207"/>
      <c r="AC718" s="5"/>
      <c r="AD718" s="63"/>
      <c r="AE718" s="64"/>
      <c r="AF718" s="64"/>
      <c r="AG718" s="212"/>
      <c r="AH718" s="64"/>
      <c r="AI718" s="64"/>
      <c r="AJ718" s="64"/>
      <c r="AK718" s="212"/>
      <c r="AL718" s="64"/>
      <c r="AM718" s="64"/>
      <c r="AN718" s="64"/>
      <c r="AO718" s="64"/>
      <c r="AP718" s="63"/>
      <c r="AQ718" s="64"/>
      <c r="AR718" s="63"/>
      <c r="AS718" s="64"/>
      <c r="AT718" s="63"/>
      <c r="AU718" s="64"/>
      <c r="AV718" s="63"/>
      <c r="AW718" s="64"/>
      <c r="AX718" s="63"/>
      <c r="AY718" s="5"/>
      <c r="AZ718" s="21" t="str">
        <f t="shared" si="399"/>
        <v/>
      </c>
      <c r="BA718" s="75" t="s">
        <v>166</v>
      </c>
      <c r="BB718" s="75"/>
      <c r="BC718" s="270"/>
      <c r="BD718" s="75" t="s">
        <v>99</v>
      </c>
      <c r="BE718" s="216" t="s">
        <v>465</v>
      </c>
      <c r="BF718" s="303"/>
      <c r="BG718" s="303"/>
      <c r="BH718" s="303"/>
      <c r="BI718" s="303"/>
      <c r="BJ718" s="303"/>
      <c r="BK718" s="303"/>
      <c r="BL718" s="303"/>
      <c r="BM718" s="303"/>
      <c r="BN718" s="303"/>
      <c r="BO718" s="303"/>
      <c r="BP718" s="303"/>
      <c r="BQ718" s="5"/>
      <c r="BR718" s="25"/>
      <c r="BS718" s="5"/>
    </row>
    <row r="719" spans="1:71" s="3" customFormat="1" x14ac:dyDescent="0.25">
      <c r="A719" s="5"/>
      <c r="B719" s="3" t="str">
        <f t="array" ref="B719">IFERROR(INDEX(DemandSupply,MATCH(INDEX($AH$1:AH719,SMALL(ROW($AH$1:AH719)+(10000*($AH$1:AH719="")),COUNTA($AH$1:AH719))),Sectors,0)),"")</f>
        <v>Demand</v>
      </c>
      <c r="E719" s="10"/>
      <c r="F719" s="207"/>
      <c r="G719" s="207"/>
      <c r="H719" s="207"/>
      <c r="I719" s="207"/>
      <c r="J719" s="207"/>
      <c r="K719" s="207"/>
      <c r="L719" s="207"/>
      <c r="M719" s="207"/>
      <c r="N719" s="207"/>
      <c r="O719" s="207"/>
      <c r="P719" s="207"/>
      <c r="Q719" s="207"/>
      <c r="R719" s="207"/>
      <c r="S719" s="207"/>
      <c r="T719" s="207"/>
      <c r="U719" s="207"/>
      <c r="V719" s="207"/>
      <c r="W719" s="207"/>
      <c r="X719" s="207"/>
      <c r="Y719" s="207"/>
      <c r="Z719" s="207"/>
      <c r="AA719" s="207"/>
      <c r="AB719" s="207"/>
      <c r="AC719" s="5"/>
      <c r="AD719" s="63"/>
      <c r="AE719" s="64"/>
      <c r="AF719" s="64"/>
      <c r="AG719" s="212"/>
      <c r="AH719" s="64"/>
      <c r="AI719" s="64"/>
      <c r="AJ719" s="64"/>
      <c r="AK719" s="212"/>
      <c r="AL719" s="64"/>
      <c r="AM719" s="64"/>
      <c r="AN719" s="64"/>
      <c r="AO719" s="64"/>
      <c r="AP719" s="63"/>
      <c r="AQ719" s="64"/>
      <c r="AR719" s="63"/>
      <c r="AS719" s="64"/>
      <c r="AT719" s="63"/>
      <c r="AU719" s="64"/>
      <c r="AV719" s="63"/>
      <c r="AW719" s="64"/>
      <c r="AX719" s="63"/>
      <c r="AY719" s="5"/>
      <c r="AZ719" s="21" t="str">
        <f t="shared" si="399"/>
        <v/>
      </c>
      <c r="BA719" s="75" t="s">
        <v>167</v>
      </c>
      <c r="BB719" s="75"/>
      <c r="BC719" s="270"/>
      <c r="BD719" s="75" t="s">
        <v>99</v>
      </c>
      <c r="BE719" s="216" t="s">
        <v>465</v>
      </c>
      <c r="BF719" s="303"/>
      <c r="BG719" s="303"/>
      <c r="BH719" s="303"/>
      <c r="BI719" s="303"/>
      <c r="BJ719" s="303"/>
      <c r="BK719" s="303"/>
      <c r="BL719" s="303"/>
      <c r="BM719" s="303"/>
      <c r="BN719" s="303"/>
      <c r="BO719" s="303"/>
      <c r="BP719" s="303"/>
      <c r="BQ719" s="5"/>
      <c r="BR719" s="25"/>
      <c r="BS719" s="5"/>
    </row>
    <row r="720" spans="1:71" s="3" customFormat="1" x14ac:dyDescent="0.25">
      <c r="A720" s="5"/>
      <c r="B720" s="3" t="str">
        <f t="array" ref="B720">IFERROR(INDEX(DemandSupply,MATCH(INDEX($AH$1:AH720,SMALL(ROW($AH$1:AH720)+(10000*($AH$1:AH720="")),COUNTA($AH$1:AH720))),Sectors,0)),"")</f>
        <v>Demand</v>
      </c>
      <c r="E720" s="10"/>
      <c r="F720" s="207"/>
      <c r="G720" s="207"/>
      <c r="H720" s="207"/>
      <c r="I720" s="207"/>
      <c r="J720" s="207"/>
      <c r="K720" s="207"/>
      <c r="L720" s="207"/>
      <c r="M720" s="207"/>
      <c r="N720" s="207"/>
      <c r="O720" s="207"/>
      <c r="P720" s="207"/>
      <c r="Q720" s="207"/>
      <c r="R720" s="207"/>
      <c r="S720" s="207"/>
      <c r="T720" s="207"/>
      <c r="U720" s="207"/>
      <c r="V720" s="207"/>
      <c r="W720" s="207"/>
      <c r="X720" s="207"/>
      <c r="Y720" s="207"/>
      <c r="Z720" s="207"/>
      <c r="AA720" s="207"/>
      <c r="AB720" s="207"/>
      <c r="AC720" s="5"/>
      <c r="AD720" s="63"/>
      <c r="AE720" s="64"/>
      <c r="AF720" s="64"/>
      <c r="AG720" s="212"/>
      <c r="AH720" s="64"/>
      <c r="AI720" s="64"/>
      <c r="AJ720" s="64"/>
      <c r="AK720" s="212"/>
      <c r="AL720" s="64"/>
      <c r="AM720" s="64"/>
      <c r="AN720" s="64"/>
      <c r="AO720" s="64"/>
      <c r="AP720" s="63"/>
      <c r="AQ720" s="64"/>
      <c r="AR720" s="63"/>
      <c r="AS720" s="64"/>
      <c r="AT720" s="63"/>
      <c r="AU720" s="64"/>
      <c r="AV720" s="63"/>
      <c r="AW720" s="64"/>
      <c r="AX720" s="63"/>
      <c r="AY720" s="5"/>
      <c r="AZ720" s="21" t="str">
        <f t="shared" si="399"/>
        <v/>
      </c>
      <c r="BA720" s="75" t="s">
        <v>408</v>
      </c>
      <c r="BB720" s="75"/>
      <c r="BC720" s="270"/>
      <c r="BD720" s="75" t="s">
        <v>99</v>
      </c>
      <c r="BE720" s="216" t="s">
        <v>465</v>
      </c>
      <c r="BF720" s="303"/>
      <c r="BG720" s="303"/>
      <c r="BH720" s="303"/>
      <c r="BI720" s="303"/>
      <c r="BJ720" s="303"/>
      <c r="BK720" s="303"/>
      <c r="BL720" s="303"/>
      <c r="BM720" s="303"/>
      <c r="BN720" s="303"/>
      <c r="BO720" s="303"/>
      <c r="BP720" s="303"/>
      <c r="BQ720" s="5"/>
      <c r="BR720" s="25"/>
      <c r="BS720" s="5"/>
    </row>
    <row r="721" spans="1:71" s="3" customFormat="1" x14ac:dyDescent="0.25">
      <c r="A721" s="5"/>
      <c r="B721" s="3" t="str">
        <f t="array" ref="B721">IFERROR(INDEX(DemandSupply,MATCH(INDEX($AH$1:AH721,SMALL(ROW($AH$1:AH721)+(10000*($AH$1:AH721="")),COUNTA($AH$1:AH721))),Sectors,0)),"")</f>
        <v>Demand</v>
      </c>
      <c r="E721" s="10"/>
      <c r="F721" s="207"/>
      <c r="G721" s="207"/>
      <c r="H721" s="207"/>
      <c r="I721" s="207"/>
      <c r="J721" s="207"/>
      <c r="K721" s="207"/>
      <c r="L721" s="207"/>
      <c r="M721" s="207"/>
      <c r="N721" s="207"/>
      <c r="O721" s="207"/>
      <c r="P721" s="207"/>
      <c r="Q721" s="207"/>
      <c r="R721" s="207"/>
      <c r="S721" s="207"/>
      <c r="T721" s="207"/>
      <c r="U721" s="207"/>
      <c r="V721" s="207"/>
      <c r="W721" s="207"/>
      <c r="X721" s="207"/>
      <c r="Y721" s="207"/>
      <c r="Z721" s="207"/>
      <c r="AA721" s="207"/>
      <c r="AB721" s="207"/>
      <c r="AC721" s="5"/>
      <c r="AD721" s="63"/>
      <c r="AE721" s="64"/>
      <c r="AF721" s="64"/>
      <c r="AG721" s="212"/>
      <c r="AH721" s="64"/>
      <c r="AI721" s="64"/>
      <c r="AJ721" s="64"/>
      <c r="AK721" s="212"/>
      <c r="AL721" s="64"/>
      <c r="AM721" s="64"/>
      <c r="AN721" s="64"/>
      <c r="AO721" s="64"/>
      <c r="AP721" s="63"/>
      <c r="AQ721" s="64"/>
      <c r="AR721" s="63"/>
      <c r="AS721" s="64"/>
      <c r="AT721" s="63"/>
      <c r="AU721" s="64"/>
      <c r="AV721" s="63"/>
      <c r="AW721" s="64"/>
      <c r="AX721" s="63"/>
      <c r="AY721" s="5"/>
      <c r="AZ721" s="21" t="str">
        <f t="shared" si="399"/>
        <v/>
      </c>
      <c r="BA721" s="75" t="s">
        <v>409</v>
      </c>
      <c r="BB721" s="75"/>
      <c r="BC721" s="270"/>
      <c r="BD721" s="75" t="s">
        <v>99</v>
      </c>
      <c r="BE721" s="216" t="s">
        <v>465</v>
      </c>
      <c r="BF721" s="303"/>
      <c r="BG721" s="303"/>
      <c r="BH721" s="303"/>
      <c r="BI721" s="303"/>
      <c r="BJ721" s="303"/>
      <c r="BK721" s="303"/>
      <c r="BL721" s="303"/>
      <c r="BM721" s="303"/>
      <c r="BN721" s="303"/>
      <c r="BO721" s="303"/>
      <c r="BP721" s="303"/>
      <c r="BQ721" s="5"/>
      <c r="BR721" s="25"/>
      <c r="BS721" s="5"/>
    </row>
    <row r="722" spans="1:71" s="3" customFormat="1" x14ac:dyDescent="0.25">
      <c r="A722" s="5"/>
      <c r="B722" s="3" t="str">
        <f t="array" ref="B722">IFERROR(INDEX(DemandSupply,MATCH(INDEX($AH$1:AH722,SMALL(ROW($AH$1:AH722)+(10000*($AH$1:AH722="")),COUNTA($AH$1:AH722))),Sectors,0)),"")</f>
        <v>Demand</v>
      </c>
      <c r="E722" s="10"/>
      <c r="F722" s="207"/>
      <c r="G722" s="207"/>
      <c r="H722" s="207"/>
      <c r="I722" s="207"/>
      <c r="J722" s="207"/>
      <c r="K722" s="207"/>
      <c r="L722" s="207"/>
      <c r="M722" s="207"/>
      <c r="N722" s="207"/>
      <c r="O722" s="207"/>
      <c r="P722" s="207"/>
      <c r="Q722" s="207"/>
      <c r="R722" s="207"/>
      <c r="S722" s="207"/>
      <c r="T722" s="207"/>
      <c r="U722" s="207"/>
      <c r="V722" s="207"/>
      <c r="W722" s="207"/>
      <c r="X722" s="207"/>
      <c r="Y722" s="207"/>
      <c r="Z722" s="207"/>
      <c r="AA722" s="207"/>
      <c r="AB722" s="207"/>
      <c r="AC722" s="5"/>
      <c r="AD722" s="63"/>
      <c r="AE722" s="64"/>
      <c r="AF722" s="64"/>
      <c r="AG722" s="212"/>
      <c r="AH722" s="64"/>
      <c r="AI722" s="64"/>
      <c r="AJ722" s="64"/>
      <c r="AK722" s="212"/>
      <c r="AL722" s="64"/>
      <c r="AM722" s="64"/>
      <c r="AN722" s="64"/>
      <c r="AO722" s="64"/>
      <c r="AP722" s="63"/>
      <c r="AQ722" s="64"/>
      <c r="AR722" s="63"/>
      <c r="AS722" s="64"/>
      <c r="AT722" s="63"/>
      <c r="AU722" s="64"/>
      <c r="AV722" s="63"/>
      <c r="AW722" s="64"/>
      <c r="AX722" s="63"/>
      <c r="AY722" s="5"/>
      <c r="AZ722" s="21" t="str">
        <f t="shared" si="399"/>
        <v/>
      </c>
      <c r="BA722" s="264" t="s">
        <v>371</v>
      </c>
      <c r="BB722" s="264"/>
      <c r="BC722" s="264"/>
      <c r="BD722" s="264" t="s">
        <v>353</v>
      </c>
      <c r="BE722" s="216" t="s">
        <v>465</v>
      </c>
      <c r="BF722" s="56">
        <v>1</v>
      </c>
      <c r="BG722" s="282">
        <f t="shared" ref="BG722:BG723" si="472">BF722</f>
        <v>1</v>
      </c>
      <c r="BH722" s="282">
        <f t="shared" ref="BH722:BH723" si="473">BG722</f>
        <v>1</v>
      </c>
      <c r="BI722" s="282">
        <f t="shared" ref="BI722:BI723" si="474">BH722</f>
        <v>1</v>
      </c>
      <c r="BJ722" s="282">
        <f t="shared" ref="BJ722:BJ723" si="475">BI722</f>
        <v>1</v>
      </c>
      <c r="BK722" s="282">
        <f t="shared" ref="BK722:BK723" si="476">BJ722</f>
        <v>1</v>
      </c>
      <c r="BL722" s="282">
        <f t="shared" ref="BL722:BL723" si="477">BK722</f>
        <v>1</v>
      </c>
      <c r="BM722" s="282">
        <f t="shared" ref="BM722:BM723" si="478">BL722</f>
        <v>1</v>
      </c>
      <c r="BN722" s="282">
        <f t="shared" ref="BN722:BN723" si="479">BM722</f>
        <v>1</v>
      </c>
      <c r="BO722" s="282">
        <f t="shared" ref="BO722:BO723" si="480">BN722</f>
        <v>1</v>
      </c>
      <c r="BP722" s="282">
        <f t="shared" ref="BP722:BP723" si="481">BO722</f>
        <v>1</v>
      </c>
      <c r="BQ722" s="5"/>
      <c r="BR722" s="25"/>
      <c r="BS722" s="5"/>
    </row>
    <row r="723" spans="1:71" s="3" customFormat="1" x14ac:dyDescent="0.25">
      <c r="A723" s="5"/>
      <c r="B723" s="3" t="str">
        <f t="array" ref="B723">IFERROR(INDEX(DemandSupply,MATCH(INDEX($AH$1:AH723,SMALL(ROW($AH$1:AH723)+(10000*($AH$1:AH723="")),COUNTA($AH$1:AH723))),Sectors,0)),"")</f>
        <v>Demand</v>
      </c>
      <c r="E723" s="10"/>
      <c r="F723" s="207"/>
      <c r="G723" s="207"/>
      <c r="H723" s="207"/>
      <c r="I723" s="207"/>
      <c r="J723" s="207"/>
      <c r="K723" s="207"/>
      <c r="L723" s="207"/>
      <c r="M723" s="207"/>
      <c r="N723" s="207"/>
      <c r="O723" s="207"/>
      <c r="P723" s="207"/>
      <c r="Q723" s="207"/>
      <c r="R723" s="207"/>
      <c r="S723" s="207"/>
      <c r="T723" s="207"/>
      <c r="U723" s="207"/>
      <c r="V723" s="207"/>
      <c r="W723" s="207"/>
      <c r="X723" s="207"/>
      <c r="Y723" s="207"/>
      <c r="Z723" s="207"/>
      <c r="AA723" s="207"/>
      <c r="AB723" s="207"/>
      <c r="AC723" s="5"/>
      <c r="AD723" s="63"/>
      <c r="AE723" s="64"/>
      <c r="AF723" s="64"/>
      <c r="AG723" s="212"/>
      <c r="AH723" s="64"/>
      <c r="AI723" s="64"/>
      <c r="AJ723" s="64"/>
      <c r="AK723" s="212"/>
      <c r="AL723" s="64"/>
      <c r="AM723" s="64"/>
      <c r="AN723" s="64"/>
      <c r="AO723" s="64"/>
      <c r="AP723" s="63"/>
      <c r="AQ723" s="64"/>
      <c r="AR723" s="63"/>
      <c r="AS723" s="64"/>
      <c r="AT723" s="63"/>
      <c r="AU723" s="64"/>
      <c r="AV723" s="63"/>
      <c r="AW723" s="64"/>
      <c r="AX723" s="63"/>
      <c r="AY723" s="5"/>
      <c r="AZ723" s="21" t="str">
        <f t="shared" si="399"/>
        <v/>
      </c>
      <c r="BA723" s="264" t="s">
        <v>170</v>
      </c>
      <c r="BB723" s="264"/>
      <c r="BC723" s="264"/>
      <c r="BD723" s="264" t="s">
        <v>354</v>
      </c>
      <c r="BE723" s="216" t="s">
        <v>465</v>
      </c>
      <c r="BF723" s="56">
        <v>746.44500000000005</v>
      </c>
      <c r="BG723" s="282">
        <f t="shared" si="472"/>
        <v>746.44500000000005</v>
      </c>
      <c r="BH723" s="282">
        <f t="shared" si="473"/>
        <v>746.44500000000005</v>
      </c>
      <c r="BI723" s="282">
        <f t="shared" si="474"/>
        <v>746.44500000000005</v>
      </c>
      <c r="BJ723" s="282">
        <f t="shared" si="475"/>
        <v>746.44500000000005</v>
      </c>
      <c r="BK723" s="282">
        <f t="shared" si="476"/>
        <v>746.44500000000005</v>
      </c>
      <c r="BL723" s="282">
        <f t="shared" si="477"/>
        <v>746.44500000000005</v>
      </c>
      <c r="BM723" s="282">
        <f t="shared" si="478"/>
        <v>746.44500000000005</v>
      </c>
      <c r="BN723" s="282">
        <f t="shared" si="479"/>
        <v>746.44500000000005</v>
      </c>
      <c r="BO723" s="282">
        <f t="shared" si="480"/>
        <v>746.44500000000005</v>
      </c>
      <c r="BP723" s="282">
        <f t="shared" si="481"/>
        <v>746.44500000000005</v>
      </c>
      <c r="BQ723" s="5"/>
      <c r="BR723" s="25"/>
      <c r="BS723" s="5"/>
    </row>
    <row r="724" spans="1:71" s="3" customFormat="1" x14ac:dyDescent="0.25">
      <c r="A724" s="5"/>
      <c r="B724" s="3" t="str">
        <f t="array" ref="B724">IFERROR(INDEX(DemandSupply,MATCH(INDEX($AH$1:AH724,SMALL(ROW($AH$1:AH724)+(10000*($AH$1:AH724="")),COUNTA($AH$1:AH724))),Sectors,0)),"")</f>
        <v>Demand</v>
      </c>
      <c r="E724" s="10"/>
      <c r="F724" s="207"/>
      <c r="G724" s="207"/>
      <c r="H724" s="207"/>
      <c r="I724" s="207"/>
      <c r="J724" s="207"/>
      <c r="K724" s="207"/>
      <c r="L724" s="207"/>
      <c r="M724" s="207"/>
      <c r="N724" s="207"/>
      <c r="O724" s="207"/>
      <c r="P724" s="207"/>
      <c r="Q724" s="207"/>
      <c r="R724" s="207"/>
      <c r="S724" s="207"/>
      <c r="T724" s="207"/>
      <c r="U724" s="207"/>
      <c r="V724" s="207"/>
      <c r="W724" s="207"/>
      <c r="X724" s="207"/>
      <c r="Y724" s="207"/>
      <c r="Z724" s="207"/>
      <c r="AA724" s="207"/>
      <c r="AB724" s="207"/>
      <c r="AC724" s="5"/>
      <c r="AD724" s="63"/>
      <c r="AE724" s="64"/>
      <c r="AF724" s="64"/>
      <c r="AG724" s="212"/>
      <c r="AH724" s="64"/>
      <c r="AI724" s="64"/>
      <c r="AJ724" s="64"/>
      <c r="AK724" s="212"/>
      <c r="AL724" s="64"/>
      <c r="AM724" s="64"/>
      <c r="AN724" s="64"/>
      <c r="AO724" s="64"/>
      <c r="AP724" s="63"/>
      <c r="AQ724" s="64"/>
      <c r="AR724" s="63"/>
      <c r="AS724" s="64"/>
      <c r="AT724" s="63"/>
      <c r="AU724" s="64"/>
      <c r="AV724" s="63"/>
      <c r="AW724" s="64"/>
      <c r="AX724" s="63"/>
      <c r="AY724" s="5"/>
      <c r="AZ724" s="21" t="str">
        <f t="shared" si="399"/>
        <v/>
      </c>
      <c r="BA724" s="264" t="s">
        <v>425</v>
      </c>
      <c r="BB724" s="264"/>
      <c r="BC724" s="264"/>
      <c r="BD724" s="264" t="s">
        <v>99</v>
      </c>
      <c r="BE724" s="216" t="s">
        <v>465</v>
      </c>
      <c r="BF724" s="303"/>
      <c r="BG724" s="303"/>
      <c r="BH724" s="303"/>
      <c r="BI724" s="303"/>
      <c r="BJ724" s="303"/>
      <c r="BK724" s="303"/>
      <c r="BL724" s="303"/>
      <c r="BM724" s="303"/>
      <c r="BN724" s="303"/>
      <c r="BO724" s="303"/>
      <c r="BP724" s="303"/>
      <c r="BQ724" s="5"/>
      <c r="BR724" s="25"/>
      <c r="BS724" s="5"/>
    </row>
    <row r="725" spans="1:71" s="3" customFormat="1" x14ac:dyDescent="0.25">
      <c r="A725" s="5"/>
      <c r="B725" s="3" t="str">
        <f t="array" ref="B725">IFERROR(INDEX(DemandSupply,MATCH(INDEX($AH$1:AH725,SMALL(ROW($AH$1:AH725)+(10000*($AH$1:AH725="")),COUNTA($AH$1:AH725))),Sectors,0)),"")</f>
        <v>Demand</v>
      </c>
      <c r="E725" s="10"/>
      <c r="F725" s="207"/>
      <c r="G725" s="207"/>
      <c r="H725" s="207"/>
      <c r="I725" s="207"/>
      <c r="J725" s="207"/>
      <c r="K725" s="207"/>
      <c r="L725" s="207"/>
      <c r="M725" s="207"/>
      <c r="N725" s="207"/>
      <c r="O725" s="207"/>
      <c r="P725" s="207"/>
      <c r="Q725" s="207"/>
      <c r="R725" s="207"/>
      <c r="S725" s="207"/>
      <c r="T725" s="207"/>
      <c r="U725" s="207"/>
      <c r="V725" s="207"/>
      <c r="W725" s="207"/>
      <c r="X725" s="207"/>
      <c r="Y725" s="207"/>
      <c r="Z725" s="207"/>
      <c r="AA725" s="207"/>
      <c r="AB725" s="207"/>
      <c r="AC725" s="5"/>
      <c r="AD725" s="63"/>
      <c r="AE725" s="64"/>
      <c r="AF725" s="64"/>
      <c r="AG725" s="212"/>
      <c r="AH725" s="64"/>
      <c r="AI725" s="64"/>
      <c r="AJ725" s="64"/>
      <c r="AK725" s="212"/>
      <c r="AL725" s="64"/>
      <c r="AM725" s="64"/>
      <c r="AN725" s="64"/>
      <c r="AO725" s="64"/>
      <c r="AP725" s="63"/>
      <c r="AQ725" s="64"/>
      <c r="AR725" s="63"/>
      <c r="AS725" s="64"/>
      <c r="AT725" s="63"/>
      <c r="AU725" s="64"/>
      <c r="AV725" s="63"/>
      <c r="AW725" s="64"/>
      <c r="AX725" s="63"/>
      <c r="AY725" s="5"/>
      <c r="AZ725" s="21" t="str">
        <f t="shared" si="399"/>
        <v/>
      </c>
      <c r="BA725" s="264" t="s">
        <v>438</v>
      </c>
      <c r="BB725" s="264"/>
      <c r="BC725" s="264"/>
      <c r="BD725" s="264" t="s">
        <v>353</v>
      </c>
      <c r="BE725" s="216" t="s">
        <v>465</v>
      </c>
      <c r="BF725" s="56"/>
      <c r="BG725" s="56"/>
      <c r="BH725" s="56"/>
      <c r="BI725" s="56"/>
      <c r="BJ725" s="56"/>
      <c r="BK725" s="56"/>
      <c r="BL725" s="56"/>
      <c r="BM725" s="56"/>
      <c r="BN725" s="56"/>
      <c r="BO725" s="56"/>
      <c r="BP725" s="56"/>
      <c r="BQ725" s="5"/>
      <c r="BR725" s="25"/>
      <c r="BS725" s="5"/>
    </row>
    <row r="726" spans="1:71" s="3" customFormat="1" x14ac:dyDescent="0.25">
      <c r="A726" s="5"/>
      <c r="B726" s="3" t="str">
        <f t="array" ref="B726">IFERROR(INDEX(DemandSupply,MATCH(INDEX($AH$1:AH726,SMALL(ROW($AH$1:AH726)+(10000*($AH$1:AH726="")),COUNTA($AH$1:AH726))),Sectors,0)),"")</f>
        <v>Demand</v>
      </c>
      <c r="E726" s="10"/>
      <c r="F726" s="207"/>
      <c r="G726" s="207"/>
      <c r="H726" s="207"/>
      <c r="I726" s="207"/>
      <c r="J726" s="207"/>
      <c r="K726" s="207"/>
      <c r="L726" s="207"/>
      <c r="M726" s="207"/>
      <c r="N726" s="207"/>
      <c r="O726" s="207"/>
      <c r="P726" s="207"/>
      <c r="Q726" s="207"/>
      <c r="R726" s="207"/>
      <c r="S726" s="207"/>
      <c r="T726" s="207"/>
      <c r="U726" s="207"/>
      <c r="V726" s="207"/>
      <c r="W726" s="207"/>
      <c r="X726" s="207"/>
      <c r="Y726" s="207"/>
      <c r="Z726" s="207"/>
      <c r="AA726" s="207"/>
      <c r="AB726" s="207"/>
      <c r="AC726" s="5"/>
      <c r="AD726" s="63"/>
      <c r="AE726" s="64"/>
      <c r="AF726" s="64"/>
      <c r="AG726" s="212"/>
      <c r="AH726" s="64"/>
      <c r="AI726" s="64"/>
      <c r="AJ726" s="64"/>
      <c r="AK726" s="212"/>
      <c r="AL726" s="64"/>
      <c r="AM726" s="64"/>
      <c r="AN726" s="64"/>
      <c r="AO726" s="64"/>
      <c r="AP726" s="63"/>
      <c r="AQ726" s="64"/>
      <c r="AR726" s="63"/>
      <c r="AS726" s="64"/>
      <c r="AT726" s="63"/>
      <c r="AU726" s="64"/>
      <c r="AV726" s="63"/>
      <c r="AW726" s="64"/>
      <c r="AX726" s="63"/>
      <c r="AY726" s="5"/>
      <c r="AZ726" s="21" t="str">
        <f t="shared" si="399"/>
        <v/>
      </c>
      <c r="BA726" s="264" t="s">
        <v>435</v>
      </c>
      <c r="BB726" s="264"/>
      <c r="BC726" s="264"/>
      <c r="BD726" s="264"/>
      <c r="BE726" s="216" t="s">
        <v>465</v>
      </c>
      <c r="BF726" s="55"/>
      <c r="BG726" s="55"/>
      <c r="BH726" s="55"/>
      <c r="BI726" s="55"/>
      <c r="BJ726" s="55"/>
      <c r="BK726" s="55"/>
      <c r="BL726" s="55"/>
      <c r="BM726" s="55"/>
      <c r="BN726" s="55"/>
      <c r="BO726" s="55"/>
      <c r="BP726" s="55"/>
      <c r="BQ726" s="5"/>
      <c r="BR726" s="25"/>
      <c r="BS726" s="5"/>
    </row>
    <row r="727" spans="1:71" s="3" customFormat="1" x14ac:dyDescent="0.25">
      <c r="A727" s="5"/>
      <c r="B727" s="3" t="str">
        <f t="array" ref="B727">IFERROR(INDEX(DemandSupply,MATCH(INDEX($AH$1:AH727,SMALL(ROW($AH$1:AH727)+(10000*($AH$1:AH727="")),COUNTA($AH$1:AH727))),Sectors,0)),"")</f>
        <v>Demand</v>
      </c>
      <c r="E727" s="10"/>
      <c r="F727" s="207"/>
      <c r="G727" s="207"/>
      <c r="H727" s="207"/>
      <c r="I727" s="207"/>
      <c r="J727" s="207"/>
      <c r="K727" s="207"/>
      <c r="L727" s="207"/>
      <c r="M727" s="207"/>
      <c r="N727" s="207"/>
      <c r="O727" s="207"/>
      <c r="P727" s="207"/>
      <c r="Q727" s="207"/>
      <c r="R727" s="207"/>
      <c r="S727" s="207"/>
      <c r="T727" s="207"/>
      <c r="U727" s="207"/>
      <c r="V727" s="207"/>
      <c r="W727" s="207"/>
      <c r="X727" s="207"/>
      <c r="Y727" s="207"/>
      <c r="Z727" s="207"/>
      <c r="AA727" s="207"/>
      <c r="AB727" s="207"/>
      <c r="AC727" s="5"/>
      <c r="AD727" s="63"/>
      <c r="AE727" s="64"/>
      <c r="AF727" s="64"/>
      <c r="AG727" s="212"/>
      <c r="AH727" s="64"/>
      <c r="AI727" s="64"/>
      <c r="AJ727" s="64"/>
      <c r="AK727" s="212"/>
      <c r="AL727" s="64"/>
      <c r="AM727" s="64"/>
      <c r="AN727" s="64"/>
      <c r="AO727" s="64"/>
      <c r="AP727" s="63"/>
      <c r="AQ727" s="64"/>
      <c r="AR727" s="63"/>
      <c r="AS727" s="64"/>
      <c r="AT727" s="63"/>
      <c r="AU727" s="64"/>
      <c r="AV727" s="63"/>
      <c r="AW727" s="64"/>
      <c r="AX727" s="63"/>
      <c r="AY727" s="5"/>
      <c r="AZ727" s="21" t="str">
        <f t="shared" si="399"/>
        <v/>
      </c>
      <c r="BA727" s="264" t="s">
        <v>407</v>
      </c>
      <c r="BB727" s="264"/>
      <c r="BC727" s="264"/>
      <c r="BD727" s="264" t="s">
        <v>99</v>
      </c>
      <c r="BE727" s="216" t="s">
        <v>465</v>
      </c>
      <c r="BF727" s="303"/>
      <c r="BG727" s="303"/>
      <c r="BH727" s="303"/>
      <c r="BI727" s="303"/>
      <c r="BJ727" s="303"/>
      <c r="BK727" s="303"/>
      <c r="BL727" s="303"/>
      <c r="BM727" s="303"/>
      <c r="BN727" s="303"/>
      <c r="BO727" s="303"/>
      <c r="BP727" s="303"/>
      <c r="BQ727" s="5"/>
      <c r="BR727" s="25"/>
      <c r="BS727" s="5"/>
    </row>
    <row r="728" spans="1:71" s="3" customFormat="1" x14ac:dyDescent="0.25">
      <c r="A728" s="5"/>
      <c r="B728" s="3" t="str">
        <f t="array" ref="B728">IFERROR(INDEX(DemandSupply,MATCH(INDEX($AH$1:AH728,SMALL(ROW($AH$1:AH728)+(10000*($AH$1:AH728="")),COUNTA($AH$1:AH728))),Sectors,0)),"")</f>
        <v>Demand</v>
      </c>
      <c r="E728" s="10"/>
      <c r="F728" s="207"/>
      <c r="G728" s="207"/>
      <c r="H728" s="207"/>
      <c r="I728" s="207"/>
      <c r="J728" s="207"/>
      <c r="K728" s="207"/>
      <c r="L728" s="207"/>
      <c r="M728" s="207"/>
      <c r="N728" s="207"/>
      <c r="O728" s="207"/>
      <c r="P728" s="207"/>
      <c r="Q728" s="207"/>
      <c r="R728" s="207"/>
      <c r="S728" s="207"/>
      <c r="T728" s="207"/>
      <c r="U728" s="207"/>
      <c r="V728" s="207"/>
      <c r="W728" s="207"/>
      <c r="X728" s="207"/>
      <c r="Y728" s="207"/>
      <c r="Z728" s="207"/>
      <c r="AA728" s="207"/>
      <c r="AB728" s="207"/>
      <c r="AC728" s="5"/>
      <c r="AD728" s="63"/>
      <c r="AE728" s="64"/>
      <c r="AF728" s="64"/>
      <c r="AG728" s="212"/>
      <c r="AH728" s="64"/>
      <c r="AI728" s="64"/>
      <c r="AJ728" s="64"/>
      <c r="AK728" s="212"/>
      <c r="AL728" s="64"/>
      <c r="AM728" s="64"/>
      <c r="AN728" s="64"/>
      <c r="AO728" s="64"/>
      <c r="AP728" s="63"/>
      <c r="AQ728" s="64"/>
      <c r="AR728" s="63"/>
      <c r="AS728" s="64"/>
      <c r="AT728" s="63"/>
      <c r="AU728" s="64"/>
      <c r="AV728" s="63"/>
      <c r="AW728" s="64"/>
      <c r="AX728" s="63"/>
      <c r="AY728" s="5"/>
      <c r="AZ728" s="21" t="str">
        <f t="shared" si="399"/>
        <v/>
      </c>
      <c r="BA728" s="264" t="s">
        <v>444</v>
      </c>
      <c r="BB728" s="264"/>
      <c r="BC728" s="264"/>
      <c r="BD728" s="264" t="s">
        <v>354</v>
      </c>
      <c r="BE728" s="216" t="s">
        <v>465</v>
      </c>
      <c r="BF728" s="56"/>
      <c r="BG728" s="282">
        <f t="shared" ref="BG728" si="482">BF728</f>
        <v>0</v>
      </c>
      <c r="BH728" s="282">
        <f t="shared" ref="BH728" si="483">BG728</f>
        <v>0</v>
      </c>
      <c r="BI728" s="282">
        <f t="shared" ref="BI728" si="484">BH728</f>
        <v>0</v>
      </c>
      <c r="BJ728" s="282">
        <f t="shared" ref="BJ728" si="485">BI728</f>
        <v>0</v>
      </c>
      <c r="BK728" s="282">
        <f t="shared" ref="BK728" si="486">BJ728</f>
        <v>0</v>
      </c>
      <c r="BL728" s="282">
        <f t="shared" ref="BL728" si="487">BK728</f>
        <v>0</v>
      </c>
      <c r="BM728" s="282">
        <f t="shared" ref="BM728" si="488">BL728</f>
        <v>0</v>
      </c>
      <c r="BN728" s="282">
        <f t="shared" ref="BN728" si="489">BM728</f>
        <v>0</v>
      </c>
      <c r="BO728" s="282">
        <f t="shared" ref="BO728" si="490">BN728</f>
        <v>0</v>
      </c>
      <c r="BP728" s="282">
        <f t="shared" ref="BP728" si="491">BO728</f>
        <v>0</v>
      </c>
      <c r="BQ728" s="5"/>
      <c r="BR728" s="25"/>
      <c r="BS728" s="5"/>
    </row>
    <row r="729" spans="1:71" s="3" customFormat="1" x14ac:dyDescent="0.25">
      <c r="A729" s="5"/>
      <c r="B729" s="3" t="str">
        <f t="array" ref="B729">IFERROR(INDEX(DemandSupply,MATCH(INDEX($AH$1:AH729,SMALL(ROW($AH$1:AH729)+(10000*($AH$1:AH729="")),COUNTA($AH$1:AH729))),Sectors,0)),"")</f>
        <v>Demand</v>
      </c>
      <c r="E729" s="10"/>
      <c r="F729" s="207"/>
      <c r="G729" s="207"/>
      <c r="H729" s="207"/>
      <c r="I729" s="207"/>
      <c r="J729" s="207"/>
      <c r="K729" s="207"/>
      <c r="L729" s="207"/>
      <c r="M729" s="207"/>
      <c r="N729" s="207"/>
      <c r="O729" s="207"/>
      <c r="P729" s="207"/>
      <c r="Q729" s="207"/>
      <c r="R729" s="207"/>
      <c r="S729" s="207"/>
      <c r="T729" s="207"/>
      <c r="U729" s="207"/>
      <c r="V729" s="207"/>
      <c r="W729" s="207"/>
      <c r="X729" s="207"/>
      <c r="Y729" s="207"/>
      <c r="Z729" s="207"/>
      <c r="AA729" s="207"/>
      <c r="AB729" s="207"/>
      <c r="AC729" s="5"/>
      <c r="AD729" s="63"/>
      <c r="AE729" s="64"/>
      <c r="AF729" s="64"/>
      <c r="AG729" s="212"/>
      <c r="AH729" s="64"/>
      <c r="AI729" s="64"/>
      <c r="AJ729" s="64"/>
      <c r="AK729" s="212"/>
      <c r="AL729" s="64"/>
      <c r="AM729" s="64"/>
      <c r="AN729" s="64"/>
      <c r="AO729" s="64"/>
      <c r="AP729" s="63"/>
      <c r="AQ729" s="64"/>
      <c r="AR729" s="63"/>
      <c r="AS729" s="64"/>
      <c r="AT729" s="63"/>
      <c r="AU729" s="64"/>
      <c r="AV729" s="63"/>
      <c r="AW729" s="64"/>
      <c r="AX729" s="63"/>
      <c r="AY729" s="5"/>
      <c r="AZ729" s="21" t="str">
        <f t="shared" si="399"/>
        <v/>
      </c>
      <c r="BA729" s="264" t="s">
        <v>446</v>
      </c>
      <c r="BB729" s="264"/>
      <c r="BC729" s="264"/>
      <c r="BD729" s="264" t="s">
        <v>354</v>
      </c>
      <c r="BE729" s="216" t="s">
        <v>465</v>
      </c>
      <c r="BF729" s="56"/>
      <c r="BG729" s="56"/>
      <c r="BH729" s="56"/>
      <c r="BI729" s="56"/>
      <c r="BJ729" s="56"/>
      <c r="BK729" s="56"/>
      <c r="BL729" s="56"/>
      <c r="BM729" s="56"/>
      <c r="BN729" s="56"/>
      <c r="BO729" s="56"/>
      <c r="BP729" s="56"/>
      <c r="BQ729" s="5"/>
      <c r="BR729" s="25"/>
      <c r="BS729" s="5"/>
    </row>
    <row r="730" spans="1:71" s="3" customFormat="1" x14ac:dyDescent="0.25">
      <c r="A730" s="5"/>
      <c r="B730" s="3" t="str">
        <f t="array" ref="B730">IFERROR(INDEX(DemandSupply,MATCH(INDEX($AH$1:AH730,SMALL(ROW($AH$1:AH730)+(10000*($AH$1:AH730="")),COUNTA($AH$1:AH730))),Sectors,0)),"")</f>
        <v>Demand</v>
      </c>
      <c r="E730" s="10"/>
      <c r="F730" s="207"/>
      <c r="G730" s="207"/>
      <c r="H730" s="207"/>
      <c r="I730" s="207"/>
      <c r="J730" s="207"/>
      <c r="K730" s="207"/>
      <c r="L730" s="207"/>
      <c r="M730" s="207"/>
      <c r="N730" s="207"/>
      <c r="O730" s="207"/>
      <c r="P730" s="207"/>
      <c r="Q730" s="207"/>
      <c r="R730" s="207"/>
      <c r="S730" s="207"/>
      <c r="T730" s="207"/>
      <c r="U730" s="207"/>
      <c r="V730" s="207"/>
      <c r="W730" s="207"/>
      <c r="X730" s="207"/>
      <c r="Y730" s="207"/>
      <c r="Z730" s="207"/>
      <c r="AA730" s="207"/>
      <c r="AB730" s="207"/>
      <c r="AC730" s="5"/>
      <c r="AD730" s="63"/>
      <c r="AE730" s="64"/>
      <c r="AF730" s="64"/>
      <c r="AG730" s="212"/>
      <c r="AH730" s="64"/>
      <c r="AI730" s="64"/>
      <c r="AJ730" s="64"/>
      <c r="AK730" s="212"/>
      <c r="AL730" s="64"/>
      <c r="AM730" s="64"/>
      <c r="AN730" s="64"/>
      <c r="AO730" s="64"/>
      <c r="AP730" s="63"/>
      <c r="AQ730" s="64"/>
      <c r="AR730" s="63"/>
      <c r="AS730" s="64"/>
      <c r="AT730" s="63"/>
      <c r="AU730" s="64"/>
      <c r="AV730" s="63"/>
      <c r="AW730" s="64"/>
      <c r="AX730" s="63"/>
      <c r="AY730" s="5"/>
      <c r="AZ730" s="21" t="str">
        <f t="shared" si="399"/>
        <v/>
      </c>
      <c r="BA730" s="264" t="s">
        <v>447</v>
      </c>
      <c r="BB730" s="264"/>
      <c r="BC730" s="264"/>
      <c r="BD730" s="264"/>
      <c r="BE730" s="216" t="s">
        <v>465</v>
      </c>
      <c r="BF730" s="55"/>
      <c r="BG730" s="55"/>
      <c r="BH730" s="55"/>
      <c r="BI730" s="55"/>
      <c r="BJ730" s="55"/>
      <c r="BK730" s="55"/>
      <c r="BL730" s="55"/>
      <c r="BM730" s="55"/>
      <c r="BN730" s="55"/>
      <c r="BO730" s="55"/>
      <c r="BP730" s="55"/>
      <c r="BQ730" s="5"/>
      <c r="BR730" s="25"/>
      <c r="BS730" s="5"/>
    </row>
    <row r="731" spans="1:71" s="3" customFormat="1" x14ac:dyDescent="0.25">
      <c r="A731" s="5"/>
      <c r="B731" s="3" t="str">
        <f t="array" ref="B731">IFERROR(INDEX(DemandSupply,MATCH(INDEX($AH$1:AH731,SMALL(ROW($AH$1:AH731)+(10000*($AH$1:AH731="")),COUNTA($AH$1:AH731))),Sectors,0)),"")</f>
        <v>Demand</v>
      </c>
      <c r="E731" s="10"/>
      <c r="F731" s="207"/>
      <c r="G731" s="207"/>
      <c r="H731" s="207"/>
      <c r="I731" s="207"/>
      <c r="J731" s="207"/>
      <c r="K731" s="207"/>
      <c r="L731" s="207"/>
      <c r="M731" s="207"/>
      <c r="N731" s="207"/>
      <c r="O731" s="207"/>
      <c r="P731" s="207"/>
      <c r="Q731" s="207"/>
      <c r="R731" s="207"/>
      <c r="S731" s="207"/>
      <c r="T731" s="207"/>
      <c r="U731" s="207"/>
      <c r="V731" s="207"/>
      <c r="W731" s="207"/>
      <c r="X731" s="207"/>
      <c r="Y731" s="207"/>
      <c r="Z731" s="207"/>
      <c r="AA731" s="207"/>
      <c r="AB731" s="207"/>
      <c r="AC731" s="5"/>
      <c r="AD731" s="63"/>
      <c r="AE731" s="64"/>
      <c r="AF731" s="64"/>
      <c r="AG731" s="212"/>
      <c r="AH731" s="64"/>
      <c r="AI731" s="64"/>
      <c r="AJ731" s="64"/>
      <c r="AK731" s="212"/>
      <c r="AL731" s="64"/>
      <c r="AM731" s="64"/>
      <c r="AN731" s="64"/>
      <c r="AO731" s="64"/>
      <c r="AP731" s="63"/>
      <c r="AQ731" s="64"/>
      <c r="AR731" s="63"/>
      <c r="AS731" s="64"/>
      <c r="AT731" s="63"/>
      <c r="AU731" s="64"/>
      <c r="AV731" s="63"/>
      <c r="AW731" s="64"/>
      <c r="AX731" s="63"/>
      <c r="AY731" s="5"/>
      <c r="AZ731" s="21" t="str">
        <f t="shared" si="399"/>
        <v/>
      </c>
      <c r="BA731" s="264" t="s">
        <v>448</v>
      </c>
      <c r="BB731" s="264"/>
      <c r="BC731" s="264"/>
      <c r="BD731" s="264"/>
      <c r="BE731" s="216" t="s">
        <v>465</v>
      </c>
      <c r="BF731" s="55"/>
      <c r="BG731" s="55"/>
      <c r="BH731" s="55"/>
      <c r="BI731" s="55"/>
      <c r="BJ731" s="55"/>
      <c r="BK731" s="55"/>
      <c r="BL731" s="55"/>
      <c r="BM731" s="55"/>
      <c r="BN731" s="55"/>
      <c r="BO731" s="55"/>
      <c r="BP731" s="55"/>
      <c r="BQ731" s="5"/>
      <c r="BR731" s="25"/>
      <c r="BS731" s="5"/>
    </row>
    <row r="732" spans="1:71" s="3" customFormat="1" x14ac:dyDescent="0.25">
      <c r="A732" s="5"/>
      <c r="B732" s="3" t="str">
        <f t="array" ref="B732">IFERROR(INDEX(DemandSupply,MATCH(INDEX($AH$1:AH732,SMALL(ROW($AH$1:AH732)+(10000*($AH$1:AH732="")),COUNTA($AH$1:AH732))),Sectors,0)),"")</f>
        <v>Demand</v>
      </c>
      <c r="E732" s="10"/>
      <c r="F732" s="207"/>
      <c r="G732" s="207"/>
      <c r="H732" s="207"/>
      <c r="I732" s="207"/>
      <c r="J732" s="207"/>
      <c r="K732" s="207"/>
      <c r="L732" s="207"/>
      <c r="M732" s="207"/>
      <c r="N732" s="207"/>
      <c r="O732" s="207"/>
      <c r="P732" s="207"/>
      <c r="Q732" s="207"/>
      <c r="R732" s="207"/>
      <c r="S732" s="207"/>
      <c r="T732" s="207"/>
      <c r="U732" s="207"/>
      <c r="V732" s="207"/>
      <c r="W732" s="207"/>
      <c r="X732" s="207"/>
      <c r="Y732" s="207"/>
      <c r="Z732" s="207"/>
      <c r="AA732" s="207"/>
      <c r="AB732" s="207"/>
      <c r="AC732" s="5"/>
      <c r="AD732" s="63"/>
      <c r="AE732" s="64"/>
      <c r="AF732" s="64"/>
      <c r="AG732" s="212"/>
      <c r="AH732" s="64"/>
      <c r="AI732" s="64"/>
      <c r="AJ732" s="64"/>
      <c r="AK732" s="212"/>
      <c r="AL732" s="64"/>
      <c r="AM732" s="64"/>
      <c r="AN732" s="64"/>
      <c r="AO732" s="64"/>
      <c r="AP732" s="63"/>
      <c r="AQ732" s="64"/>
      <c r="AR732" s="63"/>
      <c r="AS732" s="64"/>
      <c r="AT732" s="63"/>
      <c r="AU732" s="64"/>
      <c r="AV732" s="63"/>
      <c r="AW732" s="64"/>
      <c r="AX732" s="63"/>
      <c r="AY732" s="5"/>
      <c r="AZ732" s="21" t="str">
        <f t="shared" si="399"/>
        <v/>
      </c>
      <c r="BA732" s="264" t="s">
        <v>445</v>
      </c>
      <c r="BB732" s="264"/>
      <c r="BC732" s="264"/>
      <c r="BD732" s="264" t="s">
        <v>466</v>
      </c>
      <c r="BE732" s="216" t="s">
        <v>465</v>
      </c>
      <c r="BF732" s="56"/>
      <c r="BG732" s="56"/>
      <c r="BH732" s="56"/>
      <c r="BI732" s="56"/>
      <c r="BJ732" s="56"/>
      <c r="BK732" s="56"/>
      <c r="BL732" s="56"/>
      <c r="BM732" s="56"/>
      <c r="BN732" s="56"/>
      <c r="BO732" s="56"/>
      <c r="BP732" s="56"/>
      <c r="BQ732" s="5"/>
      <c r="BR732" s="25"/>
      <c r="BS732" s="5"/>
    </row>
    <row r="733" spans="1:71" s="3" customFormat="1" x14ac:dyDescent="0.25">
      <c r="A733" s="5"/>
      <c r="B733" s="3" t="str">
        <f t="array" ref="B733">IFERROR(INDEX(DemandSupply,MATCH(INDEX($AH$1:AH733,SMALL(ROW($AH$1:AH733)+(10000*($AH$1:AH733="")),COUNTA($AH$1:AH733))),Sectors,0)),"")</f>
        <v>Demand</v>
      </c>
      <c r="E733" s="10"/>
      <c r="F733" s="207"/>
      <c r="G733" s="207"/>
      <c r="H733" s="207"/>
      <c r="I733" s="207"/>
      <c r="J733" s="207"/>
      <c r="K733" s="207"/>
      <c r="L733" s="207"/>
      <c r="M733" s="207"/>
      <c r="N733" s="207"/>
      <c r="O733" s="207"/>
      <c r="P733" s="207"/>
      <c r="Q733" s="207"/>
      <c r="R733" s="207"/>
      <c r="S733" s="207"/>
      <c r="T733" s="207"/>
      <c r="U733" s="207"/>
      <c r="V733" s="207"/>
      <c r="W733" s="207"/>
      <c r="X733" s="207"/>
      <c r="Y733" s="207"/>
      <c r="Z733" s="207"/>
      <c r="AA733" s="207"/>
      <c r="AB733" s="207"/>
      <c r="AC733" s="5"/>
      <c r="AD733" s="63"/>
      <c r="AE733" s="64"/>
      <c r="AF733" s="64"/>
      <c r="AG733" s="212"/>
      <c r="AH733" s="64"/>
      <c r="AI733" s="64"/>
      <c r="AJ733" s="64"/>
      <c r="AK733" s="212"/>
      <c r="AL733" s="64"/>
      <c r="AM733" s="64"/>
      <c r="AN733" s="64"/>
      <c r="AO733" s="64"/>
      <c r="AP733" s="63"/>
      <c r="AQ733" s="64"/>
      <c r="AR733" s="63"/>
      <c r="AS733" s="64"/>
      <c r="AT733" s="63"/>
      <c r="AU733" s="64"/>
      <c r="AV733" s="63"/>
      <c r="AW733" s="64"/>
      <c r="AX733" s="63"/>
      <c r="AY733" s="5"/>
      <c r="AZ733" s="21" t="str">
        <f t="shared" ref="AZ733:AZ796" si="492">IFERROR(INDEX($AD733:$AX733,MATCH(TRUE,INDEX(($AD733:$AX733&lt;&gt;0),0),0)),"")</f>
        <v/>
      </c>
      <c r="BA733" s="264" t="s">
        <v>449</v>
      </c>
      <c r="BB733" s="264"/>
      <c r="BC733" s="264"/>
      <c r="BD733" s="264" t="s">
        <v>466</v>
      </c>
      <c r="BE733" s="216" t="s">
        <v>465</v>
      </c>
      <c r="BF733" s="56"/>
      <c r="BG733" s="56"/>
      <c r="BH733" s="56"/>
      <c r="BI733" s="56"/>
      <c r="BJ733" s="56"/>
      <c r="BK733" s="56"/>
      <c r="BL733" s="56"/>
      <c r="BM733" s="56"/>
      <c r="BN733" s="56"/>
      <c r="BO733" s="56"/>
      <c r="BP733" s="56"/>
      <c r="BQ733" s="5"/>
      <c r="BR733" s="25"/>
      <c r="BS733" s="5"/>
    </row>
    <row r="734" spans="1:71" s="3" customFormat="1" x14ac:dyDescent="0.25">
      <c r="A734" s="5"/>
      <c r="B734" s="3" t="str">
        <f t="array" ref="B734">IFERROR(INDEX(DemandSupply,MATCH(INDEX($AH$1:AH734,SMALL(ROW($AH$1:AH734)+(10000*($AH$1:AH734="")),COUNTA($AH$1:AH734))),Sectors,0)),"")</f>
        <v>Demand</v>
      </c>
      <c r="E734" s="10"/>
      <c r="F734" s="207"/>
      <c r="G734" s="207"/>
      <c r="H734" s="207"/>
      <c r="I734" s="207"/>
      <c r="J734" s="207"/>
      <c r="K734" s="207"/>
      <c r="L734" s="207"/>
      <c r="M734" s="207"/>
      <c r="N734" s="207"/>
      <c r="O734" s="207"/>
      <c r="P734" s="207"/>
      <c r="Q734" s="207"/>
      <c r="R734" s="207"/>
      <c r="S734" s="207"/>
      <c r="T734" s="207"/>
      <c r="U734" s="207"/>
      <c r="V734" s="207"/>
      <c r="W734" s="207"/>
      <c r="X734" s="207"/>
      <c r="Y734" s="207"/>
      <c r="Z734" s="207"/>
      <c r="AA734" s="207"/>
      <c r="AB734" s="207"/>
      <c r="AC734" s="5"/>
      <c r="AD734" s="63"/>
      <c r="AE734" s="64"/>
      <c r="AF734" s="64"/>
      <c r="AG734" s="212"/>
      <c r="AH734" s="64"/>
      <c r="AI734" s="64"/>
      <c r="AJ734" s="64"/>
      <c r="AK734" s="212"/>
      <c r="AL734" s="64"/>
      <c r="AM734" s="64"/>
      <c r="AN734" s="64"/>
      <c r="AO734" s="64"/>
      <c r="AP734" s="63"/>
      <c r="AQ734" s="64"/>
      <c r="AR734" s="63"/>
      <c r="AS734" s="64"/>
      <c r="AT734" s="63"/>
      <c r="AU734" s="64"/>
      <c r="AV734" s="63"/>
      <c r="AW734" s="64"/>
      <c r="AX734" s="63"/>
      <c r="AY734" s="5"/>
      <c r="AZ734" s="21" t="str">
        <f t="shared" si="492"/>
        <v/>
      </c>
      <c r="BA734" s="264" t="s">
        <v>450</v>
      </c>
      <c r="BB734" s="264"/>
      <c r="BC734" s="264"/>
      <c r="BD734" s="264"/>
      <c r="BE734" s="216" t="s">
        <v>465</v>
      </c>
      <c r="BF734" s="55"/>
      <c r="BG734" s="55"/>
      <c r="BH734" s="55"/>
      <c r="BI734" s="55"/>
      <c r="BJ734" s="55"/>
      <c r="BK734" s="55"/>
      <c r="BL734" s="55"/>
      <c r="BM734" s="55"/>
      <c r="BN734" s="55"/>
      <c r="BO734" s="55"/>
      <c r="BP734" s="55"/>
      <c r="BQ734" s="5"/>
      <c r="BR734" s="25"/>
      <c r="BS734" s="5"/>
    </row>
    <row r="735" spans="1:71" s="3" customFormat="1" x14ac:dyDescent="0.25">
      <c r="A735" s="5"/>
      <c r="B735" s="3" t="str">
        <f t="array" ref="B735">IFERROR(INDEX(DemandSupply,MATCH(INDEX($AH$1:AH735,SMALL(ROW($AH$1:AH735)+(10000*($AH$1:AH735="")),COUNTA($AH$1:AH735))),Sectors,0)),"")</f>
        <v>Demand</v>
      </c>
      <c r="E735" s="10"/>
      <c r="F735" s="207"/>
      <c r="G735" s="207"/>
      <c r="H735" s="207"/>
      <c r="I735" s="207"/>
      <c r="J735" s="207"/>
      <c r="K735" s="207"/>
      <c r="L735" s="207"/>
      <c r="M735" s="207"/>
      <c r="N735" s="207"/>
      <c r="O735" s="207"/>
      <c r="P735" s="207"/>
      <c r="Q735" s="207"/>
      <c r="R735" s="207"/>
      <c r="S735" s="207"/>
      <c r="T735" s="207"/>
      <c r="U735" s="207"/>
      <c r="V735" s="207"/>
      <c r="W735" s="207"/>
      <c r="X735" s="207"/>
      <c r="Y735" s="207"/>
      <c r="Z735" s="207"/>
      <c r="AA735" s="207"/>
      <c r="AB735" s="207"/>
      <c r="AC735" s="5"/>
      <c r="AD735" s="63"/>
      <c r="AE735" s="64"/>
      <c r="AF735" s="64"/>
      <c r="AG735" s="212"/>
      <c r="AH735" s="64"/>
      <c r="AI735" s="64"/>
      <c r="AJ735" s="64"/>
      <c r="AK735" s="212"/>
      <c r="AL735" s="64"/>
      <c r="AM735" s="64"/>
      <c r="AN735" s="64"/>
      <c r="AO735" s="64"/>
      <c r="AP735" s="63"/>
      <c r="AQ735" s="64"/>
      <c r="AR735" s="63"/>
      <c r="AS735" s="64"/>
      <c r="AT735" s="63"/>
      <c r="AU735" s="64"/>
      <c r="AV735" s="63"/>
      <c r="AW735" s="64"/>
      <c r="AX735" s="63"/>
      <c r="AY735" s="5"/>
      <c r="AZ735" s="21" t="str">
        <f t="shared" si="492"/>
        <v/>
      </c>
      <c r="BA735" s="264" t="s">
        <v>451</v>
      </c>
      <c r="BB735" s="264"/>
      <c r="BC735" s="264"/>
      <c r="BD735" s="264"/>
      <c r="BE735" s="216" t="s">
        <v>465</v>
      </c>
      <c r="BF735" s="55"/>
      <c r="BG735" s="55"/>
      <c r="BH735" s="55"/>
      <c r="BI735" s="55"/>
      <c r="BJ735" s="55"/>
      <c r="BK735" s="55"/>
      <c r="BL735" s="55"/>
      <c r="BM735" s="55"/>
      <c r="BN735" s="55"/>
      <c r="BO735" s="55"/>
      <c r="BP735" s="55"/>
      <c r="BQ735" s="5"/>
      <c r="BR735" s="25"/>
      <c r="BS735" s="5"/>
    </row>
    <row r="736" spans="1:71" s="3" customFormat="1" x14ac:dyDescent="0.25">
      <c r="A736" s="5"/>
      <c r="B736" s="3" t="str">
        <f t="array" ref="B736">IFERROR(INDEX(DemandSupply,MATCH(INDEX($AH$1:AH736,SMALL(ROW($AH$1:AH736)+(10000*($AH$1:AH736="")),COUNTA($AH$1:AH736))),Sectors,0)),"")</f>
        <v>Demand</v>
      </c>
      <c r="E736" s="10"/>
      <c r="F736" s="207"/>
      <c r="G736" s="207"/>
      <c r="H736" s="207"/>
      <c r="I736" s="207"/>
      <c r="J736" s="207"/>
      <c r="K736" s="207"/>
      <c r="L736" s="207"/>
      <c r="M736" s="207"/>
      <c r="N736" s="207"/>
      <c r="O736" s="207"/>
      <c r="P736" s="207"/>
      <c r="Q736" s="207"/>
      <c r="R736" s="207"/>
      <c r="S736" s="207"/>
      <c r="T736" s="207"/>
      <c r="U736" s="207"/>
      <c r="V736" s="207"/>
      <c r="W736" s="207"/>
      <c r="X736" s="207"/>
      <c r="Y736" s="207"/>
      <c r="Z736" s="207"/>
      <c r="AA736" s="207"/>
      <c r="AB736" s="207"/>
      <c r="AC736" s="5"/>
      <c r="AD736" s="63"/>
      <c r="AE736" s="64"/>
      <c r="AF736" s="64"/>
      <c r="AG736" s="212"/>
      <c r="AH736" s="64"/>
      <c r="AI736" s="64"/>
      <c r="AJ736" s="64"/>
      <c r="AK736" s="212"/>
      <c r="AL736" s="64"/>
      <c r="AM736" s="64"/>
      <c r="AN736" s="64"/>
      <c r="AO736" s="64"/>
      <c r="AP736" s="63"/>
      <c r="AQ736" s="64"/>
      <c r="AR736" s="63"/>
      <c r="AS736" s="64"/>
      <c r="AT736" s="63"/>
      <c r="AU736" s="64"/>
      <c r="AV736" s="63"/>
      <c r="AW736" s="64"/>
      <c r="AX736" s="63"/>
      <c r="AY736" s="5"/>
      <c r="AZ736" s="21" t="str">
        <f t="shared" si="492"/>
        <v/>
      </c>
      <c r="BA736" s="264" t="s">
        <v>342</v>
      </c>
      <c r="BB736" s="264"/>
      <c r="BC736" s="264"/>
      <c r="BD736" s="264" t="s">
        <v>466</v>
      </c>
      <c r="BE736" s="216" t="s">
        <v>465</v>
      </c>
      <c r="BF736" s="56">
        <v>11.249000000000001</v>
      </c>
      <c r="BG736" s="282">
        <f t="shared" ref="BG736" si="493">BF736</f>
        <v>11.249000000000001</v>
      </c>
      <c r="BH736" s="282">
        <f t="shared" ref="BH736" si="494">BG736</f>
        <v>11.249000000000001</v>
      </c>
      <c r="BI736" s="282">
        <f t="shared" ref="BI736" si="495">BH736</f>
        <v>11.249000000000001</v>
      </c>
      <c r="BJ736" s="282">
        <f t="shared" ref="BJ736" si="496">BI736</f>
        <v>11.249000000000001</v>
      </c>
      <c r="BK736" s="282">
        <f t="shared" ref="BK736" si="497">BJ736</f>
        <v>11.249000000000001</v>
      </c>
      <c r="BL736" s="282">
        <f t="shared" ref="BL736" si="498">BK736</f>
        <v>11.249000000000001</v>
      </c>
      <c r="BM736" s="282">
        <f t="shared" ref="BM736" si="499">BL736</f>
        <v>11.249000000000001</v>
      </c>
      <c r="BN736" s="282">
        <f t="shared" ref="BN736" si="500">BM736</f>
        <v>11.249000000000001</v>
      </c>
      <c r="BO736" s="282">
        <f t="shared" ref="BO736" si="501">BN736</f>
        <v>11.249000000000001</v>
      </c>
      <c r="BP736" s="282">
        <f t="shared" ref="BP736" si="502">BO736</f>
        <v>11.249000000000001</v>
      </c>
      <c r="BQ736" s="5"/>
      <c r="BR736" s="25"/>
      <c r="BS736" s="5"/>
    </row>
    <row r="737" spans="1:71" s="3" customFormat="1" x14ac:dyDescent="0.25">
      <c r="A737" s="5"/>
      <c r="B737" s="3" t="str">
        <f t="array" ref="B737">IFERROR(INDEX(DemandSupply,MATCH(INDEX($AH$1:AH737,SMALL(ROW($AH$1:AH737)+(10000*($AH$1:AH737="")),COUNTA($AH$1:AH737))),Sectors,0)),"")</f>
        <v>Demand</v>
      </c>
      <c r="E737" s="10"/>
      <c r="F737" s="207"/>
      <c r="G737" s="207"/>
      <c r="H737" s="207"/>
      <c r="I737" s="207"/>
      <c r="J737" s="207"/>
      <c r="K737" s="207"/>
      <c r="L737" s="207"/>
      <c r="M737" s="207"/>
      <c r="N737" s="207"/>
      <c r="O737" s="207"/>
      <c r="P737" s="207"/>
      <c r="Q737" s="207"/>
      <c r="R737" s="207"/>
      <c r="S737" s="207"/>
      <c r="T737" s="207"/>
      <c r="U737" s="207"/>
      <c r="V737" s="207"/>
      <c r="W737" s="207"/>
      <c r="X737" s="207"/>
      <c r="Y737" s="207"/>
      <c r="Z737" s="207"/>
      <c r="AA737" s="207"/>
      <c r="AB737" s="207"/>
      <c r="AC737" s="5"/>
      <c r="AD737" s="63"/>
      <c r="AE737" s="64"/>
      <c r="AF737" s="64"/>
      <c r="AG737" s="212"/>
      <c r="AH737" s="64"/>
      <c r="AI737" s="64"/>
      <c r="AJ737" s="64"/>
      <c r="AK737" s="212"/>
      <c r="AL737" s="64"/>
      <c r="AM737" s="64"/>
      <c r="AN737" s="64"/>
      <c r="AO737" s="64"/>
      <c r="AP737" s="63"/>
      <c r="AQ737" s="64"/>
      <c r="AR737" s="63"/>
      <c r="AS737" s="64"/>
      <c r="AT737" s="63"/>
      <c r="AU737" s="64"/>
      <c r="AV737" s="63"/>
      <c r="AW737" s="64"/>
      <c r="AX737" s="63"/>
      <c r="AY737" s="5"/>
      <c r="AZ737" s="21" t="str">
        <f t="shared" si="492"/>
        <v/>
      </c>
      <c r="BA737" s="264" t="s">
        <v>394</v>
      </c>
      <c r="BB737" s="264"/>
      <c r="BC737" s="264"/>
      <c r="BD737" s="264" t="s">
        <v>354</v>
      </c>
      <c r="BE737" s="216" t="s">
        <v>465</v>
      </c>
      <c r="BF737" s="56"/>
      <c r="BG737" s="56"/>
      <c r="BH737" s="56"/>
      <c r="BI737" s="56"/>
      <c r="BJ737" s="56"/>
      <c r="BK737" s="56"/>
      <c r="BL737" s="56"/>
      <c r="BM737" s="56"/>
      <c r="BN737" s="56"/>
      <c r="BO737" s="56"/>
      <c r="BP737" s="56"/>
      <c r="BQ737" s="5"/>
      <c r="BR737" s="25"/>
      <c r="BS737" s="5"/>
    </row>
    <row r="738" spans="1:71" s="3" customFormat="1" x14ac:dyDescent="0.25">
      <c r="A738" s="5"/>
      <c r="B738" s="3" t="str">
        <f t="array" ref="B738">IFERROR(INDEX(DemandSupply,MATCH(INDEX($AH$1:AH738,SMALL(ROW($AH$1:AH738)+(10000*($AH$1:AH738="")),COUNTA($AH$1:AH738))),Sectors,0)),"")</f>
        <v>Demand</v>
      </c>
      <c r="E738" s="10">
        <f t="shared" si="356"/>
        <v>0</v>
      </c>
      <c r="F738" s="207">
        <v>1</v>
      </c>
      <c r="G738" s="207">
        <v>1</v>
      </c>
      <c r="H738" s="207">
        <v>1</v>
      </c>
      <c r="I738" s="207">
        <v>1</v>
      </c>
      <c r="J738" s="207">
        <v>1</v>
      </c>
      <c r="K738" s="207">
        <v>1</v>
      </c>
      <c r="L738" s="207">
        <v>1</v>
      </c>
      <c r="M738" s="207">
        <v>1</v>
      </c>
      <c r="N738" s="207">
        <v>1</v>
      </c>
      <c r="O738" s="207">
        <v>1</v>
      </c>
      <c r="P738" s="207">
        <v>1</v>
      </c>
      <c r="Q738" s="207">
        <v>1</v>
      </c>
      <c r="R738" s="207">
        <v>1</v>
      </c>
      <c r="S738" s="207">
        <v>1</v>
      </c>
      <c r="T738" s="207">
        <v>1</v>
      </c>
      <c r="U738" s="207">
        <v>1</v>
      </c>
      <c r="V738" s="207">
        <v>1</v>
      </c>
      <c r="W738" s="207">
        <v>1</v>
      </c>
      <c r="X738" s="207">
        <v>1</v>
      </c>
      <c r="Y738" s="207">
        <v>1</v>
      </c>
      <c r="Z738" s="207">
        <v>1</v>
      </c>
      <c r="AA738" s="207">
        <v>1</v>
      </c>
      <c r="AB738" s="207">
        <v>1</v>
      </c>
      <c r="AC738" s="5"/>
      <c r="AD738" s="63"/>
      <c r="AE738" s="64"/>
      <c r="AF738" s="64"/>
      <c r="AG738" s="212"/>
      <c r="AH738" s="64"/>
      <c r="AI738" s="64"/>
      <c r="AJ738" s="64"/>
      <c r="AK738" s="212"/>
      <c r="AL738" s="80"/>
      <c r="AM738" s="64"/>
      <c r="AN738" s="64"/>
      <c r="AO738" s="64"/>
      <c r="AP738" s="63"/>
      <c r="AQ738" s="64"/>
      <c r="AR738" s="63"/>
      <c r="AS738" s="64"/>
      <c r="AT738" s="63"/>
      <c r="AU738" s="64"/>
      <c r="AV738" s="63"/>
      <c r="AW738" s="64"/>
      <c r="AX738" s="63"/>
      <c r="AY738" s="5"/>
      <c r="AZ738" s="21" t="str">
        <f t="shared" si="492"/>
        <v/>
      </c>
      <c r="BA738" s="2" t="s">
        <v>338</v>
      </c>
      <c r="BB738" s="13"/>
      <c r="BC738" s="74" t="s">
        <v>123</v>
      </c>
      <c r="BD738" s="74" t="s">
        <v>467</v>
      </c>
      <c r="BE738" s="216" t="s">
        <v>465</v>
      </c>
      <c r="BF738" s="55">
        <v>0.23499999999999999</v>
      </c>
      <c r="BG738" s="55">
        <v>0.23499999999999999</v>
      </c>
      <c r="BH738" s="55">
        <v>0.23499999999999999</v>
      </c>
      <c r="BI738" s="55">
        <v>0.23499999999999999</v>
      </c>
      <c r="BJ738" s="55">
        <v>0.23499999999999999</v>
      </c>
      <c r="BK738" s="55">
        <v>0.23499999999999999</v>
      </c>
      <c r="BL738" s="55">
        <v>0.23499999999999999</v>
      </c>
      <c r="BM738" s="55">
        <v>0.23499999999999999</v>
      </c>
      <c r="BN738" s="55">
        <v>0.23499999999999999</v>
      </c>
      <c r="BO738" s="55">
        <v>0.23499999999999999</v>
      </c>
      <c r="BP738" s="55">
        <v>0.23499999999999999</v>
      </c>
      <c r="BQ738" s="5"/>
      <c r="BR738" s="13"/>
      <c r="BS738" s="5"/>
    </row>
    <row r="739" spans="1:71" s="3" customFormat="1" x14ac:dyDescent="0.25">
      <c r="A739" s="5"/>
      <c r="B739" s="3" t="str">
        <f t="array" ref="B739">IFERROR(INDEX(DemandSupply,MATCH(INDEX($AH$1:AH739,SMALL(ROW($AH$1:AH739)+(10000*($AH$1:AH739="")),COUNTA($AH$1:AH739))),Sectors,0)),"")</f>
        <v>Demand</v>
      </c>
      <c r="E739" s="10">
        <f t="shared" ref="E739" si="503">IF(COUNTA(BA739)=1,0,MIN(F739:AA739))</f>
        <v>0</v>
      </c>
      <c r="F739" s="207">
        <v>1</v>
      </c>
      <c r="G739" s="207">
        <v>1</v>
      </c>
      <c r="H739" s="207">
        <v>1</v>
      </c>
      <c r="I739" s="207">
        <v>1</v>
      </c>
      <c r="J739" s="207">
        <v>1</v>
      </c>
      <c r="K739" s="207">
        <v>1</v>
      </c>
      <c r="L739" s="207">
        <v>1</v>
      </c>
      <c r="M739" s="207">
        <v>1</v>
      </c>
      <c r="N739" s="207">
        <v>1</v>
      </c>
      <c r="O739" s="207">
        <v>1</v>
      </c>
      <c r="P739" s="207">
        <v>1</v>
      </c>
      <c r="Q739" s="207">
        <v>1</v>
      </c>
      <c r="R739" s="207">
        <v>1</v>
      </c>
      <c r="S739" s="207">
        <v>1</v>
      </c>
      <c r="T739" s="207">
        <v>1</v>
      </c>
      <c r="U739" s="207">
        <v>1</v>
      </c>
      <c r="V739" s="207">
        <v>1</v>
      </c>
      <c r="W739" s="207">
        <v>1</v>
      </c>
      <c r="X739" s="207">
        <v>1</v>
      </c>
      <c r="Y739" s="207">
        <v>1</v>
      </c>
      <c r="Z739" s="207">
        <v>1</v>
      </c>
      <c r="AA739" s="207">
        <v>1</v>
      </c>
      <c r="AB739" s="207">
        <v>1</v>
      </c>
      <c r="AC739" s="5"/>
      <c r="AD739" s="63"/>
      <c r="AE739" s="64"/>
      <c r="AF739" s="64"/>
      <c r="AG739" s="212"/>
      <c r="AH739" s="64"/>
      <c r="AI739" s="64"/>
      <c r="AJ739" s="64"/>
      <c r="AK739" s="212"/>
      <c r="AL739" s="80"/>
      <c r="AM739" s="64"/>
      <c r="AN739" s="63"/>
      <c r="AO739" s="64"/>
      <c r="AP739" s="63"/>
      <c r="AQ739" s="64"/>
      <c r="AR739" s="63"/>
      <c r="AS739" s="64"/>
      <c r="AT739" s="63"/>
      <c r="AU739" s="64"/>
      <c r="AV739" s="63"/>
      <c r="AW739" s="64"/>
      <c r="AX739" s="63"/>
      <c r="AY739" s="5"/>
      <c r="AZ739" s="21" t="str">
        <f t="shared" si="492"/>
        <v/>
      </c>
      <c r="BA739" s="2" t="s">
        <v>338</v>
      </c>
      <c r="BB739" s="13"/>
      <c r="BC739" s="74" t="s">
        <v>468</v>
      </c>
      <c r="BD739" s="74" t="s">
        <v>467</v>
      </c>
      <c r="BE739" s="216" t="s">
        <v>465</v>
      </c>
      <c r="BF739" s="55">
        <v>4.6399999999999997</v>
      </c>
      <c r="BG739" s="55">
        <v>4.6399999999999997</v>
      </c>
      <c r="BH739" s="55">
        <v>4.6399999999999997</v>
      </c>
      <c r="BI739" s="55">
        <v>4.6399999999999997</v>
      </c>
      <c r="BJ739" s="55">
        <v>4.6399999999999997</v>
      </c>
      <c r="BK739" s="55">
        <v>4.6399999999999997</v>
      </c>
      <c r="BL739" s="55">
        <v>4.6399999999999997</v>
      </c>
      <c r="BM739" s="55">
        <v>4.6399999999999997</v>
      </c>
      <c r="BN739" s="55">
        <v>4.6399999999999997</v>
      </c>
      <c r="BO739" s="55">
        <v>4.6399999999999997</v>
      </c>
      <c r="BP739" s="55">
        <v>4.6399999999999997</v>
      </c>
      <c r="BQ739" s="5"/>
      <c r="BR739" s="13"/>
      <c r="BS739" s="5"/>
    </row>
    <row r="740" spans="1:71" s="3" customFormat="1" x14ac:dyDescent="0.25">
      <c r="A740" s="5"/>
      <c r="B740" s="3" t="str">
        <f t="array" ref="B740">IFERROR(INDEX(DemandSupply,MATCH(INDEX($AH$1:AH740,SMALL(ROW($AH$1:AH740)+(10000*($AH$1:AH740="")),COUNTA($AH$1:AH740))),Sectors,0)),"")</f>
        <v>Demand</v>
      </c>
      <c r="E740" s="10">
        <f t="shared" si="356"/>
        <v>1</v>
      </c>
      <c r="F740" s="207">
        <v>1</v>
      </c>
      <c r="G740" s="207">
        <v>1</v>
      </c>
      <c r="H740" s="207">
        <v>1</v>
      </c>
      <c r="I740" s="207">
        <v>1</v>
      </c>
      <c r="J740" s="207">
        <v>1</v>
      </c>
      <c r="K740" s="207">
        <v>1</v>
      </c>
      <c r="L740" s="207">
        <v>1</v>
      </c>
      <c r="M740" s="207">
        <v>1</v>
      </c>
      <c r="N740" s="207">
        <v>1</v>
      </c>
      <c r="O740" s="207">
        <v>1</v>
      </c>
      <c r="P740" s="207">
        <v>1</v>
      </c>
      <c r="Q740" s="207">
        <v>1</v>
      </c>
      <c r="R740" s="207">
        <v>1</v>
      </c>
      <c r="S740" s="207">
        <v>1</v>
      </c>
      <c r="T740" s="207">
        <v>1</v>
      </c>
      <c r="U740" s="207">
        <v>1</v>
      </c>
      <c r="V740" s="207">
        <v>1</v>
      </c>
      <c r="W740" s="207">
        <v>1</v>
      </c>
      <c r="X740" s="207">
        <v>1</v>
      </c>
      <c r="Y740" s="207">
        <v>1</v>
      </c>
      <c r="Z740" s="207">
        <v>1</v>
      </c>
      <c r="AA740" s="207">
        <v>1</v>
      </c>
      <c r="AB740" s="207">
        <v>1</v>
      </c>
      <c r="AC740" s="5"/>
      <c r="AD740" s="63"/>
      <c r="AE740" s="64"/>
      <c r="AF740" s="64"/>
      <c r="AG740" s="212"/>
      <c r="AH740" s="64"/>
      <c r="AI740" s="64"/>
      <c r="AJ740" s="65"/>
      <c r="AK740" s="212"/>
      <c r="AL740" s="64"/>
      <c r="AM740" s="64"/>
      <c r="AN740" s="63"/>
      <c r="AO740" s="64"/>
      <c r="AP740" s="63"/>
      <c r="AQ740" s="64"/>
      <c r="AR740" s="63"/>
      <c r="AS740" s="64"/>
      <c r="AT740" s="63"/>
      <c r="AU740" s="64"/>
      <c r="AV740" s="63"/>
      <c r="AW740" s="64"/>
      <c r="AX740" s="63"/>
      <c r="AY740" s="5"/>
      <c r="AZ740" s="21" t="str">
        <f t="shared" si="492"/>
        <v/>
      </c>
      <c r="BA740" s="4"/>
      <c r="BB740" s="13"/>
      <c r="BC740" s="4"/>
      <c r="BD740" s="4"/>
      <c r="BE740" s="9"/>
      <c r="BF740" s="4"/>
      <c r="BG740" s="4"/>
      <c r="BH740" s="4"/>
      <c r="BI740" s="4"/>
      <c r="BJ740" s="4"/>
      <c r="BK740" s="4"/>
      <c r="BL740" s="4"/>
      <c r="BM740" s="4"/>
      <c r="BN740" s="4"/>
      <c r="BO740" s="4"/>
      <c r="BP740" s="4"/>
      <c r="BQ740" s="5"/>
      <c r="BR740" s="13"/>
      <c r="BS740" s="5"/>
    </row>
    <row r="741" spans="1:71" s="3" customFormat="1" x14ac:dyDescent="0.25">
      <c r="A741" s="5"/>
      <c r="B741" s="3" t="str">
        <f t="array" ref="B741">IFERROR(INDEX(DemandSupply,MATCH(INDEX($AH$1:AH741,SMALL(ROW($AH$1:AH741)+(10000*($AH$1:AH741="")),COUNTA($AH$1:AH741))),Sectors,0)),"")</f>
        <v>Demand</v>
      </c>
      <c r="E741" s="10">
        <f t="shared" si="356"/>
        <v>1</v>
      </c>
      <c r="F741" s="207">
        <v>1</v>
      </c>
      <c r="G741" s="207">
        <v>1</v>
      </c>
      <c r="H741" s="207">
        <v>1</v>
      </c>
      <c r="I741" s="207">
        <v>1</v>
      </c>
      <c r="J741" s="207">
        <v>1</v>
      </c>
      <c r="K741" s="207">
        <v>1</v>
      </c>
      <c r="L741" s="207">
        <v>1</v>
      </c>
      <c r="M741" s="207">
        <v>1</v>
      </c>
      <c r="N741" s="207">
        <v>1</v>
      </c>
      <c r="O741" s="207">
        <v>1</v>
      </c>
      <c r="P741" s="207">
        <v>1</v>
      </c>
      <c r="Q741" s="207">
        <v>1</v>
      </c>
      <c r="R741" s="207">
        <v>1</v>
      </c>
      <c r="S741" s="207">
        <v>1</v>
      </c>
      <c r="T741" s="207">
        <v>1</v>
      </c>
      <c r="U741" s="207">
        <v>1</v>
      </c>
      <c r="V741" s="207">
        <v>1</v>
      </c>
      <c r="W741" s="207">
        <v>1</v>
      </c>
      <c r="X741" s="207">
        <v>1</v>
      </c>
      <c r="Y741" s="207">
        <v>1</v>
      </c>
      <c r="Z741" s="207">
        <v>1</v>
      </c>
      <c r="AA741" s="207">
        <v>1</v>
      </c>
      <c r="AB741" s="207">
        <v>1</v>
      </c>
      <c r="AC741" s="5"/>
      <c r="AD741" s="63"/>
      <c r="AE741" s="64"/>
      <c r="AF741" s="64"/>
      <c r="AG741" s="212"/>
      <c r="AH741" s="64"/>
      <c r="AI741" s="64"/>
      <c r="AJ741" s="64"/>
      <c r="AK741" s="212"/>
      <c r="AL741" s="23" t="s">
        <v>69</v>
      </c>
      <c r="AM741" s="64"/>
      <c r="AN741" s="63"/>
      <c r="AO741" s="64"/>
      <c r="AP741" s="63"/>
      <c r="AQ741" s="64"/>
      <c r="AR741" s="63"/>
      <c r="AS741" s="64"/>
      <c r="AT741" s="63"/>
      <c r="AU741" s="64"/>
      <c r="AV741" s="63"/>
      <c r="AW741" s="64"/>
      <c r="AX741" s="63"/>
      <c r="AY741" s="5"/>
      <c r="AZ741" s="208" t="str">
        <f t="shared" si="492"/>
        <v>Clothes washing</v>
      </c>
      <c r="BB741" s="13"/>
      <c r="BE741" s="9"/>
      <c r="BQ741" s="5"/>
      <c r="BR741" s="13"/>
      <c r="BS741" s="5"/>
    </row>
    <row r="742" spans="1:71" s="3" customFormat="1" x14ac:dyDescent="0.25">
      <c r="A742" s="5"/>
      <c r="B742" s="3" t="str">
        <f t="array" ref="B742">IFERROR(INDEX(DemandSupply,MATCH(INDEX($AH$1:AH742,SMALL(ROW($AH$1:AH742)+(10000*($AH$1:AH742="")),COUNTA($AH$1:AH742))),Sectors,0)),"")</f>
        <v>Demand</v>
      </c>
      <c r="E742" s="10">
        <f t="shared" ref="E742:E745" si="504">IF(COUNTA(BA742)=1,0,MIN(F742:AA742))</f>
        <v>0</v>
      </c>
      <c r="F742" s="207">
        <v>1</v>
      </c>
      <c r="G742" s="207">
        <v>1</v>
      </c>
      <c r="H742" s="207">
        <v>1</v>
      </c>
      <c r="I742" s="207">
        <v>1</v>
      </c>
      <c r="J742" s="207">
        <v>1</v>
      </c>
      <c r="K742" s="207">
        <v>1</v>
      </c>
      <c r="L742" s="207">
        <v>1</v>
      </c>
      <c r="M742" s="207">
        <v>1</v>
      </c>
      <c r="N742" s="207">
        <v>1</v>
      </c>
      <c r="O742" s="207">
        <v>1</v>
      </c>
      <c r="P742" s="207">
        <v>1</v>
      </c>
      <c r="Q742" s="207">
        <v>1</v>
      </c>
      <c r="R742" s="207">
        <v>1</v>
      </c>
      <c r="S742" s="207">
        <v>1</v>
      </c>
      <c r="T742" s="207">
        <v>1</v>
      </c>
      <c r="U742" s="207">
        <v>1</v>
      </c>
      <c r="V742" s="207">
        <v>1</v>
      </c>
      <c r="W742" s="207">
        <v>1</v>
      </c>
      <c r="X742" s="207">
        <v>1</v>
      </c>
      <c r="Y742" s="207">
        <v>1</v>
      </c>
      <c r="Z742" s="207">
        <v>1</v>
      </c>
      <c r="AA742" s="207">
        <v>1</v>
      </c>
      <c r="AB742" s="207">
        <v>1</v>
      </c>
      <c r="AC742" s="5"/>
      <c r="AD742" s="63"/>
      <c r="AE742" s="64"/>
      <c r="AF742" s="64"/>
      <c r="AG742" s="212"/>
      <c r="AH742" s="64"/>
      <c r="AI742" s="64"/>
      <c r="AJ742" s="64"/>
      <c r="AK742" s="64"/>
      <c r="AL742" s="80"/>
      <c r="AM742" s="64"/>
      <c r="AN742" s="64"/>
      <c r="AO742" s="64"/>
      <c r="AP742" s="63"/>
      <c r="AQ742" s="64"/>
      <c r="AR742" s="63"/>
      <c r="AS742" s="64"/>
      <c r="AT742" s="63"/>
      <c r="AU742" s="64"/>
      <c r="AV742" s="63"/>
      <c r="AW742" s="64"/>
      <c r="AX742" s="63"/>
      <c r="AY742" s="5"/>
      <c r="AZ742" s="21" t="str">
        <f t="shared" si="492"/>
        <v/>
      </c>
      <c r="BA742" s="74" t="s">
        <v>337</v>
      </c>
      <c r="BB742" s="13"/>
      <c r="BC742" s="74" t="s">
        <v>469</v>
      </c>
      <c r="BD742" s="74" t="s">
        <v>353</v>
      </c>
      <c r="BE742" s="216" t="str">
        <f>AZ741</f>
        <v>Clothes washing</v>
      </c>
      <c r="BF742" s="56"/>
      <c r="BG742" s="56"/>
      <c r="BH742" s="56"/>
      <c r="BI742" s="56"/>
      <c r="BJ742" s="56"/>
      <c r="BK742" s="56"/>
      <c r="BL742" s="56"/>
      <c r="BM742" s="56"/>
      <c r="BN742" s="56"/>
      <c r="BO742" s="56"/>
      <c r="BP742" s="56"/>
      <c r="BQ742" s="5"/>
      <c r="BR742" s="13"/>
      <c r="BS742" s="5"/>
    </row>
    <row r="743" spans="1:71" s="3" customFormat="1" x14ac:dyDescent="0.25">
      <c r="A743" s="5"/>
      <c r="B743" s="3" t="str">
        <f t="array" ref="B743">IFERROR(INDEX(DemandSupply,MATCH(INDEX($AH$1:AH743,SMALL(ROW($AH$1:AH743)+(10000*($AH$1:AH743="")),COUNTA($AH$1:AH743))),Sectors,0)),"")</f>
        <v>Demand</v>
      </c>
      <c r="E743" s="10">
        <f t="shared" si="504"/>
        <v>0</v>
      </c>
      <c r="F743" s="207">
        <v>1</v>
      </c>
      <c r="G743" s="207">
        <v>1</v>
      </c>
      <c r="H743" s="207">
        <v>1</v>
      </c>
      <c r="I743" s="207">
        <v>1</v>
      </c>
      <c r="J743" s="207">
        <v>1</v>
      </c>
      <c r="K743" s="207">
        <v>1</v>
      </c>
      <c r="L743" s="207">
        <v>1</v>
      </c>
      <c r="M743" s="207">
        <v>1</v>
      </c>
      <c r="N743" s="207">
        <v>1</v>
      </c>
      <c r="O743" s="207">
        <v>1</v>
      </c>
      <c r="P743" s="207">
        <v>1</v>
      </c>
      <c r="Q743" s="207">
        <v>1</v>
      </c>
      <c r="R743" s="207">
        <v>1</v>
      </c>
      <c r="S743" s="207">
        <v>1</v>
      </c>
      <c r="T743" s="207">
        <v>1</v>
      </c>
      <c r="U743" s="207">
        <v>1</v>
      </c>
      <c r="V743" s="207">
        <v>1</v>
      </c>
      <c r="W743" s="207">
        <v>1</v>
      </c>
      <c r="X743" s="207">
        <v>1</v>
      </c>
      <c r="Y743" s="207">
        <v>1</v>
      </c>
      <c r="Z743" s="207">
        <v>1</v>
      </c>
      <c r="AA743" s="207">
        <v>1</v>
      </c>
      <c r="AB743" s="207">
        <v>1</v>
      </c>
      <c r="AC743" s="5"/>
      <c r="AD743" s="63"/>
      <c r="AE743" s="64"/>
      <c r="AF743" s="64"/>
      <c r="AG743" s="212"/>
      <c r="AH743" s="64"/>
      <c r="AI743" s="64"/>
      <c r="AJ743" s="64"/>
      <c r="AK743" s="64"/>
      <c r="AL743" s="80"/>
      <c r="AM743" s="64"/>
      <c r="AN743" s="64"/>
      <c r="AO743" s="64"/>
      <c r="AP743" s="63"/>
      <c r="AQ743" s="64"/>
      <c r="AR743" s="63"/>
      <c r="AS743" s="64"/>
      <c r="AT743" s="63"/>
      <c r="AU743" s="64"/>
      <c r="AV743" s="63"/>
      <c r="AW743" s="64"/>
      <c r="AX743" s="63"/>
      <c r="AY743" s="5"/>
      <c r="AZ743" s="21" t="str">
        <f t="shared" si="492"/>
        <v/>
      </c>
      <c r="BA743" s="74" t="s">
        <v>47</v>
      </c>
      <c r="BB743" s="13"/>
      <c r="BC743" s="2"/>
      <c r="BD743" s="2"/>
      <c r="BE743" s="216" t="s">
        <v>21</v>
      </c>
      <c r="BF743" s="4"/>
      <c r="BG743" s="4"/>
      <c r="BH743" s="4"/>
      <c r="BI743" s="4"/>
      <c r="BJ743" s="4"/>
      <c r="BK743" s="4"/>
      <c r="BL743" s="4"/>
      <c r="BM743" s="4"/>
      <c r="BN743" s="4"/>
      <c r="BO743" s="4"/>
      <c r="BP743" s="4"/>
      <c r="BQ743" s="5"/>
      <c r="BR743" s="13"/>
      <c r="BS743" s="5"/>
    </row>
    <row r="744" spans="1:71" s="3" customFormat="1" x14ac:dyDescent="0.25">
      <c r="A744" s="5"/>
      <c r="B744" s="3" t="str">
        <f t="array" ref="B744">IFERROR(INDEX(DemandSupply,MATCH(INDEX($AH$1:AH744,SMALL(ROW($AH$1:AH744)+(10000*($AH$1:AH744="")),COUNTA($AH$1:AH744))),Sectors,0)),"")</f>
        <v>Demand</v>
      </c>
      <c r="E744" s="10">
        <f t="shared" si="504"/>
        <v>0</v>
      </c>
      <c r="F744" s="207">
        <v>1</v>
      </c>
      <c r="G744" s="207">
        <v>1</v>
      </c>
      <c r="H744" s="207">
        <v>1</v>
      </c>
      <c r="I744" s="207">
        <v>1</v>
      </c>
      <c r="J744" s="207">
        <v>1</v>
      </c>
      <c r="K744" s="207">
        <v>1</v>
      </c>
      <c r="L744" s="207">
        <v>1</v>
      </c>
      <c r="M744" s="207">
        <v>1</v>
      </c>
      <c r="N744" s="207">
        <v>1</v>
      </c>
      <c r="O744" s="207">
        <v>1</v>
      </c>
      <c r="P744" s="207">
        <v>1</v>
      </c>
      <c r="Q744" s="207">
        <v>1</v>
      </c>
      <c r="R744" s="207">
        <v>1</v>
      </c>
      <c r="S744" s="207">
        <v>1</v>
      </c>
      <c r="T744" s="207">
        <v>1</v>
      </c>
      <c r="U744" s="207">
        <v>1</v>
      </c>
      <c r="V744" s="207">
        <v>1</v>
      </c>
      <c r="W744" s="207">
        <v>1</v>
      </c>
      <c r="X744" s="207">
        <v>1</v>
      </c>
      <c r="Y744" s="207">
        <v>1</v>
      </c>
      <c r="Z744" s="207">
        <v>1</v>
      </c>
      <c r="AA744" s="207">
        <v>1</v>
      </c>
      <c r="AB744" s="207">
        <v>1</v>
      </c>
      <c r="AC744" s="5"/>
      <c r="AD744" s="63"/>
      <c r="AE744" s="64"/>
      <c r="AF744" s="64"/>
      <c r="AG744" s="212"/>
      <c r="AH744" s="64"/>
      <c r="AI744" s="64"/>
      <c r="AJ744" s="64"/>
      <c r="AK744" s="64"/>
      <c r="AL744" s="80"/>
      <c r="AM744" s="64"/>
      <c r="AN744" s="64"/>
      <c r="AO744" s="64"/>
      <c r="AP744" s="63"/>
      <c r="AQ744" s="64"/>
      <c r="AR744" s="63"/>
      <c r="AS744" s="64"/>
      <c r="AT744" s="63"/>
      <c r="AU744" s="64"/>
      <c r="AV744" s="63"/>
      <c r="AW744" s="64"/>
      <c r="AX744" s="63"/>
      <c r="AY744" s="5"/>
      <c r="AZ744" s="21" t="str">
        <f t="shared" si="492"/>
        <v/>
      </c>
      <c r="BA744" s="74" t="s">
        <v>66</v>
      </c>
      <c r="BB744" s="13"/>
      <c r="BC744" s="2"/>
      <c r="BD744" s="2"/>
      <c r="BE744" s="216" t="s">
        <v>35</v>
      </c>
      <c r="BF744" s="4">
        <v>10</v>
      </c>
      <c r="BG744" s="223">
        <f t="shared" ref="BG744" si="505">BF744</f>
        <v>10</v>
      </c>
      <c r="BH744" s="223">
        <f t="shared" ref="BH744" si="506">BG744</f>
        <v>10</v>
      </c>
      <c r="BI744" s="223">
        <f t="shared" ref="BI744" si="507">BH744</f>
        <v>10</v>
      </c>
      <c r="BJ744" s="223">
        <f t="shared" ref="BJ744" si="508">BI744</f>
        <v>10</v>
      </c>
      <c r="BK744" s="223">
        <f t="shared" ref="BK744" si="509">BJ744</f>
        <v>10</v>
      </c>
      <c r="BL744" s="223">
        <f t="shared" ref="BL744" si="510">BK744</f>
        <v>10</v>
      </c>
      <c r="BM744" s="223">
        <f t="shared" ref="BM744" si="511">BL744</f>
        <v>10</v>
      </c>
      <c r="BN744" s="223">
        <f t="shared" ref="BN744" si="512">BM744</f>
        <v>10</v>
      </c>
      <c r="BO744" s="223">
        <f t="shared" ref="BO744" si="513">BN744</f>
        <v>10</v>
      </c>
      <c r="BP744" s="223">
        <f t="shared" ref="BP744" si="514">BO744</f>
        <v>10</v>
      </c>
      <c r="BQ744" s="5"/>
      <c r="BR744" s="13"/>
      <c r="BS744" s="5"/>
    </row>
    <row r="745" spans="1:71" s="3" customFormat="1" x14ac:dyDescent="0.25">
      <c r="A745" s="5"/>
      <c r="B745" s="3" t="str">
        <f t="array" ref="B745">IFERROR(INDEX(DemandSupply,MATCH(INDEX($AH$1:AH745,SMALL(ROW($AH$1:AH745)+(10000*($AH$1:AH745="")),COUNTA($AH$1:AH745))),Sectors,0)),"")</f>
        <v>Demand</v>
      </c>
      <c r="E745" s="10">
        <f t="shared" si="504"/>
        <v>0</v>
      </c>
      <c r="F745" s="207">
        <v>1</v>
      </c>
      <c r="G745" s="207">
        <v>1</v>
      </c>
      <c r="H745" s="207">
        <v>1</v>
      </c>
      <c r="I745" s="207">
        <v>1</v>
      </c>
      <c r="J745" s="207">
        <v>1</v>
      </c>
      <c r="K745" s="207">
        <v>1</v>
      </c>
      <c r="L745" s="207">
        <v>1</v>
      </c>
      <c r="M745" s="207">
        <v>1</v>
      </c>
      <c r="N745" s="207">
        <v>1</v>
      </c>
      <c r="O745" s="207">
        <v>1</v>
      </c>
      <c r="P745" s="207">
        <v>1</v>
      </c>
      <c r="Q745" s="207">
        <v>1</v>
      </c>
      <c r="R745" s="207">
        <v>1</v>
      </c>
      <c r="S745" s="207">
        <v>1</v>
      </c>
      <c r="T745" s="207">
        <v>1</v>
      </c>
      <c r="U745" s="207">
        <v>1</v>
      </c>
      <c r="V745" s="207">
        <v>1</v>
      </c>
      <c r="W745" s="207">
        <v>1</v>
      </c>
      <c r="X745" s="207">
        <v>1</v>
      </c>
      <c r="Y745" s="207">
        <v>1</v>
      </c>
      <c r="Z745" s="207">
        <v>1</v>
      </c>
      <c r="AA745" s="207">
        <v>1</v>
      </c>
      <c r="AB745" s="207">
        <v>1</v>
      </c>
      <c r="AC745" s="5"/>
      <c r="AD745" s="63"/>
      <c r="AE745" s="64"/>
      <c r="AF745" s="64"/>
      <c r="AG745" s="212"/>
      <c r="AH745" s="64"/>
      <c r="AI745" s="64"/>
      <c r="AJ745" s="64"/>
      <c r="AK745" s="64"/>
      <c r="AL745" s="80"/>
      <c r="AM745" s="64"/>
      <c r="AN745" s="64"/>
      <c r="AO745" s="64"/>
      <c r="AP745" s="63"/>
      <c r="AQ745" s="64"/>
      <c r="AR745" s="63"/>
      <c r="AS745" s="64"/>
      <c r="AT745" s="63"/>
      <c r="AU745" s="64"/>
      <c r="AV745" s="63"/>
      <c r="AW745" s="64"/>
      <c r="AX745" s="63"/>
      <c r="AY745" s="5"/>
      <c r="AZ745" s="21" t="str">
        <f t="shared" si="492"/>
        <v/>
      </c>
      <c r="BA745" s="291" t="s">
        <v>51</v>
      </c>
      <c r="BB745" s="13"/>
      <c r="BC745" s="2"/>
      <c r="BD745" s="2"/>
      <c r="BE745" s="216" t="s">
        <v>470</v>
      </c>
      <c r="BF745" s="4"/>
      <c r="BG745" s="4"/>
      <c r="BH745" s="4"/>
      <c r="BI745" s="4"/>
      <c r="BJ745" s="4"/>
      <c r="BK745" s="4"/>
      <c r="BL745" s="4"/>
      <c r="BM745" s="4"/>
      <c r="BN745" s="4"/>
      <c r="BO745" s="4"/>
      <c r="BP745" s="4"/>
      <c r="BQ745" s="5"/>
      <c r="BR745" s="13"/>
      <c r="BS745" s="5"/>
    </row>
    <row r="746" spans="1:71" s="3" customFormat="1" x14ac:dyDescent="0.25">
      <c r="A746" s="5"/>
      <c r="B746" s="3" t="str">
        <f t="array" ref="B746">IFERROR(INDEX(DemandSupply,MATCH(INDEX($AH$1:AH746,SMALL(ROW($AH$1:AH746)+(10000*($AH$1:AH746="")),COUNTA($AH$1:AH746))),Sectors,0)),"")</f>
        <v>Demand</v>
      </c>
      <c r="E746" s="10"/>
      <c r="F746" s="207"/>
      <c r="G746" s="207"/>
      <c r="H746" s="207"/>
      <c r="I746" s="207"/>
      <c r="J746" s="207"/>
      <c r="K746" s="207"/>
      <c r="L746" s="207"/>
      <c r="M746" s="207"/>
      <c r="N746" s="207"/>
      <c r="O746" s="207"/>
      <c r="P746" s="207"/>
      <c r="Q746" s="207"/>
      <c r="R746" s="207"/>
      <c r="S746" s="207"/>
      <c r="T746" s="207"/>
      <c r="U746" s="207"/>
      <c r="V746" s="207"/>
      <c r="W746" s="207"/>
      <c r="X746" s="207"/>
      <c r="Y746" s="207"/>
      <c r="Z746" s="207"/>
      <c r="AA746" s="207"/>
      <c r="AB746" s="207">
        <v>1</v>
      </c>
      <c r="AC746" s="5"/>
      <c r="AD746" s="63"/>
      <c r="AE746" s="64"/>
      <c r="AF746" s="64"/>
      <c r="AG746" s="212"/>
      <c r="AH746" s="64"/>
      <c r="AI746" s="64"/>
      <c r="AJ746" s="64"/>
      <c r="AK746" s="64"/>
      <c r="AL746" s="64"/>
      <c r="AM746" s="64"/>
      <c r="AN746" s="64"/>
      <c r="AO746" s="64"/>
      <c r="AP746" s="63"/>
      <c r="AQ746" s="64"/>
      <c r="AR746" s="63"/>
      <c r="AS746" s="64"/>
      <c r="AT746" s="63"/>
      <c r="AU746" s="64"/>
      <c r="AV746" s="63"/>
      <c r="AW746" s="64"/>
      <c r="AX746" s="63"/>
      <c r="AY746" s="5"/>
      <c r="AZ746" s="21" t="str">
        <f t="shared" si="492"/>
        <v/>
      </c>
      <c r="BA746" s="264" t="s">
        <v>38</v>
      </c>
      <c r="BB746" s="264"/>
      <c r="BC746" s="264"/>
      <c r="BD746" s="264" t="s">
        <v>40</v>
      </c>
      <c r="BE746" s="216" t="s">
        <v>470</v>
      </c>
      <c r="BF746" s="309">
        <v>1980</v>
      </c>
      <c r="BG746" s="310">
        <f t="shared" ref="BG746:BG748" si="515">BF746</f>
        <v>1980</v>
      </c>
      <c r="BH746" s="310">
        <f t="shared" ref="BH746:BH748" si="516">BG746</f>
        <v>1980</v>
      </c>
      <c r="BI746" s="310">
        <f t="shared" ref="BI746:BI748" si="517">BH746</f>
        <v>1980</v>
      </c>
      <c r="BJ746" s="310">
        <f t="shared" ref="BJ746:BJ748" si="518">BI746</f>
        <v>1980</v>
      </c>
      <c r="BK746" s="310">
        <f t="shared" ref="BK746:BK748" si="519">BJ746</f>
        <v>1980</v>
      </c>
      <c r="BL746" s="310">
        <f t="shared" ref="BL746:BL748" si="520">BK746</f>
        <v>1980</v>
      </c>
      <c r="BM746" s="310">
        <f t="shared" ref="BM746:BM748" si="521">BL746</f>
        <v>1980</v>
      </c>
      <c r="BN746" s="310">
        <f t="shared" ref="BN746:BN748" si="522">BM746</f>
        <v>1980</v>
      </c>
      <c r="BO746" s="310">
        <f t="shared" ref="BO746:BO748" si="523">BN746</f>
        <v>1980</v>
      </c>
      <c r="BP746" s="310">
        <f t="shared" ref="BP746:BP748" si="524">BO746</f>
        <v>1980</v>
      </c>
      <c r="BQ746" s="5"/>
      <c r="BR746" s="25"/>
      <c r="BS746" s="5"/>
    </row>
    <row r="747" spans="1:71" s="3" customFormat="1" x14ac:dyDescent="0.25">
      <c r="A747" s="5"/>
      <c r="B747" s="3" t="str">
        <f t="array" ref="B747">IFERROR(INDEX(DemandSupply,MATCH(INDEX($AH$1:AH747,SMALL(ROW($AH$1:AH747)+(10000*($AH$1:AH747="")),COUNTA($AH$1:AH747))),Sectors,0)),"")</f>
        <v>Demand</v>
      </c>
      <c r="E747" s="10"/>
      <c r="F747" s="207"/>
      <c r="G747" s="207"/>
      <c r="H747" s="207"/>
      <c r="I747" s="207"/>
      <c r="J747" s="207"/>
      <c r="K747" s="207"/>
      <c r="L747" s="207"/>
      <c r="M747" s="207"/>
      <c r="N747" s="207"/>
      <c r="O747" s="207"/>
      <c r="P747" s="207"/>
      <c r="Q747" s="207"/>
      <c r="R747" s="207"/>
      <c r="S747" s="207"/>
      <c r="T747" s="207"/>
      <c r="U747" s="207"/>
      <c r="V747" s="207"/>
      <c r="W747" s="207"/>
      <c r="X747" s="207"/>
      <c r="Y747" s="207"/>
      <c r="Z747" s="207"/>
      <c r="AA747" s="207"/>
      <c r="AB747" s="207">
        <v>1</v>
      </c>
      <c r="AC747" s="5"/>
      <c r="AD747" s="63"/>
      <c r="AE747" s="64"/>
      <c r="AF747" s="64"/>
      <c r="AG747" s="212"/>
      <c r="AH747" s="64"/>
      <c r="AI747" s="64"/>
      <c r="AJ747" s="64"/>
      <c r="AK747" s="64"/>
      <c r="AL747" s="64"/>
      <c r="AM747" s="64"/>
      <c r="AN747" s="64"/>
      <c r="AO747" s="64"/>
      <c r="AP747" s="63"/>
      <c r="AQ747" s="64"/>
      <c r="AR747" s="63"/>
      <c r="AS747" s="64"/>
      <c r="AT747" s="63"/>
      <c r="AU747" s="64"/>
      <c r="AV747" s="63"/>
      <c r="AW747" s="64"/>
      <c r="AX747" s="63"/>
      <c r="AY747" s="5"/>
      <c r="AZ747" s="21" t="str">
        <f t="shared" si="492"/>
        <v/>
      </c>
      <c r="BA747" s="264" t="s">
        <v>37</v>
      </c>
      <c r="BB747" s="264"/>
      <c r="BC747" s="264"/>
      <c r="BD747" s="264" t="s">
        <v>40</v>
      </c>
      <c r="BE747" s="216" t="s">
        <v>470</v>
      </c>
      <c r="BF747" s="309">
        <v>2000</v>
      </c>
      <c r="BG747" s="310">
        <f t="shared" si="515"/>
        <v>2000</v>
      </c>
      <c r="BH747" s="310">
        <f t="shared" si="516"/>
        <v>2000</v>
      </c>
      <c r="BI747" s="310">
        <f t="shared" si="517"/>
        <v>2000</v>
      </c>
      <c r="BJ747" s="310">
        <f t="shared" si="518"/>
        <v>2000</v>
      </c>
      <c r="BK747" s="310">
        <f t="shared" si="519"/>
        <v>2000</v>
      </c>
      <c r="BL747" s="310">
        <f t="shared" si="520"/>
        <v>2000</v>
      </c>
      <c r="BM747" s="310">
        <f t="shared" si="521"/>
        <v>2000</v>
      </c>
      <c r="BN747" s="310">
        <f t="shared" si="522"/>
        <v>2000</v>
      </c>
      <c r="BO747" s="310">
        <f t="shared" si="523"/>
        <v>2000</v>
      </c>
      <c r="BP747" s="310">
        <f t="shared" si="524"/>
        <v>2000</v>
      </c>
      <c r="BQ747" s="5"/>
      <c r="BR747" s="25"/>
      <c r="BS747" s="5"/>
    </row>
    <row r="748" spans="1:71" s="3" customFormat="1" x14ac:dyDescent="0.25">
      <c r="A748" s="5"/>
      <c r="B748" s="3" t="str">
        <f t="array" ref="B748">IFERROR(INDEX(DemandSupply,MATCH(INDEX($AH$1:AH748,SMALL(ROW($AH$1:AH748)+(10000*($AH$1:AH748="")),COUNTA($AH$1:AH748))),Sectors,0)),"")</f>
        <v>Demand</v>
      </c>
      <c r="E748" s="10"/>
      <c r="F748" s="207"/>
      <c r="G748" s="207"/>
      <c r="H748" s="207"/>
      <c r="I748" s="207"/>
      <c r="J748" s="207"/>
      <c r="K748" s="207"/>
      <c r="L748" s="207"/>
      <c r="M748" s="207"/>
      <c r="N748" s="207"/>
      <c r="O748" s="207"/>
      <c r="P748" s="207"/>
      <c r="Q748" s="207"/>
      <c r="R748" s="207"/>
      <c r="S748" s="207"/>
      <c r="T748" s="207"/>
      <c r="U748" s="207"/>
      <c r="V748" s="207"/>
      <c r="W748" s="207"/>
      <c r="X748" s="207"/>
      <c r="Y748" s="207"/>
      <c r="Z748" s="207"/>
      <c r="AA748" s="207"/>
      <c r="AB748" s="207">
        <v>1</v>
      </c>
      <c r="AC748" s="5"/>
      <c r="AD748" s="63"/>
      <c r="AE748" s="64"/>
      <c r="AF748" s="64"/>
      <c r="AG748" s="212"/>
      <c r="AH748" s="64"/>
      <c r="AI748" s="64"/>
      <c r="AJ748" s="64"/>
      <c r="AK748" s="64"/>
      <c r="AL748" s="64"/>
      <c r="AM748" s="64"/>
      <c r="AN748" s="64"/>
      <c r="AO748" s="64"/>
      <c r="AP748" s="63"/>
      <c r="AQ748" s="64"/>
      <c r="AR748" s="63"/>
      <c r="AS748" s="64"/>
      <c r="AT748" s="63"/>
      <c r="AU748" s="64"/>
      <c r="AV748" s="63"/>
      <c r="AW748" s="64"/>
      <c r="AX748" s="63"/>
      <c r="AY748" s="5"/>
      <c r="AZ748" s="21" t="str">
        <f t="shared" si="492"/>
        <v/>
      </c>
      <c r="BA748" s="264" t="s">
        <v>39</v>
      </c>
      <c r="BB748" s="264"/>
      <c r="BC748" s="264"/>
      <c r="BD748" s="264" t="s">
        <v>10</v>
      </c>
      <c r="BE748" s="216" t="s">
        <v>470</v>
      </c>
      <c r="BF748" s="56">
        <v>14</v>
      </c>
      <c r="BG748" s="282">
        <f t="shared" si="515"/>
        <v>14</v>
      </c>
      <c r="BH748" s="282">
        <f t="shared" si="516"/>
        <v>14</v>
      </c>
      <c r="BI748" s="282">
        <f t="shared" si="517"/>
        <v>14</v>
      </c>
      <c r="BJ748" s="282">
        <f t="shared" si="518"/>
        <v>14</v>
      </c>
      <c r="BK748" s="282">
        <f t="shared" si="519"/>
        <v>14</v>
      </c>
      <c r="BL748" s="282">
        <f t="shared" si="520"/>
        <v>14</v>
      </c>
      <c r="BM748" s="282">
        <f t="shared" si="521"/>
        <v>14</v>
      </c>
      <c r="BN748" s="282">
        <f t="shared" si="522"/>
        <v>14</v>
      </c>
      <c r="BO748" s="282">
        <f t="shared" si="523"/>
        <v>14</v>
      </c>
      <c r="BP748" s="282">
        <f t="shared" si="524"/>
        <v>14</v>
      </c>
      <c r="BQ748" s="5"/>
      <c r="BR748" s="25"/>
      <c r="BS748" s="5"/>
    </row>
    <row r="749" spans="1:71" s="3" customFormat="1" x14ac:dyDescent="0.25">
      <c r="A749" s="5"/>
      <c r="B749" s="3" t="str">
        <f t="array" ref="B749">IFERROR(INDEX(DemandSupply,MATCH(INDEX($AH$1:AH749,SMALL(ROW($AH$1:AH749)+(10000*($AH$1:AH749="")),COUNTA($AH$1:AH749))),Sectors,0)),"")</f>
        <v>Demand</v>
      </c>
      <c r="E749" s="10"/>
      <c r="F749" s="207"/>
      <c r="G749" s="207"/>
      <c r="H749" s="207"/>
      <c r="I749" s="207"/>
      <c r="J749" s="207"/>
      <c r="K749" s="207"/>
      <c r="L749" s="207"/>
      <c r="M749" s="207"/>
      <c r="N749" s="207"/>
      <c r="O749" s="207"/>
      <c r="P749" s="207"/>
      <c r="Q749" s="207"/>
      <c r="R749" s="207"/>
      <c r="S749" s="207"/>
      <c r="T749" s="207"/>
      <c r="U749" s="207"/>
      <c r="V749" s="207"/>
      <c r="W749" s="207"/>
      <c r="X749" s="207"/>
      <c r="Y749" s="207"/>
      <c r="Z749" s="207"/>
      <c r="AA749" s="207"/>
      <c r="AB749" s="207">
        <v>1</v>
      </c>
      <c r="AC749" s="5"/>
      <c r="AD749" s="63"/>
      <c r="AE749" s="64"/>
      <c r="AF749" s="64"/>
      <c r="AG749" s="212"/>
      <c r="AH749" s="64"/>
      <c r="AI749" s="64"/>
      <c r="AJ749" s="64"/>
      <c r="AK749" s="64"/>
      <c r="AL749" s="64"/>
      <c r="AM749" s="64"/>
      <c r="AN749" s="64"/>
      <c r="AO749" s="64"/>
      <c r="AP749" s="63"/>
      <c r="AQ749" s="64"/>
      <c r="AR749" s="63"/>
      <c r="AS749" s="64"/>
      <c r="AT749" s="63"/>
      <c r="AU749" s="64"/>
      <c r="AV749" s="63"/>
      <c r="AW749" s="64"/>
      <c r="AX749" s="63"/>
      <c r="AY749" s="5"/>
      <c r="AZ749" s="21" t="str">
        <f t="shared" si="492"/>
        <v/>
      </c>
      <c r="BA749" s="264" t="s">
        <v>395</v>
      </c>
      <c r="BB749" s="264"/>
      <c r="BC749" s="264"/>
      <c r="BD749" s="264" t="s">
        <v>10</v>
      </c>
      <c r="BE749" s="216" t="s">
        <v>470</v>
      </c>
      <c r="BF749" s="56"/>
      <c r="BG749" s="56"/>
      <c r="BH749" s="56"/>
      <c r="BI749" s="56"/>
      <c r="BJ749" s="56"/>
      <c r="BK749" s="56"/>
      <c r="BL749" s="56"/>
      <c r="BM749" s="56"/>
      <c r="BN749" s="56"/>
      <c r="BO749" s="56"/>
      <c r="BP749" s="56"/>
      <c r="BQ749" s="5"/>
      <c r="BR749" s="25"/>
      <c r="BS749" s="5"/>
    </row>
    <row r="750" spans="1:71" s="3" customFormat="1" x14ac:dyDescent="0.25">
      <c r="A750" s="5"/>
      <c r="B750" s="3" t="str">
        <f t="array" ref="B750">IFERROR(INDEX(DemandSupply,MATCH(INDEX($AH$1:AH750,SMALL(ROW($AH$1:AH750)+(10000*($AH$1:AH750="")),COUNTA($AH$1:AH750))),Sectors,0)),"")</f>
        <v>Demand</v>
      </c>
      <c r="E750" s="10"/>
      <c r="F750" s="207"/>
      <c r="G750" s="207"/>
      <c r="H750" s="207"/>
      <c r="I750" s="207"/>
      <c r="J750" s="207"/>
      <c r="K750" s="207"/>
      <c r="L750" s="207"/>
      <c r="M750" s="207"/>
      <c r="N750" s="207"/>
      <c r="O750" s="207"/>
      <c r="P750" s="207"/>
      <c r="Q750" s="207"/>
      <c r="R750" s="207"/>
      <c r="S750" s="207"/>
      <c r="T750" s="207"/>
      <c r="U750" s="207"/>
      <c r="V750" s="207"/>
      <c r="W750" s="207"/>
      <c r="X750" s="207"/>
      <c r="Y750" s="207"/>
      <c r="Z750" s="207"/>
      <c r="AA750" s="207"/>
      <c r="AB750" s="207">
        <v>1</v>
      </c>
      <c r="AC750" s="5"/>
      <c r="AD750" s="63"/>
      <c r="AE750" s="64"/>
      <c r="AF750" s="64"/>
      <c r="AG750" s="212"/>
      <c r="AH750" s="64"/>
      <c r="AI750" s="64"/>
      <c r="AJ750" s="64"/>
      <c r="AK750" s="64"/>
      <c r="AL750" s="64"/>
      <c r="AM750" s="64"/>
      <c r="AN750" s="64"/>
      <c r="AO750" s="64"/>
      <c r="AP750" s="63"/>
      <c r="AQ750" s="64"/>
      <c r="AR750" s="63"/>
      <c r="AS750" s="64"/>
      <c r="AT750" s="63"/>
      <c r="AU750" s="64"/>
      <c r="AV750" s="63"/>
      <c r="AW750" s="64"/>
      <c r="AX750" s="63"/>
      <c r="AY750" s="5"/>
      <c r="AZ750" s="21" t="str">
        <f t="shared" si="492"/>
        <v/>
      </c>
      <c r="BA750" s="264" t="s">
        <v>341</v>
      </c>
      <c r="BB750" s="264"/>
      <c r="BC750" s="264"/>
      <c r="BD750" s="264" t="s">
        <v>99</v>
      </c>
      <c r="BE750" s="216" t="s">
        <v>470</v>
      </c>
      <c r="BF750" s="303">
        <v>0.3</v>
      </c>
      <c r="BG750" s="306">
        <f t="shared" ref="BG750" si="525">BF750</f>
        <v>0.3</v>
      </c>
      <c r="BH750" s="306">
        <f t="shared" ref="BH750" si="526">BG750</f>
        <v>0.3</v>
      </c>
      <c r="BI750" s="306">
        <f t="shared" ref="BI750" si="527">BH750</f>
        <v>0.3</v>
      </c>
      <c r="BJ750" s="306">
        <f t="shared" ref="BJ750" si="528">BI750</f>
        <v>0.3</v>
      </c>
      <c r="BK750" s="306">
        <f t="shared" ref="BK750" si="529">BJ750</f>
        <v>0.3</v>
      </c>
      <c r="BL750" s="306">
        <f t="shared" ref="BL750" si="530">BK750</f>
        <v>0.3</v>
      </c>
      <c r="BM750" s="306">
        <f t="shared" ref="BM750" si="531">BL750</f>
        <v>0.3</v>
      </c>
      <c r="BN750" s="306">
        <f t="shared" ref="BN750" si="532">BM750</f>
        <v>0.3</v>
      </c>
      <c r="BO750" s="306">
        <f t="shared" ref="BO750" si="533">BN750</f>
        <v>0.3</v>
      </c>
      <c r="BP750" s="306">
        <f t="shared" ref="BP750" si="534">BO750</f>
        <v>0.3</v>
      </c>
      <c r="BQ750" s="5"/>
      <c r="BR750" s="25"/>
      <c r="BS750" s="5"/>
    </row>
    <row r="751" spans="1:71" s="3" customFormat="1" x14ac:dyDescent="0.25">
      <c r="A751" s="5"/>
      <c r="B751" s="3" t="str">
        <f t="array" ref="B751">IFERROR(INDEX(DemandSupply,MATCH(INDEX($AH$1:AH751,SMALL(ROW($AH$1:AH751)+(10000*($AH$1:AH751="")),COUNTA($AH$1:AH751))),Sectors,0)),"")</f>
        <v>Demand</v>
      </c>
      <c r="E751" s="10"/>
      <c r="F751" s="207"/>
      <c r="G751" s="207"/>
      <c r="H751" s="207"/>
      <c r="I751" s="207"/>
      <c r="J751" s="207"/>
      <c r="K751" s="207"/>
      <c r="L751" s="207"/>
      <c r="M751" s="207"/>
      <c r="N751" s="207"/>
      <c r="O751" s="207"/>
      <c r="P751" s="207"/>
      <c r="Q751" s="207"/>
      <c r="R751" s="207"/>
      <c r="S751" s="207"/>
      <c r="T751" s="207"/>
      <c r="U751" s="207"/>
      <c r="V751" s="207"/>
      <c r="W751" s="207"/>
      <c r="X751" s="207"/>
      <c r="Y751" s="207"/>
      <c r="Z751" s="207"/>
      <c r="AA751" s="207"/>
      <c r="AB751" s="207">
        <v>1</v>
      </c>
      <c r="AC751" s="5"/>
      <c r="AD751" s="63"/>
      <c r="AE751" s="64"/>
      <c r="AF751" s="64"/>
      <c r="AG751" s="212"/>
      <c r="AH751" s="64"/>
      <c r="AI751" s="64"/>
      <c r="AJ751" s="64"/>
      <c r="AK751" s="64"/>
      <c r="AL751" s="64"/>
      <c r="AM751" s="64"/>
      <c r="AN751" s="64"/>
      <c r="AO751" s="64"/>
      <c r="AP751" s="63"/>
      <c r="AQ751" s="64"/>
      <c r="AR751" s="63"/>
      <c r="AS751" s="64"/>
      <c r="AT751" s="63"/>
      <c r="AU751" s="64"/>
      <c r="AV751" s="63"/>
      <c r="AW751" s="64"/>
      <c r="AX751" s="63"/>
      <c r="AY751" s="5"/>
      <c r="AZ751" s="21" t="str">
        <f t="shared" si="492"/>
        <v/>
      </c>
      <c r="BA751" s="264" t="s">
        <v>392</v>
      </c>
      <c r="BB751" s="264"/>
      <c r="BC751" s="264"/>
      <c r="BD751" s="264" t="s">
        <v>99</v>
      </c>
      <c r="BE751" s="216" t="s">
        <v>470</v>
      </c>
      <c r="BF751" s="303"/>
      <c r="BG751" s="303"/>
      <c r="BH751" s="303"/>
      <c r="BI751" s="303"/>
      <c r="BJ751" s="303"/>
      <c r="BK751" s="303"/>
      <c r="BL751" s="303"/>
      <c r="BM751" s="303"/>
      <c r="BN751" s="303"/>
      <c r="BO751" s="303"/>
      <c r="BP751" s="303"/>
      <c r="BQ751" s="5"/>
      <c r="BR751" s="25"/>
      <c r="BS751" s="5"/>
    </row>
    <row r="752" spans="1:71" s="3" customFormat="1" x14ac:dyDescent="0.25">
      <c r="A752" s="5"/>
      <c r="B752" s="3" t="str">
        <f t="array" ref="B752">IFERROR(INDEX(DemandSupply,MATCH(INDEX($AH$1:AH752,SMALL(ROW($AH$1:AH752)+(10000*($AH$1:AH752="")),COUNTA($AH$1:AH752))),Sectors,0)),"")</f>
        <v>Demand</v>
      </c>
      <c r="E752" s="10"/>
      <c r="F752" s="207"/>
      <c r="G752" s="207"/>
      <c r="H752" s="207"/>
      <c r="I752" s="207"/>
      <c r="J752" s="207"/>
      <c r="K752" s="207"/>
      <c r="L752" s="207"/>
      <c r="M752" s="207"/>
      <c r="N752" s="207"/>
      <c r="O752" s="207"/>
      <c r="P752" s="207"/>
      <c r="Q752" s="207"/>
      <c r="R752" s="207"/>
      <c r="S752" s="207"/>
      <c r="T752" s="207"/>
      <c r="U752" s="207"/>
      <c r="V752" s="207"/>
      <c r="W752" s="207"/>
      <c r="X752" s="207"/>
      <c r="Y752" s="207"/>
      <c r="Z752" s="207"/>
      <c r="AA752" s="207"/>
      <c r="AB752" s="207">
        <v>1</v>
      </c>
      <c r="AC752" s="5"/>
      <c r="AD752" s="63"/>
      <c r="AE752" s="64"/>
      <c r="AF752" s="64"/>
      <c r="AG752" s="212"/>
      <c r="AH752" s="64"/>
      <c r="AI752" s="64"/>
      <c r="AJ752" s="64"/>
      <c r="AK752" s="64"/>
      <c r="AL752" s="64"/>
      <c r="AM752" s="64"/>
      <c r="AN752" s="64"/>
      <c r="AO752" s="64"/>
      <c r="AP752" s="63"/>
      <c r="AQ752" s="64"/>
      <c r="AR752" s="63"/>
      <c r="AS752" s="64"/>
      <c r="AT752" s="63"/>
      <c r="AU752" s="64"/>
      <c r="AV752" s="63"/>
      <c r="AW752" s="64"/>
      <c r="AX752" s="63"/>
      <c r="AY752" s="5"/>
      <c r="AZ752" s="21" t="str">
        <f t="shared" si="492"/>
        <v/>
      </c>
      <c r="BA752" s="264" t="s">
        <v>391</v>
      </c>
      <c r="BB752" s="264"/>
      <c r="BC752" s="264"/>
      <c r="BD752" s="264" t="s">
        <v>99</v>
      </c>
      <c r="BE752" s="216" t="s">
        <v>470</v>
      </c>
      <c r="BF752" s="303"/>
      <c r="BG752" s="303"/>
      <c r="BH752" s="303"/>
      <c r="BI752" s="303"/>
      <c r="BJ752" s="303"/>
      <c r="BK752" s="303"/>
      <c r="BL752" s="303"/>
      <c r="BM752" s="303"/>
      <c r="BN752" s="303"/>
      <c r="BO752" s="303"/>
      <c r="BP752" s="303"/>
      <c r="BQ752" s="5"/>
      <c r="BR752" s="25"/>
      <c r="BS752" s="5"/>
    </row>
    <row r="753" spans="1:71" s="3" customFormat="1" x14ac:dyDescent="0.25">
      <c r="A753" s="5"/>
      <c r="B753" s="3" t="str">
        <f t="array" ref="B753">IFERROR(INDEX(DemandSupply,MATCH(INDEX($AH$1:AH753,SMALL(ROW($AH$1:AH753)+(10000*($AH$1:AH753="")),COUNTA($AH$1:AH753))),Sectors,0)),"")</f>
        <v>Demand</v>
      </c>
      <c r="E753" s="10"/>
      <c r="F753" s="207"/>
      <c r="G753" s="207"/>
      <c r="H753" s="207"/>
      <c r="I753" s="207"/>
      <c r="J753" s="207"/>
      <c r="K753" s="207"/>
      <c r="L753" s="207"/>
      <c r="M753" s="207"/>
      <c r="N753" s="207"/>
      <c r="O753" s="207"/>
      <c r="P753" s="207"/>
      <c r="Q753" s="207"/>
      <c r="R753" s="207"/>
      <c r="S753" s="207"/>
      <c r="T753" s="207"/>
      <c r="U753" s="207"/>
      <c r="V753" s="207"/>
      <c r="W753" s="207"/>
      <c r="X753" s="207"/>
      <c r="Y753" s="207"/>
      <c r="Z753" s="207"/>
      <c r="AA753" s="207"/>
      <c r="AB753" s="207">
        <v>1</v>
      </c>
      <c r="AC753" s="5"/>
      <c r="AD753" s="63"/>
      <c r="AE753" s="64"/>
      <c r="AF753" s="64"/>
      <c r="AG753" s="212"/>
      <c r="AH753" s="64"/>
      <c r="AI753" s="64"/>
      <c r="AJ753" s="64"/>
      <c r="AK753" s="64"/>
      <c r="AL753" s="64"/>
      <c r="AM753" s="64"/>
      <c r="AN753" s="64"/>
      <c r="AO753" s="64"/>
      <c r="AP753" s="63"/>
      <c r="AQ753" s="64"/>
      <c r="AR753" s="63"/>
      <c r="AS753" s="64"/>
      <c r="AT753" s="63"/>
      <c r="AU753" s="64"/>
      <c r="AV753" s="63"/>
      <c r="AW753" s="64"/>
      <c r="AX753" s="63"/>
      <c r="AY753" s="5"/>
      <c r="AZ753" s="21" t="str">
        <f t="shared" si="492"/>
        <v/>
      </c>
      <c r="BA753" s="264" t="s">
        <v>144</v>
      </c>
      <c r="BB753" s="264"/>
      <c r="BC753" s="264"/>
      <c r="BD753" s="264" t="s">
        <v>353</v>
      </c>
      <c r="BE753" s="216" t="s">
        <v>470</v>
      </c>
      <c r="BF753" s="56"/>
      <c r="BG753" s="56"/>
      <c r="BH753" s="56"/>
      <c r="BI753" s="56"/>
      <c r="BJ753" s="56"/>
      <c r="BK753" s="56"/>
      <c r="BL753" s="56"/>
      <c r="BM753" s="56"/>
      <c r="BN753" s="56"/>
      <c r="BO753" s="56"/>
      <c r="BP753" s="56"/>
      <c r="BQ753" s="5"/>
      <c r="BR753" s="25"/>
      <c r="BS753" s="5"/>
    </row>
    <row r="754" spans="1:71" s="3" customFormat="1" x14ac:dyDescent="0.25">
      <c r="A754" s="5"/>
      <c r="B754" s="3" t="str">
        <f t="array" ref="B754">IFERROR(INDEX(DemandSupply,MATCH(INDEX($AH$1:AH754,SMALL(ROW($AH$1:AH754)+(10000*($AH$1:AH754="")),COUNTA($AH$1:AH754))),Sectors,0)),"")</f>
        <v>Demand</v>
      </c>
      <c r="E754" s="10"/>
      <c r="F754" s="207"/>
      <c r="G754" s="207"/>
      <c r="H754" s="207"/>
      <c r="I754" s="207"/>
      <c r="J754" s="207"/>
      <c r="K754" s="207"/>
      <c r="L754" s="207"/>
      <c r="M754" s="207"/>
      <c r="N754" s="207"/>
      <c r="O754" s="207"/>
      <c r="P754" s="207"/>
      <c r="Q754" s="207"/>
      <c r="R754" s="207"/>
      <c r="S754" s="207"/>
      <c r="T754" s="207"/>
      <c r="U754" s="207"/>
      <c r="V754" s="207"/>
      <c r="W754" s="207"/>
      <c r="X754" s="207"/>
      <c r="Y754" s="207"/>
      <c r="Z754" s="207"/>
      <c r="AA754" s="207"/>
      <c r="AB754" s="207">
        <v>1</v>
      </c>
      <c r="AC754" s="5"/>
      <c r="AD754" s="63"/>
      <c r="AE754" s="64"/>
      <c r="AF754" s="64"/>
      <c r="AG754" s="212"/>
      <c r="AH754" s="64"/>
      <c r="AI754" s="64"/>
      <c r="AJ754" s="64"/>
      <c r="AK754" s="64"/>
      <c r="AL754" s="64"/>
      <c r="AM754" s="64"/>
      <c r="AN754" s="64"/>
      <c r="AO754" s="64"/>
      <c r="AP754" s="63"/>
      <c r="AQ754" s="64"/>
      <c r="AR754" s="63"/>
      <c r="AS754" s="64"/>
      <c r="AT754" s="63"/>
      <c r="AU754" s="64"/>
      <c r="AV754" s="63"/>
      <c r="AW754" s="64"/>
      <c r="AX754" s="63"/>
      <c r="AY754" s="5"/>
      <c r="AZ754" s="21" t="str">
        <f t="shared" si="492"/>
        <v/>
      </c>
      <c r="BA754" s="264" t="s">
        <v>76</v>
      </c>
      <c r="BB754" s="264"/>
      <c r="BC754" s="264"/>
      <c r="BD754" s="264" t="s">
        <v>99</v>
      </c>
      <c r="BE754" s="216" t="s">
        <v>470</v>
      </c>
      <c r="BF754" s="303">
        <v>1</v>
      </c>
      <c r="BG754" s="303"/>
      <c r="BH754" s="303"/>
      <c r="BI754" s="303"/>
      <c r="BJ754" s="303"/>
      <c r="BK754" s="303"/>
      <c r="BL754" s="303"/>
      <c r="BM754" s="303"/>
      <c r="BN754" s="303"/>
      <c r="BO754" s="303"/>
      <c r="BP754" s="303"/>
      <c r="BQ754" s="5"/>
      <c r="BR754" s="25"/>
      <c r="BS754" s="5"/>
    </row>
    <row r="755" spans="1:71" s="3" customFormat="1" x14ac:dyDescent="0.25">
      <c r="A755" s="5"/>
      <c r="B755" s="3" t="str">
        <f t="array" ref="B755">IFERROR(INDEX(DemandSupply,MATCH(INDEX($AH$1:AH755,SMALL(ROW($AH$1:AH755)+(10000*($AH$1:AH755="")),COUNTA($AH$1:AH755))),Sectors,0)),"")</f>
        <v>Demand</v>
      </c>
      <c r="E755" s="10"/>
      <c r="F755" s="207"/>
      <c r="G755" s="207"/>
      <c r="H755" s="207"/>
      <c r="I755" s="207"/>
      <c r="J755" s="207"/>
      <c r="K755" s="207"/>
      <c r="L755" s="207"/>
      <c r="M755" s="207"/>
      <c r="N755" s="207"/>
      <c r="O755" s="207"/>
      <c r="P755" s="207"/>
      <c r="Q755" s="207"/>
      <c r="R755" s="207"/>
      <c r="S755" s="207"/>
      <c r="T755" s="207"/>
      <c r="U755" s="207"/>
      <c r="V755" s="207"/>
      <c r="W755" s="207"/>
      <c r="X755" s="207"/>
      <c r="Y755" s="207"/>
      <c r="Z755" s="207"/>
      <c r="AA755" s="207"/>
      <c r="AB755" s="207">
        <v>1</v>
      </c>
      <c r="AC755" s="5"/>
      <c r="AD755" s="63"/>
      <c r="AE755" s="64"/>
      <c r="AF755" s="64"/>
      <c r="AG755" s="212"/>
      <c r="AH755" s="64"/>
      <c r="AI755" s="64"/>
      <c r="AJ755" s="64"/>
      <c r="AK755" s="64"/>
      <c r="AL755" s="64"/>
      <c r="AM755" s="64"/>
      <c r="AN755" s="64"/>
      <c r="AO755" s="64"/>
      <c r="AP755" s="63"/>
      <c r="AQ755" s="64"/>
      <c r="AR755" s="63"/>
      <c r="AS755" s="64"/>
      <c r="AT755" s="63"/>
      <c r="AU755" s="64"/>
      <c r="AV755" s="63"/>
      <c r="AW755" s="64"/>
      <c r="AX755" s="63"/>
      <c r="AY755" s="5"/>
      <c r="AZ755" s="21" t="str">
        <f t="shared" si="492"/>
        <v/>
      </c>
      <c r="BA755" s="75" t="s">
        <v>166</v>
      </c>
      <c r="BB755" s="75"/>
      <c r="BC755" s="270"/>
      <c r="BD755" s="75" t="s">
        <v>99</v>
      </c>
      <c r="BE755" s="216" t="s">
        <v>470</v>
      </c>
      <c r="BF755" s="303"/>
      <c r="BG755" s="303"/>
      <c r="BH755" s="303"/>
      <c r="BI755" s="303"/>
      <c r="BJ755" s="303"/>
      <c r="BK755" s="303"/>
      <c r="BL755" s="303"/>
      <c r="BM755" s="303"/>
      <c r="BN755" s="303"/>
      <c r="BO755" s="303"/>
      <c r="BP755" s="303"/>
      <c r="BQ755" s="5"/>
      <c r="BR755" s="25"/>
      <c r="BS755" s="5"/>
    </row>
    <row r="756" spans="1:71" s="3" customFormat="1" x14ac:dyDescent="0.25">
      <c r="A756" s="5"/>
      <c r="B756" s="3" t="str">
        <f t="array" ref="B756">IFERROR(INDEX(DemandSupply,MATCH(INDEX($AH$1:AH756,SMALL(ROW($AH$1:AH756)+(10000*($AH$1:AH756="")),COUNTA($AH$1:AH756))),Sectors,0)),"")</f>
        <v>Demand</v>
      </c>
      <c r="E756" s="10"/>
      <c r="F756" s="207"/>
      <c r="G756" s="207"/>
      <c r="H756" s="207"/>
      <c r="I756" s="207"/>
      <c r="J756" s="207"/>
      <c r="K756" s="207"/>
      <c r="L756" s="207"/>
      <c r="M756" s="207"/>
      <c r="N756" s="207"/>
      <c r="O756" s="207"/>
      <c r="P756" s="207"/>
      <c r="Q756" s="207"/>
      <c r="R756" s="207"/>
      <c r="S756" s="207"/>
      <c r="T756" s="207"/>
      <c r="U756" s="207"/>
      <c r="V756" s="207"/>
      <c r="W756" s="207"/>
      <c r="X756" s="207"/>
      <c r="Y756" s="207"/>
      <c r="Z756" s="207"/>
      <c r="AA756" s="207"/>
      <c r="AB756" s="207">
        <v>1</v>
      </c>
      <c r="AC756" s="5"/>
      <c r="AD756" s="63"/>
      <c r="AE756" s="64"/>
      <c r="AF756" s="64"/>
      <c r="AG756" s="212"/>
      <c r="AH756" s="64"/>
      <c r="AI756" s="64"/>
      <c r="AJ756" s="64"/>
      <c r="AK756" s="64"/>
      <c r="AL756" s="64"/>
      <c r="AM756" s="64"/>
      <c r="AN756" s="64"/>
      <c r="AO756" s="64"/>
      <c r="AP756" s="63"/>
      <c r="AQ756" s="64"/>
      <c r="AR756" s="63"/>
      <c r="AS756" s="64"/>
      <c r="AT756" s="63"/>
      <c r="AU756" s="64"/>
      <c r="AV756" s="63"/>
      <c r="AW756" s="64"/>
      <c r="AX756" s="63"/>
      <c r="AY756" s="5"/>
      <c r="AZ756" s="21" t="str">
        <f t="shared" si="492"/>
        <v/>
      </c>
      <c r="BA756" s="75" t="s">
        <v>167</v>
      </c>
      <c r="BB756" s="75"/>
      <c r="BC756" s="270"/>
      <c r="BD756" s="75" t="s">
        <v>99</v>
      </c>
      <c r="BE756" s="216" t="s">
        <v>470</v>
      </c>
      <c r="BF756" s="303"/>
      <c r="BG756" s="303"/>
      <c r="BH756" s="303"/>
      <c r="BI756" s="303"/>
      <c r="BJ756" s="303"/>
      <c r="BK756" s="303"/>
      <c r="BL756" s="303"/>
      <c r="BM756" s="303"/>
      <c r="BN756" s="303"/>
      <c r="BO756" s="303"/>
      <c r="BP756" s="303"/>
      <c r="BQ756" s="5"/>
      <c r="BR756" s="25"/>
      <c r="BS756" s="5"/>
    </row>
    <row r="757" spans="1:71" s="3" customFormat="1" x14ac:dyDescent="0.25">
      <c r="A757" s="5"/>
      <c r="B757" s="3" t="str">
        <f t="array" ref="B757">IFERROR(INDEX(DemandSupply,MATCH(INDEX($AH$1:AH757,SMALL(ROW($AH$1:AH757)+(10000*($AH$1:AH757="")),COUNTA($AH$1:AH757))),Sectors,0)),"")</f>
        <v>Demand</v>
      </c>
      <c r="E757" s="10"/>
      <c r="F757" s="207"/>
      <c r="G757" s="207"/>
      <c r="H757" s="207"/>
      <c r="I757" s="207"/>
      <c r="J757" s="207"/>
      <c r="K757" s="207"/>
      <c r="L757" s="207"/>
      <c r="M757" s="207"/>
      <c r="N757" s="207"/>
      <c r="O757" s="207"/>
      <c r="P757" s="207"/>
      <c r="Q757" s="207"/>
      <c r="R757" s="207"/>
      <c r="S757" s="207"/>
      <c r="T757" s="207"/>
      <c r="U757" s="207"/>
      <c r="V757" s="207"/>
      <c r="W757" s="207"/>
      <c r="X757" s="207"/>
      <c r="Y757" s="207"/>
      <c r="Z757" s="207"/>
      <c r="AA757" s="207"/>
      <c r="AB757" s="207">
        <v>1</v>
      </c>
      <c r="AC757" s="5"/>
      <c r="AD757" s="63"/>
      <c r="AE757" s="64"/>
      <c r="AF757" s="64"/>
      <c r="AG757" s="212"/>
      <c r="AH757" s="64"/>
      <c r="AI757" s="64"/>
      <c r="AJ757" s="64"/>
      <c r="AK757" s="64"/>
      <c r="AL757" s="64"/>
      <c r="AM757" s="64"/>
      <c r="AN757" s="64"/>
      <c r="AO757" s="64"/>
      <c r="AP757" s="63"/>
      <c r="AQ757" s="64"/>
      <c r="AR757" s="63"/>
      <c r="AS757" s="64"/>
      <c r="AT757" s="63"/>
      <c r="AU757" s="64"/>
      <c r="AV757" s="63"/>
      <c r="AW757" s="64"/>
      <c r="AX757" s="63"/>
      <c r="AY757" s="5"/>
      <c r="AZ757" s="21" t="str">
        <f t="shared" si="492"/>
        <v/>
      </c>
      <c r="BA757" s="75" t="s">
        <v>408</v>
      </c>
      <c r="BB757" s="75"/>
      <c r="BC757" s="270"/>
      <c r="BD757" s="75" t="s">
        <v>99</v>
      </c>
      <c r="BE757" s="216" t="s">
        <v>470</v>
      </c>
      <c r="BF757" s="303"/>
      <c r="BG757" s="303"/>
      <c r="BH757" s="303"/>
      <c r="BI757" s="303"/>
      <c r="BJ757" s="303"/>
      <c r="BK757" s="303"/>
      <c r="BL757" s="303"/>
      <c r="BM757" s="303"/>
      <c r="BN757" s="303"/>
      <c r="BO757" s="303"/>
      <c r="BP757" s="303"/>
      <c r="BQ757" s="5"/>
      <c r="BR757" s="25"/>
      <c r="BS757" s="5"/>
    </row>
    <row r="758" spans="1:71" s="3" customFormat="1" x14ac:dyDescent="0.25">
      <c r="A758" s="5"/>
      <c r="B758" s="3" t="str">
        <f t="array" ref="B758">IFERROR(INDEX(DemandSupply,MATCH(INDEX($AH$1:AH758,SMALL(ROW($AH$1:AH758)+(10000*($AH$1:AH758="")),COUNTA($AH$1:AH758))),Sectors,0)),"")</f>
        <v>Demand</v>
      </c>
      <c r="E758" s="10"/>
      <c r="F758" s="207"/>
      <c r="G758" s="207"/>
      <c r="H758" s="207"/>
      <c r="I758" s="207"/>
      <c r="J758" s="207"/>
      <c r="K758" s="207"/>
      <c r="L758" s="207"/>
      <c r="M758" s="207"/>
      <c r="N758" s="207"/>
      <c r="O758" s="207"/>
      <c r="P758" s="207"/>
      <c r="Q758" s="207"/>
      <c r="R758" s="207"/>
      <c r="S758" s="207"/>
      <c r="T758" s="207"/>
      <c r="U758" s="207"/>
      <c r="V758" s="207"/>
      <c r="W758" s="207"/>
      <c r="X758" s="207"/>
      <c r="Y758" s="207"/>
      <c r="Z758" s="207"/>
      <c r="AA758" s="207"/>
      <c r="AB758" s="207">
        <v>1</v>
      </c>
      <c r="AC758" s="5"/>
      <c r="AD758" s="63"/>
      <c r="AE758" s="64"/>
      <c r="AF758" s="64"/>
      <c r="AG758" s="212"/>
      <c r="AH758" s="64"/>
      <c r="AI758" s="64"/>
      <c r="AJ758" s="64"/>
      <c r="AK758" s="64"/>
      <c r="AL758" s="64"/>
      <c r="AM758" s="64"/>
      <c r="AN758" s="64"/>
      <c r="AO758" s="64"/>
      <c r="AP758" s="63"/>
      <c r="AQ758" s="64"/>
      <c r="AR758" s="63"/>
      <c r="AS758" s="64"/>
      <c r="AT758" s="63"/>
      <c r="AU758" s="64"/>
      <c r="AV758" s="63"/>
      <c r="AW758" s="64"/>
      <c r="AX758" s="63"/>
      <c r="AY758" s="5"/>
      <c r="AZ758" s="21" t="str">
        <f t="shared" si="492"/>
        <v/>
      </c>
      <c r="BA758" s="75" t="s">
        <v>409</v>
      </c>
      <c r="BB758" s="75"/>
      <c r="BC758" s="270"/>
      <c r="BD758" s="75" t="s">
        <v>99</v>
      </c>
      <c r="BE758" s="216" t="s">
        <v>470</v>
      </c>
      <c r="BF758" s="303"/>
      <c r="BG758" s="303"/>
      <c r="BH758" s="303"/>
      <c r="BI758" s="303"/>
      <c r="BJ758" s="303"/>
      <c r="BK758" s="303"/>
      <c r="BL758" s="303"/>
      <c r="BM758" s="303"/>
      <c r="BN758" s="303"/>
      <c r="BO758" s="303"/>
      <c r="BP758" s="303"/>
      <c r="BQ758" s="5"/>
      <c r="BR758" s="25"/>
      <c r="BS758" s="5"/>
    </row>
    <row r="759" spans="1:71" s="3" customFormat="1" x14ac:dyDescent="0.25">
      <c r="A759" s="5"/>
      <c r="B759" s="3" t="str">
        <f t="array" ref="B759">IFERROR(INDEX(DemandSupply,MATCH(INDEX($AH$1:AH759,SMALL(ROW($AH$1:AH759)+(10000*($AH$1:AH759="")),COUNTA($AH$1:AH759))),Sectors,0)),"")</f>
        <v>Demand</v>
      </c>
      <c r="E759" s="10"/>
      <c r="F759" s="207"/>
      <c r="G759" s="207"/>
      <c r="H759" s="207"/>
      <c r="I759" s="207"/>
      <c r="J759" s="207"/>
      <c r="K759" s="207"/>
      <c r="L759" s="207"/>
      <c r="M759" s="207"/>
      <c r="N759" s="207"/>
      <c r="O759" s="207"/>
      <c r="P759" s="207"/>
      <c r="Q759" s="207"/>
      <c r="R759" s="207"/>
      <c r="S759" s="207"/>
      <c r="T759" s="207"/>
      <c r="U759" s="207"/>
      <c r="V759" s="207"/>
      <c r="W759" s="207"/>
      <c r="X759" s="207"/>
      <c r="Y759" s="207"/>
      <c r="Z759" s="207"/>
      <c r="AA759" s="207"/>
      <c r="AB759" s="207">
        <v>1</v>
      </c>
      <c r="AC759" s="5"/>
      <c r="AD759" s="63"/>
      <c r="AE759" s="64"/>
      <c r="AF759" s="64"/>
      <c r="AG759" s="212"/>
      <c r="AH759" s="64"/>
      <c r="AI759" s="64"/>
      <c r="AJ759" s="64"/>
      <c r="AK759" s="64"/>
      <c r="AL759" s="64"/>
      <c r="AM759" s="64"/>
      <c r="AN759" s="64"/>
      <c r="AO759" s="64"/>
      <c r="AP759" s="63"/>
      <c r="AQ759" s="64"/>
      <c r="AR759" s="63"/>
      <c r="AS759" s="64"/>
      <c r="AT759" s="63"/>
      <c r="AU759" s="64"/>
      <c r="AV759" s="63"/>
      <c r="AW759" s="64"/>
      <c r="AX759" s="63"/>
      <c r="AY759" s="5"/>
      <c r="AZ759" s="21" t="str">
        <f t="shared" si="492"/>
        <v/>
      </c>
      <c r="BA759" s="264" t="s">
        <v>371</v>
      </c>
      <c r="BB759" s="264"/>
      <c r="BC759" s="264"/>
      <c r="BD759" s="264" t="s">
        <v>353</v>
      </c>
      <c r="BE759" s="216" t="s">
        <v>470</v>
      </c>
      <c r="BF759" s="56">
        <v>1</v>
      </c>
      <c r="BG759" s="282">
        <f t="shared" ref="BG759:BG760" si="535">BF759</f>
        <v>1</v>
      </c>
      <c r="BH759" s="282">
        <f t="shared" ref="BH759:BH760" si="536">BG759</f>
        <v>1</v>
      </c>
      <c r="BI759" s="282">
        <f t="shared" ref="BI759:BI760" si="537">BH759</f>
        <v>1</v>
      </c>
      <c r="BJ759" s="282">
        <f t="shared" ref="BJ759:BJ760" si="538">BI759</f>
        <v>1</v>
      </c>
      <c r="BK759" s="282">
        <f t="shared" ref="BK759:BK760" si="539">BJ759</f>
        <v>1</v>
      </c>
      <c r="BL759" s="282">
        <f t="shared" ref="BL759:BL760" si="540">BK759</f>
        <v>1</v>
      </c>
      <c r="BM759" s="282">
        <f t="shared" ref="BM759:BM760" si="541">BL759</f>
        <v>1</v>
      </c>
      <c r="BN759" s="282">
        <f t="shared" ref="BN759:BN760" si="542">BM759</f>
        <v>1</v>
      </c>
      <c r="BO759" s="282">
        <f t="shared" ref="BO759:BO760" si="543">BN759</f>
        <v>1</v>
      </c>
      <c r="BP759" s="282">
        <f t="shared" ref="BP759:BP760" si="544">BO759</f>
        <v>1</v>
      </c>
      <c r="BQ759" s="5"/>
      <c r="BR759" s="25"/>
      <c r="BS759" s="5"/>
    </row>
    <row r="760" spans="1:71" s="3" customFormat="1" x14ac:dyDescent="0.25">
      <c r="A760" s="5"/>
      <c r="B760" s="3" t="str">
        <f t="array" ref="B760">IFERROR(INDEX(DemandSupply,MATCH(INDEX($AH$1:AH760,SMALL(ROW($AH$1:AH760)+(10000*($AH$1:AH760="")),COUNTA($AH$1:AH760))),Sectors,0)),"")</f>
        <v>Demand</v>
      </c>
      <c r="E760" s="10"/>
      <c r="F760" s="207"/>
      <c r="G760" s="207"/>
      <c r="H760" s="207"/>
      <c r="I760" s="207"/>
      <c r="J760" s="207"/>
      <c r="K760" s="207"/>
      <c r="L760" s="207"/>
      <c r="M760" s="207"/>
      <c r="N760" s="207"/>
      <c r="O760" s="207"/>
      <c r="P760" s="207"/>
      <c r="Q760" s="207"/>
      <c r="R760" s="207"/>
      <c r="S760" s="207"/>
      <c r="T760" s="207"/>
      <c r="U760" s="207"/>
      <c r="V760" s="207"/>
      <c r="W760" s="207"/>
      <c r="X760" s="207"/>
      <c r="Y760" s="207"/>
      <c r="Z760" s="207"/>
      <c r="AA760" s="207"/>
      <c r="AB760" s="207">
        <v>1</v>
      </c>
      <c r="AC760" s="5"/>
      <c r="AD760" s="63"/>
      <c r="AE760" s="64"/>
      <c r="AF760" s="64"/>
      <c r="AG760" s="212"/>
      <c r="AH760" s="64"/>
      <c r="AI760" s="64"/>
      <c r="AJ760" s="64"/>
      <c r="AK760" s="64"/>
      <c r="AL760" s="64"/>
      <c r="AM760" s="64"/>
      <c r="AN760" s="64"/>
      <c r="AO760" s="64"/>
      <c r="AP760" s="63"/>
      <c r="AQ760" s="64"/>
      <c r="AR760" s="63"/>
      <c r="AS760" s="64"/>
      <c r="AT760" s="63"/>
      <c r="AU760" s="64"/>
      <c r="AV760" s="63"/>
      <c r="AW760" s="64"/>
      <c r="AX760" s="63"/>
      <c r="AY760" s="5"/>
      <c r="AZ760" s="21" t="str">
        <f t="shared" si="492"/>
        <v/>
      </c>
      <c r="BA760" s="264" t="s">
        <v>170</v>
      </c>
      <c r="BB760" s="264"/>
      <c r="BC760" s="264"/>
      <c r="BD760" s="264" t="s">
        <v>354</v>
      </c>
      <c r="BE760" s="216" t="s">
        <v>470</v>
      </c>
      <c r="BF760" s="56">
        <v>670.15</v>
      </c>
      <c r="BG760" s="282">
        <f t="shared" si="535"/>
        <v>670.15</v>
      </c>
      <c r="BH760" s="282">
        <f t="shared" si="536"/>
        <v>670.15</v>
      </c>
      <c r="BI760" s="282">
        <f t="shared" si="537"/>
        <v>670.15</v>
      </c>
      <c r="BJ760" s="282">
        <f t="shared" si="538"/>
        <v>670.15</v>
      </c>
      <c r="BK760" s="282">
        <f t="shared" si="539"/>
        <v>670.15</v>
      </c>
      <c r="BL760" s="282">
        <f t="shared" si="540"/>
        <v>670.15</v>
      </c>
      <c r="BM760" s="282">
        <f t="shared" si="541"/>
        <v>670.15</v>
      </c>
      <c r="BN760" s="282">
        <f t="shared" si="542"/>
        <v>670.15</v>
      </c>
      <c r="BO760" s="282">
        <f t="shared" si="543"/>
        <v>670.15</v>
      </c>
      <c r="BP760" s="282">
        <f t="shared" si="544"/>
        <v>670.15</v>
      </c>
      <c r="BQ760" s="5"/>
      <c r="BR760" s="25"/>
      <c r="BS760" s="5"/>
    </row>
    <row r="761" spans="1:71" s="3" customFormat="1" x14ac:dyDescent="0.25">
      <c r="A761" s="5"/>
      <c r="B761" s="3" t="str">
        <f t="array" ref="B761">IFERROR(INDEX(DemandSupply,MATCH(INDEX($AH$1:AH761,SMALL(ROW($AH$1:AH761)+(10000*($AH$1:AH761="")),COUNTA($AH$1:AH761))),Sectors,0)),"")</f>
        <v>Demand</v>
      </c>
      <c r="E761" s="10"/>
      <c r="F761" s="207"/>
      <c r="G761" s="207"/>
      <c r="H761" s="207"/>
      <c r="I761" s="207"/>
      <c r="J761" s="207"/>
      <c r="K761" s="207"/>
      <c r="L761" s="207"/>
      <c r="M761" s="207"/>
      <c r="N761" s="207"/>
      <c r="O761" s="207"/>
      <c r="P761" s="207"/>
      <c r="Q761" s="207"/>
      <c r="R761" s="207"/>
      <c r="S761" s="207"/>
      <c r="T761" s="207"/>
      <c r="U761" s="207"/>
      <c r="V761" s="207"/>
      <c r="W761" s="207"/>
      <c r="X761" s="207"/>
      <c r="Y761" s="207"/>
      <c r="Z761" s="207"/>
      <c r="AA761" s="207"/>
      <c r="AB761" s="207">
        <v>1</v>
      </c>
      <c r="AC761" s="5"/>
      <c r="AD761" s="63"/>
      <c r="AE761" s="64"/>
      <c r="AF761" s="64"/>
      <c r="AG761" s="212"/>
      <c r="AH761" s="64"/>
      <c r="AI761" s="64"/>
      <c r="AJ761" s="64"/>
      <c r="AK761" s="64"/>
      <c r="AL761" s="64"/>
      <c r="AM761" s="64"/>
      <c r="AN761" s="64"/>
      <c r="AO761" s="64"/>
      <c r="AP761" s="63"/>
      <c r="AQ761" s="64"/>
      <c r="AR761" s="63"/>
      <c r="AS761" s="64"/>
      <c r="AT761" s="63"/>
      <c r="AU761" s="64"/>
      <c r="AV761" s="63"/>
      <c r="AW761" s="64"/>
      <c r="AX761" s="63"/>
      <c r="AY761" s="5"/>
      <c r="AZ761" s="21" t="str">
        <f t="shared" si="492"/>
        <v/>
      </c>
      <c r="BA761" s="264" t="s">
        <v>425</v>
      </c>
      <c r="BB761" s="264"/>
      <c r="BC761" s="264"/>
      <c r="BD761" s="264" t="s">
        <v>99</v>
      </c>
      <c r="BE761" s="216" t="s">
        <v>470</v>
      </c>
      <c r="BF761" s="303"/>
      <c r="BG761" s="303"/>
      <c r="BH761" s="303"/>
      <c r="BI761" s="303"/>
      <c r="BJ761" s="303"/>
      <c r="BK761" s="303"/>
      <c r="BL761" s="303"/>
      <c r="BM761" s="303"/>
      <c r="BN761" s="303"/>
      <c r="BO761" s="303"/>
      <c r="BP761" s="303"/>
      <c r="BQ761" s="5"/>
      <c r="BR761" s="25"/>
      <c r="BS761" s="5"/>
    </row>
    <row r="762" spans="1:71" s="3" customFormat="1" x14ac:dyDescent="0.25">
      <c r="A762" s="5"/>
      <c r="B762" s="3" t="str">
        <f t="array" ref="B762">IFERROR(INDEX(DemandSupply,MATCH(INDEX($AH$1:AH762,SMALL(ROW($AH$1:AH762)+(10000*($AH$1:AH762="")),COUNTA($AH$1:AH762))),Sectors,0)),"")</f>
        <v>Demand</v>
      </c>
      <c r="E762" s="10"/>
      <c r="F762" s="207"/>
      <c r="G762" s="207"/>
      <c r="H762" s="207"/>
      <c r="I762" s="207"/>
      <c r="J762" s="207"/>
      <c r="K762" s="207"/>
      <c r="L762" s="207"/>
      <c r="M762" s="207"/>
      <c r="N762" s="207"/>
      <c r="O762" s="207"/>
      <c r="P762" s="207"/>
      <c r="Q762" s="207"/>
      <c r="R762" s="207"/>
      <c r="S762" s="207"/>
      <c r="T762" s="207"/>
      <c r="U762" s="207"/>
      <c r="V762" s="207"/>
      <c r="W762" s="207"/>
      <c r="X762" s="207"/>
      <c r="Y762" s="207"/>
      <c r="Z762" s="207"/>
      <c r="AA762" s="207"/>
      <c r="AB762" s="207">
        <v>1</v>
      </c>
      <c r="AC762" s="5"/>
      <c r="AD762" s="63"/>
      <c r="AE762" s="64"/>
      <c r="AF762" s="64"/>
      <c r="AG762" s="212"/>
      <c r="AH762" s="64"/>
      <c r="AI762" s="64"/>
      <c r="AJ762" s="64"/>
      <c r="AK762" s="64"/>
      <c r="AL762" s="64"/>
      <c r="AM762" s="64"/>
      <c r="AN762" s="64"/>
      <c r="AO762" s="64"/>
      <c r="AP762" s="63"/>
      <c r="AQ762" s="64"/>
      <c r="AR762" s="63"/>
      <c r="AS762" s="64"/>
      <c r="AT762" s="63"/>
      <c r="AU762" s="64"/>
      <c r="AV762" s="63"/>
      <c r="AW762" s="64"/>
      <c r="AX762" s="63"/>
      <c r="AY762" s="5"/>
      <c r="AZ762" s="21" t="str">
        <f t="shared" si="492"/>
        <v/>
      </c>
      <c r="BA762" s="264" t="s">
        <v>438</v>
      </c>
      <c r="BB762" s="264"/>
      <c r="BC762" s="264"/>
      <c r="BD762" s="264" t="s">
        <v>353</v>
      </c>
      <c r="BE762" s="216" t="s">
        <v>470</v>
      </c>
      <c r="BF762" s="56"/>
      <c r="BG762" s="56"/>
      <c r="BH762" s="56"/>
      <c r="BI762" s="56"/>
      <c r="BJ762" s="56"/>
      <c r="BK762" s="56"/>
      <c r="BL762" s="56"/>
      <c r="BM762" s="56"/>
      <c r="BN762" s="56"/>
      <c r="BO762" s="56"/>
      <c r="BP762" s="56"/>
      <c r="BQ762" s="5"/>
      <c r="BR762" s="25"/>
      <c r="BS762" s="5"/>
    </row>
    <row r="763" spans="1:71" s="3" customFormat="1" x14ac:dyDescent="0.25">
      <c r="A763" s="5"/>
      <c r="B763" s="3" t="str">
        <f t="array" ref="B763">IFERROR(INDEX(DemandSupply,MATCH(INDEX($AH$1:AH763,SMALL(ROW($AH$1:AH763)+(10000*($AH$1:AH763="")),COUNTA($AH$1:AH763))),Sectors,0)),"")</f>
        <v>Demand</v>
      </c>
      <c r="E763" s="10"/>
      <c r="F763" s="207"/>
      <c r="G763" s="207"/>
      <c r="H763" s="207"/>
      <c r="I763" s="207"/>
      <c r="J763" s="207"/>
      <c r="K763" s="207"/>
      <c r="L763" s="207"/>
      <c r="M763" s="207"/>
      <c r="N763" s="207"/>
      <c r="O763" s="207"/>
      <c r="P763" s="207"/>
      <c r="Q763" s="207"/>
      <c r="R763" s="207"/>
      <c r="S763" s="207"/>
      <c r="T763" s="207"/>
      <c r="U763" s="207"/>
      <c r="V763" s="207"/>
      <c r="W763" s="207"/>
      <c r="X763" s="207"/>
      <c r="Y763" s="207"/>
      <c r="Z763" s="207"/>
      <c r="AA763" s="207"/>
      <c r="AB763" s="207">
        <v>1</v>
      </c>
      <c r="AC763" s="5"/>
      <c r="AD763" s="63"/>
      <c r="AE763" s="64"/>
      <c r="AF763" s="64"/>
      <c r="AG763" s="212"/>
      <c r="AH763" s="64"/>
      <c r="AI763" s="64"/>
      <c r="AJ763" s="64"/>
      <c r="AK763" s="64"/>
      <c r="AL763" s="64"/>
      <c r="AM763" s="64"/>
      <c r="AN763" s="64"/>
      <c r="AO763" s="64"/>
      <c r="AP763" s="63"/>
      <c r="AQ763" s="64"/>
      <c r="AR763" s="63"/>
      <c r="AS763" s="64"/>
      <c r="AT763" s="63"/>
      <c r="AU763" s="64"/>
      <c r="AV763" s="63"/>
      <c r="AW763" s="64"/>
      <c r="AX763" s="63"/>
      <c r="AY763" s="5"/>
      <c r="AZ763" s="21" t="str">
        <f t="shared" si="492"/>
        <v/>
      </c>
      <c r="BA763" s="264" t="s">
        <v>435</v>
      </c>
      <c r="BB763" s="264"/>
      <c r="BC763" s="264"/>
      <c r="BD763" s="264"/>
      <c r="BE763" s="216" t="s">
        <v>470</v>
      </c>
      <c r="BF763" s="55"/>
      <c r="BG763" s="55"/>
      <c r="BH763" s="55"/>
      <c r="BI763" s="55"/>
      <c r="BJ763" s="55"/>
      <c r="BK763" s="55"/>
      <c r="BL763" s="55"/>
      <c r="BM763" s="55"/>
      <c r="BN763" s="55"/>
      <c r="BO763" s="55"/>
      <c r="BP763" s="55"/>
      <c r="BQ763" s="5"/>
      <c r="BR763" s="25"/>
      <c r="BS763" s="5"/>
    </row>
    <row r="764" spans="1:71" s="3" customFormat="1" x14ac:dyDescent="0.25">
      <c r="A764" s="5"/>
      <c r="B764" s="3" t="str">
        <f t="array" ref="B764">IFERROR(INDEX(DemandSupply,MATCH(INDEX($AH$1:AH764,SMALL(ROW($AH$1:AH764)+(10000*($AH$1:AH764="")),COUNTA($AH$1:AH764))),Sectors,0)),"")</f>
        <v>Demand</v>
      </c>
      <c r="E764" s="10"/>
      <c r="F764" s="207"/>
      <c r="G764" s="207"/>
      <c r="H764" s="207"/>
      <c r="I764" s="207"/>
      <c r="J764" s="207"/>
      <c r="K764" s="207"/>
      <c r="L764" s="207"/>
      <c r="M764" s="207"/>
      <c r="N764" s="207"/>
      <c r="O764" s="207"/>
      <c r="P764" s="207"/>
      <c r="Q764" s="207"/>
      <c r="R764" s="207"/>
      <c r="S764" s="207"/>
      <c r="T764" s="207"/>
      <c r="U764" s="207"/>
      <c r="V764" s="207"/>
      <c r="W764" s="207"/>
      <c r="X764" s="207"/>
      <c r="Y764" s="207"/>
      <c r="Z764" s="207"/>
      <c r="AA764" s="207"/>
      <c r="AB764" s="207">
        <v>1</v>
      </c>
      <c r="AC764" s="5"/>
      <c r="AD764" s="63"/>
      <c r="AE764" s="64"/>
      <c r="AF764" s="64"/>
      <c r="AG764" s="212"/>
      <c r="AH764" s="64"/>
      <c r="AI764" s="64"/>
      <c r="AJ764" s="64"/>
      <c r="AK764" s="64"/>
      <c r="AL764" s="64"/>
      <c r="AM764" s="64"/>
      <c r="AN764" s="64"/>
      <c r="AO764" s="64"/>
      <c r="AP764" s="63"/>
      <c r="AQ764" s="64"/>
      <c r="AR764" s="63"/>
      <c r="AS764" s="64"/>
      <c r="AT764" s="63"/>
      <c r="AU764" s="64"/>
      <c r="AV764" s="63"/>
      <c r="AW764" s="64"/>
      <c r="AX764" s="63"/>
      <c r="AY764" s="5"/>
      <c r="AZ764" s="21" t="str">
        <f t="shared" si="492"/>
        <v/>
      </c>
      <c r="BA764" s="264" t="s">
        <v>407</v>
      </c>
      <c r="BB764" s="264"/>
      <c r="BC764" s="264"/>
      <c r="BD764" s="264" t="s">
        <v>99</v>
      </c>
      <c r="BE764" s="216" t="s">
        <v>470</v>
      </c>
      <c r="BF764" s="303"/>
      <c r="BG764" s="303"/>
      <c r="BH764" s="303"/>
      <c r="BI764" s="303"/>
      <c r="BJ764" s="303"/>
      <c r="BK764" s="303"/>
      <c r="BL764" s="303"/>
      <c r="BM764" s="303"/>
      <c r="BN764" s="303"/>
      <c r="BO764" s="303"/>
      <c r="BP764" s="303"/>
      <c r="BQ764" s="5"/>
      <c r="BR764" s="25"/>
      <c r="BS764" s="5"/>
    </row>
    <row r="765" spans="1:71" s="3" customFormat="1" x14ac:dyDescent="0.25">
      <c r="A765" s="5"/>
      <c r="B765" s="3" t="str">
        <f t="array" ref="B765">IFERROR(INDEX(DemandSupply,MATCH(INDEX($AH$1:AH765,SMALL(ROW($AH$1:AH765)+(10000*($AH$1:AH765="")),COUNTA($AH$1:AH765))),Sectors,0)),"")</f>
        <v>Demand</v>
      </c>
      <c r="E765" s="10"/>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v>1</v>
      </c>
      <c r="AC765" s="5"/>
      <c r="AD765" s="63"/>
      <c r="AE765" s="64"/>
      <c r="AF765" s="64"/>
      <c r="AG765" s="212"/>
      <c r="AH765" s="64"/>
      <c r="AI765" s="64"/>
      <c r="AJ765" s="64"/>
      <c r="AK765" s="64"/>
      <c r="AL765" s="64"/>
      <c r="AM765" s="64"/>
      <c r="AN765" s="64"/>
      <c r="AO765" s="64"/>
      <c r="AP765" s="63"/>
      <c r="AQ765" s="64"/>
      <c r="AR765" s="63"/>
      <c r="AS765" s="64"/>
      <c r="AT765" s="63"/>
      <c r="AU765" s="64"/>
      <c r="AV765" s="63"/>
      <c r="AW765" s="64"/>
      <c r="AX765" s="63"/>
      <c r="AY765" s="5"/>
      <c r="AZ765" s="21" t="str">
        <f t="shared" si="492"/>
        <v/>
      </c>
      <c r="BA765" s="264" t="s">
        <v>444</v>
      </c>
      <c r="BB765" s="264"/>
      <c r="BC765" s="264"/>
      <c r="BD765" s="264" t="s">
        <v>354</v>
      </c>
      <c r="BE765" s="216" t="s">
        <v>470</v>
      </c>
      <c r="BF765" s="56"/>
      <c r="BG765" s="282"/>
      <c r="BH765" s="282"/>
      <c r="BI765" s="282"/>
      <c r="BJ765" s="282"/>
      <c r="BK765" s="282"/>
      <c r="BL765" s="282"/>
      <c r="BM765" s="282"/>
      <c r="BN765" s="282"/>
      <c r="BO765" s="282"/>
      <c r="BP765" s="282"/>
      <c r="BQ765" s="5"/>
      <c r="BR765" s="25"/>
      <c r="BS765" s="5"/>
    </row>
    <row r="766" spans="1:71" s="3" customFormat="1" x14ac:dyDescent="0.25">
      <c r="A766" s="5"/>
      <c r="B766" s="3" t="str">
        <f t="array" ref="B766">IFERROR(INDEX(DemandSupply,MATCH(INDEX($AH$1:AH766,SMALL(ROW($AH$1:AH766)+(10000*($AH$1:AH766="")),COUNTA($AH$1:AH766))),Sectors,0)),"")</f>
        <v>Demand</v>
      </c>
      <c r="E766" s="10"/>
      <c r="F766" s="207"/>
      <c r="G766" s="207"/>
      <c r="H766" s="207"/>
      <c r="I766" s="207"/>
      <c r="J766" s="207"/>
      <c r="K766" s="207"/>
      <c r="L766" s="207"/>
      <c r="M766" s="207"/>
      <c r="N766" s="207"/>
      <c r="O766" s="207"/>
      <c r="P766" s="207"/>
      <c r="Q766" s="207"/>
      <c r="R766" s="207"/>
      <c r="S766" s="207"/>
      <c r="T766" s="207"/>
      <c r="U766" s="207"/>
      <c r="V766" s="207"/>
      <c r="W766" s="207"/>
      <c r="X766" s="207"/>
      <c r="Y766" s="207"/>
      <c r="Z766" s="207"/>
      <c r="AA766" s="207"/>
      <c r="AB766" s="207">
        <v>1</v>
      </c>
      <c r="AC766" s="5"/>
      <c r="AD766" s="63"/>
      <c r="AE766" s="64"/>
      <c r="AF766" s="64"/>
      <c r="AG766" s="212"/>
      <c r="AH766" s="64"/>
      <c r="AI766" s="64"/>
      <c r="AJ766" s="64"/>
      <c r="AK766" s="64"/>
      <c r="AL766" s="64"/>
      <c r="AM766" s="64"/>
      <c r="AN766" s="64"/>
      <c r="AO766" s="64"/>
      <c r="AP766" s="63"/>
      <c r="AQ766" s="64"/>
      <c r="AR766" s="63"/>
      <c r="AS766" s="64"/>
      <c r="AT766" s="63"/>
      <c r="AU766" s="64"/>
      <c r="AV766" s="63"/>
      <c r="AW766" s="64"/>
      <c r="AX766" s="63"/>
      <c r="AY766" s="5"/>
      <c r="AZ766" s="21" t="str">
        <f t="shared" si="492"/>
        <v/>
      </c>
      <c r="BA766" s="264" t="s">
        <v>446</v>
      </c>
      <c r="BB766" s="264"/>
      <c r="BC766" s="264"/>
      <c r="BD766" s="264" t="s">
        <v>354</v>
      </c>
      <c r="BE766" s="216" t="s">
        <v>470</v>
      </c>
      <c r="BF766" s="56"/>
      <c r="BG766" s="56"/>
      <c r="BH766" s="56"/>
      <c r="BI766" s="56"/>
      <c r="BJ766" s="56"/>
      <c r="BK766" s="56"/>
      <c r="BL766" s="56"/>
      <c r="BM766" s="56"/>
      <c r="BN766" s="56"/>
      <c r="BO766" s="56"/>
      <c r="BP766" s="56"/>
      <c r="BQ766" s="5"/>
      <c r="BR766" s="25"/>
      <c r="BS766" s="5"/>
    </row>
    <row r="767" spans="1:71" s="3" customFormat="1" x14ac:dyDescent="0.25">
      <c r="A767" s="5"/>
      <c r="B767" s="3" t="str">
        <f t="array" ref="B767">IFERROR(INDEX(DemandSupply,MATCH(INDEX($AH$1:AH767,SMALL(ROW($AH$1:AH767)+(10000*($AH$1:AH767="")),COUNTA($AH$1:AH767))),Sectors,0)),"")</f>
        <v>Demand</v>
      </c>
      <c r="E767" s="10"/>
      <c r="F767" s="207"/>
      <c r="G767" s="207"/>
      <c r="H767" s="207"/>
      <c r="I767" s="207"/>
      <c r="J767" s="207"/>
      <c r="K767" s="207"/>
      <c r="L767" s="207"/>
      <c r="M767" s="207"/>
      <c r="N767" s="207"/>
      <c r="O767" s="207"/>
      <c r="P767" s="207"/>
      <c r="Q767" s="207"/>
      <c r="R767" s="207"/>
      <c r="S767" s="207"/>
      <c r="T767" s="207"/>
      <c r="U767" s="207"/>
      <c r="V767" s="207"/>
      <c r="W767" s="207"/>
      <c r="X767" s="207"/>
      <c r="Y767" s="207"/>
      <c r="Z767" s="207"/>
      <c r="AA767" s="207"/>
      <c r="AB767" s="207">
        <v>1</v>
      </c>
      <c r="AC767" s="5"/>
      <c r="AD767" s="63"/>
      <c r="AE767" s="64"/>
      <c r="AF767" s="64"/>
      <c r="AG767" s="212"/>
      <c r="AH767" s="64"/>
      <c r="AI767" s="64"/>
      <c r="AJ767" s="64"/>
      <c r="AK767" s="64"/>
      <c r="AL767" s="64"/>
      <c r="AM767" s="64"/>
      <c r="AN767" s="64"/>
      <c r="AO767" s="64"/>
      <c r="AP767" s="63"/>
      <c r="AQ767" s="64"/>
      <c r="AR767" s="63"/>
      <c r="AS767" s="64"/>
      <c r="AT767" s="63"/>
      <c r="AU767" s="64"/>
      <c r="AV767" s="63"/>
      <c r="AW767" s="64"/>
      <c r="AX767" s="63"/>
      <c r="AY767" s="5"/>
      <c r="AZ767" s="21" t="str">
        <f t="shared" si="492"/>
        <v/>
      </c>
      <c r="BA767" s="264" t="s">
        <v>447</v>
      </c>
      <c r="BB767" s="264"/>
      <c r="BC767" s="264"/>
      <c r="BD767" s="264"/>
      <c r="BE767" s="216" t="s">
        <v>470</v>
      </c>
      <c r="BF767" s="55"/>
      <c r="BG767" s="55"/>
      <c r="BH767" s="55"/>
      <c r="BI767" s="55"/>
      <c r="BJ767" s="55"/>
      <c r="BK767" s="55"/>
      <c r="BL767" s="55"/>
      <c r="BM767" s="55"/>
      <c r="BN767" s="55"/>
      <c r="BO767" s="55"/>
      <c r="BP767" s="55"/>
      <c r="BQ767" s="5"/>
      <c r="BR767" s="25"/>
      <c r="BS767" s="5"/>
    </row>
    <row r="768" spans="1:71" s="3" customFormat="1" x14ac:dyDescent="0.25">
      <c r="A768" s="5"/>
      <c r="B768" s="3" t="str">
        <f t="array" ref="B768">IFERROR(INDEX(DemandSupply,MATCH(INDEX($AH$1:AH768,SMALL(ROW($AH$1:AH768)+(10000*($AH$1:AH768="")),COUNTA($AH$1:AH768))),Sectors,0)),"")</f>
        <v>Demand</v>
      </c>
      <c r="E768" s="10"/>
      <c r="F768" s="207"/>
      <c r="G768" s="207"/>
      <c r="H768" s="207"/>
      <c r="I768" s="207"/>
      <c r="J768" s="207"/>
      <c r="K768" s="207"/>
      <c r="L768" s="207"/>
      <c r="M768" s="207"/>
      <c r="N768" s="207"/>
      <c r="O768" s="207"/>
      <c r="P768" s="207"/>
      <c r="Q768" s="207"/>
      <c r="R768" s="207"/>
      <c r="S768" s="207"/>
      <c r="T768" s="207"/>
      <c r="U768" s="207"/>
      <c r="V768" s="207"/>
      <c r="W768" s="207"/>
      <c r="X768" s="207"/>
      <c r="Y768" s="207"/>
      <c r="Z768" s="207"/>
      <c r="AA768" s="207"/>
      <c r="AB768" s="207">
        <v>1</v>
      </c>
      <c r="AC768" s="5"/>
      <c r="AD768" s="63"/>
      <c r="AE768" s="64"/>
      <c r="AF768" s="64"/>
      <c r="AG768" s="212"/>
      <c r="AH768" s="64"/>
      <c r="AI768" s="64"/>
      <c r="AJ768" s="64"/>
      <c r="AK768" s="64"/>
      <c r="AL768" s="64"/>
      <c r="AM768" s="64"/>
      <c r="AN768" s="64"/>
      <c r="AO768" s="64"/>
      <c r="AP768" s="63"/>
      <c r="AQ768" s="64"/>
      <c r="AR768" s="63"/>
      <c r="AS768" s="64"/>
      <c r="AT768" s="63"/>
      <c r="AU768" s="64"/>
      <c r="AV768" s="63"/>
      <c r="AW768" s="64"/>
      <c r="AX768" s="63"/>
      <c r="AY768" s="5"/>
      <c r="AZ768" s="21" t="str">
        <f t="shared" si="492"/>
        <v/>
      </c>
      <c r="BA768" s="264" t="s">
        <v>448</v>
      </c>
      <c r="BB768" s="264"/>
      <c r="BC768" s="264"/>
      <c r="BD768" s="264"/>
      <c r="BE768" s="216" t="s">
        <v>470</v>
      </c>
      <c r="BF768" s="55"/>
      <c r="BG768" s="55"/>
      <c r="BH768" s="55"/>
      <c r="BI768" s="55"/>
      <c r="BJ768" s="55"/>
      <c r="BK768" s="55"/>
      <c r="BL768" s="55"/>
      <c r="BM768" s="55"/>
      <c r="BN768" s="55"/>
      <c r="BO768" s="55"/>
      <c r="BP768" s="55"/>
      <c r="BQ768" s="5"/>
      <c r="BR768" s="25"/>
      <c r="BS768" s="5"/>
    </row>
    <row r="769" spans="1:71" s="3" customFormat="1" x14ac:dyDescent="0.25">
      <c r="A769" s="5"/>
      <c r="B769" s="3" t="str">
        <f t="array" ref="B769">IFERROR(INDEX(DemandSupply,MATCH(INDEX($AH$1:AH769,SMALL(ROW($AH$1:AH769)+(10000*($AH$1:AH769="")),COUNTA($AH$1:AH769))),Sectors,0)),"")</f>
        <v>Demand</v>
      </c>
      <c r="E769" s="10"/>
      <c r="F769" s="207"/>
      <c r="G769" s="207"/>
      <c r="H769" s="207"/>
      <c r="I769" s="207"/>
      <c r="J769" s="207"/>
      <c r="K769" s="207"/>
      <c r="L769" s="207"/>
      <c r="M769" s="207"/>
      <c r="N769" s="207"/>
      <c r="O769" s="207"/>
      <c r="P769" s="207"/>
      <c r="Q769" s="207"/>
      <c r="R769" s="207"/>
      <c r="S769" s="207"/>
      <c r="T769" s="207"/>
      <c r="U769" s="207"/>
      <c r="V769" s="207"/>
      <c r="W769" s="207"/>
      <c r="X769" s="207"/>
      <c r="Y769" s="207"/>
      <c r="Z769" s="207"/>
      <c r="AA769" s="207"/>
      <c r="AB769" s="207">
        <v>1</v>
      </c>
      <c r="AC769" s="5"/>
      <c r="AD769" s="63"/>
      <c r="AE769" s="64"/>
      <c r="AF769" s="64"/>
      <c r="AG769" s="212"/>
      <c r="AH769" s="64"/>
      <c r="AI769" s="64"/>
      <c r="AJ769" s="64"/>
      <c r="AK769" s="64"/>
      <c r="AL769" s="64"/>
      <c r="AM769" s="64"/>
      <c r="AN769" s="64"/>
      <c r="AO769" s="64"/>
      <c r="AP769" s="63"/>
      <c r="AQ769" s="64"/>
      <c r="AR769" s="63"/>
      <c r="AS769" s="64"/>
      <c r="AT769" s="63"/>
      <c r="AU769" s="64"/>
      <c r="AV769" s="63"/>
      <c r="AW769" s="64"/>
      <c r="AX769" s="63"/>
      <c r="AY769" s="5"/>
      <c r="AZ769" s="21" t="str">
        <f t="shared" si="492"/>
        <v/>
      </c>
      <c r="BA769" s="264" t="s">
        <v>445</v>
      </c>
      <c r="BB769" s="264"/>
      <c r="BC769" s="264"/>
      <c r="BD769" s="264" t="s">
        <v>466</v>
      </c>
      <c r="BE769" s="216" t="s">
        <v>470</v>
      </c>
      <c r="BF769" s="56"/>
      <c r="BG769" s="56"/>
      <c r="BH769" s="56"/>
      <c r="BI769" s="56"/>
      <c r="BJ769" s="56"/>
      <c r="BK769" s="56"/>
      <c r="BL769" s="56"/>
      <c r="BM769" s="56"/>
      <c r="BN769" s="56"/>
      <c r="BO769" s="56"/>
      <c r="BP769" s="56"/>
      <c r="BQ769" s="5"/>
      <c r="BR769" s="25"/>
      <c r="BS769" s="5"/>
    </row>
    <row r="770" spans="1:71" s="3" customFormat="1" x14ac:dyDescent="0.25">
      <c r="A770" s="5"/>
      <c r="B770" s="3" t="str">
        <f t="array" ref="B770">IFERROR(INDEX(DemandSupply,MATCH(INDEX($AH$1:AH770,SMALL(ROW($AH$1:AH770)+(10000*($AH$1:AH770="")),COUNTA($AH$1:AH770))),Sectors,0)),"")</f>
        <v>Demand</v>
      </c>
      <c r="E770" s="10"/>
      <c r="F770" s="207"/>
      <c r="G770" s="207"/>
      <c r="H770" s="207"/>
      <c r="I770" s="207"/>
      <c r="J770" s="207"/>
      <c r="K770" s="207"/>
      <c r="L770" s="207"/>
      <c r="M770" s="207"/>
      <c r="N770" s="207"/>
      <c r="O770" s="207"/>
      <c r="P770" s="207"/>
      <c r="Q770" s="207"/>
      <c r="R770" s="207"/>
      <c r="S770" s="207"/>
      <c r="T770" s="207"/>
      <c r="U770" s="207"/>
      <c r="V770" s="207"/>
      <c r="W770" s="207"/>
      <c r="X770" s="207"/>
      <c r="Y770" s="207"/>
      <c r="Z770" s="207"/>
      <c r="AA770" s="207"/>
      <c r="AB770" s="207">
        <v>1</v>
      </c>
      <c r="AC770" s="5"/>
      <c r="AD770" s="63"/>
      <c r="AE770" s="64"/>
      <c r="AF770" s="64"/>
      <c r="AG770" s="212"/>
      <c r="AH770" s="64"/>
      <c r="AI770" s="64"/>
      <c r="AJ770" s="64"/>
      <c r="AK770" s="64"/>
      <c r="AL770" s="64"/>
      <c r="AM770" s="64"/>
      <c r="AN770" s="64"/>
      <c r="AO770" s="64"/>
      <c r="AP770" s="63"/>
      <c r="AQ770" s="64"/>
      <c r="AR770" s="63"/>
      <c r="AS770" s="64"/>
      <c r="AT770" s="63"/>
      <c r="AU770" s="64"/>
      <c r="AV770" s="63"/>
      <c r="AW770" s="64"/>
      <c r="AX770" s="63"/>
      <c r="AY770" s="5"/>
      <c r="AZ770" s="21" t="str">
        <f t="shared" si="492"/>
        <v/>
      </c>
      <c r="BA770" s="264" t="s">
        <v>449</v>
      </c>
      <c r="BB770" s="264"/>
      <c r="BC770" s="264"/>
      <c r="BD770" s="264" t="s">
        <v>466</v>
      </c>
      <c r="BE770" s="216" t="s">
        <v>470</v>
      </c>
      <c r="BF770" s="56"/>
      <c r="BG770" s="56"/>
      <c r="BH770" s="56"/>
      <c r="BI770" s="56"/>
      <c r="BJ770" s="56"/>
      <c r="BK770" s="56"/>
      <c r="BL770" s="56"/>
      <c r="BM770" s="56"/>
      <c r="BN770" s="56"/>
      <c r="BO770" s="56"/>
      <c r="BP770" s="56"/>
      <c r="BQ770" s="5"/>
      <c r="BR770" s="25"/>
      <c r="BS770" s="5"/>
    </row>
    <row r="771" spans="1:71" s="3" customFormat="1" x14ac:dyDescent="0.25">
      <c r="A771" s="5"/>
      <c r="B771" s="3" t="str">
        <f t="array" ref="B771">IFERROR(INDEX(DemandSupply,MATCH(INDEX($AH$1:AH771,SMALL(ROW($AH$1:AH771)+(10000*($AH$1:AH771="")),COUNTA($AH$1:AH771))),Sectors,0)),"")</f>
        <v>Demand</v>
      </c>
      <c r="E771" s="10"/>
      <c r="F771" s="207"/>
      <c r="G771" s="207"/>
      <c r="H771" s="207"/>
      <c r="I771" s="207"/>
      <c r="J771" s="207"/>
      <c r="K771" s="207"/>
      <c r="L771" s="207"/>
      <c r="M771" s="207"/>
      <c r="N771" s="207"/>
      <c r="O771" s="207"/>
      <c r="P771" s="207"/>
      <c r="Q771" s="207"/>
      <c r="R771" s="207"/>
      <c r="S771" s="207"/>
      <c r="T771" s="207"/>
      <c r="U771" s="207"/>
      <c r="V771" s="207"/>
      <c r="W771" s="207"/>
      <c r="X771" s="207"/>
      <c r="Y771" s="207"/>
      <c r="Z771" s="207"/>
      <c r="AA771" s="207"/>
      <c r="AB771" s="207">
        <v>1</v>
      </c>
      <c r="AC771" s="5"/>
      <c r="AD771" s="63"/>
      <c r="AE771" s="64"/>
      <c r="AF771" s="64"/>
      <c r="AG771" s="212"/>
      <c r="AH771" s="64"/>
      <c r="AI771" s="64"/>
      <c r="AJ771" s="64"/>
      <c r="AK771" s="64"/>
      <c r="AL771" s="64"/>
      <c r="AM771" s="64"/>
      <c r="AN771" s="64"/>
      <c r="AO771" s="64"/>
      <c r="AP771" s="63"/>
      <c r="AQ771" s="64"/>
      <c r="AR771" s="63"/>
      <c r="AS771" s="64"/>
      <c r="AT771" s="63"/>
      <c r="AU771" s="64"/>
      <c r="AV771" s="63"/>
      <c r="AW771" s="64"/>
      <c r="AX771" s="63"/>
      <c r="AY771" s="5"/>
      <c r="AZ771" s="21" t="str">
        <f t="shared" si="492"/>
        <v/>
      </c>
      <c r="BA771" s="264" t="s">
        <v>450</v>
      </c>
      <c r="BB771" s="264"/>
      <c r="BC771" s="264"/>
      <c r="BD771" s="264"/>
      <c r="BE771" s="216" t="s">
        <v>470</v>
      </c>
      <c r="BF771" s="55"/>
      <c r="BG771" s="55"/>
      <c r="BH771" s="55"/>
      <c r="BI771" s="55"/>
      <c r="BJ771" s="55"/>
      <c r="BK771" s="55"/>
      <c r="BL771" s="55"/>
      <c r="BM771" s="55"/>
      <c r="BN771" s="55"/>
      <c r="BO771" s="55"/>
      <c r="BP771" s="55"/>
      <c r="BQ771" s="5"/>
      <c r="BR771" s="25"/>
      <c r="BS771" s="5"/>
    </row>
    <row r="772" spans="1:71" s="3" customFormat="1" x14ac:dyDescent="0.25">
      <c r="A772" s="5"/>
      <c r="B772" s="3" t="str">
        <f t="array" ref="B772">IFERROR(INDEX(DemandSupply,MATCH(INDEX($AH$1:AH772,SMALL(ROW($AH$1:AH772)+(10000*($AH$1:AH772="")),COUNTA($AH$1:AH772))),Sectors,0)),"")</f>
        <v>Demand</v>
      </c>
      <c r="E772" s="10"/>
      <c r="F772" s="207"/>
      <c r="G772" s="207"/>
      <c r="H772" s="207"/>
      <c r="I772" s="207"/>
      <c r="J772" s="207"/>
      <c r="K772" s="207"/>
      <c r="L772" s="207"/>
      <c r="M772" s="207"/>
      <c r="N772" s="207"/>
      <c r="O772" s="207"/>
      <c r="P772" s="207"/>
      <c r="Q772" s="207"/>
      <c r="R772" s="207"/>
      <c r="S772" s="207"/>
      <c r="T772" s="207"/>
      <c r="U772" s="207"/>
      <c r="V772" s="207"/>
      <c r="W772" s="207"/>
      <c r="X772" s="207"/>
      <c r="Y772" s="207"/>
      <c r="Z772" s="207"/>
      <c r="AA772" s="207"/>
      <c r="AB772" s="207">
        <v>1</v>
      </c>
      <c r="AC772" s="5"/>
      <c r="AD772" s="63"/>
      <c r="AE772" s="64"/>
      <c r="AF772" s="64"/>
      <c r="AG772" s="212"/>
      <c r="AH772" s="64"/>
      <c r="AI772" s="64"/>
      <c r="AJ772" s="64"/>
      <c r="AK772" s="64"/>
      <c r="AL772" s="64"/>
      <c r="AM772" s="64"/>
      <c r="AN772" s="64"/>
      <c r="AO772" s="64"/>
      <c r="AP772" s="63"/>
      <c r="AQ772" s="64"/>
      <c r="AR772" s="63"/>
      <c r="AS772" s="64"/>
      <c r="AT772" s="63"/>
      <c r="AU772" s="64"/>
      <c r="AV772" s="63"/>
      <c r="AW772" s="64"/>
      <c r="AX772" s="63"/>
      <c r="AY772" s="5"/>
      <c r="AZ772" s="21" t="str">
        <f t="shared" si="492"/>
        <v/>
      </c>
      <c r="BA772" s="264" t="s">
        <v>451</v>
      </c>
      <c r="BB772" s="264"/>
      <c r="BC772" s="264"/>
      <c r="BD772" s="264"/>
      <c r="BE772" s="216" t="s">
        <v>470</v>
      </c>
      <c r="BF772" s="55"/>
      <c r="BG772" s="55"/>
      <c r="BH772" s="55"/>
      <c r="BI772" s="55"/>
      <c r="BJ772" s="55"/>
      <c r="BK772" s="55"/>
      <c r="BL772" s="55"/>
      <c r="BM772" s="55"/>
      <c r="BN772" s="55"/>
      <c r="BO772" s="55"/>
      <c r="BP772" s="55"/>
      <c r="BQ772" s="5"/>
      <c r="BR772" s="25"/>
      <c r="BS772" s="5"/>
    </row>
    <row r="773" spans="1:71" s="3" customFormat="1" x14ac:dyDescent="0.25">
      <c r="A773" s="5"/>
      <c r="B773" s="3" t="str">
        <f t="array" ref="B773">IFERROR(INDEX(DemandSupply,MATCH(INDEX($AH$1:AH773,SMALL(ROW($AH$1:AH773)+(10000*($AH$1:AH773="")),COUNTA($AH$1:AH773))),Sectors,0)),"")</f>
        <v>Demand</v>
      </c>
      <c r="E773" s="10"/>
      <c r="F773" s="207"/>
      <c r="G773" s="207"/>
      <c r="H773" s="207"/>
      <c r="I773" s="207"/>
      <c r="J773" s="207"/>
      <c r="K773" s="207"/>
      <c r="L773" s="207"/>
      <c r="M773" s="207"/>
      <c r="N773" s="207"/>
      <c r="O773" s="207"/>
      <c r="P773" s="207"/>
      <c r="Q773" s="207"/>
      <c r="R773" s="207"/>
      <c r="S773" s="207"/>
      <c r="T773" s="207"/>
      <c r="U773" s="207"/>
      <c r="V773" s="207"/>
      <c r="W773" s="207"/>
      <c r="X773" s="207"/>
      <c r="Y773" s="207"/>
      <c r="Z773" s="207"/>
      <c r="AA773" s="207"/>
      <c r="AB773" s="207">
        <v>1</v>
      </c>
      <c r="AC773" s="5"/>
      <c r="AD773" s="63"/>
      <c r="AE773" s="64"/>
      <c r="AF773" s="64"/>
      <c r="AG773" s="212"/>
      <c r="AH773" s="64"/>
      <c r="AI773" s="64"/>
      <c r="AJ773" s="64"/>
      <c r="AK773" s="64"/>
      <c r="AL773" s="64"/>
      <c r="AM773" s="64"/>
      <c r="AN773" s="64"/>
      <c r="AO773" s="64"/>
      <c r="AP773" s="63"/>
      <c r="AQ773" s="64"/>
      <c r="AR773" s="63"/>
      <c r="AS773" s="64"/>
      <c r="AT773" s="63"/>
      <c r="AU773" s="64"/>
      <c r="AV773" s="63"/>
      <c r="AW773" s="64"/>
      <c r="AX773" s="63"/>
      <c r="AY773" s="5"/>
      <c r="AZ773" s="21" t="str">
        <f t="shared" si="492"/>
        <v/>
      </c>
      <c r="BA773" s="264" t="s">
        <v>342</v>
      </c>
      <c r="BB773" s="264"/>
      <c r="BC773" s="264"/>
      <c r="BD773" s="264" t="s">
        <v>466</v>
      </c>
      <c r="BE773" s="216" t="s">
        <v>470</v>
      </c>
      <c r="BF773" s="56">
        <v>10</v>
      </c>
      <c r="BG773" s="282">
        <f t="shared" ref="BG773" si="545">BF773</f>
        <v>10</v>
      </c>
      <c r="BH773" s="282">
        <f t="shared" ref="BH773" si="546">BG773</f>
        <v>10</v>
      </c>
      <c r="BI773" s="282">
        <f t="shared" ref="BI773" si="547">BH773</f>
        <v>10</v>
      </c>
      <c r="BJ773" s="282">
        <f t="shared" ref="BJ773" si="548">BI773</f>
        <v>10</v>
      </c>
      <c r="BK773" s="282">
        <f t="shared" ref="BK773" si="549">BJ773</f>
        <v>10</v>
      </c>
      <c r="BL773" s="282">
        <f t="shared" ref="BL773" si="550">BK773</f>
        <v>10</v>
      </c>
      <c r="BM773" s="282">
        <f t="shared" ref="BM773" si="551">BL773</f>
        <v>10</v>
      </c>
      <c r="BN773" s="282">
        <f t="shared" ref="BN773" si="552">BM773</f>
        <v>10</v>
      </c>
      <c r="BO773" s="282">
        <f t="shared" ref="BO773" si="553">BN773</f>
        <v>10</v>
      </c>
      <c r="BP773" s="282">
        <f t="shared" ref="BP773" si="554">BO773</f>
        <v>10</v>
      </c>
      <c r="BQ773" s="5"/>
      <c r="BR773" s="25"/>
      <c r="BS773" s="5"/>
    </row>
    <row r="774" spans="1:71" s="3" customFormat="1" x14ac:dyDescent="0.25">
      <c r="A774" s="5"/>
      <c r="B774" s="3" t="str">
        <f t="array" ref="B774">IFERROR(INDEX(DemandSupply,MATCH(INDEX($AH$1:AH774,SMALL(ROW($AH$1:AH774)+(10000*($AH$1:AH774="")),COUNTA($AH$1:AH774))),Sectors,0)),"")</f>
        <v>Demand</v>
      </c>
      <c r="E774" s="10"/>
      <c r="F774" s="207"/>
      <c r="G774" s="207"/>
      <c r="H774" s="207"/>
      <c r="I774" s="207"/>
      <c r="J774" s="207"/>
      <c r="K774" s="207"/>
      <c r="L774" s="207"/>
      <c r="M774" s="207"/>
      <c r="N774" s="207"/>
      <c r="O774" s="207"/>
      <c r="P774" s="207"/>
      <c r="Q774" s="207"/>
      <c r="R774" s="207"/>
      <c r="S774" s="207"/>
      <c r="T774" s="207"/>
      <c r="U774" s="207"/>
      <c r="V774" s="207"/>
      <c r="W774" s="207"/>
      <c r="X774" s="207"/>
      <c r="Y774" s="207"/>
      <c r="Z774" s="207"/>
      <c r="AA774" s="207"/>
      <c r="AB774" s="207">
        <v>1</v>
      </c>
      <c r="AC774" s="5"/>
      <c r="AD774" s="63"/>
      <c r="AE774" s="64"/>
      <c r="AF774" s="64"/>
      <c r="AG774" s="212"/>
      <c r="AH774" s="64"/>
      <c r="AI774" s="64"/>
      <c r="AJ774" s="64"/>
      <c r="AK774" s="64"/>
      <c r="AL774" s="64"/>
      <c r="AM774" s="64"/>
      <c r="AN774" s="64"/>
      <c r="AO774" s="64"/>
      <c r="AP774" s="63"/>
      <c r="AQ774" s="64"/>
      <c r="AR774" s="63"/>
      <c r="AS774" s="64"/>
      <c r="AT774" s="63"/>
      <c r="AU774" s="64"/>
      <c r="AV774" s="63"/>
      <c r="AW774" s="64"/>
      <c r="AX774" s="63"/>
      <c r="AY774" s="5"/>
      <c r="AZ774" s="21" t="str">
        <f t="shared" si="492"/>
        <v/>
      </c>
      <c r="BA774" s="264" t="s">
        <v>394</v>
      </c>
      <c r="BB774" s="264"/>
      <c r="BC774" s="264"/>
      <c r="BD774" s="264" t="s">
        <v>354</v>
      </c>
      <c r="BE774" s="216" t="s">
        <v>470</v>
      </c>
      <c r="BF774" s="56"/>
      <c r="BG774" s="56"/>
      <c r="BH774" s="56"/>
      <c r="BI774" s="56"/>
      <c r="BJ774" s="56"/>
      <c r="BK774" s="56"/>
      <c r="BL774" s="56"/>
      <c r="BM774" s="56"/>
      <c r="BN774" s="56"/>
      <c r="BO774" s="56"/>
      <c r="BP774" s="56"/>
      <c r="BQ774" s="5"/>
      <c r="BR774" s="25"/>
      <c r="BS774" s="5"/>
    </row>
    <row r="775" spans="1:71" s="3" customFormat="1" x14ac:dyDescent="0.25">
      <c r="A775" s="5"/>
      <c r="B775" s="3" t="str">
        <f t="array" ref="B775">IFERROR(INDEX(DemandSupply,MATCH(INDEX($AH$1:AH775,SMALL(ROW($AH$1:AH775)+(10000*($AH$1:AH775="")),COUNTA($AH$1:AH775))),Sectors,0)),"")</f>
        <v>Demand</v>
      </c>
      <c r="E775" s="10">
        <f t="shared" ref="E775:E777" si="555">IF(COUNTA(BA775)=1,0,MIN(F775:AA775))</f>
        <v>0</v>
      </c>
      <c r="F775" s="207">
        <v>1</v>
      </c>
      <c r="G775" s="207">
        <v>1</v>
      </c>
      <c r="H775" s="207">
        <v>1</v>
      </c>
      <c r="I775" s="207">
        <v>1</v>
      </c>
      <c r="J775" s="207">
        <v>1</v>
      </c>
      <c r="K775" s="207">
        <v>1</v>
      </c>
      <c r="L775" s="207">
        <v>1</v>
      </c>
      <c r="M775" s="207">
        <v>1</v>
      </c>
      <c r="N775" s="207">
        <v>1</v>
      </c>
      <c r="O775" s="207">
        <v>1</v>
      </c>
      <c r="P775" s="207">
        <v>1</v>
      </c>
      <c r="Q775" s="207">
        <v>1</v>
      </c>
      <c r="R775" s="207">
        <v>1</v>
      </c>
      <c r="S775" s="207">
        <v>1</v>
      </c>
      <c r="T775" s="207">
        <v>1</v>
      </c>
      <c r="U775" s="207">
        <v>1</v>
      </c>
      <c r="V775" s="207">
        <v>1</v>
      </c>
      <c r="W775" s="207">
        <v>1</v>
      </c>
      <c r="X775" s="207">
        <v>1</v>
      </c>
      <c r="Y775" s="207">
        <v>1</v>
      </c>
      <c r="Z775" s="207">
        <v>1</v>
      </c>
      <c r="AA775" s="207">
        <v>1</v>
      </c>
      <c r="AB775" s="207">
        <v>1</v>
      </c>
      <c r="AC775" s="5"/>
      <c r="AD775" s="63"/>
      <c r="AE775" s="64"/>
      <c r="AF775" s="64"/>
      <c r="AG775" s="212"/>
      <c r="AH775" s="64"/>
      <c r="AI775" s="64"/>
      <c r="AJ775" s="64"/>
      <c r="AK775" s="64"/>
      <c r="AL775" s="80"/>
      <c r="AM775" s="64"/>
      <c r="AN775" s="64"/>
      <c r="AO775" s="64"/>
      <c r="AP775" s="63"/>
      <c r="AQ775" s="64"/>
      <c r="AR775" s="63"/>
      <c r="AS775" s="64"/>
      <c r="AT775" s="63"/>
      <c r="AU775" s="64"/>
      <c r="AV775" s="63"/>
      <c r="AW775" s="64"/>
      <c r="AX775" s="63"/>
      <c r="AY775" s="5"/>
      <c r="AZ775" s="21" t="str">
        <f t="shared" si="492"/>
        <v/>
      </c>
      <c r="BA775" s="74" t="s">
        <v>338</v>
      </c>
      <c r="BB775" s="13"/>
      <c r="BC775" s="74" t="s">
        <v>123</v>
      </c>
      <c r="BD775" s="74" t="s">
        <v>467</v>
      </c>
      <c r="BE775" s="216" t="s">
        <v>470</v>
      </c>
      <c r="BF775" s="55">
        <v>0.317</v>
      </c>
      <c r="BG775" s="55">
        <v>0.317</v>
      </c>
      <c r="BH775" s="55">
        <v>0.317</v>
      </c>
      <c r="BI775" s="55">
        <v>0.317</v>
      </c>
      <c r="BJ775" s="55">
        <v>0.317</v>
      </c>
      <c r="BK775" s="55">
        <v>0.317</v>
      </c>
      <c r="BL775" s="55">
        <v>0.317</v>
      </c>
      <c r="BM775" s="55">
        <v>0.317</v>
      </c>
      <c r="BN775" s="55">
        <v>0.317</v>
      </c>
      <c r="BO775" s="55">
        <v>0.317</v>
      </c>
      <c r="BP775" s="55">
        <v>0.317</v>
      </c>
      <c r="BQ775" s="5"/>
      <c r="BR775" s="13"/>
      <c r="BS775" s="5"/>
    </row>
    <row r="776" spans="1:71" s="3" customFormat="1" x14ac:dyDescent="0.25">
      <c r="A776" s="5"/>
      <c r="B776" s="3" t="str">
        <f t="array" ref="B776">IFERROR(INDEX(DemandSupply,MATCH(INDEX($AH$1:AH776,SMALL(ROW($AH$1:AH776)+(10000*($AH$1:AH776="")),COUNTA($AH$1:AH776))),Sectors,0)),"")</f>
        <v>Demand</v>
      </c>
      <c r="E776" s="10">
        <f t="shared" si="555"/>
        <v>0</v>
      </c>
      <c r="F776" s="207">
        <v>1</v>
      </c>
      <c r="G776" s="207">
        <v>1</v>
      </c>
      <c r="H776" s="207">
        <v>1</v>
      </c>
      <c r="I776" s="207">
        <v>1</v>
      </c>
      <c r="J776" s="207">
        <v>1</v>
      </c>
      <c r="K776" s="207">
        <v>1</v>
      </c>
      <c r="L776" s="207">
        <v>1</v>
      </c>
      <c r="M776" s="207">
        <v>1</v>
      </c>
      <c r="N776" s="207">
        <v>1</v>
      </c>
      <c r="O776" s="207">
        <v>1</v>
      </c>
      <c r="P776" s="207">
        <v>1</v>
      </c>
      <c r="Q776" s="207">
        <v>1</v>
      </c>
      <c r="R776" s="207">
        <v>1</v>
      </c>
      <c r="S776" s="207">
        <v>1</v>
      </c>
      <c r="T776" s="207">
        <v>1</v>
      </c>
      <c r="U776" s="207">
        <v>1</v>
      </c>
      <c r="V776" s="207">
        <v>1</v>
      </c>
      <c r="W776" s="207">
        <v>1</v>
      </c>
      <c r="X776" s="207">
        <v>1</v>
      </c>
      <c r="Y776" s="207">
        <v>1</v>
      </c>
      <c r="Z776" s="207">
        <v>1</v>
      </c>
      <c r="AA776" s="207">
        <v>1</v>
      </c>
      <c r="AB776" s="207">
        <v>1</v>
      </c>
      <c r="AC776" s="5"/>
      <c r="AD776" s="63"/>
      <c r="AE776" s="64"/>
      <c r="AF776" s="64"/>
      <c r="AG776" s="212"/>
      <c r="AH776" s="64"/>
      <c r="AI776" s="64"/>
      <c r="AJ776" s="64"/>
      <c r="AK776" s="64"/>
      <c r="AL776" s="80"/>
      <c r="AM776" s="64"/>
      <c r="AN776" s="64"/>
      <c r="AO776" s="64"/>
      <c r="AP776" s="63"/>
      <c r="AQ776" s="64"/>
      <c r="AR776" s="63"/>
      <c r="AS776" s="64"/>
      <c r="AT776" s="63"/>
      <c r="AU776" s="64"/>
      <c r="AV776" s="63"/>
      <c r="AW776" s="64"/>
      <c r="AX776" s="63"/>
      <c r="AY776" s="5"/>
      <c r="AZ776" s="21" t="str">
        <f t="shared" si="492"/>
        <v/>
      </c>
      <c r="BA776" s="74" t="s">
        <v>338</v>
      </c>
      <c r="BB776" s="13"/>
      <c r="BC776" s="74" t="s">
        <v>468</v>
      </c>
      <c r="BD776" s="74" t="s">
        <v>467</v>
      </c>
      <c r="BE776" s="216" t="s">
        <v>470</v>
      </c>
      <c r="BF776" s="55">
        <v>19.856999999999999</v>
      </c>
      <c r="BG776" s="55">
        <v>19.856999999999999</v>
      </c>
      <c r="BH776" s="55">
        <v>19.856999999999999</v>
      </c>
      <c r="BI776" s="55">
        <v>19.856999999999999</v>
      </c>
      <c r="BJ776" s="55">
        <v>19.856999999999999</v>
      </c>
      <c r="BK776" s="55">
        <v>19.856999999999999</v>
      </c>
      <c r="BL776" s="55">
        <v>19.856999999999999</v>
      </c>
      <c r="BM776" s="55">
        <v>19.856999999999999</v>
      </c>
      <c r="BN776" s="55">
        <v>19.856999999999999</v>
      </c>
      <c r="BO776" s="55">
        <v>19.856999999999999</v>
      </c>
      <c r="BP776" s="55">
        <v>19.856999999999999</v>
      </c>
      <c r="BQ776" s="5"/>
      <c r="BR776" s="13"/>
      <c r="BS776" s="5"/>
    </row>
    <row r="777" spans="1:71" s="3" customFormat="1" x14ac:dyDescent="0.25">
      <c r="A777" s="5"/>
      <c r="B777" s="3" t="str">
        <f t="array" ref="B777">IFERROR(INDEX(DemandSupply,MATCH(INDEX($AH$1:AH777,SMALL(ROW($AH$1:AH777)+(10000*($AH$1:AH777="")),COUNTA($AH$1:AH777))),Sectors,0)),"")</f>
        <v>Demand</v>
      </c>
      <c r="E777" s="10">
        <f t="shared" si="555"/>
        <v>0</v>
      </c>
      <c r="F777" s="207">
        <v>1</v>
      </c>
      <c r="G777" s="207">
        <v>1</v>
      </c>
      <c r="H777" s="207">
        <v>1</v>
      </c>
      <c r="I777" s="207">
        <v>1</v>
      </c>
      <c r="J777" s="207">
        <v>1</v>
      </c>
      <c r="K777" s="207">
        <v>1</v>
      </c>
      <c r="L777" s="207">
        <v>1</v>
      </c>
      <c r="M777" s="207">
        <v>1</v>
      </c>
      <c r="N777" s="207">
        <v>1</v>
      </c>
      <c r="O777" s="207">
        <v>1</v>
      </c>
      <c r="P777" s="207">
        <v>1</v>
      </c>
      <c r="Q777" s="207">
        <v>1</v>
      </c>
      <c r="R777" s="207">
        <v>1</v>
      </c>
      <c r="S777" s="207">
        <v>1</v>
      </c>
      <c r="T777" s="207">
        <v>1</v>
      </c>
      <c r="U777" s="207">
        <v>1</v>
      </c>
      <c r="V777" s="207">
        <v>1</v>
      </c>
      <c r="W777" s="207">
        <v>1</v>
      </c>
      <c r="X777" s="207">
        <v>1</v>
      </c>
      <c r="Y777" s="207">
        <v>1</v>
      </c>
      <c r="Z777" s="207">
        <v>1</v>
      </c>
      <c r="AA777" s="207">
        <v>1</v>
      </c>
      <c r="AB777" s="207">
        <v>1</v>
      </c>
      <c r="AC777" s="5"/>
      <c r="AD777" s="63"/>
      <c r="AE777" s="64"/>
      <c r="AF777" s="64"/>
      <c r="AG777" s="212"/>
      <c r="AH777" s="64"/>
      <c r="AI777" s="64"/>
      <c r="AJ777" s="64"/>
      <c r="AK777" s="64"/>
      <c r="AL777" s="80"/>
      <c r="AM777" s="64"/>
      <c r="AN777" s="64"/>
      <c r="AO777" s="64"/>
      <c r="AP777" s="63"/>
      <c r="AQ777" s="64"/>
      <c r="AR777" s="63"/>
      <c r="AS777" s="64"/>
      <c r="AT777" s="63"/>
      <c r="AU777" s="64"/>
      <c r="AV777" s="63"/>
      <c r="AW777" s="64"/>
      <c r="AX777" s="63"/>
      <c r="AY777" s="5"/>
      <c r="AZ777" s="21" t="str">
        <f t="shared" si="492"/>
        <v/>
      </c>
      <c r="BA777" s="291" t="s">
        <v>51</v>
      </c>
      <c r="BB777" s="13"/>
      <c r="BC777" s="2"/>
      <c r="BD777" s="2"/>
      <c r="BE777" s="216" t="s">
        <v>471</v>
      </c>
      <c r="BF777" s="4"/>
      <c r="BG777" s="4"/>
      <c r="BH777" s="4"/>
      <c r="BI777" s="4"/>
      <c r="BJ777" s="4"/>
      <c r="BK777" s="4"/>
      <c r="BL777" s="4"/>
      <c r="BM777" s="4"/>
      <c r="BN777" s="4"/>
      <c r="BO777" s="4"/>
      <c r="BP777" s="4"/>
      <c r="BQ777" s="5"/>
      <c r="BR777" s="13"/>
      <c r="BS777" s="5"/>
    </row>
    <row r="778" spans="1:71" s="3" customFormat="1" x14ac:dyDescent="0.25">
      <c r="A778" s="5"/>
      <c r="B778" s="3" t="str">
        <f t="array" ref="B778">IFERROR(INDEX(DemandSupply,MATCH(INDEX($AH$1:AH778,SMALL(ROW($AH$1:AH778)+(10000*($AH$1:AH778="")),COUNTA($AH$1:AH778))),Sectors,0)),"")</f>
        <v>Demand</v>
      </c>
      <c r="E778" s="10"/>
      <c r="F778" s="207"/>
      <c r="G778" s="207"/>
      <c r="H778" s="207"/>
      <c r="I778" s="207"/>
      <c r="J778" s="207"/>
      <c r="K778" s="207"/>
      <c r="L778" s="207"/>
      <c r="M778" s="207"/>
      <c r="N778" s="207"/>
      <c r="O778" s="207"/>
      <c r="P778" s="207"/>
      <c r="Q778" s="207"/>
      <c r="R778" s="207"/>
      <c r="S778" s="207"/>
      <c r="T778" s="207"/>
      <c r="U778" s="207"/>
      <c r="V778" s="207"/>
      <c r="W778" s="207"/>
      <c r="X778" s="207"/>
      <c r="Y778" s="207"/>
      <c r="Z778" s="207"/>
      <c r="AA778" s="207"/>
      <c r="AB778" s="207"/>
      <c r="AC778" s="5"/>
      <c r="AD778" s="63"/>
      <c r="AE778" s="64"/>
      <c r="AF778" s="64"/>
      <c r="AG778" s="212"/>
      <c r="AH778" s="64"/>
      <c r="AI778" s="64"/>
      <c r="AJ778" s="64"/>
      <c r="AK778" s="64"/>
      <c r="AL778" s="64"/>
      <c r="AM778" s="64"/>
      <c r="AN778" s="64"/>
      <c r="AO778" s="64"/>
      <c r="AP778" s="63"/>
      <c r="AQ778" s="64"/>
      <c r="AR778" s="63"/>
      <c r="AS778" s="64"/>
      <c r="AT778" s="63"/>
      <c r="AU778" s="64"/>
      <c r="AV778" s="63"/>
      <c r="AW778" s="64"/>
      <c r="AX778" s="63"/>
      <c r="AY778" s="5"/>
      <c r="AZ778" s="21" t="str">
        <f t="shared" si="492"/>
        <v/>
      </c>
      <c r="BA778" s="264" t="s">
        <v>38</v>
      </c>
      <c r="BB778" s="264"/>
      <c r="BC778" s="264"/>
      <c r="BD778" s="264" t="s">
        <v>40</v>
      </c>
      <c r="BE778" s="216" t="s">
        <v>471</v>
      </c>
      <c r="BF778" s="309">
        <v>2000</v>
      </c>
      <c r="BG778" s="310">
        <f t="shared" ref="BG778:BG780" si="556">BF778</f>
        <v>2000</v>
      </c>
      <c r="BH778" s="310">
        <f t="shared" ref="BH778:BH780" si="557">BG778</f>
        <v>2000</v>
      </c>
      <c r="BI778" s="310">
        <f t="shared" ref="BI778:BI780" si="558">BH778</f>
        <v>2000</v>
      </c>
      <c r="BJ778" s="310">
        <f t="shared" ref="BJ778:BJ780" si="559">BI778</f>
        <v>2000</v>
      </c>
      <c r="BK778" s="310">
        <f t="shared" ref="BK778:BK780" si="560">BJ778</f>
        <v>2000</v>
      </c>
      <c r="BL778" s="310">
        <f t="shared" ref="BL778:BL780" si="561">BK778</f>
        <v>2000</v>
      </c>
      <c r="BM778" s="310">
        <f t="shared" ref="BM778:BM780" si="562">BL778</f>
        <v>2000</v>
      </c>
      <c r="BN778" s="310">
        <f t="shared" ref="BN778:BN780" si="563">BM778</f>
        <v>2000</v>
      </c>
      <c r="BO778" s="310">
        <f t="shared" ref="BO778:BO780" si="564">BN778</f>
        <v>2000</v>
      </c>
      <c r="BP778" s="310">
        <f t="shared" ref="BP778:BP780" si="565">BO778</f>
        <v>2000</v>
      </c>
      <c r="BQ778" s="5"/>
      <c r="BR778" s="25"/>
      <c r="BS778" s="5"/>
    </row>
    <row r="779" spans="1:71" s="3" customFormat="1" x14ac:dyDescent="0.25">
      <c r="A779" s="5"/>
      <c r="B779" s="3" t="str">
        <f t="array" ref="B779">IFERROR(INDEX(DemandSupply,MATCH(INDEX($AH$1:AH779,SMALL(ROW($AH$1:AH779)+(10000*($AH$1:AH779="")),COUNTA($AH$1:AH779))),Sectors,0)),"")</f>
        <v>Demand</v>
      </c>
      <c r="E779" s="10"/>
      <c r="F779" s="207"/>
      <c r="G779" s="207"/>
      <c r="H779" s="207"/>
      <c r="I779" s="207"/>
      <c r="J779" s="207"/>
      <c r="K779" s="207"/>
      <c r="L779" s="207"/>
      <c r="M779" s="207"/>
      <c r="N779" s="207"/>
      <c r="O779" s="207"/>
      <c r="P779" s="207"/>
      <c r="Q779" s="207"/>
      <c r="R779" s="207"/>
      <c r="S779" s="207"/>
      <c r="T779" s="207"/>
      <c r="U779" s="207"/>
      <c r="V779" s="207"/>
      <c r="W779" s="207"/>
      <c r="X779" s="207"/>
      <c r="Y779" s="207"/>
      <c r="Z779" s="207"/>
      <c r="AA779" s="207"/>
      <c r="AB779" s="207"/>
      <c r="AC779" s="5"/>
      <c r="AD779" s="63"/>
      <c r="AE779" s="64"/>
      <c r="AF779" s="64"/>
      <c r="AG779" s="212"/>
      <c r="AH779" s="64"/>
      <c r="AI779" s="64"/>
      <c r="AJ779" s="64"/>
      <c r="AK779" s="64"/>
      <c r="AL779" s="64"/>
      <c r="AM779" s="64"/>
      <c r="AN779" s="64"/>
      <c r="AO779" s="64"/>
      <c r="AP779" s="63"/>
      <c r="AQ779" s="64"/>
      <c r="AR779" s="63"/>
      <c r="AS779" s="64"/>
      <c r="AT779" s="63"/>
      <c r="AU779" s="64"/>
      <c r="AV779" s="63"/>
      <c r="AW779" s="64"/>
      <c r="AX779" s="63"/>
      <c r="AY779" s="5"/>
      <c r="AZ779" s="21" t="str">
        <f t="shared" si="492"/>
        <v/>
      </c>
      <c r="BA779" s="264" t="s">
        <v>37</v>
      </c>
      <c r="BB779" s="264"/>
      <c r="BC779" s="264"/>
      <c r="BD779" s="264" t="s">
        <v>40</v>
      </c>
      <c r="BE779" s="216" t="s">
        <v>471</v>
      </c>
      <c r="BF779" s="309">
        <v>2010</v>
      </c>
      <c r="BG779" s="310">
        <f t="shared" si="556"/>
        <v>2010</v>
      </c>
      <c r="BH779" s="310">
        <f t="shared" si="557"/>
        <v>2010</v>
      </c>
      <c r="BI779" s="310">
        <f t="shared" si="558"/>
        <v>2010</v>
      </c>
      <c r="BJ779" s="310">
        <f t="shared" si="559"/>
        <v>2010</v>
      </c>
      <c r="BK779" s="310">
        <f t="shared" si="560"/>
        <v>2010</v>
      </c>
      <c r="BL779" s="310">
        <f t="shared" si="561"/>
        <v>2010</v>
      </c>
      <c r="BM779" s="310">
        <f t="shared" si="562"/>
        <v>2010</v>
      </c>
      <c r="BN779" s="310">
        <f t="shared" si="563"/>
        <v>2010</v>
      </c>
      <c r="BO779" s="310">
        <f t="shared" si="564"/>
        <v>2010</v>
      </c>
      <c r="BP779" s="310">
        <f t="shared" si="565"/>
        <v>2010</v>
      </c>
      <c r="BQ779" s="5"/>
      <c r="BR779" s="25"/>
      <c r="BS779" s="5"/>
    </row>
    <row r="780" spans="1:71" s="3" customFormat="1" x14ac:dyDescent="0.25">
      <c r="A780" s="5"/>
      <c r="B780" s="3" t="str">
        <f t="array" ref="B780">IFERROR(INDEX(DemandSupply,MATCH(INDEX($AH$1:AH780,SMALL(ROW($AH$1:AH780)+(10000*($AH$1:AH780="")),COUNTA($AH$1:AH780))),Sectors,0)),"")</f>
        <v>Demand</v>
      </c>
      <c r="E780" s="10"/>
      <c r="F780" s="207"/>
      <c r="G780" s="207"/>
      <c r="H780" s="207"/>
      <c r="I780" s="207"/>
      <c r="J780" s="207"/>
      <c r="K780" s="207"/>
      <c r="L780" s="207"/>
      <c r="M780" s="207"/>
      <c r="N780" s="207"/>
      <c r="O780" s="207"/>
      <c r="P780" s="207"/>
      <c r="Q780" s="207"/>
      <c r="R780" s="207"/>
      <c r="S780" s="207"/>
      <c r="T780" s="207"/>
      <c r="U780" s="207"/>
      <c r="V780" s="207"/>
      <c r="W780" s="207"/>
      <c r="X780" s="207"/>
      <c r="Y780" s="207"/>
      <c r="Z780" s="207"/>
      <c r="AA780" s="207"/>
      <c r="AB780" s="207"/>
      <c r="AC780" s="5"/>
      <c r="AD780" s="63"/>
      <c r="AE780" s="64"/>
      <c r="AF780" s="64"/>
      <c r="AG780" s="212"/>
      <c r="AH780" s="64"/>
      <c r="AI780" s="64"/>
      <c r="AJ780" s="64"/>
      <c r="AK780" s="64"/>
      <c r="AL780" s="64"/>
      <c r="AM780" s="64"/>
      <c r="AN780" s="64"/>
      <c r="AO780" s="64"/>
      <c r="AP780" s="63"/>
      <c r="AQ780" s="64"/>
      <c r="AR780" s="63"/>
      <c r="AS780" s="64"/>
      <c r="AT780" s="63"/>
      <c r="AU780" s="64"/>
      <c r="AV780" s="63"/>
      <c r="AW780" s="64"/>
      <c r="AX780" s="63"/>
      <c r="AY780" s="5"/>
      <c r="AZ780" s="21" t="str">
        <f t="shared" si="492"/>
        <v/>
      </c>
      <c r="BA780" s="264" t="s">
        <v>39</v>
      </c>
      <c r="BB780" s="264"/>
      <c r="BC780" s="264"/>
      <c r="BD780" s="264" t="s">
        <v>10</v>
      </c>
      <c r="BE780" s="216" t="s">
        <v>471</v>
      </c>
      <c r="BF780" s="56">
        <v>14</v>
      </c>
      <c r="BG780" s="282">
        <f t="shared" si="556"/>
        <v>14</v>
      </c>
      <c r="BH780" s="282">
        <f t="shared" si="557"/>
        <v>14</v>
      </c>
      <c r="BI780" s="282">
        <f t="shared" si="558"/>
        <v>14</v>
      </c>
      <c r="BJ780" s="282">
        <f t="shared" si="559"/>
        <v>14</v>
      </c>
      <c r="BK780" s="282">
        <f t="shared" si="560"/>
        <v>14</v>
      </c>
      <c r="BL780" s="282">
        <f t="shared" si="561"/>
        <v>14</v>
      </c>
      <c r="BM780" s="282">
        <f t="shared" si="562"/>
        <v>14</v>
      </c>
      <c r="BN780" s="282">
        <f t="shared" si="563"/>
        <v>14</v>
      </c>
      <c r="BO780" s="282">
        <f t="shared" si="564"/>
        <v>14</v>
      </c>
      <c r="BP780" s="282">
        <f t="shared" si="565"/>
        <v>14</v>
      </c>
      <c r="BQ780" s="5"/>
      <c r="BR780" s="25"/>
      <c r="BS780" s="5"/>
    </row>
    <row r="781" spans="1:71" s="3" customFormat="1" x14ac:dyDescent="0.25">
      <c r="A781" s="5"/>
      <c r="B781" s="3" t="str">
        <f t="array" ref="B781">IFERROR(INDEX(DemandSupply,MATCH(INDEX($AH$1:AH781,SMALL(ROW($AH$1:AH781)+(10000*($AH$1:AH781="")),COUNTA($AH$1:AH781))),Sectors,0)),"")</f>
        <v>Demand</v>
      </c>
      <c r="E781" s="10"/>
      <c r="F781" s="207"/>
      <c r="G781" s="207"/>
      <c r="H781" s="207"/>
      <c r="I781" s="207"/>
      <c r="J781" s="207"/>
      <c r="K781" s="207"/>
      <c r="L781" s="207"/>
      <c r="M781" s="207"/>
      <c r="N781" s="207"/>
      <c r="O781" s="207"/>
      <c r="P781" s="207"/>
      <c r="Q781" s="207"/>
      <c r="R781" s="207"/>
      <c r="S781" s="207"/>
      <c r="T781" s="207"/>
      <c r="U781" s="207"/>
      <c r="V781" s="207"/>
      <c r="W781" s="207"/>
      <c r="X781" s="207"/>
      <c r="Y781" s="207"/>
      <c r="Z781" s="207"/>
      <c r="AA781" s="207"/>
      <c r="AB781" s="207"/>
      <c r="AC781" s="5"/>
      <c r="AD781" s="63"/>
      <c r="AE781" s="64"/>
      <c r="AF781" s="64"/>
      <c r="AG781" s="212"/>
      <c r="AH781" s="64"/>
      <c r="AI781" s="64"/>
      <c r="AJ781" s="64"/>
      <c r="AK781" s="64"/>
      <c r="AL781" s="64"/>
      <c r="AM781" s="64"/>
      <c r="AN781" s="64"/>
      <c r="AO781" s="64"/>
      <c r="AP781" s="63"/>
      <c r="AQ781" s="64"/>
      <c r="AR781" s="63"/>
      <c r="AS781" s="64"/>
      <c r="AT781" s="63"/>
      <c r="AU781" s="64"/>
      <c r="AV781" s="63"/>
      <c r="AW781" s="64"/>
      <c r="AX781" s="63"/>
      <c r="AY781" s="5"/>
      <c r="AZ781" s="21" t="str">
        <f t="shared" si="492"/>
        <v/>
      </c>
      <c r="BA781" s="264" t="s">
        <v>395</v>
      </c>
      <c r="BB781" s="264"/>
      <c r="BC781" s="264"/>
      <c r="BD781" s="264" t="s">
        <v>10</v>
      </c>
      <c r="BE781" s="216" t="s">
        <v>471</v>
      </c>
      <c r="BF781" s="56"/>
      <c r="BG781" s="56"/>
      <c r="BH781" s="56"/>
      <c r="BI781" s="56"/>
      <c r="BJ781" s="56"/>
      <c r="BK781" s="56"/>
      <c r="BL781" s="56"/>
      <c r="BM781" s="56"/>
      <c r="BN781" s="56"/>
      <c r="BO781" s="56"/>
      <c r="BP781" s="56"/>
      <c r="BQ781" s="5"/>
      <c r="BR781" s="25"/>
      <c r="BS781" s="5"/>
    </row>
    <row r="782" spans="1:71" s="3" customFormat="1" x14ac:dyDescent="0.25">
      <c r="A782" s="5"/>
      <c r="B782" s="3" t="str">
        <f t="array" ref="B782">IFERROR(INDEX(DemandSupply,MATCH(INDEX($AH$1:AH782,SMALL(ROW($AH$1:AH782)+(10000*($AH$1:AH782="")),COUNTA($AH$1:AH782))),Sectors,0)),"")</f>
        <v>Demand</v>
      </c>
      <c r="E782" s="10"/>
      <c r="F782" s="207"/>
      <c r="G782" s="207"/>
      <c r="H782" s="207"/>
      <c r="I782" s="207"/>
      <c r="J782" s="207"/>
      <c r="K782" s="207"/>
      <c r="L782" s="207"/>
      <c r="M782" s="207"/>
      <c r="N782" s="207"/>
      <c r="O782" s="207"/>
      <c r="P782" s="207"/>
      <c r="Q782" s="207"/>
      <c r="R782" s="207"/>
      <c r="S782" s="207"/>
      <c r="T782" s="207"/>
      <c r="U782" s="207"/>
      <c r="V782" s="207"/>
      <c r="W782" s="207"/>
      <c r="X782" s="207"/>
      <c r="Y782" s="207"/>
      <c r="Z782" s="207"/>
      <c r="AA782" s="207"/>
      <c r="AB782" s="207"/>
      <c r="AC782" s="5"/>
      <c r="AD782" s="63"/>
      <c r="AE782" s="64"/>
      <c r="AF782" s="64"/>
      <c r="AG782" s="212"/>
      <c r="AH782" s="64"/>
      <c r="AI782" s="64"/>
      <c r="AJ782" s="64"/>
      <c r="AK782" s="64"/>
      <c r="AL782" s="64"/>
      <c r="AM782" s="64"/>
      <c r="AN782" s="64"/>
      <c r="AO782" s="64"/>
      <c r="AP782" s="63"/>
      <c r="AQ782" s="64"/>
      <c r="AR782" s="63"/>
      <c r="AS782" s="64"/>
      <c r="AT782" s="63"/>
      <c r="AU782" s="64"/>
      <c r="AV782" s="63"/>
      <c r="AW782" s="64"/>
      <c r="AX782" s="63"/>
      <c r="AY782" s="5"/>
      <c r="AZ782" s="21" t="str">
        <f t="shared" si="492"/>
        <v/>
      </c>
      <c r="BA782" s="264" t="s">
        <v>341</v>
      </c>
      <c r="BB782" s="264"/>
      <c r="BC782" s="264"/>
      <c r="BD782" s="264" t="s">
        <v>99</v>
      </c>
      <c r="BE782" s="216" t="s">
        <v>471</v>
      </c>
      <c r="BF782" s="303">
        <v>0.3</v>
      </c>
      <c r="BG782" s="306">
        <f t="shared" ref="BG782" si="566">BF782</f>
        <v>0.3</v>
      </c>
      <c r="BH782" s="306">
        <f t="shared" ref="BH782" si="567">BG782</f>
        <v>0.3</v>
      </c>
      <c r="BI782" s="306">
        <f t="shared" ref="BI782" si="568">BH782</f>
        <v>0.3</v>
      </c>
      <c r="BJ782" s="306">
        <f t="shared" ref="BJ782" si="569">BI782</f>
        <v>0.3</v>
      </c>
      <c r="BK782" s="306">
        <f t="shared" ref="BK782" si="570">BJ782</f>
        <v>0.3</v>
      </c>
      <c r="BL782" s="306">
        <f t="shared" ref="BL782" si="571">BK782</f>
        <v>0.3</v>
      </c>
      <c r="BM782" s="306">
        <f t="shared" ref="BM782" si="572">BL782</f>
        <v>0.3</v>
      </c>
      <c r="BN782" s="306">
        <f t="shared" ref="BN782" si="573">BM782</f>
        <v>0.3</v>
      </c>
      <c r="BO782" s="306">
        <f t="shared" ref="BO782" si="574">BN782</f>
        <v>0.3</v>
      </c>
      <c r="BP782" s="306">
        <f t="shared" ref="BP782" si="575">BO782</f>
        <v>0.3</v>
      </c>
      <c r="BQ782" s="5"/>
      <c r="BR782" s="25"/>
      <c r="BS782" s="5"/>
    </row>
    <row r="783" spans="1:71" s="3" customFormat="1" x14ac:dyDescent="0.25">
      <c r="A783" s="5"/>
      <c r="B783" s="3" t="str">
        <f t="array" ref="B783">IFERROR(INDEX(DemandSupply,MATCH(INDEX($AH$1:AH783,SMALL(ROW($AH$1:AH783)+(10000*($AH$1:AH783="")),COUNTA($AH$1:AH783))),Sectors,0)),"")</f>
        <v>Demand</v>
      </c>
      <c r="E783" s="10"/>
      <c r="F783" s="207"/>
      <c r="G783" s="207"/>
      <c r="H783" s="207"/>
      <c r="I783" s="207"/>
      <c r="J783" s="207"/>
      <c r="K783" s="207"/>
      <c r="L783" s="207"/>
      <c r="M783" s="207"/>
      <c r="N783" s="207"/>
      <c r="O783" s="207"/>
      <c r="P783" s="207"/>
      <c r="Q783" s="207"/>
      <c r="R783" s="207"/>
      <c r="S783" s="207"/>
      <c r="T783" s="207"/>
      <c r="U783" s="207"/>
      <c r="V783" s="207"/>
      <c r="W783" s="207"/>
      <c r="X783" s="207"/>
      <c r="Y783" s="207"/>
      <c r="Z783" s="207"/>
      <c r="AA783" s="207"/>
      <c r="AB783" s="207"/>
      <c r="AC783" s="5"/>
      <c r="AD783" s="63"/>
      <c r="AE783" s="64"/>
      <c r="AF783" s="64"/>
      <c r="AG783" s="212"/>
      <c r="AH783" s="64"/>
      <c r="AI783" s="64"/>
      <c r="AJ783" s="64"/>
      <c r="AK783" s="64"/>
      <c r="AL783" s="64"/>
      <c r="AM783" s="64"/>
      <c r="AN783" s="64"/>
      <c r="AO783" s="64"/>
      <c r="AP783" s="63"/>
      <c r="AQ783" s="64"/>
      <c r="AR783" s="63"/>
      <c r="AS783" s="64"/>
      <c r="AT783" s="63"/>
      <c r="AU783" s="64"/>
      <c r="AV783" s="63"/>
      <c r="AW783" s="64"/>
      <c r="AX783" s="63"/>
      <c r="AY783" s="5"/>
      <c r="AZ783" s="21" t="str">
        <f t="shared" si="492"/>
        <v/>
      </c>
      <c r="BA783" s="264" t="s">
        <v>392</v>
      </c>
      <c r="BB783" s="264"/>
      <c r="BC783" s="264"/>
      <c r="BD783" s="264" t="s">
        <v>99</v>
      </c>
      <c r="BE783" s="216" t="s">
        <v>471</v>
      </c>
      <c r="BF783" s="303"/>
      <c r="BG783" s="303"/>
      <c r="BH783" s="303"/>
      <c r="BI783" s="303"/>
      <c r="BJ783" s="303"/>
      <c r="BK783" s="303"/>
      <c r="BL783" s="303"/>
      <c r="BM783" s="303"/>
      <c r="BN783" s="303"/>
      <c r="BO783" s="303"/>
      <c r="BP783" s="303"/>
      <c r="BQ783" s="5"/>
      <c r="BR783" s="25"/>
      <c r="BS783" s="5"/>
    </row>
    <row r="784" spans="1:71" s="3" customFormat="1" x14ac:dyDescent="0.25">
      <c r="A784" s="5"/>
      <c r="B784" s="3" t="str">
        <f t="array" ref="B784">IFERROR(INDEX(DemandSupply,MATCH(INDEX($AH$1:AH784,SMALL(ROW($AH$1:AH784)+(10000*($AH$1:AH784="")),COUNTA($AH$1:AH784))),Sectors,0)),"")</f>
        <v>Demand</v>
      </c>
      <c r="E784" s="10"/>
      <c r="F784" s="207"/>
      <c r="G784" s="207"/>
      <c r="H784" s="207"/>
      <c r="I784" s="207"/>
      <c r="J784" s="207"/>
      <c r="K784" s="207"/>
      <c r="L784" s="207"/>
      <c r="M784" s="207"/>
      <c r="N784" s="207"/>
      <c r="O784" s="207"/>
      <c r="P784" s="207"/>
      <c r="Q784" s="207"/>
      <c r="R784" s="207"/>
      <c r="S784" s="207"/>
      <c r="T784" s="207"/>
      <c r="U784" s="207"/>
      <c r="V784" s="207"/>
      <c r="W784" s="207"/>
      <c r="X784" s="207"/>
      <c r="Y784" s="207"/>
      <c r="Z784" s="207"/>
      <c r="AA784" s="207"/>
      <c r="AB784" s="207"/>
      <c r="AC784" s="5"/>
      <c r="AD784" s="63"/>
      <c r="AE784" s="64"/>
      <c r="AF784" s="64"/>
      <c r="AG784" s="212"/>
      <c r="AH784" s="64"/>
      <c r="AI784" s="64"/>
      <c r="AJ784" s="64"/>
      <c r="AK784" s="64"/>
      <c r="AL784" s="64"/>
      <c r="AM784" s="64"/>
      <c r="AN784" s="64"/>
      <c r="AO784" s="64"/>
      <c r="AP784" s="63"/>
      <c r="AQ784" s="64"/>
      <c r="AR784" s="63"/>
      <c r="AS784" s="64"/>
      <c r="AT784" s="63"/>
      <c r="AU784" s="64"/>
      <c r="AV784" s="63"/>
      <c r="AW784" s="64"/>
      <c r="AX784" s="63"/>
      <c r="AY784" s="5"/>
      <c r="AZ784" s="21" t="str">
        <f t="shared" si="492"/>
        <v/>
      </c>
      <c r="BA784" s="264" t="s">
        <v>391</v>
      </c>
      <c r="BB784" s="264"/>
      <c r="BC784" s="264"/>
      <c r="BD784" s="264" t="s">
        <v>99</v>
      </c>
      <c r="BE784" s="216" t="s">
        <v>471</v>
      </c>
      <c r="BF784" s="303"/>
      <c r="BG784" s="303"/>
      <c r="BH784" s="303"/>
      <c r="BI784" s="303"/>
      <c r="BJ784" s="303"/>
      <c r="BK784" s="303"/>
      <c r="BL784" s="303"/>
      <c r="BM784" s="303"/>
      <c r="BN784" s="303"/>
      <c r="BO784" s="303"/>
      <c r="BP784" s="303"/>
      <c r="BQ784" s="5"/>
      <c r="BR784" s="25"/>
      <c r="BS784" s="5"/>
    </row>
    <row r="785" spans="1:71" s="3" customFormat="1" x14ac:dyDescent="0.25">
      <c r="A785" s="5"/>
      <c r="B785" s="3" t="str">
        <f t="array" ref="B785">IFERROR(INDEX(DemandSupply,MATCH(INDEX($AH$1:AH785,SMALL(ROW($AH$1:AH785)+(10000*($AH$1:AH785="")),COUNTA($AH$1:AH785))),Sectors,0)),"")</f>
        <v>Demand</v>
      </c>
      <c r="E785" s="10"/>
      <c r="F785" s="207"/>
      <c r="G785" s="207"/>
      <c r="H785" s="207"/>
      <c r="I785" s="207"/>
      <c r="J785" s="207"/>
      <c r="K785" s="207"/>
      <c r="L785" s="207"/>
      <c r="M785" s="207"/>
      <c r="N785" s="207"/>
      <c r="O785" s="207"/>
      <c r="P785" s="207"/>
      <c r="Q785" s="207"/>
      <c r="R785" s="207"/>
      <c r="S785" s="207"/>
      <c r="T785" s="207"/>
      <c r="U785" s="207"/>
      <c r="V785" s="207"/>
      <c r="W785" s="207"/>
      <c r="X785" s="207"/>
      <c r="Y785" s="207"/>
      <c r="Z785" s="207"/>
      <c r="AA785" s="207"/>
      <c r="AB785" s="207"/>
      <c r="AC785" s="5"/>
      <c r="AD785" s="63"/>
      <c r="AE785" s="64"/>
      <c r="AF785" s="64"/>
      <c r="AG785" s="212"/>
      <c r="AH785" s="64"/>
      <c r="AI785" s="64"/>
      <c r="AJ785" s="64"/>
      <c r="AK785" s="64"/>
      <c r="AL785" s="64"/>
      <c r="AM785" s="64"/>
      <c r="AN785" s="64"/>
      <c r="AO785" s="64"/>
      <c r="AP785" s="63"/>
      <c r="AQ785" s="64"/>
      <c r="AR785" s="63"/>
      <c r="AS785" s="64"/>
      <c r="AT785" s="63"/>
      <c r="AU785" s="64"/>
      <c r="AV785" s="63"/>
      <c r="AW785" s="64"/>
      <c r="AX785" s="63"/>
      <c r="AY785" s="5"/>
      <c r="AZ785" s="21" t="str">
        <f t="shared" si="492"/>
        <v/>
      </c>
      <c r="BA785" s="264" t="s">
        <v>144</v>
      </c>
      <c r="BB785" s="264"/>
      <c r="BC785" s="264"/>
      <c r="BD785" s="264" t="s">
        <v>353</v>
      </c>
      <c r="BE785" s="216" t="s">
        <v>471</v>
      </c>
      <c r="BF785" s="56"/>
      <c r="BG785" s="56"/>
      <c r="BH785" s="56"/>
      <c r="BI785" s="56"/>
      <c r="BJ785" s="56"/>
      <c r="BK785" s="56"/>
      <c r="BL785" s="56"/>
      <c r="BM785" s="56"/>
      <c r="BN785" s="56"/>
      <c r="BO785" s="56"/>
      <c r="BP785" s="56"/>
      <c r="BQ785" s="5"/>
      <c r="BR785" s="25"/>
      <c r="BS785" s="5"/>
    </row>
    <row r="786" spans="1:71" s="3" customFormat="1" x14ac:dyDescent="0.25">
      <c r="A786" s="5"/>
      <c r="B786" s="3" t="str">
        <f t="array" ref="B786">IFERROR(INDEX(DemandSupply,MATCH(INDEX($AH$1:AH786,SMALL(ROW($AH$1:AH786)+(10000*($AH$1:AH786="")),COUNTA($AH$1:AH786))),Sectors,0)),"")</f>
        <v>Demand</v>
      </c>
      <c r="E786" s="10"/>
      <c r="F786" s="207"/>
      <c r="G786" s="207"/>
      <c r="H786" s="207"/>
      <c r="I786" s="207"/>
      <c r="J786" s="207"/>
      <c r="K786" s="207"/>
      <c r="L786" s="207"/>
      <c r="M786" s="207"/>
      <c r="N786" s="207"/>
      <c r="O786" s="207"/>
      <c r="P786" s="207"/>
      <c r="Q786" s="207"/>
      <c r="R786" s="207"/>
      <c r="S786" s="207"/>
      <c r="T786" s="207"/>
      <c r="U786" s="207"/>
      <c r="V786" s="207"/>
      <c r="W786" s="207"/>
      <c r="X786" s="207"/>
      <c r="Y786" s="207"/>
      <c r="Z786" s="207"/>
      <c r="AA786" s="207"/>
      <c r="AB786" s="207"/>
      <c r="AC786" s="5"/>
      <c r="AD786" s="63"/>
      <c r="AE786" s="64"/>
      <c r="AF786" s="64"/>
      <c r="AG786" s="212"/>
      <c r="AH786" s="64"/>
      <c r="AI786" s="64"/>
      <c r="AJ786" s="64"/>
      <c r="AK786" s="64"/>
      <c r="AL786" s="64"/>
      <c r="AM786" s="64"/>
      <c r="AN786" s="64"/>
      <c r="AO786" s="64"/>
      <c r="AP786" s="63"/>
      <c r="AQ786" s="64"/>
      <c r="AR786" s="63"/>
      <c r="AS786" s="64"/>
      <c r="AT786" s="63"/>
      <c r="AU786" s="64"/>
      <c r="AV786" s="63"/>
      <c r="AW786" s="64"/>
      <c r="AX786" s="63"/>
      <c r="AY786" s="5"/>
      <c r="AZ786" s="21" t="str">
        <f t="shared" si="492"/>
        <v/>
      </c>
      <c r="BA786" s="264" t="s">
        <v>76</v>
      </c>
      <c r="BB786" s="264"/>
      <c r="BC786" s="264"/>
      <c r="BD786" s="264" t="s">
        <v>99</v>
      </c>
      <c r="BE786" s="216" t="s">
        <v>471</v>
      </c>
      <c r="BF786" s="303">
        <v>0</v>
      </c>
      <c r="BG786" s="303"/>
      <c r="BH786" s="303"/>
      <c r="BI786" s="303"/>
      <c r="BJ786" s="303"/>
      <c r="BK786" s="303"/>
      <c r="BL786" s="303"/>
      <c r="BM786" s="303"/>
      <c r="BN786" s="303"/>
      <c r="BO786" s="303"/>
      <c r="BP786" s="303"/>
      <c r="BQ786" s="5"/>
      <c r="BR786" s="25"/>
      <c r="BS786" s="5"/>
    </row>
    <row r="787" spans="1:71" s="3" customFormat="1" x14ac:dyDescent="0.25">
      <c r="A787" s="5"/>
      <c r="B787" s="3" t="str">
        <f t="array" ref="B787">IFERROR(INDEX(DemandSupply,MATCH(INDEX($AH$1:AH787,SMALL(ROW($AH$1:AH787)+(10000*($AH$1:AH787="")),COUNTA($AH$1:AH787))),Sectors,0)),"")</f>
        <v>Demand</v>
      </c>
      <c r="E787" s="10"/>
      <c r="F787" s="207"/>
      <c r="G787" s="207"/>
      <c r="H787" s="207"/>
      <c r="I787" s="207"/>
      <c r="J787" s="207"/>
      <c r="K787" s="207"/>
      <c r="L787" s="207"/>
      <c r="M787" s="207"/>
      <c r="N787" s="207"/>
      <c r="O787" s="207"/>
      <c r="P787" s="207"/>
      <c r="Q787" s="207"/>
      <c r="R787" s="207"/>
      <c r="S787" s="207"/>
      <c r="T787" s="207"/>
      <c r="U787" s="207"/>
      <c r="V787" s="207"/>
      <c r="W787" s="207"/>
      <c r="X787" s="207"/>
      <c r="Y787" s="207"/>
      <c r="Z787" s="207"/>
      <c r="AA787" s="207"/>
      <c r="AB787" s="207"/>
      <c r="AC787" s="5"/>
      <c r="AD787" s="63"/>
      <c r="AE787" s="64"/>
      <c r="AF787" s="64"/>
      <c r="AG787" s="212"/>
      <c r="AH787" s="64"/>
      <c r="AI787" s="64"/>
      <c r="AJ787" s="64"/>
      <c r="AK787" s="64"/>
      <c r="AL787" s="64"/>
      <c r="AM787" s="64"/>
      <c r="AN787" s="64"/>
      <c r="AO787" s="64"/>
      <c r="AP787" s="63"/>
      <c r="AQ787" s="64"/>
      <c r="AR787" s="63"/>
      <c r="AS787" s="64"/>
      <c r="AT787" s="63"/>
      <c r="AU787" s="64"/>
      <c r="AV787" s="63"/>
      <c r="AW787" s="64"/>
      <c r="AX787" s="63"/>
      <c r="AY787" s="5"/>
      <c r="AZ787" s="21" t="str">
        <f t="shared" si="492"/>
        <v/>
      </c>
      <c r="BA787" s="75" t="s">
        <v>166</v>
      </c>
      <c r="BB787" s="75"/>
      <c r="BC787" s="270"/>
      <c r="BD787" s="75" t="s">
        <v>99</v>
      </c>
      <c r="BE787" s="216" t="s">
        <v>471</v>
      </c>
      <c r="BF787" s="303"/>
      <c r="BG787" s="303"/>
      <c r="BH787" s="303"/>
      <c r="BI787" s="303"/>
      <c r="BJ787" s="303"/>
      <c r="BK787" s="303"/>
      <c r="BL787" s="303"/>
      <c r="BM787" s="303"/>
      <c r="BN787" s="303"/>
      <c r="BO787" s="303"/>
      <c r="BP787" s="303"/>
      <c r="BQ787" s="5"/>
      <c r="BR787" s="25"/>
      <c r="BS787" s="5"/>
    </row>
    <row r="788" spans="1:71" s="3" customFormat="1" x14ac:dyDescent="0.25">
      <c r="A788" s="5"/>
      <c r="B788" s="3" t="str">
        <f t="array" ref="B788">IFERROR(INDEX(DemandSupply,MATCH(INDEX($AH$1:AH788,SMALL(ROW($AH$1:AH788)+(10000*($AH$1:AH788="")),COUNTA($AH$1:AH788))),Sectors,0)),"")</f>
        <v>Demand</v>
      </c>
      <c r="E788" s="10"/>
      <c r="F788" s="207"/>
      <c r="G788" s="207"/>
      <c r="H788" s="207"/>
      <c r="I788" s="207"/>
      <c r="J788" s="207"/>
      <c r="K788" s="207"/>
      <c r="L788" s="207"/>
      <c r="M788" s="207"/>
      <c r="N788" s="207"/>
      <c r="O788" s="207"/>
      <c r="P788" s="207"/>
      <c r="Q788" s="207"/>
      <c r="R788" s="207"/>
      <c r="S788" s="207"/>
      <c r="T788" s="207"/>
      <c r="U788" s="207"/>
      <c r="V788" s="207"/>
      <c r="W788" s="207"/>
      <c r="X788" s="207"/>
      <c r="Y788" s="207"/>
      <c r="Z788" s="207"/>
      <c r="AA788" s="207"/>
      <c r="AB788" s="207"/>
      <c r="AC788" s="5"/>
      <c r="AD788" s="63"/>
      <c r="AE788" s="64"/>
      <c r="AF788" s="64"/>
      <c r="AG788" s="212"/>
      <c r="AH788" s="64"/>
      <c r="AI788" s="64"/>
      <c r="AJ788" s="64"/>
      <c r="AK788" s="64"/>
      <c r="AL788" s="64"/>
      <c r="AM788" s="64"/>
      <c r="AN788" s="64"/>
      <c r="AO788" s="64"/>
      <c r="AP788" s="63"/>
      <c r="AQ788" s="64"/>
      <c r="AR788" s="63"/>
      <c r="AS788" s="64"/>
      <c r="AT788" s="63"/>
      <c r="AU788" s="64"/>
      <c r="AV788" s="63"/>
      <c r="AW788" s="64"/>
      <c r="AX788" s="63"/>
      <c r="AY788" s="5"/>
      <c r="AZ788" s="21" t="str">
        <f t="shared" si="492"/>
        <v/>
      </c>
      <c r="BA788" s="75" t="s">
        <v>167</v>
      </c>
      <c r="BB788" s="75"/>
      <c r="BC788" s="270"/>
      <c r="BD788" s="75" t="s">
        <v>99</v>
      </c>
      <c r="BE788" s="216" t="s">
        <v>471</v>
      </c>
      <c r="BF788" s="303"/>
      <c r="BG788" s="303"/>
      <c r="BH788" s="303"/>
      <c r="BI788" s="303"/>
      <c r="BJ788" s="303"/>
      <c r="BK788" s="303"/>
      <c r="BL788" s="303"/>
      <c r="BM788" s="303"/>
      <c r="BN788" s="303"/>
      <c r="BO788" s="303"/>
      <c r="BP788" s="303"/>
      <c r="BQ788" s="5"/>
      <c r="BR788" s="25"/>
      <c r="BS788" s="5"/>
    </row>
    <row r="789" spans="1:71" s="3" customFormat="1" x14ac:dyDescent="0.25">
      <c r="A789" s="5"/>
      <c r="B789" s="3" t="str">
        <f t="array" ref="B789">IFERROR(INDEX(DemandSupply,MATCH(INDEX($AH$1:AH789,SMALL(ROW($AH$1:AH789)+(10000*($AH$1:AH789="")),COUNTA($AH$1:AH789))),Sectors,0)),"")</f>
        <v>Demand</v>
      </c>
      <c r="E789" s="10"/>
      <c r="F789" s="207"/>
      <c r="G789" s="207"/>
      <c r="H789" s="207"/>
      <c r="I789" s="207"/>
      <c r="J789" s="207"/>
      <c r="K789" s="207"/>
      <c r="L789" s="207"/>
      <c r="M789" s="207"/>
      <c r="N789" s="207"/>
      <c r="O789" s="207"/>
      <c r="P789" s="207"/>
      <c r="Q789" s="207"/>
      <c r="R789" s="207"/>
      <c r="S789" s="207"/>
      <c r="T789" s="207"/>
      <c r="U789" s="207"/>
      <c r="V789" s="207"/>
      <c r="W789" s="207"/>
      <c r="X789" s="207"/>
      <c r="Y789" s="207"/>
      <c r="Z789" s="207"/>
      <c r="AA789" s="207"/>
      <c r="AB789" s="207"/>
      <c r="AC789" s="5"/>
      <c r="AD789" s="63"/>
      <c r="AE789" s="64"/>
      <c r="AF789" s="64"/>
      <c r="AG789" s="212"/>
      <c r="AH789" s="64"/>
      <c r="AI789" s="64"/>
      <c r="AJ789" s="64"/>
      <c r="AK789" s="64"/>
      <c r="AL789" s="64"/>
      <c r="AM789" s="64"/>
      <c r="AN789" s="64"/>
      <c r="AO789" s="64"/>
      <c r="AP789" s="63"/>
      <c r="AQ789" s="64"/>
      <c r="AR789" s="63"/>
      <c r="AS789" s="64"/>
      <c r="AT789" s="63"/>
      <c r="AU789" s="64"/>
      <c r="AV789" s="63"/>
      <c r="AW789" s="64"/>
      <c r="AX789" s="63"/>
      <c r="AY789" s="5"/>
      <c r="AZ789" s="21" t="str">
        <f t="shared" si="492"/>
        <v/>
      </c>
      <c r="BA789" s="75" t="s">
        <v>408</v>
      </c>
      <c r="BB789" s="75"/>
      <c r="BC789" s="270"/>
      <c r="BD789" s="75" t="s">
        <v>99</v>
      </c>
      <c r="BE789" s="216" t="s">
        <v>471</v>
      </c>
      <c r="BF789" s="303"/>
      <c r="BG789" s="303"/>
      <c r="BH789" s="303"/>
      <c r="BI789" s="303"/>
      <c r="BJ789" s="303"/>
      <c r="BK789" s="303"/>
      <c r="BL789" s="303"/>
      <c r="BM789" s="303"/>
      <c r="BN789" s="303"/>
      <c r="BO789" s="303"/>
      <c r="BP789" s="303"/>
      <c r="BQ789" s="5"/>
      <c r="BR789" s="25"/>
      <c r="BS789" s="5"/>
    </row>
    <row r="790" spans="1:71" s="3" customFormat="1" x14ac:dyDescent="0.25">
      <c r="A790" s="5"/>
      <c r="B790" s="3" t="str">
        <f t="array" ref="B790">IFERROR(INDEX(DemandSupply,MATCH(INDEX($AH$1:AH790,SMALL(ROW($AH$1:AH790)+(10000*($AH$1:AH790="")),COUNTA($AH$1:AH790))),Sectors,0)),"")</f>
        <v>Demand</v>
      </c>
      <c r="E790" s="10"/>
      <c r="F790" s="207"/>
      <c r="G790" s="207"/>
      <c r="H790" s="207"/>
      <c r="I790" s="207"/>
      <c r="J790" s="207"/>
      <c r="K790" s="207"/>
      <c r="L790" s="207"/>
      <c r="M790" s="207"/>
      <c r="N790" s="207"/>
      <c r="O790" s="207"/>
      <c r="P790" s="207"/>
      <c r="Q790" s="207"/>
      <c r="R790" s="207"/>
      <c r="S790" s="207"/>
      <c r="T790" s="207"/>
      <c r="U790" s="207"/>
      <c r="V790" s="207"/>
      <c r="W790" s="207"/>
      <c r="X790" s="207"/>
      <c r="Y790" s="207"/>
      <c r="Z790" s="207"/>
      <c r="AA790" s="207"/>
      <c r="AB790" s="207"/>
      <c r="AC790" s="5"/>
      <c r="AD790" s="63"/>
      <c r="AE790" s="64"/>
      <c r="AF790" s="64"/>
      <c r="AG790" s="212"/>
      <c r="AH790" s="64"/>
      <c r="AI790" s="64"/>
      <c r="AJ790" s="64"/>
      <c r="AK790" s="64"/>
      <c r="AL790" s="64"/>
      <c r="AM790" s="64"/>
      <c r="AN790" s="64"/>
      <c r="AO790" s="64"/>
      <c r="AP790" s="63"/>
      <c r="AQ790" s="64"/>
      <c r="AR790" s="63"/>
      <c r="AS790" s="64"/>
      <c r="AT790" s="63"/>
      <c r="AU790" s="64"/>
      <c r="AV790" s="63"/>
      <c r="AW790" s="64"/>
      <c r="AX790" s="63"/>
      <c r="AY790" s="5"/>
      <c r="AZ790" s="21" t="str">
        <f t="shared" si="492"/>
        <v/>
      </c>
      <c r="BA790" s="75" t="s">
        <v>409</v>
      </c>
      <c r="BB790" s="75"/>
      <c r="BC790" s="270"/>
      <c r="BD790" s="75" t="s">
        <v>99</v>
      </c>
      <c r="BE790" s="216" t="s">
        <v>471</v>
      </c>
      <c r="BF790" s="303"/>
      <c r="BG790" s="303"/>
      <c r="BH790" s="303"/>
      <c r="BI790" s="303"/>
      <c r="BJ790" s="303"/>
      <c r="BK790" s="303"/>
      <c r="BL790" s="303"/>
      <c r="BM790" s="303"/>
      <c r="BN790" s="303"/>
      <c r="BO790" s="303"/>
      <c r="BP790" s="303"/>
      <c r="BQ790" s="5"/>
      <c r="BR790" s="25"/>
      <c r="BS790" s="5"/>
    </row>
    <row r="791" spans="1:71" s="3" customFormat="1" x14ac:dyDescent="0.25">
      <c r="A791" s="5"/>
      <c r="B791" s="3" t="str">
        <f t="array" ref="B791">IFERROR(INDEX(DemandSupply,MATCH(INDEX($AH$1:AH791,SMALL(ROW($AH$1:AH791)+(10000*($AH$1:AH791="")),COUNTA($AH$1:AH791))),Sectors,0)),"")</f>
        <v>Demand</v>
      </c>
      <c r="E791" s="10"/>
      <c r="F791" s="207"/>
      <c r="G791" s="207"/>
      <c r="H791" s="207"/>
      <c r="I791" s="207"/>
      <c r="J791" s="207"/>
      <c r="K791" s="207"/>
      <c r="L791" s="207"/>
      <c r="M791" s="207"/>
      <c r="N791" s="207"/>
      <c r="O791" s="207"/>
      <c r="P791" s="207"/>
      <c r="Q791" s="207"/>
      <c r="R791" s="207"/>
      <c r="S791" s="207"/>
      <c r="T791" s="207"/>
      <c r="U791" s="207"/>
      <c r="V791" s="207"/>
      <c r="W791" s="207"/>
      <c r="X791" s="207"/>
      <c r="Y791" s="207"/>
      <c r="Z791" s="207"/>
      <c r="AA791" s="207"/>
      <c r="AB791" s="207"/>
      <c r="AC791" s="5"/>
      <c r="AD791" s="63"/>
      <c r="AE791" s="64"/>
      <c r="AF791" s="64"/>
      <c r="AG791" s="212"/>
      <c r="AH791" s="64"/>
      <c r="AI791" s="64"/>
      <c r="AJ791" s="64"/>
      <c r="AK791" s="64"/>
      <c r="AL791" s="64"/>
      <c r="AM791" s="64"/>
      <c r="AN791" s="64"/>
      <c r="AO791" s="64"/>
      <c r="AP791" s="63"/>
      <c r="AQ791" s="64"/>
      <c r="AR791" s="63"/>
      <c r="AS791" s="64"/>
      <c r="AT791" s="63"/>
      <c r="AU791" s="64"/>
      <c r="AV791" s="63"/>
      <c r="AW791" s="64"/>
      <c r="AX791" s="63"/>
      <c r="AY791" s="5"/>
      <c r="AZ791" s="21" t="str">
        <f t="shared" si="492"/>
        <v/>
      </c>
      <c r="BA791" s="264" t="s">
        <v>371</v>
      </c>
      <c r="BB791" s="264"/>
      <c r="BC791" s="264"/>
      <c r="BD791" s="264" t="s">
        <v>353</v>
      </c>
      <c r="BE791" s="216" t="s">
        <v>471</v>
      </c>
      <c r="BF791" s="56">
        <v>1</v>
      </c>
      <c r="BG791" s="282">
        <f t="shared" ref="BG791:BG792" si="576">BF791</f>
        <v>1</v>
      </c>
      <c r="BH791" s="282">
        <f t="shared" ref="BH791:BH792" si="577">BG791</f>
        <v>1</v>
      </c>
      <c r="BI791" s="282">
        <f t="shared" ref="BI791:BI792" si="578">BH791</f>
        <v>1</v>
      </c>
      <c r="BJ791" s="282">
        <f t="shared" ref="BJ791:BJ792" si="579">BI791</f>
        <v>1</v>
      </c>
      <c r="BK791" s="282">
        <f t="shared" ref="BK791:BK792" si="580">BJ791</f>
        <v>1</v>
      </c>
      <c r="BL791" s="282">
        <f t="shared" ref="BL791:BL792" si="581">BK791</f>
        <v>1</v>
      </c>
      <c r="BM791" s="282">
        <f t="shared" ref="BM791:BM792" si="582">BL791</f>
        <v>1</v>
      </c>
      <c r="BN791" s="282">
        <f t="shared" ref="BN791:BN792" si="583">BM791</f>
        <v>1</v>
      </c>
      <c r="BO791" s="282">
        <f t="shared" ref="BO791:BO792" si="584">BN791</f>
        <v>1</v>
      </c>
      <c r="BP791" s="282">
        <f t="shared" ref="BP791:BP792" si="585">BO791</f>
        <v>1</v>
      </c>
      <c r="BQ791" s="5"/>
      <c r="BR791" s="25"/>
      <c r="BS791" s="5"/>
    </row>
    <row r="792" spans="1:71" s="3" customFormat="1" x14ac:dyDescent="0.25">
      <c r="A792" s="5"/>
      <c r="B792" s="3" t="str">
        <f t="array" ref="B792">IFERROR(INDEX(DemandSupply,MATCH(INDEX($AH$1:AH792,SMALL(ROW($AH$1:AH792)+(10000*($AH$1:AH792="")),COUNTA($AH$1:AH792))),Sectors,0)),"")</f>
        <v>Demand</v>
      </c>
      <c r="E792" s="10"/>
      <c r="F792" s="207"/>
      <c r="G792" s="207"/>
      <c r="H792" s="207"/>
      <c r="I792" s="207"/>
      <c r="J792" s="207"/>
      <c r="K792" s="207"/>
      <c r="L792" s="207"/>
      <c r="M792" s="207"/>
      <c r="N792" s="207"/>
      <c r="O792" s="207"/>
      <c r="P792" s="207"/>
      <c r="Q792" s="207"/>
      <c r="R792" s="207"/>
      <c r="S792" s="207"/>
      <c r="T792" s="207"/>
      <c r="U792" s="207"/>
      <c r="V792" s="207"/>
      <c r="W792" s="207"/>
      <c r="X792" s="207"/>
      <c r="Y792" s="207"/>
      <c r="Z792" s="207"/>
      <c r="AA792" s="207"/>
      <c r="AB792" s="207"/>
      <c r="AC792" s="5"/>
      <c r="AD792" s="63"/>
      <c r="AE792" s="64"/>
      <c r="AF792" s="64"/>
      <c r="AG792" s="212"/>
      <c r="AH792" s="64"/>
      <c r="AI792" s="64"/>
      <c r="AJ792" s="64"/>
      <c r="AK792" s="64"/>
      <c r="AL792" s="64"/>
      <c r="AM792" s="64"/>
      <c r="AN792" s="64"/>
      <c r="AO792" s="64"/>
      <c r="AP792" s="63"/>
      <c r="AQ792" s="64"/>
      <c r="AR792" s="63"/>
      <c r="AS792" s="64"/>
      <c r="AT792" s="63"/>
      <c r="AU792" s="64"/>
      <c r="AV792" s="63"/>
      <c r="AW792" s="64"/>
      <c r="AX792" s="63"/>
      <c r="AY792" s="5"/>
      <c r="AZ792" s="21" t="str">
        <f t="shared" si="492"/>
        <v/>
      </c>
      <c r="BA792" s="264" t="s">
        <v>170</v>
      </c>
      <c r="BB792" s="264"/>
      <c r="BC792" s="264"/>
      <c r="BD792" s="264" t="s">
        <v>354</v>
      </c>
      <c r="BE792" s="216" t="s">
        <v>471</v>
      </c>
      <c r="BF792" s="56">
        <v>670.15</v>
      </c>
      <c r="BG792" s="282">
        <f t="shared" si="576"/>
        <v>670.15</v>
      </c>
      <c r="BH792" s="282">
        <f t="shared" si="577"/>
        <v>670.15</v>
      </c>
      <c r="BI792" s="282">
        <f t="shared" si="578"/>
        <v>670.15</v>
      </c>
      <c r="BJ792" s="282">
        <f t="shared" si="579"/>
        <v>670.15</v>
      </c>
      <c r="BK792" s="282">
        <f t="shared" si="580"/>
        <v>670.15</v>
      </c>
      <c r="BL792" s="282">
        <f t="shared" si="581"/>
        <v>670.15</v>
      </c>
      <c r="BM792" s="282">
        <f t="shared" si="582"/>
        <v>670.15</v>
      </c>
      <c r="BN792" s="282">
        <f t="shared" si="583"/>
        <v>670.15</v>
      </c>
      <c r="BO792" s="282">
        <f t="shared" si="584"/>
        <v>670.15</v>
      </c>
      <c r="BP792" s="282">
        <f t="shared" si="585"/>
        <v>670.15</v>
      </c>
      <c r="BQ792" s="5"/>
      <c r="BR792" s="25"/>
      <c r="BS792" s="5"/>
    </row>
    <row r="793" spans="1:71" s="3" customFormat="1" x14ac:dyDescent="0.25">
      <c r="A793" s="5"/>
      <c r="B793" s="3" t="str">
        <f t="array" ref="B793">IFERROR(INDEX(DemandSupply,MATCH(INDEX($AH$1:AH793,SMALL(ROW($AH$1:AH793)+(10000*($AH$1:AH793="")),COUNTA($AH$1:AH793))),Sectors,0)),"")</f>
        <v>Demand</v>
      </c>
      <c r="E793" s="10"/>
      <c r="F793" s="207"/>
      <c r="G793" s="207"/>
      <c r="H793" s="207"/>
      <c r="I793" s="207"/>
      <c r="J793" s="207"/>
      <c r="K793" s="207"/>
      <c r="L793" s="207"/>
      <c r="M793" s="207"/>
      <c r="N793" s="207"/>
      <c r="O793" s="207"/>
      <c r="P793" s="207"/>
      <c r="Q793" s="207"/>
      <c r="R793" s="207"/>
      <c r="S793" s="207"/>
      <c r="T793" s="207"/>
      <c r="U793" s="207"/>
      <c r="V793" s="207"/>
      <c r="W793" s="207"/>
      <c r="X793" s="207"/>
      <c r="Y793" s="207"/>
      <c r="Z793" s="207"/>
      <c r="AA793" s="207"/>
      <c r="AB793" s="207"/>
      <c r="AC793" s="5"/>
      <c r="AD793" s="63"/>
      <c r="AE793" s="64"/>
      <c r="AF793" s="64"/>
      <c r="AG793" s="212"/>
      <c r="AH793" s="64"/>
      <c r="AI793" s="64"/>
      <c r="AJ793" s="64"/>
      <c r="AK793" s="64"/>
      <c r="AL793" s="64"/>
      <c r="AM793" s="64"/>
      <c r="AN793" s="64"/>
      <c r="AO793" s="64"/>
      <c r="AP793" s="63"/>
      <c r="AQ793" s="64"/>
      <c r="AR793" s="63"/>
      <c r="AS793" s="64"/>
      <c r="AT793" s="63"/>
      <c r="AU793" s="64"/>
      <c r="AV793" s="63"/>
      <c r="AW793" s="64"/>
      <c r="AX793" s="63"/>
      <c r="AY793" s="5"/>
      <c r="AZ793" s="21" t="str">
        <f t="shared" si="492"/>
        <v/>
      </c>
      <c r="BA793" s="264" t="s">
        <v>425</v>
      </c>
      <c r="BB793" s="264"/>
      <c r="BC793" s="264"/>
      <c r="BD793" s="264" t="s">
        <v>99</v>
      </c>
      <c r="BE793" s="216" t="s">
        <v>471</v>
      </c>
      <c r="BF793" s="303"/>
      <c r="BG793" s="303"/>
      <c r="BH793" s="303"/>
      <c r="BI793" s="303"/>
      <c r="BJ793" s="303"/>
      <c r="BK793" s="303"/>
      <c r="BL793" s="303"/>
      <c r="BM793" s="303"/>
      <c r="BN793" s="303"/>
      <c r="BO793" s="303"/>
      <c r="BP793" s="303"/>
      <c r="BQ793" s="5"/>
      <c r="BR793" s="25"/>
      <c r="BS793" s="5"/>
    </row>
    <row r="794" spans="1:71" s="3" customFormat="1" x14ac:dyDescent="0.25">
      <c r="A794" s="5"/>
      <c r="B794" s="3" t="str">
        <f t="array" ref="B794">IFERROR(INDEX(DemandSupply,MATCH(INDEX($AH$1:AH794,SMALL(ROW($AH$1:AH794)+(10000*($AH$1:AH794="")),COUNTA($AH$1:AH794))),Sectors,0)),"")</f>
        <v>Demand</v>
      </c>
      <c r="E794" s="10"/>
      <c r="F794" s="207"/>
      <c r="G794" s="207"/>
      <c r="H794" s="207"/>
      <c r="I794" s="207"/>
      <c r="J794" s="207"/>
      <c r="K794" s="207"/>
      <c r="L794" s="207"/>
      <c r="M794" s="207"/>
      <c r="N794" s="207"/>
      <c r="O794" s="207"/>
      <c r="P794" s="207"/>
      <c r="Q794" s="207"/>
      <c r="R794" s="207"/>
      <c r="S794" s="207"/>
      <c r="T794" s="207"/>
      <c r="U794" s="207"/>
      <c r="V794" s="207"/>
      <c r="W794" s="207"/>
      <c r="X794" s="207"/>
      <c r="Y794" s="207"/>
      <c r="Z794" s="207"/>
      <c r="AA794" s="207"/>
      <c r="AB794" s="207"/>
      <c r="AC794" s="5"/>
      <c r="AD794" s="63"/>
      <c r="AE794" s="64"/>
      <c r="AF794" s="64"/>
      <c r="AG794" s="212"/>
      <c r="AH794" s="64"/>
      <c r="AI794" s="64"/>
      <c r="AJ794" s="64"/>
      <c r="AK794" s="64"/>
      <c r="AL794" s="64"/>
      <c r="AM794" s="64"/>
      <c r="AN794" s="64"/>
      <c r="AO794" s="64"/>
      <c r="AP794" s="63"/>
      <c r="AQ794" s="64"/>
      <c r="AR794" s="63"/>
      <c r="AS794" s="64"/>
      <c r="AT794" s="63"/>
      <c r="AU794" s="64"/>
      <c r="AV794" s="63"/>
      <c r="AW794" s="64"/>
      <c r="AX794" s="63"/>
      <c r="AY794" s="5"/>
      <c r="AZ794" s="21" t="str">
        <f t="shared" si="492"/>
        <v/>
      </c>
      <c r="BA794" s="264" t="s">
        <v>438</v>
      </c>
      <c r="BB794" s="264"/>
      <c r="BC794" s="264"/>
      <c r="BD794" s="264" t="s">
        <v>353</v>
      </c>
      <c r="BE794" s="216" t="s">
        <v>471</v>
      </c>
      <c r="BF794" s="56"/>
      <c r="BG794" s="56"/>
      <c r="BH794" s="56"/>
      <c r="BI794" s="56"/>
      <c r="BJ794" s="56"/>
      <c r="BK794" s="56"/>
      <c r="BL794" s="56"/>
      <c r="BM794" s="56"/>
      <c r="BN794" s="56"/>
      <c r="BO794" s="56"/>
      <c r="BP794" s="56"/>
      <c r="BQ794" s="5"/>
      <c r="BR794" s="25"/>
      <c r="BS794" s="5"/>
    </row>
    <row r="795" spans="1:71" s="3" customFormat="1" x14ac:dyDescent="0.25">
      <c r="A795" s="5"/>
      <c r="B795" s="3" t="str">
        <f t="array" ref="B795">IFERROR(INDEX(DemandSupply,MATCH(INDEX($AH$1:AH795,SMALL(ROW($AH$1:AH795)+(10000*($AH$1:AH795="")),COUNTA($AH$1:AH795))),Sectors,0)),"")</f>
        <v>Demand</v>
      </c>
      <c r="E795" s="10"/>
      <c r="F795" s="207"/>
      <c r="G795" s="207"/>
      <c r="H795" s="207"/>
      <c r="I795" s="207"/>
      <c r="J795" s="207"/>
      <c r="K795" s="207"/>
      <c r="L795" s="207"/>
      <c r="M795" s="207"/>
      <c r="N795" s="207"/>
      <c r="O795" s="207"/>
      <c r="P795" s="207"/>
      <c r="Q795" s="207"/>
      <c r="R795" s="207"/>
      <c r="S795" s="207"/>
      <c r="T795" s="207"/>
      <c r="U795" s="207"/>
      <c r="V795" s="207"/>
      <c r="W795" s="207"/>
      <c r="X795" s="207"/>
      <c r="Y795" s="207"/>
      <c r="Z795" s="207"/>
      <c r="AA795" s="207"/>
      <c r="AB795" s="207"/>
      <c r="AC795" s="5"/>
      <c r="AD795" s="63"/>
      <c r="AE795" s="64"/>
      <c r="AF795" s="64"/>
      <c r="AG795" s="212"/>
      <c r="AH795" s="64"/>
      <c r="AI795" s="64"/>
      <c r="AJ795" s="64"/>
      <c r="AK795" s="64"/>
      <c r="AL795" s="64"/>
      <c r="AM795" s="64"/>
      <c r="AN795" s="64"/>
      <c r="AO795" s="64"/>
      <c r="AP795" s="63"/>
      <c r="AQ795" s="64"/>
      <c r="AR795" s="63"/>
      <c r="AS795" s="64"/>
      <c r="AT795" s="63"/>
      <c r="AU795" s="64"/>
      <c r="AV795" s="63"/>
      <c r="AW795" s="64"/>
      <c r="AX795" s="63"/>
      <c r="AY795" s="5"/>
      <c r="AZ795" s="21" t="str">
        <f t="shared" si="492"/>
        <v/>
      </c>
      <c r="BA795" s="264" t="s">
        <v>435</v>
      </c>
      <c r="BB795" s="264"/>
      <c r="BC795" s="264"/>
      <c r="BD795" s="264"/>
      <c r="BE795" s="216" t="s">
        <v>471</v>
      </c>
      <c r="BF795" s="55"/>
      <c r="BG795" s="55"/>
      <c r="BH795" s="55"/>
      <c r="BI795" s="55"/>
      <c r="BJ795" s="55"/>
      <c r="BK795" s="55"/>
      <c r="BL795" s="55"/>
      <c r="BM795" s="55"/>
      <c r="BN795" s="55"/>
      <c r="BO795" s="55"/>
      <c r="BP795" s="55"/>
      <c r="BQ795" s="5"/>
      <c r="BR795" s="25"/>
      <c r="BS795" s="5"/>
    </row>
    <row r="796" spans="1:71" s="3" customFormat="1" x14ac:dyDescent="0.25">
      <c r="A796" s="5"/>
      <c r="B796" s="3" t="str">
        <f t="array" ref="B796">IFERROR(INDEX(DemandSupply,MATCH(INDEX($AH$1:AH796,SMALL(ROW($AH$1:AH796)+(10000*($AH$1:AH796="")),COUNTA($AH$1:AH796))),Sectors,0)),"")</f>
        <v>Demand</v>
      </c>
      <c r="E796" s="10"/>
      <c r="F796" s="207"/>
      <c r="G796" s="207"/>
      <c r="H796" s="207"/>
      <c r="I796" s="207"/>
      <c r="J796" s="207"/>
      <c r="K796" s="207"/>
      <c r="L796" s="207"/>
      <c r="M796" s="207"/>
      <c r="N796" s="207"/>
      <c r="O796" s="207"/>
      <c r="P796" s="207"/>
      <c r="Q796" s="207"/>
      <c r="R796" s="207"/>
      <c r="S796" s="207"/>
      <c r="T796" s="207"/>
      <c r="U796" s="207"/>
      <c r="V796" s="207"/>
      <c r="W796" s="207"/>
      <c r="X796" s="207"/>
      <c r="Y796" s="207"/>
      <c r="Z796" s="207"/>
      <c r="AA796" s="207"/>
      <c r="AB796" s="207"/>
      <c r="AC796" s="5"/>
      <c r="AD796" s="63"/>
      <c r="AE796" s="64"/>
      <c r="AF796" s="64"/>
      <c r="AG796" s="212"/>
      <c r="AH796" s="64"/>
      <c r="AI796" s="64"/>
      <c r="AJ796" s="64"/>
      <c r="AK796" s="64"/>
      <c r="AL796" s="64"/>
      <c r="AM796" s="64"/>
      <c r="AN796" s="64"/>
      <c r="AO796" s="64"/>
      <c r="AP796" s="63"/>
      <c r="AQ796" s="64"/>
      <c r="AR796" s="63"/>
      <c r="AS796" s="64"/>
      <c r="AT796" s="63"/>
      <c r="AU796" s="64"/>
      <c r="AV796" s="63"/>
      <c r="AW796" s="64"/>
      <c r="AX796" s="63"/>
      <c r="AY796" s="5"/>
      <c r="AZ796" s="21" t="str">
        <f t="shared" si="492"/>
        <v/>
      </c>
      <c r="BA796" s="264" t="s">
        <v>407</v>
      </c>
      <c r="BB796" s="264"/>
      <c r="BC796" s="264"/>
      <c r="BD796" s="264" t="s">
        <v>99</v>
      </c>
      <c r="BE796" s="216" t="s">
        <v>471</v>
      </c>
      <c r="BF796" s="303"/>
      <c r="BG796" s="303"/>
      <c r="BH796" s="303"/>
      <c r="BI796" s="303"/>
      <c r="BJ796" s="303"/>
      <c r="BK796" s="303"/>
      <c r="BL796" s="303"/>
      <c r="BM796" s="303"/>
      <c r="BN796" s="303"/>
      <c r="BO796" s="303"/>
      <c r="BP796" s="303"/>
      <c r="BQ796" s="5"/>
      <c r="BR796" s="25"/>
      <c r="BS796" s="5"/>
    </row>
    <row r="797" spans="1:71" s="3" customFormat="1" x14ac:dyDescent="0.25">
      <c r="A797" s="5"/>
      <c r="B797" s="3" t="str">
        <f t="array" ref="B797">IFERROR(INDEX(DemandSupply,MATCH(INDEX($AH$1:AH797,SMALL(ROW($AH$1:AH797)+(10000*($AH$1:AH797="")),COUNTA($AH$1:AH797))),Sectors,0)),"")</f>
        <v>Demand</v>
      </c>
      <c r="E797" s="10"/>
      <c r="F797" s="207"/>
      <c r="G797" s="207"/>
      <c r="H797" s="207"/>
      <c r="I797" s="207"/>
      <c r="J797" s="207"/>
      <c r="K797" s="207"/>
      <c r="L797" s="207"/>
      <c r="M797" s="207"/>
      <c r="N797" s="207"/>
      <c r="O797" s="207"/>
      <c r="P797" s="207"/>
      <c r="Q797" s="207"/>
      <c r="R797" s="207"/>
      <c r="S797" s="207"/>
      <c r="T797" s="207"/>
      <c r="U797" s="207"/>
      <c r="V797" s="207"/>
      <c r="W797" s="207"/>
      <c r="X797" s="207"/>
      <c r="Y797" s="207"/>
      <c r="Z797" s="207"/>
      <c r="AA797" s="207"/>
      <c r="AB797" s="207"/>
      <c r="AC797" s="5"/>
      <c r="AD797" s="63"/>
      <c r="AE797" s="64"/>
      <c r="AF797" s="64"/>
      <c r="AG797" s="212"/>
      <c r="AH797" s="64"/>
      <c r="AI797" s="64"/>
      <c r="AJ797" s="64"/>
      <c r="AK797" s="64"/>
      <c r="AL797" s="64"/>
      <c r="AM797" s="64"/>
      <c r="AN797" s="64"/>
      <c r="AO797" s="64"/>
      <c r="AP797" s="63"/>
      <c r="AQ797" s="64"/>
      <c r="AR797" s="63"/>
      <c r="AS797" s="64"/>
      <c r="AT797" s="63"/>
      <c r="AU797" s="64"/>
      <c r="AV797" s="63"/>
      <c r="AW797" s="64"/>
      <c r="AX797" s="63"/>
      <c r="AY797" s="5"/>
      <c r="AZ797" s="21" t="str">
        <f t="shared" ref="AZ797:AZ860" si="586">IFERROR(INDEX($AD797:$AX797,MATCH(TRUE,INDEX(($AD797:$AX797&lt;&gt;0),0),0)),"")</f>
        <v/>
      </c>
      <c r="BA797" s="264" t="s">
        <v>444</v>
      </c>
      <c r="BB797" s="264"/>
      <c r="BC797" s="264"/>
      <c r="BD797" s="264" t="s">
        <v>354</v>
      </c>
      <c r="BE797" s="216" t="s">
        <v>471</v>
      </c>
      <c r="BF797" s="56"/>
      <c r="BG797" s="282"/>
      <c r="BH797" s="282"/>
      <c r="BI797" s="282"/>
      <c r="BJ797" s="282"/>
      <c r="BK797" s="282"/>
      <c r="BL797" s="282"/>
      <c r="BM797" s="282"/>
      <c r="BN797" s="282"/>
      <c r="BO797" s="282"/>
      <c r="BP797" s="282"/>
      <c r="BQ797" s="5"/>
      <c r="BR797" s="25"/>
      <c r="BS797" s="5"/>
    </row>
    <row r="798" spans="1:71" s="3" customFormat="1" x14ac:dyDescent="0.25">
      <c r="A798" s="5"/>
      <c r="B798" s="3" t="str">
        <f t="array" ref="B798">IFERROR(INDEX(DemandSupply,MATCH(INDEX($AH$1:AH798,SMALL(ROW($AH$1:AH798)+(10000*($AH$1:AH798="")),COUNTA($AH$1:AH798))),Sectors,0)),"")</f>
        <v>Demand</v>
      </c>
      <c r="E798" s="10"/>
      <c r="F798" s="207"/>
      <c r="G798" s="207"/>
      <c r="H798" s="207"/>
      <c r="I798" s="207"/>
      <c r="J798" s="207"/>
      <c r="K798" s="207"/>
      <c r="L798" s="207"/>
      <c r="M798" s="207"/>
      <c r="N798" s="207"/>
      <c r="O798" s="207"/>
      <c r="P798" s="207"/>
      <c r="Q798" s="207"/>
      <c r="R798" s="207"/>
      <c r="S798" s="207"/>
      <c r="T798" s="207"/>
      <c r="U798" s="207"/>
      <c r="V798" s="207"/>
      <c r="W798" s="207"/>
      <c r="X798" s="207"/>
      <c r="Y798" s="207"/>
      <c r="Z798" s="207"/>
      <c r="AA798" s="207"/>
      <c r="AB798" s="207"/>
      <c r="AC798" s="5"/>
      <c r="AD798" s="63"/>
      <c r="AE798" s="64"/>
      <c r="AF798" s="64"/>
      <c r="AG798" s="212"/>
      <c r="AH798" s="64"/>
      <c r="AI798" s="64"/>
      <c r="AJ798" s="64"/>
      <c r="AK798" s="64"/>
      <c r="AL798" s="64"/>
      <c r="AM798" s="64"/>
      <c r="AN798" s="64"/>
      <c r="AO798" s="64"/>
      <c r="AP798" s="63"/>
      <c r="AQ798" s="64"/>
      <c r="AR798" s="63"/>
      <c r="AS798" s="64"/>
      <c r="AT798" s="63"/>
      <c r="AU798" s="64"/>
      <c r="AV798" s="63"/>
      <c r="AW798" s="64"/>
      <c r="AX798" s="63"/>
      <c r="AY798" s="5"/>
      <c r="AZ798" s="21" t="str">
        <f t="shared" si="586"/>
        <v/>
      </c>
      <c r="BA798" s="264" t="s">
        <v>446</v>
      </c>
      <c r="BB798" s="264"/>
      <c r="BC798" s="264"/>
      <c r="BD798" s="264" t="s">
        <v>354</v>
      </c>
      <c r="BE798" s="216" t="s">
        <v>471</v>
      </c>
      <c r="BF798" s="56"/>
      <c r="BG798" s="56"/>
      <c r="BH798" s="56"/>
      <c r="BI798" s="56"/>
      <c r="BJ798" s="56"/>
      <c r="BK798" s="56"/>
      <c r="BL798" s="56"/>
      <c r="BM798" s="56"/>
      <c r="BN798" s="56"/>
      <c r="BO798" s="56"/>
      <c r="BP798" s="56"/>
      <c r="BQ798" s="5"/>
      <c r="BR798" s="25"/>
      <c r="BS798" s="5"/>
    </row>
    <row r="799" spans="1:71" s="3" customFormat="1" x14ac:dyDescent="0.25">
      <c r="A799" s="5"/>
      <c r="B799" s="3" t="str">
        <f t="array" ref="B799">IFERROR(INDEX(DemandSupply,MATCH(INDEX($AH$1:AH799,SMALL(ROW($AH$1:AH799)+(10000*($AH$1:AH799="")),COUNTA($AH$1:AH799))),Sectors,0)),"")</f>
        <v>Demand</v>
      </c>
      <c r="E799" s="10"/>
      <c r="F799" s="207"/>
      <c r="G799" s="207"/>
      <c r="H799" s="207"/>
      <c r="I799" s="207"/>
      <c r="J799" s="207"/>
      <c r="K799" s="207"/>
      <c r="L799" s="207"/>
      <c r="M799" s="207"/>
      <c r="N799" s="207"/>
      <c r="O799" s="207"/>
      <c r="P799" s="207"/>
      <c r="Q799" s="207"/>
      <c r="R799" s="207"/>
      <c r="S799" s="207"/>
      <c r="T799" s="207"/>
      <c r="U799" s="207"/>
      <c r="V799" s="207"/>
      <c r="W799" s="207"/>
      <c r="X799" s="207"/>
      <c r="Y799" s="207"/>
      <c r="Z799" s="207"/>
      <c r="AA799" s="207"/>
      <c r="AB799" s="207"/>
      <c r="AC799" s="5"/>
      <c r="AD799" s="63"/>
      <c r="AE799" s="64"/>
      <c r="AF799" s="64"/>
      <c r="AG799" s="212"/>
      <c r="AH799" s="64"/>
      <c r="AI799" s="64"/>
      <c r="AJ799" s="64"/>
      <c r="AK799" s="64"/>
      <c r="AL799" s="64"/>
      <c r="AM799" s="64"/>
      <c r="AN799" s="64"/>
      <c r="AO799" s="64"/>
      <c r="AP799" s="63"/>
      <c r="AQ799" s="64"/>
      <c r="AR799" s="63"/>
      <c r="AS799" s="64"/>
      <c r="AT799" s="63"/>
      <c r="AU799" s="64"/>
      <c r="AV799" s="63"/>
      <c r="AW799" s="64"/>
      <c r="AX799" s="63"/>
      <c r="AY799" s="5"/>
      <c r="AZ799" s="21" t="str">
        <f t="shared" si="586"/>
        <v/>
      </c>
      <c r="BA799" s="264" t="s">
        <v>447</v>
      </c>
      <c r="BB799" s="264"/>
      <c r="BC799" s="264"/>
      <c r="BD799" s="264"/>
      <c r="BE799" s="216" t="s">
        <v>471</v>
      </c>
      <c r="BF799" s="55"/>
      <c r="BG799" s="55"/>
      <c r="BH799" s="55"/>
      <c r="BI799" s="55"/>
      <c r="BJ799" s="55"/>
      <c r="BK799" s="55"/>
      <c r="BL799" s="55"/>
      <c r="BM799" s="55"/>
      <c r="BN799" s="55"/>
      <c r="BO799" s="55"/>
      <c r="BP799" s="55"/>
      <c r="BQ799" s="5"/>
      <c r="BR799" s="25"/>
      <c r="BS799" s="5"/>
    </row>
    <row r="800" spans="1:71" s="3" customFormat="1" x14ac:dyDescent="0.25">
      <c r="A800" s="5"/>
      <c r="B800" s="3" t="str">
        <f t="array" ref="B800">IFERROR(INDEX(DemandSupply,MATCH(INDEX($AH$1:AH800,SMALL(ROW($AH$1:AH800)+(10000*($AH$1:AH800="")),COUNTA($AH$1:AH800))),Sectors,0)),"")</f>
        <v>Demand</v>
      </c>
      <c r="E800" s="10"/>
      <c r="F800" s="207"/>
      <c r="G800" s="207"/>
      <c r="H800" s="207"/>
      <c r="I800" s="207"/>
      <c r="J800" s="207"/>
      <c r="K800" s="207"/>
      <c r="L800" s="207"/>
      <c r="M800" s="207"/>
      <c r="N800" s="207"/>
      <c r="O800" s="207"/>
      <c r="P800" s="207"/>
      <c r="Q800" s="207"/>
      <c r="R800" s="207"/>
      <c r="S800" s="207"/>
      <c r="T800" s="207"/>
      <c r="U800" s="207"/>
      <c r="V800" s="207"/>
      <c r="W800" s="207"/>
      <c r="X800" s="207"/>
      <c r="Y800" s="207"/>
      <c r="Z800" s="207"/>
      <c r="AA800" s="207"/>
      <c r="AB800" s="207"/>
      <c r="AC800" s="5"/>
      <c r="AD800" s="63"/>
      <c r="AE800" s="64"/>
      <c r="AF800" s="64"/>
      <c r="AG800" s="212"/>
      <c r="AH800" s="64"/>
      <c r="AI800" s="64"/>
      <c r="AJ800" s="64"/>
      <c r="AK800" s="64"/>
      <c r="AL800" s="64"/>
      <c r="AM800" s="64"/>
      <c r="AN800" s="64"/>
      <c r="AO800" s="64"/>
      <c r="AP800" s="63"/>
      <c r="AQ800" s="64"/>
      <c r="AR800" s="63"/>
      <c r="AS800" s="64"/>
      <c r="AT800" s="63"/>
      <c r="AU800" s="64"/>
      <c r="AV800" s="63"/>
      <c r="AW800" s="64"/>
      <c r="AX800" s="63"/>
      <c r="AY800" s="5"/>
      <c r="AZ800" s="21" t="str">
        <f t="shared" si="586"/>
        <v/>
      </c>
      <c r="BA800" s="264" t="s">
        <v>448</v>
      </c>
      <c r="BB800" s="264"/>
      <c r="BC800" s="264"/>
      <c r="BD800" s="264"/>
      <c r="BE800" s="216" t="s">
        <v>471</v>
      </c>
      <c r="BF800" s="55"/>
      <c r="BG800" s="55"/>
      <c r="BH800" s="55"/>
      <c r="BI800" s="55"/>
      <c r="BJ800" s="55"/>
      <c r="BK800" s="55"/>
      <c r="BL800" s="55"/>
      <c r="BM800" s="55"/>
      <c r="BN800" s="55"/>
      <c r="BO800" s="55"/>
      <c r="BP800" s="55"/>
      <c r="BQ800" s="5"/>
      <c r="BR800" s="25"/>
      <c r="BS800" s="5"/>
    </row>
    <row r="801" spans="1:71" s="3" customFormat="1" x14ac:dyDescent="0.25">
      <c r="A801" s="5"/>
      <c r="B801" s="3" t="str">
        <f t="array" ref="B801">IFERROR(INDEX(DemandSupply,MATCH(INDEX($AH$1:AH801,SMALL(ROW($AH$1:AH801)+(10000*($AH$1:AH801="")),COUNTA($AH$1:AH801))),Sectors,0)),"")</f>
        <v>Demand</v>
      </c>
      <c r="E801" s="10"/>
      <c r="F801" s="207"/>
      <c r="G801" s="207"/>
      <c r="H801" s="207"/>
      <c r="I801" s="207"/>
      <c r="J801" s="207"/>
      <c r="K801" s="207"/>
      <c r="L801" s="207"/>
      <c r="M801" s="207"/>
      <c r="N801" s="207"/>
      <c r="O801" s="207"/>
      <c r="P801" s="207"/>
      <c r="Q801" s="207"/>
      <c r="R801" s="207"/>
      <c r="S801" s="207"/>
      <c r="T801" s="207"/>
      <c r="U801" s="207"/>
      <c r="V801" s="207"/>
      <c r="W801" s="207"/>
      <c r="X801" s="207"/>
      <c r="Y801" s="207"/>
      <c r="Z801" s="207"/>
      <c r="AA801" s="207"/>
      <c r="AB801" s="207"/>
      <c r="AC801" s="5"/>
      <c r="AD801" s="63"/>
      <c r="AE801" s="64"/>
      <c r="AF801" s="64"/>
      <c r="AG801" s="212"/>
      <c r="AH801" s="64"/>
      <c r="AI801" s="64"/>
      <c r="AJ801" s="64"/>
      <c r="AK801" s="64"/>
      <c r="AL801" s="64"/>
      <c r="AM801" s="64"/>
      <c r="AN801" s="64"/>
      <c r="AO801" s="64"/>
      <c r="AP801" s="63"/>
      <c r="AQ801" s="64"/>
      <c r="AR801" s="63"/>
      <c r="AS801" s="64"/>
      <c r="AT801" s="63"/>
      <c r="AU801" s="64"/>
      <c r="AV801" s="63"/>
      <c r="AW801" s="64"/>
      <c r="AX801" s="63"/>
      <c r="AY801" s="5"/>
      <c r="AZ801" s="21" t="str">
        <f t="shared" si="586"/>
        <v/>
      </c>
      <c r="BA801" s="264" t="s">
        <v>445</v>
      </c>
      <c r="BB801" s="264"/>
      <c r="BC801" s="264"/>
      <c r="BD801" s="264" t="s">
        <v>466</v>
      </c>
      <c r="BE801" s="216" t="s">
        <v>471</v>
      </c>
      <c r="BF801" s="56"/>
      <c r="BG801" s="56"/>
      <c r="BH801" s="56"/>
      <c r="BI801" s="56"/>
      <c r="BJ801" s="56"/>
      <c r="BK801" s="56"/>
      <c r="BL801" s="56"/>
      <c r="BM801" s="56"/>
      <c r="BN801" s="56"/>
      <c r="BO801" s="56"/>
      <c r="BP801" s="56"/>
      <c r="BQ801" s="5"/>
      <c r="BR801" s="25"/>
      <c r="BS801" s="5"/>
    </row>
    <row r="802" spans="1:71" s="3" customFormat="1" x14ac:dyDescent="0.25">
      <c r="A802" s="5"/>
      <c r="B802" s="3" t="str">
        <f t="array" ref="B802">IFERROR(INDEX(DemandSupply,MATCH(INDEX($AH$1:AH802,SMALL(ROW($AH$1:AH802)+(10000*($AH$1:AH802="")),COUNTA($AH$1:AH802))),Sectors,0)),"")</f>
        <v>Demand</v>
      </c>
      <c r="E802" s="10"/>
      <c r="F802" s="207"/>
      <c r="G802" s="207"/>
      <c r="H802" s="207"/>
      <c r="I802" s="207"/>
      <c r="J802" s="207"/>
      <c r="K802" s="207"/>
      <c r="L802" s="207"/>
      <c r="M802" s="207"/>
      <c r="N802" s="207"/>
      <c r="O802" s="207"/>
      <c r="P802" s="207"/>
      <c r="Q802" s="207"/>
      <c r="R802" s="207"/>
      <c r="S802" s="207"/>
      <c r="T802" s="207"/>
      <c r="U802" s="207"/>
      <c r="V802" s="207"/>
      <c r="W802" s="207"/>
      <c r="X802" s="207"/>
      <c r="Y802" s="207"/>
      <c r="Z802" s="207"/>
      <c r="AA802" s="207"/>
      <c r="AB802" s="207"/>
      <c r="AC802" s="5"/>
      <c r="AD802" s="63"/>
      <c r="AE802" s="64"/>
      <c r="AF802" s="64"/>
      <c r="AG802" s="212"/>
      <c r="AH802" s="64"/>
      <c r="AI802" s="64"/>
      <c r="AJ802" s="64"/>
      <c r="AK802" s="64"/>
      <c r="AL802" s="64"/>
      <c r="AM802" s="64"/>
      <c r="AN802" s="64"/>
      <c r="AO802" s="64"/>
      <c r="AP802" s="63"/>
      <c r="AQ802" s="64"/>
      <c r="AR802" s="63"/>
      <c r="AS802" s="64"/>
      <c r="AT802" s="63"/>
      <c r="AU802" s="64"/>
      <c r="AV802" s="63"/>
      <c r="AW802" s="64"/>
      <c r="AX802" s="63"/>
      <c r="AY802" s="5"/>
      <c r="AZ802" s="21" t="str">
        <f t="shared" si="586"/>
        <v/>
      </c>
      <c r="BA802" s="264" t="s">
        <v>449</v>
      </c>
      <c r="BB802" s="264"/>
      <c r="BC802" s="264"/>
      <c r="BD802" s="264" t="s">
        <v>466</v>
      </c>
      <c r="BE802" s="216" t="s">
        <v>471</v>
      </c>
      <c r="BF802" s="56"/>
      <c r="BG802" s="56"/>
      <c r="BH802" s="56"/>
      <c r="BI802" s="56"/>
      <c r="BJ802" s="56"/>
      <c r="BK802" s="56"/>
      <c r="BL802" s="56"/>
      <c r="BM802" s="56"/>
      <c r="BN802" s="56"/>
      <c r="BO802" s="56"/>
      <c r="BP802" s="56"/>
      <c r="BQ802" s="5"/>
      <c r="BR802" s="25"/>
      <c r="BS802" s="5"/>
    </row>
    <row r="803" spans="1:71" s="3" customFormat="1" x14ac:dyDescent="0.25">
      <c r="A803" s="5"/>
      <c r="B803" s="3" t="str">
        <f t="array" ref="B803">IFERROR(INDEX(DemandSupply,MATCH(INDEX($AH$1:AH803,SMALL(ROW($AH$1:AH803)+(10000*($AH$1:AH803="")),COUNTA($AH$1:AH803))),Sectors,0)),"")</f>
        <v>Demand</v>
      </c>
      <c r="E803" s="10"/>
      <c r="F803" s="207"/>
      <c r="G803" s="207"/>
      <c r="H803" s="207"/>
      <c r="I803" s="207"/>
      <c r="J803" s="207"/>
      <c r="K803" s="207"/>
      <c r="L803" s="207"/>
      <c r="M803" s="207"/>
      <c r="N803" s="207"/>
      <c r="O803" s="207"/>
      <c r="P803" s="207"/>
      <c r="Q803" s="207"/>
      <c r="R803" s="207"/>
      <c r="S803" s="207"/>
      <c r="T803" s="207"/>
      <c r="U803" s="207"/>
      <c r="V803" s="207"/>
      <c r="W803" s="207"/>
      <c r="X803" s="207"/>
      <c r="Y803" s="207"/>
      <c r="Z803" s="207"/>
      <c r="AA803" s="207"/>
      <c r="AB803" s="207"/>
      <c r="AC803" s="5"/>
      <c r="AD803" s="63"/>
      <c r="AE803" s="64"/>
      <c r="AF803" s="64"/>
      <c r="AG803" s="212"/>
      <c r="AH803" s="64"/>
      <c r="AI803" s="64"/>
      <c r="AJ803" s="64"/>
      <c r="AK803" s="64"/>
      <c r="AL803" s="64"/>
      <c r="AM803" s="64"/>
      <c r="AN803" s="64"/>
      <c r="AO803" s="64"/>
      <c r="AP803" s="63"/>
      <c r="AQ803" s="64"/>
      <c r="AR803" s="63"/>
      <c r="AS803" s="64"/>
      <c r="AT803" s="63"/>
      <c r="AU803" s="64"/>
      <c r="AV803" s="63"/>
      <c r="AW803" s="64"/>
      <c r="AX803" s="63"/>
      <c r="AY803" s="5"/>
      <c r="AZ803" s="21" t="str">
        <f t="shared" si="586"/>
        <v/>
      </c>
      <c r="BA803" s="264" t="s">
        <v>450</v>
      </c>
      <c r="BB803" s="264"/>
      <c r="BC803" s="264"/>
      <c r="BD803" s="264"/>
      <c r="BE803" s="216" t="s">
        <v>471</v>
      </c>
      <c r="BF803" s="55"/>
      <c r="BG803" s="55"/>
      <c r="BH803" s="55"/>
      <c r="BI803" s="55"/>
      <c r="BJ803" s="55"/>
      <c r="BK803" s="55"/>
      <c r="BL803" s="55"/>
      <c r="BM803" s="55"/>
      <c r="BN803" s="55"/>
      <c r="BO803" s="55"/>
      <c r="BP803" s="55"/>
      <c r="BQ803" s="5"/>
      <c r="BR803" s="25"/>
      <c r="BS803" s="5"/>
    </row>
    <row r="804" spans="1:71" s="3" customFormat="1" x14ac:dyDescent="0.25">
      <c r="A804" s="5"/>
      <c r="B804" s="3" t="str">
        <f t="array" ref="B804">IFERROR(INDEX(DemandSupply,MATCH(INDEX($AH$1:AH804,SMALL(ROW($AH$1:AH804)+(10000*($AH$1:AH804="")),COUNTA($AH$1:AH804))),Sectors,0)),"")</f>
        <v>Demand</v>
      </c>
      <c r="E804" s="10"/>
      <c r="F804" s="207"/>
      <c r="G804" s="207"/>
      <c r="H804" s="207"/>
      <c r="I804" s="207"/>
      <c r="J804" s="207"/>
      <c r="K804" s="207"/>
      <c r="L804" s="207"/>
      <c r="M804" s="207"/>
      <c r="N804" s="207"/>
      <c r="O804" s="207"/>
      <c r="P804" s="207"/>
      <c r="Q804" s="207"/>
      <c r="R804" s="207"/>
      <c r="S804" s="207"/>
      <c r="T804" s="207"/>
      <c r="U804" s="207"/>
      <c r="V804" s="207"/>
      <c r="W804" s="207"/>
      <c r="X804" s="207"/>
      <c r="Y804" s="207"/>
      <c r="Z804" s="207"/>
      <c r="AA804" s="207"/>
      <c r="AB804" s="207"/>
      <c r="AC804" s="5"/>
      <c r="AD804" s="63"/>
      <c r="AE804" s="64"/>
      <c r="AF804" s="64"/>
      <c r="AG804" s="212"/>
      <c r="AH804" s="64"/>
      <c r="AI804" s="64"/>
      <c r="AJ804" s="64"/>
      <c r="AK804" s="64"/>
      <c r="AL804" s="64"/>
      <c r="AM804" s="64"/>
      <c r="AN804" s="64"/>
      <c r="AO804" s="64"/>
      <c r="AP804" s="63"/>
      <c r="AQ804" s="64"/>
      <c r="AR804" s="63"/>
      <c r="AS804" s="64"/>
      <c r="AT804" s="63"/>
      <c r="AU804" s="64"/>
      <c r="AV804" s="63"/>
      <c r="AW804" s="64"/>
      <c r="AX804" s="63"/>
      <c r="AY804" s="5"/>
      <c r="AZ804" s="21" t="str">
        <f t="shared" si="586"/>
        <v/>
      </c>
      <c r="BA804" s="264" t="s">
        <v>451</v>
      </c>
      <c r="BB804" s="264"/>
      <c r="BC804" s="264"/>
      <c r="BD804" s="264"/>
      <c r="BE804" s="216" t="s">
        <v>471</v>
      </c>
      <c r="BF804" s="55"/>
      <c r="BG804" s="55"/>
      <c r="BH804" s="55"/>
      <c r="BI804" s="55"/>
      <c r="BJ804" s="55"/>
      <c r="BK804" s="55"/>
      <c r="BL804" s="55"/>
      <c r="BM804" s="55"/>
      <c r="BN804" s="55"/>
      <c r="BO804" s="55"/>
      <c r="BP804" s="55"/>
      <c r="BQ804" s="5"/>
      <c r="BR804" s="25"/>
      <c r="BS804" s="5"/>
    </row>
    <row r="805" spans="1:71" s="3" customFormat="1" x14ac:dyDescent="0.25">
      <c r="A805" s="5"/>
      <c r="B805" s="3" t="str">
        <f t="array" ref="B805">IFERROR(INDEX(DemandSupply,MATCH(INDEX($AH$1:AH805,SMALL(ROW($AH$1:AH805)+(10000*($AH$1:AH805="")),COUNTA($AH$1:AH805))),Sectors,0)),"")</f>
        <v>Demand</v>
      </c>
      <c r="E805" s="10"/>
      <c r="F805" s="207"/>
      <c r="G805" s="207"/>
      <c r="H805" s="207"/>
      <c r="I805" s="207"/>
      <c r="J805" s="207"/>
      <c r="K805" s="207"/>
      <c r="L805" s="207"/>
      <c r="M805" s="207"/>
      <c r="N805" s="207"/>
      <c r="O805" s="207"/>
      <c r="P805" s="207"/>
      <c r="Q805" s="207"/>
      <c r="R805" s="207"/>
      <c r="S805" s="207"/>
      <c r="T805" s="207"/>
      <c r="U805" s="207"/>
      <c r="V805" s="207"/>
      <c r="W805" s="207"/>
      <c r="X805" s="207"/>
      <c r="Y805" s="207"/>
      <c r="Z805" s="207"/>
      <c r="AA805" s="207"/>
      <c r="AB805" s="207"/>
      <c r="AC805" s="5"/>
      <c r="AD805" s="63"/>
      <c r="AE805" s="64"/>
      <c r="AF805" s="64"/>
      <c r="AG805" s="212"/>
      <c r="AH805" s="64"/>
      <c r="AI805" s="64"/>
      <c r="AJ805" s="64"/>
      <c r="AK805" s="64"/>
      <c r="AL805" s="64"/>
      <c r="AM805" s="64"/>
      <c r="AN805" s="64"/>
      <c r="AO805" s="64"/>
      <c r="AP805" s="63"/>
      <c r="AQ805" s="64"/>
      <c r="AR805" s="63"/>
      <c r="AS805" s="64"/>
      <c r="AT805" s="63"/>
      <c r="AU805" s="64"/>
      <c r="AV805" s="63"/>
      <c r="AW805" s="64"/>
      <c r="AX805" s="63"/>
      <c r="AY805" s="5"/>
      <c r="AZ805" s="21" t="str">
        <f t="shared" si="586"/>
        <v/>
      </c>
      <c r="BA805" s="264" t="s">
        <v>342</v>
      </c>
      <c r="BB805" s="264"/>
      <c r="BC805" s="264"/>
      <c r="BD805" s="264" t="s">
        <v>466</v>
      </c>
      <c r="BE805" s="216" t="s">
        <v>471</v>
      </c>
      <c r="BF805" s="56">
        <v>10</v>
      </c>
      <c r="BG805" s="282">
        <f t="shared" ref="BG805" si="587">BF805</f>
        <v>10</v>
      </c>
      <c r="BH805" s="282">
        <f t="shared" ref="BH805" si="588">BG805</f>
        <v>10</v>
      </c>
      <c r="BI805" s="282">
        <f t="shared" ref="BI805" si="589">BH805</f>
        <v>10</v>
      </c>
      <c r="BJ805" s="282">
        <f t="shared" ref="BJ805" si="590">BI805</f>
        <v>10</v>
      </c>
      <c r="BK805" s="282">
        <f t="shared" ref="BK805" si="591">BJ805</f>
        <v>10</v>
      </c>
      <c r="BL805" s="282">
        <f t="shared" ref="BL805" si="592">BK805</f>
        <v>10</v>
      </c>
      <c r="BM805" s="282">
        <f t="shared" ref="BM805" si="593">BL805</f>
        <v>10</v>
      </c>
      <c r="BN805" s="282">
        <f t="shared" ref="BN805" si="594">BM805</f>
        <v>10</v>
      </c>
      <c r="BO805" s="282">
        <f t="shared" ref="BO805" si="595">BN805</f>
        <v>10</v>
      </c>
      <c r="BP805" s="282">
        <f t="shared" ref="BP805" si="596">BO805</f>
        <v>10</v>
      </c>
      <c r="BQ805" s="5"/>
      <c r="BR805" s="25"/>
      <c r="BS805" s="5"/>
    </row>
    <row r="806" spans="1:71" s="3" customFormat="1" x14ac:dyDescent="0.25">
      <c r="A806" s="5"/>
      <c r="B806" s="3" t="str">
        <f t="array" ref="B806">IFERROR(INDEX(DemandSupply,MATCH(INDEX($AH$1:AH806,SMALL(ROW($AH$1:AH806)+(10000*($AH$1:AH806="")),COUNTA($AH$1:AH806))),Sectors,0)),"")</f>
        <v>Demand</v>
      </c>
      <c r="E806" s="10"/>
      <c r="F806" s="207"/>
      <c r="G806" s="207"/>
      <c r="H806" s="207"/>
      <c r="I806" s="207"/>
      <c r="J806" s="207"/>
      <c r="K806" s="207"/>
      <c r="L806" s="207"/>
      <c r="M806" s="207"/>
      <c r="N806" s="207"/>
      <c r="O806" s="207"/>
      <c r="P806" s="207"/>
      <c r="Q806" s="207"/>
      <c r="R806" s="207"/>
      <c r="S806" s="207"/>
      <c r="T806" s="207"/>
      <c r="U806" s="207"/>
      <c r="V806" s="207"/>
      <c r="W806" s="207"/>
      <c r="X806" s="207"/>
      <c r="Y806" s="207"/>
      <c r="Z806" s="207"/>
      <c r="AA806" s="207"/>
      <c r="AB806" s="207"/>
      <c r="AC806" s="5"/>
      <c r="AD806" s="63"/>
      <c r="AE806" s="64"/>
      <c r="AF806" s="64"/>
      <c r="AG806" s="212"/>
      <c r="AH806" s="64"/>
      <c r="AI806" s="64"/>
      <c r="AJ806" s="64"/>
      <c r="AK806" s="64"/>
      <c r="AL806" s="64"/>
      <c r="AM806" s="64"/>
      <c r="AN806" s="64"/>
      <c r="AO806" s="64"/>
      <c r="AP806" s="63"/>
      <c r="AQ806" s="64"/>
      <c r="AR806" s="63"/>
      <c r="AS806" s="64"/>
      <c r="AT806" s="63"/>
      <c r="AU806" s="64"/>
      <c r="AV806" s="63"/>
      <c r="AW806" s="64"/>
      <c r="AX806" s="63"/>
      <c r="AY806" s="5"/>
      <c r="AZ806" s="21" t="str">
        <f t="shared" si="586"/>
        <v/>
      </c>
      <c r="BA806" s="264" t="s">
        <v>394</v>
      </c>
      <c r="BB806" s="264"/>
      <c r="BC806" s="264"/>
      <c r="BD806" s="264" t="s">
        <v>354</v>
      </c>
      <c r="BE806" s="216" t="s">
        <v>471</v>
      </c>
      <c r="BF806" s="56"/>
      <c r="BG806" s="56"/>
      <c r="BH806" s="56"/>
      <c r="BI806" s="56"/>
      <c r="BJ806" s="56"/>
      <c r="BK806" s="56"/>
      <c r="BL806" s="56"/>
      <c r="BM806" s="56"/>
      <c r="BN806" s="56"/>
      <c r="BO806" s="56"/>
      <c r="BP806" s="56"/>
      <c r="BQ806" s="5"/>
      <c r="BR806" s="25"/>
      <c r="BS806" s="5"/>
    </row>
    <row r="807" spans="1:71" s="3" customFormat="1" x14ac:dyDescent="0.25">
      <c r="A807" s="5"/>
      <c r="B807" s="3" t="str">
        <f t="array" ref="B807">IFERROR(INDEX(DemandSupply,MATCH(INDEX($AH$1:AH807,SMALL(ROW($AH$1:AH807)+(10000*($AH$1:AH807="")),COUNTA($AH$1:AH807))),Sectors,0)),"")</f>
        <v>Demand</v>
      </c>
      <c r="E807" s="10">
        <f t="shared" ref="E807:E809" si="597">IF(COUNTA(BA807)=1,0,MIN(F807:AA807))</f>
        <v>0</v>
      </c>
      <c r="F807" s="207">
        <v>1</v>
      </c>
      <c r="G807" s="207">
        <v>1</v>
      </c>
      <c r="H807" s="207">
        <v>1</v>
      </c>
      <c r="I807" s="207">
        <v>1</v>
      </c>
      <c r="J807" s="207">
        <v>1</v>
      </c>
      <c r="K807" s="207">
        <v>1</v>
      </c>
      <c r="L807" s="207">
        <v>1</v>
      </c>
      <c r="M807" s="207">
        <v>1</v>
      </c>
      <c r="N807" s="207">
        <v>1</v>
      </c>
      <c r="O807" s="207">
        <v>1</v>
      </c>
      <c r="P807" s="207">
        <v>1</v>
      </c>
      <c r="Q807" s="207">
        <v>1</v>
      </c>
      <c r="R807" s="207">
        <v>1</v>
      </c>
      <c r="S807" s="207">
        <v>1</v>
      </c>
      <c r="T807" s="207">
        <v>1</v>
      </c>
      <c r="U807" s="207">
        <v>1</v>
      </c>
      <c r="V807" s="207">
        <v>1</v>
      </c>
      <c r="W807" s="207">
        <v>1</v>
      </c>
      <c r="X807" s="207">
        <v>1</v>
      </c>
      <c r="Y807" s="207">
        <v>1</v>
      </c>
      <c r="Z807" s="207">
        <v>1</v>
      </c>
      <c r="AA807" s="207">
        <v>1</v>
      </c>
      <c r="AB807" s="207">
        <v>1</v>
      </c>
      <c r="AC807" s="5"/>
      <c r="AD807" s="63"/>
      <c r="AE807" s="64"/>
      <c r="AF807" s="64"/>
      <c r="AG807" s="212"/>
      <c r="AH807" s="64"/>
      <c r="AI807" s="64"/>
      <c r="AJ807" s="64"/>
      <c r="AK807" s="64"/>
      <c r="AL807" s="80"/>
      <c r="AM807" s="64"/>
      <c r="AN807" s="64"/>
      <c r="AO807" s="64"/>
      <c r="AP807" s="63"/>
      <c r="AQ807" s="64"/>
      <c r="AR807" s="63"/>
      <c r="AS807" s="64"/>
      <c r="AT807" s="63"/>
      <c r="AU807" s="64"/>
      <c r="AV807" s="63"/>
      <c r="AW807" s="64"/>
      <c r="AX807" s="63"/>
      <c r="AY807" s="5"/>
      <c r="AZ807" s="21" t="str">
        <f t="shared" si="586"/>
        <v/>
      </c>
      <c r="BA807" s="2" t="s">
        <v>338</v>
      </c>
      <c r="BB807" s="13"/>
      <c r="BC807" s="74" t="s">
        <v>123</v>
      </c>
      <c r="BD807" s="74" t="s">
        <v>467</v>
      </c>
      <c r="BE807" s="216" t="s">
        <v>471</v>
      </c>
      <c r="BF807" s="55">
        <v>0.251</v>
      </c>
      <c r="BG807" s="55">
        <v>0.251</v>
      </c>
      <c r="BH807" s="55">
        <v>0.251</v>
      </c>
      <c r="BI807" s="55">
        <v>0.251</v>
      </c>
      <c r="BJ807" s="55">
        <v>0.251</v>
      </c>
      <c r="BK807" s="55">
        <v>0.251</v>
      </c>
      <c r="BL807" s="55">
        <v>0.251</v>
      </c>
      <c r="BM807" s="55">
        <v>0.251</v>
      </c>
      <c r="BN807" s="55">
        <v>0.251</v>
      </c>
      <c r="BO807" s="55">
        <v>0.251</v>
      </c>
      <c r="BP807" s="55">
        <v>0.251</v>
      </c>
      <c r="BQ807" s="5"/>
      <c r="BR807" s="13"/>
      <c r="BS807" s="5"/>
    </row>
    <row r="808" spans="1:71" s="3" customFormat="1" x14ac:dyDescent="0.25">
      <c r="A808" s="5"/>
      <c r="B808" s="3" t="str">
        <f t="array" ref="B808">IFERROR(INDEX(DemandSupply,MATCH(INDEX($AH$1:AH808,SMALL(ROW($AH$1:AH808)+(10000*($AH$1:AH808="")),COUNTA($AH$1:AH808))),Sectors,0)),"")</f>
        <v>Demand</v>
      </c>
      <c r="E808" s="10">
        <f t="shared" si="597"/>
        <v>0</v>
      </c>
      <c r="F808" s="207">
        <v>1</v>
      </c>
      <c r="G808" s="207">
        <v>1</v>
      </c>
      <c r="H808" s="207">
        <v>1</v>
      </c>
      <c r="I808" s="207">
        <v>1</v>
      </c>
      <c r="J808" s="207">
        <v>1</v>
      </c>
      <c r="K808" s="207">
        <v>1</v>
      </c>
      <c r="L808" s="207">
        <v>1</v>
      </c>
      <c r="M808" s="207">
        <v>1</v>
      </c>
      <c r="N808" s="207">
        <v>1</v>
      </c>
      <c r="O808" s="207">
        <v>1</v>
      </c>
      <c r="P808" s="207">
        <v>1</v>
      </c>
      <c r="Q808" s="207">
        <v>1</v>
      </c>
      <c r="R808" s="207">
        <v>1</v>
      </c>
      <c r="S808" s="207">
        <v>1</v>
      </c>
      <c r="T808" s="207">
        <v>1</v>
      </c>
      <c r="U808" s="207">
        <v>1</v>
      </c>
      <c r="V808" s="207">
        <v>1</v>
      </c>
      <c r="W808" s="207">
        <v>1</v>
      </c>
      <c r="X808" s="207">
        <v>1</v>
      </c>
      <c r="Y808" s="207">
        <v>1</v>
      </c>
      <c r="Z808" s="207">
        <v>1</v>
      </c>
      <c r="AA808" s="207">
        <v>1</v>
      </c>
      <c r="AB808" s="207">
        <v>1</v>
      </c>
      <c r="AC808" s="5"/>
      <c r="AD808" s="63"/>
      <c r="AE808" s="64"/>
      <c r="AF808" s="64"/>
      <c r="AG808" s="212"/>
      <c r="AH808" s="64"/>
      <c r="AI808" s="64"/>
      <c r="AJ808" s="64"/>
      <c r="AK808" s="64"/>
      <c r="AL808" s="80"/>
      <c r="AM808" s="64"/>
      <c r="AN808" s="64"/>
      <c r="AO808" s="64"/>
      <c r="AP808" s="63"/>
      <c r="AQ808" s="64"/>
      <c r="AR808" s="63"/>
      <c r="AS808" s="64"/>
      <c r="AT808" s="63"/>
      <c r="AU808" s="64"/>
      <c r="AV808" s="63"/>
      <c r="AW808" s="64"/>
      <c r="AX808" s="63"/>
      <c r="AY808" s="5"/>
      <c r="AZ808" s="21" t="str">
        <f t="shared" si="586"/>
        <v/>
      </c>
      <c r="BA808" s="2" t="s">
        <v>338</v>
      </c>
      <c r="BB808" s="13"/>
      <c r="BC808" s="74" t="s">
        <v>468</v>
      </c>
      <c r="BD808" s="74" t="s">
        <v>467</v>
      </c>
      <c r="BE808" s="216" t="s">
        <v>471</v>
      </c>
      <c r="BF808" s="55">
        <v>11.747999999999999</v>
      </c>
      <c r="BG808" s="55">
        <v>11.747999999999999</v>
      </c>
      <c r="BH808" s="55">
        <v>11.747999999999999</v>
      </c>
      <c r="BI808" s="55">
        <v>11.747999999999999</v>
      </c>
      <c r="BJ808" s="55">
        <v>11.747999999999999</v>
      </c>
      <c r="BK808" s="55">
        <v>11.747999999999999</v>
      </c>
      <c r="BL808" s="55">
        <v>11.747999999999999</v>
      </c>
      <c r="BM808" s="55">
        <v>11.747999999999999</v>
      </c>
      <c r="BN808" s="55">
        <v>11.747999999999999</v>
      </c>
      <c r="BO808" s="55">
        <v>11.747999999999999</v>
      </c>
      <c r="BP808" s="55">
        <v>11.747999999999999</v>
      </c>
      <c r="BQ808" s="5"/>
      <c r="BR808" s="13"/>
      <c r="BS808" s="5"/>
    </row>
    <row r="809" spans="1:71" s="3" customFormat="1" x14ac:dyDescent="0.25">
      <c r="A809" s="5"/>
      <c r="B809" s="3" t="str">
        <f t="array" ref="B809">IFERROR(INDEX(DemandSupply,MATCH(INDEX($AH$1:AH809,SMALL(ROW($AH$1:AH809)+(10000*($AH$1:AH809="")),COUNTA($AH$1:AH809))),Sectors,0)),"")</f>
        <v>Demand</v>
      </c>
      <c r="E809" s="10">
        <f t="shared" si="597"/>
        <v>0</v>
      </c>
      <c r="F809" s="207">
        <v>1</v>
      </c>
      <c r="G809" s="207">
        <v>1</v>
      </c>
      <c r="H809" s="207">
        <v>1</v>
      </c>
      <c r="I809" s="207">
        <v>1</v>
      </c>
      <c r="J809" s="207">
        <v>1</v>
      </c>
      <c r="K809" s="207">
        <v>1</v>
      </c>
      <c r="L809" s="207">
        <v>1</v>
      </c>
      <c r="M809" s="207">
        <v>1</v>
      </c>
      <c r="N809" s="207">
        <v>1</v>
      </c>
      <c r="O809" s="207">
        <v>1</v>
      </c>
      <c r="P809" s="207">
        <v>1</v>
      </c>
      <c r="Q809" s="207">
        <v>1</v>
      </c>
      <c r="R809" s="207">
        <v>1</v>
      </c>
      <c r="S809" s="207">
        <v>1</v>
      </c>
      <c r="T809" s="207">
        <v>1</v>
      </c>
      <c r="U809" s="207">
        <v>1</v>
      </c>
      <c r="V809" s="207">
        <v>1</v>
      </c>
      <c r="W809" s="207">
        <v>1</v>
      </c>
      <c r="X809" s="207">
        <v>1</v>
      </c>
      <c r="Y809" s="207">
        <v>1</v>
      </c>
      <c r="Z809" s="207">
        <v>1</v>
      </c>
      <c r="AA809" s="207">
        <v>1</v>
      </c>
      <c r="AB809" s="207">
        <v>1</v>
      </c>
      <c r="AC809" s="5"/>
      <c r="AD809" s="63"/>
      <c r="AE809" s="64"/>
      <c r="AF809" s="64"/>
      <c r="AG809" s="212"/>
      <c r="AH809" s="64"/>
      <c r="AI809" s="64"/>
      <c r="AJ809" s="64"/>
      <c r="AK809" s="64"/>
      <c r="AL809" s="80"/>
      <c r="AM809" s="64"/>
      <c r="AN809" s="64"/>
      <c r="AO809" s="64"/>
      <c r="AP809" s="63"/>
      <c r="AQ809" s="64"/>
      <c r="AR809" s="63"/>
      <c r="AS809" s="64"/>
      <c r="AT809" s="63"/>
      <c r="AU809" s="64"/>
      <c r="AV809" s="63"/>
      <c r="AW809" s="64"/>
      <c r="AX809" s="63"/>
      <c r="AY809" s="5"/>
      <c r="AZ809" s="21" t="str">
        <f t="shared" si="586"/>
        <v/>
      </c>
      <c r="BA809" s="291" t="s">
        <v>51</v>
      </c>
      <c r="BB809" s="13"/>
      <c r="BC809" s="2"/>
      <c r="BD809" s="2"/>
      <c r="BE809" s="216" t="s">
        <v>472</v>
      </c>
      <c r="BF809" s="4"/>
      <c r="BG809" s="4"/>
      <c r="BH809" s="4"/>
      <c r="BI809" s="4"/>
      <c r="BJ809" s="4"/>
      <c r="BK809" s="4"/>
      <c r="BL809" s="4"/>
      <c r="BM809" s="4"/>
      <c r="BN809" s="4"/>
      <c r="BO809" s="4"/>
      <c r="BP809" s="4"/>
      <c r="BQ809" s="5"/>
      <c r="BR809" s="13"/>
      <c r="BS809" s="5"/>
    </row>
    <row r="810" spans="1:71" s="3" customFormat="1" x14ac:dyDescent="0.25">
      <c r="A810" s="5"/>
      <c r="B810" s="3" t="str">
        <f t="array" ref="B810">IFERROR(INDEX(DemandSupply,MATCH(INDEX($AH$1:AH810,SMALL(ROW($AH$1:AH810)+(10000*($AH$1:AH810="")),COUNTA($AH$1:AH810))),Sectors,0)),"")</f>
        <v>Demand</v>
      </c>
      <c r="E810" s="10"/>
      <c r="F810" s="207"/>
      <c r="G810" s="207"/>
      <c r="H810" s="207"/>
      <c r="I810" s="207"/>
      <c r="J810" s="207"/>
      <c r="K810" s="207"/>
      <c r="L810" s="207"/>
      <c r="M810" s="207"/>
      <c r="N810" s="207"/>
      <c r="O810" s="207"/>
      <c r="P810" s="207"/>
      <c r="Q810" s="207"/>
      <c r="R810" s="207"/>
      <c r="S810" s="207"/>
      <c r="T810" s="207"/>
      <c r="U810" s="207"/>
      <c r="V810" s="207"/>
      <c r="W810" s="207"/>
      <c r="X810" s="207"/>
      <c r="Y810" s="207"/>
      <c r="Z810" s="207"/>
      <c r="AA810" s="207"/>
      <c r="AB810" s="207"/>
      <c r="AC810" s="5"/>
      <c r="AD810" s="63"/>
      <c r="AE810" s="64"/>
      <c r="AF810" s="64"/>
      <c r="AG810" s="212"/>
      <c r="AH810" s="64"/>
      <c r="AI810" s="64"/>
      <c r="AJ810" s="64"/>
      <c r="AK810" s="64"/>
      <c r="AL810" s="64"/>
      <c r="AM810" s="64"/>
      <c r="AN810" s="64"/>
      <c r="AO810" s="64"/>
      <c r="AP810" s="63"/>
      <c r="AQ810" s="64"/>
      <c r="AR810" s="63"/>
      <c r="AS810" s="64"/>
      <c r="AT810" s="63"/>
      <c r="AU810" s="64"/>
      <c r="AV810" s="63"/>
      <c r="AW810" s="64"/>
      <c r="AX810" s="63"/>
      <c r="AY810" s="5"/>
      <c r="AZ810" s="21" t="str">
        <f t="shared" si="586"/>
        <v/>
      </c>
      <c r="BA810" s="264" t="s">
        <v>38</v>
      </c>
      <c r="BB810" s="264"/>
      <c r="BC810" s="264"/>
      <c r="BD810" s="264" t="s">
        <v>40</v>
      </c>
      <c r="BE810" s="216" t="s">
        <v>472</v>
      </c>
      <c r="BF810" s="309">
        <v>2000</v>
      </c>
      <c r="BG810" s="310">
        <f t="shared" ref="BG810:BG812" si="598">BF810</f>
        <v>2000</v>
      </c>
      <c r="BH810" s="310">
        <f t="shared" ref="BH810:BH812" si="599">BG810</f>
        <v>2000</v>
      </c>
      <c r="BI810" s="310">
        <f t="shared" ref="BI810:BI812" si="600">BH810</f>
        <v>2000</v>
      </c>
      <c r="BJ810" s="310">
        <f t="shared" ref="BJ810:BJ812" si="601">BI810</f>
        <v>2000</v>
      </c>
      <c r="BK810" s="310">
        <f t="shared" ref="BK810:BK812" si="602">BJ810</f>
        <v>2000</v>
      </c>
      <c r="BL810" s="310">
        <f t="shared" ref="BL810:BL812" si="603">BK810</f>
        <v>2000</v>
      </c>
      <c r="BM810" s="310">
        <f t="shared" ref="BM810:BM812" si="604">BL810</f>
        <v>2000</v>
      </c>
      <c r="BN810" s="310">
        <f t="shared" ref="BN810:BN812" si="605">BM810</f>
        <v>2000</v>
      </c>
      <c r="BO810" s="310">
        <f t="shared" ref="BO810:BO812" si="606">BN810</f>
        <v>2000</v>
      </c>
      <c r="BP810" s="310">
        <f t="shared" ref="BP810:BP812" si="607">BO810</f>
        <v>2000</v>
      </c>
      <c r="BQ810" s="5"/>
      <c r="BR810" s="25"/>
      <c r="BS810" s="5"/>
    </row>
    <row r="811" spans="1:71" s="3" customFormat="1" x14ac:dyDescent="0.25">
      <c r="A811" s="5"/>
      <c r="B811" s="3" t="str">
        <f t="array" ref="B811">IFERROR(INDEX(DemandSupply,MATCH(INDEX($AH$1:AH811,SMALL(ROW($AH$1:AH811)+(10000*($AH$1:AH811="")),COUNTA($AH$1:AH811))),Sectors,0)),"")</f>
        <v>Demand</v>
      </c>
      <c r="E811" s="10"/>
      <c r="F811" s="207"/>
      <c r="G811" s="207"/>
      <c r="H811" s="207"/>
      <c r="I811" s="207"/>
      <c r="J811" s="207"/>
      <c r="K811" s="207"/>
      <c r="L811" s="207"/>
      <c r="M811" s="207"/>
      <c r="N811" s="207"/>
      <c r="O811" s="207"/>
      <c r="P811" s="207"/>
      <c r="Q811" s="207"/>
      <c r="R811" s="207"/>
      <c r="S811" s="207"/>
      <c r="T811" s="207"/>
      <c r="U811" s="207"/>
      <c r="V811" s="207"/>
      <c r="W811" s="207"/>
      <c r="X811" s="207"/>
      <c r="Y811" s="207"/>
      <c r="Z811" s="207"/>
      <c r="AA811" s="207"/>
      <c r="AB811" s="207"/>
      <c r="AC811" s="5"/>
      <c r="AD811" s="63"/>
      <c r="AE811" s="64"/>
      <c r="AF811" s="64"/>
      <c r="AG811" s="212"/>
      <c r="AH811" s="64"/>
      <c r="AI811" s="64"/>
      <c r="AJ811" s="64"/>
      <c r="AK811" s="64"/>
      <c r="AL811" s="64"/>
      <c r="AM811" s="64"/>
      <c r="AN811" s="64"/>
      <c r="AO811" s="64"/>
      <c r="AP811" s="63"/>
      <c r="AQ811" s="64"/>
      <c r="AR811" s="63"/>
      <c r="AS811" s="64"/>
      <c r="AT811" s="63"/>
      <c r="AU811" s="64"/>
      <c r="AV811" s="63"/>
      <c r="AW811" s="64"/>
      <c r="AX811" s="63"/>
      <c r="AY811" s="5"/>
      <c r="AZ811" s="21" t="str">
        <f t="shared" si="586"/>
        <v/>
      </c>
      <c r="BA811" s="264" t="s">
        <v>37</v>
      </c>
      <c r="BB811" s="264"/>
      <c r="BC811" s="264"/>
      <c r="BD811" s="264" t="s">
        <v>40</v>
      </c>
      <c r="BE811" s="216" t="s">
        <v>472</v>
      </c>
      <c r="BF811" s="309">
        <v>2100</v>
      </c>
      <c r="BG811" s="310">
        <f t="shared" si="598"/>
        <v>2100</v>
      </c>
      <c r="BH811" s="310">
        <f t="shared" si="599"/>
        <v>2100</v>
      </c>
      <c r="BI811" s="310">
        <f t="shared" si="600"/>
        <v>2100</v>
      </c>
      <c r="BJ811" s="310">
        <f t="shared" si="601"/>
        <v>2100</v>
      </c>
      <c r="BK811" s="310">
        <f t="shared" si="602"/>
        <v>2100</v>
      </c>
      <c r="BL811" s="310">
        <f t="shared" si="603"/>
        <v>2100</v>
      </c>
      <c r="BM811" s="310">
        <f t="shared" si="604"/>
        <v>2100</v>
      </c>
      <c r="BN811" s="310">
        <f t="shared" si="605"/>
        <v>2100</v>
      </c>
      <c r="BO811" s="310">
        <f t="shared" si="606"/>
        <v>2100</v>
      </c>
      <c r="BP811" s="310">
        <f t="shared" si="607"/>
        <v>2100</v>
      </c>
      <c r="BQ811" s="5"/>
      <c r="BR811" s="25"/>
      <c r="BS811" s="5"/>
    </row>
    <row r="812" spans="1:71" s="3" customFormat="1" x14ac:dyDescent="0.25">
      <c r="A812" s="5"/>
      <c r="B812" s="3" t="str">
        <f t="array" ref="B812">IFERROR(INDEX(DemandSupply,MATCH(INDEX($AH$1:AH812,SMALL(ROW($AH$1:AH812)+(10000*($AH$1:AH812="")),COUNTA($AH$1:AH812))),Sectors,0)),"")</f>
        <v>Demand</v>
      </c>
      <c r="E812" s="10"/>
      <c r="F812" s="207"/>
      <c r="G812" s="207"/>
      <c r="H812" s="207"/>
      <c r="I812" s="207"/>
      <c r="J812" s="207"/>
      <c r="K812" s="207"/>
      <c r="L812" s="207"/>
      <c r="M812" s="207"/>
      <c r="N812" s="207"/>
      <c r="O812" s="207"/>
      <c r="P812" s="207"/>
      <c r="Q812" s="207"/>
      <c r="R812" s="207"/>
      <c r="S812" s="207"/>
      <c r="T812" s="207"/>
      <c r="U812" s="207"/>
      <c r="V812" s="207"/>
      <c r="W812" s="207"/>
      <c r="X812" s="207"/>
      <c r="Y812" s="207"/>
      <c r="Z812" s="207"/>
      <c r="AA812" s="207"/>
      <c r="AB812" s="207"/>
      <c r="AC812" s="5"/>
      <c r="AD812" s="63"/>
      <c r="AE812" s="64"/>
      <c r="AF812" s="64"/>
      <c r="AG812" s="212"/>
      <c r="AH812" s="64"/>
      <c r="AI812" s="64"/>
      <c r="AJ812" s="64"/>
      <c r="AK812" s="64"/>
      <c r="AL812" s="64"/>
      <c r="AM812" s="64"/>
      <c r="AN812" s="64"/>
      <c r="AO812" s="64"/>
      <c r="AP812" s="63"/>
      <c r="AQ812" s="64"/>
      <c r="AR812" s="63"/>
      <c r="AS812" s="64"/>
      <c r="AT812" s="63"/>
      <c r="AU812" s="64"/>
      <c r="AV812" s="63"/>
      <c r="AW812" s="64"/>
      <c r="AX812" s="63"/>
      <c r="AY812" s="5"/>
      <c r="AZ812" s="21" t="str">
        <f t="shared" si="586"/>
        <v/>
      </c>
      <c r="BA812" s="264" t="s">
        <v>39</v>
      </c>
      <c r="BB812" s="264"/>
      <c r="BC812" s="264"/>
      <c r="BD812" s="264" t="s">
        <v>10</v>
      </c>
      <c r="BE812" s="216" t="s">
        <v>472</v>
      </c>
      <c r="BF812" s="56">
        <v>14</v>
      </c>
      <c r="BG812" s="282">
        <f t="shared" si="598"/>
        <v>14</v>
      </c>
      <c r="BH812" s="282">
        <f t="shared" si="599"/>
        <v>14</v>
      </c>
      <c r="BI812" s="282">
        <f t="shared" si="600"/>
        <v>14</v>
      </c>
      <c r="BJ812" s="282">
        <f t="shared" si="601"/>
        <v>14</v>
      </c>
      <c r="BK812" s="282">
        <f t="shared" si="602"/>
        <v>14</v>
      </c>
      <c r="BL812" s="282">
        <f t="shared" si="603"/>
        <v>14</v>
      </c>
      <c r="BM812" s="282">
        <f t="shared" si="604"/>
        <v>14</v>
      </c>
      <c r="BN812" s="282">
        <f t="shared" si="605"/>
        <v>14</v>
      </c>
      <c r="BO812" s="282">
        <f t="shared" si="606"/>
        <v>14</v>
      </c>
      <c r="BP812" s="282">
        <f t="shared" si="607"/>
        <v>14</v>
      </c>
      <c r="BQ812" s="5"/>
      <c r="BR812" s="25"/>
      <c r="BS812" s="5"/>
    </row>
    <row r="813" spans="1:71" s="3" customFormat="1" x14ac:dyDescent="0.25">
      <c r="A813" s="5"/>
      <c r="B813" s="3" t="str">
        <f t="array" ref="B813">IFERROR(INDEX(DemandSupply,MATCH(INDEX($AH$1:AH813,SMALL(ROW($AH$1:AH813)+(10000*($AH$1:AH813="")),COUNTA($AH$1:AH813))),Sectors,0)),"")</f>
        <v>Demand</v>
      </c>
      <c r="E813" s="10"/>
      <c r="F813" s="207"/>
      <c r="G813" s="207"/>
      <c r="H813" s="207"/>
      <c r="I813" s="207"/>
      <c r="J813" s="207"/>
      <c r="K813" s="207"/>
      <c r="L813" s="207"/>
      <c r="M813" s="207"/>
      <c r="N813" s="207"/>
      <c r="O813" s="207"/>
      <c r="P813" s="207"/>
      <c r="Q813" s="207"/>
      <c r="R813" s="207"/>
      <c r="S813" s="207"/>
      <c r="T813" s="207"/>
      <c r="U813" s="207"/>
      <c r="V813" s="207"/>
      <c r="W813" s="207"/>
      <c r="X813" s="207"/>
      <c r="Y813" s="207"/>
      <c r="Z813" s="207"/>
      <c r="AA813" s="207"/>
      <c r="AB813" s="207"/>
      <c r="AC813" s="5"/>
      <c r="AD813" s="63"/>
      <c r="AE813" s="64"/>
      <c r="AF813" s="64"/>
      <c r="AG813" s="212"/>
      <c r="AH813" s="64"/>
      <c r="AI813" s="64"/>
      <c r="AJ813" s="64"/>
      <c r="AK813" s="64"/>
      <c r="AL813" s="64"/>
      <c r="AM813" s="64"/>
      <c r="AN813" s="64"/>
      <c r="AO813" s="64"/>
      <c r="AP813" s="63"/>
      <c r="AQ813" s="64"/>
      <c r="AR813" s="63"/>
      <c r="AS813" s="64"/>
      <c r="AT813" s="63"/>
      <c r="AU813" s="64"/>
      <c r="AV813" s="63"/>
      <c r="AW813" s="64"/>
      <c r="AX813" s="63"/>
      <c r="AY813" s="5"/>
      <c r="AZ813" s="21" t="str">
        <f t="shared" si="586"/>
        <v/>
      </c>
      <c r="BA813" s="264" t="s">
        <v>395</v>
      </c>
      <c r="BB813" s="264"/>
      <c r="BC813" s="264"/>
      <c r="BD813" s="264" t="s">
        <v>10</v>
      </c>
      <c r="BE813" s="216" t="s">
        <v>472</v>
      </c>
      <c r="BF813" s="56"/>
      <c r="BG813" s="56"/>
      <c r="BH813" s="56"/>
      <c r="BI813" s="56"/>
      <c r="BJ813" s="56"/>
      <c r="BK813" s="56"/>
      <c r="BL813" s="56"/>
      <c r="BM813" s="56"/>
      <c r="BN813" s="56"/>
      <c r="BO813" s="56"/>
      <c r="BP813" s="56"/>
      <c r="BQ813" s="5"/>
      <c r="BR813" s="25"/>
      <c r="BS813" s="5"/>
    </row>
    <row r="814" spans="1:71" s="3" customFormat="1" x14ac:dyDescent="0.25">
      <c r="A814" s="5"/>
      <c r="B814" s="3" t="str">
        <f t="array" ref="B814">IFERROR(INDEX(DemandSupply,MATCH(INDEX($AH$1:AH814,SMALL(ROW($AH$1:AH814)+(10000*($AH$1:AH814="")),COUNTA($AH$1:AH814))),Sectors,0)),"")</f>
        <v>Demand</v>
      </c>
      <c r="E814" s="10"/>
      <c r="F814" s="207"/>
      <c r="G814" s="207"/>
      <c r="H814" s="207"/>
      <c r="I814" s="207"/>
      <c r="J814" s="207"/>
      <c r="K814" s="207"/>
      <c r="L814" s="207"/>
      <c r="M814" s="207"/>
      <c r="N814" s="207"/>
      <c r="O814" s="207"/>
      <c r="P814" s="207"/>
      <c r="Q814" s="207"/>
      <c r="R814" s="207"/>
      <c r="S814" s="207"/>
      <c r="T814" s="207"/>
      <c r="U814" s="207"/>
      <c r="V814" s="207"/>
      <c r="W814" s="207"/>
      <c r="X814" s="207"/>
      <c r="Y814" s="207"/>
      <c r="Z814" s="207"/>
      <c r="AA814" s="207"/>
      <c r="AB814" s="207"/>
      <c r="AC814" s="5"/>
      <c r="AD814" s="63"/>
      <c r="AE814" s="64"/>
      <c r="AF814" s="64"/>
      <c r="AG814" s="212"/>
      <c r="AH814" s="64"/>
      <c r="AI814" s="64"/>
      <c r="AJ814" s="64"/>
      <c r="AK814" s="64"/>
      <c r="AL814" s="64"/>
      <c r="AM814" s="64"/>
      <c r="AN814" s="64"/>
      <c r="AO814" s="64"/>
      <c r="AP814" s="63"/>
      <c r="AQ814" s="64"/>
      <c r="AR814" s="63"/>
      <c r="AS814" s="64"/>
      <c r="AT814" s="63"/>
      <c r="AU814" s="64"/>
      <c r="AV814" s="63"/>
      <c r="AW814" s="64"/>
      <c r="AX814" s="63"/>
      <c r="AY814" s="5"/>
      <c r="AZ814" s="21" t="str">
        <f t="shared" si="586"/>
        <v/>
      </c>
      <c r="BA814" s="264" t="s">
        <v>341</v>
      </c>
      <c r="BB814" s="264"/>
      <c r="BC814" s="264"/>
      <c r="BD814" s="264" t="s">
        <v>99</v>
      </c>
      <c r="BE814" s="216" t="s">
        <v>472</v>
      </c>
      <c r="BF814" s="303">
        <v>0.3</v>
      </c>
      <c r="BG814" s="306">
        <f t="shared" ref="BG814" si="608">BF814</f>
        <v>0.3</v>
      </c>
      <c r="BH814" s="306">
        <f t="shared" ref="BH814" si="609">BG814</f>
        <v>0.3</v>
      </c>
      <c r="BI814" s="306">
        <f t="shared" ref="BI814" si="610">BH814</f>
        <v>0.3</v>
      </c>
      <c r="BJ814" s="306">
        <f t="shared" ref="BJ814" si="611">BI814</f>
        <v>0.3</v>
      </c>
      <c r="BK814" s="306">
        <f t="shared" ref="BK814" si="612">BJ814</f>
        <v>0.3</v>
      </c>
      <c r="BL814" s="306">
        <f t="shared" ref="BL814" si="613">BK814</f>
        <v>0.3</v>
      </c>
      <c r="BM814" s="306">
        <f t="shared" ref="BM814" si="614">BL814</f>
        <v>0.3</v>
      </c>
      <c r="BN814" s="306">
        <f t="shared" ref="BN814" si="615">BM814</f>
        <v>0.3</v>
      </c>
      <c r="BO814" s="306">
        <f t="shared" ref="BO814" si="616">BN814</f>
        <v>0.3</v>
      </c>
      <c r="BP814" s="306">
        <f t="shared" ref="BP814" si="617">BO814</f>
        <v>0.3</v>
      </c>
      <c r="BQ814" s="5"/>
      <c r="BR814" s="25"/>
      <c r="BS814" s="5"/>
    </row>
    <row r="815" spans="1:71" s="3" customFormat="1" x14ac:dyDescent="0.25">
      <c r="A815" s="5"/>
      <c r="B815" s="3" t="str">
        <f t="array" ref="B815">IFERROR(INDEX(DemandSupply,MATCH(INDEX($AH$1:AH815,SMALL(ROW($AH$1:AH815)+(10000*($AH$1:AH815="")),COUNTA($AH$1:AH815))),Sectors,0)),"")</f>
        <v>Demand</v>
      </c>
      <c r="E815" s="10"/>
      <c r="F815" s="207"/>
      <c r="G815" s="207"/>
      <c r="H815" s="207"/>
      <c r="I815" s="207"/>
      <c r="J815" s="207"/>
      <c r="K815" s="207"/>
      <c r="L815" s="207"/>
      <c r="M815" s="207"/>
      <c r="N815" s="207"/>
      <c r="O815" s="207"/>
      <c r="P815" s="207"/>
      <c r="Q815" s="207"/>
      <c r="R815" s="207"/>
      <c r="S815" s="207"/>
      <c r="T815" s="207"/>
      <c r="U815" s="207"/>
      <c r="V815" s="207"/>
      <c r="W815" s="207"/>
      <c r="X815" s="207"/>
      <c r="Y815" s="207"/>
      <c r="Z815" s="207"/>
      <c r="AA815" s="207"/>
      <c r="AB815" s="207"/>
      <c r="AC815" s="5"/>
      <c r="AD815" s="63"/>
      <c r="AE815" s="64"/>
      <c r="AF815" s="64"/>
      <c r="AG815" s="212"/>
      <c r="AH815" s="64"/>
      <c r="AI815" s="64"/>
      <c r="AJ815" s="64"/>
      <c r="AK815" s="64"/>
      <c r="AL815" s="64"/>
      <c r="AM815" s="64"/>
      <c r="AN815" s="64"/>
      <c r="AO815" s="64"/>
      <c r="AP815" s="63"/>
      <c r="AQ815" s="64"/>
      <c r="AR815" s="63"/>
      <c r="AS815" s="64"/>
      <c r="AT815" s="63"/>
      <c r="AU815" s="64"/>
      <c r="AV815" s="63"/>
      <c r="AW815" s="64"/>
      <c r="AX815" s="63"/>
      <c r="AY815" s="5"/>
      <c r="AZ815" s="21" t="str">
        <f t="shared" si="586"/>
        <v/>
      </c>
      <c r="BA815" s="264" t="s">
        <v>392</v>
      </c>
      <c r="BB815" s="264"/>
      <c r="BC815" s="264"/>
      <c r="BD815" s="264" t="s">
        <v>99</v>
      </c>
      <c r="BE815" s="216" t="s">
        <v>472</v>
      </c>
      <c r="BF815" s="303"/>
      <c r="BG815" s="303"/>
      <c r="BH815" s="303"/>
      <c r="BI815" s="303"/>
      <c r="BJ815" s="303"/>
      <c r="BK815" s="303"/>
      <c r="BL815" s="303"/>
      <c r="BM815" s="303"/>
      <c r="BN815" s="303"/>
      <c r="BO815" s="303"/>
      <c r="BP815" s="303"/>
      <c r="BQ815" s="5"/>
      <c r="BR815" s="25"/>
      <c r="BS815" s="5"/>
    </row>
    <row r="816" spans="1:71" s="3" customFormat="1" x14ac:dyDescent="0.25">
      <c r="A816" s="5"/>
      <c r="B816" s="3" t="str">
        <f t="array" ref="B816">IFERROR(INDEX(DemandSupply,MATCH(INDEX($AH$1:AH816,SMALL(ROW($AH$1:AH816)+(10000*($AH$1:AH816="")),COUNTA($AH$1:AH816))),Sectors,0)),"")</f>
        <v>Demand</v>
      </c>
      <c r="E816" s="10"/>
      <c r="F816" s="207"/>
      <c r="G816" s="207"/>
      <c r="H816" s="207"/>
      <c r="I816" s="207"/>
      <c r="J816" s="207"/>
      <c r="K816" s="207"/>
      <c r="L816" s="207"/>
      <c r="M816" s="207"/>
      <c r="N816" s="207"/>
      <c r="O816" s="207"/>
      <c r="P816" s="207"/>
      <c r="Q816" s="207"/>
      <c r="R816" s="207"/>
      <c r="S816" s="207"/>
      <c r="T816" s="207"/>
      <c r="U816" s="207"/>
      <c r="V816" s="207"/>
      <c r="W816" s="207"/>
      <c r="X816" s="207"/>
      <c r="Y816" s="207"/>
      <c r="Z816" s="207"/>
      <c r="AA816" s="207"/>
      <c r="AB816" s="207"/>
      <c r="AC816" s="5"/>
      <c r="AD816" s="63"/>
      <c r="AE816" s="64"/>
      <c r="AF816" s="64"/>
      <c r="AG816" s="212"/>
      <c r="AH816" s="64"/>
      <c r="AI816" s="64"/>
      <c r="AJ816" s="64"/>
      <c r="AK816" s="64"/>
      <c r="AL816" s="64"/>
      <c r="AM816" s="64"/>
      <c r="AN816" s="64"/>
      <c r="AO816" s="64"/>
      <c r="AP816" s="63"/>
      <c r="AQ816" s="64"/>
      <c r="AR816" s="63"/>
      <c r="AS816" s="64"/>
      <c r="AT816" s="63"/>
      <c r="AU816" s="64"/>
      <c r="AV816" s="63"/>
      <c r="AW816" s="64"/>
      <c r="AX816" s="63"/>
      <c r="AY816" s="5"/>
      <c r="AZ816" s="21" t="str">
        <f t="shared" si="586"/>
        <v/>
      </c>
      <c r="BA816" s="264" t="s">
        <v>391</v>
      </c>
      <c r="BB816" s="264"/>
      <c r="BC816" s="264"/>
      <c r="BD816" s="264" t="s">
        <v>99</v>
      </c>
      <c r="BE816" s="216" t="s">
        <v>472</v>
      </c>
      <c r="BF816" s="303"/>
      <c r="BG816" s="303"/>
      <c r="BH816" s="303"/>
      <c r="BI816" s="303"/>
      <c r="BJ816" s="303"/>
      <c r="BK816" s="303"/>
      <c r="BL816" s="303"/>
      <c r="BM816" s="303"/>
      <c r="BN816" s="303"/>
      <c r="BO816" s="303"/>
      <c r="BP816" s="303"/>
      <c r="BQ816" s="5"/>
      <c r="BR816" s="25"/>
      <c r="BS816" s="5"/>
    </row>
    <row r="817" spans="1:71" s="3" customFormat="1" x14ac:dyDescent="0.25">
      <c r="A817" s="5"/>
      <c r="B817" s="3" t="str">
        <f t="array" ref="B817">IFERROR(INDEX(DemandSupply,MATCH(INDEX($AH$1:AH817,SMALL(ROW($AH$1:AH817)+(10000*($AH$1:AH817="")),COUNTA($AH$1:AH817))),Sectors,0)),"")</f>
        <v>Demand</v>
      </c>
      <c r="E817" s="10"/>
      <c r="F817" s="207"/>
      <c r="G817" s="207"/>
      <c r="H817" s="207"/>
      <c r="I817" s="207"/>
      <c r="J817" s="207"/>
      <c r="K817" s="207"/>
      <c r="L817" s="207"/>
      <c r="M817" s="207"/>
      <c r="N817" s="207"/>
      <c r="O817" s="207"/>
      <c r="P817" s="207"/>
      <c r="Q817" s="207"/>
      <c r="R817" s="207"/>
      <c r="S817" s="207"/>
      <c r="T817" s="207"/>
      <c r="U817" s="207"/>
      <c r="V817" s="207"/>
      <c r="W817" s="207"/>
      <c r="X817" s="207"/>
      <c r="Y817" s="207"/>
      <c r="Z817" s="207"/>
      <c r="AA817" s="207"/>
      <c r="AB817" s="207"/>
      <c r="AC817" s="5"/>
      <c r="AD817" s="63"/>
      <c r="AE817" s="64"/>
      <c r="AF817" s="64"/>
      <c r="AG817" s="212"/>
      <c r="AH817" s="64"/>
      <c r="AI817" s="64"/>
      <c r="AJ817" s="64"/>
      <c r="AK817" s="64"/>
      <c r="AL817" s="64"/>
      <c r="AM817" s="64"/>
      <c r="AN817" s="64"/>
      <c r="AO817" s="64"/>
      <c r="AP817" s="63"/>
      <c r="AQ817" s="64"/>
      <c r="AR817" s="63"/>
      <c r="AS817" s="64"/>
      <c r="AT817" s="63"/>
      <c r="AU817" s="64"/>
      <c r="AV817" s="63"/>
      <c r="AW817" s="64"/>
      <c r="AX817" s="63"/>
      <c r="AY817" s="5"/>
      <c r="AZ817" s="21" t="str">
        <f t="shared" si="586"/>
        <v/>
      </c>
      <c r="BA817" s="264" t="s">
        <v>144</v>
      </c>
      <c r="BB817" s="264"/>
      <c r="BC817" s="264"/>
      <c r="BD817" s="264" t="s">
        <v>353</v>
      </c>
      <c r="BE817" s="216" t="s">
        <v>472</v>
      </c>
      <c r="BF817" s="56"/>
      <c r="BG817" s="56"/>
      <c r="BH817" s="56"/>
      <c r="BI817" s="56"/>
      <c r="BJ817" s="56"/>
      <c r="BK817" s="56"/>
      <c r="BL817" s="56"/>
      <c r="BM817" s="56"/>
      <c r="BN817" s="56"/>
      <c r="BO817" s="56"/>
      <c r="BP817" s="56"/>
      <c r="BQ817" s="5"/>
      <c r="BR817" s="25"/>
      <c r="BS817" s="5"/>
    </row>
    <row r="818" spans="1:71" s="3" customFormat="1" x14ac:dyDescent="0.25">
      <c r="A818" s="5"/>
      <c r="B818" s="3" t="str">
        <f t="array" ref="B818">IFERROR(INDEX(DemandSupply,MATCH(INDEX($AH$1:AH818,SMALL(ROW($AH$1:AH818)+(10000*($AH$1:AH818="")),COUNTA($AH$1:AH818))),Sectors,0)),"")</f>
        <v>Demand</v>
      </c>
      <c r="E818" s="10"/>
      <c r="F818" s="207"/>
      <c r="G818" s="207"/>
      <c r="H818" s="207"/>
      <c r="I818" s="207"/>
      <c r="J818" s="207"/>
      <c r="K818" s="207"/>
      <c r="L818" s="207"/>
      <c r="M818" s="207"/>
      <c r="N818" s="207"/>
      <c r="O818" s="207"/>
      <c r="P818" s="207"/>
      <c r="Q818" s="207"/>
      <c r="R818" s="207"/>
      <c r="S818" s="207"/>
      <c r="T818" s="207"/>
      <c r="U818" s="207"/>
      <c r="V818" s="207"/>
      <c r="W818" s="207"/>
      <c r="X818" s="207"/>
      <c r="Y818" s="207"/>
      <c r="Z818" s="207"/>
      <c r="AA818" s="207"/>
      <c r="AB818" s="207"/>
      <c r="AC818" s="5"/>
      <c r="AD818" s="63"/>
      <c r="AE818" s="64"/>
      <c r="AF818" s="64"/>
      <c r="AG818" s="212"/>
      <c r="AH818" s="64"/>
      <c r="AI818" s="64"/>
      <c r="AJ818" s="64"/>
      <c r="AK818" s="64"/>
      <c r="AL818" s="64"/>
      <c r="AM818" s="64"/>
      <c r="AN818" s="64"/>
      <c r="AO818" s="64"/>
      <c r="AP818" s="63"/>
      <c r="AQ818" s="64"/>
      <c r="AR818" s="63"/>
      <c r="AS818" s="64"/>
      <c r="AT818" s="63"/>
      <c r="AU818" s="64"/>
      <c r="AV818" s="63"/>
      <c r="AW818" s="64"/>
      <c r="AX818" s="63"/>
      <c r="AY818" s="5"/>
      <c r="AZ818" s="21" t="str">
        <f t="shared" si="586"/>
        <v/>
      </c>
      <c r="BA818" s="264" t="s">
        <v>76</v>
      </c>
      <c r="BB818" s="264"/>
      <c r="BC818" s="264"/>
      <c r="BD818" s="264" t="s">
        <v>99</v>
      </c>
      <c r="BE818" s="216" t="s">
        <v>472</v>
      </c>
      <c r="BF818" s="303">
        <v>0</v>
      </c>
      <c r="BG818" s="303"/>
      <c r="BH818" s="303"/>
      <c r="BI818" s="303"/>
      <c r="BJ818" s="303"/>
      <c r="BK818" s="303"/>
      <c r="BL818" s="303"/>
      <c r="BM818" s="303"/>
      <c r="BN818" s="303"/>
      <c r="BO818" s="303"/>
      <c r="BP818" s="303"/>
      <c r="BQ818" s="5"/>
      <c r="BR818" s="25"/>
      <c r="BS818" s="5"/>
    </row>
    <row r="819" spans="1:71" s="3" customFormat="1" x14ac:dyDescent="0.25">
      <c r="A819" s="5"/>
      <c r="B819" s="3" t="str">
        <f t="array" ref="B819">IFERROR(INDEX(DemandSupply,MATCH(INDEX($AH$1:AH819,SMALL(ROW($AH$1:AH819)+(10000*($AH$1:AH819="")),COUNTA($AH$1:AH819))),Sectors,0)),"")</f>
        <v>Demand</v>
      </c>
      <c r="E819" s="10"/>
      <c r="F819" s="207"/>
      <c r="G819" s="207"/>
      <c r="H819" s="207"/>
      <c r="I819" s="207"/>
      <c r="J819" s="207"/>
      <c r="K819" s="207"/>
      <c r="L819" s="207"/>
      <c r="M819" s="207"/>
      <c r="N819" s="207"/>
      <c r="O819" s="207"/>
      <c r="P819" s="207"/>
      <c r="Q819" s="207"/>
      <c r="R819" s="207"/>
      <c r="S819" s="207"/>
      <c r="T819" s="207"/>
      <c r="U819" s="207"/>
      <c r="V819" s="207"/>
      <c r="W819" s="207"/>
      <c r="X819" s="207"/>
      <c r="Y819" s="207"/>
      <c r="Z819" s="207"/>
      <c r="AA819" s="207"/>
      <c r="AB819" s="207"/>
      <c r="AC819" s="5"/>
      <c r="AD819" s="63"/>
      <c r="AE819" s="64"/>
      <c r="AF819" s="64"/>
      <c r="AG819" s="212"/>
      <c r="AH819" s="64"/>
      <c r="AI819" s="64"/>
      <c r="AJ819" s="64"/>
      <c r="AK819" s="64"/>
      <c r="AL819" s="64"/>
      <c r="AM819" s="64"/>
      <c r="AN819" s="64"/>
      <c r="AO819" s="64"/>
      <c r="AP819" s="63"/>
      <c r="AQ819" s="64"/>
      <c r="AR819" s="63"/>
      <c r="AS819" s="64"/>
      <c r="AT819" s="63"/>
      <c r="AU819" s="64"/>
      <c r="AV819" s="63"/>
      <c r="AW819" s="64"/>
      <c r="AX819" s="63"/>
      <c r="AY819" s="5"/>
      <c r="AZ819" s="21" t="str">
        <f t="shared" si="586"/>
        <v/>
      </c>
      <c r="BA819" s="75" t="s">
        <v>166</v>
      </c>
      <c r="BB819" s="75"/>
      <c r="BC819" s="270"/>
      <c r="BD819" s="75" t="s">
        <v>99</v>
      </c>
      <c r="BE819" s="216" t="s">
        <v>472</v>
      </c>
      <c r="BF819" s="303"/>
      <c r="BG819" s="303"/>
      <c r="BH819" s="303"/>
      <c r="BI819" s="303"/>
      <c r="BJ819" s="303"/>
      <c r="BK819" s="303"/>
      <c r="BL819" s="303"/>
      <c r="BM819" s="303"/>
      <c r="BN819" s="303"/>
      <c r="BO819" s="303"/>
      <c r="BP819" s="303"/>
      <c r="BQ819" s="5"/>
      <c r="BR819" s="25"/>
      <c r="BS819" s="5"/>
    </row>
    <row r="820" spans="1:71" s="3" customFormat="1" x14ac:dyDescent="0.25">
      <c r="A820" s="5"/>
      <c r="B820" s="3" t="str">
        <f t="array" ref="B820">IFERROR(INDEX(DemandSupply,MATCH(INDEX($AH$1:AH820,SMALL(ROW($AH$1:AH820)+(10000*($AH$1:AH820="")),COUNTA($AH$1:AH820))),Sectors,0)),"")</f>
        <v>Demand</v>
      </c>
      <c r="E820" s="10"/>
      <c r="F820" s="207"/>
      <c r="G820" s="207"/>
      <c r="H820" s="207"/>
      <c r="I820" s="207"/>
      <c r="J820" s="207"/>
      <c r="K820" s="207"/>
      <c r="L820" s="207"/>
      <c r="M820" s="207"/>
      <c r="N820" s="207"/>
      <c r="O820" s="207"/>
      <c r="P820" s="207"/>
      <c r="Q820" s="207"/>
      <c r="R820" s="207"/>
      <c r="S820" s="207"/>
      <c r="T820" s="207"/>
      <c r="U820" s="207"/>
      <c r="V820" s="207"/>
      <c r="W820" s="207"/>
      <c r="X820" s="207"/>
      <c r="Y820" s="207"/>
      <c r="Z820" s="207"/>
      <c r="AA820" s="207"/>
      <c r="AB820" s="207"/>
      <c r="AC820" s="5"/>
      <c r="AD820" s="63"/>
      <c r="AE820" s="64"/>
      <c r="AF820" s="64"/>
      <c r="AG820" s="212"/>
      <c r="AH820" s="64"/>
      <c r="AI820" s="64"/>
      <c r="AJ820" s="64"/>
      <c r="AK820" s="64"/>
      <c r="AL820" s="64"/>
      <c r="AM820" s="64"/>
      <c r="AN820" s="64"/>
      <c r="AO820" s="64"/>
      <c r="AP820" s="63"/>
      <c r="AQ820" s="64"/>
      <c r="AR820" s="63"/>
      <c r="AS820" s="64"/>
      <c r="AT820" s="63"/>
      <c r="AU820" s="64"/>
      <c r="AV820" s="63"/>
      <c r="AW820" s="64"/>
      <c r="AX820" s="63"/>
      <c r="AY820" s="5"/>
      <c r="AZ820" s="21" t="str">
        <f t="shared" si="586"/>
        <v/>
      </c>
      <c r="BA820" s="75" t="s">
        <v>167</v>
      </c>
      <c r="BB820" s="75"/>
      <c r="BC820" s="270"/>
      <c r="BD820" s="75" t="s">
        <v>99</v>
      </c>
      <c r="BE820" s="216" t="s">
        <v>472</v>
      </c>
      <c r="BF820" s="303"/>
      <c r="BG820" s="303"/>
      <c r="BH820" s="303"/>
      <c r="BI820" s="303"/>
      <c r="BJ820" s="303"/>
      <c r="BK820" s="303"/>
      <c r="BL820" s="303"/>
      <c r="BM820" s="303"/>
      <c r="BN820" s="303"/>
      <c r="BO820" s="303"/>
      <c r="BP820" s="303"/>
      <c r="BQ820" s="5"/>
      <c r="BR820" s="25"/>
      <c r="BS820" s="5"/>
    </row>
    <row r="821" spans="1:71" s="3" customFormat="1" x14ac:dyDescent="0.25">
      <c r="A821" s="5"/>
      <c r="B821" s="3" t="str">
        <f t="array" ref="B821">IFERROR(INDEX(DemandSupply,MATCH(INDEX($AH$1:AH821,SMALL(ROW($AH$1:AH821)+(10000*($AH$1:AH821="")),COUNTA($AH$1:AH821))),Sectors,0)),"")</f>
        <v>Demand</v>
      </c>
      <c r="E821" s="10"/>
      <c r="F821" s="207"/>
      <c r="G821" s="207"/>
      <c r="H821" s="207"/>
      <c r="I821" s="207"/>
      <c r="J821" s="207"/>
      <c r="K821" s="207"/>
      <c r="L821" s="207"/>
      <c r="M821" s="207"/>
      <c r="N821" s="207"/>
      <c r="O821" s="207"/>
      <c r="P821" s="207"/>
      <c r="Q821" s="207"/>
      <c r="R821" s="207"/>
      <c r="S821" s="207"/>
      <c r="T821" s="207"/>
      <c r="U821" s="207"/>
      <c r="V821" s="207"/>
      <c r="W821" s="207"/>
      <c r="X821" s="207"/>
      <c r="Y821" s="207"/>
      <c r="Z821" s="207"/>
      <c r="AA821" s="207"/>
      <c r="AB821" s="207"/>
      <c r="AC821" s="5"/>
      <c r="AD821" s="63"/>
      <c r="AE821" s="64"/>
      <c r="AF821" s="64"/>
      <c r="AG821" s="212"/>
      <c r="AH821" s="64"/>
      <c r="AI821" s="64"/>
      <c r="AJ821" s="64"/>
      <c r="AK821" s="64"/>
      <c r="AL821" s="64"/>
      <c r="AM821" s="64"/>
      <c r="AN821" s="64"/>
      <c r="AO821" s="64"/>
      <c r="AP821" s="63"/>
      <c r="AQ821" s="64"/>
      <c r="AR821" s="63"/>
      <c r="AS821" s="64"/>
      <c r="AT821" s="63"/>
      <c r="AU821" s="64"/>
      <c r="AV821" s="63"/>
      <c r="AW821" s="64"/>
      <c r="AX821" s="63"/>
      <c r="AY821" s="5"/>
      <c r="AZ821" s="21" t="str">
        <f t="shared" si="586"/>
        <v/>
      </c>
      <c r="BA821" s="75" t="s">
        <v>408</v>
      </c>
      <c r="BB821" s="75"/>
      <c r="BC821" s="270"/>
      <c r="BD821" s="75" t="s">
        <v>99</v>
      </c>
      <c r="BE821" s="216" t="s">
        <v>472</v>
      </c>
      <c r="BF821" s="303"/>
      <c r="BG821" s="303"/>
      <c r="BH821" s="303"/>
      <c r="BI821" s="303"/>
      <c r="BJ821" s="303"/>
      <c r="BK821" s="303"/>
      <c r="BL821" s="303"/>
      <c r="BM821" s="303"/>
      <c r="BN821" s="303"/>
      <c r="BO821" s="303"/>
      <c r="BP821" s="303"/>
      <c r="BQ821" s="5"/>
      <c r="BR821" s="25"/>
      <c r="BS821" s="5"/>
    </row>
    <row r="822" spans="1:71" s="3" customFormat="1" x14ac:dyDescent="0.25">
      <c r="A822" s="5"/>
      <c r="B822" s="3" t="str">
        <f t="array" ref="B822">IFERROR(INDEX(DemandSupply,MATCH(INDEX($AH$1:AH822,SMALL(ROW($AH$1:AH822)+(10000*($AH$1:AH822="")),COUNTA($AH$1:AH822))),Sectors,0)),"")</f>
        <v>Demand</v>
      </c>
      <c r="E822" s="10"/>
      <c r="F822" s="207"/>
      <c r="G822" s="207"/>
      <c r="H822" s="207"/>
      <c r="I822" s="207"/>
      <c r="J822" s="207"/>
      <c r="K822" s="207"/>
      <c r="L822" s="207"/>
      <c r="M822" s="207"/>
      <c r="N822" s="207"/>
      <c r="O822" s="207"/>
      <c r="P822" s="207"/>
      <c r="Q822" s="207"/>
      <c r="R822" s="207"/>
      <c r="S822" s="207"/>
      <c r="T822" s="207"/>
      <c r="U822" s="207"/>
      <c r="V822" s="207"/>
      <c r="W822" s="207"/>
      <c r="X822" s="207"/>
      <c r="Y822" s="207"/>
      <c r="Z822" s="207"/>
      <c r="AA822" s="207"/>
      <c r="AB822" s="207"/>
      <c r="AC822" s="5"/>
      <c r="AD822" s="63"/>
      <c r="AE822" s="64"/>
      <c r="AF822" s="64"/>
      <c r="AG822" s="212"/>
      <c r="AH822" s="64"/>
      <c r="AI822" s="64"/>
      <c r="AJ822" s="64"/>
      <c r="AK822" s="64"/>
      <c r="AL822" s="64"/>
      <c r="AM822" s="64"/>
      <c r="AN822" s="64"/>
      <c r="AO822" s="64"/>
      <c r="AP822" s="63"/>
      <c r="AQ822" s="64"/>
      <c r="AR822" s="63"/>
      <c r="AS822" s="64"/>
      <c r="AT822" s="63"/>
      <c r="AU822" s="64"/>
      <c r="AV822" s="63"/>
      <c r="AW822" s="64"/>
      <c r="AX822" s="63"/>
      <c r="AY822" s="5"/>
      <c r="AZ822" s="21" t="str">
        <f t="shared" si="586"/>
        <v/>
      </c>
      <c r="BA822" s="75" t="s">
        <v>409</v>
      </c>
      <c r="BB822" s="75"/>
      <c r="BC822" s="270"/>
      <c r="BD822" s="75" t="s">
        <v>99</v>
      </c>
      <c r="BE822" s="216" t="s">
        <v>472</v>
      </c>
      <c r="BF822" s="303"/>
      <c r="BG822" s="303"/>
      <c r="BH822" s="303"/>
      <c r="BI822" s="303"/>
      <c r="BJ822" s="303"/>
      <c r="BK822" s="303"/>
      <c r="BL822" s="303"/>
      <c r="BM822" s="303"/>
      <c r="BN822" s="303"/>
      <c r="BO822" s="303"/>
      <c r="BP822" s="303"/>
      <c r="BQ822" s="5"/>
      <c r="BR822" s="25"/>
      <c r="BS822" s="5"/>
    </row>
    <row r="823" spans="1:71" s="3" customFormat="1" x14ac:dyDescent="0.25">
      <c r="A823" s="5"/>
      <c r="B823" s="3" t="str">
        <f t="array" ref="B823">IFERROR(INDEX(DemandSupply,MATCH(INDEX($AH$1:AH823,SMALL(ROW($AH$1:AH823)+(10000*($AH$1:AH823="")),COUNTA($AH$1:AH823))),Sectors,0)),"")</f>
        <v>Demand</v>
      </c>
      <c r="E823" s="10"/>
      <c r="F823" s="207"/>
      <c r="G823" s="207"/>
      <c r="H823" s="207"/>
      <c r="I823" s="207"/>
      <c r="J823" s="207"/>
      <c r="K823" s="207"/>
      <c r="L823" s="207"/>
      <c r="M823" s="207"/>
      <c r="N823" s="207"/>
      <c r="O823" s="207"/>
      <c r="P823" s="207"/>
      <c r="Q823" s="207"/>
      <c r="R823" s="207"/>
      <c r="S823" s="207"/>
      <c r="T823" s="207"/>
      <c r="U823" s="207"/>
      <c r="V823" s="207"/>
      <c r="W823" s="207"/>
      <c r="X823" s="207"/>
      <c r="Y823" s="207"/>
      <c r="Z823" s="207"/>
      <c r="AA823" s="207"/>
      <c r="AB823" s="207"/>
      <c r="AC823" s="5"/>
      <c r="AD823" s="63"/>
      <c r="AE823" s="64"/>
      <c r="AF823" s="64"/>
      <c r="AG823" s="212"/>
      <c r="AH823" s="64"/>
      <c r="AI823" s="64"/>
      <c r="AJ823" s="64"/>
      <c r="AK823" s="64"/>
      <c r="AL823" s="64"/>
      <c r="AM823" s="64"/>
      <c r="AN823" s="64"/>
      <c r="AO823" s="64"/>
      <c r="AP823" s="63"/>
      <c r="AQ823" s="64"/>
      <c r="AR823" s="63"/>
      <c r="AS823" s="64"/>
      <c r="AT823" s="63"/>
      <c r="AU823" s="64"/>
      <c r="AV823" s="63"/>
      <c r="AW823" s="64"/>
      <c r="AX823" s="63"/>
      <c r="AY823" s="5"/>
      <c r="AZ823" s="21" t="str">
        <f t="shared" si="586"/>
        <v/>
      </c>
      <c r="BA823" s="264" t="s">
        <v>371</v>
      </c>
      <c r="BB823" s="264"/>
      <c r="BC823" s="264"/>
      <c r="BD823" s="264" t="s">
        <v>353</v>
      </c>
      <c r="BE823" s="216" t="s">
        <v>472</v>
      </c>
      <c r="BF823" s="56">
        <v>1</v>
      </c>
      <c r="BG823" s="282">
        <f t="shared" ref="BG823:BG824" si="618">BF823</f>
        <v>1</v>
      </c>
      <c r="BH823" s="282">
        <f t="shared" ref="BH823:BH824" si="619">BG823</f>
        <v>1</v>
      </c>
      <c r="BI823" s="282">
        <f t="shared" ref="BI823:BI824" si="620">BH823</f>
        <v>1</v>
      </c>
      <c r="BJ823" s="282">
        <f t="shared" ref="BJ823:BJ824" si="621">BI823</f>
        <v>1</v>
      </c>
      <c r="BK823" s="282">
        <f t="shared" ref="BK823:BK824" si="622">BJ823</f>
        <v>1</v>
      </c>
      <c r="BL823" s="282">
        <f t="shared" ref="BL823:BL824" si="623">BK823</f>
        <v>1</v>
      </c>
      <c r="BM823" s="282">
        <f t="shared" ref="BM823:BM824" si="624">BL823</f>
        <v>1</v>
      </c>
      <c r="BN823" s="282">
        <f t="shared" ref="BN823:BN824" si="625">BM823</f>
        <v>1</v>
      </c>
      <c r="BO823" s="282">
        <f t="shared" ref="BO823:BO824" si="626">BN823</f>
        <v>1</v>
      </c>
      <c r="BP823" s="282">
        <f t="shared" ref="BP823:BP824" si="627">BO823</f>
        <v>1</v>
      </c>
      <c r="BQ823" s="5"/>
      <c r="BR823" s="25"/>
      <c r="BS823" s="5"/>
    </row>
    <row r="824" spans="1:71" s="3" customFormat="1" x14ac:dyDescent="0.25">
      <c r="A824" s="5"/>
      <c r="B824" s="3" t="str">
        <f t="array" ref="B824">IFERROR(INDEX(DemandSupply,MATCH(INDEX($AH$1:AH824,SMALL(ROW($AH$1:AH824)+(10000*($AH$1:AH824="")),COUNTA($AH$1:AH824))),Sectors,0)),"")</f>
        <v>Demand</v>
      </c>
      <c r="E824" s="10"/>
      <c r="F824" s="207"/>
      <c r="G824" s="207"/>
      <c r="H824" s="207"/>
      <c r="I824" s="207"/>
      <c r="J824" s="207"/>
      <c r="K824" s="207"/>
      <c r="L824" s="207"/>
      <c r="M824" s="207"/>
      <c r="N824" s="207"/>
      <c r="O824" s="207"/>
      <c r="P824" s="207"/>
      <c r="Q824" s="207"/>
      <c r="R824" s="207"/>
      <c r="S824" s="207"/>
      <c r="T824" s="207"/>
      <c r="U824" s="207"/>
      <c r="V824" s="207"/>
      <c r="W824" s="207"/>
      <c r="X824" s="207"/>
      <c r="Y824" s="207"/>
      <c r="Z824" s="207"/>
      <c r="AA824" s="207"/>
      <c r="AB824" s="207"/>
      <c r="AC824" s="5"/>
      <c r="AD824" s="63"/>
      <c r="AE824" s="64"/>
      <c r="AF824" s="64"/>
      <c r="AG824" s="212"/>
      <c r="AH824" s="64"/>
      <c r="AI824" s="64"/>
      <c r="AJ824" s="64"/>
      <c r="AK824" s="64"/>
      <c r="AL824" s="64"/>
      <c r="AM824" s="64"/>
      <c r="AN824" s="64"/>
      <c r="AO824" s="64"/>
      <c r="AP824" s="63"/>
      <c r="AQ824" s="64"/>
      <c r="AR824" s="63"/>
      <c r="AS824" s="64"/>
      <c r="AT824" s="63"/>
      <c r="AU824" s="64"/>
      <c r="AV824" s="63"/>
      <c r="AW824" s="64"/>
      <c r="AX824" s="63"/>
      <c r="AY824" s="5"/>
      <c r="AZ824" s="21" t="str">
        <f t="shared" si="586"/>
        <v/>
      </c>
      <c r="BA824" s="264" t="s">
        <v>170</v>
      </c>
      <c r="BB824" s="264"/>
      <c r="BC824" s="264"/>
      <c r="BD824" s="264" t="s">
        <v>354</v>
      </c>
      <c r="BE824" s="216" t="s">
        <v>472</v>
      </c>
      <c r="BF824" s="56">
        <v>2443.3780000000002</v>
      </c>
      <c r="BG824" s="282">
        <f t="shared" si="618"/>
        <v>2443.3780000000002</v>
      </c>
      <c r="BH824" s="282">
        <f t="shared" si="619"/>
        <v>2443.3780000000002</v>
      </c>
      <c r="BI824" s="282">
        <f t="shared" si="620"/>
        <v>2443.3780000000002</v>
      </c>
      <c r="BJ824" s="282">
        <f t="shared" si="621"/>
        <v>2443.3780000000002</v>
      </c>
      <c r="BK824" s="282">
        <f t="shared" si="622"/>
        <v>2443.3780000000002</v>
      </c>
      <c r="BL824" s="282">
        <f t="shared" si="623"/>
        <v>2443.3780000000002</v>
      </c>
      <c r="BM824" s="282">
        <f t="shared" si="624"/>
        <v>2443.3780000000002</v>
      </c>
      <c r="BN824" s="282">
        <f t="shared" si="625"/>
        <v>2443.3780000000002</v>
      </c>
      <c r="BO824" s="282">
        <f t="shared" si="626"/>
        <v>2443.3780000000002</v>
      </c>
      <c r="BP824" s="282">
        <f t="shared" si="627"/>
        <v>2443.3780000000002</v>
      </c>
      <c r="BQ824" s="5"/>
      <c r="BR824" s="25"/>
      <c r="BS824" s="5"/>
    </row>
    <row r="825" spans="1:71" s="3" customFormat="1" x14ac:dyDescent="0.25">
      <c r="A825" s="5"/>
      <c r="B825" s="3" t="str">
        <f t="array" ref="B825">IFERROR(INDEX(DemandSupply,MATCH(INDEX($AH$1:AH825,SMALL(ROW($AH$1:AH825)+(10000*($AH$1:AH825="")),COUNTA($AH$1:AH825))),Sectors,0)),"")</f>
        <v>Demand</v>
      </c>
      <c r="E825" s="10"/>
      <c r="F825" s="207"/>
      <c r="G825" s="207"/>
      <c r="H825" s="207"/>
      <c r="I825" s="207"/>
      <c r="J825" s="207"/>
      <c r="K825" s="207"/>
      <c r="L825" s="207"/>
      <c r="M825" s="207"/>
      <c r="N825" s="207"/>
      <c r="O825" s="207"/>
      <c r="P825" s="207"/>
      <c r="Q825" s="207"/>
      <c r="R825" s="207"/>
      <c r="S825" s="207"/>
      <c r="T825" s="207"/>
      <c r="U825" s="207"/>
      <c r="V825" s="207"/>
      <c r="W825" s="207"/>
      <c r="X825" s="207"/>
      <c r="Y825" s="207"/>
      <c r="Z825" s="207"/>
      <c r="AA825" s="207"/>
      <c r="AB825" s="207"/>
      <c r="AC825" s="5"/>
      <c r="AD825" s="63"/>
      <c r="AE825" s="64"/>
      <c r="AF825" s="64"/>
      <c r="AG825" s="212"/>
      <c r="AH825" s="64"/>
      <c r="AI825" s="64"/>
      <c r="AJ825" s="64"/>
      <c r="AK825" s="64"/>
      <c r="AL825" s="64"/>
      <c r="AM825" s="64"/>
      <c r="AN825" s="64"/>
      <c r="AO825" s="64"/>
      <c r="AP825" s="63"/>
      <c r="AQ825" s="64"/>
      <c r="AR825" s="63"/>
      <c r="AS825" s="64"/>
      <c r="AT825" s="63"/>
      <c r="AU825" s="64"/>
      <c r="AV825" s="63"/>
      <c r="AW825" s="64"/>
      <c r="AX825" s="63"/>
      <c r="AY825" s="5"/>
      <c r="AZ825" s="21" t="str">
        <f t="shared" si="586"/>
        <v/>
      </c>
      <c r="BA825" s="264" t="s">
        <v>425</v>
      </c>
      <c r="BB825" s="264"/>
      <c r="BC825" s="264"/>
      <c r="BD825" s="264" t="s">
        <v>99</v>
      </c>
      <c r="BE825" s="216" t="s">
        <v>472</v>
      </c>
      <c r="BF825" s="303">
        <v>0.4</v>
      </c>
      <c r="BG825" s="306">
        <f t="shared" ref="BG825:BG832" si="628">BF825</f>
        <v>0.4</v>
      </c>
      <c r="BH825" s="306">
        <f t="shared" ref="BH825:BH832" si="629">BG825</f>
        <v>0.4</v>
      </c>
      <c r="BI825" s="306">
        <f t="shared" ref="BI825:BI832" si="630">BH825</f>
        <v>0.4</v>
      </c>
      <c r="BJ825" s="306">
        <f t="shared" ref="BJ825:BJ832" si="631">BI825</f>
        <v>0.4</v>
      </c>
      <c r="BK825" s="306">
        <f t="shared" ref="BK825:BK832" si="632">BJ825</f>
        <v>0.4</v>
      </c>
      <c r="BL825" s="306">
        <f t="shared" ref="BL825:BL832" si="633">BK825</f>
        <v>0.4</v>
      </c>
      <c r="BM825" s="306">
        <f t="shared" ref="BM825:BM832" si="634">BL825</f>
        <v>0.4</v>
      </c>
      <c r="BN825" s="306">
        <f t="shared" ref="BN825:BN832" si="635">BM825</f>
        <v>0.4</v>
      </c>
      <c r="BO825" s="306">
        <f t="shared" ref="BO825:BO832" si="636">BN825</f>
        <v>0.4</v>
      </c>
      <c r="BP825" s="306">
        <f t="shared" ref="BP825:BP832" si="637">BO825</f>
        <v>0.4</v>
      </c>
      <c r="BQ825" s="5"/>
      <c r="BR825" s="25"/>
      <c r="BS825" s="5"/>
    </row>
    <row r="826" spans="1:71" s="3" customFormat="1" x14ac:dyDescent="0.25">
      <c r="A826" s="5"/>
      <c r="B826" s="3" t="str">
        <f t="array" ref="B826">IFERROR(INDEX(DemandSupply,MATCH(INDEX($AH$1:AH826,SMALL(ROW($AH$1:AH826)+(10000*($AH$1:AH826="")),COUNTA($AH$1:AH826))),Sectors,0)),"")</f>
        <v>Demand</v>
      </c>
      <c r="E826" s="10"/>
      <c r="F826" s="207"/>
      <c r="G826" s="207"/>
      <c r="H826" s="207"/>
      <c r="I826" s="207"/>
      <c r="J826" s="207"/>
      <c r="K826" s="207"/>
      <c r="L826" s="207"/>
      <c r="M826" s="207"/>
      <c r="N826" s="207"/>
      <c r="O826" s="207"/>
      <c r="P826" s="207"/>
      <c r="Q826" s="207"/>
      <c r="R826" s="207"/>
      <c r="S826" s="207"/>
      <c r="T826" s="207"/>
      <c r="U826" s="207"/>
      <c r="V826" s="207"/>
      <c r="W826" s="207"/>
      <c r="X826" s="207"/>
      <c r="Y826" s="207"/>
      <c r="Z826" s="207"/>
      <c r="AA826" s="207"/>
      <c r="AB826" s="207"/>
      <c r="AC826" s="5"/>
      <c r="AD826" s="63"/>
      <c r="AE826" s="64"/>
      <c r="AF826" s="64"/>
      <c r="AG826" s="212"/>
      <c r="AH826" s="64"/>
      <c r="AI826" s="64"/>
      <c r="AJ826" s="64"/>
      <c r="AK826" s="64"/>
      <c r="AL826" s="64"/>
      <c r="AM826" s="64"/>
      <c r="AN826" s="64"/>
      <c r="AO826" s="64"/>
      <c r="AP826" s="63"/>
      <c r="AQ826" s="64"/>
      <c r="AR826" s="63"/>
      <c r="AS826" s="64"/>
      <c r="AT826" s="63"/>
      <c r="AU826" s="64"/>
      <c r="AV826" s="63"/>
      <c r="AW826" s="64"/>
      <c r="AX826" s="63"/>
      <c r="AY826" s="5"/>
      <c r="AZ826" s="21" t="str">
        <f t="shared" si="586"/>
        <v/>
      </c>
      <c r="BA826" s="264" t="s">
        <v>438</v>
      </c>
      <c r="BB826" s="264"/>
      <c r="BC826" s="264"/>
      <c r="BD826" s="264" t="s">
        <v>353</v>
      </c>
      <c r="BE826" s="216" t="s">
        <v>472</v>
      </c>
      <c r="BF826" s="56">
        <v>75000</v>
      </c>
      <c r="BG826" s="282">
        <f t="shared" si="628"/>
        <v>75000</v>
      </c>
      <c r="BH826" s="282">
        <f t="shared" si="629"/>
        <v>75000</v>
      </c>
      <c r="BI826" s="282">
        <f t="shared" si="630"/>
        <v>75000</v>
      </c>
      <c r="BJ826" s="282">
        <f t="shared" si="631"/>
        <v>75000</v>
      </c>
      <c r="BK826" s="282">
        <f t="shared" si="632"/>
        <v>75000</v>
      </c>
      <c r="BL826" s="282">
        <f t="shared" si="633"/>
        <v>75000</v>
      </c>
      <c r="BM826" s="282">
        <f t="shared" si="634"/>
        <v>75000</v>
      </c>
      <c r="BN826" s="282">
        <f t="shared" si="635"/>
        <v>75000</v>
      </c>
      <c r="BO826" s="282">
        <f t="shared" si="636"/>
        <v>75000</v>
      </c>
      <c r="BP826" s="282">
        <f t="shared" si="637"/>
        <v>75000</v>
      </c>
      <c r="BQ826" s="5"/>
      <c r="BR826" s="25"/>
      <c r="BS826" s="5"/>
    </row>
    <row r="827" spans="1:71" s="3" customFormat="1" x14ac:dyDescent="0.25">
      <c r="A827" s="5"/>
      <c r="B827" s="3" t="str">
        <f t="array" ref="B827">IFERROR(INDEX(DemandSupply,MATCH(INDEX($AH$1:AH827,SMALL(ROW($AH$1:AH827)+(10000*($AH$1:AH827="")),COUNTA($AH$1:AH827))),Sectors,0)),"")</f>
        <v>Demand</v>
      </c>
      <c r="E827" s="10"/>
      <c r="F827" s="207"/>
      <c r="G827" s="207"/>
      <c r="H827" s="207"/>
      <c r="I827" s="207"/>
      <c r="J827" s="207"/>
      <c r="K827" s="207"/>
      <c r="L827" s="207"/>
      <c r="M827" s="207"/>
      <c r="N827" s="207"/>
      <c r="O827" s="207"/>
      <c r="P827" s="207"/>
      <c r="Q827" s="207"/>
      <c r="R827" s="207"/>
      <c r="S827" s="207"/>
      <c r="T827" s="207"/>
      <c r="U827" s="207"/>
      <c r="V827" s="207"/>
      <c r="W827" s="207"/>
      <c r="X827" s="207"/>
      <c r="Y827" s="207"/>
      <c r="Z827" s="207"/>
      <c r="AA827" s="207"/>
      <c r="AB827" s="207"/>
      <c r="AC827" s="5"/>
      <c r="AD827" s="63"/>
      <c r="AE827" s="64"/>
      <c r="AF827" s="64"/>
      <c r="AG827" s="212"/>
      <c r="AH827" s="64"/>
      <c r="AI827" s="64"/>
      <c r="AJ827" s="64"/>
      <c r="AK827" s="64"/>
      <c r="AL827" s="64"/>
      <c r="AM827" s="64"/>
      <c r="AN827" s="64"/>
      <c r="AO827" s="64"/>
      <c r="AP827" s="63"/>
      <c r="AQ827" s="64"/>
      <c r="AR827" s="63"/>
      <c r="AS827" s="64"/>
      <c r="AT827" s="63"/>
      <c r="AU827" s="64"/>
      <c r="AV827" s="63"/>
      <c r="AW827" s="64"/>
      <c r="AX827" s="63"/>
      <c r="AY827" s="5"/>
      <c r="AZ827" s="21" t="str">
        <f t="shared" si="586"/>
        <v/>
      </c>
      <c r="BA827" s="264" t="s">
        <v>435</v>
      </c>
      <c r="BB827" s="264"/>
      <c r="BC827" s="264"/>
      <c r="BD827" s="264"/>
      <c r="BE827" s="216" t="s">
        <v>472</v>
      </c>
      <c r="BF827" s="55">
        <v>0.75</v>
      </c>
      <c r="BG827" s="317">
        <f t="shared" si="628"/>
        <v>0.75</v>
      </c>
      <c r="BH827" s="317">
        <f t="shared" si="629"/>
        <v>0.75</v>
      </c>
      <c r="BI827" s="317">
        <f t="shared" si="630"/>
        <v>0.75</v>
      </c>
      <c r="BJ827" s="317">
        <f t="shared" si="631"/>
        <v>0.75</v>
      </c>
      <c r="BK827" s="317">
        <f t="shared" si="632"/>
        <v>0.75</v>
      </c>
      <c r="BL827" s="317">
        <f t="shared" si="633"/>
        <v>0.75</v>
      </c>
      <c r="BM827" s="317">
        <f t="shared" si="634"/>
        <v>0.75</v>
      </c>
      <c r="BN827" s="317">
        <f t="shared" si="635"/>
        <v>0.75</v>
      </c>
      <c r="BO827" s="317">
        <f t="shared" si="636"/>
        <v>0.75</v>
      </c>
      <c r="BP827" s="317">
        <f t="shared" si="637"/>
        <v>0.75</v>
      </c>
      <c r="BQ827" s="5"/>
      <c r="BR827" s="25"/>
      <c r="BS827" s="5"/>
    </row>
    <row r="828" spans="1:71" s="3" customFormat="1" x14ac:dyDescent="0.25">
      <c r="A828" s="5"/>
      <c r="B828" s="3" t="str">
        <f t="array" ref="B828">IFERROR(INDEX(DemandSupply,MATCH(INDEX($AH$1:AH828,SMALL(ROW($AH$1:AH828)+(10000*($AH$1:AH828="")),COUNTA($AH$1:AH828))),Sectors,0)),"")</f>
        <v>Demand</v>
      </c>
      <c r="E828" s="10"/>
      <c r="F828" s="207"/>
      <c r="G828" s="207"/>
      <c r="H828" s="207"/>
      <c r="I828" s="207"/>
      <c r="J828" s="207"/>
      <c r="K828" s="207"/>
      <c r="L828" s="207"/>
      <c r="M828" s="207"/>
      <c r="N828" s="207"/>
      <c r="O828" s="207"/>
      <c r="P828" s="207"/>
      <c r="Q828" s="207"/>
      <c r="R828" s="207"/>
      <c r="S828" s="207"/>
      <c r="T828" s="207"/>
      <c r="U828" s="207"/>
      <c r="V828" s="207"/>
      <c r="W828" s="207"/>
      <c r="X828" s="207"/>
      <c r="Y828" s="207"/>
      <c r="Z828" s="207"/>
      <c r="AA828" s="207"/>
      <c r="AB828" s="207"/>
      <c r="AC828" s="5"/>
      <c r="AD828" s="63"/>
      <c r="AE828" s="64"/>
      <c r="AF828" s="64"/>
      <c r="AG828" s="212"/>
      <c r="AH828" s="64"/>
      <c r="AI828" s="64"/>
      <c r="AJ828" s="64"/>
      <c r="AK828" s="64"/>
      <c r="AL828" s="64"/>
      <c r="AM828" s="64"/>
      <c r="AN828" s="64"/>
      <c r="AO828" s="64"/>
      <c r="AP828" s="63"/>
      <c r="AQ828" s="64"/>
      <c r="AR828" s="63"/>
      <c r="AS828" s="64"/>
      <c r="AT828" s="63"/>
      <c r="AU828" s="64"/>
      <c r="AV828" s="63"/>
      <c r="AW828" s="64"/>
      <c r="AX828" s="63"/>
      <c r="AY828" s="5"/>
      <c r="AZ828" s="21" t="str">
        <f t="shared" si="586"/>
        <v/>
      </c>
      <c r="BA828" s="264" t="s">
        <v>407</v>
      </c>
      <c r="BB828" s="264"/>
      <c r="BC828" s="264"/>
      <c r="BD828" s="264" t="s">
        <v>99</v>
      </c>
      <c r="BE828" s="216" t="s">
        <v>472</v>
      </c>
      <c r="BF828" s="303">
        <v>0.01</v>
      </c>
      <c r="BG828" s="306">
        <f t="shared" si="628"/>
        <v>0.01</v>
      </c>
      <c r="BH828" s="306">
        <f t="shared" si="629"/>
        <v>0.01</v>
      </c>
      <c r="BI828" s="306">
        <f t="shared" si="630"/>
        <v>0.01</v>
      </c>
      <c r="BJ828" s="306">
        <f t="shared" si="631"/>
        <v>0.01</v>
      </c>
      <c r="BK828" s="306">
        <f t="shared" si="632"/>
        <v>0.01</v>
      </c>
      <c r="BL828" s="306">
        <f t="shared" si="633"/>
        <v>0.01</v>
      </c>
      <c r="BM828" s="306">
        <f t="shared" si="634"/>
        <v>0.01</v>
      </c>
      <c r="BN828" s="306">
        <f t="shared" si="635"/>
        <v>0.01</v>
      </c>
      <c r="BO828" s="306">
        <f t="shared" si="636"/>
        <v>0.01</v>
      </c>
      <c r="BP828" s="306">
        <f t="shared" si="637"/>
        <v>0.01</v>
      </c>
      <c r="BQ828" s="5"/>
      <c r="BR828" s="25"/>
      <c r="BS828" s="5"/>
    </row>
    <row r="829" spans="1:71" s="3" customFormat="1" x14ac:dyDescent="0.25">
      <c r="A829" s="5"/>
      <c r="B829" s="3" t="str">
        <f t="array" ref="B829">IFERROR(INDEX(DemandSupply,MATCH(INDEX($AH$1:AH829,SMALL(ROW($AH$1:AH829)+(10000*($AH$1:AH829="")),COUNTA($AH$1:AH829))),Sectors,0)),"")</f>
        <v>Demand</v>
      </c>
      <c r="E829" s="10"/>
      <c r="F829" s="207"/>
      <c r="G829" s="207"/>
      <c r="H829" s="207"/>
      <c r="I829" s="207"/>
      <c r="J829" s="207"/>
      <c r="K829" s="207"/>
      <c r="L829" s="207"/>
      <c r="M829" s="207"/>
      <c r="N829" s="207"/>
      <c r="O829" s="207"/>
      <c r="P829" s="207"/>
      <c r="Q829" s="207"/>
      <c r="R829" s="207"/>
      <c r="S829" s="207"/>
      <c r="T829" s="207"/>
      <c r="U829" s="207"/>
      <c r="V829" s="207"/>
      <c r="W829" s="207"/>
      <c r="X829" s="207"/>
      <c r="Y829" s="207"/>
      <c r="Z829" s="207"/>
      <c r="AA829" s="207"/>
      <c r="AB829" s="207"/>
      <c r="AC829" s="5"/>
      <c r="AD829" s="63"/>
      <c r="AE829" s="64"/>
      <c r="AF829" s="64"/>
      <c r="AG829" s="212"/>
      <c r="AH829" s="64"/>
      <c r="AI829" s="64"/>
      <c r="AJ829" s="64"/>
      <c r="AK829" s="64"/>
      <c r="AL829" s="64"/>
      <c r="AM829" s="64"/>
      <c r="AN829" s="64"/>
      <c r="AO829" s="64"/>
      <c r="AP829" s="63"/>
      <c r="AQ829" s="64"/>
      <c r="AR829" s="63"/>
      <c r="AS829" s="64"/>
      <c r="AT829" s="63"/>
      <c r="AU829" s="64"/>
      <c r="AV829" s="63"/>
      <c r="AW829" s="64"/>
      <c r="AX829" s="63"/>
      <c r="AY829" s="5"/>
      <c r="AZ829" s="21" t="str">
        <f t="shared" si="586"/>
        <v/>
      </c>
      <c r="BA829" s="264" t="s">
        <v>444</v>
      </c>
      <c r="BB829" s="264"/>
      <c r="BC829" s="264"/>
      <c r="BD829" s="264" t="s">
        <v>354</v>
      </c>
      <c r="BE829" s="216" t="s">
        <v>472</v>
      </c>
      <c r="BF829" s="56"/>
      <c r="BG829" s="282"/>
      <c r="BH829" s="282"/>
      <c r="BI829" s="282"/>
      <c r="BJ829" s="282"/>
      <c r="BK829" s="282"/>
      <c r="BL829" s="282"/>
      <c r="BM829" s="282"/>
      <c r="BN829" s="282"/>
      <c r="BO829" s="282"/>
      <c r="BP829" s="282"/>
      <c r="BQ829" s="5"/>
      <c r="BR829" s="25"/>
      <c r="BS829" s="5"/>
    </row>
    <row r="830" spans="1:71" s="3" customFormat="1" x14ac:dyDescent="0.25">
      <c r="A830" s="5"/>
      <c r="B830" s="3" t="str">
        <f t="array" ref="B830">IFERROR(INDEX(DemandSupply,MATCH(INDEX($AH$1:AH830,SMALL(ROW($AH$1:AH830)+(10000*($AH$1:AH830="")),COUNTA($AH$1:AH830))),Sectors,0)),"")</f>
        <v>Demand</v>
      </c>
      <c r="E830" s="10"/>
      <c r="F830" s="207"/>
      <c r="G830" s="207"/>
      <c r="H830" s="207"/>
      <c r="I830" s="207"/>
      <c r="J830" s="207"/>
      <c r="K830" s="207"/>
      <c r="L830" s="207"/>
      <c r="M830" s="207"/>
      <c r="N830" s="207"/>
      <c r="O830" s="207"/>
      <c r="P830" s="207"/>
      <c r="Q830" s="207"/>
      <c r="R830" s="207"/>
      <c r="S830" s="207"/>
      <c r="T830" s="207"/>
      <c r="U830" s="207"/>
      <c r="V830" s="207"/>
      <c r="W830" s="207"/>
      <c r="X830" s="207"/>
      <c r="Y830" s="207"/>
      <c r="Z830" s="207"/>
      <c r="AA830" s="207"/>
      <c r="AB830" s="207"/>
      <c r="AC830" s="5"/>
      <c r="AD830" s="63"/>
      <c r="AE830" s="64"/>
      <c r="AF830" s="64"/>
      <c r="AG830" s="212"/>
      <c r="AH830" s="64"/>
      <c r="AI830" s="64"/>
      <c r="AJ830" s="64"/>
      <c r="AK830" s="64"/>
      <c r="AL830" s="64"/>
      <c r="AM830" s="64"/>
      <c r="AN830" s="64"/>
      <c r="AO830" s="64"/>
      <c r="AP830" s="63"/>
      <c r="AQ830" s="64"/>
      <c r="AR830" s="63"/>
      <c r="AS830" s="64"/>
      <c r="AT830" s="63"/>
      <c r="AU830" s="64"/>
      <c r="AV830" s="63"/>
      <c r="AW830" s="64"/>
      <c r="AX830" s="63"/>
      <c r="AY830" s="5"/>
      <c r="AZ830" s="21" t="str">
        <f t="shared" si="586"/>
        <v/>
      </c>
      <c r="BA830" s="264" t="s">
        <v>446</v>
      </c>
      <c r="BB830" s="264"/>
      <c r="BC830" s="264"/>
      <c r="BD830" s="264" t="s">
        <v>354</v>
      </c>
      <c r="BE830" s="216" t="s">
        <v>472</v>
      </c>
      <c r="BF830" s="56">
        <v>610.84500000000003</v>
      </c>
      <c r="BG830" s="282">
        <f t="shared" si="628"/>
        <v>610.84500000000003</v>
      </c>
      <c r="BH830" s="282">
        <f t="shared" si="629"/>
        <v>610.84500000000003</v>
      </c>
      <c r="BI830" s="282">
        <f t="shared" si="630"/>
        <v>610.84500000000003</v>
      </c>
      <c r="BJ830" s="282">
        <f t="shared" si="631"/>
        <v>610.84500000000003</v>
      </c>
      <c r="BK830" s="282">
        <f t="shared" si="632"/>
        <v>610.84500000000003</v>
      </c>
      <c r="BL830" s="282">
        <f t="shared" si="633"/>
        <v>610.84500000000003</v>
      </c>
      <c r="BM830" s="282">
        <f t="shared" si="634"/>
        <v>610.84500000000003</v>
      </c>
      <c r="BN830" s="282">
        <f t="shared" si="635"/>
        <v>610.84500000000003</v>
      </c>
      <c r="BO830" s="282">
        <f t="shared" si="636"/>
        <v>610.84500000000003</v>
      </c>
      <c r="BP830" s="282">
        <f t="shared" si="637"/>
        <v>610.84500000000003</v>
      </c>
      <c r="BQ830" s="5"/>
      <c r="BR830" s="25"/>
      <c r="BS830" s="5"/>
    </row>
    <row r="831" spans="1:71" s="3" customFormat="1" x14ac:dyDescent="0.25">
      <c r="A831" s="5"/>
      <c r="B831" s="3" t="str">
        <f t="array" ref="B831">IFERROR(INDEX(DemandSupply,MATCH(INDEX($AH$1:AH831,SMALL(ROW($AH$1:AH831)+(10000*($AH$1:AH831="")),COUNTA($AH$1:AH831))),Sectors,0)),"")</f>
        <v>Demand</v>
      </c>
      <c r="E831" s="10"/>
      <c r="F831" s="207"/>
      <c r="G831" s="207"/>
      <c r="H831" s="207"/>
      <c r="I831" s="207"/>
      <c r="J831" s="207"/>
      <c r="K831" s="207"/>
      <c r="L831" s="207"/>
      <c r="M831" s="207"/>
      <c r="N831" s="207"/>
      <c r="O831" s="207"/>
      <c r="P831" s="207"/>
      <c r="Q831" s="207"/>
      <c r="R831" s="207"/>
      <c r="S831" s="207"/>
      <c r="T831" s="207"/>
      <c r="U831" s="207"/>
      <c r="V831" s="207"/>
      <c r="W831" s="207"/>
      <c r="X831" s="207"/>
      <c r="Y831" s="207"/>
      <c r="Z831" s="207"/>
      <c r="AA831" s="207"/>
      <c r="AB831" s="207"/>
      <c r="AC831" s="5"/>
      <c r="AD831" s="63"/>
      <c r="AE831" s="64"/>
      <c r="AF831" s="64"/>
      <c r="AG831" s="212"/>
      <c r="AH831" s="64"/>
      <c r="AI831" s="64"/>
      <c r="AJ831" s="64"/>
      <c r="AK831" s="64"/>
      <c r="AL831" s="64"/>
      <c r="AM831" s="64"/>
      <c r="AN831" s="64"/>
      <c r="AO831" s="64"/>
      <c r="AP831" s="63"/>
      <c r="AQ831" s="64"/>
      <c r="AR831" s="63"/>
      <c r="AS831" s="64"/>
      <c r="AT831" s="63"/>
      <c r="AU831" s="64"/>
      <c r="AV831" s="63"/>
      <c r="AW831" s="64"/>
      <c r="AX831" s="63"/>
      <c r="AY831" s="5"/>
      <c r="AZ831" s="21" t="str">
        <f t="shared" si="586"/>
        <v/>
      </c>
      <c r="BA831" s="264" t="s">
        <v>447</v>
      </c>
      <c r="BB831" s="264"/>
      <c r="BC831" s="264"/>
      <c r="BD831" s="264"/>
      <c r="BE831" s="216" t="s">
        <v>472</v>
      </c>
      <c r="BF831" s="55">
        <v>0.65</v>
      </c>
      <c r="BG831" s="317">
        <f t="shared" si="628"/>
        <v>0.65</v>
      </c>
      <c r="BH831" s="317">
        <f t="shared" si="629"/>
        <v>0.65</v>
      </c>
      <c r="BI831" s="317">
        <f t="shared" si="630"/>
        <v>0.65</v>
      </c>
      <c r="BJ831" s="317">
        <f t="shared" si="631"/>
        <v>0.65</v>
      </c>
      <c r="BK831" s="317">
        <f t="shared" si="632"/>
        <v>0.65</v>
      </c>
      <c r="BL831" s="317">
        <f t="shared" si="633"/>
        <v>0.65</v>
      </c>
      <c r="BM831" s="317">
        <f t="shared" si="634"/>
        <v>0.65</v>
      </c>
      <c r="BN831" s="317">
        <f t="shared" si="635"/>
        <v>0.65</v>
      </c>
      <c r="BO831" s="317">
        <f t="shared" si="636"/>
        <v>0.65</v>
      </c>
      <c r="BP831" s="317">
        <f t="shared" si="637"/>
        <v>0.65</v>
      </c>
      <c r="BQ831" s="5"/>
      <c r="BR831" s="25"/>
      <c r="BS831" s="5"/>
    </row>
    <row r="832" spans="1:71" s="3" customFormat="1" x14ac:dyDescent="0.25">
      <c r="A832" s="5"/>
      <c r="B832" s="3" t="str">
        <f t="array" ref="B832">IFERROR(INDEX(DemandSupply,MATCH(INDEX($AH$1:AH832,SMALL(ROW($AH$1:AH832)+(10000*($AH$1:AH832="")),COUNTA($AH$1:AH832))),Sectors,0)),"")</f>
        <v>Demand</v>
      </c>
      <c r="E832" s="10"/>
      <c r="F832" s="207"/>
      <c r="G832" s="207"/>
      <c r="H832" s="207"/>
      <c r="I832" s="207"/>
      <c r="J832" s="207"/>
      <c r="K832" s="207"/>
      <c r="L832" s="207"/>
      <c r="M832" s="207"/>
      <c r="N832" s="207"/>
      <c r="O832" s="207"/>
      <c r="P832" s="207"/>
      <c r="Q832" s="207"/>
      <c r="R832" s="207"/>
      <c r="S832" s="207"/>
      <c r="T832" s="207"/>
      <c r="U832" s="207"/>
      <c r="V832" s="207"/>
      <c r="W832" s="207"/>
      <c r="X832" s="207"/>
      <c r="Y832" s="207"/>
      <c r="Z832" s="207"/>
      <c r="AA832" s="207"/>
      <c r="AB832" s="207"/>
      <c r="AC832" s="5"/>
      <c r="AD832" s="63"/>
      <c r="AE832" s="64"/>
      <c r="AF832" s="64"/>
      <c r="AG832" s="212"/>
      <c r="AH832" s="64"/>
      <c r="AI832" s="64"/>
      <c r="AJ832" s="64"/>
      <c r="AK832" s="64"/>
      <c r="AL832" s="64"/>
      <c r="AM832" s="64"/>
      <c r="AN832" s="64"/>
      <c r="AO832" s="64"/>
      <c r="AP832" s="63"/>
      <c r="AQ832" s="64"/>
      <c r="AR832" s="63"/>
      <c r="AS832" s="64"/>
      <c r="AT832" s="63"/>
      <c r="AU832" s="64"/>
      <c r="AV832" s="63"/>
      <c r="AW832" s="64"/>
      <c r="AX832" s="63"/>
      <c r="AY832" s="5"/>
      <c r="AZ832" s="21" t="str">
        <f t="shared" si="586"/>
        <v/>
      </c>
      <c r="BA832" s="264" t="s">
        <v>448</v>
      </c>
      <c r="BB832" s="264"/>
      <c r="BC832" s="264"/>
      <c r="BD832" s="264"/>
      <c r="BE832" s="216" t="s">
        <v>472</v>
      </c>
      <c r="BF832" s="55">
        <v>0.4</v>
      </c>
      <c r="BG832" s="317">
        <f t="shared" si="628"/>
        <v>0.4</v>
      </c>
      <c r="BH832" s="317">
        <f t="shared" si="629"/>
        <v>0.4</v>
      </c>
      <c r="BI832" s="317">
        <f t="shared" si="630"/>
        <v>0.4</v>
      </c>
      <c r="BJ832" s="317">
        <f t="shared" si="631"/>
        <v>0.4</v>
      </c>
      <c r="BK832" s="317">
        <f t="shared" si="632"/>
        <v>0.4</v>
      </c>
      <c r="BL832" s="317">
        <f t="shared" si="633"/>
        <v>0.4</v>
      </c>
      <c r="BM832" s="317">
        <f t="shared" si="634"/>
        <v>0.4</v>
      </c>
      <c r="BN832" s="317">
        <f t="shared" si="635"/>
        <v>0.4</v>
      </c>
      <c r="BO832" s="317">
        <f t="shared" si="636"/>
        <v>0.4</v>
      </c>
      <c r="BP832" s="317">
        <f t="shared" si="637"/>
        <v>0.4</v>
      </c>
      <c r="BQ832" s="5"/>
      <c r="BR832" s="25"/>
      <c r="BS832" s="5"/>
    </row>
    <row r="833" spans="1:71" s="3" customFormat="1" x14ac:dyDescent="0.25">
      <c r="A833" s="5"/>
      <c r="B833" s="3" t="str">
        <f t="array" ref="B833">IFERROR(INDEX(DemandSupply,MATCH(INDEX($AH$1:AH833,SMALL(ROW($AH$1:AH833)+(10000*($AH$1:AH833="")),COUNTA($AH$1:AH833))),Sectors,0)),"")</f>
        <v>Demand</v>
      </c>
      <c r="E833" s="10"/>
      <c r="F833" s="207"/>
      <c r="G833" s="207"/>
      <c r="H833" s="207"/>
      <c r="I833" s="207"/>
      <c r="J833" s="207"/>
      <c r="K833" s="207"/>
      <c r="L833" s="207"/>
      <c r="M833" s="207"/>
      <c r="N833" s="207"/>
      <c r="O833" s="207"/>
      <c r="P833" s="207"/>
      <c r="Q833" s="207"/>
      <c r="R833" s="207"/>
      <c r="S833" s="207"/>
      <c r="T833" s="207"/>
      <c r="U833" s="207"/>
      <c r="V833" s="207"/>
      <c r="W833" s="207"/>
      <c r="X833" s="207"/>
      <c r="Y833" s="207"/>
      <c r="Z833" s="207"/>
      <c r="AA833" s="207"/>
      <c r="AB833" s="207"/>
      <c r="AC833" s="5"/>
      <c r="AD833" s="63"/>
      <c r="AE833" s="64"/>
      <c r="AF833" s="64"/>
      <c r="AG833" s="212"/>
      <c r="AH833" s="64"/>
      <c r="AI833" s="64"/>
      <c r="AJ833" s="64"/>
      <c r="AK833" s="64"/>
      <c r="AL833" s="64"/>
      <c r="AM833" s="64"/>
      <c r="AN833" s="64"/>
      <c r="AO833" s="64"/>
      <c r="AP833" s="63"/>
      <c r="AQ833" s="64"/>
      <c r="AR833" s="63"/>
      <c r="AS833" s="64"/>
      <c r="AT833" s="63"/>
      <c r="AU833" s="64"/>
      <c r="AV833" s="63"/>
      <c r="AW833" s="64"/>
      <c r="AX833" s="63"/>
      <c r="AY833" s="5"/>
      <c r="AZ833" s="21" t="str">
        <f t="shared" si="586"/>
        <v/>
      </c>
      <c r="BA833" s="264" t="s">
        <v>445</v>
      </c>
      <c r="BB833" s="264"/>
      <c r="BC833" s="264"/>
      <c r="BD833" s="264" t="s">
        <v>466</v>
      </c>
      <c r="BE833" s="216" t="s">
        <v>472</v>
      </c>
      <c r="BF833" s="56"/>
      <c r="BG833" s="56"/>
      <c r="BH833" s="56"/>
      <c r="BI833" s="56"/>
      <c r="BJ833" s="56"/>
      <c r="BK833" s="56"/>
      <c r="BL833" s="56"/>
      <c r="BM833" s="56"/>
      <c r="BN833" s="56"/>
      <c r="BO833" s="56"/>
      <c r="BP833" s="56"/>
      <c r="BQ833" s="5"/>
      <c r="BR833" s="25"/>
      <c r="BS833" s="5"/>
    </row>
    <row r="834" spans="1:71" s="3" customFormat="1" x14ac:dyDescent="0.25">
      <c r="A834" s="5"/>
      <c r="B834" s="3" t="str">
        <f t="array" ref="B834">IFERROR(INDEX(DemandSupply,MATCH(INDEX($AH$1:AH834,SMALL(ROW($AH$1:AH834)+(10000*($AH$1:AH834="")),COUNTA($AH$1:AH834))),Sectors,0)),"")</f>
        <v>Demand</v>
      </c>
      <c r="E834" s="10"/>
      <c r="F834" s="207"/>
      <c r="G834" s="207"/>
      <c r="H834" s="207"/>
      <c r="I834" s="207"/>
      <c r="J834" s="207"/>
      <c r="K834" s="207"/>
      <c r="L834" s="207"/>
      <c r="M834" s="207"/>
      <c r="N834" s="207"/>
      <c r="O834" s="207"/>
      <c r="P834" s="207"/>
      <c r="Q834" s="207"/>
      <c r="R834" s="207"/>
      <c r="S834" s="207"/>
      <c r="T834" s="207"/>
      <c r="U834" s="207"/>
      <c r="V834" s="207"/>
      <c r="W834" s="207"/>
      <c r="X834" s="207"/>
      <c r="Y834" s="207"/>
      <c r="Z834" s="207"/>
      <c r="AA834" s="207"/>
      <c r="AB834" s="207"/>
      <c r="AC834" s="5"/>
      <c r="AD834" s="63"/>
      <c r="AE834" s="64"/>
      <c r="AF834" s="64"/>
      <c r="AG834" s="212"/>
      <c r="AH834" s="64"/>
      <c r="AI834" s="64"/>
      <c r="AJ834" s="64"/>
      <c r="AK834" s="64"/>
      <c r="AL834" s="64"/>
      <c r="AM834" s="64"/>
      <c r="AN834" s="64"/>
      <c r="AO834" s="64"/>
      <c r="AP834" s="63"/>
      <c r="AQ834" s="64"/>
      <c r="AR834" s="63"/>
      <c r="AS834" s="64"/>
      <c r="AT834" s="63"/>
      <c r="AU834" s="64"/>
      <c r="AV834" s="63"/>
      <c r="AW834" s="64"/>
      <c r="AX834" s="63"/>
      <c r="AY834" s="5"/>
      <c r="AZ834" s="21" t="str">
        <f t="shared" si="586"/>
        <v/>
      </c>
      <c r="BA834" s="264" t="s">
        <v>449</v>
      </c>
      <c r="BB834" s="264"/>
      <c r="BC834" s="264"/>
      <c r="BD834" s="264" t="s">
        <v>466</v>
      </c>
      <c r="BE834" s="216" t="s">
        <v>472</v>
      </c>
      <c r="BF834" s="56"/>
      <c r="BG834" s="56"/>
      <c r="BH834" s="56"/>
      <c r="BI834" s="56"/>
      <c r="BJ834" s="56"/>
      <c r="BK834" s="56"/>
      <c r="BL834" s="56"/>
      <c r="BM834" s="56"/>
      <c r="BN834" s="56"/>
      <c r="BO834" s="56"/>
      <c r="BP834" s="56"/>
      <c r="BQ834" s="5"/>
      <c r="BR834" s="25"/>
      <c r="BS834" s="5"/>
    </row>
    <row r="835" spans="1:71" s="3" customFormat="1" x14ac:dyDescent="0.25">
      <c r="A835" s="5"/>
      <c r="B835" s="3" t="str">
        <f t="array" ref="B835">IFERROR(INDEX(DemandSupply,MATCH(INDEX($AH$1:AH835,SMALL(ROW($AH$1:AH835)+(10000*($AH$1:AH835="")),COUNTA($AH$1:AH835))),Sectors,0)),"")</f>
        <v>Demand</v>
      </c>
      <c r="E835" s="10"/>
      <c r="F835" s="207"/>
      <c r="G835" s="207"/>
      <c r="H835" s="207"/>
      <c r="I835" s="207"/>
      <c r="J835" s="207"/>
      <c r="K835" s="207"/>
      <c r="L835" s="207"/>
      <c r="M835" s="207"/>
      <c r="N835" s="207"/>
      <c r="O835" s="207"/>
      <c r="P835" s="207"/>
      <c r="Q835" s="207"/>
      <c r="R835" s="207"/>
      <c r="S835" s="207"/>
      <c r="T835" s="207"/>
      <c r="U835" s="207"/>
      <c r="V835" s="207"/>
      <c r="W835" s="207"/>
      <c r="X835" s="207"/>
      <c r="Y835" s="207"/>
      <c r="Z835" s="207"/>
      <c r="AA835" s="207"/>
      <c r="AB835" s="207"/>
      <c r="AC835" s="5"/>
      <c r="AD835" s="63"/>
      <c r="AE835" s="64"/>
      <c r="AF835" s="64"/>
      <c r="AG835" s="212"/>
      <c r="AH835" s="64"/>
      <c r="AI835" s="64"/>
      <c r="AJ835" s="64"/>
      <c r="AK835" s="64"/>
      <c r="AL835" s="64"/>
      <c r="AM835" s="64"/>
      <c r="AN835" s="64"/>
      <c r="AO835" s="64"/>
      <c r="AP835" s="63"/>
      <c r="AQ835" s="64"/>
      <c r="AR835" s="63"/>
      <c r="AS835" s="64"/>
      <c r="AT835" s="63"/>
      <c r="AU835" s="64"/>
      <c r="AV835" s="63"/>
      <c r="AW835" s="64"/>
      <c r="AX835" s="63"/>
      <c r="AY835" s="5"/>
      <c r="AZ835" s="21" t="str">
        <f t="shared" si="586"/>
        <v/>
      </c>
      <c r="BA835" s="264" t="s">
        <v>450</v>
      </c>
      <c r="BB835" s="264"/>
      <c r="BC835" s="264"/>
      <c r="BD835" s="264"/>
      <c r="BE835" s="216" t="s">
        <v>472</v>
      </c>
      <c r="BF835" s="55"/>
      <c r="BG835" s="55"/>
      <c r="BH835" s="55"/>
      <c r="BI835" s="55"/>
      <c r="BJ835" s="55"/>
      <c r="BK835" s="55"/>
      <c r="BL835" s="55"/>
      <c r="BM835" s="55"/>
      <c r="BN835" s="55"/>
      <c r="BO835" s="55"/>
      <c r="BP835" s="55"/>
      <c r="BQ835" s="5"/>
      <c r="BR835" s="25"/>
      <c r="BS835" s="5"/>
    </row>
    <row r="836" spans="1:71" s="3" customFormat="1" x14ac:dyDescent="0.25">
      <c r="A836" s="5"/>
      <c r="B836" s="3" t="str">
        <f t="array" ref="B836">IFERROR(INDEX(DemandSupply,MATCH(INDEX($AH$1:AH836,SMALL(ROW($AH$1:AH836)+(10000*($AH$1:AH836="")),COUNTA($AH$1:AH836))),Sectors,0)),"")</f>
        <v>Demand</v>
      </c>
      <c r="E836" s="10"/>
      <c r="F836" s="207"/>
      <c r="G836" s="207"/>
      <c r="H836" s="207"/>
      <c r="I836" s="207"/>
      <c r="J836" s="207"/>
      <c r="K836" s="207"/>
      <c r="L836" s="207"/>
      <c r="M836" s="207"/>
      <c r="N836" s="207"/>
      <c r="O836" s="207"/>
      <c r="P836" s="207"/>
      <c r="Q836" s="207"/>
      <c r="R836" s="207"/>
      <c r="S836" s="207"/>
      <c r="T836" s="207"/>
      <c r="U836" s="207"/>
      <c r="V836" s="207"/>
      <c r="W836" s="207"/>
      <c r="X836" s="207"/>
      <c r="Y836" s="207"/>
      <c r="Z836" s="207"/>
      <c r="AA836" s="207"/>
      <c r="AB836" s="207"/>
      <c r="AC836" s="5"/>
      <c r="AD836" s="63"/>
      <c r="AE836" s="64"/>
      <c r="AF836" s="64"/>
      <c r="AG836" s="212"/>
      <c r="AH836" s="64"/>
      <c r="AI836" s="64"/>
      <c r="AJ836" s="64"/>
      <c r="AK836" s="64"/>
      <c r="AL836" s="64"/>
      <c r="AM836" s="64"/>
      <c r="AN836" s="64"/>
      <c r="AO836" s="64"/>
      <c r="AP836" s="63"/>
      <c r="AQ836" s="64"/>
      <c r="AR836" s="63"/>
      <c r="AS836" s="64"/>
      <c r="AT836" s="63"/>
      <c r="AU836" s="64"/>
      <c r="AV836" s="63"/>
      <c r="AW836" s="64"/>
      <c r="AX836" s="63"/>
      <c r="AY836" s="5"/>
      <c r="AZ836" s="21" t="str">
        <f t="shared" si="586"/>
        <v/>
      </c>
      <c r="BA836" s="264" t="s">
        <v>451</v>
      </c>
      <c r="BB836" s="264"/>
      <c r="BC836" s="264"/>
      <c r="BD836" s="264"/>
      <c r="BE836" s="216" t="s">
        <v>472</v>
      </c>
      <c r="BF836" s="55"/>
      <c r="BG836" s="55"/>
      <c r="BH836" s="55"/>
      <c r="BI836" s="55"/>
      <c r="BJ836" s="55"/>
      <c r="BK836" s="55"/>
      <c r="BL836" s="55"/>
      <c r="BM836" s="55"/>
      <c r="BN836" s="55"/>
      <c r="BO836" s="55"/>
      <c r="BP836" s="55"/>
      <c r="BQ836" s="5"/>
      <c r="BR836" s="25"/>
      <c r="BS836" s="5"/>
    </row>
    <row r="837" spans="1:71" s="3" customFormat="1" x14ac:dyDescent="0.25">
      <c r="A837" s="5"/>
      <c r="B837" s="3" t="str">
        <f t="array" ref="B837">IFERROR(INDEX(DemandSupply,MATCH(INDEX($AH$1:AH837,SMALL(ROW($AH$1:AH837)+(10000*($AH$1:AH837="")),COUNTA($AH$1:AH837))),Sectors,0)),"")</f>
        <v>Demand</v>
      </c>
      <c r="E837" s="10"/>
      <c r="F837" s="207"/>
      <c r="G837" s="207"/>
      <c r="H837" s="207"/>
      <c r="I837" s="207"/>
      <c r="J837" s="207"/>
      <c r="K837" s="207"/>
      <c r="L837" s="207"/>
      <c r="M837" s="207"/>
      <c r="N837" s="207"/>
      <c r="O837" s="207"/>
      <c r="P837" s="207"/>
      <c r="Q837" s="207"/>
      <c r="R837" s="207"/>
      <c r="S837" s="207"/>
      <c r="T837" s="207"/>
      <c r="U837" s="207"/>
      <c r="V837" s="207"/>
      <c r="W837" s="207"/>
      <c r="X837" s="207"/>
      <c r="Y837" s="207"/>
      <c r="Z837" s="207"/>
      <c r="AA837" s="207"/>
      <c r="AB837" s="207"/>
      <c r="AC837" s="5"/>
      <c r="AD837" s="63"/>
      <c r="AE837" s="64"/>
      <c r="AF837" s="64"/>
      <c r="AG837" s="212"/>
      <c r="AH837" s="64"/>
      <c r="AI837" s="64"/>
      <c r="AJ837" s="64"/>
      <c r="AK837" s="64"/>
      <c r="AL837" s="64"/>
      <c r="AM837" s="64"/>
      <c r="AN837" s="64"/>
      <c r="AO837" s="64"/>
      <c r="AP837" s="63"/>
      <c r="AQ837" s="64"/>
      <c r="AR837" s="63"/>
      <c r="AS837" s="64"/>
      <c r="AT837" s="63"/>
      <c r="AU837" s="64"/>
      <c r="AV837" s="63"/>
      <c r="AW837" s="64"/>
      <c r="AX837" s="63"/>
      <c r="AY837" s="5"/>
      <c r="AZ837" s="21" t="str">
        <f t="shared" si="586"/>
        <v/>
      </c>
      <c r="BA837" s="264" t="s">
        <v>342</v>
      </c>
      <c r="BB837" s="264"/>
      <c r="BC837" s="264"/>
      <c r="BD837" s="264" t="s">
        <v>466</v>
      </c>
      <c r="BE837" s="216" t="s">
        <v>472</v>
      </c>
      <c r="BF837" s="56">
        <v>10</v>
      </c>
      <c r="BG837" s="282">
        <f t="shared" ref="BG837" si="638">BF837</f>
        <v>10</v>
      </c>
      <c r="BH837" s="282">
        <f t="shared" ref="BH837" si="639">BG837</f>
        <v>10</v>
      </c>
      <c r="BI837" s="282">
        <f t="shared" ref="BI837" si="640">BH837</f>
        <v>10</v>
      </c>
      <c r="BJ837" s="282">
        <f t="shared" ref="BJ837" si="641">BI837</f>
        <v>10</v>
      </c>
      <c r="BK837" s="282">
        <f t="shared" ref="BK837" si="642">BJ837</f>
        <v>10</v>
      </c>
      <c r="BL837" s="282">
        <f t="shared" ref="BL837" si="643">BK837</f>
        <v>10</v>
      </c>
      <c r="BM837" s="282">
        <f t="shared" ref="BM837" si="644">BL837</f>
        <v>10</v>
      </c>
      <c r="BN837" s="282">
        <f t="shared" ref="BN837" si="645">BM837</f>
        <v>10</v>
      </c>
      <c r="BO837" s="282">
        <f t="shared" ref="BO837" si="646">BN837</f>
        <v>10</v>
      </c>
      <c r="BP837" s="282">
        <f t="shared" ref="BP837" si="647">BO837</f>
        <v>10</v>
      </c>
      <c r="BQ837" s="5"/>
      <c r="BR837" s="25"/>
      <c r="BS837" s="5"/>
    </row>
    <row r="838" spans="1:71" s="3" customFormat="1" x14ac:dyDescent="0.25">
      <c r="A838" s="5"/>
      <c r="B838" s="3" t="str">
        <f t="array" ref="B838">IFERROR(INDEX(DemandSupply,MATCH(INDEX($AH$1:AH838,SMALL(ROW($AH$1:AH838)+(10000*($AH$1:AH838="")),COUNTA($AH$1:AH838))),Sectors,0)),"")</f>
        <v>Demand</v>
      </c>
      <c r="E838" s="10"/>
      <c r="F838" s="207"/>
      <c r="G838" s="207"/>
      <c r="H838" s="207"/>
      <c r="I838" s="207"/>
      <c r="J838" s="207"/>
      <c r="K838" s="207"/>
      <c r="L838" s="207"/>
      <c r="M838" s="207"/>
      <c r="N838" s="207"/>
      <c r="O838" s="207"/>
      <c r="P838" s="207"/>
      <c r="Q838" s="207"/>
      <c r="R838" s="207"/>
      <c r="S838" s="207"/>
      <c r="T838" s="207"/>
      <c r="U838" s="207"/>
      <c r="V838" s="207"/>
      <c r="W838" s="207"/>
      <c r="X838" s="207"/>
      <c r="Y838" s="207"/>
      <c r="Z838" s="207"/>
      <c r="AA838" s="207"/>
      <c r="AB838" s="207"/>
      <c r="AC838" s="5"/>
      <c r="AD838" s="63"/>
      <c r="AE838" s="64"/>
      <c r="AF838" s="64"/>
      <c r="AG838" s="212"/>
      <c r="AH838" s="64"/>
      <c r="AI838" s="64"/>
      <c r="AJ838" s="64"/>
      <c r="AK838" s="64"/>
      <c r="AL838" s="64"/>
      <c r="AM838" s="64"/>
      <c r="AN838" s="64"/>
      <c r="AO838" s="64"/>
      <c r="AP838" s="63"/>
      <c r="AQ838" s="64"/>
      <c r="AR838" s="63"/>
      <c r="AS838" s="64"/>
      <c r="AT838" s="63"/>
      <c r="AU838" s="64"/>
      <c r="AV838" s="63"/>
      <c r="AW838" s="64"/>
      <c r="AX838" s="63"/>
      <c r="AY838" s="5"/>
      <c r="AZ838" s="21" t="str">
        <f t="shared" si="586"/>
        <v/>
      </c>
      <c r="BA838" s="264" t="s">
        <v>394</v>
      </c>
      <c r="BB838" s="264"/>
      <c r="BC838" s="264"/>
      <c r="BD838" s="264" t="s">
        <v>354</v>
      </c>
      <c r="BE838" s="216" t="s">
        <v>472</v>
      </c>
      <c r="BF838" s="56"/>
      <c r="BG838" s="56"/>
      <c r="BH838" s="56"/>
      <c r="BI838" s="56"/>
      <c r="BJ838" s="56"/>
      <c r="BK838" s="56"/>
      <c r="BL838" s="56"/>
      <c r="BM838" s="56"/>
      <c r="BN838" s="56"/>
      <c r="BO838" s="56"/>
      <c r="BP838" s="56"/>
      <c r="BQ838" s="5"/>
      <c r="BR838" s="25"/>
      <c r="BS838" s="5"/>
    </row>
    <row r="839" spans="1:71" s="3" customFormat="1" x14ac:dyDescent="0.25">
      <c r="A839" s="5"/>
      <c r="B839" s="3" t="str">
        <f t="array" ref="B839">IFERROR(INDEX(DemandSupply,MATCH(INDEX($AH$1:AH839,SMALL(ROW($AH$1:AH839)+(10000*($AH$1:AH839="")),COUNTA($AH$1:AH839))),Sectors,0)),"")</f>
        <v>Demand</v>
      </c>
      <c r="E839" s="10">
        <f t="shared" ref="E839:E840" si="648">IF(COUNTA(BA839)=1,0,MIN(F839:AA839))</f>
        <v>0</v>
      </c>
      <c r="F839" s="207">
        <v>1</v>
      </c>
      <c r="G839" s="207">
        <v>1</v>
      </c>
      <c r="H839" s="207">
        <v>1</v>
      </c>
      <c r="I839" s="207">
        <v>1</v>
      </c>
      <c r="J839" s="207">
        <v>1</v>
      </c>
      <c r="K839" s="207">
        <v>1</v>
      </c>
      <c r="L839" s="207">
        <v>1</v>
      </c>
      <c r="M839" s="207">
        <v>1</v>
      </c>
      <c r="N839" s="207">
        <v>1</v>
      </c>
      <c r="O839" s="207">
        <v>1</v>
      </c>
      <c r="P839" s="207">
        <v>1</v>
      </c>
      <c r="Q839" s="207">
        <v>1</v>
      </c>
      <c r="R839" s="207">
        <v>1</v>
      </c>
      <c r="S839" s="207">
        <v>1</v>
      </c>
      <c r="T839" s="207">
        <v>1</v>
      </c>
      <c r="U839" s="207">
        <v>1</v>
      </c>
      <c r="V839" s="207">
        <v>1</v>
      </c>
      <c r="W839" s="207">
        <v>1</v>
      </c>
      <c r="X839" s="207">
        <v>1</v>
      </c>
      <c r="Y839" s="207">
        <v>1</v>
      </c>
      <c r="Z839" s="207">
        <v>1</v>
      </c>
      <c r="AA839" s="207">
        <v>1</v>
      </c>
      <c r="AB839" s="207">
        <v>1</v>
      </c>
      <c r="AC839" s="5"/>
      <c r="AD839" s="63"/>
      <c r="AE839" s="64"/>
      <c r="AF839" s="64"/>
      <c r="AG839" s="212"/>
      <c r="AH839" s="64"/>
      <c r="AI839" s="64"/>
      <c r="AJ839" s="64"/>
      <c r="AK839" s="64"/>
      <c r="AL839" s="80"/>
      <c r="AM839" s="64"/>
      <c r="AN839" s="64"/>
      <c r="AO839" s="64"/>
      <c r="AP839" s="63"/>
      <c r="AQ839" s="64"/>
      <c r="AR839" s="63"/>
      <c r="AS839" s="64"/>
      <c r="AT839" s="63"/>
      <c r="AU839" s="64"/>
      <c r="AV839" s="63"/>
      <c r="AW839" s="64"/>
      <c r="AX839" s="63"/>
      <c r="AY839" s="5"/>
      <c r="AZ839" s="21" t="str">
        <f t="shared" si="586"/>
        <v/>
      </c>
      <c r="BA839" s="2" t="s">
        <v>338</v>
      </c>
      <c r="BB839" s="13"/>
      <c r="BC839" s="74" t="s">
        <v>123</v>
      </c>
      <c r="BD839" s="74" t="s">
        <v>467</v>
      </c>
      <c r="BE839" s="216" t="s">
        <v>472</v>
      </c>
      <c r="BF839" s="55">
        <v>0.08</v>
      </c>
      <c r="BG839" s="55">
        <v>0.08</v>
      </c>
      <c r="BH839" s="55">
        <v>0.08</v>
      </c>
      <c r="BI839" s="55">
        <v>0.08</v>
      </c>
      <c r="BJ839" s="55">
        <v>0.08</v>
      </c>
      <c r="BK839" s="55">
        <v>0.08</v>
      </c>
      <c r="BL839" s="55">
        <v>0.08</v>
      </c>
      <c r="BM839" s="55">
        <v>0.08</v>
      </c>
      <c r="BN839" s="55">
        <v>0.08</v>
      </c>
      <c r="BO839" s="55">
        <v>0.08</v>
      </c>
      <c r="BP839" s="55">
        <v>0.08</v>
      </c>
      <c r="BQ839" s="5"/>
      <c r="BR839" s="13"/>
      <c r="BS839" s="5"/>
    </row>
    <row r="840" spans="1:71" s="3" customFormat="1" x14ac:dyDescent="0.25">
      <c r="A840" s="5"/>
      <c r="B840" s="3" t="str">
        <f t="array" ref="B840">IFERROR(INDEX(DemandSupply,MATCH(INDEX($AH$1:AH840,SMALL(ROW($AH$1:AH840)+(10000*($AH$1:AH840="")),COUNTA($AH$1:AH840))),Sectors,0)),"")</f>
        <v>Demand</v>
      </c>
      <c r="E840" s="10">
        <f t="shared" si="648"/>
        <v>0</v>
      </c>
      <c r="F840" s="207">
        <v>1</v>
      </c>
      <c r="G840" s="207">
        <v>1</v>
      </c>
      <c r="H840" s="207">
        <v>1</v>
      </c>
      <c r="I840" s="207">
        <v>1</v>
      </c>
      <c r="J840" s="207">
        <v>1</v>
      </c>
      <c r="K840" s="207">
        <v>1</v>
      </c>
      <c r="L840" s="207">
        <v>1</v>
      </c>
      <c r="M840" s="207">
        <v>1</v>
      </c>
      <c r="N840" s="207">
        <v>1</v>
      </c>
      <c r="O840" s="207">
        <v>1</v>
      </c>
      <c r="P840" s="207">
        <v>1</v>
      </c>
      <c r="Q840" s="207">
        <v>1</v>
      </c>
      <c r="R840" s="207">
        <v>1</v>
      </c>
      <c r="S840" s="207">
        <v>1</v>
      </c>
      <c r="T840" s="207">
        <v>1</v>
      </c>
      <c r="U840" s="207">
        <v>1</v>
      </c>
      <c r="V840" s="207">
        <v>1</v>
      </c>
      <c r="W840" s="207">
        <v>1</v>
      </c>
      <c r="X840" s="207">
        <v>1</v>
      </c>
      <c r="Y840" s="207">
        <v>1</v>
      </c>
      <c r="Z840" s="207">
        <v>1</v>
      </c>
      <c r="AA840" s="207">
        <v>1</v>
      </c>
      <c r="AB840" s="207">
        <v>1</v>
      </c>
      <c r="AC840" s="5"/>
      <c r="AD840" s="63"/>
      <c r="AE840" s="64"/>
      <c r="AF840" s="64"/>
      <c r="AG840" s="212"/>
      <c r="AH840" s="64"/>
      <c r="AI840" s="64"/>
      <c r="AJ840" s="64"/>
      <c r="AK840" s="64"/>
      <c r="AL840" s="80"/>
      <c r="AM840" s="64"/>
      <c r="AN840" s="64"/>
      <c r="AO840" s="64"/>
      <c r="AP840" s="63"/>
      <c r="AQ840" s="64"/>
      <c r="AR840" s="63"/>
      <c r="AS840" s="64"/>
      <c r="AT840" s="63"/>
      <c r="AU840" s="64"/>
      <c r="AV840" s="63"/>
      <c r="AW840" s="64"/>
      <c r="AX840" s="63"/>
      <c r="AY840" s="5"/>
      <c r="AZ840" s="21" t="str">
        <f t="shared" si="586"/>
        <v/>
      </c>
      <c r="BA840" s="2" t="s">
        <v>338</v>
      </c>
      <c r="BB840" s="13"/>
      <c r="BC840" s="74" t="s">
        <v>468</v>
      </c>
      <c r="BD840" s="74" t="s">
        <v>467</v>
      </c>
      <c r="BE840" s="216" t="s">
        <v>472</v>
      </c>
      <c r="BF840" s="55">
        <v>2.0499999999999998</v>
      </c>
      <c r="BG840" s="55">
        <v>2.0499999999999998</v>
      </c>
      <c r="BH840" s="55">
        <v>2.0499999999999998</v>
      </c>
      <c r="BI840" s="55">
        <v>2.0499999999999998</v>
      </c>
      <c r="BJ840" s="55">
        <v>2.0499999999999998</v>
      </c>
      <c r="BK840" s="55">
        <v>2.0499999999999998</v>
      </c>
      <c r="BL840" s="55">
        <v>2.0499999999999998</v>
      </c>
      <c r="BM840" s="55">
        <v>2.0499999999999998</v>
      </c>
      <c r="BN840" s="55">
        <v>2.0499999999999998</v>
      </c>
      <c r="BO840" s="55">
        <v>2.0499999999999998</v>
      </c>
      <c r="BP840" s="55">
        <v>2.0499999999999998</v>
      </c>
      <c r="BQ840" s="5"/>
      <c r="BR840" s="13"/>
      <c r="BS840" s="5"/>
    </row>
    <row r="841" spans="1:71" s="3" customFormat="1" x14ac:dyDescent="0.25">
      <c r="A841" s="5"/>
      <c r="B841" s="3" t="str">
        <f t="array" ref="B841">IFERROR(INDEX(DemandSupply,MATCH(INDEX($AH$1:AH841,SMALL(ROW($AH$1:AH841)+(10000*($AH$1:AH841="")),COUNTA($AH$1:AH841))),Sectors,0)),"")</f>
        <v>Demand</v>
      </c>
      <c r="E841" s="10">
        <f t="shared" si="356"/>
        <v>1</v>
      </c>
      <c r="F841" s="207">
        <v>1</v>
      </c>
      <c r="G841" s="207">
        <v>1</v>
      </c>
      <c r="H841" s="207">
        <v>1</v>
      </c>
      <c r="I841" s="207">
        <v>1</v>
      </c>
      <c r="J841" s="207">
        <v>1</v>
      </c>
      <c r="K841" s="207">
        <v>1</v>
      </c>
      <c r="L841" s="207">
        <v>1</v>
      </c>
      <c r="M841" s="207">
        <v>1</v>
      </c>
      <c r="N841" s="207">
        <v>1</v>
      </c>
      <c r="O841" s="207">
        <v>1</v>
      </c>
      <c r="P841" s="207">
        <v>1</v>
      </c>
      <c r="Q841" s="207">
        <v>1</v>
      </c>
      <c r="R841" s="207">
        <v>1</v>
      </c>
      <c r="S841" s="207">
        <v>1</v>
      </c>
      <c r="T841" s="207">
        <v>1</v>
      </c>
      <c r="U841" s="207">
        <v>1</v>
      </c>
      <c r="V841" s="207">
        <v>1</v>
      </c>
      <c r="W841" s="207">
        <v>1</v>
      </c>
      <c r="X841" s="207">
        <v>1</v>
      </c>
      <c r="Y841" s="207">
        <v>1</v>
      </c>
      <c r="Z841" s="207">
        <v>1</v>
      </c>
      <c r="AA841" s="207">
        <v>1</v>
      </c>
      <c r="AB841" s="207">
        <v>1</v>
      </c>
      <c r="AC841" s="5"/>
      <c r="AD841" s="63"/>
      <c r="AE841" s="64"/>
      <c r="AF841" s="64"/>
      <c r="AG841" s="212"/>
      <c r="AH841" s="64"/>
      <c r="AI841" s="64"/>
      <c r="AJ841" s="63"/>
      <c r="AK841" s="64"/>
      <c r="AL841" s="63"/>
      <c r="AM841" s="64"/>
      <c r="AN841" s="64"/>
      <c r="AO841" s="64"/>
      <c r="AP841" s="63"/>
      <c r="AQ841" s="64"/>
      <c r="AR841" s="63"/>
      <c r="AS841" s="64"/>
      <c r="AT841" s="63"/>
      <c r="AU841" s="64"/>
      <c r="AV841" s="63"/>
      <c r="AW841" s="64"/>
      <c r="AX841" s="63"/>
      <c r="AY841" s="5"/>
      <c r="AZ841" s="21" t="str">
        <f t="shared" si="586"/>
        <v/>
      </c>
      <c r="BB841" s="13"/>
      <c r="BE841" s="9"/>
      <c r="BQ841" s="5"/>
      <c r="BR841" s="13"/>
      <c r="BS841" s="5"/>
    </row>
    <row r="842" spans="1:71" s="3" customFormat="1" x14ac:dyDescent="0.25">
      <c r="A842" s="5"/>
      <c r="B842" s="3" t="str">
        <f t="array" ref="B842">IFERROR(INDEX(DemandSupply,MATCH(INDEX($AH$1:AH842,SMALL(ROW($AH$1:AH842)+(10000*($AH$1:AH842="")),COUNTA($AH$1:AH842))),Sectors,0)),"")</f>
        <v>Supply</v>
      </c>
      <c r="E842" s="10">
        <f t="shared" si="356"/>
        <v>1</v>
      </c>
      <c r="F842" s="207">
        <v>1</v>
      </c>
      <c r="G842" s="207">
        <v>1</v>
      </c>
      <c r="H842" s="207">
        <v>1</v>
      </c>
      <c r="I842" s="207">
        <v>1</v>
      </c>
      <c r="J842" s="207">
        <v>1</v>
      </c>
      <c r="K842" s="207">
        <v>1</v>
      </c>
      <c r="L842" s="207">
        <v>1</v>
      </c>
      <c r="M842" s="207">
        <v>1</v>
      </c>
      <c r="N842" s="207">
        <v>1</v>
      </c>
      <c r="O842" s="207">
        <v>1</v>
      </c>
      <c r="P842" s="207">
        <v>1</v>
      </c>
      <c r="Q842" s="207">
        <v>1</v>
      </c>
      <c r="R842" s="207">
        <v>1</v>
      </c>
      <c r="S842" s="207">
        <v>1</v>
      </c>
      <c r="T842" s="207">
        <v>1</v>
      </c>
      <c r="U842" s="207">
        <v>1</v>
      </c>
      <c r="V842" s="207">
        <v>1</v>
      </c>
      <c r="W842" s="207">
        <v>1</v>
      </c>
      <c r="X842" s="207">
        <v>1</v>
      </c>
      <c r="Y842" s="207">
        <v>1</v>
      </c>
      <c r="Z842" s="207">
        <v>1</v>
      </c>
      <c r="AA842" s="207">
        <v>1</v>
      </c>
      <c r="AB842" s="207">
        <v>1</v>
      </c>
      <c r="AC842" s="5"/>
      <c r="AD842" s="63"/>
      <c r="AE842" s="64"/>
      <c r="AF842" s="64"/>
      <c r="AG842" s="212"/>
      <c r="AH842" s="211" t="s">
        <v>2</v>
      </c>
      <c r="AI842" s="68"/>
      <c r="AJ842" s="64"/>
      <c r="AK842" s="65"/>
      <c r="AL842" s="63"/>
      <c r="AM842" s="65"/>
      <c r="AN842" s="63"/>
      <c r="AO842" s="65"/>
      <c r="AP842" s="63"/>
      <c r="AQ842" s="65"/>
      <c r="AR842" s="63"/>
      <c r="AS842" s="65"/>
      <c r="AT842" s="63"/>
      <c r="AU842" s="65"/>
      <c r="AV842" s="63"/>
      <c r="AW842" s="65"/>
      <c r="AX842" s="63"/>
      <c r="AY842" s="5"/>
      <c r="AZ842" s="208" t="str">
        <f t="shared" si="586"/>
        <v>Electricity</v>
      </c>
      <c r="BB842" s="13"/>
      <c r="BE842" s="9"/>
      <c r="BQ842" s="5"/>
      <c r="BR842" s="13"/>
      <c r="BS842" s="5"/>
    </row>
    <row r="843" spans="1:71" s="3" customFormat="1" x14ac:dyDescent="0.25">
      <c r="A843" s="5"/>
      <c r="B843" s="3" t="str">
        <f t="array" ref="B843">IFERROR(INDEX(DemandSupply,MATCH(INDEX($AH$1:AH843,SMALL(ROW($AH$1:AH843)+(10000*($AH$1:AH843="")),COUNTA($AH$1:AH843))),Sectors,0)),"")</f>
        <v>Supply</v>
      </c>
      <c r="E843" s="10">
        <f t="shared" si="356"/>
        <v>0</v>
      </c>
      <c r="F843" s="207">
        <v>1</v>
      </c>
      <c r="G843" s="207">
        <v>1</v>
      </c>
      <c r="H843" s="207">
        <v>1</v>
      </c>
      <c r="I843" s="207">
        <v>1</v>
      </c>
      <c r="J843" s="207">
        <v>1</v>
      </c>
      <c r="K843" s="207">
        <v>1</v>
      </c>
      <c r="L843" s="207">
        <v>1</v>
      </c>
      <c r="M843" s="207">
        <v>1</v>
      </c>
      <c r="N843" s="207">
        <v>1</v>
      </c>
      <c r="O843" s="207">
        <v>1</v>
      </c>
      <c r="P843" s="207">
        <v>1</v>
      </c>
      <c r="Q843" s="207">
        <v>1</v>
      </c>
      <c r="R843" s="207">
        <v>1</v>
      </c>
      <c r="S843" s="207">
        <v>1</v>
      </c>
      <c r="T843" s="207">
        <v>1</v>
      </c>
      <c r="U843" s="207">
        <v>1</v>
      </c>
      <c r="V843" s="207">
        <v>1</v>
      </c>
      <c r="W843" s="207">
        <v>1</v>
      </c>
      <c r="X843" s="207">
        <v>1</v>
      </c>
      <c r="Y843" s="207">
        <v>1</v>
      </c>
      <c r="Z843" s="207">
        <v>1</v>
      </c>
      <c r="AA843" s="207">
        <v>1</v>
      </c>
      <c r="AB843" s="207">
        <v>1</v>
      </c>
      <c r="AC843" s="5"/>
      <c r="AD843" s="63"/>
      <c r="AE843" s="64"/>
      <c r="AF843" s="64"/>
      <c r="AG843" s="212"/>
      <c r="AH843" s="64"/>
      <c r="AI843" s="210"/>
      <c r="AJ843" s="64"/>
      <c r="AK843" s="65"/>
      <c r="AL843" s="63"/>
      <c r="AM843" s="65"/>
      <c r="AN843" s="63"/>
      <c r="AO843" s="65"/>
      <c r="AP843" s="63"/>
      <c r="AQ843" s="65"/>
      <c r="AR843" s="63"/>
      <c r="AS843" s="65"/>
      <c r="AT843" s="63"/>
      <c r="AU843" s="65"/>
      <c r="AV843" s="63"/>
      <c r="AW843" s="65"/>
      <c r="AX843" s="63"/>
      <c r="AY843" s="5"/>
      <c r="AZ843" s="21" t="str">
        <f t="shared" si="586"/>
        <v/>
      </c>
      <c r="BA843" t="s">
        <v>337</v>
      </c>
      <c r="BB843" s="13"/>
      <c r="BC843" s="2" t="s">
        <v>123</v>
      </c>
      <c r="BD843" s="2" t="s">
        <v>34</v>
      </c>
      <c r="BE843" s="26" t="str">
        <f>AZ842</f>
        <v>Electricity</v>
      </c>
      <c r="BF843" s="308"/>
      <c r="BG843" s="308"/>
      <c r="BH843" s="308"/>
      <c r="BI843" s="308"/>
      <c r="BJ843" s="308"/>
      <c r="BK843" s="308"/>
      <c r="BL843" s="308"/>
      <c r="BM843" s="308"/>
      <c r="BN843" s="308"/>
      <c r="BO843" s="308"/>
      <c r="BP843" s="308"/>
      <c r="BQ843" s="5"/>
      <c r="BR843" s="13"/>
      <c r="BS843" s="5"/>
    </row>
    <row r="844" spans="1:71" s="3" customFormat="1" x14ac:dyDescent="0.25">
      <c r="A844" s="5"/>
      <c r="B844" s="3" t="str">
        <f t="array" ref="B844">IFERROR(INDEX(DemandSupply,MATCH(INDEX($AH$1:AH844,SMALL(ROW($AH$1:AH844)+(10000*($AH$1:AH844="")),COUNTA($AH$1:AH844))),Sectors,0)),"")</f>
        <v>Supply</v>
      </c>
      <c r="E844" s="10">
        <f t="shared" si="356"/>
        <v>0</v>
      </c>
      <c r="F844" s="207">
        <v>1</v>
      </c>
      <c r="G844" s="207">
        <v>1</v>
      </c>
      <c r="H844" s="207">
        <v>1</v>
      </c>
      <c r="I844" s="207">
        <v>1</v>
      </c>
      <c r="J844" s="207">
        <v>1</v>
      </c>
      <c r="K844" s="207">
        <v>1</v>
      </c>
      <c r="L844" s="207">
        <v>1</v>
      </c>
      <c r="M844" s="207">
        <v>1</v>
      </c>
      <c r="N844" s="207">
        <v>1</v>
      </c>
      <c r="O844" s="207">
        <v>1</v>
      </c>
      <c r="P844" s="207">
        <v>1</v>
      </c>
      <c r="Q844" s="207">
        <v>1</v>
      </c>
      <c r="R844" s="207">
        <v>1</v>
      </c>
      <c r="S844" s="207">
        <v>1</v>
      </c>
      <c r="T844" s="207">
        <v>1</v>
      </c>
      <c r="U844" s="207">
        <v>1</v>
      </c>
      <c r="V844" s="207">
        <v>1</v>
      </c>
      <c r="W844" s="207">
        <v>1</v>
      </c>
      <c r="X844" s="207">
        <v>1</v>
      </c>
      <c r="Y844" s="207">
        <v>1</v>
      </c>
      <c r="Z844" s="207">
        <v>1</v>
      </c>
      <c r="AA844" s="207">
        <v>1</v>
      </c>
      <c r="AB844" s="207">
        <v>1</v>
      </c>
      <c r="AC844" s="5"/>
      <c r="AD844" s="63"/>
      <c r="AE844" s="64"/>
      <c r="AF844" s="64"/>
      <c r="AG844" s="212"/>
      <c r="AH844" s="64"/>
      <c r="AI844" s="145"/>
      <c r="AJ844" s="64"/>
      <c r="AK844" s="65"/>
      <c r="AL844" s="63"/>
      <c r="AM844" s="65"/>
      <c r="AN844" s="63"/>
      <c r="AO844" s="65"/>
      <c r="AP844" s="63"/>
      <c r="AQ844" s="65"/>
      <c r="AR844" s="63"/>
      <c r="AS844" s="65"/>
      <c r="AT844" s="63"/>
      <c r="AU844" s="65"/>
      <c r="AV844" s="63"/>
      <c r="AW844" s="65"/>
      <c r="AX844" s="63"/>
      <c r="AY844" s="5"/>
      <c r="AZ844" s="21" t="str">
        <f t="shared" si="586"/>
        <v/>
      </c>
      <c r="BA844" t="s">
        <v>7</v>
      </c>
      <c r="BB844" s="13"/>
      <c r="BC844" s="2"/>
      <c r="BD844" s="2"/>
      <c r="BE844" s="26" t="s">
        <v>35</v>
      </c>
      <c r="BF844" s="200">
        <v>0.4</v>
      </c>
      <c r="BG844" s="222">
        <f>BF844</f>
        <v>0.4</v>
      </c>
      <c r="BH844" s="222">
        <f t="shared" ref="BH844:BP844" si="649">BG844</f>
        <v>0.4</v>
      </c>
      <c r="BI844" s="222">
        <f t="shared" si="649"/>
        <v>0.4</v>
      </c>
      <c r="BJ844" s="222">
        <f t="shared" si="649"/>
        <v>0.4</v>
      </c>
      <c r="BK844" s="222">
        <f t="shared" si="649"/>
        <v>0.4</v>
      </c>
      <c r="BL844" s="222">
        <f t="shared" si="649"/>
        <v>0.4</v>
      </c>
      <c r="BM844" s="222">
        <f t="shared" si="649"/>
        <v>0.4</v>
      </c>
      <c r="BN844" s="222">
        <f t="shared" si="649"/>
        <v>0.4</v>
      </c>
      <c r="BO844" s="222">
        <f t="shared" si="649"/>
        <v>0.4</v>
      </c>
      <c r="BP844" s="222">
        <f t="shared" si="649"/>
        <v>0.4</v>
      </c>
      <c r="BQ844" s="5"/>
      <c r="BR844" s="13"/>
      <c r="BS844" s="5"/>
    </row>
    <row r="845" spans="1:71" s="3" customFormat="1" x14ac:dyDescent="0.25">
      <c r="A845" s="5"/>
      <c r="B845" s="3" t="str">
        <f t="array" ref="B845">IFERROR(INDEX(DemandSupply,MATCH(INDEX($AH$1:AH845,SMALL(ROW($AH$1:AH845)+(10000*($AH$1:AH845="")),COUNTA($AH$1:AH845))),Sectors,0)),"")</f>
        <v>Supply</v>
      </c>
      <c r="E845" s="10">
        <f t="shared" si="356"/>
        <v>0</v>
      </c>
      <c r="F845" s="207">
        <v>1</v>
      </c>
      <c r="G845" s="207">
        <v>1</v>
      </c>
      <c r="H845" s="207">
        <v>1</v>
      </c>
      <c r="I845" s="207">
        <v>1</v>
      </c>
      <c r="J845" s="207">
        <v>1</v>
      </c>
      <c r="K845" s="207">
        <v>1</v>
      </c>
      <c r="L845" s="207">
        <v>1</v>
      </c>
      <c r="M845" s="207">
        <v>1</v>
      </c>
      <c r="N845" s="207">
        <v>1</v>
      </c>
      <c r="O845" s="207">
        <v>1</v>
      </c>
      <c r="P845" s="207">
        <v>1</v>
      </c>
      <c r="Q845" s="207">
        <v>1</v>
      </c>
      <c r="R845" s="207">
        <v>1</v>
      </c>
      <c r="S845" s="207">
        <v>1</v>
      </c>
      <c r="T845" s="207">
        <v>1</v>
      </c>
      <c r="U845" s="207">
        <v>1</v>
      </c>
      <c r="V845" s="207">
        <v>1</v>
      </c>
      <c r="W845" s="207">
        <v>1</v>
      </c>
      <c r="X845" s="207">
        <v>1</v>
      </c>
      <c r="Y845" s="207">
        <v>1</v>
      </c>
      <c r="Z845" s="207">
        <v>1</v>
      </c>
      <c r="AA845" s="207">
        <v>1</v>
      </c>
      <c r="AB845" s="207">
        <v>1</v>
      </c>
      <c r="AC845" s="5"/>
      <c r="AD845" s="63"/>
      <c r="AE845" s="64"/>
      <c r="AF845" s="64"/>
      <c r="AG845" s="212"/>
      <c r="AH845" s="64"/>
      <c r="AI845" s="145"/>
      <c r="AJ845" s="64"/>
      <c r="AK845" s="65"/>
      <c r="AL845" s="63"/>
      <c r="AM845" s="65"/>
      <c r="AN845" s="63"/>
      <c r="AO845" s="65"/>
      <c r="AP845" s="63"/>
      <c r="AQ845" s="65"/>
      <c r="AR845" s="63"/>
      <c r="AS845" s="65"/>
      <c r="AT845" s="63"/>
      <c r="AU845" s="65"/>
      <c r="AV845" s="63"/>
      <c r="AW845" s="65"/>
      <c r="AX845" s="63"/>
      <c r="AY845" s="5"/>
      <c r="AZ845" s="21" t="str">
        <f t="shared" si="586"/>
        <v/>
      </c>
      <c r="BA845" t="s">
        <v>343</v>
      </c>
      <c r="BB845" s="13"/>
      <c r="BC845" s="2"/>
      <c r="BD845" s="2" t="s">
        <v>99</v>
      </c>
      <c r="BE845" s="26" t="s">
        <v>41</v>
      </c>
      <c r="BF845" s="305">
        <v>0.1</v>
      </c>
      <c r="BG845" s="304">
        <f t="shared" ref="BG845:BP845" si="650">BF845</f>
        <v>0.1</v>
      </c>
      <c r="BH845" s="304">
        <f t="shared" si="650"/>
        <v>0.1</v>
      </c>
      <c r="BI845" s="304">
        <f t="shared" si="650"/>
        <v>0.1</v>
      </c>
      <c r="BJ845" s="304">
        <f t="shared" si="650"/>
        <v>0.1</v>
      </c>
      <c r="BK845" s="304">
        <f t="shared" si="650"/>
        <v>0.1</v>
      </c>
      <c r="BL845" s="304">
        <f t="shared" si="650"/>
        <v>0.1</v>
      </c>
      <c r="BM845" s="304">
        <f t="shared" si="650"/>
        <v>0.1</v>
      </c>
      <c r="BN845" s="304">
        <f t="shared" si="650"/>
        <v>0.1</v>
      </c>
      <c r="BO845" s="304">
        <f t="shared" si="650"/>
        <v>0.1</v>
      </c>
      <c r="BP845" s="304">
        <f t="shared" si="650"/>
        <v>0.1</v>
      </c>
      <c r="BQ845" s="5"/>
      <c r="BR845" s="13"/>
      <c r="BS845" s="5"/>
    </row>
    <row r="846" spans="1:71" s="3" customFormat="1" x14ac:dyDescent="0.25">
      <c r="A846" s="5"/>
      <c r="B846" s="3" t="str">
        <f t="array" ref="B846">IFERROR(INDEX(DemandSupply,MATCH(INDEX($AH$1:AH846,SMALL(ROW($AH$1:AH846)+(10000*($AH$1:AH846="")),COUNTA($AH$1:AH846))),Sectors,0)),"")</f>
        <v>Supply</v>
      </c>
      <c r="E846" s="10">
        <f t="shared" si="356"/>
        <v>0</v>
      </c>
      <c r="F846" s="207">
        <v>1</v>
      </c>
      <c r="G846" s="207">
        <v>1</v>
      </c>
      <c r="H846" s="207">
        <v>1</v>
      </c>
      <c r="I846" s="207">
        <v>1</v>
      </c>
      <c r="J846" s="207">
        <v>1</v>
      </c>
      <c r="K846" s="207">
        <v>1</v>
      </c>
      <c r="L846" s="207">
        <v>1</v>
      </c>
      <c r="M846" s="207">
        <v>1</v>
      </c>
      <c r="N846" s="207">
        <v>1</v>
      </c>
      <c r="O846" s="207">
        <v>1</v>
      </c>
      <c r="P846" s="207">
        <v>1</v>
      </c>
      <c r="Q846" s="207">
        <v>1</v>
      </c>
      <c r="R846" s="207">
        <v>1</v>
      </c>
      <c r="S846" s="207">
        <v>1</v>
      </c>
      <c r="T846" s="207">
        <v>1</v>
      </c>
      <c r="U846" s="207">
        <v>1</v>
      </c>
      <c r="V846" s="207">
        <v>1</v>
      </c>
      <c r="W846" s="207">
        <v>1</v>
      </c>
      <c r="X846" s="207">
        <v>1</v>
      </c>
      <c r="Y846" s="207">
        <v>1</v>
      </c>
      <c r="Z846" s="207">
        <v>1</v>
      </c>
      <c r="AA846" s="207">
        <v>1</v>
      </c>
      <c r="AB846" s="207">
        <v>1</v>
      </c>
      <c r="AC846" s="5"/>
      <c r="AD846" s="63"/>
      <c r="AE846" s="64"/>
      <c r="AF846" s="64"/>
      <c r="AG846" s="212"/>
      <c r="AH846" s="64"/>
      <c r="AI846" s="145"/>
      <c r="AJ846" s="64"/>
      <c r="AK846" s="65"/>
      <c r="AL846" s="63"/>
      <c r="AM846" s="65"/>
      <c r="AN846" s="63"/>
      <c r="AO846" s="65"/>
      <c r="AP846" s="63"/>
      <c r="AQ846" s="65"/>
      <c r="AR846" s="63"/>
      <c r="AS846" s="65"/>
      <c r="AT846" s="63"/>
      <c r="AU846" s="65"/>
      <c r="AV846" s="63"/>
      <c r="AW846" s="65"/>
      <c r="AX846" s="63"/>
      <c r="AY846" s="5"/>
      <c r="AZ846" s="21" t="str">
        <f t="shared" si="586"/>
        <v/>
      </c>
      <c r="BA846" t="s">
        <v>50</v>
      </c>
      <c r="BB846" s="13"/>
      <c r="BC846" s="2"/>
      <c r="BD846" s="2" t="s">
        <v>99</v>
      </c>
      <c r="BE846" s="26"/>
      <c r="BF846" s="305">
        <v>0.1</v>
      </c>
      <c r="BG846" s="304">
        <f t="shared" ref="BG846:BP846" si="651">BF846</f>
        <v>0.1</v>
      </c>
      <c r="BH846" s="304">
        <f t="shared" si="651"/>
        <v>0.1</v>
      </c>
      <c r="BI846" s="304">
        <f t="shared" si="651"/>
        <v>0.1</v>
      </c>
      <c r="BJ846" s="304">
        <f t="shared" si="651"/>
        <v>0.1</v>
      </c>
      <c r="BK846" s="304">
        <f t="shared" si="651"/>
        <v>0.1</v>
      </c>
      <c r="BL846" s="304">
        <f t="shared" si="651"/>
        <v>0.1</v>
      </c>
      <c r="BM846" s="304">
        <f t="shared" si="651"/>
        <v>0.1</v>
      </c>
      <c r="BN846" s="304">
        <f t="shared" si="651"/>
        <v>0.1</v>
      </c>
      <c r="BO846" s="304">
        <f t="shared" si="651"/>
        <v>0.1</v>
      </c>
      <c r="BP846" s="304">
        <f t="shared" si="651"/>
        <v>0.1</v>
      </c>
      <c r="BQ846" s="5"/>
      <c r="BR846" s="13"/>
      <c r="BS846" s="5"/>
    </row>
    <row r="847" spans="1:71" s="3" customFormat="1" x14ac:dyDescent="0.25">
      <c r="A847" s="5"/>
      <c r="B847" s="3" t="str">
        <f t="array" ref="B847">IFERROR(INDEX(DemandSupply,MATCH(INDEX($AH$1:AH847,SMALL(ROW($AH$1:AH847)+(10000*($AH$1:AH847="")),COUNTA($AH$1:AH847))),Sectors,0)),"")</f>
        <v>Supply</v>
      </c>
      <c r="E847" s="10">
        <f t="shared" si="356"/>
        <v>0</v>
      </c>
      <c r="F847" s="207">
        <v>1</v>
      </c>
      <c r="G847" s="207">
        <v>1</v>
      </c>
      <c r="H847" s="207">
        <v>1</v>
      </c>
      <c r="I847" s="207">
        <v>1</v>
      </c>
      <c r="J847" s="207">
        <v>1</v>
      </c>
      <c r="K847" s="207">
        <v>1</v>
      </c>
      <c r="L847" s="207">
        <v>1</v>
      </c>
      <c r="M847" s="207">
        <v>1</v>
      </c>
      <c r="N847" s="207">
        <v>1</v>
      </c>
      <c r="O847" s="207">
        <v>1</v>
      </c>
      <c r="P847" s="207">
        <v>1</v>
      </c>
      <c r="Q847" s="207">
        <v>1</v>
      </c>
      <c r="R847" s="207">
        <v>1</v>
      </c>
      <c r="S847" s="207">
        <v>1</v>
      </c>
      <c r="T847" s="207">
        <v>1</v>
      </c>
      <c r="U847" s="207">
        <v>1</v>
      </c>
      <c r="V847" s="207">
        <v>1</v>
      </c>
      <c r="W847" s="207">
        <v>1</v>
      </c>
      <c r="X847" s="207">
        <v>1</v>
      </c>
      <c r="Y847" s="207">
        <v>1</v>
      </c>
      <c r="Z847" s="207">
        <v>1</v>
      </c>
      <c r="AA847" s="207">
        <v>1</v>
      </c>
      <c r="AB847" s="207">
        <v>1</v>
      </c>
      <c r="AC847" s="5"/>
      <c r="AD847" s="63"/>
      <c r="AE847" s="64"/>
      <c r="AF847" s="64"/>
      <c r="AG847" s="212"/>
      <c r="AH847" s="64"/>
      <c r="AI847" s="145"/>
      <c r="AJ847" s="64"/>
      <c r="AK847" s="65"/>
      <c r="AL847" s="63"/>
      <c r="AM847" s="65"/>
      <c r="AN847" s="63"/>
      <c r="AO847" s="65"/>
      <c r="AP847" s="63"/>
      <c r="AQ847" s="65"/>
      <c r="AR847" s="63"/>
      <c r="AS847" s="65"/>
      <c r="AT847" s="63"/>
      <c r="AU847" s="65"/>
      <c r="AV847" s="63"/>
      <c r="AW847" s="65"/>
      <c r="AX847" s="63"/>
      <c r="AY847" s="5"/>
      <c r="AZ847" s="21" t="str">
        <f t="shared" si="586"/>
        <v/>
      </c>
      <c r="BA847" t="s">
        <v>20</v>
      </c>
      <c r="BB847" s="13"/>
      <c r="BC847" s="2"/>
      <c r="BD847" s="2"/>
      <c r="BE847" s="26" t="s">
        <v>42</v>
      </c>
      <c r="BF847" s="200">
        <v>1</v>
      </c>
      <c r="BG847" s="222">
        <f t="shared" ref="BG847:BP847" si="652">BF847</f>
        <v>1</v>
      </c>
      <c r="BH847" s="222">
        <f t="shared" si="652"/>
        <v>1</v>
      </c>
      <c r="BI847" s="222">
        <f t="shared" si="652"/>
        <v>1</v>
      </c>
      <c r="BJ847" s="222">
        <f t="shared" si="652"/>
        <v>1</v>
      </c>
      <c r="BK847" s="222">
        <f t="shared" si="652"/>
        <v>1</v>
      </c>
      <c r="BL847" s="222">
        <f t="shared" si="652"/>
        <v>1</v>
      </c>
      <c r="BM847" s="222">
        <f t="shared" si="652"/>
        <v>1</v>
      </c>
      <c r="BN847" s="222">
        <f t="shared" si="652"/>
        <v>1</v>
      </c>
      <c r="BO847" s="222">
        <f t="shared" si="652"/>
        <v>1</v>
      </c>
      <c r="BP847" s="222">
        <f t="shared" si="652"/>
        <v>1</v>
      </c>
      <c r="BQ847" s="5"/>
      <c r="BR847" s="13"/>
      <c r="BS847" s="5"/>
    </row>
    <row r="848" spans="1:71" s="3" customFormat="1" x14ac:dyDescent="0.25">
      <c r="A848" s="5"/>
      <c r="B848" s="3" t="str">
        <f t="array" ref="B848">IFERROR(INDEX(DemandSupply,MATCH(INDEX($AH$1:AH848,SMALL(ROW($AH$1:AH848)+(10000*($AH$1:AH848="")),COUNTA($AH$1:AH848))),Sectors,0)),"")</f>
        <v>Supply</v>
      </c>
      <c r="E848" s="10">
        <f t="shared" si="356"/>
        <v>0</v>
      </c>
      <c r="F848" s="207">
        <v>1</v>
      </c>
      <c r="G848" s="207">
        <v>1</v>
      </c>
      <c r="H848" s="207">
        <v>1</v>
      </c>
      <c r="I848" s="207">
        <v>1</v>
      </c>
      <c r="J848" s="207">
        <v>1</v>
      </c>
      <c r="K848" s="207">
        <v>1</v>
      </c>
      <c r="L848" s="207">
        <v>1</v>
      </c>
      <c r="M848" s="207">
        <v>1</v>
      </c>
      <c r="N848" s="207">
        <v>1</v>
      </c>
      <c r="O848" s="207">
        <v>1</v>
      </c>
      <c r="P848" s="207">
        <v>1</v>
      </c>
      <c r="Q848" s="207">
        <v>1</v>
      </c>
      <c r="R848" s="207">
        <v>1</v>
      </c>
      <c r="S848" s="207">
        <v>1</v>
      </c>
      <c r="T848" s="207">
        <v>1</v>
      </c>
      <c r="U848" s="207">
        <v>1</v>
      </c>
      <c r="V848" s="207">
        <v>1</v>
      </c>
      <c r="W848" s="207">
        <v>1</v>
      </c>
      <c r="X848" s="207">
        <v>1</v>
      </c>
      <c r="Y848" s="207">
        <v>1</v>
      </c>
      <c r="Z848" s="207">
        <v>1</v>
      </c>
      <c r="AA848" s="207">
        <v>1</v>
      </c>
      <c r="AB848" s="207">
        <v>1</v>
      </c>
      <c r="AC848" s="5"/>
      <c r="AD848" s="63"/>
      <c r="AE848" s="64"/>
      <c r="AF848" s="64"/>
      <c r="AG848" s="212"/>
      <c r="AH848" s="64"/>
      <c r="AI848" s="145"/>
      <c r="AJ848" s="64"/>
      <c r="AK848" s="65"/>
      <c r="AL848" s="63"/>
      <c r="AM848" s="65"/>
      <c r="AN848" s="63"/>
      <c r="AO848" s="65"/>
      <c r="AP848" s="63"/>
      <c r="AQ848" s="65"/>
      <c r="AR848" s="63"/>
      <c r="AS848" s="65"/>
      <c r="AT848" s="63"/>
      <c r="AU848" s="65"/>
      <c r="AV848" s="63"/>
      <c r="AW848" s="65"/>
      <c r="AX848" s="63"/>
      <c r="AY848" s="5"/>
      <c r="AZ848" s="21" t="str">
        <f t="shared" si="586"/>
        <v/>
      </c>
      <c r="BA848" s="15" t="s">
        <v>300</v>
      </c>
      <c r="BB848" s="25" t="s">
        <v>312</v>
      </c>
      <c r="BC848" s="15"/>
      <c r="BD848" s="15" t="s">
        <v>355</v>
      </c>
      <c r="BE848" s="16" t="s">
        <v>12</v>
      </c>
      <c r="BF848" s="17">
        <f>INDEX(FuelPrices_Industrial,MATCH("Alberta",FuelPrices_Region,0)+MATCH("Oil",FuelPrices_Type,0)-1,MATCH(BF$2,Year,0))/Prices!G$12</f>
        <v>3.713594017570093</v>
      </c>
      <c r="BG848" s="17">
        <f>INDEX(FuelPrices_Industrial,MATCH("Alberta",FuelPrices_Region,0)+MATCH("Oil",FuelPrices_Type,0)-1,MATCH(BG$2,Year,0))/Prices!H$12</f>
        <v>3.7562051565968173</v>
      </c>
      <c r="BH848" s="17">
        <f>INDEX(FuelPrices_Industrial,MATCH("Alberta",FuelPrices_Region,0)+MATCH("Oil",FuelPrices_Type,0)-1,MATCH(BH$2,Year,0))/Prices!I$12</f>
        <v>2.2048627745400187</v>
      </c>
      <c r="BI848" s="17">
        <f>INDEX(FuelPrices_Industrial,MATCH("Alberta",FuelPrices_Region,0)+MATCH("Oil",FuelPrices_Type,0)-1,MATCH(BI$2,Year,0))/Prices!J$12</f>
        <v>3.7962319002957341</v>
      </c>
      <c r="BJ848" s="17">
        <f>INDEX(FuelPrices_Industrial,MATCH("Alberta",FuelPrices_Region,0)+MATCH("Oil",FuelPrices_Type,0)-1,MATCH(BJ$2,Year,0))/Prices!K$12</f>
        <v>5.5729559285078665</v>
      </c>
      <c r="BK848" s="17">
        <f>INDEX(FuelPrices_Industrial,MATCH("Alberta",FuelPrices_Region,0)+MATCH("Oil",FuelPrices_Type,0)-1,MATCH(BK$2,Year,0))/Prices!L$12</f>
        <v>3.1680912706293727</v>
      </c>
      <c r="BL848" s="17">
        <f>INDEX(FuelPrices_Industrial,MATCH("Alberta",FuelPrices_Region,0)+MATCH("Oil",FuelPrices_Type,0)-1,MATCH(BL$2,Year,0))/Prices!M$12</f>
        <v>2.9650980293385198</v>
      </c>
      <c r="BM848" s="17">
        <f>INDEX(FuelPrices_Industrial,MATCH("Alberta",FuelPrices_Region,0)+MATCH("Oil",FuelPrices_Type,0)-1,MATCH(BM$2,Year,0))/Prices!N$12</f>
        <v>2.9424996321635044</v>
      </c>
      <c r="BN848" s="17">
        <f>INDEX(FuelPrices_Industrial,MATCH("Alberta",FuelPrices_Region,0)+MATCH("Oil",FuelPrices_Type,0)-1,MATCH(BN$2,Year,0))/Prices!O$12</f>
        <v>2.9076604365186882</v>
      </c>
      <c r="BO848" s="17">
        <f>INDEX(FuelPrices_Industrial,MATCH("Alberta",FuelPrices_Region,0)+MATCH("Oil",FuelPrices_Type,0)-1,MATCH(BO$2,Year,0))/Prices!P$12</f>
        <v>2.9076604365186882</v>
      </c>
      <c r="BP848" s="17">
        <f>INDEX(FuelPrices_Industrial,MATCH("Alberta",FuelPrices_Region,0)+MATCH("Oil",FuelPrices_Type,0)-1,MATCH(BP$2,Year,0))/Prices!Q$12</f>
        <v>2.9076604365186882</v>
      </c>
      <c r="BQ848" s="5"/>
      <c r="BR848" s="13"/>
      <c r="BS848" s="5"/>
    </row>
    <row r="849" spans="1:71" s="3" customFormat="1" x14ac:dyDescent="0.25">
      <c r="A849" s="5"/>
      <c r="B849" s="3" t="str">
        <f t="array" ref="B849">IFERROR(INDEX(DemandSupply,MATCH(INDEX($AH$1:AH849,SMALL(ROW($AH$1:AH849)+(10000*($AH$1:AH849="")),COUNTA($AH$1:AH849))),Sectors,0)),"")</f>
        <v>Supply</v>
      </c>
      <c r="E849" s="10">
        <f t="shared" si="356"/>
        <v>0</v>
      </c>
      <c r="F849" s="207">
        <v>1</v>
      </c>
      <c r="G849" s="207">
        <v>1</v>
      </c>
      <c r="H849" s="207">
        <v>1</v>
      </c>
      <c r="I849" s="207">
        <v>1</v>
      </c>
      <c r="J849" s="207">
        <v>1</v>
      </c>
      <c r="K849" s="207">
        <v>1</v>
      </c>
      <c r="L849" s="207">
        <v>1</v>
      </c>
      <c r="M849" s="207">
        <v>1</v>
      </c>
      <c r="N849" s="207">
        <v>1</v>
      </c>
      <c r="O849" s="207">
        <v>1</v>
      </c>
      <c r="P849" s="207">
        <v>1</v>
      </c>
      <c r="Q849" s="207">
        <v>1</v>
      </c>
      <c r="R849" s="207">
        <v>1</v>
      </c>
      <c r="S849" s="207">
        <v>1</v>
      </c>
      <c r="T849" s="207">
        <v>1</v>
      </c>
      <c r="U849" s="207">
        <v>1</v>
      </c>
      <c r="V849" s="207">
        <v>1</v>
      </c>
      <c r="W849" s="207">
        <v>1</v>
      </c>
      <c r="X849" s="207">
        <v>1</v>
      </c>
      <c r="Y849" s="207">
        <v>1</v>
      </c>
      <c r="Z849" s="207">
        <v>1</v>
      </c>
      <c r="AA849" s="207">
        <v>1</v>
      </c>
      <c r="AB849" s="207">
        <v>1</v>
      </c>
      <c r="AC849" s="5"/>
      <c r="AD849" s="63"/>
      <c r="AE849" s="64"/>
      <c r="AF849" s="64"/>
      <c r="AG849" s="212"/>
      <c r="AH849" s="64"/>
      <c r="AI849" s="145"/>
      <c r="AJ849" s="64"/>
      <c r="AK849" s="65"/>
      <c r="AL849" s="63"/>
      <c r="AM849" s="65"/>
      <c r="AN849" s="63"/>
      <c r="AO849" s="65"/>
      <c r="AP849" s="63"/>
      <c r="AQ849" s="65"/>
      <c r="AR849" s="63"/>
      <c r="AS849" s="65"/>
      <c r="AT849" s="63"/>
      <c r="AU849" s="65"/>
      <c r="AV849" s="63"/>
      <c r="AW849" s="65"/>
      <c r="AX849" s="63"/>
      <c r="AY849" s="5"/>
      <c r="AZ849" s="21" t="str">
        <f t="shared" si="586"/>
        <v/>
      </c>
      <c r="BA849" s="15" t="s">
        <v>300</v>
      </c>
      <c r="BB849" s="25" t="s">
        <v>312</v>
      </c>
      <c r="BC849" s="15"/>
      <c r="BD849" s="15" t="s">
        <v>355</v>
      </c>
      <c r="BE849" s="16" t="s">
        <v>13</v>
      </c>
      <c r="BF849" s="17">
        <f>INDEX(FuelPrices_Industrial,MATCH("Alberta",FuelPrices_Region,0)+MATCH("Oil",FuelPrices_Type,0)-1,MATCH(BF$2,Year,0))/Prices!G$12</f>
        <v>3.713594017570093</v>
      </c>
      <c r="BG849" s="17">
        <f>INDEX(FuelPrices_Industrial,MATCH("Alberta",FuelPrices_Region,0)+MATCH("Oil",FuelPrices_Type,0)-1,MATCH(BG$2,Year,0))/Prices!H$12</f>
        <v>3.7562051565968173</v>
      </c>
      <c r="BH849" s="17">
        <f>INDEX(FuelPrices_Industrial,MATCH("Alberta",FuelPrices_Region,0)+MATCH("Oil",FuelPrices_Type,0)-1,MATCH(BH$2,Year,0))/Prices!I$12</f>
        <v>2.2048627745400187</v>
      </c>
      <c r="BI849" s="17">
        <f>INDEX(FuelPrices_Industrial,MATCH("Alberta",FuelPrices_Region,0)+MATCH("Oil",FuelPrices_Type,0)-1,MATCH(BI$2,Year,0))/Prices!J$12</f>
        <v>3.7962319002957341</v>
      </c>
      <c r="BJ849" s="17">
        <f>INDEX(FuelPrices_Industrial,MATCH("Alberta",FuelPrices_Region,0)+MATCH("Oil",FuelPrices_Type,0)-1,MATCH(BJ$2,Year,0))/Prices!K$12</f>
        <v>5.5729559285078665</v>
      </c>
      <c r="BK849" s="17">
        <f>INDEX(FuelPrices_Industrial,MATCH("Alberta",FuelPrices_Region,0)+MATCH("Oil",FuelPrices_Type,0)-1,MATCH(BK$2,Year,0))/Prices!L$12</f>
        <v>3.1680912706293727</v>
      </c>
      <c r="BL849" s="17">
        <f>INDEX(FuelPrices_Industrial,MATCH("Alberta",FuelPrices_Region,0)+MATCH("Oil",FuelPrices_Type,0)-1,MATCH(BL$2,Year,0))/Prices!M$12</f>
        <v>2.9650980293385198</v>
      </c>
      <c r="BM849" s="17">
        <f>INDEX(FuelPrices_Industrial,MATCH("Alberta",FuelPrices_Region,0)+MATCH("Oil",FuelPrices_Type,0)-1,MATCH(BM$2,Year,0))/Prices!N$12</f>
        <v>2.9424996321635044</v>
      </c>
      <c r="BN849" s="17">
        <f>INDEX(FuelPrices_Industrial,MATCH("Alberta",FuelPrices_Region,0)+MATCH("Oil",FuelPrices_Type,0)-1,MATCH(BN$2,Year,0))/Prices!O$12</f>
        <v>2.9076604365186882</v>
      </c>
      <c r="BO849" s="17">
        <f>INDEX(FuelPrices_Industrial,MATCH("Alberta",FuelPrices_Region,0)+MATCH("Oil",FuelPrices_Type,0)-1,MATCH(BO$2,Year,0))/Prices!P$12</f>
        <v>2.9076604365186882</v>
      </c>
      <c r="BP849" s="17">
        <f>INDEX(FuelPrices_Industrial,MATCH("Alberta",FuelPrices_Region,0)+MATCH("Oil",FuelPrices_Type,0)-1,MATCH(BP$2,Year,0))/Prices!Q$12</f>
        <v>2.9076604365186882</v>
      </c>
      <c r="BQ849" s="5"/>
      <c r="BR849" s="13"/>
      <c r="BS849" s="5"/>
    </row>
    <row r="850" spans="1:71" s="3" customFormat="1" x14ac:dyDescent="0.25">
      <c r="A850" s="5"/>
      <c r="B850" s="3" t="str">
        <f t="array" ref="B850">IFERROR(INDEX(DemandSupply,MATCH(INDEX($AH$1:AH850,SMALL(ROW($AH$1:AH850)+(10000*($AH$1:AH850="")),COUNTA($AH$1:AH850))),Sectors,0)),"")</f>
        <v>Supply</v>
      </c>
      <c r="E850" s="10">
        <f t="shared" si="356"/>
        <v>0</v>
      </c>
      <c r="F850" s="207">
        <v>1</v>
      </c>
      <c r="G850" s="207">
        <v>1</v>
      </c>
      <c r="H850" s="207">
        <v>1</v>
      </c>
      <c r="I850" s="207">
        <v>1</v>
      </c>
      <c r="J850" s="207">
        <v>1</v>
      </c>
      <c r="K850" s="207">
        <v>1</v>
      </c>
      <c r="L850" s="207">
        <v>1</v>
      </c>
      <c r="M850" s="207">
        <v>1</v>
      </c>
      <c r="N850" s="207">
        <v>1</v>
      </c>
      <c r="O850" s="207">
        <v>1</v>
      </c>
      <c r="P850" s="207">
        <v>1</v>
      </c>
      <c r="Q850" s="207">
        <v>1</v>
      </c>
      <c r="R850" s="207">
        <v>1</v>
      </c>
      <c r="S850" s="207">
        <v>1</v>
      </c>
      <c r="T850" s="207">
        <v>1</v>
      </c>
      <c r="U850" s="207">
        <v>1</v>
      </c>
      <c r="V850" s="207">
        <v>1</v>
      </c>
      <c r="W850" s="207">
        <v>1</v>
      </c>
      <c r="X850" s="207">
        <v>1</v>
      </c>
      <c r="Y850" s="207">
        <v>1</v>
      </c>
      <c r="Z850" s="207">
        <v>1</v>
      </c>
      <c r="AA850" s="207">
        <v>1</v>
      </c>
      <c r="AB850" s="207">
        <v>1</v>
      </c>
      <c r="AC850" s="5"/>
      <c r="AD850" s="63"/>
      <c r="AE850" s="64"/>
      <c r="AF850" s="64"/>
      <c r="AG850" s="212"/>
      <c r="AH850" s="64"/>
      <c r="AI850" s="145"/>
      <c r="AJ850" s="64"/>
      <c r="AK850" s="65"/>
      <c r="AL850" s="63"/>
      <c r="AM850" s="65"/>
      <c r="AN850" s="63"/>
      <c r="AO850" s="65"/>
      <c r="AP850" s="63"/>
      <c r="AQ850" s="65"/>
      <c r="AR850" s="63"/>
      <c r="AS850" s="65"/>
      <c r="AT850" s="63"/>
      <c r="AU850" s="65"/>
      <c r="AV850" s="63"/>
      <c r="AW850" s="65"/>
      <c r="AX850" s="63"/>
      <c r="AY850" s="5"/>
      <c r="AZ850" s="21" t="str">
        <f t="shared" si="586"/>
        <v/>
      </c>
      <c r="BA850" s="15" t="s">
        <v>300</v>
      </c>
      <c r="BB850" s="25" t="s">
        <v>312</v>
      </c>
      <c r="BC850" s="15"/>
      <c r="BD850" s="15" t="s">
        <v>355</v>
      </c>
      <c r="BE850" s="16" t="s">
        <v>14</v>
      </c>
      <c r="BF850" s="17">
        <f>INDEX(FuelPrices_Industrial,MATCH("Alberta",FuelPrices_Region,0)+MATCH("Natural Gas",FuelPrices_Type,0)-1,MATCH(BF$2,Year,0))/Prices!G$15</f>
        <v>1.5282088982789364</v>
      </c>
      <c r="BG850" s="17">
        <f>INDEX(FuelPrices_Industrial,MATCH("Alberta",FuelPrices_Region,0)+MATCH("Natural Gas",FuelPrices_Type,0)-1,MATCH(BG$2,Year,0))/Prices!H$15</f>
        <v>1.5457443840700189</v>
      </c>
      <c r="BH850" s="17">
        <f>INDEX(FuelPrices_Industrial,MATCH("Alberta",FuelPrices_Region,0)+MATCH("Natural Gas",FuelPrices_Type,0)-1,MATCH(BH$2,Year,0))/Prices!I$15</f>
        <v>1.9723349612774701</v>
      </c>
      <c r="BI850" s="17">
        <f>INDEX(FuelPrices_Industrial,MATCH("Alberta",FuelPrices_Region,0)+MATCH("Natural Gas",FuelPrices_Type,0)-1,MATCH(BI$2,Year,0))/Prices!J$15</f>
        <v>1.4950194997688102</v>
      </c>
      <c r="BJ850" s="17">
        <f>INDEX(FuelPrices_Industrial,MATCH("Alberta",FuelPrices_Region,0)+MATCH("Natural Gas",FuelPrices_Type,0)-1,MATCH(BJ$2,Year,0))/Prices!K$15</f>
        <v>3.350280691170624</v>
      </c>
      <c r="BK850" s="17">
        <f>INDEX(FuelPrices_Industrial,MATCH("Alberta",FuelPrices_Region,0)+MATCH("Natural Gas",FuelPrices_Type,0)-1,MATCH(BK$2,Year,0))/Prices!L$15</f>
        <v>2.8114396323863913</v>
      </c>
      <c r="BL850" s="17">
        <f>INDEX(FuelPrices_Industrial,MATCH("Alberta",FuelPrices_Region,0)+MATCH("Natural Gas",FuelPrices_Type,0)-1,MATCH(BL$2,Year,0))/Prices!M$15</f>
        <v>2.4301046420728545</v>
      </c>
      <c r="BM850" s="17">
        <f>INDEX(FuelPrices_Industrial,MATCH("Alberta",FuelPrices_Region,0)+MATCH("Natural Gas",FuelPrices_Type,0)-1,MATCH(BM$2,Year,0))/Prices!N$15</f>
        <v>2.1065653373010944</v>
      </c>
      <c r="BN850" s="17">
        <f>INDEX(FuelPrices_Industrial,MATCH("Alberta",FuelPrices_Region,0)+MATCH("Natural Gas",FuelPrices_Type,0)-1,MATCH(BN$2,Year,0))/Prices!O$15</f>
        <v>1.9786460787456583</v>
      </c>
      <c r="BO850" s="17">
        <f>INDEX(FuelPrices_Industrial,MATCH("Alberta",FuelPrices_Region,0)+MATCH("Natural Gas",FuelPrices_Type,0)-1,MATCH(BO$2,Year,0))/Prices!P$15</f>
        <v>1.9786460787456583</v>
      </c>
      <c r="BP850" s="17">
        <f>INDEX(FuelPrices_Industrial,MATCH("Alberta",FuelPrices_Region,0)+MATCH("Natural Gas",FuelPrices_Type,0)-1,MATCH(BP$2,Year,0))/Prices!Q$15</f>
        <v>1.9786460787456583</v>
      </c>
      <c r="BQ850" s="5"/>
      <c r="BR850" s="13"/>
      <c r="BS850" s="5"/>
    </row>
    <row r="851" spans="1:71" s="3" customFormat="1" x14ac:dyDescent="0.25">
      <c r="A851" s="5"/>
      <c r="B851" s="3" t="str">
        <f t="array" ref="B851">IFERROR(INDEX(DemandSupply,MATCH(INDEX($AH$1:AH851,SMALL(ROW($AH$1:AH851)+(10000*($AH$1:AH851="")),COUNTA($AH$1:AH851))),Sectors,0)),"")</f>
        <v>Supply</v>
      </c>
      <c r="E851" s="10">
        <f t="shared" si="356"/>
        <v>0</v>
      </c>
      <c r="F851" s="207">
        <v>1</v>
      </c>
      <c r="G851" s="207">
        <v>1</v>
      </c>
      <c r="H851" s="207">
        <v>1</v>
      </c>
      <c r="I851" s="207">
        <v>1</v>
      </c>
      <c r="J851" s="207">
        <v>1</v>
      </c>
      <c r="K851" s="207">
        <v>1</v>
      </c>
      <c r="L851" s="207">
        <v>1</v>
      </c>
      <c r="M851" s="207">
        <v>1</v>
      </c>
      <c r="N851" s="207">
        <v>1</v>
      </c>
      <c r="O851" s="207">
        <v>1</v>
      </c>
      <c r="P851" s="207">
        <v>1</v>
      </c>
      <c r="Q851" s="207">
        <v>1</v>
      </c>
      <c r="R851" s="207">
        <v>1</v>
      </c>
      <c r="S851" s="207">
        <v>1</v>
      </c>
      <c r="T851" s="207">
        <v>1</v>
      </c>
      <c r="U851" s="207">
        <v>1</v>
      </c>
      <c r="V851" s="207">
        <v>1</v>
      </c>
      <c r="W851" s="207">
        <v>1</v>
      </c>
      <c r="X851" s="207">
        <v>1</v>
      </c>
      <c r="Y851" s="207">
        <v>1</v>
      </c>
      <c r="Z851" s="207">
        <v>1</v>
      </c>
      <c r="AA851" s="207">
        <v>1</v>
      </c>
      <c r="AB851" s="207">
        <v>1</v>
      </c>
      <c r="AC851" s="5"/>
      <c r="AD851" s="63"/>
      <c r="AE851" s="64"/>
      <c r="AF851" s="64"/>
      <c r="AG851" s="212"/>
      <c r="AH851" s="64"/>
      <c r="AI851" s="145"/>
      <c r="AJ851" s="64"/>
      <c r="AK851" s="65"/>
      <c r="AL851" s="63"/>
      <c r="AM851" s="65"/>
      <c r="AN851" s="63"/>
      <c r="AO851" s="65"/>
      <c r="AP851" s="63"/>
      <c r="AQ851" s="65"/>
      <c r="AR851" s="63"/>
      <c r="AS851" s="65"/>
      <c r="AT851" s="63"/>
      <c r="AU851" s="65"/>
      <c r="AV851" s="63"/>
      <c r="AW851" s="65"/>
      <c r="AX851" s="63"/>
      <c r="AY851" s="5"/>
      <c r="AZ851" s="21" t="str">
        <f t="shared" si="586"/>
        <v/>
      </c>
      <c r="BA851" s="15" t="s">
        <v>300</v>
      </c>
      <c r="BB851" s="25" t="s">
        <v>312</v>
      </c>
      <c r="BC851" s="15"/>
      <c r="BD851" s="15" t="s">
        <v>355</v>
      </c>
      <c r="BE851" s="16" t="s">
        <v>2</v>
      </c>
      <c r="BF851" s="17">
        <v>2</v>
      </c>
      <c r="BG851" s="17">
        <v>2</v>
      </c>
      <c r="BH851" s="17">
        <v>2</v>
      </c>
      <c r="BI851" s="17">
        <v>2</v>
      </c>
      <c r="BJ851" s="17">
        <v>2</v>
      </c>
      <c r="BK851" s="17">
        <v>2</v>
      </c>
      <c r="BL851" s="17">
        <v>2</v>
      </c>
      <c r="BM851" s="17">
        <v>2</v>
      </c>
      <c r="BN851" s="17">
        <v>2</v>
      </c>
      <c r="BO851" s="17">
        <v>2</v>
      </c>
      <c r="BP851" s="17">
        <v>2</v>
      </c>
      <c r="BQ851" s="5"/>
      <c r="BR851" s="13"/>
      <c r="BS851" s="5"/>
    </row>
    <row r="852" spans="1:71" s="3" customFormat="1" x14ac:dyDescent="0.25">
      <c r="A852" s="5"/>
      <c r="B852" s="3" t="str">
        <f t="array" ref="B852">IFERROR(INDEX(DemandSupply,MATCH(INDEX($AH$1:AH852,SMALL(ROW($AH$1:AH852)+(10000*($AH$1:AH852="")),COUNTA($AH$1:AH852))),Sectors,0)),"")</f>
        <v>Supply</v>
      </c>
      <c r="E852" s="10">
        <f t="shared" si="356"/>
        <v>0</v>
      </c>
      <c r="F852" s="207">
        <v>1</v>
      </c>
      <c r="G852" s="207">
        <v>1</v>
      </c>
      <c r="H852" s="207">
        <v>1</v>
      </c>
      <c r="I852" s="207">
        <v>1</v>
      </c>
      <c r="J852" s="207">
        <v>1</v>
      </c>
      <c r="K852" s="207">
        <v>1</v>
      </c>
      <c r="L852" s="207">
        <v>1</v>
      </c>
      <c r="M852" s="207">
        <v>1</v>
      </c>
      <c r="N852" s="207">
        <v>1</v>
      </c>
      <c r="O852" s="207">
        <v>1</v>
      </c>
      <c r="P852" s="207">
        <v>1</v>
      </c>
      <c r="Q852" s="207">
        <v>1</v>
      </c>
      <c r="R852" s="207">
        <v>1</v>
      </c>
      <c r="S852" s="207">
        <v>1</v>
      </c>
      <c r="T852" s="207">
        <v>1</v>
      </c>
      <c r="U852" s="207">
        <v>1</v>
      </c>
      <c r="V852" s="207">
        <v>1</v>
      </c>
      <c r="W852" s="207">
        <v>1</v>
      </c>
      <c r="X852" s="207">
        <v>1</v>
      </c>
      <c r="Y852" s="207">
        <v>1</v>
      </c>
      <c r="Z852" s="207">
        <v>1</v>
      </c>
      <c r="AA852" s="207">
        <v>1</v>
      </c>
      <c r="AB852" s="207">
        <v>1</v>
      </c>
      <c r="AC852" s="5"/>
      <c r="AD852" s="63"/>
      <c r="AE852" s="64"/>
      <c r="AF852" s="64"/>
      <c r="AG852" s="212"/>
      <c r="AH852" s="64"/>
      <c r="AI852" s="145"/>
      <c r="AJ852" s="64"/>
      <c r="AK852" s="65"/>
      <c r="AL852" s="63"/>
      <c r="AM852" s="65"/>
      <c r="AN852" s="63"/>
      <c r="AO852" s="65"/>
      <c r="AP852" s="63"/>
      <c r="AQ852" s="65"/>
      <c r="AR852" s="63"/>
      <c r="AS852" s="65"/>
      <c r="AT852" s="63"/>
      <c r="AU852" s="65"/>
      <c r="AV852" s="63"/>
      <c r="AW852" s="65"/>
      <c r="AX852" s="63"/>
      <c r="AY852" s="5"/>
      <c r="AZ852" s="21" t="str">
        <f t="shared" si="586"/>
        <v/>
      </c>
      <c r="BA852" s="15" t="s">
        <v>300</v>
      </c>
      <c r="BB852" s="25" t="s">
        <v>312</v>
      </c>
      <c r="BC852" s="15"/>
      <c r="BD852" s="15" t="s">
        <v>355</v>
      </c>
      <c r="BE852" s="16" t="s">
        <v>15</v>
      </c>
      <c r="BF852" s="17">
        <v>1.1000000000000001</v>
      </c>
      <c r="BG852" s="17">
        <v>1.1000000000000001</v>
      </c>
      <c r="BH852" s="17">
        <v>1.1000000000000001</v>
      </c>
      <c r="BI852" s="17">
        <v>1.1000000000000001</v>
      </c>
      <c r="BJ852" s="17">
        <v>1.1000000000000001</v>
      </c>
      <c r="BK852" s="17">
        <v>1.1000000000000001</v>
      </c>
      <c r="BL852" s="17">
        <v>1.1000000000000001</v>
      </c>
      <c r="BM852" s="17">
        <v>1.1000000000000001</v>
      </c>
      <c r="BN852" s="17">
        <v>1.1000000000000001</v>
      </c>
      <c r="BO852" s="17">
        <v>1.1000000000000001</v>
      </c>
      <c r="BP852" s="17">
        <v>1.1000000000000001</v>
      </c>
      <c r="BQ852" s="5"/>
      <c r="BR852" s="13"/>
      <c r="BS852" s="5"/>
    </row>
    <row r="853" spans="1:71" s="3" customFormat="1" x14ac:dyDescent="0.25">
      <c r="A853" s="5"/>
      <c r="B853" s="3" t="str">
        <f t="array" ref="B853">IFERROR(INDEX(DemandSupply,MATCH(INDEX($AH$1:AH853,SMALL(ROW($AH$1:AH853)+(10000*($AH$1:AH853="")),COUNTA($AH$1:AH853))),Sectors,0)),"")</f>
        <v>Supply</v>
      </c>
      <c r="E853" s="10">
        <f t="shared" si="356"/>
        <v>0</v>
      </c>
      <c r="F853" s="207">
        <v>1</v>
      </c>
      <c r="G853" s="207">
        <v>1</v>
      </c>
      <c r="H853" s="207">
        <v>1</v>
      </c>
      <c r="I853" s="207">
        <v>1</v>
      </c>
      <c r="J853" s="207">
        <v>1</v>
      </c>
      <c r="K853" s="207">
        <v>1</v>
      </c>
      <c r="L853" s="207">
        <v>1</v>
      </c>
      <c r="M853" s="207">
        <v>1</v>
      </c>
      <c r="N853" s="207">
        <v>1</v>
      </c>
      <c r="O853" s="207">
        <v>1</v>
      </c>
      <c r="P853" s="207">
        <v>1</v>
      </c>
      <c r="Q853" s="207">
        <v>1</v>
      </c>
      <c r="R853" s="207">
        <v>1</v>
      </c>
      <c r="S853" s="207">
        <v>1</v>
      </c>
      <c r="T853" s="207">
        <v>1</v>
      </c>
      <c r="U853" s="207">
        <v>1</v>
      </c>
      <c r="V853" s="207">
        <v>1</v>
      </c>
      <c r="W853" s="207">
        <v>1</v>
      </c>
      <c r="X853" s="207">
        <v>1</v>
      </c>
      <c r="Y853" s="207">
        <v>1</v>
      </c>
      <c r="Z853" s="207">
        <v>1</v>
      </c>
      <c r="AA853" s="207">
        <v>1</v>
      </c>
      <c r="AB853" s="207">
        <v>1</v>
      </c>
      <c r="AC853" s="5"/>
      <c r="AD853" s="63"/>
      <c r="AE853" s="64"/>
      <c r="AF853" s="64"/>
      <c r="AG853" s="212"/>
      <c r="AH853" s="64"/>
      <c r="AI853" s="145"/>
      <c r="AJ853" s="64"/>
      <c r="AK853" s="65"/>
      <c r="AL853" s="63"/>
      <c r="AM853" s="65"/>
      <c r="AN853" s="63"/>
      <c r="AO853" s="65"/>
      <c r="AP853" s="63"/>
      <c r="AQ853" s="65"/>
      <c r="AR853" s="63"/>
      <c r="AS853" s="65"/>
      <c r="AT853" s="63"/>
      <c r="AU853" s="65"/>
      <c r="AV853" s="63"/>
      <c r="AW853" s="65"/>
      <c r="AX853" s="63"/>
      <c r="AY853" s="5"/>
      <c r="AZ853" s="21" t="str">
        <f t="shared" si="586"/>
        <v/>
      </c>
      <c r="BA853" t="s">
        <v>11</v>
      </c>
      <c r="BB853" s="13"/>
      <c r="BC853" s="2"/>
      <c r="BD853" s="2" t="s">
        <v>356</v>
      </c>
      <c r="BE853" s="14" t="s">
        <v>17</v>
      </c>
      <c r="BF853" s="308">
        <v>0</v>
      </c>
      <c r="BG853" s="308">
        <v>0</v>
      </c>
      <c r="BH853" s="308">
        <v>0</v>
      </c>
      <c r="BI853" s="308">
        <v>0</v>
      </c>
      <c r="BJ853" s="308">
        <v>0</v>
      </c>
      <c r="BK853" s="308">
        <v>0</v>
      </c>
      <c r="BL853" s="308">
        <v>0</v>
      </c>
      <c r="BM853" s="308">
        <v>0</v>
      </c>
      <c r="BN853" s="308">
        <v>0</v>
      </c>
      <c r="BO853" s="308">
        <v>0</v>
      </c>
      <c r="BP853" s="308">
        <v>0</v>
      </c>
      <c r="BQ853" s="5"/>
      <c r="BR853" s="13"/>
      <c r="BS853" s="5"/>
    </row>
    <row r="854" spans="1:71" s="3" customFormat="1" x14ac:dyDescent="0.25">
      <c r="A854" s="5"/>
      <c r="B854" s="3" t="str">
        <f t="array" ref="B854">IFERROR(INDEX(DemandSupply,MATCH(INDEX($AH$1:AH854,SMALL(ROW($AH$1:AH854)+(10000*($AH$1:AH854="")),COUNTA($AH$1:AH854))),Sectors,0)),"")</f>
        <v>Supply</v>
      </c>
      <c r="E854" s="10">
        <f t="shared" si="356"/>
        <v>0</v>
      </c>
      <c r="F854" s="207">
        <v>1</v>
      </c>
      <c r="G854" s="207">
        <v>1</v>
      </c>
      <c r="H854" s="207">
        <v>1</v>
      </c>
      <c r="I854" s="207">
        <v>1</v>
      </c>
      <c r="J854" s="207">
        <v>1</v>
      </c>
      <c r="K854" s="207">
        <v>1</v>
      </c>
      <c r="L854" s="207">
        <v>1</v>
      </c>
      <c r="M854" s="207">
        <v>1</v>
      </c>
      <c r="N854" s="207">
        <v>1</v>
      </c>
      <c r="O854" s="207">
        <v>1</v>
      </c>
      <c r="P854" s="207">
        <v>1</v>
      </c>
      <c r="Q854" s="207">
        <v>1</v>
      </c>
      <c r="R854" s="207">
        <v>1</v>
      </c>
      <c r="S854" s="207">
        <v>1</v>
      </c>
      <c r="T854" s="207">
        <v>1</v>
      </c>
      <c r="U854" s="207">
        <v>1</v>
      </c>
      <c r="V854" s="207">
        <v>1</v>
      </c>
      <c r="W854" s="207">
        <v>1</v>
      </c>
      <c r="X854" s="207">
        <v>1</v>
      </c>
      <c r="Y854" s="207">
        <v>1</v>
      </c>
      <c r="Z854" s="207">
        <v>1</v>
      </c>
      <c r="AA854" s="207">
        <v>1</v>
      </c>
      <c r="AB854" s="207">
        <v>1</v>
      </c>
      <c r="AC854" s="5"/>
      <c r="AD854" s="63"/>
      <c r="AE854" s="64"/>
      <c r="AF854" s="64"/>
      <c r="AG854" s="212"/>
      <c r="AH854" s="64"/>
      <c r="AI854" s="145"/>
      <c r="AJ854" s="64"/>
      <c r="AK854" s="65"/>
      <c r="AL854" s="63"/>
      <c r="AM854" s="65"/>
      <c r="AN854" s="63"/>
      <c r="AO854" s="65"/>
      <c r="AP854" s="63"/>
      <c r="AQ854" s="65"/>
      <c r="AR854" s="63"/>
      <c r="AS854" s="65"/>
      <c r="AT854" s="63"/>
      <c r="AU854" s="65"/>
      <c r="AV854" s="63"/>
      <c r="AW854" s="65"/>
      <c r="AX854" s="63"/>
      <c r="AY854" s="5"/>
      <c r="AZ854" s="21" t="str">
        <f t="shared" si="586"/>
        <v/>
      </c>
      <c r="BA854" t="s">
        <v>11</v>
      </c>
      <c r="BB854" s="13"/>
      <c r="BC854" s="2"/>
      <c r="BD854" s="2" t="s">
        <v>356</v>
      </c>
      <c r="BE854" s="14" t="s">
        <v>18</v>
      </c>
      <c r="BF854" s="308">
        <v>0</v>
      </c>
      <c r="BG854" s="308">
        <v>0</v>
      </c>
      <c r="BH854" s="308">
        <v>0</v>
      </c>
      <c r="BI854" s="308">
        <v>0</v>
      </c>
      <c r="BJ854" s="308">
        <v>0</v>
      </c>
      <c r="BK854" s="308">
        <v>0</v>
      </c>
      <c r="BL854" s="308">
        <v>0</v>
      </c>
      <c r="BM854" s="308">
        <v>0</v>
      </c>
      <c r="BN854" s="308">
        <v>0</v>
      </c>
      <c r="BO854" s="308">
        <v>0</v>
      </c>
      <c r="BP854" s="308">
        <v>0</v>
      </c>
      <c r="BQ854" s="5"/>
      <c r="BR854" s="13"/>
      <c r="BS854" s="5"/>
    </row>
    <row r="855" spans="1:71" s="3" customFormat="1" x14ac:dyDescent="0.25">
      <c r="A855" s="5"/>
      <c r="B855" s="3" t="str">
        <f t="array" ref="B855">IFERROR(INDEX(DemandSupply,MATCH(INDEX($AH$1:AH855,SMALL(ROW($AH$1:AH855)+(10000*($AH$1:AH855="")),COUNTA($AH$1:AH855))),Sectors,0)),"")</f>
        <v>Supply</v>
      </c>
      <c r="E855" s="10">
        <f t="shared" si="356"/>
        <v>0</v>
      </c>
      <c r="F855" s="207">
        <v>1</v>
      </c>
      <c r="G855" s="207">
        <v>1</v>
      </c>
      <c r="H855" s="207">
        <v>1</v>
      </c>
      <c r="I855" s="207">
        <v>1</v>
      </c>
      <c r="J855" s="207">
        <v>1</v>
      </c>
      <c r="K855" s="207">
        <v>1</v>
      </c>
      <c r="L855" s="207">
        <v>1</v>
      </c>
      <c r="M855" s="207">
        <v>1</v>
      </c>
      <c r="N855" s="207">
        <v>1</v>
      </c>
      <c r="O855" s="207">
        <v>1</v>
      </c>
      <c r="P855" s="207">
        <v>1</v>
      </c>
      <c r="Q855" s="207">
        <v>1</v>
      </c>
      <c r="R855" s="207">
        <v>1</v>
      </c>
      <c r="S855" s="207">
        <v>1</v>
      </c>
      <c r="T855" s="207">
        <v>1</v>
      </c>
      <c r="U855" s="207">
        <v>1</v>
      </c>
      <c r="V855" s="207">
        <v>1</v>
      </c>
      <c r="W855" s="207">
        <v>1</v>
      </c>
      <c r="X855" s="207">
        <v>1</v>
      </c>
      <c r="Y855" s="207">
        <v>1</v>
      </c>
      <c r="Z855" s="207">
        <v>1</v>
      </c>
      <c r="AA855" s="207">
        <v>1</v>
      </c>
      <c r="AB855" s="207">
        <v>1</v>
      </c>
      <c r="AC855" s="5"/>
      <c r="AD855" s="63"/>
      <c r="AE855" s="64"/>
      <c r="AF855" s="64"/>
      <c r="AG855" s="212"/>
      <c r="AH855" s="64"/>
      <c r="AI855" s="145"/>
      <c r="AJ855" s="64"/>
      <c r="AK855" s="65"/>
      <c r="AL855" s="63"/>
      <c r="AM855" s="65"/>
      <c r="AN855" s="63"/>
      <c r="AO855" s="65"/>
      <c r="AP855" s="63"/>
      <c r="AQ855" s="65"/>
      <c r="AR855" s="63"/>
      <c r="AS855" s="65"/>
      <c r="AT855" s="63"/>
      <c r="AU855" s="65"/>
      <c r="AV855" s="63"/>
      <c r="AW855" s="65"/>
      <c r="AX855" s="63"/>
      <c r="AY855" s="5"/>
      <c r="AZ855" s="21" t="str">
        <f t="shared" si="586"/>
        <v/>
      </c>
      <c r="BA855" t="s">
        <v>11</v>
      </c>
      <c r="BB855" s="13"/>
      <c r="BC855" s="2"/>
      <c r="BD855" s="2" t="s">
        <v>356</v>
      </c>
      <c r="BE855" s="14" t="s">
        <v>19</v>
      </c>
      <c r="BF855" s="308">
        <v>0</v>
      </c>
      <c r="BG855" s="308">
        <v>0</v>
      </c>
      <c r="BH855" s="308">
        <v>0</v>
      </c>
      <c r="BI855" s="308">
        <v>0</v>
      </c>
      <c r="BJ855" s="308">
        <v>0</v>
      </c>
      <c r="BK855" s="308">
        <v>0</v>
      </c>
      <c r="BL855" s="308">
        <v>0</v>
      </c>
      <c r="BM855" s="308">
        <v>0</v>
      </c>
      <c r="BN855" s="308">
        <v>0</v>
      </c>
      <c r="BO855" s="308">
        <v>0</v>
      </c>
      <c r="BP855" s="308">
        <v>0</v>
      </c>
      <c r="BQ855" s="5"/>
      <c r="BR855" s="13"/>
      <c r="BS855" s="5"/>
    </row>
    <row r="856" spans="1:71" s="3" customFormat="1" x14ac:dyDescent="0.25">
      <c r="A856" s="5"/>
      <c r="B856" s="3" t="str">
        <f t="array" ref="B856">IFERROR(INDEX(DemandSupply,MATCH(INDEX($AH$1:AH856,SMALL(ROW($AH$1:AH856)+(10000*($AH$1:AH856="")),COUNTA($AH$1:AH856))),Sectors,0)),"")</f>
        <v>Supply</v>
      </c>
      <c r="E856" s="10">
        <f t="shared" ref="E856:E972" si="653">IF(COUNTA(BA856)=1,0,MIN(F856:AA856))</f>
        <v>0</v>
      </c>
      <c r="F856" s="207">
        <v>1</v>
      </c>
      <c r="G856" s="207">
        <v>1</v>
      </c>
      <c r="H856" s="207">
        <v>1</v>
      </c>
      <c r="I856" s="207">
        <v>1</v>
      </c>
      <c r="J856" s="207">
        <v>1</v>
      </c>
      <c r="K856" s="207">
        <v>1</v>
      </c>
      <c r="L856" s="207">
        <v>1</v>
      </c>
      <c r="M856" s="207">
        <v>1</v>
      </c>
      <c r="N856" s="207">
        <v>1</v>
      </c>
      <c r="O856" s="207">
        <v>1</v>
      </c>
      <c r="P856" s="207">
        <v>1</v>
      </c>
      <c r="Q856" s="207">
        <v>1</v>
      </c>
      <c r="R856" s="207">
        <v>1</v>
      </c>
      <c r="S856" s="207">
        <v>1</v>
      </c>
      <c r="T856" s="207">
        <v>1</v>
      </c>
      <c r="U856" s="207">
        <v>1</v>
      </c>
      <c r="V856" s="207">
        <v>1</v>
      </c>
      <c r="W856" s="207">
        <v>1</v>
      </c>
      <c r="X856" s="207">
        <v>1</v>
      </c>
      <c r="Y856" s="207">
        <v>1</v>
      </c>
      <c r="Z856" s="207">
        <v>1</v>
      </c>
      <c r="AA856" s="207">
        <v>1</v>
      </c>
      <c r="AB856" s="207">
        <v>1</v>
      </c>
      <c r="AC856" s="5"/>
      <c r="AD856" s="63"/>
      <c r="AE856" s="64"/>
      <c r="AF856" s="64"/>
      <c r="AG856" s="212"/>
      <c r="AH856" s="64"/>
      <c r="AI856" s="145"/>
      <c r="AJ856" s="64"/>
      <c r="AK856" s="65"/>
      <c r="AL856" s="63"/>
      <c r="AM856" s="65"/>
      <c r="AN856" s="63"/>
      <c r="AO856" s="65"/>
      <c r="AP856" s="63"/>
      <c r="AQ856" s="65"/>
      <c r="AR856" s="63"/>
      <c r="AS856" s="65"/>
      <c r="AT856" s="63"/>
      <c r="AU856" s="65"/>
      <c r="AV856" s="63"/>
      <c r="AW856" s="65"/>
      <c r="AX856" s="63"/>
      <c r="AY856" s="5"/>
      <c r="AZ856" s="21" t="str">
        <f t="shared" si="586"/>
        <v/>
      </c>
      <c r="BA856" t="s">
        <v>344</v>
      </c>
      <c r="BB856" s="13" t="s">
        <v>328</v>
      </c>
      <c r="BC856" s="2"/>
      <c r="BD856" s="2" t="s">
        <v>278</v>
      </c>
      <c r="BE856" s="14" t="s">
        <v>17</v>
      </c>
      <c r="BF856" s="314">
        <f t="shared" ref="BF856:BP856" si="654">IFERROR(INDEX(CO2_GJ,MATCH($BE$843,CoeffIndex,0),MATCH(BF$2,CoeffYear,0)),BE856)</f>
        <v>0</v>
      </c>
      <c r="BG856" s="314">
        <f t="shared" si="654"/>
        <v>0</v>
      </c>
      <c r="BH856" s="314">
        <f t="shared" si="654"/>
        <v>0</v>
      </c>
      <c r="BI856" s="314">
        <f t="shared" si="654"/>
        <v>0</v>
      </c>
      <c r="BJ856" s="314">
        <f t="shared" si="654"/>
        <v>0</v>
      </c>
      <c r="BK856" s="314">
        <f t="shared" si="654"/>
        <v>0</v>
      </c>
      <c r="BL856" s="314">
        <f t="shared" si="654"/>
        <v>0</v>
      </c>
      <c r="BM856" s="314">
        <f t="shared" si="654"/>
        <v>0</v>
      </c>
      <c r="BN856" s="314">
        <f t="shared" si="654"/>
        <v>0</v>
      </c>
      <c r="BO856" s="314">
        <f t="shared" si="654"/>
        <v>0</v>
      </c>
      <c r="BP856" s="314">
        <f t="shared" si="654"/>
        <v>0</v>
      </c>
      <c r="BQ856" s="5"/>
      <c r="BR856" s="13"/>
      <c r="BS856" s="5"/>
    </row>
    <row r="857" spans="1:71" s="3" customFormat="1" x14ac:dyDescent="0.25">
      <c r="A857" s="5"/>
      <c r="B857" s="3" t="str">
        <f t="array" ref="B857">IFERROR(INDEX(DemandSupply,MATCH(INDEX($AH$1:AH857,SMALL(ROW($AH$1:AH857)+(10000*($AH$1:AH857="")),COUNTA($AH$1:AH857))),Sectors,0)),"")</f>
        <v>Supply</v>
      </c>
      <c r="E857" s="10">
        <f t="shared" si="653"/>
        <v>0</v>
      </c>
      <c r="F857" s="207">
        <v>1</v>
      </c>
      <c r="G857" s="207">
        <v>1</v>
      </c>
      <c r="H857" s="207">
        <v>1</v>
      </c>
      <c r="I857" s="207">
        <v>1</v>
      </c>
      <c r="J857" s="207">
        <v>1</v>
      </c>
      <c r="K857" s="207">
        <v>1</v>
      </c>
      <c r="L857" s="207">
        <v>1</v>
      </c>
      <c r="M857" s="207">
        <v>1</v>
      </c>
      <c r="N857" s="207">
        <v>1</v>
      </c>
      <c r="O857" s="207">
        <v>1</v>
      </c>
      <c r="P857" s="207">
        <v>1</v>
      </c>
      <c r="Q857" s="207">
        <v>1</v>
      </c>
      <c r="R857" s="207">
        <v>1</v>
      </c>
      <c r="S857" s="207">
        <v>1</v>
      </c>
      <c r="T857" s="207">
        <v>1</v>
      </c>
      <c r="U857" s="207">
        <v>1</v>
      </c>
      <c r="V857" s="207">
        <v>1</v>
      </c>
      <c r="W857" s="207">
        <v>1</v>
      </c>
      <c r="X857" s="207">
        <v>1</v>
      </c>
      <c r="Y857" s="207">
        <v>1</v>
      </c>
      <c r="Z857" s="207">
        <v>1</v>
      </c>
      <c r="AA857" s="207">
        <v>1</v>
      </c>
      <c r="AB857" s="207">
        <v>1</v>
      </c>
      <c r="AC857" s="5"/>
      <c r="AD857" s="63"/>
      <c r="AE857" s="64"/>
      <c r="AF857" s="64"/>
      <c r="AG857" s="212"/>
      <c r="AH857" s="64"/>
      <c r="AI857" s="145"/>
      <c r="AJ857" s="64"/>
      <c r="AK857" s="65"/>
      <c r="AL857" s="63"/>
      <c r="AM857" s="65"/>
      <c r="AN857" s="63"/>
      <c r="AO857" s="65"/>
      <c r="AP857" s="63"/>
      <c r="AQ857" s="65"/>
      <c r="AR857" s="63"/>
      <c r="AS857" s="65"/>
      <c r="AT857" s="63"/>
      <c r="AU857" s="65"/>
      <c r="AV857" s="63"/>
      <c r="AW857" s="65"/>
      <c r="AX857" s="63"/>
      <c r="AY857" s="5"/>
      <c r="AZ857" s="21" t="str">
        <f t="shared" si="586"/>
        <v/>
      </c>
      <c r="BA857" t="s">
        <v>344</v>
      </c>
      <c r="BB857" s="13" t="s">
        <v>328</v>
      </c>
      <c r="BC857" s="2"/>
      <c r="BD857" s="2" t="s">
        <v>278</v>
      </c>
      <c r="BE857" s="14" t="s">
        <v>18</v>
      </c>
      <c r="BF857" s="314">
        <f t="shared" ref="BF857:BP857" si="655">IFERROR(INDEX(CH4_GJ,MATCH($BE$843,CoeffIndex,0),MATCH(BF$2,CoeffYear,0)),BE857)</f>
        <v>0</v>
      </c>
      <c r="BG857" s="314">
        <f t="shared" si="655"/>
        <v>0</v>
      </c>
      <c r="BH857" s="314">
        <f t="shared" si="655"/>
        <v>0</v>
      </c>
      <c r="BI857" s="314">
        <f t="shared" si="655"/>
        <v>0</v>
      </c>
      <c r="BJ857" s="314">
        <f t="shared" si="655"/>
        <v>0</v>
      </c>
      <c r="BK857" s="314">
        <f t="shared" si="655"/>
        <v>0</v>
      </c>
      <c r="BL857" s="314">
        <f t="shared" si="655"/>
        <v>0</v>
      </c>
      <c r="BM857" s="314">
        <f t="shared" si="655"/>
        <v>0</v>
      </c>
      <c r="BN857" s="314">
        <f t="shared" si="655"/>
        <v>0</v>
      </c>
      <c r="BO857" s="314">
        <f t="shared" si="655"/>
        <v>0</v>
      </c>
      <c r="BP857" s="314">
        <f t="shared" si="655"/>
        <v>0</v>
      </c>
      <c r="BQ857" s="5"/>
      <c r="BR857" s="13"/>
      <c r="BS857" s="5"/>
    </row>
    <row r="858" spans="1:71" s="3" customFormat="1" x14ac:dyDescent="0.25">
      <c r="A858" s="5"/>
      <c r="B858" s="3" t="str">
        <f t="array" ref="B858">IFERROR(INDEX(DemandSupply,MATCH(INDEX($AH$1:AH858,SMALL(ROW($AH$1:AH858)+(10000*($AH$1:AH858="")),COUNTA($AH$1:AH858))),Sectors,0)),"")</f>
        <v>Supply</v>
      </c>
      <c r="E858" s="10">
        <f t="shared" si="653"/>
        <v>0</v>
      </c>
      <c r="F858" s="207">
        <v>1</v>
      </c>
      <c r="G858" s="207">
        <v>1</v>
      </c>
      <c r="H858" s="207">
        <v>1</v>
      </c>
      <c r="I858" s="207">
        <v>1</v>
      </c>
      <c r="J858" s="207">
        <v>1</v>
      </c>
      <c r="K858" s="207">
        <v>1</v>
      </c>
      <c r="L858" s="207">
        <v>1</v>
      </c>
      <c r="M858" s="207">
        <v>1</v>
      </c>
      <c r="N858" s="207">
        <v>1</v>
      </c>
      <c r="O858" s="207">
        <v>1</v>
      </c>
      <c r="P858" s="207">
        <v>1</v>
      </c>
      <c r="Q858" s="207">
        <v>1</v>
      </c>
      <c r="R858" s="207">
        <v>1</v>
      </c>
      <c r="S858" s="207">
        <v>1</v>
      </c>
      <c r="T858" s="207">
        <v>1</v>
      </c>
      <c r="U858" s="207">
        <v>1</v>
      </c>
      <c r="V858" s="207">
        <v>1</v>
      </c>
      <c r="W858" s="207">
        <v>1</v>
      </c>
      <c r="X858" s="207">
        <v>1</v>
      </c>
      <c r="Y858" s="207">
        <v>1</v>
      </c>
      <c r="Z858" s="207">
        <v>1</v>
      </c>
      <c r="AA858" s="207">
        <v>1</v>
      </c>
      <c r="AB858" s="207">
        <v>1</v>
      </c>
      <c r="AC858" s="5"/>
      <c r="AD858" s="63"/>
      <c r="AE858" s="64"/>
      <c r="AF858" s="64"/>
      <c r="AG858" s="212"/>
      <c r="AH858" s="64"/>
      <c r="AI858" s="145"/>
      <c r="AJ858" s="64"/>
      <c r="AK858" s="65"/>
      <c r="AL858" s="63"/>
      <c r="AM858" s="65"/>
      <c r="AN858" s="63"/>
      <c r="AO858" s="65"/>
      <c r="AP858" s="63"/>
      <c r="AQ858" s="65"/>
      <c r="AR858" s="63"/>
      <c r="AS858" s="65"/>
      <c r="AT858" s="63"/>
      <c r="AU858" s="65"/>
      <c r="AV858" s="63"/>
      <c r="AW858" s="65"/>
      <c r="AX858" s="63"/>
      <c r="AY858" s="5"/>
      <c r="AZ858" s="21" t="str">
        <f t="shared" si="586"/>
        <v/>
      </c>
      <c r="BA858" t="s">
        <v>344</v>
      </c>
      <c r="BB858" s="13" t="s">
        <v>328</v>
      </c>
      <c r="BC858" s="2"/>
      <c r="BD858" s="2" t="s">
        <v>278</v>
      </c>
      <c r="BE858" s="14" t="s">
        <v>19</v>
      </c>
      <c r="BF858" s="314">
        <f t="shared" ref="BF858:BP858" si="656">IFERROR(INDEX(N2O_GJ,MATCH($BE$843,CoeffIndex,0),MATCH(BF$2,CoeffYear,0)),BE858)</f>
        <v>0</v>
      </c>
      <c r="BG858" s="314">
        <f t="shared" si="656"/>
        <v>0</v>
      </c>
      <c r="BH858" s="314">
        <f t="shared" si="656"/>
        <v>0</v>
      </c>
      <c r="BI858" s="314">
        <f t="shared" si="656"/>
        <v>0</v>
      </c>
      <c r="BJ858" s="314">
        <f t="shared" si="656"/>
        <v>0</v>
      </c>
      <c r="BK858" s="314">
        <f t="shared" si="656"/>
        <v>0</v>
      </c>
      <c r="BL858" s="314">
        <f t="shared" si="656"/>
        <v>0</v>
      </c>
      <c r="BM858" s="314">
        <f t="shared" si="656"/>
        <v>0</v>
      </c>
      <c r="BN858" s="314">
        <f t="shared" si="656"/>
        <v>0</v>
      </c>
      <c r="BO858" s="314">
        <f t="shared" si="656"/>
        <v>0</v>
      </c>
      <c r="BP858" s="314">
        <f t="shared" si="656"/>
        <v>0</v>
      </c>
      <c r="BQ858" s="5"/>
      <c r="BR858" s="13"/>
      <c r="BS858" s="5"/>
    </row>
    <row r="859" spans="1:71" s="3" customFormat="1" x14ac:dyDescent="0.25">
      <c r="A859" s="5"/>
      <c r="B859" s="3" t="str">
        <f t="array" ref="B859">IFERROR(INDEX(DemandSupply,MATCH(INDEX($AH$1:AH859,SMALL(ROW($AH$1:AH859)+(10000*($AH$1:AH859="")),COUNTA($AH$1:AH859))),Sectors,0)),"")</f>
        <v>Supply</v>
      </c>
      <c r="E859" s="10">
        <f t="shared" si="653"/>
        <v>0</v>
      </c>
      <c r="F859" s="207">
        <v>1</v>
      </c>
      <c r="G859" s="207">
        <v>1</v>
      </c>
      <c r="H859" s="207">
        <v>1</v>
      </c>
      <c r="I859" s="207">
        <v>1</v>
      </c>
      <c r="J859" s="207">
        <v>1</v>
      </c>
      <c r="K859" s="207">
        <v>1</v>
      </c>
      <c r="L859" s="207">
        <v>1</v>
      </c>
      <c r="M859" s="207">
        <v>1</v>
      </c>
      <c r="N859" s="207">
        <v>1</v>
      </c>
      <c r="O859" s="207">
        <v>1</v>
      </c>
      <c r="P859" s="207">
        <v>1</v>
      </c>
      <c r="Q859" s="207">
        <v>1</v>
      </c>
      <c r="R859" s="207">
        <v>1</v>
      </c>
      <c r="S859" s="207">
        <v>1</v>
      </c>
      <c r="T859" s="207">
        <v>1</v>
      </c>
      <c r="U859" s="207">
        <v>1</v>
      </c>
      <c r="V859" s="207">
        <v>1</v>
      </c>
      <c r="W859" s="207">
        <v>1</v>
      </c>
      <c r="X859" s="207">
        <v>1</v>
      </c>
      <c r="Y859" s="207">
        <v>1</v>
      </c>
      <c r="Z859" s="207">
        <v>1</v>
      </c>
      <c r="AA859" s="207">
        <v>1</v>
      </c>
      <c r="AB859" s="207">
        <v>1</v>
      </c>
      <c r="AC859" s="5"/>
      <c r="AD859" s="63"/>
      <c r="AE859" s="64"/>
      <c r="AF859" s="64"/>
      <c r="AG859" s="212"/>
      <c r="AH859" s="64"/>
      <c r="AI859" s="145"/>
      <c r="AJ859" s="64"/>
      <c r="AK859" s="65"/>
      <c r="AL859" s="63"/>
      <c r="AM859" s="65"/>
      <c r="AN859" s="63"/>
      <c r="AO859" s="65"/>
      <c r="AP859" s="63"/>
      <c r="AQ859" s="65"/>
      <c r="AR859" s="63"/>
      <c r="AS859" s="65"/>
      <c r="AT859" s="63"/>
      <c r="AU859" s="65"/>
      <c r="AV859" s="63"/>
      <c r="AW859" s="65"/>
      <c r="AX859" s="63"/>
      <c r="AY859" s="5"/>
      <c r="AZ859" s="21" t="str">
        <f t="shared" si="586"/>
        <v/>
      </c>
      <c r="BA859" t="s">
        <v>338</v>
      </c>
      <c r="BB859" s="13" t="s">
        <v>327</v>
      </c>
      <c r="BC859" s="2" t="s">
        <v>125</v>
      </c>
      <c r="BD859" s="15" t="s">
        <v>379</v>
      </c>
      <c r="BE859" s="26"/>
      <c r="BF859" s="314">
        <f>1/3.6</f>
        <v>0.27777777777777779</v>
      </c>
      <c r="BG859" s="314">
        <f t="shared" ref="BG859:BP859" si="657">1/3.6</f>
        <v>0.27777777777777779</v>
      </c>
      <c r="BH859" s="314">
        <f t="shared" si="657"/>
        <v>0.27777777777777779</v>
      </c>
      <c r="BI859" s="314">
        <f t="shared" si="657"/>
        <v>0.27777777777777779</v>
      </c>
      <c r="BJ859" s="314">
        <f t="shared" si="657"/>
        <v>0.27777777777777779</v>
      </c>
      <c r="BK859" s="314">
        <f t="shared" si="657"/>
        <v>0.27777777777777779</v>
      </c>
      <c r="BL859" s="314">
        <f t="shared" si="657"/>
        <v>0.27777777777777779</v>
      </c>
      <c r="BM859" s="314">
        <f t="shared" si="657"/>
        <v>0.27777777777777779</v>
      </c>
      <c r="BN859" s="314">
        <f t="shared" si="657"/>
        <v>0.27777777777777779</v>
      </c>
      <c r="BO859" s="314">
        <f t="shared" si="657"/>
        <v>0.27777777777777779</v>
      </c>
      <c r="BP859" s="314">
        <f t="shared" si="657"/>
        <v>0.27777777777777779</v>
      </c>
      <c r="BQ859" s="5"/>
      <c r="BR859" s="13"/>
      <c r="BS859" s="5"/>
    </row>
    <row r="860" spans="1:71" s="3" customFormat="1" x14ac:dyDescent="0.25">
      <c r="A860" s="5"/>
      <c r="B860" s="3" t="str">
        <f t="array" ref="B860">IFERROR(INDEX(DemandSupply,MATCH(INDEX($AH$1:AH860,SMALL(ROW($AH$1:AH860)+(10000*($AH$1:AH860="")),COUNTA($AH$1:AH860))),Sectors,0)),"")</f>
        <v>Supply</v>
      </c>
      <c r="E860" s="10">
        <f t="shared" si="653"/>
        <v>1</v>
      </c>
      <c r="F860" s="207">
        <v>1</v>
      </c>
      <c r="G860" s="207">
        <v>1</v>
      </c>
      <c r="H860" s="207">
        <v>1</v>
      </c>
      <c r="I860" s="207">
        <v>1</v>
      </c>
      <c r="J860" s="207">
        <v>1</v>
      </c>
      <c r="K860" s="207">
        <v>1</v>
      </c>
      <c r="L860" s="207">
        <v>1</v>
      </c>
      <c r="M860" s="207">
        <v>1</v>
      </c>
      <c r="N860" s="207">
        <v>1</v>
      </c>
      <c r="O860" s="207">
        <v>1</v>
      </c>
      <c r="P860" s="207">
        <v>1</v>
      </c>
      <c r="Q860" s="207">
        <v>1</v>
      </c>
      <c r="R860" s="207">
        <v>1</v>
      </c>
      <c r="S860" s="207">
        <v>1</v>
      </c>
      <c r="T860" s="207">
        <v>1</v>
      </c>
      <c r="U860" s="207">
        <v>1</v>
      </c>
      <c r="V860" s="207">
        <v>1</v>
      </c>
      <c r="W860" s="207">
        <v>1</v>
      </c>
      <c r="X860" s="207">
        <v>1</v>
      </c>
      <c r="Y860" s="207">
        <v>1</v>
      </c>
      <c r="Z860" s="207">
        <v>1</v>
      </c>
      <c r="AA860" s="207">
        <v>1</v>
      </c>
      <c r="AB860" s="207">
        <v>1</v>
      </c>
      <c r="AC860" s="5"/>
      <c r="AD860" s="63"/>
      <c r="AE860" s="64"/>
      <c r="AF860" s="64"/>
      <c r="AG860" s="212"/>
      <c r="AH860" s="65"/>
      <c r="AI860" s="145"/>
      <c r="AJ860" s="69"/>
      <c r="AK860" s="65"/>
      <c r="AL860" s="63"/>
      <c r="AM860" s="65"/>
      <c r="AN860" s="63"/>
      <c r="AO860" s="65"/>
      <c r="AP860" s="63"/>
      <c r="AQ860" s="65"/>
      <c r="AR860" s="63"/>
      <c r="AS860" s="65"/>
      <c r="AT860" s="63"/>
      <c r="AU860" s="65"/>
      <c r="AV860" s="63"/>
      <c r="AW860" s="65"/>
      <c r="AX860" s="63"/>
      <c r="AY860" s="5"/>
      <c r="AZ860" s="21" t="str">
        <f t="shared" si="586"/>
        <v/>
      </c>
      <c r="BB860" s="13"/>
      <c r="BE860" s="9"/>
      <c r="BQ860" s="5"/>
      <c r="BR860" s="13"/>
      <c r="BS860" s="5"/>
    </row>
    <row r="861" spans="1:71" s="3" customFormat="1" x14ac:dyDescent="0.25">
      <c r="A861" s="5"/>
      <c r="B861" s="3" t="str">
        <f t="array" ref="B861">IFERROR(INDEX(DemandSupply,MATCH(INDEX($AH$1:AH861,SMALL(ROW($AH$1:AH861)+(10000*($AH$1:AH861="")),COUNTA($AH$1:AH861))),Sectors,0)),"")</f>
        <v>Supply</v>
      </c>
      <c r="E861" s="10">
        <f t="shared" si="653"/>
        <v>1</v>
      </c>
      <c r="F861" s="207">
        <v>1</v>
      </c>
      <c r="G861" s="207">
        <v>1</v>
      </c>
      <c r="H861" s="207">
        <v>1</v>
      </c>
      <c r="I861" s="207">
        <v>1</v>
      </c>
      <c r="J861" s="207">
        <v>1</v>
      </c>
      <c r="K861" s="207">
        <v>1</v>
      </c>
      <c r="L861" s="207">
        <v>1</v>
      </c>
      <c r="M861" s="207">
        <v>1</v>
      </c>
      <c r="N861" s="207">
        <v>1</v>
      </c>
      <c r="O861" s="207">
        <v>1</v>
      </c>
      <c r="P861" s="207">
        <v>1</v>
      </c>
      <c r="Q861" s="207">
        <v>1</v>
      </c>
      <c r="R861" s="207">
        <v>1</v>
      </c>
      <c r="S861" s="207">
        <v>1</v>
      </c>
      <c r="T861" s="207">
        <v>1</v>
      </c>
      <c r="U861" s="207">
        <v>1</v>
      </c>
      <c r="V861" s="207">
        <v>1</v>
      </c>
      <c r="W861" s="207">
        <v>1</v>
      </c>
      <c r="X861" s="207">
        <v>1</v>
      </c>
      <c r="Y861" s="207">
        <v>1</v>
      </c>
      <c r="Z861" s="207">
        <v>1</v>
      </c>
      <c r="AA861" s="207">
        <v>1</v>
      </c>
      <c r="AB861" s="207">
        <v>1</v>
      </c>
      <c r="AC861" s="5"/>
      <c r="AD861" s="63"/>
      <c r="AE861" s="64"/>
      <c r="AF861" s="64"/>
      <c r="AG861" s="212"/>
      <c r="AH861" s="64"/>
      <c r="AI861" s="65"/>
      <c r="AJ861" s="23" t="s">
        <v>4</v>
      </c>
      <c r="AK861" s="67"/>
      <c r="AL861" s="64"/>
      <c r="AM861" s="64"/>
      <c r="AN861" s="63"/>
      <c r="AO861" s="64"/>
      <c r="AP861" s="63"/>
      <c r="AQ861" s="64"/>
      <c r="AR861" s="63"/>
      <c r="AS861" s="64"/>
      <c r="AT861" s="63"/>
      <c r="AU861" s="64"/>
      <c r="AV861" s="63"/>
      <c r="AW861" s="64"/>
      <c r="AX861" s="63"/>
      <c r="AY861" s="5"/>
      <c r="AZ861" s="208" t="str">
        <f t="shared" ref="AZ861:AZ924" si="658">IFERROR(INDEX($AD861:$AX861,MATCH(TRUE,INDEX(($AD861:$AX861&lt;&gt;0),0),0)),"")</f>
        <v>Generation</v>
      </c>
      <c r="BB861" s="13"/>
      <c r="BE861" s="9"/>
      <c r="BQ861" s="5"/>
      <c r="BR861" s="13"/>
      <c r="BS861" s="5"/>
    </row>
    <row r="862" spans="1:71" s="3" customFormat="1" x14ac:dyDescent="0.25">
      <c r="A862" s="5"/>
      <c r="B862" s="3" t="str">
        <f t="array" ref="B862">IFERROR(INDEX(DemandSupply,MATCH(INDEX($AH$1:AH862,SMALL(ROW($AH$1:AH862)+(10000*($AH$1:AH862="")),COUNTA($AH$1:AH862))),Sectors,0)),"")</f>
        <v>Supply</v>
      </c>
      <c r="E862" s="10">
        <f t="shared" si="653"/>
        <v>0</v>
      </c>
      <c r="F862" s="207">
        <v>1</v>
      </c>
      <c r="G862" s="207">
        <v>1</v>
      </c>
      <c r="H862" s="207">
        <v>1</v>
      </c>
      <c r="I862" s="207">
        <v>1</v>
      </c>
      <c r="J862" s="207">
        <v>1</v>
      </c>
      <c r="K862" s="207">
        <v>1</v>
      </c>
      <c r="L862" s="207">
        <v>1</v>
      </c>
      <c r="M862" s="207">
        <v>1</v>
      </c>
      <c r="N862" s="207">
        <v>1</v>
      </c>
      <c r="O862" s="207">
        <v>1</v>
      </c>
      <c r="P862" s="207">
        <v>1</v>
      </c>
      <c r="Q862" s="207">
        <v>1</v>
      </c>
      <c r="R862" s="207">
        <v>1</v>
      </c>
      <c r="S862" s="207">
        <v>1</v>
      </c>
      <c r="T862" s="207">
        <v>1</v>
      </c>
      <c r="U862" s="207">
        <v>1</v>
      </c>
      <c r="V862" s="207">
        <v>1</v>
      </c>
      <c r="W862" s="207">
        <v>1</v>
      </c>
      <c r="X862" s="207">
        <v>1</v>
      </c>
      <c r="Y862" s="207">
        <v>1</v>
      </c>
      <c r="Z862" s="207">
        <v>1</v>
      </c>
      <c r="AA862" s="207">
        <v>1</v>
      </c>
      <c r="AB862" s="207">
        <v>1</v>
      </c>
      <c r="AC862" s="5"/>
      <c r="AD862" s="63"/>
      <c r="AE862" s="64"/>
      <c r="AF862" s="64"/>
      <c r="AG862" s="212"/>
      <c r="AH862" s="64"/>
      <c r="AI862" s="65"/>
      <c r="AJ862" s="225"/>
      <c r="AK862" s="66"/>
      <c r="AL862" s="64"/>
      <c r="AM862" s="64"/>
      <c r="AN862" s="63"/>
      <c r="AO862" s="64"/>
      <c r="AP862" s="63"/>
      <c r="AQ862" s="64"/>
      <c r="AR862" s="63"/>
      <c r="AS862" s="64"/>
      <c r="AT862" s="63"/>
      <c r="AU862" s="64"/>
      <c r="AV862" s="63"/>
      <c r="AW862" s="64"/>
      <c r="AX862" s="63"/>
      <c r="AY862" s="5"/>
      <c r="AZ862" s="21" t="str">
        <f t="shared" si="658"/>
        <v/>
      </c>
      <c r="BA862" s="15" t="s">
        <v>337</v>
      </c>
      <c r="BB862" s="13"/>
      <c r="BC862" s="15" t="s">
        <v>125</v>
      </c>
      <c r="BD862" s="15" t="s">
        <v>219</v>
      </c>
      <c r="BE862" s="216" t="str">
        <f>AZ861</f>
        <v>Generation</v>
      </c>
      <c r="BF862" s="241"/>
      <c r="BG862" s="241"/>
      <c r="BH862" s="241"/>
      <c r="BI862" s="241"/>
      <c r="BJ862" s="241"/>
      <c r="BK862" s="241"/>
      <c r="BL862" s="241"/>
      <c r="BM862" s="241"/>
      <c r="BN862" s="241"/>
      <c r="BO862" s="241"/>
      <c r="BP862" s="241"/>
      <c r="BQ862" s="5"/>
      <c r="BR862" s="13"/>
      <c r="BS862" s="5"/>
    </row>
    <row r="863" spans="1:71" s="3" customFormat="1" x14ac:dyDescent="0.25">
      <c r="A863" s="5"/>
      <c r="B863" s="3" t="str">
        <f t="array" ref="B863">IFERROR(INDEX(DemandSupply,MATCH(INDEX($AH$1:AH863,SMALL(ROW($AH$1:AH863)+(10000*($AH$1:AH863="")),COUNTA($AH$1:AH863))),Sectors,0)),"")</f>
        <v>Supply</v>
      </c>
      <c r="E863" s="10">
        <f t="shared" si="653"/>
        <v>0</v>
      </c>
      <c r="F863" s="207">
        <v>1</v>
      </c>
      <c r="G863" s="207">
        <v>1</v>
      </c>
      <c r="H863" s="207">
        <v>1</v>
      </c>
      <c r="I863" s="207">
        <v>1</v>
      </c>
      <c r="J863" s="207">
        <v>1</v>
      </c>
      <c r="K863" s="207">
        <v>1</v>
      </c>
      <c r="L863" s="207">
        <v>1</v>
      </c>
      <c r="M863" s="207">
        <v>1</v>
      </c>
      <c r="N863" s="207">
        <v>1</v>
      </c>
      <c r="O863" s="207">
        <v>1</v>
      </c>
      <c r="P863" s="207">
        <v>1</v>
      </c>
      <c r="Q863" s="207">
        <v>1</v>
      </c>
      <c r="R863" s="207">
        <v>1</v>
      </c>
      <c r="S863" s="207">
        <v>1</v>
      </c>
      <c r="T863" s="207">
        <v>1</v>
      </c>
      <c r="U863" s="207">
        <v>1</v>
      </c>
      <c r="V863" s="207">
        <v>1</v>
      </c>
      <c r="W863" s="207">
        <v>1</v>
      </c>
      <c r="X863" s="207">
        <v>1</v>
      </c>
      <c r="Y863" s="207">
        <v>1</v>
      </c>
      <c r="Z863" s="207">
        <v>1</v>
      </c>
      <c r="AA863" s="207">
        <v>1</v>
      </c>
      <c r="AB863" s="207">
        <v>1</v>
      </c>
      <c r="AC863" s="5"/>
      <c r="AD863" s="63"/>
      <c r="AE863" s="64"/>
      <c r="AF863" s="64"/>
      <c r="AG863" s="212"/>
      <c r="AH863" s="64"/>
      <c r="AI863" s="65"/>
      <c r="AJ863" s="225"/>
      <c r="AK863" s="212"/>
      <c r="AL863" s="64"/>
      <c r="AM863" s="64"/>
      <c r="AN863" s="63"/>
      <c r="AO863" s="64"/>
      <c r="AP863" s="63"/>
      <c r="AQ863" s="64"/>
      <c r="AR863" s="63"/>
      <c r="AS863" s="64"/>
      <c r="AT863" s="63"/>
      <c r="AU863" s="64"/>
      <c r="AV863" s="63"/>
      <c r="AW863" s="64"/>
      <c r="AX863" s="63"/>
      <c r="AY863" s="5"/>
      <c r="AZ863" s="21" t="str">
        <f t="shared" si="658"/>
        <v/>
      </c>
      <c r="BA863" s="15" t="s">
        <v>338</v>
      </c>
      <c r="BB863" s="13"/>
      <c r="BC863" s="15" t="s">
        <v>192</v>
      </c>
      <c r="BD863" s="15" t="s">
        <v>380</v>
      </c>
      <c r="BE863" s="16" t="s">
        <v>3</v>
      </c>
      <c r="BF863" s="34">
        <v>1</v>
      </c>
      <c r="BG863" s="34">
        <v>1</v>
      </c>
      <c r="BH863" s="34">
        <v>1</v>
      </c>
      <c r="BI863" s="34">
        <v>1</v>
      </c>
      <c r="BJ863" s="34">
        <v>1</v>
      </c>
      <c r="BK863" s="34">
        <v>1</v>
      </c>
      <c r="BL863" s="34">
        <v>1</v>
      </c>
      <c r="BM863" s="34">
        <v>1</v>
      </c>
      <c r="BN863" s="34">
        <v>1</v>
      </c>
      <c r="BO863" s="34">
        <v>1</v>
      </c>
      <c r="BP863" s="34">
        <v>1</v>
      </c>
      <c r="BQ863" s="5"/>
      <c r="BR863" s="13"/>
      <c r="BS863" s="5"/>
    </row>
    <row r="864" spans="1:71" s="3" customFormat="1" x14ac:dyDescent="0.25">
      <c r="A864" s="5"/>
      <c r="B864" s="3" t="str">
        <f t="array" ref="B864">IFERROR(INDEX(DemandSupply,MATCH(INDEX($AH$1:AH864,SMALL(ROW($AH$1:AH864)+(10000*($AH$1:AH864="")),COUNTA($AH$1:AH864))),Sectors,0)),"")</f>
        <v>Supply</v>
      </c>
      <c r="E864" s="10">
        <f t="shared" si="653"/>
        <v>0</v>
      </c>
      <c r="F864" s="207">
        <v>1</v>
      </c>
      <c r="G864" s="207">
        <v>1</v>
      </c>
      <c r="H864" s="207">
        <v>1</v>
      </c>
      <c r="I864" s="207">
        <v>1</v>
      </c>
      <c r="J864" s="207">
        <v>1</v>
      </c>
      <c r="K864" s="207">
        <v>1</v>
      </c>
      <c r="L864" s="207">
        <v>1</v>
      </c>
      <c r="M864" s="207">
        <v>1</v>
      </c>
      <c r="N864" s="207">
        <v>1</v>
      </c>
      <c r="O864" s="207">
        <v>1</v>
      </c>
      <c r="P864" s="207">
        <v>1</v>
      </c>
      <c r="Q864" s="207">
        <v>1</v>
      </c>
      <c r="R864" s="207">
        <v>1</v>
      </c>
      <c r="S864" s="207">
        <v>1</v>
      </c>
      <c r="T864" s="207">
        <v>1</v>
      </c>
      <c r="U864" s="207">
        <v>1</v>
      </c>
      <c r="V864" s="207">
        <v>1</v>
      </c>
      <c r="W864" s="207">
        <v>1</v>
      </c>
      <c r="X864" s="207">
        <v>1</v>
      </c>
      <c r="Y864" s="207">
        <v>1</v>
      </c>
      <c r="Z864" s="207">
        <v>1</v>
      </c>
      <c r="AA864" s="207">
        <v>1</v>
      </c>
      <c r="AB864" s="207">
        <v>1</v>
      </c>
      <c r="AC864" s="5"/>
      <c r="AD864" s="63"/>
      <c r="AE864" s="64"/>
      <c r="AF864" s="64"/>
      <c r="AG864" s="212"/>
      <c r="AH864" s="64"/>
      <c r="AI864" s="65"/>
      <c r="AJ864" s="225"/>
      <c r="AK864" s="212"/>
      <c r="AL864" s="64"/>
      <c r="AM864" s="64"/>
      <c r="AN864" s="63"/>
      <c r="AO864" s="64"/>
      <c r="AP864" s="63"/>
      <c r="AQ864" s="64"/>
      <c r="AR864" s="63"/>
      <c r="AS864" s="64"/>
      <c r="AT864" s="63"/>
      <c r="AU864" s="64"/>
      <c r="AV864" s="63"/>
      <c r="AW864" s="64"/>
      <c r="AX864" s="63"/>
      <c r="AY864" s="5"/>
      <c r="AZ864" s="21" t="str">
        <f t="shared" si="658"/>
        <v/>
      </c>
      <c r="BA864" s="15" t="s">
        <v>338</v>
      </c>
      <c r="BB864" s="13"/>
      <c r="BC864" s="15" t="s">
        <v>193</v>
      </c>
      <c r="BD864" s="15" t="s">
        <v>380</v>
      </c>
      <c r="BE864" s="16" t="s">
        <v>195</v>
      </c>
      <c r="BF864" s="34">
        <v>0</v>
      </c>
      <c r="BG864" s="34">
        <v>0</v>
      </c>
      <c r="BH864" s="34">
        <v>0</v>
      </c>
      <c r="BI864" s="34">
        <v>0</v>
      </c>
      <c r="BJ864" s="34">
        <v>0</v>
      </c>
      <c r="BK864" s="34">
        <v>0</v>
      </c>
      <c r="BL864" s="34">
        <v>0</v>
      </c>
      <c r="BM864" s="34">
        <v>0</v>
      </c>
      <c r="BN864" s="34">
        <v>0</v>
      </c>
      <c r="BO864" s="34">
        <v>0</v>
      </c>
      <c r="BP864" s="34">
        <v>0</v>
      </c>
      <c r="BQ864" s="5"/>
      <c r="BR864" s="13"/>
      <c r="BS864" s="5"/>
    </row>
    <row r="865" spans="1:71" s="3" customFormat="1" x14ac:dyDescent="0.25">
      <c r="A865" s="5"/>
      <c r="B865" s="3" t="str">
        <f t="array" ref="B865">IFERROR(INDEX(DemandSupply,MATCH(INDEX($AH$1:AH865,SMALL(ROW($AH$1:AH865)+(10000*($AH$1:AH865="")),COUNTA($AH$1:AH865))),Sectors,0)),"")</f>
        <v>Supply</v>
      </c>
      <c r="E865" s="10">
        <f t="shared" si="653"/>
        <v>0</v>
      </c>
      <c r="F865" s="207">
        <v>1</v>
      </c>
      <c r="G865" s="207">
        <v>1</v>
      </c>
      <c r="H865" s="207">
        <v>1</v>
      </c>
      <c r="I865" s="207">
        <v>1</v>
      </c>
      <c r="J865" s="207">
        <v>1</v>
      </c>
      <c r="K865" s="207">
        <v>1</v>
      </c>
      <c r="L865" s="207">
        <v>1</v>
      </c>
      <c r="M865" s="207">
        <v>1</v>
      </c>
      <c r="N865" s="207">
        <v>1</v>
      </c>
      <c r="O865" s="207">
        <v>1</v>
      </c>
      <c r="P865" s="207">
        <v>1</v>
      </c>
      <c r="Q865" s="207">
        <v>1</v>
      </c>
      <c r="R865" s="207">
        <v>1</v>
      </c>
      <c r="S865" s="207">
        <v>1</v>
      </c>
      <c r="T865" s="207">
        <v>1</v>
      </c>
      <c r="U865" s="207">
        <v>1</v>
      </c>
      <c r="V865" s="207">
        <v>1</v>
      </c>
      <c r="W865" s="207">
        <v>1</v>
      </c>
      <c r="X865" s="207">
        <v>1</v>
      </c>
      <c r="Y865" s="207">
        <v>1</v>
      </c>
      <c r="Z865" s="207">
        <v>1</v>
      </c>
      <c r="AA865" s="207">
        <v>1</v>
      </c>
      <c r="AB865" s="207">
        <v>1</v>
      </c>
      <c r="AC865" s="5"/>
      <c r="AD865" s="63"/>
      <c r="AE865" s="64"/>
      <c r="AF865" s="64"/>
      <c r="AG865" s="212"/>
      <c r="AH865" s="64"/>
      <c r="AI865" s="65"/>
      <c r="AJ865" s="225"/>
      <c r="AK865" s="212"/>
      <c r="AL865" s="64"/>
      <c r="AM865" s="64"/>
      <c r="AN865" s="63"/>
      <c r="AO865" s="64"/>
      <c r="AP865" s="63"/>
      <c r="AQ865" s="64"/>
      <c r="AR865" s="63"/>
      <c r="AS865" s="64"/>
      <c r="AT865" s="63"/>
      <c r="AU865" s="64"/>
      <c r="AV865" s="63"/>
      <c r="AW865" s="64"/>
      <c r="AX865" s="63"/>
      <c r="AY865" s="5"/>
      <c r="AZ865" s="21" t="str">
        <f t="shared" si="658"/>
        <v/>
      </c>
      <c r="BA865" s="15" t="s">
        <v>338</v>
      </c>
      <c r="BB865" s="13"/>
      <c r="BC865" s="15" t="s">
        <v>194</v>
      </c>
      <c r="BD865" s="15" t="s">
        <v>380</v>
      </c>
      <c r="BE865" s="16" t="s">
        <v>196</v>
      </c>
      <c r="BF865" s="34">
        <v>0</v>
      </c>
      <c r="BG865" s="34">
        <v>0</v>
      </c>
      <c r="BH865" s="34">
        <v>0</v>
      </c>
      <c r="BI865" s="34">
        <v>0</v>
      </c>
      <c r="BJ865" s="34">
        <v>0</v>
      </c>
      <c r="BK865" s="34">
        <v>0</v>
      </c>
      <c r="BL865" s="34">
        <v>0</v>
      </c>
      <c r="BM865" s="34">
        <v>0</v>
      </c>
      <c r="BN865" s="34">
        <v>0</v>
      </c>
      <c r="BO865" s="34">
        <v>0</v>
      </c>
      <c r="BP865" s="34">
        <v>0</v>
      </c>
      <c r="BQ865" s="5"/>
      <c r="BR865" s="13"/>
      <c r="BS865" s="5"/>
    </row>
    <row r="866" spans="1:71" s="3" customFormat="1" x14ac:dyDescent="0.25">
      <c r="A866" s="5"/>
      <c r="B866" s="3" t="str">
        <f t="array" ref="B866">IFERROR(INDEX(DemandSupply,MATCH(INDEX($AH$1:AH866,SMALL(ROW($AH$1:AH866)+(10000*($AH$1:AH866="")),COUNTA($AH$1:AH866))),Sectors,0)),"")</f>
        <v>Supply</v>
      </c>
      <c r="E866" s="10">
        <f t="shared" si="653"/>
        <v>1</v>
      </c>
      <c r="F866" s="207">
        <v>1</v>
      </c>
      <c r="G866" s="207">
        <v>1</v>
      </c>
      <c r="H866" s="207">
        <v>1</v>
      </c>
      <c r="I866" s="207">
        <v>1</v>
      </c>
      <c r="J866" s="207">
        <v>1</v>
      </c>
      <c r="K866" s="207">
        <v>1</v>
      </c>
      <c r="L866" s="207">
        <v>1</v>
      </c>
      <c r="M866" s="207">
        <v>1</v>
      </c>
      <c r="N866" s="207">
        <v>1</v>
      </c>
      <c r="O866" s="207">
        <v>1</v>
      </c>
      <c r="P866" s="207">
        <v>1</v>
      </c>
      <c r="Q866" s="207">
        <v>1</v>
      </c>
      <c r="R866" s="207">
        <v>1</v>
      </c>
      <c r="S866" s="207">
        <v>1</v>
      </c>
      <c r="T866" s="207">
        <v>1</v>
      </c>
      <c r="U866" s="207">
        <v>1</v>
      </c>
      <c r="V866" s="207">
        <v>1</v>
      </c>
      <c r="W866" s="207">
        <v>1</v>
      </c>
      <c r="X866" s="207">
        <v>1</v>
      </c>
      <c r="Y866" s="207">
        <v>1</v>
      </c>
      <c r="Z866" s="207">
        <v>1</v>
      </c>
      <c r="AA866" s="207">
        <v>1</v>
      </c>
      <c r="AB866" s="207">
        <v>1</v>
      </c>
      <c r="AC866" s="5"/>
      <c r="AD866" s="63"/>
      <c r="AE866" s="64"/>
      <c r="AF866" s="64"/>
      <c r="AG866" s="212"/>
      <c r="AH866" s="64"/>
      <c r="AI866" s="65"/>
      <c r="AJ866" s="226"/>
      <c r="AK866" s="212"/>
      <c r="AL866" s="64"/>
      <c r="AM866" s="64"/>
      <c r="AN866" s="63"/>
      <c r="AO866" s="64"/>
      <c r="AP866" s="63"/>
      <c r="AQ866" s="64"/>
      <c r="AR866" s="63"/>
      <c r="AS866" s="64"/>
      <c r="AT866" s="63"/>
      <c r="AU866" s="64"/>
      <c r="AV866" s="63"/>
      <c r="AW866" s="64"/>
      <c r="AX866" s="63"/>
      <c r="AY866" s="5"/>
      <c r="AZ866" s="21" t="str">
        <f t="shared" si="658"/>
        <v/>
      </c>
      <c r="BB866" s="13"/>
      <c r="BE866" s="9"/>
      <c r="BQ866" s="5"/>
      <c r="BR866" s="13"/>
      <c r="BS866" s="5"/>
    </row>
    <row r="867" spans="1:71" s="3" customFormat="1" x14ac:dyDescent="0.25">
      <c r="A867" s="5"/>
      <c r="B867" s="3" t="str">
        <f t="array" ref="B867">IFERROR(INDEX(DemandSupply,MATCH(INDEX($AH$1:AH867,SMALL(ROW($AH$1:AH867)+(10000*($AH$1:AH867="")),COUNTA($AH$1:AH867))),Sectors,0)),"")</f>
        <v>Supply</v>
      </c>
      <c r="E867" s="10">
        <f t="shared" si="653"/>
        <v>1</v>
      </c>
      <c r="F867" s="207">
        <v>1</v>
      </c>
      <c r="G867" s="207">
        <v>1</v>
      </c>
      <c r="H867" s="207">
        <v>1</v>
      </c>
      <c r="I867" s="207">
        <v>1</v>
      </c>
      <c r="J867" s="207">
        <v>1</v>
      </c>
      <c r="K867" s="207">
        <v>1</v>
      </c>
      <c r="L867" s="207">
        <v>1</v>
      </c>
      <c r="M867" s="207">
        <v>1</v>
      </c>
      <c r="N867" s="207">
        <v>1</v>
      </c>
      <c r="O867" s="207">
        <v>1</v>
      </c>
      <c r="P867" s="207">
        <v>1</v>
      </c>
      <c r="Q867" s="207">
        <v>1</v>
      </c>
      <c r="R867" s="207">
        <v>1</v>
      </c>
      <c r="S867" s="207">
        <v>1</v>
      </c>
      <c r="T867" s="207">
        <v>1</v>
      </c>
      <c r="U867" s="207">
        <v>1</v>
      </c>
      <c r="V867" s="207">
        <v>1</v>
      </c>
      <c r="W867" s="207">
        <v>1</v>
      </c>
      <c r="X867" s="207">
        <v>1</v>
      </c>
      <c r="Y867" s="207">
        <v>1</v>
      </c>
      <c r="Z867" s="207">
        <v>1</v>
      </c>
      <c r="AA867" s="207">
        <v>1</v>
      </c>
      <c r="AB867" s="207">
        <v>1</v>
      </c>
      <c r="AC867" s="5"/>
      <c r="AD867" s="63"/>
      <c r="AE867" s="64"/>
      <c r="AF867" s="64"/>
      <c r="AG867" s="212"/>
      <c r="AH867" s="64"/>
      <c r="AI867" s="65"/>
      <c r="AJ867" s="227"/>
      <c r="AK867" s="145"/>
      <c r="AL867" s="211" t="s">
        <v>3</v>
      </c>
      <c r="AM867" s="67"/>
      <c r="AN867" s="63"/>
      <c r="AO867" s="64"/>
      <c r="AP867" s="63"/>
      <c r="AQ867" s="64"/>
      <c r="AR867" s="63"/>
      <c r="AS867" s="64"/>
      <c r="AT867" s="63"/>
      <c r="AU867" s="64"/>
      <c r="AV867" s="63"/>
      <c r="AW867" s="64"/>
      <c r="AX867" s="63"/>
      <c r="AY867" s="5"/>
      <c r="AZ867" s="208" t="str">
        <f t="shared" si="658"/>
        <v>Base load</v>
      </c>
      <c r="BB867" s="13"/>
      <c r="BE867" s="9"/>
      <c r="BQ867" s="5"/>
      <c r="BR867" s="13"/>
      <c r="BS867" s="5"/>
    </row>
    <row r="868" spans="1:71" s="3" customFormat="1" x14ac:dyDescent="0.25">
      <c r="A868" s="5"/>
      <c r="B868" s="3" t="str">
        <f t="array" ref="B868">IFERROR(INDEX(DemandSupply,MATCH(INDEX($AH$1:AH868,SMALL(ROW($AH$1:AH868)+(10000*($AH$1:AH868="")),COUNTA($AH$1:AH868))),Sectors,0)),"")</f>
        <v>Supply</v>
      </c>
      <c r="E868" s="10">
        <f t="shared" si="653"/>
        <v>0</v>
      </c>
      <c r="F868" s="207">
        <v>1</v>
      </c>
      <c r="G868" s="207">
        <v>1</v>
      </c>
      <c r="H868" s="207">
        <v>1</v>
      </c>
      <c r="I868" s="207">
        <v>1</v>
      </c>
      <c r="J868" s="207">
        <v>1</v>
      </c>
      <c r="K868" s="207">
        <v>1</v>
      </c>
      <c r="L868" s="207">
        <v>1</v>
      </c>
      <c r="M868" s="207">
        <v>1</v>
      </c>
      <c r="N868" s="207">
        <v>1</v>
      </c>
      <c r="O868" s="207">
        <v>1</v>
      </c>
      <c r="P868" s="207">
        <v>1</v>
      </c>
      <c r="Q868" s="207">
        <v>1</v>
      </c>
      <c r="R868" s="207">
        <v>1</v>
      </c>
      <c r="S868" s="207">
        <v>1</v>
      </c>
      <c r="T868" s="207">
        <v>1</v>
      </c>
      <c r="U868" s="207">
        <v>1</v>
      </c>
      <c r="V868" s="207">
        <v>1</v>
      </c>
      <c r="W868" s="207">
        <v>1</v>
      </c>
      <c r="X868" s="207">
        <v>1</v>
      </c>
      <c r="Y868" s="207">
        <v>1</v>
      </c>
      <c r="Z868" s="207">
        <v>1</v>
      </c>
      <c r="AA868" s="207">
        <v>1</v>
      </c>
      <c r="AB868" s="207">
        <v>1</v>
      </c>
      <c r="AC868" s="5"/>
      <c r="AD868" s="63"/>
      <c r="AE868" s="64"/>
      <c r="AF868" s="64"/>
      <c r="AG868" s="212"/>
      <c r="AH868" s="64"/>
      <c r="AI868" s="65"/>
      <c r="AJ868" s="227"/>
      <c r="AK868" s="65"/>
      <c r="AL868" s="80"/>
      <c r="AM868" s="66"/>
      <c r="AN868" s="63"/>
      <c r="AO868" s="64"/>
      <c r="AP868" s="63"/>
      <c r="AQ868" s="64"/>
      <c r="AR868" s="63"/>
      <c r="AS868" s="64"/>
      <c r="AT868" s="63"/>
      <c r="AU868" s="64"/>
      <c r="AV868" s="63"/>
      <c r="AW868" s="64"/>
      <c r="AX868" s="63"/>
      <c r="AY868" s="5"/>
      <c r="AZ868" s="21" t="str">
        <f t="shared" si="658"/>
        <v/>
      </c>
      <c r="BA868" s="4" t="s">
        <v>337</v>
      </c>
      <c r="BB868" s="13"/>
      <c r="BC868" s="2" t="s">
        <v>192</v>
      </c>
      <c r="BD868" s="3" t="s">
        <v>219</v>
      </c>
      <c r="BE868" s="216" t="str">
        <f>AZ867</f>
        <v>Base load</v>
      </c>
      <c r="BF868" s="241"/>
      <c r="BG868" s="241"/>
      <c r="BH868" s="241"/>
      <c r="BI868" s="241"/>
      <c r="BJ868" s="241"/>
      <c r="BK868" s="241"/>
      <c r="BL868" s="241"/>
      <c r="BM868" s="241"/>
      <c r="BN868" s="241"/>
      <c r="BO868" s="241"/>
      <c r="BP868" s="241"/>
      <c r="BQ868" s="5"/>
      <c r="BR868" s="13"/>
      <c r="BS868" s="5"/>
    </row>
    <row r="869" spans="1:71" s="3" customFormat="1" x14ac:dyDescent="0.25">
      <c r="A869" s="5"/>
      <c r="B869" s="3" t="str">
        <f t="array" ref="B869">IFERROR(INDEX(DemandSupply,MATCH(INDEX($AH$1:AH869,SMALL(ROW($AH$1:AH869)+(10000*($AH$1:AH869="")),COUNTA($AH$1:AH869))),Sectors,0)),"")</f>
        <v>Supply</v>
      </c>
      <c r="E869" s="10">
        <f t="shared" si="653"/>
        <v>0</v>
      </c>
      <c r="F869" s="207">
        <v>1</v>
      </c>
      <c r="G869" s="207">
        <v>1</v>
      </c>
      <c r="H869" s="207">
        <v>1</v>
      </c>
      <c r="I869" s="207">
        <v>1</v>
      </c>
      <c r="J869" s="207">
        <v>1</v>
      </c>
      <c r="K869" s="207">
        <v>1</v>
      </c>
      <c r="L869" s="207">
        <v>1</v>
      </c>
      <c r="M869" s="207">
        <v>1</v>
      </c>
      <c r="N869" s="207">
        <v>1</v>
      </c>
      <c r="O869" s="207">
        <v>1</v>
      </c>
      <c r="P869" s="207">
        <v>1</v>
      </c>
      <c r="Q869" s="207">
        <v>1</v>
      </c>
      <c r="R869" s="207">
        <v>1</v>
      </c>
      <c r="S869" s="207">
        <v>1</v>
      </c>
      <c r="T869" s="207">
        <v>1</v>
      </c>
      <c r="U869" s="207">
        <v>1</v>
      </c>
      <c r="V869" s="207">
        <v>1</v>
      </c>
      <c r="W869" s="207">
        <v>1</v>
      </c>
      <c r="X869" s="207">
        <v>1</v>
      </c>
      <c r="Y869" s="207">
        <v>1</v>
      </c>
      <c r="Z869" s="207">
        <v>1</v>
      </c>
      <c r="AA869" s="207">
        <v>1</v>
      </c>
      <c r="AB869" s="207">
        <v>1</v>
      </c>
      <c r="AC869" s="5"/>
      <c r="AD869" s="63"/>
      <c r="AE869" s="64"/>
      <c r="AF869" s="64"/>
      <c r="AG869" s="212"/>
      <c r="AH869" s="64"/>
      <c r="AI869" s="65"/>
      <c r="AJ869" s="227"/>
      <c r="AK869" s="65"/>
      <c r="AL869" s="80"/>
      <c r="AM869" s="212"/>
      <c r="AN869" s="63"/>
      <c r="AO869" s="64"/>
      <c r="AP869" s="63"/>
      <c r="AQ869" s="64"/>
      <c r="AR869" s="63"/>
      <c r="AS869" s="64"/>
      <c r="AT869" s="63"/>
      <c r="AU869" s="64"/>
      <c r="AV869" s="63"/>
      <c r="AW869" s="64"/>
      <c r="AX869" s="63"/>
      <c r="AY869" s="5"/>
      <c r="AZ869" s="21" t="str">
        <f t="shared" si="658"/>
        <v/>
      </c>
      <c r="BA869" s="2" t="s">
        <v>47</v>
      </c>
      <c r="BB869" s="13"/>
      <c r="BC869" s="2"/>
      <c r="BD869" s="2"/>
      <c r="BE869" s="16" t="s">
        <v>21</v>
      </c>
      <c r="BQ869" s="5"/>
      <c r="BR869" s="13"/>
      <c r="BS869" s="5"/>
    </row>
    <row r="870" spans="1:71" s="3" customFormat="1" x14ac:dyDescent="0.25">
      <c r="A870" s="5"/>
      <c r="B870" s="3" t="str">
        <f t="array" ref="B870">IFERROR(INDEX(DemandSupply,MATCH(INDEX($AH$1:AH870,SMALL(ROW($AH$1:AH870)+(10000*($AH$1:AH870="")),COUNTA($AH$1:AH870))),Sectors,0)),"")</f>
        <v>Supply</v>
      </c>
      <c r="E870" s="10">
        <f t="shared" si="653"/>
        <v>0</v>
      </c>
      <c r="F870" s="207">
        <v>1</v>
      </c>
      <c r="G870" s="207">
        <v>1</v>
      </c>
      <c r="H870" s="207">
        <v>1</v>
      </c>
      <c r="I870" s="207">
        <v>1</v>
      </c>
      <c r="J870" s="207">
        <v>1</v>
      </c>
      <c r="K870" s="207">
        <v>1</v>
      </c>
      <c r="L870" s="207">
        <v>1</v>
      </c>
      <c r="M870" s="207">
        <v>1</v>
      </c>
      <c r="N870" s="207">
        <v>1</v>
      </c>
      <c r="O870" s="207">
        <v>1</v>
      </c>
      <c r="P870" s="207">
        <v>1</v>
      </c>
      <c r="Q870" s="207">
        <v>1</v>
      </c>
      <c r="R870" s="207">
        <v>1</v>
      </c>
      <c r="S870" s="207">
        <v>1</v>
      </c>
      <c r="T870" s="207">
        <v>1</v>
      </c>
      <c r="U870" s="207">
        <v>1</v>
      </c>
      <c r="V870" s="207">
        <v>1</v>
      </c>
      <c r="W870" s="207">
        <v>1</v>
      </c>
      <c r="X870" s="207">
        <v>1</v>
      </c>
      <c r="Y870" s="207">
        <v>1</v>
      </c>
      <c r="Z870" s="207">
        <v>1</v>
      </c>
      <c r="AA870" s="207">
        <v>1</v>
      </c>
      <c r="AB870" s="207">
        <v>1</v>
      </c>
      <c r="AC870" s="5"/>
      <c r="AD870" s="63"/>
      <c r="AE870" s="64"/>
      <c r="AF870" s="64"/>
      <c r="AG870" s="212"/>
      <c r="AH870" s="64"/>
      <c r="AI870" s="65"/>
      <c r="AJ870" s="227"/>
      <c r="AK870" s="65"/>
      <c r="AL870" s="80"/>
      <c r="AM870" s="212"/>
      <c r="AN870" s="63"/>
      <c r="AO870" s="64"/>
      <c r="AP870" s="63"/>
      <c r="AQ870" s="64"/>
      <c r="AR870" s="63"/>
      <c r="AS870" s="64"/>
      <c r="AT870" s="63"/>
      <c r="AU870" s="64"/>
      <c r="AV870" s="63"/>
      <c r="AW870" s="64"/>
      <c r="AX870" s="63"/>
      <c r="AY870" s="5"/>
      <c r="AZ870" s="21" t="str">
        <f t="shared" si="658"/>
        <v/>
      </c>
      <c r="BA870" s="2" t="s">
        <v>66</v>
      </c>
      <c r="BB870" s="13"/>
      <c r="BC870" s="2"/>
      <c r="BD870" s="2"/>
      <c r="BE870" s="16" t="s">
        <v>35</v>
      </c>
      <c r="BF870" s="3">
        <v>10</v>
      </c>
      <c r="BG870" s="223">
        <f>BF870</f>
        <v>10</v>
      </c>
      <c r="BH870" s="223">
        <f t="shared" ref="BH870:BP870" si="659">BG870</f>
        <v>10</v>
      </c>
      <c r="BI870" s="223">
        <f t="shared" si="659"/>
        <v>10</v>
      </c>
      <c r="BJ870" s="223">
        <f t="shared" si="659"/>
        <v>10</v>
      </c>
      <c r="BK870" s="223">
        <f t="shared" si="659"/>
        <v>10</v>
      </c>
      <c r="BL870" s="223">
        <f t="shared" si="659"/>
        <v>10</v>
      </c>
      <c r="BM870" s="223">
        <f t="shared" si="659"/>
        <v>10</v>
      </c>
      <c r="BN870" s="223">
        <f t="shared" si="659"/>
        <v>10</v>
      </c>
      <c r="BO870" s="223">
        <f t="shared" si="659"/>
        <v>10</v>
      </c>
      <c r="BP870" s="223">
        <f t="shared" si="659"/>
        <v>10</v>
      </c>
      <c r="BQ870" s="5"/>
      <c r="BR870" s="13"/>
      <c r="BS870" s="5"/>
    </row>
    <row r="871" spans="1:71" s="3" customFormat="1" x14ac:dyDescent="0.25">
      <c r="A871" s="5"/>
      <c r="B871" s="3" t="str">
        <f t="array" ref="B871">IFERROR(INDEX(DemandSupply,MATCH(INDEX($AH$1:AH871,SMALL(ROW($AH$1:AH871)+(10000*($AH$1:AH871="")),COUNTA($AH$1:AH871))),Sectors,0)),"")</f>
        <v>Supply</v>
      </c>
      <c r="E871" s="10"/>
      <c r="F871" s="207"/>
      <c r="G871" s="207"/>
      <c r="H871" s="207"/>
      <c r="I871" s="207"/>
      <c r="J871" s="207"/>
      <c r="K871" s="207"/>
      <c r="L871" s="207"/>
      <c r="M871" s="207"/>
      <c r="N871" s="207"/>
      <c r="O871" s="207"/>
      <c r="P871" s="207"/>
      <c r="Q871" s="207"/>
      <c r="R871" s="207"/>
      <c r="S871" s="207"/>
      <c r="T871" s="207"/>
      <c r="U871" s="207"/>
      <c r="V871" s="207"/>
      <c r="W871" s="207"/>
      <c r="X871" s="207"/>
      <c r="Y871" s="207"/>
      <c r="Z871" s="207"/>
      <c r="AA871" s="207"/>
      <c r="AB871" s="207"/>
      <c r="AC871" s="5"/>
      <c r="AD871" s="63"/>
      <c r="AE871" s="64"/>
      <c r="AF871" s="64"/>
      <c r="AG871" s="212"/>
      <c r="AH871" s="64"/>
      <c r="AI871" s="65"/>
      <c r="AJ871" s="227"/>
      <c r="AK871" s="65"/>
      <c r="AL871" s="80"/>
      <c r="AM871" s="212"/>
      <c r="AN871" s="63"/>
      <c r="AO871" s="64"/>
      <c r="AP871" s="63"/>
      <c r="AQ871" s="64"/>
      <c r="AR871" s="63"/>
      <c r="AS871" s="64"/>
      <c r="AT871" s="63"/>
      <c r="AU871" s="64"/>
      <c r="AV871" s="63"/>
      <c r="AW871" s="64"/>
      <c r="AX871" s="63"/>
      <c r="AY871" s="5"/>
      <c r="AZ871" s="21" t="str">
        <f t="shared" si="658"/>
        <v/>
      </c>
      <c r="BA871" s="2" t="s">
        <v>144</v>
      </c>
      <c r="BB871" s="13"/>
      <c r="BC871" s="2"/>
      <c r="BD871" s="2" t="s">
        <v>219</v>
      </c>
      <c r="BE871" s="16"/>
      <c r="BF871" s="241">
        <f>1084490/3.6</f>
        <v>301247.22222222219</v>
      </c>
      <c r="BG871" s="245"/>
      <c r="BH871" s="245"/>
      <c r="BI871" s="245"/>
      <c r="BJ871" s="245"/>
      <c r="BK871" s="245"/>
      <c r="BL871" s="245"/>
      <c r="BM871" s="245"/>
      <c r="BN871" s="245"/>
      <c r="BO871" s="245"/>
      <c r="BP871" s="245"/>
      <c r="BQ871" s="5"/>
      <c r="BR871" s="13"/>
      <c r="BS871" s="5"/>
    </row>
    <row r="872" spans="1:71" s="3" customFormat="1" x14ac:dyDescent="0.25">
      <c r="A872" s="5"/>
      <c r="B872" s="3" t="str">
        <f t="array" ref="B872">IFERROR(INDEX(DemandSupply,MATCH(INDEX($AH$1:AH872,SMALL(ROW($AH$1:AH872)+(10000*($AH$1:AH872="")),COUNTA($AH$1:AH872))),Sectors,0)),"")</f>
        <v>Supply</v>
      </c>
      <c r="E872" s="10"/>
      <c r="F872" s="207"/>
      <c r="G872" s="207"/>
      <c r="H872" s="207"/>
      <c r="I872" s="207"/>
      <c r="J872" s="207"/>
      <c r="K872" s="207"/>
      <c r="L872" s="207"/>
      <c r="M872" s="207"/>
      <c r="N872" s="207"/>
      <c r="O872" s="207"/>
      <c r="P872" s="207"/>
      <c r="Q872" s="207"/>
      <c r="R872" s="207"/>
      <c r="S872" s="207"/>
      <c r="T872" s="207"/>
      <c r="U872" s="207"/>
      <c r="V872" s="207"/>
      <c r="W872" s="207"/>
      <c r="X872" s="207"/>
      <c r="Y872" s="207"/>
      <c r="Z872" s="207"/>
      <c r="AA872" s="207"/>
      <c r="AB872" s="207"/>
      <c r="AC872" s="5"/>
      <c r="AD872" s="63"/>
      <c r="AE872" s="64"/>
      <c r="AF872" s="64"/>
      <c r="AG872" s="212"/>
      <c r="AH872" s="64"/>
      <c r="AI872" s="65"/>
      <c r="AJ872" s="227"/>
      <c r="AK872" s="65"/>
      <c r="AL872" s="80"/>
      <c r="AM872" s="212"/>
      <c r="AN872" s="63"/>
      <c r="AO872" s="64"/>
      <c r="AP872" s="63"/>
      <c r="AQ872" s="64"/>
      <c r="AR872" s="63"/>
      <c r="AS872" s="64"/>
      <c r="AT872" s="63"/>
      <c r="AU872" s="64"/>
      <c r="AV872" s="63"/>
      <c r="AW872" s="64"/>
      <c r="AX872" s="63"/>
      <c r="AY872" s="5"/>
      <c r="AZ872" s="21" t="str">
        <f t="shared" si="658"/>
        <v/>
      </c>
      <c r="BA872" s="2" t="s">
        <v>368</v>
      </c>
      <c r="BB872" s="13"/>
      <c r="BC872" s="2"/>
      <c r="BD872" s="2" t="s">
        <v>219</v>
      </c>
      <c r="BE872" s="16"/>
      <c r="BF872" s="241">
        <f>BF871</f>
        <v>301247.22222222219</v>
      </c>
      <c r="BG872" s="313">
        <f>$BF872*0.8</f>
        <v>240997.77777777775</v>
      </c>
      <c r="BH872" s="313">
        <f t="shared" ref="BH872:BP872" si="660">$BF872*0.8</f>
        <v>240997.77777777775</v>
      </c>
      <c r="BI872" s="313">
        <f t="shared" si="660"/>
        <v>240997.77777777775</v>
      </c>
      <c r="BJ872" s="313">
        <f t="shared" si="660"/>
        <v>240997.77777777775</v>
      </c>
      <c r="BK872" s="313">
        <f t="shared" si="660"/>
        <v>240997.77777777775</v>
      </c>
      <c r="BL872" s="313">
        <f t="shared" si="660"/>
        <v>240997.77777777775</v>
      </c>
      <c r="BM872" s="313">
        <f t="shared" si="660"/>
        <v>240997.77777777775</v>
      </c>
      <c r="BN872" s="313">
        <f t="shared" si="660"/>
        <v>240997.77777777775</v>
      </c>
      <c r="BO872" s="313">
        <f t="shared" si="660"/>
        <v>240997.77777777775</v>
      </c>
      <c r="BP872" s="313">
        <f t="shared" si="660"/>
        <v>240997.77777777775</v>
      </c>
      <c r="BQ872" s="5"/>
      <c r="BR872" s="13"/>
      <c r="BS872" s="5"/>
    </row>
    <row r="873" spans="1:71" s="3" customFormat="1" x14ac:dyDescent="0.25">
      <c r="A873" s="5"/>
      <c r="B873" s="3" t="str">
        <f t="array" ref="B873">IFERROR(INDEX(DemandSupply,MATCH(INDEX($AH$1:AH873,SMALL(ROW($AH$1:AH873)+(10000*($AH$1:AH873="")),COUNTA($AH$1:AH873))),Sectors,0)),"")</f>
        <v>Supply</v>
      </c>
      <c r="E873" s="10">
        <f t="shared" si="653"/>
        <v>0</v>
      </c>
      <c r="F873" s="207">
        <v>1</v>
      </c>
      <c r="G873" s="207">
        <v>1</v>
      </c>
      <c r="H873" s="207">
        <v>1</v>
      </c>
      <c r="I873" s="207">
        <v>1</v>
      </c>
      <c r="J873" s="207">
        <v>1</v>
      </c>
      <c r="K873" s="207">
        <v>1</v>
      </c>
      <c r="L873" s="207">
        <v>1</v>
      </c>
      <c r="M873" s="207">
        <v>1</v>
      </c>
      <c r="N873" s="207">
        <v>1</v>
      </c>
      <c r="O873" s="207">
        <v>1</v>
      </c>
      <c r="P873" s="207">
        <v>1</v>
      </c>
      <c r="Q873" s="207">
        <v>1</v>
      </c>
      <c r="R873" s="207">
        <v>1</v>
      </c>
      <c r="S873" s="207">
        <v>1</v>
      </c>
      <c r="T873" s="207">
        <v>1</v>
      </c>
      <c r="U873" s="207">
        <v>1</v>
      </c>
      <c r="V873" s="207">
        <v>1</v>
      </c>
      <c r="W873" s="207">
        <v>1</v>
      </c>
      <c r="X873" s="207">
        <v>1</v>
      </c>
      <c r="Y873" s="207">
        <v>1</v>
      </c>
      <c r="Z873" s="207">
        <v>1</v>
      </c>
      <c r="AA873" s="207">
        <v>1</v>
      </c>
      <c r="AB873" s="207">
        <v>1</v>
      </c>
      <c r="AC873" s="5"/>
      <c r="AD873" s="63"/>
      <c r="AE873" s="64"/>
      <c r="AF873" s="64"/>
      <c r="AG873" s="212"/>
      <c r="AH873" s="64"/>
      <c r="AI873" s="65"/>
      <c r="AJ873" s="227"/>
      <c r="AK873" s="65"/>
      <c r="AL873" s="80"/>
      <c r="AM873" s="212"/>
      <c r="AN873" s="63"/>
      <c r="AO873" s="64"/>
      <c r="AP873" s="63"/>
      <c r="AQ873" s="64"/>
      <c r="AR873" s="63"/>
      <c r="AS873" s="64"/>
      <c r="AT873" s="63"/>
      <c r="AU873" s="64"/>
      <c r="AV873" s="63"/>
      <c r="AW873" s="64"/>
      <c r="AX873" s="63"/>
      <c r="AY873" s="5"/>
      <c r="AZ873" s="21" t="str">
        <f t="shared" si="658"/>
        <v/>
      </c>
      <c r="BA873" s="292" t="s">
        <v>75</v>
      </c>
      <c r="BB873" s="201"/>
      <c r="BC873" s="198"/>
      <c r="BD873" s="198"/>
      <c r="BE873" s="199" t="s">
        <v>72</v>
      </c>
      <c r="BF873" s="198"/>
      <c r="BG873" s="198"/>
      <c r="BH873" s="198"/>
      <c r="BI873" s="198"/>
      <c r="BJ873" s="198"/>
      <c r="BK873" s="198"/>
      <c r="BL873" s="198"/>
      <c r="BM873" s="198"/>
      <c r="BN873" s="198"/>
      <c r="BO873" s="198"/>
      <c r="BP873" s="198"/>
      <c r="BQ873" s="5"/>
      <c r="BR873" s="13"/>
      <c r="BS873" s="5"/>
    </row>
    <row r="874" spans="1:71" s="3" customFormat="1" x14ac:dyDescent="0.25">
      <c r="A874" s="5"/>
      <c r="B874" s="3" t="str">
        <f t="array" ref="B874">IFERROR(INDEX(DemandSupply,MATCH(INDEX($AH$1:AH874,SMALL(ROW($AH$1:AH874)+(10000*($AH$1:AH874="")),COUNTA($AH$1:AH874))),Sectors,0)),"")</f>
        <v>Supply</v>
      </c>
      <c r="E874" s="10"/>
      <c r="F874" s="207"/>
      <c r="G874" s="207"/>
      <c r="H874" s="207"/>
      <c r="I874" s="207"/>
      <c r="J874" s="207"/>
      <c r="K874" s="207"/>
      <c r="L874" s="207"/>
      <c r="M874" s="207"/>
      <c r="N874" s="207"/>
      <c r="O874" s="207"/>
      <c r="P874" s="207"/>
      <c r="Q874" s="207"/>
      <c r="R874" s="207"/>
      <c r="S874" s="207"/>
      <c r="T874" s="207"/>
      <c r="U874" s="207"/>
      <c r="V874" s="207"/>
      <c r="W874" s="207"/>
      <c r="X874" s="207"/>
      <c r="Y874" s="207"/>
      <c r="Z874" s="207"/>
      <c r="AA874" s="207"/>
      <c r="AB874" s="207"/>
      <c r="AC874" s="5"/>
      <c r="AD874" s="63"/>
      <c r="AE874" s="64"/>
      <c r="AF874" s="64"/>
      <c r="AG874" s="212"/>
      <c r="AH874" s="64"/>
      <c r="AI874" s="64"/>
      <c r="AJ874" s="227"/>
      <c r="AK874" s="64"/>
      <c r="AL874" s="64"/>
      <c r="AM874" s="212"/>
      <c r="AN874" s="64"/>
      <c r="AO874" s="64"/>
      <c r="AP874" s="63"/>
      <c r="AQ874" s="64"/>
      <c r="AR874" s="63"/>
      <c r="AS874" s="64"/>
      <c r="AT874" s="63"/>
      <c r="AU874" s="64"/>
      <c r="AV874" s="63"/>
      <c r="AW874" s="64"/>
      <c r="AX874" s="63"/>
      <c r="AY874" s="5"/>
      <c r="AZ874" s="21" t="str">
        <f t="shared" si="658"/>
        <v/>
      </c>
      <c r="BA874" s="264" t="s">
        <v>38</v>
      </c>
      <c r="BB874" s="264"/>
      <c r="BC874" s="264"/>
      <c r="BD874" s="264" t="s">
        <v>40</v>
      </c>
      <c r="BE874" s="16" t="s">
        <v>72</v>
      </c>
      <c r="BF874" s="311">
        <v>2000</v>
      </c>
      <c r="BG874" s="310">
        <f t="shared" ref="BG874:BP874" si="661">BF874</f>
        <v>2000</v>
      </c>
      <c r="BH874" s="310">
        <f t="shared" si="661"/>
        <v>2000</v>
      </c>
      <c r="BI874" s="310">
        <f t="shared" si="661"/>
        <v>2000</v>
      </c>
      <c r="BJ874" s="310">
        <f t="shared" si="661"/>
        <v>2000</v>
      </c>
      <c r="BK874" s="310">
        <f t="shared" si="661"/>
        <v>2000</v>
      </c>
      <c r="BL874" s="310">
        <f t="shared" si="661"/>
        <v>2000</v>
      </c>
      <c r="BM874" s="310">
        <f t="shared" si="661"/>
        <v>2000</v>
      </c>
      <c r="BN874" s="310">
        <f t="shared" si="661"/>
        <v>2000</v>
      </c>
      <c r="BO874" s="310">
        <f t="shared" si="661"/>
        <v>2000</v>
      </c>
      <c r="BP874" s="310">
        <f t="shared" si="661"/>
        <v>2000</v>
      </c>
      <c r="BQ874" s="5"/>
      <c r="BR874" s="25"/>
      <c r="BS874" s="5"/>
    </row>
    <row r="875" spans="1:71" s="3" customFormat="1" x14ac:dyDescent="0.25">
      <c r="A875" s="5"/>
      <c r="B875" s="3" t="str">
        <f t="array" ref="B875">IFERROR(INDEX(DemandSupply,MATCH(INDEX($AH$1:AH875,SMALL(ROW($AH$1:AH875)+(10000*($AH$1:AH875="")),COUNTA($AH$1:AH875))),Sectors,0)),"")</f>
        <v>Supply</v>
      </c>
      <c r="E875" s="10"/>
      <c r="F875" s="207"/>
      <c r="G875" s="207"/>
      <c r="H875" s="207"/>
      <c r="I875" s="207"/>
      <c r="J875" s="207"/>
      <c r="K875" s="207"/>
      <c r="L875" s="207"/>
      <c r="M875" s="207"/>
      <c r="N875" s="207"/>
      <c r="O875" s="207"/>
      <c r="P875" s="207"/>
      <c r="Q875" s="207"/>
      <c r="R875" s="207"/>
      <c r="S875" s="207"/>
      <c r="T875" s="207"/>
      <c r="U875" s="207"/>
      <c r="V875" s="207"/>
      <c r="W875" s="207"/>
      <c r="X875" s="207"/>
      <c r="Y875" s="207"/>
      <c r="Z875" s="207"/>
      <c r="AA875" s="207"/>
      <c r="AB875" s="207"/>
      <c r="AC875" s="5"/>
      <c r="AD875" s="63"/>
      <c r="AE875" s="64"/>
      <c r="AF875" s="64"/>
      <c r="AG875" s="212"/>
      <c r="AH875" s="64"/>
      <c r="AI875" s="64"/>
      <c r="AJ875" s="227"/>
      <c r="AK875" s="64"/>
      <c r="AL875" s="64"/>
      <c r="AM875" s="212"/>
      <c r="AN875" s="64"/>
      <c r="AO875" s="64"/>
      <c r="AP875" s="63"/>
      <c r="AQ875" s="64"/>
      <c r="AR875" s="63"/>
      <c r="AS875" s="64"/>
      <c r="AT875" s="63"/>
      <c r="AU875" s="64"/>
      <c r="AV875" s="63"/>
      <c r="AW875" s="64"/>
      <c r="AX875" s="63"/>
      <c r="AY875" s="5"/>
      <c r="AZ875" s="21" t="str">
        <f t="shared" si="658"/>
        <v/>
      </c>
      <c r="BA875" s="264" t="s">
        <v>37</v>
      </c>
      <c r="BB875" s="264"/>
      <c r="BC875" s="264"/>
      <c r="BD875" s="264" t="s">
        <v>40</v>
      </c>
      <c r="BE875" s="16" t="s">
        <v>72</v>
      </c>
      <c r="BF875" s="311">
        <v>2100</v>
      </c>
      <c r="BG875" s="310">
        <f t="shared" ref="BG875:BP875" si="662">BF875</f>
        <v>2100</v>
      </c>
      <c r="BH875" s="310">
        <f t="shared" si="662"/>
        <v>2100</v>
      </c>
      <c r="BI875" s="310">
        <f t="shared" si="662"/>
        <v>2100</v>
      </c>
      <c r="BJ875" s="310">
        <f t="shared" si="662"/>
        <v>2100</v>
      </c>
      <c r="BK875" s="310">
        <f t="shared" si="662"/>
        <v>2100</v>
      </c>
      <c r="BL875" s="310">
        <f t="shared" si="662"/>
        <v>2100</v>
      </c>
      <c r="BM875" s="310">
        <f t="shared" si="662"/>
        <v>2100</v>
      </c>
      <c r="BN875" s="310">
        <f t="shared" si="662"/>
        <v>2100</v>
      </c>
      <c r="BO875" s="310">
        <f t="shared" si="662"/>
        <v>2100</v>
      </c>
      <c r="BP875" s="310">
        <f t="shared" si="662"/>
        <v>2100</v>
      </c>
      <c r="BQ875" s="5"/>
      <c r="BR875" s="25"/>
      <c r="BS875" s="5"/>
    </row>
    <row r="876" spans="1:71" s="3" customFormat="1" x14ac:dyDescent="0.25">
      <c r="A876" s="5"/>
      <c r="B876" s="3" t="str">
        <f t="array" ref="B876">IFERROR(INDEX(DemandSupply,MATCH(INDEX($AH$1:AH876,SMALL(ROW($AH$1:AH876)+(10000*($AH$1:AH876="")),COUNTA($AH$1:AH876))),Sectors,0)),"")</f>
        <v>Supply</v>
      </c>
      <c r="E876" s="10"/>
      <c r="F876" s="207"/>
      <c r="G876" s="207"/>
      <c r="H876" s="207"/>
      <c r="I876" s="207"/>
      <c r="J876" s="207"/>
      <c r="K876" s="207"/>
      <c r="L876" s="207"/>
      <c r="M876" s="207"/>
      <c r="N876" s="207"/>
      <c r="O876" s="207"/>
      <c r="P876" s="207"/>
      <c r="Q876" s="207"/>
      <c r="R876" s="207"/>
      <c r="S876" s="207"/>
      <c r="T876" s="207"/>
      <c r="U876" s="207"/>
      <c r="V876" s="207"/>
      <c r="W876" s="207"/>
      <c r="X876" s="207"/>
      <c r="Y876" s="207"/>
      <c r="Z876" s="207"/>
      <c r="AA876" s="207"/>
      <c r="AB876" s="207"/>
      <c r="AC876" s="5"/>
      <c r="AD876" s="63"/>
      <c r="AE876" s="64"/>
      <c r="AF876" s="64"/>
      <c r="AG876" s="212"/>
      <c r="AH876" s="64"/>
      <c r="AI876" s="64"/>
      <c r="AJ876" s="227"/>
      <c r="AK876" s="64"/>
      <c r="AL876" s="64"/>
      <c r="AM876" s="212"/>
      <c r="AN876" s="64"/>
      <c r="AO876" s="64"/>
      <c r="AP876" s="63"/>
      <c r="AQ876" s="64"/>
      <c r="AR876" s="63"/>
      <c r="AS876" s="64"/>
      <c r="AT876" s="63"/>
      <c r="AU876" s="64"/>
      <c r="AV876" s="63"/>
      <c r="AW876" s="64"/>
      <c r="AX876" s="63"/>
      <c r="AY876" s="5"/>
      <c r="AZ876" s="21" t="str">
        <f t="shared" si="658"/>
        <v/>
      </c>
      <c r="BA876" s="264" t="s">
        <v>39</v>
      </c>
      <c r="BB876" s="264"/>
      <c r="BC876" s="264"/>
      <c r="BD876" s="264" t="s">
        <v>10</v>
      </c>
      <c r="BE876" s="16" t="s">
        <v>72</v>
      </c>
      <c r="BF876" s="56"/>
      <c r="BG876" s="56"/>
      <c r="BH876" s="56"/>
      <c r="BI876" s="56"/>
      <c r="BJ876" s="56"/>
      <c r="BK876" s="56"/>
      <c r="BL876" s="56"/>
      <c r="BM876" s="56"/>
      <c r="BN876" s="56"/>
      <c r="BO876" s="56"/>
      <c r="BP876" s="56"/>
      <c r="BQ876" s="5"/>
      <c r="BR876" s="25"/>
      <c r="BS876" s="5"/>
    </row>
    <row r="877" spans="1:71" s="3" customFormat="1" x14ac:dyDescent="0.25">
      <c r="A877" s="5"/>
      <c r="B877" s="3" t="str">
        <f t="array" ref="B877">IFERROR(INDEX(DemandSupply,MATCH(INDEX($AH$1:AH877,SMALL(ROW($AH$1:AH877)+(10000*($AH$1:AH877="")),COUNTA($AH$1:AH877))),Sectors,0)),"")</f>
        <v>Supply</v>
      </c>
      <c r="E877" s="10"/>
      <c r="F877" s="207"/>
      <c r="G877" s="207"/>
      <c r="H877" s="207"/>
      <c r="I877" s="207"/>
      <c r="J877" s="207"/>
      <c r="K877" s="207"/>
      <c r="L877" s="207"/>
      <c r="M877" s="207"/>
      <c r="N877" s="207"/>
      <c r="O877" s="207"/>
      <c r="P877" s="207"/>
      <c r="Q877" s="207"/>
      <c r="R877" s="207"/>
      <c r="S877" s="207"/>
      <c r="T877" s="207"/>
      <c r="U877" s="207"/>
      <c r="V877" s="207"/>
      <c r="W877" s="207"/>
      <c r="X877" s="207"/>
      <c r="Y877" s="207"/>
      <c r="Z877" s="207"/>
      <c r="AA877" s="207"/>
      <c r="AB877" s="207"/>
      <c r="AC877" s="5"/>
      <c r="AD877" s="63"/>
      <c r="AE877" s="64"/>
      <c r="AF877" s="64"/>
      <c r="AG877" s="212"/>
      <c r="AH877" s="64"/>
      <c r="AI877" s="64"/>
      <c r="AJ877" s="227"/>
      <c r="AK877" s="64"/>
      <c r="AL877" s="64"/>
      <c r="AM877" s="212"/>
      <c r="AN877" s="64"/>
      <c r="AO877" s="64"/>
      <c r="AP877" s="63"/>
      <c r="AQ877" s="64"/>
      <c r="AR877" s="63"/>
      <c r="AS877" s="64"/>
      <c r="AT877" s="63"/>
      <c r="AU877" s="64"/>
      <c r="AV877" s="63"/>
      <c r="AW877" s="64"/>
      <c r="AX877" s="63"/>
      <c r="AY877" s="5"/>
      <c r="AZ877" s="21" t="str">
        <f t="shared" si="658"/>
        <v/>
      </c>
      <c r="BA877" s="264" t="s">
        <v>395</v>
      </c>
      <c r="BB877" s="264"/>
      <c r="BC877" s="264"/>
      <c r="BD877" s="264" t="s">
        <v>10</v>
      </c>
      <c r="BE877" s="16" t="s">
        <v>72</v>
      </c>
      <c r="BF877" s="56"/>
      <c r="BG877" s="56"/>
      <c r="BH877" s="56"/>
      <c r="BI877" s="56"/>
      <c r="BJ877" s="56"/>
      <c r="BK877" s="56"/>
      <c r="BL877" s="56"/>
      <c r="BM877" s="56"/>
      <c r="BN877" s="56"/>
      <c r="BO877" s="56"/>
      <c r="BP877" s="56"/>
      <c r="BQ877" s="5"/>
      <c r="BR877" s="25"/>
      <c r="BS877" s="5"/>
    </row>
    <row r="878" spans="1:71" s="3" customFormat="1" x14ac:dyDescent="0.25">
      <c r="A878" s="5"/>
      <c r="B878" s="3" t="str">
        <f t="array" ref="B878">IFERROR(INDEX(DemandSupply,MATCH(INDEX($AH$1:AH878,SMALL(ROW($AH$1:AH878)+(10000*($AH$1:AH878="")),COUNTA($AH$1:AH878))),Sectors,0)),"")</f>
        <v>Supply</v>
      </c>
      <c r="E878" s="10"/>
      <c r="F878" s="207"/>
      <c r="G878" s="207"/>
      <c r="H878" s="207"/>
      <c r="I878" s="207"/>
      <c r="J878" s="207"/>
      <c r="K878" s="207"/>
      <c r="L878" s="207"/>
      <c r="M878" s="207"/>
      <c r="N878" s="207"/>
      <c r="O878" s="207"/>
      <c r="P878" s="207"/>
      <c r="Q878" s="207"/>
      <c r="R878" s="207"/>
      <c r="S878" s="207"/>
      <c r="T878" s="207"/>
      <c r="U878" s="207"/>
      <c r="V878" s="207"/>
      <c r="W878" s="207"/>
      <c r="X878" s="207"/>
      <c r="Y878" s="207"/>
      <c r="Z878" s="207"/>
      <c r="AA878" s="207"/>
      <c r="AB878" s="207"/>
      <c r="AC878" s="5"/>
      <c r="AD878" s="63"/>
      <c r="AE878" s="64"/>
      <c r="AF878" s="64"/>
      <c r="AG878" s="212"/>
      <c r="AH878" s="64"/>
      <c r="AI878" s="64"/>
      <c r="AJ878" s="227"/>
      <c r="AK878" s="64"/>
      <c r="AL878" s="64"/>
      <c r="AM878" s="212"/>
      <c r="AN878" s="64"/>
      <c r="AO878" s="64"/>
      <c r="AP878" s="63"/>
      <c r="AQ878" s="64"/>
      <c r="AR878" s="63"/>
      <c r="AS878" s="64"/>
      <c r="AT878" s="63"/>
      <c r="AU878" s="64"/>
      <c r="AV878" s="63"/>
      <c r="AW878" s="64"/>
      <c r="AX878" s="63"/>
      <c r="AY878" s="5"/>
      <c r="AZ878" s="21" t="str">
        <f t="shared" si="658"/>
        <v/>
      </c>
      <c r="BA878" s="264" t="s">
        <v>341</v>
      </c>
      <c r="BB878" s="264"/>
      <c r="BC878" s="264"/>
      <c r="BD878" s="264" t="s">
        <v>99</v>
      </c>
      <c r="BE878" s="16" t="s">
        <v>72</v>
      </c>
      <c r="BF878" s="303"/>
      <c r="BG878" s="303"/>
      <c r="BH878" s="303"/>
      <c r="BI878" s="303"/>
      <c r="BJ878" s="303"/>
      <c r="BK878" s="303"/>
      <c r="BL878" s="303"/>
      <c r="BM878" s="303"/>
      <c r="BN878" s="303"/>
      <c r="BO878" s="303"/>
      <c r="BP878" s="303"/>
      <c r="BQ878" s="5"/>
      <c r="BR878" s="25"/>
      <c r="BS878" s="5"/>
    </row>
    <row r="879" spans="1:71" s="3" customFormat="1" x14ac:dyDescent="0.25">
      <c r="A879" s="5"/>
      <c r="B879" s="3" t="str">
        <f t="array" ref="B879">IFERROR(INDEX(DemandSupply,MATCH(INDEX($AH$1:AH879,SMALL(ROW($AH$1:AH879)+(10000*($AH$1:AH879="")),COUNTA($AH$1:AH879))),Sectors,0)),"")</f>
        <v>Supply</v>
      </c>
      <c r="E879" s="10"/>
      <c r="F879" s="207"/>
      <c r="G879" s="207"/>
      <c r="H879" s="207"/>
      <c r="I879" s="207"/>
      <c r="J879" s="207"/>
      <c r="K879" s="207"/>
      <c r="L879" s="207"/>
      <c r="M879" s="207"/>
      <c r="N879" s="207"/>
      <c r="O879" s="207"/>
      <c r="P879" s="207"/>
      <c r="Q879" s="207"/>
      <c r="R879" s="207"/>
      <c r="S879" s="207"/>
      <c r="T879" s="207"/>
      <c r="U879" s="207"/>
      <c r="V879" s="207"/>
      <c r="W879" s="207"/>
      <c r="X879" s="207"/>
      <c r="Y879" s="207"/>
      <c r="Z879" s="207"/>
      <c r="AA879" s="207"/>
      <c r="AB879" s="207"/>
      <c r="AC879" s="5"/>
      <c r="AD879" s="63"/>
      <c r="AE879" s="64"/>
      <c r="AF879" s="64"/>
      <c r="AG879" s="212"/>
      <c r="AH879" s="64"/>
      <c r="AI879" s="64"/>
      <c r="AJ879" s="227"/>
      <c r="AK879" s="64"/>
      <c r="AL879" s="64"/>
      <c r="AM879" s="212"/>
      <c r="AN879" s="64"/>
      <c r="AO879" s="64"/>
      <c r="AP879" s="63"/>
      <c r="AQ879" s="64"/>
      <c r="AR879" s="63"/>
      <c r="AS879" s="64"/>
      <c r="AT879" s="63"/>
      <c r="AU879" s="64"/>
      <c r="AV879" s="63"/>
      <c r="AW879" s="64"/>
      <c r="AX879" s="63"/>
      <c r="AY879" s="5"/>
      <c r="AZ879" s="21" t="str">
        <f t="shared" si="658"/>
        <v/>
      </c>
      <c r="BA879" s="264" t="s">
        <v>392</v>
      </c>
      <c r="BB879" s="264"/>
      <c r="BC879" s="264"/>
      <c r="BD879" s="264" t="s">
        <v>99</v>
      </c>
      <c r="BE879" s="16" t="s">
        <v>72</v>
      </c>
      <c r="BF879" s="303"/>
      <c r="BG879" s="303"/>
      <c r="BH879" s="303"/>
      <c r="BI879" s="303"/>
      <c r="BJ879" s="303"/>
      <c r="BK879" s="303"/>
      <c r="BL879" s="303"/>
      <c r="BM879" s="303"/>
      <c r="BN879" s="303"/>
      <c r="BO879" s="303"/>
      <c r="BP879" s="303"/>
      <c r="BQ879" s="5"/>
      <c r="BR879" s="25"/>
      <c r="BS879" s="5"/>
    </row>
    <row r="880" spans="1:71" s="3" customFormat="1" x14ac:dyDescent="0.25">
      <c r="A880" s="5"/>
      <c r="B880" s="3" t="str">
        <f t="array" ref="B880">IFERROR(INDEX(DemandSupply,MATCH(INDEX($AH$1:AH880,SMALL(ROW($AH$1:AH880)+(10000*($AH$1:AH880="")),COUNTA($AH$1:AH880))),Sectors,0)),"")</f>
        <v>Supply</v>
      </c>
      <c r="E880" s="10"/>
      <c r="F880" s="207"/>
      <c r="G880" s="207"/>
      <c r="H880" s="207"/>
      <c r="I880" s="207"/>
      <c r="J880" s="207"/>
      <c r="K880" s="207"/>
      <c r="L880" s="207"/>
      <c r="M880" s="207"/>
      <c r="N880" s="207"/>
      <c r="O880" s="207"/>
      <c r="P880" s="207"/>
      <c r="Q880" s="207"/>
      <c r="R880" s="207"/>
      <c r="S880" s="207"/>
      <c r="T880" s="207"/>
      <c r="U880" s="207"/>
      <c r="V880" s="207"/>
      <c r="W880" s="207"/>
      <c r="X880" s="207"/>
      <c r="Y880" s="207"/>
      <c r="Z880" s="207"/>
      <c r="AA880" s="207"/>
      <c r="AB880" s="207"/>
      <c r="AC880" s="5"/>
      <c r="AD880" s="63"/>
      <c r="AE880" s="64"/>
      <c r="AF880" s="64"/>
      <c r="AG880" s="212"/>
      <c r="AH880" s="64"/>
      <c r="AI880" s="64"/>
      <c r="AJ880" s="227"/>
      <c r="AK880" s="64"/>
      <c r="AL880" s="64"/>
      <c r="AM880" s="212"/>
      <c r="AN880" s="64"/>
      <c r="AO880" s="64"/>
      <c r="AP880" s="63"/>
      <c r="AQ880" s="64"/>
      <c r="AR880" s="63"/>
      <c r="AS880" s="64"/>
      <c r="AT880" s="63"/>
      <c r="AU880" s="64"/>
      <c r="AV880" s="63"/>
      <c r="AW880" s="64"/>
      <c r="AX880" s="63"/>
      <c r="AY880" s="5"/>
      <c r="AZ880" s="21" t="str">
        <f t="shared" si="658"/>
        <v/>
      </c>
      <c r="BA880" s="264" t="s">
        <v>391</v>
      </c>
      <c r="BB880" s="264"/>
      <c r="BC880" s="264"/>
      <c r="BD880" s="264" t="s">
        <v>99</v>
      </c>
      <c r="BE880" s="16" t="s">
        <v>72</v>
      </c>
      <c r="BF880" s="303"/>
      <c r="BG880" s="303"/>
      <c r="BH880" s="303"/>
      <c r="BI880" s="303"/>
      <c r="BJ880" s="303"/>
      <c r="BK880" s="303"/>
      <c r="BL880" s="303"/>
      <c r="BM880" s="303"/>
      <c r="BN880" s="303"/>
      <c r="BO880" s="303"/>
      <c r="BP880" s="303"/>
      <c r="BQ880" s="5"/>
      <c r="BR880" s="25"/>
      <c r="BS880" s="5"/>
    </row>
    <row r="881" spans="1:71" s="3" customFormat="1" x14ac:dyDescent="0.25">
      <c r="A881" s="5"/>
      <c r="B881" s="3" t="str">
        <f t="array" ref="B881">IFERROR(INDEX(DemandSupply,MATCH(INDEX($AH$1:AH881,SMALL(ROW($AH$1:AH881)+(10000*($AH$1:AH881="")),COUNTA($AH$1:AH881))),Sectors,0)),"")</f>
        <v>Supply</v>
      </c>
      <c r="E881" s="10"/>
      <c r="F881" s="207"/>
      <c r="G881" s="207"/>
      <c r="H881" s="207"/>
      <c r="I881" s="207"/>
      <c r="J881" s="207"/>
      <c r="K881" s="207"/>
      <c r="L881" s="207"/>
      <c r="M881" s="207"/>
      <c r="N881" s="207"/>
      <c r="O881" s="207"/>
      <c r="P881" s="207"/>
      <c r="Q881" s="207"/>
      <c r="R881" s="207"/>
      <c r="S881" s="207"/>
      <c r="T881" s="207"/>
      <c r="U881" s="207"/>
      <c r="V881" s="207"/>
      <c r="W881" s="207"/>
      <c r="X881" s="207"/>
      <c r="Y881" s="207"/>
      <c r="Z881" s="207"/>
      <c r="AA881" s="207"/>
      <c r="AB881" s="207"/>
      <c r="AC881" s="5"/>
      <c r="AD881" s="63"/>
      <c r="AE881" s="64"/>
      <c r="AF881" s="64"/>
      <c r="AG881" s="212"/>
      <c r="AH881" s="64"/>
      <c r="AI881" s="64"/>
      <c r="AJ881" s="227"/>
      <c r="AK881" s="64"/>
      <c r="AL881" s="64"/>
      <c r="AM881" s="212"/>
      <c r="AN881" s="64"/>
      <c r="AO881" s="64"/>
      <c r="AP881" s="63"/>
      <c r="AQ881" s="64"/>
      <c r="AR881" s="63"/>
      <c r="AS881" s="64"/>
      <c r="AT881" s="63"/>
      <c r="AU881" s="64"/>
      <c r="AV881" s="63"/>
      <c r="AW881" s="64"/>
      <c r="AX881" s="63"/>
      <c r="AY881" s="5"/>
      <c r="AZ881" s="21" t="str">
        <f t="shared" si="658"/>
        <v/>
      </c>
      <c r="BA881" s="264" t="s">
        <v>144</v>
      </c>
      <c r="BB881" s="264"/>
      <c r="BC881" s="264"/>
      <c r="BD881" s="264" t="s">
        <v>219</v>
      </c>
      <c r="BE881" s="16" t="s">
        <v>72</v>
      </c>
      <c r="BF881" s="56"/>
      <c r="BG881" s="56"/>
      <c r="BH881" s="56"/>
      <c r="BI881" s="56"/>
      <c r="BJ881" s="56"/>
      <c r="BK881" s="56"/>
      <c r="BL881" s="56"/>
      <c r="BM881" s="56"/>
      <c r="BN881" s="56"/>
      <c r="BO881" s="56"/>
      <c r="BP881" s="56"/>
      <c r="BQ881" s="5"/>
      <c r="BR881" s="25"/>
      <c r="BS881" s="5"/>
    </row>
    <row r="882" spans="1:71" s="3" customFormat="1" x14ac:dyDescent="0.25">
      <c r="A882" s="5"/>
      <c r="B882" s="3" t="str">
        <f t="array" ref="B882">IFERROR(INDEX(DemandSupply,MATCH(INDEX($AH$1:AH882,SMALL(ROW($AH$1:AH882)+(10000*($AH$1:AH882="")),COUNTA($AH$1:AH882))),Sectors,0)),"")</f>
        <v>Supply</v>
      </c>
      <c r="E882" s="10"/>
      <c r="F882" s="207"/>
      <c r="G882" s="207"/>
      <c r="H882" s="207"/>
      <c r="I882" s="207"/>
      <c r="J882" s="207"/>
      <c r="K882" s="207"/>
      <c r="L882" s="207"/>
      <c r="M882" s="207"/>
      <c r="N882" s="207"/>
      <c r="O882" s="207"/>
      <c r="P882" s="207"/>
      <c r="Q882" s="207"/>
      <c r="R882" s="207"/>
      <c r="S882" s="207"/>
      <c r="T882" s="207"/>
      <c r="U882" s="207"/>
      <c r="V882" s="207"/>
      <c r="W882" s="207"/>
      <c r="X882" s="207"/>
      <c r="Y882" s="207"/>
      <c r="Z882" s="207"/>
      <c r="AA882" s="207"/>
      <c r="AB882" s="207"/>
      <c r="AC882" s="5"/>
      <c r="AD882" s="63"/>
      <c r="AE882" s="64"/>
      <c r="AF882" s="64"/>
      <c r="AG882" s="212"/>
      <c r="AH882" s="64"/>
      <c r="AI882" s="64"/>
      <c r="AJ882" s="227"/>
      <c r="AK882" s="64"/>
      <c r="AL882" s="64"/>
      <c r="AM882" s="212"/>
      <c r="AN882" s="64"/>
      <c r="AO882" s="64"/>
      <c r="AP882" s="63"/>
      <c r="AQ882" s="64"/>
      <c r="AR882" s="63"/>
      <c r="AS882" s="64"/>
      <c r="AT882" s="63"/>
      <c r="AU882" s="64"/>
      <c r="AV882" s="63"/>
      <c r="AW882" s="64"/>
      <c r="AX882" s="63"/>
      <c r="AY882" s="5"/>
      <c r="AZ882" s="21" t="str">
        <f t="shared" si="658"/>
        <v/>
      </c>
      <c r="BA882" s="264" t="s">
        <v>76</v>
      </c>
      <c r="BB882" s="264"/>
      <c r="BC882" s="264"/>
      <c r="BD882" s="264" t="s">
        <v>99</v>
      </c>
      <c r="BE882" s="16" t="s">
        <v>72</v>
      </c>
      <c r="BF882" s="303">
        <v>0.98499999999999999</v>
      </c>
      <c r="BG882" s="303"/>
      <c r="BH882" s="303"/>
      <c r="BI882" s="303"/>
      <c r="BJ882" s="303"/>
      <c r="BK882" s="303"/>
      <c r="BL882" s="303"/>
      <c r="BM882" s="303"/>
      <c r="BN882" s="303"/>
      <c r="BO882" s="303"/>
      <c r="BP882" s="303"/>
      <c r="BQ882" s="5"/>
      <c r="BR882" s="25"/>
      <c r="BS882" s="5"/>
    </row>
    <row r="883" spans="1:71" s="3" customFormat="1" x14ac:dyDescent="0.25">
      <c r="A883" s="5"/>
      <c r="B883" s="3" t="str">
        <f t="array" ref="B883">IFERROR(INDEX(DemandSupply,MATCH(INDEX($AH$1:AH883,SMALL(ROW($AH$1:AH883)+(10000*($AH$1:AH883="")),COUNTA($AH$1:AH883))),Sectors,0)),"")</f>
        <v>Supply</v>
      </c>
      <c r="E883" s="10"/>
      <c r="F883" s="207"/>
      <c r="G883" s="207"/>
      <c r="H883" s="207"/>
      <c r="I883" s="207"/>
      <c r="J883" s="207"/>
      <c r="K883" s="207"/>
      <c r="L883" s="207"/>
      <c r="M883" s="207"/>
      <c r="N883" s="207"/>
      <c r="O883" s="207"/>
      <c r="P883" s="207"/>
      <c r="Q883" s="207"/>
      <c r="R883" s="207"/>
      <c r="S883" s="207"/>
      <c r="T883" s="207"/>
      <c r="U883" s="207"/>
      <c r="V883" s="207"/>
      <c r="W883" s="207"/>
      <c r="X883" s="207"/>
      <c r="Y883" s="207"/>
      <c r="Z883" s="207"/>
      <c r="AA883" s="207"/>
      <c r="AB883" s="207"/>
      <c r="AC883" s="5"/>
      <c r="AD883" s="63"/>
      <c r="AE883" s="64"/>
      <c r="AF883" s="64"/>
      <c r="AG883" s="212"/>
      <c r="AH883" s="64"/>
      <c r="AI883" s="64"/>
      <c r="AJ883" s="227"/>
      <c r="AK883" s="64"/>
      <c r="AL883" s="64"/>
      <c r="AM883" s="212"/>
      <c r="AN883" s="64"/>
      <c r="AO883" s="64"/>
      <c r="AP883" s="63"/>
      <c r="AQ883" s="64"/>
      <c r="AR883" s="63"/>
      <c r="AS883" s="64"/>
      <c r="AT883" s="63"/>
      <c r="AU883" s="64"/>
      <c r="AV883" s="63"/>
      <c r="AW883" s="64"/>
      <c r="AX883" s="63"/>
      <c r="AY883" s="5"/>
      <c r="AZ883" s="21" t="str">
        <f t="shared" si="658"/>
        <v/>
      </c>
      <c r="BA883" s="75" t="s">
        <v>166</v>
      </c>
      <c r="BB883" s="75"/>
      <c r="BC883" s="270"/>
      <c r="BD883" s="75" t="s">
        <v>99</v>
      </c>
      <c r="BE883" s="16" t="s">
        <v>72</v>
      </c>
      <c r="BF883" s="303"/>
      <c r="BG883" s="303"/>
      <c r="BH883" s="303"/>
      <c r="BI883" s="303"/>
      <c r="BJ883" s="303"/>
      <c r="BK883" s="303"/>
      <c r="BL883" s="303"/>
      <c r="BM883" s="303"/>
      <c r="BN883" s="303"/>
      <c r="BO883" s="303"/>
      <c r="BP883" s="303"/>
      <c r="BQ883" s="5"/>
      <c r="BR883" s="25"/>
      <c r="BS883" s="5"/>
    </row>
    <row r="884" spans="1:71" s="3" customFormat="1" x14ac:dyDescent="0.25">
      <c r="A884" s="5"/>
      <c r="B884" s="3" t="str">
        <f t="array" ref="B884">IFERROR(INDEX(DemandSupply,MATCH(INDEX($AH$1:AH884,SMALL(ROW($AH$1:AH884)+(10000*($AH$1:AH884="")),COUNTA($AH$1:AH884))),Sectors,0)),"")</f>
        <v>Supply</v>
      </c>
      <c r="E884" s="10"/>
      <c r="F884" s="207"/>
      <c r="G884" s="207"/>
      <c r="H884" s="207"/>
      <c r="I884" s="207"/>
      <c r="J884" s="207"/>
      <c r="K884" s="207"/>
      <c r="L884" s="207"/>
      <c r="M884" s="207"/>
      <c r="N884" s="207"/>
      <c r="O884" s="207"/>
      <c r="P884" s="207"/>
      <c r="Q884" s="207"/>
      <c r="R884" s="207"/>
      <c r="S884" s="207"/>
      <c r="T884" s="207"/>
      <c r="U884" s="207"/>
      <c r="V884" s="207"/>
      <c r="W884" s="207"/>
      <c r="X884" s="207"/>
      <c r="Y884" s="207"/>
      <c r="Z884" s="207"/>
      <c r="AA884" s="207"/>
      <c r="AB884" s="207"/>
      <c r="AC884" s="5"/>
      <c r="AD884" s="63"/>
      <c r="AE884" s="64"/>
      <c r="AF884" s="64"/>
      <c r="AG884" s="212"/>
      <c r="AH884" s="64"/>
      <c r="AI884" s="64"/>
      <c r="AJ884" s="227"/>
      <c r="AK884" s="64"/>
      <c r="AL884" s="64"/>
      <c r="AM884" s="212"/>
      <c r="AN884" s="64"/>
      <c r="AO884" s="64"/>
      <c r="AP884" s="63"/>
      <c r="AQ884" s="64"/>
      <c r="AR884" s="63"/>
      <c r="AS884" s="64"/>
      <c r="AT884" s="63"/>
      <c r="AU884" s="64"/>
      <c r="AV884" s="63"/>
      <c r="AW884" s="64"/>
      <c r="AX884" s="63"/>
      <c r="AY884" s="5"/>
      <c r="AZ884" s="21" t="str">
        <f t="shared" si="658"/>
        <v/>
      </c>
      <c r="BA884" s="75" t="s">
        <v>167</v>
      </c>
      <c r="BB884" s="75"/>
      <c r="BC884" s="270"/>
      <c r="BD884" s="75" t="s">
        <v>99</v>
      </c>
      <c r="BE884" s="16" t="s">
        <v>72</v>
      </c>
      <c r="BF884" s="303"/>
      <c r="BG884" s="303"/>
      <c r="BH884" s="303"/>
      <c r="BI884" s="303"/>
      <c r="BJ884" s="303"/>
      <c r="BK884" s="303"/>
      <c r="BL884" s="303"/>
      <c r="BM884" s="303"/>
      <c r="BN884" s="303"/>
      <c r="BO884" s="303"/>
      <c r="BP884" s="303"/>
      <c r="BQ884" s="5"/>
      <c r="BR884" s="25"/>
      <c r="BS884" s="5"/>
    </row>
    <row r="885" spans="1:71" s="3" customFormat="1" x14ac:dyDescent="0.25">
      <c r="A885" s="5"/>
      <c r="B885" s="3" t="str">
        <f t="array" ref="B885">IFERROR(INDEX(DemandSupply,MATCH(INDEX($AH$1:AH885,SMALL(ROW($AH$1:AH885)+(10000*($AH$1:AH885="")),COUNTA($AH$1:AH885))),Sectors,0)),"")</f>
        <v>Supply</v>
      </c>
      <c r="E885" s="10"/>
      <c r="F885" s="207"/>
      <c r="G885" s="207"/>
      <c r="H885" s="207"/>
      <c r="I885" s="207"/>
      <c r="J885" s="207"/>
      <c r="K885" s="207"/>
      <c r="L885" s="207"/>
      <c r="M885" s="207"/>
      <c r="N885" s="207"/>
      <c r="O885" s="207"/>
      <c r="P885" s="207"/>
      <c r="Q885" s="207"/>
      <c r="R885" s="207"/>
      <c r="S885" s="207"/>
      <c r="T885" s="207"/>
      <c r="U885" s="207"/>
      <c r="V885" s="207"/>
      <c r="W885" s="207"/>
      <c r="X885" s="207"/>
      <c r="Y885" s="207"/>
      <c r="Z885" s="207"/>
      <c r="AA885" s="207"/>
      <c r="AB885" s="207"/>
      <c r="AC885" s="5"/>
      <c r="AD885" s="63"/>
      <c r="AE885" s="64"/>
      <c r="AF885" s="64"/>
      <c r="AG885" s="212"/>
      <c r="AH885" s="64"/>
      <c r="AI885" s="64"/>
      <c r="AJ885" s="227"/>
      <c r="AK885" s="64"/>
      <c r="AL885" s="64"/>
      <c r="AM885" s="212"/>
      <c r="AN885" s="64"/>
      <c r="AO885" s="64"/>
      <c r="AP885" s="63"/>
      <c r="AQ885" s="64"/>
      <c r="AR885" s="63"/>
      <c r="AS885" s="64"/>
      <c r="AT885" s="63"/>
      <c r="AU885" s="64"/>
      <c r="AV885" s="63"/>
      <c r="AW885" s="64"/>
      <c r="AX885" s="63"/>
      <c r="AY885" s="5"/>
      <c r="AZ885" s="21" t="str">
        <f t="shared" si="658"/>
        <v/>
      </c>
      <c r="BA885" s="75" t="s">
        <v>408</v>
      </c>
      <c r="BB885" s="75"/>
      <c r="BC885" s="270"/>
      <c r="BD885" s="75" t="s">
        <v>99</v>
      </c>
      <c r="BE885" s="16" t="s">
        <v>72</v>
      </c>
      <c r="BF885" s="303"/>
      <c r="BG885" s="303"/>
      <c r="BH885" s="303"/>
      <c r="BI885" s="303"/>
      <c r="BJ885" s="303"/>
      <c r="BK885" s="303"/>
      <c r="BL885" s="303"/>
      <c r="BM885" s="303"/>
      <c r="BN885" s="303"/>
      <c r="BO885" s="303"/>
      <c r="BP885" s="303"/>
      <c r="BQ885" s="5"/>
      <c r="BR885" s="25"/>
      <c r="BS885" s="5"/>
    </row>
    <row r="886" spans="1:71" s="3" customFormat="1" x14ac:dyDescent="0.25">
      <c r="A886" s="5"/>
      <c r="B886" s="3" t="str">
        <f t="array" ref="B886">IFERROR(INDEX(DemandSupply,MATCH(INDEX($AH$1:AH886,SMALL(ROW($AH$1:AH886)+(10000*($AH$1:AH886="")),COUNTA($AH$1:AH886))),Sectors,0)),"")</f>
        <v>Supply</v>
      </c>
      <c r="E886" s="10"/>
      <c r="F886" s="207"/>
      <c r="G886" s="207"/>
      <c r="H886" s="207"/>
      <c r="I886" s="207"/>
      <c r="J886" s="207"/>
      <c r="K886" s="207"/>
      <c r="L886" s="207"/>
      <c r="M886" s="207"/>
      <c r="N886" s="207"/>
      <c r="O886" s="207"/>
      <c r="P886" s="207"/>
      <c r="Q886" s="207"/>
      <c r="R886" s="207"/>
      <c r="S886" s="207"/>
      <c r="T886" s="207"/>
      <c r="U886" s="207"/>
      <c r="V886" s="207"/>
      <c r="W886" s="207"/>
      <c r="X886" s="207"/>
      <c r="Y886" s="207"/>
      <c r="Z886" s="207"/>
      <c r="AA886" s="207"/>
      <c r="AB886" s="207"/>
      <c r="AC886" s="5"/>
      <c r="AD886" s="63"/>
      <c r="AE886" s="64"/>
      <c r="AF886" s="64"/>
      <c r="AG886" s="212"/>
      <c r="AH886" s="64"/>
      <c r="AI886" s="64"/>
      <c r="AJ886" s="227"/>
      <c r="AK886" s="64"/>
      <c r="AL886" s="64"/>
      <c r="AM886" s="212"/>
      <c r="AN886" s="64"/>
      <c r="AO886" s="64"/>
      <c r="AP886" s="63"/>
      <c r="AQ886" s="64"/>
      <c r="AR886" s="63"/>
      <c r="AS886" s="64"/>
      <c r="AT886" s="63"/>
      <c r="AU886" s="64"/>
      <c r="AV886" s="63"/>
      <c r="AW886" s="64"/>
      <c r="AX886" s="63"/>
      <c r="AY886" s="5"/>
      <c r="AZ886" s="21" t="str">
        <f t="shared" si="658"/>
        <v/>
      </c>
      <c r="BA886" s="75" t="s">
        <v>409</v>
      </c>
      <c r="BB886" s="75"/>
      <c r="BC886" s="270"/>
      <c r="BD886" s="75" t="s">
        <v>99</v>
      </c>
      <c r="BE886" s="16" t="s">
        <v>72</v>
      </c>
      <c r="BF886" s="303"/>
      <c r="BG886" s="303"/>
      <c r="BH886" s="303"/>
      <c r="BI886" s="303"/>
      <c r="BJ886" s="303"/>
      <c r="BK886" s="303"/>
      <c r="BL886" s="303"/>
      <c r="BM886" s="303"/>
      <c r="BN886" s="303"/>
      <c r="BO886" s="303"/>
      <c r="BP886" s="303"/>
      <c r="BQ886" s="5"/>
      <c r="BR886" s="25"/>
      <c r="BS886" s="5"/>
    </row>
    <row r="887" spans="1:71" s="3" customFormat="1" x14ac:dyDescent="0.25">
      <c r="A887" s="5"/>
      <c r="B887" s="3" t="str">
        <f t="array" ref="B887">IFERROR(INDEX(DemandSupply,MATCH(INDEX($AH$1:AH887,SMALL(ROW($AH$1:AH887)+(10000*($AH$1:AH887="")),COUNTA($AH$1:AH887))),Sectors,0)),"")</f>
        <v>Supply</v>
      </c>
      <c r="E887" s="10"/>
      <c r="F887" s="207"/>
      <c r="G887" s="207"/>
      <c r="H887" s="207"/>
      <c r="I887" s="207"/>
      <c r="J887" s="207"/>
      <c r="K887" s="207"/>
      <c r="L887" s="207"/>
      <c r="M887" s="207"/>
      <c r="N887" s="207"/>
      <c r="O887" s="207"/>
      <c r="P887" s="207"/>
      <c r="Q887" s="207"/>
      <c r="R887" s="207"/>
      <c r="S887" s="207"/>
      <c r="T887" s="207"/>
      <c r="U887" s="207"/>
      <c r="V887" s="207"/>
      <c r="W887" s="207"/>
      <c r="X887" s="207"/>
      <c r="Y887" s="207"/>
      <c r="Z887" s="207"/>
      <c r="AA887" s="207"/>
      <c r="AB887" s="207"/>
      <c r="AC887" s="5"/>
      <c r="AD887" s="63"/>
      <c r="AE887" s="64"/>
      <c r="AF887" s="64"/>
      <c r="AG887" s="212"/>
      <c r="AH887" s="64"/>
      <c r="AI887" s="64"/>
      <c r="AJ887" s="227"/>
      <c r="AK887" s="64"/>
      <c r="AL887" s="64"/>
      <c r="AM887" s="212"/>
      <c r="AN887" s="64"/>
      <c r="AO887" s="64"/>
      <c r="AP887" s="63"/>
      <c r="AQ887" s="64"/>
      <c r="AR887" s="63"/>
      <c r="AS887" s="64"/>
      <c r="AT887" s="63"/>
      <c r="AU887" s="64"/>
      <c r="AV887" s="63"/>
      <c r="AW887" s="64"/>
      <c r="AX887" s="63"/>
      <c r="AY887" s="5"/>
      <c r="AZ887" s="21" t="str">
        <f t="shared" si="658"/>
        <v/>
      </c>
      <c r="BA887" s="264" t="s">
        <v>371</v>
      </c>
      <c r="BB887" s="264"/>
      <c r="BC887" s="264"/>
      <c r="BD887" s="264" t="s">
        <v>219</v>
      </c>
      <c r="BE887" s="16" t="s">
        <v>72</v>
      </c>
      <c r="BF887" s="56"/>
      <c r="BG887" s="56"/>
      <c r="BH887" s="56"/>
      <c r="BI887" s="56"/>
      <c r="BJ887" s="56"/>
      <c r="BK887" s="56"/>
      <c r="BL887" s="56"/>
      <c r="BM887" s="56"/>
      <c r="BN887" s="56"/>
      <c r="BO887" s="56"/>
      <c r="BP887" s="56"/>
      <c r="BQ887" s="5"/>
      <c r="BR887" s="25"/>
      <c r="BS887" s="5"/>
    </row>
    <row r="888" spans="1:71" s="3" customFormat="1" x14ac:dyDescent="0.25">
      <c r="A888" s="5"/>
      <c r="B888" s="3" t="str">
        <f t="array" ref="B888">IFERROR(INDEX(DemandSupply,MATCH(INDEX($AH$1:AH888,SMALL(ROW($AH$1:AH888)+(10000*($AH$1:AH888="")),COUNTA($AH$1:AH888))),Sectors,0)),"")</f>
        <v>Supply</v>
      </c>
      <c r="E888" s="10"/>
      <c r="F888" s="207"/>
      <c r="G888" s="207"/>
      <c r="H888" s="207"/>
      <c r="I888" s="207"/>
      <c r="J888" s="207"/>
      <c r="K888" s="207"/>
      <c r="L888" s="207"/>
      <c r="M888" s="207"/>
      <c r="N888" s="207"/>
      <c r="O888" s="207"/>
      <c r="P888" s="207"/>
      <c r="Q888" s="207"/>
      <c r="R888" s="207"/>
      <c r="S888" s="207"/>
      <c r="T888" s="207"/>
      <c r="U888" s="207"/>
      <c r="V888" s="207"/>
      <c r="W888" s="207"/>
      <c r="X888" s="207"/>
      <c r="Y888" s="207"/>
      <c r="Z888" s="207"/>
      <c r="AA888" s="207"/>
      <c r="AB888" s="207"/>
      <c r="AC888" s="5"/>
      <c r="AD888" s="63"/>
      <c r="AE888" s="64"/>
      <c r="AF888" s="64"/>
      <c r="AG888" s="212"/>
      <c r="AH888" s="64"/>
      <c r="AI888" s="64"/>
      <c r="AJ888" s="227"/>
      <c r="AK888" s="64"/>
      <c r="AL888" s="64"/>
      <c r="AM888" s="212"/>
      <c r="AN888" s="64"/>
      <c r="AO888" s="64"/>
      <c r="AP888" s="63"/>
      <c r="AQ888" s="64"/>
      <c r="AR888" s="63"/>
      <c r="AS888" s="64"/>
      <c r="AT888" s="63"/>
      <c r="AU888" s="64"/>
      <c r="AV888" s="63"/>
      <c r="AW888" s="64"/>
      <c r="AX888" s="63"/>
      <c r="AY888" s="5"/>
      <c r="AZ888" s="21" t="str">
        <f t="shared" si="658"/>
        <v/>
      </c>
      <c r="BA888" s="264" t="s">
        <v>170</v>
      </c>
      <c r="BB888" s="264"/>
      <c r="BC888" s="264"/>
      <c r="BD888" s="264" t="s">
        <v>354</v>
      </c>
      <c r="BE888" s="16" t="s">
        <v>72</v>
      </c>
      <c r="BF888" s="56"/>
      <c r="BG888" s="56"/>
      <c r="BH888" s="56"/>
      <c r="BI888" s="56"/>
      <c r="BJ888" s="56"/>
      <c r="BK888" s="56"/>
      <c r="BL888" s="56"/>
      <c r="BM888" s="56"/>
      <c r="BN888" s="56"/>
      <c r="BO888" s="56"/>
      <c r="BP888" s="56"/>
      <c r="BQ888" s="5"/>
      <c r="BR888" s="25"/>
      <c r="BS888" s="5"/>
    </row>
    <row r="889" spans="1:71" s="3" customFormat="1" x14ac:dyDescent="0.25">
      <c r="A889" s="5"/>
      <c r="B889" s="3" t="str">
        <f t="array" ref="B889">IFERROR(INDEX(DemandSupply,MATCH(INDEX($AH$1:AH889,SMALL(ROW($AH$1:AH889)+(10000*($AH$1:AH889="")),COUNTA($AH$1:AH889))),Sectors,0)),"")</f>
        <v>Supply</v>
      </c>
      <c r="E889" s="10"/>
      <c r="F889" s="207"/>
      <c r="G889" s="207"/>
      <c r="H889" s="207"/>
      <c r="I889" s="207"/>
      <c r="J889" s="207"/>
      <c r="K889" s="207"/>
      <c r="L889" s="207"/>
      <c r="M889" s="207"/>
      <c r="N889" s="207"/>
      <c r="O889" s="207"/>
      <c r="P889" s="207"/>
      <c r="Q889" s="207"/>
      <c r="R889" s="207"/>
      <c r="S889" s="207"/>
      <c r="T889" s="207"/>
      <c r="U889" s="207"/>
      <c r="V889" s="207"/>
      <c r="W889" s="207"/>
      <c r="X889" s="207"/>
      <c r="Y889" s="207"/>
      <c r="Z889" s="207"/>
      <c r="AA889" s="207"/>
      <c r="AB889" s="207"/>
      <c r="AC889" s="5"/>
      <c r="AD889" s="63"/>
      <c r="AE889" s="64"/>
      <c r="AF889" s="64"/>
      <c r="AG889" s="212"/>
      <c r="AH889" s="64"/>
      <c r="AI889" s="64"/>
      <c r="AJ889" s="227"/>
      <c r="AK889" s="64"/>
      <c r="AL889" s="64"/>
      <c r="AM889" s="212"/>
      <c r="AN889" s="64"/>
      <c r="AO889" s="64"/>
      <c r="AP889" s="63"/>
      <c r="AQ889" s="64"/>
      <c r="AR889" s="63"/>
      <c r="AS889" s="64"/>
      <c r="AT889" s="63"/>
      <c r="AU889" s="64"/>
      <c r="AV889" s="63"/>
      <c r="AW889" s="64"/>
      <c r="AX889" s="63"/>
      <c r="AY889" s="5"/>
      <c r="AZ889" s="21" t="str">
        <f t="shared" si="658"/>
        <v/>
      </c>
      <c r="BA889" s="264" t="s">
        <v>425</v>
      </c>
      <c r="BB889" s="264"/>
      <c r="BC889" s="264"/>
      <c r="BD889" s="264" t="s">
        <v>99</v>
      </c>
      <c r="BE889" s="16" t="s">
        <v>72</v>
      </c>
      <c r="BF889" s="303"/>
      <c r="BG889" s="303"/>
      <c r="BH889" s="303"/>
      <c r="BI889" s="303"/>
      <c r="BJ889" s="303"/>
      <c r="BK889" s="303"/>
      <c r="BL889" s="303"/>
      <c r="BM889" s="303"/>
      <c r="BN889" s="303"/>
      <c r="BO889" s="303"/>
      <c r="BP889" s="303"/>
      <c r="BQ889" s="5"/>
      <c r="BR889" s="25"/>
      <c r="BS889" s="5"/>
    </row>
    <row r="890" spans="1:71" s="3" customFormat="1" x14ac:dyDescent="0.25">
      <c r="A890" s="5"/>
      <c r="B890" s="3" t="str">
        <f t="array" ref="B890">IFERROR(INDEX(DemandSupply,MATCH(INDEX($AH$1:AH890,SMALL(ROW($AH$1:AH890)+(10000*($AH$1:AH890="")),COUNTA($AH$1:AH890))),Sectors,0)),"")</f>
        <v>Supply</v>
      </c>
      <c r="E890" s="10"/>
      <c r="F890" s="207"/>
      <c r="G890" s="207"/>
      <c r="H890" s="207"/>
      <c r="I890" s="207"/>
      <c r="J890" s="207"/>
      <c r="K890" s="207"/>
      <c r="L890" s="207"/>
      <c r="M890" s="207"/>
      <c r="N890" s="207"/>
      <c r="O890" s="207"/>
      <c r="P890" s="207"/>
      <c r="Q890" s="207"/>
      <c r="R890" s="207"/>
      <c r="S890" s="207"/>
      <c r="T890" s="207"/>
      <c r="U890" s="207"/>
      <c r="V890" s="207"/>
      <c r="W890" s="207"/>
      <c r="X890" s="207"/>
      <c r="Y890" s="207"/>
      <c r="Z890" s="207"/>
      <c r="AA890" s="207"/>
      <c r="AB890" s="207"/>
      <c r="AC890" s="5"/>
      <c r="AD890" s="63"/>
      <c r="AE890" s="64"/>
      <c r="AF890" s="64"/>
      <c r="AG890" s="212"/>
      <c r="AH890" s="64"/>
      <c r="AI890" s="64"/>
      <c r="AJ890" s="227"/>
      <c r="AK890" s="64"/>
      <c r="AL890" s="64"/>
      <c r="AM890" s="212"/>
      <c r="AN890" s="64"/>
      <c r="AO890" s="64"/>
      <c r="AP890" s="63"/>
      <c r="AQ890" s="64"/>
      <c r="AR890" s="63"/>
      <c r="AS890" s="64"/>
      <c r="AT890" s="63"/>
      <c r="AU890" s="64"/>
      <c r="AV890" s="63"/>
      <c r="AW890" s="64"/>
      <c r="AX890" s="63"/>
      <c r="AY890" s="5"/>
      <c r="AZ890" s="21" t="str">
        <f t="shared" si="658"/>
        <v/>
      </c>
      <c r="BA890" s="264" t="s">
        <v>438</v>
      </c>
      <c r="BB890" s="264"/>
      <c r="BC890" s="264"/>
      <c r="BD890" s="264" t="s">
        <v>219</v>
      </c>
      <c r="BE890" s="16" t="s">
        <v>72</v>
      </c>
      <c r="BF890" s="56"/>
      <c r="BG890" s="56"/>
      <c r="BH890" s="56"/>
      <c r="BI890" s="56"/>
      <c r="BJ890" s="56"/>
      <c r="BK890" s="56"/>
      <c r="BL890" s="56"/>
      <c r="BM890" s="56"/>
      <c r="BN890" s="56"/>
      <c r="BO890" s="56"/>
      <c r="BP890" s="56"/>
      <c r="BQ890" s="5"/>
      <c r="BR890" s="25"/>
      <c r="BS890" s="5"/>
    </row>
    <row r="891" spans="1:71" s="3" customFormat="1" x14ac:dyDescent="0.25">
      <c r="A891" s="5"/>
      <c r="B891" s="3" t="str">
        <f t="array" ref="B891">IFERROR(INDEX(DemandSupply,MATCH(INDEX($AH$1:AH891,SMALL(ROW($AH$1:AH891)+(10000*($AH$1:AH891="")),COUNTA($AH$1:AH891))),Sectors,0)),"")</f>
        <v>Supply</v>
      </c>
      <c r="E891" s="10"/>
      <c r="F891" s="207"/>
      <c r="G891" s="207"/>
      <c r="H891" s="207"/>
      <c r="I891" s="207"/>
      <c r="J891" s="207"/>
      <c r="K891" s="207"/>
      <c r="L891" s="207"/>
      <c r="M891" s="207"/>
      <c r="N891" s="207"/>
      <c r="O891" s="207"/>
      <c r="P891" s="207"/>
      <c r="Q891" s="207"/>
      <c r="R891" s="207"/>
      <c r="S891" s="207"/>
      <c r="T891" s="207"/>
      <c r="U891" s="207"/>
      <c r="V891" s="207"/>
      <c r="W891" s="207"/>
      <c r="X891" s="207"/>
      <c r="Y891" s="207"/>
      <c r="Z891" s="207"/>
      <c r="AA891" s="207"/>
      <c r="AB891" s="207"/>
      <c r="AC891" s="5"/>
      <c r="AD891" s="63"/>
      <c r="AE891" s="64"/>
      <c r="AF891" s="64"/>
      <c r="AG891" s="212"/>
      <c r="AH891" s="64"/>
      <c r="AI891" s="64"/>
      <c r="AJ891" s="227"/>
      <c r="AK891" s="64"/>
      <c r="AL891" s="64"/>
      <c r="AM891" s="212"/>
      <c r="AN891" s="64"/>
      <c r="AO891" s="64"/>
      <c r="AP891" s="63"/>
      <c r="AQ891" s="64"/>
      <c r="AR891" s="63"/>
      <c r="AS891" s="64"/>
      <c r="AT891" s="63"/>
      <c r="AU891" s="64"/>
      <c r="AV891" s="63"/>
      <c r="AW891" s="64"/>
      <c r="AX891" s="63"/>
      <c r="AY891" s="5"/>
      <c r="AZ891" s="21" t="str">
        <f t="shared" si="658"/>
        <v/>
      </c>
      <c r="BA891" s="264" t="s">
        <v>435</v>
      </c>
      <c r="BB891" s="264"/>
      <c r="BC891" s="264"/>
      <c r="BD891" s="264"/>
      <c r="BE891" s="16" t="s">
        <v>72</v>
      </c>
      <c r="BF891" s="55"/>
      <c r="BG891" s="55"/>
      <c r="BH891" s="55"/>
      <c r="BI891" s="55"/>
      <c r="BJ891" s="55"/>
      <c r="BK891" s="55"/>
      <c r="BL891" s="55"/>
      <c r="BM891" s="55"/>
      <c r="BN891" s="55"/>
      <c r="BO891" s="55"/>
      <c r="BP891" s="55"/>
      <c r="BQ891" s="5"/>
      <c r="BR891" s="25"/>
      <c r="BS891" s="5"/>
    </row>
    <row r="892" spans="1:71" s="3" customFormat="1" x14ac:dyDescent="0.25">
      <c r="A892" s="5"/>
      <c r="B892" s="3" t="str">
        <f t="array" ref="B892">IFERROR(INDEX(DemandSupply,MATCH(INDEX($AH$1:AH892,SMALL(ROW($AH$1:AH892)+(10000*($AH$1:AH892="")),COUNTA($AH$1:AH892))),Sectors,0)),"")</f>
        <v>Supply</v>
      </c>
      <c r="E892" s="10"/>
      <c r="F892" s="207"/>
      <c r="G892" s="207"/>
      <c r="H892" s="207"/>
      <c r="I892" s="207"/>
      <c r="J892" s="207"/>
      <c r="K892" s="207"/>
      <c r="L892" s="207"/>
      <c r="M892" s="207"/>
      <c r="N892" s="207"/>
      <c r="O892" s="207"/>
      <c r="P892" s="207"/>
      <c r="Q892" s="207"/>
      <c r="R892" s="207"/>
      <c r="S892" s="207"/>
      <c r="T892" s="207"/>
      <c r="U892" s="207"/>
      <c r="V892" s="207"/>
      <c r="W892" s="207"/>
      <c r="X892" s="207"/>
      <c r="Y892" s="207"/>
      <c r="Z892" s="207"/>
      <c r="AA892" s="207"/>
      <c r="AB892" s="207"/>
      <c r="AC892" s="5"/>
      <c r="AD892" s="63"/>
      <c r="AE892" s="64"/>
      <c r="AF892" s="64"/>
      <c r="AG892" s="212"/>
      <c r="AH892" s="64"/>
      <c r="AI892" s="64"/>
      <c r="AJ892" s="227"/>
      <c r="AK892" s="64"/>
      <c r="AL892" s="64"/>
      <c r="AM892" s="212"/>
      <c r="AN892" s="64"/>
      <c r="AO892" s="64"/>
      <c r="AP892" s="63"/>
      <c r="AQ892" s="64"/>
      <c r="AR892" s="63"/>
      <c r="AS892" s="64"/>
      <c r="AT892" s="63"/>
      <c r="AU892" s="64"/>
      <c r="AV892" s="63"/>
      <c r="AW892" s="64"/>
      <c r="AX892" s="63"/>
      <c r="AY892" s="5"/>
      <c r="AZ892" s="21" t="str">
        <f t="shared" si="658"/>
        <v/>
      </c>
      <c r="BA892" s="264" t="s">
        <v>407</v>
      </c>
      <c r="BB892" s="264"/>
      <c r="BC892" s="264"/>
      <c r="BD892" s="264" t="s">
        <v>99</v>
      </c>
      <c r="BE892" s="16" t="s">
        <v>72</v>
      </c>
      <c r="BF892" s="303"/>
      <c r="BG892" s="303"/>
      <c r="BH892" s="303"/>
      <c r="BI892" s="303"/>
      <c r="BJ892" s="303"/>
      <c r="BK892" s="303"/>
      <c r="BL892" s="303"/>
      <c r="BM892" s="303"/>
      <c r="BN892" s="303"/>
      <c r="BO892" s="303"/>
      <c r="BP892" s="303"/>
      <c r="BQ892" s="5"/>
      <c r="BR892" s="25"/>
      <c r="BS892" s="5"/>
    </row>
    <row r="893" spans="1:71" s="3" customFormat="1" x14ac:dyDescent="0.25">
      <c r="A893" s="5"/>
      <c r="B893" s="3" t="str">
        <f t="array" ref="B893">IFERROR(INDEX(DemandSupply,MATCH(INDEX($AH$1:AH893,SMALL(ROW($AH$1:AH893)+(10000*($AH$1:AH893="")),COUNTA($AH$1:AH893))),Sectors,0)),"")</f>
        <v>Supply</v>
      </c>
      <c r="E893" s="10"/>
      <c r="F893" s="207"/>
      <c r="G893" s="207"/>
      <c r="H893" s="207"/>
      <c r="I893" s="207"/>
      <c r="J893" s="207"/>
      <c r="K893" s="207"/>
      <c r="L893" s="207"/>
      <c r="M893" s="207"/>
      <c r="N893" s="207"/>
      <c r="O893" s="207"/>
      <c r="P893" s="207"/>
      <c r="Q893" s="207"/>
      <c r="R893" s="207"/>
      <c r="S893" s="207"/>
      <c r="T893" s="207"/>
      <c r="U893" s="207"/>
      <c r="V893" s="207"/>
      <c r="W893" s="207"/>
      <c r="X893" s="207"/>
      <c r="Y893" s="207"/>
      <c r="Z893" s="207"/>
      <c r="AA893" s="207"/>
      <c r="AB893" s="207"/>
      <c r="AC893" s="5"/>
      <c r="AD893" s="63"/>
      <c r="AE893" s="64"/>
      <c r="AF893" s="64"/>
      <c r="AG893" s="212"/>
      <c r="AH893" s="64"/>
      <c r="AI893" s="64"/>
      <c r="AJ893" s="227"/>
      <c r="AK893" s="64"/>
      <c r="AL893" s="64"/>
      <c r="AM893" s="212"/>
      <c r="AN893" s="64"/>
      <c r="AO893" s="64"/>
      <c r="AP893" s="63"/>
      <c r="AQ893" s="64"/>
      <c r="AR893" s="63"/>
      <c r="AS893" s="64"/>
      <c r="AT893" s="63"/>
      <c r="AU893" s="64"/>
      <c r="AV893" s="63"/>
      <c r="AW893" s="64"/>
      <c r="AX893" s="63"/>
      <c r="AY893" s="5"/>
      <c r="AZ893" s="21" t="str">
        <f t="shared" si="658"/>
        <v/>
      </c>
      <c r="BA893" s="264" t="s">
        <v>444</v>
      </c>
      <c r="BB893" s="264"/>
      <c r="BC893" s="264"/>
      <c r="BD893" s="264" t="s">
        <v>354</v>
      </c>
      <c r="BE893" s="16" t="s">
        <v>72</v>
      </c>
      <c r="BF893" s="56"/>
      <c r="BG893" s="56"/>
      <c r="BH893" s="56"/>
      <c r="BI893" s="56"/>
      <c r="BJ893" s="56"/>
      <c r="BK893" s="56"/>
      <c r="BL893" s="56"/>
      <c r="BM893" s="56"/>
      <c r="BN893" s="56"/>
      <c r="BO893" s="56"/>
      <c r="BP893" s="56"/>
      <c r="BQ893" s="5"/>
      <c r="BR893" s="25"/>
      <c r="BS893" s="5"/>
    </row>
    <row r="894" spans="1:71" s="3" customFormat="1" x14ac:dyDescent="0.25">
      <c r="A894" s="5"/>
      <c r="B894" s="3" t="str">
        <f t="array" ref="B894">IFERROR(INDEX(DemandSupply,MATCH(INDEX($AH$1:AH894,SMALL(ROW($AH$1:AH894)+(10000*($AH$1:AH894="")),COUNTA($AH$1:AH894))),Sectors,0)),"")</f>
        <v>Supply</v>
      </c>
      <c r="E894" s="10"/>
      <c r="F894" s="207"/>
      <c r="G894" s="207"/>
      <c r="H894" s="207"/>
      <c r="I894" s="207"/>
      <c r="J894" s="207"/>
      <c r="K894" s="207"/>
      <c r="L894" s="207"/>
      <c r="M894" s="207"/>
      <c r="N894" s="207"/>
      <c r="O894" s="207"/>
      <c r="P894" s="207"/>
      <c r="Q894" s="207"/>
      <c r="R894" s="207"/>
      <c r="S894" s="207"/>
      <c r="T894" s="207"/>
      <c r="U894" s="207"/>
      <c r="V894" s="207"/>
      <c r="W894" s="207"/>
      <c r="X894" s="207"/>
      <c r="Y894" s="207"/>
      <c r="Z894" s="207"/>
      <c r="AA894" s="207"/>
      <c r="AB894" s="207"/>
      <c r="AC894" s="5"/>
      <c r="AD894" s="63"/>
      <c r="AE894" s="64"/>
      <c r="AF894" s="64"/>
      <c r="AG894" s="212"/>
      <c r="AH894" s="64"/>
      <c r="AI894" s="64"/>
      <c r="AJ894" s="227"/>
      <c r="AK894" s="64"/>
      <c r="AL894" s="64"/>
      <c r="AM894" s="212"/>
      <c r="AN894" s="64"/>
      <c r="AO894" s="64"/>
      <c r="AP894" s="63"/>
      <c r="AQ894" s="64"/>
      <c r="AR894" s="63"/>
      <c r="AS894" s="64"/>
      <c r="AT894" s="63"/>
      <c r="AU894" s="64"/>
      <c r="AV894" s="63"/>
      <c r="AW894" s="64"/>
      <c r="AX894" s="63"/>
      <c r="AY894" s="5"/>
      <c r="AZ894" s="21" t="str">
        <f t="shared" si="658"/>
        <v/>
      </c>
      <c r="BA894" s="264" t="s">
        <v>446</v>
      </c>
      <c r="BB894" s="264"/>
      <c r="BC894" s="264"/>
      <c r="BD894" s="264" t="s">
        <v>354</v>
      </c>
      <c r="BE894" s="16" t="s">
        <v>72</v>
      </c>
      <c r="BF894" s="56"/>
      <c r="BG894" s="56"/>
      <c r="BH894" s="56"/>
      <c r="BI894" s="56"/>
      <c r="BJ894" s="56"/>
      <c r="BK894" s="56"/>
      <c r="BL894" s="56"/>
      <c r="BM894" s="56"/>
      <c r="BN894" s="56"/>
      <c r="BO894" s="56"/>
      <c r="BP894" s="56"/>
      <c r="BQ894" s="5"/>
      <c r="BR894" s="25"/>
      <c r="BS894" s="5"/>
    </row>
    <row r="895" spans="1:71" s="3" customFormat="1" x14ac:dyDescent="0.25">
      <c r="A895" s="5"/>
      <c r="B895" s="3" t="str">
        <f t="array" ref="B895">IFERROR(INDEX(DemandSupply,MATCH(INDEX($AH$1:AH895,SMALL(ROW($AH$1:AH895)+(10000*($AH$1:AH895="")),COUNTA($AH$1:AH895))),Sectors,0)),"")</f>
        <v>Supply</v>
      </c>
      <c r="E895" s="10"/>
      <c r="F895" s="207"/>
      <c r="G895" s="207"/>
      <c r="H895" s="207"/>
      <c r="I895" s="207"/>
      <c r="J895" s="207"/>
      <c r="K895" s="207"/>
      <c r="L895" s="207"/>
      <c r="M895" s="207"/>
      <c r="N895" s="207"/>
      <c r="O895" s="207"/>
      <c r="P895" s="207"/>
      <c r="Q895" s="207"/>
      <c r="R895" s="207"/>
      <c r="S895" s="207"/>
      <c r="T895" s="207"/>
      <c r="U895" s="207"/>
      <c r="V895" s="207"/>
      <c r="W895" s="207"/>
      <c r="X895" s="207"/>
      <c r="Y895" s="207"/>
      <c r="Z895" s="207"/>
      <c r="AA895" s="207"/>
      <c r="AB895" s="207"/>
      <c r="AC895" s="5"/>
      <c r="AD895" s="63"/>
      <c r="AE895" s="64"/>
      <c r="AF895" s="64"/>
      <c r="AG895" s="212"/>
      <c r="AH895" s="64"/>
      <c r="AI895" s="64"/>
      <c r="AJ895" s="227"/>
      <c r="AK895" s="64"/>
      <c r="AL895" s="64"/>
      <c r="AM895" s="212"/>
      <c r="AN895" s="64"/>
      <c r="AO895" s="64"/>
      <c r="AP895" s="63"/>
      <c r="AQ895" s="64"/>
      <c r="AR895" s="63"/>
      <c r="AS895" s="64"/>
      <c r="AT895" s="63"/>
      <c r="AU895" s="64"/>
      <c r="AV895" s="63"/>
      <c r="AW895" s="64"/>
      <c r="AX895" s="63"/>
      <c r="AY895" s="5"/>
      <c r="AZ895" s="21" t="str">
        <f t="shared" si="658"/>
        <v/>
      </c>
      <c r="BA895" s="264" t="s">
        <v>447</v>
      </c>
      <c r="BB895" s="264"/>
      <c r="BC895" s="264"/>
      <c r="BD895" s="264"/>
      <c r="BE895" s="16" t="s">
        <v>72</v>
      </c>
      <c r="BF895" s="55"/>
      <c r="BG895" s="55"/>
      <c r="BH895" s="55"/>
      <c r="BI895" s="55"/>
      <c r="BJ895" s="55"/>
      <c r="BK895" s="55"/>
      <c r="BL895" s="55"/>
      <c r="BM895" s="55"/>
      <c r="BN895" s="55"/>
      <c r="BO895" s="55"/>
      <c r="BP895" s="55"/>
      <c r="BQ895" s="5"/>
      <c r="BR895" s="25"/>
      <c r="BS895" s="5"/>
    </row>
    <row r="896" spans="1:71" s="3" customFormat="1" x14ac:dyDescent="0.25">
      <c r="A896" s="5"/>
      <c r="B896" s="3" t="str">
        <f t="array" ref="B896">IFERROR(INDEX(DemandSupply,MATCH(INDEX($AH$1:AH896,SMALL(ROW($AH$1:AH896)+(10000*($AH$1:AH896="")),COUNTA($AH$1:AH896))),Sectors,0)),"")</f>
        <v>Supply</v>
      </c>
      <c r="E896" s="10"/>
      <c r="F896" s="207"/>
      <c r="G896" s="207"/>
      <c r="H896" s="207"/>
      <c r="I896" s="207"/>
      <c r="J896" s="207"/>
      <c r="K896" s="207"/>
      <c r="L896" s="207"/>
      <c r="M896" s="207"/>
      <c r="N896" s="207"/>
      <c r="O896" s="207"/>
      <c r="P896" s="207"/>
      <c r="Q896" s="207"/>
      <c r="R896" s="207"/>
      <c r="S896" s="207"/>
      <c r="T896" s="207"/>
      <c r="U896" s="207"/>
      <c r="V896" s="207"/>
      <c r="W896" s="207"/>
      <c r="X896" s="207"/>
      <c r="Y896" s="207"/>
      <c r="Z896" s="207"/>
      <c r="AA896" s="207"/>
      <c r="AB896" s="207"/>
      <c r="AC896" s="5"/>
      <c r="AD896" s="63"/>
      <c r="AE896" s="64"/>
      <c r="AF896" s="64"/>
      <c r="AG896" s="212"/>
      <c r="AH896" s="64"/>
      <c r="AI896" s="64"/>
      <c r="AJ896" s="227"/>
      <c r="AK896" s="64"/>
      <c r="AL896" s="64"/>
      <c r="AM896" s="212"/>
      <c r="AN896" s="64"/>
      <c r="AO896" s="64"/>
      <c r="AP896" s="63"/>
      <c r="AQ896" s="64"/>
      <c r="AR896" s="63"/>
      <c r="AS896" s="64"/>
      <c r="AT896" s="63"/>
      <c r="AU896" s="64"/>
      <c r="AV896" s="63"/>
      <c r="AW896" s="64"/>
      <c r="AX896" s="63"/>
      <c r="AY896" s="5"/>
      <c r="AZ896" s="21" t="str">
        <f t="shared" si="658"/>
        <v/>
      </c>
      <c r="BA896" s="264" t="s">
        <v>448</v>
      </c>
      <c r="BB896" s="264"/>
      <c r="BC896" s="264"/>
      <c r="BD896" s="264"/>
      <c r="BE896" s="16" t="s">
        <v>72</v>
      </c>
      <c r="BF896" s="55"/>
      <c r="BG896" s="55"/>
      <c r="BH896" s="55"/>
      <c r="BI896" s="55"/>
      <c r="BJ896" s="55"/>
      <c r="BK896" s="55"/>
      <c r="BL896" s="55"/>
      <c r="BM896" s="55"/>
      <c r="BN896" s="55"/>
      <c r="BO896" s="55"/>
      <c r="BP896" s="55"/>
      <c r="BQ896" s="5"/>
      <c r="BR896" s="25"/>
      <c r="BS896" s="5"/>
    </row>
    <row r="897" spans="1:71" s="3" customFormat="1" x14ac:dyDescent="0.25">
      <c r="A897" s="5"/>
      <c r="B897" s="3" t="str">
        <f t="array" ref="B897">IFERROR(INDEX(DemandSupply,MATCH(INDEX($AH$1:AH897,SMALL(ROW($AH$1:AH897)+(10000*($AH$1:AH897="")),COUNTA($AH$1:AH897))),Sectors,0)),"")</f>
        <v>Supply</v>
      </c>
      <c r="E897" s="10"/>
      <c r="F897" s="207"/>
      <c r="G897" s="207"/>
      <c r="H897" s="207"/>
      <c r="I897" s="207"/>
      <c r="J897" s="207"/>
      <c r="K897" s="207"/>
      <c r="L897" s="207"/>
      <c r="M897" s="207"/>
      <c r="N897" s="207"/>
      <c r="O897" s="207"/>
      <c r="P897" s="207"/>
      <c r="Q897" s="207"/>
      <c r="R897" s="207"/>
      <c r="S897" s="207"/>
      <c r="T897" s="207"/>
      <c r="U897" s="207"/>
      <c r="V897" s="207"/>
      <c r="W897" s="207"/>
      <c r="X897" s="207"/>
      <c r="Y897" s="207"/>
      <c r="Z897" s="207"/>
      <c r="AA897" s="207"/>
      <c r="AB897" s="207"/>
      <c r="AC897" s="5"/>
      <c r="AD897" s="63"/>
      <c r="AE897" s="64"/>
      <c r="AF897" s="64"/>
      <c r="AG897" s="212"/>
      <c r="AH897" s="64"/>
      <c r="AI897" s="64"/>
      <c r="AJ897" s="227"/>
      <c r="AK897" s="64"/>
      <c r="AL897" s="64"/>
      <c r="AM897" s="212"/>
      <c r="AN897" s="64"/>
      <c r="AO897" s="64"/>
      <c r="AP897" s="63"/>
      <c r="AQ897" s="64"/>
      <c r="AR897" s="63"/>
      <c r="AS897" s="64"/>
      <c r="AT897" s="63"/>
      <c r="AU897" s="64"/>
      <c r="AV897" s="63"/>
      <c r="AW897" s="64"/>
      <c r="AX897" s="63"/>
      <c r="AY897" s="5"/>
      <c r="AZ897" s="21" t="str">
        <f t="shared" si="658"/>
        <v/>
      </c>
      <c r="BA897" s="264" t="s">
        <v>445</v>
      </c>
      <c r="BB897" s="264"/>
      <c r="BC897" s="264"/>
      <c r="BD897" s="264" t="s">
        <v>370</v>
      </c>
      <c r="BE897" s="16" t="s">
        <v>72</v>
      </c>
      <c r="BF897" s="56"/>
      <c r="BG897" s="56"/>
      <c r="BH897" s="56"/>
      <c r="BI897" s="56"/>
      <c r="BJ897" s="56"/>
      <c r="BK897" s="56"/>
      <c r="BL897" s="56"/>
      <c r="BM897" s="56"/>
      <c r="BN897" s="56"/>
      <c r="BO897" s="56"/>
      <c r="BP897" s="56"/>
      <c r="BQ897" s="5"/>
      <c r="BR897" s="25"/>
      <c r="BS897" s="5"/>
    </row>
    <row r="898" spans="1:71" s="3" customFormat="1" x14ac:dyDescent="0.25">
      <c r="A898" s="5"/>
      <c r="B898" s="3" t="str">
        <f t="array" ref="B898">IFERROR(INDEX(DemandSupply,MATCH(INDEX($AH$1:AH898,SMALL(ROW($AH$1:AH898)+(10000*($AH$1:AH898="")),COUNTA($AH$1:AH898))),Sectors,0)),"")</f>
        <v>Supply</v>
      </c>
      <c r="E898" s="10"/>
      <c r="F898" s="207"/>
      <c r="G898" s="207"/>
      <c r="H898" s="207"/>
      <c r="I898" s="207"/>
      <c r="J898" s="207"/>
      <c r="K898" s="207"/>
      <c r="L898" s="207"/>
      <c r="M898" s="207"/>
      <c r="N898" s="207"/>
      <c r="O898" s="207"/>
      <c r="P898" s="207"/>
      <c r="Q898" s="207"/>
      <c r="R898" s="207"/>
      <c r="S898" s="207"/>
      <c r="T898" s="207"/>
      <c r="U898" s="207"/>
      <c r="V898" s="207"/>
      <c r="W898" s="207"/>
      <c r="X898" s="207"/>
      <c r="Y898" s="207"/>
      <c r="Z898" s="207"/>
      <c r="AA898" s="207"/>
      <c r="AB898" s="207"/>
      <c r="AC898" s="5"/>
      <c r="AD898" s="63"/>
      <c r="AE898" s="64"/>
      <c r="AF898" s="64"/>
      <c r="AG898" s="212"/>
      <c r="AH898" s="64"/>
      <c r="AI898" s="64"/>
      <c r="AJ898" s="227"/>
      <c r="AK898" s="64"/>
      <c r="AL898" s="64"/>
      <c r="AM898" s="212"/>
      <c r="AN898" s="64"/>
      <c r="AO898" s="64"/>
      <c r="AP898" s="63"/>
      <c r="AQ898" s="64"/>
      <c r="AR898" s="63"/>
      <c r="AS898" s="64"/>
      <c r="AT898" s="63"/>
      <c r="AU898" s="64"/>
      <c r="AV898" s="63"/>
      <c r="AW898" s="64"/>
      <c r="AX898" s="63"/>
      <c r="AY898" s="5"/>
      <c r="AZ898" s="21" t="str">
        <f t="shared" si="658"/>
        <v/>
      </c>
      <c r="BA898" s="264" t="s">
        <v>449</v>
      </c>
      <c r="BB898" s="264"/>
      <c r="BC898" s="264"/>
      <c r="BD898" s="264" t="s">
        <v>370</v>
      </c>
      <c r="BE898" s="16" t="s">
        <v>72</v>
      </c>
      <c r="BF898" s="56"/>
      <c r="BG898" s="56"/>
      <c r="BH898" s="56"/>
      <c r="BI898" s="56"/>
      <c r="BJ898" s="56"/>
      <c r="BK898" s="56"/>
      <c r="BL898" s="56"/>
      <c r="BM898" s="56"/>
      <c r="BN898" s="56"/>
      <c r="BO898" s="56"/>
      <c r="BP898" s="56"/>
      <c r="BQ898" s="5"/>
      <c r="BR898" s="25"/>
      <c r="BS898" s="5"/>
    </row>
    <row r="899" spans="1:71" s="3" customFormat="1" x14ac:dyDescent="0.25">
      <c r="A899" s="5"/>
      <c r="B899" s="3" t="str">
        <f t="array" ref="B899">IFERROR(INDEX(DemandSupply,MATCH(INDEX($AH$1:AH899,SMALL(ROW($AH$1:AH899)+(10000*($AH$1:AH899="")),COUNTA($AH$1:AH899))),Sectors,0)),"")</f>
        <v>Supply</v>
      </c>
      <c r="E899" s="10"/>
      <c r="F899" s="207"/>
      <c r="G899" s="207"/>
      <c r="H899" s="207"/>
      <c r="I899" s="207"/>
      <c r="J899" s="207"/>
      <c r="K899" s="207"/>
      <c r="L899" s="207"/>
      <c r="M899" s="207"/>
      <c r="N899" s="207"/>
      <c r="O899" s="207"/>
      <c r="P899" s="207"/>
      <c r="Q899" s="207"/>
      <c r="R899" s="207"/>
      <c r="S899" s="207"/>
      <c r="T899" s="207"/>
      <c r="U899" s="207"/>
      <c r="V899" s="207"/>
      <c r="W899" s="207"/>
      <c r="X899" s="207"/>
      <c r="Y899" s="207"/>
      <c r="Z899" s="207"/>
      <c r="AA899" s="207"/>
      <c r="AB899" s="207"/>
      <c r="AC899" s="5"/>
      <c r="AD899" s="63"/>
      <c r="AE899" s="64"/>
      <c r="AF899" s="64"/>
      <c r="AG899" s="212"/>
      <c r="AH899" s="64"/>
      <c r="AI899" s="64"/>
      <c r="AJ899" s="227"/>
      <c r="AK899" s="64"/>
      <c r="AL899" s="64"/>
      <c r="AM899" s="212"/>
      <c r="AN899" s="64"/>
      <c r="AO899" s="64"/>
      <c r="AP899" s="63"/>
      <c r="AQ899" s="64"/>
      <c r="AR899" s="63"/>
      <c r="AS899" s="64"/>
      <c r="AT899" s="63"/>
      <c r="AU899" s="64"/>
      <c r="AV899" s="63"/>
      <c r="AW899" s="64"/>
      <c r="AX899" s="63"/>
      <c r="AY899" s="5"/>
      <c r="AZ899" s="21" t="str">
        <f t="shared" si="658"/>
        <v/>
      </c>
      <c r="BA899" s="264" t="s">
        <v>450</v>
      </c>
      <c r="BB899" s="264"/>
      <c r="BC899" s="264"/>
      <c r="BD899" s="264"/>
      <c r="BE899" s="16" t="s">
        <v>72</v>
      </c>
      <c r="BF899" s="55"/>
      <c r="BG899" s="55"/>
      <c r="BH899" s="55"/>
      <c r="BI899" s="55"/>
      <c r="BJ899" s="55"/>
      <c r="BK899" s="55"/>
      <c r="BL899" s="55"/>
      <c r="BM899" s="55"/>
      <c r="BN899" s="55"/>
      <c r="BO899" s="55"/>
      <c r="BP899" s="55"/>
      <c r="BQ899" s="5"/>
      <c r="BR899" s="25"/>
      <c r="BS899" s="5"/>
    </row>
    <row r="900" spans="1:71" s="3" customFormat="1" x14ac:dyDescent="0.25">
      <c r="A900" s="5"/>
      <c r="B900" s="3" t="str">
        <f t="array" ref="B900">IFERROR(INDEX(DemandSupply,MATCH(INDEX($AH$1:AH900,SMALL(ROW($AH$1:AH900)+(10000*($AH$1:AH900="")),COUNTA($AH$1:AH900))),Sectors,0)),"")</f>
        <v>Supply</v>
      </c>
      <c r="E900" s="10"/>
      <c r="F900" s="207"/>
      <c r="G900" s="207"/>
      <c r="H900" s="207"/>
      <c r="I900" s="207"/>
      <c r="J900" s="207"/>
      <c r="K900" s="207"/>
      <c r="L900" s="207"/>
      <c r="M900" s="207"/>
      <c r="N900" s="207"/>
      <c r="O900" s="207"/>
      <c r="P900" s="207"/>
      <c r="Q900" s="207"/>
      <c r="R900" s="207"/>
      <c r="S900" s="207"/>
      <c r="T900" s="207"/>
      <c r="U900" s="207"/>
      <c r="V900" s="207"/>
      <c r="W900" s="207"/>
      <c r="X900" s="207"/>
      <c r="Y900" s="207"/>
      <c r="Z900" s="207"/>
      <c r="AA900" s="207"/>
      <c r="AB900" s="207"/>
      <c r="AC900" s="5"/>
      <c r="AD900" s="63"/>
      <c r="AE900" s="64"/>
      <c r="AF900" s="64"/>
      <c r="AG900" s="212"/>
      <c r="AH900" s="64"/>
      <c r="AI900" s="64"/>
      <c r="AJ900" s="227"/>
      <c r="AK900" s="64"/>
      <c r="AL900" s="64"/>
      <c r="AM900" s="212"/>
      <c r="AN900" s="64"/>
      <c r="AO900" s="64"/>
      <c r="AP900" s="63"/>
      <c r="AQ900" s="64"/>
      <c r="AR900" s="63"/>
      <c r="AS900" s="64"/>
      <c r="AT900" s="63"/>
      <c r="AU900" s="64"/>
      <c r="AV900" s="63"/>
      <c r="AW900" s="64"/>
      <c r="AX900" s="63"/>
      <c r="AY900" s="5"/>
      <c r="AZ900" s="21" t="str">
        <f t="shared" si="658"/>
        <v/>
      </c>
      <c r="BA900" s="264" t="s">
        <v>451</v>
      </c>
      <c r="BB900" s="264"/>
      <c r="BC900" s="264"/>
      <c r="BD900" s="264"/>
      <c r="BE900" s="16" t="s">
        <v>72</v>
      </c>
      <c r="BF900" s="55"/>
      <c r="BG900" s="55"/>
      <c r="BH900" s="55"/>
      <c r="BI900" s="55"/>
      <c r="BJ900" s="55"/>
      <c r="BK900" s="55"/>
      <c r="BL900" s="55"/>
      <c r="BM900" s="55"/>
      <c r="BN900" s="55"/>
      <c r="BO900" s="55"/>
      <c r="BP900" s="55"/>
      <c r="BQ900" s="5"/>
      <c r="BR900" s="25"/>
      <c r="BS900" s="5"/>
    </row>
    <row r="901" spans="1:71" s="3" customFormat="1" x14ac:dyDescent="0.25">
      <c r="A901" s="5"/>
      <c r="B901" s="3" t="str">
        <f t="array" ref="B901">IFERROR(INDEX(DemandSupply,MATCH(INDEX($AH$1:AH901,SMALL(ROW($AH$1:AH901)+(10000*($AH$1:AH901="")),COUNTA($AH$1:AH901))),Sectors,0)),"")</f>
        <v>Supply</v>
      </c>
      <c r="E901" s="10"/>
      <c r="F901" s="207"/>
      <c r="G901" s="207"/>
      <c r="H901" s="207"/>
      <c r="I901" s="207"/>
      <c r="J901" s="207"/>
      <c r="K901" s="207"/>
      <c r="L901" s="207"/>
      <c r="M901" s="207"/>
      <c r="N901" s="207"/>
      <c r="O901" s="207"/>
      <c r="P901" s="207"/>
      <c r="Q901" s="207"/>
      <c r="R901" s="207"/>
      <c r="S901" s="207"/>
      <c r="T901" s="207"/>
      <c r="U901" s="207"/>
      <c r="V901" s="207"/>
      <c r="W901" s="207"/>
      <c r="X901" s="207"/>
      <c r="Y901" s="207"/>
      <c r="Z901" s="207"/>
      <c r="AA901" s="207"/>
      <c r="AB901" s="207"/>
      <c r="AC901" s="5"/>
      <c r="AD901" s="63"/>
      <c r="AE901" s="64"/>
      <c r="AF901" s="64"/>
      <c r="AG901" s="212"/>
      <c r="AH901" s="64"/>
      <c r="AI901" s="64"/>
      <c r="AJ901" s="227"/>
      <c r="AK901" s="64"/>
      <c r="AL901" s="64"/>
      <c r="AM901" s="212"/>
      <c r="AN901" s="64"/>
      <c r="AO901" s="64"/>
      <c r="AP901" s="63"/>
      <c r="AQ901" s="64"/>
      <c r="AR901" s="63"/>
      <c r="AS901" s="64"/>
      <c r="AT901" s="63"/>
      <c r="AU901" s="64"/>
      <c r="AV901" s="63"/>
      <c r="AW901" s="64"/>
      <c r="AX901" s="63"/>
      <c r="AY901" s="5"/>
      <c r="AZ901" s="21" t="str">
        <f t="shared" si="658"/>
        <v/>
      </c>
      <c r="BA901" s="264" t="s">
        <v>342</v>
      </c>
      <c r="BB901" s="264"/>
      <c r="BC901" s="264"/>
      <c r="BD901" s="264" t="s">
        <v>370</v>
      </c>
      <c r="BE901" s="16" t="s">
        <v>72</v>
      </c>
      <c r="BF901" s="56"/>
      <c r="BG901" s="56"/>
      <c r="BH901" s="56"/>
      <c r="BI901" s="56"/>
      <c r="BJ901" s="56"/>
      <c r="BK901" s="56"/>
      <c r="BL901" s="56"/>
      <c r="BM901" s="56"/>
      <c r="BN901" s="56"/>
      <c r="BO901" s="56"/>
      <c r="BP901" s="56"/>
      <c r="BQ901" s="5"/>
      <c r="BR901" s="25"/>
      <c r="BS901" s="5"/>
    </row>
    <row r="902" spans="1:71" s="3" customFormat="1" x14ac:dyDescent="0.25">
      <c r="A902" s="5"/>
      <c r="B902" s="3" t="str">
        <f t="array" ref="B902">IFERROR(INDEX(DemandSupply,MATCH(INDEX($AH$1:AH902,SMALL(ROW($AH$1:AH902)+(10000*($AH$1:AH902="")),COUNTA($AH$1:AH902))),Sectors,0)),"")</f>
        <v>Supply</v>
      </c>
      <c r="E902" s="10"/>
      <c r="F902" s="207"/>
      <c r="G902" s="207"/>
      <c r="H902" s="207"/>
      <c r="I902" s="207"/>
      <c r="J902" s="207"/>
      <c r="K902" s="207"/>
      <c r="L902" s="207"/>
      <c r="M902" s="207"/>
      <c r="N902" s="207"/>
      <c r="O902" s="207"/>
      <c r="P902" s="207"/>
      <c r="Q902" s="207"/>
      <c r="R902" s="207"/>
      <c r="S902" s="207"/>
      <c r="T902" s="207"/>
      <c r="U902" s="207"/>
      <c r="V902" s="207"/>
      <c r="W902" s="207"/>
      <c r="X902" s="207"/>
      <c r="Y902" s="207"/>
      <c r="Z902" s="207"/>
      <c r="AA902" s="207"/>
      <c r="AB902" s="207"/>
      <c r="AC902" s="5"/>
      <c r="AD902" s="63"/>
      <c r="AE902" s="64"/>
      <c r="AF902" s="64"/>
      <c r="AG902" s="212"/>
      <c r="AH902" s="64"/>
      <c r="AI902" s="64"/>
      <c r="AJ902" s="227"/>
      <c r="AK902" s="64"/>
      <c r="AL902" s="64"/>
      <c r="AM902" s="212"/>
      <c r="AN902" s="64"/>
      <c r="AO902" s="64"/>
      <c r="AP902" s="63"/>
      <c r="AQ902" s="64"/>
      <c r="AR902" s="63"/>
      <c r="AS902" s="64"/>
      <c r="AT902" s="63"/>
      <c r="AU902" s="64"/>
      <c r="AV902" s="63"/>
      <c r="AW902" s="64"/>
      <c r="AX902" s="63"/>
      <c r="AY902" s="5"/>
      <c r="AZ902" s="21" t="str">
        <f t="shared" si="658"/>
        <v/>
      </c>
      <c r="BA902" s="264" t="s">
        <v>394</v>
      </c>
      <c r="BB902" s="264"/>
      <c r="BC902" s="264"/>
      <c r="BD902" s="264" t="s">
        <v>354</v>
      </c>
      <c r="BE902" s="16" t="s">
        <v>72</v>
      </c>
      <c r="BF902" s="56"/>
      <c r="BG902" s="56"/>
      <c r="BH902" s="56"/>
      <c r="BI902" s="56"/>
      <c r="BJ902" s="56"/>
      <c r="BK902" s="56"/>
      <c r="BL902" s="56"/>
      <c r="BM902" s="56"/>
      <c r="BN902" s="56"/>
      <c r="BO902" s="56"/>
      <c r="BP902" s="56"/>
      <c r="BQ902" s="5"/>
      <c r="BR902" s="25"/>
      <c r="BS902" s="5"/>
    </row>
    <row r="903" spans="1:71" s="3" customFormat="1" x14ac:dyDescent="0.25">
      <c r="A903" s="5"/>
      <c r="B903" s="3" t="str">
        <f t="array" ref="B903">IFERROR(INDEX(DemandSupply,MATCH(INDEX($AH$1:AH903,SMALL(ROW($AH$1:AH903)+(10000*($AH$1:AH903="")),COUNTA($AH$1:AH903))),Sectors,0)),"")</f>
        <v>Supply</v>
      </c>
      <c r="E903" s="10">
        <f t="shared" si="653"/>
        <v>0</v>
      </c>
      <c r="F903" s="207">
        <v>1</v>
      </c>
      <c r="G903" s="207">
        <v>1</v>
      </c>
      <c r="H903" s="207">
        <v>1</v>
      </c>
      <c r="I903" s="207">
        <v>1</v>
      </c>
      <c r="J903" s="207">
        <v>1</v>
      </c>
      <c r="K903" s="207">
        <v>1</v>
      </c>
      <c r="L903" s="207">
        <v>1</v>
      </c>
      <c r="M903" s="207">
        <v>1</v>
      </c>
      <c r="N903" s="207">
        <v>1</v>
      </c>
      <c r="O903" s="207">
        <v>1</v>
      </c>
      <c r="P903" s="207">
        <v>1</v>
      </c>
      <c r="Q903" s="207">
        <v>1</v>
      </c>
      <c r="R903" s="207">
        <v>1</v>
      </c>
      <c r="S903" s="207">
        <v>1</v>
      </c>
      <c r="T903" s="207">
        <v>1</v>
      </c>
      <c r="U903" s="207">
        <v>1</v>
      </c>
      <c r="V903" s="207">
        <v>1</v>
      </c>
      <c r="W903" s="207">
        <v>1</v>
      </c>
      <c r="X903" s="207">
        <v>1</v>
      </c>
      <c r="Y903" s="207">
        <v>1</v>
      </c>
      <c r="Z903" s="207">
        <v>1</v>
      </c>
      <c r="AA903" s="207">
        <v>1</v>
      </c>
      <c r="AB903" s="207">
        <v>1</v>
      </c>
      <c r="AC903" s="5"/>
      <c r="AD903" s="63"/>
      <c r="AE903" s="64"/>
      <c r="AF903" s="64"/>
      <c r="AG903" s="212"/>
      <c r="AH903" s="64"/>
      <c r="AI903" s="65"/>
      <c r="AJ903" s="227"/>
      <c r="AK903" s="65"/>
      <c r="AL903" s="80"/>
      <c r="AM903" s="212"/>
      <c r="AN903" s="63"/>
      <c r="AO903" s="64"/>
      <c r="AP903" s="63"/>
      <c r="AQ903" s="64"/>
      <c r="AR903" s="63"/>
      <c r="AS903" s="64"/>
      <c r="AT903" s="63"/>
      <c r="AU903" s="64"/>
      <c r="AV903" s="63"/>
      <c r="AW903" s="64"/>
      <c r="AX903" s="63"/>
      <c r="AY903" s="5"/>
      <c r="AZ903" s="21" t="str">
        <f t="shared" si="658"/>
        <v/>
      </c>
      <c r="BA903" s="2" t="s">
        <v>338</v>
      </c>
      <c r="BB903" s="13"/>
      <c r="BC903" s="2" t="s">
        <v>197</v>
      </c>
      <c r="BD903" s="2" t="s">
        <v>380</v>
      </c>
      <c r="BE903" s="16" t="s">
        <v>72</v>
      </c>
      <c r="BF903" s="315">
        <v>1</v>
      </c>
      <c r="BG903" s="315">
        <f>BF903</f>
        <v>1</v>
      </c>
      <c r="BH903" s="315">
        <f t="shared" ref="BH903:BP903" si="663">BG903</f>
        <v>1</v>
      </c>
      <c r="BI903" s="315">
        <f t="shared" si="663"/>
        <v>1</v>
      </c>
      <c r="BJ903" s="315">
        <f t="shared" si="663"/>
        <v>1</v>
      </c>
      <c r="BK903" s="315">
        <f t="shared" si="663"/>
        <v>1</v>
      </c>
      <c r="BL903" s="315">
        <f t="shared" si="663"/>
        <v>1</v>
      </c>
      <c r="BM903" s="315">
        <f t="shared" si="663"/>
        <v>1</v>
      </c>
      <c r="BN903" s="315">
        <f t="shared" si="663"/>
        <v>1</v>
      </c>
      <c r="BO903" s="315">
        <f t="shared" si="663"/>
        <v>1</v>
      </c>
      <c r="BP903" s="315">
        <f t="shared" si="663"/>
        <v>1</v>
      </c>
      <c r="BQ903" s="5"/>
      <c r="BR903" s="13"/>
      <c r="BS903" s="5"/>
    </row>
    <row r="904" spans="1:71" s="3" customFormat="1" x14ac:dyDescent="0.25">
      <c r="A904" s="5"/>
      <c r="B904" s="3" t="str">
        <f t="array" ref="B904">IFERROR(INDEX(DemandSupply,MATCH(INDEX($AH$1:AH904,SMALL(ROW($AH$1:AH904)+(10000*($AH$1:AH904="")),COUNTA($AH$1:AH904))),Sectors,0)),"")</f>
        <v>Supply</v>
      </c>
      <c r="E904" s="10">
        <f t="shared" si="653"/>
        <v>0</v>
      </c>
      <c r="F904" s="207">
        <v>1</v>
      </c>
      <c r="G904" s="207">
        <v>1</v>
      </c>
      <c r="H904" s="207">
        <v>1</v>
      </c>
      <c r="I904" s="207">
        <v>1</v>
      </c>
      <c r="J904" s="207">
        <v>1</v>
      </c>
      <c r="K904" s="207">
        <v>1</v>
      </c>
      <c r="L904" s="207">
        <v>1</v>
      </c>
      <c r="M904" s="207">
        <v>1</v>
      </c>
      <c r="N904" s="207">
        <v>1</v>
      </c>
      <c r="O904" s="207">
        <v>1</v>
      </c>
      <c r="P904" s="207">
        <v>1</v>
      </c>
      <c r="Q904" s="207">
        <v>1</v>
      </c>
      <c r="R904" s="207">
        <v>1</v>
      </c>
      <c r="S904" s="207">
        <v>1</v>
      </c>
      <c r="T904" s="207">
        <v>1</v>
      </c>
      <c r="U904" s="207">
        <v>1</v>
      </c>
      <c r="V904" s="207">
        <v>1</v>
      </c>
      <c r="W904" s="207">
        <v>1</v>
      </c>
      <c r="X904" s="207">
        <v>1</v>
      </c>
      <c r="Y904" s="207">
        <v>1</v>
      </c>
      <c r="Z904" s="207">
        <v>1</v>
      </c>
      <c r="AA904" s="207">
        <v>1</v>
      </c>
      <c r="AB904" s="207">
        <v>1</v>
      </c>
      <c r="AC904" s="5"/>
      <c r="AD904" s="63"/>
      <c r="AE904" s="64"/>
      <c r="AF904" s="64"/>
      <c r="AG904" s="212"/>
      <c r="AH904" s="64"/>
      <c r="AI904" s="65"/>
      <c r="AJ904" s="227"/>
      <c r="AK904" s="65"/>
      <c r="AL904" s="80"/>
      <c r="AM904" s="212"/>
      <c r="AN904" s="63"/>
      <c r="AO904" s="64"/>
      <c r="AP904" s="63"/>
      <c r="AQ904" s="64"/>
      <c r="AR904" s="63"/>
      <c r="AS904" s="64"/>
      <c r="AT904" s="63"/>
      <c r="AU904" s="64"/>
      <c r="AV904" s="63"/>
      <c r="AW904" s="64"/>
      <c r="AX904" s="63"/>
      <c r="AY904" s="5"/>
      <c r="AZ904" s="21" t="str">
        <f t="shared" si="658"/>
        <v/>
      </c>
      <c r="BA904" s="292" t="s">
        <v>75</v>
      </c>
      <c r="BB904" s="201"/>
      <c r="BC904" s="198"/>
      <c r="BD904" s="198"/>
      <c r="BE904" s="199" t="s">
        <v>73</v>
      </c>
      <c r="BF904" s="198"/>
      <c r="BG904" s="198"/>
      <c r="BH904" s="198"/>
      <c r="BI904" s="198"/>
      <c r="BJ904" s="198"/>
      <c r="BK904" s="198"/>
      <c r="BL904" s="198"/>
      <c r="BM904" s="198"/>
      <c r="BN904" s="198"/>
      <c r="BO904" s="198"/>
      <c r="BP904" s="198"/>
      <c r="BQ904" s="5"/>
      <c r="BR904" s="13"/>
      <c r="BS904" s="5"/>
    </row>
    <row r="905" spans="1:71" s="3" customFormat="1" x14ac:dyDescent="0.25">
      <c r="A905" s="5"/>
      <c r="B905" s="3" t="str">
        <f t="array" ref="B905">IFERROR(INDEX(DemandSupply,MATCH(INDEX($AH$1:AH905,SMALL(ROW($AH$1:AH905)+(10000*($AH$1:AH905="")),COUNTA($AH$1:AH905))),Sectors,0)),"")</f>
        <v>Supply</v>
      </c>
      <c r="E905" s="10"/>
      <c r="F905" s="207"/>
      <c r="G905" s="207"/>
      <c r="H905" s="207"/>
      <c r="I905" s="207"/>
      <c r="J905" s="207"/>
      <c r="K905" s="207"/>
      <c r="L905" s="207"/>
      <c r="M905" s="207"/>
      <c r="N905" s="207"/>
      <c r="O905" s="207"/>
      <c r="P905" s="207"/>
      <c r="Q905" s="207"/>
      <c r="R905" s="207"/>
      <c r="S905" s="207"/>
      <c r="T905" s="207"/>
      <c r="U905" s="207"/>
      <c r="V905" s="207"/>
      <c r="W905" s="207"/>
      <c r="X905" s="207"/>
      <c r="Y905" s="207"/>
      <c r="Z905" s="207"/>
      <c r="AA905" s="207"/>
      <c r="AB905" s="207"/>
      <c r="AC905" s="5"/>
      <c r="AD905" s="63"/>
      <c r="AE905" s="64"/>
      <c r="AF905" s="64"/>
      <c r="AG905" s="212"/>
      <c r="AH905" s="64"/>
      <c r="AI905" s="64"/>
      <c r="AJ905" s="227"/>
      <c r="AK905" s="64"/>
      <c r="AL905" s="64"/>
      <c r="AM905" s="212"/>
      <c r="AN905" s="64"/>
      <c r="AO905" s="64"/>
      <c r="AP905" s="63"/>
      <c r="AQ905" s="64"/>
      <c r="AR905" s="63"/>
      <c r="AS905" s="64"/>
      <c r="AT905" s="63"/>
      <c r="AU905" s="64"/>
      <c r="AV905" s="63"/>
      <c r="AW905" s="64"/>
      <c r="AX905" s="63"/>
      <c r="AY905" s="5"/>
      <c r="AZ905" s="21" t="str">
        <f t="shared" si="658"/>
        <v/>
      </c>
      <c r="BA905" s="264" t="s">
        <v>38</v>
      </c>
      <c r="BB905" s="264"/>
      <c r="BC905" s="264"/>
      <c r="BD905" s="264" t="s">
        <v>40</v>
      </c>
      <c r="BE905" s="16" t="s">
        <v>73</v>
      </c>
      <c r="BF905" s="311">
        <v>2000</v>
      </c>
      <c r="BG905" s="310">
        <f t="shared" ref="BG905:BP905" si="664">BF905</f>
        <v>2000</v>
      </c>
      <c r="BH905" s="310">
        <f t="shared" si="664"/>
        <v>2000</v>
      </c>
      <c r="BI905" s="310">
        <f t="shared" si="664"/>
        <v>2000</v>
      </c>
      <c r="BJ905" s="310">
        <f t="shared" si="664"/>
        <v>2000</v>
      </c>
      <c r="BK905" s="310">
        <f t="shared" si="664"/>
        <v>2000</v>
      </c>
      <c r="BL905" s="310">
        <f t="shared" si="664"/>
        <v>2000</v>
      </c>
      <c r="BM905" s="310">
        <f t="shared" si="664"/>
        <v>2000</v>
      </c>
      <c r="BN905" s="310">
        <f t="shared" si="664"/>
        <v>2000</v>
      </c>
      <c r="BO905" s="310">
        <f t="shared" si="664"/>
        <v>2000</v>
      </c>
      <c r="BP905" s="310">
        <f t="shared" si="664"/>
        <v>2000</v>
      </c>
      <c r="BQ905" s="5"/>
      <c r="BR905" s="25"/>
      <c r="BS905" s="5"/>
    </row>
    <row r="906" spans="1:71" s="3" customFormat="1" x14ac:dyDescent="0.25">
      <c r="A906" s="5"/>
      <c r="B906" s="3" t="str">
        <f t="array" ref="B906">IFERROR(INDEX(DemandSupply,MATCH(INDEX($AH$1:AH906,SMALL(ROW($AH$1:AH906)+(10000*($AH$1:AH906="")),COUNTA($AH$1:AH906))),Sectors,0)),"")</f>
        <v>Supply</v>
      </c>
      <c r="E906" s="10"/>
      <c r="F906" s="207"/>
      <c r="G906" s="207"/>
      <c r="H906" s="207"/>
      <c r="I906" s="207"/>
      <c r="J906" s="207"/>
      <c r="K906" s="207"/>
      <c r="L906" s="207"/>
      <c r="M906" s="207"/>
      <c r="N906" s="207"/>
      <c r="O906" s="207"/>
      <c r="P906" s="207"/>
      <c r="Q906" s="207"/>
      <c r="R906" s="207"/>
      <c r="S906" s="207"/>
      <c r="T906" s="207"/>
      <c r="U906" s="207"/>
      <c r="V906" s="207"/>
      <c r="W906" s="207"/>
      <c r="X906" s="207"/>
      <c r="Y906" s="207"/>
      <c r="Z906" s="207"/>
      <c r="AA906" s="207"/>
      <c r="AB906" s="207"/>
      <c r="AC906" s="5"/>
      <c r="AD906" s="63"/>
      <c r="AE906" s="64"/>
      <c r="AF906" s="64"/>
      <c r="AG906" s="212"/>
      <c r="AH906" s="64"/>
      <c r="AI906" s="64"/>
      <c r="AJ906" s="227"/>
      <c r="AK906" s="64"/>
      <c r="AL906" s="64"/>
      <c r="AM906" s="212"/>
      <c r="AN906" s="64"/>
      <c r="AO906" s="64"/>
      <c r="AP906" s="63"/>
      <c r="AQ906" s="64"/>
      <c r="AR906" s="63"/>
      <c r="AS906" s="64"/>
      <c r="AT906" s="63"/>
      <c r="AU906" s="64"/>
      <c r="AV906" s="63"/>
      <c r="AW906" s="64"/>
      <c r="AX906" s="63"/>
      <c r="AY906" s="5"/>
      <c r="AZ906" s="21" t="str">
        <f t="shared" si="658"/>
        <v/>
      </c>
      <c r="BA906" s="264" t="s">
        <v>37</v>
      </c>
      <c r="BB906" s="264"/>
      <c r="BC906" s="264"/>
      <c r="BD906" s="264" t="s">
        <v>40</v>
      </c>
      <c r="BE906" s="16" t="s">
        <v>73</v>
      </c>
      <c r="BF906" s="311">
        <v>2100</v>
      </c>
      <c r="BG906" s="310">
        <f t="shared" ref="BG906:BP906" si="665">BF906</f>
        <v>2100</v>
      </c>
      <c r="BH906" s="310">
        <f t="shared" si="665"/>
        <v>2100</v>
      </c>
      <c r="BI906" s="310">
        <f t="shared" si="665"/>
        <v>2100</v>
      </c>
      <c r="BJ906" s="310">
        <f t="shared" si="665"/>
        <v>2100</v>
      </c>
      <c r="BK906" s="310">
        <f t="shared" si="665"/>
        <v>2100</v>
      </c>
      <c r="BL906" s="310">
        <f t="shared" si="665"/>
        <v>2100</v>
      </c>
      <c r="BM906" s="310">
        <f t="shared" si="665"/>
        <v>2100</v>
      </c>
      <c r="BN906" s="310">
        <f t="shared" si="665"/>
        <v>2100</v>
      </c>
      <c r="BO906" s="310">
        <f t="shared" si="665"/>
        <v>2100</v>
      </c>
      <c r="BP906" s="310">
        <f t="shared" si="665"/>
        <v>2100</v>
      </c>
      <c r="BQ906" s="5"/>
      <c r="BR906" s="25"/>
      <c r="BS906" s="5"/>
    </row>
    <row r="907" spans="1:71" s="3" customFormat="1" x14ac:dyDescent="0.25">
      <c r="A907" s="5"/>
      <c r="B907" s="3" t="str">
        <f t="array" ref="B907">IFERROR(INDEX(DemandSupply,MATCH(INDEX($AH$1:AH907,SMALL(ROW($AH$1:AH907)+(10000*($AH$1:AH907="")),COUNTA($AH$1:AH907))),Sectors,0)),"")</f>
        <v>Supply</v>
      </c>
      <c r="E907" s="10"/>
      <c r="F907" s="207"/>
      <c r="G907" s="207"/>
      <c r="H907" s="207"/>
      <c r="I907" s="207"/>
      <c r="J907" s="207"/>
      <c r="K907" s="207"/>
      <c r="L907" s="207"/>
      <c r="M907" s="207"/>
      <c r="N907" s="207"/>
      <c r="O907" s="207"/>
      <c r="P907" s="207"/>
      <c r="Q907" s="207"/>
      <c r="R907" s="207"/>
      <c r="S907" s="207"/>
      <c r="T907" s="207"/>
      <c r="U907" s="207"/>
      <c r="V907" s="207"/>
      <c r="W907" s="207"/>
      <c r="X907" s="207"/>
      <c r="Y907" s="207"/>
      <c r="Z907" s="207"/>
      <c r="AA907" s="207"/>
      <c r="AB907" s="207"/>
      <c r="AC907" s="5"/>
      <c r="AD907" s="63"/>
      <c r="AE907" s="64"/>
      <c r="AF907" s="64"/>
      <c r="AG907" s="212"/>
      <c r="AH907" s="64"/>
      <c r="AI907" s="64"/>
      <c r="AJ907" s="227"/>
      <c r="AK907" s="64"/>
      <c r="AL907" s="64"/>
      <c r="AM907" s="212"/>
      <c r="AN907" s="64"/>
      <c r="AO907" s="64"/>
      <c r="AP907" s="63"/>
      <c r="AQ907" s="64"/>
      <c r="AR907" s="63"/>
      <c r="AS907" s="64"/>
      <c r="AT907" s="63"/>
      <c r="AU907" s="64"/>
      <c r="AV907" s="63"/>
      <c r="AW907" s="64"/>
      <c r="AX907" s="63"/>
      <c r="AY907" s="5"/>
      <c r="AZ907" s="21" t="str">
        <f t="shared" si="658"/>
        <v/>
      </c>
      <c r="BA907" s="264" t="s">
        <v>39</v>
      </c>
      <c r="BB907" s="264"/>
      <c r="BC907" s="264"/>
      <c r="BD907" s="264" t="s">
        <v>10</v>
      </c>
      <c r="BE907" s="16" t="s">
        <v>73</v>
      </c>
      <c r="BF907" s="56"/>
      <c r="BG907" s="56"/>
      <c r="BH907" s="56"/>
      <c r="BI907" s="56"/>
      <c r="BJ907" s="56"/>
      <c r="BK907" s="56"/>
      <c r="BL907" s="56"/>
      <c r="BM907" s="56"/>
      <c r="BN907" s="56"/>
      <c r="BO907" s="56"/>
      <c r="BP907" s="56"/>
      <c r="BQ907" s="5"/>
      <c r="BR907" s="25"/>
      <c r="BS907" s="5"/>
    </row>
    <row r="908" spans="1:71" s="3" customFormat="1" x14ac:dyDescent="0.25">
      <c r="A908" s="5"/>
      <c r="B908" s="3" t="str">
        <f t="array" ref="B908">IFERROR(INDEX(DemandSupply,MATCH(INDEX($AH$1:AH908,SMALL(ROW($AH$1:AH908)+(10000*($AH$1:AH908="")),COUNTA($AH$1:AH908))),Sectors,0)),"")</f>
        <v>Supply</v>
      </c>
      <c r="E908" s="10"/>
      <c r="F908" s="207"/>
      <c r="G908" s="207"/>
      <c r="H908" s="207"/>
      <c r="I908" s="207"/>
      <c r="J908" s="207"/>
      <c r="K908" s="207"/>
      <c r="L908" s="207"/>
      <c r="M908" s="207"/>
      <c r="N908" s="207"/>
      <c r="O908" s="207"/>
      <c r="P908" s="207"/>
      <c r="Q908" s="207"/>
      <c r="R908" s="207"/>
      <c r="S908" s="207"/>
      <c r="T908" s="207"/>
      <c r="U908" s="207"/>
      <c r="V908" s="207"/>
      <c r="W908" s="207"/>
      <c r="X908" s="207"/>
      <c r="Y908" s="207"/>
      <c r="Z908" s="207"/>
      <c r="AA908" s="207"/>
      <c r="AB908" s="207"/>
      <c r="AC908" s="5"/>
      <c r="AD908" s="63"/>
      <c r="AE908" s="64"/>
      <c r="AF908" s="64"/>
      <c r="AG908" s="212"/>
      <c r="AH908" s="64"/>
      <c r="AI908" s="64"/>
      <c r="AJ908" s="227"/>
      <c r="AK908" s="64"/>
      <c r="AL908" s="64"/>
      <c r="AM908" s="212"/>
      <c r="AN908" s="64"/>
      <c r="AO908" s="64"/>
      <c r="AP908" s="63"/>
      <c r="AQ908" s="64"/>
      <c r="AR908" s="63"/>
      <c r="AS908" s="64"/>
      <c r="AT908" s="63"/>
      <c r="AU908" s="64"/>
      <c r="AV908" s="63"/>
      <c r="AW908" s="64"/>
      <c r="AX908" s="63"/>
      <c r="AY908" s="5"/>
      <c r="AZ908" s="21" t="str">
        <f t="shared" si="658"/>
        <v/>
      </c>
      <c r="BA908" s="264" t="s">
        <v>395</v>
      </c>
      <c r="BB908" s="264"/>
      <c r="BC908" s="264"/>
      <c r="BD908" s="264" t="s">
        <v>10</v>
      </c>
      <c r="BE908" s="16" t="s">
        <v>73</v>
      </c>
      <c r="BF908" s="56"/>
      <c r="BG908" s="56"/>
      <c r="BH908" s="56"/>
      <c r="BI908" s="56"/>
      <c r="BJ908" s="56"/>
      <c r="BK908" s="56"/>
      <c r="BL908" s="56"/>
      <c r="BM908" s="56"/>
      <c r="BN908" s="56"/>
      <c r="BO908" s="56"/>
      <c r="BP908" s="56"/>
      <c r="BQ908" s="5"/>
      <c r="BR908" s="25"/>
      <c r="BS908" s="5"/>
    </row>
    <row r="909" spans="1:71" s="3" customFormat="1" x14ac:dyDescent="0.25">
      <c r="A909" s="5"/>
      <c r="B909" s="3" t="str">
        <f t="array" ref="B909">IFERROR(INDEX(DemandSupply,MATCH(INDEX($AH$1:AH909,SMALL(ROW($AH$1:AH909)+(10000*($AH$1:AH909="")),COUNTA($AH$1:AH909))),Sectors,0)),"")</f>
        <v>Supply</v>
      </c>
      <c r="E909" s="10"/>
      <c r="F909" s="207"/>
      <c r="G909" s="207"/>
      <c r="H909" s="207"/>
      <c r="I909" s="207"/>
      <c r="J909" s="207"/>
      <c r="K909" s="207"/>
      <c r="L909" s="207"/>
      <c r="M909" s="207"/>
      <c r="N909" s="207"/>
      <c r="O909" s="207"/>
      <c r="P909" s="207"/>
      <c r="Q909" s="207"/>
      <c r="R909" s="207"/>
      <c r="S909" s="207"/>
      <c r="T909" s="207"/>
      <c r="U909" s="207"/>
      <c r="V909" s="207"/>
      <c r="W909" s="207"/>
      <c r="X909" s="207"/>
      <c r="Y909" s="207"/>
      <c r="Z909" s="207"/>
      <c r="AA909" s="207"/>
      <c r="AB909" s="207"/>
      <c r="AC909" s="5"/>
      <c r="AD909" s="63"/>
      <c r="AE909" s="64"/>
      <c r="AF909" s="64"/>
      <c r="AG909" s="212"/>
      <c r="AH909" s="64"/>
      <c r="AI909" s="64"/>
      <c r="AJ909" s="227"/>
      <c r="AK909" s="64"/>
      <c r="AL909" s="64"/>
      <c r="AM909" s="212"/>
      <c r="AN909" s="64"/>
      <c r="AO909" s="64"/>
      <c r="AP909" s="63"/>
      <c r="AQ909" s="64"/>
      <c r="AR909" s="63"/>
      <c r="AS909" s="64"/>
      <c r="AT909" s="63"/>
      <c r="AU909" s="64"/>
      <c r="AV909" s="63"/>
      <c r="AW909" s="64"/>
      <c r="AX909" s="63"/>
      <c r="AY909" s="5"/>
      <c r="AZ909" s="21" t="str">
        <f t="shared" si="658"/>
        <v/>
      </c>
      <c r="BA909" s="264" t="s">
        <v>341</v>
      </c>
      <c r="BB909" s="264"/>
      <c r="BC909" s="264"/>
      <c r="BD909" s="264" t="s">
        <v>99</v>
      </c>
      <c r="BE909" s="16" t="s">
        <v>73</v>
      </c>
      <c r="BF909" s="303"/>
      <c r="BG909" s="303"/>
      <c r="BH909" s="303"/>
      <c r="BI909" s="303"/>
      <c r="BJ909" s="303"/>
      <c r="BK909" s="303"/>
      <c r="BL909" s="303"/>
      <c r="BM909" s="303"/>
      <c r="BN909" s="303"/>
      <c r="BO909" s="303"/>
      <c r="BP909" s="303"/>
      <c r="BQ909" s="5"/>
      <c r="BR909" s="25"/>
      <c r="BS909" s="5"/>
    </row>
    <row r="910" spans="1:71" s="3" customFormat="1" x14ac:dyDescent="0.25">
      <c r="A910" s="5"/>
      <c r="B910" s="3" t="str">
        <f t="array" ref="B910">IFERROR(INDEX(DemandSupply,MATCH(INDEX($AH$1:AH910,SMALL(ROW($AH$1:AH910)+(10000*($AH$1:AH910="")),COUNTA($AH$1:AH910))),Sectors,0)),"")</f>
        <v>Supply</v>
      </c>
      <c r="E910" s="10"/>
      <c r="F910" s="207"/>
      <c r="G910" s="207"/>
      <c r="H910" s="207"/>
      <c r="I910" s="207"/>
      <c r="J910" s="207"/>
      <c r="K910" s="207"/>
      <c r="L910" s="207"/>
      <c r="M910" s="207"/>
      <c r="N910" s="207"/>
      <c r="O910" s="207"/>
      <c r="P910" s="207"/>
      <c r="Q910" s="207"/>
      <c r="R910" s="207"/>
      <c r="S910" s="207"/>
      <c r="T910" s="207"/>
      <c r="U910" s="207"/>
      <c r="V910" s="207"/>
      <c r="W910" s="207"/>
      <c r="X910" s="207"/>
      <c r="Y910" s="207"/>
      <c r="Z910" s="207"/>
      <c r="AA910" s="207"/>
      <c r="AB910" s="207"/>
      <c r="AC910" s="5"/>
      <c r="AD910" s="63"/>
      <c r="AE910" s="64"/>
      <c r="AF910" s="64"/>
      <c r="AG910" s="212"/>
      <c r="AH910" s="64"/>
      <c r="AI910" s="64"/>
      <c r="AJ910" s="227"/>
      <c r="AK910" s="64"/>
      <c r="AL910" s="64"/>
      <c r="AM910" s="212"/>
      <c r="AN910" s="64"/>
      <c r="AO910" s="64"/>
      <c r="AP910" s="63"/>
      <c r="AQ910" s="64"/>
      <c r="AR910" s="63"/>
      <c r="AS910" s="64"/>
      <c r="AT910" s="63"/>
      <c r="AU910" s="64"/>
      <c r="AV910" s="63"/>
      <c r="AW910" s="64"/>
      <c r="AX910" s="63"/>
      <c r="AY910" s="5"/>
      <c r="AZ910" s="21" t="str">
        <f t="shared" si="658"/>
        <v/>
      </c>
      <c r="BA910" s="264" t="s">
        <v>392</v>
      </c>
      <c r="BB910" s="264"/>
      <c r="BC910" s="264"/>
      <c r="BD910" s="264" t="s">
        <v>99</v>
      </c>
      <c r="BE910" s="16" t="s">
        <v>73</v>
      </c>
      <c r="BF910" s="303"/>
      <c r="BG910" s="303"/>
      <c r="BH910" s="303"/>
      <c r="BI910" s="303"/>
      <c r="BJ910" s="303"/>
      <c r="BK910" s="303"/>
      <c r="BL910" s="303"/>
      <c r="BM910" s="303"/>
      <c r="BN910" s="303"/>
      <c r="BO910" s="303"/>
      <c r="BP910" s="303"/>
      <c r="BQ910" s="5"/>
      <c r="BR910" s="25"/>
      <c r="BS910" s="5"/>
    </row>
    <row r="911" spans="1:71" s="3" customFormat="1" x14ac:dyDescent="0.25">
      <c r="A911" s="5"/>
      <c r="B911" s="3" t="str">
        <f t="array" ref="B911">IFERROR(INDEX(DemandSupply,MATCH(INDEX($AH$1:AH911,SMALL(ROW($AH$1:AH911)+(10000*($AH$1:AH911="")),COUNTA($AH$1:AH911))),Sectors,0)),"")</f>
        <v>Supply</v>
      </c>
      <c r="E911" s="10"/>
      <c r="F911" s="207"/>
      <c r="G911" s="207"/>
      <c r="H911" s="207"/>
      <c r="I911" s="207"/>
      <c r="J911" s="207"/>
      <c r="K911" s="207"/>
      <c r="L911" s="207"/>
      <c r="M911" s="207"/>
      <c r="N911" s="207"/>
      <c r="O911" s="207"/>
      <c r="P911" s="207"/>
      <c r="Q911" s="207"/>
      <c r="R911" s="207"/>
      <c r="S911" s="207"/>
      <c r="T911" s="207"/>
      <c r="U911" s="207"/>
      <c r="V911" s="207"/>
      <c r="W911" s="207"/>
      <c r="X911" s="207"/>
      <c r="Y911" s="207"/>
      <c r="Z911" s="207"/>
      <c r="AA911" s="207"/>
      <c r="AB911" s="207"/>
      <c r="AC911" s="5"/>
      <c r="AD911" s="63"/>
      <c r="AE911" s="64"/>
      <c r="AF911" s="64"/>
      <c r="AG911" s="212"/>
      <c r="AH911" s="64"/>
      <c r="AI911" s="64"/>
      <c r="AJ911" s="227"/>
      <c r="AK911" s="64"/>
      <c r="AL911" s="64"/>
      <c r="AM911" s="212"/>
      <c r="AN911" s="64"/>
      <c r="AO911" s="64"/>
      <c r="AP911" s="63"/>
      <c r="AQ911" s="64"/>
      <c r="AR911" s="63"/>
      <c r="AS911" s="64"/>
      <c r="AT911" s="63"/>
      <c r="AU911" s="64"/>
      <c r="AV911" s="63"/>
      <c r="AW911" s="64"/>
      <c r="AX911" s="63"/>
      <c r="AY911" s="5"/>
      <c r="AZ911" s="21" t="str">
        <f t="shared" si="658"/>
        <v/>
      </c>
      <c r="BA911" s="264" t="s">
        <v>391</v>
      </c>
      <c r="BB911" s="264"/>
      <c r="BC911" s="264"/>
      <c r="BD911" s="264" t="s">
        <v>99</v>
      </c>
      <c r="BE911" s="16" t="s">
        <v>73</v>
      </c>
      <c r="BF911" s="303"/>
      <c r="BG911" s="303"/>
      <c r="BH911" s="303"/>
      <c r="BI911" s="303"/>
      <c r="BJ911" s="303"/>
      <c r="BK911" s="303"/>
      <c r="BL911" s="303"/>
      <c r="BM911" s="303"/>
      <c r="BN911" s="303"/>
      <c r="BO911" s="303"/>
      <c r="BP911" s="303"/>
      <c r="BQ911" s="5"/>
      <c r="BR911" s="25"/>
      <c r="BS911" s="5"/>
    </row>
    <row r="912" spans="1:71" s="3" customFormat="1" x14ac:dyDescent="0.25">
      <c r="A912" s="5"/>
      <c r="B912" s="3" t="str">
        <f t="array" ref="B912">IFERROR(INDEX(DemandSupply,MATCH(INDEX($AH$1:AH912,SMALL(ROW($AH$1:AH912)+(10000*($AH$1:AH912="")),COUNTA($AH$1:AH912))),Sectors,0)),"")</f>
        <v>Supply</v>
      </c>
      <c r="E912" s="10"/>
      <c r="F912" s="207"/>
      <c r="G912" s="207"/>
      <c r="H912" s="207"/>
      <c r="I912" s="207"/>
      <c r="J912" s="207"/>
      <c r="K912" s="207"/>
      <c r="L912" s="207"/>
      <c r="M912" s="207"/>
      <c r="N912" s="207"/>
      <c r="O912" s="207"/>
      <c r="P912" s="207"/>
      <c r="Q912" s="207"/>
      <c r="R912" s="207"/>
      <c r="S912" s="207"/>
      <c r="T912" s="207"/>
      <c r="U912" s="207"/>
      <c r="V912" s="207"/>
      <c r="W912" s="207"/>
      <c r="X912" s="207"/>
      <c r="Y912" s="207"/>
      <c r="Z912" s="207"/>
      <c r="AA912" s="207"/>
      <c r="AB912" s="207"/>
      <c r="AC912" s="5"/>
      <c r="AD912" s="63"/>
      <c r="AE912" s="64"/>
      <c r="AF912" s="64"/>
      <c r="AG912" s="212"/>
      <c r="AH912" s="64"/>
      <c r="AI912" s="64"/>
      <c r="AJ912" s="227"/>
      <c r="AK912" s="64"/>
      <c r="AL912" s="64"/>
      <c r="AM912" s="212"/>
      <c r="AN912" s="64"/>
      <c r="AO912" s="64"/>
      <c r="AP912" s="63"/>
      <c r="AQ912" s="64"/>
      <c r="AR912" s="63"/>
      <c r="AS912" s="64"/>
      <c r="AT912" s="63"/>
      <c r="AU912" s="64"/>
      <c r="AV912" s="63"/>
      <c r="AW912" s="64"/>
      <c r="AX912" s="63"/>
      <c r="AY912" s="5"/>
      <c r="AZ912" s="21" t="str">
        <f t="shared" si="658"/>
        <v/>
      </c>
      <c r="BA912" s="264" t="s">
        <v>144</v>
      </c>
      <c r="BB912" s="264"/>
      <c r="BC912" s="264"/>
      <c r="BD912" s="264" t="s">
        <v>219</v>
      </c>
      <c r="BE912" s="16" t="s">
        <v>73</v>
      </c>
      <c r="BF912" s="56"/>
      <c r="BG912" s="56"/>
      <c r="BH912" s="56"/>
      <c r="BI912" s="56"/>
      <c r="BJ912" s="56"/>
      <c r="BK912" s="56"/>
      <c r="BL912" s="56"/>
      <c r="BM912" s="56"/>
      <c r="BN912" s="56"/>
      <c r="BO912" s="56"/>
      <c r="BP912" s="56"/>
      <c r="BQ912" s="5"/>
      <c r="BR912" s="25"/>
      <c r="BS912" s="5"/>
    </row>
    <row r="913" spans="1:71" s="3" customFormat="1" x14ac:dyDescent="0.25">
      <c r="A913" s="5"/>
      <c r="B913" s="3" t="str">
        <f t="array" ref="B913">IFERROR(INDEX(DemandSupply,MATCH(INDEX($AH$1:AH913,SMALL(ROW($AH$1:AH913)+(10000*($AH$1:AH913="")),COUNTA($AH$1:AH913))),Sectors,0)),"")</f>
        <v>Supply</v>
      </c>
      <c r="E913" s="10"/>
      <c r="F913" s="207"/>
      <c r="G913" s="207"/>
      <c r="H913" s="207"/>
      <c r="I913" s="207"/>
      <c r="J913" s="207"/>
      <c r="K913" s="207"/>
      <c r="L913" s="207"/>
      <c r="M913" s="207"/>
      <c r="N913" s="207"/>
      <c r="O913" s="207"/>
      <c r="P913" s="207"/>
      <c r="Q913" s="207"/>
      <c r="R913" s="207"/>
      <c r="S913" s="207"/>
      <c r="T913" s="207"/>
      <c r="U913" s="207"/>
      <c r="V913" s="207"/>
      <c r="W913" s="207"/>
      <c r="X913" s="207"/>
      <c r="Y913" s="207"/>
      <c r="Z913" s="207"/>
      <c r="AA913" s="207"/>
      <c r="AB913" s="207"/>
      <c r="AC913" s="5"/>
      <c r="AD913" s="63"/>
      <c r="AE913" s="64"/>
      <c r="AF913" s="64"/>
      <c r="AG913" s="212"/>
      <c r="AH913" s="64"/>
      <c r="AI913" s="64"/>
      <c r="AJ913" s="227"/>
      <c r="AK913" s="64"/>
      <c r="AL913" s="64"/>
      <c r="AM913" s="212"/>
      <c r="AN913" s="64"/>
      <c r="AO913" s="64"/>
      <c r="AP913" s="63"/>
      <c r="AQ913" s="64"/>
      <c r="AR913" s="63"/>
      <c r="AS913" s="64"/>
      <c r="AT913" s="63"/>
      <c r="AU913" s="64"/>
      <c r="AV913" s="63"/>
      <c r="AW913" s="64"/>
      <c r="AX913" s="63"/>
      <c r="AY913" s="5"/>
      <c r="AZ913" s="21" t="str">
        <f t="shared" si="658"/>
        <v/>
      </c>
      <c r="BA913" s="264" t="s">
        <v>76</v>
      </c>
      <c r="BB913" s="264"/>
      <c r="BC913" s="264"/>
      <c r="BD913" s="264" t="s">
        <v>99</v>
      </c>
      <c r="BE913" s="16" t="s">
        <v>73</v>
      </c>
      <c r="BF913" s="303">
        <v>1.4999999999999999E-2</v>
      </c>
      <c r="BG913" s="303"/>
      <c r="BH913" s="303"/>
      <c r="BI913" s="303"/>
      <c r="BJ913" s="303"/>
      <c r="BK913" s="303"/>
      <c r="BL913" s="303"/>
      <c r="BM913" s="303"/>
      <c r="BN913" s="303"/>
      <c r="BO913" s="303"/>
      <c r="BP913" s="303"/>
      <c r="BQ913" s="5"/>
      <c r="BR913" s="25"/>
      <c r="BS913" s="5"/>
    </row>
    <row r="914" spans="1:71" s="3" customFormat="1" x14ac:dyDescent="0.25">
      <c r="A914" s="5"/>
      <c r="B914" s="3" t="str">
        <f t="array" ref="B914">IFERROR(INDEX(DemandSupply,MATCH(INDEX($AH$1:AH914,SMALL(ROW($AH$1:AH914)+(10000*($AH$1:AH914="")),COUNTA($AH$1:AH914))),Sectors,0)),"")</f>
        <v>Supply</v>
      </c>
      <c r="E914" s="10"/>
      <c r="F914" s="207"/>
      <c r="G914" s="207"/>
      <c r="H914" s="207"/>
      <c r="I914" s="207"/>
      <c r="J914" s="207"/>
      <c r="K914" s="207"/>
      <c r="L914" s="207"/>
      <c r="M914" s="207"/>
      <c r="N914" s="207"/>
      <c r="O914" s="207"/>
      <c r="P914" s="207"/>
      <c r="Q914" s="207"/>
      <c r="R914" s="207"/>
      <c r="S914" s="207"/>
      <c r="T914" s="207"/>
      <c r="U914" s="207"/>
      <c r="V914" s="207"/>
      <c r="W914" s="207"/>
      <c r="X914" s="207"/>
      <c r="Y914" s="207"/>
      <c r="Z914" s="207"/>
      <c r="AA914" s="207"/>
      <c r="AB914" s="207"/>
      <c r="AC914" s="5"/>
      <c r="AD914" s="63"/>
      <c r="AE914" s="64"/>
      <c r="AF914" s="64"/>
      <c r="AG914" s="212"/>
      <c r="AH914" s="64"/>
      <c r="AI914" s="64"/>
      <c r="AJ914" s="227"/>
      <c r="AK914" s="64"/>
      <c r="AL914" s="64"/>
      <c r="AM914" s="212"/>
      <c r="AN914" s="64"/>
      <c r="AO914" s="64"/>
      <c r="AP914" s="63"/>
      <c r="AQ914" s="64"/>
      <c r="AR914" s="63"/>
      <c r="AS914" s="64"/>
      <c r="AT914" s="63"/>
      <c r="AU914" s="64"/>
      <c r="AV914" s="63"/>
      <c r="AW914" s="64"/>
      <c r="AX914" s="63"/>
      <c r="AY914" s="5"/>
      <c r="AZ914" s="21" t="str">
        <f t="shared" si="658"/>
        <v/>
      </c>
      <c r="BA914" s="75" t="s">
        <v>166</v>
      </c>
      <c r="BB914" s="75"/>
      <c r="BC914" s="270"/>
      <c r="BD914" s="75" t="s">
        <v>99</v>
      </c>
      <c r="BE914" s="16" t="s">
        <v>73</v>
      </c>
      <c r="BF914" s="303"/>
      <c r="BG914" s="303"/>
      <c r="BH914" s="303"/>
      <c r="BI914" s="303"/>
      <c r="BJ914" s="303"/>
      <c r="BK914" s="303"/>
      <c r="BL914" s="303"/>
      <c r="BM914" s="303"/>
      <c r="BN914" s="303"/>
      <c r="BO914" s="303"/>
      <c r="BP914" s="303"/>
      <c r="BQ914" s="5"/>
      <c r="BR914" s="25"/>
      <c r="BS914" s="5"/>
    </row>
    <row r="915" spans="1:71" s="3" customFormat="1" x14ac:dyDescent="0.25">
      <c r="A915" s="5"/>
      <c r="B915" s="3" t="str">
        <f t="array" ref="B915">IFERROR(INDEX(DemandSupply,MATCH(INDEX($AH$1:AH915,SMALL(ROW($AH$1:AH915)+(10000*($AH$1:AH915="")),COUNTA($AH$1:AH915))),Sectors,0)),"")</f>
        <v>Supply</v>
      </c>
      <c r="E915" s="10"/>
      <c r="F915" s="207"/>
      <c r="G915" s="207"/>
      <c r="H915" s="207"/>
      <c r="I915" s="207"/>
      <c r="J915" s="207"/>
      <c r="K915" s="207"/>
      <c r="L915" s="207"/>
      <c r="M915" s="207"/>
      <c r="N915" s="207"/>
      <c r="O915" s="207"/>
      <c r="P915" s="207"/>
      <c r="Q915" s="207"/>
      <c r="R915" s="207"/>
      <c r="S915" s="207"/>
      <c r="T915" s="207"/>
      <c r="U915" s="207"/>
      <c r="V915" s="207"/>
      <c r="W915" s="207"/>
      <c r="X915" s="207"/>
      <c r="Y915" s="207"/>
      <c r="Z915" s="207"/>
      <c r="AA915" s="207"/>
      <c r="AB915" s="207"/>
      <c r="AC915" s="5"/>
      <c r="AD915" s="63"/>
      <c r="AE915" s="64"/>
      <c r="AF915" s="64"/>
      <c r="AG915" s="212"/>
      <c r="AH915" s="64"/>
      <c r="AI915" s="64"/>
      <c r="AJ915" s="227"/>
      <c r="AK915" s="64"/>
      <c r="AL915" s="64"/>
      <c r="AM915" s="212"/>
      <c r="AN915" s="64"/>
      <c r="AO915" s="64"/>
      <c r="AP915" s="63"/>
      <c r="AQ915" s="64"/>
      <c r="AR915" s="63"/>
      <c r="AS915" s="64"/>
      <c r="AT915" s="63"/>
      <c r="AU915" s="64"/>
      <c r="AV915" s="63"/>
      <c r="AW915" s="64"/>
      <c r="AX915" s="63"/>
      <c r="AY915" s="5"/>
      <c r="AZ915" s="21" t="str">
        <f t="shared" si="658"/>
        <v/>
      </c>
      <c r="BA915" s="75" t="s">
        <v>167</v>
      </c>
      <c r="BB915" s="75"/>
      <c r="BC915" s="270"/>
      <c r="BD915" s="75" t="s">
        <v>99</v>
      </c>
      <c r="BE915" s="16" t="s">
        <v>73</v>
      </c>
      <c r="BF915" s="303"/>
      <c r="BG915" s="303"/>
      <c r="BH915" s="303"/>
      <c r="BI915" s="303"/>
      <c r="BJ915" s="303"/>
      <c r="BK915" s="303"/>
      <c r="BL915" s="303"/>
      <c r="BM915" s="303"/>
      <c r="BN915" s="303"/>
      <c r="BO915" s="303"/>
      <c r="BP915" s="303"/>
      <c r="BQ915" s="5"/>
      <c r="BR915" s="25"/>
      <c r="BS915" s="5"/>
    </row>
    <row r="916" spans="1:71" s="3" customFormat="1" x14ac:dyDescent="0.25">
      <c r="A916" s="5"/>
      <c r="B916" s="3" t="str">
        <f t="array" ref="B916">IFERROR(INDEX(DemandSupply,MATCH(INDEX($AH$1:AH916,SMALL(ROW($AH$1:AH916)+(10000*($AH$1:AH916="")),COUNTA($AH$1:AH916))),Sectors,0)),"")</f>
        <v>Supply</v>
      </c>
      <c r="E916" s="10"/>
      <c r="F916" s="207"/>
      <c r="G916" s="207"/>
      <c r="H916" s="207"/>
      <c r="I916" s="207"/>
      <c r="J916" s="207"/>
      <c r="K916" s="207"/>
      <c r="L916" s="207"/>
      <c r="M916" s="207"/>
      <c r="N916" s="207"/>
      <c r="O916" s="207"/>
      <c r="P916" s="207"/>
      <c r="Q916" s="207"/>
      <c r="R916" s="207"/>
      <c r="S916" s="207"/>
      <c r="T916" s="207"/>
      <c r="U916" s="207"/>
      <c r="V916" s="207"/>
      <c r="W916" s="207"/>
      <c r="X916" s="207"/>
      <c r="Y916" s="207"/>
      <c r="Z916" s="207"/>
      <c r="AA916" s="207"/>
      <c r="AB916" s="207"/>
      <c r="AC916" s="5"/>
      <c r="AD916" s="63"/>
      <c r="AE916" s="64"/>
      <c r="AF916" s="64"/>
      <c r="AG916" s="212"/>
      <c r="AH916" s="64"/>
      <c r="AI916" s="64"/>
      <c r="AJ916" s="227"/>
      <c r="AK916" s="64"/>
      <c r="AL916" s="64"/>
      <c r="AM916" s="212"/>
      <c r="AN916" s="64"/>
      <c r="AO916" s="64"/>
      <c r="AP916" s="63"/>
      <c r="AQ916" s="64"/>
      <c r="AR916" s="63"/>
      <c r="AS916" s="64"/>
      <c r="AT916" s="63"/>
      <c r="AU916" s="64"/>
      <c r="AV916" s="63"/>
      <c r="AW916" s="64"/>
      <c r="AX916" s="63"/>
      <c r="AY916" s="5"/>
      <c r="AZ916" s="21" t="str">
        <f t="shared" si="658"/>
        <v/>
      </c>
      <c r="BA916" s="75" t="s">
        <v>408</v>
      </c>
      <c r="BB916" s="75"/>
      <c r="BC916" s="270"/>
      <c r="BD916" s="75" t="s">
        <v>99</v>
      </c>
      <c r="BE916" s="16" t="s">
        <v>73</v>
      </c>
      <c r="BF916" s="303"/>
      <c r="BG916" s="303"/>
      <c r="BH916" s="303"/>
      <c r="BI916" s="303"/>
      <c r="BJ916" s="303"/>
      <c r="BK916" s="303"/>
      <c r="BL916" s="303"/>
      <c r="BM916" s="303"/>
      <c r="BN916" s="303"/>
      <c r="BO916" s="303"/>
      <c r="BP916" s="303"/>
      <c r="BQ916" s="5"/>
      <c r="BR916" s="25"/>
      <c r="BS916" s="5"/>
    </row>
    <row r="917" spans="1:71" s="3" customFormat="1" x14ac:dyDescent="0.25">
      <c r="A917" s="5"/>
      <c r="B917" s="3" t="str">
        <f t="array" ref="B917">IFERROR(INDEX(DemandSupply,MATCH(INDEX($AH$1:AH917,SMALL(ROW($AH$1:AH917)+(10000*($AH$1:AH917="")),COUNTA($AH$1:AH917))),Sectors,0)),"")</f>
        <v>Supply</v>
      </c>
      <c r="E917" s="10"/>
      <c r="F917" s="207"/>
      <c r="G917" s="207"/>
      <c r="H917" s="207"/>
      <c r="I917" s="207"/>
      <c r="J917" s="207"/>
      <c r="K917" s="207"/>
      <c r="L917" s="207"/>
      <c r="M917" s="207"/>
      <c r="N917" s="207"/>
      <c r="O917" s="207"/>
      <c r="P917" s="207"/>
      <c r="Q917" s="207"/>
      <c r="R917" s="207"/>
      <c r="S917" s="207"/>
      <c r="T917" s="207"/>
      <c r="U917" s="207"/>
      <c r="V917" s="207"/>
      <c r="W917" s="207"/>
      <c r="X917" s="207"/>
      <c r="Y917" s="207"/>
      <c r="Z917" s="207"/>
      <c r="AA917" s="207"/>
      <c r="AB917" s="207"/>
      <c r="AC917" s="5"/>
      <c r="AD917" s="63"/>
      <c r="AE917" s="64"/>
      <c r="AF917" s="64"/>
      <c r="AG917" s="212"/>
      <c r="AH917" s="64"/>
      <c r="AI917" s="64"/>
      <c r="AJ917" s="227"/>
      <c r="AK917" s="64"/>
      <c r="AL917" s="64"/>
      <c r="AM917" s="212"/>
      <c r="AN917" s="64"/>
      <c r="AO917" s="64"/>
      <c r="AP917" s="63"/>
      <c r="AQ917" s="64"/>
      <c r="AR917" s="63"/>
      <c r="AS917" s="64"/>
      <c r="AT917" s="63"/>
      <c r="AU917" s="64"/>
      <c r="AV917" s="63"/>
      <c r="AW917" s="64"/>
      <c r="AX917" s="63"/>
      <c r="AY917" s="5"/>
      <c r="AZ917" s="21" t="str">
        <f t="shared" si="658"/>
        <v/>
      </c>
      <c r="BA917" s="75" t="s">
        <v>409</v>
      </c>
      <c r="BB917" s="75"/>
      <c r="BC917" s="270"/>
      <c r="BD917" s="75" t="s">
        <v>99</v>
      </c>
      <c r="BE917" s="16" t="s">
        <v>73</v>
      </c>
      <c r="BF917" s="303"/>
      <c r="BG917" s="303"/>
      <c r="BH917" s="303"/>
      <c r="BI917" s="303"/>
      <c r="BJ917" s="303"/>
      <c r="BK917" s="303"/>
      <c r="BL917" s="303"/>
      <c r="BM917" s="303"/>
      <c r="BN917" s="303"/>
      <c r="BO917" s="303"/>
      <c r="BP917" s="303"/>
      <c r="BQ917" s="5"/>
      <c r="BR917" s="25"/>
      <c r="BS917" s="5"/>
    </row>
    <row r="918" spans="1:71" s="3" customFormat="1" x14ac:dyDescent="0.25">
      <c r="A918" s="5"/>
      <c r="B918" s="3" t="str">
        <f t="array" ref="B918">IFERROR(INDEX(DemandSupply,MATCH(INDEX($AH$1:AH918,SMALL(ROW($AH$1:AH918)+(10000*($AH$1:AH918="")),COUNTA($AH$1:AH918))),Sectors,0)),"")</f>
        <v>Supply</v>
      </c>
      <c r="E918" s="10"/>
      <c r="F918" s="207"/>
      <c r="G918" s="207"/>
      <c r="H918" s="207"/>
      <c r="I918" s="207"/>
      <c r="J918" s="207"/>
      <c r="K918" s="207"/>
      <c r="L918" s="207"/>
      <c r="M918" s="207"/>
      <c r="N918" s="207"/>
      <c r="O918" s="207"/>
      <c r="P918" s="207"/>
      <c r="Q918" s="207"/>
      <c r="R918" s="207"/>
      <c r="S918" s="207"/>
      <c r="T918" s="207"/>
      <c r="U918" s="207"/>
      <c r="V918" s="207"/>
      <c r="W918" s="207"/>
      <c r="X918" s="207"/>
      <c r="Y918" s="207"/>
      <c r="Z918" s="207"/>
      <c r="AA918" s="207"/>
      <c r="AB918" s="207"/>
      <c r="AC918" s="5"/>
      <c r="AD918" s="63"/>
      <c r="AE918" s="64"/>
      <c r="AF918" s="64"/>
      <c r="AG918" s="212"/>
      <c r="AH918" s="64"/>
      <c r="AI918" s="64"/>
      <c r="AJ918" s="227"/>
      <c r="AK918" s="64"/>
      <c r="AL918" s="64"/>
      <c r="AM918" s="212"/>
      <c r="AN918" s="64"/>
      <c r="AO918" s="64"/>
      <c r="AP918" s="63"/>
      <c r="AQ918" s="64"/>
      <c r="AR918" s="63"/>
      <c r="AS918" s="64"/>
      <c r="AT918" s="63"/>
      <c r="AU918" s="64"/>
      <c r="AV918" s="63"/>
      <c r="AW918" s="64"/>
      <c r="AX918" s="63"/>
      <c r="AY918" s="5"/>
      <c r="AZ918" s="21" t="str">
        <f t="shared" si="658"/>
        <v/>
      </c>
      <c r="BA918" s="264" t="s">
        <v>371</v>
      </c>
      <c r="BB918" s="264"/>
      <c r="BC918" s="264"/>
      <c r="BD918" s="264" t="s">
        <v>219</v>
      </c>
      <c r="BE918" s="16" t="s">
        <v>73</v>
      </c>
      <c r="BF918" s="56"/>
      <c r="BG918" s="56"/>
      <c r="BH918" s="56"/>
      <c r="BI918" s="56"/>
      <c r="BJ918" s="56"/>
      <c r="BK918" s="56"/>
      <c r="BL918" s="56"/>
      <c r="BM918" s="56"/>
      <c r="BN918" s="56"/>
      <c r="BO918" s="56"/>
      <c r="BP918" s="56"/>
      <c r="BQ918" s="5"/>
      <c r="BR918" s="25"/>
      <c r="BS918" s="5"/>
    </row>
    <row r="919" spans="1:71" s="3" customFormat="1" x14ac:dyDescent="0.25">
      <c r="A919" s="5"/>
      <c r="B919" s="3" t="str">
        <f t="array" ref="B919">IFERROR(INDEX(DemandSupply,MATCH(INDEX($AH$1:AH919,SMALL(ROW($AH$1:AH919)+(10000*($AH$1:AH919="")),COUNTA($AH$1:AH919))),Sectors,0)),"")</f>
        <v>Supply</v>
      </c>
      <c r="E919" s="10"/>
      <c r="F919" s="207"/>
      <c r="G919" s="207"/>
      <c r="H919" s="207"/>
      <c r="I919" s="207"/>
      <c r="J919" s="207"/>
      <c r="K919" s="207"/>
      <c r="L919" s="207"/>
      <c r="M919" s="207"/>
      <c r="N919" s="207"/>
      <c r="O919" s="207"/>
      <c r="P919" s="207"/>
      <c r="Q919" s="207"/>
      <c r="R919" s="207"/>
      <c r="S919" s="207"/>
      <c r="T919" s="207"/>
      <c r="U919" s="207"/>
      <c r="V919" s="207"/>
      <c r="W919" s="207"/>
      <c r="X919" s="207"/>
      <c r="Y919" s="207"/>
      <c r="Z919" s="207"/>
      <c r="AA919" s="207"/>
      <c r="AB919" s="207"/>
      <c r="AC919" s="5"/>
      <c r="AD919" s="63"/>
      <c r="AE919" s="64"/>
      <c r="AF919" s="64"/>
      <c r="AG919" s="212"/>
      <c r="AH919" s="64"/>
      <c r="AI919" s="64"/>
      <c r="AJ919" s="227"/>
      <c r="AK919" s="64"/>
      <c r="AL919" s="64"/>
      <c r="AM919" s="212"/>
      <c r="AN919" s="64"/>
      <c r="AO919" s="64"/>
      <c r="AP919" s="63"/>
      <c r="AQ919" s="64"/>
      <c r="AR919" s="63"/>
      <c r="AS919" s="64"/>
      <c r="AT919" s="63"/>
      <c r="AU919" s="64"/>
      <c r="AV919" s="63"/>
      <c r="AW919" s="64"/>
      <c r="AX919" s="63"/>
      <c r="AY919" s="5"/>
      <c r="AZ919" s="21" t="str">
        <f t="shared" si="658"/>
        <v/>
      </c>
      <c r="BA919" s="264" t="s">
        <v>170</v>
      </c>
      <c r="BB919" s="264"/>
      <c r="BC919" s="264"/>
      <c r="BD919" s="264" t="s">
        <v>354</v>
      </c>
      <c r="BE919" s="16" t="s">
        <v>73</v>
      </c>
      <c r="BF919" s="56"/>
      <c r="BG919" s="56"/>
      <c r="BH919" s="56"/>
      <c r="BI919" s="56"/>
      <c r="BJ919" s="56"/>
      <c r="BK919" s="56"/>
      <c r="BL919" s="56"/>
      <c r="BM919" s="56"/>
      <c r="BN919" s="56"/>
      <c r="BO919" s="56"/>
      <c r="BP919" s="56"/>
      <c r="BQ919" s="5"/>
      <c r="BR919" s="25"/>
      <c r="BS919" s="5"/>
    </row>
    <row r="920" spans="1:71" s="3" customFormat="1" x14ac:dyDescent="0.25">
      <c r="A920" s="5"/>
      <c r="B920" s="3" t="str">
        <f t="array" ref="B920">IFERROR(INDEX(DemandSupply,MATCH(INDEX($AH$1:AH920,SMALL(ROW($AH$1:AH920)+(10000*($AH$1:AH920="")),COUNTA($AH$1:AH920))),Sectors,0)),"")</f>
        <v>Supply</v>
      </c>
      <c r="E920" s="10"/>
      <c r="F920" s="207"/>
      <c r="G920" s="207"/>
      <c r="H920" s="207"/>
      <c r="I920" s="207"/>
      <c r="J920" s="207"/>
      <c r="K920" s="207"/>
      <c r="L920" s="207"/>
      <c r="M920" s="207"/>
      <c r="N920" s="207"/>
      <c r="O920" s="207"/>
      <c r="P920" s="207"/>
      <c r="Q920" s="207"/>
      <c r="R920" s="207"/>
      <c r="S920" s="207"/>
      <c r="T920" s="207"/>
      <c r="U920" s="207"/>
      <c r="V920" s="207"/>
      <c r="W920" s="207"/>
      <c r="X920" s="207"/>
      <c r="Y920" s="207"/>
      <c r="Z920" s="207"/>
      <c r="AA920" s="207"/>
      <c r="AB920" s="207"/>
      <c r="AC920" s="5"/>
      <c r="AD920" s="63"/>
      <c r="AE920" s="64"/>
      <c r="AF920" s="64"/>
      <c r="AG920" s="212"/>
      <c r="AH920" s="64"/>
      <c r="AI920" s="64"/>
      <c r="AJ920" s="227"/>
      <c r="AK920" s="64"/>
      <c r="AL920" s="64"/>
      <c r="AM920" s="212"/>
      <c r="AN920" s="64"/>
      <c r="AO920" s="64"/>
      <c r="AP920" s="63"/>
      <c r="AQ920" s="64"/>
      <c r="AR920" s="63"/>
      <c r="AS920" s="64"/>
      <c r="AT920" s="63"/>
      <c r="AU920" s="64"/>
      <c r="AV920" s="63"/>
      <c r="AW920" s="64"/>
      <c r="AX920" s="63"/>
      <c r="AY920" s="5"/>
      <c r="AZ920" s="21" t="str">
        <f t="shared" si="658"/>
        <v/>
      </c>
      <c r="BA920" s="264" t="s">
        <v>425</v>
      </c>
      <c r="BB920" s="264"/>
      <c r="BC920" s="264"/>
      <c r="BD920" s="264" t="s">
        <v>99</v>
      </c>
      <c r="BE920" s="16" t="s">
        <v>73</v>
      </c>
      <c r="BF920" s="303"/>
      <c r="BG920" s="303"/>
      <c r="BH920" s="303"/>
      <c r="BI920" s="303"/>
      <c r="BJ920" s="303"/>
      <c r="BK920" s="303"/>
      <c r="BL920" s="303"/>
      <c r="BM920" s="303"/>
      <c r="BN920" s="303"/>
      <c r="BO920" s="303"/>
      <c r="BP920" s="303"/>
      <c r="BQ920" s="5"/>
      <c r="BR920" s="25"/>
      <c r="BS920" s="5"/>
    </row>
    <row r="921" spans="1:71" s="3" customFormat="1" x14ac:dyDescent="0.25">
      <c r="A921" s="5"/>
      <c r="B921" s="3" t="str">
        <f t="array" ref="B921">IFERROR(INDEX(DemandSupply,MATCH(INDEX($AH$1:AH921,SMALL(ROW($AH$1:AH921)+(10000*($AH$1:AH921="")),COUNTA($AH$1:AH921))),Sectors,0)),"")</f>
        <v>Supply</v>
      </c>
      <c r="E921" s="10"/>
      <c r="F921" s="207"/>
      <c r="G921" s="207"/>
      <c r="H921" s="207"/>
      <c r="I921" s="207"/>
      <c r="J921" s="207"/>
      <c r="K921" s="207"/>
      <c r="L921" s="207"/>
      <c r="M921" s="207"/>
      <c r="N921" s="207"/>
      <c r="O921" s="207"/>
      <c r="P921" s="207"/>
      <c r="Q921" s="207"/>
      <c r="R921" s="207"/>
      <c r="S921" s="207"/>
      <c r="T921" s="207"/>
      <c r="U921" s="207"/>
      <c r="V921" s="207"/>
      <c r="W921" s="207"/>
      <c r="X921" s="207"/>
      <c r="Y921" s="207"/>
      <c r="Z921" s="207"/>
      <c r="AA921" s="207"/>
      <c r="AB921" s="207"/>
      <c r="AC921" s="5"/>
      <c r="AD921" s="63"/>
      <c r="AE921" s="64"/>
      <c r="AF921" s="64"/>
      <c r="AG921" s="212"/>
      <c r="AH921" s="64"/>
      <c r="AI921" s="64"/>
      <c r="AJ921" s="227"/>
      <c r="AK921" s="64"/>
      <c r="AL921" s="64"/>
      <c r="AM921" s="212"/>
      <c r="AN921" s="64"/>
      <c r="AO921" s="64"/>
      <c r="AP921" s="63"/>
      <c r="AQ921" s="64"/>
      <c r="AR921" s="63"/>
      <c r="AS921" s="64"/>
      <c r="AT921" s="63"/>
      <c r="AU921" s="64"/>
      <c r="AV921" s="63"/>
      <c r="AW921" s="64"/>
      <c r="AX921" s="63"/>
      <c r="AY921" s="5"/>
      <c r="AZ921" s="21" t="str">
        <f t="shared" si="658"/>
        <v/>
      </c>
      <c r="BA921" s="264" t="s">
        <v>438</v>
      </c>
      <c r="BB921" s="264"/>
      <c r="BC921" s="264"/>
      <c r="BD921" s="264" t="s">
        <v>219</v>
      </c>
      <c r="BE921" s="16" t="s">
        <v>73</v>
      </c>
      <c r="BF921" s="56"/>
      <c r="BG921" s="56"/>
      <c r="BH921" s="56"/>
      <c r="BI921" s="56"/>
      <c r="BJ921" s="56"/>
      <c r="BK921" s="56"/>
      <c r="BL921" s="56"/>
      <c r="BM921" s="56"/>
      <c r="BN921" s="56"/>
      <c r="BO921" s="56"/>
      <c r="BP921" s="56"/>
      <c r="BQ921" s="5"/>
      <c r="BR921" s="25"/>
      <c r="BS921" s="5"/>
    </row>
    <row r="922" spans="1:71" s="3" customFormat="1" x14ac:dyDescent="0.25">
      <c r="A922" s="5"/>
      <c r="B922" s="3" t="str">
        <f t="array" ref="B922">IFERROR(INDEX(DemandSupply,MATCH(INDEX($AH$1:AH922,SMALL(ROW($AH$1:AH922)+(10000*($AH$1:AH922="")),COUNTA($AH$1:AH922))),Sectors,0)),"")</f>
        <v>Supply</v>
      </c>
      <c r="E922" s="10"/>
      <c r="F922" s="207"/>
      <c r="G922" s="207"/>
      <c r="H922" s="207"/>
      <c r="I922" s="207"/>
      <c r="J922" s="207"/>
      <c r="K922" s="207"/>
      <c r="L922" s="207"/>
      <c r="M922" s="207"/>
      <c r="N922" s="207"/>
      <c r="O922" s="207"/>
      <c r="P922" s="207"/>
      <c r="Q922" s="207"/>
      <c r="R922" s="207"/>
      <c r="S922" s="207"/>
      <c r="T922" s="207"/>
      <c r="U922" s="207"/>
      <c r="V922" s="207"/>
      <c r="W922" s="207"/>
      <c r="X922" s="207"/>
      <c r="Y922" s="207"/>
      <c r="Z922" s="207"/>
      <c r="AA922" s="207"/>
      <c r="AB922" s="207"/>
      <c r="AC922" s="5"/>
      <c r="AD922" s="63"/>
      <c r="AE922" s="64"/>
      <c r="AF922" s="64"/>
      <c r="AG922" s="212"/>
      <c r="AH922" s="64"/>
      <c r="AI922" s="64"/>
      <c r="AJ922" s="227"/>
      <c r="AK922" s="64"/>
      <c r="AL922" s="64"/>
      <c r="AM922" s="212"/>
      <c r="AN922" s="64"/>
      <c r="AO922" s="64"/>
      <c r="AP922" s="63"/>
      <c r="AQ922" s="64"/>
      <c r="AR922" s="63"/>
      <c r="AS922" s="64"/>
      <c r="AT922" s="63"/>
      <c r="AU922" s="64"/>
      <c r="AV922" s="63"/>
      <c r="AW922" s="64"/>
      <c r="AX922" s="63"/>
      <c r="AY922" s="5"/>
      <c r="AZ922" s="21" t="str">
        <f t="shared" si="658"/>
        <v/>
      </c>
      <c r="BA922" s="264" t="s">
        <v>435</v>
      </c>
      <c r="BB922" s="264"/>
      <c r="BC922" s="264"/>
      <c r="BD922" s="264"/>
      <c r="BE922" s="16" t="s">
        <v>73</v>
      </c>
      <c r="BF922" s="55"/>
      <c r="BG922" s="55"/>
      <c r="BH922" s="55"/>
      <c r="BI922" s="55"/>
      <c r="BJ922" s="55"/>
      <c r="BK922" s="55"/>
      <c r="BL922" s="55"/>
      <c r="BM922" s="55"/>
      <c r="BN922" s="55"/>
      <c r="BO922" s="55"/>
      <c r="BP922" s="55"/>
      <c r="BQ922" s="5"/>
      <c r="BR922" s="25"/>
      <c r="BS922" s="5"/>
    </row>
    <row r="923" spans="1:71" s="3" customFormat="1" x14ac:dyDescent="0.25">
      <c r="A923" s="5"/>
      <c r="B923" s="3" t="str">
        <f t="array" ref="B923">IFERROR(INDEX(DemandSupply,MATCH(INDEX($AH$1:AH923,SMALL(ROW($AH$1:AH923)+(10000*($AH$1:AH923="")),COUNTA($AH$1:AH923))),Sectors,0)),"")</f>
        <v>Supply</v>
      </c>
      <c r="E923" s="10"/>
      <c r="F923" s="207"/>
      <c r="G923" s="207"/>
      <c r="H923" s="207"/>
      <c r="I923" s="207"/>
      <c r="J923" s="207"/>
      <c r="K923" s="207"/>
      <c r="L923" s="207"/>
      <c r="M923" s="207"/>
      <c r="N923" s="207"/>
      <c r="O923" s="207"/>
      <c r="P923" s="207"/>
      <c r="Q923" s="207"/>
      <c r="R923" s="207"/>
      <c r="S923" s="207"/>
      <c r="T923" s="207"/>
      <c r="U923" s="207"/>
      <c r="V923" s="207"/>
      <c r="W923" s="207"/>
      <c r="X923" s="207"/>
      <c r="Y923" s="207"/>
      <c r="Z923" s="207"/>
      <c r="AA923" s="207"/>
      <c r="AB923" s="207"/>
      <c r="AC923" s="5"/>
      <c r="AD923" s="63"/>
      <c r="AE923" s="64"/>
      <c r="AF923" s="64"/>
      <c r="AG923" s="212"/>
      <c r="AH923" s="64"/>
      <c r="AI923" s="64"/>
      <c r="AJ923" s="227"/>
      <c r="AK923" s="64"/>
      <c r="AL923" s="64"/>
      <c r="AM923" s="212"/>
      <c r="AN923" s="64"/>
      <c r="AO923" s="64"/>
      <c r="AP923" s="63"/>
      <c r="AQ923" s="64"/>
      <c r="AR923" s="63"/>
      <c r="AS923" s="64"/>
      <c r="AT923" s="63"/>
      <c r="AU923" s="64"/>
      <c r="AV923" s="63"/>
      <c r="AW923" s="64"/>
      <c r="AX923" s="63"/>
      <c r="AY923" s="5"/>
      <c r="AZ923" s="21" t="str">
        <f t="shared" si="658"/>
        <v/>
      </c>
      <c r="BA923" s="264" t="s">
        <v>407</v>
      </c>
      <c r="BB923" s="264"/>
      <c r="BC923" s="264"/>
      <c r="BD923" s="264" t="s">
        <v>99</v>
      </c>
      <c r="BE923" s="16" t="s">
        <v>73</v>
      </c>
      <c r="BF923" s="303"/>
      <c r="BG923" s="303"/>
      <c r="BH923" s="303"/>
      <c r="BI923" s="303"/>
      <c r="BJ923" s="303"/>
      <c r="BK923" s="303"/>
      <c r="BL923" s="303"/>
      <c r="BM923" s="303"/>
      <c r="BN923" s="303"/>
      <c r="BO923" s="303"/>
      <c r="BP923" s="303"/>
      <c r="BQ923" s="5"/>
      <c r="BR923" s="25"/>
      <c r="BS923" s="5"/>
    </row>
    <row r="924" spans="1:71" s="3" customFormat="1" x14ac:dyDescent="0.25">
      <c r="A924" s="5"/>
      <c r="B924" s="3" t="str">
        <f t="array" ref="B924">IFERROR(INDEX(DemandSupply,MATCH(INDEX($AH$1:AH924,SMALL(ROW($AH$1:AH924)+(10000*($AH$1:AH924="")),COUNTA($AH$1:AH924))),Sectors,0)),"")</f>
        <v>Supply</v>
      </c>
      <c r="E924" s="10"/>
      <c r="F924" s="207"/>
      <c r="G924" s="207"/>
      <c r="H924" s="207"/>
      <c r="I924" s="207"/>
      <c r="J924" s="207"/>
      <c r="K924" s="207"/>
      <c r="L924" s="207"/>
      <c r="M924" s="207"/>
      <c r="N924" s="207"/>
      <c r="O924" s="207"/>
      <c r="P924" s="207"/>
      <c r="Q924" s="207"/>
      <c r="R924" s="207"/>
      <c r="S924" s="207"/>
      <c r="T924" s="207"/>
      <c r="U924" s="207"/>
      <c r="V924" s="207"/>
      <c r="W924" s="207"/>
      <c r="X924" s="207"/>
      <c r="Y924" s="207"/>
      <c r="Z924" s="207"/>
      <c r="AA924" s="207"/>
      <c r="AB924" s="207"/>
      <c r="AC924" s="5"/>
      <c r="AD924" s="63"/>
      <c r="AE924" s="64"/>
      <c r="AF924" s="64"/>
      <c r="AG924" s="212"/>
      <c r="AH924" s="64"/>
      <c r="AI924" s="64"/>
      <c r="AJ924" s="227"/>
      <c r="AK924" s="64"/>
      <c r="AL924" s="64"/>
      <c r="AM924" s="212"/>
      <c r="AN924" s="64"/>
      <c r="AO924" s="64"/>
      <c r="AP924" s="63"/>
      <c r="AQ924" s="64"/>
      <c r="AR924" s="63"/>
      <c r="AS924" s="64"/>
      <c r="AT924" s="63"/>
      <c r="AU924" s="64"/>
      <c r="AV924" s="63"/>
      <c r="AW924" s="64"/>
      <c r="AX924" s="63"/>
      <c r="AY924" s="5"/>
      <c r="AZ924" s="21" t="str">
        <f t="shared" si="658"/>
        <v/>
      </c>
      <c r="BA924" s="264" t="s">
        <v>444</v>
      </c>
      <c r="BB924" s="264"/>
      <c r="BC924" s="264"/>
      <c r="BD924" s="264" t="s">
        <v>354</v>
      </c>
      <c r="BE924" s="16" t="s">
        <v>73</v>
      </c>
      <c r="BF924" s="56"/>
      <c r="BG924" s="56"/>
      <c r="BH924" s="56"/>
      <c r="BI924" s="56"/>
      <c r="BJ924" s="56"/>
      <c r="BK924" s="56"/>
      <c r="BL924" s="56"/>
      <c r="BM924" s="56"/>
      <c r="BN924" s="56"/>
      <c r="BO924" s="56"/>
      <c r="BP924" s="56"/>
      <c r="BQ924" s="5"/>
      <c r="BR924" s="25"/>
      <c r="BS924" s="5"/>
    </row>
    <row r="925" spans="1:71" s="3" customFormat="1" x14ac:dyDescent="0.25">
      <c r="A925" s="5"/>
      <c r="B925" s="3" t="str">
        <f t="array" ref="B925">IFERROR(INDEX(DemandSupply,MATCH(INDEX($AH$1:AH925,SMALL(ROW($AH$1:AH925)+(10000*($AH$1:AH925="")),COUNTA($AH$1:AH925))),Sectors,0)),"")</f>
        <v>Supply</v>
      </c>
      <c r="E925" s="10"/>
      <c r="F925" s="207"/>
      <c r="G925" s="207"/>
      <c r="H925" s="207"/>
      <c r="I925" s="207"/>
      <c r="J925" s="207"/>
      <c r="K925" s="207"/>
      <c r="L925" s="207"/>
      <c r="M925" s="207"/>
      <c r="N925" s="207"/>
      <c r="O925" s="207"/>
      <c r="P925" s="207"/>
      <c r="Q925" s="207"/>
      <c r="R925" s="207"/>
      <c r="S925" s="207"/>
      <c r="T925" s="207"/>
      <c r="U925" s="207"/>
      <c r="V925" s="207"/>
      <c r="W925" s="207"/>
      <c r="X925" s="207"/>
      <c r="Y925" s="207"/>
      <c r="Z925" s="207"/>
      <c r="AA925" s="207"/>
      <c r="AB925" s="207"/>
      <c r="AC925" s="5"/>
      <c r="AD925" s="63"/>
      <c r="AE925" s="64"/>
      <c r="AF925" s="64"/>
      <c r="AG925" s="212"/>
      <c r="AH925" s="64"/>
      <c r="AI925" s="64"/>
      <c r="AJ925" s="227"/>
      <c r="AK925" s="64"/>
      <c r="AL925" s="64"/>
      <c r="AM925" s="212"/>
      <c r="AN925" s="64"/>
      <c r="AO925" s="64"/>
      <c r="AP925" s="63"/>
      <c r="AQ925" s="64"/>
      <c r="AR925" s="63"/>
      <c r="AS925" s="64"/>
      <c r="AT925" s="63"/>
      <c r="AU925" s="64"/>
      <c r="AV925" s="63"/>
      <c r="AW925" s="64"/>
      <c r="AX925" s="63"/>
      <c r="AY925" s="5"/>
      <c r="AZ925" s="21" t="str">
        <f t="shared" ref="AZ925:AZ988" si="666">IFERROR(INDEX($AD925:$AX925,MATCH(TRUE,INDEX(($AD925:$AX925&lt;&gt;0),0),0)),"")</f>
        <v/>
      </c>
      <c r="BA925" s="264" t="s">
        <v>446</v>
      </c>
      <c r="BB925" s="264"/>
      <c r="BC925" s="264"/>
      <c r="BD925" s="264" t="s">
        <v>354</v>
      </c>
      <c r="BE925" s="16" t="s">
        <v>73</v>
      </c>
      <c r="BF925" s="56"/>
      <c r="BG925" s="56"/>
      <c r="BH925" s="56"/>
      <c r="BI925" s="56"/>
      <c r="BJ925" s="56"/>
      <c r="BK925" s="56"/>
      <c r="BL925" s="56"/>
      <c r="BM925" s="56"/>
      <c r="BN925" s="56"/>
      <c r="BO925" s="56"/>
      <c r="BP925" s="56"/>
      <c r="BQ925" s="5"/>
      <c r="BR925" s="25"/>
      <c r="BS925" s="5"/>
    </row>
    <row r="926" spans="1:71" s="3" customFormat="1" x14ac:dyDescent="0.25">
      <c r="A926" s="5"/>
      <c r="B926" s="3" t="str">
        <f t="array" ref="B926">IFERROR(INDEX(DemandSupply,MATCH(INDEX($AH$1:AH926,SMALL(ROW($AH$1:AH926)+(10000*($AH$1:AH926="")),COUNTA($AH$1:AH926))),Sectors,0)),"")</f>
        <v>Supply</v>
      </c>
      <c r="E926" s="10"/>
      <c r="F926" s="207"/>
      <c r="G926" s="207"/>
      <c r="H926" s="207"/>
      <c r="I926" s="207"/>
      <c r="J926" s="207"/>
      <c r="K926" s="207"/>
      <c r="L926" s="207"/>
      <c r="M926" s="207"/>
      <c r="N926" s="207"/>
      <c r="O926" s="207"/>
      <c r="P926" s="207"/>
      <c r="Q926" s="207"/>
      <c r="R926" s="207"/>
      <c r="S926" s="207"/>
      <c r="T926" s="207"/>
      <c r="U926" s="207"/>
      <c r="V926" s="207"/>
      <c r="W926" s="207"/>
      <c r="X926" s="207"/>
      <c r="Y926" s="207"/>
      <c r="Z926" s="207"/>
      <c r="AA926" s="207"/>
      <c r="AB926" s="207"/>
      <c r="AC926" s="5"/>
      <c r="AD926" s="63"/>
      <c r="AE926" s="64"/>
      <c r="AF926" s="64"/>
      <c r="AG926" s="212"/>
      <c r="AH926" s="64"/>
      <c r="AI926" s="64"/>
      <c r="AJ926" s="227"/>
      <c r="AK926" s="64"/>
      <c r="AL926" s="64"/>
      <c r="AM926" s="212"/>
      <c r="AN926" s="64"/>
      <c r="AO926" s="64"/>
      <c r="AP926" s="63"/>
      <c r="AQ926" s="64"/>
      <c r="AR926" s="63"/>
      <c r="AS926" s="64"/>
      <c r="AT926" s="63"/>
      <c r="AU926" s="64"/>
      <c r="AV926" s="63"/>
      <c r="AW926" s="64"/>
      <c r="AX926" s="63"/>
      <c r="AY926" s="5"/>
      <c r="AZ926" s="21" t="str">
        <f t="shared" si="666"/>
        <v/>
      </c>
      <c r="BA926" s="264" t="s">
        <v>447</v>
      </c>
      <c r="BB926" s="264"/>
      <c r="BC926" s="264"/>
      <c r="BD926" s="264"/>
      <c r="BE926" s="16" t="s">
        <v>73</v>
      </c>
      <c r="BF926" s="55"/>
      <c r="BG926" s="55"/>
      <c r="BH926" s="55"/>
      <c r="BI926" s="55"/>
      <c r="BJ926" s="55"/>
      <c r="BK926" s="55"/>
      <c r="BL926" s="55"/>
      <c r="BM926" s="55"/>
      <c r="BN926" s="55"/>
      <c r="BO926" s="55"/>
      <c r="BP926" s="55"/>
      <c r="BQ926" s="5"/>
      <c r="BR926" s="25"/>
      <c r="BS926" s="5"/>
    </row>
    <row r="927" spans="1:71" s="3" customFormat="1" x14ac:dyDescent="0.25">
      <c r="A927" s="5"/>
      <c r="B927" s="3" t="str">
        <f t="array" ref="B927">IFERROR(INDEX(DemandSupply,MATCH(INDEX($AH$1:AH927,SMALL(ROW($AH$1:AH927)+(10000*($AH$1:AH927="")),COUNTA($AH$1:AH927))),Sectors,0)),"")</f>
        <v>Supply</v>
      </c>
      <c r="E927" s="10"/>
      <c r="F927" s="207"/>
      <c r="G927" s="207"/>
      <c r="H927" s="207"/>
      <c r="I927" s="207"/>
      <c r="J927" s="207"/>
      <c r="K927" s="207"/>
      <c r="L927" s="207"/>
      <c r="M927" s="207"/>
      <c r="N927" s="207"/>
      <c r="O927" s="207"/>
      <c r="P927" s="207"/>
      <c r="Q927" s="207"/>
      <c r="R927" s="207"/>
      <c r="S927" s="207"/>
      <c r="T927" s="207"/>
      <c r="U927" s="207"/>
      <c r="V927" s="207"/>
      <c r="W927" s="207"/>
      <c r="X927" s="207"/>
      <c r="Y927" s="207"/>
      <c r="Z927" s="207"/>
      <c r="AA927" s="207"/>
      <c r="AB927" s="207"/>
      <c r="AC927" s="5"/>
      <c r="AD927" s="63"/>
      <c r="AE927" s="64"/>
      <c r="AF927" s="64"/>
      <c r="AG927" s="212"/>
      <c r="AH927" s="64"/>
      <c r="AI927" s="64"/>
      <c r="AJ927" s="227"/>
      <c r="AK927" s="64"/>
      <c r="AL927" s="64"/>
      <c r="AM927" s="212"/>
      <c r="AN927" s="64"/>
      <c r="AO927" s="64"/>
      <c r="AP927" s="63"/>
      <c r="AQ927" s="64"/>
      <c r="AR927" s="63"/>
      <c r="AS927" s="64"/>
      <c r="AT927" s="63"/>
      <c r="AU927" s="64"/>
      <c r="AV927" s="63"/>
      <c r="AW927" s="64"/>
      <c r="AX927" s="63"/>
      <c r="AY927" s="5"/>
      <c r="AZ927" s="21" t="str">
        <f t="shared" si="666"/>
        <v/>
      </c>
      <c r="BA927" s="264" t="s">
        <v>448</v>
      </c>
      <c r="BB927" s="264"/>
      <c r="BC927" s="264"/>
      <c r="BD927" s="264"/>
      <c r="BE927" s="16" t="s">
        <v>73</v>
      </c>
      <c r="BF927" s="55"/>
      <c r="BG927" s="55"/>
      <c r="BH927" s="55"/>
      <c r="BI927" s="55"/>
      <c r="BJ927" s="55"/>
      <c r="BK927" s="55"/>
      <c r="BL927" s="55"/>
      <c r="BM927" s="55"/>
      <c r="BN927" s="55"/>
      <c r="BO927" s="55"/>
      <c r="BP927" s="55"/>
      <c r="BQ927" s="5"/>
      <c r="BR927" s="25"/>
      <c r="BS927" s="5"/>
    </row>
    <row r="928" spans="1:71" s="3" customFormat="1" x14ac:dyDescent="0.25">
      <c r="A928" s="5"/>
      <c r="B928" s="3" t="str">
        <f t="array" ref="B928">IFERROR(INDEX(DemandSupply,MATCH(INDEX($AH$1:AH928,SMALL(ROW($AH$1:AH928)+(10000*($AH$1:AH928="")),COUNTA($AH$1:AH928))),Sectors,0)),"")</f>
        <v>Supply</v>
      </c>
      <c r="E928" s="10"/>
      <c r="F928" s="207"/>
      <c r="G928" s="207"/>
      <c r="H928" s="207"/>
      <c r="I928" s="207"/>
      <c r="J928" s="207"/>
      <c r="K928" s="207"/>
      <c r="L928" s="207"/>
      <c r="M928" s="207"/>
      <c r="N928" s="207"/>
      <c r="O928" s="207"/>
      <c r="P928" s="207"/>
      <c r="Q928" s="207"/>
      <c r="R928" s="207"/>
      <c r="S928" s="207"/>
      <c r="T928" s="207"/>
      <c r="U928" s="207"/>
      <c r="V928" s="207"/>
      <c r="W928" s="207"/>
      <c r="X928" s="207"/>
      <c r="Y928" s="207"/>
      <c r="Z928" s="207"/>
      <c r="AA928" s="207"/>
      <c r="AB928" s="207"/>
      <c r="AC928" s="5"/>
      <c r="AD928" s="63"/>
      <c r="AE928" s="64"/>
      <c r="AF928" s="64"/>
      <c r="AG928" s="212"/>
      <c r="AH928" s="64"/>
      <c r="AI928" s="64"/>
      <c r="AJ928" s="227"/>
      <c r="AK928" s="64"/>
      <c r="AL928" s="64"/>
      <c r="AM928" s="212"/>
      <c r="AN928" s="64"/>
      <c r="AO928" s="64"/>
      <c r="AP928" s="63"/>
      <c r="AQ928" s="64"/>
      <c r="AR928" s="63"/>
      <c r="AS928" s="64"/>
      <c r="AT928" s="63"/>
      <c r="AU928" s="64"/>
      <c r="AV928" s="63"/>
      <c r="AW928" s="64"/>
      <c r="AX928" s="63"/>
      <c r="AY928" s="5"/>
      <c r="AZ928" s="21" t="str">
        <f t="shared" si="666"/>
        <v/>
      </c>
      <c r="BA928" s="264" t="s">
        <v>445</v>
      </c>
      <c r="BB928" s="264"/>
      <c r="BC928" s="264"/>
      <c r="BD928" s="264" t="s">
        <v>370</v>
      </c>
      <c r="BE928" s="16" t="s">
        <v>73</v>
      </c>
      <c r="BF928" s="56"/>
      <c r="BG928" s="56"/>
      <c r="BH928" s="56"/>
      <c r="BI928" s="56"/>
      <c r="BJ928" s="56"/>
      <c r="BK928" s="56"/>
      <c r="BL928" s="56"/>
      <c r="BM928" s="56"/>
      <c r="BN928" s="56"/>
      <c r="BO928" s="56"/>
      <c r="BP928" s="56"/>
      <c r="BQ928" s="5"/>
      <c r="BR928" s="25"/>
      <c r="BS928" s="5"/>
    </row>
    <row r="929" spans="1:71" s="3" customFormat="1" x14ac:dyDescent="0.25">
      <c r="A929" s="5"/>
      <c r="B929" s="3" t="str">
        <f t="array" ref="B929">IFERROR(INDEX(DemandSupply,MATCH(INDEX($AH$1:AH929,SMALL(ROW($AH$1:AH929)+(10000*($AH$1:AH929="")),COUNTA($AH$1:AH929))),Sectors,0)),"")</f>
        <v>Supply</v>
      </c>
      <c r="E929" s="10"/>
      <c r="F929" s="207"/>
      <c r="G929" s="207"/>
      <c r="H929" s="207"/>
      <c r="I929" s="207"/>
      <c r="J929" s="207"/>
      <c r="K929" s="207"/>
      <c r="L929" s="207"/>
      <c r="M929" s="207"/>
      <c r="N929" s="207"/>
      <c r="O929" s="207"/>
      <c r="P929" s="207"/>
      <c r="Q929" s="207"/>
      <c r="R929" s="207"/>
      <c r="S929" s="207"/>
      <c r="T929" s="207"/>
      <c r="U929" s="207"/>
      <c r="V929" s="207"/>
      <c r="W929" s="207"/>
      <c r="X929" s="207"/>
      <c r="Y929" s="207"/>
      <c r="Z929" s="207"/>
      <c r="AA929" s="207"/>
      <c r="AB929" s="207"/>
      <c r="AC929" s="5"/>
      <c r="AD929" s="63"/>
      <c r="AE929" s="64"/>
      <c r="AF929" s="64"/>
      <c r="AG929" s="212"/>
      <c r="AH929" s="64"/>
      <c r="AI929" s="64"/>
      <c r="AJ929" s="227"/>
      <c r="AK929" s="64"/>
      <c r="AL929" s="64"/>
      <c r="AM929" s="212"/>
      <c r="AN929" s="64"/>
      <c r="AO929" s="64"/>
      <c r="AP929" s="63"/>
      <c r="AQ929" s="64"/>
      <c r="AR929" s="63"/>
      <c r="AS929" s="64"/>
      <c r="AT929" s="63"/>
      <c r="AU929" s="64"/>
      <c r="AV929" s="63"/>
      <c r="AW929" s="64"/>
      <c r="AX929" s="63"/>
      <c r="AY929" s="5"/>
      <c r="AZ929" s="21" t="str">
        <f t="shared" si="666"/>
        <v/>
      </c>
      <c r="BA929" s="264" t="s">
        <v>449</v>
      </c>
      <c r="BB929" s="264"/>
      <c r="BC929" s="264"/>
      <c r="BD929" s="264" t="s">
        <v>370</v>
      </c>
      <c r="BE929" s="16" t="s">
        <v>73</v>
      </c>
      <c r="BF929" s="56"/>
      <c r="BG929" s="56"/>
      <c r="BH929" s="56"/>
      <c r="BI929" s="56"/>
      <c r="BJ929" s="56"/>
      <c r="BK929" s="56"/>
      <c r="BL929" s="56"/>
      <c r="BM929" s="56"/>
      <c r="BN929" s="56"/>
      <c r="BO929" s="56"/>
      <c r="BP929" s="56"/>
      <c r="BQ929" s="5"/>
      <c r="BR929" s="25"/>
      <c r="BS929" s="5"/>
    </row>
    <row r="930" spans="1:71" s="3" customFormat="1" x14ac:dyDescent="0.25">
      <c r="A930" s="5"/>
      <c r="B930" s="3" t="str">
        <f t="array" ref="B930">IFERROR(INDEX(DemandSupply,MATCH(INDEX($AH$1:AH930,SMALL(ROW($AH$1:AH930)+(10000*($AH$1:AH930="")),COUNTA($AH$1:AH930))),Sectors,0)),"")</f>
        <v>Supply</v>
      </c>
      <c r="E930" s="10"/>
      <c r="F930" s="207"/>
      <c r="G930" s="207"/>
      <c r="H930" s="207"/>
      <c r="I930" s="207"/>
      <c r="J930" s="207"/>
      <c r="K930" s="207"/>
      <c r="L930" s="207"/>
      <c r="M930" s="207"/>
      <c r="N930" s="207"/>
      <c r="O930" s="207"/>
      <c r="P930" s="207"/>
      <c r="Q930" s="207"/>
      <c r="R930" s="207"/>
      <c r="S930" s="207"/>
      <c r="T930" s="207"/>
      <c r="U930" s="207"/>
      <c r="V930" s="207"/>
      <c r="W930" s="207"/>
      <c r="X930" s="207"/>
      <c r="Y930" s="207"/>
      <c r="Z930" s="207"/>
      <c r="AA930" s="207"/>
      <c r="AB930" s="207"/>
      <c r="AC930" s="5"/>
      <c r="AD930" s="63"/>
      <c r="AE930" s="64"/>
      <c r="AF930" s="64"/>
      <c r="AG930" s="212"/>
      <c r="AH930" s="64"/>
      <c r="AI930" s="64"/>
      <c r="AJ930" s="227"/>
      <c r="AK930" s="64"/>
      <c r="AL930" s="64"/>
      <c r="AM930" s="212"/>
      <c r="AN930" s="64"/>
      <c r="AO930" s="64"/>
      <c r="AP930" s="63"/>
      <c r="AQ930" s="64"/>
      <c r="AR930" s="63"/>
      <c r="AS930" s="64"/>
      <c r="AT930" s="63"/>
      <c r="AU930" s="64"/>
      <c r="AV930" s="63"/>
      <c r="AW930" s="64"/>
      <c r="AX930" s="63"/>
      <c r="AY930" s="5"/>
      <c r="AZ930" s="21" t="str">
        <f t="shared" si="666"/>
        <v/>
      </c>
      <c r="BA930" s="264" t="s">
        <v>450</v>
      </c>
      <c r="BB930" s="264"/>
      <c r="BC930" s="264"/>
      <c r="BD930" s="264"/>
      <c r="BE930" s="16" t="s">
        <v>73</v>
      </c>
      <c r="BF930" s="55"/>
      <c r="BG930" s="55"/>
      <c r="BH930" s="55"/>
      <c r="BI930" s="55"/>
      <c r="BJ930" s="55"/>
      <c r="BK930" s="55"/>
      <c r="BL930" s="55"/>
      <c r="BM930" s="55"/>
      <c r="BN930" s="55"/>
      <c r="BO930" s="55"/>
      <c r="BP930" s="55"/>
      <c r="BQ930" s="5"/>
      <c r="BR930" s="25"/>
      <c r="BS930" s="5"/>
    </row>
    <row r="931" spans="1:71" s="3" customFormat="1" x14ac:dyDescent="0.25">
      <c r="A931" s="5"/>
      <c r="B931" s="3" t="str">
        <f t="array" ref="B931">IFERROR(INDEX(DemandSupply,MATCH(INDEX($AH$1:AH931,SMALL(ROW($AH$1:AH931)+(10000*($AH$1:AH931="")),COUNTA($AH$1:AH931))),Sectors,0)),"")</f>
        <v>Supply</v>
      </c>
      <c r="E931" s="10"/>
      <c r="F931" s="207"/>
      <c r="G931" s="207"/>
      <c r="H931" s="207"/>
      <c r="I931" s="207"/>
      <c r="J931" s="207"/>
      <c r="K931" s="207"/>
      <c r="L931" s="207"/>
      <c r="M931" s="207"/>
      <c r="N931" s="207"/>
      <c r="O931" s="207"/>
      <c r="P931" s="207"/>
      <c r="Q931" s="207"/>
      <c r="R931" s="207"/>
      <c r="S931" s="207"/>
      <c r="T931" s="207"/>
      <c r="U931" s="207"/>
      <c r="V931" s="207"/>
      <c r="W931" s="207"/>
      <c r="X931" s="207"/>
      <c r="Y931" s="207"/>
      <c r="Z931" s="207"/>
      <c r="AA931" s="207"/>
      <c r="AB931" s="207"/>
      <c r="AC931" s="5"/>
      <c r="AD931" s="63"/>
      <c r="AE931" s="64"/>
      <c r="AF931" s="64"/>
      <c r="AG931" s="212"/>
      <c r="AH931" s="64"/>
      <c r="AI931" s="64"/>
      <c r="AJ931" s="227"/>
      <c r="AK931" s="64"/>
      <c r="AL931" s="64"/>
      <c r="AM931" s="212"/>
      <c r="AN931" s="64"/>
      <c r="AO931" s="64"/>
      <c r="AP931" s="63"/>
      <c r="AQ931" s="64"/>
      <c r="AR931" s="63"/>
      <c r="AS931" s="64"/>
      <c r="AT931" s="63"/>
      <c r="AU931" s="64"/>
      <c r="AV931" s="63"/>
      <c r="AW931" s="64"/>
      <c r="AX931" s="63"/>
      <c r="AY931" s="5"/>
      <c r="AZ931" s="21" t="str">
        <f t="shared" si="666"/>
        <v/>
      </c>
      <c r="BA931" s="264" t="s">
        <v>451</v>
      </c>
      <c r="BB931" s="264"/>
      <c r="BC931" s="264"/>
      <c r="BD931" s="264"/>
      <c r="BE931" s="16" t="s">
        <v>73</v>
      </c>
      <c r="BF931" s="55"/>
      <c r="BG931" s="55"/>
      <c r="BH931" s="55"/>
      <c r="BI931" s="55"/>
      <c r="BJ931" s="55"/>
      <c r="BK931" s="55"/>
      <c r="BL931" s="55"/>
      <c r="BM931" s="55"/>
      <c r="BN931" s="55"/>
      <c r="BO931" s="55"/>
      <c r="BP931" s="55"/>
      <c r="BQ931" s="5"/>
      <c r="BR931" s="25"/>
      <c r="BS931" s="5"/>
    </row>
    <row r="932" spans="1:71" s="3" customFormat="1" x14ac:dyDescent="0.25">
      <c r="A932" s="5"/>
      <c r="B932" s="3" t="str">
        <f t="array" ref="B932">IFERROR(INDEX(DemandSupply,MATCH(INDEX($AH$1:AH932,SMALL(ROW($AH$1:AH932)+(10000*($AH$1:AH932="")),COUNTA($AH$1:AH932))),Sectors,0)),"")</f>
        <v>Supply</v>
      </c>
      <c r="E932" s="10"/>
      <c r="F932" s="207"/>
      <c r="G932" s="207"/>
      <c r="H932" s="207"/>
      <c r="I932" s="207"/>
      <c r="J932" s="207"/>
      <c r="K932" s="207"/>
      <c r="L932" s="207"/>
      <c r="M932" s="207"/>
      <c r="N932" s="207"/>
      <c r="O932" s="207"/>
      <c r="P932" s="207"/>
      <c r="Q932" s="207"/>
      <c r="R932" s="207"/>
      <c r="S932" s="207"/>
      <c r="T932" s="207"/>
      <c r="U932" s="207"/>
      <c r="V932" s="207"/>
      <c r="W932" s="207"/>
      <c r="X932" s="207"/>
      <c r="Y932" s="207"/>
      <c r="Z932" s="207"/>
      <c r="AA932" s="207"/>
      <c r="AB932" s="207"/>
      <c r="AC932" s="5"/>
      <c r="AD932" s="63"/>
      <c r="AE932" s="64"/>
      <c r="AF932" s="64"/>
      <c r="AG932" s="212"/>
      <c r="AH932" s="64"/>
      <c r="AI932" s="64"/>
      <c r="AJ932" s="227"/>
      <c r="AK932" s="64"/>
      <c r="AL932" s="64"/>
      <c r="AM932" s="212"/>
      <c r="AN932" s="64"/>
      <c r="AO932" s="64"/>
      <c r="AP932" s="63"/>
      <c r="AQ932" s="64"/>
      <c r="AR932" s="63"/>
      <c r="AS932" s="64"/>
      <c r="AT932" s="63"/>
      <c r="AU932" s="64"/>
      <c r="AV932" s="63"/>
      <c r="AW932" s="64"/>
      <c r="AX932" s="63"/>
      <c r="AY932" s="5"/>
      <c r="AZ932" s="21" t="str">
        <f t="shared" si="666"/>
        <v/>
      </c>
      <c r="BA932" s="264" t="s">
        <v>342</v>
      </c>
      <c r="BB932" s="264"/>
      <c r="BC932" s="264"/>
      <c r="BD932" s="264" t="s">
        <v>370</v>
      </c>
      <c r="BE932" s="16" t="s">
        <v>73</v>
      </c>
      <c r="BF932" s="56"/>
      <c r="BG932" s="56"/>
      <c r="BH932" s="56"/>
      <c r="BI932" s="56"/>
      <c r="BJ932" s="56"/>
      <c r="BK932" s="56"/>
      <c r="BL932" s="56"/>
      <c r="BM932" s="56"/>
      <c r="BN932" s="56"/>
      <c r="BO932" s="56"/>
      <c r="BP932" s="56"/>
      <c r="BQ932" s="5"/>
      <c r="BR932" s="25"/>
      <c r="BS932" s="5"/>
    </row>
    <row r="933" spans="1:71" s="3" customFormat="1" x14ac:dyDescent="0.25">
      <c r="A933" s="5"/>
      <c r="B933" s="3" t="str">
        <f t="array" ref="B933">IFERROR(INDEX(DemandSupply,MATCH(INDEX($AH$1:AH933,SMALL(ROW($AH$1:AH933)+(10000*($AH$1:AH933="")),COUNTA($AH$1:AH933))),Sectors,0)),"")</f>
        <v>Supply</v>
      </c>
      <c r="E933" s="10">
        <f t="shared" si="653"/>
        <v>0</v>
      </c>
      <c r="F933" s="207">
        <v>1</v>
      </c>
      <c r="G933" s="207">
        <v>1</v>
      </c>
      <c r="H933" s="207">
        <v>1</v>
      </c>
      <c r="I933" s="207">
        <v>1</v>
      </c>
      <c r="J933" s="207">
        <v>1</v>
      </c>
      <c r="K933" s="207">
        <v>1</v>
      </c>
      <c r="L933" s="207">
        <v>1</v>
      </c>
      <c r="M933" s="207">
        <v>1</v>
      </c>
      <c r="N933" s="207">
        <v>1</v>
      </c>
      <c r="O933" s="207">
        <v>1</v>
      </c>
      <c r="P933" s="207">
        <v>1</v>
      </c>
      <c r="Q933" s="207">
        <v>1</v>
      </c>
      <c r="R933" s="207">
        <v>1</v>
      </c>
      <c r="S933" s="207">
        <v>1</v>
      </c>
      <c r="T933" s="207">
        <v>1</v>
      </c>
      <c r="U933" s="207">
        <v>1</v>
      </c>
      <c r="V933" s="207">
        <v>1</v>
      </c>
      <c r="W933" s="207">
        <v>1</v>
      </c>
      <c r="X933" s="207">
        <v>1</v>
      </c>
      <c r="Y933" s="207">
        <v>1</v>
      </c>
      <c r="Z933" s="207">
        <v>1</v>
      </c>
      <c r="AA933" s="207">
        <v>1</v>
      </c>
      <c r="AB933" s="207">
        <v>1</v>
      </c>
      <c r="AC933" s="5"/>
      <c r="AD933" s="63"/>
      <c r="AE933" s="64"/>
      <c r="AF933" s="64"/>
      <c r="AG933" s="212"/>
      <c r="AH933" s="64"/>
      <c r="AI933" s="65"/>
      <c r="AJ933" s="227"/>
      <c r="AK933" s="65"/>
      <c r="AL933" s="80"/>
      <c r="AM933" s="212"/>
      <c r="AN933" s="63"/>
      <c r="AO933" s="64"/>
      <c r="AP933" s="63"/>
      <c r="AQ933" s="64"/>
      <c r="AR933" s="63"/>
      <c r="AS933" s="64"/>
      <c r="AT933" s="63"/>
      <c r="AU933" s="64"/>
      <c r="AV933" s="63"/>
      <c r="AW933" s="64"/>
      <c r="AX933" s="63"/>
      <c r="AY933" s="5"/>
      <c r="AZ933" s="21" t="str">
        <f t="shared" si="666"/>
        <v/>
      </c>
      <c r="BA933" s="2" t="s">
        <v>338</v>
      </c>
      <c r="BB933" s="13"/>
      <c r="BC933" s="2" t="s">
        <v>296</v>
      </c>
      <c r="BD933" s="2" t="s">
        <v>380</v>
      </c>
      <c r="BE933" s="16" t="s">
        <v>73</v>
      </c>
      <c r="BF933" s="315">
        <v>1</v>
      </c>
      <c r="BG933" s="315">
        <f>BF933</f>
        <v>1</v>
      </c>
      <c r="BH933" s="315">
        <f t="shared" ref="BH933:BP933" si="667">BG933</f>
        <v>1</v>
      </c>
      <c r="BI933" s="315">
        <f t="shared" si="667"/>
        <v>1</v>
      </c>
      <c r="BJ933" s="315">
        <f t="shared" si="667"/>
        <v>1</v>
      </c>
      <c r="BK933" s="315">
        <f t="shared" si="667"/>
        <v>1</v>
      </c>
      <c r="BL933" s="315">
        <f t="shared" si="667"/>
        <v>1</v>
      </c>
      <c r="BM933" s="315">
        <f t="shared" si="667"/>
        <v>1</v>
      </c>
      <c r="BN933" s="315">
        <f t="shared" si="667"/>
        <v>1</v>
      </c>
      <c r="BO933" s="315">
        <f t="shared" si="667"/>
        <v>1</v>
      </c>
      <c r="BP933" s="315">
        <f t="shared" si="667"/>
        <v>1</v>
      </c>
      <c r="BQ933" s="5"/>
      <c r="BR933" s="13"/>
      <c r="BS933" s="5"/>
    </row>
    <row r="934" spans="1:71" s="3" customFormat="1" x14ac:dyDescent="0.25">
      <c r="A934" s="5"/>
      <c r="B934" s="3" t="str">
        <f t="array" ref="B934">IFERROR(INDEX(DemandSupply,MATCH(INDEX($AH$1:AH934,SMALL(ROW($AH$1:AH934)+(10000*($AH$1:AH934="")),COUNTA($AH$1:AH934))),Sectors,0)),"")</f>
        <v>Supply</v>
      </c>
      <c r="E934" s="10">
        <f t="shared" si="653"/>
        <v>1</v>
      </c>
      <c r="F934" s="207">
        <v>1</v>
      </c>
      <c r="G934" s="207">
        <v>1</v>
      </c>
      <c r="H934" s="207">
        <v>1</v>
      </c>
      <c r="I934" s="207">
        <v>1</v>
      </c>
      <c r="J934" s="207">
        <v>1</v>
      </c>
      <c r="K934" s="207">
        <v>1</v>
      </c>
      <c r="L934" s="207">
        <v>1</v>
      </c>
      <c r="M934" s="207">
        <v>1</v>
      </c>
      <c r="N934" s="207">
        <v>1</v>
      </c>
      <c r="O934" s="207">
        <v>1</v>
      </c>
      <c r="P934" s="207">
        <v>1</v>
      </c>
      <c r="Q934" s="207">
        <v>1</v>
      </c>
      <c r="R934" s="207">
        <v>1</v>
      </c>
      <c r="S934" s="207">
        <v>1</v>
      </c>
      <c r="T934" s="207">
        <v>1</v>
      </c>
      <c r="U934" s="207">
        <v>1</v>
      </c>
      <c r="V934" s="207">
        <v>1</v>
      </c>
      <c r="W934" s="207">
        <v>1</v>
      </c>
      <c r="X934" s="207">
        <v>1</v>
      </c>
      <c r="Y934" s="207">
        <v>1</v>
      </c>
      <c r="Z934" s="207">
        <v>1</v>
      </c>
      <c r="AA934" s="207">
        <v>1</v>
      </c>
      <c r="AB934" s="207">
        <v>1</v>
      </c>
      <c r="AC934" s="5"/>
      <c r="AD934" s="63"/>
      <c r="AE934" s="64"/>
      <c r="AF934" s="64"/>
      <c r="AG934" s="212"/>
      <c r="AH934" s="64"/>
      <c r="AI934" s="65"/>
      <c r="AJ934" s="227"/>
      <c r="AK934" s="65"/>
      <c r="AL934" s="64"/>
      <c r="AM934" s="212"/>
      <c r="AN934" s="64"/>
      <c r="AO934" s="64"/>
      <c r="AP934" s="63"/>
      <c r="AQ934" s="64"/>
      <c r="AR934" s="63"/>
      <c r="AS934" s="64"/>
      <c r="AT934" s="63"/>
      <c r="AU934" s="64"/>
      <c r="AV934" s="63"/>
      <c r="AW934" s="64"/>
      <c r="AX934" s="63"/>
      <c r="AY934" s="5"/>
      <c r="AZ934" s="21" t="str">
        <f t="shared" si="666"/>
        <v/>
      </c>
      <c r="BB934" s="13"/>
      <c r="BE934" s="9"/>
      <c r="BQ934" s="5"/>
      <c r="BR934" s="13"/>
      <c r="BS934" s="5"/>
    </row>
    <row r="935" spans="1:71" s="3" customFormat="1" x14ac:dyDescent="0.25">
      <c r="A935" s="5"/>
      <c r="B935" s="3" t="str">
        <f t="array" ref="B935">IFERROR(INDEX(DemandSupply,MATCH(INDEX($AH$1:AH935,SMALL(ROW($AH$1:AH935)+(10000*($AH$1:AH935="")),COUNTA($AH$1:AH935))),Sectors,0)),"")</f>
        <v>Supply</v>
      </c>
      <c r="E935" s="10">
        <f t="shared" si="653"/>
        <v>1</v>
      </c>
      <c r="F935" s="207">
        <v>1</v>
      </c>
      <c r="G935" s="207">
        <v>1</v>
      </c>
      <c r="H935" s="207">
        <v>1</v>
      </c>
      <c r="I935" s="207">
        <v>1</v>
      </c>
      <c r="J935" s="207">
        <v>1</v>
      </c>
      <c r="K935" s="207">
        <v>1</v>
      </c>
      <c r="L935" s="207">
        <v>1</v>
      </c>
      <c r="M935" s="207">
        <v>1</v>
      </c>
      <c r="N935" s="207">
        <v>1</v>
      </c>
      <c r="O935" s="207">
        <v>1</v>
      </c>
      <c r="P935" s="207">
        <v>1</v>
      </c>
      <c r="Q935" s="207">
        <v>1</v>
      </c>
      <c r="R935" s="207">
        <v>1</v>
      </c>
      <c r="S935" s="207">
        <v>1</v>
      </c>
      <c r="T935" s="207">
        <v>1</v>
      </c>
      <c r="U935" s="207">
        <v>1</v>
      </c>
      <c r="V935" s="207">
        <v>1</v>
      </c>
      <c r="W935" s="207">
        <v>1</v>
      </c>
      <c r="X935" s="207">
        <v>1</v>
      </c>
      <c r="Y935" s="207">
        <v>1</v>
      </c>
      <c r="Z935" s="207">
        <v>1</v>
      </c>
      <c r="AA935" s="207">
        <v>1</v>
      </c>
      <c r="AB935" s="207">
        <v>1</v>
      </c>
      <c r="AC935" s="5"/>
      <c r="AD935" s="63"/>
      <c r="AE935" s="64"/>
      <c r="AF935" s="64"/>
      <c r="AG935" s="212"/>
      <c r="AH935" s="64"/>
      <c r="AI935" s="65"/>
      <c r="AJ935" s="227"/>
      <c r="AK935" s="65"/>
      <c r="AL935" s="64"/>
      <c r="AM935" s="212"/>
      <c r="AN935" s="211" t="s">
        <v>72</v>
      </c>
      <c r="AO935" s="64"/>
      <c r="AP935" s="63"/>
      <c r="AQ935" s="64"/>
      <c r="AR935" s="63"/>
      <c r="AS935" s="64"/>
      <c r="AT935" s="63"/>
      <c r="AU935" s="64"/>
      <c r="AV935" s="63"/>
      <c r="AW935" s="64"/>
      <c r="AX935" s="63"/>
      <c r="AY935" s="5"/>
      <c r="AZ935" s="208" t="str">
        <f t="shared" si="666"/>
        <v>Conventional</v>
      </c>
      <c r="BB935" s="13"/>
      <c r="BE935" s="9"/>
      <c r="BQ935" s="5"/>
      <c r="BR935" s="13"/>
      <c r="BS935" s="5"/>
    </row>
    <row r="936" spans="1:71" s="3" customFormat="1" x14ac:dyDescent="0.25">
      <c r="A936" s="5"/>
      <c r="B936" s="3" t="str">
        <f t="array" ref="B936">IFERROR(INDEX(DemandSupply,MATCH(INDEX($AH$1:AH936,SMALL(ROW($AH$1:AH936)+(10000*($AH$1:AH936="")),COUNTA($AH$1:AH936))),Sectors,0)),"")</f>
        <v>Supply</v>
      </c>
      <c r="E936" s="10">
        <f t="shared" si="653"/>
        <v>0</v>
      </c>
      <c r="F936" s="207">
        <v>1</v>
      </c>
      <c r="G936" s="207">
        <v>1</v>
      </c>
      <c r="H936" s="207">
        <v>1</v>
      </c>
      <c r="I936" s="207">
        <v>1</v>
      </c>
      <c r="J936" s="207">
        <v>1</v>
      </c>
      <c r="K936" s="207">
        <v>1</v>
      </c>
      <c r="L936" s="207">
        <v>1</v>
      </c>
      <c r="M936" s="207">
        <v>1</v>
      </c>
      <c r="N936" s="207">
        <v>1</v>
      </c>
      <c r="O936" s="207">
        <v>1</v>
      </c>
      <c r="P936" s="207">
        <v>1</v>
      </c>
      <c r="Q936" s="207">
        <v>1</v>
      </c>
      <c r="R936" s="207">
        <v>1</v>
      </c>
      <c r="S936" s="207">
        <v>1</v>
      </c>
      <c r="T936" s="207">
        <v>1</v>
      </c>
      <c r="U936" s="207">
        <v>1</v>
      </c>
      <c r="V936" s="207">
        <v>1</v>
      </c>
      <c r="W936" s="207">
        <v>1</v>
      </c>
      <c r="X936" s="207">
        <v>1</v>
      </c>
      <c r="Y936" s="207">
        <v>1</v>
      </c>
      <c r="Z936" s="207">
        <v>1</v>
      </c>
      <c r="AA936" s="207">
        <v>1</v>
      </c>
      <c r="AB936" s="207">
        <v>1</v>
      </c>
      <c r="AC936" s="5"/>
      <c r="AD936" s="63"/>
      <c r="AE936" s="64"/>
      <c r="AF936" s="64"/>
      <c r="AG936" s="212"/>
      <c r="AH936" s="64"/>
      <c r="AI936" s="65"/>
      <c r="AJ936" s="227"/>
      <c r="AK936" s="65"/>
      <c r="AL936" s="64"/>
      <c r="AM936" s="212"/>
      <c r="AN936" s="63"/>
      <c r="AO936" s="64"/>
      <c r="AP936" s="63"/>
      <c r="AQ936" s="64"/>
      <c r="AR936" s="63"/>
      <c r="AS936" s="64"/>
      <c r="AT936" s="63"/>
      <c r="AU936" s="64"/>
      <c r="AV936" s="63"/>
      <c r="AW936" s="64"/>
      <c r="AX936" s="63"/>
      <c r="AY936" s="5"/>
      <c r="AZ936" s="21" t="str">
        <f t="shared" si="666"/>
        <v/>
      </c>
      <c r="BA936" s="2" t="s">
        <v>337</v>
      </c>
      <c r="BB936" s="13"/>
      <c r="BC936" s="2" t="s">
        <v>197</v>
      </c>
      <c r="BD936" s="3" t="s">
        <v>219</v>
      </c>
      <c r="BE936" s="216" t="str">
        <f>AZ935</f>
        <v>Conventional</v>
      </c>
      <c r="BF936" s="56"/>
      <c r="BG936" s="56"/>
      <c r="BH936" s="56"/>
      <c r="BI936" s="56"/>
      <c r="BJ936" s="56"/>
      <c r="BK936" s="56"/>
      <c r="BL936" s="56"/>
      <c r="BM936" s="56"/>
      <c r="BN936" s="56"/>
      <c r="BO936" s="56"/>
      <c r="BP936" s="56"/>
      <c r="BQ936" s="5"/>
      <c r="BR936" s="13"/>
      <c r="BS936" s="5"/>
    </row>
    <row r="937" spans="1:71" s="3" customFormat="1" x14ac:dyDescent="0.25">
      <c r="A937" s="5"/>
      <c r="B937" s="3" t="str">
        <f t="array" ref="B937">IFERROR(INDEX(DemandSupply,MATCH(INDEX($AH$1:AH937,SMALL(ROW($AH$1:AH937)+(10000*($AH$1:AH937="")),COUNTA($AH$1:AH937))),Sectors,0)),"")</f>
        <v>Supply</v>
      </c>
      <c r="E937" s="10">
        <f t="shared" si="653"/>
        <v>0</v>
      </c>
      <c r="F937" s="207">
        <v>1</v>
      </c>
      <c r="G937" s="207">
        <v>1</v>
      </c>
      <c r="H937" s="207">
        <v>1</v>
      </c>
      <c r="I937" s="207">
        <v>1</v>
      </c>
      <c r="J937" s="207">
        <v>1</v>
      </c>
      <c r="K937" s="207">
        <v>1</v>
      </c>
      <c r="L937" s="207">
        <v>1</v>
      </c>
      <c r="M937" s="207">
        <v>1</v>
      </c>
      <c r="N937" s="207">
        <v>1</v>
      </c>
      <c r="O937" s="207">
        <v>1</v>
      </c>
      <c r="P937" s="207">
        <v>1</v>
      </c>
      <c r="Q937" s="207">
        <v>1</v>
      </c>
      <c r="R937" s="207">
        <v>1</v>
      </c>
      <c r="S937" s="207">
        <v>1</v>
      </c>
      <c r="T937" s="207">
        <v>1</v>
      </c>
      <c r="U937" s="207">
        <v>1</v>
      </c>
      <c r="V937" s="207">
        <v>1</v>
      </c>
      <c r="W937" s="207">
        <v>1</v>
      </c>
      <c r="X937" s="207">
        <v>1</v>
      </c>
      <c r="Y937" s="207">
        <v>1</v>
      </c>
      <c r="Z937" s="207">
        <v>1</v>
      </c>
      <c r="AA937" s="207">
        <v>1</v>
      </c>
      <c r="AB937" s="207">
        <v>1</v>
      </c>
      <c r="AC937" s="5"/>
      <c r="AD937" s="63"/>
      <c r="AE937" s="64"/>
      <c r="AF937" s="64"/>
      <c r="AG937" s="212"/>
      <c r="AH937" s="64"/>
      <c r="AI937" s="65"/>
      <c r="AJ937" s="227"/>
      <c r="AK937" s="65"/>
      <c r="AL937" s="64"/>
      <c r="AM937" s="212"/>
      <c r="AN937" s="63"/>
      <c r="AO937" s="64"/>
      <c r="AP937" s="63"/>
      <c r="AQ937" s="64"/>
      <c r="AR937" s="63"/>
      <c r="AS937" s="64"/>
      <c r="AT937" s="63"/>
      <c r="AU937" s="64"/>
      <c r="AV937" s="63"/>
      <c r="AW937" s="64"/>
      <c r="AX937" s="63"/>
      <c r="AY937" s="5"/>
      <c r="AZ937" s="21" t="str">
        <f t="shared" si="666"/>
        <v/>
      </c>
      <c r="BA937" s="2" t="s">
        <v>47</v>
      </c>
      <c r="BB937" s="13"/>
      <c r="BC937" s="2"/>
      <c r="BD937" s="2"/>
      <c r="BE937" s="16" t="s">
        <v>21</v>
      </c>
      <c r="BF937" s="4"/>
      <c r="BG937" s="4"/>
      <c r="BH937" s="4"/>
      <c r="BI937" s="4"/>
      <c r="BJ937" s="4"/>
      <c r="BK937" s="4"/>
      <c r="BL937" s="4"/>
      <c r="BM937" s="4"/>
      <c r="BN937" s="4"/>
      <c r="BO937" s="4"/>
      <c r="BP937" s="4"/>
      <c r="BQ937" s="5"/>
      <c r="BR937" s="13"/>
      <c r="BS937" s="5"/>
    </row>
    <row r="938" spans="1:71" s="3" customFormat="1" x14ac:dyDescent="0.25">
      <c r="A938" s="5"/>
      <c r="B938" s="3" t="str">
        <f t="array" ref="B938">IFERROR(INDEX(DemandSupply,MATCH(INDEX($AH$1:AH938,SMALL(ROW($AH$1:AH938)+(10000*($AH$1:AH938="")),COUNTA($AH$1:AH938))),Sectors,0)),"")</f>
        <v>Supply</v>
      </c>
      <c r="E938" s="10">
        <f t="shared" si="653"/>
        <v>0</v>
      </c>
      <c r="F938" s="207">
        <v>1</v>
      </c>
      <c r="G938" s="207">
        <v>1</v>
      </c>
      <c r="H938" s="207">
        <v>1</v>
      </c>
      <c r="I938" s="207">
        <v>1</v>
      </c>
      <c r="J938" s="207">
        <v>1</v>
      </c>
      <c r="K938" s="207">
        <v>1</v>
      </c>
      <c r="L938" s="207">
        <v>1</v>
      </c>
      <c r="M938" s="207">
        <v>1</v>
      </c>
      <c r="N938" s="207">
        <v>1</v>
      </c>
      <c r="O938" s="207">
        <v>1</v>
      </c>
      <c r="P938" s="207">
        <v>1</v>
      </c>
      <c r="Q938" s="207">
        <v>1</v>
      </c>
      <c r="R938" s="207">
        <v>1</v>
      </c>
      <c r="S938" s="207">
        <v>1</v>
      </c>
      <c r="T938" s="207">
        <v>1</v>
      </c>
      <c r="U938" s="207">
        <v>1</v>
      </c>
      <c r="V938" s="207">
        <v>1</v>
      </c>
      <c r="W938" s="207">
        <v>1</v>
      </c>
      <c r="X938" s="207">
        <v>1</v>
      </c>
      <c r="Y938" s="207">
        <v>1</v>
      </c>
      <c r="Z938" s="207">
        <v>1</v>
      </c>
      <c r="AA938" s="207">
        <v>1</v>
      </c>
      <c r="AB938" s="207">
        <v>1</v>
      </c>
      <c r="AC938" s="5"/>
      <c r="AD938" s="63"/>
      <c r="AE938" s="64"/>
      <c r="AF938" s="64"/>
      <c r="AG938" s="212"/>
      <c r="AH938" s="64"/>
      <c r="AI938" s="65"/>
      <c r="AJ938" s="227"/>
      <c r="AK938" s="65"/>
      <c r="AL938" s="64"/>
      <c r="AM938" s="212"/>
      <c r="AN938" s="63"/>
      <c r="AO938" s="64"/>
      <c r="AP938" s="63"/>
      <c r="AQ938" s="64"/>
      <c r="AR938" s="63"/>
      <c r="AS938" s="64"/>
      <c r="AT938" s="63"/>
      <c r="AU938" s="64"/>
      <c r="AV938" s="63"/>
      <c r="AW938" s="64"/>
      <c r="AX938" s="63"/>
      <c r="AY938" s="5"/>
      <c r="AZ938" s="21" t="str">
        <f t="shared" si="666"/>
        <v/>
      </c>
      <c r="BA938" s="2" t="s">
        <v>66</v>
      </c>
      <c r="BB938" s="13"/>
      <c r="BC938" s="2"/>
      <c r="BD938" s="2"/>
      <c r="BE938" s="16" t="s">
        <v>35</v>
      </c>
      <c r="BF938" s="4">
        <v>10</v>
      </c>
      <c r="BG938" s="223">
        <f>BF938</f>
        <v>10</v>
      </c>
      <c r="BH938" s="223">
        <f t="shared" ref="BH938:BP939" si="668">BG938</f>
        <v>10</v>
      </c>
      <c r="BI938" s="223">
        <f t="shared" si="668"/>
        <v>10</v>
      </c>
      <c r="BJ938" s="223">
        <f t="shared" si="668"/>
        <v>10</v>
      </c>
      <c r="BK938" s="223">
        <f t="shared" si="668"/>
        <v>10</v>
      </c>
      <c r="BL938" s="223">
        <f t="shared" si="668"/>
        <v>10</v>
      </c>
      <c r="BM938" s="223">
        <f t="shared" si="668"/>
        <v>10</v>
      </c>
      <c r="BN938" s="223">
        <f t="shared" si="668"/>
        <v>10</v>
      </c>
      <c r="BO938" s="223">
        <f t="shared" si="668"/>
        <v>10</v>
      </c>
      <c r="BP938" s="223">
        <f t="shared" si="668"/>
        <v>10</v>
      </c>
      <c r="BQ938" s="5"/>
      <c r="BR938" s="13"/>
      <c r="BS938" s="5"/>
    </row>
    <row r="939" spans="1:71" s="3" customFormat="1" x14ac:dyDescent="0.25">
      <c r="A939" s="5"/>
      <c r="B939" s="3" t="str">
        <f t="array" ref="B939">IFERROR(INDEX(DemandSupply,MATCH(INDEX($AH$1:AH939,SMALL(ROW($AH$1:AH939)+(10000*($AH$1:AH939="")),COUNTA($AH$1:AH939))),Sectors,0)),"")</f>
        <v>Supply</v>
      </c>
      <c r="E939" s="10">
        <f t="shared" si="653"/>
        <v>0</v>
      </c>
      <c r="F939" s="207">
        <v>1</v>
      </c>
      <c r="G939" s="207">
        <v>1</v>
      </c>
      <c r="H939" s="207">
        <v>1</v>
      </c>
      <c r="I939" s="207">
        <v>1</v>
      </c>
      <c r="J939" s="207">
        <v>1</v>
      </c>
      <c r="K939" s="207">
        <v>1</v>
      </c>
      <c r="L939" s="207">
        <v>1</v>
      </c>
      <c r="M939" s="207">
        <v>1</v>
      </c>
      <c r="N939" s="207">
        <v>1</v>
      </c>
      <c r="O939" s="207">
        <v>1</v>
      </c>
      <c r="P939" s="207">
        <v>1</v>
      </c>
      <c r="Q939" s="207">
        <v>1</v>
      </c>
      <c r="R939" s="207">
        <v>1</v>
      </c>
      <c r="S939" s="207">
        <v>1</v>
      </c>
      <c r="T939" s="207">
        <v>1</v>
      </c>
      <c r="U939" s="207">
        <v>1</v>
      </c>
      <c r="V939" s="207">
        <v>1</v>
      </c>
      <c r="W939" s="207">
        <v>1</v>
      </c>
      <c r="X939" s="207">
        <v>1</v>
      </c>
      <c r="Y939" s="207">
        <v>1</v>
      </c>
      <c r="Z939" s="207">
        <v>1</v>
      </c>
      <c r="AA939" s="207">
        <v>1</v>
      </c>
      <c r="AB939" s="207">
        <v>1</v>
      </c>
      <c r="AC939" s="5"/>
      <c r="AD939" s="63"/>
      <c r="AE939" s="64"/>
      <c r="AF939" s="64"/>
      <c r="AG939" s="212"/>
      <c r="AH939" s="64"/>
      <c r="AI939" s="65"/>
      <c r="AJ939" s="227"/>
      <c r="AK939" s="65"/>
      <c r="AL939" s="64"/>
      <c r="AM939" s="212"/>
      <c r="AN939" s="63"/>
      <c r="AO939" s="64"/>
      <c r="AP939" s="63"/>
      <c r="AQ939" s="64"/>
      <c r="AR939" s="63"/>
      <c r="AS939" s="64"/>
      <c r="AT939" s="63"/>
      <c r="AU939" s="64"/>
      <c r="AV939" s="63"/>
      <c r="AW939" s="64"/>
      <c r="AX939" s="63"/>
      <c r="AY939" s="5"/>
      <c r="AZ939" s="21" t="str">
        <f t="shared" si="666"/>
        <v/>
      </c>
      <c r="BA939" s="2" t="s">
        <v>343</v>
      </c>
      <c r="BB939" s="13"/>
      <c r="BC939" s="2"/>
      <c r="BD939" s="2" t="s">
        <v>99</v>
      </c>
      <c r="BE939" s="16" t="s">
        <v>41</v>
      </c>
      <c r="BF939" s="303">
        <v>0.25</v>
      </c>
      <c r="BG939" s="304">
        <f>BF939</f>
        <v>0.25</v>
      </c>
      <c r="BH939" s="304">
        <f t="shared" si="668"/>
        <v>0.25</v>
      </c>
      <c r="BI939" s="304">
        <f t="shared" si="668"/>
        <v>0.25</v>
      </c>
      <c r="BJ939" s="304">
        <f t="shared" si="668"/>
        <v>0.25</v>
      </c>
      <c r="BK939" s="304">
        <f t="shared" si="668"/>
        <v>0.25</v>
      </c>
      <c r="BL939" s="304">
        <f t="shared" si="668"/>
        <v>0.25</v>
      </c>
      <c r="BM939" s="304">
        <f t="shared" si="668"/>
        <v>0.25</v>
      </c>
      <c r="BN939" s="304">
        <f t="shared" si="668"/>
        <v>0.25</v>
      </c>
      <c r="BO939" s="304">
        <f t="shared" si="668"/>
        <v>0.25</v>
      </c>
      <c r="BP939" s="304">
        <f t="shared" si="668"/>
        <v>0.25</v>
      </c>
      <c r="BQ939" s="5"/>
      <c r="BR939" s="13"/>
      <c r="BS939" s="5"/>
    </row>
    <row r="940" spans="1:71" s="3" customFormat="1" x14ac:dyDescent="0.25">
      <c r="A940" s="5"/>
      <c r="B940" s="3" t="str">
        <f t="array" ref="B940">IFERROR(INDEX(DemandSupply,MATCH(INDEX($AH$1:AH940,SMALL(ROW($AH$1:AH940)+(10000*($AH$1:AH940="")),COUNTA($AH$1:AH940))),Sectors,0)),"")</f>
        <v>Supply</v>
      </c>
      <c r="E940" s="10">
        <f t="shared" si="653"/>
        <v>0</v>
      </c>
      <c r="F940" s="207">
        <v>1</v>
      </c>
      <c r="G940" s="207">
        <v>1</v>
      </c>
      <c r="H940" s="207">
        <v>1</v>
      </c>
      <c r="I940" s="207">
        <v>1</v>
      </c>
      <c r="J940" s="207">
        <v>1</v>
      </c>
      <c r="K940" s="207">
        <v>1</v>
      </c>
      <c r="L940" s="207">
        <v>1</v>
      </c>
      <c r="M940" s="207">
        <v>1</v>
      </c>
      <c r="N940" s="207">
        <v>1</v>
      </c>
      <c r="O940" s="207">
        <v>1</v>
      </c>
      <c r="P940" s="207">
        <v>1</v>
      </c>
      <c r="Q940" s="207">
        <v>1</v>
      </c>
      <c r="R940" s="207">
        <v>1</v>
      </c>
      <c r="S940" s="207">
        <v>1</v>
      </c>
      <c r="T940" s="207">
        <v>1</v>
      </c>
      <c r="U940" s="207">
        <v>1</v>
      </c>
      <c r="V940" s="207">
        <v>1</v>
      </c>
      <c r="W940" s="207">
        <v>1</v>
      </c>
      <c r="X940" s="207">
        <v>1</v>
      </c>
      <c r="Y940" s="207">
        <v>1</v>
      </c>
      <c r="Z940" s="207">
        <v>1</v>
      </c>
      <c r="AA940" s="207">
        <v>1</v>
      </c>
      <c r="AB940" s="207">
        <v>1</v>
      </c>
      <c r="AC940" s="5"/>
      <c r="AD940" s="63"/>
      <c r="AE940" s="64"/>
      <c r="AF940" s="64"/>
      <c r="AG940" s="212"/>
      <c r="AH940" s="64"/>
      <c r="AI940" s="65"/>
      <c r="AJ940" s="227"/>
      <c r="AK940" s="65"/>
      <c r="AL940" s="64"/>
      <c r="AM940" s="212"/>
      <c r="AN940" s="63"/>
      <c r="AO940" s="64"/>
      <c r="AP940" s="63"/>
      <c r="AQ940" s="64"/>
      <c r="AR940" s="63"/>
      <c r="AS940" s="64"/>
      <c r="AT940" s="63"/>
      <c r="AU940" s="64"/>
      <c r="AV940" s="63"/>
      <c r="AW940" s="64"/>
      <c r="AX940" s="63"/>
      <c r="AY940" s="5"/>
      <c r="AZ940" s="21" t="str">
        <f t="shared" si="666"/>
        <v/>
      </c>
      <c r="BA940" s="293" t="s">
        <v>51</v>
      </c>
      <c r="BB940" s="13"/>
      <c r="BC940" s="2"/>
      <c r="BD940" s="2"/>
      <c r="BE940" s="70" t="s">
        <v>198</v>
      </c>
      <c r="BF940" s="209"/>
      <c r="BG940" s="209"/>
      <c r="BH940" s="4"/>
      <c r="BI940" s="4"/>
      <c r="BJ940" s="4"/>
      <c r="BK940" s="4"/>
      <c r="BL940" s="4"/>
      <c r="BM940" s="4"/>
      <c r="BN940" s="4"/>
      <c r="BO940" s="4"/>
      <c r="BP940" s="4"/>
      <c r="BQ940" s="5"/>
      <c r="BR940" s="13"/>
      <c r="BS940" s="5"/>
    </row>
    <row r="941" spans="1:71" s="3" customFormat="1" x14ac:dyDescent="0.25">
      <c r="A941" s="5"/>
      <c r="B941" s="3" t="str">
        <f t="array" ref="B941">IFERROR(INDEX(DemandSupply,MATCH(INDEX($AH$1:AH941,SMALL(ROW($AH$1:AH941)+(10000*($AH$1:AH941="")),COUNTA($AH$1:AH941))),Sectors,0)),"")</f>
        <v>Supply</v>
      </c>
      <c r="E941" s="10"/>
      <c r="F941" s="207"/>
      <c r="G941" s="207"/>
      <c r="H941" s="207"/>
      <c r="I941" s="207"/>
      <c r="J941" s="207"/>
      <c r="K941" s="207"/>
      <c r="L941" s="207"/>
      <c r="M941" s="207"/>
      <c r="N941" s="207"/>
      <c r="O941" s="207"/>
      <c r="P941" s="207"/>
      <c r="Q941" s="207"/>
      <c r="R941" s="207"/>
      <c r="S941" s="207"/>
      <c r="T941" s="207"/>
      <c r="U941" s="207"/>
      <c r="V941" s="207"/>
      <c r="W941" s="207"/>
      <c r="X941" s="207"/>
      <c r="Y941" s="207"/>
      <c r="Z941" s="207"/>
      <c r="AA941" s="207"/>
      <c r="AB941" s="207"/>
      <c r="AC941" s="5"/>
      <c r="AD941" s="63"/>
      <c r="AE941" s="64"/>
      <c r="AF941" s="64"/>
      <c r="AG941" s="212"/>
      <c r="AH941" s="64"/>
      <c r="AI941" s="64"/>
      <c r="AJ941" s="227"/>
      <c r="AK941" s="64"/>
      <c r="AL941" s="64"/>
      <c r="AM941" s="212"/>
      <c r="AN941" s="64"/>
      <c r="AO941" s="64"/>
      <c r="AP941" s="63"/>
      <c r="AQ941" s="64"/>
      <c r="AR941" s="63"/>
      <c r="AS941" s="64"/>
      <c r="AT941" s="63"/>
      <c r="AU941" s="64"/>
      <c r="AV941" s="63"/>
      <c r="AW941" s="64"/>
      <c r="AX941" s="63"/>
      <c r="AY941" s="5"/>
      <c r="AZ941" s="21" t="str">
        <f t="shared" si="666"/>
        <v/>
      </c>
      <c r="BA941" s="264" t="s">
        <v>38</v>
      </c>
      <c r="BB941" s="264"/>
      <c r="BC941" s="264"/>
      <c r="BD941" s="264" t="s">
        <v>40</v>
      </c>
      <c r="BE941" s="9" t="s">
        <v>198</v>
      </c>
      <c r="BF941" s="309">
        <v>2000</v>
      </c>
      <c r="BG941" s="312">
        <f t="shared" ref="BG941:BP941" si="669">BF941</f>
        <v>2000</v>
      </c>
      <c r="BH941" s="312">
        <f t="shared" si="669"/>
        <v>2000</v>
      </c>
      <c r="BI941" s="312">
        <f t="shared" si="669"/>
        <v>2000</v>
      </c>
      <c r="BJ941" s="312">
        <f t="shared" si="669"/>
        <v>2000</v>
      </c>
      <c r="BK941" s="312">
        <f t="shared" si="669"/>
        <v>2000</v>
      </c>
      <c r="BL941" s="312">
        <f t="shared" si="669"/>
        <v>2000</v>
      </c>
      <c r="BM941" s="312">
        <f t="shared" si="669"/>
        <v>2000</v>
      </c>
      <c r="BN941" s="312">
        <f t="shared" si="669"/>
        <v>2000</v>
      </c>
      <c r="BO941" s="312">
        <f t="shared" si="669"/>
        <v>2000</v>
      </c>
      <c r="BP941" s="312">
        <f t="shared" si="669"/>
        <v>2000</v>
      </c>
      <c r="BQ941" s="5"/>
      <c r="BR941" s="25"/>
      <c r="BS941" s="5"/>
    </row>
    <row r="942" spans="1:71" s="3" customFormat="1" x14ac:dyDescent="0.25">
      <c r="A942" s="5"/>
      <c r="B942" s="3" t="str">
        <f t="array" ref="B942">IFERROR(INDEX(DemandSupply,MATCH(INDEX($AH$1:AH942,SMALL(ROW($AH$1:AH942)+(10000*($AH$1:AH942="")),COUNTA($AH$1:AH942))),Sectors,0)),"")</f>
        <v>Supply</v>
      </c>
      <c r="E942" s="10"/>
      <c r="F942" s="207"/>
      <c r="G942" s="207"/>
      <c r="H942" s="207"/>
      <c r="I942" s="207"/>
      <c r="J942" s="207"/>
      <c r="K942" s="207"/>
      <c r="L942" s="207"/>
      <c r="M942" s="207"/>
      <c r="N942" s="207"/>
      <c r="O942" s="207"/>
      <c r="P942" s="207"/>
      <c r="Q942" s="207"/>
      <c r="R942" s="207"/>
      <c r="S942" s="207"/>
      <c r="T942" s="207"/>
      <c r="U942" s="207"/>
      <c r="V942" s="207"/>
      <c r="W942" s="207"/>
      <c r="X942" s="207"/>
      <c r="Y942" s="207"/>
      <c r="Z942" s="207"/>
      <c r="AA942" s="207"/>
      <c r="AB942" s="207"/>
      <c r="AC942" s="5"/>
      <c r="AD942" s="63"/>
      <c r="AE942" s="64"/>
      <c r="AF942" s="64"/>
      <c r="AG942" s="212"/>
      <c r="AH942" s="64"/>
      <c r="AI942" s="64"/>
      <c r="AJ942" s="227"/>
      <c r="AK942" s="64"/>
      <c r="AL942" s="64"/>
      <c r="AM942" s="212"/>
      <c r="AN942" s="64"/>
      <c r="AO942" s="64"/>
      <c r="AP942" s="63"/>
      <c r="AQ942" s="64"/>
      <c r="AR942" s="63"/>
      <c r="AS942" s="64"/>
      <c r="AT942" s="63"/>
      <c r="AU942" s="64"/>
      <c r="AV942" s="63"/>
      <c r="AW942" s="64"/>
      <c r="AX942" s="63"/>
      <c r="AY942" s="5"/>
      <c r="AZ942" s="21" t="str">
        <f t="shared" si="666"/>
        <v/>
      </c>
      <c r="BA942" s="264" t="s">
        <v>37</v>
      </c>
      <c r="BB942" s="264"/>
      <c r="BC942" s="264"/>
      <c r="BD942" s="264" t="s">
        <v>40</v>
      </c>
      <c r="BE942" s="9" t="s">
        <v>198</v>
      </c>
      <c r="BF942" s="309">
        <v>2100</v>
      </c>
      <c r="BG942" s="312">
        <f t="shared" ref="BG942:BP942" si="670">BF942</f>
        <v>2100</v>
      </c>
      <c r="BH942" s="312">
        <f t="shared" si="670"/>
        <v>2100</v>
      </c>
      <c r="BI942" s="312">
        <f t="shared" si="670"/>
        <v>2100</v>
      </c>
      <c r="BJ942" s="312">
        <f t="shared" si="670"/>
        <v>2100</v>
      </c>
      <c r="BK942" s="312">
        <f t="shared" si="670"/>
        <v>2100</v>
      </c>
      <c r="BL942" s="312">
        <f t="shared" si="670"/>
        <v>2100</v>
      </c>
      <c r="BM942" s="312">
        <f t="shared" si="670"/>
        <v>2100</v>
      </c>
      <c r="BN942" s="312">
        <f t="shared" si="670"/>
        <v>2100</v>
      </c>
      <c r="BO942" s="312">
        <f t="shared" si="670"/>
        <v>2100</v>
      </c>
      <c r="BP942" s="312">
        <f t="shared" si="670"/>
        <v>2100</v>
      </c>
      <c r="BQ942" s="5"/>
      <c r="BR942" s="25"/>
      <c r="BS942" s="5"/>
    </row>
    <row r="943" spans="1:71" s="3" customFormat="1" x14ac:dyDescent="0.25">
      <c r="A943" s="5"/>
      <c r="B943" s="3" t="str">
        <f t="array" ref="B943">IFERROR(INDEX(DemandSupply,MATCH(INDEX($AH$1:AH943,SMALL(ROW($AH$1:AH943)+(10000*($AH$1:AH943="")),COUNTA($AH$1:AH943))),Sectors,0)),"")</f>
        <v>Supply</v>
      </c>
      <c r="E943" s="10"/>
      <c r="F943" s="207"/>
      <c r="G943" s="207"/>
      <c r="H943" s="207"/>
      <c r="I943" s="207"/>
      <c r="J943" s="207"/>
      <c r="K943" s="207"/>
      <c r="L943" s="207"/>
      <c r="M943" s="207"/>
      <c r="N943" s="207"/>
      <c r="O943" s="207"/>
      <c r="P943" s="207"/>
      <c r="Q943" s="207"/>
      <c r="R943" s="207"/>
      <c r="S943" s="207"/>
      <c r="T943" s="207"/>
      <c r="U943" s="207"/>
      <c r="V943" s="207"/>
      <c r="W943" s="207"/>
      <c r="X943" s="207"/>
      <c r="Y943" s="207"/>
      <c r="Z943" s="207"/>
      <c r="AA943" s="207"/>
      <c r="AB943" s="207"/>
      <c r="AC943" s="5"/>
      <c r="AD943" s="63"/>
      <c r="AE943" s="64"/>
      <c r="AF943" s="64"/>
      <c r="AG943" s="212"/>
      <c r="AH943" s="64"/>
      <c r="AI943" s="64"/>
      <c r="AJ943" s="227"/>
      <c r="AK943" s="64"/>
      <c r="AL943" s="64"/>
      <c r="AM943" s="212"/>
      <c r="AN943" s="64"/>
      <c r="AO943" s="64"/>
      <c r="AP943" s="63"/>
      <c r="AQ943" s="64"/>
      <c r="AR943" s="63"/>
      <c r="AS943" s="64"/>
      <c r="AT943" s="63"/>
      <c r="AU943" s="64"/>
      <c r="AV943" s="63"/>
      <c r="AW943" s="64"/>
      <c r="AX943" s="63"/>
      <c r="AY943" s="5"/>
      <c r="AZ943" s="21" t="str">
        <f t="shared" si="666"/>
        <v/>
      </c>
      <c r="BA943" s="264" t="s">
        <v>39</v>
      </c>
      <c r="BB943" s="264"/>
      <c r="BC943" s="264"/>
      <c r="BD943" s="264" t="s">
        <v>10</v>
      </c>
      <c r="BE943" s="9" t="s">
        <v>198</v>
      </c>
      <c r="BF943" s="56">
        <v>30</v>
      </c>
      <c r="BG943" s="282">
        <f t="shared" ref="BG943:BP943" si="671">BF943</f>
        <v>30</v>
      </c>
      <c r="BH943" s="282">
        <f t="shared" si="671"/>
        <v>30</v>
      </c>
      <c r="BI943" s="282">
        <f t="shared" si="671"/>
        <v>30</v>
      </c>
      <c r="BJ943" s="282">
        <f t="shared" si="671"/>
        <v>30</v>
      </c>
      <c r="BK943" s="282">
        <f t="shared" si="671"/>
        <v>30</v>
      </c>
      <c r="BL943" s="282">
        <f t="shared" si="671"/>
        <v>30</v>
      </c>
      <c r="BM943" s="282">
        <f t="shared" si="671"/>
        <v>30</v>
      </c>
      <c r="BN943" s="282">
        <f t="shared" si="671"/>
        <v>30</v>
      </c>
      <c r="BO943" s="282">
        <f t="shared" si="671"/>
        <v>30</v>
      </c>
      <c r="BP943" s="282">
        <f t="shared" si="671"/>
        <v>30</v>
      </c>
      <c r="BQ943" s="5"/>
      <c r="BR943" s="25"/>
      <c r="BS943" s="5"/>
    </row>
    <row r="944" spans="1:71" s="3" customFormat="1" x14ac:dyDescent="0.25">
      <c r="A944" s="5"/>
      <c r="B944" s="3" t="str">
        <f t="array" ref="B944">IFERROR(INDEX(DemandSupply,MATCH(INDEX($AH$1:AH944,SMALL(ROW($AH$1:AH944)+(10000*($AH$1:AH944="")),COUNTA($AH$1:AH944))),Sectors,0)),"")</f>
        <v>Supply</v>
      </c>
      <c r="E944" s="10"/>
      <c r="F944" s="207"/>
      <c r="G944" s="207"/>
      <c r="H944" s="207"/>
      <c r="I944" s="207"/>
      <c r="J944" s="207"/>
      <c r="K944" s="207"/>
      <c r="L944" s="207"/>
      <c r="M944" s="207"/>
      <c r="N944" s="207"/>
      <c r="O944" s="207"/>
      <c r="P944" s="207"/>
      <c r="Q944" s="207"/>
      <c r="R944" s="207"/>
      <c r="S944" s="207"/>
      <c r="T944" s="207"/>
      <c r="U944" s="207"/>
      <c r="V944" s="207"/>
      <c r="W944" s="207"/>
      <c r="X944" s="207"/>
      <c r="Y944" s="207"/>
      <c r="Z944" s="207"/>
      <c r="AA944" s="207"/>
      <c r="AB944" s="207"/>
      <c r="AC944" s="5"/>
      <c r="AD944" s="63"/>
      <c r="AE944" s="64"/>
      <c r="AF944" s="64"/>
      <c r="AG944" s="212"/>
      <c r="AH944" s="64"/>
      <c r="AI944" s="64"/>
      <c r="AJ944" s="227"/>
      <c r="AK944" s="64"/>
      <c r="AL944" s="64"/>
      <c r="AM944" s="212"/>
      <c r="AN944" s="64"/>
      <c r="AO944" s="64"/>
      <c r="AP944" s="63"/>
      <c r="AQ944" s="64"/>
      <c r="AR944" s="63"/>
      <c r="AS944" s="64"/>
      <c r="AT944" s="63"/>
      <c r="AU944" s="64"/>
      <c r="AV944" s="63"/>
      <c r="AW944" s="64"/>
      <c r="AX944" s="63"/>
      <c r="AY944" s="5"/>
      <c r="AZ944" s="21" t="str">
        <f t="shared" si="666"/>
        <v/>
      </c>
      <c r="BA944" s="264" t="s">
        <v>395</v>
      </c>
      <c r="BB944" s="264"/>
      <c r="BC944" s="264"/>
      <c r="BD944" s="264" t="s">
        <v>10</v>
      </c>
      <c r="BE944" s="9" t="s">
        <v>198</v>
      </c>
      <c r="BF944" s="56"/>
      <c r="BG944" s="56"/>
      <c r="BH944" s="56"/>
      <c r="BI944" s="56"/>
      <c r="BJ944" s="56"/>
      <c r="BK944" s="56"/>
      <c r="BL944" s="56"/>
      <c r="BM944" s="56"/>
      <c r="BN944" s="56"/>
      <c r="BO944" s="56"/>
      <c r="BP944" s="56"/>
      <c r="BQ944" s="5"/>
      <c r="BR944" s="25"/>
      <c r="BS944" s="5"/>
    </row>
    <row r="945" spans="1:71" s="3" customFormat="1" x14ac:dyDescent="0.25">
      <c r="A945" s="5"/>
      <c r="B945" s="3" t="str">
        <f t="array" ref="B945">IFERROR(INDEX(DemandSupply,MATCH(INDEX($AH$1:AH945,SMALL(ROW($AH$1:AH945)+(10000*($AH$1:AH945="")),COUNTA($AH$1:AH945))),Sectors,0)),"")</f>
        <v>Supply</v>
      </c>
      <c r="E945" s="10"/>
      <c r="F945" s="207"/>
      <c r="G945" s="207"/>
      <c r="H945" s="207"/>
      <c r="I945" s="207"/>
      <c r="J945" s="207"/>
      <c r="K945" s="207"/>
      <c r="L945" s="207"/>
      <c r="M945" s="207"/>
      <c r="N945" s="207"/>
      <c r="O945" s="207"/>
      <c r="P945" s="207"/>
      <c r="Q945" s="207"/>
      <c r="R945" s="207"/>
      <c r="S945" s="207"/>
      <c r="T945" s="207"/>
      <c r="U945" s="207"/>
      <c r="V945" s="207"/>
      <c r="W945" s="207"/>
      <c r="X945" s="207"/>
      <c r="Y945" s="207"/>
      <c r="Z945" s="207"/>
      <c r="AA945" s="207"/>
      <c r="AB945" s="207"/>
      <c r="AC945" s="5"/>
      <c r="AD945" s="63"/>
      <c r="AE945" s="64"/>
      <c r="AF945" s="64"/>
      <c r="AG945" s="212"/>
      <c r="AH945" s="64"/>
      <c r="AI945" s="64"/>
      <c r="AJ945" s="227"/>
      <c r="AK945" s="64"/>
      <c r="AL945" s="64"/>
      <c r="AM945" s="212"/>
      <c r="AN945" s="64"/>
      <c r="AO945" s="64"/>
      <c r="AP945" s="63"/>
      <c r="AQ945" s="64"/>
      <c r="AR945" s="63"/>
      <c r="AS945" s="64"/>
      <c r="AT945" s="63"/>
      <c r="AU945" s="64"/>
      <c r="AV945" s="63"/>
      <c r="AW945" s="64"/>
      <c r="AX945" s="63"/>
      <c r="AY945" s="5"/>
      <c r="AZ945" s="21" t="str">
        <f t="shared" si="666"/>
        <v/>
      </c>
      <c r="BA945" s="264" t="s">
        <v>341</v>
      </c>
      <c r="BB945" s="264"/>
      <c r="BC945" s="264"/>
      <c r="BD945" s="264" t="s">
        <v>99</v>
      </c>
      <c r="BE945" s="9" t="s">
        <v>198</v>
      </c>
      <c r="BF945" s="303">
        <v>0.125</v>
      </c>
      <c r="BG945" s="306">
        <f t="shared" ref="BG945:BP945" si="672">BF945</f>
        <v>0.125</v>
      </c>
      <c r="BH945" s="306">
        <f t="shared" si="672"/>
        <v>0.125</v>
      </c>
      <c r="BI945" s="306">
        <f t="shared" si="672"/>
        <v>0.125</v>
      </c>
      <c r="BJ945" s="306">
        <f t="shared" si="672"/>
        <v>0.125</v>
      </c>
      <c r="BK945" s="306">
        <f t="shared" si="672"/>
        <v>0.125</v>
      </c>
      <c r="BL945" s="306">
        <f t="shared" si="672"/>
        <v>0.125</v>
      </c>
      <c r="BM945" s="306">
        <f t="shared" si="672"/>
        <v>0.125</v>
      </c>
      <c r="BN945" s="306">
        <f t="shared" si="672"/>
        <v>0.125</v>
      </c>
      <c r="BO945" s="306">
        <f t="shared" si="672"/>
        <v>0.125</v>
      </c>
      <c r="BP945" s="306">
        <f t="shared" si="672"/>
        <v>0.125</v>
      </c>
      <c r="BQ945" s="5"/>
      <c r="BR945" s="25"/>
      <c r="BS945" s="5"/>
    </row>
    <row r="946" spans="1:71" s="3" customFormat="1" x14ac:dyDescent="0.25">
      <c r="A946" s="5"/>
      <c r="B946" s="3" t="str">
        <f t="array" ref="B946">IFERROR(INDEX(DemandSupply,MATCH(INDEX($AH$1:AH946,SMALL(ROW($AH$1:AH946)+(10000*($AH$1:AH946="")),COUNTA($AH$1:AH946))),Sectors,0)),"")</f>
        <v>Supply</v>
      </c>
      <c r="E946" s="10"/>
      <c r="F946" s="207"/>
      <c r="G946" s="207"/>
      <c r="H946" s="207"/>
      <c r="I946" s="207"/>
      <c r="J946" s="207"/>
      <c r="K946" s="207"/>
      <c r="L946" s="207"/>
      <c r="M946" s="207"/>
      <c r="N946" s="207"/>
      <c r="O946" s="207"/>
      <c r="P946" s="207"/>
      <c r="Q946" s="207"/>
      <c r="R946" s="207"/>
      <c r="S946" s="207"/>
      <c r="T946" s="207"/>
      <c r="U946" s="207"/>
      <c r="V946" s="207"/>
      <c r="W946" s="207"/>
      <c r="X946" s="207"/>
      <c r="Y946" s="207"/>
      <c r="Z946" s="207"/>
      <c r="AA946" s="207"/>
      <c r="AB946" s="207"/>
      <c r="AC946" s="5"/>
      <c r="AD946" s="63"/>
      <c r="AE946" s="64"/>
      <c r="AF946" s="64"/>
      <c r="AG946" s="212"/>
      <c r="AH946" s="64"/>
      <c r="AI946" s="64"/>
      <c r="AJ946" s="227"/>
      <c r="AK946" s="64"/>
      <c r="AL946" s="64"/>
      <c r="AM946" s="212"/>
      <c r="AN946" s="64"/>
      <c r="AO946" s="64"/>
      <c r="AP946" s="63"/>
      <c r="AQ946" s="64"/>
      <c r="AR946" s="63"/>
      <c r="AS946" s="64"/>
      <c r="AT946" s="63"/>
      <c r="AU946" s="64"/>
      <c r="AV946" s="63"/>
      <c r="AW946" s="64"/>
      <c r="AX946" s="63"/>
      <c r="AY946" s="5"/>
      <c r="AZ946" s="21" t="str">
        <f t="shared" si="666"/>
        <v/>
      </c>
      <c r="BA946" s="264" t="s">
        <v>392</v>
      </c>
      <c r="BB946" s="264"/>
      <c r="BC946" s="264"/>
      <c r="BD946" s="264" t="s">
        <v>99</v>
      </c>
      <c r="BE946" s="9" t="s">
        <v>198</v>
      </c>
      <c r="BF946" s="303"/>
      <c r="BG946" s="303"/>
      <c r="BH946" s="303"/>
      <c r="BI946" s="303"/>
      <c r="BJ946" s="303"/>
      <c r="BK946" s="303"/>
      <c r="BL946" s="303"/>
      <c r="BM946" s="303"/>
      <c r="BN946" s="303"/>
      <c r="BO946" s="303"/>
      <c r="BP946" s="303"/>
      <c r="BQ946" s="5"/>
      <c r="BR946" s="25"/>
      <c r="BS946" s="5"/>
    </row>
    <row r="947" spans="1:71" s="3" customFormat="1" x14ac:dyDescent="0.25">
      <c r="A947" s="5"/>
      <c r="B947" s="3" t="str">
        <f t="array" ref="B947">IFERROR(INDEX(DemandSupply,MATCH(INDEX($AH$1:AH947,SMALL(ROW($AH$1:AH947)+(10000*($AH$1:AH947="")),COUNTA($AH$1:AH947))),Sectors,0)),"")</f>
        <v>Supply</v>
      </c>
      <c r="E947" s="10"/>
      <c r="F947" s="207"/>
      <c r="G947" s="207"/>
      <c r="H947" s="207"/>
      <c r="I947" s="207"/>
      <c r="J947" s="207"/>
      <c r="K947" s="207"/>
      <c r="L947" s="207"/>
      <c r="M947" s="207"/>
      <c r="N947" s="207"/>
      <c r="O947" s="207"/>
      <c r="P947" s="207"/>
      <c r="Q947" s="207"/>
      <c r="R947" s="207"/>
      <c r="S947" s="207"/>
      <c r="T947" s="207"/>
      <c r="U947" s="207"/>
      <c r="V947" s="207"/>
      <c r="W947" s="207"/>
      <c r="X947" s="207"/>
      <c r="Y947" s="207"/>
      <c r="Z947" s="207"/>
      <c r="AA947" s="207"/>
      <c r="AB947" s="207"/>
      <c r="AC947" s="5"/>
      <c r="AD947" s="63"/>
      <c r="AE947" s="64"/>
      <c r="AF947" s="64"/>
      <c r="AG947" s="212"/>
      <c r="AH947" s="64"/>
      <c r="AI947" s="64"/>
      <c r="AJ947" s="227"/>
      <c r="AK947" s="64"/>
      <c r="AL947" s="64"/>
      <c r="AM947" s="212"/>
      <c r="AN947" s="64"/>
      <c r="AO947" s="64"/>
      <c r="AP947" s="63"/>
      <c r="AQ947" s="64"/>
      <c r="AR947" s="63"/>
      <c r="AS947" s="64"/>
      <c r="AT947" s="63"/>
      <c r="AU947" s="64"/>
      <c r="AV947" s="63"/>
      <c r="AW947" s="64"/>
      <c r="AX947" s="63"/>
      <c r="AY947" s="5"/>
      <c r="AZ947" s="21" t="str">
        <f t="shared" si="666"/>
        <v/>
      </c>
      <c r="BA947" s="264" t="s">
        <v>391</v>
      </c>
      <c r="BB947" s="264"/>
      <c r="BC947" s="264"/>
      <c r="BD947" s="264" t="s">
        <v>99</v>
      </c>
      <c r="BE947" s="9" t="s">
        <v>198</v>
      </c>
      <c r="BF947" s="303"/>
      <c r="BG947" s="303"/>
      <c r="BH947" s="303"/>
      <c r="BI947" s="303"/>
      <c r="BJ947" s="303"/>
      <c r="BK947" s="303"/>
      <c r="BL947" s="303"/>
      <c r="BM947" s="303"/>
      <c r="BN947" s="303"/>
      <c r="BO947" s="303"/>
      <c r="BP947" s="303"/>
      <c r="BQ947" s="5"/>
      <c r="BR947" s="25"/>
      <c r="BS947" s="5"/>
    </row>
    <row r="948" spans="1:71" s="3" customFormat="1" x14ac:dyDescent="0.25">
      <c r="A948" s="5"/>
      <c r="B948" s="3" t="str">
        <f t="array" ref="B948">IFERROR(INDEX(DemandSupply,MATCH(INDEX($AH$1:AH948,SMALL(ROW($AH$1:AH948)+(10000*($AH$1:AH948="")),COUNTA($AH$1:AH948))),Sectors,0)),"")</f>
        <v>Supply</v>
      </c>
      <c r="E948" s="10"/>
      <c r="F948" s="207"/>
      <c r="G948" s="207"/>
      <c r="H948" s="207"/>
      <c r="I948" s="207"/>
      <c r="J948" s="207"/>
      <c r="K948" s="207"/>
      <c r="L948" s="207"/>
      <c r="M948" s="207"/>
      <c r="N948" s="207"/>
      <c r="O948" s="207"/>
      <c r="P948" s="207"/>
      <c r="Q948" s="207"/>
      <c r="R948" s="207"/>
      <c r="S948" s="207"/>
      <c r="T948" s="207"/>
      <c r="U948" s="207"/>
      <c r="V948" s="207"/>
      <c r="W948" s="207"/>
      <c r="X948" s="207"/>
      <c r="Y948" s="207"/>
      <c r="Z948" s="207"/>
      <c r="AA948" s="207"/>
      <c r="AB948" s="207"/>
      <c r="AC948" s="5"/>
      <c r="AD948" s="63"/>
      <c r="AE948" s="64"/>
      <c r="AF948" s="64"/>
      <c r="AG948" s="212"/>
      <c r="AH948" s="64"/>
      <c r="AI948" s="64"/>
      <c r="AJ948" s="227"/>
      <c r="AK948" s="64"/>
      <c r="AL948" s="64"/>
      <c r="AM948" s="212"/>
      <c r="AN948" s="64"/>
      <c r="AO948" s="64"/>
      <c r="AP948" s="63"/>
      <c r="AQ948" s="64"/>
      <c r="AR948" s="63"/>
      <c r="AS948" s="64"/>
      <c r="AT948" s="63"/>
      <c r="AU948" s="64"/>
      <c r="AV948" s="63"/>
      <c r="AW948" s="64"/>
      <c r="AX948" s="63"/>
      <c r="AY948" s="5"/>
      <c r="AZ948" s="21" t="str">
        <f t="shared" si="666"/>
        <v/>
      </c>
      <c r="BA948" s="264" t="s">
        <v>144</v>
      </c>
      <c r="BB948" s="264"/>
      <c r="BC948" s="264"/>
      <c r="BD948" s="264" t="s">
        <v>219</v>
      </c>
      <c r="BE948" s="9" t="s">
        <v>198</v>
      </c>
      <c r="BF948" s="56"/>
      <c r="BG948" s="56"/>
      <c r="BH948" s="56"/>
      <c r="BI948" s="56"/>
      <c r="BJ948" s="56"/>
      <c r="BK948" s="56"/>
      <c r="BL948" s="56"/>
      <c r="BM948" s="56"/>
      <c r="BN948" s="56"/>
      <c r="BO948" s="56"/>
      <c r="BP948" s="56"/>
      <c r="BQ948" s="5"/>
      <c r="BR948" s="25"/>
      <c r="BS948" s="5"/>
    </row>
    <row r="949" spans="1:71" s="3" customFormat="1" x14ac:dyDescent="0.25">
      <c r="A949" s="5"/>
      <c r="B949" s="3" t="str">
        <f t="array" ref="B949">IFERROR(INDEX(DemandSupply,MATCH(INDEX($AH$1:AH949,SMALL(ROW($AH$1:AH949)+(10000*($AH$1:AH949="")),COUNTA($AH$1:AH949))),Sectors,0)),"")</f>
        <v>Supply</v>
      </c>
      <c r="E949" s="10"/>
      <c r="F949" s="207"/>
      <c r="G949" s="207"/>
      <c r="H949" s="207"/>
      <c r="I949" s="207"/>
      <c r="J949" s="207"/>
      <c r="K949" s="207"/>
      <c r="L949" s="207"/>
      <c r="M949" s="207"/>
      <c r="N949" s="207"/>
      <c r="O949" s="207"/>
      <c r="P949" s="207"/>
      <c r="Q949" s="207"/>
      <c r="R949" s="207"/>
      <c r="S949" s="207"/>
      <c r="T949" s="207"/>
      <c r="U949" s="207"/>
      <c r="V949" s="207"/>
      <c r="W949" s="207"/>
      <c r="X949" s="207"/>
      <c r="Y949" s="207"/>
      <c r="Z949" s="207"/>
      <c r="AA949" s="207"/>
      <c r="AB949" s="207"/>
      <c r="AC949" s="5"/>
      <c r="AD949" s="63"/>
      <c r="AE949" s="64"/>
      <c r="AF949" s="64"/>
      <c r="AG949" s="212"/>
      <c r="AH949" s="64"/>
      <c r="AI949" s="64"/>
      <c r="AJ949" s="227"/>
      <c r="AK949" s="64"/>
      <c r="AL949" s="64"/>
      <c r="AM949" s="212"/>
      <c r="AN949" s="64"/>
      <c r="AO949" s="64"/>
      <c r="AP949" s="63"/>
      <c r="AQ949" s="64"/>
      <c r="AR949" s="63"/>
      <c r="AS949" s="64"/>
      <c r="AT949" s="63"/>
      <c r="AU949" s="64"/>
      <c r="AV949" s="63"/>
      <c r="AW949" s="64"/>
      <c r="AX949" s="63"/>
      <c r="AY949" s="5"/>
      <c r="AZ949" s="21" t="str">
        <f t="shared" si="666"/>
        <v/>
      </c>
      <c r="BA949" s="264" t="s">
        <v>76</v>
      </c>
      <c r="BB949" s="264"/>
      <c r="BC949" s="264"/>
      <c r="BD949" s="264" t="s">
        <v>99</v>
      </c>
      <c r="BE949" s="9" t="s">
        <v>198</v>
      </c>
      <c r="BF949" s="303">
        <v>0.9</v>
      </c>
      <c r="BG949" s="303"/>
      <c r="BH949" s="303"/>
      <c r="BI949" s="303"/>
      <c r="BJ949" s="303"/>
      <c r="BK949" s="303"/>
      <c r="BL949" s="303"/>
      <c r="BM949" s="303"/>
      <c r="BN949" s="303"/>
      <c r="BO949" s="303"/>
      <c r="BP949" s="303"/>
      <c r="BQ949" s="5"/>
      <c r="BR949" s="25"/>
      <c r="BS949" s="5"/>
    </row>
    <row r="950" spans="1:71" s="3" customFormat="1" x14ac:dyDescent="0.25">
      <c r="A950" s="5"/>
      <c r="B950" s="3" t="str">
        <f t="array" ref="B950">IFERROR(INDEX(DemandSupply,MATCH(INDEX($AH$1:AH950,SMALL(ROW($AH$1:AH950)+(10000*($AH$1:AH950="")),COUNTA($AH$1:AH950))),Sectors,0)),"")</f>
        <v>Supply</v>
      </c>
      <c r="E950" s="10"/>
      <c r="F950" s="207"/>
      <c r="G950" s="207"/>
      <c r="H950" s="207"/>
      <c r="I950" s="207"/>
      <c r="J950" s="207"/>
      <c r="K950" s="207"/>
      <c r="L950" s="207"/>
      <c r="M950" s="207"/>
      <c r="N950" s="207"/>
      <c r="O950" s="207"/>
      <c r="P950" s="207"/>
      <c r="Q950" s="207"/>
      <c r="R950" s="207"/>
      <c r="S950" s="207"/>
      <c r="T950" s="207"/>
      <c r="U950" s="207"/>
      <c r="V950" s="207"/>
      <c r="W950" s="207"/>
      <c r="X950" s="207"/>
      <c r="Y950" s="207"/>
      <c r="Z950" s="207"/>
      <c r="AA950" s="207"/>
      <c r="AB950" s="207"/>
      <c r="AC950" s="5"/>
      <c r="AD950" s="63"/>
      <c r="AE950" s="64"/>
      <c r="AF950" s="64"/>
      <c r="AG950" s="212"/>
      <c r="AH950" s="64"/>
      <c r="AI950" s="64"/>
      <c r="AJ950" s="227"/>
      <c r="AK950" s="64"/>
      <c r="AL950" s="64"/>
      <c r="AM950" s="212"/>
      <c r="AN950" s="64"/>
      <c r="AO950" s="64"/>
      <c r="AP950" s="63"/>
      <c r="AQ950" s="64"/>
      <c r="AR950" s="63"/>
      <c r="AS950" s="64"/>
      <c r="AT950" s="63"/>
      <c r="AU950" s="64"/>
      <c r="AV950" s="63"/>
      <c r="AW950" s="64"/>
      <c r="AX950" s="63"/>
      <c r="AY950" s="5"/>
      <c r="AZ950" s="21" t="str">
        <f t="shared" si="666"/>
        <v/>
      </c>
      <c r="BA950" s="75" t="s">
        <v>166</v>
      </c>
      <c r="BB950" s="75"/>
      <c r="BC950" s="270"/>
      <c r="BD950" s="75" t="s">
        <v>99</v>
      </c>
      <c r="BE950" s="9" t="s">
        <v>198</v>
      </c>
      <c r="BF950" s="303"/>
      <c r="BG950" s="303"/>
      <c r="BH950" s="303"/>
      <c r="BI950" s="303"/>
      <c r="BJ950" s="303"/>
      <c r="BK950" s="303"/>
      <c r="BL950" s="303"/>
      <c r="BM950" s="303"/>
      <c r="BN950" s="303"/>
      <c r="BO950" s="303"/>
      <c r="BP950" s="303"/>
      <c r="BQ950" s="5"/>
      <c r="BR950" s="25"/>
      <c r="BS950" s="5"/>
    </row>
    <row r="951" spans="1:71" s="3" customFormat="1" x14ac:dyDescent="0.25">
      <c r="A951" s="5"/>
      <c r="B951" s="3" t="str">
        <f t="array" ref="B951">IFERROR(INDEX(DemandSupply,MATCH(INDEX($AH$1:AH951,SMALL(ROW($AH$1:AH951)+(10000*($AH$1:AH951="")),COUNTA($AH$1:AH951))),Sectors,0)),"")</f>
        <v>Supply</v>
      </c>
      <c r="E951" s="10"/>
      <c r="F951" s="207"/>
      <c r="G951" s="207"/>
      <c r="H951" s="207"/>
      <c r="I951" s="207"/>
      <c r="J951" s="207"/>
      <c r="K951" s="207"/>
      <c r="L951" s="207"/>
      <c r="M951" s="207"/>
      <c r="N951" s="207"/>
      <c r="O951" s="207"/>
      <c r="P951" s="207"/>
      <c r="Q951" s="207"/>
      <c r="R951" s="207"/>
      <c r="S951" s="207"/>
      <c r="T951" s="207"/>
      <c r="U951" s="207"/>
      <c r="V951" s="207"/>
      <c r="W951" s="207"/>
      <c r="X951" s="207"/>
      <c r="Y951" s="207"/>
      <c r="Z951" s="207"/>
      <c r="AA951" s="207"/>
      <c r="AB951" s="207"/>
      <c r="AC951" s="5"/>
      <c r="AD951" s="63"/>
      <c r="AE951" s="64"/>
      <c r="AF951" s="64"/>
      <c r="AG951" s="212"/>
      <c r="AH951" s="64"/>
      <c r="AI951" s="64"/>
      <c r="AJ951" s="227"/>
      <c r="AK951" s="64"/>
      <c r="AL951" s="64"/>
      <c r="AM951" s="212"/>
      <c r="AN951" s="64"/>
      <c r="AO951" s="64"/>
      <c r="AP951" s="63"/>
      <c r="AQ951" s="64"/>
      <c r="AR951" s="63"/>
      <c r="AS951" s="64"/>
      <c r="AT951" s="63"/>
      <c r="AU951" s="64"/>
      <c r="AV951" s="63"/>
      <c r="AW951" s="64"/>
      <c r="AX951" s="63"/>
      <c r="AY951" s="5"/>
      <c r="AZ951" s="21" t="str">
        <f t="shared" si="666"/>
        <v/>
      </c>
      <c r="BA951" s="75" t="s">
        <v>167</v>
      </c>
      <c r="BB951" s="75"/>
      <c r="BC951" s="270"/>
      <c r="BD951" s="75" t="s">
        <v>99</v>
      </c>
      <c r="BE951" s="9" t="s">
        <v>198</v>
      </c>
      <c r="BF951" s="303"/>
      <c r="BG951" s="303"/>
      <c r="BH951" s="303"/>
      <c r="BI951" s="303"/>
      <c r="BJ951" s="303"/>
      <c r="BK951" s="303"/>
      <c r="BL951" s="303"/>
      <c r="BM951" s="303"/>
      <c r="BN951" s="303"/>
      <c r="BO951" s="303"/>
      <c r="BP951" s="303"/>
      <c r="BQ951" s="5"/>
      <c r="BR951" s="25"/>
      <c r="BS951" s="5"/>
    </row>
    <row r="952" spans="1:71" s="3" customFormat="1" x14ac:dyDescent="0.25">
      <c r="A952" s="5"/>
      <c r="B952" s="3" t="str">
        <f t="array" ref="B952">IFERROR(INDEX(DemandSupply,MATCH(INDEX($AH$1:AH952,SMALL(ROW($AH$1:AH952)+(10000*($AH$1:AH952="")),COUNTA($AH$1:AH952))),Sectors,0)),"")</f>
        <v>Supply</v>
      </c>
      <c r="E952" s="10"/>
      <c r="F952" s="207"/>
      <c r="G952" s="207"/>
      <c r="H952" s="207"/>
      <c r="I952" s="207"/>
      <c r="J952" s="207"/>
      <c r="K952" s="207"/>
      <c r="L952" s="207"/>
      <c r="M952" s="207"/>
      <c r="N952" s="207"/>
      <c r="O952" s="207"/>
      <c r="P952" s="207"/>
      <c r="Q952" s="207"/>
      <c r="R952" s="207"/>
      <c r="S952" s="207"/>
      <c r="T952" s="207"/>
      <c r="U952" s="207"/>
      <c r="V952" s="207"/>
      <c r="W952" s="207"/>
      <c r="X952" s="207"/>
      <c r="Y952" s="207"/>
      <c r="Z952" s="207"/>
      <c r="AA952" s="207"/>
      <c r="AB952" s="207"/>
      <c r="AC952" s="5"/>
      <c r="AD952" s="63"/>
      <c r="AE952" s="64"/>
      <c r="AF952" s="64"/>
      <c r="AG952" s="212"/>
      <c r="AH952" s="64"/>
      <c r="AI952" s="64"/>
      <c r="AJ952" s="227"/>
      <c r="AK952" s="64"/>
      <c r="AL952" s="64"/>
      <c r="AM952" s="212"/>
      <c r="AN952" s="64"/>
      <c r="AO952" s="64"/>
      <c r="AP952" s="63"/>
      <c r="AQ952" s="64"/>
      <c r="AR952" s="63"/>
      <c r="AS952" s="64"/>
      <c r="AT952" s="63"/>
      <c r="AU952" s="64"/>
      <c r="AV952" s="63"/>
      <c r="AW952" s="64"/>
      <c r="AX952" s="63"/>
      <c r="AY952" s="5"/>
      <c r="AZ952" s="21" t="str">
        <f t="shared" si="666"/>
        <v/>
      </c>
      <c r="BA952" s="75" t="s">
        <v>408</v>
      </c>
      <c r="BB952" s="75"/>
      <c r="BC952" s="270"/>
      <c r="BD952" s="75" t="s">
        <v>99</v>
      </c>
      <c r="BE952" s="9" t="s">
        <v>198</v>
      </c>
      <c r="BF952" s="303"/>
      <c r="BG952" s="303"/>
      <c r="BH952" s="303"/>
      <c r="BI952" s="303"/>
      <c r="BJ952" s="303"/>
      <c r="BK952" s="303"/>
      <c r="BL952" s="303"/>
      <c r="BM952" s="303"/>
      <c r="BN952" s="303"/>
      <c r="BO952" s="303"/>
      <c r="BP952" s="303"/>
      <c r="BQ952" s="5"/>
      <c r="BR952" s="25"/>
      <c r="BS952" s="5"/>
    </row>
    <row r="953" spans="1:71" s="3" customFormat="1" x14ac:dyDescent="0.25">
      <c r="A953" s="5"/>
      <c r="B953" s="3" t="str">
        <f t="array" ref="B953">IFERROR(INDEX(DemandSupply,MATCH(INDEX($AH$1:AH953,SMALL(ROW($AH$1:AH953)+(10000*($AH$1:AH953="")),COUNTA($AH$1:AH953))),Sectors,0)),"")</f>
        <v>Supply</v>
      </c>
      <c r="E953" s="10"/>
      <c r="F953" s="207"/>
      <c r="G953" s="207"/>
      <c r="H953" s="207"/>
      <c r="I953" s="207"/>
      <c r="J953" s="207"/>
      <c r="K953" s="207"/>
      <c r="L953" s="207"/>
      <c r="M953" s="207"/>
      <c r="N953" s="207"/>
      <c r="O953" s="207"/>
      <c r="P953" s="207"/>
      <c r="Q953" s="207"/>
      <c r="R953" s="207"/>
      <c r="S953" s="207"/>
      <c r="T953" s="207"/>
      <c r="U953" s="207"/>
      <c r="V953" s="207"/>
      <c r="W953" s="207"/>
      <c r="X953" s="207"/>
      <c r="Y953" s="207"/>
      <c r="Z953" s="207"/>
      <c r="AA953" s="207"/>
      <c r="AB953" s="207"/>
      <c r="AC953" s="5"/>
      <c r="AD953" s="63"/>
      <c r="AE953" s="64"/>
      <c r="AF953" s="64"/>
      <c r="AG953" s="212"/>
      <c r="AH953" s="64"/>
      <c r="AI953" s="64"/>
      <c r="AJ953" s="227"/>
      <c r="AK953" s="64"/>
      <c r="AL953" s="64"/>
      <c r="AM953" s="212"/>
      <c r="AN953" s="64"/>
      <c r="AO953" s="64"/>
      <c r="AP953" s="63"/>
      <c r="AQ953" s="64"/>
      <c r="AR953" s="63"/>
      <c r="AS953" s="64"/>
      <c r="AT953" s="63"/>
      <c r="AU953" s="64"/>
      <c r="AV953" s="63"/>
      <c r="AW953" s="64"/>
      <c r="AX953" s="63"/>
      <c r="AY953" s="5"/>
      <c r="AZ953" s="21" t="str">
        <f t="shared" si="666"/>
        <v/>
      </c>
      <c r="BA953" s="75" t="s">
        <v>409</v>
      </c>
      <c r="BB953" s="75"/>
      <c r="BC953" s="270"/>
      <c r="BD953" s="75" t="s">
        <v>99</v>
      </c>
      <c r="BE953" s="9" t="s">
        <v>198</v>
      </c>
      <c r="BF953" s="303"/>
      <c r="BG953" s="303"/>
      <c r="BH953" s="303"/>
      <c r="BI953" s="303"/>
      <c r="BJ953" s="303"/>
      <c r="BK953" s="303"/>
      <c r="BL953" s="303"/>
      <c r="BM953" s="303"/>
      <c r="BN953" s="303"/>
      <c r="BO953" s="303"/>
      <c r="BP953" s="303"/>
      <c r="BQ953" s="5"/>
      <c r="BR953" s="25"/>
      <c r="BS953" s="5"/>
    </row>
    <row r="954" spans="1:71" s="3" customFormat="1" x14ac:dyDescent="0.25">
      <c r="A954" s="5"/>
      <c r="B954" s="3" t="str">
        <f t="array" ref="B954">IFERROR(INDEX(DemandSupply,MATCH(INDEX($AH$1:AH954,SMALL(ROW($AH$1:AH954)+(10000*($AH$1:AH954="")),COUNTA($AH$1:AH954))),Sectors,0)),"")</f>
        <v>Supply</v>
      </c>
      <c r="E954" s="10"/>
      <c r="F954" s="207"/>
      <c r="G954" s="207"/>
      <c r="H954" s="207"/>
      <c r="I954" s="207"/>
      <c r="J954" s="207"/>
      <c r="K954" s="207"/>
      <c r="L954" s="207"/>
      <c r="M954" s="207"/>
      <c r="N954" s="207"/>
      <c r="O954" s="207"/>
      <c r="P954" s="207"/>
      <c r="Q954" s="207"/>
      <c r="R954" s="207"/>
      <c r="S954" s="207"/>
      <c r="T954" s="207"/>
      <c r="U954" s="207"/>
      <c r="V954" s="207"/>
      <c r="W954" s="207"/>
      <c r="X954" s="207"/>
      <c r="Y954" s="207"/>
      <c r="Z954" s="207"/>
      <c r="AA954" s="207"/>
      <c r="AB954" s="207"/>
      <c r="AC954" s="5"/>
      <c r="AD954" s="63"/>
      <c r="AE954" s="64"/>
      <c r="AF954" s="64"/>
      <c r="AG954" s="212"/>
      <c r="AH954" s="64"/>
      <c r="AI954" s="64"/>
      <c r="AJ954" s="227"/>
      <c r="AK954" s="64"/>
      <c r="AL954" s="64"/>
      <c r="AM954" s="212"/>
      <c r="AN954" s="64"/>
      <c r="AO954" s="64"/>
      <c r="AP954" s="63"/>
      <c r="AQ954" s="64"/>
      <c r="AR954" s="63"/>
      <c r="AS954" s="64"/>
      <c r="AT954" s="63"/>
      <c r="AU954" s="64"/>
      <c r="AV954" s="63"/>
      <c r="AW954" s="64"/>
      <c r="AX954" s="63"/>
      <c r="AY954" s="5"/>
      <c r="AZ954" s="21" t="str">
        <f t="shared" si="666"/>
        <v/>
      </c>
      <c r="BA954" s="264" t="s">
        <v>371</v>
      </c>
      <c r="BB954" s="264"/>
      <c r="BC954" s="264"/>
      <c r="BD954" s="264" t="s">
        <v>219</v>
      </c>
      <c r="BE954" s="9" t="s">
        <v>198</v>
      </c>
      <c r="BF954" s="56">
        <f>75*8760*0.56</f>
        <v>367920.00000000006</v>
      </c>
      <c r="BG954" s="282">
        <f t="shared" ref="BG954:BP954" si="673">BF954</f>
        <v>367920.00000000006</v>
      </c>
      <c r="BH954" s="282">
        <f t="shared" si="673"/>
        <v>367920.00000000006</v>
      </c>
      <c r="BI954" s="282">
        <f t="shared" si="673"/>
        <v>367920.00000000006</v>
      </c>
      <c r="BJ954" s="282">
        <f t="shared" si="673"/>
        <v>367920.00000000006</v>
      </c>
      <c r="BK954" s="282">
        <f t="shared" si="673"/>
        <v>367920.00000000006</v>
      </c>
      <c r="BL954" s="282">
        <f t="shared" si="673"/>
        <v>367920.00000000006</v>
      </c>
      <c r="BM954" s="282">
        <f t="shared" si="673"/>
        <v>367920.00000000006</v>
      </c>
      <c r="BN954" s="282">
        <f t="shared" si="673"/>
        <v>367920.00000000006</v>
      </c>
      <c r="BO954" s="282">
        <f t="shared" si="673"/>
        <v>367920.00000000006</v>
      </c>
      <c r="BP954" s="282">
        <f t="shared" si="673"/>
        <v>367920.00000000006</v>
      </c>
      <c r="BQ954" s="5"/>
      <c r="BR954" s="25"/>
      <c r="BS954" s="5"/>
    </row>
    <row r="955" spans="1:71" s="3" customFormat="1" x14ac:dyDescent="0.25">
      <c r="A955" s="5"/>
      <c r="B955" s="3" t="str">
        <f t="array" ref="B955">IFERROR(INDEX(DemandSupply,MATCH(INDEX($AH$1:AH955,SMALL(ROW($AH$1:AH955)+(10000*($AH$1:AH955="")),COUNTA($AH$1:AH955))),Sectors,0)),"")</f>
        <v>Supply</v>
      </c>
      <c r="E955" s="10"/>
      <c r="F955" s="207"/>
      <c r="G955" s="207"/>
      <c r="H955" s="207"/>
      <c r="I955" s="207"/>
      <c r="J955" s="207"/>
      <c r="K955" s="207"/>
      <c r="L955" s="207"/>
      <c r="M955" s="207"/>
      <c r="N955" s="207"/>
      <c r="O955" s="207"/>
      <c r="P955" s="207"/>
      <c r="Q955" s="207"/>
      <c r="R955" s="207"/>
      <c r="S955" s="207"/>
      <c r="T955" s="207"/>
      <c r="U955" s="207"/>
      <c r="V955" s="207"/>
      <c r="W955" s="207"/>
      <c r="X955" s="207"/>
      <c r="Y955" s="207"/>
      <c r="Z955" s="207"/>
      <c r="AA955" s="207"/>
      <c r="AB955" s="207"/>
      <c r="AC955" s="5"/>
      <c r="AD955" s="63"/>
      <c r="AE955" s="64"/>
      <c r="AF955" s="64"/>
      <c r="AG955" s="212"/>
      <c r="AH955" s="64"/>
      <c r="AI955" s="64"/>
      <c r="AJ955" s="227"/>
      <c r="AK955" s="64"/>
      <c r="AL955" s="64"/>
      <c r="AM955" s="212"/>
      <c r="AN955" s="64"/>
      <c r="AO955" s="64"/>
      <c r="AP955" s="63"/>
      <c r="AQ955" s="64"/>
      <c r="AR955" s="63"/>
      <c r="AS955" s="64"/>
      <c r="AT955" s="63"/>
      <c r="AU955" s="64"/>
      <c r="AV955" s="63"/>
      <c r="AW955" s="64"/>
      <c r="AX955" s="63"/>
      <c r="AY955" s="5"/>
      <c r="AZ955" s="21" t="str">
        <f t="shared" si="666"/>
        <v/>
      </c>
      <c r="BA955" s="264" t="s">
        <v>170</v>
      </c>
      <c r="BB955" s="264"/>
      <c r="BC955" s="264"/>
      <c r="BD955" s="264" t="s">
        <v>354</v>
      </c>
      <c r="BE955" s="9" t="s">
        <v>198</v>
      </c>
      <c r="BF955" s="56">
        <v>70000000</v>
      </c>
      <c r="BG955" s="282">
        <f t="shared" ref="BG955:BP955" si="674">BF955</f>
        <v>70000000</v>
      </c>
      <c r="BH955" s="282">
        <f t="shared" si="674"/>
        <v>70000000</v>
      </c>
      <c r="BI955" s="282">
        <f t="shared" si="674"/>
        <v>70000000</v>
      </c>
      <c r="BJ955" s="282">
        <f t="shared" si="674"/>
        <v>70000000</v>
      </c>
      <c r="BK955" s="282">
        <f t="shared" si="674"/>
        <v>70000000</v>
      </c>
      <c r="BL955" s="282">
        <f t="shared" si="674"/>
        <v>70000000</v>
      </c>
      <c r="BM955" s="282">
        <f t="shared" si="674"/>
        <v>70000000</v>
      </c>
      <c r="BN955" s="282">
        <f t="shared" si="674"/>
        <v>70000000</v>
      </c>
      <c r="BO955" s="282">
        <f t="shared" si="674"/>
        <v>70000000</v>
      </c>
      <c r="BP955" s="282">
        <f t="shared" si="674"/>
        <v>70000000</v>
      </c>
      <c r="BQ955" s="5"/>
      <c r="BR955" s="25"/>
      <c r="BS955" s="5"/>
    </row>
    <row r="956" spans="1:71" s="3" customFormat="1" x14ac:dyDescent="0.25">
      <c r="A956" s="5"/>
      <c r="B956" s="3" t="str">
        <f t="array" ref="B956">IFERROR(INDEX(DemandSupply,MATCH(INDEX($AH$1:AH956,SMALL(ROW($AH$1:AH956)+(10000*($AH$1:AH956="")),COUNTA($AH$1:AH956))),Sectors,0)),"")</f>
        <v>Supply</v>
      </c>
      <c r="E956" s="10"/>
      <c r="F956" s="207"/>
      <c r="G956" s="207"/>
      <c r="H956" s="207"/>
      <c r="I956" s="207"/>
      <c r="J956" s="207"/>
      <c r="K956" s="207"/>
      <c r="L956" s="207"/>
      <c r="M956" s="207"/>
      <c r="N956" s="207"/>
      <c r="O956" s="207"/>
      <c r="P956" s="207"/>
      <c r="Q956" s="207"/>
      <c r="R956" s="207"/>
      <c r="S956" s="207"/>
      <c r="T956" s="207"/>
      <c r="U956" s="207"/>
      <c r="V956" s="207"/>
      <c r="W956" s="207"/>
      <c r="X956" s="207"/>
      <c r="Y956" s="207"/>
      <c r="Z956" s="207"/>
      <c r="AA956" s="207"/>
      <c r="AB956" s="207"/>
      <c r="AC956" s="5"/>
      <c r="AD956" s="63"/>
      <c r="AE956" s="64"/>
      <c r="AF956" s="64"/>
      <c r="AG956" s="212"/>
      <c r="AH956" s="64"/>
      <c r="AI956" s="64"/>
      <c r="AJ956" s="227"/>
      <c r="AK956" s="64"/>
      <c r="AL956" s="64"/>
      <c r="AM956" s="212"/>
      <c r="AN956" s="64"/>
      <c r="AO956" s="64"/>
      <c r="AP956" s="63"/>
      <c r="AQ956" s="64"/>
      <c r="AR956" s="63"/>
      <c r="AS956" s="64"/>
      <c r="AT956" s="63"/>
      <c r="AU956" s="64"/>
      <c r="AV956" s="63"/>
      <c r="AW956" s="64"/>
      <c r="AX956" s="63"/>
      <c r="AY956" s="5"/>
      <c r="AZ956" s="21" t="str">
        <f t="shared" si="666"/>
        <v/>
      </c>
      <c r="BA956" s="264" t="s">
        <v>425</v>
      </c>
      <c r="BB956" s="264"/>
      <c r="BC956" s="264"/>
      <c r="BD956" s="264" t="s">
        <v>99</v>
      </c>
      <c r="BE956" s="9" t="s">
        <v>198</v>
      </c>
      <c r="BF956" s="303"/>
      <c r="BG956" s="303"/>
      <c r="BH956" s="303"/>
      <c r="BI956" s="303"/>
      <c r="BJ956" s="303"/>
      <c r="BK956" s="303"/>
      <c r="BL956" s="303"/>
      <c r="BM956" s="303"/>
      <c r="BN956" s="303"/>
      <c r="BO956" s="303"/>
      <c r="BP956" s="303"/>
      <c r="BQ956" s="5"/>
      <c r="BR956" s="25"/>
      <c r="BS956" s="5"/>
    </row>
    <row r="957" spans="1:71" s="3" customFormat="1" x14ac:dyDescent="0.25">
      <c r="A957" s="5"/>
      <c r="B957" s="3" t="str">
        <f t="array" ref="B957">IFERROR(INDEX(DemandSupply,MATCH(INDEX($AH$1:AH957,SMALL(ROW($AH$1:AH957)+(10000*($AH$1:AH957="")),COUNTA($AH$1:AH957))),Sectors,0)),"")</f>
        <v>Supply</v>
      </c>
      <c r="E957" s="10"/>
      <c r="F957" s="207"/>
      <c r="G957" s="207"/>
      <c r="H957" s="207"/>
      <c r="I957" s="207"/>
      <c r="J957" s="207"/>
      <c r="K957" s="207"/>
      <c r="L957" s="207"/>
      <c r="M957" s="207"/>
      <c r="N957" s="207"/>
      <c r="O957" s="207"/>
      <c r="P957" s="207"/>
      <c r="Q957" s="207"/>
      <c r="R957" s="207"/>
      <c r="S957" s="207"/>
      <c r="T957" s="207"/>
      <c r="U957" s="207"/>
      <c r="V957" s="207"/>
      <c r="W957" s="207"/>
      <c r="X957" s="207"/>
      <c r="Y957" s="207"/>
      <c r="Z957" s="207"/>
      <c r="AA957" s="207"/>
      <c r="AB957" s="207"/>
      <c r="AC957" s="5"/>
      <c r="AD957" s="63"/>
      <c r="AE957" s="64"/>
      <c r="AF957" s="64"/>
      <c r="AG957" s="212"/>
      <c r="AH957" s="64"/>
      <c r="AI957" s="64"/>
      <c r="AJ957" s="227"/>
      <c r="AK957" s="64"/>
      <c r="AL957" s="64"/>
      <c r="AM957" s="212"/>
      <c r="AN957" s="64"/>
      <c r="AO957" s="64"/>
      <c r="AP957" s="63"/>
      <c r="AQ957" s="64"/>
      <c r="AR957" s="63"/>
      <c r="AS957" s="64"/>
      <c r="AT957" s="63"/>
      <c r="AU957" s="64"/>
      <c r="AV957" s="63"/>
      <c r="AW957" s="64"/>
      <c r="AX957" s="63"/>
      <c r="AY957" s="5"/>
      <c r="AZ957" s="21" t="str">
        <f t="shared" si="666"/>
        <v/>
      </c>
      <c r="BA957" s="264" t="s">
        <v>438</v>
      </c>
      <c r="BB957" s="264"/>
      <c r="BC957" s="264"/>
      <c r="BD957" s="264" t="s">
        <v>219</v>
      </c>
      <c r="BE957" s="9" t="s">
        <v>198</v>
      </c>
      <c r="BF957" s="56"/>
      <c r="BG957" s="56"/>
      <c r="BH957" s="56"/>
      <c r="BI957" s="56"/>
      <c r="BJ957" s="56"/>
      <c r="BK957" s="56"/>
      <c r="BL957" s="56"/>
      <c r="BM957" s="56"/>
      <c r="BN957" s="56"/>
      <c r="BO957" s="56"/>
      <c r="BP957" s="56"/>
      <c r="BQ957" s="5"/>
      <c r="BR957" s="25"/>
      <c r="BS957" s="5"/>
    </row>
    <row r="958" spans="1:71" s="3" customFormat="1" x14ac:dyDescent="0.25">
      <c r="A958" s="5"/>
      <c r="B958" s="3" t="str">
        <f t="array" ref="B958">IFERROR(INDEX(DemandSupply,MATCH(INDEX($AH$1:AH958,SMALL(ROW($AH$1:AH958)+(10000*($AH$1:AH958="")),COUNTA($AH$1:AH958))),Sectors,0)),"")</f>
        <v>Supply</v>
      </c>
      <c r="E958" s="10"/>
      <c r="F958" s="207"/>
      <c r="G958" s="207"/>
      <c r="H958" s="207"/>
      <c r="I958" s="207"/>
      <c r="J958" s="207"/>
      <c r="K958" s="207"/>
      <c r="L958" s="207"/>
      <c r="M958" s="207"/>
      <c r="N958" s="207"/>
      <c r="O958" s="207"/>
      <c r="P958" s="207"/>
      <c r="Q958" s="207"/>
      <c r="R958" s="207"/>
      <c r="S958" s="207"/>
      <c r="T958" s="207"/>
      <c r="U958" s="207"/>
      <c r="V958" s="207"/>
      <c r="W958" s="207"/>
      <c r="X958" s="207"/>
      <c r="Y958" s="207"/>
      <c r="Z958" s="207"/>
      <c r="AA958" s="207"/>
      <c r="AB958" s="207"/>
      <c r="AC958" s="5"/>
      <c r="AD958" s="63"/>
      <c r="AE958" s="64"/>
      <c r="AF958" s="64"/>
      <c r="AG958" s="212"/>
      <c r="AH958" s="64"/>
      <c r="AI958" s="64"/>
      <c r="AJ958" s="227"/>
      <c r="AK958" s="64"/>
      <c r="AL958" s="64"/>
      <c r="AM958" s="212"/>
      <c r="AN958" s="64"/>
      <c r="AO958" s="64"/>
      <c r="AP958" s="63"/>
      <c r="AQ958" s="64"/>
      <c r="AR958" s="63"/>
      <c r="AS958" s="64"/>
      <c r="AT958" s="63"/>
      <c r="AU958" s="64"/>
      <c r="AV958" s="63"/>
      <c r="AW958" s="64"/>
      <c r="AX958" s="63"/>
      <c r="AY958" s="5"/>
      <c r="AZ958" s="21" t="str">
        <f t="shared" si="666"/>
        <v/>
      </c>
      <c r="BA958" s="264" t="s">
        <v>435</v>
      </c>
      <c r="BB958" s="264"/>
      <c r="BC958" s="264"/>
      <c r="BD958" s="264"/>
      <c r="BE958" s="9" t="s">
        <v>198</v>
      </c>
      <c r="BF958" s="55"/>
      <c r="BG958" s="55"/>
      <c r="BH958" s="55"/>
      <c r="BI958" s="55"/>
      <c r="BJ958" s="55"/>
      <c r="BK958" s="55"/>
      <c r="BL958" s="55"/>
      <c r="BM958" s="55"/>
      <c r="BN958" s="55"/>
      <c r="BO958" s="55"/>
      <c r="BP958" s="55"/>
      <c r="BQ958" s="5"/>
      <c r="BR958" s="25"/>
      <c r="BS958" s="5"/>
    </row>
    <row r="959" spans="1:71" s="3" customFormat="1" x14ac:dyDescent="0.25">
      <c r="A959" s="5"/>
      <c r="B959" s="3" t="str">
        <f t="array" ref="B959">IFERROR(INDEX(DemandSupply,MATCH(INDEX($AH$1:AH959,SMALL(ROW($AH$1:AH959)+(10000*($AH$1:AH959="")),COUNTA($AH$1:AH959))),Sectors,0)),"")</f>
        <v>Supply</v>
      </c>
      <c r="E959" s="10"/>
      <c r="F959" s="207"/>
      <c r="G959" s="207"/>
      <c r="H959" s="207"/>
      <c r="I959" s="207"/>
      <c r="J959" s="207"/>
      <c r="K959" s="207"/>
      <c r="L959" s="207"/>
      <c r="M959" s="207"/>
      <c r="N959" s="207"/>
      <c r="O959" s="207"/>
      <c r="P959" s="207"/>
      <c r="Q959" s="207"/>
      <c r="R959" s="207"/>
      <c r="S959" s="207"/>
      <c r="T959" s="207"/>
      <c r="U959" s="207"/>
      <c r="V959" s="207"/>
      <c r="W959" s="207"/>
      <c r="X959" s="207"/>
      <c r="Y959" s="207"/>
      <c r="Z959" s="207"/>
      <c r="AA959" s="207"/>
      <c r="AB959" s="207"/>
      <c r="AC959" s="5"/>
      <c r="AD959" s="63"/>
      <c r="AE959" s="64"/>
      <c r="AF959" s="64"/>
      <c r="AG959" s="212"/>
      <c r="AH959" s="64"/>
      <c r="AI959" s="64"/>
      <c r="AJ959" s="227"/>
      <c r="AK959" s="64"/>
      <c r="AL959" s="64"/>
      <c r="AM959" s="212"/>
      <c r="AN959" s="64"/>
      <c r="AO959" s="64"/>
      <c r="AP959" s="63"/>
      <c r="AQ959" s="64"/>
      <c r="AR959" s="63"/>
      <c r="AS959" s="64"/>
      <c r="AT959" s="63"/>
      <c r="AU959" s="64"/>
      <c r="AV959" s="63"/>
      <c r="AW959" s="64"/>
      <c r="AX959" s="63"/>
      <c r="AY959" s="5"/>
      <c r="AZ959" s="21" t="str">
        <f t="shared" si="666"/>
        <v/>
      </c>
      <c r="BA959" s="264" t="s">
        <v>407</v>
      </c>
      <c r="BB959" s="264"/>
      <c r="BC959" s="264"/>
      <c r="BD959" s="264" t="s">
        <v>99</v>
      </c>
      <c r="BE959" s="9" t="s">
        <v>198</v>
      </c>
      <c r="BF959" s="303"/>
      <c r="BG959" s="303"/>
      <c r="BH959" s="303"/>
      <c r="BI959" s="303"/>
      <c r="BJ959" s="303"/>
      <c r="BK959" s="303"/>
      <c r="BL959" s="303"/>
      <c r="BM959" s="303"/>
      <c r="BN959" s="303"/>
      <c r="BO959" s="303"/>
      <c r="BP959" s="303"/>
      <c r="BQ959" s="5"/>
      <c r="BR959" s="25"/>
      <c r="BS959" s="5"/>
    </row>
    <row r="960" spans="1:71" s="3" customFormat="1" x14ac:dyDescent="0.25">
      <c r="A960" s="5"/>
      <c r="B960" s="3" t="str">
        <f t="array" ref="B960">IFERROR(INDEX(DemandSupply,MATCH(INDEX($AH$1:AH960,SMALL(ROW($AH$1:AH960)+(10000*($AH$1:AH960="")),COUNTA($AH$1:AH960))),Sectors,0)),"")</f>
        <v>Supply</v>
      </c>
      <c r="E960" s="10"/>
      <c r="F960" s="207"/>
      <c r="G960" s="207"/>
      <c r="H960" s="207"/>
      <c r="I960" s="207"/>
      <c r="J960" s="207"/>
      <c r="K960" s="207"/>
      <c r="L960" s="207"/>
      <c r="M960" s="207"/>
      <c r="N960" s="207"/>
      <c r="O960" s="207"/>
      <c r="P960" s="207"/>
      <c r="Q960" s="207"/>
      <c r="R960" s="207"/>
      <c r="S960" s="207"/>
      <c r="T960" s="207"/>
      <c r="U960" s="207"/>
      <c r="V960" s="207"/>
      <c r="W960" s="207"/>
      <c r="X960" s="207"/>
      <c r="Y960" s="207"/>
      <c r="Z960" s="207"/>
      <c r="AA960" s="207"/>
      <c r="AB960" s="207"/>
      <c r="AC960" s="5"/>
      <c r="AD960" s="63"/>
      <c r="AE960" s="64"/>
      <c r="AF960" s="64"/>
      <c r="AG960" s="212"/>
      <c r="AH960" s="64"/>
      <c r="AI960" s="64"/>
      <c r="AJ960" s="227"/>
      <c r="AK960" s="64"/>
      <c r="AL960" s="64"/>
      <c r="AM960" s="212"/>
      <c r="AN960" s="64"/>
      <c r="AO960" s="64"/>
      <c r="AP960" s="63"/>
      <c r="AQ960" s="64"/>
      <c r="AR960" s="63"/>
      <c r="AS960" s="64"/>
      <c r="AT960" s="63"/>
      <c r="AU960" s="64"/>
      <c r="AV960" s="63"/>
      <c r="AW960" s="64"/>
      <c r="AX960" s="63"/>
      <c r="AY960" s="5"/>
      <c r="AZ960" s="21" t="str">
        <f t="shared" si="666"/>
        <v/>
      </c>
      <c r="BA960" s="264" t="s">
        <v>444</v>
      </c>
      <c r="BB960" s="264"/>
      <c r="BC960" s="264"/>
      <c r="BD960" s="264" t="s">
        <v>354</v>
      </c>
      <c r="BE960" s="9" t="s">
        <v>198</v>
      </c>
      <c r="BF960" s="56"/>
      <c r="BG960" s="56"/>
      <c r="BH960" s="56"/>
      <c r="BI960" s="56"/>
      <c r="BJ960" s="56"/>
      <c r="BK960" s="56"/>
      <c r="BL960" s="56"/>
      <c r="BM960" s="56"/>
      <c r="BN960" s="56"/>
      <c r="BO960" s="56"/>
      <c r="BP960" s="56"/>
      <c r="BQ960" s="5"/>
      <c r="BR960" s="25"/>
      <c r="BS960" s="5"/>
    </row>
    <row r="961" spans="1:71" s="3" customFormat="1" x14ac:dyDescent="0.25">
      <c r="A961" s="5"/>
      <c r="B961" s="3" t="str">
        <f t="array" ref="B961">IFERROR(INDEX(DemandSupply,MATCH(INDEX($AH$1:AH961,SMALL(ROW($AH$1:AH961)+(10000*($AH$1:AH961="")),COUNTA($AH$1:AH961))),Sectors,0)),"")</f>
        <v>Supply</v>
      </c>
      <c r="E961" s="10"/>
      <c r="F961" s="207"/>
      <c r="G961" s="207"/>
      <c r="H961" s="207"/>
      <c r="I961" s="207"/>
      <c r="J961" s="207"/>
      <c r="K961" s="207"/>
      <c r="L961" s="207"/>
      <c r="M961" s="207"/>
      <c r="N961" s="207"/>
      <c r="O961" s="207"/>
      <c r="P961" s="207"/>
      <c r="Q961" s="207"/>
      <c r="R961" s="207"/>
      <c r="S961" s="207"/>
      <c r="T961" s="207"/>
      <c r="U961" s="207"/>
      <c r="V961" s="207"/>
      <c r="W961" s="207"/>
      <c r="X961" s="207"/>
      <c r="Y961" s="207"/>
      <c r="Z961" s="207"/>
      <c r="AA961" s="207"/>
      <c r="AB961" s="207"/>
      <c r="AC961" s="5"/>
      <c r="AD961" s="63"/>
      <c r="AE961" s="64"/>
      <c r="AF961" s="64"/>
      <c r="AG961" s="212"/>
      <c r="AH961" s="64"/>
      <c r="AI961" s="64"/>
      <c r="AJ961" s="227"/>
      <c r="AK961" s="64"/>
      <c r="AL961" s="64"/>
      <c r="AM961" s="212"/>
      <c r="AN961" s="64"/>
      <c r="AO961" s="64"/>
      <c r="AP961" s="63"/>
      <c r="AQ961" s="64"/>
      <c r="AR961" s="63"/>
      <c r="AS961" s="64"/>
      <c r="AT961" s="63"/>
      <c r="AU961" s="64"/>
      <c r="AV961" s="63"/>
      <c r="AW961" s="64"/>
      <c r="AX961" s="63"/>
      <c r="AY961" s="5"/>
      <c r="AZ961" s="21" t="str">
        <f t="shared" si="666"/>
        <v/>
      </c>
      <c r="BA961" s="264" t="s">
        <v>446</v>
      </c>
      <c r="BB961" s="264"/>
      <c r="BC961" s="264"/>
      <c r="BD961" s="264" t="s">
        <v>354</v>
      </c>
      <c r="BE961" s="9" t="s">
        <v>198</v>
      </c>
      <c r="BF961" s="56"/>
      <c r="BG961" s="56"/>
      <c r="BH961" s="56"/>
      <c r="BI961" s="56"/>
      <c r="BJ961" s="56"/>
      <c r="BK961" s="56"/>
      <c r="BL961" s="56"/>
      <c r="BM961" s="56"/>
      <c r="BN961" s="56"/>
      <c r="BO961" s="56"/>
      <c r="BP961" s="56"/>
      <c r="BQ961" s="5"/>
      <c r="BR961" s="25"/>
      <c r="BS961" s="5"/>
    </row>
    <row r="962" spans="1:71" s="3" customFormat="1" x14ac:dyDescent="0.25">
      <c r="A962" s="5"/>
      <c r="B962" s="3" t="str">
        <f t="array" ref="B962">IFERROR(INDEX(DemandSupply,MATCH(INDEX($AH$1:AH962,SMALL(ROW($AH$1:AH962)+(10000*($AH$1:AH962="")),COUNTA($AH$1:AH962))),Sectors,0)),"")</f>
        <v>Supply</v>
      </c>
      <c r="E962" s="10"/>
      <c r="F962" s="207"/>
      <c r="G962" s="207"/>
      <c r="H962" s="207"/>
      <c r="I962" s="207"/>
      <c r="J962" s="207"/>
      <c r="K962" s="207"/>
      <c r="L962" s="207"/>
      <c r="M962" s="207"/>
      <c r="N962" s="207"/>
      <c r="O962" s="207"/>
      <c r="P962" s="207"/>
      <c r="Q962" s="207"/>
      <c r="R962" s="207"/>
      <c r="S962" s="207"/>
      <c r="T962" s="207"/>
      <c r="U962" s="207"/>
      <c r="V962" s="207"/>
      <c r="W962" s="207"/>
      <c r="X962" s="207"/>
      <c r="Y962" s="207"/>
      <c r="Z962" s="207"/>
      <c r="AA962" s="207"/>
      <c r="AB962" s="207"/>
      <c r="AC962" s="5"/>
      <c r="AD962" s="63"/>
      <c r="AE962" s="64"/>
      <c r="AF962" s="64"/>
      <c r="AG962" s="212"/>
      <c r="AH962" s="64"/>
      <c r="AI962" s="64"/>
      <c r="AJ962" s="227"/>
      <c r="AK962" s="64"/>
      <c r="AL962" s="64"/>
      <c r="AM962" s="212"/>
      <c r="AN962" s="64"/>
      <c r="AO962" s="64"/>
      <c r="AP962" s="63"/>
      <c r="AQ962" s="64"/>
      <c r="AR962" s="63"/>
      <c r="AS962" s="64"/>
      <c r="AT962" s="63"/>
      <c r="AU962" s="64"/>
      <c r="AV962" s="63"/>
      <c r="AW962" s="64"/>
      <c r="AX962" s="63"/>
      <c r="AY962" s="5"/>
      <c r="AZ962" s="21" t="str">
        <f t="shared" si="666"/>
        <v/>
      </c>
      <c r="BA962" s="264" t="s">
        <v>447</v>
      </c>
      <c r="BB962" s="264"/>
      <c r="BC962" s="264"/>
      <c r="BD962" s="264"/>
      <c r="BE962" s="9" t="s">
        <v>198</v>
      </c>
      <c r="BF962" s="55"/>
      <c r="BG962" s="55"/>
      <c r="BH962" s="55"/>
      <c r="BI962" s="55"/>
      <c r="BJ962" s="55"/>
      <c r="BK962" s="55"/>
      <c r="BL962" s="55"/>
      <c r="BM962" s="55"/>
      <c r="BN962" s="55"/>
      <c r="BO962" s="55"/>
      <c r="BP962" s="55"/>
      <c r="BQ962" s="5"/>
      <c r="BR962" s="25"/>
      <c r="BS962" s="5"/>
    </row>
    <row r="963" spans="1:71" s="3" customFormat="1" x14ac:dyDescent="0.25">
      <c r="A963" s="5"/>
      <c r="B963" s="3" t="str">
        <f t="array" ref="B963">IFERROR(INDEX(DemandSupply,MATCH(INDEX($AH$1:AH963,SMALL(ROW($AH$1:AH963)+(10000*($AH$1:AH963="")),COUNTA($AH$1:AH963))),Sectors,0)),"")</f>
        <v>Supply</v>
      </c>
      <c r="E963" s="10"/>
      <c r="F963" s="207"/>
      <c r="G963" s="207"/>
      <c r="H963" s="207"/>
      <c r="I963" s="207"/>
      <c r="J963" s="207"/>
      <c r="K963" s="207"/>
      <c r="L963" s="207"/>
      <c r="M963" s="207"/>
      <c r="N963" s="207"/>
      <c r="O963" s="207"/>
      <c r="P963" s="207"/>
      <c r="Q963" s="207"/>
      <c r="R963" s="207"/>
      <c r="S963" s="207"/>
      <c r="T963" s="207"/>
      <c r="U963" s="207"/>
      <c r="V963" s="207"/>
      <c r="W963" s="207"/>
      <c r="X963" s="207"/>
      <c r="Y963" s="207"/>
      <c r="Z963" s="207"/>
      <c r="AA963" s="207"/>
      <c r="AB963" s="207"/>
      <c r="AC963" s="5"/>
      <c r="AD963" s="63"/>
      <c r="AE963" s="64"/>
      <c r="AF963" s="64"/>
      <c r="AG963" s="212"/>
      <c r="AH963" s="64"/>
      <c r="AI963" s="64"/>
      <c r="AJ963" s="227"/>
      <c r="AK963" s="64"/>
      <c r="AL963" s="64"/>
      <c r="AM963" s="212"/>
      <c r="AN963" s="64"/>
      <c r="AO963" s="64"/>
      <c r="AP963" s="63"/>
      <c r="AQ963" s="64"/>
      <c r="AR963" s="63"/>
      <c r="AS963" s="64"/>
      <c r="AT963" s="63"/>
      <c r="AU963" s="64"/>
      <c r="AV963" s="63"/>
      <c r="AW963" s="64"/>
      <c r="AX963" s="63"/>
      <c r="AY963" s="5"/>
      <c r="AZ963" s="21" t="str">
        <f t="shared" si="666"/>
        <v/>
      </c>
      <c r="BA963" s="264" t="s">
        <v>448</v>
      </c>
      <c r="BB963" s="264"/>
      <c r="BC963" s="264"/>
      <c r="BD963" s="264"/>
      <c r="BE963" s="9" t="s">
        <v>198</v>
      </c>
      <c r="BF963" s="55"/>
      <c r="BG963" s="55"/>
      <c r="BH963" s="55"/>
      <c r="BI963" s="55"/>
      <c r="BJ963" s="55"/>
      <c r="BK963" s="55"/>
      <c r="BL963" s="55"/>
      <c r="BM963" s="55"/>
      <c r="BN963" s="55"/>
      <c r="BO963" s="55"/>
      <c r="BP963" s="55"/>
      <c r="BQ963" s="5"/>
      <c r="BR963" s="25"/>
      <c r="BS963" s="5"/>
    </row>
    <row r="964" spans="1:71" s="3" customFormat="1" x14ac:dyDescent="0.25">
      <c r="A964" s="5"/>
      <c r="B964" s="3" t="str">
        <f t="array" ref="B964">IFERROR(INDEX(DemandSupply,MATCH(INDEX($AH$1:AH964,SMALL(ROW($AH$1:AH964)+(10000*($AH$1:AH964="")),COUNTA($AH$1:AH964))),Sectors,0)),"")</f>
        <v>Supply</v>
      </c>
      <c r="E964" s="10"/>
      <c r="F964" s="207"/>
      <c r="G964" s="207"/>
      <c r="H964" s="207"/>
      <c r="I964" s="207"/>
      <c r="J964" s="207"/>
      <c r="K964" s="207"/>
      <c r="L964" s="207"/>
      <c r="M964" s="207"/>
      <c r="N964" s="207"/>
      <c r="O964" s="207"/>
      <c r="P964" s="207"/>
      <c r="Q964" s="207"/>
      <c r="R964" s="207"/>
      <c r="S964" s="207"/>
      <c r="T964" s="207"/>
      <c r="U964" s="207"/>
      <c r="V964" s="207"/>
      <c r="W964" s="207"/>
      <c r="X964" s="207"/>
      <c r="Y964" s="207"/>
      <c r="Z964" s="207"/>
      <c r="AA964" s="207"/>
      <c r="AB964" s="207"/>
      <c r="AC964" s="5"/>
      <c r="AD964" s="63"/>
      <c r="AE964" s="64"/>
      <c r="AF964" s="64"/>
      <c r="AG964" s="212"/>
      <c r="AH964" s="64"/>
      <c r="AI964" s="64"/>
      <c r="AJ964" s="227"/>
      <c r="AK964" s="64"/>
      <c r="AL964" s="64"/>
      <c r="AM964" s="212"/>
      <c r="AN964" s="64"/>
      <c r="AO964" s="64"/>
      <c r="AP964" s="63"/>
      <c r="AQ964" s="64"/>
      <c r="AR964" s="63"/>
      <c r="AS964" s="64"/>
      <c r="AT964" s="63"/>
      <c r="AU964" s="64"/>
      <c r="AV964" s="63"/>
      <c r="AW964" s="64"/>
      <c r="AX964" s="63"/>
      <c r="AY964" s="5"/>
      <c r="AZ964" s="21" t="str">
        <f t="shared" si="666"/>
        <v/>
      </c>
      <c r="BA964" s="264" t="s">
        <v>445</v>
      </c>
      <c r="BB964" s="264"/>
      <c r="BC964" s="264"/>
      <c r="BD964" s="264" t="s">
        <v>370</v>
      </c>
      <c r="BE964" s="9" t="s">
        <v>198</v>
      </c>
      <c r="BF964" s="56"/>
      <c r="BG964" s="56"/>
      <c r="BH964" s="56"/>
      <c r="BI964" s="56"/>
      <c r="BJ964" s="56"/>
      <c r="BK964" s="56"/>
      <c r="BL964" s="56"/>
      <c r="BM964" s="56"/>
      <c r="BN964" s="56"/>
      <c r="BO964" s="56"/>
      <c r="BP964" s="56"/>
      <c r="BQ964" s="5"/>
      <c r="BR964" s="25"/>
      <c r="BS964" s="5"/>
    </row>
    <row r="965" spans="1:71" s="3" customFormat="1" x14ac:dyDescent="0.25">
      <c r="A965" s="5"/>
      <c r="B965" s="3" t="str">
        <f t="array" ref="B965">IFERROR(INDEX(DemandSupply,MATCH(INDEX($AH$1:AH965,SMALL(ROW($AH$1:AH965)+(10000*($AH$1:AH965="")),COUNTA($AH$1:AH965))),Sectors,0)),"")</f>
        <v>Supply</v>
      </c>
      <c r="E965" s="10"/>
      <c r="F965" s="207"/>
      <c r="G965" s="207"/>
      <c r="H965" s="207"/>
      <c r="I965" s="207"/>
      <c r="J965" s="207"/>
      <c r="K965" s="207"/>
      <c r="L965" s="207"/>
      <c r="M965" s="207"/>
      <c r="N965" s="207"/>
      <c r="O965" s="207"/>
      <c r="P965" s="207"/>
      <c r="Q965" s="207"/>
      <c r="R965" s="207"/>
      <c r="S965" s="207"/>
      <c r="T965" s="207"/>
      <c r="U965" s="207"/>
      <c r="V965" s="207"/>
      <c r="W965" s="207"/>
      <c r="X965" s="207"/>
      <c r="Y965" s="207"/>
      <c r="Z965" s="207"/>
      <c r="AA965" s="207"/>
      <c r="AB965" s="207"/>
      <c r="AC965" s="5"/>
      <c r="AD965" s="63"/>
      <c r="AE965" s="64"/>
      <c r="AF965" s="64"/>
      <c r="AG965" s="212"/>
      <c r="AH965" s="64"/>
      <c r="AI965" s="64"/>
      <c r="AJ965" s="227"/>
      <c r="AK965" s="64"/>
      <c r="AL965" s="64"/>
      <c r="AM965" s="212"/>
      <c r="AN965" s="64"/>
      <c r="AO965" s="64"/>
      <c r="AP965" s="63"/>
      <c r="AQ965" s="64"/>
      <c r="AR965" s="63"/>
      <c r="AS965" s="64"/>
      <c r="AT965" s="63"/>
      <c r="AU965" s="64"/>
      <c r="AV965" s="63"/>
      <c r="AW965" s="64"/>
      <c r="AX965" s="63"/>
      <c r="AY965" s="5"/>
      <c r="AZ965" s="21" t="str">
        <f t="shared" si="666"/>
        <v/>
      </c>
      <c r="BA965" s="264" t="s">
        <v>449</v>
      </c>
      <c r="BB965" s="264"/>
      <c r="BC965" s="264"/>
      <c r="BD965" s="264" t="s">
        <v>370</v>
      </c>
      <c r="BE965" s="9" t="s">
        <v>198</v>
      </c>
      <c r="BF965" s="56"/>
      <c r="BG965" s="56"/>
      <c r="BH965" s="56"/>
      <c r="BI965" s="56"/>
      <c r="BJ965" s="56"/>
      <c r="BK965" s="56"/>
      <c r="BL965" s="56"/>
      <c r="BM965" s="56"/>
      <c r="BN965" s="56"/>
      <c r="BO965" s="56"/>
      <c r="BP965" s="56"/>
      <c r="BQ965" s="5"/>
      <c r="BR965" s="25"/>
      <c r="BS965" s="5"/>
    </row>
    <row r="966" spans="1:71" s="3" customFormat="1" x14ac:dyDescent="0.25">
      <c r="A966" s="5"/>
      <c r="B966" s="3" t="str">
        <f t="array" ref="B966">IFERROR(INDEX(DemandSupply,MATCH(INDEX($AH$1:AH966,SMALL(ROW($AH$1:AH966)+(10000*($AH$1:AH966="")),COUNTA($AH$1:AH966))),Sectors,0)),"")</f>
        <v>Supply</v>
      </c>
      <c r="E966" s="10"/>
      <c r="F966" s="207"/>
      <c r="G966" s="207"/>
      <c r="H966" s="207"/>
      <c r="I966" s="207"/>
      <c r="J966" s="207"/>
      <c r="K966" s="207"/>
      <c r="L966" s="207"/>
      <c r="M966" s="207"/>
      <c r="N966" s="207"/>
      <c r="O966" s="207"/>
      <c r="P966" s="207"/>
      <c r="Q966" s="207"/>
      <c r="R966" s="207"/>
      <c r="S966" s="207"/>
      <c r="T966" s="207"/>
      <c r="U966" s="207"/>
      <c r="V966" s="207"/>
      <c r="W966" s="207"/>
      <c r="X966" s="207"/>
      <c r="Y966" s="207"/>
      <c r="Z966" s="207"/>
      <c r="AA966" s="207"/>
      <c r="AB966" s="207"/>
      <c r="AC966" s="5"/>
      <c r="AD966" s="63"/>
      <c r="AE966" s="64"/>
      <c r="AF966" s="64"/>
      <c r="AG966" s="212"/>
      <c r="AH966" s="64"/>
      <c r="AI966" s="64"/>
      <c r="AJ966" s="227"/>
      <c r="AK966" s="64"/>
      <c r="AL966" s="64"/>
      <c r="AM966" s="212"/>
      <c r="AN966" s="64"/>
      <c r="AO966" s="64"/>
      <c r="AP966" s="63"/>
      <c r="AQ966" s="64"/>
      <c r="AR966" s="63"/>
      <c r="AS966" s="64"/>
      <c r="AT966" s="63"/>
      <c r="AU966" s="64"/>
      <c r="AV966" s="63"/>
      <c r="AW966" s="64"/>
      <c r="AX966" s="63"/>
      <c r="AY966" s="5"/>
      <c r="AZ966" s="21" t="str">
        <f t="shared" si="666"/>
        <v/>
      </c>
      <c r="BA966" s="264" t="s">
        <v>450</v>
      </c>
      <c r="BB966" s="264"/>
      <c r="BC966" s="264"/>
      <c r="BD966" s="264"/>
      <c r="BE966" s="9" t="s">
        <v>198</v>
      </c>
      <c r="BF966" s="55"/>
      <c r="BG966" s="55"/>
      <c r="BH966" s="55"/>
      <c r="BI966" s="55"/>
      <c r="BJ966" s="55"/>
      <c r="BK966" s="55"/>
      <c r="BL966" s="55"/>
      <c r="BM966" s="55"/>
      <c r="BN966" s="55"/>
      <c r="BO966" s="55"/>
      <c r="BP966" s="55"/>
      <c r="BQ966" s="5"/>
      <c r="BR966" s="25"/>
      <c r="BS966" s="5"/>
    </row>
    <row r="967" spans="1:71" s="3" customFormat="1" x14ac:dyDescent="0.25">
      <c r="A967" s="5"/>
      <c r="B967" s="3" t="str">
        <f t="array" ref="B967">IFERROR(INDEX(DemandSupply,MATCH(INDEX($AH$1:AH967,SMALL(ROW($AH$1:AH967)+(10000*($AH$1:AH967="")),COUNTA($AH$1:AH967))),Sectors,0)),"")</f>
        <v>Supply</v>
      </c>
      <c r="E967" s="10"/>
      <c r="F967" s="207"/>
      <c r="G967" s="207"/>
      <c r="H967" s="207"/>
      <c r="I967" s="207"/>
      <c r="J967" s="207"/>
      <c r="K967" s="207"/>
      <c r="L967" s="207"/>
      <c r="M967" s="207"/>
      <c r="N967" s="207"/>
      <c r="O967" s="207"/>
      <c r="P967" s="207"/>
      <c r="Q967" s="207"/>
      <c r="R967" s="207"/>
      <c r="S967" s="207"/>
      <c r="T967" s="207"/>
      <c r="U967" s="207"/>
      <c r="V967" s="207"/>
      <c r="W967" s="207"/>
      <c r="X967" s="207"/>
      <c r="Y967" s="207"/>
      <c r="Z967" s="207"/>
      <c r="AA967" s="207"/>
      <c r="AB967" s="207"/>
      <c r="AC967" s="5"/>
      <c r="AD967" s="63"/>
      <c r="AE967" s="64"/>
      <c r="AF967" s="64"/>
      <c r="AG967" s="212"/>
      <c r="AH967" s="64"/>
      <c r="AI967" s="64"/>
      <c r="AJ967" s="227"/>
      <c r="AK967" s="64"/>
      <c r="AL967" s="64"/>
      <c r="AM967" s="212"/>
      <c r="AN967" s="64"/>
      <c r="AO967" s="64"/>
      <c r="AP967" s="63"/>
      <c r="AQ967" s="64"/>
      <c r="AR967" s="63"/>
      <c r="AS967" s="64"/>
      <c r="AT967" s="63"/>
      <c r="AU967" s="64"/>
      <c r="AV967" s="63"/>
      <c r="AW967" s="64"/>
      <c r="AX967" s="63"/>
      <c r="AY967" s="5"/>
      <c r="AZ967" s="21" t="str">
        <f t="shared" si="666"/>
        <v/>
      </c>
      <c r="BA967" s="264" t="s">
        <v>451</v>
      </c>
      <c r="BB967" s="264"/>
      <c r="BC967" s="264"/>
      <c r="BD967" s="264"/>
      <c r="BE967" s="9" t="s">
        <v>198</v>
      </c>
      <c r="BF967" s="55"/>
      <c r="BG967" s="55"/>
      <c r="BH967" s="55"/>
      <c r="BI967" s="55"/>
      <c r="BJ967" s="55"/>
      <c r="BK967" s="55"/>
      <c r="BL967" s="55"/>
      <c r="BM967" s="55"/>
      <c r="BN967" s="55"/>
      <c r="BO967" s="55"/>
      <c r="BP967" s="55"/>
      <c r="BQ967" s="5"/>
      <c r="BR967" s="25"/>
      <c r="BS967" s="5"/>
    </row>
    <row r="968" spans="1:71" s="3" customFormat="1" x14ac:dyDescent="0.25">
      <c r="A968" s="5"/>
      <c r="B968" s="3" t="str">
        <f t="array" ref="B968">IFERROR(INDEX(DemandSupply,MATCH(INDEX($AH$1:AH968,SMALL(ROW($AH$1:AH968)+(10000*($AH$1:AH968="")),COUNTA($AH$1:AH968))),Sectors,0)),"")</f>
        <v>Supply</v>
      </c>
      <c r="E968" s="10"/>
      <c r="F968" s="207"/>
      <c r="G968" s="207"/>
      <c r="H968" s="207"/>
      <c r="I968" s="207"/>
      <c r="J968" s="207"/>
      <c r="K968" s="207"/>
      <c r="L968" s="207"/>
      <c r="M968" s="207"/>
      <c r="N968" s="207"/>
      <c r="O968" s="207"/>
      <c r="P968" s="207"/>
      <c r="Q968" s="207"/>
      <c r="R968" s="207"/>
      <c r="S968" s="207"/>
      <c r="T968" s="207"/>
      <c r="U968" s="207"/>
      <c r="V968" s="207"/>
      <c r="W968" s="207"/>
      <c r="X968" s="207"/>
      <c r="Y968" s="207"/>
      <c r="Z968" s="207"/>
      <c r="AA968" s="207"/>
      <c r="AB968" s="207"/>
      <c r="AC968" s="5"/>
      <c r="AD968" s="63"/>
      <c r="AE968" s="64"/>
      <c r="AF968" s="64"/>
      <c r="AG968" s="212"/>
      <c r="AH968" s="64"/>
      <c r="AI968" s="64"/>
      <c r="AJ968" s="227"/>
      <c r="AK968" s="64"/>
      <c r="AL968" s="64"/>
      <c r="AM968" s="212"/>
      <c r="AN968" s="64"/>
      <c r="AO968" s="64"/>
      <c r="AP968" s="63"/>
      <c r="AQ968" s="64"/>
      <c r="AR968" s="63"/>
      <c r="AS968" s="64"/>
      <c r="AT968" s="63"/>
      <c r="AU968" s="64"/>
      <c r="AV968" s="63"/>
      <c r="AW968" s="64"/>
      <c r="AX968" s="63"/>
      <c r="AY968" s="5"/>
      <c r="AZ968" s="21" t="str">
        <f t="shared" si="666"/>
        <v/>
      </c>
      <c r="BA968" s="264" t="s">
        <v>342</v>
      </c>
      <c r="BB968" s="264"/>
      <c r="BC968" s="264"/>
      <c r="BD968" s="264" t="s">
        <v>370</v>
      </c>
      <c r="BE968" s="9" t="s">
        <v>198</v>
      </c>
      <c r="BF968" s="56">
        <v>1000000</v>
      </c>
      <c r="BG968" s="282">
        <f t="shared" ref="BG968:BP968" si="675">BF968</f>
        <v>1000000</v>
      </c>
      <c r="BH968" s="282">
        <f t="shared" si="675"/>
        <v>1000000</v>
      </c>
      <c r="BI968" s="282">
        <f t="shared" si="675"/>
        <v>1000000</v>
      </c>
      <c r="BJ968" s="282">
        <f t="shared" si="675"/>
        <v>1000000</v>
      </c>
      <c r="BK968" s="282">
        <f t="shared" si="675"/>
        <v>1000000</v>
      </c>
      <c r="BL968" s="282">
        <f t="shared" si="675"/>
        <v>1000000</v>
      </c>
      <c r="BM968" s="282">
        <f t="shared" si="675"/>
        <v>1000000</v>
      </c>
      <c r="BN968" s="282">
        <f t="shared" si="675"/>
        <v>1000000</v>
      </c>
      <c r="BO968" s="282">
        <f t="shared" si="675"/>
        <v>1000000</v>
      </c>
      <c r="BP968" s="282">
        <f t="shared" si="675"/>
        <v>1000000</v>
      </c>
      <c r="BQ968" s="5"/>
      <c r="BR968" s="25"/>
      <c r="BS968" s="5"/>
    </row>
    <row r="969" spans="1:71" s="3" customFormat="1" x14ac:dyDescent="0.25">
      <c r="A969" s="5"/>
      <c r="B969" s="3" t="str">
        <f t="array" ref="B969">IFERROR(INDEX(DemandSupply,MATCH(INDEX($AH$1:AH969,SMALL(ROW($AH$1:AH969)+(10000*($AH$1:AH969="")),COUNTA($AH$1:AH969))),Sectors,0)),"")</f>
        <v>Supply</v>
      </c>
      <c r="E969" s="10"/>
      <c r="F969" s="207"/>
      <c r="G969" s="207"/>
      <c r="H969" s="207"/>
      <c r="I969" s="207"/>
      <c r="J969" s="207"/>
      <c r="K969" s="207"/>
      <c r="L969" s="207"/>
      <c r="M969" s="207"/>
      <c r="N969" s="207"/>
      <c r="O969" s="207"/>
      <c r="P969" s="207"/>
      <c r="Q969" s="207"/>
      <c r="R969" s="207"/>
      <c r="S969" s="207"/>
      <c r="T969" s="207"/>
      <c r="U969" s="207"/>
      <c r="V969" s="207"/>
      <c r="W969" s="207"/>
      <c r="X969" s="207"/>
      <c r="Y969" s="207"/>
      <c r="Z969" s="207"/>
      <c r="AA969" s="207"/>
      <c r="AB969" s="207"/>
      <c r="AC969" s="5"/>
      <c r="AD969" s="63"/>
      <c r="AE969" s="64"/>
      <c r="AF969" s="64"/>
      <c r="AG969" s="212"/>
      <c r="AH969" s="64"/>
      <c r="AI969" s="64"/>
      <c r="AJ969" s="227"/>
      <c r="AK969" s="64"/>
      <c r="AL969" s="64"/>
      <c r="AM969" s="212"/>
      <c r="AN969" s="64"/>
      <c r="AO969" s="64"/>
      <c r="AP969" s="63"/>
      <c r="AQ969" s="64"/>
      <c r="AR969" s="63"/>
      <c r="AS969" s="64"/>
      <c r="AT969" s="63"/>
      <c r="AU969" s="64"/>
      <c r="AV969" s="63"/>
      <c r="AW969" s="64"/>
      <c r="AX969" s="63"/>
      <c r="AY969" s="5"/>
      <c r="AZ969" s="21" t="str">
        <f t="shared" si="666"/>
        <v/>
      </c>
      <c r="BA969" s="264" t="s">
        <v>394</v>
      </c>
      <c r="BB969" s="264"/>
      <c r="BC969" s="264"/>
      <c r="BD969" s="264" t="s">
        <v>354</v>
      </c>
      <c r="BE969" s="9" t="s">
        <v>198</v>
      </c>
      <c r="BF969" s="56"/>
      <c r="BG969" s="56"/>
      <c r="BH969" s="56"/>
      <c r="BI969" s="56"/>
      <c r="BJ969" s="56"/>
      <c r="BK969" s="56"/>
      <c r="BL969" s="56"/>
      <c r="BM969" s="56"/>
      <c r="BN969" s="56"/>
      <c r="BO969" s="56"/>
      <c r="BP969" s="56"/>
      <c r="BQ969" s="5"/>
      <c r="BR969" s="25"/>
      <c r="BS969" s="5"/>
    </row>
    <row r="970" spans="1:71" s="3" customFormat="1" x14ac:dyDescent="0.25">
      <c r="A970" s="5"/>
      <c r="B970" s="3" t="str">
        <f t="array" ref="B970">IFERROR(INDEX(DemandSupply,MATCH(INDEX($AH$1:AH970,SMALL(ROW($AH$1:AH970)+(10000*($AH$1:AH970="")),COUNTA($AH$1:AH970))),Sectors,0)),"")</f>
        <v>Supply</v>
      </c>
      <c r="E970" s="10">
        <f t="shared" si="653"/>
        <v>0</v>
      </c>
      <c r="F970" s="207">
        <v>1</v>
      </c>
      <c r="G970" s="207">
        <v>1</v>
      </c>
      <c r="H970" s="207">
        <v>1</v>
      </c>
      <c r="I970" s="207">
        <v>1</v>
      </c>
      <c r="J970" s="207">
        <v>1</v>
      </c>
      <c r="K970" s="207">
        <v>1</v>
      </c>
      <c r="L970" s="207">
        <v>1</v>
      </c>
      <c r="M970" s="207">
        <v>1</v>
      </c>
      <c r="N970" s="207">
        <v>1</v>
      </c>
      <c r="O970" s="207">
        <v>1</v>
      </c>
      <c r="P970" s="207">
        <v>1</v>
      </c>
      <c r="Q970" s="207">
        <v>1</v>
      </c>
      <c r="R970" s="207">
        <v>1</v>
      </c>
      <c r="S970" s="207">
        <v>1</v>
      </c>
      <c r="T970" s="207">
        <v>1</v>
      </c>
      <c r="U970" s="207">
        <v>1</v>
      </c>
      <c r="V970" s="207">
        <v>1</v>
      </c>
      <c r="W970" s="207">
        <v>1</v>
      </c>
      <c r="X970" s="207">
        <v>1</v>
      </c>
      <c r="Y970" s="207">
        <v>1</v>
      </c>
      <c r="Z970" s="207">
        <v>1</v>
      </c>
      <c r="AA970" s="207">
        <v>1</v>
      </c>
      <c r="AB970" s="207">
        <v>1</v>
      </c>
      <c r="AC970" s="5"/>
      <c r="AD970" s="63"/>
      <c r="AE970" s="64"/>
      <c r="AF970" s="64"/>
      <c r="AG970" s="212"/>
      <c r="AH970" s="64"/>
      <c r="AI970" s="65"/>
      <c r="AJ970" s="227"/>
      <c r="AK970" s="65"/>
      <c r="AL970" s="64"/>
      <c r="AM970" s="212"/>
      <c r="AN970" s="63"/>
      <c r="AO970" s="64"/>
      <c r="AP970" s="63"/>
      <c r="AQ970" s="64"/>
      <c r="AR970" s="63"/>
      <c r="AS970" s="64"/>
      <c r="AT970" s="63"/>
      <c r="AU970" s="64"/>
      <c r="AV970" s="63"/>
      <c r="AW970" s="64"/>
      <c r="AX970" s="63"/>
      <c r="AY970" s="5"/>
      <c r="AZ970" s="21" t="str">
        <f t="shared" si="666"/>
        <v/>
      </c>
      <c r="BA970" s="74" t="s">
        <v>338</v>
      </c>
      <c r="BB970" s="13"/>
      <c r="BC970" s="3" t="s">
        <v>185</v>
      </c>
      <c r="BD970" s="2" t="s">
        <v>384</v>
      </c>
      <c r="BE970" s="9" t="s">
        <v>198</v>
      </c>
      <c r="BF970" s="55">
        <f>GJ_per_MWh/0.33</f>
        <v>10.909090909090908</v>
      </c>
      <c r="BG970" s="316">
        <f t="shared" ref="BG970:BG971" si="676">BF970</f>
        <v>10.909090909090908</v>
      </c>
      <c r="BH970" s="316">
        <f t="shared" ref="BH970:BH971" si="677">BG970</f>
        <v>10.909090909090908</v>
      </c>
      <c r="BI970" s="316">
        <f t="shared" ref="BI970:BI971" si="678">BH970</f>
        <v>10.909090909090908</v>
      </c>
      <c r="BJ970" s="316">
        <f t="shared" ref="BJ970:BJ971" si="679">BI970</f>
        <v>10.909090909090908</v>
      </c>
      <c r="BK970" s="316">
        <f t="shared" ref="BK970:BK971" si="680">BJ970</f>
        <v>10.909090909090908</v>
      </c>
      <c r="BL970" s="316">
        <f t="shared" ref="BL970:BL971" si="681">BK970</f>
        <v>10.909090909090908</v>
      </c>
      <c r="BM970" s="316">
        <f t="shared" ref="BM970:BM971" si="682">BL970</f>
        <v>10.909090909090908</v>
      </c>
      <c r="BN970" s="316">
        <f t="shared" ref="BN970:BN971" si="683">BM970</f>
        <v>10.909090909090908</v>
      </c>
      <c r="BO970" s="316">
        <f t="shared" ref="BO970:BO971" si="684">BN970</f>
        <v>10.909090909090908</v>
      </c>
      <c r="BP970" s="316">
        <f t="shared" ref="BP970:BP971" si="685">BO970</f>
        <v>10.909090909090908</v>
      </c>
      <c r="BQ970" s="5"/>
      <c r="BR970" s="13"/>
      <c r="BS970" s="5"/>
    </row>
    <row r="971" spans="1:71" s="3" customFormat="1" x14ac:dyDescent="0.25">
      <c r="A971" s="5"/>
      <c r="B971" s="3" t="str">
        <f t="array" ref="B971">IFERROR(INDEX(DemandSupply,MATCH(INDEX($AH$1:AH971,SMALL(ROW($AH$1:AH971)+(10000*($AH$1:AH971="")),COUNTA($AH$1:AH971))),Sectors,0)),"")</f>
        <v>Supply</v>
      </c>
      <c r="E971" s="10"/>
      <c r="F971" s="207"/>
      <c r="G971" s="207"/>
      <c r="H971" s="207"/>
      <c r="I971" s="207"/>
      <c r="J971" s="207"/>
      <c r="K971" s="207"/>
      <c r="L971" s="207"/>
      <c r="M971" s="207"/>
      <c r="N971" s="207"/>
      <c r="O971" s="207"/>
      <c r="P971" s="207"/>
      <c r="Q971" s="207"/>
      <c r="R971" s="207"/>
      <c r="S971" s="207"/>
      <c r="T971" s="207"/>
      <c r="U971" s="207"/>
      <c r="V971" s="207"/>
      <c r="W971" s="207"/>
      <c r="X971" s="207"/>
      <c r="Y971" s="207"/>
      <c r="Z971" s="207"/>
      <c r="AA971" s="207"/>
      <c r="AB971" s="207"/>
      <c r="AC971" s="5"/>
      <c r="AD971" s="63"/>
      <c r="AE971" s="64"/>
      <c r="AF971" s="64"/>
      <c r="AG971" s="212"/>
      <c r="AH971" s="64"/>
      <c r="AI971" s="65"/>
      <c r="AJ971" s="227"/>
      <c r="AK971" s="65"/>
      <c r="AL971" s="64"/>
      <c r="AM971" s="212"/>
      <c r="AN971" s="63"/>
      <c r="AO971" s="64"/>
      <c r="AP971" s="63"/>
      <c r="AQ971" s="64"/>
      <c r="AR971" s="63"/>
      <c r="AS971" s="64"/>
      <c r="AT971" s="63"/>
      <c r="AU971" s="64"/>
      <c r="AV971" s="63"/>
      <c r="AW971" s="64"/>
      <c r="AX971" s="63"/>
      <c r="AY971" s="5"/>
      <c r="AZ971" s="21" t="str">
        <f t="shared" si="666"/>
        <v/>
      </c>
      <c r="BA971" s="74" t="s">
        <v>338</v>
      </c>
      <c r="BB971" s="13"/>
      <c r="BC971" s="3" t="s">
        <v>372</v>
      </c>
      <c r="BD971" s="2" t="s">
        <v>385</v>
      </c>
      <c r="BE971" s="9" t="s">
        <v>198</v>
      </c>
      <c r="BF971" s="55">
        <v>1</v>
      </c>
      <c r="BG971" s="316">
        <f t="shared" si="676"/>
        <v>1</v>
      </c>
      <c r="BH971" s="316">
        <f t="shared" si="677"/>
        <v>1</v>
      </c>
      <c r="BI971" s="316">
        <f t="shared" si="678"/>
        <v>1</v>
      </c>
      <c r="BJ971" s="316">
        <f t="shared" si="679"/>
        <v>1</v>
      </c>
      <c r="BK971" s="316">
        <f t="shared" si="680"/>
        <v>1</v>
      </c>
      <c r="BL971" s="316">
        <f t="shared" si="681"/>
        <v>1</v>
      </c>
      <c r="BM971" s="316">
        <f t="shared" si="682"/>
        <v>1</v>
      </c>
      <c r="BN971" s="316">
        <f t="shared" si="683"/>
        <v>1</v>
      </c>
      <c r="BO971" s="316">
        <f t="shared" si="684"/>
        <v>1</v>
      </c>
      <c r="BP971" s="316">
        <f t="shared" si="685"/>
        <v>1</v>
      </c>
      <c r="BQ971" s="5"/>
      <c r="BR971" s="13"/>
      <c r="BS971" s="5"/>
    </row>
    <row r="972" spans="1:71" s="3" customFormat="1" x14ac:dyDescent="0.25">
      <c r="A972" s="5"/>
      <c r="B972" s="3" t="str">
        <f t="array" ref="B972">IFERROR(INDEX(DemandSupply,MATCH(INDEX($AH$1:AH972,SMALL(ROW($AH$1:AH972)+(10000*($AH$1:AH972="")),COUNTA($AH$1:AH972))),Sectors,0)),"")</f>
        <v>Supply</v>
      </c>
      <c r="E972" s="10">
        <f t="shared" si="653"/>
        <v>0</v>
      </c>
      <c r="F972" s="207">
        <v>1</v>
      </c>
      <c r="G972" s="207">
        <v>1</v>
      </c>
      <c r="H972" s="207">
        <v>1</v>
      </c>
      <c r="I972" s="207">
        <v>1</v>
      </c>
      <c r="J972" s="207">
        <v>1</v>
      </c>
      <c r="K972" s="207">
        <v>1</v>
      </c>
      <c r="L972" s="207">
        <v>1</v>
      </c>
      <c r="M972" s="207">
        <v>1</v>
      </c>
      <c r="N972" s="207">
        <v>1</v>
      </c>
      <c r="O972" s="207">
        <v>1</v>
      </c>
      <c r="P972" s="207">
        <v>1</v>
      </c>
      <c r="Q972" s="207">
        <v>1</v>
      </c>
      <c r="R972" s="207">
        <v>1</v>
      </c>
      <c r="S972" s="207">
        <v>1</v>
      </c>
      <c r="T972" s="207">
        <v>1</v>
      </c>
      <c r="U972" s="207">
        <v>1</v>
      </c>
      <c r="V972" s="207">
        <v>1</v>
      </c>
      <c r="W972" s="207">
        <v>1</v>
      </c>
      <c r="X972" s="207">
        <v>1</v>
      </c>
      <c r="Y972" s="207">
        <v>1</v>
      </c>
      <c r="Z972" s="207">
        <v>1</v>
      </c>
      <c r="AA972" s="207">
        <v>1</v>
      </c>
      <c r="AB972" s="207">
        <v>1</v>
      </c>
      <c r="AC972" s="5"/>
      <c r="AD972" s="63"/>
      <c r="AE972" s="64"/>
      <c r="AF972" s="64"/>
      <c r="AG972" s="212"/>
      <c r="AH972" s="64"/>
      <c r="AI972" s="65"/>
      <c r="AJ972" s="227"/>
      <c r="AK972" s="65"/>
      <c r="AL972" s="64"/>
      <c r="AM972" s="212"/>
      <c r="AN972" s="63"/>
      <c r="AO972" s="64"/>
      <c r="AP972" s="63"/>
      <c r="AQ972" s="64"/>
      <c r="AR972" s="63"/>
      <c r="AS972" s="64"/>
      <c r="AT972" s="63"/>
      <c r="AU972" s="64"/>
      <c r="AV972" s="63"/>
      <c r="AW972" s="64"/>
      <c r="AX972" s="63"/>
      <c r="AY972" s="5"/>
      <c r="AZ972" s="21" t="str">
        <f t="shared" si="666"/>
        <v/>
      </c>
      <c r="BA972" s="293" t="s">
        <v>51</v>
      </c>
      <c r="BB972" s="13"/>
      <c r="BC972" s="2"/>
      <c r="BD972" s="2"/>
      <c r="BE972" s="70" t="s">
        <v>298</v>
      </c>
      <c r="BF972" s="209"/>
      <c r="BG972" s="209"/>
      <c r="BH972" s="4"/>
      <c r="BI972" s="4"/>
      <c r="BJ972" s="4"/>
      <c r="BK972" s="4"/>
      <c r="BL972" s="4"/>
      <c r="BM972" s="4"/>
      <c r="BN972" s="4"/>
      <c r="BO972" s="4"/>
      <c r="BP972" s="4"/>
      <c r="BQ972" s="5"/>
      <c r="BR972" s="13"/>
      <c r="BS972" s="5"/>
    </row>
    <row r="973" spans="1:71" s="3" customFormat="1" x14ac:dyDescent="0.25">
      <c r="A973" s="5"/>
      <c r="B973" s="3" t="str">
        <f t="array" ref="B973">IFERROR(INDEX(DemandSupply,MATCH(INDEX($AH$1:AH973,SMALL(ROW($AH$1:AH973)+(10000*($AH$1:AH973="")),COUNTA($AH$1:AH973))),Sectors,0)),"")</f>
        <v>Supply</v>
      </c>
      <c r="E973" s="10"/>
      <c r="F973" s="207"/>
      <c r="G973" s="207"/>
      <c r="H973" s="207"/>
      <c r="I973" s="207"/>
      <c r="J973" s="207"/>
      <c r="K973" s="207"/>
      <c r="L973" s="207"/>
      <c r="M973" s="207"/>
      <c r="N973" s="207"/>
      <c r="O973" s="207"/>
      <c r="P973" s="207"/>
      <c r="Q973" s="207"/>
      <c r="R973" s="207"/>
      <c r="S973" s="207"/>
      <c r="T973" s="207"/>
      <c r="U973" s="207"/>
      <c r="V973" s="207"/>
      <c r="W973" s="207"/>
      <c r="X973" s="207"/>
      <c r="Y973" s="207"/>
      <c r="Z973" s="207"/>
      <c r="AA973" s="207"/>
      <c r="AB973" s="207"/>
      <c r="AC973" s="5"/>
      <c r="AD973" s="63"/>
      <c r="AE973" s="64"/>
      <c r="AF973" s="64"/>
      <c r="AG973" s="212"/>
      <c r="AH973" s="64"/>
      <c r="AI973" s="64"/>
      <c r="AJ973" s="227"/>
      <c r="AK973" s="64"/>
      <c r="AL973" s="64"/>
      <c r="AM973" s="212"/>
      <c r="AN973" s="64"/>
      <c r="AO973" s="64"/>
      <c r="AP973" s="63"/>
      <c r="AQ973" s="64"/>
      <c r="AR973" s="63"/>
      <c r="AS973" s="64"/>
      <c r="AT973" s="63"/>
      <c r="AU973" s="64"/>
      <c r="AV973" s="63"/>
      <c r="AW973" s="64"/>
      <c r="AX973" s="63"/>
      <c r="AY973" s="5"/>
      <c r="AZ973" s="21" t="str">
        <f t="shared" si="666"/>
        <v/>
      </c>
      <c r="BA973" s="264" t="s">
        <v>38</v>
      </c>
      <c r="BB973" s="264"/>
      <c r="BC973" s="264"/>
      <c r="BD973" s="264" t="s">
        <v>40</v>
      </c>
      <c r="BE973" s="9" t="s">
        <v>298</v>
      </c>
      <c r="BF973" s="309">
        <v>2000</v>
      </c>
      <c r="BG973" s="312">
        <f t="shared" ref="BG973:BP973" si="686">BF973</f>
        <v>2000</v>
      </c>
      <c r="BH973" s="312">
        <f t="shared" si="686"/>
        <v>2000</v>
      </c>
      <c r="BI973" s="312">
        <f t="shared" si="686"/>
        <v>2000</v>
      </c>
      <c r="BJ973" s="312">
        <f t="shared" si="686"/>
        <v>2000</v>
      </c>
      <c r="BK973" s="312">
        <f t="shared" si="686"/>
        <v>2000</v>
      </c>
      <c r="BL973" s="312">
        <f t="shared" si="686"/>
        <v>2000</v>
      </c>
      <c r="BM973" s="312">
        <f t="shared" si="686"/>
        <v>2000</v>
      </c>
      <c r="BN973" s="312">
        <f t="shared" si="686"/>
        <v>2000</v>
      </c>
      <c r="BO973" s="312">
        <f t="shared" si="686"/>
        <v>2000</v>
      </c>
      <c r="BP973" s="312">
        <f t="shared" si="686"/>
        <v>2000</v>
      </c>
      <c r="BQ973" s="5"/>
      <c r="BR973" s="25"/>
      <c r="BS973" s="5"/>
    </row>
    <row r="974" spans="1:71" s="3" customFormat="1" x14ac:dyDescent="0.25">
      <c r="A974" s="5"/>
      <c r="B974" s="3" t="str">
        <f t="array" ref="B974">IFERROR(INDEX(DemandSupply,MATCH(INDEX($AH$1:AH974,SMALL(ROW($AH$1:AH974)+(10000*($AH$1:AH974="")),COUNTA($AH$1:AH974))),Sectors,0)),"")</f>
        <v>Supply</v>
      </c>
      <c r="E974" s="10"/>
      <c r="F974" s="207"/>
      <c r="G974" s="207"/>
      <c r="H974" s="207"/>
      <c r="I974" s="207"/>
      <c r="J974" s="207"/>
      <c r="K974" s="207"/>
      <c r="L974" s="207"/>
      <c r="M974" s="207"/>
      <c r="N974" s="207"/>
      <c r="O974" s="207"/>
      <c r="P974" s="207"/>
      <c r="Q974" s="207"/>
      <c r="R974" s="207"/>
      <c r="S974" s="207"/>
      <c r="T974" s="207"/>
      <c r="U974" s="207"/>
      <c r="V974" s="207"/>
      <c r="W974" s="207"/>
      <c r="X974" s="207"/>
      <c r="Y974" s="207"/>
      <c r="Z974" s="207"/>
      <c r="AA974" s="207"/>
      <c r="AB974" s="207"/>
      <c r="AC974" s="5"/>
      <c r="AD974" s="63"/>
      <c r="AE974" s="64"/>
      <c r="AF974" s="64"/>
      <c r="AG974" s="212"/>
      <c r="AH974" s="64"/>
      <c r="AI974" s="64"/>
      <c r="AJ974" s="227"/>
      <c r="AK974" s="64"/>
      <c r="AL974" s="64"/>
      <c r="AM974" s="212"/>
      <c r="AN974" s="64"/>
      <c r="AO974" s="64"/>
      <c r="AP974" s="63"/>
      <c r="AQ974" s="64"/>
      <c r="AR974" s="63"/>
      <c r="AS974" s="64"/>
      <c r="AT974" s="63"/>
      <c r="AU974" s="64"/>
      <c r="AV974" s="63"/>
      <c r="AW974" s="64"/>
      <c r="AX974" s="63"/>
      <c r="AY974" s="5"/>
      <c r="AZ974" s="21" t="str">
        <f t="shared" si="666"/>
        <v/>
      </c>
      <c r="BA974" s="264" t="s">
        <v>37</v>
      </c>
      <c r="BB974" s="264"/>
      <c r="BC974" s="264"/>
      <c r="BD974" s="264" t="s">
        <v>40</v>
      </c>
      <c r="BE974" s="9" t="s">
        <v>298</v>
      </c>
      <c r="BF974" s="309">
        <v>2100</v>
      </c>
      <c r="BG974" s="312">
        <f t="shared" ref="BG974:BP974" si="687">BF974</f>
        <v>2100</v>
      </c>
      <c r="BH974" s="312">
        <f t="shared" si="687"/>
        <v>2100</v>
      </c>
      <c r="BI974" s="312">
        <f t="shared" si="687"/>
        <v>2100</v>
      </c>
      <c r="BJ974" s="312">
        <f t="shared" si="687"/>
        <v>2100</v>
      </c>
      <c r="BK974" s="312">
        <f t="shared" si="687"/>
        <v>2100</v>
      </c>
      <c r="BL974" s="312">
        <f t="shared" si="687"/>
        <v>2100</v>
      </c>
      <c r="BM974" s="312">
        <f t="shared" si="687"/>
        <v>2100</v>
      </c>
      <c r="BN974" s="312">
        <f t="shared" si="687"/>
        <v>2100</v>
      </c>
      <c r="BO974" s="312">
        <f t="shared" si="687"/>
        <v>2100</v>
      </c>
      <c r="BP974" s="312">
        <f t="shared" si="687"/>
        <v>2100</v>
      </c>
      <c r="BQ974" s="5"/>
      <c r="BR974" s="25"/>
      <c r="BS974" s="5"/>
    </row>
    <row r="975" spans="1:71" s="3" customFormat="1" x14ac:dyDescent="0.25">
      <c r="A975" s="5"/>
      <c r="B975" s="3" t="str">
        <f t="array" ref="B975">IFERROR(INDEX(DemandSupply,MATCH(INDEX($AH$1:AH975,SMALL(ROW($AH$1:AH975)+(10000*($AH$1:AH975="")),COUNTA($AH$1:AH975))),Sectors,0)),"")</f>
        <v>Supply</v>
      </c>
      <c r="E975" s="10"/>
      <c r="F975" s="207"/>
      <c r="G975" s="207"/>
      <c r="H975" s="207"/>
      <c r="I975" s="207"/>
      <c r="J975" s="207"/>
      <c r="K975" s="207"/>
      <c r="L975" s="207"/>
      <c r="M975" s="207"/>
      <c r="N975" s="207"/>
      <c r="O975" s="207"/>
      <c r="P975" s="207"/>
      <c r="Q975" s="207"/>
      <c r="R975" s="207"/>
      <c r="S975" s="207"/>
      <c r="T975" s="207"/>
      <c r="U975" s="207"/>
      <c r="V975" s="207"/>
      <c r="W975" s="207"/>
      <c r="X975" s="207"/>
      <c r="Y975" s="207"/>
      <c r="Z975" s="207"/>
      <c r="AA975" s="207"/>
      <c r="AB975" s="207"/>
      <c r="AC975" s="5"/>
      <c r="AD975" s="63"/>
      <c r="AE975" s="64"/>
      <c r="AF975" s="64"/>
      <c r="AG975" s="212"/>
      <c r="AH975" s="64"/>
      <c r="AI975" s="64"/>
      <c r="AJ975" s="227"/>
      <c r="AK975" s="64"/>
      <c r="AL975" s="64"/>
      <c r="AM975" s="212"/>
      <c r="AN975" s="64"/>
      <c r="AO975" s="64"/>
      <c r="AP975" s="63"/>
      <c r="AQ975" s="64"/>
      <c r="AR975" s="63"/>
      <c r="AS975" s="64"/>
      <c r="AT975" s="63"/>
      <c r="AU975" s="64"/>
      <c r="AV975" s="63"/>
      <c r="AW975" s="64"/>
      <c r="AX975" s="63"/>
      <c r="AY975" s="5"/>
      <c r="AZ975" s="21" t="str">
        <f t="shared" si="666"/>
        <v/>
      </c>
      <c r="BA975" s="264" t="s">
        <v>39</v>
      </c>
      <c r="BB975" s="264"/>
      <c r="BC975" s="264"/>
      <c r="BD975" s="264" t="s">
        <v>10</v>
      </c>
      <c r="BE975" s="9" t="s">
        <v>298</v>
      </c>
      <c r="BF975" s="56">
        <v>30</v>
      </c>
      <c r="BG975" s="282">
        <f t="shared" ref="BG975:BP975" si="688">BF975</f>
        <v>30</v>
      </c>
      <c r="BH975" s="282">
        <f t="shared" si="688"/>
        <v>30</v>
      </c>
      <c r="BI975" s="282">
        <f t="shared" si="688"/>
        <v>30</v>
      </c>
      <c r="BJ975" s="282">
        <f t="shared" si="688"/>
        <v>30</v>
      </c>
      <c r="BK975" s="282">
        <f t="shared" si="688"/>
        <v>30</v>
      </c>
      <c r="BL975" s="282">
        <f t="shared" si="688"/>
        <v>30</v>
      </c>
      <c r="BM975" s="282">
        <f t="shared" si="688"/>
        <v>30</v>
      </c>
      <c r="BN975" s="282">
        <f t="shared" si="688"/>
        <v>30</v>
      </c>
      <c r="BO975" s="282">
        <f t="shared" si="688"/>
        <v>30</v>
      </c>
      <c r="BP975" s="282">
        <f t="shared" si="688"/>
        <v>30</v>
      </c>
      <c r="BQ975" s="5"/>
      <c r="BR975" s="25"/>
      <c r="BS975" s="5"/>
    </row>
    <row r="976" spans="1:71" s="3" customFormat="1" x14ac:dyDescent="0.25">
      <c r="A976" s="5"/>
      <c r="B976" s="3" t="str">
        <f t="array" ref="B976">IFERROR(INDEX(DemandSupply,MATCH(INDEX($AH$1:AH976,SMALL(ROW($AH$1:AH976)+(10000*($AH$1:AH976="")),COUNTA($AH$1:AH976))),Sectors,0)),"")</f>
        <v>Supply</v>
      </c>
      <c r="E976" s="10"/>
      <c r="F976" s="207"/>
      <c r="G976" s="207"/>
      <c r="H976" s="207"/>
      <c r="I976" s="207"/>
      <c r="J976" s="207"/>
      <c r="K976" s="207"/>
      <c r="L976" s="207"/>
      <c r="M976" s="207"/>
      <c r="N976" s="207"/>
      <c r="O976" s="207"/>
      <c r="P976" s="207"/>
      <c r="Q976" s="207"/>
      <c r="R976" s="207"/>
      <c r="S976" s="207"/>
      <c r="T976" s="207"/>
      <c r="U976" s="207"/>
      <c r="V976" s="207"/>
      <c r="W976" s="207"/>
      <c r="X976" s="207"/>
      <c r="Y976" s="207"/>
      <c r="Z976" s="207"/>
      <c r="AA976" s="207"/>
      <c r="AB976" s="207"/>
      <c r="AC976" s="5"/>
      <c r="AD976" s="63"/>
      <c r="AE976" s="64"/>
      <c r="AF976" s="64"/>
      <c r="AG976" s="212"/>
      <c r="AH976" s="64"/>
      <c r="AI976" s="64"/>
      <c r="AJ976" s="227"/>
      <c r="AK976" s="64"/>
      <c r="AL976" s="64"/>
      <c r="AM976" s="212"/>
      <c r="AN976" s="64"/>
      <c r="AO976" s="64"/>
      <c r="AP976" s="63"/>
      <c r="AQ976" s="64"/>
      <c r="AR976" s="63"/>
      <c r="AS976" s="64"/>
      <c r="AT976" s="63"/>
      <c r="AU976" s="64"/>
      <c r="AV976" s="63"/>
      <c r="AW976" s="64"/>
      <c r="AX976" s="63"/>
      <c r="AY976" s="5"/>
      <c r="AZ976" s="21" t="str">
        <f t="shared" si="666"/>
        <v/>
      </c>
      <c r="BA976" s="264" t="s">
        <v>395</v>
      </c>
      <c r="BB976" s="264"/>
      <c r="BC976" s="264"/>
      <c r="BD976" s="264" t="s">
        <v>10</v>
      </c>
      <c r="BE976" s="9" t="s">
        <v>298</v>
      </c>
      <c r="BF976" s="56"/>
      <c r="BG976" s="56"/>
      <c r="BH976" s="56"/>
      <c r="BI976" s="56"/>
      <c r="BJ976" s="56"/>
      <c r="BK976" s="56"/>
      <c r="BL976" s="56"/>
      <c r="BM976" s="56"/>
      <c r="BN976" s="56"/>
      <c r="BO976" s="56"/>
      <c r="BP976" s="56"/>
      <c r="BQ976" s="5"/>
      <c r="BR976" s="25"/>
      <c r="BS976" s="5"/>
    </row>
    <row r="977" spans="1:71" s="3" customFormat="1" x14ac:dyDescent="0.25">
      <c r="A977" s="5"/>
      <c r="B977" s="3" t="str">
        <f t="array" ref="B977">IFERROR(INDEX(DemandSupply,MATCH(INDEX($AH$1:AH977,SMALL(ROW($AH$1:AH977)+(10000*($AH$1:AH977="")),COUNTA($AH$1:AH977))),Sectors,0)),"")</f>
        <v>Supply</v>
      </c>
      <c r="E977" s="10"/>
      <c r="F977" s="207"/>
      <c r="G977" s="207"/>
      <c r="H977" s="207"/>
      <c r="I977" s="207"/>
      <c r="J977" s="207"/>
      <c r="K977" s="207"/>
      <c r="L977" s="207"/>
      <c r="M977" s="207"/>
      <c r="N977" s="207"/>
      <c r="O977" s="207"/>
      <c r="P977" s="207"/>
      <c r="Q977" s="207"/>
      <c r="R977" s="207"/>
      <c r="S977" s="207"/>
      <c r="T977" s="207"/>
      <c r="U977" s="207"/>
      <c r="V977" s="207"/>
      <c r="W977" s="207"/>
      <c r="X977" s="207"/>
      <c r="Y977" s="207"/>
      <c r="Z977" s="207"/>
      <c r="AA977" s="207"/>
      <c r="AB977" s="207"/>
      <c r="AC977" s="5"/>
      <c r="AD977" s="63"/>
      <c r="AE977" s="64"/>
      <c r="AF977" s="64"/>
      <c r="AG977" s="212"/>
      <c r="AH977" s="64"/>
      <c r="AI977" s="64"/>
      <c r="AJ977" s="227"/>
      <c r="AK977" s="64"/>
      <c r="AL977" s="64"/>
      <c r="AM977" s="212"/>
      <c r="AN977" s="64"/>
      <c r="AO977" s="64"/>
      <c r="AP977" s="63"/>
      <c r="AQ977" s="64"/>
      <c r="AR977" s="63"/>
      <c r="AS977" s="64"/>
      <c r="AT977" s="63"/>
      <c r="AU977" s="64"/>
      <c r="AV977" s="63"/>
      <c r="AW977" s="64"/>
      <c r="AX977" s="63"/>
      <c r="AY977" s="5"/>
      <c r="AZ977" s="21" t="str">
        <f t="shared" si="666"/>
        <v/>
      </c>
      <c r="BA977" s="264" t="s">
        <v>341</v>
      </c>
      <c r="BB977" s="264"/>
      <c r="BC977" s="264"/>
      <c r="BD977" s="264" t="s">
        <v>99</v>
      </c>
      <c r="BE977" s="9" t="s">
        <v>298</v>
      </c>
      <c r="BF977" s="303">
        <v>0.125</v>
      </c>
      <c r="BG977" s="306">
        <f t="shared" ref="BG977:BP977" si="689">BF977</f>
        <v>0.125</v>
      </c>
      <c r="BH977" s="306">
        <f t="shared" si="689"/>
        <v>0.125</v>
      </c>
      <c r="BI977" s="306">
        <f t="shared" si="689"/>
        <v>0.125</v>
      </c>
      <c r="BJ977" s="306">
        <f t="shared" si="689"/>
        <v>0.125</v>
      </c>
      <c r="BK977" s="306">
        <f t="shared" si="689"/>
        <v>0.125</v>
      </c>
      <c r="BL977" s="306">
        <f t="shared" si="689"/>
        <v>0.125</v>
      </c>
      <c r="BM977" s="306">
        <f t="shared" si="689"/>
        <v>0.125</v>
      </c>
      <c r="BN977" s="306">
        <f t="shared" si="689"/>
        <v>0.125</v>
      </c>
      <c r="BO977" s="306">
        <f t="shared" si="689"/>
        <v>0.125</v>
      </c>
      <c r="BP977" s="306">
        <f t="shared" si="689"/>
        <v>0.125</v>
      </c>
      <c r="BQ977" s="5"/>
      <c r="BR977" s="25"/>
      <c r="BS977" s="5"/>
    </row>
    <row r="978" spans="1:71" s="3" customFormat="1" x14ac:dyDescent="0.25">
      <c r="A978" s="5"/>
      <c r="B978" s="3" t="str">
        <f t="array" ref="B978">IFERROR(INDEX(DemandSupply,MATCH(INDEX($AH$1:AH978,SMALL(ROW($AH$1:AH978)+(10000*($AH$1:AH978="")),COUNTA($AH$1:AH978))),Sectors,0)),"")</f>
        <v>Supply</v>
      </c>
      <c r="E978" s="10"/>
      <c r="F978" s="207"/>
      <c r="G978" s="207"/>
      <c r="H978" s="207"/>
      <c r="I978" s="207"/>
      <c r="J978" s="207"/>
      <c r="K978" s="207"/>
      <c r="L978" s="207"/>
      <c r="M978" s="207"/>
      <c r="N978" s="207"/>
      <c r="O978" s="207"/>
      <c r="P978" s="207"/>
      <c r="Q978" s="207"/>
      <c r="R978" s="207"/>
      <c r="S978" s="207"/>
      <c r="T978" s="207"/>
      <c r="U978" s="207"/>
      <c r="V978" s="207"/>
      <c r="W978" s="207"/>
      <c r="X978" s="207"/>
      <c r="Y978" s="207"/>
      <c r="Z978" s="207"/>
      <c r="AA978" s="207"/>
      <c r="AB978" s="207"/>
      <c r="AC978" s="5"/>
      <c r="AD978" s="63"/>
      <c r="AE978" s="64"/>
      <c r="AF978" s="64"/>
      <c r="AG978" s="212"/>
      <c r="AH978" s="64"/>
      <c r="AI978" s="64"/>
      <c r="AJ978" s="227"/>
      <c r="AK978" s="64"/>
      <c r="AL978" s="64"/>
      <c r="AM978" s="212"/>
      <c r="AN978" s="64"/>
      <c r="AO978" s="64"/>
      <c r="AP978" s="63"/>
      <c r="AQ978" s="64"/>
      <c r="AR978" s="63"/>
      <c r="AS978" s="64"/>
      <c r="AT978" s="63"/>
      <c r="AU978" s="64"/>
      <c r="AV978" s="63"/>
      <c r="AW978" s="64"/>
      <c r="AX978" s="63"/>
      <c r="AY978" s="5"/>
      <c r="AZ978" s="21" t="str">
        <f t="shared" si="666"/>
        <v/>
      </c>
      <c r="BA978" s="264" t="s">
        <v>392</v>
      </c>
      <c r="BB978" s="264"/>
      <c r="BC978" s="264"/>
      <c r="BD978" s="264" t="s">
        <v>99</v>
      </c>
      <c r="BE978" s="9" t="s">
        <v>298</v>
      </c>
      <c r="BF978" s="303"/>
      <c r="BG978" s="303"/>
      <c r="BH978" s="303"/>
      <c r="BI978" s="303"/>
      <c r="BJ978" s="303"/>
      <c r="BK978" s="303"/>
      <c r="BL978" s="303"/>
      <c r="BM978" s="303"/>
      <c r="BN978" s="303"/>
      <c r="BO978" s="303"/>
      <c r="BP978" s="303"/>
      <c r="BQ978" s="5"/>
      <c r="BR978" s="25"/>
      <c r="BS978" s="5"/>
    </row>
    <row r="979" spans="1:71" s="3" customFormat="1" x14ac:dyDescent="0.25">
      <c r="A979" s="5"/>
      <c r="B979" s="3" t="str">
        <f t="array" ref="B979">IFERROR(INDEX(DemandSupply,MATCH(INDEX($AH$1:AH979,SMALL(ROW($AH$1:AH979)+(10000*($AH$1:AH979="")),COUNTA($AH$1:AH979))),Sectors,0)),"")</f>
        <v>Supply</v>
      </c>
      <c r="E979" s="10"/>
      <c r="F979" s="207"/>
      <c r="G979" s="207"/>
      <c r="H979" s="207"/>
      <c r="I979" s="207"/>
      <c r="J979" s="207"/>
      <c r="K979" s="207"/>
      <c r="L979" s="207"/>
      <c r="M979" s="207"/>
      <c r="N979" s="207"/>
      <c r="O979" s="207"/>
      <c r="P979" s="207"/>
      <c r="Q979" s="207"/>
      <c r="R979" s="207"/>
      <c r="S979" s="207"/>
      <c r="T979" s="207"/>
      <c r="U979" s="207"/>
      <c r="V979" s="207"/>
      <c r="W979" s="207"/>
      <c r="X979" s="207"/>
      <c r="Y979" s="207"/>
      <c r="Z979" s="207"/>
      <c r="AA979" s="207"/>
      <c r="AB979" s="207"/>
      <c r="AC979" s="5"/>
      <c r="AD979" s="63"/>
      <c r="AE979" s="64"/>
      <c r="AF979" s="64"/>
      <c r="AG979" s="212"/>
      <c r="AH979" s="64"/>
      <c r="AI979" s="64"/>
      <c r="AJ979" s="227"/>
      <c r="AK979" s="64"/>
      <c r="AL979" s="64"/>
      <c r="AM979" s="212"/>
      <c r="AN979" s="64"/>
      <c r="AO979" s="64"/>
      <c r="AP979" s="63"/>
      <c r="AQ979" s="64"/>
      <c r="AR979" s="63"/>
      <c r="AS979" s="64"/>
      <c r="AT979" s="63"/>
      <c r="AU979" s="64"/>
      <c r="AV979" s="63"/>
      <c r="AW979" s="64"/>
      <c r="AX979" s="63"/>
      <c r="AY979" s="5"/>
      <c r="AZ979" s="21" t="str">
        <f t="shared" si="666"/>
        <v/>
      </c>
      <c r="BA979" s="264" t="s">
        <v>391</v>
      </c>
      <c r="BB979" s="264"/>
      <c r="BC979" s="264"/>
      <c r="BD979" s="264" t="s">
        <v>99</v>
      </c>
      <c r="BE979" s="9" t="s">
        <v>298</v>
      </c>
      <c r="BF979" s="303"/>
      <c r="BG979" s="303"/>
      <c r="BH979" s="303"/>
      <c r="BI979" s="303"/>
      <c r="BJ979" s="303"/>
      <c r="BK979" s="303"/>
      <c r="BL979" s="303"/>
      <c r="BM979" s="303"/>
      <c r="BN979" s="303"/>
      <c r="BO979" s="303"/>
      <c r="BP979" s="303"/>
      <c r="BQ979" s="5"/>
      <c r="BR979" s="25"/>
      <c r="BS979" s="5"/>
    </row>
    <row r="980" spans="1:71" s="3" customFormat="1" x14ac:dyDescent="0.25">
      <c r="A980" s="5"/>
      <c r="B980" s="3" t="str">
        <f t="array" ref="B980">IFERROR(INDEX(DemandSupply,MATCH(INDEX($AH$1:AH980,SMALL(ROW($AH$1:AH980)+(10000*($AH$1:AH980="")),COUNTA($AH$1:AH980))),Sectors,0)),"")</f>
        <v>Supply</v>
      </c>
      <c r="E980" s="10"/>
      <c r="F980" s="207"/>
      <c r="G980" s="207"/>
      <c r="H980" s="207"/>
      <c r="I980" s="207"/>
      <c r="J980" s="207"/>
      <c r="K980" s="207"/>
      <c r="L980" s="207"/>
      <c r="M980" s="207"/>
      <c r="N980" s="207"/>
      <c r="O980" s="207"/>
      <c r="P980" s="207"/>
      <c r="Q980" s="207"/>
      <c r="R980" s="207"/>
      <c r="S980" s="207"/>
      <c r="T980" s="207"/>
      <c r="U980" s="207"/>
      <c r="V980" s="207"/>
      <c r="W980" s="207"/>
      <c r="X980" s="207"/>
      <c r="Y980" s="207"/>
      <c r="Z980" s="207"/>
      <c r="AA980" s="207"/>
      <c r="AB980" s="207"/>
      <c r="AC980" s="5"/>
      <c r="AD980" s="63"/>
      <c r="AE980" s="64"/>
      <c r="AF980" s="64"/>
      <c r="AG980" s="212"/>
      <c r="AH980" s="64"/>
      <c r="AI980" s="64"/>
      <c r="AJ980" s="227"/>
      <c r="AK980" s="64"/>
      <c r="AL980" s="64"/>
      <c r="AM980" s="212"/>
      <c r="AN980" s="64"/>
      <c r="AO980" s="64"/>
      <c r="AP980" s="63"/>
      <c r="AQ980" s="64"/>
      <c r="AR980" s="63"/>
      <c r="AS980" s="64"/>
      <c r="AT980" s="63"/>
      <c r="AU980" s="64"/>
      <c r="AV980" s="63"/>
      <c r="AW980" s="64"/>
      <c r="AX980" s="63"/>
      <c r="AY980" s="5"/>
      <c r="AZ980" s="21" t="str">
        <f t="shared" si="666"/>
        <v/>
      </c>
      <c r="BA980" s="264" t="s">
        <v>144</v>
      </c>
      <c r="BB980" s="264"/>
      <c r="BC980" s="264"/>
      <c r="BD980" s="264" t="s">
        <v>219</v>
      </c>
      <c r="BE980" s="9" t="s">
        <v>298</v>
      </c>
      <c r="BF980" s="56"/>
      <c r="BG980" s="56"/>
      <c r="BH980" s="56"/>
      <c r="BI980" s="56"/>
      <c r="BJ980" s="56"/>
      <c r="BK980" s="56"/>
      <c r="BL980" s="56"/>
      <c r="BM980" s="56"/>
      <c r="BN980" s="56"/>
      <c r="BO980" s="56"/>
      <c r="BP980" s="56"/>
      <c r="BQ980" s="5"/>
      <c r="BR980" s="25"/>
      <c r="BS980" s="5"/>
    </row>
    <row r="981" spans="1:71" s="3" customFormat="1" x14ac:dyDescent="0.25">
      <c r="A981" s="5"/>
      <c r="B981" s="3" t="str">
        <f t="array" ref="B981">IFERROR(INDEX(DemandSupply,MATCH(INDEX($AH$1:AH981,SMALL(ROW($AH$1:AH981)+(10000*($AH$1:AH981="")),COUNTA($AH$1:AH981))),Sectors,0)),"")</f>
        <v>Supply</v>
      </c>
      <c r="E981" s="10"/>
      <c r="F981" s="207"/>
      <c r="G981" s="207"/>
      <c r="H981" s="207"/>
      <c r="I981" s="207"/>
      <c r="J981" s="207"/>
      <c r="K981" s="207"/>
      <c r="L981" s="207"/>
      <c r="M981" s="207"/>
      <c r="N981" s="207"/>
      <c r="O981" s="207"/>
      <c r="P981" s="207"/>
      <c r="Q981" s="207"/>
      <c r="R981" s="207"/>
      <c r="S981" s="207"/>
      <c r="T981" s="207"/>
      <c r="U981" s="207"/>
      <c r="V981" s="207"/>
      <c r="W981" s="207"/>
      <c r="X981" s="207"/>
      <c r="Y981" s="207"/>
      <c r="Z981" s="207"/>
      <c r="AA981" s="207"/>
      <c r="AB981" s="207"/>
      <c r="AC981" s="5"/>
      <c r="AD981" s="63"/>
      <c r="AE981" s="64"/>
      <c r="AF981" s="64"/>
      <c r="AG981" s="212"/>
      <c r="AH981" s="64"/>
      <c r="AI981" s="64"/>
      <c r="AJ981" s="227"/>
      <c r="AK981" s="64"/>
      <c r="AL981" s="64"/>
      <c r="AM981" s="212"/>
      <c r="AN981" s="64"/>
      <c r="AO981" s="64"/>
      <c r="AP981" s="63"/>
      <c r="AQ981" s="64"/>
      <c r="AR981" s="63"/>
      <c r="AS981" s="64"/>
      <c r="AT981" s="63"/>
      <c r="AU981" s="64"/>
      <c r="AV981" s="63"/>
      <c r="AW981" s="64"/>
      <c r="AX981" s="63"/>
      <c r="AY981" s="5"/>
      <c r="AZ981" s="21" t="str">
        <f t="shared" si="666"/>
        <v/>
      </c>
      <c r="BA981" s="264" t="s">
        <v>76</v>
      </c>
      <c r="BB981" s="264"/>
      <c r="BC981" s="264"/>
      <c r="BD981" s="264" t="s">
        <v>99</v>
      </c>
      <c r="BE981" s="9" t="s">
        <v>298</v>
      </c>
      <c r="BF981" s="303">
        <v>0</v>
      </c>
      <c r="BG981" s="303"/>
      <c r="BH981" s="303"/>
      <c r="BI981" s="303"/>
      <c r="BJ981" s="303"/>
      <c r="BK981" s="303"/>
      <c r="BL981" s="303"/>
      <c r="BM981" s="303"/>
      <c r="BN981" s="303"/>
      <c r="BO981" s="303"/>
      <c r="BP981" s="303"/>
      <c r="BQ981" s="5"/>
      <c r="BR981" s="25"/>
      <c r="BS981" s="5"/>
    </row>
    <row r="982" spans="1:71" s="3" customFormat="1" x14ac:dyDescent="0.25">
      <c r="A982" s="5"/>
      <c r="B982" s="3" t="str">
        <f t="array" ref="B982">IFERROR(INDEX(DemandSupply,MATCH(INDEX($AH$1:AH982,SMALL(ROW($AH$1:AH982)+(10000*($AH$1:AH982="")),COUNTA($AH$1:AH982))),Sectors,0)),"")</f>
        <v>Supply</v>
      </c>
      <c r="E982" s="10"/>
      <c r="F982" s="207"/>
      <c r="G982" s="207"/>
      <c r="H982" s="207"/>
      <c r="I982" s="207"/>
      <c r="J982" s="207"/>
      <c r="K982" s="207"/>
      <c r="L982" s="207"/>
      <c r="M982" s="207"/>
      <c r="N982" s="207"/>
      <c r="O982" s="207"/>
      <c r="P982" s="207"/>
      <c r="Q982" s="207"/>
      <c r="R982" s="207"/>
      <c r="S982" s="207"/>
      <c r="T982" s="207"/>
      <c r="U982" s="207"/>
      <c r="V982" s="207"/>
      <c r="W982" s="207"/>
      <c r="X982" s="207"/>
      <c r="Y982" s="207"/>
      <c r="Z982" s="207"/>
      <c r="AA982" s="207"/>
      <c r="AB982" s="207"/>
      <c r="AC982" s="5"/>
      <c r="AD982" s="63"/>
      <c r="AE982" s="64"/>
      <c r="AF982" s="64"/>
      <c r="AG982" s="212"/>
      <c r="AH982" s="64"/>
      <c r="AI982" s="64"/>
      <c r="AJ982" s="227"/>
      <c r="AK982" s="64"/>
      <c r="AL982" s="64"/>
      <c r="AM982" s="212"/>
      <c r="AN982" s="64"/>
      <c r="AO982" s="64"/>
      <c r="AP982" s="63"/>
      <c r="AQ982" s="64"/>
      <c r="AR982" s="63"/>
      <c r="AS982" s="64"/>
      <c r="AT982" s="63"/>
      <c r="AU982" s="64"/>
      <c r="AV982" s="63"/>
      <c r="AW982" s="64"/>
      <c r="AX982" s="63"/>
      <c r="AY982" s="5"/>
      <c r="AZ982" s="21" t="str">
        <f t="shared" si="666"/>
        <v/>
      </c>
      <c r="BA982" s="75" t="s">
        <v>166</v>
      </c>
      <c r="BB982" s="75"/>
      <c r="BC982" s="270"/>
      <c r="BD982" s="75" t="s">
        <v>99</v>
      </c>
      <c r="BE982" s="9" t="s">
        <v>298</v>
      </c>
      <c r="BF982" s="303"/>
      <c r="BG982" s="303"/>
      <c r="BH982" s="303"/>
      <c r="BI982" s="303"/>
      <c r="BJ982" s="303"/>
      <c r="BK982" s="303"/>
      <c r="BL982" s="303"/>
      <c r="BM982" s="303"/>
      <c r="BN982" s="303"/>
      <c r="BO982" s="303"/>
      <c r="BP982" s="303"/>
      <c r="BQ982" s="5"/>
      <c r="BR982" s="25"/>
      <c r="BS982" s="5"/>
    </row>
    <row r="983" spans="1:71" s="3" customFormat="1" x14ac:dyDescent="0.25">
      <c r="A983" s="5"/>
      <c r="B983" s="3" t="str">
        <f t="array" ref="B983">IFERROR(INDEX(DemandSupply,MATCH(INDEX($AH$1:AH983,SMALL(ROW($AH$1:AH983)+(10000*($AH$1:AH983="")),COUNTA($AH$1:AH983))),Sectors,0)),"")</f>
        <v>Supply</v>
      </c>
      <c r="E983" s="10"/>
      <c r="F983" s="207"/>
      <c r="G983" s="207"/>
      <c r="H983" s="207"/>
      <c r="I983" s="207"/>
      <c r="J983" s="207"/>
      <c r="K983" s="207"/>
      <c r="L983" s="207"/>
      <c r="M983" s="207"/>
      <c r="N983" s="207"/>
      <c r="O983" s="207"/>
      <c r="P983" s="207"/>
      <c r="Q983" s="207"/>
      <c r="R983" s="207"/>
      <c r="S983" s="207"/>
      <c r="T983" s="207"/>
      <c r="U983" s="207"/>
      <c r="V983" s="207"/>
      <c r="W983" s="207"/>
      <c r="X983" s="207"/>
      <c r="Y983" s="207"/>
      <c r="Z983" s="207"/>
      <c r="AA983" s="207"/>
      <c r="AB983" s="207"/>
      <c r="AC983" s="5"/>
      <c r="AD983" s="63"/>
      <c r="AE983" s="64"/>
      <c r="AF983" s="64"/>
      <c r="AG983" s="212"/>
      <c r="AH983" s="64"/>
      <c r="AI983" s="64"/>
      <c r="AJ983" s="227"/>
      <c r="AK983" s="64"/>
      <c r="AL983" s="64"/>
      <c r="AM983" s="212"/>
      <c r="AN983" s="64"/>
      <c r="AO983" s="64"/>
      <c r="AP983" s="63"/>
      <c r="AQ983" s="64"/>
      <c r="AR983" s="63"/>
      <c r="AS983" s="64"/>
      <c r="AT983" s="63"/>
      <c r="AU983" s="64"/>
      <c r="AV983" s="63"/>
      <c r="AW983" s="64"/>
      <c r="AX983" s="63"/>
      <c r="AY983" s="5"/>
      <c r="AZ983" s="21" t="str">
        <f t="shared" si="666"/>
        <v/>
      </c>
      <c r="BA983" s="75" t="s">
        <v>167</v>
      </c>
      <c r="BB983" s="75"/>
      <c r="BC983" s="270"/>
      <c r="BD983" s="75" t="s">
        <v>99</v>
      </c>
      <c r="BE983" s="9" t="s">
        <v>298</v>
      </c>
      <c r="BF983" s="303"/>
      <c r="BG983" s="303"/>
      <c r="BH983" s="303"/>
      <c r="BI983" s="303"/>
      <c r="BJ983" s="303"/>
      <c r="BK983" s="303"/>
      <c r="BL983" s="303"/>
      <c r="BM983" s="303"/>
      <c r="BN983" s="303"/>
      <c r="BO983" s="303"/>
      <c r="BP983" s="303"/>
      <c r="BQ983" s="5"/>
      <c r="BR983" s="25"/>
      <c r="BS983" s="5"/>
    </row>
    <row r="984" spans="1:71" s="3" customFormat="1" x14ac:dyDescent="0.25">
      <c r="A984" s="5"/>
      <c r="B984" s="3" t="str">
        <f t="array" ref="B984">IFERROR(INDEX(DemandSupply,MATCH(INDEX($AH$1:AH984,SMALL(ROW($AH$1:AH984)+(10000*($AH$1:AH984="")),COUNTA($AH$1:AH984))),Sectors,0)),"")</f>
        <v>Supply</v>
      </c>
      <c r="E984" s="10"/>
      <c r="F984" s="207"/>
      <c r="G984" s="207"/>
      <c r="H984" s="207"/>
      <c r="I984" s="207"/>
      <c r="J984" s="207"/>
      <c r="K984" s="207"/>
      <c r="L984" s="207"/>
      <c r="M984" s="207"/>
      <c r="N984" s="207"/>
      <c r="O984" s="207"/>
      <c r="P984" s="207"/>
      <c r="Q984" s="207"/>
      <c r="R984" s="207"/>
      <c r="S984" s="207"/>
      <c r="T984" s="207"/>
      <c r="U984" s="207"/>
      <c r="V984" s="207"/>
      <c r="W984" s="207"/>
      <c r="X984" s="207"/>
      <c r="Y984" s="207"/>
      <c r="Z984" s="207"/>
      <c r="AA984" s="207"/>
      <c r="AB984" s="207"/>
      <c r="AC984" s="5"/>
      <c r="AD984" s="63"/>
      <c r="AE984" s="64"/>
      <c r="AF984" s="64"/>
      <c r="AG984" s="212"/>
      <c r="AH984" s="64"/>
      <c r="AI984" s="64"/>
      <c r="AJ984" s="227"/>
      <c r="AK984" s="64"/>
      <c r="AL984" s="64"/>
      <c r="AM984" s="212"/>
      <c r="AN984" s="64"/>
      <c r="AO984" s="64"/>
      <c r="AP984" s="63"/>
      <c r="AQ984" s="64"/>
      <c r="AR984" s="63"/>
      <c r="AS984" s="64"/>
      <c r="AT984" s="63"/>
      <c r="AU984" s="64"/>
      <c r="AV984" s="63"/>
      <c r="AW984" s="64"/>
      <c r="AX984" s="63"/>
      <c r="AY984" s="5"/>
      <c r="AZ984" s="21" t="str">
        <f t="shared" si="666"/>
        <v/>
      </c>
      <c r="BA984" s="75" t="s">
        <v>408</v>
      </c>
      <c r="BB984" s="75"/>
      <c r="BC984" s="270"/>
      <c r="BD984" s="75" t="s">
        <v>99</v>
      </c>
      <c r="BE984" s="9" t="s">
        <v>298</v>
      </c>
      <c r="BF984" s="303"/>
      <c r="BG984" s="303"/>
      <c r="BH984" s="303"/>
      <c r="BI984" s="303"/>
      <c r="BJ984" s="303"/>
      <c r="BK984" s="303"/>
      <c r="BL984" s="303"/>
      <c r="BM984" s="303"/>
      <c r="BN984" s="303"/>
      <c r="BO984" s="303"/>
      <c r="BP984" s="303"/>
      <c r="BQ984" s="5"/>
      <c r="BR984" s="25"/>
      <c r="BS984" s="5"/>
    </row>
    <row r="985" spans="1:71" s="3" customFormat="1" x14ac:dyDescent="0.25">
      <c r="A985" s="5"/>
      <c r="B985" s="3" t="str">
        <f t="array" ref="B985">IFERROR(INDEX(DemandSupply,MATCH(INDEX($AH$1:AH985,SMALL(ROW($AH$1:AH985)+(10000*($AH$1:AH985="")),COUNTA($AH$1:AH985))),Sectors,0)),"")</f>
        <v>Supply</v>
      </c>
      <c r="E985" s="10"/>
      <c r="F985" s="207"/>
      <c r="G985" s="207"/>
      <c r="H985" s="207"/>
      <c r="I985" s="207"/>
      <c r="J985" s="207"/>
      <c r="K985" s="207"/>
      <c r="L985" s="207"/>
      <c r="M985" s="207"/>
      <c r="N985" s="207"/>
      <c r="O985" s="207"/>
      <c r="P985" s="207"/>
      <c r="Q985" s="207"/>
      <c r="R985" s="207"/>
      <c r="S985" s="207"/>
      <c r="T985" s="207"/>
      <c r="U985" s="207"/>
      <c r="V985" s="207"/>
      <c r="W985" s="207"/>
      <c r="X985" s="207"/>
      <c r="Y985" s="207"/>
      <c r="Z985" s="207"/>
      <c r="AA985" s="207"/>
      <c r="AB985" s="207"/>
      <c r="AC985" s="5"/>
      <c r="AD985" s="63"/>
      <c r="AE985" s="64"/>
      <c r="AF985" s="64"/>
      <c r="AG985" s="212"/>
      <c r="AH985" s="64"/>
      <c r="AI985" s="64"/>
      <c r="AJ985" s="227"/>
      <c r="AK985" s="64"/>
      <c r="AL985" s="64"/>
      <c r="AM985" s="212"/>
      <c r="AN985" s="64"/>
      <c r="AO985" s="64"/>
      <c r="AP985" s="63"/>
      <c r="AQ985" s="64"/>
      <c r="AR985" s="63"/>
      <c r="AS985" s="64"/>
      <c r="AT985" s="63"/>
      <c r="AU985" s="64"/>
      <c r="AV985" s="63"/>
      <c r="AW985" s="64"/>
      <c r="AX985" s="63"/>
      <c r="AY985" s="5"/>
      <c r="AZ985" s="21" t="str">
        <f t="shared" si="666"/>
        <v/>
      </c>
      <c r="BA985" s="75" t="s">
        <v>409</v>
      </c>
      <c r="BB985" s="75"/>
      <c r="BC985" s="270"/>
      <c r="BD985" s="75" t="s">
        <v>99</v>
      </c>
      <c r="BE985" s="9" t="s">
        <v>298</v>
      </c>
      <c r="BF985" s="303"/>
      <c r="BG985" s="303"/>
      <c r="BH985" s="303"/>
      <c r="BI985" s="303"/>
      <c r="BJ985" s="303"/>
      <c r="BK985" s="303"/>
      <c r="BL985" s="303"/>
      <c r="BM985" s="303"/>
      <c r="BN985" s="303"/>
      <c r="BO985" s="303"/>
      <c r="BP985" s="303"/>
      <c r="BQ985" s="5"/>
      <c r="BR985" s="25"/>
      <c r="BS985" s="5"/>
    </row>
    <row r="986" spans="1:71" s="3" customFormat="1" x14ac:dyDescent="0.25">
      <c r="A986" s="5"/>
      <c r="B986" s="3" t="str">
        <f t="array" ref="B986">IFERROR(INDEX(DemandSupply,MATCH(INDEX($AH$1:AH986,SMALL(ROW($AH$1:AH986)+(10000*($AH$1:AH986="")),COUNTA($AH$1:AH986))),Sectors,0)),"")</f>
        <v>Supply</v>
      </c>
      <c r="E986" s="10"/>
      <c r="F986" s="207"/>
      <c r="G986" s="207"/>
      <c r="H986" s="207"/>
      <c r="I986" s="207"/>
      <c r="J986" s="207"/>
      <c r="K986" s="207"/>
      <c r="L986" s="207"/>
      <c r="M986" s="207"/>
      <c r="N986" s="207"/>
      <c r="O986" s="207"/>
      <c r="P986" s="207"/>
      <c r="Q986" s="207"/>
      <c r="R986" s="207"/>
      <c r="S986" s="207"/>
      <c r="T986" s="207"/>
      <c r="U986" s="207"/>
      <c r="V986" s="207"/>
      <c r="W986" s="207"/>
      <c r="X986" s="207"/>
      <c r="Y986" s="207"/>
      <c r="Z986" s="207"/>
      <c r="AA986" s="207"/>
      <c r="AB986" s="207"/>
      <c r="AC986" s="5"/>
      <c r="AD986" s="63"/>
      <c r="AE986" s="64"/>
      <c r="AF986" s="64"/>
      <c r="AG986" s="212"/>
      <c r="AH986" s="64"/>
      <c r="AI986" s="64"/>
      <c r="AJ986" s="227"/>
      <c r="AK986" s="64"/>
      <c r="AL986" s="64"/>
      <c r="AM986" s="212"/>
      <c r="AN986" s="64"/>
      <c r="AO986" s="64"/>
      <c r="AP986" s="63"/>
      <c r="AQ986" s="64"/>
      <c r="AR986" s="63"/>
      <c r="AS986" s="64"/>
      <c r="AT986" s="63"/>
      <c r="AU986" s="64"/>
      <c r="AV986" s="63"/>
      <c r="AW986" s="64"/>
      <c r="AX986" s="63"/>
      <c r="AY986" s="5"/>
      <c r="AZ986" s="21" t="str">
        <f t="shared" si="666"/>
        <v/>
      </c>
      <c r="BA986" s="264" t="s">
        <v>371</v>
      </c>
      <c r="BB986" s="264"/>
      <c r="BC986" s="264"/>
      <c r="BD986" s="264" t="s">
        <v>219</v>
      </c>
      <c r="BE986" s="9" t="s">
        <v>298</v>
      </c>
      <c r="BF986" s="56">
        <f>150*8760*0.56</f>
        <v>735840.00000000012</v>
      </c>
      <c r="BG986" s="282">
        <f t="shared" ref="BG986:BP986" si="690">BF986</f>
        <v>735840.00000000012</v>
      </c>
      <c r="BH986" s="282">
        <f t="shared" si="690"/>
        <v>735840.00000000012</v>
      </c>
      <c r="BI986" s="282">
        <f t="shared" si="690"/>
        <v>735840.00000000012</v>
      </c>
      <c r="BJ986" s="282">
        <f t="shared" si="690"/>
        <v>735840.00000000012</v>
      </c>
      <c r="BK986" s="282">
        <f t="shared" si="690"/>
        <v>735840.00000000012</v>
      </c>
      <c r="BL986" s="282">
        <f t="shared" si="690"/>
        <v>735840.00000000012</v>
      </c>
      <c r="BM986" s="282">
        <f t="shared" si="690"/>
        <v>735840.00000000012</v>
      </c>
      <c r="BN986" s="282">
        <f t="shared" si="690"/>
        <v>735840.00000000012</v>
      </c>
      <c r="BO986" s="282">
        <f t="shared" si="690"/>
        <v>735840.00000000012</v>
      </c>
      <c r="BP986" s="282">
        <f t="shared" si="690"/>
        <v>735840.00000000012</v>
      </c>
      <c r="BQ986" s="5"/>
      <c r="BR986" s="25"/>
      <c r="BS986" s="5"/>
    </row>
    <row r="987" spans="1:71" s="3" customFormat="1" x14ac:dyDescent="0.25">
      <c r="A987" s="5"/>
      <c r="B987" s="3" t="str">
        <f t="array" ref="B987">IFERROR(INDEX(DemandSupply,MATCH(INDEX($AH$1:AH987,SMALL(ROW($AH$1:AH987)+(10000*($AH$1:AH987="")),COUNTA($AH$1:AH987))),Sectors,0)),"")</f>
        <v>Supply</v>
      </c>
      <c r="E987" s="10"/>
      <c r="F987" s="207"/>
      <c r="G987" s="207"/>
      <c r="H987" s="207"/>
      <c r="I987" s="207"/>
      <c r="J987" s="207"/>
      <c r="K987" s="207"/>
      <c r="L987" s="207"/>
      <c r="M987" s="207"/>
      <c r="N987" s="207"/>
      <c r="O987" s="207"/>
      <c r="P987" s="207"/>
      <c r="Q987" s="207"/>
      <c r="R987" s="207"/>
      <c r="S987" s="207"/>
      <c r="T987" s="207"/>
      <c r="U987" s="207"/>
      <c r="V987" s="207"/>
      <c r="W987" s="207"/>
      <c r="X987" s="207"/>
      <c r="Y987" s="207"/>
      <c r="Z987" s="207"/>
      <c r="AA987" s="207"/>
      <c r="AB987" s="207"/>
      <c r="AC987" s="5"/>
      <c r="AD987" s="63"/>
      <c r="AE987" s="64"/>
      <c r="AF987" s="64"/>
      <c r="AG987" s="212"/>
      <c r="AH987" s="64"/>
      <c r="AI987" s="64"/>
      <c r="AJ987" s="227"/>
      <c r="AK987" s="64"/>
      <c r="AL987" s="64"/>
      <c r="AM987" s="212"/>
      <c r="AN987" s="64"/>
      <c r="AO987" s="64"/>
      <c r="AP987" s="63"/>
      <c r="AQ987" s="64"/>
      <c r="AR987" s="63"/>
      <c r="AS987" s="64"/>
      <c r="AT987" s="63"/>
      <c r="AU987" s="64"/>
      <c r="AV987" s="63"/>
      <c r="AW987" s="64"/>
      <c r="AX987" s="63"/>
      <c r="AY987" s="5"/>
      <c r="AZ987" s="21" t="str">
        <f t="shared" si="666"/>
        <v/>
      </c>
      <c r="BA987" s="264" t="s">
        <v>170</v>
      </c>
      <c r="BB987" s="264"/>
      <c r="BC987" s="264"/>
      <c r="BD987" s="264" t="s">
        <v>354</v>
      </c>
      <c r="BE987" s="9" t="s">
        <v>298</v>
      </c>
      <c r="BF987" s="56">
        <v>146700000</v>
      </c>
      <c r="BG987" s="282">
        <f t="shared" ref="BG987:BP987" si="691">BF987</f>
        <v>146700000</v>
      </c>
      <c r="BH987" s="282">
        <f t="shared" si="691"/>
        <v>146700000</v>
      </c>
      <c r="BI987" s="282">
        <f t="shared" si="691"/>
        <v>146700000</v>
      </c>
      <c r="BJ987" s="282">
        <f t="shared" si="691"/>
        <v>146700000</v>
      </c>
      <c r="BK987" s="282">
        <f t="shared" si="691"/>
        <v>146700000</v>
      </c>
      <c r="BL987" s="282">
        <f t="shared" si="691"/>
        <v>146700000</v>
      </c>
      <c r="BM987" s="282">
        <f t="shared" si="691"/>
        <v>146700000</v>
      </c>
      <c r="BN987" s="282">
        <f t="shared" si="691"/>
        <v>146700000</v>
      </c>
      <c r="BO987" s="282">
        <f t="shared" si="691"/>
        <v>146700000</v>
      </c>
      <c r="BP987" s="282">
        <f t="shared" si="691"/>
        <v>146700000</v>
      </c>
      <c r="BQ987" s="5"/>
      <c r="BR987" s="25"/>
      <c r="BS987" s="5"/>
    </row>
    <row r="988" spans="1:71" s="3" customFormat="1" x14ac:dyDescent="0.25">
      <c r="A988" s="5"/>
      <c r="B988" s="3" t="str">
        <f t="array" ref="B988">IFERROR(INDEX(DemandSupply,MATCH(INDEX($AH$1:AH988,SMALL(ROW($AH$1:AH988)+(10000*($AH$1:AH988="")),COUNTA($AH$1:AH988))),Sectors,0)),"")</f>
        <v>Supply</v>
      </c>
      <c r="E988" s="10"/>
      <c r="F988" s="207"/>
      <c r="G988" s="207"/>
      <c r="H988" s="207"/>
      <c r="I988" s="207"/>
      <c r="J988" s="207"/>
      <c r="K988" s="207"/>
      <c r="L988" s="207"/>
      <c r="M988" s="207"/>
      <c r="N988" s="207"/>
      <c r="O988" s="207"/>
      <c r="P988" s="207"/>
      <c r="Q988" s="207"/>
      <c r="R988" s="207"/>
      <c r="S988" s="207"/>
      <c r="T988" s="207"/>
      <c r="U988" s="207"/>
      <c r="V988" s="207"/>
      <c r="W988" s="207"/>
      <c r="X988" s="207"/>
      <c r="Y988" s="207"/>
      <c r="Z988" s="207"/>
      <c r="AA988" s="207"/>
      <c r="AB988" s="207"/>
      <c r="AC988" s="5"/>
      <c r="AD988" s="63"/>
      <c r="AE988" s="64"/>
      <c r="AF988" s="64"/>
      <c r="AG988" s="212"/>
      <c r="AH988" s="64"/>
      <c r="AI988" s="64"/>
      <c r="AJ988" s="227"/>
      <c r="AK988" s="64"/>
      <c r="AL988" s="64"/>
      <c r="AM988" s="212"/>
      <c r="AN988" s="64"/>
      <c r="AO988" s="64"/>
      <c r="AP988" s="63"/>
      <c r="AQ988" s="64"/>
      <c r="AR988" s="63"/>
      <c r="AS988" s="64"/>
      <c r="AT988" s="63"/>
      <c r="AU988" s="64"/>
      <c r="AV988" s="63"/>
      <c r="AW988" s="64"/>
      <c r="AX988" s="63"/>
      <c r="AY988" s="5"/>
      <c r="AZ988" s="21" t="str">
        <f t="shared" si="666"/>
        <v/>
      </c>
      <c r="BA988" s="264" t="s">
        <v>425</v>
      </c>
      <c r="BB988" s="264"/>
      <c r="BC988" s="264"/>
      <c r="BD988" s="264" t="s">
        <v>99</v>
      </c>
      <c r="BE988" s="9" t="s">
        <v>298</v>
      </c>
      <c r="BF988" s="303"/>
      <c r="BG988" s="303"/>
      <c r="BH988" s="303"/>
      <c r="BI988" s="303"/>
      <c r="BJ988" s="303"/>
      <c r="BK988" s="303"/>
      <c r="BL988" s="303"/>
      <c r="BM988" s="303"/>
      <c r="BN988" s="303"/>
      <c r="BO988" s="303"/>
      <c r="BP988" s="303"/>
      <c r="BQ988" s="5"/>
      <c r="BR988" s="25"/>
      <c r="BS988" s="5"/>
    </row>
    <row r="989" spans="1:71" s="3" customFormat="1" x14ac:dyDescent="0.25">
      <c r="A989" s="5"/>
      <c r="B989" s="3" t="str">
        <f t="array" ref="B989">IFERROR(INDEX(DemandSupply,MATCH(INDEX($AH$1:AH989,SMALL(ROW($AH$1:AH989)+(10000*($AH$1:AH989="")),COUNTA($AH$1:AH989))),Sectors,0)),"")</f>
        <v>Supply</v>
      </c>
      <c r="E989" s="10"/>
      <c r="F989" s="207"/>
      <c r="G989" s="207"/>
      <c r="H989" s="207"/>
      <c r="I989" s="207"/>
      <c r="J989" s="207"/>
      <c r="K989" s="207"/>
      <c r="L989" s="207"/>
      <c r="M989" s="207"/>
      <c r="N989" s="207"/>
      <c r="O989" s="207"/>
      <c r="P989" s="207"/>
      <c r="Q989" s="207"/>
      <c r="R989" s="207"/>
      <c r="S989" s="207"/>
      <c r="T989" s="207"/>
      <c r="U989" s="207"/>
      <c r="V989" s="207"/>
      <c r="W989" s="207"/>
      <c r="X989" s="207"/>
      <c r="Y989" s="207"/>
      <c r="Z989" s="207"/>
      <c r="AA989" s="207"/>
      <c r="AB989" s="207"/>
      <c r="AC989" s="5"/>
      <c r="AD989" s="63"/>
      <c r="AE989" s="64"/>
      <c r="AF989" s="64"/>
      <c r="AG989" s="212"/>
      <c r="AH989" s="64"/>
      <c r="AI989" s="64"/>
      <c r="AJ989" s="227"/>
      <c r="AK989" s="64"/>
      <c r="AL989" s="64"/>
      <c r="AM989" s="212"/>
      <c r="AN989" s="64"/>
      <c r="AO989" s="64"/>
      <c r="AP989" s="63"/>
      <c r="AQ989" s="64"/>
      <c r="AR989" s="63"/>
      <c r="AS989" s="64"/>
      <c r="AT989" s="63"/>
      <c r="AU989" s="64"/>
      <c r="AV989" s="63"/>
      <c r="AW989" s="64"/>
      <c r="AX989" s="63"/>
      <c r="AY989" s="5"/>
      <c r="AZ989" s="21" t="str">
        <f t="shared" ref="AZ989:AZ1052" si="692">IFERROR(INDEX($AD989:$AX989,MATCH(TRUE,INDEX(($AD989:$AX989&lt;&gt;0),0),0)),"")</f>
        <v/>
      </c>
      <c r="BA989" s="264" t="s">
        <v>438</v>
      </c>
      <c r="BB989" s="264"/>
      <c r="BC989" s="264"/>
      <c r="BD989" s="264" t="s">
        <v>219</v>
      </c>
      <c r="BE989" s="9" t="s">
        <v>298</v>
      </c>
      <c r="BF989" s="56"/>
      <c r="BG989" s="56"/>
      <c r="BH989" s="56"/>
      <c r="BI989" s="56"/>
      <c r="BJ989" s="56"/>
      <c r="BK989" s="56"/>
      <c r="BL989" s="56"/>
      <c r="BM989" s="56"/>
      <c r="BN989" s="56"/>
      <c r="BO989" s="56"/>
      <c r="BP989" s="56"/>
      <c r="BQ989" s="5"/>
      <c r="BR989" s="25"/>
      <c r="BS989" s="5"/>
    </row>
    <row r="990" spans="1:71" s="3" customFormat="1" x14ac:dyDescent="0.25">
      <c r="A990" s="5"/>
      <c r="B990" s="3" t="str">
        <f t="array" ref="B990">IFERROR(INDEX(DemandSupply,MATCH(INDEX($AH$1:AH990,SMALL(ROW($AH$1:AH990)+(10000*($AH$1:AH990="")),COUNTA($AH$1:AH990))),Sectors,0)),"")</f>
        <v>Supply</v>
      </c>
      <c r="E990" s="10"/>
      <c r="F990" s="207"/>
      <c r="G990" s="207"/>
      <c r="H990" s="207"/>
      <c r="I990" s="207"/>
      <c r="J990" s="207"/>
      <c r="K990" s="207"/>
      <c r="L990" s="207"/>
      <c r="M990" s="207"/>
      <c r="N990" s="207"/>
      <c r="O990" s="207"/>
      <c r="P990" s="207"/>
      <c r="Q990" s="207"/>
      <c r="R990" s="207"/>
      <c r="S990" s="207"/>
      <c r="T990" s="207"/>
      <c r="U990" s="207"/>
      <c r="V990" s="207"/>
      <c r="W990" s="207"/>
      <c r="X990" s="207"/>
      <c r="Y990" s="207"/>
      <c r="Z990" s="207"/>
      <c r="AA990" s="207"/>
      <c r="AB990" s="207"/>
      <c r="AC990" s="5"/>
      <c r="AD990" s="63"/>
      <c r="AE990" s="64"/>
      <c r="AF990" s="64"/>
      <c r="AG990" s="212"/>
      <c r="AH990" s="64"/>
      <c r="AI990" s="64"/>
      <c r="AJ990" s="227"/>
      <c r="AK990" s="64"/>
      <c r="AL990" s="64"/>
      <c r="AM990" s="212"/>
      <c r="AN990" s="64"/>
      <c r="AO990" s="64"/>
      <c r="AP990" s="63"/>
      <c r="AQ990" s="64"/>
      <c r="AR990" s="63"/>
      <c r="AS990" s="64"/>
      <c r="AT990" s="63"/>
      <c r="AU990" s="64"/>
      <c r="AV990" s="63"/>
      <c r="AW990" s="64"/>
      <c r="AX990" s="63"/>
      <c r="AY990" s="5"/>
      <c r="AZ990" s="21" t="str">
        <f t="shared" si="692"/>
        <v/>
      </c>
      <c r="BA990" s="264" t="s">
        <v>435</v>
      </c>
      <c r="BB990" s="264"/>
      <c r="BC990" s="264"/>
      <c r="BD990" s="264"/>
      <c r="BE990" s="9" t="s">
        <v>298</v>
      </c>
      <c r="BF990" s="55"/>
      <c r="BG990" s="55"/>
      <c r="BH990" s="55"/>
      <c r="BI990" s="55"/>
      <c r="BJ990" s="55"/>
      <c r="BK990" s="55"/>
      <c r="BL990" s="55"/>
      <c r="BM990" s="55"/>
      <c r="BN990" s="55"/>
      <c r="BO990" s="55"/>
      <c r="BP990" s="55"/>
      <c r="BQ990" s="5"/>
      <c r="BR990" s="25"/>
      <c r="BS990" s="5"/>
    </row>
    <row r="991" spans="1:71" s="3" customFormat="1" x14ac:dyDescent="0.25">
      <c r="A991" s="5"/>
      <c r="B991" s="3" t="str">
        <f t="array" ref="B991">IFERROR(INDEX(DemandSupply,MATCH(INDEX($AH$1:AH991,SMALL(ROW($AH$1:AH991)+(10000*($AH$1:AH991="")),COUNTA($AH$1:AH991))),Sectors,0)),"")</f>
        <v>Supply</v>
      </c>
      <c r="E991" s="10"/>
      <c r="F991" s="207"/>
      <c r="G991" s="207"/>
      <c r="H991" s="207"/>
      <c r="I991" s="207"/>
      <c r="J991" s="207"/>
      <c r="K991" s="207"/>
      <c r="L991" s="207"/>
      <c r="M991" s="207"/>
      <c r="N991" s="207"/>
      <c r="O991" s="207"/>
      <c r="P991" s="207"/>
      <c r="Q991" s="207"/>
      <c r="R991" s="207"/>
      <c r="S991" s="207"/>
      <c r="T991" s="207"/>
      <c r="U991" s="207"/>
      <c r="V991" s="207"/>
      <c r="W991" s="207"/>
      <c r="X991" s="207"/>
      <c r="Y991" s="207"/>
      <c r="Z991" s="207"/>
      <c r="AA991" s="207"/>
      <c r="AB991" s="207"/>
      <c r="AC991" s="5"/>
      <c r="AD991" s="63"/>
      <c r="AE991" s="64"/>
      <c r="AF991" s="64"/>
      <c r="AG991" s="212"/>
      <c r="AH991" s="64"/>
      <c r="AI991" s="64"/>
      <c r="AJ991" s="227"/>
      <c r="AK991" s="64"/>
      <c r="AL991" s="64"/>
      <c r="AM991" s="212"/>
      <c r="AN991" s="64"/>
      <c r="AO991" s="64"/>
      <c r="AP991" s="63"/>
      <c r="AQ991" s="64"/>
      <c r="AR991" s="63"/>
      <c r="AS991" s="64"/>
      <c r="AT991" s="63"/>
      <c r="AU991" s="64"/>
      <c r="AV991" s="63"/>
      <c r="AW991" s="64"/>
      <c r="AX991" s="63"/>
      <c r="AY991" s="5"/>
      <c r="AZ991" s="21" t="str">
        <f t="shared" si="692"/>
        <v/>
      </c>
      <c r="BA991" s="264" t="s">
        <v>407</v>
      </c>
      <c r="BB991" s="264"/>
      <c r="BC991" s="264"/>
      <c r="BD991" s="264" t="s">
        <v>99</v>
      </c>
      <c r="BE991" s="9" t="s">
        <v>298</v>
      </c>
      <c r="BF991" s="303"/>
      <c r="BG991" s="303"/>
      <c r="BH991" s="303"/>
      <c r="BI991" s="303"/>
      <c r="BJ991" s="303"/>
      <c r="BK991" s="303"/>
      <c r="BL991" s="303"/>
      <c r="BM991" s="303"/>
      <c r="BN991" s="303"/>
      <c r="BO991" s="303"/>
      <c r="BP991" s="303"/>
      <c r="BQ991" s="5"/>
      <c r="BR991" s="25"/>
      <c r="BS991" s="5"/>
    </row>
    <row r="992" spans="1:71" s="3" customFormat="1" x14ac:dyDescent="0.25">
      <c r="A992" s="5"/>
      <c r="B992" s="3" t="str">
        <f t="array" ref="B992">IFERROR(INDEX(DemandSupply,MATCH(INDEX($AH$1:AH992,SMALL(ROW($AH$1:AH992)+(10000*($AH$1:AH992="")),COUNTA($AH$1:AH992))),Sectors,0)),"")</f>
        <v>Supply</v>
      </c>
      <c r="E992" s="10"/>
      <c r="F992" s="207"/>
      <c r="G992" s="207"/>
      <c r="H992" s="207"/>
      <c r="I992" s="207"/>
      <c r="J992" s="207"/>
      <c r="K992" s="207"/>
      <c r="L992" s="207"/>
      <c r="M992" s="207"/>
      <c r="N992" s="207"/>
      <c r="O992" s="207"/>
      <c r="P992" s="207"/>
      <c r="Q992" s="207"/>
      <c r="R992" s="207"/>
      <c r="S992" s="207"/>
      <c r="T992" s="207"/>
      <c r="U992" s="207"/>
      <c r="V992" s="207"/>
      <c r="W992" s="207"/>
      <c r="X992" s="207"/>
      <c r="Y992" s="207"/>
      <c r="Z992" s="207"/>
      <c r="AA992" s="207"/>
      <c r="AB992" s="207"/>
      <c r="AC992" s="5"/>
      <c r="AD992" s="63"/>
      <c r="AE992" s="64"/>
      <c r="AF992" s="64"/>
      <c r="AG992" s="212"/>
      <c r="AH992" s="64"/>
      <c r="AI992" s="64"/>
      <c r="AJ992" s="227"/>
      <c r="AK992" s="64"/>
      <c r="AL992" s="64"/>
      <c r="AM992" s="212"/>
      <c r="AN992" s="64"/>
      <c r="AO992" s="64"/>
      <c r="AP992" s="63"/>
      <c r="AQ992" s="64"/>
      <c r="AR992" s="63"/>
      <c r="AS992" s="64"/>
      <c r="AT992" s="63"/>
      <c r="AU992" s="64"/>
      <c r="AV992" s="63"/>
      <c r="AW992" s="64"/>
      <c r="AX992" s="63"/>
      <c r="AY992" s="5"/>
      <c r="AZ992" s="21" t="str">
        <f t="shared" si="692"/>
        <v/>
      </c>
      <c r="BA992" s="264" t="s">
        <v>444</v>
      </c>
      <c r="BB992" s="264"/>
      <c r="BC992" s="264"/>
      <c r="BD992" s="264" t="s">
        <v>354</v>
      </c>
      <c r="BE992" s="9" t="s">
        <v>298</v>
      </c>
      <c r="BF992" s="56"/>
      <c r="BG992" s="56"/>
      <c r="BH992" s="56"/>
      <c r="BI992" s="56"/>
      <c r="BJ992" s="56"/>
      <c r="BK992" s="56"/>
      <c r="BL992" s="56"/>
      <c r="BM992" s="56"/>
      <c r="BN992" s="56"/>
      <c r="BO992" s="56"/>
      <c r="BP992" s="56"/>
      <c r="BQ992" s="5"/>
      <c r="BR992" s="25"/>
      <c r="BS992" s="5"/>
    </row>
    <row r="993" spans="1:71" s="3" customFormat="1" x14ac:dyDescent="0.25">
      <c r="A993" s="5"/>
      <c r="B993" s="3" t="str">
        <f t="array" ref="B993">IFERROR(INDEX(DemandSupply,MATCH(INDEX($AH$1:AH993,SMALL(ROW($AH$1:AH993)+(10000*($AH$1:AH993="")),COUNTA($AH$1:AH993))),Sectors,0)),"")</f>
        <v>Supply</v>
      </c>
      <c r="E993" s="10"/>
      <c r="F993" s="207"/>
      <c r="G993" s="207"/>
      <c r="H993" s="207"/>
      <c r="I993" s="207"/>
      <c r="J993" s="207"/>
      <c r="K993" s="207"/>
      <c r="L993" s="207"/>
      <c r="M993" s="207"/>
      <c r="N993" s="207"/>
      <c r="O993" s="207"/>
      <c r="P993" s="207"/>
      <c r="Q993" s="207"/>
      <c r="R993" s="207"/>
      <c r="S993" s="207"/>
      <c r="T993" s="207"/>
      <c r="U993" s="207"/>
      <c r="V993" s="207"/>
      <c r="W993" s="207"/>
      <c r="X993" s="207"/>
      <c r="Y993" s="207"/>
      <c r="Z993" s="207"/>
      <c r="AA993" s="207"/>
      <c r="AB993" s="207"/>
      <c r="AC993" s="5"/>
      <c r="AD993" s="63"/>
      <c r="AE993" s="64"/>
      <c r="AF993" s="64"/>
      <c r="AG993" s="212"/>
      <c r="AH993" s="64"/>
      <c r="AI993" s="64"/>
      <c r="AJ993" s="227"/>
      <c r="AK993" s="64"/>
      <c r="AL993" s="64"/>
      <c r="AM993" s="212"/>
      <c r="AN993" s="64"/>
      <c r="AO993" s="64"/>
      <c r="AP993" s="63"/>
      <c r="AQ993" s="64"/>
      <c r="AR993" s="63"/>
      <c r="AS993" s="64"/>
      <c r="AT993" s="63"/>
      <c r="AU993" s="64"/>
      <c r="AV993" s="63"/>
      <c r="AW993" s="64"/>
      <c r="AX993" s="63"/>
      <c r="AY993" s="5"/>
      <c r="AZ993" s="21" t="str">
        <f t="shared" si="692"/>
        <v/>
      </c>
      <c r="BA993" s="264" t="s">
        <v>446</v>
      </c>
      <c r="BB993" s="264"/>
      <c r="BC993" s="264"/>
      <c r="BD993" s="264" t="s">
        <v>354</v>
      </c>
      <c r="BE993" s="9" t="s">
        <v>298</v>
      </c>
      <c r="BF993" s="56"/>
      <c r="BG993" s="56"/>
      <c r="BH993" s="56"/>
      <c r="BI993" s="56"/>
      <c r="BJ993" s="56"/>
      <c r="BK993" s="56"/>
      <c r="BL993" s="56"/>
      <c r="BM993" s="56"/>
      <c r="BN993" s="56"/>
      <c r="BO993" s="56"/>
      <c r="BP993" s="56"/>
      <c r="BQ993" s="5"/>
      <c r="BR993" s="25"/>
      <c r="BS993" s="5"/>
    </row>
    <row r="994" spans="1:71" s="3" customFormat="1" x14ac:dyDescent="0.25">
      <c r="A994" s="5"/>
      <c r="B994" s="3" t="str">
        <f t="array" ref="B994">IFERROR(INDEX(DemandSupply,MATCH(INDEX($AH$1:AH994,SMALL(ROW($AH$1:AH994)+(10000*($AH$1:AH994="")),COUNTA($AH$1:AH994))),Sectors,0)),"")</f>
        <v>Supply</v>
      </c>
      <c r="E994" s="10"/>
      <c r="F994" s="207"/>
      <c r="G994" s="207"/>
      <c r="H994" s="207"/>
      <c r="I994" s="207"/>
      <c r="J994" s="207"/>
      <c r="K994" s="207"/>
      <c r="L994" s="207"/>
      <c r="M994" s="207"/>
      <c r="N994" s="207"/>
      <c r="O994" s="207"/>
      <c r="P994" s="207"/>
      <c r="Q994" s="207"/>
      <c r="R994" s="207"/>
      <c r="S994" s="207"/>
      <c r="T994" s="207"/>
      <c r="U994" s="207"/>
      <c r="V994" s="207"/>
      <c r="W994" s="207"/>
      <c r="X994" s="207"/>
      <c r="Y994" s="207"/>
      <c r="Z994" s="207"/>
      <c r="AA994" s="207"/>
      <c r="AB994" s="207"/>
      <c r="AC994" s="5"/>
      <c r="AD994" s="63"/>
      <c r="AE994" s="64"/>
      <c r="AF994" s="64"/>
      <c r="AG994" s="212"/>
      <c r="AH994" s="64"/>
      <c r="AI994" s="64"/>
      <c r="AJ994" s="227"/>
      <c r="AK994" s="64"/>
      <c r="AL994" s="64"/>
      <c r="AM994" s="212"/>
      <c r="AN994" s="64"/>
      <c r="AO994" s="64"/>
      <c r="AP994" s="63"/>
      <c r="AQ994" s="64"/>
      <c r="AR994" s="63"/>
      <c r="AS994" s="64"/>
      <c r="AT994" s="63"/>
      <c r="AU994" s="64"/>
      <c r="AV994" s="63"/>
      <c r="AW994" s="64"/>
      <c r="AX994" s="63"/>
      <c r="AY994" s="5"/>
      <c r="AZ994" s="21" t="str">
        <f t="shared" si="692"/>
        <v/>
      </c>
      <c r="BA994" s="264" t="s">
        <v>447</v>
      </c>
      <c r="BB994" s="264"/>
      <c r="BC994" s="264"/>
      <c r="BD994" s="264"/>
      <c r="BE994" s="9" t="s">
        <v>298</v>
      </c>
      <c r="BF994" s="55"/>
      <c r="BG994" s="55"/>
      <c r="BH994" s="55"/>
      <c r="BI994" s="55"/>
      <c r="BJ994" s="55"/>
      <c r="BK994" s="55"/>
      <c r="BL994" s="55"/>
      <c r="BM994" s="55"/>
      <c r="BN994" s="55"/>
      <c r="BO994" s="55"/>
      <c r="BP994" s="55"/>
      <c r="BQ994" s="5"/>
      <c r="BR994" s="25"/>
      <c r="BS994" s="5"/>
    </row>
    <row r="995" spans="1:71" s="3" customFormat="1" x14ac:dyDescent="0.25">
      <c r="A995" s="5"/>
      <c r="B995" s="3" t="str">
        <f t="array" ref="B995">IFERROR(INDEX(DemandSupply,MATCH(INDEX($AH$1:AH995,SMALL(ROW($AH$1:AH995)+(10000*($AH$1:AH995="")),COUNTA($AH$1:AH995))),Sectors,0)),"")</f>
        <v>Supply</v>
      </c>
      <c r="E995" s="10"/>
      <c r="F995" s="207"/>
      <c r="G995" s="207"/>
      <c r="H995" s="207"/>
      <c r="I995" s="207"/>
      <c r="J995" s="207"/>
      <c r="K995" s="207"/>
      <c r="L995" s="207"/>
      <c r="M995" s="207"/>
      <c r="N995" s="207"/>
      <c r="O995" s="207"/>
      <c r="P995" s="207"/>
      <c r="Q995" s="207"/>
      <c r="R995" s="207"/>
      <c r="S995" s="207"/>
      <c r="T995" s="207"/>
      <c r="U995" s="207"/>
      <c r="V995" s="207"/>
      <c r="W995" s="207"/>
      <c r="X995" s="207"/>
      <c r="Y995" s="207"/>
      <c r="Z995" s="207"/>
      <c r="AA995" s="207"/>
      <c r="AB995" s="207"/>
      <c r="AC995" s="5"/>
      <c r="AD995" s="63"/>
      <c r="AE995" s="64"/>
      <c r="AF995" s="64"/>
      <c r="AG995" s="212"/>
      <c r="AH995" s="64"/>
      <c r="AI995" s="64"/>
      <c r="AJ995" s="227"/>
      <c r="AK995" s="64"/>
      <c r="AL995" s="64"/>
      <c r="AM995" s="212"/>
      <c r="AN995" s="64"/>
      <c r="AO995" s="64"/>
      <c r="AP995" s="63"/>
      <c r="AQ995" s="64"/>
      <c r="AR995" s="63"/>
      <c r="AS995" s="64"/>
      <c r="AT995" s="63"/>
      <c r="AU995" s="64"/>
      <c r="AV995" s="63"/>
      <c r="AW995" s="64"/>
      <c r="AX995" s="63"/>
      <c r="AY995" s="5"/>
      <c r="AZ995" s="21" t="str">
        <f t="shared" si="692"/>
        <v/>
      </c>
      <c r="BA995" s="264" t="s">
        <v>448</v>
      </c>
      <c r="BB995" s="264"/>
      <c r="BC995" s="264"/>
      <c r="BD995" s="264"/>
      <c r="BE995" s="9" t="s">
        <v>298</v>
      </c>
      <c r="BF995" s="55"/>
      <c r="BG995" s="55"/>
      <c r="BH995" s="55"/>
      <c r="BI995" s="55"/>
      <c r="BJ995" s="55"/>
      <c r="BK995" s="55"/>
      <c r="BL995" s="55"/>
      <c r="BM995" s="55"/>
      <c r="BN995" s="55"/>
      <c r="BO995" s="55"/>
      <c r="BP995" s="55"/>
      <c r="BQ995" s="5"/>
      <c r="BR995" s="25"/>
      <c r="BS995" s="5"/>
    </row>
    <row r="996" spans="1:71" s="3" customFormat="1" x14ac:dyDescent="0.25">
      <c r="A996" s="5"/>
      <c r="B996" s="3" t="str">
        <f t="array" ref="B996">IFERROR(INDEX(DemandSupply,MATCH(INDEX($AH$1:AH996,SMALL(ROW($AH$1:AH996)+(10000*($AH$1:AH996="")),COUNTA($AH$1:AH996))),Sectors,0)),"")</f>
        <v>Supply</v>
      </c>
      <c r="E996" s="10"/>
      <c r="F996" s="207"/>
      <c r="G996" s="207"/>
      <c r="H996" s="207"/>
      <c r="I996" s="207"/>
      <c r="J996" s="207"/>
      <c r="K996" s="207"/>
      <c r="L996" s="207"/>
      <c r="M996" s="207"/>
      <c r="N996" s="207"/>
      <c r="O996" s="207"/>
      <c r="P996" s="207"/>
      <c r="Q996" s="207"/>
      <c r="R996" s="207"/>
      <c r="S996" s="207"/>
      <c r="T996" s="207"/>
      <c r="U996" s="207"/>
      <c r="V996" s="207"/>
      <c r="W996" s="207"/>
      <c r="X996" s="207"/>
      <c r="Y996" s="207"/>
      <c r="Z996" s="207"/>
      <c r="AA996" s="207"/>
      <c r="AB996" s="207"/>
      <c r="AC996" s="5"/>
      <c r="AD996" s="63"/>
      <c r="AE996" s="64"/>
      <c r="AF996" s="64"/>
      <c r="AG996" s="212"/>
      <c r="AH996" s="64"/>
      <c r="AI996" s="64"/>
      <c r="AJ996" s="227"/>
      <c r="AK996" s="64"/>
      <c r="AL996" s="64"/>
      <c r="AM996" s="212"/>
      <c r="AN996" s="64"/>
      <c r="AO996" s="64"/>
      <c r="AP996" s="63"/>
      <c r="AQ996" s="64"/>
      <c r="AR996" s="63"/>
      <c r="AS996" s="64"/>
      <c r="AT996" s="63"/>
      <c r="AU996" s="64"/>
      <c r="AV996" s="63"/>
      <c r="AW996" s="64"/>
      <c r="AX996" s="63"/>
      <c r="AY996" s="5"/>
      <c r="AZ996" s="21" t="str">
        <f t="shared" si="692"/>
        <v/>
      </c>
      <c r="BA996" s="264" t="s">
        <v>445</v>
      </c>
      <c r="BB996" s="264"/>
      <c r="BC996" s="264"/>
      <c r="BD996" s="264" t="s">
        <v>370</v>
      </c>
      <c r="BE996" s="9" t="s">
        <v>298</v>
      </c>
      <c r="BF996" s="56"/>
      <c r="BG996" s="56"/>
      <c r="BH996" s="56"/>
      <c r="BI996" s="56"/>
      <c r="BJ996" s="56"/>
      <c r="BK996" s="56"/>
      <c r="BL996" s="56"/>
      <c r="BM996" s="56"/>
      <c r="BN996" s="56"/>
      <c r="BO996" s="56"/>
      <c r="BP996" s="56"/>
      <c r="BQ996" s="5"/>
      <c r="BR996" s="25"/>
      <c r="BS996" s="5"/>
    </row>
    <row r="997" spans="1:71" s="3" customFormat="1" x14ac:dyDescent="0.25">
      <c r="A997" s="5"/>
      <c r="B997" s="3" t="str">
        <f t="array" ref="B997">IFERROR(INDEX(DemandSupply,MATCH(INDEX($AH$1:AH997,SMALL(ROW($AH$1:AH997)+(10000*($AH$1:AH997="")),COUNTA($AH$1:AH997))),Sectors,0)),"")</f>
        <v>Supply</v>
      </c>
      <c r="E997" s="10"/>
      <c r="F997" s="207"/>
      <c r="G997" s="207"/>
      <c r="H997" s="207"/>
      <c r="I997" s="207"/>
      <c r="J997" s="207"/>
      <c r="K997" s="207"/>
      <c r="L997" s="207"/>
      <c r="M997" s="207"/>
      <c r="N997" s="207"/>
      <c r="O997" s="207"/>
      <c r="P997" s="207"/>
      <c r="Q997" s="207"/>
      <c r="R997" s="207"/>
      <c r="S997" s="207"/>
      <c r="T997" s="207"/>
      <c r="U997" s="207"/>
      <c r="V997" s="207"/>
      <c r="W997" s="207"/>
      <c r="X997" s="207"/>
      <c r="Y997" s="207"/>
      <c r="Z997" s="207"/>
      <c r="AA997" s="207"/>
      <c r="AB997" s="207"/>
      <c r="AC997" s="5"/>
      <c r="AD997" s="63"/>
      <c r="AE997" s="64"/>
      <c r="AF997" s="64"/>
      <c r="AG997" s="212"/>
      <c r="AH997" s="64"/>
      <c r="AI997" s="64"/>
      <c r="AJ997" s="227"/>
      <c r="AK997" s="64"/>
      <c r="AL997" s="64"/>
      <c r="AM997" s="212"/>
      <c r="AN997" s="64"/>
      <c r="AO997" s="64"/>
      <c r="AP997" s="63"/>
      <c r="AQ997" s="64"/>
      <c r="AR997" s="63"/>
      <c r="AS997" s="64"/>
      <c r="AT997" s="63"/>
      <c r="AU997" s="64"/>
      <c r="AV997" s="63"/>
      <c r="AW997" s="64"/>
      <c r="AX997" s="63"/>
      <c r="AY997" s="5"/>
      <c r="AZ997" s="21" t="str">
        <f t="shared" si="692"/>
        <v/>
      </c>
      <c r="BA997" s="264" t="s">
        <v>449</v>
      </c>
      <c r="BB997" s="264"/>
      <c r="BC997" s="264"/>
      <c r="BD997" s="264" t="s">
        <v>370</v>
      </c>
      <c r="BE997" s="9" t="s">
        <v>298</v>
      </c>
      <c r="BF997" s="56"/>
      <c r="BG997" s="56"/>
      <c r="BH997" s="56"/>
      <c r="BI997" s="56"/>
      <c r="BJ997" s="56"/>
      <c r="BK997" s="56"/>
      <c r="BL997" s="56"/>
      <c r="BM997" s="56"/>
      <c r="BN997" s="56"/>
      <c r="BO997" s="56"/>
      <c r="BP997" s="56"/>
      <c r="BQ997" s="5"/>
      <c r="BR997" s="25"/>
      <c r="BS997" s="5"/>
    </row>
    <row r="998" spans="1:71" s="3" customFormat="1" x14ac:dyDescent="0.25">
      <c r="A998" s="5"/>
      <c r="B998" s="3" t="str">
        <f t="array" ref="B998">IFERROR(INDEX(DemandSupply,MATCH(INDEX($AH$1:AH998,SMALL(ROW($AH$1:AH998)+(10000*($AH$1:AH998="")),COUNTA($AH$1:AH998))),Sectors,0)),"")</f>
        <v>Supply</v>
      </c>
      <c r="E998" s="10"/>
      <c r="F998" s="207"/>
      <c r="G998" s="207"/>
      <c r="H998" s="207"/>
      <c r="I998" s="207"/>
      <c r="J998" s="207"/>
      <c r="K998" s="207"/>
      <c r="L998" s="207"/>
      <c r="M998" s="207"/>
      <c r="N998" s="207"/>
      <c r="O998" s="207"/>
      <c r="P998" s="207"/>
      <c r="Q998" s="207"/>
      <c r="R998" s="207"/>
      <c r="S998" s="207"/>
      <c r="T998" s="207"/>
      <c r="U998" s="207"/>
      <c r="V998" s="207"/>
      <c r="W998" s="207"/>
      <c r="X998" s="207"/>
      <c r="Y998" s="207"/>
      <c r="Z998" s="207"/>
      <c r="AA998" s="207"/>
      <c r="AB998" s="207"/>
      <c r="AC998" s="5"/>
      <c r="AD998" s="63"/>
      <c r="AE998" s="64"/>
      <c r="AF998" s="64"/>
      <c r="AG998" s="212"/>
      <c r="AH998" s="64"/>
      <c r="AI998" s="64"/>
      <c r="AJ998" s="227"/>
      <c r="AK998" s="64"/>
      <c r="AL998" s="64"/>
      <c r="AM998" s="212"/>
      <c r="AN998" s="64"/>
      <c r="AO998" s="64"/>
      <c r="AP998" s="63"/>
      <c r="AQ998" s="64"/>
      <c r="AR998" s="63"/>
      <c r="AS998" s="64"/>
      <c r="AT998" s="63"/>
      <c r="AU998" s="64"/>
      <c r="AV998" s="63"/>
      <c r="AW998" s="64"/>
      <c r="AX998" s="63"/>
      <c r="AY998" s="5"/>
      <c r="AZ998" s="21" t="str">
        <f t="shared" si="692"/>
        <v/>
      </c>
      <c r="BA998" s="264" t="s">
        <v>450</v>
      </c>
      <c r="BB998" s="264"/>
      <c r="BC998" s="264"/>
      <c r="BD998" s="264"/>
      <c r="BE998" s="9" t="s">
        <v>298</v>
      </c>
      <c r="BF998" s="55"/>
      <c r="BG998" s="55"/>
      <c r="BH998" s="55"/>
      <c r="BI998" s="55"/>
      <c r="BJ998" s="55"/>
      <c r="BK998" s="55"/>
      <c r="BL998" s="55"/>
      <c r="BM998" s="55"/>
      <c r="BN998" s="55"/>
      <c r="BO998" s="55"/>
      <c r="BP998" s="55"/>
      <c r="BQ998" s="5"/>
      <c r="BR998" s="25"/>
      <c r="BS998" s="5"/>
    </row>
    <row r="999" spans="1:71" s="3" customFormat="1" x14ac:dyDescent="0.25">
      <c r="A999" s="5"/>
      <c r="B999" s="3" t="str">
        <f t="array" ref="B999">IFERROR(INDEX(DemandSupply,MATCH(INDEX($AH$1:AH999,SMALL(ROW($AH$1:AH999)+(10000*($AH$1:AH999="")),COUNTA($AH$1:AH999))),Sectors,0)),"")</f>
        <v>Supply</v>
      </c>
      <c r="E999" s="10"/>
      <c r="F999" s="207"/>
      <c r="G999" s="207"/>
      <c r="H999" s="207"/>
      <c r="I999" s="207"/>
      <c r="J999" s="207"/>
      <c r="K999" s="207"/>
      <c r="L999" s="207"/>
      <c r="M999" s="207"/>
      <c r="N999" s="207"/>
      <c r="O999" s="207"/>
      <c r="P999" s="207"/>
      <c r="Q999" s="207"/>
      <c r="R999" s="207"/>
      <c r="S999" s="207"/>
      <c r="T999" s="207"/>
      <c r="U999" s="207"/>
      <c r="V999" s="207"/>
      <c r="W999" s="207"/>
      <c r="X999" s="207"/>
      <c r="Y999" s="207"/>
      <c r="Z999" s="207"/>
      <c r="AA999" s="207"/>
      <c r="AB999" s="207"/>
      <c r="AC999" s="5"/>
      <c r="AD999" s="63"/>
      <c r="AE999" s="64"/>
      <c r="AF999" s="64"/>
      <c r="AG999" s="212"/>
      <c r="AH999" s="64"/>
      <c r="AI999" s="64"/>
      <c r="AJ999" s="227"/>
      <c r="AK999" s="64"/>
      <c r="AL999" s="64"/>
      <c r="AM999" s="212"/>
      <c r="AN999" s="64"/>
      <c r="AO999" s="64"/>
      <c r="AP999" s="63"/>
      <c r="AQ999" s="64"/>
      <c r="AR999" s="63"/>
      <c r="AS999" s="64"/>
      <c r="AT999" s="63"/>
      <c r="AU999" s="64"/>
      <c r="AV999" s="63"/>
      <c r="AW999" s="64"/>
      <c r="AX999" s="63"/>
      <c r="AY999" s="5"/>
      <c r="AZ999" s="21" t="str">
        <f t="shared" si="692"/>
        <v/>
      </c>
      <c r="BA999" s="264" t="s">
        <v>451</v>
      </c>
      <c r="BB999" s="264"/>
      <c r="BC999" s="264"/>
      <c r="BD999" s="264"/>
      <c r="BE999" s="9" t="s">
        <v>298</v>
      </c>
      <c r="BF999" s="55"/>
      <c r="BG999" s="55"/>
      <c r="BH999" s="55"/>
      <c r="BI999" s="55"/>
      <c r="BJ999" s="55"/>
      <c r="BK999" s="55"/>
      <c r="BL999" s="55"/>
      <c r="BM999" s="55"/>
      <c r="BN999" s="55"/>
      <c r="BO999" s="55"/>
      <c r="BP999" s="55"/>
      <c r="BQ999" s="5"/>
      <c r="BR999" s="25"/>
      <c r="BS999" s="5"/>
    </row>
    <row r="1000" spans="1:71" s="3" customFormat="1" x14ac:dyDescent="0.25">
      <c r="A1000" s="5"/>
      <c r="B1000" s="3" t="str">
        <f t="array" ref="B1000">IFERROR(INDEX(DemandSupply,MATCH(INDEX($AH$1:AH1000,SMALL(ROW($AH$1:AH1000)+(10000*($AH$1:AH1000="")),COUNTA($AH$1:AH1000))),Sectors,0)),"")</f>
        <v>Supply</v>
      </c>
      <c r="E1000" s="10"/>
      <c r="F1000" s="207"/>
      <c r="G1000" s="207"/>
      <c r="H1000" s="207"/>
      <c r="I1000" s="207"/>
      <c r="J1000" s="207"/>
      <c r="K1000" s="207"/>
      <c r="L1000" s="207"/>
      <c r="M1000" s="207"/>
      <c r="N1000" s="207"/>
      <c r="O1000" s="207"/>
      <c r="P1000" s="207"/>
      <c r="Q1000" s="207"/>
      <c r="R1000" s="207"/>
      <c r="S1000" s="207"/>
      <c r="T1000" s="207"/>
      <c r="U1000" s="207"/>
      <c r="V1000" s="207"/>
      <c r="W1000" s="207"/>
      <c r="X1000" s="207"/>
      <c r="Y1000" s="207"/>
      <c r="Z1000" s="207"/>
      <c r="AA1000" s="207"/>
      <c r="AB1000" s="207"/>
      <c r="AC1000" s="5"/>
      <c r="AD1000" s="63"/>
      <c r="AE1000" s="64"/>
      <c r="AF1000" s="64"/>
      <c r="AG1000" s="212"/>
      <c r="AH1000" s="64"/>
      <c r="AI1000" s="64"/>
      <c r="AJ1000" s="227"/>
      <c r="AK1000" s="64"/>
      <c r="AL1000" s="64"/>
      <c r="AM1000" s="212"/>
      <c r="AN1000" s="64"/>
      <c r="AO1000" s="64"/>
      <c r="AP1000" s="63"/>
      <c r="AQ1000" s="64"/>
      <c r="AR1000" s="63"/>
      <c r="AS1000" s="64"/>
      <c r="AT1000" s="63"/>
      <c r="AU1000" s="64"/>
      <c r="AV1000" s="63"/>
      <c r="AW1000" s="64"/>
      <c r="AX1000" s="63"/>
      <c r="AY1000" s="5"/>
      <c r="AZ1000" s="21" t="str">
        <f t="shared" si="692"/>
        <v/>
      </c>
      <c r="BA1000" s="264" t="s">
        <v>342</v>
      </c>
      <c r="BB1000" s="264"/>
      <c r="BC1000" s="264"/>
      <c r="BD1000" s="264" t="s">
        <v>370</v>
      </c>
      <c r="BE1000" s="9" t="s">
        <v>298</v>
      </c>
      <c r="BF1000" s="56">
        <v>1200000</v>
      </c>
      <c r="BG1000" s="282">
        <f t="shared" ref="BG1000:BP1000" si="693">BF1000</f>
        <v>1200000</v>
      </c>
      <c r="BH1000" s="282">
        <f t="shared" si="693"/>
        <v>1200000</v>
      </c>
      <c r="BI1000" s="282">
        <f t="shared" si="693"/>
        <v>1200000</v>
      </c>
      <c r="BJ1000" s="282">
        <f t="shared" si="693"/>
        <v>1200000</v>
      </c>
      <c r="BK1000" s="282">
        <f t="shared" si="693"/>
        <v>1200000</v>
      </c>
      <c r="BL1000" s="282">
        <f t="shared" si="693"/>
        <v>1200000</v>
      </c>
      <c r="BM1000" s="282">
        <f t="shared" si="693"/>
        <v>1200000</v>
      </c>
      <c r="BN1000" s="282">
        <f t="shared" si="693"/>
        <v>1200000</v>
      </c>
      <c r="BO1000" s="282">
        <f t="shared" si="693"/>
        <v>1200000</v>
      </c>
      <c r="BP1000" s="282">
        <f t="shared" si="693"/>
        <v>1200000</v>
      </c>
      <c r="BQ1000" s="5"/>
      <c r="BR1000" s="25"/>
      <c r="BS1000" s="5"/>
    </row>
    <row r="1001" spans="1:71" s="3" customFormat="1" x14ac:dyDescent="0.25">
      <c r="A1001" s="5"/>
      <c r="B1001" s="3" t="str">
        <f t="array" ref="B1001">IFERROR(INDEX(DemandSupply,MATCH(INDEX($AH$1:AH1001,SMALL(ROW($AH$1:AH1001)+(10000*($AH$1:AH1001="")),COUNTA($AH$1:AH1001))),Sectors,0)),"")</f>
        <v>Supply</v>
      </c>
      <c r="E1001" s="10"/>
      <c r="F1001" s="207"/>
      <c r="G1001" s="207"/>
      <c r="H1001" s="207"/>
      <c r="I1001" s="207"/>
      <c r="J1001" s="207"/>
      <c r="K1001" s="207"/>
      <c r="L1001" s="207"/>
      <c r="M1001" s="207"/>
      <c r="N1001" s="207"/>
      <c r="O1001" s="207"/>
      <c r="P1001" s="207"/>
      <c r="Q1001" s="207"/>
      <c r="R1001" s="207"/>
      <c r="S1001" s="207"/>
      <c r="T1001" s="207"/>
      <c r="U1001" s="207"/>
      <c r="V1001" s="207"/>
      <c r="W1001" s="207"/>
      <c r="X1001" s="207"/>
      <c r="Y1001" s="207"/>
      <c r="Z1001" s="207"/>
      <c r="AA1001" s="207"/>
      <c r="AB1001" s="207"/>
      <c r="AC1001" s="5"/>
      <c r="AD1001" s="63"/>
      <c r="AE1001" s="64"/>
      <c r="AF1001" s="64"/>
      <c r="AG1001" s="212"/>
      <c r="AH1001" s="64"/>
      <c r="AI1001" s="64"/>
      <c r="AJ1001" s="227"/>
      <c r="AK1001" s="64"/>
      <c r="AL1001" s="64"/>
      <c r="AM1001" s="212"/>
      <c r="AN1001" s="64"/>
      <c r="AO1001" s="64"/>
      <c r="AP1001" s="63"/>
      <c r="AQ1001" s="64"/>
      <c r="AR1001" s="63"/>
      <c r="AS1001" s="64"/>
      <c r="AT1001" s="63"/>
      <c r="AU1001" s="64"/>
      <c r="AV1001" s="63"/>
      <c r="AW1001" s="64"/>
      <c r="AX1001" s="63"/>
      <c r="AY1001" s="5"/>
      <c r="AZ1001" s="21" t="str">
        <f t="shared" si="692"/>
        <v/>
      </c>
      <c r="BA1001" s="264" t="s">
        <v>394</v>
      </c>
      <c r="BB1001" s="264"/>
      <c r="BC1001" s="264"/>
      <c r="BD1001" s="264" t="s">
        <v>354</v>
      </c>
      <c r="BE1001" s="9" t="s">
        <v>298</v>
      </c>
      <c r="BF1001" s="56"/>
      <c r="BG1001" s="56"/>
      <c r="BH1001" s="56"/>
      <c r="BI1001" s="56"/>
      <c r="BJ1001" s="56"/>
      <c r="BK1001" s="56"/>
      <c r="BL1001" s="56"/>
      <c r="BM1001" s="56"/>
      <c r="BN1001" s="56"/>
      <c r="BO1001" s="56"/>
      <c r="BP1001" s="56"/>
      <c r="BQ1001" s="5"/>
      <c r="BR1001" s="25"/>
      <c r="BS1001" s="5"/>
    </row>
    <row r="1002" spans="1:71" s="3" customFormat="1" x14ac:dyDescent="0.25">
      <c r="A1002" s="5"/>
      <c r="B1002" s="3" t="str">
        <f t="array" ref="B1002">IFERROR(INDEX(DemandSupply,MATCH(INDEX($AH$1:AH1002,SMALL(ROW($AH$1:AH1002)+(10000*($AH$1:AH1002="")),COUNTA($AH$1:AH1002))),Sectors,0)),"")</f>
        <v>Supply</v>
      </c>
      <c r="E1002" s="10">
        <f t="shared" ref="E1002:E1152" si="694">IF(COUNTA(BA1002)=1,0,MIN(F1002:AA1002))</f>
        <v>0</v>
      </c>
      <c r="F1002" s="207">
        <v>1</v>
      </c>
      <c r="G1002" s="207">
        <v>1</v>
      </c>
      <c r="H1002" s="207">
        <v>1</v>
      </c>
      <c r="I1002" s="207">
        <v>1</v>
      </c>
      <c r="J1002" s="207">
        <v>1</v>
      </c>
      <c r="K1002" s="207">
        <v>1</v>
      </c>
      <c r="L1002" s="207">
        <v>1</v>
      </c>
      <c r="M1002" s="207">
        <v>1</v>
      </c>
      <c r="N1002" s="207">
        <v>1</v>
      </c>
      <c r="O1002" s="207">
        <v>1</v>
      </c>
      <c r="P1002" s="207">
        <v>1</v>
      </c>
      <c r="Q1002" s="207">
        <v>1</v>
      </c>
      <c r="R1002" s="207">
        <v>1</v>
      </c>
      <c r="S1002" s="207">
        <v>1</v>
      </c>
      <c r="T1002" s="207">
        <v>1</v>
      </c>
      <c r="U1002" s="207">
        <v>1</v>
      </c>
      <c r="V1002" s="207">
        <v>1</v>
      </c>
      <c r="W1002" s="207">
        <v>1</v>
      </c>
      <c r="X1002" s="207">
        <v>1</v>
      </c>
      <c r="Y1002" s="207">
        <v>1</v>
      </c>
      <c r="Z1002" s="207">
        <v>1</v>
      </c>
      <c r="AA1002" s="207">
        <v>1</v>
      </c>
      <c r="AB1002" s="207">
        <v>1</v>
      </c>
      <c r="AC1002" s="5"/>
      <c r="AD1002" s="63"/>
      <c r="AE1002" s="64"/>
      <c r="AF1002" s="64"/>
      <c r="AG1002" s="212"/>
      <c r="AH1002" s="64"/>
      <c r="AI1002" s="65"/>
      <c r="AJ1002" s="227"/>
      <c r="AK1002" s="65"/>
      <c r="AL1002" s="64"/>
      <c r="AM1002" s="212"/>
      <c r="AN1002" s="63"/>
      <c r="AO1002" s="64"/>
      <c r="AP1002" s="63"/>
      <c r="AQ1002" s="64"/>
      <c r="AR1002" s="63"/>
      <c r="AS1002" s="64"/>
      <c r="AT1002" s="63"/>
      <c r="AU1002" s="64"/>
      <c r="AV1002" s="63"/>
      <c r="AW1002" s="64"/>
      <c r="AX1002" s="63"/>
      <c r="AY1002" s="5"/>
      <c r="AZ1002" s="21" t="str">
        <f t="shared" si="692"/>
        <v/>
      </c>
      <c r="BA1002" s="74" t="s">
        <v>338</v>
      </c>
      <c r="BB1002" s="13"/>
      <c r="BC1002" s="3" t="s">
        <v>185</v>
      </c>
      <c r="BD1002" s="2" t="s">
        <v>384</v>
      </c>
      <c r="BE1002" s="9" t="s">
        <v>298</v>
      </c>
      <c r="BF1002" s="55">
        <f>GJ_per_MWh/0.45</f>
        <v>8</v>
      </c>
      <c r="BG1002" s="316">
        <f t="shared" ref="BG1002:BG1003" si="695">BF1002</f>
        <v>8</v>
      </c>
      <c r="BH1002" s="316">
        <f t="shared" ref="BH1002:BH1003" si="696">BG1002</f>
        <v>8</v>
      </c>
      <c r="BI1002" s="316">
        <f t="shared" ref="BI1002:BI1003" si="697">BH1002</f>
        <v>8</v>
      </c>
      <c r="BJ1002" s="316">
        <f t="shared" ref="BJ1002:BJ1003" si="698">BI1002</f>
        <v>8</v>
      </c>
      <c r="BK1002" s="316">
        <f t="shared" ref="BK1002:BK1003" si="699">BJ1002</f>
        <v>8</v>
      </c>
      <c r="BL1002" s="316">
        <f t="shared" ref="BL1002:BL1003" si="700">BK1002</f>
        <v>8</v>
      </c>
      <c r="BM1002" s="316">
        <f t="shared" ref="BM1002:BM1003" si="701">BL1002</f>
        <v>8</v>
      </c>
      <c r="BN1002" s="316">
        <f t="shared" ref="BN1002:BN1003" si="702">BM1002</f>
        <v>8</v>
      </c>
      <c r="BO1002" s="316">
        <f t="shared" ref="BO1002:BO1003" si="703">BN1002</f>
        <v>8</v>
      </c>
      <c r="BP1002" s="316">
        <f t="shared" ref="BP1002:BP1003" si="704">BO1002</f>
        <v>8</v>
      </c>
      <c r="BQ1002" s="5"/>
      <c r="BR1002" s="13"/>
      <c r="BS1002" s="5"/>
    </row>
    <row r="1003" spans="1:71" s="3" customFormat="1" x14ac:dyDescent="0.25">
      <c r="A1003" s="5"/>
      <c r="B1003" s="3" t="str">
        <f t="array" ref="B1003">IFERROR(INDEX(DemandSupply,MATCH(INDEX($AH$1:AH1003,SMALL(ROW($AH$1:AH1003)+(10000*($AH$1:AH1003="")),COUNTA($AH$1:AH1003))),Sectors,0)),"")</f>
        <v>Supply</v>
      </c>
      <c r="E1003" s="10">
        <f t="shared" si="694"/>
        <v>0</v>
      </c>
      <c r="F1003" s="207">
        <v>1</v>
      </c>
      <c r="G1003" s="207">
        <v>1</v>
      </c>
      <c r="H1003" s="207">
        <v>1</v>
      </c>
      <c r="I1003" s="207">
        <v>1</v>
      </c>
      <c r="J1003" s="207">
        <v>1</v>
      </c>
      <c r="K1003" s="207">
        <v>1</v>
      </c>
      <c r="L1003" s="207">
        <v>1</v>
      </c>
      <c r="M1003" s="207">
        <v>1</v>
      </c>
      <c r="N1003" s="207">
        <v>1</v>
      </c>
      <c r="O1003" s="207">
        <v>1</v>
      </c>
      <c r="P1003" s="207">
        <v>1</v>
      </c>
      <c r="Q1003" s="207">
        <v>1</v>
      </c>
      <c r="R1003" s="207">
        <v>1</v>
      </c>
      <c r="S1003" s="207">
        <v>1</v>
      </c>
      <c r="T1003" s="207">
        <v>1</v>
      </c>
      <c r="U1003" s="207">
        <v>1</v>
      </c>
      <c r="V1003" s="207">
        <v>1</v>
      </c>
      <c r="W1003" s="207">
        <v>1</v>
      </c>
      <c r="X1003" s="207">
        <v>1</v>
      </c>
      <c r="Y1003" s="207">
        <v>1</v>
      </c>
      <c r="Z1003" s="207">
        <v>1</v>
      </c>
      <c r="AA1003" s="207">
        <v>1</v>
      </c>
      <c r="AB1003" s="207">
        <v>1</v>
      </c>
      <c r="AC1003" s="5"/>
      <c r="AD1003" s="63"/>
      <c r="AE1003" s="64"/>
      <c r="AF1003" s="64"/>
      <c r="AG1003" s="212"/>
      <c r="AH1003" s="64"/>
      <c r="AI1003" s="65"/>
      <c r="AJ1003" s="227"/>
      <c r="AK1003" s="65"/>
      <c r="AL1003" s="64"/>
      <c r="AM1003" s="212"/>
      <c r="AN1003" s="63"/>
      <c r="AO1003" s="64"/>
      <c r="AP1003" s="63"/>
      <c r="AQ1003" s="64"/>
      <c r="AR1003" s="63"/>
      <c r="AS1003" s="64"/>
      <c r="AT1003" s="63"/>
      <c r="AU1003" s="64"/>
      <c r="AV1003" s="63"/>
      <c r="AW1003" s="64"/>
      <c r="AX1003" s="63"/>
      <c r="AY1003" s="5"/>
      <c r="AZ1003" s="21" t="str">
        <f t="shared" si="692"/>
        <v/>
      </c>
      <c r="BA1003" s="74" t="s">
        <v>338</v>
      </c>
      <c r="BB1003" s="13"/>
      <c r="BC1003" s="3" t="s">
        <v>372</v>
      </c>
      <c r="BD1003" s="2" t="s">
        <v>385</v>
      </c>
      <c r="BE1003" s="9" t="s">
        <v>298</v>
      </c>
      <c r="BF1003" s="55">
        <v>1</v>
      </c>
      <c r="BG1003" s="316">
        <f t="shared" si="695"/>
        <v>1</v>
      </c>
      <c r="BH1003" s="316">
        <f t="shared" si="696"/>
        <v>1</v>
      </c>
      <c r="BI1003" s="316">
        <f t="shared" si="697"/>
        <v>1</v>
      </c>
      <c r="BJ1003" s="316">
        <f t="shared" si="698"/>
        <v>1</v>
      </c>
      <c r="BK1003" s="316">
        <f t="shared" si="699"/>
        <v>1</v>
      </c>
      <c r="BL1003" s="316">
        <f t="shared" si="700"/>
        <v>1</v>
      </c>
      <c r="BM1003" s="316">
        <f t="shared" si="701"/>
        <v>1</v>
      </c>
      <c r="BN1003" s="316">
        <f t="shared" si="702"/>
        <v>1</v>
      </c>
      <c r="BO1003" s="316">
        <f t="shared" si="703"/>
        <v>1</v>
      </c>
      <c r="BP1003" s="316">
        <f t="shared" si="704"/>
        <v>1</v>
      </c>
      <c r="BQ1003" s="5"/>
      <c r="BR1003" s="13"/>
      <c r="BS1003" s="5"/>
    </row>
    <row r="1004" spans="1:71" s="3" customFormat="1" x14ac:dyDescent="0.25">
      <c r="A1004" s="5"/>
      <c r="B1004" s="3" t="str">
        <f t="array" ref="B1004">IFERROR(INDEX(DemandSupply,MATCH(INDEX($AH$1:AH1004,SMALL(ROW($AH$1:AH1004)+(10000*($AH$1:AH1004="")),COUNTA($AH$1:AH1004))),Sectors,0)),"")</f>
        <v>Supply</v>
      </c>
      <c r="E1004" s="10">
        <f t="shared" si="694"/>
        <v>0</v>
      </c>
      <c r="F1004" s="207">
        <v>1</v>
      </c>
      <c r="G1004" s="207">
        <v>1</v>
      </c>
      <c r="H1004" s="207">
        <v>1</v>
      </c>
      <c r="I1004" s="207">
        <v>1</v>
      </c>
      <c r="J1004" s="207">
        <v>1</v>
      </c>
      <c r="K1004" s="207">
        <v>1</v>
      </c>
      <c r="L1004" s="207">
        <v>1</v>
      </c>
      <c r="M1004" s="207">
        <v>1</v>
      </c>
      <c r="N1004" s="207">
        <v>1</v>
      </c>
      <c r="O1004" s="207">
        <v>1</v>
      </c>
      <c r="P1004" s="207">
        <v>1</v>
      </c>
      <c r="Q1004" s="207">
        <v>1</v>
      </c>
      <c r="R1004" s="207">
        <v>1</v>
      </c>
      <c r="S1004" s="207">
        <v>1</v>
      </c>
      <c r="T1004" s="207">
        <v>1</v>
      </c>
      <c r="U1004" s="207">
        <v>1</v>
      </c>
      <c r="V1004" s="207">
        <v>1</v>
      </c>
      <c r="W1004" s="207">
        <v>1</v>
      </c>
      <c r="X1004" s="207">
        <v>1</v>
      </c>
      <c r="Y1004" s="207">
        <v>1</v>
      </c>
      <c r="Z1004" s="207">
        <v>1</v>
      </c>
      <c r="AA1004" s="207">
        <v>1</v>
      </c>
      <c r="AB1004" s="207">
        <v>1</v>
      </c>
      <c r="AC1004" s="5"/>
      <c r="AD1004" s="63"/>
      <c r="AE1004" s="64"/>
      <c r="AF1004" s="64"/>
      <c r="AG1004" s="212"/>
      <c r="AH1004" s="64"/>
      <c r="AI1004" s="65"/>
      <c r="AJ1004" s="227"/>
      <c r="AK1004" s="65"/>
      <c r="AL1004" s="64"/>
      <c r="AM1004" s="212"/>
      <c r="AN1004" s="63"/>
      <c r="AO1004" s="64"/>
      <c r="AP1004" s="63"/>
      <c r="AQ1004" s="64"/>
      <c r="AR1004" s="63"/>
      <c r="AS1004" s="64"/>
      <c r="AT1004" s="63"/>
      <c r="AU1004" s="64"/>
      <c r="AV1004" s="63"/>
      <c r="AW1004" s="64"/>
      <c r="AX1004" s="63"/>
      <c r="AY1004" s="5"/>
      <c r="AZ1004" s="21" t="str">
        <f t="shared" si="692"/>
        <v/>
      </c>
      <c r="BA1004" s="293" t="s">
        <v>51</v>
      </c>
      <c r="BB1004" s="13"/>
      <c r="BC1004" s="2"/>
      <c r="BD1004" s="2"/>
      <c r="BE1004" s="70" t="s">
        <v>299</v>
      </c>
      <c r="BF1004" s="209"/>
      <c r="BG1004" s="209"/>
      <c r="BH1004" s="4"/>
      <c r="BI1004" s="4"/>
      <c r="BJ1004" s="4"/>
      <c r="BK1004" s="4"/>
      <c r="BL1004" s="4"/>
      <c r="BM1004" s="4"/>
      <c r="BN1004" s="4"/>
      <c r="BO1004" s="4"/>
      <c r="BP1004" s="4"/>
      <c r="BQ1004" s="5"/>
      <c r="BR1004" s="13"/>
      <c r="BS1004" s="5"/>
    </row>
    <row r="1005" spans="1:71" s="3" customFormat="1" x14ac:dyDescent="0.25">
      <c r="A1005" s="5"/>
      <c r="B1005" s="3" t="str">
        <f t="array" ref="B1005">IFERROR(INDEX(DemandSupply,MATCH(INDEX($AH$1:AH1005,SMALL(ROW($AH$1:AH1005)+(10000*($AH$1:AH1005="")),COUNTA($AH$1:AH1005))),Sectors,0)),"")</f>
        <v>Supply</v>
      </c>
      <c r="E1005" s="10"/>
      <c r="F1005" s="207"/>
      <c r="G1005" s="207"/>
      <c r="H1005" s="207"/>
      <c r="I1005" s="207"/>
      <c r="J1005" s="207"/>
      <c r="K1005" s="207"/>
      <c r="L1005" s="207"/>
      <c r="M1005" s="207"/>
      <c r="N1005" s="207"/>
      <c r="O1005" s="207"/>
      <c r="P1005" s="207"/>
      <c r="Q1005" s="207"/>
      <c r="R1005" s="207"/>
      <c r="S1005" s="207"/>
      <c r="T1005" s="207"/>
      <c r="U1005" s="207"/>
      <c r="V1005" s="207"/>
      <c r="W1005" s="207"/>
      <c r="X1005" s="207"/>
      <c r="Y1005" s="207"/>
      <c r="Z1005" s="207"/>
      <c r="AA1005" s="207"/>
      <c r="AB1005" s="207"/>
      <c r="AC1005" s="5"/>
      <c r="AD1005" s="63"/>
      <c r="AE1005" s="64"/>
      <c r="AF1005" s="64"/>
      <c r="AG1005" s="212"/>
      <c r="AH1005" s="64"/>
      <c r="AI1005" s="64"/>
      <c r="AJ1005" s="227"/>
      <c r="AK1005" s="64"/>
      <c r="AL1005" s="64"/>
      <c r="AM1005" s="212"/>
      <c r="AN1005" s="64"/>
      <c r="AO1005" s="64"/>
      <c r="AP1005" s="63"/>
      <c r="AQ1005" s="64"/>
      <c r="AR1005" s="63"/>
      <c r="AS1005" s="64"/>
      <c r="AT1005" s="63"/>
      <c r="AU1005" s="64"/>
      <c r="AV1005" s="63"/>
      <c r="AW1005" s="64"/>
      <c r="AX1005" s="63"/>
      <c r="AY1005" s="5"/>
      <c r="AZ1005" s="21" t="str">
        <f t="shared" si="692"/>
        <v/>
      </c>
      <c r="BA1005" s="264" t="s">
        <v>38</v>
      </c>
      <c r="BB1005" s="264"/>
      <c r="BC1005" s="264"/>
      <c r="BD1005" s="264" t="s">
        <v>40</v>
      </c>
      <c r="BE1005" s="9" t="s">
        <v>299</v>
      </c>
      <c r="BF1005" s="309">
        <v>2000</v>
      </c>
      <c r="BG1005" s="312">
        <f t="shared" ref="BG1005:BP1005" si="705">BF1005</f>
        <v>2000</v>
      </c>
      <c r="BH1005" s="312">
        <f t="shared" si="705"/>
        <v>2000</v>
      </c>
      <c r="BI1005" s="312">
        <f t="shared" si="705"/>
        <v>2000</v>
      </c>
      <c r="BJ1005" s="312">
        <f t="shared" si="705"/>
        <v>2000</v>
      </c>
      <c r="BK1005" s="312">
        <f t="shared" si="705"/>
        <v>2000</v>
      </c>
      <c r="BL1005" s="312">
        <f t="shared" si="705"/>
        <v>2000</v>
      </c>
      <c r="BM1005" s="312">
        <f t="shared" si="705"/>
        <v>2000</v>
      </c>
      <c r="BN1005" s="312">
        <f t="shared" si="705"/>
        <v>2000</v>
      </c>
      <c r="BO1005" s="312">
        <f t="shared" si="705"/>
        <v>2000</v>
      </c>
      <c r="BP1005" s="312">
        <f t="shared" si="705"/>
        <v>2000</v>
      </c>
      <c r="BQ1005" s="5"/>
      <c r="BR1005" s="25"/>
      <c r="BS1005" s="5"/>
    </row>
    <row r="1006" spans="1:71" s="3" customFormat="1" x14ac:dyDescent="0.25">
      <c r="A1006" s="5"/>
      <c r="B1006" s="3" t="str">
        <f t="array" ref="B1006">IFERROR(INDEX(DemandSupply,MATCH(INDEX($AH$1:AH1006,SMALL(ROW($AH$1:AH1006)+(10000*($AH$1:AH1006="")),COUNTA($AH$1:AH1006))),Sectors,0)),"")</f>
        <v>Supply</v>
      </c>
      <c r="E1006" s="10"/>
      <c r="F1006" s="207"/>
      <c r="G1006" s="207"/>
      <c r="H1006" s="207"/>
      <c r="I1006" s="207"/>
      <c r="J1006" s="207"/>
      <c r="K1006" s="207"/>
      <c r="L1006" s="207"/>
      <c r="M1006" s="207"/>
      <c r="N1006" s="207"/>
      <c r="O1006" s="207"/>
      <c r="P1006" s="207"/>
      <c r="Q1006" s="207"/>
      <c r="R1006" s="207"/>
      <c r="S1006" s="207"/>
      <c r="T1006" s="207"/>
      <c r="U1006" s="207"/>
      <c r="V1006" s="207"/>
      <c r="W1006" s="207"/>
      <c r="X1006" s="207"/>
      <c r="Y1006" s="207"/>
      <c r="Z1006" s="207"/>
      <c r="AA1006" s="207"/>
      <c r="AB1006" s="207"/>
      <c r="AC1006" s="5"/>
      <c r="AD1006" s="63"/>
      <c r="AE1006" s="64"/>
      <c r="AF1006" s="64"/>
      <c r="AG1006" s="212"/>
      <c r="AH1006" s="64"/>
      <c r="AI1006" s="64"/>
      <c r="AJ1006" s="227"/>
      <c r="AK1006" s="64"/>
      <c r="AL1006" s="64"/>
      <c r="AM1006" s="212"/>
      <c r="AN1006" s="64"/>
      <c r="AO1006" s="64"/>
      <c r="AP1006" s="63"/>
      <c r="AQ1006" s="64"/>
      <c r="AR1006" s="63"/>
      <c r="AS1006" s="64"/>
      <c r="AT1006" s="63"/>
      <c r="AU1006" s="64"/>
      <c r="AV1006" s="63"/>
      <c r="AW1006" s="64"/>
      <c r="AX1006" s="63"/>
      <c r="AY1006" s="5"/>
      <c r="AZ1006" s="21" t="str">
        <f t="shared" si="692"/>
        <v/>
      </c>
      <c r="BA1006" s="264" t="s">
        <v>37</v>
      </c>
      <c r="BB1006" s="264"/>
      <c r="BC1006" s="264"/>
      <c r="BD1006" s="264" t="s">
        <v>40</v>
      </c>
      <c r="BE1006" s="9" t="s">
        <v>299</v>
      </c>
      <c r="BF1006" s="309">
        <v>2100</v>
      </c>
      <c r="BG1006" s="312">
        <f t="shared" ref="BG1006:BP1006" si="706">BF1006</f>
        <v>2100</v>
      </c>
      <c r="BH1006" s="312">
        <f t="shared" si="706"/>
        <v>2100</v>
      </c>
      <c r="BI1006" s="312">
        <f t="shared" si="706"/>
        <v>2100</v>
      </c>
      <c r="BJ1006" s="312">
        <f t="shared" si="706"/>
        <v>2100</v>
      </c>
      <c r="BK1006" s="312">
        <f t="shared" si="706"/>
        <v>2100</v>
      </c>
      <c r="BL1006" s="312">
        <f t="shared" si="706"/>
        <v>2100</v>
      </c>
      <c r="BM1006" s="312">
        <f t="shared" si="706"/>
        <v>2100</v>
      </c>
      <c r="BN1006" s="312">
        <f t="shared" si="706"/>
        <v>2100</v>
      </c>
      <c r="BO1006" s="312">
        <f t="shared" si="706"/>
        <v>2100</v>
      </c>
      <c r="BP1006" s="312">
        <f t="shared" si="706"/>
        <v>2100</v>
      </c>
      <c r="BQ1006" s="5"/>
      <c r="BR1006" s="25"/>
      <c r="BS1006" s="5"/>
    </row>
    <row r="1007" spans="1:71" s="3" customFormat="1" x14ac:dyDescent="0.25">
      <c r="A1007" s="5"/>
      <c r="B1007" s="3" t="str">
        <f t="array" ref="B1007">IFERROR(INDEX(DemandSupply,MATCH(INDEX($AH$1:AH1007,SMALL(ROW($AH$1:AH1007)+(10000*($AH$1:AH1007="")),COUNTA($AH$1:AH1007))),Sectors,0)),"")</f>
        <v>Supply</v>
      </c>
      <c r="E1007" s="10"/>
      <c r="F1007" s="207"/>
      <c r="G1007" s="207"/>
      <c r="H1007" s="207"/>
      <c r="I1007" s="207"/>
      <c r="J1007" s="207"/>
      <c r="K1007" s="207"/>
      <c r="L1007" s="207"/>
      <c r="M1007" s="207"/>
      <c r="N1007" s="207"/>
      <c r="O1007" s="207"/>
      <c r="P1007" s="207"/>
      <c r="Q1007" s="207"/>
      <c r="R1007" s="207"/>
      <c r="S1007" s="207"/>
      <c r="T1007" s="207"/>
      <c r="U1007" s="207"/>
      <c r="V1007" s="207"/>
      <c r="W1007" s="207"/>
      <c r="X1007" s="207"/>
      <c r="Y1007" s="207"/>
      <c r="Z1007" s="207"/>
      <c r="AA1007" s="207"/>
      <c r="AB1007" s="207"/>
      <c r="AC1007" s="5"/>
      <c r="AD1007" s="63"/>
      <c r="AE1007" s="64"/>
      <c r="AF1007" s="64"/>
      <c r="AG1007" s="212"/>
      <c r="AH1007" s="64"/>
      <c r="AI1007" s="64"/>
      <c r="AJ1007" s="227"/>
      <c r="AK1007" s="64"/>
      <c r="AL1007" s="64"/>
      <c r="AM1007" s="212"/>
      <c r="AN1007" s="64"/>
      <c r="AO1007" s="64"/>
      <c r="AP1007" s="63"/>
      <c r="AQ1007" s="64"/>
      <c r="AR1007" s="63"/>
      <c r="AS1007" s="64"/>
      <c r="AT1007" s="63"/>
      <c r="AU1007" s="64"/>
      <c r="AV1007" s="63"/>
      <c r="AW1007" s="64"/>
      <c r="AX1007" s="63"/>
      <c r="AY1007" s="5"/>
      <c r="AZ1007" s="21" t="str">
        <f t="shared" si="692"/>
        <v/>
      </c>
      <c r="BA1007" s="264" t="s">
        <v>39</v>
      </c>
      <c r="BB1007" s="264"/>
      <c r="BC1007" s="264"/>
      <c r="BD1007" s="264" t="s">
        <v>10</v>
      </c>
      <c r="BE1007" s="9" t="s">
        <v>299</v>
      </c>
      <c r="BF1007" s="56">
        <v>50</v>
      </c>
      <c r="BG1007" s="282">
        <f t="shared" ref="BG1007:BP1007" si="707">BF1007</f>
        <v>50</v>
      </c>
      <c r="BH1007" s="282">
        <f t="shared" si="707"/>
        <v>50</v>
      </c>
      <c r="BI1007" s="282">
        <f t="shared" si="707"/>
        <v>50</v>
      </c>
      <c r="BJ1007" s="282">
        <f t="shared" si="707"/>
        <v>50</v>
      </c>
      <c r="BK1007" s="282">
        <f t="shared" si="707"/>
        <v>50</v>
      </c>
      <c r="BL1007" s="282">
        <f t="shared" si="707"/>
        <v>50</v>
      </c>
      <c r="BM1007" s="282">
        <f t="shared" si="707"/>
        <v>50</v>
      </c>
      <c r="BN1007" s="282">
        <f t="shared" si="707"/>
        <v>50</v>
      </c>
      <c r="BO1007" s="282">
        <f t="shared" si="707"/>
        <v>50</v>
      </c>
      <c r="BP1007" s="282">
        <f t="shared" si="707"/>
        <v>50</v>
      </c>
      <c r="BQ1007" s="5"/>
      <c r="BR1007" s="25"/>
      <c r="BS1007" s="5"/>
    </row>
    <row r="1008" spans="1:71" s="3" customFormat="1" x14ac:dyDescent="0.25">
      <c r="A1008" s="5"/>
      <c r="B1008" s="3" t="str">
        <f t="array" ref="B1008">IFERROR(INDEX(DemandSupply,MATCH(INDEX($AH$1:AH1008,SMALL(ROW($AH$1:AH1008)+(10000*($AH$1:AH1008="")),COUNTA($AH$1:AH1008))),Sectors,0)),"")</f>
        <v>Supply</v>
      </c>
      <c r="E1008" s="10"/>
      <c r="F1008" s="207"/>
      <c r="G1008" s="207"/>
      <c r="H1008" s="207"/>
      <c r="I1008" s="207"/>
      <c r="J1008" s="207"/>
      <c r="K1008" s="207"/>
      <c r="L1008" s="207"/>
      <c r="M1008" s="207"/>
      <c r="N1008" s="207"/>
      <c r="O1008" s="207"/>
      <c r="P1008" s="207"/>
      <c r="Q1008" s="207"/>
      <c r="R1008" s="207"/>
      <c r="S1008" s="207"/>
      <c r="T1008" s="207"/>
      <c r="U1008" s="207"/>
      <c r="V1008" s="207"/>
      <c r="W1008" s="207"/>
      <c r="X1008" s="207"/>
      <c r="Y1008" s="207"/>
      <c r="Z1008" s="207"/>
      <c r="AA1008" s="207"/>
      <c r="AB1008" s="207"/>
      <c r="AC1008" s="5"/>
      <c r="AD1008" s="63"/>
      <c r="AE1008" s="64"/>
      <c r="AF1008" s="64"/>
      <c r="AG1008" s="212"/>
      <c r="AH1008" s="64"/>
      <c r="AI1008" s="64"/>
      <c r="AJ1008" s="227"/>
      <c r="AK1008" s="64"/>
      <c r="AL1008" s="64"/>
      <c r="AM1008" s="212"/>
      <c r="AN1008" s="64"/>
      <c r="AO1008" s="64"/>
      <c r="AP1008" s="63"/>
      <c r="AQ1008" s="64"/>
      <c r="AR1008" s="63"/>
      <c r="AS1008" s="64"/>
      <c r="AT1008" s="63"/>
      <c r="AU1008" s="64"/>
      <c r="AV1008" s="63"/>
      <c r="AW1008" s="64"/>
      <c r="AX1008" s="63"/>
      <c r="AY1008" s="5"/>
      <c r="AZ1008" s="21" t="str">
        <f t="shared" si="692"/>
        <v/>
      </c>
      <c r="BA1008" s="264" t="s">
        <v>395</v>
      </c>
      <c r="BB1008" s="264"/>
      <c r="BC1008" s="264"/>
      <c r="BD1008" s="264" t="s">
        <v>10</v>
      </c>
      <c r="BE1008" s="9" t="s">
        <v>299</v>
      </c>
      <c r="BF1008" s="241"/>
      <c r="BG1008" s="241"/>
      <c r="BH1008" s="241"/>
      <c r="BI1008" s="241"/>
      <c r="BJ1008" s="241"/>
      <c r="BK1008" s="241"/>
      <c r="BL1008" s="241"/>
      <c r="BM1008" s="241"/>
      <c r="BN1008" s="241"/>
      <c r="BO1008" s="241"/>
      <c r="BP1008" s="241"/>
      <c r="BQ1008" s="5"/>
      <c r="BR1008" s="25"/>
      <c r="BS1008" s="5"/>
    </row>
    <row r="1009" spans="1:71" s="3" customFormat="1" x14ac:dyDescent="0.25">
      <c r="A1009" s="5"/>
      <c r="B1009" s="3" t="str">
        <f t="array" ref="B1009">IFERROR(INDEX(DemandSupply,MATCH(INDEX($AH$1:AH1009,SMALL(ROW($AH$1:AH1009)+(10000*($AH$1:AH1009="")),COUNTA($AH$1:AH1009))),Sectors,0)),"")</f>
        <v>Supply</v>
      </c>
      <c r="E1009" s="10"/>
      <c r="F1009" s="207"/>
      <c r="G1009" s="207"/>
      <c r="H1009" s="207"/>
      <c r="I1009" s="207"/>
      <c r="J1009" s="207"/>
      <c r="K1009" s="207"/>
      <c r="L1009" s="207"/>
      <c r="M1009" s="207"/>
      <c r="N1009" s="207"/>
      <c r="O1009" s="207"/>
      <c r="P1009" s="207"/>
      <c r="Q1009" s="207"/>
      <c r="R1009" s="207"/>
      <c r="S1009" s="207"/>
      <c r="T1009" s="207"/>
      <c r="U1009" s="207"/>
      <c r="V1009" s="207"/>
      <c r="W1009" s="207"/>
      <c r="X1009" s="207"/>
      <c r="Y1009" s="207"/>
      <c r="Z1009" s="207"/>
      <c r="AA1009" s="207"/>
      <c r="AB1009" s="207"/>
      <c r="AC1009" s="5"/>
      <c r="AD1009" s="63"/>
      <c r="AE1009" s="64"/>
      <c r="AF1009" s="64"/>
      <c r="AG1009" s="212"/>
      <c r="AH1009" s="64"/>
      <c r="AI1009" s="64"/>
      <c r="AJ1009" s="227"/>
      <c r="AK1009" s="64"/>
      <c r="AL1009" s="64"/>
      <c r="AM1009" s="212"/>
      <c r="AN1009" s="64"/>
      <c r="AO1009" s="64"/>
      <c r="AP1009" s="63"/>
      <c r="AQ1009" s="64"/>
      <c r="AR1009" s="63"/>
      <c r="AS1009" s="64"/>
      <c r="AT1009" s="63"/>
      <c r="AU1009" s="64"/>
      <c r="AV1009" s="63"/>
      <c r="AW1009" s="64"/>
      <c r="AX1009" s="63"/>
      <c r="AY1009" s="5"/>
      <c r="AZ1009" s="21" t="str">
        <f t="shared" si="692"/>
        <v/>
      </c>
      <c r="BA1009" s="264" t="s">
        <v>341</v>
      </c>
      <c r="BB1009" s="264"/>
      <c r="BC1009" s="264"/>
      <c r="BD1009" s="264" t="s">
        <v>99</v>
      </c>
      <c r="BE1009" s="9" t="s">
        <v>299</v>
      </c>
      <c r="BF1009" s="303">
        <v>0.125</v>
      </c>
      <c r="BG1009" s="306">
        <f t="shared" ref="BG1009:BP1009" si="708">BF1009</f>
        <v>0.125</v>
      </c>
      <c r="BH1009" s="306">
        <f t="shared" si="708"/>
        <v>0.125</v>
      </c>
      <c r="BI1009" s="306">
        <f t="shared" si="708"/>
        <v>0.125</v>
      </c>
      <c r="BJ1009" s="306">
        <f t="shared" si="708"/>
        <v>0.125</v>
      </c>
      <c r="BK1009" s="306">
        <f t="shared" si="708"/>
        <v>0.125</v>
      </c>
      <c r="BL1009" s="306">
        <f t="shared" si="708"/>
        <v>0.125</v>
      </c>
      <c r="BM1009" s="306">
        <f t="shared" si="708"/>
        <v>0.125</v>
      </c>
      <c r="BN1009" s="306">
        <f t="shared" si="708"/>
        <v>0.125</v>
      </c>
      <c r="BO1009" s="306">
        <f t="shared" si="708"/>
        <v>0.125</v>
      </c>
      <c r="BP1009" s="306">
        <f t="shared" si="708"/>
        <v>0.125</v>
      </c>
      <c r="BQ1009" s="5"/>
      <c r="BR1009" s="25"/>
      <c r="BS1009" s="5"/>
    </row>
    <row r="1010" spans="1:71" s="3" customFormat="1" x14ac:dyDescent="0.25">
      <c r="A1010" s="5"/>
      <c r="B1010" s="3" t="str">
        <f t="array" ref="B1010">IFERROR(INDEX(DemandSupply,MATCH(INDEX($AH$1:AH1010,SMALL(ROW($AH$1:AH1010)+(10000*($AH$1:AH1010="")),COUNTA($AH$1:AH1010))),Sectors,0)),"")</f>
        <v>Supply</v>
      </c>
      <c r="E1010" s="10"/>
      <c r="F1010" s="207"/>
      <c r="G1010" s="207"/>
      <c r="H1010" s="207"/>
      <c r="I1010" s="207"/>
      <c r="J1010" s="207"/>
      <c r="K1010" s="207"/>
      <c r="L1010" s="207"/>
      <c r="M1010" s="207"/>
      <c r="N1010" s="207"/>
      <c r="O1010" s="207"/>
      <c r="P1010" s="207"/>
      <c r="Q1010" s="207"/>
      <c r="R1010" s="207"/>
      <c r="S1010" s="207"/>
      <c r="T1010" s="207"/>
      <c r="U1010" s="207"/>
      <c r="V1010" s="207"/>
      <c r="W1010" s="207"/>
      <c r="X1010" s="207"/>
      <c r="Y1010" s="207"/>
      <c r="Z1010" s="207"/>
      <c r="AA1010" s="207"/>
      <c r="AB1010" s="207"/>
      <c r="AC1010" s="5"/>
      <c r="AD1010" s="63"/>
      <c r="AE1010" s="64"/>
      <c r="AF1010" s="64"/>
      <c r="AG1010" s="212"/>
      <c r="AH1010" s="64"/>
      <c r="AI1010" s="64"/>
      <c r="AJ1010" s="227"/>
      <c r="AK1010" s="64"/>
      <c r="AL1010" s="64"/>
      <c r="AM1010" s="212"/>
      <c r="AN1010" s="64"/>
      <c r="AO1010" s="64"/>
      <c r="AP1010" s="63"/>
      <c r="AQ1010" s="64"/>
      <c r="AR1010" s="63"/>
      <c r="AS1010" s="64"/>
      <c r="AT1010" s="63"/>
      <c r="AU1010" s="64"/>
      <c r="AV1010" s="63"/>
      <c r="AW1010" s="64"/>
      <c r="AX1010" s="63"/>
      <c r="AY1010" s="5"/>
      <c r="AZ1010" s="21" t="str">
        <f t="shared" si="692"/>
        <v/>
      </c>
      <c r="BA1010" s="264" t="s">
        <v>392</v>
      </c>
      <c r="BB1010" s="264"/>
      <c r="BC1010" s="264"/>
      <c r="BD1010" s="264" t="s">
        <v>99</v>
      </c>
      <c r="BE1010" s="9" t="s">
        <v>299</v>
      </c>
      <c r="BF1010" s="303"/>
      <c r="BG1010" s="303"/>
      <c r="BH1010" s="303"/>
      <c r="BI1010" s="303"/>
      <c r="BJ1010" s="303"/>
      <c r="BK1010" s="303"/>
      <c r="BL1010" s="303"/>
      <c r="BM1010" s="303"/>
      <c r="BN1010" s="303"/>
      <c r="BO1010" s="303"/>
      <c r="BP1010" s="303"/>
      <c r="BQ1010" s="5"/>
      <c r="BR1010" s="25"/>
      <c r="BS1010" s="5"/>
    </row>
    <row r="1011" spans="1:71" s="3" customFormat="1" x14ac:dyDescent="0.25">
      <c r="A1011" s="5"/>
      <c r="B1011" s="3" t="str">
        <f t="array" ref="B1011">IFERROR(INDEX(DemandSupply,MATCH(INDEX($AH$1:AH1011,SMALL(ROW($AH$1:AH1011)+(10000*($AH$1:AH1011="")),COUNTA($AH$1:AH1011))),Sectors,0)),"")</f>
        <v>Supply</v>
      </c>
      <c r="E1011" s="10"/>
      <c r="F1011" s="207"/>
      <c r="G1011" s="207"/>
      <c r="H1011" s="207"/>
      <c r="I1011" s="207"/>
      <c r="J1011" s="207"/>
      <c r="K1011" s="207"/>
      <c r="L1011" s="207"/>
      <c r="M1011" s="207"/>
      <c r="N1011" s="207"/>
      <c r="O1011" s="207"/>
      <c r="P1011" s="207"/>
      <c r="Q1011" s="207"/>
      <c r="R1011" s="207"/>
      <c r="S1011" s="207"/>
      <c r="T1011" s="207"/>
      <c r="U1011" s="207"/>
      <c r="V1011" s="207"/>
      <c r="W1011" s="207"/>
      <c r="X1011" s="207"/>
      <c r="Y1011" s="207"/>
      <c r="Z1011" s="207"/>
      <c r="AA1011" s="207"/>
      <c r="AB1011" s="207"/>
      <c r="AC1011" s="5"/>
      <c r="AD1011" s="63"/>
      <c r="AE1011" s="64"/>
      <c r="AF1011" s="64"/>
      <c r="AG1011" s="212"/>
      <c r="AH1011" s="64"/>
      <c r="AI1011" s="64"/>
      <c r="AJ1011" s="227"/>
      <c r="AK1011" s="64"/>
      <c r="AL1011" s="64"/>
      <c r="AM1011" s="212"/>
      <c r="AN1011" s="64"/>
      <c r="AO1011" s="64"/>
      <c r="AP1011" s="63"/>
      <c r="AQ1011" s="64"/>
      <c r="AR1011" s="63"/>
      <c r="AS1011" s="64"/>
      <c r="AT1011" s="63"/>
      <c r="AU1011" s="64"/>
      <c r="AV1011" s="63"/>
      <c r="AW1011" s="64"/>
      <c r="AX1011" s="63"/>
      <c r="AY1011" s="5"/>
      <c r="AZ1011" s="21" t="str">
        <f t="shared" si="692"/>
        <v/>
      </c>
      <c r="BA1011" s="264" t="s">
        <v>391</v>
      </c>
      <c r="BB1011" s="264"/>
      <c r="BC1011" s="264"/>
      <c r="BD1011" s="264" t="s">
        <v>99</v>
      </c>
      <c r="BE1011" s="9" t="s">
        <v>299</v>
      </c>
      <c r="BF1011" s="303"/>
      <c r="BG1011" s="303"/>
      <c r="BH1011" s="303"/>
      <c r="BI1011" s="303"/>
      <c r="BJ1011" s="303"/>
      <c r="BK1011" s="303"/>
      <c r="BL1011" s="303"/>
      <c r="BM1011" s="303"/>
      <c r="BN1011" s="303"/>
      <c r="BO1011" s="303"/>
      <c r="BP1011" s="303"/>
      <c r="BQ1011" s="5"/>
      <c r="BR1011" s="25"/>
      <c r="BS1011" s="5"/>
    </row>
    <row r="1012" spans="1:71" s="3" customFormat="1" x14ac:dyDescent="0.25">
      <c r="A1012" s="5"/>
      <c r="B1012" s="3" t="str">
        <f t="array" ref="B1012">IFERROR(INDEX(DemandSupply,MATCH(INDEX($AH$1:AH1012,SMALL(ROW($AH$1:AH1012)+(10000*($AH$1:AH1012="")),COUNTA($AH$1:AH1012))),Sectors,0)),"")</f>
        <v>Supply</v>
      </c>
      <c r="E1012" s="10"/>
      <c r="F1012" s="207"/>
      <c r="G1012" s="207"/>
      <c r="H1012" s="207"/>
      <c r="I1012" s="207"/>
      <c r="J1012" s="207"/>
      <c r="K1012" s="207"/>
      <c r="L1012" s="207"/>
      <c r="M1012" s="207"/>
      <c r="N1012" s="207"/>
      <c r="O1012" s="207"/>
      <c r="P1012" s="207"/>
      <c r="Q1012" s="207"/>
      <c r="R1012" s="207"/>
      <c r="S1012" s="207"/>
      <c r="T1012" s="207"/>
      <c r="U1012" s="207"/>
      <c r="V1012" s="207"/>
      <c r="W1012" s="207"/>
      <c r="X1012" s="207"/>
      <c r="Y1012" s="207"/>
      <c r="Z1012" s="207"/>
      <c r="AA1012" s="207"/>
      <c r="AB1012" s="207"/>
      <c r="AC1012" s="5"/>
      <c r="AD1012" s="63"/>
      <c r="AE1012" s="64"/>
      <c r="AF1012" s="64"/>
      <c r="AG1012" s="212"/>
      <c r="AH1012" s="64"/>
      <c r="AI1012" s="64"/>
      <c r="AJ1012" s="227"/>
      <c r="AK1012" s="64"/>
      <c r="AL1012" s="64"/>
      <c r="AM1012" s="212"/>
      <c r="AN1012" s="64"/>
      <c r="AO1012" s="64"/>
      <c r="AP1012" s="63"/>
      <c r="AQ1012" s="64"/>
      <c r="AR1012" s="63"/>
      <c r="AS1012" s="64"/>
      <c r="AT1012" s="63"/>
      <c r="AU1012" s="64"/>
      <c r="AV1012" s="63"/>
      <c r="AW1012" s="64"/>
      <c r="AX1012" s="63"/>
      <c r="AY1012" s="5"/>
      <c r="AZ1012" s="21" t="str">
        <f t="shared" si="692"/>
        <v/>
      </c>
      <c r="BA1012" s="264" t="s">
        <v>144</v>
      </c>
      <c r="BB1012" s="264"/>
      <c r="BC1012" s="264"/>
      <c r="BD1012" s="264" t="s">
        <v>219</v>
      </c>
      <c r="BE1012" s="9" t="s">
        <v>299</v>
      </c>
      <c r="BF1012" s="56"/>
      <c r="BG1012" s="56"/>
      <c r="BH1012" s="56"/>
      <c r="BI1012" s="56"/>
      <c r="BJ1012" s="56"/>
      <c r="BK1012" s="56"/>
      <c r="BL1012" s="56"/>
      <c r="BM1012" s="56"/>
      <c r="BN1012" s="56"/>
      <c r="BO1012" s="56"/>
      <c r="BP1012" s="56"/>
      <c r="BQ1012" s="5"/>
      <c r="BR1012" s="25"/>
      <c r="BS1012" s="5"/>
    </row>
    <row r="1013" spans="1:71" s="3" customFormat="1" x14ac:dyDescent="0.25">
      <c r="A1013" s="5"/>
      <c r="B1013" s="3" t="str">
        <f t="array" ref="B1013">IFERROR(INDEX(DemandSupply,MATCH(INDEX($AH$1:AH1013,SMALL(ROW($AH$1:AH1013)+(10000*($AH$1:AH1013="")),COUNTA($AH$1:AH1013))),Sectors,0)),"")</f>
        <v>Supply</v>
      </c>
      <c r="E1013" s="10"/>
      <c r="F1013" s="207"/>
      <c r="G1013" s="207"/>
      <c r="H1013" s="207"/>
      <c r="I1013" s="207"/>
      <c r="J1013" s="207"/>
      <c r="K1013" s="207"/>
      <c r="L1013" s="207"/>
      <c r="M1013" s="207"/>
      <c r="N1013" s="207"/>
      <c r="O1013" s="207"/>
      <c r="P1013" s="207"/>
      <c r="Q1013" s="207"/>
      <c r="R1013" s="207"/>
      <c r="S1013" s="207"/>
      <c r="T1013" s="207"/>
      <c r="U1013" s="207"/>
      <c r="V1013" s="207"/>
      <c r="W1013" s="207"/>
      <c r="X1013" s="207"/>
      <c r="Y1013" s="207"/>
      <c r="Z1013" s="207"/>
      <c r="AA1013" s="207"/>
      <c r="AB1013" s="207"/>
      <c r="AC1013" s="5"/>
      <c r="AD1013" s="63"/>
      <c r="AE1013" s="64"/>
      <c r="AF1013" s="64"/>
      <c r="AG1013" s="212"/>
      <c r="AH1013" s="64"/>
      <c r="AI1013" s="64"/>
      <c r="AJ1013" s="227"/>
      <c r="AK1013" s="64"/>
      <c r="AL1013" s="64"/>
      <c r="AM1013" s="212"/>
      <c r="AN1013" s="64"/>
      <c r="AO1013" s="64"/>
      <c r="AP1013" s="63"/>
      <c r="AQ1013" s="64"/>
      <c r="AR1013" s="63"/>
      <c r="AS1013" s="64"/>
      <c r="AT1013" s="63"/>
      <c r="AU1013" s="64"/>
      <c r="AV1013" s="63"/>
      <c r="AW1013" s="64"/>
      <c r="AX1013" s="63"/>
      <c r="AY1013" s="5"/>
      <c r="AZ1013" s="21" t="str">
        <f t="shared" si="692"/>
        <v/>
      </c>
      <c r="BA1013" s="264" t="s">
        <v>76</v>
      </c>
      <c r="BB1013" s="264"/>
      <c r="BC1013" s="264"/>
      <c r="BD1013" s="264" t="s">
        <v>99</v>
      </c>
      <c r="BE1013" s="9" t="s">
        <v>299</v>
      </c>
      <c r="BF1013" s="303">
        <v>0.1</v>
      </c>
      <c r="BG1013" s="303"/>
      <c r="BH1013" s="303"/>
      <c r="BI1013" s="303"/>
      <c r="BJ1013" s="303"/>
      <c r="BK1013" s="303"/>
      <c r="BL1013" s="303"/>
      <c r="BM1013" s="303"/>
      <c r="BN1013" s="303"/>
      <c r="BO1013" s="303"/>
      <c r="BP1013" s="303"/>
      <c r="BQ1013" s="5"/>
      <c r="BR1013" s="25"/>
      <c r="BS1013" s="5"/>
    </row>
    <row r="1014" spans="1:71" s="3" customFormat="1" x14ac:dyDescent="0.25">
      <c r="A1014" s="5"/>
      <c r="B1014" s="3" t="str">
        <f t="array" ref="B1014">IFERROR(INDEX(DemandSupply,MATCH(INDEX($AH$1:AH1014,SMALL(ROW($AH$1:AH1014)+(10000*($AH$1:AH1014="")),COUNTA($AH$1:AH1014))),Sectors,0)),"")</f>
        <v>Supply</v>
      </c>
      <c r="E1014" s="10"/>
      <c r="F1014" s="207"/>
      <c r="G1014" s="207"/>
      <c r="H1014" s="207"/>
      <c r="I1014" s="207"/>
      <c r="J1014" s="207"/>
      <c r="K1014" s="207"/>
      <c r="L1014" s="207"/>
      <c r="M1014" s="207"/>
      <c r="N1014" s="207"/>
      <c r="O1014" s="207"/>
      <c r="P1014" s="207"/>
      <c r="Q1014" s="207"/>
      <c r="R1014" s="207"/>
      <c r="S1014" s="207"/>
      <c r="T1014" s="207"/>
      <c r="U1014" s="207"/>
      <c r="V1014" s="207"/>
      <c r="W1014" s="207"/>
      <c r="X1014" s="207"/>
      <c r="Y1014" s="207"/>
      <c r="Z1014" s="207"/>
      <c r="AA1014" s="207"/>
      <c r="AB1014" s="207"/>
      <c r="AC1014" s="5"/>
      <c r="AD1014" s="63"/>
      <c r="AE1014" s="64"/>
      <c r="AF1014" s="64"/>
      <c r="AG1014" s="212"/>
      <c r="AH1014" s="64"/>
      <c r="AI1014" s="64"/>
      <c r="AJ1014" s="227"/>
      <c r="AK1014" s="64"/>
      <c r="AL1014" s="64"/>
      <c r="AM1014" s="212"/>
      <c r="AN1014" s="64"/>
      <c r="AO1014" s="64"/>
      <c r="AP1014" s="63"/>
      <c r="AQ1014" s="64"/>
      <c r="AR1014" s="63"/>
      <c r="AS1014" s="64"/>
      <c r="AT1014" s="63"/>
      <c r="AU1014" s="64"/>
      <c r="AV1014" s="63"/>
      <c r="AW1014" s="64"/>
      <c r="AX1014" s="63"/>
      <c r="AY1014" s="5"/>
      <c r="AZ1014" s="21" t="str">
        <f t="shared" si="692"/>
        <v/>
      </c>
      <c r="BA1014" s="75" t="s">
        <v>166</v>
      </c>
      <c r="BB1014" s="75"/>
      <c r="BC1014" s="270"/>
      <c r="BD1014" s="75" t="s">
        <v>99</v>
      </c>
      <c r="BE1014" s="9" t="s">
        <v>299</v>
      </c>
      <c r="BF1014" s="303"/>
      <c r="BG1014" s="303"/>
      <c r="BH1014" s="303"/>
      <c r="BI1014" s="303"/>
      <c r="BJ1014" s="303"/>
      <c r="BK1014" s="303"/>
      <c r="BL1014" s="303"/>
      <c r="BM1014" s="303"/>
      <c r="BN1014" s="303"/>
      <c r="BO1014" s="303"/>
      <c r="BP1014" s="303"/>
      <c r="BQ1014" s="5"/>
      <c r="BR1014" s="25"/>
      <c r="BS1014" s="5"/>
    </row>
    <row r="1015" spans="1:71" s="3" customFormat="1" x14ac:dyDescent="0.25">
      <c r="A1015" s="5"/>
      <c r="B1015" s="3" t="str">
        <f t="array" ref="B1015">IFERROR(INDEX(DemandSupply,MATCH(INDEX($AH$1:AH1015,SMALL(ROW($AH$1:AH1015)+(10000*($AH$1:AH1015="")),COUNTA($AH$1:AH1015))),Sectors,0)),"")</f>
        <v>Supply</v>
      </c>
      <c r="E1015" s="10"/>
      <c r="F1015" s="207"/>
      <c r="G1015" s="207"/>
      <c r="H1015" s="207"/>
      <c r="I1015" s="207"/>
      <c r="J1015" s="207"/>
      <c r="K1015" s="207"/>
      <c r="L1015" s="207"/>
      <c r="M1015" s="207"/>
      <c r="N1015" s="207"/>
      <c r="O1015" s="207"/>
      <c r="P1015" s="207"/>
      <c r="Q1015" s="207"/>
      <c r="R1015" s="207"/>
      <c r="S1015" s="207"/>
      <c r="T1015" s="207"/>
      <c r="U1015" s="207"/>
      <c r="V1015" s="207"/>
      <c r="W1015" s="207"/>
      <c r="X1015" s="207"/>
      <c r="Y1015" s="207"/>
      <c r="Z1015" s="207"/>
      <c r="AA1015" s="207"/>
      <c r="AB1015" s="207"/>
      <c r="AC1015" s="5"/>
      <c r="AD1015" s="63"/>
      <c r="AE1015" s="64"/>
      <c r="AF1015" s="64"/>
      <c r="AG1015" s="212"/>
      <c r="AH1015" s="64"/>
      <c r="AI1015" s="64"/>
      <c r="AJ1015" s="227"/>
      <c r="AK1015" s="64"/>
      <c r="AL1015" s="64"/>
      <c r="AM1015" s="212"/>
      <c r="AN1015" s="64"/>
      <c r="AO1015" s="64"/>
      <c r="AP1015" s="63"/>
      <c r="AQ1015" s="64"/>
      <c r="AR1015" s="63"/>
      <c r="AS1015" s="64"/>
      <c r="AT1015" s="63"/>
      <c r="AU1015" s="64"/>
      <c r="AV1015" s="63"/>
      <c r="AW1015" s="64"/>
      <c r="AX1015" s="63"/>
      <c r="AY1015" s="5"/>
      <c r="AZ1015" s="21" t="str">
        <f t="shared" si="692"/>
        <v/>
      </c>
      <c r="BA1015" s="75" t="s">
        <v>167</v>
      </c>
      <c r="BB1015" s="75"/>
      <c r="BC1015" s="270"/>
      <c r="BD1015" s="75" t="s">
        <v>99</v>
      </c>
      <c r="BE1015" s="9" t="s">
        <v>299</v>
      </c>
      <c r="BF1015" s="303"/>
      <c r="BG1015" s="303"/>
      <c r="BH1015" s="303"/>
      <c r="BI1015" s="303"/>
      <c r="BJ1015" s="303"/>
      <c r="BK1015" s="303"/>
      <c r="BL1015" s="303"/>
      <c r="BM1015" s="303"/>
      <c r="BN1015" s="303"/>
      <c r="BO1015" s="303"/>
      <c r="BP1015" s="303"/>
      <c r="BQ1015" s="5"/>
      <c r="BR1015" s="25"/>
      <c r="BS1015" s="5"/>
    </row>
    <row r="1016" spans="1:71" s="3" customFormat="1" x14ac:dyDescent="0.25">
      <c r="A1016" s="5"/>
      <c r="B1016" s="3" t="str">
        <f t="array" ref="B1016">IFERROR(INDEX(DemandSupply,MATCH(INDEX($AH$1:AH1016,SMALL(ROW($AH$1:AH1016)+(10000*($AH$1:AH1016="")),COUNTA($AH$1:AH1016))),Sectors,0)),"")</f>
        <v>Supply</v>
      </c>
      <c r="E1016" s="10"/>
      <c r="F1016" s="207"/>
      <c r="G1016" s="207"/>
      <c r="H1016" s="207"/>
      <c r="I1016" s="207"/>
      <c r="J1016" s="207"/>
      <c r="K1016" s="207"/>
      <c r="L1016" s="207"/>
      <c r="M1016" s="207"/>
      <c r="N1016" s="207"/>
      <c r="O1016" s="207"/>
      <c r="P1016" s="207"/>
      <c r="Q1016" s="207"/>
      <c r="R1016" s="207"/>
      <c r="S1016" s="207"/>
      <c r="T1016" s="207"/>
      <c r="U1016" s="207"/>
      <c r="V1016" s="207"/>
      <c r="W1016" s="207"/>
      <c r="X1016" s="207"/>
      <c r="Y1016" s="207"/>
      <c r="Z1016" s="207"/>
      <c r="AA1016" s="207"/>
      <c r="AB1016" s="207"/>
      <c r="AC1016" s="5"/>
      <c r="AD1016" s="63"/>
      <c r="AE1016" s="64"/>
      <c r="AF1016" s="64"/>
      <c r="AG1016" s="212"/>
      <c r="AH1016" s="64"/>
      <c r="AI1016" s="64"/>
      <c r="AJ1016" s="227"/>
      <c r="AK1016" s="64"/>
      <c r="AL1016" s="64"/>
      <c r="AM1016" s="212"/>
      <c r="AN1016" s="64"/>
      <c r="AO1016" s="64"/>
      <c r="AP1016" s="63"/>
      <c r="AQ1016" s="64"/>
      <c r="AR1016" s="63"/>
      <c r="AS1016" s="64"/>
      <c r="AT1016" s="63"/>
      <c r="AU1016" s="64"/>
      <c r="AV1016" s="63"/>
      <c r="AW1016" s="64"/>
      <c r="AX1016" s="63"/>
      <c r="AY1016" s="5"/>
      <c r="AZ1016" s="21" t="str">
        <f t="shared" si="692"/>
        <v/>
      </c>
      <c r="BA1016" s="75" t="s">
        <v>408</v>
      </c>
      <c r="BB1016" s="75"/>
      <c r="BC1016" s="270"/>
      <c r="BD1016" s="75" t="s">
        <v>99</v>
      </c>
      <c r="BE1016" s="9" t="s">
        <v>299</v>
      </c>
      <c r="BF1016" s="303"/>
      <c r="BG1016" s="303"/>
      <c r="BH1016" s="303"/>
      <c r="BI1016" s="303"/>
      <c r="BJ1016" s="303"/>
      <c r="BK1016" s="303"/>
      <c r="BL1016" s="303"/>
      <c r="BM1016" s="303"/>
      <c r="BN1016" s="303"/>
      <c r="BO1016" s="303"/>
      <c r="BP1016" s="303"/>
      <c r="BQ1016" s="5"/>
      <c r="BR1016" s="25"/>
      <c r="BS1016" s="5"/>
    </row>
    <row r="1017" spans="1:71" s="3" customFormat="1" x14ac:dyDescent="0.25">
      <c r="A1017" s="5"/>
      <c r="B1017" s="3" t="str">
        <f t="array" ref="B1017">IFERROR(INDEX(DemandSupply,MATCH(INDEX($AH$1:AH1017,SMALL(ROW($AH$1:AH1017)+(10000*($AH$1:AH1017="")),COUNTA($AH$1:AH1017))),Sectors,0)),"")</f>
        <v>Supply</v>
      </c>
      <c r="E1017" s="10"/>
      <c r="F1017" s="207"/>
      <c r="G1017" s="207"/>
      <c r="H1017" s="207"/>
      <c r="I1017" s="207"/>
      <c r="J1017" s="207"/>
      <c r="K1017" s="207"/>
      <c r="L1017" s="207"/>
      <c r="M1017" s="207"/>
      <c r="N1017" s="207"/>
      <c r="O1017" s="207"/>
      <c r="P1017" s="207"/>
      <c r="Q1017" s="207"/>
      <c r="R1017" s="207"/>
      <c r="S1017" s="207"/>
      <c r="T1017" s="207"/>
      <c r="U1017" s="207"/>
      <c r="V1017" s="207"/>
      <c r="W1017" s="207"/>
      <c r="X1017" s="207"/>
      <c r="Y1017" s="207"/>
      <c r="Z1017" s="207"/>
      <c r="AA1017" s="207"/>
      <c r="AB1017" s="207"/>
      <c r="AC1017" s="5"/>
      <c r="AD1017" s="63"/>
      <c r="AE1017" s="64"/>
      <c r="AF1017" s="64"/>
      <c r="AG1017" s="212"/>
      <c r="AH1017" s="64"/>
      <c r="AI1017" s="64"/>
      <c r="AJ1017" s="227"/>
      <c r="AK1017" s="64"/>
      <c r="AL1017" s="64"/>
      <c r="AM1017" s="212"/>
      <c r="AN1017" s="64"/>
      <c r="AO1017" s="64"/>
      <c r="AP1017" s="63"/>
      <c r="AQ1017" s="64"/>
      <c r="AR1017" s="63"/>
      <c r="AS1017" s="64"/>
      <c r="AT1017" s="63"/>
      <c r="AU1017" s="64"/>
      <c r="AV1017" s="63"/>
      <c r="AW1017" s="64"/>
      <c r="AX1017" s="63"/>
      <c r="AY1017" s="5"/>
      <c r="AZ1017" s="21" t="str">
        <f t="shared" si="692"/>
        <v/>
      </c>
      <c r="BA1017" s="75" t="s">
        <v>409</v>
      </c>
      <c r="BB1017" s="75"/>
      <c r="BC1017" s="270"/>
      <c r="BD1017" s="75" t="s">
        <v>99</v>
      </c>
      <c r="BE1017" s="9" t="s">
        <v>299</v>
      </c>
      <c r="BF1017" s="303"/>
      <c r="BG1017" s="303"/>
      <c r="BH1017" s="303"/>
      <c r="BI1017" s="303"/>
      <c r="BJ1017" s="303"/>
      <c r="BK1017" s="303"/>
      <c r="BL1017" s="303"/>
      <c r="BM1017" s="303"/>
      <c r="BN1017" s="303"/>
      <c r="BO1017" s="303"/>
      <c r="BP1017" s="303"/>
      <c r="BQ1017" s="5"/>
      <c r="BR1017" s="25"/>
      <c r="BS1017" s="5"/>
    </row>
    <row r="1018" spans="1:71" s="3" customFormat="1" x14ac:dyDescent="0.25">
      <c r="A1018" s="5"/>
      <c r="B1018" s="3" t="str">
        <f t="array" ref="B1018">IFERROR(INDEX(DemandSupply,MATCH(INDEX($AH$1:AH1018,SMALL(ROW($AH$1:AH1018)+(10000*($AH$1:AH1018="")),COUNTA($AH$1:AH1018))),Sectors,0)),"")</f>
        <v>Supply</v>
      </c>
      <c r="E1018" s="10"/>
      <c r="F1018" s="207"/>
      <c r="G1018" s="207"/>
      <c r="H1018" s="207"/>
      <c r="I1018" s="207"/>
      <c r="J1018" s="207"/>
      <c r="K1018" s="207"/>
      <c r="L1018" s="207"/>
      <c r="M1018" s="207"/>
      <c r="N1018" s="207"/>
      <c r="O1018" s="207"/>
      <c r="P1018" s="207"/>
      <c r="Q1018" s="207"/>
      <c r="R1018" s="207"/>
      <c r="S1018" s="207"/>
      <c r="T1018" s="207"/>
      <c r="U1018" s="207"/>
      <c r="V1018" s="207"/>
      <c r="W1018" s="207"/>
      <c r="X1018" s="207"/>
      <c r="Y1018" s="207"/>
      <c r="Z1018" s="207"/>
      <c r="AA1018" s="207"/>
      <c r="AB1018" s="207"/>
      <c r="AC1018" s="5"/>
      <c r="AD1018" s="63"/>
      <c r="AE1018" s="64"/>
      <c r="AF1018" s="64"/>
      <c r="AG1018" s="212"/>
      <c r="AH1018" s="64"/>
      <c r="AI1018" s="64"/>
      <c r="AJ1018" s="227"/>
      <c r="AK1018" s="64"/>
      <c r="AL1018" s="64"/>
      <c r="AM1018" s="212"/>
      <c r="AN1018" s="64"/>
      <c r="AO1018" s="64"/>
      <c r="AP1018" s="63"/>
      <c r="AQ1018" s="64"/>
      <c r="AR1018" s="63"/>
      <c r="AS1018" s="64"/>
      <c r="AT1018" s="63"/>
      <c r="AU1018" s="64"/>
      <c r="AV1018" s="63"/>
      <c r="AW1018" s="64"/>
      <c r="AX1018" s="63"/>
      <c r="AY1018" s="5"/>
      <c r="AZ1018" s="21" t="str">
        <f t="shared" si="692"/>
        <v/>
      </c>
      <c r="BA1018" s="264" t="s">
        <v>371</v>
      </c>
      <c r="BB1018" s="264"/>
      <c r="BC1018" s="264"/>
      <c r="BD1018" s="264" t="s">
        <v>219</v>
      </c>
      <c r="BE1018" s="9" t="s">
        <v>299</v>
      </c>
      <c r="BF1018" s="56">
        <f>300*8760*0.55</f>
        <v>1445400.0000000002</v>
      </c>
      <c r="BG1018" s="282">
        <f t="shared" ref="BG1018:BP1018" si="709">BF1018</f>
        <v>1445400.0000000002</v>
      </c>
      <c r="BH1018" s="282">
        <f t="shared" si="709"/>
        <v>1445400.0000000002</v>
      </c>
      <c r="BI1018" s="282">
        <f t="shared" si="709"/>
        <v>1445400.0000000002</v>
      </c>
      <c r="BJ1018" s="282">
        <f t="shared" si="709"/>
        <v>1445400.0000000002</v>
      </c>
      <c r="BK1018" s="282">
        <f t="shared" si="709"/>
        <v>1445400.0000000002</v>
      </c>
      <c r="BL1018" s="282">
        <f t="shared" si="709"/>
        <v>1445400.0000000002</v>
      </c>
      <c r="BM1018" s="282">
        <f t="shared" si="709"/>
        <v>1445400.0000000002</v>
      </c>
      <c r="BN1018" s="282">
        <f t="shared" si="709"/>
        <v>1445400.0000000002</v>
      </c>
      <c r="BO1018" s="282">
        <f t="shared" si="709"/>
        <v>1445400.0000000002</v>
      </c>
      <c r="BP1018" s="282">
        <f t="shared" si="709"/>
        <v>1445400.0000000002</v>
      </c>
      <c r="BQ1018" s="5"/>
      <c r="BR1018" s="25"/>
      <c r="BS1018" s="5"/>
    </row>
    <row r="1019" spans="1:71" s="3" customFormat="1" x14ac:dyDescent="0.25">
      <c r="A1019" s="5"/>
      <c r="B1019" s="3" t="str">
        <f t="array" ref="B1019">IFERROR(INDEX(DemandSupply,MATCH(INDEX($AH$1:AH1019,SMALL(ROW($AH$1:AH1019)+(10000*($AH$1:AH1019="")),COUNTA($AH$1:AH1019))),Sectors,0)),"")</f>
        <v>Supply</v>
      </c>
      <c r="E1019" s="10"/>
      <c r="F1019" s="207"/>
      <c r="G1019" s="207"/>
      <c r="H1019" s="207"/>
      <c r="I1019" s="207"/>
      <c r="J1019" s="207"/>
      <c r="K1019" s="207"/>
      <c r="L1019" s="207"/>
      <c r="M1019" s="207"/>
      <c r="N1019" s="207"/>
      <c r="O1019" s="207"/>
      <c r="P1019" s="207"/>
      <c r="Q1019" s="207"/>
      <c r="R1019" s="207"/>
      <c r="S1019" s="207"/>
      <c r="T1019" s="207"/>
      <c r="U1019" s="207"/>
      <c r="V1019" s="207"/>
      <c r="W1019" s="207"/>
      <c r="X1019" s="207"/>
      <c r="Y1019" s="207"/>
      <c r="Z1019" s="207"/>
      <c r="AA1019" s="207"/>
      <c r="AB1019" s="207"/>
      <c r="AC1019" s="5"/>
      <c r="AD1019" s="63"/>
      <c r="AE1019" s="64"/>
      <c r="AF1019" s="64"/>
      <c r="AG1019" s="212"/>
      <c r="AH1019" s="64"/>
      <c r="AI1019" s="64"/>
      <c r="AJ1019" s="227"/>
      <c r="AK1019" s="64"/>
      <c r="AL1019" s="64"/>
      <c r="AM1019" s="212"/>
      <c r="AN1019" s="64"/>
      <c r="AO1019" s="64"/>
      <c r="AP1019" s="63"/>
      <c r="AQ1019" s="64"/>
      <c r="AR1019" s="63"/>
      <c r="AS1019" s="64"/>
      <c r="AT1019" s="63"/>
      <c r="AU1019" s="64"/>
      <c r="AV1019" s="63"/>
      <c r="AW1019" s="64"/>
      <c r="AX1019" s="63"/>
      <c r="AY1019" s="5"/>
      <c r="AZ1019" s="21" t="str">
        <f t="shared" si="692"/>
        <v/>
      </c>
      <c r="BA1019" s="264" t="s">
        <v>170</v>
      </c>
      <c r="BB1019" s="264"/>
      <c r="BC1019" s="264"/>
      <c r="BD1019" s="264" t="s">
        <v>354</v>
      </c>
      <c r="BE1019" s="9" t="s">
        <v>299</v>
      </c>
      <c r="BF1019" s="56">
        <v>1500000000</v>
      </c>
      <c r="BG1019" s="282">
        <f t="shared" ref="BG1019:BP1019" si="710">BF1019</f>
        <v>1500000000</v>
      </c>
      <c r="BH1019" s="282">
        <f t="shared" si="710"/>
        <v>1500000000</v>
      </c>
      <c r="BI1019" s="282">
        <f t="shared" si="710"/>
        <v>1500000000</v>
      </c>
      <c r="BJ1019" s="282">
        <f t="shared" si="710"/>
        <v>1500000000</v>
      </c>
      <c r="BK1019" s="282">
        <f t="shared" si="710"/>
        <v>1500000000</v>
      </c>
      <c r="BL1019" s="282">
        <f t="shared" si="710"/>
        <v>1500000000</v>
      </c>
      <c r="BM1019" s="282">
        <f t="shared" si="710"/>
        <v>1500000000</v>
      </c>
      <c r="BN1019" s="282">
        <f t="shared" si="710"/>
        <v>1500000000</v>
      </c>
      <c r="BO1019" s="282">
        <f t="shared" si="710"/>
        <v>1500000000</v>
      </c>
      <c r="BP1019" s="282">
        <f t="shared" si="710"/>
        <v>1500000000</v>
      </c>
      <c r="BQ1019" s="5"/>
      <c r="BR1019" s="25"/>
      <c r="BS1019" s="5"/>
    </row>
    <row r="1020" spans="1:71" s="3" customFormat="1" x14ac:dyDescent="0.25">
      <c r="A1020" s="5"/>
      <c r="B1020" s="3" t="str">
        <f t="array" ref="B1020">IFERROR(INDEX(DemandSupply,MATCH(INDEX($AH$1:AH1020,SMALL(ROW($AH$1:AH1020)+(10000*($AH$1:AH1020="")),COUNTA($AH$1:AH1020))),Sectors,0)),"")</f>
        <v>Supply</v>
      </c>
      <c r="E1020" s="10"/>
      <c r="F1020" s="207"/>
      <c r="G1020" s="207"/>
      <c r="H1020" s="207"/>
      <c r="I1020" s="207"/>
      <c r="J1020" s="207"/>
      <c r="K1020" s="207"/>
      <c r="L1020" s="207"/>
      <c r="M1020" s="207"/>
      <c r="N1020" s="207"/>
      <c r="O1020" s="207"/>
      <c r="P1020" s="207"/>
      <c r="Q1020" s="207"/>
      <c r="R1020" s="207"/>
      <c r="S1020" s="207"/>
      <c r="T1020" s="207"/>
      <c r="U1020" s="207"/>
      <c r="V1020" s="207"/>
      <c r="W1020" s="207"/>
      <c r="X1020" s="207"/>
      <c r="Y1020" s="207"/>
      <c r="Z1020" s="207"/>
      <c r="AA1020" s="207"/>
      <c r="AB1020" s="207"/>
      <c r="AC1020" s="5"/>
      <c r="AD1020" s="63"/>
      <c r="AE1020" s="64"/>
      <c r="AF1020" s="64"/>
      <c r="AG1020" s="212"/>
      <c r="AH1020" s="64"/>
      <c r="AI1020" s="64"/>
      <c r="AJ1020" s="227"/>
      <c r="AK1020" s="64"/>
      <c r="AL1020" s="64"/>
      <c r="AM1020" s="212"/>
      <c r="AN1020" s="64"/>
      <c r="AO1020" s="64"/>
      <c r="AP1020" s="63"/>
      <c r="AQ1020" s="64"/>
      <c r="AR1020" s="63"/>
      <c r="AS1020" s="64"/>
      <c r="AT1020" s="63"/>
      <c r="AU1020" s="64"/>
      <c r="AV1020" s="63"/>
      <c r="AW1020" s="64"/>
      <c r="AX1020" s="63"/>
      <c r="AY1020" s="5"/>
      <c r="AZ1020" s="21" t="str">
        <f t="shared" si="692"/>
        <v/>
      </c>
      <c r="BA1020" s="264" t="s">
        <v>425</v>
      </c>
      <c r="BB1020" s="264"/>
      <c r="BC1020" s="264"/>
      <c r="BD1020" s="264" t="s">
        <v>99</v>
      </c>
      <c r="BE1020" s="9" t="s">
        <v>299</v>
      </c>
      <c r="BF1020" s="303"/>
      <c r="BG1020" s="303"/>
      <c r="BH1020" s="303"/>
      <c r="BI1020" s="303"/>
      <c r="BJ1020" s="303"/>
      <c r="BK1020" s="303"/>
      <c r="BL1020" s="303"/>
      <c r="BM1020" s="303"/>
      <c r="BN1020" s="303"/>
      <c r="BO1020" s="303"/>
      <c r="BP1020" s="303"/>
      <c r="BQ1020" s="5"/>
      <c r="BR1020" s="25"/>
      <c r="BS1020" s="5"/>
    </row>
    <row r="1021" spans="1:71" s="3" customFormat="1" x14ac:dyDescent="0.25">
      <c r="A1021" s="5"/>
      <c r="B1021" s="3" t="str">
        <f t="array" ref="B1021">IFERROR(INDEX(DemandSupply,MATCH(INDEX($AH$1:AH1021,SMALL(ROW($AH$1:AH1021)+(10000*($AH$1:AH1021="")),COUNTA($AH$1:AH1021))),Sectors,0)),"")</f>
        <v>Supply</v>
      </c>
      <c r="E1021" s="10"/>
      <c r="F1021" s="207"/>
      <c r="G1021" s="207"/>
      <c r="H1021" s="207"/>
      <c r="I1021" s="207"/>
      <c r="J1021" s="207"/>
      <c r="K1021" s="207"/>
      <c r="L1021" s="207"/>
      <c r="M1021" s="207"/>
      <c r="N1021" s="207"/>
      <c r="O1021" s="207"/>
      <c r="P1021" s="207"/>
      <c r="Q1021" s="207"/>
      <c r="R1021" s="207"/>
      <c r="S1021" s="207"/>
      <c r="T1021" s="207"/>
      <c r="U1021" s="207"/>
      <c r="V1021" s="207"/>
      <c r="W1021" s="207"/>
      <c r="X1021" s="207"/>
      <c r="Y1021" s="207"/>
      <c r="Z1021" s="207"/>
      <c r="AA1021" s="207"/>
      <c r="AB1021" s="207"/>
      <c r="AC1021" s="5"/>
      <c r="AD1021" s="63"/>
      <c r="AE1021" s="64"/>
      <c r="AF1021" s="64"/>
      <c r="AG1021" s="212"/>
      <c r="AH1021" s="64"/>
      <c r="AI1021" s="64"/>
      <c r="AJ1021" s="227"/>
      <c r="AK1021" s="64"/>
      <c r="AL1021" s="64"/>
      <c r="AM1021" s="212"/>
      <c r="AN1021" s="64"/>
      <c r="AO1021" s="64"/>
      <c r="AP1021" s="63"/>
      <c r="AQ1021" s="64"/>
      <c r="AR1021" s="63"/>
      <c r="AS1021" s="64"/>
      <c r="AT1021" s="63"/>
      <c r="AU1021" s="64"/>
      <c r="AV1021" s="63"/>
      <c r="AW1021" s="64"/>
      <c r="AX1021" s="63"/>
      <c r="AY1021" s="5"/>
      <c r="AZ1021" s="21" t="str">
        <f t="shared" si="692"/>
        <v/>
      </c>
      <c r="BA1021" s="264" t="s">
        <v>438</v>
      </c>
      <c r="BB1021" s="264"/>
      <c r="BC1021" s="264"/>
      <c r="BD1021" s="264" t="s">
        <v>219</v>
      </c>
      <c r="BE1021" s="9" t="s">
        <v>299</v>
      </c>
      <c r="BF1021" s="56"/>
      <c r="BG1021" s="56"/>
      <c r="BH1021" s="56"/>
      <c r="BI1021" s="56"/>
      <c r="BJ1021" s="56"/>
      <c r="BK1021" s="56"/>
      <c r="BL1021" s="56"/>
      <c r="BM1021" s="56"/>
      <c r="BN1021" s="56"/>
      <c r="BO1021" s="56"/>
      <c r="BP1021" s="56"/>
      <c r="BQ1021" s="5"/>
      <c r="BR1021" s="25"/>
      <c r="BS1021" s="5"/>
    </row>
    <row r="1022" spans="1:71" s="3" customFormat="1" x14ac:dyDescent="0.25">
      <c r="A1022" s="5"/>
      <c r="B1022" s="3" t="str">
        <f t="array" ref="B1022">IFERROR(INDEX(DemandSupply,MATCH(INDEX($AH$1:AH1022,SMALL(ROW($AH$1:AH1022)+(10000*($AH$1:AH1022="")),COUNTA($AH$1:AH1022))),Sectors,0)),"")</f>
        <v>Supply</v>
      </c>
      <c r="E1022" s="10"/>
      <c r="F1022" s="207"/>
      <c r="G1022" s="207"/>
      <c r="H1022" s="207"/>
      <c r="I1022" s="207"/>
      <c r="J1022" s="207"/>
      <c r="K1022" s="207"/>
      <c r="L1022" s="207"/>
      <c r="M1022" s="207"/>
      <c r="N1022" s="207"/>
      <c r="O1022" s="207"/>
      <c r="P1022" s="207"/>
      <c r="Q1022" s="207"/>
      <c r="R1022" s="207"/>
      <c r="S1022" s="207"/>
      <c r="T1022" s="207"/>
      <c r="U1022" s="207"/>
      <c r="V1022" s="207"/>
      <c r="W1022" s="207"/>
      <c r="X1022" s="207"/>
      <c r="Y1022" s="207"/>
      <c r="Z1022" s="207"/>
      <c r="AA1022" s="207"/>
      <c r="AB1022" s="207"/>
      <c r="AC1022" s="5"/>
      <c r="AD1022" s="63"/>
      <c r="AE1022" s="64"/>
      <c r="AF1022" s="64"/>
      <c r="AG1022" s="212"/>
      <c r="AH1022" s="64"/>
      <c r="AI1022" s="64"/>
      <c r="AJ1022" s="227"/>
      <c r="AK1022" s="64"/>
      <c r="AL1022" s="64"/>
      <c r="AM1022" s="212"/>
      <c r="AN1022" s="64"/>
      <c r="AO1022" s="64"/>
      <c r="AP1022" s="63"/>
      <c r="AQ1022" s="64"/>
      <c r="AR1022" s="63"/>
      <c r="AS1022" s="64"/>
      <c r="AT1022" s="63"/>
      <c r="AU1022" s="64"/>
      <c r="AV1022" s="63"/>
      <c r="AW1022" s="64"/>
      <c r="AX1022" s="63"/>
      <c r="AY1022" s="5"/>
      <c r="AZ1022" s="21" t="str">
        <f t="shared" si="692"/>
        <v/>
      </c>
      <c r="BA1022" s="264" t="s">
        <v>435</v>
      </c>
      <c r="BB1022" s="264"/>
      <c r="BC1022" s="264"/>
      <c r="BD1022" s="264"/>
      <c r="BE1022" s="9" t="s">
        <v>299</v>
      </c>
      <c r="BF1022" s="55"/>
      <c r="BG1022" s="55"/>
      <c r="BH1022" s="55"/>
      <c r="BI1022" s="55"/>
      <c r="BJ1022" s="55"/>
      <c r="BK1022" s="55"/>
      <c r="BL1022" s="55"/>
      <c r="BM1022" s="55"/>
      <c r="BN1022" s="55"/>
      <c r="BO1022" s="55"/>
      <c r="BP1022" s="55"/>
      <c r="BQ1022" s="5"/>
      <c r="BR1022" s="25"/>
      <c r="BS1022" s="5"/>
    </row>
    <row r="1023" spans="1:71" s="3" customFormat="1" x14ac:dyDescent="0.25">
      <c r="A1023" s="5"/>
      <c r="B1023" s="3" t="str">
        <f t="array" ref="B1023">IFERROR(INDEX(DemandSupply,MATCH(INDEX($AH$1:AH1023,SMALL(ROW($AH$1:AH1023)+(10000*($AH$1:AH1023="")),COUNTA($AH$1:AH1023))),Sectors,0)),"")</f>
        <v>Supply</v>
      </c>
      <c r="E1023" s="10"/>
      <c r="F1023" s="207"/>
      <c r="G1023" s="207"/>
      <c r="H1023" s="207"/>
      <c r="I1023" s="207"/>
      <c r="J1023" s="207"/>
      <c r="K1023" s="207"/>
      <c r="L1023" s="207"/>
      <c r="M1023" s="207"/>
      <c r="N1023" s="207"/>
      <c r="O1023" s="207"/>
      <c r="P1023" s="207"/>
      <c r="Q1023" s="207"/>
      <c r="R1023" s="207"/>
      <c r="S1023" s="207"/>
      <c r="T1023" s="207"/>
      <c r="U1023" s="207"/>
      <c r="V1023" s="207"/>
      <c r="W1023" s="207"/>
      <c r="X1023" s="207"/>
      <c r="Y1023" s="207"/>
      <c r="Z1023" s="207"/>
      <c r="AA1023" s="207"/>
      <c r="AB1023" s="207"/>
      <c r="AC1023" s="5"/>
      <c r="AD1023" s="63"/>
      <c r="AE1023" s="64"/>
      <c r="AF1023" s="64"/>
      <c r="AG1023" s="212"/>
      <c r="AH1023" s="64"/>
      <c r="AI1023" s="64"/>
      <c r="AJ1023" s="227"/>
      <c r="AK1023" s="64"/>
      <c r="AL1023" s="64"/>
      <c r="AM1023" s="212"/>
      <c r="AN1023" s="64"/>
      <c r="AO1023" s="64"/>
      <c r="AP1023" s="63"/>
      <c r="AQ1023" s="64"/>
      <c r="AR1023" s="63"/>
      <c r="AS1023" s="64"/>
      <c r="AT1023" s="63"/>
      <c r="AU1023" s="64"/>
      <c r="AV1023" s="63"/>
      <c r="AW1023" s="64"/>
      <c r="AX1023" s="63"/>
      <c r="AY1023" s="5"/>
      <c r="AZ1023" s="21" t="str">
        <f t="shared" si="692"/>
        <v/>
      </c>
      <c r="BA1023" s="264" t="s">
        <v>407</v>
      </c>
      <c r="BB1023" s="264"/>
      <c r="BC1023" s="264"/>
      <c r="BD1023" s="264" t="s">
        <v>99</v>
      </c>
      <c r="BE1023" s="9" t="s">
        <v>299</v>
      </c>
      <c r="BF1023" s="303"/>
      <c r="BG1023" s="303"/>
      <c r="BH1023" s="303"/>
      <c r="BI1023" s="303"/>
      <c r="BJ1023" s="303"/>
      <c r="BK1023" s="303"/>
      <c r="BL1023" s="303"/>
      <c r="BM1023" s="303"/>
      <c r="BN1023" s="303"/>
      <c r="BO1023" s="303"/>
      <c r="BP1023" s="303"/>
      <c r="BQ1023" s="5"/>
      <c r="BR1023" s="25"/>
      <c r="BS1023" s="5"/>
    </row>
    <row r="1024" spans="1:71" s="3" customFormat="1" x14ac:dyDescent="0.25">
      <c r="A1024" s="5"/>
      <c r="B1024" s="3" t="str">
        <f t="array" ref="B1024">IFERROR(INDEX(DemandSupply,MATCH(INDEX($AH$1:AH1024,SMALL(ROW($AH$1:AH1024)+(10000*($AH$1:AH1024="")),COUNTA($AH$1:AH1024))),Sectors,0)),"")</f>
        <v>Supply</v>
      </c>
      <c r="E1024" s="10"/>
      <c r="F1024" s="207"/>
      <c r="G1024" s="207"/>
      <c r="H1024" s="207"/>
      <c r="I1024" s="207"/>
      <c r="J1024" s="207"/>
      <c r="K1024" s="207"/>
      <c r="L1024" s="207"/>
      <c r="M1024" s="207"/>
      <c r="N1024" s="207"/>
      <c r="O1024" s="207"/>
      <c r="P1024" s="207"/>
      <c r="Q1024" s="207"/>
      <c r="R1024" s="207"/>
      <c r="S1024" s="207"/>
      <c r="T1024" s="207"/>
      <c r="U1024" s="207"/>
      <c r="V1024" s="207"/>
      <c r="W1024" s="207"/>
      <c r="X1024" s="207"/>
      <c r="Y1024" s="207"/>
      <c r="Z1024" s="207"/>
      <c r="AA1024" s="207"/>
      <c r="AB1024" s="207"/>
      <c r="AC1024" s="5"/>
      <c r="AD1024" s="63"/>
      <c r="AE1024" s="64"/>
      <c r="AF1024" s="64"/>
      <c r="AG1024" s="212"/>
      <c r="AH1024" s="64"/>
      <c r="AI1024" s="64"/>
      <c r="AJ1024" s="227"/>
      <c r="AK1024" s="64"/>
      <c r="AL1024" s="64"/>
      <c r="AM1024" s="212"/>
      <c r="AN1024" s="64"/>
      <c r="AO1024" s="64"/>
      <c r="AP1024" s="63"/>
      <c r="AQ1024" s="64"/>
      <c r="AR1024" s="63"/>
      <c r="AS1024" s="64"/>
      <c r="AT1024" s="63"/>
      <c r="AU1024" s="64"/>
      <c r="AV1024" s="63"/>
      <c r="AW1024" s="64"/>
      <c r="AX1024" s="63"/>
      <c r="AY1024" s="5"/>
      <c r="AZ1024" s="21" t="str">
        <f t="shared" si="692"/>
        <v/>
      </c>
      <c r="BA1024" s="264" t="s">
        <v>444</v>
      </c>
      <c r="BB1024" s="264"/>
      <c r="BC1024" s="264"/>
      <c r="BD1024" s="264" t="s">
        <v>354</v>
      </c>
      <c r="BE1024" s="9" t="s">
        <v>299</v>
      </c>
      <c r="BF1024" s="56"/>
      <c r="BG1024" s="56"/>
      <c r="BH1024" s="56"/>
      <c r="BI1024" s="56"/>
      <c r="BJ1024" s="56"/>
      <c r="BK1024" s="56"/>
      <c r="BL1024" s="56"/>
      <c r="BM1024" s="56"/>
      <c r="BN1024" s="56"/>
      <c r="BO1024" s="56"/>
      <c r="BP1024" s="56"/>
      <c r="BQ1024" s="5"/>
      <c r="BR1024" s="25"/>
      <c r="BS1024" s="5"/>
    </row>
    <row r="1025" spans="1:71" s="3" customFormat="1" x14ac:dyDescent="0.25">
      <c r="A1025" s="5"/>
      <c r="B1025" s="3" t="str">
        <f t="array" ref="B1025">IFERROR(INDEX(DemandSupply,MATCH(INDEX($AH$1:AH1025,SMALL(ROW($AH$1:AH1025)+(10000*($AH$1:AH1025="")),COUNTA($AH$1:AH1025))),Sectors,0)),"")</f>
        <v>Supply</v>
      </c>
      <c r="E1025" s="10"/>
      <c r="F1025" s="207"/>
      <c r="G1025" s="207"/>
      <c r="H1025" s="207"/>
      <c r="I1025" s="207"/>
      <c r="J1025" s="207"/>
      <c r="K1025" s="207"/>
      <c r="L1025" s="207"/>
      <c r="M1025" s="207"/>
      <c r="N1025" s="207"/>
      <c r="O1025" s="207"/>
      <c r="P1025" s="207"/>
      <c r="Q1025" s="207"/>
      <c r="R1025" s="207"/>
      <c r="S1025" s="207"/>
      <c r="T1025" s="207"/>
      <c r="U1025" s="207"/>
      <c r="V1025" s="207"/>
      <c r="W1025" s="207"/>
      <c r="X1025" s="207"/>
      <c r="Y1025" s="207"/>
      <c r="Z1025" s="207"/>
      <c r="AA1025" s="207"/>
      <c r="AB1025" s="207"/>
      <c r="AC1025" s="5"/>
      <c r="AD1025" s="63"/>
      <c r="AE1025" s="64"/>
      <c r="AF1025" s="64"/>
      <c r="AG1025" s="212"/>
      <c r="AH1025" s="64"/>
      <c r="AI1025" s="64"/>
      <c r="AJ1025" s="227"/>
      <c r="AK1025" s="64"/>
      <c r="AL1025" s="64"/>
      <c r="AM1025" s="212"/>
      <c r="AN1025" s="64"/>
      <c r="AO1025" s="64"/>
      <c r="AP1025" s="63"/>
      <c r="AQ1025" s="64"/>
      <c r="AR1025" s="63"/>
      <c r="AS1025" s="64"/>
      <c r="AT1025" s="63"/>
      <c r="AU1025" s="64"/>
      <c r="AV1025" s="63"/>
      <c r="AW1025" s="64"/>
      <c r="AX1025" s="63"/>
      <c r="AY1025" s="5"/>
      <c r="AZ1025" s="21" t="str">
        <f t="shared" si="692"/>
        <v/>
      </c>
      <c r="BA1025" s="264" t="s">
        <v>446</v>
      </c>
      <c r="BB1025" s="264"/>
      <c r="BC1025" s="264"/>
      <c r="BD1025" s="264" t="s">
        <v>354</v>
      </c>
      <c r="BE1025" s="9" t="s">
        <v>299</v>
      </c>
      <c r="BF1025" s="56"/>
      <c r="BG1025" s="56"/>
      <c r="BH1025" s="56"/>
      <c r="BI1025" s="56"/>
      <c r="BJ1025" s="56"/>
      <c r="BK1025" s="56"/>
      <c r="BL1025" s="56"/>
      <c r="BM1025" s="56"/>
      <c r="BN1025" s="56"/>
      <c r="BO1025" s="56"/>
      <c r="BP1025" s="56"/>
      <c r="BQ1025" s="5"/>
      <c r="BR1025" s="25"/>
      <c r="BS1025" s="5"/>
    </row>
    <row r="1026" spans="1:71" s="3" customFormat="1" x14ac:dyDescent="0.25">
      <c r="A1026" s="5"/>
      <c r="B1026" s="3" t="str">
        <f t="array" ref="B1026">IFERROR(INDEX(DemandSupply,MATCH(INDEX($AH$1:AH1026,SMALL(ROW($AH$1:AH1026)+(10000*($AH$1:AH1026="")),COUNTA($AH$1:AH1026))),Sectors,0)),"")</f>
        <v>Supply</v>
      </c>
      <c r="E1026" s="10"/>
      <c r="F1026" s="207"/>
      <c r="G1026" s="207"/>
      <c r="H1026" s="207"/>
      <c r="I1026" s="207"/>
      <c r="J1026" s="207"/>
      <c r="K1026" s="207"/>
      <c r="L1026" s="207"/>
      <c r="M1026" s="207"/>
      <c r="N1026" s="207"/>
      <c r="O1026" s="207"/>
      <c r="P1026" s="207"/>
      <c r="Q1026" s="207"/>
      <c r="R1026" s="207"/>
      <c r="S1026" s="207"/>
      <c r="T1026" s="207"/>
      <c r="U1026" s="207"/>
      <c r="V1026" s="207"/>
      <c r="W1026" s="207"/>
      <c r="X1026" s="207"/>
      <c r="Y1026" s="207"/>
      <c r="Z1026" s="207"/>
      <c r="AA1026" s="207"/>
      <c r="AB1026" s="207"/>
      <c r="AC1026" s="5"/>
      <c r="AD1026" s="63"/>
      <c r="AE1026" s="64"/>
      <c r="AF1026" s="64"/>
      <c r="AG1026" s="212"/>
      <c r="AH1026" s="64"/>
      <c r="AI1026" s="64"/>
      <c r="AJ1026" s="227"/>
      <c r="AK1026" s="64"/>
      <c r="AL1026" s="64"/>
      <c r="AM1026" s="212"/>
      <c r="AN1026" s="64"/>
      <c r="AO1026" s="64"/>
      <c r="AP1026" s="63"/>
      <c r="AQ1026" s="64"/>
      <c r="AR1026" s="63"/>
      <c r="AS1026" s="64"/>
      <c r="AT1026" s="63"/>
      <c r="AU1026" s="64"/>
      <c r="AV1026" s="63"/>
      <c r="AW1026" s="64"/>
      <c r="AX1026" s="63"/>
      <c r="AY1026" s="5"/>
      <c r="AZ1026" s="21" t="str">
        <f t="shared" si="692"/>
        <v/>
      </c>
      <c r="BA1026" s="264" t="s">
        <v>447</v>
      </c>
      <c r="BB1026" s="264"/>
      <c r="BC1026" s="264"/>
      <c r="BD1026" s="264"/>
      <c r="BE1026" s="9" t="s">
        <v>299</v>
      </c>
      <c r="BF1026" s="55"/>
      <c r="BG1026" s="55"/>
      <c r="BH1026" s="55"/>
      <c r="BI1026" s="55"/>
      <c r="BJ1026" s="55"/>
      <c r="BK1026" s="55"/>
      <c r="BL1026" s="55"/>
      <c r="BM1026" s="55"/>
      <c r="BN1026" s="55"/>
      <c r="BO1026" s="55"/>
      <c r="BP1026" s="55"/>
      <c r="BQ1026" s="5"/>
      <c r="BR1026" s="25"/>
      <c r="BS1026" s="5"/>
    </row>
    <row r="1027" spans="1:71" s="3" customFormat="1" x14ac:dyDescent="0.25">
      <c r="A1027" s="5"/>
      <c r="B1027" s="3" t="str">
        <f t="array" ref="B1027">IFERROR(INDEX(DemandSupply,MATCH(INDEX($AH$1:AH1027,SMALL(ROW($AH$1:AH1027)+(10000*($AH$1:AH1027="")),COUNTA($AH$1:AH1027))),Sectors,0)),"")</f>
        <v>Supply</v>
      </c>
      <c r="E1027" s="10"/>
      <c r="F1027" s="207"/>
      <c r="G1027" s="207"/>
      <c r="H1027" s="207"/>
      <c r="I1027" s="207"/>
      <c r="J1027" s="207"/>
      <c r="K1027" s="207"/>
      <c r="L1027" s="207"/>
      <c r="M1027" s="207"/>
      <c r="N1027" s="207"/>
      <c r="O1027" s="207"/>
      <c r="P1027" s="207"/>
      <c r="Q1027" s="207"/>
      <c r="R1027" s="207"/>
      <c r="S1027" s="207"/>
      <c r="T1027" s="207"/>
      <c r="U1027" s="207"/>
      <c r="V1027" s="207"/>
      <c r="W1027" s="207"/>
      <c r="X1027" s="207"/>
      <c r="Y1027" s="207"/>
      <c r="Z1027" s="207"/>
      <c r="AA1027" s="207"/>
      <c r="AB1027" s="207"/>
      <c r="AC1027" s="5"/>
      <c r="AD1027" s="63"/>
      <c r="AE1027" s="64"/>
      <c r="AF1027" s="64"/>
      <c r="AG1027" s="212"/>
      <c r="AH1027" s="64"/>
      <c r="AI1027" s="64"/>
      <c r="AJ1027" s="227"/>
      <c r="AK1027" s="64"/>
      <c r="AL1027" s="64"/>
      <c r="AM1027" s="212"/>
      <c r="AN1027" s="64"/>
      <c r="AO1027" s="64"/>
      <c r="AP1027" s="63"/>
      <c r="AQ1027" s="64"/>
      <c r="AR1027" s="63"/>
      <c r="AS1027" s="64"/>
      <c r="AT1027" s="63"/>
      <c r="AU1027" s="64"/>
      <c r="AV1027" s="63"/>
      <c r="AW1027" s="64"/>
      <c r="AX1027" s="63"/>
      <c r="AY1027" s="5"/>
      <c r="AZ1027" s="21" t="str">
        <f t="shared" si="692"/>
        <v/>
      </c>
      <c r="BA1027" s="264" t="s">
        <v>448</v>
      </c>
      <c r="BB1027" s="264"/>
      <c r="BC1027" s="264"/>
      <c r="BD1027" s="264"/>
      <c r="BE1027" s="9" t="s">
        <v>299</v>
      </c>
      <c r="BF1027" s="55"/>
      <c r="BG1027" s="55"/>
      <c r="BH1027" s="55"/>
      <c r="BI1027" s="55"/>
      <c r="BJ1027" s="55"/>
      <c r="BK1027" s="55"/>
      <c r="BL1027" s="55"/>
      <c r="BM1027" s="55"/>
      <c r="BN1027" s="55"/>
      <c r="BO1027" s="55"/>
      <c r="BP1027" s="55"/>
      <c r="BQ1027" s="5"/>
      <c r="BR1027" s="25"/>
      <c r="BS1027" s="5"/>
    </row>
    <row r="1028" spans="1:71" s="3" customFormat="1" x14ac:dyDescent="0.25">
      <c r="A1028" s="5"/>
      <c r="B1028" s="3" t="str">
        <f t="array" ref="B1028">IFERROR(INDEX(DemandSupply,MATCH(INDEX($AH$1:AH1028,SMALL(ROW($AH$1:AH1028)+(10000*($AH$1:AH1028="")),COUNTA($AH$1:AH1028))),Sectors,0)),"")</f>
        <v>Supply</v>
      </c>
      <c r="E1028" s="10"/>
      <c r="F1028" s="207"/>
      <c r="G1028" s="207"/>
      <c r="H1028" s="207"/>
      <c r="I1028" s="207"/>
      <c r="J1028" s="207"/>
      <c r="K1028" s="207"/>
      <c r="L1028" s="207"/>
      <c r="M1028" s="207"/>
      <c r="N1028" s="207"/>
      <c r="O1028" s="207"/>
      <c r="P1028" s="207"/>
      <c r="Q1028" s="207"/>
      <c r="R1028" s="207"/>
      <c r="S1028" s="207"/>
      <c r="T1028" s="207"/>
      <c r="U1028" s="207"/>
      <c r="V1028" s="207"/>
      <c r="W1028" s="207"/>
      <c r="X1028" s="207"/>
      <c r="Y1028" s="207"/>
      <c r="Z1028" s="207"/>
      <c r="AA1028" s="207"/>
      <c r="AB1028" s="207"/>
      <c r="AC1028" s="5"/>
      <c r="AD1028" s="63"/>
      <c r="AE1028" s="64"/>
      <c r="AF1028" s="64"/>
      <c r="AG1028" s="212"/>
      <c r="AH1028" s="64"/>
      <c r="AI1028" s="64"/>
      <c r="AJ1028" s="227"/>
      <c r="AK1028" s="64"/>
      <c r="AL1028" s="64"/>
      <c r="AM1028" s="212"/>
      <c r="AN1028" s="64"/>
      <c r="AO1028" s="64"/>
      <c r="AP1028" s="63"/>
      <c r="AQ1028" s="64"/>
      <c r="AR1028" s="63"/>
      <c r="AS1028" s="64"/>
      <c r="AT1028" s="63"/>
      <c r="AU1028" s="64"/>
      <c r="AV1028" s="63"/>
      <c r="AW1028" s="64"/>
      <c r="AX1028" s="63"/>
      <c r="AY1028" s="5"/>
      <c r="AZ1028" s="21" t="str">
        <f t="shared" si="692"/>
        <v/>
      </c>
      <c r="BA1028" s="264" t="s">
        <v>445</v>
      </c>
      <c r="BB1028" s="264"/>
      <c r="BC1028" s="264"/>
      <c r="BD1028" s="264" t="s">
        <v>370</v>
      </c>
      <c r="BE1028" s="9" t="s">
        <v>299</v>
      </c>
      <c r="BF1028" s="56"/>
      <c r="BG1028" s="56"/>
      <c r="BH1028" s="56"/>
      <c r="BI1028" s="56"/>
      <c r="BJ1028" s="56"/>
      <c r="BK1028" s="56"/>
      <c r="BL1028" s="56"/>
      <c r="BM1028" s="56"/>
      <c r="BN1028" s="56"/>
      <c r="BO1028" s="56"/>
      <c r="BP1028" s="56"/>
      <c r="BQ1028" s="5"/>
      <c r="BR1028" s="25"/>
      <c r="BS1028" s="5"/>
    </row>
    <row r="1029" spans="1:71" s="3" customFormat="1" x14ac:dyDescent="0.25">
      <c r="A1029" s="5"/>
      <c r="B1029" s="3" t="str">
        <f t="array" ref="B1029">IFERROR(INDEX(DemandSupply,MATCH(INDEX($AH$1:AH1029,SMALL(ROW($AH$1:AH1029)+(10000*($AH$1:AH1029="")),COUNTA($AH$1:AH1029))),Sectors,0)),"")</f>
        <v>Supply</v>
      </c>
      <c r="E1029" s="10"/>
      <c r="F1029" s="207"/>
      <c r="G1029" s="207"/>
      <c r="H1029" s="207"/>
      <c r="I1029" s="207"/>
      <c r="J1029" s="207"/>
      <c r="K1029" s="207"/>
      <c r="L1029" s="207"/>
      <c r="M1029" s="207"/>
      <c r="N1029" s="207"/>
      <c r="O1029" s="207"/>
      <c r="P1029" s="207"/>
      <c r="Q1029" s="207"/>
      <c r="R1029" s="207"/>
      <c r="S1029" s="207"/>
      <c r="T1029" s="207"/>
      <c r="U1029" s="207"/>
      <c r="V1029" s="207"/>
      <c r="W1029" s="207"/>
      <c r="X1029" s="207"/>
      <c r="Y1029" s="207"/>
      <c r="Z1029" s="207"/>
      <c r="AA1029" s="207"/>
      <c r="AB1029" s="207"/>
      <c r="AC1029" s="5"/>
      <c r="AD1029" s="63"/>
      <c r="AE1029" s="64"/>
      <c r="AF1029" s="64"/>
      <c r="AG1029" s="212"/>
      <c r="AH1029" s="64"/>
      <c r="AI1029" s="64"/>
      <c r="AJ1029" s="227"/>
      <c r="AK1029" s="64"/>
      <c r="AL1029" s="64"/>
      <c r="AM1029" s="212"/>
      <c r="AN1029" s="64"/>
      <c r="AO1029" s="64"/>
      <c r="AP1029" s="63"/>
      <c r="AQ1029" s="64"/>
      <c r="AR1029" s="63"/>
      <c r="AS1029" s="64"/>
      <c r="AT1029" s="63"/>
      <c r="AU1029" s="64"/>
      <c r="AV1029" s="63"/>
      <c r="AW1029" s="64"/>
      <c r="AX1029" s="63"/>
      <c r="AY1029" s="5"/>
      <c r="AZ1029" s="21" t="str">
        <f t="shared" si="692"/>
        <v/>
      </c>
      <c r="BA1029" s="264" t="s">
        <v>449</v>
      </c>
      <c r="BB1029" s="264"/>
      <c r="BC1029" s="264"/>
      <c r="BD1029" s="264" t="s">
        <v>370</v>
      </c>
      <c r="BE1029" s="9" t="s">
        <v>299</v>
      </c>
      <c r="BF1029" s="56"/>
      <c r="BG1029" s="56"/>
      <c r="BH1029" s="56"/>
      <c r="BI1029" s="56"/>
      <c r="BJ1029" s="56"/>
      <c r="BK1029" s="56"/>
      <c r="BL1029" s="56"/>
      <c r="BM1029" s="56"/>
      <c r="BN1029" s="56"/>
      <c r="BO1029" s="56"/>
      <c r="BP1029" s="56"/>
      <c r="BQ1029" s="5"/>
      <c r="BR1029" s="25"/>
      <c r="BS1029" s="5"/>
    </row>
    <row r="1030" spans="1:71" s="3" customFormat="1" x14ac:dyDescent="0.25">
      <c r="A1030" s="5"/>
      <c r="B1030" s="3" t="str">
        <f t="array" ref="B1030">IFERROR(INDEX(DemandSupply,MATCH(INDEX($AH$1:AH1030,SMALL(ROW($AH$1:AH1030)+(10000*($AH$1:AH1030="")),COUNTA($AH$1:AH1030))),Sectors,0)),"")</f>
        <v>Supply</v>
      </c>
      <c r="E1030" s="10"/>
      <c r="F1030" s="207"/>
      <c r="G1030" s="207"/>
      <c r="H1030" s="207"/>
      <c r="I1030" s="207"/>
      <c r="J1030" s="207"/>
      <c r="K1030" s="207"/>
      <c r="L1030" s="207"/>
      <c r="M1030" s="207"/>
      <c r="N1030" s="207"/>
      <c r="O1030" s="207"/>
      <c r="P1030" s="207"/>
      <c r="Q1030" s="207"/>
      <c r="R1030" s="207"/>
      <c r="S1030" s="207"/>
      <c r="T1030" s="207"/>
      <c r="U1030" s="207"/>
      <c r="V1030" s="207"/>
      <c r="W1030" s="207"/>
      <c r="X1030" s="207"/>
      <c r="Y1030" s="207"/>
      <c r="Z1030" s="207"/>
      <c r="AA1030" s="207"/>
      <c r="AB1030" s="207"/>
      <c r="AC1030" s="5"/>
      <c r="AD1030" s="63"/>
      <c r="AE1030" s="64"/>
      <c r="AF1030" s="64"/>
      <c r="AG1030" s="212"/>
      <c r="AH1030" s="64"/>
      <c r="AI1030" s="64"/>
      <c r="AJ1030" s="227"/>
      <c r="AK1030" s="64"/>
      <c r="AL1030" s="64"/>
      <c r="AM1030" s="212"/>
      <c r="AN1030" s="64"/>
      <c r="AO1030" s="64"/>
      <c r="AP1030" s="63"/>
      <c r="AQ1030" s="64"/>
      <c r="AR1030" s="63"/>
      <c r="AS1030" s="64"/>
      <c r="AT1030" s="63"/>
      <c r="AU1030" s="64"/>
      <c r="AV1030" s="63"/>
      <c r="AW1030" s="64"/>
      <c r="AX1030" s="63"/>
      <c r="AY1030" s="5"/>
      <c r="AZ1030" s="21" t="str">
        <f t="shared" si="692"/>
        <v/>
      </c>
      <c r="BA1030" s="264" t="s">
        <v>450</v>
      </c>
      <c r="BB1030" s="264"/>
      <c r="BC1030" s="264"/>
      <c r="BD1030" s="264"/>
      <c r="BE1030" s="9" t="s">
        <v>299</v>
      </c>
      <c r="BF1030" s="55"/>
      <c r="BG1030" s="55"/>
      <c r="BH1030" s="55"/>
      <c r="BI1030" s="55"/>
      <c r="BJ1030" s="55"/>
      <c r="BK1030" s="55"/>
      <c r="BL1030" s="55"/>
      <c r="BM1030" s="55"/>
      <c r="BN1030" s="55"/>
      <c r="BO1030" s="55"/>
      <c r="BP1030" s="55"/>
      <c r="BQ1030" s="5"/>
      <c r="BR1030" s="25"/>
      <c r="BS1030" s="5"/>
    </row>
    <row r="1031" spans="1:71" s="3" customFormat="1" x14ac:dyDescent="0.25">
      <c r="A1031" s="5"/>
      <c r="B1031" s="3" t="str">
        <f t="array" ref="B1031">IFERROR(INDEX(DemandSupply,MATCH(INDEX($AH$1:AH1031,SMALL(ROW($AH$1:AH1031)+(10000*($AH$1:AH1031="")),COUNTA($AH$1:AH1031))),Sectors,0)),"")</f>
        <v>Supply</v>
      </c>
      <c r="E1031" s="10"/>
      <c r="F1031" s="207"/>
      <c r="G1031" s="207"/>
      <c r="H1031" s="207"/>
      <c r="I1031" s="207"/>
      <c r="J1031" s="207"/>
      <c r="K1031" s="207"/>
      <c r="L1031" s="207"/>
      <c r="M1031" s="207"/>
      <c r="N1031" s="207"/>
      <c r="O1031" s="207"/>
      <c r="P1031" s="207"/>
      <c r="Q1031" s="207"/>
      <c r="R1031" s="207"/>
      <c r="S1031" s="207"/>
      <c r="T1031" s="207"/>
      <c r="U1031" s="207"/>
      <c r="V1031" s="207"/>
      <c r="W1031" s="207"/>
      <c r="X1031" s="207"/>
      <c r="Y1031" s="207"/>
      <c r="Z1031" s="207"/>
      <c r="AA1031" s="207"/>
      <c r="AB1031" s="207"/>
      <c r="AC1031" s="5"/>
      <c r="AD1031" s="63"/>
      <c r="AE1031" s="64"/>
      <c r="AF1031" s="64"/>
      <c r="AG1031" s="212"/>
      <c r="AH1031" s="64"/>
      <c r="AI1031" s="64"/>
      <c r="AJ1031" s="227"/>
      <c r="AK1031" s="64"/>
      <c r="AL1031" s="64"/>
      <c r="AM1031" s="212"/>
      <c r="AN1031" s="64"/>
      <c r="AO1031" s="64"/>
      <c r="AP1031" s="63"/>
      <c r="AQ1031" s="64"/>
      <c r="AR1031" s="63"/>
      <c r="AS1031" s="64"/>
      <c r="AT1031" s="63"/>
      <c r="AU1031" s="64"/>
      <c r="AV1031" s="63"/>
      <c r="AW1031" s="64"/>
      <c r="AX1031" s="63"/>
      <c r="AY1031" s="5"/>
      <c r="AZ1031" s="21" t="str">
        <f t="shared" si="692"/>
        <v/>
      </c>
      <c r="BA1031" s="264" t="s">
        <v>451</v>
      </c>
      <c r="BB1031" s="264"/>
      <c r="BC1031" s="264"/>
      <c r="BD1031" s="264"/>
      <c r="BE1031" s="9" t="s">
        <v>299</v>
      </c>
      <c r="BF1031" s="55"/>
      <c r="BG1031" s="55"/>
      <c r="BH1031" s="55"/>
      <c r="BI1031" s="55"/>
      <c r="BJ1031" s="55"/>
      <c r="BK1031" s="55"/>
      <c r="BL1031" s="55"/>
      <c r="BM1031" s="55"/>
      <c r="BN1031" s="55"/>
      <c r="BO1031" s="55"/>
      <c r="BP1031" s="55"/>
      <c r="BQ1031" s="5"/>
      <c r="BR1031" s="25"/>
      <c r="BS1031" s="5"/>
    </row>
    <row r="1032" spans="1:71" s="3" customFormat="1" x14ac:dyDescent="0.25">
      <c r="A1032" s="5"/>
      <c r="B1032" s="3" t="str">
        <f t="array" ref="B1032">IFERROR(INDEX(DemandSupply,MATCH(INDEX($AH$1:AH1032,SMALL(ROW($AH$1:AH1032)+(10000*($AH$1:AH1032="")),COUNTA($AH$1:AH1032))),Sectors,0)),"")</f>
        <v>Supply</v>
      </c>
      <c r="E1032" s="10"/>
      <c r="F1032" s="207"/>
      <c r="G1032" s="207"/>
      <c r="H1032" s="207"/>
      <c r="I1032" s="207"/>
      <c r="J1032" s="207"/>
      <c r="K1032" s="207"/>
      <c r="L1032" s="207"/>
      <c r="M1032" s="207"/>
      <c r="N1032" s="207"/>
      <c r="O1032" s="207"/>
      <c r="P1032" s="207"/>
      <c r="Q1032" s="207"/>
      <c r="R1032" s="207"/>
      <c r="S1032" s="207"/>
      <c r="T1032" s="207"/>
      <c r="U1032" s="207"/>
      <c r="V1032" s="207"/>
      <c r="W1032" s="207"/>
      <c r="X1032" s="207"/>
      <c r="Y1032" s="207"/>
      <c r="Z1032" s="207"/>
      <c r="AA1032" s="207"/>
      <c r="AB1032" s="207"/>
      <c r="AC1032" s="5"/>
      <c r="AD1032" s="63"/>
      <c r="AE1032" s="64"/>
      <c r="AF1032" s="64"/>
      <c r="AG1032" s="212"/>
      <c r="AH1032" s="64"/>
      <c r="AI1032" s="64"/>
      <c r="AJ1032" s="227"/>
      <c r="AK1032" s="64"/>
      <c r="AL1032" s="64"/>
      <c r="AM1032" s="212"/>
      <c r="AN1032" s="64"/>
      <c r="AO1032" s="64"/>
      <c r="AP1032" s="63"/>
      <c r="AQ1032" s="64"/>
      <c r="AR1032" s="63"/>
      <c r="AS1032" s="64"/>
      <c r="AT1032" s="63"/>
      <c r="AU1032" s="64"/>
      <c r="AV1032" s="63"/>
      <c r="AW1032" s="64"/>
      <c r="AX1032" s="63"/>
      <c r="AY1032" s="5"/>
      <c r="AZ1032" s="21" t="str">
        <f t="shared" si="692"/>
        <v/>
      </c>
      <c r="BA1032" s="264" t="s">
        <v>342</v>
      </c>
      <c r="BB1032" s="264"/>
      <c r="BC1032" s="264"/>
      <c r="BD1032" s="264" t="s">
        <v>370</v>
      </c>
      <c r="BE1032" s="9" t="s">
        <v>299</v>
      </c>
      <c r="BF1032" s="56">
        <v>3000000</v>
      </c>
      <c r="BG1032" s="282">
        <f t="shared" ref="BG1032:BP1032" si="711">BF1032</f>
        <v>3000000</v>
      </c>
      <c r="BH1032" s="282">
        <f t="shared" si="711"/>
        <v>3000000</v>
      </c>
      <c r="BI1032" s="282">
        <f t="shared" si="711"/>
        <v>3000000</v>
      </c>
      <c r="BJ1032" s="282">
        <f t="shared" si="711"/>
        <v>3000000</v>
      </c>
      <c r="BK1032" s="282">
        <f t="shared" si="711"/>
        <v>3000000</v>
      </c>
      <c r="BL1032" s="282">
        <f t="shared" si="711"/>
        <v>3000000</v>
      </c>
      <c r="BM1032" s="282">
        <f t="shared" si="711"/>
        <v>3000000</v>
      </c>
      <c r="BN1032" s="282">
        <f t="shared" si="711"/>
        <v>3000000</v>
      </c>
      <c r="BO1032" s="282">
        <f t="shared" si="711"/>
        <v>3000000</v>
      </c>
      <c r="BP1032" s="282">
        <f t="shared" si="711"/>
        <v>3000000</v>
      </c>
      <c r="BQ1032" s="5"/>
      <c r="BR1032" s="25"/>
      <c r="BS1032" s="5"/>
    </row>
    <row r="1033" spans="1:71" s="3" customFormat="1" x14ac:dyDescent="0.25">
      <c r="A1033" s="5"/>
      <c r="B1033" s="3" t="str">
        <f t="array" ref="B1033">IFERROR(INDEX(DemandSupply,MATCH(INDEX($AH$1:AH1033,SMALL(ROW($AH$1:AH1033)+(10000*($AH$1:AH1033="")),COUNTA($AH$1:AH1033))),Sectors,0)),"")</f>
        <v>Supply</v>
      </c>
      <c r="E1033" s="10"/>
      <c r="F1033" s="207"/>
      <c r="G1033" s="207"/>
      <c r="H1033" s="207"/>
      <c r="I1033" s="207"/>
      <c r="J1033" s="207"/>
      <c r="K1033" s="207"/>
      <c r="L1033" s="207"/>
      <c r="M1033" s="207"/>
      <c r="N1033" s="207"/>
      <c r="O1033" s="207"/>
      <c r="P1033" s="207"/>
      <c r="Q1033" s="207"/>
      <c r="R1033" s="207"/>
      <c r="S1033" s="207"/>
      <c r="T1033" s="207"/>
      <c r="U1033" s="207"/>
      <c r="V1033" s="207"/>
      <c r="W1033" s="207"/>
      <c r="X1033" s="207"/>
      <c r="Y1033" s="207"/>
      <c r="Z1033" s="207"/>
      <c r="AA1033" s="207"/>
      <c r="AB1033" s="207"/>
      <c r="AC1033" s="5"/>
      <c r="AD1033" s="63"/>
      <c r="AE1033" s="64"/>
      <c r="AF1033" s="64"/>
      <c r="AG1033" s="212"/>
      <c r="AH1033" s="64"/>
      <c r="AI1033" s="64"/>
      <c r="AJ1033" s="227"/>
      <c r="AK1033" s="64"/>
      <c r="AL1033" s="64"/>
      <c r="AM1033" s="212"/>
      <c r="AN1033" s="64"/>
      <c r="AO1033" s="64"/>
      <c r="AP1033" s="63"/>
      <c r="AQ1033" s="64"/>
      <c r="AR1033" s="63"/>
      <c r="AS1033" s="64"/>
      <c r="AT1033" s="63"/>
      <c r="AU1033" s="64"/>
      <c r="AV1033" s="63"/>
      <c r="AW1033" s="64"/>
      <c r="AX1033" s="63"/>
      <c r="AY1033" s="5"/>
      <c r="AZ1033" s="21" t="str">
        <f t="shared" si="692"/>
        <v/>
      </c>
      <c r="BA1033" s="264" t="s">
        <v>394</v>
      </c>
      <c r="BB1033" s="264"/>
      <c r="BC1033" s="264"/>
      <c r="BD1033" s="264" t="s">
        <v>354</v>
      </c>
      <c r="BE1033" s="9" t="s">
        <v>299</v>
      </c>
      <c r="BF1033" s="56"/>
      <c r="BG1033" s="56"/>
      <c r="BH1033" s="56"/>
      <c r="BI1033" s="56"/>
      <c r="BJ1033" s="56"/>
      <c r="BK1033" s="56"/>
      <c r="BL1033" s="56"/>
      <c r="BM1033" s="56"/>
      <c r="BN1033" s="56"/>
      <c r="BO1033" s="56"/>
      <c r="BP1033" s="56"/>
      <c r="BQ1033" s="5"/>
      <c r="BR1033" s="25"/>
      <c r="BS1033" s="5"/>
    </row>
    <row r="1034" spans="1:71" s="3" customFormat="1" x14ac:dyDescent="0.25">
      <c r="A1034" s="5"/>
      <c r="B1034" s="3" t="str">
        <f t="array" ref="B1034">IFERROR(INDEX(DemandSupply,MATCH(INDEX($AH$1:AH1034,SMALL(ROW($AH$1:AH1034)+(10000*($AH$1:AH1034="")),COUNTA($AH$1:AH1034))),Sectors,0)),"")</f>
        <v>Supply</v>
      </c>
      <c r="E1034" s="10">
        <f t="shared" ref="E1034" si="712">IF(COUNTA(BA1034)=1,0,MIN(F1034:AA1034))</f>
        <v>0</v>
      </c>
      <c r="F1034" s="207">
        <v>1</v>
      </c>
      <c r="G1034" s="207">
        <v>1</v>
      </c>
      <c r="H1034" s="207">
        <v>1</v>
      </c>
      <c r="I1034" s="207">
        <v>1</v>
      </c>
      <c r="J1034" s="207">
        <v>1</v>
      </c>
      <c r="K1034" s="207">
        <v>1</v>
      </c>
      <c r="L1034" s="207">
        <v>1</v>
      </c>
      <c r="M1034" s="207">
        <v>1</v>
      </c>
      <c r="N1034" s="207">
        <v>1</v>
      </c>
      <c r="O1034" s="207">
        <v>1</v>
      </c>
      <c r="P1034" s="207">
        <v>1</v>
      </c>
      <c r="Q1034" s="207">
        <v>1</v>
      </c>
      <c r="R1034" s="207">
        <v>1</v>
      </c>
      <c r="S1034" s="207">
        <v>1</v>
      </c>
      <c r="T1034" s="207">
        <v>1</v>
      </c>
      <c r="U1034" s="207">
        <v>1</v>
      </c>
      <c r="V1034" s="207">
        <v>1</v>
      </c>
      <c r="W1034" s="207">
        <v>1</v>
      </c>
      <c r="X1034" s="207">
        <v>1</v>
      </c>
      <c r="Y1034" s="207">
        <v>1</v>
      </c>
      <c r="Z1034" s="207">
        <v>1</v>
      </c>
      <c r="AA1034" s="207">
        <v>1</v>
      </c>
      <c r="AB1034" s="207">
        <v>1</v>
      </c>
      <c r="AC1034" s="5"/>
      <c r="AD1034" s="63"/>
      <c r="AE1034" s="64"/>
      <c r="AF1034" s="64"/>
      <c r="AG1034" s="212"/>
      <c r="AH1034" s="64"/>
      <c r="AI1034" s="65"/>
      <c r="AJ1034" s="227"/>
      <c r="AK1034" s="65"/>
      <c r="AL1034" s="64"/>
      <c r="AM1034" s="212"/>
      <c r="AN1034" s="63"/>
      <c r="AO1034" s="64"/>
      <c r="AP1034" s="63"/>
      <c r="AQ1034" s="64"/>
      <c r="AR1034" s="63"/>
      <c r="AS1034" s="64"/>
      <c r="AT1034" s="63"/>
      <c r="AU1034" s="64"/>
      <c r="AV1034" s="63"/>
      <c r="AW1034" s="64"/>
      <c r="AX1034" s="63"/>
      <c r="AY1034" s="5"/>
      <c r="AZ1034" s="21" t="str">
        <f t="shared" si="692"/>
        <v/>
      </c>
      <c r="BA1034" s="74" t="s">
        <v>338</v>
      </c>
      <c r="BB1034" s="13"/>
      <c r="BC1034" s="3" t="s">
        <v>424</v>
      </c>
      <c r="BD1034" s="2" t="s">
        <v>384</v>
      </c>
      <c r="BE1034" s="9" t="s">
        <v>299</v>
      </c>
      <c r="BF1034" s="55">
        <f>GJ_per_MWh/0.9</f>
        <v>4</v>
      </c>
      <c r="BG1034" s="316">
        <f t="shared" ref="BG1034:BG1035" si="713">BF1034</f>
        <v>4</v>
      </c>
      <c r="BH1034" s="316">
        <f t="shared" ref="BH1034:BH1035" si="714">BG1034</f>
        <v>4</v>
      </c>
      <c r="BI1034" s="316">
        <f t="shared" ref="BI1034:BI1035" si="715">BH1034</f>
        <v>4</v>
      </c>
      <c r="BJ1034" s="316">
        <f t="shared" ref="BJ1034:BJ1035" si="716">BI1034</f>
        <v>4</v>
      </c>
      <c r="BK1034" s="316">
        <f t="shared" ref="BK1034:BK1035" si="717">BJ1034</f>
        <v>4</v>
      </c>
      <c r="BL1034" s="316">
        <f t="shared" ref="BL1034:BL1035" si="718">BK1034</f>
        <v>4</v>
      </c>
      <c r="BM1034" s="316">
        <f t="shared" ref="BM1034:BM1035" si="719">BL1034</f>
        <v>4</v>
      </c>
      <c r="BN1034" s="316">
        <f t="shared" ref="BN1034:BN1035" si="720">BM1034</f>
        <v>4</v>
      </c>
      <c r="BO1034" s="316">
        <f t="shared" ref="BO1034:BO1035" si="721">BN1034</f>
        <v>4</v>
      </c>
      <c r="BP1034" s="316">
        <f t="shared" ref="BP1034:BP1035" si="722">BO1034</f>
        <v>4</v>
      </c>
      <c r="BQ1034" s="5"/>
      <c r="BR1034" s="13"/>
      <c r="BS1034" s="5"/>
    </row>
    <row r="1035" spans="1:71" s="3" customFormat="1" x14ac:dyDescent="0.25">
      <c r="A1035" s="5"/>
      <c r="B1035" s="3" t="str">
        <f t="array" ref="B1035">IFERROR(INDEX(DemandSupply,MATCH(INDEX($AH$1:AH1035,SMALL(ROW($AH$1:AH1035)+(10000*($AH$1:AH1035="")),COUNTA($AH$1:AH1035))),Sectors,0)),"")</f>
        <v>Supply</v>
      </c>
      <c r="E1035" s="10">
        <f t="shared" si="694"/>
        <v>0</v>
      </c>
      <c r="F1035" s="207">
        <v>1</v>
      </c>
      <c r="G1035" s="207">
        <v>1</v>
      </c>
      <c r="H1035" s="207">
        <v>1</v>
      </c>
      <c r="I1035" s="207">
        <v>1</v>
      </c>
      <c r="J1035" s="207">
        <v>1</v>
      </c>
      <c r="K1035" s="207">
        <v>1</v>
      </c>
      <c r="L1035" s="207">
        <v>1</v>
      </c>
      <c r="M1035" s="207">
        <v>1</v>
      </c>
      <c r="N1035" s="207">
        <v>1</v>
      </c>
      <c r="O1035" s="207">
        <v>1</v>
      </c>
      <c r="P1035" s="207">
        <v>1</v>
      </c>
      <c r="Q1035" s="207">
        <v>1</v>
      </c>
      <c r="R1035" s="207">
        <v>1</v>
      </c>
      <c r="S1035" s="207">
        <v>1</v>
      </c>
      <c r="T1035" s="207">
        <v>1</v>
      </c>
      <c r="U1035" s="207">
        <v>1</v>
      </c>
      <c r="V1035" s="207">
        <v>1</v>
      </c>
      <c r="W1035" s="207">
        <v>1</v>
      </c>
      <c r="X1035" s="207">
        <v>1</v>
      </c>
      <c r="Y1035" s="207">
        <v>1</v>
      </c>
      <c r="Z1035" s="207">
        <v>1</v>
      </c>
      <c r="AA1035" s="207">
        <v>1</v>
      </c>
      <c r="AB1035" s="207">
        <v>1</v>
      </c>
      <c r="AC1035" s="5"/>
      <c r="AD1035" s="63"/>
      <c r="AE1035" s="64"/>
      <c r="AF1035" s="64"/>
      <c r="AG1035" s="212"/>
      <c r="AH1035" s="64"/>
      <c r="AI1035" s="65"/>
      <c r="AJ1035" s="227"/>
      <c r="AK1035" s="65"/>
      <c r="AL1035" s="64"/>
      <c r="AM1035" s="212"/>
      <c r="AN1035" s="63"/>
      <c r="AO1035" s="64"/>
      <c r="AP1035" s="63"/>
      <c r="AQ1035" s="64"/>
      <c r="AR1035" s="63"/>
      <c r="AS1035" s="64"/>
      <c r="AT1035" s="63"/>
      <c r="AU1035" s="64"/>
      <c r="AV1035" s="63"/>
      <c r="AW1035" s="64"/>
      <c r="AX1035" s="63"/>
      <c r="AY1035" s="5"/>
      <c r="AZ1035" s="21" t="str">
        <f t="shared" si="692"/>
        <v/>
      </c>
      <c r="BA1035" s="74" t="s">
        <v>338</v>
      </c>
      <c r="BB1035" s="13"/>
      <c r="BC1035" s="3" t="s">
        <v>372</v>
      </c>
      <c r="BD1035" s="2" t="s">
        <v>385</v>
      </c>
      <c r="BE1035" s="9" t="s">
        <v>299</v>
      </c>
      <c r="BF1035" s="55">
        <v>1</v>
      </c>
      <c r="BG1035" s="316">
        <f t="shared" si="713"/>
        <v>1</v>
      </c>
      <c r="BH1035" s="316">
        <f t="shared" si="714"/>
        <v>1</v>
      </c>
      <c r="BI1035" s="316">
        <f t="shared" si="715"/>
        <v>1</v>
      </c>
      <c r="BJ1035" s="316">
        <f t="shared" si="716"/>
        <v>1</v>
      </c>
      <c r="BK1035" s="316">
        <f t="shared" si="717"/>
        <v>1</v>
      </c>
      <c r="BL1035" s="316">
        <f t="shared" si="718"/>
        <v>1</v>
      </c>
      <c r="BM1035" s="316">
        <f t="shared" si="719"/>
        <v>1</v>
      </c>
      <c r="BN1035" s="316">
        <f t="shared" si="720"/>
        <v>1</v>
      </c>
      <c r="BO1035" s="316">
        <f t="shared" si="721"/>
        <v>1</v>
      </c>
      <c r="BP1035" s="316">
        <f t="shared" si="722"/>
        <v>1</v>
      </c>
      <c r="BQ1035" s="5"/>
      <c r="BR1035" s="13"/>
      <c r="BS1035" s="5"/>
    </row>
    <row r="1036" spans="1:71" s="3" customFormat="1" x14ac:dyDescent="0.25">
      <c r="A1036" s="5"/>
      <c r="B1036" s="3" t="str">
        <f t="array" ref="B1036">IFERROR(INDEX(DemandSupply,MATCH(INDEX($AH$1:AH1036,SMALL(ROW($AH$1:AH1036)+(10000*($AH$1:AH1036="")),COUNTA($AH$1:AH1036))),Sectors,0)),"")</f>
        <v>Supply</v>
      </c>
      <c r="E1036" s="10">
        <f t="shared" si="694"/>
        <v>1</v>
      </c>
      <c r="F1036" s="207">
        <v>1</v>
      </c>
      <c r="G1036" s="207">
        <v>1</v>
      </c>
      <c r="H1036" s="207">
        <v>1</v>
      </c>
      <c r="I1036" s="207">
        <v>1</v>
      </c>
      <c r="J1036" s="207">
        <v>1</v>
      </c>
      <c r="K1036" s="207">
        <v>1</v>
      </c>
      <c r="L1036" s="207">
        <v>1</v>
      </c>
      <c r="M1036" s="207">
        <v>1</v>
      </c>
      <c r="N1036" s="207">
        <v>1</v>
      </c>
      <c r="O1036" s="207">
        <v>1</v>
      </c>
      <c r="P1036" s="207">
        <v>1</v>
      </c>
      <c r="Q1036" s="207">
        <v>1</v>
      </c>
      <c r="R1036" s="207">
        <v>1</v>
      </c>
      <c r="S1036" s="207">
        <v>1</v>
      </c>
      <c r="T1036" s="207">
        <v>1</v>
      </c>
      <c r="U1036" s="207">
        <v>1</v>
      </c>
      <c r="V1036" s="207">
        <v>1</v>
      </c>
      <c r="W1036" s="207">
        <v>1</v>
      </c>
      <c r="X1036" s="207">
        <v>1</v>
      </c>
      <c r="Y1036" s="207">
        <v>1</v>
      </c>
      <c r="Z1036" s="207">
        <v>1</v>
      </c>
      <c r="AA1036" s="207">
        <v>1</v>
      </c>
      <c r="AB1036" s="207">
        <v>1</v>
      </c>
      <c r="AC1036" s="5"/>
      <c r="AD1036" s="63"/>
      <c r="AE1036" s="64"/>
      <c r="AF1036" s="64"/>
      <c r="AG1036" s="212"/>
      <c r="AH1036" s="64"/>
      <c r="AI1036" s="65"/>
      <c r="AJ1036" s="227"/>
      <c r="AK1036" s="65"/>
      <c r="AL1036" s="64"/>
      <c r="AM1036" s="212"/>
      <c r="AN1036" s="63"/>
      <c r="AO1036" s="64"/>
      <c r="AP1036" s="63"/>
      <c r="AQ1036" s="64"/>
      <c r="AR1036" s="63"/>
      <c r="AS1036" s="64"/>
      <c r="AT1036" s="63"/>
      <c r="AU1036" s="64"/>
      <c r="AV1036" s="63"/>
      <c r="AW1036" s="64"/>
      <c r="AX1036" s="63"/>
      <c r="AY1036" s="5"/>
      <c r="AZ1036" s="21" t="str">
        <f t="shared" si="692"/>
        <v/>
      </c>
      <c r="BA1036" s="2"/>
      <c r="BB1036" s="13"/>
      <c r="BC1036" s="2"/>
      <c r="BD1036" s="2"/>
      <c r="BE1036" s="16"/>
      <c r="BF1036" s="4"/>
      <c r="BG1036" s="4"/>
      <c r="BH1036" s="4"/>
      <c r="BI1036" s="4"/>
      <c r="BJ1036" s="4"/>
      <c r="BK1036" s="4"/>
      <c r="BL1036" s="4"/>
      <c r="BM1036" s="4"/>
      <c r="BN1036" s="4"/>
      <c r="BO1036" s="4"/>
      <c r="BP1036" s="4"/>
      <c r="BQ1036" s="5"/>
      <c r="BR1036" s="13"/>
      <c r="BS1036" s="5"/>
    </row>
    <row r="1037" spans="1:71" s="3" customFormat="1" x14ac:dyDescent="0.25">
      <c r="A1037" s="5"/>
      <c r="B1037" s="3" t="str">
        <f t="array" ref="B1037">IFERROR(INDEX(DemandSupply,MATCH(INDEX($AH$1:AH1037,SMALL(ROW($AH$1:AH1037)+(10000*($AH$1:AH1037="")),COUNTA($AH$1:AH1037))),Sectors,0)),"")</f>
        <v>Supply</v>
      </c>
      <c r="E1037" s="10">
        <f t="shared" si="694"/>
        <v>1</v>
      </c>
      <c r="F1037" s="207">
        <v>1</v>
      </c>
      <c r="G1037" s="207">
        <v>1</v>
      </c>
      <c r="H1037" s="207">
        <v>1</v>
      </c>
      <c r="I1037" s="207">
        <v>1</v>
      </c>
      <c r="J1037" s="207">
        <v>1</v>
      </c>
      <c r="K1037" s="207">
        <v>1</v>
      </c>
      <c r="L1037" s="207">
        <v>1</v>
      </c>
      <c r="M1037" s="207">
        <v>1</v>
      </c>
      <c r="N1037" s="207">
        <v>1</v>
      </c>
      <c r="O1037" s="207">
        <v>1</v>
      </c>
      <c r="P1037" s="207">
        <v>1</v>
      </c>
      <c r="Q1037" s="207">
        <v>1</v>
      </c>
      <c r="R1037" s="207">
        <v>1</v>
      </c>
      <c r="S1037" s="207">
        <v>1</v>
      </c>
      <c r="T1037" s="207">
        <v>1</v>
      </c>
      <c r="U1037" s="207">
        <v>1</v>
      </c>
      <c r="V1037" s="207">
        <v>1</v>
      </c>
      <c r="W1037" s="207">
        <v>1</v>
      </c>
      <c r="X1037" s="207">
        <v>1</v>
      </c>
      <c r="Y1037" s="207">
        <v>1</v>
      </c>
      <c r="Z1037" s="207">
        <v>1</v>
      </c>
      <c r="AA1037" s="207">
        <v>1</v>
      </c>
      <c r="AB1037" s="207">
        <v>1</v>
      </c>
      <c r="AC1037" s="5"/>
      <c r="AD1037" s="63"/>
      <c r="AE1037" s="64"/>
      <c r="AF1037" s="64"/>
      <c r="AG1037" s="212"/>
      <c r="AH1037" s="64"/>
      <c r="AI1037" s="65"/>
      <c r="AJ1037" s="227"/>
      <c r="AK1037" s="65"/>
      <c r="AL1037" s="64"/>
      <c r="AM1037" s="212"/>
      <c r="AN1037" s="211" t="s">
        <v>73</v>
      </c>
      <c r="AO1037" s="64"/>
      <c r="AP1037" s="63"/>
      <c r="AQ1037" s="64"/>
      <c r="AR1037" s="63"/>
      <c r="AS1037" s="64"/>
      <c r="AT1037" s="63"/>
      <c r="AU1037" s="64"/>
      <c r="AV1037" s="63"/>
      <c r="AW1037" s="64"/>
      <c r="AX1037" s="63"/>
      <c r="AY1037" s="5"/>
      <c r="AZ1037" s="208" t="str">
        <f t="shared" si="692"/>
        <v>Renewables</v>
      </c>
      <c r="BA1037" s="2"/>
      <c r="BB1037" s="13"/>
      <c r="BC1037" s="2"/>
      <c r="BD1037" s="2"/>
      <c r="BE1037" s="16"/>
      <c r="BF1037" s="4"/>
      <c r="BG1037" s="4"/>
      <c r="BH1037" s="4"/>
      <c r="BI1037" s="4"/>
      <c r="BJ1037" s="4"/>
      <c r="BK1037" s="4"/>
      <c r="BL1037" s="4"/>
      <c r="BM1037" s="4"/>
      <c r="BN1037" s="4"/>
      <c r="BO1037" s="4"/>
      <c r="BP1037" s="4"/>
      <c r="BQ1037" s="5"/>
      <c r="BR1037" s="13"/>
      <c r="BS1037" s="5"/>
    </row>
    <row r="1038" spans="1:71" s="3" customFormat="1" x14ac:dyDescent="0.25">
      <c r="A1038" s="5"/>
      <c r="B1038" s="3" t="str">
        <f t="array" ref="B1038">IFERROR(INDEX(DemandSupply,MATCH(INDEX($AH$1:AH1038,SMALL(ROW($AH$1:AH1038)+(10000*($AH$1:AH1038="")),COUNTA($AH$1:AH1038))),Sectors,0)),"")</f>
        <v>Supply</v>
      </c>
      <c r="E1038" s="10">
        <f t="shared" si="694"/>
        <v>0</v>
      </c>
      <c r="F1038" s="207">
        <v>1</v>
      </c>
      <c r="G1038" s="207">
        <v>1</v>
      </c>
      <c r="H1038" s="207">
        <v>1</v>
      </c>
      <c r="I1038" s="207">
        <v>1</v>
      </c>
      <c r="J1038" s="207">
        <v>1</v>
      </c>
      <c r="K1038" s="207">
        <v>1</v>
      </c>
      <c r="L1038" s="207">
        <v>1</v>
      </c>
      <c r="M1038" s="207">
        <v>1</v>
      </c>
      <c r="N1038" s="207">
        <v>1</v>
      </c>
      <c r="O1038" s="207">
        <v>1</v>
      </c>
      <c r="P1038" s="207">
        <v>1</v>
      </c>
      <c r="Q1038" s="207">
        <v>1</v>
      </c>
      <c r="R1038" s="207">
        <v>1</v>
      </c>
      <c r="S1038" s="207">
        <v>1</v>
      </c>
      <c r="T1038" s="207">
        <v>1</v>
      </c>
      <c r="U1038" s="207">
        <v>1</v>
      </c>
      <c r="V1038" s="207">
        <v>1</v>
      </c>
      <c r="W1038" s="207">
        <v>1</v>
      </c>
      <c r="X1038" s="207">
        <v>1</v>
      </c>
      <c r="Y1038" s="207">
        <v>1</v>
      </c>
      <c r="Z1038" s="207">
        <v>1</v>
      </c>
      <c r="AA1038" s="207">
        <v>1</v>
      </c>
      <c r="AB1038" s="207">
        <v>1</v>
      </c>
      <c r="AC1038" s="5"/>
      <c r="AD1038" s="63"/>
      <c r="AE1038" s="64"/>
      <c r="AF1038" s="64"/>
      <c r="AG1038" s="212"/>
      <c r="AH1038" s="64"/>
      <c r="AI1038" s="65"/>
      <c r="AJ1038" s="227"/>
      <c r="AK1038" s="65"/>
      <c r="AL1038" s="64"/>
      <c r="AM1038" s="64"/>
      <c r="AN1038" s="63"/>
      <c r="AO1038" s="64"/>
      <c r="AP1038" s="63"/>
      <c r="AQ1038" s="64"/>
      <c r="AR1038" s="63"/>
      <c r="AS1038" s="64"/>
      <c r="AT1038" s="63"/>
      <c r="AU1038" s="64"/>
      <c r="AV1038" s="63"/>
      <c r="AW1038" s="64"/>
      <c r="AX1038" s="63"/>
      <c r="AY1038" s="5"/>
      <c r="AZ1038" s="21" t="str">
        <f t="shared" si="692"/>
        <v/>
      </c>
      <c r="BA1038" s="2" t="s">
        <v>337</v>
      </c>
      <c r="BB1038" s="13"/>
      <c r="BC1038" s="2" t="s">
        <v>296</v>
      </c>
      <c r="BD1038" s="2" t="s">
        <v>219</v>
      </c>
      <c r="BE1038" s="216" t="str">
        <f>AZ1037</f>
        <v>Renewables</v>
      </c>
      <c r="BF1038" s="56"/>
      <c r="BG1038" s="56"/>
      <c r="BH1038" s="56"/>
      <c r="BI1038" s="56"/>
      <c r="BJ1038" s="56"/>
      <c r="BK1038" s="56"/>
      <c r="BL1038" s="56"/>
      <c r="BM1038" s="56"/>
      <c r="BN1038" s="56"/>
      <c r="BO1038" s="56"/>
      <c r="BP1038" s="56"/>
      <c r="BQ1038" s="5"/>
      <c r="BR1038" s="13"/>
      <c r="BS1038" s="5"/>
    </row>
    <row r="1039" spans="1:71" s="3" customFormat="1" x14ac:dyDescent="0.25">
      <c r="A1039" s="5"/>
      <c r="B1039" s="3" t="str">
        <f t="array" ref="B1039">IFERROR(INDEX(DemandSupply,MATCH(INDEX($AH$1:AH1039,SMALL(ROW($AH$1:AH1039)+(10000*($AH$1:AH1039="")),COUNTA($AH$1:AH1039))),Sectors,0)),"")</f>
        <v>Supply</v>
      </c>
      <c r="E1039" s="10">
        <f t="shared" si="694"/>
        <v>0</v>
      </c>
      <c r="F1039" s="207">
        <v>1</v>
      </c>
      <c r="G1039" s="207">
        <v>1</v>
      </c>
      <c r="H1039" s="207">
        <v>1</v>
      </c>
      <c r="I1039" s="207">
        <v>1</v>
      </c>
      <c r="J1039" s="207">
        <v>1</v>
      </c>
      <c r="K1039" s="207">
        <v>1</v>
      </c>
      <c r="L1039" s="207">
        <v>1</v>
      </c>
      <c r="M1039" s="207">
        <v>1</v>
      </c>
      <c r="N1039" s="207">
        <v>1</v>
      </c>
      <c r="O1039" s="207">
        <v>1</v>
      </c>
      <c r="P1039" s="207">
        <v>1</v>
      </c>
      <c r="Q1039" s="207">
        <v>1</v>
      </c>
      <c r="R1039" s="207">
        <v>1</v>
      </c>
      <c r="S1039" s="207">
        <v>1</v>
      </c>
      <c r="T1039" s="207">
        <v>1</v>
      </c>
      <c r="U1039" s="207">
        <v>1</v>
      </c>
      <c r="V1039" s="207">
        <v>1</v>
      </c>
      <c r="W1039" s="207">
        <v>1</v>
      </c>
      <c r="X1039" s="207">
        <v>1</v>
      </c>
      <c r="Y1039" s="207">
        <v>1</v>
      </c>
      <c r="Z1039" s="207">
        <v>1</v>
      </c>
      <c r="AA1039" s="207">
        <v>1</v>
      </c>
      <c r="AB1039" s="207">
        <v>1</v>
      </c>
      <c r="AC1039" s="5"/>
      <c r="AD1039" s="63"/>
      <c r="AE1039" s="64"/>
      <c r="AF1039" s="64"/>
      <c r="AG1039" s="212"/>
      <c r="AH1039" s="64"/>
      <c r="AI1039" s="65"/>
      <c r="AJ1039" s="227"/>
      <c r="AK1039" s="65"/>
      <c r="AL1039" s="64"/>
      <c r="AM1039" s="64"/>
      <c r="AN1039" s="63"/>
      <c r="AO1039" s="64"/>
      <c r="AP1039" s="63"/>
      <c r="AQ1039" s="64"/>
      <c r="AR1039" s="63"/>
      <c r="AS1039" s="64"/>
      <c r="AT1039" s="63"/>
      <c r="AU1039" s="64"/>
      <c r="AV1039" s="63"/>
      <c r="AW1039" s="64"/>
      <c r="AX1039" s="63"/>
      <c r="AY1039" s="5"/>
      <c r="AZ1039" s="21" t="str">
        <f t="shared" si="692"/>
        <v/>
      </c>
      <c r="BA1039" s="2" t="s">
        <v>47</v>
      </c>
      <c r="BB1039" s="13"/>
      <c r="BC1039" s="2"/>
      <c r="BD1039" s="2"/>
      <c r="BE1039" s="16" t="s">
        <v>21</v>
      </c>
      <c r="BF1039" s="4"/>
      <c r="BG1039" s="4"/>
      <c r="BH1039" s="4"/>
      <c r="BI1039" s="4"/>
      <c r="BJ1039" s="4"/>
      <c r="BK1039" s="4"/>
      <c r="BL1039" s="4"/>
      <c r="BM1039" s="4"/>
      <c r="BN1039" s="4"/>
      <c r="BO1039" s="4"/>
      <c r="BP1039" s="4"/>
      <c r="BQ1039" s="5"/>
      <c r="BR1039" s="13"/>
      <c r="BS1039" s="5"/>
    </row>
    <row r="1040" spans="1:71" s="3" customFormat="1" x14ac:dyDescent="0.25">
      <c r="A1040" s="5"/>
      <c r="B1040" s="3" t="str">
        <f t="array" ref="B1040">IFERROR(INDEX(DemandSupply,MATCH(INDEX($AH$1:AH1040,SMALL(ROW($AH$1:AH1040)+(10000*($AH$1:AH1040="")),COUNTA($AH$1:AH1040))),Sectors,0)),"")</f>
        <v>Supply</v>
      </c>
      <c r="E1040" s="10">
        <f t="shared" si="694"/>
        <v>0</v>
      </c>
      <c r="F1040" s="207">
        <v>1</v>
      </c>
      <c r="G1040" s="207">
        <v>1</v>
      </c>
      <c r="H1040" s="207">
        <v>1</v>
      </c>
      <c r="I1040" s="207">
        <v>1</v>
      </c>
      <c r="J1040" s="207">
        <v>1</v>
      </c>
      <c r="K1040" s="207">
        <v>1</v>
      </c>
      <c r="L1040" s="207">
        <v>1</v>
      </c>
      <c r="M1040" s="207">
        <v>1</v>
      </c>
      <c r="N1040" s="207">
        <v>1</v>
      </c>
      <c r="O1040" s="207">
        <v>1</v>
      </c>
      <c r="P1040" s="207">
        <v>1</v>
      </c>
      <c r="Q1040" s="207">
        <v>1</v>
      </c>
      <c r="R1040" s="207">
        <v>1</v>
      </c>
      <c r="S1040" s="207">
        <v>1</v>
      </c>
      <c r="T1040" s="207">
        <v>1</v>
      </c>
      <c r="U1040" s="207">
        <v>1</v>
      </c>
      <c r="V1040" s="207">
        <v>1</v>
      </c>
      <c r="W1040" s="207">
        <v>1</v>
      </c>
      <c r="X1040" s="207">
        <v>1</v>
      </c>
      <c r="Y1040" s="207">
        <v>1</v>
      </c>
      <c r="Z1040" s="207">
        <v>1</v>
      </c>
      <c r="AA1040" s="207">
        <v>1</v>
      </c>
      <c r="AB1040" s="207">
        <v>1</v>
      </c>
      <c r="AC1040" s="5"/>
      <c r="AD1040" s="63"/>
      <c r="AE1040" s="64"/>
      <c r="AF1040" s="64"/>
      <c r="AG1040" s="212"/>
      <c r="AH1040" s="64"/>
      <c r="AI1040" s="65"/>
      <c r="AJ1040" s="227"/>
      <c r="AK1040" s="65"/>
      <c r="AL1040" s="64"/>
      <c r="AM1040" s="64"/>
      <c r="AN1040" s="63"/>
      <c r="AO1040" s="64"/>
      <c r="AP1040" s="63"/>
      <c r="AQ1040" s="64"/>
      <c r="AR1040" s="63"/>
      <c r="AS1040" s="64"/>
      <c r="AT1040" s="63"/>
      <c r="AU1040" s="64"/>
      <c r="AV1040" s="63"/>
      <c r="AW1040" s="64"/>
      <c r="AX1040" s="63"/>
      <c r="AY1040" s="5"/>
      <c r="AZ1040" s="21" t="str">
        <f t="shared" si="692"/>
        <v/>
      </c>
      <c r="BA1040" s="2" t="s">
        <v>66</v>
      </c>
      <c r="BB1040" s="13"/>
      <c r="BC1040" s="2"/>
      <c r="BD1040" s="2"/>
      <c r="BE1040" s="9" t="s">
        <v>35</v>
      </c>
      <c r="BF1040" s="4">
        <v>10</v>
      </c>
      <c r="BG1040" s="281">
        <f t="shared" ref="BG1040:BG1041" si="723">BF1040</f>
        <v>10</v>
      </c>
      <c r="BH1040" s="281">
        <f t="shared" ref="BH1040:BH1041" si="724">BG1040</f>
        <v>10</v>
      </c>
      <c r="BI1040" s="281">
        <f t="shared" ref="BI1040:BI1041" si="725">BH1040</f>
        <v>10</v>
      </c>
      <c r="BJ1040" s="281">
        <f t="shared" ref="BJ1040:BJ1041" si="726">BI1040</f>
        <v>10</v>
      </c>
      <c r="BK1040" s="281">
        <f t="shared" ref="BK1040:BK1041" si="727">BJ1040</f>
        <v>10</v>
      </c>
      <c r="BL1040" s="281">
        <f t="shared" ref="BL1040:BL1041" si="728">BK1040</f>
        <v>10</v>
      </c>
      <c r="BM1040" s="281">
        <f t="shared" ref="BM1040:BM1041" si="729">BL1040</f>
        <v>10</v>
      </c>
      <c r="BN1040" s="281">
        <f t="shared" ref="BN1040:BN1041" si="730">BM1040</f>
        <v>10</v>
      </c>
      <c r="BO1040" s="281">
        <f t="shared" ref="BO1040:BO1041" si="731">BN1040</f>
        <v>10</v>
      </c>
      <c r="BP1040" s="281">
        <f t="shared" ref="BP1040:BP1041" si="732">BO1040</f>
        <v>10</v>
      </c>
      <c r="BQ1040" s="5"/>
      <c r="BR1040" s="13"/>
      <c r="BS1040" s="5"/>
    </row>
    <row r="1041" spans="1:71" s="3" customFormat="1" x14ac:dyDescent="0.25">
      <c r="A1041" s="5"/>
      <c r="B1041" s="3" t="str">
        <f t="array" ref="B1041">IFERROR(INDEX(DemandSupply,MATCH(INDEX($AH$1:AH1041,SMALL(ROW($AH$1:AH1041)+(10000*($AH$1:AH1041="")),COUNTA($AH$1:AH1041))),Sectors,0)),"")</f>
        <v>Supply</v>
      </c>
      <c r="E1041" s="10">
        <f t="shared" si="694"/>
        <v>0</v>
      </c>
      <c r="F1041" s="207">
        <v>1</v>
      </c>
      <c r="G1041" s="207">
        <v>1</v>
      </c>
      <c r="H1041" s="207">
        <v>1</v>
      </c>
      <c r="I1041" s="207">
        <v>1</v>
      </c>
      <c r="J1041" s="207">
        <v>1</v>
      </c>
      <c r="K1041" s="207">
        <v>1</v>
      </c>
      <c r="L1041" s="207">
        <v>1</v>
      </c>
      <c r="M1041" s="207">
        <v>1</v>
      </c>
      <c r="N1041" s="207">
        <v>1</v>
      </c>
      <c r="O1041" s="207">
        <v>1</v>
      </c>
      <c r="P1041" s="207">
        <v>1</v>
      </c>
      <c r="Q1041" s="207">
        <v>1</v>
      </c>
      <c r="R1041" s="207">
        <v>1</v>
      </c>
      <c r="S1041" s="207">
        <v>1</v>
      </c>
      <c r="T1041" s="207">
        <v>1</v>
      </c>
      <c r="U1041" s="207">
        <v>1</v>
      </c>
      <c r="V1041" s="207">
        <v>1</v>
      </c>
      <c r="W1041" s="207">
        <v>1</v>
      </c>
      <c r="X1041" s="207">
        <v>1</v>
      </c>
      <c r="Y1041" s="207">
        <v>1</v>
      </c>
      <c r="Z1041" s="207">
        <v>1</v>
      </c>
      <c r="AA1041" s="207">
        <v>1</v>
      </c>
      <c r="AB1041" s="207">
        <v>1</v>
      </c>
      <c r="AC1041" s="5"/>
      <c r="AD1041" s="63"/>
      <c r="AE1041" s="64"/>
      <c r="AF1041" s="64"/>
      <c r="AG1041" s="212"/>
      <c r="AH1041" s="64"/>
      <c r="AI1041" s="65"/>
      <c r="AJ1041" s="227"/>
      <c r="AK1041" s="65"/>
      <c r="AL1041" s="64"/>
      <c r="AM1041" s="64"/>
      <c r="AN1041" s="64"/>
      <c r="AO1041" s="64"/>
      <c r="AP1041" s="63"/>
      <c r="AQ1041" s="64"/>
      <c r="AR1041" s="63"/>
      <c r="AS1041" s="64"/>
      <c r="AT1041" s="63"/>
      <c r="AU1041" s="64"/>
      <c r="AV1041" s="63"/>
      <c r="AW1041" s="64"/>
      <c r="AX1041" s="63"/>
      <c r="AY1041" s="5"/>
      <c r="AZ1041" s="21" t="str">
        <f t="shared" si="692"/>
        <v/>
      </c>
      <c r="BA1041" s="2" t="s">
        <v>343</v>
      </c>
      <c r="BB1041" s="13"/>
      <c r="BC1041" s="2"/>
      <c r="BD1041" s="2" t="s">
        <v>99</v>
      </c>
      <c r="BE1041" s="9" t="s">
        <v>41</v>
      </c>
      <c r="BF1041" s="303">
        <v>0.25</v>
      </c>
      <c r="BG1041" s="306">
        <f t="shared" si="723"/>
        <v>0.25</v>
      </c>
      <c r="BH1041" s="306">
        <f t="shared" si="724"/>
        <v>0.25</v>
      </c>
      <c r="BI1041" s="306">
        <f t="shared" si="725"/>
        <v>0.25</v>
      </c>
      <c r="BJ1041" s="306">
        <f t="shared" si="726"/>
        <v>0.25</v>
      </c>
      <c r="BK1041" s="306">
        <f t="shared" si="727"/>
        <v>0.25</v>
      </c>
      <c r="BL1041" s="306">
        <f t="shared" si="728"/>
        <v>0.25</v>
      </c>
      <c r="BM1041" s="306">
        <f t="shared" si="729"/>
        <v>0.25</v>
      </c>
      <c r="BN1041" s="306">
        <f t="shared" si="730"/>
        <v>0.25</v>
      </c>
      <c r="BO1041" s="306">
        <f t="shared" si="731"/>
        <v>0.25</v>
      </c>
      <c r="BP1041" s="306">
        <f t="shared" si="732"/>
        <v>0.25</v>
      </c>
      <c r="BQ1041" s="5"/>
      <c r="BR1041" s="13"/>
      <c r="BS1041" s="5"/>
    </row>
    <row r="1042" spans="1:71" s="3" customFormat="1" x14ac:dyDescent="0.25">
      <c r="A1042" s="5"/>
      <c r="B1042" s="3" t="str">
        <f t="array" ref="B1042">IFERROR(INDEX(DemandSupply,MATCH(INDEX($AH$1:AH1042,SMALL(ROW($AH$1:AH1042)+(10000*($AH$1:AH1042="")),COUNTA($AH$1:AH1042))),Sectors,0)),"")</f>
        <v>Supply</v>
      </c>
      <c r="E1042" s="10">
        <f t="shared" si="694"/>
        <v>0</v>
      </c>
      <c r="F1042" s="207">
        <v>1</v>
      </c>
      <c r="G1042" s="207">
        <v>1</v>
      </c>
      <c r="H1042" s="207">
        <v>1</v>
      </c>
      <c r="I1042" s="207">
        <v>1</v>
      </c>
      <c r="J1042" s="207">
        <v>1</v>
      </c>
      <c r="K1042" s="207">
        <v>1</v>
      </c>
      <c r="L1042" s="207">
        <v>1</v>
      </c>
      <c r="M1042" s="207">
        <v>1</v>
      </c>
      <c r="N1042" s="207">
        <v>1</v>
      </c>
      <c r="O1042" s="207">
        <v>1</v>
      </c>
      <c r="P1042" s="207">
        <v>1</v>
      </c>
      <c r="Q1042" s="207">
        <v>1</v>
      </c>
      <c r="R1042" s="207">
        <v>1</v>
      </c>
      <c r="S1042" s="207">
        <v>1</v>
      </c>
      <c r="T1042" s="207">
        <v>1</v>
      </c>
      <c r="U1042" s="207">
        <v>1</v>
      </c>
      <c r="V1042" s="207">
        <v>1</v>
      </c>
      <c r="W1042" s="207">
        <v>1</v>
      </c>
      <c r="X1042" s="207">
        <v>1</v>
      </c>
      <c r="Y1042" s="207">
        <v>1</v>
      </c>
      <c r="Z1042" s="207">
        <v>1</v>
      </c>
      <c r="AA1042" s="207">
        <v>1</v>
      </c>
      <c r="AB1042" s="207">
        <v>1</v>
      </c>
      <c r="AC1042" s="5"/>
      <c r="AD1042" s="63"/>
      <c r="AE1042" s="64"/>
      <c r="AF1042" s="64"/>
      <c r="AG1042" s="212"/>
      <c r="AH1042" s="64"/>
      <c r="AI1042" s="65"/>
      <c r="AJ1042" s="227"/>
      <c r="AK1042" s="65"/>
      <c r="AL1042" s="64"/>
      <c r="AM1042" s="64"/>
      <c r="AN1042" s="64"/>
      <c r="AO1042" s="64"/>
      <c r="AP1042" s="63"/>
      <c r="AQ1042" s="64"/>
      <c r="AR1042" s="63"/>
      <c r="AS1042" s="64"/>
      <c r="AT1042" s="63"/>
      <c r="AU1042" s="64"/>
      <c r="AV1042" s="63"/>
      <c r="AW1042" s="64"/>
      <c r="AX1042" s="63"/>
      <c r="AY1042" s="5"/>
      <c r="AZ1042" s="21" t="str">
        <f t="shared" si="692"/>
        <v/>
      </c>
      <c r="BA1042" s="293" t="s">
        <v>51</v>
      </c>
      <c r="BB1042" s="13"/>
      <c r="BC1042" s="2"/>
      <c r="BD1042" s="2"/>
      <c r="BE1042" s="70" t="s">
        <v>199</v>
      </c>
      <c r="BF1042" s="209"/>
      <c r="BG1042" s="209"/>
      <c r="BH1042" s="4"/>
      <c r="BI1042" s="4"/>
      <c r="BJ1042" s="4"/>
      <c r="BK1042" s="4"/>
      <c r="BL1042" s="4"/>
      <c r="BM1042" s="4"/>
      <c r="BN1042" s="4"/>
      <c r="BO1042" s="4"/>
      <c r="BP1042" s="4"/>
      <c r="BQ1042" s="5"/>
      <c r="BR1042" s="13"/>
      <c r="BS1042" s="5"/>
    </row>
    <row r="1043" spans="1:71" s="3" customFormat="1" x14ac:dyDescent="0.25">
      <c r="A1043" s="5"/>
      <c r="B1043" s="3" t="str">
        <f t="array" ref="B1043">IFERROR(INDEX(DemandSupply,MATCH(INDEX($AH$1:AH1043,SMALL(ROW($AH$1:AH1043)+(10000*($AH$1:AH1043="")),COUNTA($AH$1:AH1043))),Sectors,0)),"")</f>
        <v>Supply</v>
      </c>
      <c r="E1043" s="10"/>
      <c r="F1043" s="207"/>
      <c r="G1043" s="207"/>
      <c r="H1043" s="207"/>
      <c r="I1043" s="207"/>
      <c r="J1043" s="207"/>
      <c r="K1043" s="207"/>
      <c r="L1043" s="207"/>
      <c r="M1043" s="207"/>
      <c r="N1043" s="207"/>
      <c r="O1043" s="207"/>
      <c r="P1043" s="207"/>
      <c r="Q1043" s="207"/>
      <c r="R1043" s="207"/>
      <c r="S1043" s="207"/>
      <c r="T1043" s="207"/>
      <c r="U1043" s="207"/>
      <c r="V1043" s="207"/>
      <c r="W1043" s="207"/>
      <c r="X1043" s="207"/>
      <c r="Y1043" s="207"/>
      <c r="Z1043" s="207"/>
      <c r="AA1043" s="207"/>
      <c r="AB1043" s="207"/>
      <c r="AC1043" s="5"/>
      <c r="AD1043" s="63"/>
      <c r="AE1043" s="64"/>
      <c r="AF1043" s="64"/>
      <c r="AG1043" s="212"/>
      <c r="AH1043" s="64"/>
      <c r="AI1043" s="64"/>
      <c r="AJ1043" s="227"/>
      <c r="AK1043" s="64"/>
      <c r="AL1043" s="64"/>
      <c r="AM1043" s="64"/>
      <c r="AN1043" s="64"/>
      <c r="AO1043" s="64"/>
      <c r="AP1043" s="63"/>
      <c r="AQ1043" s="64"/>
      <c r="AR1043" s="63"/>
      <c r="AS1043" s="64"/>
      <c r="AT1043" s="63"/>
      <c r="AU1043" s="64"/>
      <c r="AV1043" s="63"/>
      <c r="AW1043" s="64"/>
      <c r="AX1043" s="63"/>
      <c r="AY1043" s="5"/>
      <c r="AZ1043" s="21" t="str">
        <f t="shared" si="692"/>
        <v/>
      </c>
      <c r="BA1043" s="264" t="s">
        <v>38</v>
      </c>
      <c r="BB1043" s="264"/>
      <c r="BC1043" s="264"/>
      <c r="BD1043" s="264" t="s">
        <v>40</v>
      </c>
      <c r="BE1043" s="9" t="s">
        <v>199</v>
      </c>
      <c r="BF1043" s="309">
        <v>2010</v>
      </c>
      <c r="BG1043" s="312">
        <f t="shared" ref="BG1043:BP1043" si="733">BF1043</f>
        <v>2010</v>
      </c>
      <c r="BH1043" s="312">
        <f t="shared" si="733"/>
        <v>2010</v>
      </c>
      <c r="BI1043" s="312">
        <f t="shared" si="733"/>
        <v>2010</v>
      </c>
      <c r="BJ1043" s="312">
        <f t="shared" si="733"/>
        <v>2010</v>
      </c>
      <c r="BK1043" s="312">
        <f t="shared" si="733"/>
        <v>2010</v>
      </c>
      <c r="BL1043" s="312">
        <f t="shared" si="733"/>
        <v>2010</v>
      </c>
      <c r="BM1043" s="312">
        <f t="shared" si="733"/>
        <v>2010</v>
      </c>
      <c r="BN1043" s="312">
        <f t="shared" si="733"/>
        <v>2010</v>
      </c>
      <c r="BO1043" s="312">
        <f t="shared" si="733"/>
        <v>2010</v>
      </c>
      <c r="BP1043" s="312">
        <f t="shared" si="733"/>
        <v>2010</v>
      </c>
      <c r="BQ1043" s="5"/>
      <c r="BR1043" s="25"/>
      <c r="BS1043" s="5"/>
    </row>
    <row r="1044" spans="1:71" s="3" customFormat="1" x14ac:dyDescent="0.25">
      <c r="A1044" s="5"/>
      <c r="B1044" s="3" t="str">
        <f t="array" ref="B1044">IFERROR(INDEX(DemandSupply,MATCH(INDEX($AH$1:AH1044,SMALL(ROW($AH$1:AH1044)+(10000*($AH$1:AH1044="")),COUNTA($AH$1:AH1044))),Sectors,0)),"")</f>
        <v>Supply</v>
      </c>
      <c r="E1044" s="10"/>
      <c r="F1044" s="207"/>
      <c r="G1044" s="207"/>
      <c r="H1044" s="207"/>
      <c r="I1044" s="207"/>
      <c r="J1044" s="207"/>
      <c r="K1044" s="207"/>
      <c r="L1044" s="207"/>
      <c r="M1044" s="207"/>
      <c r="N1044" s="207"/>
      <c r="O1044" s="207"/>
      <c r="P1044" s="207"/>
      <c r="Q1044" s="207"/>
      <c r="R1044" s="207"/>
      <c r="S1044" s="207"/>
      <c r="T1044" s="207"/>
      <c r="U1044" s="207"/>
      <c r="V1044" s="207"/>
      <c r="W1044" s="207"/>
      <c r="X1044" s="207"/>
      <c r="Y1044" s="207"/>
      <c r="Z1044" s="207"/>
      <c r="AA1044" s="207"/>
      <c r="AB1044" s="207"/>
      <c r="AC1044" s="5"/>
      <c r="AD1044" s="63"/>
      <c r="AE1044" s="64"/>
      <c r="AF1044" s="64"/>
      <c r="AG1044" s="212"/>
      <c r="AH1044" s="64"/>
      <c r="AI1044" s="64"/>
      <c r="AJ1044" s="227"/>
      <c r="AK1044" s="64"/>
      <c r="AL1044" s="64"/>
      <c r="AM1044" s="64"/>
      <c r="AN1044" s="64"/>
      <c r="AO1044" s="64"/>
      <c r="AP1044" s="63"/>
      <c r="AQ1044" s="64"/>
      <c r="AR1044" s="63"/>
      <c r="AS1044" s="64"/>
      <c r="AT1044" s="63"/>
      <c r="AU1044" s="64"/>
      <c r="AV1044" s="63"/>
      <c r="AW1044" s="64"/>
      <c r="AX1044" s="63"/>
      <c r="AY1044" s="5"/>
      <c r="AZ1044" s="21" t="str">
        <f t="shared" si="692"/>
        <v/>
      </c>
      <c r="BA1044" s="264" t="s">
        <v>37</v>
      </c>
      <c r="BB1044" s="264"/>
      <c r="BC1044" s="264"/>
      <c r="BD1044" s="264" t="s">
        <v>40</v>
      </c>
      <c r="BE1044" s="9" t="s">
        <v>199</v>
      </c>
      <c r="BF1044" s="309">
        <v>2100</v>
      </c>
      <c r="BG1044" s="312">
        <f t="shared" ref="BG1044:BP1044" si="734">BF1044</f>
        <v>2100</v>
      </c>
      <c r="BH1044" s="312">
        <f t="shared" si="734"/>
        <v>2100</v>
      </c>
      <c r="BI1044" s="312">
        <f t="shared" si="734"/>
        <v>2100</v>
      </c>
      <c r="BJ1044" s="312">
        <f t="shared" si="734"/>
        <v>2100</v>
      </c>
      <c r="BK1044" s="312">
        <f t="shared" si="734"/>
        <v>2100</v>
      </c>
      <c r="BL1044" s="312">
        <f t="shared" si="734"/>
        <v>2100</v>
      </c>
      <c r="BM1044" s="312">
        <f t="shared" si="734"/>
        <v>2100</v>
      </c>
      <c r="BN1044" s="312">
        <f t="shared" si="734"/>
        <v>2100</v>
      </c>
      <c r="BO1044" s="312">
        <f t="shared" si="734"/>
        <v>2100</v>
      </c>
      <c r="BP1044" s="312">
        <f t="shared" si="734"/>
        <v>2100</v>
      </c>
      <c r="BQ1044" s="5"/>
      <c r="BR1044" s="25"/>
      <c r="BS1044" s="5"/>
    </row>
    <row r="1045" spans="1:71" s="3" customFormat="1" x14ac:dyDescent="0.25">
      <c r="A1045" s="5"/>
      <c r="B1045" s="3" t="str">
        <f t="array" ref="B1045">IFERROR(INDEX(DemandSupply,MATCH(INDEX($AH$1:AH1045,SMALL(ROW($AH$1:AH1045)+(10000*($AH$1:AH1045="")),COUNTA($AH$1:AH1045))),Sectors,0)),"")</f>
        <v>Supply</v>
      </c>
      <c r="E1045" s="10"/>
      <c r="F1045" s="207"/>
      <c r="G1045" s="207"/>
      <c r="H1045" s="207"/>
      <c r="I1045" s="207"/>
      <c r="J1045" s="207"/>
      <c r="K1045" s="207"/>
      <c r="L1045" s="207"/>
      <c r="M1045" s="207"/>
      <c r="N1045" s="207"/>
      <c r="O1045" s="207"/>
      <c r="P1045" s="207"/>
      <c r="Q1045" s="207"/>
      <c r="R1045" s="207"/>
      <c r="S1045" s="207"/>
      <c r="T1045" s="207"/>
      <c r="U1045" s="207"/>
      <c r="V1045" s="207"/>
      <c r="W1045" s="207"/>
      <c r="X1045" s="207"/>
      <c r="Y1045" s="207"/>
      <c r="Z1045" s="207"/>
      <c r="AA1045" s="207"/>
      <c r="AB1045" s="207"/>
      <c r="AC1045" s="5"/>
      <c r="AD1045" s="63"/>
      <c r="AE1045" s="64"/>
      <c r="AF1045" s="64"/>
      <c r="AG1045" s="212"/>
      <c r="AH1045" s="64"/>
      <c r="AI1045" s="64"/>
      <c r="AJ1045" s="227"/>
      <c r="AK1045" s="64"/>
      <c r="AL1045" s="64"/>
      <c r="AM1045" s="64"/>
      <c r="AN1045" s="64"/>
      <c r="AO1045" s="64"/>
      <c r="AP1045" s="63"/>
      <c r="AQ1045" s="64"/>
      <c r="AR1045" s="63"/>
      <c r="AS1045" s="64"/>
      <c r="AT1045" s="63"/>
      <c r="AU1045" s="64"/>
      <c r="AV1045" s="63"/>
      <c r="AW1045" s="64"/>
      <c r="AX1045" s="63"/>
      <c r="AY1045" s="5"/>
      <c r="AZ1045" s="21" t="str">
        <f t="shared" si="692"/>
        <v/>
      </c>
      <c r="BA1045" s="264" t="s">
        <v>39</v>
      </c>
      <c r="BB1045" s="264"/>
      <c r="BC1045" s="264"/>
      <c r="BD1045" s="264" t="s">
        <v>10</v>
      </c>
      <c r="BE1045" s="9" t="s">
        <v>199</v>
      </c>
      <c r="BF1045" s="56">
        <v>30</v>
      </c>
      <c r="BG1045" s="282">
        <f t="shared" ref="BG1045:BP1045" si="735">BF1045</f>
        <v>30</v>
      </c>
      <c r="BH1045" s="282">
        <f t="shared" si="735"/>
        <v>30</v>
      </c>
      <c r="BI1045" s="282">
        <f t="shared" si="735"/>
        <v>30</v>
      </c>
      <c r="BJ1045" s="282">
        <f t="shared" si="735"/>
        <v>30</v>
      </c>
      <c r="BK1045" s="282">
        <f t="shared" si="735"/>
        <v>30</v>
      </c>
      <c r="BL1045" s="282">
        <f t="shared" si="735"/>
        <v>30</v>
      </c>
      <c r="BM1045" s="282">
        <f t="shared" si="735"/>
        <v>30</v>
      </c>
      <c r="BN1045" s="282">
        <f t="shared" si="735"/>
        <v>30</v>
      </c>
      <c r="BO1045" s="282">
        <f t="shared" si="735"/>
        <v>30</v>
      </c>
      <c r="BP1045" s="282">
        <f t="shared" si="735"/>
        <v>30</v>
      </c>
      <c r="BQ1045" s="5"/>
      <c r="BR1045" s="25"/>
      <c r="BS1045" s="5"/>
    </row>
    <row r="1046" spans="1:71" s="3" customFormat="1" x14ac:dyDescent="0.25">
      <c r="A1046" s="5"/>
      <c r="B1046" s="3" t="str">
        <f t="array" ref="B1046">IFERROR(INDEX(DemandSupply,MATCH(INDEX($AH$1:AH1046,SMALL(ROW($AH$1:AH1046)+(10000*($AH$1:AH1046="")),COUNTA($AH$1:AH1046))),Sectors,0)),"")</f>
        <v>Supply</v>
      </c>
      <c r="E1046" s="10"/>
      <c r="F1046" s="207"/>
      <c r="G1046" s="207"/>
      <c r="H1046" s="207"/>
      <c r="I1046" s="207"/>
      <c r="J1046" s="207"/>
      <c r="K1046" s="207"/>
      <c r="L1046" s="207"/>
      <c r="M1046" s="207"/>
      <c r="N1046" s="207"/>
      <c r="O1046" s="207"/>
      <c r="P1046" s="207"/>
      <c r="Q1046" s="207"/>
      <c r="R1046" s="207"/>
      <c r="S1046" s="207"/>
      <c r="T1046" s="207"/>
      <c r="U1046" s="207"/>
      <c r="V1046" s="207"/>
      <c r="W1046" s="207"/>
      <c r="X1046" s="207"/>
      <c r="Y1046" s="207"/>
      <c r="Z1046" s="207"/>
      <c r="AA1046" s="207"/>
      <c r="AB1046" s="207"/>
      <c r="AC1046" s="5"/>
      <c r="AD1046" s="63"/>
      <c r="AE1046" s="64"/>
      <c r="AF1046" s="64"/>
      <c r="AG1046" s="212"/>
      <c r="AH1046" s="64"/>
      <c r="AI1046" s="64"/>
      <c r="AJ1046" s="227"/>
      <c r="AK1046" s="64"/>
      <c r="AL1046" s="64"/>
      <c r="AM1046" s="64"/>
      <c r="AN1046" s="64"/>
      <c r="AO1046" s="64"/>
      <c r="AP1046" s="63"/>
      <c r="AQ1046" s="64"/>
      <c r="AR1046" s="63"/>
      <c r="AS1046" s="64"/>
      <c r="AT1046" s="63"/>
      <c r="AU1046" s="64"/>
      <c r="AV1046" s="63"/>
      <c r="AW1046" s="64"/>
      <c r="AX1046" s="63"/>
      <c r="AY1046" s="5"/>
      <c r="AZ1046" s="21" t="str">
        <f t="shared" si="692"/>
        <v/>
      </c>
      <c r="BA1046" s="264" t="s">
        <v>395</v>
      </c>
      <c r="BB1046" s="264"/>
      <c r="BC1046" s="264"/>
      <c r="BD1046" s="264" t="s">
        <v>10</v>
      </c>
      <c r="BE1046" s="9" t="s">
        <v>199</v>
      </c>
      <c r="BF1046" s="56"/>
      <c r="BG1046" s="56"/>
      <c r="BH1046" s="56"/>
      <c r="BI1046" s="56"/>
      <c r="BJ1046" s="56"/>
      <c r="BK1046" s="56"/>
      <c r="BL1046" s="56"/>
      <c r="BM1046" s="56"/>
      <c r="BN1046" s="56"/>
      <c r="BO1046" s="56"/>
      <c r="BP1046" s="56"/>
      <c r="BQ1046" s="5"/>
      <c r="BR1046" s="25"/>
      <c r="BS1046" s="5"/>
    </row>
    <row r="1047" spans="1:71" s="3" customFormat="1" x14ac:dyDescent="0.25">
      <c r="A1047" s="5"/>
      <c r="B1047" s="3" t="str">
        <f t="array" ref="B1047">IFERROR(INDEX(DemandSupply,MATCH(INDEX($AH$1:AH1047,SMALL(ROW($AH$1:AH1047)+(10000*($AH$1:AH1047="")),COUNTA($AH$1:AH1047))),Sectors,0)),"")</f>
        <v>Supply</v>
      </c>
      <c r="E1047" s="10"/>
      <c r="F1047" s="207"/>
      <c r="G1047" s="207"/>
      <c r="H1047" s="207"/>
      <c r="I1047" s="207"/>
      <c r="J1047" s="207"/>
      <c r="K1047" s="207"/>
      <c r="L1047" s="207"/>
      <c r="M1047" s="207"/>
      <c r="N1047" s="207"/>
      <c r="O1047" s="207"/>
      <c r="P1047" s="207"/>
      <c r="Q1047" s="207"/>
      <c r="R1047" s="207"/>
      <c r="S1047" s="207"/>
      <c r="T1047" s="207"/>
      <c r="U1047" s="207"/>
      <c r="V1047" s="207"/>
      <c r="W1047" s="207"/>
      <c r="X1047" s="207"/>
      <c r="Y1047" s="207"/>
      <c r="Z1047" s="207"/>
      <c r="AA1047" s="207"/>
      <c r="AB1047" s="207"/>
      <c r="AC1047" s="5"/>
      <c r="AD1047" s="63"/>
      <c r="AE1047" s="64"/>
      <c r="AF1047" s="64"/>
      <c r="AG1047" s="212"/>
      <c r="AH1047" s="64"/>
      <c r="AI1047" s="64"/>
      <c r="AJ1047" s="227"/>
      <c r="AK1047" s="64"/>
      <c r="AL1047" s="64"/>
      <c r="AM1047" s="64"/>
      <c r="AN1047" s="64"/>
      <c r="AO1047" s="64"/>
      <c r="AP1047" s="63"/>
      <c r="AQ1047" s="64"/>
      <c r="AR1047" s="63"/>
      <c r="AS1047" s="64"/>
      <c r="AT1047" s="63"/>
      <c r="AU1047" s="64"/>
      <c r="AV1047" s="63"/>
      <c r="AW1047" s="64"/>
      <c r="AX1047" s="63"/>
      <c r="AY1047" s="5"/>
      <c r="AZ1047" s="21" t="str">
        <f t="shared" si="692"/>
        <v/>
      </c>
      <c r="BA1047" s="264" t="s">
        <v>341</v>
      </c>
      <c r="BB1047" s="264"/>
      <c r="BC1047" s="264"/>
      <c r="BD1047" s="264" t="s">
        <v>99</v>
      </c>
      <c r="BE1047" s="9" t="s">
        <v>199</v>
      </c>
      <c r="BF1047" s="303">
        <v>0.125</v>
      </c>
      <c r="BG1047" s="306">
        <f t="shared" ref="BG1047:BP1047" si="736">BF1047</f>
        <v>0.125</v>
      </c>
      <c r="BH1047" s="306">
        <f t="shared" si="736"/>
        <v>0.125</v>
      </c>
      <c r="BI1047" s="306">
        <f t="shared" si="736"/>
        <v>0.125</v>
      </c>
      <c r="BJ1047" s="306">
        <f t="shared" si="736"/>
        <v>0.125</v>
      </c>
      <c r="BK1047" s="306">
        <f t="shared" si="736"/>
        <v>0.125</v>
      </c>
      <c r="BL1047" s="306">
        <f t="shared" si="736"/>
        <v>0.125</v>
      </c>
      <c r="BM1047" s="306">
        <f t="shared" si="736"/>
        <v>0.125</v>
      </c>
      <c r="BN1047" s="306">
        <f t="shared" si="736"/>
        <v>0.125</v>
      </c>
      <c r="BO1047" s="306">
        <f t="shared" si="736"/>
        <v>0.125</v>
      </c>
      <c r="BP1047" s="306">
        <f t="shared" si="736"/>
        <v>0.125</v>
      </c>
      <c r="BQ1047" s="5"/>
      <c r="BR1047" s="25"/>
      <c r="BS1047" s="5"/>
    </row>
    <row r="1048" spans="1:71" s="3" customFormat="1" x14ac:dyDescent="0.25">
      <c r="A1048" s="5"/>
      <c r="B1048" s="3" t="str">
        <f t="array" ref="B1048">IFERROR(INDEX(DemandSupply,MATCH(INDEX($AH$1:AH1048,SMALL(ROW($AH$1:AH1048)+(10000*($AH$1:AH1048="")),COUNTA($AH$1:AH1048))),Sectors,0)),"")</f>
        <v>Supply</v>
      </c>
      <c r="E1048" s="10"/>
      <c r="F1048" s="207"/>
      <c r="G1048" s="207"/>
      <c r="H1048" s="207"/>
      <c r="I1048" s="207"/>
      <c r="J1048" s="207"/>
      <c r="K1048" s="207"/>
      <c r="L1048" s="207"/>
      <c r="M1048" s="207"/>
      <c r="N1048" s="207"/>
      <c r="O1048" s="207"/>
      <c r="P1048" s="207"/>
      <c r="Q1048" s="207"/>
      <c r="R1048" s="207"/>
      <c r="S1048" s="207"/>
      <c r="T1048" s="207"/>
      <c r="U1048" s="207"/>
      <c r="V1048" s="207"/>
      <c r="W1048" s="207"/>
      <c r="X1048" s="207"/>
      <c r="Y1048" s="207"/>
      <c r="Z1048" s="207"/>
      <c r="AA1048" s="207"/>
      <c r="AB1048" s="207"/>
      <c r="AC1048" s="5"/>
      <c r="AD1048" s="63"/>
      <c r="AE1048" s="64"/>
      <c r="AF1048" s="64"/>
      <c r="AG1048" s="212"/>
      <c r="AH1048" s="64"/>
      <c r="AI1048" s="64"/>
      <c r="AJ1048" s="227"/>
      <c r="AK1048" s="64"/>
      <c r="AL1048" s="64"/>
      <c r="AM1048" s="64"/>
      <c r="AN1048" s="64"/>
      <c r="AO1048" s="64"/>
      <c r="AP1048" s="63"/>
      <c r="AQ1048" s="64"/>
      <c r="AR1048" s="63"/>
      <c r="AS1048" s="64"/>
      <c r="AT1048" s="63"/>
      <c r="AU1048" s="64"/>
      <c r="AV1048" s="63"/>
      <c r="AW1048" s="64"/>
      <c r="AX1048" s="63"/>
      <c r="AY1048" s="5"/>
      <c r="AZ1048" s="21" t="str">
        <f t="shared" si="692"/>
        <v/>
      </c>
      <c r="BA1048" s="264" t="s">
        <v>392</v>
      </c>
      <c r="BB1048" s="264"/>
      <c r="BC1048" s="264"/>
      <c r="BD1048" s="264" t="s">
        <v>99</v>
      </c>
      <c r="BE1048" s="9" t="s">
        <v>199</v>
      </c>
      <c r="BF1048" s="303"/>
      <c r="BG1048" s="303"/>
      <c r="BH1048" s="303"/>
      <c r="BI1048" s="303"/>
      <c r="BJ1048" s="303"/>
      <c r="BK1048" s="303"/>
      <c r="BL1048" s="303"/>
      <c r="BM1048" s="303"/>
      <c r="BN1048" s="303"/>
      <c r="BO1048" s="303"/>
      <c r="BP1048" s="303"/>
      <c r="BQ1048" s="5"/>
      <c r="BR1048" s="25"/>
      <c r="BS1048" s="5"/>
    </row>
    <row r="1049" spans="1:71" s="3" customFormat="1" x14ac:dyDescent="0.25">
      <c r="A1049" s="5"/>
      <c r="B1049" s="3" t="str">
        <f t="array" ref="B1049">IFERROR(INDEX(DemandSupply,MATCH(INDEX($AH$1:AH1049,SMALL(ROW($AH$1:AH1049)+(10000*($AH$1:AH1049="")),COUNTA($AH$1:AH1049))),Sectors,0)),"")</f>
        <v>Supply</v>
      </c>
      <c r="E1049" s="10"/>
      <c r="F1049" s="207"/>
      <c r="G1049" s="207"/>
      <c r="H1049" s="207"/>
      <c r="I1049" s="207"/>
      <c r="J1049" s="207"/>
      <c r="K1049" s="207"/>
      <c r="L1049" s="207"/>
      <c r="M1049" s="207"/>
      <c r="N1049" s="207"/>
      <c r="O1049" s="207"/>
      <c r="P1049" s="207"/>
      <c r="Q1049" s="207"/>
      <c r="R1049" s="207"/>
      <c r="S1049" s="207"/>
      <c r="T1049" s="207"/>
      <c r="U1049" s="207"/>
      <c r="V1049" s="207"/>
      <c r="W1049" s="207"/>
      <c r="X1049" s="207"/>
      <c r="Y1049" s="207"/>
      <c r="Z1049" s="207"/>
      <c r="AA1049" s="207"/>
      <c r="AB1049" s="207"/>
      <c r="AC1049" s="5"/>
      <c r="AD1049" s="63"/>
      <c r="AE1049" s="64"/>
      <c r="AF1049" s="64"/>
      <c r="AG1049" s="212"/>
      <c r="AH1049" s="64"/>
      <c r="AI1049" s="64"/>
      <c r="AJ1049" s="227"/>
      <c r="AK1049" s="64"/>
      <c r="AL1049" s="64"/>
      <c r="AM1049" s="64"/>
      <c r="AN1049" s="64"/>
      <c r="AO1049" s="64"/>
      <c r="AP1049" s="63"/>
      <c r="AQ1049" s="64"/>
      <c r="AR1049" s="63"/>
      <c r="AS1049" s="64"/>
      <c r="AT1049" s="63"/>
      <c r="AU1049" s="64"/>
      <c r="AV1049" s="63"/>
      <c r="AW1049" s="64"/>
      <c r="AX1049" s="63"/>
      <c r="AY1049" s="5"/>
      <c r="AZ1049" s="21" t="str">
        <f t="shared" si="692"/>
        <v/>
      </c>
      <c r="BA1049" s="264" t="s">
        <v>391</v>
      </c>
      <c r="BB1049" s="264"/>
      <c r="BC1049" s="264"/>
      <c r="BD1049" s="264" t="s">
        <v>99</v>
      </c>
      <c r="BE1049" s="9" t="s">
        <v>199</v>
      </c>
      <c r="BF1049" s="303"/>
      <c r="BG1049" s="303"/>
      <c r="BH1049" s="303"/>
      <c r="BI1049" s="303"/>
      <c r="BJ1049" s="303"/>
      <c r="BK1049" s="303"/>
      <c r="BL1049" s="303"/>
      <c r="BM1049" s="303"/>
      <c r="BN1049" s="303"/>
      <c r="BO1049" s="303"/>
      <c r="BP1049" s="303"/>
      <c r="BQ1049" s="5"/>
      <c r="BR1049" s="25"/>
      <c r="BS1049" s="5"/>
    </row>
    <row r="1050" spans="1:71" s="3" customFormat="1" x14ac:dyDescent="0.25">
      <c r="A1050" s="5"/>
      <c r="B1050" s="3" t="str">
        <f t="array" ref="B1050">IFERROR(INDEX(DemandSupply,MATCH(INDEX($AH$1:AH1050,SMALL(ROW($AH$1:AH1050)+(10000*($AH$1:AH1050="")),COUNTA($AH$1:AH1050))),Sectors,0)),"")</f>
        <v>Supply</v>
      </c>
      <c r="E1050" s="10"/>
      <c r="F1050" s="207"/>
      <c r="G1050" s="207"/>
      <c r="H1050" s="207"/>
      <c r="I1050" s="207"/>
      <c r="J1050" s="207"/>
      <c r="K1050" s="207"/>
      <c r="L1050" s="207"/>
      <c r="M1050" s="207"/>
      <c r="N1050" s="207"/>
      <c r="O1050" s="207"/>
      <c r="P1050" s="207"/>
      <c r="Q1050" s="207"/>
      <c r="R1050" s="207"/>
      <c r="S1050" s="207"/>
      <c r="T1050" s="207"/>
      <c r="U1050" s="207"/>
      <c r="V1050" s="207"/>
      <c r="W1050" s="207"/>
      <c r="X1050" s="207"/>
      <c r="Y1050" s="207"/>
      <c r="Z1050" s="207"/>
      <c r="AA1050" s="207"/>
      <c r="AB1050" s="207"/>
      <c r="AC1050" s="5"/>
      <c r="AD1050" s="63"/>
      <c r="AE1050" s="64"/>
      <c r="AF1050" s="64"/>
      <c r="AG1050" s="212"/>
      <c r="AH1050" s="64"/>
      <c r="AI1050" s="64"/>
      <c r="AJ1050" s="227"/>
      <c r="AK1050" s="64"/>
      <c r="AL1050" s="64"/>
      <c r="AM1050" s="64"/>
      <c r="AN1050" s="64"/>
      <c r="AO1050" s="64"/>
      <c r="AP1050" s="63"/>
      <c r="AQ1050" s="64"/>
      <c r="AR1050" s="63"/>
      <c r="AS1050" s="64"/>
      <c r="AT1050" s="63"/>
      <c r="AU1050" s="64"/>
      <c r="AV1050" s="63"/>
      <c r="AW1050" s="64"/>
      <c r="AX1050" s="63"/>
      <c r="AY1050" s="5"/>
      <c r="AZ1050" s="21" t="str">
        <f t="shared" si="692"/>
        <v/>
      </c>
      <c r="BA1050" s="264" t="s">
        <v>144</v>
      </c>
      <c r="BB1050" s="264"/>
      <c r="BC1050" s="264"/>
      <c r="BD1050" s="264" t="s">
        <v>219</v>
      </c>
      <c r="BE1050" s="9" t="s">
        <v>199</v>
      </c>
      <c r="BF1050" s="56"/>
      <c r="BG1050" s="56"/>
      <c r="BH1050" s="56"/>
      <c r="BI1050" s="56"/>
      <c r="BJ1050" s="56"/>
      <c r="BK1050" s="56"/>
      <c r="BL1050" s="56"/>
      <c r="BM1050" s="56"/>
      <c r="BN1050" s="56"/>
      <c r="BO1050" s="56"/>
      <c r="BP1050" s="56"/>
      <c r="BQ1050" s="5"/>
      <c r="BR1050" s="25"/>
      <c r="BS1050" s="5"/>
    </row>
    <row r="1051" spans="1:71" s="3" customFormat="1" x14ac:dyDescent="0.25">
      <c r="A1051" s="5"/>
      <c r="B1051" s="3" t="str">
        <f t="array" ref="B1051">IFERROR(INDEX(DemandSupply,MATCH(INDEX($AH$1:AH1051,SMALL(ROW($AH$1:AH1051)+(10000*($AH$1:AH1051="")),COUNTA($AH$1:AH1051))),Sectors,0)),"")</f>
        <v>Supply</v>
      </c>
      <c r="E1051" s="10"/>
      <c r="F1051" s="207"/>
      <c r="G1051" s="207"/>
      <c r="H1051" s="207"/>
      <c r="I1051" s="207"/>
      <c r="J1051" s="207"/>
      <c r="K1051" s="207"/>
      <c r="L1051" s="207"/>
      <c r="M1051" s="207"/>
      <c r="N1051" s="207"/>
      <c r="O1051" s="207"/>
      <c r="P1051" s="207"/>
      <c r="Q1051" s="207"/>
      <c r="R1051" s="207"/>
      <c r="S1051" s="207"/>
      <c r="T1051" s="207"/>
      <c r="U1051" s="207"/>
      <c r="V1051" s="207"/>
      <c r="W1051" s="207"/>
      <c r="X1051" s="207"/>
      <c r="Y1051" s="207"/>
      <c r="Z1051" s="207"/>
      <c r="AA1051" s="207"/>
      <c r="AB1051" s="207"/>
      <c r="AC1051" s="5"/>
      <c r="AD1051" s="63"/>
      <c r="AE1051" s="64"/>
      <c r="AF1051" s="64"/>
      <c r="AG1051" s="212"/>
      <c r="AH1051" s="64"/>
      <c r="AI1051" s="64"/>
      <c r="AJ1051" s="227"/>
      <c r="AK1051" s="64"/>
      <c r="AL1051" s="64"/>
      <c r="AM1051" s="64"/>
      <c r="AN1051" s="64"/>
      <c r="AO1051" s="64"/>
      <c r="AP1051" s="63"/>
      <c r="AQ1051" s="64"/>
      <c r="AR1051" s="63"/>
      <c r="AS1051" s="64"/>
      <c r="AT1051" s="63"/>
      <c r="AU1051" s="64"/>
      <c r="AV1051" s="63"/>
      <c r="AW1051" s="64"/>
      <c r="AX1051" s="63"/>
      <c r="AY1051" s="5"/>
      <c r="AZ1051" s="21" t="str">
        <f t="shared" si="692"/>
        <v/>
      </c>
      <c r="BA1051" s="264" t="s">
        <v>76</v>
      </c>
      <c r="BB1051" s="264"/>
      <c r="BC1051" s="264"/>
      <c r="BD1051" s="264" t="s">
        <v>99</v>
      </c>
      <c r="BE1051" s="9" t="s">
        <v>199</v>
      </c>
      <c r="BF1051" s="303">
        <v>0.2</v>
      </c>
      <c r="BG1051" s="303"/>
      <c r="BH1051" s="303"/>
      <c r="BI1051" s="303"/>
      <c r="BJ1051" s="303"/>
      <c r="BK1051" s="303"/>
      <c r="BL1051" s="303"/>
      <c r="BM1051" s="303"/>
      <c r="BN1051" s="303"/>
      <c r="BO1051" s="303"/>
      <c r="BP1051" s="303"/>
      <c r="BQ1051" s="5"/>
      <c r="BR1051" s="25"/>
      <c r="BS1051" s="5"/>
    </row>
    <row r="1052" spans="1:71" s="3" customFormat="1" x14ac:dyDescent="0.25">
      <c r="A1052" s="5"/>
      <c r="B1052" s="3" t="str">
        <f t="array" ref="B1052">IFERROR(INDEX(DemandSupply,MATCH(INDEX($AH$1:AH1052,SMALL(ROW($AH$1:AH1052)+(10000*($AH$1:AH1052="")),COUNTA($AH$1:AH1052))),Sectors,0)),"")</f>
        <v>Supply</v>
      </c>
      <c r="E1052" s="10"/>
      <c r="F1052" s="207"/>
      <c r="G1052" s="207"/>
      <c r="H1052" s="207"/>
      <c r="I1052" s="207"/>
      <c r="J1052" s="207"/>
      <c r="K1052" s="207"/>
      <c r="L1052" s="207"/>
      <c r="M1052" s="207"/>
      <c r="N1052" s="207"/>
      <c r="O1052" s="207"/>
      <c r="P1052" s="207"/>
      <c r="Q1052" s="207"/>
      <c r="R1052" s="207"/>
      <c r="S1052" s="207"/>
      <c r="T1052" s="207"/>
      <c r="U1052" s="207"/>
      <c r="V1052" s="207"/>
      <c r="W1052" s="207"/>
      <c r="X1052" s="207"/>
      <c r="Y1052" s="207"/>
      <c r="Z1052" s="207"/>
      <c r="AA1052" s="207"/>
      <c r="AB1052" s="207"/>
      <c r="AC1052" s="5"/>
      <c r="AD1052" s="63"/>
      <c r="AE1052" s="64"/>
      <c r="AF1052" s="64"/>
      <c r="AG1052" s="212"/>
      <c r="AH1052" s="64"/>
      <c r="AI1052" s="64"/>
      <c r="AJ1052" s="227"/>
      <c r="AK1052" s="64"/>
      <c r="AL1052" s="64"/>
      <c r="AM1052" s="64"/>
      <c r="AN1052" s="64"/>
      <c r="AO1052" s="64"/>
      <c r="AP1052" s="63"/>
      <c r="AQ1052" s="64"/>
      <c r="AR1052" s="63"/>
      <c r="AS1052" s="64"/>
      <c r="AT1052" s="63"/>
      <c r="AU1052" s="64"/>
      <c r="AV1052" s="63"/>
      <c r="AW1052" s="64"/>
      <c r="AX1052" s="63"/>
      <c r="AY1052" s="5"/>
      <c r="AZ1052" s="21" t="str">
        <f t="shared" si="692"/>
        <v/>
      </c>
      <c r="BA1052" s="75" t="s">
        <v>166</v>
      </c>
      <c r="BB1052" s="75"/>
      <c r="BC1052" s="270"/>
      <c r="BD1052" s="75" t="s">
        <v>99</v>
      </c>
      <c r="BE1052" s="9" t="s">
        <v>199</v>
      </c>
      <c r="BF1052" s="303"/>
      <c r="BG1052" s="303"/>
      <c r="BH1052" s="303"/>
      <c r="BI1052" s="303"/>
      <c r="BJ1052" s="303"/>
      <c r="BK1052" s="303"/>
      <c r="BL1052" s="303"/>
      <c r="BM1052" s="303"/>
      <c r="BN1052" s="303"/>
      <c r="BO1052" s="303"/>
      <c r="BP1052" s="303"/>
      <c r="BQ1052" s="5"/>
      <c r="BR1052" s="25"/>
      <c r="BS1052" s="5"/>
    </row>
    <row r="1053" spans="1:71" s="3" customFormat="1" x14ac:dyDescent="0.25">
      <c r="A1053" s="5"/>
      <c r="B1053" s="3" t="str">
        <f t="array" ref="B1053">IFERROR(INDEX(DemandSupply,MATCH(INDEX($AH$1:AH1053,SMALL(ROW($AH$1:AH1053)+(10000*($AH$1:AH1053="")),COUNTA($AH$1:AH1053))),Sectors,0)),"")</f>
        <v>Supply</v>
      </c>
      <c r="E1053" s="10"/>
      <c r="F1053" s="207"/>
      <c r="G1053" s="207"/>
      <c r="H1053" s="207"/>
      <c r="I1053" s="207"/>
      <c r="J1053" s="207"/>
      <c r="K1053" s="207"/>
      <c r="L1053" s="207"/>
      <c r="M1053" s="207"/>
      <c r="N1053" s="207"/>
      <c r="O1053" s="207"/>
      <c r="P1053" s="207"/>
      <c r="Q1053" s="207"/>
      <c r="R1053" s="207"/>
      <c r="S1053" s="207"/>
      <c r="T1053" s="207"/>
      <c r="U1053" s="207"/>
      <c r="V1053" s="207"/>
      <c r="W1053" s="207"/>
      <c r="X1053" s="207"/>
      <c r="Y1053" s="207"/>
      <c r="Z1053" s="207"/>
      <c r="AA1053" s="207"/>
      <c r="AB1053" s="207"/>
      <c r="AC1053" s="5"/>
      <c r="AD1053" s="63"/>
      <c r="AE1053" s="64"/>
      <c r="AF1053" s="64"/>
      <c r="AG1053" s="212"/>
      <c r="AH1053" s="64"/>
      <c r="AI1053" s="64"/>
      <c r="AJ1053" s="227"/>
      <c r="AK1053" s="64"/>
      <c r="AL1053" s="64"/>
      <c r="AM1053" s="64"/>
      <c r="AN1053" s="64"/>
      <c r="AO1053" s="64"/>
      <c r="AP1053" s="63"/>
      <c r="AQ1053" s="64"/>
      <c r="AR1053" s="63"/>
      <c r="AS1053" s="64"/>
      <c r="AT1053" s="63"/>
      <c r="AU1053" s="64"/>
      <c r="AV1053" s="63"/>
      <c r="AW1053" s="64"/>
      <c r="AX1053" s="63"/>
      <c r="AY1053" s="5"/>
      <c r="AZ1053" s="21" t="str">
        <f t="shared" ref="AZ1053:AZ1116" si="737">IFERROR(INDEX($AD1053:$AX1053,MATCH(TRUE,INDEX(($AD1053:$AX1053&lt;&gt;0),0),0)),"")</f>
        <v/>
      </c>
      <c r="BA1053" s="75" t="s">
        <v>167</v>
      </c>
      <c r="BB1053" s="75"/>
      <c r="BC1053" s="270"/>
      <c r="BD1053" s="75" t="s">
        <v>99</v>
      </c>
      <c r="BE1053" s="9" t="s">
        <v>199</v>
      </c>
      <c r="BF1053" s="303"/>
      <c r="BG1053" s="303"/>
      <c r="BH1053" s="303"/>
      <c r="BI1053" s="303"/>
      <c r="BJ1053" s="303"/>
      <c r="BK1053" s="303"/>
      <c r="BL1053" s="303"/>
      <c r="BM1053" s="303"/>
      <c r="BN1053" s="303"/>
      <c r="BO1053" s="303"/>
      <c r="BP1053" s="303"/>
      <c r="BQ1053" s="5"/>
      <c r="BR1053" s="25"/>
      <c r="BS1053" s="5"/>
    </row>
    <row r="1054" spans="1:71" s="3" customFormat="1" x14ac:dyDescent="0.25">
      <c r="A1054" s="5"/>
      <c r="B1054" s="3" t="str">
        <f t="array" ref="B1054">IFERROR(INDEX(DemandSupply,MATCH(INDEX($AH$1:AH1054,SMALL(ROW($AH$1:AH1054)+(10000*($AH$1:AH1054="")),COUNTA($AH$1:AH1054))),Sectors,0)),"")</f>
        <v>Supply</v>
      </c>
      <c r="E1054" s="10"/>
      <c r="F1054" s="207"/>
      <c r="G1054" s="207"/>
      <c r="H1054" s="207"/>
      <c r="I1054" s="207"/>
      <c r="J1054" s="207"/>
      <c r="K1054" s="207"/>
      <c r="L1054" s="207"/>
      <c r="M1054" s="207"/>
      <c r="N1054" s="207"/>
      <c r="O1054" s="207"/>
      <c r="P1054" s="207"/>
      <c r="Q1054" s="207"/>
      <c r="R1054" s="207"/>
      <c r="S1054" s="207"/>
      <c r="T1054" s="207"/>
      <c r="U1054" s="207"/>
      <c r="V1054" s="207"/>
      <c r="W1054" s="207"/>
      <c r="X1054" s="207"/>
      <c r="Y1054" s="207"/>
      <c r="Z1054" s="207"/>
      <c r="AA1054" s="207"/>
      <c r="AB1054" s="207"/>
      <c r="AC1054" s="5"/>
      <c r="AD1054" s="63"/>
      <c r="AE1054" s="64"/>
      <c r="AF1054" s="64"/>
      <c r="AG1054" s="212"/>
      <c r="AH1054" s="64"/>
      <c r="AI1054" s="64"/>
      <c r="AJ1054" s="227"/>
      <c r="AK1054" s="64"/>
      <c r="AL1054" s="64"/>
      <c r="AM1054" s="64"/>
      <c r="AN1054" s="64"/>
      <c r="AO1054" s="64"/>
      <c r="AP1054" s="63"/>
      <c r="AQ1054" s="64"/>
      <c r="AR1054" s="63"/>
      <c r="AS1054" s="64"/>
      <c r="AT1054" s="63"/>
      <c r="AU1054" s="64"/>
      <c r="AV1054" s="63"/>
      <c r="AW1054" s="64"/>
      <c r="AX1054" s="63"/>
      <c r="AY1054" s="5"/>
      <c r="AZ1054" s="21" t="str">
        <f t="shared" si="737"/>
        <v/>
      </c>
      <c r="BA1054" s="75" t="s">
        <v>408</v>
      </c>
      <c r="BB1054" s="75"/>
      <c r="BC1054" s="270"/>
      <c r="BD1054" s="75" t="s">
        <v>99</v>
      </c>
      <c r="BE1054" s="9" t="s">
        <v>199</v>
      </c>
      <c r="BF1054" s="303"/>
      <c r="BG1054" s="303"/>
      <c r="BH1054" s="303"/>
      <c r="BI1054" s="303"/>
      <c r="BJ1054" s="303"/>
      <c r="BK1054" s="303"/>
      <c r="BL1054" s="303"/>
      <c r="BM1054" s="303"/>
      <c r="BN1054" s="303"/>
      <c r="BO1054" s="303"/>
      <c r="BP1054" s="303"/>
      <c r="BQ1054" s="5"/>
      <c r="BR1054" s="25"/>
      <c r="BS1054" s="5"/>
    </row>
    <row r="1055" spans="1:71" s="3" customFormat="1" x14ac:dyDescent="0.25">
      <c r="A1055" s="5"/>
      <c r="B1055" s="3" t="str">
        <f t="array" ref="B1055">IFERROR(INDEX(DemandSupply,MATCH(INDEX($AH$1:AH1055,SMALL(ROW($AH$1:AH1055)+(10000*($AH$1:AH1055="")),COUNTA($AH$1:AH1055))),Sectors,0)),"")</f>
        <v>Supply</v>
      </c>
      <c r="E1055" s="10"/>
      <c r="F1055" s="207"/>
      <c r="G1055" s="207"/>
      <c r="H1055" s="207"/>
      <c r="I1055" s="207"/>
      <c r="J1055" s="207"/>
      <c r="K1055" s="207"/>
      <c r="L1055" s="207"/>
      <c r="M1055" s="207"/>
      <c r="N1055" s="207"/>
      <c r="O1055" s="207"/>
      <c r="P1055" s="207"/>
      <c r="Q1055" s="207"/>
      <c r="R1055" s="207"/>
      <c r="S1055" s="207"/>
      <c r="T1055" s="207"/>
      <c r="U1055" s="207"/>
      <c r="V1055" s="207"/>
      <c r="W1055" s="207"/>
      <c r="X1055" s="207"/>
      <c r="Y1055" s="207"/>
      <c r="Z1055" s="207"/>
      <c r="AA1055" s="207"/>
      <c r="AB1055" s="207"/>
      <c r="AC1055" s="5"/>
      <c r="AD1055" s="63"/>
      <c r="AE1055" s="64"/>
      <c r="AF1055" s="64"/>
      <c r="AG1055" s="212"/>
      <c r="AH1055" s="64"/>
      <c r="AI1055" s="64"/>
      <c r="AJ1055" s="227"/>
      <c r="AK1055" s="64"/>
      <c r="AL1055" s="64"/>
      <c r="AM1055" s="64"/>
      <c r="AN1055" s="64"/>
      <c r="AO1055" s="64"/>
      <c r="AP1055" s="63"/>
      <c r="AQ1055" s="64"/>
      <c r="AR1055" s="63"/>
      <c r="AS1055" s="64"/>
      <c r="AT1055" s="63"/>
      <c r="AU1055" s="64"/>
      <c r="AV1055" s="63"/>
      <c r="AW1055" s="64"/>
      <c r="AX1055" s="63"/>
      <c r="AY1055" s="5"/>
      <c r="AZ1055" s="21" t="str">
        <f t="shared" si="737"/>
        <v/>
      </c>
      <c r="BA1055" s="75" t="s">
        <v>409</v>
      </c>
      <c r="BB1055" s="75"/>
      <c r="BC1055" s="270"/>
      <c r="BD1055" s="75" t="s">
        <v>99</v>
      </c>
      <c r="BE1055" s="9" t="s">
        <v>199</v>
      </c>
      <c r="BF1055" s="303"/>
      <c r="BG1055" s="303"/>
      <c r="BH1055" s="303"/>
      <c r="BI1055" s="303"/>
      <c r="BJ1055" s="303"/>
      <c r="BK1055" s="303"/>
      <c r="BL1055" s="303"/>
      <c r="BM1055" s="303"/>
      <c r="BN1055" s="303"/>
      <c r="BO1055" s="303"/>
      <c r="BP1055" s="303"/>
      <c r="BQ1055" s="5"/>
      <c r="BR1055" s="25"/>
      <c r="BS1055" s="5"/>
    </row>
    <row r="1056" spans="1:71" s="3" customFormat="1" x14ac:dyDescent="0.25">
      <c r="A1056" s="5"/>
      <c r="B1056" s="3" t="str">
        <f t="array" ref="B1056">IFERROR(INDEX(DemandSupply,MATCH(INDEX($AH$1:AH1056,SMALL(ROW($AH$1:AH1056)+(10000*($AH$1:AH1056="")),COUNTA($AH$1:AH1056))),Sectors,0)),"")</f>
        <v>Supply</v>
      </c>
      <c r="E1056" s="10"/>
      <c r="F1056" s="207"/>
      <c r="G1056" s="207"/>
      <c r="H1056" s="207"/>
      <c r="I1056" s="207"/>
      <c r="J1056" s="207"/>
      <c r="K1056" s="207"/>
      <c r="L1056" s="207"/>
      <c r="M1056" s="207"/>
      <c r="N1056" s="207"/>
      <c r="O1056" s="207"/>
      <c r="P1056" s="207"/>
      <c r="Q1056" s="207"/>
      <c r="R1056" s="207"/>
      <c r="S1056" s="207"/>
      <c r="T1056" s="207"/>
      <c r="U1056" s="207"/>
      <c r="V1056" s="207"/>
      <c r="W1056" s="207"/>
      <c r="X1056" s="207"/>
      <c r="Y1056" s="207"/>
      <c r="Z1056" s="207"/>
      <c r="AA1056" s="207"/>
      <c r="AB1056" s="207"/>
      <c r="AC1056" s="5"/>
      <c r="AD1056" s="63"/>
      <c r="AE1056" s="64"/>
      <c r="AF1056" s="64"/>
      <c r="AG1056" s="212"/>
      <c r="AH1056" s="64"/>
      <c r="AI1056" s="64"/>
      <c r="AJ1056" s="227"/>
      <c r="AK1056" s="64"/>
      <c r="AL1056" s="64"/>
      <c r="AM1056" s="64"/>
      <c r="AN1056" s="64"/>
      <c r="AO1056" s="64"/>
      <c r="AP1056" s="63"/>
      <c r="AQ1056" s="64"/>
      <c r="AR1056" s="63"/>
      <c r="AS1056" s="64"/>
      <c r="AT1056" s="63"/>
      <c r="AU1056" s="64"/>
      <c r="AV1056" s="63"/>
      <c r="AW1056" s="64"/>
      <c r="AX1056" s="63"/>
      <c r="AY1056" s="5"/>
      <c r="AZ1056" s="21" t="str">
        <f t="shared" si="737"/>
        <v/>
      </c>
      <c r="BA1056" s="264" t="s">
        <v>371</v>
      </c>
      <c r="BB1056" s="264"/>
      <c r="BC1056" s="264"/>
      <c r="BD1056" s="264" t="s">
        <v>219</v>
      </c>
      <c r="BE1056" s="9" t="s">
        <v>199</v>
      </c>
      <c r="BF1056" s="56">
        <f>20*8760*0.15</f>
        <v>26280</v>
      </c>
      <c r="BG1056" s="282">
        <f t="shared" ref="BG1056:BP1056" si="738">BF1056</f>
        <v>26280</v>
      </c>
      <c r="BH1056" s="282">
        <f t="shared" si="738"/>
        <v>26280</v>
      </c>
      <c r="BI1056" s="282">
        <f t="shared" si="738"/>
        <v>26280</v>
      </c>
      <c r="BJ1056" s="282">
        <f t="shared" si="738"/>
        <v>26280</v>
      </c>
      <c r="BK1056" s="282">
        <f t="shared" si="738"/>
        <v>26280</v>
      </c>
      <c r="BL1056" s="282">
        <f t="shared" si="738"/>
        <v>26280</v>
      </c>
      <c r="BM1056" s="282">
        <f t="shared" si="738"/>
        <v>26280</v>
      </c>
      <c r="BN1056" s="282">
        <f t="shared" si="738"/>
        <v>26280</v>
      </c>
      <c r="BO1056" s="282">
        <f t="shared" si="738"/>
        <v>26280</v>
      </c>
      <c r="BP1056" s="282">
        <f t="shared" si="738"/>
        <v>26280</v>
      </c>
      <c r="BQ1056" s="5"/>
      <c r="BR1056" s="25"/>
      <c r="BS1056" s="5"/>
    </row>
    <row r="1057" spans="1:71" s="3" customFormat="1" x14ac:dyDescent="0.25">
      <c r="A1057" s="5"/>
      <c r="B1057" s="3" t="str">
        <f t="array" ref="B1057">IFERROR(INDEX(DemandSupply,MATCH(INDEX($AH$1:AH1057,SMALL(ROW($AH$1:AH1057)+(10000*($AH$1:AH1057="")),COUNTA($AH$1:AH1057))),Sectors,0)),"")</f>
        <v>Supply</v>
      </c>
      <c r="E1057" s="10"/>
      <c r="F1057" s="207"/>
      <c r="G1057" s="207"/>
      <c r="H1057" s="207"/>
      <c r="I1057" s="207"/>
      <c r="J1057" s="207"/>
      <c r="K1057" s="207"/>
      <c r="L1057" s="207"/>
      <c r="M1057" s="207"/>
      <c r="N1057" s="207"/>
      <c r="O1057" s="207"/>
      <c r="P1057" s="207"/>
      <c r="Q1057" s="207"/>
      <c r="R1057" s="207"/>
      <c r="S1057" s="207"/>
      <c r="T1057" s="207"/>
      <c r="U1057" s="207"/>
      <c r="V1057" s="207"/>
      <c r="W1057" s="207"/>
      <c r="X1057" s="207"/>
      <c r="Y1057" s="207"/>
      <c r="Z1057" s="207"/>
      <c r="AA1057" s="207"/>
      <c r="AB1057" s="207"/>
      <c r="AC1057" s="5"/>
      <c r="AD1057" s="63"/>
      <c r="AE1057" s="64"/>
      <c r="AF1057" s="64"/>
      <c r="AG1057" s="212"/>
      <c r="AH1057" s="64"/>
      <c r="AI1057" s="64"/>
      <c r="AJ1057" s="227"/>
      <c r="AK1057" s="64"/>
      <c r="AL1057" s="64"/>
      <c r="AM1057" s="64"/>
      <c r="AN1057" s="64"/>
      <c r="AO1057" s="64"/>
      <c r="AP1057" s="63"/>
      <c r="AQ1057" s="64"/>
      <c r="AR1057" s="63"/>
      <c r="AS1057" s="64"/>
      <c r="AT1057" s="63"/>
      <c r="AU1057" s="64"/>
      <c r="AV1057" s="63"/>
      <c r="AW1057" s="64"/>
      <c r="AX1057" s="63"/>
      <c r="AY1057" s="5"/>
      <c r="AZ1057" s="21" t="str">
        <f t="shared" si="737"/>
        <v/>
      </c>
      <c r="BA1057" s="264" t="s">
        <v>170</v>
      </c>
      <c r="BB1057" s="264"/>
      <c r="BC1057" s="264"/>
      <c r="BD1057" s="264" t="s">
        <v>354</v>
      </c>
      <c r="BE1057" s="9" t="s">
        <v>199</v>
      </c>
      <c r="BF1057" s="56">
        <v>50000000</v>
      </c>
      <c r="BG1057" s="282">
        <f t="shared" ref="BG1057:BP1057" si="739">BF1057</f>
        <v>50000000</v>
      </c>
      <c r="BH1057" s="282">
        <f t="shared" si="739"/>
        <v>50000000</v>
      </c>
      <c r="BI1057" s="282">
        <f t="shared" si="739"/>
        <v>50000000</v>
      </c>
      <c r="BJ1057" s="282">
        <f t="shared" si="739"/>
        <v>50000000</v>
      </c>
      <c r="BK1057" s="282">
        <f t="shared" si="739"/>
        <v>50000000</v>
      </c>
      <c r="BL1057" s="282">
        <f t="shared" si="739"/>
        <v>50000000</v>
      </c>
      <c r="BM1057" s="282">
        <f t="shared" si="739"/>
        <v>50000000</v>
      </c>
      <c r="BN1057" s="282">
        <f t="shared" si="739"/>
        <v>50000000</v>
      </c>
      <c r="BO1057" s="282">
        <f t="shared" si="739"/>
        <v>50000000</v>
      </c>
      <c r="BP1057" s="282">
        <f t="shared" si="739"/>
        <v>50000000</v>
      </c>
      <c r="BQ1057" s="5"/>
      <c r="BR1057" s="25"/>
      <c r="BS1057" s="5"/>
    </row>
    <row r="1058" spans="1:71" s="3" customFormat="1" x14ac:dyDescent="0.25">
      <c r="A1058" s="5"/>
      <c r="B1058" s="3" t="str">
        <f t="array" ref="B1058">IFERROR(INDEX(DemandSupply,MATCH(INDEX($AH$1:AH1058,SMALL(ROW($AH$1:AH1058)+(10000*($AH$1:AH1058="")),COUNTA($AH$1:AH1058))),Sectors,0)),"")</f>
        <v>Supply</v>
      </c>
      <c r="E1058" s="10"/>
      <c r="F1058" s="207"/>
      <c r="G1058" s="207"/>
      <c r="H1058" s="207"/>
      <c r="I1058" s="207"/>
      <c r="J1058" s="207"/>
      <c r="K1058" s="207"/>
      <c r="L1058" s="207"/>
      <c r="M1058" s="207"/>
      <c r="N1058" s="207"/>
      <c r="O1058" s="207"/>
      <c r="P1058" s="207"/>
      <c r="Q1058" s="207"/>
      <c r="R1058" s="207"/>
      <c r="S1058" s="207"/>
      <c r="T1058" s="207"/>
      <c r="U1058" s="207"/>
      <c r="V1058" s="207"/>
      <c r="W1058" s="207"/>
      <c r="X1058" s="207"/>
      <c r="Y1058" s="207"/>
      <c r="Z1058" s="207"/>
      <c r="AA1058" s="207"/>
      <c r="AB1058" s="207"/>
      <c r="AC1058" s="5"/>
      <c r="AD1058" s="63"/>
      <c r="AE1058" s="64"/>
      <c r="AF1058" s="64"/>
      <c r="AG1058" s="212"/>
      <c r="AH1058" s="64"/>
      <c r="AI1058" s="64"/>
      <c r="AJ1058" s="227"/>
      <c r="AK1058" s="64"/>
      <c r="AL1058" s="64"/>
      <c r="AM1058" s="64"/>
      <c r="AN1058" s="64"/>
      <c r="AO1058" s="64"/>
      <c r="AP1058" s="63"/>
      <c r="AQ1058" s="64"/>
      <c r="AR1058" s="63"/>
      <c r="AS1058" s="64"/>
      <c r="AT1058" s="63"/>
      <c r="AU1058" s="64"/>
      <c r="AV1058" s="63"/>
      <c r="AW1058" s="64"/>
      <c r="AX1058" s="63"/>
      <c r="AY1058" s="5"/>
      <c r="AZ1058" s="21" t="str">
        <f t="shared" si="737"/>
        <v/>
      </c>
      <c r="BA1058" s="264" t="s">
        <v>425</v>
      </c>
      <c r="BB1058" s="264"/>
      <c r="BC1058" s="264"/>
      <c r="BD1058" s="264" t="s">
        <v>99</v>
      </c>
      <c r="BE1058" s="9" t="s">
        <v>199</v>
      </c>
      <c r="BF1058" s="303"/>
      <c r="BG1058" s="303"/>
      <c r="BH1058" s="303"/>
      <c r="BI1058" s="303"/>
      <c r="BJ1058" s="303"/>
      <c r="BK1058" s="303"/>
      <c r="BL1058" s="303"/>
      <c r="BM1058" s="303"/>
      <c r="BN1058" s="303"/>
      <c r="BO1058" s="303"/>
      <c r="BP1058" s="303"/>
      <c r="BQ1058" s="5"/>
      <c r="BR1058" s="25"/>
      <c r="BS1058" s="5"/>
    </row>
    <row r="1059" spans="1:71" s="3" customFormat="1" x14ac:dyDescent="0.25">
      <c r="A1059" s="5"/>
      <c r="B1059" s="3" t="str">
        <f t="array" ref="B1059">IFERROR(INDEX(DemandSupply,MATCH(INDEX($AH$1:AH1059,SMALL(ROW($AH$1:AH1059)+(10000*($AH$1:AH1059="")),COUNTA($AH$1:AH1059))),Sectors,0)),"")</f>
        <v>Supply</v>
      </c>
      <c r="E1059" s="10"/>
      <c r="F1059" s="207"/>
      <c r="G1059" s="207"/>
      <c r="H1059" s="207"/>
      <c r="I1059" s="207"/>
      <c r="J1059" s="207"/>
      <c r="K1059" s="207"/>
      <c r="L1059" s="207"/>
      <c r="M1059" s="207"/>
      <c r="N1059" s="207"/>
      <c r="O1059" s="207"/>
      <c r="P1059" s="207"/>
      <c r="Q1059" s="207"/>
      <c r="R1059" s="207"/>
      <c r="S1059" s="207"/>
      <c r="T1059" s="207"/>
      <c r="U1059" s="207"/>
      <c r="V1059" s="207"/>
      <c r="W1059" s="207"/>
      <c r="X1059" s="207"/>
      <c r="Y1059" s="207"/>
      <c r="Z1059" s="207"/>
      <c r="AA1059" s="207"/>
      <c r="AB1059" s="207"/>
      <c r="AC1059" s="5"/>
      <c r="AD1059" s="63"/>
      <c r="AE1059" s="64"/>
      <c r="AF1059" s="64"/>
      <c r="AG1059" s="212"/>
      <c r="AH1059" s="64"/>
      <c r="AI1059" s="64"/>
      <c r="AJ1059" s="227"/>
      <c r="AK1059" s="64"/>
      <c r="AL1059" s="64"/>
      <c r="AM1059" s="64"/>
      <c r="AN1059" s="64"/>
      <c r="AO1059" s="64"/>
      <c r="AP1059" s="63"/>
      <c r="AQ1059" s="64"/>
      <c r="AR1059" s="63"/>
      <c r="AS1059" s="64"/>
      <c r="AT1059" s="63"/>
      <c r="AU1059" s="64"/>
      <c r="AV1059" s="63"/>
      <c r="AW1059" s="64"/>
      <c r="AX1059" s="63"/>
      <c r="AY1059" s="5"/>
      <c r="AZ1059" s="21" t="str">
        <f t="shared" si="737"/>
        <v/>
      </c>
      <c r="BA1059" s="264" t="s">
        <v>438</v>
      </c>
      <c r="BB1059" s="264"/>
      <c r="BC1059" s="264"/>
      <c r="BD1059" s="264" t="s">
        <v>219</v>
      </c>
      <c r="BE1059" s="9" t="s">
        <v>199</v>
      </c>
      <c r="BF1059" s="56"/>
      <c r="BG1059" s="56"/>
      <c r="BH1059" s="56"/>
      <c r="BI1059" s="56"/>
      <c r="BJ1059" s="56"/>
      <c r="BK1059" s="56"/>
      <c r="BL1059" s="56"/>
      <c r="BM1059" s="56"/>
      <c r="BN1059" s="56"/>
      <c r="BO1059" s="56"/>
      <c r="BP1059" s="56"/>
      <c r="BQ1059" s="5"/>
      <c r="BR1059" s="25"/>
      <c r="BS1059" s="5"/>
    </row>
    <row r="1060" spans="1:71" s="3" customFormat="1" x14ac:dyDescent="0.25">
      <c r="A1060" s="5"/>
      <c r="B1060" s="3" t="str">
        <f t="array" ref="B1060">IFERROR(INDEX(DemandSupply,MATCH(INDEX($AH$1:AH1060,SMALL(ROW($AH$1:AH1060)+(10000*($AH$1:AH1060="")),COUNTA($AH$1:AH1060))),Sectors,0)),"")</f>
        <v>Supply</v>
      </c>
      <c r="E1060" s="10"/>
      <c r="F1060" s="207"/>
      <c r="G1060" s="207"/>
      <c r="H1060" s="207"/>
      <c r="I1060" s="207"/>
      <c r="J1060" s="207"/>
      <c r="K1060" s="207"/>
      <c r="L1060" s="207"/>
      <c r="M1060" s="207"/>
      <c r="N1060" s="207"/>
      <c r="O1060" s="207"/>
      <c r="P1060" s="207"/>
      <c r="Q1060" s="207"/>
      <c r="R1060" s="207"/>
      <c r="S1060" s="207"/>
      <c r="T1060" s="207"/>
      <c r="U1060" s="207"/>
      <c r="V1060" s="207"/>
      <c r="W1060" s="207"/>
      <c r="X1060" s="207"/>
      <c r="Y1060" s="207"/>
      <c r="Z1060" s="207"/>
      <c r="AA1060" s="207"/>
      <c r="AB1060" s="207"/>
      <c r="AC1060" s="5"/>
      <c r="AD1060" s="63"/>
      <c r="AE1060" s="64"/>
      <c r="AF1060" s="64"/>
      <c r="AG1060" s="212"/>
      <c r="AH1060" s="64"/>
      <c r="AI1060" s="64"/>
      <c r="AJ1060" s="227"/>
      <c r="AK1060" s="64"/>
      <c r="AL1060" s="64"/>
      <c r="AM1060" s="64"/>
      <c r="AN1060" s="64"/>
      <c r="AO1060" s="64"/>
      <c r="AP1060" s="63"/>
      <c r="AQ1060" s="64"/>
      <c r="AR1060" s="63"/>
      <c r="AS1060" s="64"/>
      <c r="AT1060" s="63"/>
      <c r="AU1060" s="64"/>
      <c r="AV1060" s="63"/>
      <c r="AW1060" s="64"/>
      <c r="AX1060" s="63"/>
      <c r="AY1060" s="5"/>
      <c r="AZ1060" s="21" t="str">
        <f t="shared" si="737"/>
        <v/>
      </c>
      <c r="BA1060" s="264" t="s">
        <v>435</v>
      </c>
      <c r="BB1060" s="264"/>
      <c r="BC1060" s="264"/>
      <c r="BD1060" s="264"/>
      <c r="BE1060" s="9" t="s">
        <v>199</v>
      </c>
      <c r="BF1060" s="55"/>
      <c r="BG1060" s="55"/>
      <c r="BH1060" s="55"/>
      <c r="BI1060" s="55"/>
      <c r="BJ1060" s="55"/>
      <c r="BK1060" s="55"/>
      <c r="BL1060" s="55"/>
      <c r="BM1060" s="55"/>
      <c r="BN1060" s="55"/>
      <c r="BO1060" s="55"/>
      <c r="BP1060" s="55"/>
      <c r="BQ1060" s="5"/>
      <c r="BR1060" s="25"/>
      <c r="BS1060" s="5"/>
    </row>
    <row r="1061" spans="1:71" s="3" customFormat="1" x14ac:dyDescent="0.25">
      <c r="A1061" s="5"/>
      <c r="B1061" s="3" t="str">
        <f t="array" ref="B1061">IFERROR(INDEX(DemandSupply,MATCH(INDEX($AH$1:AH1061,SMALL(ROW($AH$1:AH1061)+(10000*($AH$1:AH1061="")),COUNTA($AH$1:AH1061))),Sectors,0)),"")</f>
        <v>Supply</v>
      </c>
      <c r="E1061" s="10"/>
      <c r="F1061" s="207"/>
      <c r="G1061" s="207"/>
      <c r="H1061" s="207"/>
      <c r="I1061" s="207"/>
      <c r="J1061" s="207"/>
      <c r="K1061" s="207"/>
      <c r="L1061" s="207"/>
      <c r="M1061" s="207"/>
      <c r="N1061" s="207"/>
      <c r="O1061" s="207"/>
      <c r="P1061" s="207"/>
      <c r="Q1061" s="207"/>
      <c r="R1061" s="207"/>
      <c r="S1061" s="207"/>
      <c r="T1061" s="207"/>
      <c r="U1061" s="207"/>
      <c r="V1061" s="207"/>
      <c r="W1061" s="207"/>
      <c r="X1061" s="207"/>
      <c r="Y1061" s="207"/>
      <c r="Z1061" s="207"/>
      <c r="AA1061" s="207"/>
      <c r="AB1061" s="207"/>
      <c r="AC1061" s="5"/>
      <c r="AD1061" s="63"/>
      <c r="AE1061" s="64"/>
      <c r="AF1061" s="64"/>
      <c r="AG1061" s="212"/>
      <c r="AH1061" s="64"/>
      <c r="AI1061" s="64"/>
      <c r="AJ1061" s="227"/>
      <c r="AK1061" s="64"/>
      <c r="AL1061" s="64"/>
      <c r="AM1061" s="64"/>
      <c r="AN1061" s="64"/>
      <c r="AO1061" s="64"/>
      <c r="AP1061" s="63"/>
      <c r="AQ1061" s="64"/>
      <c r="AR1061" s="63"/>
      <c r="AS1061" s="64"/>
      <c r="AT1061" s="63"/>
      <c r="AU1061" s="64"/>
      <c r="AV1061" s="63"/>
      <c r="AW1061" s="64"/>
      <c r="AX1061" s="63"/>
      <c r="AY1061" s="5"/>
      <c r="AZ1061" s="21" t="str">
        <f t="shared" si="737"/>
        <v/>
      </c>
      <c r="BA1061" s="264" t="s">
        <v>407</v>
      </c>
      <c r="BB1061" s="264"/>
      <c r="BC1061" s="264"/>
      <c r="BD1061" s="264" t="s">
        <v>99</v>
      </c>
      <c r="BE1061" s="9" t="s">
        <v>199</v>
      </c>
      <c r="BF1061" s="303"/>
      <c r="BG1061" s="303"/>
      <c r="BH1061" s="303"/>
      <c r="BI1061" s="303"/>
      <c r="BJ1061" s="303"/>
      <c r="BK1061" s="303"/>
      <c r="BL1061" s="303"/>
      <c r="BM1061" s="303"/>
      <c r="BN1061" s="303"/>
      <c r="BO1061" s="303"/>
      <c r="BP1061" s="303"/>
      <c r="BQ1061" s="5"/>
      <c r="BR1061" s="25"/>
      <c r="BS1061" s="5"/>
    </row>
    <row r="1062" spans="1:71" s="3" customFormat="1" x14ac:dyDescent="0.25">
      <c r="A1062" s="5"/>
      <c r="B1062" s="3" t="str">
        <f t="array" ref="B1062">IFERROR(INDEX(DemandSupply,MATCH(INDEX($AH$1:AH1062,SMALL(ROW($AH$1:AH1062)+(10000*($AH$1:AH1062="")),COUNTA($AH$1:AH1062))),Sectors,0)),"")</f>
        <v>Supply</v>
      </c>
      <c r="E1062" s="10"/>
      <c r="F1062" s="207"/>
      <c r="G1062" s="207"/>
      <c r="H1062" s="207"/>
      <c r="I1062" s="207"/>
      <c r="J1062" s="207"/>
      <c r="K1062" s="207"/>
      <c r="L1062" s="207"/>
      <c r="M1062" s="207"/>
      <c r="N1062" s="207"/>
      <c r="O1062" s="207"/>
      <c r="P1062" s="207"/>
      <c r="Q1062" s="207"/>
      <c r="R1062" s="207"/>
      <c r="S1062" s="207"/>
      <c r="T1062" s="207"/>
      <c r="U1062" s="207"/>
      <c r="V1062" s="207"/>
      <c r="W1062" s="207"/>
      <c r="X1062" s="207"/>
      <c r="Y1062" s="207"/>
      <c r="Z1062" s="207"/>
      <c r="AA1062" s="207"/>
      <c r="AB1062" s="207"/>
      <c r="AC1062" s="5"/>
      <c r="AD1062" s="63"/>
      <c r="AE1062" s="64"/>
      <c r="AF1062" s="64"/>
      <c r="AG1062" s="212"/>
      <c r="AH1062" s="64"/>
      <c r="AI1062" s="64"/>
      <c r="AJ1062" s="227"/>
      <c r="AK1062" s="64"/>
      <c r="AL1062" s="64"/>
      <c r="AM1062" s="64"/>
      <c r="AN1062" s="64"/>
      <c r="AO1062" s="64"/>
      <c r="AP1062" s="63"/>
      <c r="AQ1062" s="64"/>
      <c r="AR1062" s="63"/>
      <c r="AS1062" s="64"/>
      <c r="AT1062" s="63"/>
      <c r="AU1062" s="64"/>
      <c r="AV1062" s="63"/>
      <c r="AW1062" s="64"/>
      <c r="AX1062" s="63"/>
      <c r="AY1062" s="5"/>
      <c r="AZ1062" s="21" t="str">
        <f t="shared" si="737"/>
        <v/>
      </c>
      <c r="BA1062" s="264" t="s">
        <v>444</v>
      </c>
      <c r="BB1062" s="264"/>
      <c r="BC1062" s="264"/>
      <c r="BD1062" s="264" t="s">
        <v>354</v>
      </c>
      <c r="BE1062" s="9" t="s">
        <v>199</v>
      </c>
      <c r="BF1062" s="56"/>
      <c r="BG1062" s="56"/>
      <c r="BH1062" s="56"/>
      <c r="BI1062" s="56"/>
      <c r="BJ1062" s="56"/>
      <c r="BK1062" s="56"/>
      <c r="BL1062" s="56"/>
      <c r="BM1062" s="56"/>
      <c r="BN1062" s="56"/>
      <c r="BO1062" s="56"/>
      <c r="BP1062" s="56"/>
      <c r="BQ1062" s="5"/>
      <c r="BR1062" s="25"/>
      <c r="BS1062" s="5"/>
    </row>
    <row r="1063" spans="1:71" s="3" customFormat="1" x14ac:dyDescent="0.25">
      <c r="A1063" s="5"/>
      <c r="B1063" s="3" t="str">
        <f t="array" ref="B1063">IFERROR(INDEX(DemandSupply,MATCH(INDEX($AH$1:AH1063,SMALL(ROW($AH$1:AH1063)+(10000*($AH$1:AH1063="")),COUNTA($AH$1:AH1063))),Sectors,0)),"")</f>
        <v>Supply</v>
      </c>
      <c r="E1063" s="10"/>
      <c r="F1063" s="207"/>
      <c r="G1063" s="207"/>
      <c r="H1063" s="207"/>
      <c r="I1063" s="207"/>
      <c r="J1063" s="207"/>
      <c r="K1063" s="207"/>
      <c r="L1063" s="207"/>
      <c r="M1063" s="207"/>
      <c r="N1063" s="207"/>
      <c r="O1063" s="207"/>
      <c r="P1063" s="207"/>
      <c r="Q1063" s="207"/>
      <c r="R1063" s="207"/>
      <c r="S1063" s="207"/>
      <c r="T1063" s="207"/>
      <c r="U1063" s="207"/>
      <c r="V1063" s="207"/>
      <c r="W1063" s="207"/>
      <c r="X1063" s="207"/>
      <c r="Y1063" s="207"/>
      <c r="Z1063" s="207"/>
      <c r="AA1063" s="207"/>
      <c r="AB1063" s="207"/>
      <c r="AC1063" s="5"/>
      <c r="AD1063" s="63"/>
      <c r="AE1063" s="64"/>
      <c r="AF1063" s="64"/>
      <c r="AG1063" s="212"/>
      <c r="AH1063" s="64"/>
      <c r="AI1063" s="64"/>
      <c r="AJ1063" s="227"/>
      <c r="AK1063" s="64"/>
      <c r="AL1063" s="64"/>
      <c r="AM1063" s="64"/>
      <c r="AN1063" s="64"/>
      <c r="AO1063" s="64"/>
      <c r="AP1063" s="63"/>
      <c r="AQ1063" s="64"/>
      <c r="AR1063" s="63"/>
      <c r="AS1063" s="64"/>
      <c r="AT1063" s="63"/>
      <c r="AU1063" s="64"/>
      <c r="AV1063" s="63"/>
      <c r="AW1063" s="64"/>
      <c r="AX1063" s="63"/>
      <c r="AY1063" s="5"/>
      <c r="AZ1063" s="21" t="str">
        <f t="shared" si="737"/>
        <v/>
      </c>
      <c r="BA1063" s="264" t="s">
        <v>446</v>
      </c>
      <c r="BB1063" s="264"/>
      <c r="BC1063" s="264"/>
      <c r="BD1063" s="264" t="s">
        <v>354</v>
      </c>
      <c r="BE1063" s="9" t="s">
        <v>199</v>
      </c>
      <c r="BF1063" s="56"/>
      <c r="BG1063" s="56"/>
      <c r="BH1063" s="56"/>
      <c r="BI1063" s="56"/>
      <c r="BJ1063" s="56"/>
      <c r="BK1063" s="56"/>
      <c r="BL1063" s="56"/>
      <c r="BM1063" s="56"/>
      <c r="BN1063" s="56"/>
      <c r="BO1063" s="56"/>
      <c r="BP1063" s="56"/>
      <c r="BQ1063" s="5"/>
      <c r="BR1063" s="25"/>
      <c r="BS1063" s="5"/>
    </row>
    <row r="1064" spans="1:71" s="3" customFormat="1" x14ac:dyDescent="0.25">
      <c r="A1064" s="5"/>
      <c r="B1064" s="3" t="str">
        <f t="array" ref="B1064">IFERROR(INDEX(DemandSupply,MATCH(INDEX($AH$1:AH1064,SMALL(ROW($AH$1:AH1064)+(10000*($AH$1:AH1064="")),COUNTA($AH$1:AH1064))),Sectors,0)),"")</f>
        <v>Supply</v>
      </c>
      <c r="E1064" s="10"/>
      <c r="F1064" s="207"/>
      <c r="G1064" s="207"/>
      <c r="H1064" s="207"/>
      <c r="I1064" s="207"/>
      <c r="J1064" s="207"/>
      <c r="K1064" s="207"/>
      <c r="L1064" s="207"/>
      <c r="M1064" s="207"/>
      <c r="N1064" s="207"/>
      <c r="O1064" s="207"/>
      <c r="P1064" s="207"/>
      <c r="Q1064" s="207"/>
      <c r="R1064" s="207"/>
      <c r="S1064" s="207"/>
      <c r="T1064" s="207"/>
      <c r="U1064" s="207"/>
      <c r="V1064" s="207"/>
      <c r="W1064" s="207"/>
      <c r="X1064" s="207"/>
      <c r="Y1064" s="207"/>
      <c r="Z1064" s="207"/>
      <c r="AA1064" s="207"/>
      <c r="AB1064" s="207"/>
      <c r="AC1064" s="5"/>
      <c r="AD1064" s="63"/>
      <c r="AE1064" s="64"/>
      <c r="AF1064" s="64"/>
      <c r="AG1064" s="212"/>
      <c r="AH1064" s="64"/>
      <c r="AI1064" s="64"/>
      <c r="AJ1064" s="227"/>
      <c r="AK1064" s="64"/>
      <c r="AL1064" s="64"/>
      <c r="AM1064" s="64"/>
      <c r="AN1064" s="64"/>
      <c r="AO1064" s="64"/>
      <c r="AP1064" s="63"/>
      <c r="AQ1064" s="64"/>
      <c r="AR1064" s="63"/>
      <c r="AS1064" s="64"/>
      <c r="AT1064" s="63"/>
      <c r="AU1064" s="64"/>
      <c r="AV1064" s="63"/>
      <c r="AW1064" s="64"/>
      <c r="AX1064" s="63"/>
      <c r="AY1064" s="5"/>
      <c r="AZ1064" s="21" t="str">
        <f t="shared" si="737"/>
        <v/>
      </c>
      <c r="BA1064" s="264" t="s">
        <v>447</v>
      </c>
      <c r="BB1064" s="264"/>
      <c r="BC1064" s="264"/>
      <c r="BD1064" s="264"/>
      <c r="BE1064" s="9" t="s">
        <v>199</v>
      </c>
      <c r="BF1064" s="55"/>
      <c r="BG1064" s="55"/>
      <c r="BH1064" s="55"/>
      <c r="BI1064" s="55"/>
      <c r="BJ1064" s="55"/>
      <c r="BK1064" s="55"/>
      <c r="BL1064" s="55"/>
      <c r="BM1064" s="55"/>
      <c r="BN1064" s="55"/>
      <c r="BO1064" s="55"/>
      <c r="BP1064" s="55"/>
      <c r="BQ1064" s="5"/>
      <c r="BR1064" s="25"/>
      <c r="BS1064" s="5"/>
    </row>
    <row r="1065" spans="1:71" s="3" customFormat="1" x14ac:dyDescent="0.25">
      <c r="A1065" s="5"/>
      <c r="B1065" s="3" t="str">
        <f t="array" ref="B1065">IFERROR(INDEX(DemandSupply,MATCH(INDEX($AH$1:AH1065,SMALL(ROW($AH$1:AH1065)+(10000*($AH$1:AH1065="")),COUNTA($AH$1:AH1065))),Sectors,0)),"")</f>
        <v>Supply</v>
      </c>
      <c r="E1065" s="10"/>
      <c r="F1065" s="207"/>
      <c r="G1065" s="207"/>
      <c r="H1065" s="207"/>
      <c r="I1065" s="207"/>
      <c r="J1065" s="207"/>
      <c r="K1065" s="207"/>
      <c r="L1065" s="207"/>
      <c r="M1065" s="207"/>
      <c r="N1065" s="207"/>
      <c r="O1065" s="207"/>
      <c r="P1065" s="207"/>
      <c r="Q1065" s="207"/>
      <c r="R1065" s="207"/>
      <c r="S1065" s="207"/>
      <c r="T1065" s="207"/>
      <c r="U1065" s="207"/>
      <c r="V1065" s="207"/>
      <c r="W1065" s="207"/>
      <c r="X1065" s="207"/>
      <c r="Y1065" s="207"/>
      <c r="Z1065" s="207"/>
      <c r="AA1065" s="207"/>
      <c r="AB1065" s="207"/>
      <c r="AC1065" s="5"/>
      <c r="AD1065" s="63"/>
      <c r="AE1065" s="64"/>
      <c r="AF1065" s="64"/>
      <c r="AG1065" s="212"/>
      <c r="AH1065" s="64"/>
      <c r="AI1065" s="64"/>
      <c r="AJ1065" s="227"/>
      <c r="AK1065" s="64"/>
      <c r="AL1065" s="64"/>
      <c r="AM1065" s="64"/>
      <c r="AN1065" s="64"/>
      <c r="AO1065" s="64"/>
      <c r="AP1065" s="63"/>
      <c r="AQ1065" s="64"/>
      <c r="AR1065" s="63"/>
      <c r="AS1065" s="64"/>
      <c r="AT1065" s="63"/>
      <c r="AU1065" s="64"/>
      <c r="AV1065" s="63"/>
      <c r="AW1065" s="64"/>
      <c r="AX1065" s="63"/>
      <c r="AY1065" s="5"/>
      <c r="AZ1065" s="21" t="str">
        <f t="shared" si="737"/>
        <v/>
      </c>
      <c r="BA1065" s="264" t="s">
        <v>448</v>
      </c>
      <c r="BB1065" s="264"/>
      <c r="BC1065" s="264"/>
      <c r="BD1065" s="264"/>
      <c r="BE1065" s="9" t="s">
        <v>199</v>
      </c>
      <c r="BF1065" s="55"/>
      <c r="BG1065" s="55"/>
      <c r="BH1065" s="55"/>
      <c r="BI1065" s="55"/>
      <c r="BJ1065" s="55"/>
      <c r="BK1065" s="55"/>
      <c r="BL1065" s="55"/>
      <c r="BM1065" s="55"/>
      <c r="BN1065" s="55"/>
      <c r="BO1065" s="55"/>
      <c r="BP1065" s="55"/>
      <c r="BQ1065" s="5"/>
      <c r="BR1065" s="25"/>
      <c r="BS1065" s="5"/>
    </row>
    <row r="1066" spans="1:71" s="3" customFormat="1" x14ac:dyDescent="0.25">
      <c r="A1066" s="5"/>
      <c r="B1066" s="3" t="str">
        <f t="array" ref="B1066">IFERROR(INDEX(DemandSupply,MATCH(INDEX($AH$1:AH1066,SMALL(ROW($AH$1:AH1066)+(10000*($AH$1:AH1066="")),COUNTA($AH$1:AH1066))),Sectors,0)),"")</f>
        <v>Supply</v>
      </c>
      <c r="E1066" s="10"/>
      <c r="F1066" s="207"/>
      <c r="G1066" s="207"/>
      <c r="H1066" s="207"/>
      <c r="I1066" s="207"/>
      <c r="J1066" s="207"/>
      <c r="K1066" s="207"/>
      <c r="L1066" s="207"/>
      <c r="M1066" s="207"/>
      <c r="N1066" s="207"/>
      <c r="O1066" s="207"/>
      <c r="P1066" s="207"/>
      <c r="Q1066" s="207"/>
      <c r="R1066" s="207"/>
      <c r="S1066" s="207"/>
      <c r="T1066" s="207"/>
      <c r="U1066" s="207"/>
      <c r="V1066" s="207"/>
      <c r="W1066" s="207"/>
      <c r="X1066" s="207"/>
      <c r="Y1066" s="207"/>
      <c r="Z1066" s="207"/>
      <c r="AA1066" s="207"/>
      <c r="AB1066" s="207"/>
      <c r="AC1066" s="5"/>
      <c r="AD1066" s="63"/>
      <c r="AE1066" s="64"/>
      <c r="AF1066" s="64"/>
      <c r="AG1066" s="212"/>
      <c r="AH1066" s="64"/>
      <c r="AI1066" s="64"/>
      <c r="AJ1066" s="227"/>
      <c r="AK1066" s="64"/>
      <c r="AL1066" s="64"/>
      <c r="AM1066" s="64"/>
      <c r="AN1066" s="64"/>
      <c r="AO1066" s="64"/>
      <c r="AP1066" s="63"/>
      <c r="AQ1066" s="64"/>
      <c r="AR1066" s="63"/>
      <c r="AS1066" s="64"/>
      <c r="AT1066" s="63"/>
      <c r="AU1066" s="64"/>
      <c r="AV1066" s="63"/>
      <c r="AW1066" s="64"/>
      <c r="AX1066" s="63"/>
      <c r="AY1066" s="5"/>
      <c r="AZ1066" s="21" t="str">
        <f t="shared" si="737"/>
        <v/>
      </c>
      <c r="BA1066" s="264" t="s">
        <v>445</v>
      </c>
      <c r="BB1066" s="264"/>
      <c r="BC1066" s="264"/>
      <c r="BD1066" s="264" t="s">
        <v>370</v>
      </c>
      <c r="BE1066" s="9" t="s">
        <v>199</v>
      </c>
      <c r="BF1066" s="56"/>
      <c r="BG1066" s="56"/>
      <c r="BH1066" s="56"/>
      <c r="BI1066" s="56"/>
      <c r="BJ1066" s="56"/>
      <c r="BK1066" s="56"/>
      <c r="BL1066" s="56"/>
      <c r="BM1066" s="56"/>
      <c r="BN1066" s="56"/>
      <c r="BO1066" s="56"/>
      <c r="BP1066" s="56"/>
      <c r="BQ1066" s="5"/>
      <c r="BR1066" s="25"/>
      <c r="BS1066" s="5"/>
    </row>
    <row r="1067" spans="1:71" s="3" customFormat="1" x14ac:dyDescent="0.25">
      <c r="A1067" s="5"/>
      <c r="B1067" s="3" t="str">
        <f t="array" ref="B1067">IFERROR(INDEX(DemandSupply,MATCH(INDEX($AH$1:AH1067,SMALL(ROW($AH$1:AH1067)+(10000*($AH$1:AH1067="")),COUNTA($AH$1:AH1067))),Sectors,0)),"")</f>
        <v>Supply</v>
      </c>
      <c r="E1067" s="10"/>
      <c r="F1067" s="207"/>
      <c r="G1067" s="207"/>
      <c r="H1067" s="207"/>
      <c r="I1067" s="207"/>
      <c r="J1067" s="207"/>
      <c r="K1067" s="207"/>
      <c r="L1067" s="207"/>
      <c r="M1067" s="207"/>
      <c r="N1067" s="207"/>
      <c r="O1067" s="207"/>
      <c r="P1067" s="207"/>
      <c r="Q1067" s="207"/>
      <c r="R1067" s="207"/>
      <c r="S1067" s="207"/>
      <c r="T1067" s="207"/>
      <c r="U1067" s="207"/>
      <c r="V1067" s="207"/>
      <c r="W1067" s="207"/>
      <c r="X1067" s="207"/>
      <c r="Y1067" s="207"/>
      <c r="Z1067" s="207"/>
      <c r="AA1067" s="207"/>
      <c r="AB1067" s="207"/>
      <c r="AC1067" s="5"/>
      <c r="AD1067" s="63"/>
      <c r="AE1067" s="64"/>
      <c r="AF1067" s="64"/>
      <c r="AG1067" s="212"/>
      <c r="AH1067" s="64"/>
      <c r="AI1067" s="64"/>
      <c r="AJ1067" s="227"/>
      <c r="AK1067" s="64"/>
      <c r="AL1067" s="64"/>
      <c r="AM1067" s="64"/>
      <c r="AN1067" s="64"/>
      <c r="AO1067" s="64"/>
      <c r="AP1067" s="63"/>
      <c r="AQ1067" s="64"/>
      <c r="AR1067" s="63"/>
      <c r="AS1067" s="64"/>
      <c r="AT1067" s="63"/>
      <c r="AU1067" s="64"/>
      <c r="AV1067" s="63"/>
      <c r="AW1067" s="64"/>
      <c r="AX1067" s="63"/>
      <c r="AY1067" s="5"/>
      <c r="AZ1067" s="21" t="str">
        <f t="shared" si="737"/>
        <v/>
      </c>
      <c r="BA1067" s="264" t="s">
        <v>449</v>
      </c>
      <c r="BB1067" s="264"/>
      <c r="BC1067" s="264"/>
      <c r="BD1067" s="264" t="s">
        <v>370</v>
      </c>
      <c r="BE1067" s="9" t="s">
        <v>199</v>
      </c>
      <c r="BF1067" s="56"/>
      <c r="BG1067" s="56"/>
      <c r="BH1067" s="56"/>
      <c r="BI1067" s="56"/>
      <c r="BJ1067" s="56"/>
      <c r="BK1067" s="56"/>
      <c r="BL1067" s="56"/>
      <c r="BM1067" s="56"/>
      <c r="BN1067" s="56"/>
      <c r="BO1067" s="56"/>
      <c r="BP1067" s="56"/>
      <c r="BQ1067" s="5"/>
      <c r="BR1067" s="25"/>
      <c r="BS1067" s="5"/>
    </row>
    <row r="1068" spans="1:71" s="3" customFormat="1" x14ac:dyDescent="0.25">
      <c r="A1068" s="5"/>
      <c r="B1068" s="3" t="str">
        <f t="array" ref="B1068">IFERROR(INDEX(DemandSupply,MATCH(INDEX($AH$1:AH1068,SMALL(ROW($AH$1:AH1068)+(10000*($AH$1:AH1068="")),COUNTA($AH$1:AH1068))),Sectors,0)),"")</f>
        <v>Supply</v>
      </c>
      <c r="E1068" s="10"/>
      <c r="F1068" s="207"/>
      <c r="G1068" s="207"/>
      <c r="H1068" s="207"/>
      <c r="I1068" s="207"/>
      <c r="J1068" s="207"/>
      <c r="K1068" s="207"/>
      <c r="L1068" s="207"/>
      <c r="M1068" s="207"/>
      <c r="N1068" s="207"/>
      <c r="O1068" s="207"/>
      <c r="P1068" s="207"/>
      <c r="Q1068" s="207"/>
      <c r="R1068" s="207"/>
      <c r="S1068" s="207"/>
      <c r="T1068" s="207"/>
      <c r="U1068" s="207"/>
      <c r="V1068" s="207"/>
      <c r="W1068" s="207"/>
      <c r="X1068" s="207"/>
      <c r="Y1068" s="207"/>
      <c r="Z1068" s="207"/>
      <c r="AA1068" s="207"/>
      <c r="AB1068" s="207"/>
      <c r="AC1068" s="5"/>
      <c r="AD1068" s="63"/>
      <c r="AE1068" s="64"/>
      <c r="AF1068" s="64"/>
      <c r="AG1068" s="212"/>
      <c r="AH1068" s="64"/>
      <c r="AI1068" s="64"/>
      <c r="AJ1068" s="227"/>
      <c r="AK1068" s="64"/>
      <c r="AL1068" s="64"/>
      <c r="AM1068" s="64"/>
      <c r="AN1068" s="64"/>
      <c r="AO1068" s="64"/>
      <c r="AP1068" s="63"/>
      <c r="AQ1068" s="64"/>
      <c r="AR1068" s="63"/>
      <c r="AS1068" s="64"/>
      <c r="AT1068" s="63"/>
      <c r="AU1068" s="64"/>
      <c r="AV1068" s="63"/>
      <c r="AW1068" s="64"/>
      <c r="AX1068" s="63"/>
      <c r="AY1068" s="5"/>
      <c r="AZ1068" s="21" t="str">
        <f t="shared" si="737"/>
        <v/>
      </c>
      <c r="BA1068" s="264" t="s">
        <v>450</v>
      </c>
      <c r="BB1068" s="264"/>
      <c r="BC1068" s="264"/>
      <c r="BD1068" s="264"/>
      <c r="BE1068" s="9" t="s">
        <v>199</v>
      </c>
      <c r="BF1068" s="55"/>
      <c r="BG1068" s="55"/>
      <c r="BH1068" s="55"/>
      <c r="BI1068" s="55"/>
      <c r="BJ1068" s="55"/>
      <c r="BK1068" s="55"/>
      <c r="BL1068" s="55"/>
      <c r="BM1068" s="55"/>
      <c r="BN1068" s="55"/>
      <c r="BO1068" s="55"/>
      <c r="BP1068" s="55"/>
      <c r="BQ1068" s="5"/>
      <c r="BR1068" s="25"/>
      <c r="BS1068" s="5"/>
    </row>
    <row r="1069" spans="1:71" s="3" customFormat="1" x14ac:dyDescent="0.25">
      <c r="A1069" s="5"/>
      <c r="B1069" s="3" t="str">
        <f t="array" ref="B1069">IFERROR(INDEX(DemandSupply,MATCH(INDEX($AH$1:AH1069,SMALL(ROW($AH$1:AH1069)+(10000*($AH$1:AH1069="")),COUNTA($AH$1:AH1069))),Sectors,0)),"")</f>
        <v>Supply</v>
      </c>
      <c r="E1069" s="10"/>
      <c r="F1069" s="207"/>
      <c r="G1069" s="207"/>
      <c r="H1069" s="207"/>
      <c r="I1069" s="207"/>
      <c r="J1069" s="207"/>
      <c r="K1069" s="207"/>
      <c r="L1069" s="207"/>
      <c r="M1069" s="207"/>
      <c r="N1069" s="207"/>
      <c r="O1069" s="207"/>
      <c r="P1069" s="207"/>
      <c r="Q1069" s="207"/>
      <c r="R1069" s="207"/>
      <c r="S1069" s="207"/>
      <c r="T1069" s="207"/>
      <c r="U1069" s="207"/>
      <c r="V1069" s="207"/>
      <c r="W1069" s="207"/>
      <c r="X1069" s="207"/>
      <c r="Y1069" s="207"/>
      <c r="Z1069" s="207"/>
      <c r="AA1069" s="207"/>
      <c r="AB1069" s="207"/>
      <c r="AC1069" s="5"/>
      <c r="AD1069" s="63"/>
      <c r="AE1069" s="64"/>
      <c r="AF1069" s="64"/>
      <c r="AG1069" s="212"/>
      <c r="AH1069" s="64"/>
      <c r="AI1069" s="64"/>
      <c r="AJ1069" s="227"/>
      <c r="AK1069" s="64"/>
      <c r="AL1069" s="64"/>
      <c r="AM1069" s="64"/>
      <c r="AN1069" s="64"/>
      <c r="AO1069" s="64"/>
      <c r="AP1069" s="63"/>
      <c r="AQ1069" s="64"/>
      <c r="AR1069" s="63"/>
      <c r="AS1069" s="64"/>
      <c r="AT1069" s="63"/>
      <c r="AU1069" s="64"/>
      <c r="AV1069" s="63"/>
      <c r="AW1069" s="64"/>
      <c r="AX1069" s="63"/>
      <c r="AY1069" s="5"/>
      <c r="AZ1069" s="21" t="str">
        <f t="shared" si="737"/>
        <v/>
      </c>
      <c r="BA1069" s="264" t="s">
        <v>451</v>
      </c>
      <c r="BB1069" s="264"/>
      <c r="BC1069" s="264"/>
      <c r="BD1069" s="264"/>
      <c r="BE1069" s="9" t="s">
        <v>199</v>
      </c>
      <c r="BF1069" s="55"/>
      <c r="BG1069" s="55"/>
      <c r="BH1069" s="55"/>
      <c r="BI1069" s="55"/>
      <c r="BJ1069" s="55"/>
      <c r="BK1069" s="55"/>
      <c r="BL1069" s="55"/>
      <c r="BM1069" s="55"/>
      <c r="BN1069" s="55"/>
      <c r="BO1069" s="55"/>
      <c r="BP1069" s="55"/>
      <c r="BQ1069" s="5"/>
      <c r="BR1069" s="25"/>
      <c r="BS1069" s="5"/>
    </row>
    <row r="1070" spans="1:71" s="3" customFormat="1" x14ac:dyDescent="0.25">
      <c r="A1070" s="5"/>
      <c r="B1070" s="3" t="str">
        <f t="array" ref="B1070">IFERROR(INDEX(DemandSupply,MATCH(INDEX($AH$1:AH1070,SMALL(ROW($AH$1:AH1070)+(10000*($AH$1:AH1070="")),COUNTA($AH$1:AH1070))),Sectors,0)),"")</f>
        <v>Supply</v>
      </c>
      <c r="E1070" s="10"/>
      <c r="F1070" s="207"/>
      <c r="G1070" s="207"/>
      <c r="H1070" s="207"/>
      <c r="I1070" s="207"/>
      <c r="J1070" s="207"/>
      <c r="K1070" s="207"/>
      <c r="L1070" s="207"/>
      <c r="M1070" s="207"/>
      <c r="N1070" s="207"/>
      <c r="O1070" s="207"/>
      <c r="P1070" s="207"/>
      <c r="Q1070" s="207"/>
      <c r="R1070" s="207"/>
      <c r="S1070" s="207"/>
      <c r="T1070" s="207"/>
      <c r="U1070" s="207"/>
      <c r="V1070" s="207"/>
      <c r="W1070" s="207"/>
      <c r="X1070" s="207"/>
      <c r="Y1070" s="207"/>
      <c r="Z1070" s="207"/>
      <c r="AA1070" s="207"/>
      <c r="AB1070" s="207"/>
      <c r="AC1070" s="5"/>
      <c r="AD1070" s="63"/>
      <c r="AE1070" s="64"/>
      <c r="AF1070" s="64"/>
      <c r="AG1070" s="212"/>
      <c r="AH1070" s="64"/>
      <c r="AI1070" s="64"/>
      <c r="AJ1070" s="227"/>
      <c r="AK1070" s="64"/>
      <c r="AL1070" s="64"/>
      <c r="AM1070" s="64"/>
      <c r="AN1070" s="64"/>
      <c r="AO1070" s="64"/>
      <c r="AP1070" s="63"/>
      <c r="AQ1070" s="64"/>
      <c r="AR1070" s="63"/>
      <c r="AS1070" s="64"/>
      <c r="AT1070" s="63"/>
      <c r="AU1070" s="64"/>
      <c r="AV1070" s="63"/>
      <c r="AW1070" s="64"/>
      <c r="AX1070" s="63"/>
      <c r="AY1070" s="5"/>
      <c r="AZ1070" s="21" t="str">
        <f t="shared" si="737"/>
        <v/>
      </c>
      <c r="BA1070" s="264" t="s">
        <v>342</v>
      </c>
      <c r="BB1070" s="264"/>
      <c r="BC1070" s="264"/>
      <c r="BD1070" s="264" t="s">
        <v>370</v>
      </c>
      <c r="BE1070" s="9" t="s">
        <v>199</v>
      </c>
      <c r="BF1070" s="56">
        <v>500000</v>
      </c>
      <c r="BG1070" s="282">
        <f t="shared" ref="BG1070:BP1070" si="740">BF1070</f>
        <v>500000</v>
      </c>
      <c r="BH1070" s="282">
        <f t="shared" si="740"/>
        <v>500000</v>
      </c>
      <c r="BI1070" s="282">
        <f t="shared" si="740"/>
        <v>500000</v>
      </c>
      <c r="BJ1070" s="282">
        <f t="shared" si="740"/>
        <v>500000</v>
      </c>
      <c r="BK1070" s="282">
        <f t="shared" si="740"/>
        <v>500000</v>
      </c>
      <c r="BL1070" s="282">
        <f t="shared" si="740"/>
        <v>500000</v>
      </c>
      <c r="BM1070" s="282">
        <f t="shared" si="740"/>
        <v>500000</v>
      </c>
      <c r="BN1070" s="282">
        <f t="shared" si="740"/>
        <v>500000</v>
      </c>
      <c r="BO1070" s="282">
        <f t="shared" si="740"/>
        <v>500000</v>
      </c>
      <c r="BP1070" s="282">
        <f t="shared" si="740"/>
        <v>500000</v>
      </c>
      <c r="BQ1070" s="5"/>
      <c r="BR1070" s="25"/>
      <c r="BS1070" s="5"/>
    </row>
    <row r="1071" spans="1:71" s="3" customFormat="1" x14ac:dyDescent="0.25">
      <c r="A1071" s="5"/>
      <c r="B1071" s="3" t="str">
        <f t="array" ref="B1071">IFERROR(INDEX(DemandSupply,MATCH(INDEX($AH$1:AH1071,SMALL(ROW($AH$1:AH1071)+(10000*($AH$1:AH1071="")),COUNTA($AH$1:AH1071))),Sectors,0)),"")</f>
        <v>Supply</v>
      </c>
      <c r="E1071" s="10"/>
      <c r="F1071" s="207"/>
      <c r="G1071" s="207"/>
      <c r="H1071" s="207"/>
      <c r="I1071" s="207"/>
      <c r="J1071" s="207"/>
      <c r="K1071" s="207"/>
      <c r="L1071" s="207"/>
      <c r="M1071" s="207"/>
      <c r="N1071" s="207"/>
      <c r="O1071" s="207"/>
      <c r="P1071" s="207"/>
      <c r="Q1071" s="207"/>
      <c r="R1071" s="207"/>
      <c r="S1071" s="207"/>
      <c r="T1071" s="207"/>
      <c r="U1071" s="207"/>
      <c r="V1071" s="207"/>
      <c r="W1071" s="207"/>
      <c r="X1071" s="207"/>
      <c r="Y1071" s="207"/>
      <c r="Z1071" s="207"/>
      <c r="AA1071" s="207"/>
      <c r="AB1071" s="207"/>
      <c r="AC1071" s="5"/>
      <c r="AD1071" s="63"/>
      <c r="AE1071" s="64"/>
      <c r="AF1071" s="64"/>
      <c r="AG1071" s="212"/>
      <c r="AH1071" s="64"/>
      <c r="AI1071" s="64"/>
      <c r="AJ1071" s="227"/>
      <c r="AK1071" s="64"/>
      <c r="AL1071" s="64"/>
      <c r="AM1071" s="64"/>
      <c r="AN1071" s="64"/>
      <c r="AO1071" s="64"/>
      <c r="AP1071" s="63"/>
      <c r="AQ1071" s="64"/>
      <c r="AR1071" s="63"/>
      <c r="AS1071" s="64"/>
      <c r="AT1071" s="63"/>
      <c r="AU1071" s="64"/>
      <c r="AV1071" s="63"/>
      <c r="AW1071" s="64"/>
      <c r="AX1071" s="63"/>
      <c r="AY1071" s="5"/>
      <c r="AZ1071" s="21" t="str">
        <f t="shared" si="737"/>
        <v/>
      </c>
      <c r="BA1071" s="264" t="s">
        <v>394</v>
      </c>
      <c r="BB1071" s="264"/>
      <c r="BC1071" s="264"/>
      <c r="BD1071" s="264" t="s">
        <v>354</v>
      </c>
      <c r="BE1071" s="9" t="s">
        <v>199</v>
      </c>
      <c r="BF1071" s="56"/>
      <c r="BG1071" s="56"/>
      <c r="BH1071" s="56"/>
      <c r="BI1071" s="56"/>
      <c r="BJ1071" s="56"/>
      <c r="BK1071" s="56"/>
      <c r="BL1071" s="56"/>
      <c r="BM1071" s="56"/>
      <c r="BN1071" s="56"/>
      <c r="BO1071" s="56"/>
      <c r="BP1071" s="56"/>
      <c r="BQ1071" s="5"/>
      <c r="BR1071" s="25"/>
      <c r="BS1071" s="5"/>
    </row>
    <row r="1072" spans="1:71" s="3" customFormat="1" x14ac:dyDescent="0.25">
      <c r="A1072" s="5"/>
      <c r="B1072" s="3" t="str">
        <f t="array" ref="B1072">IFERROR(INDEX(DemandSupply,MATCH(INDEX($AH$1:AH1072,SMALL(ROW($AH$1:AH1072)+(10000*($AH$1:AH1072="")),COUNTA($AH$1:AH1072))),Sectors,0)),"")</f>
        <v>Supply</v>
      </c>
      <c r="E1072" s="10">
        <f t="shared" si="694"/>
        <v>0</v>
      </c>
      <c r="F1072" s="207">
        <v>1</v>
      </c>
      <c r="G1072" s="207">
        <v>1</v>
      </c>
      <c r="H1072" s="207">
        <v>1</v>
      </c>
      <c r="I1072" s="207">
        <v>1</v>
      </c>
      <c r="J1072" s="207">
        <v>1</v>
      </c>
      <c r="K1072" s="207">
        <v>1</v>
      </c>
      <c r="L1072" s="207">
        <v>1</v>
      </c>
      <c r="M1072" s="207">
        <v>1</v>
      </c>
      <c r="N1072" s="207">
        <v>1</v>
      </c>
      <c r="O1072" s="207">
        <v>1</v>
      </c>
      <c r="P1072" s="207">
        <v>1</v>
      </c>
      <c r="Q1072" s="207">
        <v>1</v>
      </c>
      <c r="R1072" s="207">
        <v>1</v>
      </c>
      <c r="S1072" s="207">
        <v>1</v>
      </c>
      <c r="T1072" s="207">
        <v>1</v>
      </c>
      <c r="U1072" s="207">
        <v>1</v>
      </c>
      <c r="V1072" s="207">
        <v>1</v>
      </c>
      <c r="W1072" s="207">
        <v>1</v>
      </c>
      <c r="X1072" s="207">
        <v>1</v>
      </c>
      <c r="Y1072" s="207">
        <v>1</v>
      </c>
      <c r="Z1072" s="207">
        <v>1</v>
      </c>
      <c r="AA1072" s="207">
        <v>1</v>
      </c>
      <c r="AB1072" s="207">
        <v>1</v>
      </c>
      <c r="AC1072" s="5"/>
      <c r="AD1072" s="63"/>
      <c r="AE1072" s="64"/>
      <c r="AF1072" s="64"/>
      <c r="AG1072" s="212"/>
      <c r="AH1072" s="64"/>
      <c r="AI1072" s="65"/>
      <c r="AJ1072" s="227"/>
      <c r="AK1072" s="65"/>
      <c r="AL1072" s="64"/>
      <c r="AM1072" s="64"/>
      <c r="AN1072" s="64"/>
      <c r="AO1072" s="64"/>
      <c r="AP1072" s="63"/>
      <c r="AQ1072" s="64"/>
      <c r="AR1072" s="63"/>
      <c r="AS1072" s="64"/>
      <c r="AT1072" s="63"/>
      <c r="AU1072" s="64"/>
      <c r="AV1072" s="63"/>
      <c r="AW1072" s="64"/>
      <c r="AX1072" s="63"/>
      <c r="AY1072" s="5"/>
      <c r="AZ1072" s="21" t="str">
        <f t="shared" si="737"/>
        <v/>
      </c>
      <c r="BA1072" s="74" t="s">
        <v>338</v>
      </c>
      <c r="BB1072" s="13"/>
      <c r="BC1072" s="3" t="s">
        <v>281</v>
      </c>
      <c r="BD1072" s="2" t="s">
        <v>384</v>
      </c>
      <c r="BE1072" s="9" t="s">
        <v>199</v>
      </c>
      <c r="BF1072" s="55">
        <f>1/0.15</f>
        <v>6.666666666666667</v>
      </c>
      <c r="BG1072" s="316">
        <f t="shared" ref="BG1072:BG1073" si="741">BF1072</f>
        <v>6.666666666666667</v>
      </c>
      <c r="BH1072" s="316">
        <f t="shared" ref="BH1072:BH1073" si="742">BG1072</f>
        <v>6.666666666666667</v>
      </c>
      <c r="BI1072" s="316">
        <f t="shared" ref="BI1072:BI1073" si="743">BH1072</f>
        <v>6.666666666666667</v>
      </c>
      <c r="BJ1072" s="316">
        <f t="shared" ref="BJ1072:BJ1073" si="744">BI1072</f>
        <v>6.666666666666667</v>
      </c>
      <c r="BK1072" s="316">
        <f t="shared" ref="BK1072:BK1073" si="745">BJ1072</f>
        <v>6.666666666666667</v>
      </c>
      <c r="BL1072" s="316">
        <f t="shared" ref="BL1072:BL1073" si="746">BK1072</f>
        <v>6.666666666666667</v>
      </c>
      <c r="BM1072" s="316">
        <f t="shared" ref="BM1072:BM1073" si="747">BL1072</f>
        <v>6.666666666666667</v>
      </c>
      <c r="BN1072" s="316">
        <f t="shared" ref="BN1072:BN1073" si="748">BM1072</f>
        <v>6.666666666666667</v>
      </c>
      <c r="BO1072" s="316">
        <f t="shared" ref="BO1072:BO1073" si="749">BN1072</f>
        <v>6.666666666666667</v>
      </c>
      <c r="BP1072" s="316">
        <f t="shared" ref="BP1072:BP1073" si="750">BO1072</f>
        <v>6.666666666666667</v>
      </c>
      <c r="BQ1072" s="5"/>
      <c r="BR1072" s="13"/>
      <c r="BS1072" s="5"/>
    </row>
    <row r="1073" spans="1:71" s="3" customFormat="1" x14ac:dyDescent="0.25">
      <c r="A1073" s="5"/>
      <c r="B1073" s="3" t="str">
        <f t="array" ref="B1073">IFERROR(INDEX(DemandSupply,MATCH(INDEX($AH$1:AH1073,SMALL(ROW($AH$1:AH1073)+(10000*($AH$1:AH1073="")),COUNTA($AH$1:AH1073))),Sectors,0)),"")</f>
        <v>Supply</v>
      </c>
      <c r="E1073" s="10">
        <f t="shared" si="694"/>
        <v>0</v>
      </c>
      <c r="F1073" s="207">
        <v>1</v>
      </c>
      <c r="G1073" s="207">
        <v>1</v>
      </c>
      <c r="H1073" s="207">
        <v>1</v>
      </c>
      <c r="I1073" s="207">
        <v>1</v>
      </c>
      <c r="J1073" s="207">
        <v>1</v>
      </c>
      <c r="K1073" s="207">
        <v>1</v>
      </c>
      <c r="L1073" s="207">
        <v>1</v>
      </c>
      <c r="M1073" s="207">
        <v>1</v>
      </c>
      <c r="N1073" s="207">
        <v>1</v>
      </c>
      <c r="O1073" s="207">
        <v>1</v>
      </c>
      <c r="P1073" s="207">
        <v>1</v>
      </c>
      <c r="Q1073" s="207">
        <v>1</v>
      </c>
      <c r="R1073" s="207">
        <v>1</v>
      </c>
      <c r="S1073" s="207">
        <v>1</v>
      </c>
      <c r="T1073" s="207">
        <v>1</v>
      </c>
      <c r="U1073" s="207">
        <v>1</v>
      </c>
      <c r="V1073" s="207">
        <v>1</v>
      </c>
      <c r="W1073" s="207">
        <v>1</v>
      </c>
      <c r="X1073" s="207">
        <v>1</v>
      </c>
      <c r="Y1073" s="207">
        <v>1</v>
      </c>
      <c r="Z1073" s="207">
        <v>1</v>
      </c>
      <c r="AA1073" s="207">
        <v>1</v>
      </c>
      <c r="AB1073" s="207">
        <v>1</v>
      </c>
      <c r="AC1073" s="5"/>
      <c r="AD1073" s="63"/>
      <c r="AE1073" s="64"/>
      <c r="AF1073" s="64"/>
      <c r="AG1073" s="212"/>
      <c r="AH1073" s="64"/>
      <c r="AI1073" s="65"/>
      <c r="AJ1073" s="227"/>
      <c r="AK1073" s="65"/>
      <c r="AL1073" s="64"/>
      <c r="AM1073" s="64"/>
      <c r="AN1073" s="64"/>
      <c r="AO1073" s="64"/>
      <c r="AP1073" s="63"/>
      <c r="AQ1073" s="64"/>
      <c r="AR1073" s="63"/>
      <c r="AS1073" s="64"/>
      <c r="AT1073" s="63"/>
      <c r="AU1073" s="64"/>
      <c r="AV1073" s="63"/>
      <c r="AW1073" s="64"/>
      <c r="AX1073" s="63"/>
      <c r="AY1073" s="5"/>
      <c r="AZ1073" s="21" t="str">
        <f t="shared" si="737"/>
        <v/>
      </c>
      <c r="BA1073" s="74" t="s">
        <v>338</v>
      </c>
      <c r="BB1073" s="13"/>
      <c r="BC1073" s="3" t="s">
        <v>372</v>
      </c>
      <c r="BD1073" s="2" t="s">
        <v>385</v>
      </c>
      <c r="BE1073" s="9" t="s">
        <v>199</v>
      </c>
      <c r="BF1073" s="55">
        <v>1</v>
      </c>
      <c r="BG1073" s="316">
        <f t="shared" si="741"/>
        <v>1</v>
      </c>
      <c r="BH1073" s="316">
        <f t="shared" si="742"/>
        <v>1</v>
      </c>
      <c r="BI1073" s="316">
        <f t="shared" si="743"/>
        <v>1</v>
      </c>
      <c r="BJ1073" s="316">
        <f t="shared" si="744"/>
        <v>1</v>
      </c>
      <c r="BK1073" s="316">
        <f t="shared" si="745"/>
        <v>1</v>
      </c>
      <c r="BL1073" s="316">
        <f t="shared" si="746"/>
        <v>1</v>
      </c>
      <c r="BM1073" s="316">
        <f t="shared" si="747"/>
        <v>1</v>
      </c>
      <c r="BN1073" s="316">
        <f t="shared" si="748"/>
        <v>1</v>
      </c>
      <c r="BO1073" s="316">
        <f t="shared" si="749"/>
        <v>1</v>
      </c>
      <c r="BP1073" s="316">
        <f t="shared" si="750"/>
        <v>1</v>
      </c>
      <c r="BQ1073" s="5"/>
      <c r="BR1073" s="13"/>
      <c r="BS1073" s="5"/>
    </row>
    <row r="1074" spans="1:71" s="3" customFormat="1" x14ac:dyDescent="0.25">
      <c r="A1074" s="5"/>
      <c r="B1074" s="3" t="str">
        <f t="array" ref="B1074">IFERROR(INDEX(DemandSupply,MATCH(INDEX($AH$1:AH1074,SMALL(ROW($AH$1:AH1074)+(10000*($AH$1:AH1074="")),COUNTA($AH$1:AH1074))),Sectors,0)),"")</f>
        <v>Supply</v>
      </c>
      <c r="E1074" s="10">
        <f t="shared" si="694"/>
        <v>0</v>
      </c>
      <c r="F1074" s="207">
        <v>1</v>
      </c>
      <c r="G1074" s="207">
        <v>1</v>
      </c>
      <c r="H1074" s="207">
        <v>1</v>
      </c>
      <c r="I1074" s="207">
        <v>1</v>
      </c>
      <c r="J1074" s="207">
        <v>1</v>
      </c>
      <c r="K1074" s="207">
        <v>1</v>
      </c>
      <c r="L1074" s="207">
        <v>1</v>
      </c>
      <c r="M1074" s="207">
        <v>1</v>
      </c>
      <c r="N1074" s="207">
        <v>1</v>
      </c>
      <c r="O1074" s="207">
        <v>1</v>
      </c>
      <c r="P1074" s="207">
        <v>1</v>
      </c>
      <c r="Q1074" s="207">
        <v>1</v>
      </c>
      <c r="R1074" s="207">
        <v>1</v>
      </c>
      <c r="S1074" s="207">
        <v>1</v>
      </c>
      <c r="T1074" s="207">
        <v>1</v>
      </c>
      <c r="U1074" s="207">
        <v>1</v>
      </c>
      <c r="V1074" s="207">
        <v>1</v>
      </c>
      <c r="W1074" s="207">
        <v>1</v>
      </c>
      <c r="X1074" s="207">
        <v>1</v>
      </c>
      <c r="Y1074" s="207">
        <v>1</v>
      </c>
      <c r="Z1074" s="207">
        <v>1</v>
      </c>
      <c r="AA1074" s="207">
        <v>1</v>
      </c>
      <c r="AB1074" s="207">
        <v>1</v>
      </c>
      <c r="AC1074" s="5"/>
      <c r="AD1074" s="63"/>
      <c r="AE1074" s="64"/>
      <c r="AF1074" s="64"/>
      <c r="AG1074" s="212"/>
      <c r="AH1074" s="64"/>
      <c r="AI1074" s="65"/>
      <c r="AJ1074" s="227"/>
      <c r="AK1074" s="65"/>
      <c r="AL1074" s="64"/>
      <c r="AM1074" s="64"/>
      <c r="AN1074" s="64"/>
      <c r="AO1074" s="64"/>
      <c r="AP1074" s="63"/>
      <c r="AQ1074" s="64"/>
      <c r="AR1074" s="63"/>
      <c r="AS1074" s="64"/>
      <c r="AT1074" s="63"/>
      <c r="AU1074" s="64"/>
      <c r="AV1074" s="63"/>
      <c r="AW1074" s="64"/>
      <c r="AX1074" s="63"/>
      <c r="AY1074" s="5"/>
      <c r="AZ1074" s="21" t="str">
        <f t="shared" si="737"/>
        <v/>
      </c>
      <c r="BA1074" s="293" t="s">
        <v>51</v>
      </c>
      <c r="BB1074" s="13"/>
      <c r="BC1074" s="2"/>
      <c r="BD1074" s="2"/>
      <c r="BE1074" s="70" t="s">
        <v>200</v>
      </c>
      <c r="BF1074" s="209"/>
      <c r="BG1074" s="209"/>
      <c r="BH1074" s="4"/>
      <c r="BI1074" s="4"/>
      <c r="BJ1074" s="4"/>
      <c r="BK1074" s="4"/>
      <c r="BL1074" s="4"/>
      <c r="BM1074" s="4"/>
      <c r="BN1074" s="4"/>
      <c r="BO1074" s="4"/>
      <c r="BP1074" s="4"/>
      <c r="BQ1074" s="5"/>
      <c r="BR1074" s="13"/>
      <c r="BS1074" s="5"/>
    </row>
    <row r="1075" spans="1:71" s="3" customFormat="1" x14ac:dyDescent="0.25">
      <c r="A1075" s="5"/>
      <c r="B1075" s="3" t="str">
        <f t="array" ref="B1075">IFERROR(INDEX(DemandSupply,MATCH(INDEX($AH$1:AH1075,SMALL(ROW($AH$1:AH1075)+(10000*($AH$1:AH1075="")),COUNTA($AH$1:AH1075))),Sectors,0)),"")</f>
        <v>Supply</v>
      </c>
      <c r="E1075" s="10"/>
      <c r="F1075" s="207"/>
      <c r="G1075" s="207"/>
      <c r="H1075" s="207"/>
      <c r="I1075" s="207"/>
      <c r="J1075" s="207"/>
      <c r="K1075" s="207"/>
      <c r="L1075" s="207"/>
      <c r="M1075" s="207"/>
      <c r="N1075" s="207"/>
      <c r="O1075" s="207"/>
      <c r="P1075" s="207"/>
      <c r="Q1075" s="207"/>
      <c r="R1075" s="207"/>
      <c r="S1075" s="207"/>
      <c r="T1075" s="207"/>
      <c r="U1075" s="207"/>
      <c r="V1075" s="207"/>
      <c r="W1075" s="207"/>
      <c r="X1075" s="207"/>
      <c r="Y1075" s="207"/>
      <c r="Z1075" s="207"/>
      <c r="AA1075" s="207"/>
      <c r="AB1075" s="207"/>
      <c r="AC1075" s="5"/>
      <c r="AD1075" s="63"/>
      <c r="AE1075" s="64"/>
      <c r="AF1075" s="64"/>
      <c r="AG1075" s="212"/>
      <c r="AH1075" s="64"/>
      <c r="AI1075" s="64"/>
      <c r="AJ1075" s="227"/>
      <c r="AK1075" s="64"/>
      <c r="AL1075" s="64"/>
      <c r="AM1075" s="64"/>
      <c r="AN1075" s="64"/>
      <c r="AO1075" s="64"/>
      <c r="AP1075" s="63"/>
      <c r="AQ1075" s="64"/>
      <c r="AR1075" s="63"/>
      <c r="AS1075" s="64"/>
      <c r="AT1075" s="63"/>
      <c r="AU1075" s="64"/>
      <c r="AV1075" s="63"/>
      <c r="AW1075" s="64"/>
      <c r="AX1075" s="63"/>
      <c r="AY1075" s="5"/>
      <c r="AZ1075" s="21" t="str">
        <f t="shared" si="737"/>
        <v/>
      </c>
      <c r="BA1075" s="264" t="s">
        <v>38</v>
      </c>
      <c r="BB1075" s="264"/>
      <c r="BC1075" s="264"/>
      <c r="BD1075" s="264" t="s">
        <v>40</v>
      </c>
      <c r="BE1075" s="9" t="s">
        <v>200</v>
      </c>
      <c r="BF1075" s="309">
        <v>2000</v>
      </c>
      <c r="BG1075" s="312">
        <f t="shared" ref="BG1075:BP1075" si="751">BF1075</f>
        <v>2000</v>
      </c>
      <c r="BH1075" s="312">
        <f t="shared" si="751"/>
        <v>2000</v>
      </c>
      <c r="BI1075" s="312">
        <f t="shared" si="751"/>
        <v>2000</v>
      </c>
      <c r="BJ1075" s="312">
        <f t="shared" si="751"/>
        <v>2000</v>
      </c>
      <c r="BK1075" s="312">
        <f t="shared" si="751"/>
        <v>2000</v>
      </c>
      <c r="BL1075" s="312">
        <f t="shared" si="751"/>
        <v>2000</v>
      </c>
      <c r="BM1075" s="312">
        <f t="shared" si="751"/>
        <v>2000</v>
      </c>
      <c r="BN1075" s="312">
        <f t="shared" si="751"/>
        <v>2000</v>
      </c>
      <c r="BO1075" s="312">
        <f t="shared" si="751"/>
        <v>2000</v>
      </c>
      <c r="BP1075" s="312">
        <f t="shared" si="751"/>
        <v>2000</v>
      </c>
      <c r="BQ1075" s="5"/>
      <c r="BR1075" s="25"/>
      <c r="BS1075" s="5"/>
    </row>
    <row r="1076" spans="1:71" s="3" customFormat="1" x14ac:dyDescent="0.25">
      <c r="A1076" s="5"/>
      <c r="B1076" s="3" t="str">
        <f t="array" ref="B1076">IFERROR(INDEX(DemandSupply,MATCH(INDEX($AH$1:AH1076,SMALL(ROW($AH$1:AH1076)+(10000*($AH$1:AH1076="")),COUNTA($AH$1:AH1076))),Sectors,0)),"")</f>
        <v>Supply</v>
      </c>
      <c r="E1076" s="10"/>
      <c r="F1076" s="207"/>
      <c r="G1076" s="207"/>
      <c r="H1076" s="207"/>
      <c r="I1076" s="207"/>
      <c r="J1076" s="207"/>
      <c r="K1076" s="207"/>
      <c r="L1076" s="207"/>
      <c r="M1076" s="207"/>
      <c r="N1076" s="207"/>
      <c r="O1076" s="207"/>
      <c r="P1076" s="207"/>
      <c r="Q1076" s="207"/>
      <c r="R1076" s="207"/>
      <c r="S1076" s="207"/>
      <c r="T1076" s="207"/>
      <c r="U1076" s="207"/>
      <c r="V1076" s="207"/>
      <c r="W1076" s="207"/>
      <c r="X1076" s="207"/>
      <c r="Y1076" s="207"/>
      <c r="Z1076" s="207"/>
      <c r="AA1076" s="207"/>
      <c r="AB1076" s="207"/>
      <c r="AC1076" s="5"/>
      <c r="AD1076" s="63"/>
      <c r="AE1076" s="64"/>
      <c r="AF1076" s="64"/>
      <c r="AG1076" s="212"/>
      <c r="AH1076" s="64"/>
      <c r="AI1076" s="64"/>
      <c r="AJ1076" s="227"/>
      <c r="AK1076" s="64"/>
      <c r="AL1076" s="64"/>
      <c r="AM1076" s="64"/>
      <c r="AN1076" s="64"/>
      <c r="AO1076" s="64"/>
      <c r="AP1076" s="63"/>
      <c r="AQ1076" s="64"/>
      <c r="AR1076" s="63"/>
      <c r="AS1076" s="64"/>
      <c r="AT1076" s="63"/>
      <c r="AU1076" s="64"/>
      <c r="AV1076" s="63"/>
      <c r="AW1076" s="64"/>
      <c r="AX1076" s="63"/>
      <c r="AY1076" s="5"/>
      <c r="AZ1076" s="21" t="str">
        <f t="shared" si="737"/>
        <v/>
      </c>
      <c r="BA1076" s="264" t="s">
        <v>37</v>
      </c>
      <c r="BB1076" s="264"/>
      <c r="BC1076" s="264"/>
      <c r="BD1076" s="264" t="s">
        <v>40</v>
      </c>
      <c r="BE1076" s="9" t="s">
        <v>200</v>
      </c>
      <c r="BF1076" s="309">
        <v>2100</v>
      </c>
      <c r="BG1076" s="312">
        <f t="shared" ref="BG1076:BP1076" si="752">BF1076</f>
        <v>2100</v>
      </c>
      <c r="BH1076" s="312">
        <f t="shared" si="752"/>
        <v>2100</v>
      </c>
      <c r="BI1076" s="312">
        <f t="shared" si="752"/>
        <v>2100</v>
      </c>
      <c r="BJ1076" s="312">
        <f t="shared" si="752"/>
        <v>2100</v>
      </c>
      <c r="BK1076" s="312">
        <f t="shared" si="752"/>
        <v>2100</v>
      </c>
      <c r="BL1076" s="312">
        <f t="shared" si="752"/>
        <v>2100</v>
      </c>
      <c r="BM1076" s="312">
        <f t="shared" si="752"/>
        <v>2100</v>
      </c>
      <c r="BN1076" s="312">
        <f t="shared" si="752"/>
        <v>2100</v>
      </c>
      <c r="BO1076" s="312">
        <f t="shared" si="752"/>
        <v>2100</v>
      </c>
      <c r="BP1076" s="312">
        <f t="shared" si="752"/>
        <v>2100</v>
      </c>
      <c r="BQ1076" s="5"/>
      <c r="BR1076" s="25"/>
      <c r="BS1076" s="5"/>
    </row>
    <row r="1077" spans="1:71" s="3" customFormat="1" x14ac:dyDescent="0.25">
      <c r="A1077" s="5"/>
      <c r="B1077" s="3" t="str">
        <f t="array" ref="B1077">IFERROR(INDEX(DemandSupply,MATCH(INDEX($AH$1:AH1077,SMALL(ROW($AH$1:AH1077)+(10000*($AH$1:AH1077="")),COUNTA($AH$1:AH1077))),Sectors,0)),"")</f>
        <v>Supply</v>
      </c>
      <c r="E1077" s="10"/>
      <c r="F1077" s="207"/>
      <c r="G1077" s="207"/>
      <c r="H1077" s="207"/>
      <c r="I1077" s="207"/>
      <c r="J1077" s="207"/>
      <c r="K1077" s="207"/>
      <c r="L1077" s="207"/>
      <c r="M1077" s="207"/>
      <c r="N1077" s="207"/>
      <c r="O1077" s="207"/>
      <c r="P1077" s="207"/>
      <c r="Q1077" s="207"/>
      <c r="R1077" s="207"/>
      <c r="S1077" s="207"/>
      <c r="T1077" s="207"/>
      <c r="U1077" s="207"/>
      <c r="V1077" s="207"/>
      <c r="W1077" s="207"/>
      <c r="X1077" s="207"/>
      <c r="Y1077" s="207"/>
      <c r="Z1077" s="207"/>
      <c r="AA1077" s="207"/>
      <c r="AB1077" s="207"/>
      <c r="AC1077" s="5"/>
      <c r="AD1077" s="63"/>
      <c r="AE1077" s="64"/>
      <c r="AF1077" s="64"/>
      <c r="AG1077" s="212"/>
      <c r="AH1077" s="64"/>
      <c r="AI1077" s="64"/>
      <c r="AJ1077" s="227"/>
      <c r="AK1077" s="64"/>
      <c r="AL1077" s="64"/>
      <c r="AM1077" s="64"/>
      <c r="AN1077" s="64"/>
      <c r="AO1077" s="64"/>
      <c r="AP1077" s="63"/>
      <c r="AQ1077" s="64"/>
      <c r="AR1077" s="63"/>
      <c r="AS1077" s="64"/>
      <c r="AT1077" s="63"/>
      <c r="AU1077" s="64"/>
      <c r="AV1077" s="63"/>
      <c r="AW1077" s="64"/>
      <c r="AX1077" s="63"/>
      <c r="AY1077" s="5"/>
      <c r="AZ1077" s="21" t="str">
        <f t="shared" si="737"/>
        <v/>
      </c>
      <c r="BA1077" s="264" t="s">
        <v>39</v>
      </c>
      <c r="BB1077" s="264"/>
      <c r="BC1077" s="264"/>
      <c r="BD1077" s="264" t="s">
        <v>10</v>
      </c>
      <c r="BE1077" s="9" t="s">
        <v>200</v>
      </c>
      <c r="BF1077" s="56">
        <v>30</v>
      </c>
      <c r="BG1077" s="282">
        <f t="shared" ref="BG1077:BP1077" si="753">BF1077</f>
        <v>30</v>
      </c>
      <c r="BH1077" s="282">
        <f t="shared" si="753"/>
        <v>30</v>
      </c>
      <c r="BI1077" s="282">
        <f t="shared" si="753"/>
        <v>30</v>
      </c>
      <c r="BJ1077" s="282">
        <f t="shared" si="753"/>
        <v>30</v>
      </c>
      <c r="BK1077" s="282">
        <f t="shared" si="753"/>
        <v>30</v>
      </c>
      <c r="BL1077" s="282">
        <f t="shared" si="753"/>
        <v>30</v>
      </c>
      <c r="BM1077" s="282">
        <f t="shared" si="753"/>
        <v>30</v>
      </c>
      <c r="BN1077" s="282">
        <f t="shared" si="753"/>
        <v>30</v>
      </c>
      <c r="BO1077" s="282">
        <f t="shared" si="753"/>
        <v>30</v>
      </c>
      <c r="BP1077" s="282">
        <f t="shared" si="753"/>
        <v>30</v>
      </c>
      <c r="BQ1077" s="5"/>
      <c r="BR1077" s="25"/>
      <c r="BS1077" s="5"/>
    </row>
    <row r="1078" spans="1:71" s="3" customFormat="1" x14ac:dyDescent="0.25">
      <c r="A1078" s="5"/>
      <c r="B1078" s="3" t="str">
        <f t="array" ref="B1078">IFERROR(INDEX(DemandSupply,MATCH(INDEX($AH$1:AH1078,SMALL(ROW($AH$1:AH1078)+(10000*($AH$1:AH1078="")),COUNTA($AH$1:AH1078))),Sectors,0)),"")</f>
        <v>Supply</v>
      </c>
      <c r="E1078" s="10"/>
      <c r="F1078" s="207"/>
      <c r="G1078" s="207"/>
      <c r="H1078" s="207"/>
      <c r="I1078" s="207"/>
      <c r="J1078" s="207"/>
      <c r="K1078" s="207"/>
      <c r="L1078" s="207"/>
      <c r="M1078" s="207"/>
      <c r="N1078" s="207"/>
      <c r="O1078" s="207"/>
      <c r="P1078" s="207"/>
      <c r="Q1078" s="207"/>
      <c r="R1078" s="207"/>
      <c r="S1078" s="207"/>
      <c r="T1078" s="207"/>
      <c r="U1078" s="207"/>
      <c r="V1078" s="207"/>
      <c r="W1078" s="207"/>
      <c r="X1078" s="207"/>
      <c r="Y1078" s="207"/>
      <c r="Z1078" s="207"/>
      <c r="AA1078" s="207"/>
      <c r="AB1078" s="207"/>
      <c r="AC1078" s="5"/>
      <c r="AD1078" s="63"/>
      <c r="AE1078" s="64"/>
      <c r="AF1078" s="64"/>
      <c r="AG1078" s="212"/>
      <c r="AH1078" s="64"/>
      <c r="AI1078" s="64"/>
      <c r="AJ1078" s="227"/>
      <c r="AK1078" s="64"/>
      <c r="AL1078" s="64"/>
      <c r="AM1078" s="64"/>
      <c r="AN1078" s="64"/>
      <c r="AO1078" s="64"/>
      <c r="AP1078" s="63"/>
      <c r="AQ1078" s="64"/>
      <c r="AR1078" s="63"/>
      <c r="AS1078" s="64"/>
      <c r="AT1078" s="63"/>
      <c r="AU1078" s="64"/>
      <c r="AV1078" s="63"/>
      <c r="AW1078" s="64"/>
      <c r="AX1078" s="63"/>
      <c r="AY1078" s="5"/>
      <c r="AZ1078" s="21" t="str">
        <f t="shared" si="737"/>
        <v/>
      </c>
      <c r="BA1078" s="264" t="s">
        <v>395</v>
      </c>
      <c r="BB1078" s="264"/>
      <c r="BC1078" s="264"/>
      <c r="BD1078" s="264" t="s">
        <v>10</v>
      </c>
      <c r="BE1078" s="9" t="s">
        <v>200</v>
      </c>
      <c r="BF1078" s="56"/>
      <c r="BG1078" s="56"/>
      <c r="BH1078" s="56"/>
      <c r="BI1078" s="56"/>
      <c r="BJ1078" s="56"/>
      <c r="BK1078" s="56"/>
      <c r="BL1078" s="56"/>
      <c r="BM1078" s="56"/>
      <c r="BN1078" s="56"/>
      <c r="BO1078" s="56"/>
      <c r="BP1078" s="56"/>
      <c r="BQ1078" s="5"/>
      <c r="BR1078" s="25"/>
      <c r="BS1078" s="5"/>
    </row>
    <row r="1079" spans="1:71" s="3" customFormat="1" x14ac:dyDescent="0.25">
      <c r="A1079" s="5"/>
      <c r="B1079" s="3" t="str">
        <f t="array" ref="B1079">IFERROR(INDEX(DemandSupply,MATCH(INDEX($AH$1:AH1079,SMALL(ROW($AH$1:AH1079)+(10000*($AH$1:AH1079="")),COUNTA($AH$1:AH1079))),Sectors,0)),"")</f>
        <v>Supply</v>
      </c>
      <c r="E1079" s="10"/>
      <c r="F1079" s="207"/>
      <c r="G1079" s="207"/>
      <c r="H1079" s="207"/>
      <c r="I1079" s="207"/>
      <c r="J1079" s="207"/>
      <c r="K1079" s="207"/>
      <c r="L1079" s="207"/>
      <c r="M1079" s="207"/>
      <c r="N1079" s="207"/>
      <c r="O1079" s="207"/>
      <c r="P1079" s="207"/>
      <c r="Q1079" s="207"/>
      <c r="R1079" s="207"/>
      <c r="S1079" s="207"/>
      <c r="T1079" s="207"/>
      <c r="U1079" s="207"/>
      <c r="V1079" s="207"/>
      <c r="W1079" s="207"/>
      <c r="X1079" s="207"/>
      <c r="Y1079" s="207"/>
      <c r="Z1079" s="207"/>
      <c r="AA1079" s="207"/>
      <c r="AB1079" s="207"/>
      <c r="AC1079" s="5"/>
      <c r="AD1079" s="63"/>
      <c r="AE1079" s="64"/>
      <c r="AF1079" s="64"/>
      <c r="AG1079" s="212"/>
      <c r="AH1079" s="64"/>
      <c r="AI1079" s="64"/>
      <c r="AJ1079" s="227"/>
      <c r="AK1079" s="64"/>
      <c r="AL1079" s="64"/>
      <c r="AM1079" s="64"/>
      <c r="AN1079" s="64"/>
      <c r="AO1079" s="64"/>
      <c r="AP1079" s="63"/>
      <c r="AQ1079" s="64"/>
      <c r="AR1079" s="63"/>
      <c r="AS1079" s="64"/>
      <c r="AT1079" s="63"/>
      <c r="AU1079" s="64"/>
      <c r="AV1079" s="63"/>
      <c r="AW1079" s="64"/>
      <c r="AX1079" s="63"/>
      <c r="AY1079" s="5"/>
      <c r="AZ1079" s="21" t="str">
        <f t="shared" si="737"/>
        <v/>
      </c>
      <c r="BA1079" s="264" t="s">
        <v>341</v>
      </c>
      <c r="BB1079" s="264"/>
      <c r="BC1079" s="264"/>
      <c r="BD1079" s="264" t="s">
        <v>99</v>
      </c>
      <c r="BE1079" s="9" t="s">
        <v>200</v>
      </c>
      <c r="BF1079" s="303">
        <v>0.125</v>
      </c>
      <c r="BG1079" s="306">
        <f t="shared" ref="BG1079:BP1079" si="754">BF1079</f>
        <v>0.125</v>
      </c>
      <c r="BH1079" s="306">
        <f t="shared" si="754"/>
        <v>0.125</v>
      </c>
      <c r="BI1079" s="306">
        <f t="shared" si="754"/>
        <v>0.125</v>
      </c>
      <c r="BJ1079" s="306">
        <f t="shared" si="754"/>
        <v>0.125</v>
      </c>
      <c r="BK1079" s="306">
        <f t="shared" si="754"/>
        <v>0.125</v>
      </c>
      <c r="BL1079" s="306">
        <f t="shared" si="754"/>
        <v>0.125</v>
      </c>
      <c r="BM1079" s="306">
        <f t="shared" si="754"/>
        <v>0.125</v>
      </c>
      <c r="BN1079" s="306">
        <f t="shared" si="754"/>
        <v>0.125</v>
      </c>
      <c r="BO1079" s="306">
        <f t="shared" si="754"/>
        <v>0.125</v>
      </c>
      <c r="BP1079" s="306">
        <f t="shared" si="754"/>
        <v>0.125</v>
      </c>
      <c r="BQ1079" s="5"/>
      <c r="BR1079" s="25"/>
      <c r="BS1079" s="5"/>
    </row>
    <row r="1080" spans="1:71" s="3" customFormat="1" x14ac:dyDescent="0.25">
      <c r="A1080" s="5"/>
      <c r="B1080" s="3" t="str">
        <f t="array" ref="B1080">IFERROR(INDEX(DemandSupply,MATCH(INDEX($AH$1:AH1080,SMALL(ROW($AH$1:AH1080)+(10000*($AH$1:AH1080="")),COUNTA($AH$1:AH1080))),Sectors,0)),"")</f>
        <v>Supply</v>
      </c>
      <c r="E1080" s="10"/>
      <c r="F1080" s="207"/>
      <c r="G1080" s="207"/>
      <c r="H1080" s="207"/>
      <c r="I1080" s="207"/>
      <c r="J1080" s="207"/>
      <c r="K1080" s="207"/>
      <c r="L1080" s="207"/>
      <c r="M1080" s="207"/>
      <c r="N1080" s="207"/>
      <c r="O1080" s="207"/>
      <c r="P1080" s="207"/>
      <c r="Q1080" s="207"/>
      <c r="R1080" s="207"/>
      <c r="S1080" s="207"/>
      <c r="T1080" s="207"/>
      <c r="U1080" s="207"/>
      <c r="V1080" s="207"/>
      <c r="W1080" s="207"/>
      <c r="X1080" s="207"/>
      <c r="Y1080" s="207"/>
      <c r="Z1080" s="207"/>
      <c r="AA1080" s="207"/>
      <c r="AB1080" s="207"/>
      <c r="AC1080" s="5"/>
      <c r="AD1080" s="63"/>
      <c r="AE1080" s="64"/>
      <c r="AF1080" s="64"/>
      <c r="AG1080" s="212"/>
      <c r="AH1080" s="64"/>
      <c r="AI1080" s="64"/>
      <c r="AJ1080" s="227"/>
      <c r="AK1080" s="64"/>
      <c r="AL1080" s="64"/>
      <c r="AM1080" s="64"/>
      <c r="AN1080" s="64"/>
      <c r="AO1080" s="64"/>
      <c r="AP1080" s="63"/>
      <c r="AQ1080" s="64"/>
      <c r="AR1080" s="63"/>
      <c r="AS1080" s="64"/>
      <c r="AT1080" s="63"/>
      <c r="AU1080" s="64"/>
      <c r="AV1080" s="63"/>
      <c r="AW1080" s="64"/>
      <c r="AX1080" s="63"/>
      <c r="AY1080" s="5"/>
      <c r="AZ1080" s="21" t="str">
        <f t="shared" si="737"/>
        <v/>
      </c>
      <c r="BA1080" s="264" t="s">
        <v>392</v>
      </c>
      <c r="BB1080" s="264"/>
      <c r="BC1080" s="264"/>
      <c r="BD1080" s="264" t="s">
        <v>99</v>
      </c>
      <c r="BE1080" s="9" t="s">
        <v>200</v>
      </c>
      <c r="BF1080" s="303"/>
      <c r="BG1080" s="303"/>
      <c r="BH1080" s="303"/>
      <c r="BI1080" s="303"/>
      <c r="BJ1080" s="303"/>
      <c r="BK1080" s="303"/>
      <c r="BL1080" s="303"/>
      <c r="BM1080" s="303"/>
      <c r="BN1080" s="303"/>
      <c r="BO1080" s="303"/>
      <c r="BP1080" s="303"/>
      <c r="BQ1080" s="5"/>
      <c r="BR1080" s="25"/>
      <c r="BS1080" s="5"/>
    </row>
    <row r="1081" spans="1:71" s="3" customFormat="1" x14ac:dyDescent="0.25">
      <c r="A1081" s="5"/>
      <c r="B1081" s="3" t="str">
        <f t="array" ref="B1081">IFERROR(INDEX(DemandSupply,MATCH(INDEX($AH$1:AH1081,SMALL(ROW($AH$1:AH1081)+(10000*($AH$1:AH1081="")),COUNTA($AH$1:AH1081))),Sectors,0)),"")</f>
        <v>Supply</v>
      </c>
      <c r="E1081" s="10"/>
      <c r="F1081" s="207"/>
      <c r="G1081" s="207"/>
      <c r="H1081" s="207"/>
      <c r="I1081" s="207"/>
      <c r="J1081" s="207"/>
      <c r="K1081" s="207"/>
      <c r="L1081" s="207"/>
      <c r="M1081" s="207"/>
      <c r="N1081" s="207"/>
      <c r="O1081" s="207"/>
      <c r="P1081" s="207"/>
      <c r="Q1081" s="207"/>
      <c r="R1081" s="207"/>
      <c r="S1081" s="207"/>
      <c r="T1081" s="207"/>
      <c r="U1081" s="207"/>
      <c r="V1081" s="207"/>
      <c r="W1081" s="207"/>
      <c r="X1081" s="207"/>
      <c r="Y1081" s="207"/>
      <c r="Z1081" s="207"/>
      <c r="AA1081" s="207"/>
      <c r="AB1081" s="207"/>
      <c r="AC1081" s="5"/>
      <c r="AD1081" s="63"/>
      <c r="AE1081" s="64"/>
      <c r="AF1081" s="64"/>
      <c r="AG1081" s="212"/>
      <c r="AH1081" s="64"/>
      <c r="AI1081" s="64"/>
      <c r="AJ1081" s="227"/>
      <c r="AK1081" s="64"/>
      <c r="AL1081" s="64"/>
      <c r="AM1081" s="64"/>
      <c r="AN1081" s="64"/>
      <c r="AO1081" s="64"/>
      <c r="AP1081" s="63"/>
      <c r="AQ1081" s="64"/>
      <c r="AR1081" s="63"/>
      <c r="AS1081" s="64"/>
      <c r="AT1081" s="63"/>
      <c r="AU1081" s="64"/>
      <c r="AV1081" s="63"/>
      <c r="AW1081" s="64"/>
      <c r="AX1081" s="63"/>
      <c r="AY1081" s="5"/>
      <c r="AZ1081" s="21" t="str">
        <f t="shared" si="737"/>
        <v/>
      </c>
      <c r="BA1081" s="264" t="s">
        <v>391</v>
      </c>
      <c r="BB1081" s="264"/>
      <c r="BC1081" s="264"/>
      <c r="BD1081" s="264" t="s">
        <v>99</v>
      </c>
      <c r="BE1081" s="9" t="s">
        <v>200</v>
      </c>
      <c r="BF1081" s="303"/>
      <c r="BG1081" s="303"/>
      <c r="BH1081" s="303"/>
      <c r="BI1081" s="303"/>
      <c r="BJ1081" s="303"/>
      <c r="BK1081" s="303"/>
      <c r="BL1081" s="303"/>
      <c r="BM1081" s="303"/>
      <c r="BN1081" s="303"/>
      <c r="BO1081" s="303"/>
      <c r="BP1081" s="303"/>
      <c r="BQ1081" s="5"/>
      <c r="BR1081" s="25"/>
      <c r="BS1081" s="5"/>
    </row>
    <row r="1082" spans="1:71" s="3" customFormat="1" x14ac:dyDescent="0.25">
      <c r="A1082" s="5"/>
      <c r="B1082" s="3" t="str">
        <f t="array" ref="B1082">IFERROR(INDEX(DemandSupply,MATCH(INDEX($AH$1:AH1082,SMALL(ROW($AH$1:AH1082)+(10000*($AH$1:AH1082="")),COUNTA($AH$1:AH1082))),Sectors,0)),"")</f>
        <v>Supply</v>
      </c>
      <c r="E1082" s="10"/>
      <c r="F1082" s="207"/>
      <c r="G1082" s="207"/>
      <c r="H1082" s="207"/>
      <c r="I1082" s="207"/>
      <c r="J1082" s="207"/>
      <c r="K1082" s="207"/>
      <c r="L1082" s="207"/>
      <c r="M1082" s="207"/>
      <c r="N1082" s="207"/>
      <c r="O1082" s="207"/>
      <c r="P1082" s="207"/>
      <c r="Q1082" s="207"/>
      <c r="R1082" s="207"/>
      <c r="S1082" s="207"/>
      <c r="T1082" s="207"/>
      <c r="U1082" s="207"/>
      <c r="V1082" s="207"/>
      <c r="W1082" s="207"/>
      <c r="X1082" s="207"/>
      <c r="Y1082" s="207"/>
      <c r="Z1082" s="207"/>
      <c r="AA1082" s="207"/>
      <c r="AB1082" s="207"/>
      <c r="AC1082" s="5"/>
      <c r="AD1082" s="63"/>
      <c r="AE1082" s="64"/>
      <c r="AF1082" s="64"/>
      <c r="AG1082" s="212"/>
      <c r="AH1082" s="64"/>
      <c r="AI1082" s="64"/>
      <c r="AJ1082" s="227"/>
      <c r="AK1082" s="64"/>
      <c r="AL1082" s="64"/>
      <c r="AM1082" s="64"/>
      <c r="AN1082" s="64"/>
      <c r="AO1082" s="64"/>
      <c r="AP1082" s="63"/>
      <c r="AQ1082" s="64"/>
      <c r="AR1082" s="63"/>
      <c r="AS1082" s="64"/>
      <c r="AT1082" s="63"/>
      <c r="AU1082" s="64"/>
      <c r="AV1082" s="63"/>
      <c r="AW1082" s="64"/>
      <c r="AX1082" s="63"/>
      <c r="AY1082" s="5"/>
      <c r="AZ1082" s="21" t="str">
        <f t="shared" si="737"/>
        <v/>
      </c>
      <c r="BA1082" s="264" t="s">
        <v>144</v>
      </c>
      <c r="BB1082" s="264"/>
      <c r="BC1082" s="264"/>
      <c r="BD1082" s="264" t="s">
        <v>219</v>
      </c>
      <c r="BE1082" s="9" t="s">
        <v>200</v>
      </c>
      <c r="BF1082" s="56"/>
      <c r="BG1082" s="56"/>
      <c r="BH1082" s="56"/>
      <c r="BI1082" s="56"/>
      <c r="BJ1082" s="56"/>
      <c r="BK1082" s="56"/>
      <c r="BL1082" s="56"/>
      <c r="BM1082" s="56"/>
      <c r="BN1082" s="56"/>
      <c r="BO1082" s="56"/>
      <c r="BP1082" s="56"/>
      <c r="BQ1082" s="5"/>
      <c r="BR1082" s="25"/>
      <c r="BS1082" s="5"/>
    </row>
    <row r="1083" spans="1:71" s="3" customFormat="1" x14ac:dyDescent="0.25">
      <c r="A1083" s="5"/>
      <c r="B1083" s="3" t="str">
        <f t="array" ref="B1083">IFERROR(INDEX(DemandSupply,MATCH(INDEX($AH$1:AH1083,SMALL(ROW($AH$1:AH1083)+(10000*($AH$1:AH1083="")),COUNTA($AH$1:AH1083))),Sectors,0)),"")</f>
        <v>Supply</v>
      </c>
      <c r="E1083" s="10"/>
      <c r="F1083" s="207"/>
      <c r="G1083" s="207"/>
      <c r="H1083" s="207"/>
      <c r="I1083" s="207"/>
      <c r="J1083" s="207"/>
      <c r="K1083" s="207"/>
      <c r="L1083" s="207"/>
      <c r="M1083" s="207"/>
      <c r="N1083" s="207"/>
      <c r="O1083" s="207"/>
      <c r="P1083" s="207"/>
      <c r="Q1083" s="207"/>
      <c r="R1083" s="207"/>
      <c r="S1083" s="207"/>
      <c r="T1083" s="207"/>
      <c r="U1083" s="207"/>
      <c r="V1083" s="207"/>
      <c r="W1083" s="207"/>
      <c r="X1083" s="207"/>
      <c r="Y1083" s="207"/>
      <c r="Z1083" s="207"/>
      <c r="AA1083" s="207"/>
      <c r="AB1083" s="207"/>
      <c r="AC1083" s="5"/>
      <c r="AD1083" s="63"/>
      <c r="AE1083" s="64"/>
      <c r="AF1083" s="64"/>
      <c r="AG1083" s="212"/>
      <c r="AH1083" s="64"/>
      <c r="AI1083" s="64"/>
      <c r="AJ1083" s="227"/>
      <c r="AK1083" s="64"/>
      <c r="AL1083" s="64"/>
      <c r="AM1083" s="64"/>
      <c r="AN1083" s="64"/>
      <c r="AO1083" s="64"/>
      <c r="AP1083" s="63"/>
      <c r="AQ1083" s="64"/>
      <c r="AR1083" s="63"/>
      <c r="AS1083" s="64"/>
      <c r="AT1083" s="63"/>
      <c r="AU1083" s="64"/>
      <c r="AV1083" s="63"/>
      <c r="AW1083" s="64"/>
      <c r="AX1083" s="63"/>
      <c r="AY1083" s="5"/>
      <c r="AZ1083" s="21" t="str">
        <f t="shared" si="737"/>
        <v/>
      </c>
      <c r="BA1083" s="264" t="s">
        <v>76</v>
      </c>
      <c r="BB1083" s="264"/>
      <c r="BC1083" s="264"/>
      <c r="BD1083" s="264" t="s">
        <v>99</v>
      </c>
      <c r="BE1083" s="9" t="s">
        <v>200</v>
      </c>
      <c r="BF1083" s="303">
        <v>0.8</v>
      </c>
      <c r="BG1083" s="303"/>
      <c r="BH1083" s="303"/>
      <c r="BI1083" s="303"/>
      <c r="BJ1083" s="303"/>
      <c r="BK1083" s="303"/>
      <c r="BL1083" s="303"/>
      <c r="BM1083" s="303"/>
      <c r="BN1083" s="303"/>
      <c r="BO1083" s="303"/>
      <c r="BP1083" s="303"/>
      <c r="BQ1083" s="5"/>
      <c r="BR1083" s="25"/>
      <c r="BS1083" s="5"/>
    </row>
    <row r="1084" spans="1:71" s="3" customFormat="1" x14ac:dyDescent="0.25">
      <c r="A1084" s="5"/>
      <c r="B1084" s="3" t="str">
        <f t="array" ref="B1084">IFERROR(INDEX(DemandSupply,MATCH(INDEX($AH$1:AH1084,SMALL(ROW($AH$1:AH1084)+(10000*($AH$1:AH1084="")),COUNTA($AH$1:AH1084))),Sectors,0)),"")</f>
        <v>Supply</v>
      </c>
      <c r="E1084" s="10"/>
      <c r="F1084" s="207"/>
      <c r="G1084" s="207"/>
      <c r="H1084" s="207"/>
      <c r="I1084" s="207"/>
      <c r="J1084" s="207"/>
      <c r="K1084" s="207"/>
      <c r="L1084" s="207"/>
      <c r="M1084" s="207"/>
      <c r="N1084" s="207"/>
      <c r="O1084" s="207"/>
      <c r="P1084" s="207"/>
      <c r="Q1084" s="207"/>
      <c r="R1084" s="207"/>
      <c r="S1084" s="207"/>
      <c r="T1084" s="207"/>
      <c r="U1084" s="207"/>
      <c r="V1084" s="207"/>
      <c r="W1084" s="207"/>
      <c r="X1084" s="207"/>
      <c r="Y1084" s="207"/>
      <c r="Z1084" s="207"/>
      <c r="AA1084" s="207"/>
      <c r="AB1084" s="207"/>
      <c r="AC1084" s="5"/>
      <c r="AD1084" s="63"/>
      <c r="AE1084" s="64"/>
      <c r="AF1084" s="64"/>
      <c r="AG1084" s="212"/>
      <c r="AH1084" s="64"/>
      <c r="AI1084" s="64"/>
      <c r="AJ1084" s="227"/>
      <c r="AK1084" s="64"/>
      <c r="AL1084" s="64"/>
      <c r="AM1084" s="64"/>
      <c r="AN1084" s="64"/>
      <c r="AO1084" s="64"/>
      <c r="AP1084" s="63"/>
      <c r="AQ1084" s="64"/>
      <c r="AR1084" s="63"/>
      <c r="AS1084" s="64"/>
      <c r="AT1084" s="63"/>
      <c r="AU1084" s="64"/>
      <c r="AV1084" s="63"/>
      <c r="AW1084" s="64"/>
      <c r="AX1084" s="63"/>
      <c r="AY1084" s="5"/>
      <c r="AZ1084" s="21" t="str">
        <f t="shared" si="737"/>
        <v/>
      </c>
      <c r="BA1084" s="75" t="s">
        <v>166</v>
      </c>
      <c r="BB1084" s="75"/>
      <c r="BC1084" s="270"/>
      <c r="BD1084" s="75" t="s">
        <v>99</v>
      </c>
      <c r="BE1084" s="9" t="s">
        <v>200</v>
      </c>
      <c r="BF1084" s="303"/>
      <c r="BG1084" s="303"/>
      <c r="BH1084" s="303"/>
      <c r="BI1084" s="303"/>
      <c r="BJ1084" s="303"/>
      <c r="BK1084" s="303"/>
      <c r="BL1084" s="303"/>
      <c r="BM1084" s="303"/>
      <c r="BN1084" s="303"/>
      <c r="BO1084" s="303"/>
      <c r="BP1084" s="303"/>
      <c r="BQ1084" s="5"/>
      <c r="BR1084" s="25"/>
      <c r="BS1084" s="5"/>
    </row>
    <row r="1085" spans="1:71" s="3" customFormat="1" x14ac:dyDescent="0.25">
      <c r="A1085" s="5"/>
      <c r="B1085" s="3" t="str">
        <f t="array" ref="B1085">IFERROR(INDEX(DemandSupply,MATCH(INDEX($AH$1:AH1085,SMALL(ROW($AH$1:AH1085)+(10000*($AH$1:AH1085="")),COUNTA($AH$1:AH1085))),Sectors,0)),"")</f>
        <v>Supply</v>
      </c>
      <c r="E1085" s="10"/>
      <c r="F1085" s="207"/>
      <c r="G1085" s="207"/>
      <c r="H1085" s="207"/>
      <c r="I1085" s="207"/>
      <c r="J1085" s="207"/>
      <c r="K1085" s="207"/>
      <c r="L1085" s="207"/>
      <c r="M1085" s="207"/>
      <c r="N1085" s="207"/>
      <c r="O1085" s="207"/>
      <c r="P1085" s="207"/>
      <c r="Q1085" s="207"/>
      <c r="R1085" s="207"/>
      <c r="S1085" s="207"/>
      <c r="T1085" s="207"/>
      <c r="U1085" s="207"/>
      <c r="V1085" s="207"/>
      <c r="W1085" s="207"/>
      <c r="X1085" s="207"/>
      <c r="Y1085" s="207"/>
      <c r="Z1085" s="207"/>
      <c r="AA1085" s="207"/>
      <c r="AB1085" s="207"/>
      <c r="AC1085" s="5"/>
      <c r="AD1085" s="63"/>
      <c r="AE1085" s="64"/>
      <c r="AF1085" s="64"/>
      <c r="AG1085" s="212"/>
      <c r="AH1085" s="64"/>
      <c r="AI1085" s="64"/>
      <c r="AJ1085" s="227"/>
      <c r="AK1085" s="64"/>
      <c r="AL1085" s="64"/>
      <c r="AM1085" s="64"/>
      <c r="AN1085" s="64"/>
      <c r="AO1085" s="64"/>
      <c r="AP1085" s="63"/>
      <c r="AQ1085" s="64"/>
      <c r="AR1085" s="63"/>
      <c r="AS1085" s="64"/>
      <c r="AT1085" s="63"/>
      <c r="AU1085" s="64"/>
      <c r="AV1085" s="63"/>
      <c r="AW1085" s="64"/>
      <c r="AX1085" s="63"/>
      <c r="AY1085" s="5"/>
      <c r="AZ1085" s="21" t="str">
        <f t="shared" si="737"/>
        <v/>
      </c>
      <c r="BA1085" s="75" t="s">
        <v>167</v>
      </c>
      <c r="BB1085" s="75"/>
      <c r="BC1085" s="270"/>
      <c r="BD1085" s="75" t="s">
        <v>99</v>
      </c>
      <c r="BE1085" s="9" t="s">
        <v>200</v>
      </c>
      <c r="BF1085" s="303"/>
      <c r="BG1085" s="303"/>
      <c r="BH1085" s="303"/>
      <c r="BI1085" s="303"/>
      <c r="BJ1085" s="303"/>
      <c r="BK1085" s="303"/>
      <c r="BL1085" s="303"/>
      <c r="BM1085" s="303"/>
      <c r="BN1085" s="303"/>
      <c r="BO1085" s="303"/>
      <c r="BP1085" s="303"/>
      <c r="BQ1085" s="5"/>
      <c r="BR1085" s="25"/>
      <c r="BS1085" s="5"/>
    </row>
    <row r="1086" spans="1:71" s="3" customFormat="1" x14ac:dyDescent="0.25">
      <c r="A1086" s="5"/>
      <c r="B1086" s="3" t="str">
        <f t="array" ref="B1086">IFERROR(INDEX(DemandSupply,MATCH(INDEX($AH$1:AH1086,SMALL(ROW($AH$1:AH1086)+(10000*($AH$1:AH1086="")),COUNTA($AH$1:AH1086))),Sectors,0)),"")</f>
        <v>Supply</v>
      </c>
      <c r="E1086" s="10"/>
      <c r="F1086" s="207"/>
      <c r="G1086" s="207"/>
      <c r="H1086" s="207"/>
      <c r="I1086" s="207"/>
      <c r="J1086" s="207"/>
      <c r="K1086" s="207"/>
      <c r="L1086" s="207"/>
      <c r="M1086" s="207"/>
      <c r="N1086" s="207"/>
      <c r="O1086" s="207"/>
      <c r="P1086" s="207"/>
      <c r="Q1086" s="207"/>
      <c r="R1086" s="207"/>
      <c r="S1086" s="207"/>
      <c r="T1086" s="207"/>
      <c r="U1086" s="207"/>
      <c r="V1086" s="207"/>
      <c r="W1086" s="207"/>
      <c r="X1086" s="207"/>
      <c r="Y1086" s="207"/>
      <c r="Z1086" s="207"/>
      <c r="AA1086" s="207"/>
      <c r="AB1086" s="207"/>
      <c r="AC1086" s="5"/>
      <c r="AD1086" s="63"/>
      <c r="AE1086" s="64"/>
      <c r="AF1086" s="64"/>
      <c r="AG1086" s="212"/>
      <c r="AH1086" s="64"/>
      <c r="AI1086" s="64"/>
      <c r="AJ1086" s="227"/>
      <c r="AK1086" s="64"/>
      <c r="AL1086" s="64"/>
      <c r="AM1086" s="64"/>
      <c r="AN1086" s="64"/>
      <c r="AO1086" s="64"/>
      <c r="AP1086" s="63"/>
      <c r="AQ1086" s="64"/>
      <c r="AR1086" s="63"/>
      <c r="AS1086" s="64"/>
      <c r="AT1086" s="63"/>
      <c r="AU1086" s="64"/>
      <c r="AV1086" s="63"/>
      <c r="AW1086" s="64"/>
      <c r="AX1086" s="63"/>
      <c r="AY1086" s="5"/>
      <c r="AZ1086" s="21" t="str">
        <f t="shared" si="737"/>
        <v/>
      </c>
      <c r="BA1086" s="75" t="s">
        <v>408</v>
      </c>
      <c r="BB1086" s="75"/>
      <c r="BC1086" s="270"/>
      <c r="BD1086" s="75" t="s">
        <v>99</v>
      </c>
      <c r="BE1086" s="9" t="s">
        <v>200</v>
      </c>
      <c r="BF1086" s="303"/>
      <c r="BG1086" s="303"/>
      <c r="BH1086" s="303"/>
      <c r="BI1086" s="303"/>
      <c r="BJ1086" s="303"/>
      <c r="BK1086" s="303"/>
      <c r="BL1086" s="303"/>
      <c r="BM1086" s="303"/>
      <c r="BN1086" s="303"/>
      <c r="BO1086" s="303"/>
      <c r="BP1086" s="303"/>
      <c r="BQ1086" s="5"/>
      <c r="BR1086" s="25"/>
      <c r="BS1086" s="5"/>
    </row>
    <row r="1087" spans="1:71" s="3" customFormat="1" x14ac:dyDescent="0.25">
      <c r="A1087" s="5"/>
      <c r="B1087" s="3" t="str">
        <f t="array" ref="B1087">IFERROR(INDEX(DemandSupply,MATCH(INDEX($AH$1:AH1087,SMALL(ROW($AH$1:AH1087)+(10000*($AH$1:AH1087="")),COUNTA($AH$1:AH1087))),Sectors,0)),"")</f>
        <v>Supply</v>
      </c>
      <c r="E1087" s="10"/>
      <c r="F1087" s="207"/>
      <c r="G1087" s="207"/>
      <c r="H1087" s="207"/>
      <c r="I1087" s="207"/>
      <c r="J1087" s="207"/>
      <c r="K1087" s="207"/>
      <c r="L1087" s="207"/>
      <c r="M1087" s="207"/>
      <c r="N1087" s="207"/>
      <c r="O1087" s="207"/>
      <c r="P1087" s="207"/>
      <c r="Q1087" s="207"/>
      <c r="R1087" s="207"/>
      <c r="S1087" s="207"/>
      <c r="T1087" s="207"/>
      <c r="U1087" s="207"/>
      <c r="V1087" s="207"/>
      <c r="W1087" s="207"/>
      <c r="X1087" s="207"/>
      <c r="Y1087" s="207"/>
      <c r="Z1087" s="207"/>
      <c r="AA1087" s="207"/>
      <c r="AB1087" s="207"/>
      <c r="AC1087" s="5"/>
      <c r="AD1087" s="63"/>
      <c r="AE1087" s="64"/>
      <c r="AF1087" s="64"/>
      <c r="AG1087" s="212"/>
      <c r="AH1087" s="64"/>
      <c r="AI1087" s="64"/>
      <c r="AJ1087" s="227"/>
      <c r="AK1087" s="64"/>
      <c r="AL1087" s="64"/>
      <c r="AM1087" s="64"/>
      <c r="AN1087" s="64"/>
      <c r="AO1087" s="64"/>
      <c r="AP1087" s="63"/>
      <c r="AQ1087" s="64"/>
      <c r="AR1087" s="63"/>
      <c r="AS1087" s="64"/>
      <c r="AT1087" s="63"/>
      <c r="AU1087" s="64"/>
      <c r="AV1087" s="63"/>
      <c r="AW1087" s="64"/>
      <c r="AX1087" s="63"/>
      <c r="AY1087" s="5"/>
      <c r="AZ1087" s="21" t="str">
        <f t="shared" si="737"/>
        <v/>
      </c>
      <c r="BA1087" s="75" t="s">
        <v>409</v>
      </c>
      <c r="BB1087" s="75"/>
      <c r="BC1087" s="270"/>
      <c r="BD1087" s="75" t="s">
        <v>99</v>
      </c>
      <c r="BE1087" s="9" t="s">
        <v>200</v>
      </c>
      <c r="BF1087" s="303"/>
      <c r="BG1087" s="303"/>
      <c r="BH1087" s="303"/>
      <c r="BI1087" s="303"/>
      <c r="BJ1087" s="303"/>
      <c r="BK1087" s="303"/>
      <c r="BL1087" s="303"/>
      <c r="BM1087" s="303"/>
      <c r="BN1087" s="303"/>
      <c r="BO1087" s="303"/>
      <c r="BP1087" s="303"/>
      <c r="BQ1087" s="5"/>
      <c r="BR1087" s="25"/>
      <c r="BS1087" s="5"/>
    </row>
    <row r="1088" spans="1:71" s="3" customFormat="1" x14ac:dyDescent="0.25">
      <c r="A1088" s="5"/>
      <c r="B1088" s="3" t="str">
        <f t="array" ref="B1088">IFERROR(INDEX(DemandSupply,MATCH(INDEX($AH$1:AH1088,SMALL(ROW($AH$1:AH1088)+(10000*($AH$1:AH1088="")),COUNTA($AH$1:AH1088))),Sectors,0)),"")</f>
        <v>Supply</v>
      </c>
      <c r="E1088" s="10"/>
      <c r="F1088" s="207"/>
      <c r="G1088" s="207"/>
      <c r="H1088" s="207"/>
      <c r="I1088" s="207"/>
      <c r="J1088" s="207"/>
      <c r="K1088" s="207"/>
      <c r="L1088" s="207"/>
      <c r="M1088" s="207"/>
      <c r="N1088" s="207"/>
      <c r="O1088" s="207"/>
      <c r="P1088" s="207"/>
      <c r="Q1088" s="207"/>
      <c r="R1088" s="207"/>
      <c r="S1088" s="207"/>
      <c r="T1088" s="207"/>
      <c r="U1088" s="207"/>
      <c r="V1088" s="207"/>
      <c r="W1088" s="207"/>
      <c r="X1088" s="207"/>
      <c r="Y1088" s="207"/>
      <c r="Z1088" s="207"/>
      <c r="AA1088" s="207"/>
      <c r="AB1088" s="207"/>
      <c r="AC1088" s="5"/>
      <c r="AD1088" s="63"/>
      <c r="AE1088" s="64"/>
      <c r="AF1088" s="64"/>
      <c r="AG1088" s="212"/>
      <c r="AH1088" s="64"/>
      <c r="AI1088" s="64"/>
      <c r="AJ1088" s="227"/>
      <c r="AK1088" s="64"/>
      <c r="AL1088" s="64"/>
      <c r="AM1088" s="64"/>
      <c r="AN1088" s="64"/>
      <c r="AO1088" s="64"/>
      <c r="AP1088" s="63"/>
      <c r="AQ1088" s="64"/>
      <c r="AR1088" s="63"/>
      <c r="AS1088" s="64"/>
      <c r="AT1088" s="63"/>
      <c r="AU1088" s="64"/>
      <c r="AV1088" s="63"/>
      <c r="AW1088" s="64"/>
      <c r="AX1088" s="63"/>
      <c r="AY1088" s="5"/>
      <c r="AZ1088" s="21" t="str">
        <f t="shared" si="737"/>
        <v/>
      </c>
      <c r="BA1088" s="264" t="s">
        <v>371</v>
      </c>
      <c r="BB1088" s="264"/>
      <c r="BC1088" s="264"/>
      <c r="BD1088" s="264" t="s">
        <v>219</v>
      </c>
      <c r="BE1088" s="9" t="s">
        <v>200</v>
      </c>
      <c r="BF1088" s="56">
        <f>100*8760*0.15</f>
        <v>131400</v>
      </c>
      <c r="BG1088" s="282">
        <f t="shared" ref="BG1088:BP1088" si="755">BF1088</f>
        <v>131400</v>
      </c>
      <c r="BH1088" s="282">
        <f t="shared" si="755"/>
        <v>131400</v>
      </c>
      <c r="BI1088" s="282">
        <f t="shared" si="755"/>
        <v>131400</v>
      </c>
      <c r="BJ1088" s="282">
        <f t="shared" si="755"/>
        <v>131400</v>
      </c>
      <c r="BK1088" s="282">
        <f t="shared" si="755"/>
        <v>131400</v>
      </c>
      <c r="BL1088" s="282">
        <f t="shared" si="755"/>
        <v>131400</v>
      </c>
      <c r="BM1088" s="282">
        <f t="shared" si="755"/>
        <v>131400</v>
      </c>
      <c r="BN1088" s="282">
        <f t="shared" si="755"/>
        <v>131400</v>
      </c>
      <c r="BO1088" s="282">
        <f t="shared" si="755"/>
        <v>131400</v>
      </c>
      <c r="BP1088" s="282">
        <f t="shared" si="755"/>
        <v>131400</v>
      </c>
      <c r="BQ1088" s="5"/>
      <c r="BR1088" s="25"/>
      <c r="BS1088" s="5"/>
    </row>
    <row r="1089" spans="1:71" s="3" customFormat="1" x14ac:dyDescent="0.25">
      <c r="A1089" s="5"/>
      <c r="B1089" s="3" t="str">
        <f t="array" ref="B1089">IFERROR(INDEX(DemandSupply,MATCH(INDEX($AH$1:AH1089,SMALL(ROW($AH$1:AH1089)+(10000*($AH$1:AH1089="")),COUNTA($AH$1:AH1089))),Sectors,0)),"")</f>
        <v>Supply</v>
      </c>
      <c r="E1089" s="10"/>
      <c r="F1089" s="207"/>
      <c r="G1089" s="207"/>
      <c r="H1089" s="207"/>
      <c r="I1089" s="207"/>
      <c r="J1089" s="207"/>
      <c r="K1089" s="207"/>
      <c r="L1089" s="207"/>
      <c r="M1089" s="207"/>
      <c r="N1089" s="207"/>
      <c r="O1089" s="207"/>
      <c r="P1089" s="207"/>
      <c r="Q1089" s="207"/>
      <c r="R1089" s="207"/>
      <c r="S1089" s="207"/>
      <c r="T1089" s="207"/>
      <c r="U1089" s="207"/>
      <c r="V1089" s="207"/>
      <c r="W1089" s="207"/>
      <c r="X1089" s="207"/>
      <c r="Y1089" s="207"/>
      <c r="Z1089" s="207"/>
      <c r="AA1089" s="207"/>
      <c r="AB1089" s="207"/>
      <c r="AC1089" s="5"/>
      <c r="AD1089" s="63"/>
      <c r="AE1089" s="64"/>
      <c r="AF1089" s="64"/>
      <c r="AG1089" s="212"/>
      <c r="AH1089" s="64"/>
      <c r="AI1089" s="64"/>
      <c r="AJ1089" s="227"/>
      <c r="AK1089" s="64"/>
      <c r="AL1089" s="64"/>
      <c r="AM1089" s="64"/>
      <c r="AN1089" s="64"/>
      <c r="AO1089" s="64"/>
      <c r="AP1089" s="63"/>
      <c r="AQ1089" s="64"/>
      <c r="AR1089" s="63"/>
      <c r="AS1089" s="64"/>
      <c r="AT1089" s="63"/>
      <c r="AU1089" s="64"/>
      <c r="AV1089" s="63"/>
      <c r="AW1089" s="64"/>
      <c r="AX1089" s="63"/>
      <c r="AY1089" s="5"/>
      <c r="AZ1089" s="21" t="str">
        <f t="shared" si="737"/>
        <v/>
      </c>
      <c r="BA1089" s="264" t="s">
        <v>170</v>
      </c>
      <c r="BB1089" s="264"/>
      <c r="BC1089" s="264"/>
      <c r="BD1089" s="264" t="s">
        <v>354</v>
      </c>
      <c r="BE1089" s="9" t="s">
        <v>200</v>
      </c>
      <c r="BF1089" s="56">
        <v>190000000</v>
      </c>
      <c r="BG1089" s="282">
        <f t="shared" ref="BG1089:BP1089" si="756">BF1089</f>
        <v>190000000</v>
      </c>
      <c r="BH1089" s="282">
        <f t="shared" si="756"/>
        <v>190000000</v>
      </c>
      <c r="BI1089" s="282">
        <f t="shared" si="756"/>
        <v>190000000</v>
      </c>
      <c r="BJ1089" s="282">
        <f t="shared" si="756"/>
        <v>190000000</v>
      </c>
      <c r="BK1089" s="282">
        <f t="shared" si="756"/>
        <v>190000000</v>
      </c>
      <c r="BL1089" s="282">
        <f t="shared" si="756"/>
        <v>190000000</v>
      </c>
      <c r="BM1089" s="282">
        <f t="shared" si="756"/>
        <v>190000000</v>
      </c>
      <c r="BN1089" s="282">
        <f t="shared" si="756"/>
        <v>190000000</v>
      </c>
      <c r="BO1089" s="282">
        <f t="shared" si="756"/>
        <v>190000000</v>
      </c>
      <c r="BP1089" s="282">
        <f t="shared" si="756"/>
        <v>190000000</v>
      </c>
      <c r="BQ1089" s="5"/>
      <c r="BR1089" s="25"/>
      <c r="BS1089" s="5"/>
    </row>
    <row r="1090" spans="1:71" s="3" customFormat="1" x14ac:dyDescent="0.25">
      <c r="A1090" s="5"/>
      <c r="B1090" s="3" t="str">
        <f t="array" ref="B1090">IFERROR(INDEX(DemandSupply,MATCH(INDEX($AH$1:AH1090,SMALL(ROW($AH$1:AH1090)+(10000*($AH$1:AH1090="")),COUNTA($AH$1:AH1090))),Sectors,0)),"")</f>
        <v>Supply</v>
      </c>
      <c r="E1090" s="10"/>
      <c r="F1090" s="207"/>
      <c r="G1090" s="207"/>
      <c r="H1090" s="207"/>
      <c r="I1090" s="207"/>
      <c r="J1090" s="207"/>
      <c r="K1090" s="207"/>
      <c r="L1090" s="207"/>
      <c r="M1090" s="207"/>
      <c r="N1090" s="207"/>
      <c r="O1090" s="207"/>
      <c r="P1090" s="207"/>
      <c r="Q1090" s="207"/>
      <c r="R1090" s="207"/>
      <c r="S1090" s="207"/>
      <c r="T1090" s="207"/>
      <c r="U1090" s="207"/>
      <c r="V1090" s="207"/>
      <c r="W1090" s="207"/>
      <c r="X1090" s="207"/>
      <c r="Y1090" s="207"/>
      <c r="Z1090" s="207"/>
      <c r="AA1090" s="207"/>
      <c r="AB1090" s="207"/>
      <c r="AC1090" s="5"/>
      <c r="AD1090" s="63"/>
      <c r="AE1090" s="64"/>
      <c r="AF1090" s="64"/>
      <c r="AG1090" s="212"/>
      <c r="AH1090" s="64"/>
      <c r="AI1090" s="64"/>
      <c r="AJ1090" s="227"/>
      <c r="AK1090" s="64"/>
      <c r="AL1090" s="64"/>
      <c r="AM1090" s="64"/>
      <c r="AN1090" s="64"/>
      <c r="AO1090" s="64"/>
      <c r="AP1090" s="63"/>
      <c r="AQ1090" s="64"/>
      <c r="AR1090" s="63"/>
      <c r="AS1090" s="64"/>
      <c r="AT1090" s="63"/>
      <c r="AU1090" s="64"/>
      <c r="AV1090" s="63"/>
      <c r="AW1090" s="64"/>
      <c r="AX1090" s="63"/>
      <c r="AY1090" s="5"/>
      <c r="AZ1090" s="21" t="str">
        <f t="shared" si="737"/>
        <v/>
      </c>
      <c r="BA1090" s="264" t="s">
        <v>425</v>
      </c>
      <c r="BB1090" s="264"/>
      <c r="BC1090" s="264"/>
      <c r="BD1090" s="264" t="s">
        <v>99</v>
      </c>
      <c r="BE1090" s="9" t="s">
        <v>200</v>
      </c>
      <c r="BF1090" s="303"/>
      <c r="BG1090" s="303"/>
      <c r="BH1090" s="303"/>
      <c r="BI1090" s="303"/>
      <c r="BJ1090" s="303"/>
      <c r="BK1090" s="303"/>
      <c r="BL1090" s="303"/>
      <c r="BM1090" s="303"/>
      <c r="BN1090" s="303"/>
      <c r="BO1090" s="303"/>
      <c r="BP1090" s="303"/>
      <c r="BQ1090" s="5"/>
      <c r="BR1090" s="25"/>
      <c r="BS1090" s="5"/>
    </row>
    <row r="1091" spans="1:71" s="3" customFormat="1" x14ac:dyDescent="0.25">
      <c r="A1091" s="5"/>
      <c r="B1091" s="3" t="str">
        <f t="array" ref="B1091">IFERROR(INDEX(DemandSupply,MATCH(INDEX($AH$1:AH1091,SMALL(ROW($AH$1:AH1091)+(10000*($AH$1:AH1091="")),COUNTA($AH$1:AH1091))),Sectors,0)),"")</f>
        <v>Supply</v>
      </c>
      <c r="E1091" s="10"/>
      <c r="F1091" s="207"/>
      <c r="G1091" s="207"/>
      <c r="H1091" s="207"/>
      <c r="I1091" s="207"/>
      <c r="J1091" s="207"/>
      <c r="K1091" s="207"/>
      <c r="L1091" s="207"/>
      <c r="M1091" s="207"/>
      <c r="N1091" s="207"/>
      <c r="O1091" s="207"/>
      <c r="P1091" s="207"/>
      <c r="Q1091" s="207"/>
      <c r="R1091" s="207"/>
      <c r="S1091" s="207"/>
      <c r="T1091" s="207"/>
      <c r="U1091" s="207"/>
      <c r="V1091" s="207"/>
      <c r="W1091" s="207"/>
      <c r="X1091" s="207"/>
      <c r="Y1091" s="207"/>
      <c r="Z1091" s="207"/>
      <c r="AA1091" s="207"/>
      <c r="AB1091" s="207"/>
      <c r="AC1091" s="5"/>
      <c r="AD1091" s="63"/>
      <c r="AE1091" s="64"/>
      <c r="AF1091" s="64"/>
      <c r="AG1091" s="212"/>
      <c r="AH1091" s="64"/>
      <c r="AI1091" s="64"/>
      <c r="AJ1091" s="227"/>
      <c r="AK1091" s="64"/>
      <c r="AL1091" s="64"/>
      <c r="AM1091" s="64"/>
      <c r="AN1091" s="64"/>
      <c r="AO1091" s="64"/>
      <c r="AP1091" s="63"/>
      <c r="AQ1091" s="64"/>
      <c r="AR1091" s="63"/>
      <c r="AS1091" s="64"/>
      <c r="AT1091" s="63"/>
      <c r="AU1091" s="64"/>
      <c r="AV1091" s="63"/>
      <c r="AW1091" s="64"/>
      <c r="AX1091" s="63"/>
      <c r="AY1091" s="5"/>
      <c r="AZ1091" s="21" t="str">
        <f t="shared" si="737"/>
        <v/>
      </c>
      <c r="BA1091" s="264" t="s">
        <v>438</v>
      </c>
      <c r="BB1091" s="264"/>
      <c r="BC1091" s="264"/>
      <c r="BD1091" s="264" t="s">
        <v>219</v>
      </c>
      <c r="BE1091" s="9" t="s">
        <v>200</v>
      </c>
      <c r="BF1091" s="56"/>
      <c r="BG1091" s="56"/>
      <c r="BH1091" s="56"/>
      <c r="BI1091" s="56"/>
      <c r="BJ1091" s="56"/>
      <c r="BK1091" s="56"/>
      <c r="BL1091" s="56"/>
      <c r="BM1091" s="56"/>
      <c r="BN1091" s="56"/>
      <c r="BO1091" s="56"/>
      <c r="BP1091" s="56"/>
      <c r="BQ1091" s="5"/>
      <c r="BR1091" s="25"/>
      <c r="BS1091" s="5"/>
    </row>
    <row r="1092" spans="1:71" s="3" customFormat="1" x14ac:dyDescent="0.25">
      <c r="A1092" s="5"/>
      <c r="B1092" s="3" t="str">
        <f t="array" ref="B1092">IFERROR(INDEX(DemandSupply,MATCH(INDEX($AH$1:AH1092,SMALL(ROW($AH$1:AH1092)+(10000*($AH$1:AH1092="")),COUNTA($AH$1:AH1092))),Sectors,0)),"")</f>
        <v>Supply</v>
      </c>
      <c r="E1092" s="10"/>
      <c r="F1092" s="207"/>
      <c r="G1092" s="207"/>
      <c r="H1092" s="207"/>
      <c r="I1092" s="207"/>
      <c r="J1092" s="207"/>
      <c r="K1092" s="207"/>
      <c r="L1092" s="207"/>
      <c r="M1092" s="207"/>
      <c r="N1092" s="207"/>
      <c r="O1092" s="207"/>
      <c r="P1092" s="207"/>
      <c r="Q1092" s="207"/>
      <c r="R1092" s="207"/>
      <c r="S1092" s="207"/>
      <c r="T1092" s="207"/>
      <c r="U1092" s="207"/>
      <c r="V1092" s="207"/>
      <c r="W1092" s="207"/>
      <c r="X1092" s="207"/>
      <c r="Y1092" s="207"/>
      <c r="Z1092" s="207"/>
      <c r="AA1092" s="207"/>
      <c r="AB1092" s="207"/>
      <c r="AC1092" s="5"/>
      <c r="AD1092" s="63"/>
      <c r="AE1092" s="64"/>
      <c r="AF1092" s="64"/>
      <c r="AG1092" s="212"/>
      <c r="AH1092" s="64"/>
      <c r="AI1092" s="64"/>
      <c r="AJ1092" s="227"/>
      <c r="AK1092" s="64"/>
      <c r="AL1092" s="64"/>
      <c r="AM1092" s="64"/>
      <c r="AN1092" s="64"/>
      <c r="AO1092" s="64"/>
      <c r="AP1092" s="63"/>
      <c r="AQ1092" s="64"/>
      <c r="AR1092" s="63"/>
      <c r="AS1092" s="64"/>
      <c r="AT1092" s="63"/>
      <c r="AU1092" s="64"/>
      <c r="AV1092" s="63"/>
      <c r="AW1092" s="64"/>
      <c r="AX1092" s="63"/>
      <c r="AY1092" s="5"/>
      <c r="AZ1092" s="21" t="str">
        <f t="shared" si="737"/>
        <v/>
      </c>
      <c r="BA1092" s="264" t="s">
        <v>435</v>
      </c>
      <c r="BB1092" s="264"/>
      <c r="BC1092" s="264"/>
      <c r="BD1092" s="264"/>
      <c r="BE1092" s="9" t="s">
        <v>200</v>
      </c>
      <c r="BF1092" s="55"/>
      <c r="BG1092" s="55"/>
      <c r="BH1092" s="55"/>
      <c r="BI1092" s="55"/>
      <c r="BJ1092" s="55"/>
      <c r="BK1092" s="55"/>
      <c r="BL1092" s="55"/>
      <c r="BM1092" s="55"/>
      <c r="BN1092" s="55"/>
      <c r="BO1092" s="55"/>
      <c r="BP1092" s="55"/>
      <c r="BQ1092" s="5"/>
      <c r="BR1092" s="25"/>
      <c r="BS1092" s="5"/>
    </row>
    <row r="1093" spans="1:71" s="3" customFormat="1" x14ac:dyDescent="0.25">
      <c r="A1093" s="5"/>
      <c r="B1093" s="3" t="str">
        <f t="array" ref="B1093">IFERROR(INDEX(DemandSupply,MATCH(INDEX($AH$1:AH1093,SMALL(ROW($AH$1:AH1093)+(10000*($AH$1:AH1093="")),COUNTA($AH$1:AH1093))),Sectors,0)),"")</f>
        <v>Supply</v>
      </c>
      <c r="E1093" s="10"/>
      <c r="F1093" s="207"/>
      <c r="G1093" s="207"/>
      <c r="H1093" s="207"/>
      <c r="I1093" s="207"/>
      <c r="J1093" s="207"/>
      <c r="K1093" s="207"/>
      <c r="L1093" s="207"/>
      <c r="M1093" s="207"/>
      <c r="N1093" s="207"/>
      <c r="O1093" s="207"/>
      <c r="P1093" s="207"/>
      <c r="Q1093" s="207"/>
      <c r="R1093" s="207"/>
      <c r="S1093" s="207"/>
      <c r="T1093" s="207"/>
      <c r="U1093" s="207"/>
      <c r="V1093" s="207"/>
      <c r="W1093" s="207"/>
      <c r="X1093" s="207"/>
      <c r="Y1093" s="207"/>
      <c r="Z1093" s="207"/>
      <c r="AA1093" s="207"/>
      <c r="AB1093" s="207"/>
      <c r="AC1093" s="5"/>
      <c r="AD1093" s="63"/>
      <c r="AE1093" s="64"/>
      <c r="AF1093" s="64"/>
      <c r="AG1093" s="212"/>
      <c r="AH1093" s="64"/>
      <c r="AI1093" s="64"/>
      <c r="AJ1093" s="227"/>
      <c r="AK1093" s="64"/>
      <c r="AL1093" s="64"/>
      <c r="AM1093" s="64"/>
      <c r="AN1093" s="64"/>
      <c r="AO1093" s="64"/>
      <c r="AP1093" s="63"/>
      <c r="AQ1093" s="64"/>
      <c r="AR1093" s="63"/>
      <c r="AS1093" s="64"/>
      <c r="AT1093" s="63"/>
      <c r="AU1093" s="64"/>
      <c r="AV1093" s="63"/>
      <c r="AW1093" s="64"/>
      <c r="AX1093" s="63"/>
      <c r="AY1093" s="5"/>
      <c r="AZ1093" s="21" t="str">
        <f t="shared" si="737"/>
        <v/>
      </c>
      <c r="BA1093" s="264" t="s">
        <v>407</v>
      </c>
      <c r="BB1093" s="264"/>
      <c r="BC1093" s="264"/>
      <c r="BD1093" s="264" t="s">
        <v>99</v>
      </c>
      <c r="BE1093" s="9" t="s">
        <v>200</v>
      </c>
      <c r="BF1093" s="303"/>
      <c r="BG1093" s="303"/>
      <c r="BH1093" s="303"/>
      <c r="BI1093" s="303"/>
      <c r="BJ1093" s="303"/>
      <c r="BK1093" s="303"/>
      <c r="BL1093" s="303"/>
      <c r="BM1093" s="303"/>
      <c r="BN1093" s="303"/>
      <c r="BO1093" s="303"/>
      <c r="BP1093" s="303"/>
      <c r="BQ1093" s="5"/>
      <c r="BR1093" s="25"/>
      <c r="BS1093" s="5"/>
    </row>
    <row r="1094" spans="1:71" s="3" customFormat="1" x14ac:dyDescent="0.25">
      <c r="A1094" s="5"/>
      <c r="B1094" s="3" t="str">
        <f t="array" ref="B1094">IFERROR(INDEX(DemandSupply,MATCH(INDEX($AH$1:AH1094,SMALL(ROW($AH$1:AH1094)+(10000*($AH$1:AH1094="")),COUNTA($AH$1:AH1094))),Sectors,0)),"")</f>
        <v>Supply</v>
      </c>
      <c r="E1094" s="10"/>
      <c r="F1094" s="207"/>
      <c r="G1094" s="207"/>
      <c r="H1094" s="207"/>
      <c r="I1094" s="207"/>
      <c r="J1094" s="207"/>
      <c r="K1094" s="207"/>
      <c r="L1094" s="207"/>
      <c r="M1094" s="207"/>
      <c r="N1094" s="207"/>
      <c r="O1094" s="207"/>
      <c r="P1094" s="207"/>
      <c r="Q1094" s="207"/>
      <c r="R1094" s="207"/>
      <c r="S1094" s="207"/>
      <c r="T1094" s="207"/>
      <c r="U1094" s="207"/>
      <c r="V1094" s="207"/>
      <c r="W1094" s="207"/>
      <c r="X1094" s="207"/>
      <c r="Y1094" s="207"/>
      <c r="Z1094" s="207"/>
      <c r="AA1094" s="207"/>
      <c r="AB1094" s="207"/>
      <c r="AC1094" s="5"/>
      <c r="AD1094" s="63"/>
      <c r="AE1094" s="64"/>
      <c r="AF1094" s="64"/>
      <c r="AG1094" s="212"/>
      <c r="AH1094" s="64"/>
      <c r="AI1094" s="64"/>
      <c r="AJ1094" s="227"/>
      <c r="AK1094" s="64"/>
      <c r="AL1094" s="64"/>
      <c r="AM1094" s="64"/>
      <c r="AN1094" s="64"/>
      <c r="AO1094" s="64"/>
      <c r="AP1094" s="63"/>
      <c r="AQ1094" s="64"/>
      <c r="AR1094" s="63"/>
      <c r="AS1094" s="64"/>
      <c r="AT1094" s="63"/>
      <c r="AU1094" s="64"/>
      <c r="AV1094" s="63"/>
      <c r="AW1094" s="64"/>
      <c r="AX1094" s="63"/>
      <c r="AY1094" s="5"/>
      <c r="AZ1094" s="21" t="str">
        <f t="shared" si="737"/>
        <v/>
      </c>
      <c r="BA1094" s="264" t="s">
        <v>444</v>
      </c>
      <c r="BB1094" s="264"/>
      <c r="BC1094" s="264"/>
      <c r="BD1094" s="264" t="s">
        <v>354</v>
      </c>
      <c r="BE1094" s="9" t="s">
        <v>200</v>
      </c>
      <c r="BF1094" s="56"/>
      <c r="BG1094" s="56"/>
      <c r="BH1094" s="56"/>
      <c r="BI1094" s="56"/>
      <c r="BJ1094" s="56"/>
      <c r="BK1094" s="56"/>
      <c r="BL1094" s="56"/>
      <c r="BM1094" s="56"/>
      <c r="BN1094" s="56"/>
      <c r="BO1094" s="56"/>
      <c r="BP1094" s="56"/>
      <c r="BQ1094" s="5"/>
      <c r="BR1094" s="25"/>
      <c r="BS1094" s="5"/>
    </row>
    <row r="1095" spans="1:71" s="3" customFormat="1" x14ac:dyDescent="0.25">
      <c r="A1095" s="5"/>
      <c r="B1095" s="3" t="str">
        <f t="array" ref="B1095">IFERROR(INDEX(DemandSupply,MATCH(INDEX($AH$1:AH1095,SMALL(ROW($AH$1:AH1095)+(10000*($AH$1:AH1095="")),COUNTA($AH$1:AH1095))),Sectors,0)),"")</f>
        <v>Supply</v>
      </c>
      <c r="E1095" s="10"/>
      <c r="F1095" s="207"/>
      <c r="G1095" s="207"/>
      <c r="H1095" s="207"/>
      <c r="I1095" s="207"/>
      <c r="J1095" s="207"/>
      <c r="K1095" s="207"/>
      <c r="L1095" s="207"/>
      <c r="M1095" s="207"/>
      <c r="N1095" s="207"/>
      <c r="O1095" s="207"/>
      <c r="P1095" s="207"/>
      <c r="Q1095" s="207"/>
      <c r="R1095" s="207"/>
      <c r="S1095" s="207"/>
      <c r="T1095" s="207"/>
      <c r="U1095" s="207"/>
      <c r="V1095" s="207"/>
      <c r="W1095" s="207"/>
      <c r="X1095" s="207"/>
      <c r="Y1095" s="207"/>
      <c r="Z1095" s="207"/>
      <c r="AA1095" s="207"/>
      <c r="AB1095" s="207"/>
      <c r="AC1095" s="5"/>
      <c r="AD1095" s="63"/>
      <c r="AE1095" s="64"/>
      <c r="AF1095" s="64"/>
      <c r="AG1095" s="212"/>
      <c r="AH1095" s="64"/>
      <c r="AI1095" s="64"/>
      <c r="AJ1095" s="227"/>
      <c r="AK1095" s="64"/>
      <c r="AL1095" s="64"/>
      <c r="AM1095" s="64"/>
      <c r="AN1095" s="64"/>
      <c r="AO1095" s="64"/>
      <c r="AP1095" s="63"/>
      <c r="AQ1095" s="64"/>
      <c r="AR1095" s="63"/>
      <c r="AS1095" s="64"/>
      <c r="AT1095" s="63"/>
      <c r="AU1095" s="64"/>
      <c r="AV1095" s="63"/>
      <c r="AW1095" s="64"/>
      <c r="AX1095" s="63"/>
      <c r="AY1095" s="5"/>
      <c r="AZ1095" s="21" t="str">
        <f t="shared" si="737"/>
        <v/>
      </c>
      <c r="BA1095" s="264" t="s">
        <v>446</v>
      </c>
      <c r="BB1095" s="264"/>
      <c r="BC1095" s="264"/>
      <c r="BD1095" s="264" t="s">
        <v>354</v>
      </c>
      <c r="BE1095" s="9" t="s">
        <v>200</v>
      </c>
      <c r="BF1095" s="56"/>
      <c r="BG1095" s="56"/>
      <c r="BH1095" s="56"/>
      <c r="BI1095" s="56"/>
      <c r="BJ1095" s="56"/>
      <c r="BK1095" s="56"/>
      <c r="BL1095" s="56"/>
      <c r="BM1095" s="56"/>
      <c r="BN1095" s="56"/>
      <c r="BO1095" s="56"/>
      <c r="BP1095" s="56"/>
      <c r="BQ1095" s="5"/>
      <c r="BR1095" s="25"/>
      <c r="BS1095" s="5"/>
    </row>
    <row r="1096" spans="1:71" s="3" customFormat="1" x14ac:dyDescent="0.25">
      <c r="A1096" s="5"/>
      <c r="B1096" s="3" t="str">
        <f t="array" ref="B1096">IFERROR(INDEX(DemandSupply,MATCH(INDEX($AH$1:AH1096,SMALL(ROW($AH$1:AH1096)+(10000*($AH$1:AH1096="")),COUNTA($AH$1:AH1096))),Sectors,0)),"")</f>
        <v>Supply</v>
      </c>
      <c r="E1096" s="10"/>
      <c r="F1096" s="207"/>
      <c r="G1096" s="207"/>
      <c r="H1096" s="207"/>
      <c r="I1096" s="207"/>
      <c r="J1096" s="207"/>
      <c r="K1096" s="207"/>
      <c r="L1096" s="207"/>
      <c r="M1096" s="207"/>
      <c r="N1096" s="207"/>
      <c r="O1096" s="207"/>
      <c r="P1096" s="207"/>
      <c r="Q1096" s="207"/>
      <c r="R1096" s="207"/>
      <c r="S1096" s="207"/>
      <c r="T1096" s="207"/>
      <c r="U1096" s="207"/>
      <c r="V1096" s="207"/>
      <c r="W1096" s="207"/>
      <c r="X1096" s="207"/>
      <c r="Y1096" s="207"/>
      <c r="Z1096" s="207"/>
      <c r="AA1096" s="207"/>
      <c r="AB1096" s="207"/>
      <c r="AC1096" s="5"/>
      <c r="AD1096" s="63"/>
      <c r="AE1096" s="64"/>
      <c r="AF1096" s="64"/>
      <c r="AG1096" s="212"/>
      <c r="AH1096" s="64"/>
      <c r="AI1096" s="64"/>
      <c r="AJ1096" s="227"/>
      <c r="AK1096" s="64"/>
      <c r="AL1096" s="64"/>
      <c r="AM1096" s="64"/>
      <c r="AN1096" s="64"/>
      <c r="AO1096" s="64"/>
      <c r="AP1096" s="63"/>
      <c r="AQ1096" s="64"/>
      <c r="AR1096" s="63"/>
      <c r="AS1096" s="64"/>
      <c r="AT1096" s="63"/>
      <c r="AU1096" s="64"/>
      <c r="AV1096" s="63"/>
      <c r="AW1096" s="64"/>
      <c r="AX1096" s="63"/>
      <c r="AY1096" s="5"/>
      <c r="AZ1096" s="21" t="str">
        <f t="shared" si="737"/>
        <v/>
      </c>
      <c r="BA1096" s="264" t="s">
        <v>447</v>
      </c>
      <c r="BB1096" s="264"/>
      <c r="BC1096" s="264"/>
      <c r="BD1096" s="264"/>
      <c r="BE1096" s="9" t="s">
        <v>200</v>
      </c>
      <c r="BF1096" s="55"/>
      <c r="BG1096" s="55"/>
      <c r="BH1096" s="55"/>
      <c r="BI1096" s="55"/>
      <c r="BJ1096" s="55"/>
      <c r="BK1096" s="55"/>
      <c r="BL1096" s="55"/>
      <c r="BM1096" s="55"/>
      <c r="BN1096" s="55"/>
      <c r="BO1096" s="55"/>
      <c r="BP1096" s="55"/>
      <c r="BQ1096" s="5"/>
      <c r="BR1096" s="25"/>
      <c r="BS1096" s="5"/>
    </row>
    <row r="1097" spans="1:71" s="3" customFormat="1" x14ac:dyDescent="0.25">
      <c r="A1097" s="5"/>
      <c r="B1097" s="3" t="str">
        <f t="array" ref="B1097">IFERROR(INDEX(DemandSupply,MATCH(INDEX($AH$1:AH1097,SMALL(ROW($AH$1:AH1097)+(10000*($AH$1:AH1097="")),COUNTA($AH$1:AH1097))),Sectors,0)),"")</f>
        <v>Supply</v>
      </c>
      <c r="E1097" s="10"/>
      <c r="F1097" s="207"/>
      <c r="G1097" s="207"/>
      <c r="H1097" s="207"/>
      <c r="I1097" s="207"/>
      <c r="J1097" s="207"/>
      <c r="K1097" s="207"/>
      <c r="L1097" s="207"/>
      <c r="M1097" s="207"/>
      <c r="N1097" s="207"/>
      <c r="O1097" s="207"/>
      <c r="P1097" s="207"/>
      <c r="Q1097" s="207"/>
      <c r="R1097" s="207"/>
      <c r="S1097" s="207"/>
      <c r="T1097" s="207"/>
      <c r="U1097" s="207"/>
      <c r="V1097" s="207"/>
      <c r="W1097" s="207"/>
      <c r="X1097" s="207"/>
      <c r="Y1097" s="207"/>
      <c r="Z1097" s="207"/>
      <c r="AA1097" s="207"/>
      <c r="AB1097" s="207"/>
      <c r="AC1097" s="5"/>
      <c r="AD1097" s="63"/>
      <c r="AE1097" s="64"/>
      <c r="AF1097" s="64"/>
      <c r="AG1097" s="212"/>
      <c r="AH1097" s="64"/>
      <c r="AI1097" s="64"/>
      <c r="AJ1097" s="227"/>
      <c r="AK1097" s="64"/>
      <c r="AL1097" s="64"/>
      <c r="AM1097" s="64"/>
      <c r="AN1097" s="64"/>
      <c r="AO1097" s="64"/>
      <c r="AP1097" s="63"/>
      <c r="AQ1097" s="64"/>
      <c r="AR1097" s="63"/>
      <c r="AS1097" s="64"/>
      <c r="AT1097" s="63"/>
      <c r="AU1097" s="64"/>
      <c r="AV1097" s="63"/>
      <c r="AW1097" s="64"/>
      <c r="AX1097" s="63"/>
      <c r="AY1097" s="5"/>
      <c r="AZ1097" s="21" t="str">
        <f t="shared" si="737"/>
        <v/>
      </c>
      <c r="BA1097" s="264" t="s">
        <v>448</v>
      </c>
      <c r="BB1097" s="264"/>
      <c r="BC1097" s="264"/>
      <c r="BD1097" s="264"/>
      <c r="BE1097" s="9" t="s">
        <v>200</v>
      </c>
      <c r="BF1097" s="55"/>
      <c r="BG1097" s="55"/>
      <c r="BH1097" s="55"/>
      <c r="BI1097" s="55"/>
      <c r="BJ1097" s="55"/>
      <c r="BK1097" s="55"/>
      <c r="BL1097" s="55"/>
      <c r="BM1097" s="55"/>
      <c r="BN1097" s="55"/>
      <c r="BO1097" s="55"/>
      <c r="BP1097" s="55"/>
      <c r="BQ1097" s="5"/>
      <c r="BR1097" s="25"/>
      <c r="BS1097" s="5"/>
    </row>
    <row r="1098" spans="1:71" s="3" customFormat="1" x14ac:dyDescent="0.25">
      <c r="A1098" s="5"/>
      <c r="B1098" s="3" t="str">
        <f t="array" ref="B1098">IFERROR(INDEX(DemandSupply,MATCH(INDEX($AH$1:AH1098,SMALL(ROW($AH$1:AH1098)+(10000*($AH$1:AH1098="")),COUNTA($AH$1:AH1098))),Sectors,0)),"")</f>
        <v>Supply</v>
      </c>
      <c r="E1098" s="10"/>
      <c r="F1098" s="207"/>
      <c r="G1098" s="207"/>
      <c r="H1098" s="207"/>
      <c r="I1098" s="207"/>
      <c r="J1098" s="207"/>
      <c r="K1098" s="207"/>
      <c r="L1098" s="207"/>
      <c r="M1098" s="207"/>
      <c r="N1098" s="207"/>
      <c r="O1098" s="207"/>
      <c r="P1098" s="207"/>
      <c r="Q1098" s="207"/>
      <c r="R1098" s="207"/>
      <c r="S1098" s="207"/>
      <c r="T1098" s="207"/>
      <c r="U1098" s="207"/>
      <c r="V1098" s="207"/>
      <c r="W1098" s="207"/>
      <c r="X1098" s="207"/>
      <c r="Y1098" s="207"/>
      <c r="Z1098" s="207"/>
      <c r="AA1098" s="207"/>
      <c r="AB1098" s="207"/>
      <c r="AC1098" s="5"/>
      <c r="AD1098" s="63"/>
      <c r="AE1098" s="64"/>
      <c r="AF1098" s="64"/>
      <c r="AG1098" s="212"/>
      <c r="AH1098" s="64"/>
      <c r="AI1098" s="64"/>
      <c r="AJ1098" s="227"/>
      <c r="AK1098" s="64"/>
      <c r="AL1098" s="64"/>
      <c r="AM1098" s="64"/>
      <c r="AN1098" s="64"/>
      <c r="AO1098" s="64"/>
      <c r="AP1098" s="63"/>
      <c r="AQ1098" s="64"/>
      <c r="AR1098" s="63"/>
      <c r="AS1098" s="64"/>
      <c r="AT1098" s="63"/>
      <c r="AU1098" s="64"/>
      <c r="AV1098" s="63"/>
      <c r="AW1098" s="64"/>
      <c r="AX1098" s="63"/>
      <c r="AY1098" s="5"/>
      <c r="AZ1098" s="21" t="str">
        <f t="shared" si="737"/>
        <v/>
      </c>
      <c r="BA1098" s="264" t="s">
        <v>445</v>
      </c>
      <c r="BB1098" s="264"/>
      <c r="BC1098" s="264"/>
      <c r="BD1098" s="264" t="s">
        <v>370</v>
      </c>
      <c r="BE1098" s="9" t="s">
        <v>200</v>
      </c>
      <c r="BF1098" s="56"/>
      <c r="BG1098" s="56"/>
      <c r="BH1098" s="56"/>
      <c r="BI1098" s="56"/>
      <c r="BJ1098" s="56"/>
      <c r="BK1098" s="56"/>
      <c r="BL1098" s="56"/>
      <c r="BM1098" s="56"/>
      <c r="BN1098" s="56"/>
      <c r="BO1098" s="56"/>
      <c r="BP1098" s="56"/>
      <c r="BQ1098" s="5"/>
      <c r="BR1098" s="25"/>
      <c r="BS1098" s="5"/>
    </row>
    <row r="1099" spans="1:71" s="3" customFormat="1" x14ac:dyDescent="0.25">
      <c r="A1099" s="5"/>
      <c r="B1099" s="3" t="str">
        <f t="array" ref="B1099">IFERROR(INDEX(DemandSupply,MATCH(INDEX($AH$1:AH1099,SMALL(ROW($AH$1:AH1099)+(10000*($AH$1:AH1099="")),COUNTA($AH$1:AH1099))),Sectors,0)),"")</f>
        <v>Supply</v>
      </c>
      <c r="E1099" s="10"/>
      <c r="F1099" s="207"/>
      <c r="G1099" s="207"/>
      <c r="H1099" s="207"/>
      <c r="I1099" s="207"/>
      <c r="J1099" s="207"/>
      <c r="K1099" s="207"/>
      <c r="L1099" s="207"/>
      <c r="M1099" s="207"/>
      <c r="N1099" s="207"/>
      <c r="O1099" s="207"/>
      <c r="P1099" s="207"/>
      <c r="Q1099" s="207"/>
      <c r="R1099" s="207"/>
      <c r="S1099" s="207"/>
      <c r="T1099" s="207"/>
      <c r="U1099" s="207"/>
      <c r="V1099" s="207"/>
      <c r="W1099" s="207"/>
      <c r="X1099" s="207"/>
      <c r="Y1099" s="207"/>
      <c r="Z1099" s="207"/>
      <c r="AA1099" s="207"/>
      <c r="AB1099" s="207"/>
      <c r="AC1099" s="5"/>
      <c r="AD1099" s="63"/>
      <c r="AE1099" s="64"/>
      <c r="AF1099" s="64"/>
      <c r="AG1099" s="212"/>
      <c r="AH1099" s="64"/>
      <c r="AI1099" s="64"/>
      <c r="AJ1099" s="227"/>
      <c r="AK1099" s="64"/>
      <c r="AL1099" s="64"/>
      <c r="AM1099" s="64"/>
      <c r="AN1099" s="64"/>
      <c r="AO1099" s="64"/>
      <c r="AP1099" s="63"/>
      <c r="AQ1099" s="64"/>
      <c r="AR1099" s="63"/>
      <c r="AS1099" s="64"/>
      <c r="AT1099" s="63"/>
      <c r="AU1099" s="64"/>
      <c r="AV1099" s="63"/>
      <c r="AW1099" s="64"/>
      <c r="AX1099" s="63"/>
      <c r="AY1099" s="5"/>
      <c r="AZ1099" s="21" t="str">
        <f t="shared" si="737"/>
        <v/>
      </c>
      <c r="BA1099" s="264" t="s">
        <v>449</v>
      </c>
      <c r="BB1099" s="264"/>
      <c r="BC1099" s="264"/>
      <c r="BD1099" s="264" t="s">
        <v>370</v>
      </c>
      <c r="BE1099" s="9" t="s">
        <v>200</v>
      </c>
      <c r="BF1099" s="56"/>
      <c r="BG1099" s="56"/>
      <c r="BH1099" s="56"/>
      <c r="BI1099" s="56"/>
      <c r="BJ1099" s="56"/>
      <c r="BK1099" s="56"/>
      <c r="BL1099" s="56"/>
      <c r="BM1099" s="56"/>
      <c r="BN1099" s="56"/>
      <c r="BO1099" s="56"/>
      <c r="BP1099" s="56"/>
      <c r="BQ1099" s="5"/>
      <c r="BR1099" s="25"/>
      <c r="BS1099" s="5"/>
    </row>
    <row r="1100" spans="1:71" s="3" customFormat="1" x14ac:dyDescent="0.25">
      <c r="A1100" s="5"/>
      <c r="B1100" s="3" t="str">
        <f t="array" ref="B1100">IFERROR(INDEX(DemandSupply,MATCH(INDEX($AH$1:AH1100,SMALL(ROW($AH$1:AH1100)+(10000*($AH$1:AH1100="")),COUNTA($AH$1:AH1100))),Sectors,0)),"")</f>
        <v>Supply</v>
      </c>
      <c r="E1100" s="10"/>
      <c r="F1100" s="207"/>
      <c r="G1100" s="207"/>
      <c r="H1100" s="207"/>
      <c r="I1100" s="207"/>
      <c r="J1100" s="207"/>
      <c r="K1100" s="207"/>
      <c r="L1100" s="207"/>
      <c r="M1100" s="207"/>
      <c r="N1100" s="207"/>
      <c r="O1100" s="207"/>
      <c r="P1100" s="207"/>
      <c r="Q1100" s="207"/>
      <c r="R1100" s="207"/>
      <c r="S1100" s="207"/>
      <c r="T1100" s="207"/>
      <c r="U1100" s="207"/>
      <c r="V1100" s="207"/>
      <c r="W1100" s="207"/>
      <c r="X1100" s="207"/>
      <c r="Y1100" s="207"/>
      <c r="Z1100" s="207"/>
      <c r="AA1100" s="207"/>
      <c r="AB1100" s="207"/>
      <c r="AC1100" s="5"/>
      <c r="AD1100" s="63"/>
      <c r="AE1100" s="64"/>
      <c r="AF1100" s="64"/>
      <c r="AG1100" s="212"/>
      <c r="AH1100" s="64"/>
      <c r="AI1100" s="64"/>
      <c r="AJ1100" s="227"/>
      <c r="AK1100" s="64"/>
      <c r="AL1100" s="64"/>
      <c r="AM1100" s="64"/>
      <c r="AN1100" s="64"/>
      <c r="AO1100" s="64"/>
      <c r="AP1100" s="63"/>
      <c r="AQ1100" s="64"/>
      <c r="AR1100" s="63"/>
      <c r="AS1100" s="64"/>
      <c r="AT1100" s="63"/>
      <c r="AU1100" s="64"/>
      <c r="AV1100" s="63"/>
      <c r="AW1100" s="64"/>
      <c r="AX1100" s="63"/>
      <c r="AY1100" s="5"/>
      <c r="AZ1100" s="21" t="str">
        <f t="shared" si="737"/>
        <v/>
      </c>
      <c r="BA1100" s="264" t="s">
        <v>450</v>
      </c>
      <c r="BB1100" s="264"/>
      <c r="BC1100" s="264"/>
      <c r="BD1100" s="264"/>
      <c r="BE1100" s="9" t="s">
        <v>200</v>
      </c>
      <c r="BF1100" s="55"/>
      <c r="BG1100" s="55"/>
      <c r="BH1100" s="55"/>
      <c r="BI1100" s="55"/>
      <c r="BJ1100" s="55"/>
      <c r="BK1100" s="55"/>
      <c r="BL1100" s="55"/>
      <c r="BM1100" s="55"/>
      <c r="BN1100" s="55"/>
      <c r="BO1100" s="55"/>
      <c r="BP1100" s="55"/>
      <c r="BQ1100" s="5"/>
      <c r="BR1100" s="25"/>
      <c r="BS1100" s="5"/>
    </row>
    <row r="1101" spans="1:71" s="3" customFormat="1" x14ac:dyDescent="0.25">
      <c r="A1101" s="5"/>
      <c r="B1101" s="3" t="str">
        <f t="array" ref="B1101">IFERROR(INDEX(DemandSupply,MATCH(INDEX($AH$1:AH1101,SMALL(ROW($AH$1:AH1101)+(10000*($AH$1:AH1101="")),COUNTA($AH$1:AH1101))),Sectors,0)),"")</f>
        <v>Supply</v>
      </c>
      <c r="E1101" s="10"/>
      <c r="F1101" s="207"/>
      <c r="G1101" s="207"/>
      <c r="H1101" s="207"/>
      <c r="I1101" s="207"/>
      <c r="J1101" s="207"/>
      <c r="K1101" s="207"/>
      <c r="L1101" s="207"/>
      <c r="M1101" s="207"/>
      <c r="N1101" s="207"/>
      <c r="O1101" s="207"/>
      <c r="P1101" s="207"/>
      <c r="Q1101" s="207"/>
      <c r="R1101" s="207"/>
      <c r="S1101" s="207"/>
      <c r="T1101" s="207"/>
      <c r="U1101" s="207"/>
      <c r="V1101" s="207"/>
      <c r="W1101" s="207"/>
      <c r="X1101" s="207"/>
      <c r="Y1101" s="207"/>
      <c r="Z1101" s="207"/>
      <c r="AA1101" s="207"/>
      <c r="AB1101" s="207"/>
      <c r="AC1101" s="5"/>
      <c r="AD1101" s="63"/>
      <c r="AE1101" s="64"/>
      <c r="AF1101" s="64"/>
      <c r="AG1101" s="212"/>
      <c r="AH1101" s="64"/>
      <c r="AI1101" s="64"/>
      <c r="AJ1101" s="227"/>
      <c r="AK1101" s="64"/>
      <c r="AL1101" s="64"/>
      <c r="AM1101" s="64"/>
      <c r="AN1101" s="64"/>
      <c r="AO1101" s="64"/>
      <c r="AP1101" s="63"/>
      <c r="AQ1101" s="64"/>
      <c r="AR1101" s="63"/>
      <c r="AS1101" s="64"/>
      <c r="AT1101" s="63"/>
      <c r="AU1101" s="64"/>
      <c r="AV1101" s="63"/>
      <c r="AW1101" s="64"/>
      <c r="AX1101" s="63"/>
      <c r="AY1101" s="5"/>
      <c r="AZ1101" s="21" t="str">
        <f t="shared" si="737"/>
        <v/>
      </c>
      <c r="BA1101" s="264" t="s">
        <v>451</v>
      </c>
      <c r="BB1101" s="264"/>
      <c r="BC1101" s="264"/>
      <c r="BD1101" s="264"/>
      <c r="BE1101" s="9" t="s">
        <v>200</v>
      </c>
      <c r="BF1101" s="55"/>
      <c r="BG1101" s="55"/>
      <c r="BH1101" s="55"/>
      <c r="BI1101" s="55"/>
      <c r="BJ1101" s="55"/>
      <c r="BK1101" s="55"/>
      <c r="BL1101" s="55"/>
      <c r="BM1101" s="55"/>
      <c r="BN1101" s="55"/>
      <c r="BO1101" s="55"/>
      <c r="BP1101" s="55"/>
      <c r="BQ1101" s="5"/>
      <c r="BR1101" s="25"/>
      <c r="BS1101" s="5"/>
    </row>
    <row r="1102" spans="1:71" s="3" customFormat="1" x14ac:dyDescent="0.25">
      <c r="A1102" s="5"/>
      <c r="B1102" s="3" t="str">
        <f t="array" ref="B1102">IFERROR(INDEX(DemandSupply,MATCH(INDEX($AH$1:AH1102,SMALL(ROW($AH$1:AH1102)+(10000*($AH$1:AH1102="")),COUNTA($AH$1:AH1102))),Sectors,0)),"")</f>
        <v>Supply</v>
      </c>
      <c r="E1102" s="10"/>
      <c r="F1102" s="207"/>
      <c r="G1102" s="207"/>
      <c r="H1102" s="207"/>
      <c r="I1102" s="207"/>
      <c r="J1102" s="207"/>
      <c r="K1102" s="207"/>
      <c r="L1102" s="207"/>
      <c r="M1102" s="207"/>
      <c r="N1102" s="207"/>
      <c r="O1102" s="207"/>
      <c r="P1102" s="207"/>
      <c r="Q1102" s="207"/>
      <c r="R1102" s="207"/>
      <c r="S1102" s="207"/>
      <c r="T1102" s="207"/>
      <c r="U1102" s="207"/>
      <c r="V1102" s="207"/>
      <c r="W1102" s="207"/>
      <c r="X1102" s="207"/>
      <c r="Y1102" s="207"/>
      <c r="Z1102" s="207"/>
      <c r="AA1102" s="207"/>
      <c r="AB1102" s="207"/>
      <c r="AC1102" s="5"/>
      <c r="AD1102" s="63"/>
      <c r="AE1102" s="64"/>
      <c r="AF1102" s="64"/>
      <c r="AG1102" s="212"/>
      <c r="AH1102" s="64"/>
      <c r="AI1102" s="64"/>
      <c r="AJ1102" s="227"/>
      <c r="AK1102" s="64"/>
      <c r="AL1102" s="64"/>
      <c r="AM1102" s="64"/>
      <c r="AN1102" s="64"/>
      <c r="AO1102" s="64"/>
      <c r="AP1102" s="63"/>
      <c r="AQ1102" s="64"/>
      <c r="AR1102" s="63"/>
      <c r="AS1102" s="64"/>
      <c r="AT1102" s="63"/>
      <c r="AU1102" s="64"/>
      <c r="AV1102" s="63"/>
      <c r="AW1102" s="64"/>
      <c r="AX1102" s="63"/>
      <c r="AY1102" s="5"/>
      <c r="AZ1102" s="21" t="str">
        <f t="shared" si="737"/>
        <v/>
      </c>
      <c r="BA1102" s="264" t="s">
        <v>342</v>
      </c>
      <c r="BB1102" s="264"/>
      <c r="BC1102" s="264"/>
      <c r="BD1102" s="264" t="s">
        <v>370</v>
      </c>
      <c r="BE1102" s="9" t="s">
        <v>200</v>
      </c>
      <c r="BF1102" s="56">
        <v>4000000</v>
      </c>
      <c r="BG1102" s="282">
        <f t="shared" ref="BG1102:BP1102" si="757">BF1102</f>
        <v>4000000</v>
      </c>
      <c r="BH1102" s="282">
        <f t="shared" si="757"/>
        <v>4000000</v>
      </c>
      <c r="BI1102" s="282">
        <f t="shared" si="757"/>
        <v>4000000</v>
      </c>
      <c r="BJ1102" s="282">
        <f t="shared" si="757"/>
        <v>4000000</v>
      </c>
      <c r="BK1102" s="282">
        <f t="shared" si="757"/>
        <v>4000000</v>
      </c>
      <c r="BL1102" s="282">
        <f t="shared" si="757"/>
        <v>4000000</v>
      </c>
      <c r="BM1102" s="282">
        <f t="shared" si="757"/>
        <v>4000000</v>
      </c>
      <c r="BN1102" s="282">
        <f t="shared" si="757"/>
        <v>4000000</v>
      </c>
      <c r="BO1102" s="282">
        <f t="shared" si="757"/>
        <v>4000000</v>
      </c>
      <c r="BP1102" s="282">
        <f t="shared" si="757"/>
        <v>4000000</v>
      </c>
      <c r="BQ1102" s="5"/>
      <c r="BR1102" s="25"/>
      <c r="BS1102" s="5"/>
    </row>
    <row r="1103" spans="1:71" s="3" customFormat="1" x14ac:dyDescent="0.25">
      <c r="A1103" s="5"/>
      <c r="B1103" s="3" t="str">
        <f t="array" ref="B1103">IFERROR(INDEX(DemandSupply,MATCH(INDEX($AH$1:AH1103,SMALL(ROW($AH$1:AH1103)+(10000*($AH$1:AH1103="")),COUNTA($AH$1:AH1103))),Sectors,0)),"")</f>
        <v>Supply</v>
      </c>
      <c r="E1103" s="10"/>
      <c r="F1103" s="207"/>
      <c r="G1103" s="207"/>
      <c r="H1103" s="207"/>
      <c r="I1103" s="207"/>
      <c r="J1103" s="207"/>
      <c r="K1103" s="207"/>
      <c r="L1103" s="207"/>
      <c r="M1103" s="207"/>
      <c r="N1103" s="207"/>
      <c r="O1103" s="207"/>
      <c r="P1103" s="207"/>
      <c r="Q1103" s="207"/>
      <c r="R1103" s="207"/>
      <c r="S1103" s="207"/>
      <c r="T1103" s="207"/>
      <c r="U1103" s="207"/>
      <c r="V1103" s="207"/>
      <c r="W1103" s="207"/>
      <c r="X1103" s="207"/>
      <c r="Y1103" s="207"/>
      <c r="Z1103" s="207"/>
      <c r="AA1103" s="207"/>
      <c r="AB1103" s="207"/>
      <c r="AC1103" s="5"/>
      <c r="AD1103" s="63"/>
      <c r="AE1103" s="64"/>
      <c r="AF1103" s="64"/>
      <c r="AG1103" s="212"/>
      <c r="AH1103" s="64"/>
      <c r="AI1103" s="64"/>
      <c r="AJ1103" s="227"/>
      <c r="AK1103" s="64"/>
      <c r="AL1103" s="64"/>
      <c r="AM1103" s="64"/>
      <c r="AN1103" s="64"/>
      <c r="AO1103" s="64"/>
      <c r="AP1103" s="63"/>
      <c r="AQ1103" s="64"/>
      <c r="AR1103" s="63"/>
      <c r="AS1103" s="64"/>
      <c r="AT1103" s="63"/>
      <c r="AU1103" s="64"/>
      <c r="AV1103" s="63"/>
      <c r="AW1103" s="64"/>
      <c r="AX1103" s="63"/>
      <c r="AY1103" s="5"/>
      <c r="AZ1103" s="21" t="str">
        <f t="shared" si="737"/>
        <v/>
      </c>
      <c r="BA1103" s="264" t="s">
        <v>394</v>
      </c>
      <c r="BB1103" s="264"/>
      <c r="BC1103" s="264"/>
      <c r="BD1103" s="264" t="s">
        <v>354</v>
      </c>
      <c r="BE1103" s="9" t="s">
        <v>200</v>
      </c>
      <c r="BF1103" s="56"/>
      <c r="BG1103" s="56"/>
      <c r="BH1103" s="56"/>
      <c r="BI1103" s="56"/>
      <c r="BJ1103" s="56"/>
      <c r="BK1103" s="56"/>
      <c r="BL1103" s="56"/>
      <c r="BM1103" s="56"/>
      <c r="BN1103" s="56"/>
      <c r="BO1103" s="56"/>
      <c r="BP1103" s="56"/>
      <c r="BQ1103" s="5"/>
      <c r="BR1103" s="25"/>
      <c r="BS1103" s="5"/>
    </row>
    <row r="1104" spans="1:71" s="3" customFormat="1" x14ac:dyDescent="0.25">
      <c r="A1104" s="5"/>
      <c r="B1104" s="3" t="str">
        <f t="array" ref="B1104">IFERROR(INDEX(DemandSupply,MATCH(INDEX($AH$1:AH1104,SMALL(ROW($AH$1:AH1104)+(10000*($AH$1:AH1104="")),COUNTA($AH$1:AH1104))),Sectors,0)),"")</f>
        <v>Supply</v>
      </c>
      <c r="E1104" s="10">
        <f t="shared" si="694"/>
        <v>0</v>
      </c>
      <c r="F1104" s="207">
        <v>1</v>
      </c>
      <c r="G1104" s="207">
        <v>1</v>
      </c>
      <c r="H1104" s="207">
        <v>1</v>
      </c>
      <c r="I1104" s="207">
        <v>1</v>
      </c>
      <c r="J1104" s="207">
        <v>1</v>
      </c>
      <c r="K1104" s="207">
        <v>1</v>
      </c>
      <c r="L1104" s="207">
        <v>1</v>
      </c>
      <c r="M1104" s="207">
        <v>1</v>
      </c>
      <c r="N1104" s="207">
        <v>1</v>
      </c>
      <c r="O1104" s="207">
        <v>1</v>
      </c>
      <c r="P1104" s="207">
        <v>1</v>
      </c>
      <c r="Q1104" s="207">
        <v>1</v>
      </c>
      <c r="R1104" s="207">
        <v>1</v>
      </c>
      <c r="S1104" s="207">
        <v>1</v>
      </c>
      <c r="T1104" s="207">
        <v>1</v>
      </c>
      <c r="U1104" s="207">
        <v>1</v>
      </c>
      <c r="V1104" s="207">
        <v>1</v>
      </c>
      <c r="W1104" s="207">
        <v>1</v>
      </c>
      <c r="X1104" s="207">
        <v>1</v>
      </c>
      <c r="Y1104" s="207">
        <v>1</v>
      </c>
      <c r="Z1104" s="207">
        <v>1</v>
      </c>
      <c r="AA1104" s="207">
        <v>1</v>
      </c>
      <c r="AB1104" s="207">
        <v>1</v>
      </c>
      <c r="AC1104" s="5"/>
      <c r="AD1104" s="63"/>
      <c r="AE1104" s="64"/>
      <c r="AF1104" s="64"/>
      <c r="AG1104" s="212"/>
      <c r="AH1104" s="64"/>
      <c r="AI1104" s="65"/>
      <c r="AJ1104" s="227"/>
      <c r="AK1104" s="65"/>
      <c r="AL1104" s="64"/>
      <c r="AM1104" s="64"/>
      <c r="AN1104" s="64"/>
      <c r="AO1104" s="64"/>
      <c r="AP1104" s="63"/>
      <c r="AQ1104" s="64"/>
      <c r="AR1104" s="63"/>
      <c r="AS1104" s="64"/>
      <c r="AT1104" s="63"/>
      <c r="AU1104" s="64"/>
      <c r="AV1104" s="63"/>
      <c r="AW1104" s="64"/>
      <c r="AX1104" s="63"/>
      <c r="AY1104" s="5"/>
      <c r="AZ1104" s="21" t="str">
        <f t="shared" si="737"/>
        <v/>
      </c>
      <c r="BA1104" s="74" t="s">
        <v>338</v>
      </c>
      <c r="BB1104" s="13"/>
      <c r="BC1104" s="3" t="s">
        <v>282</v>
      </c>
      <c r="BD1104" s="2" t="s">
        <v>384</v>
      </c>
      <c r="BE1104" s="9" t="s">
        <v>200</v>
      </c>
      <c r="BF1104" s="55">
        <f>1/0.35</f>
        <v>2.8571428571428572</v>
      </c>
      <c r="BG1104" s="316">
        <f t="shared" ref="BG1104:BG1105" si="758">BF1104</f>
        <v>2.8571428571428572</v>
      </c>
      <c r="BH1104" s="316">
        <f t="shared" ref="BH1104:BH1105" si="759">BG1104</f>
        <v>2.8571428571428572</v>
      </c>
      <c r="BI1104" s="316">
        <f t="shared" ref="BI1104:BI1105" si="760">BH1104</f>
        <v>2.8571428571428572</v>
      </c>
      <c r="BJ1104" s="316">
        <f t="shared" ref="BJ1104:BJ1105" si="761">BI1104</f>
        <v>2.8571428571428572</v>
      </c>
      <c r="BK1104" s="316">
        <f t="shared" ref="BK1104:BK1105" si="762">BJ1104</f>
        <v>2.8571428571428572</v>
      </c>
      <c r="BL1104" s="316">
        <f t="shared" ref="BL1104:BL1105" si="763">BK1104</f>
        <v>2.8571428571428572</v>
      </c>
      <c r="BM1104" s="316">
        <f t="shared" ref="BM1104:BM1105" si="764">BL1104</f>
        <v>2.8571428571428572</v>
      </c>
      <c r="BN1104" s="316">
        <f t="shared" ref="BN1104:BN1105" si="765">BM1104</f>
        <v>2.8571428571428572</v>
      </c>
      <c r="BO1104" s="316">
        <f t="shared" ref="BO1104:BO1105" si="766">BN1104</f>
        <v>2.8571428571428572</v>
      </c>
      <c r="BP1104" s="316">
        <f t="shared" ref="BP1104:BP1105" si="767">BO1104</f>
        <v>2.8571428571428572</v>
      </c>
      <c r="BQ1104" s="5"/>
      <c r="BR1104" s="13"/>
      <c r="BS1104" s="5"/>
    </row>
    <row r="1105" spans="1:71" s="3" customFormat="1" x14ac:dyDescent="0.25">
      <c r="A1105" s="5"/>
      <c r="B1105" s="3" t="str">
        <f t="array" ref="B1105">IFERROR(INDEX(DemandSupply,MATCH(INDEX($AH$1:AH1105,SMALL(ROW($AH$1:AH1105)+(10000*($AH$1:AH1105="")),COUNTA($AH$1:AH1105))),Sectors,0)),"")</f>
        <v>Supply</v>
      </c>
      <c r="E1105" s="10">
        <f t="shared" si="694"/>
        <v>0</v>
      </c>
      <c r="F1105" s="207">
        <v>1</v>
      </c>
      <c r="G1105" s="207">
        <v>1</v>
      </c>
      <c r="H1105" s="207">
        <v>1</v>
      </c>
      <c r="I1105" s="207">
        <v>1</v>
      </c>
      <c r="J1105" s="207">
        <v>1</v>
      </c>
      <c r="K1105" s="207">
        <v>1</v>
      </c>
      <c r="L1105" s="207">
        <v>1</v>
      </c>
      <c r="M1105" s="207">
        <v>1</v>
      </c>
      <c r="N1105" s="207">
        <v>1</v>
      </c>
      <c r="O1105" s="207">
        <v>1</v>
      </c>
      <c r="P1105" s="207">
        <v>1</v>
      </c>
      <c r="Q1105" s="207">
        <v>1</v>
      </c>
      <c r="R1105" s="207">
        <v>1</v>
      </c>
      <c r="S1105" s="207">
        <v>1</v>
      </c>
      <c r="T1105" s="207">
        <v>1</v>
      </c>
      <c r="U1105" s="207">
        <v>1</v>
      </c>
      <c r="V1105" s="207">
        <v>1</v>
      </c>
      <c r="W1105" s="207">
        <v>1</v>
      </c>
      <c r="X1105" s="207">
        <v>1</v>
      </c>
      <c r="Y1105" s="207">
        <v>1</v>
      </c>
      <c r="Z1105" s="207">
        <v>1</v>
      </c>
      <c r="AA1105" s="207">
        <v>1</v>
      </c>
      <c r="AB1105" s="207">
        <v>1</v>
      </c>
      <c r="AC1105" s="5"/>
      <c r="AD1105" s="63"/>
      <c r="AE1105" s="64"/>
      <c r="AF1105" s="64"/>
      <c r="AG1105" s="212"/>
      <c r="AH1105" s="64"/>
      <c r="AI1105" s="65"/>
      <c r="AJ1105" s="227"/>
      <c r="AK1105" s="65"/>
      <c r="AL1105" s="64"/>
      <c r="AM1105" s="64"/>
      <c r="AN1105" s="63"/>
      <c r="AO1105" s="64"/>
      <c r="AP1105" s="63"/>
      <c r="AQ1105" s="64"/>
      <c r="AR1105" s="63"/>
      <c r="AS1105" s="64"/>
      <c r="AT1105" s="63"/>
      <c r="AU1105" s="64"/>
      <c r="AV1105" s="63"/>
      <c r="AW1105" s="64"/>
      <c r="AX1105" s="63"/>
      <c r="AY1105" s="5"/>
      <c r="AZ1105" s="21" t="str">
        <f t="shared" si="737"/>
        <v/>
      </c>
      <c r="BA1105" s="74" t="s">
        <v>338</v>
      </c>
      <c r="BB1105" s="13"/>
      <c r="BC1105" s="3" t="s">
        <v>372</v>
      </c>
      <c r="BD1105" s="2" t="s">
        <v>385</v>
      </c>
      <c r="BE1105" s="9" t="s">
        <v>200</v>
      </c>
      <c r="BF1105" s="55">
        <v>1</v>
      </c>
      <c r="BG1105" s="316">
        <f t="shared" si="758"/>
        <v>1</v>
      </c>
      <c r="BH1105" s="316">
        <f t="shared" si="759"/>
        <v>1</v>
      </c>
      <c r="BI1105" s="316">
        <f t="shared" si="760"/>
        <v>1</v>
      </c>
      <c r="BJ1105" s="316">
        <f t="shared" si="761"/>
        <v>1</v>
      </c>
      <c r="BK1105" s="316">
        <f t="shared" si="762"/>
        <v>1</v>
      </c>
      <c r="BL1105" s="316">
        <f t="shared" si="763"/>
        <v>1</v>
      </c>
      <c r="BM1105" s="316">
        <f t="shared" si="764"/>
        <v>1</v>
      </c>
      <c r="BN1105" s="316">
        <f t="shared" si="765"/>
        <v>1</v>
      </c>
      <c r="BO1105" s="316">
        <f t="shared" si="766"/>
        <v>1</v>
      </c>
      <c r="BP1105" s="316">
        <f t="shared" si="767"/>
        <v>1</v>
      </c>
      <c r="BQ1105" s="5"/>
      <c r="BR1105" s="13"/>
      <c r="BS1105" s="5"/>
    </row>
    <row r="1106" spans="1:71" s="3" customFormat="1" x14ac:dyDescent="0.25">
      <c r="A1106" s="5"/>
      <c r="B1106" s="3" t="str">
        <f t="array" ref="B1106">IFERROR(INDEX(DemandSupply,MATCH(INDEX($AH$1:AH1106,SMALL(ROW($AH$1:AH1106)+(10000*($AH$1:AH1106="")),COUNTA($AH$1:AH1106))),Sectors,0)),"")</f>
        <v>Supply</v>
      </c>
      <c r="E1106" s="10">
        <f t="shared" si="694"/>
        <v>1</v>
      </c>
      <c r="F1106" s="207">
        <v>1</v>
      </c>
      <c r="G1106" s="207">
        <v>1</v>
      </c>
      <c r="H1106" s="207">
        <v>1</v>
      </c>
      <c r="I1106" s="207">
        <v>1</v>
      </c>
      <c r="J1106" s="207">
        <v>1</v>
      </c>
      <c r="K1106" s="207">
        <v>1</v>
      </c>
      <c r="L1106" s="207">
        <v>1</v>
      </c>
      <c r="M1106" s="207">
        <v>1</v>
      </c>
      <c r="N1106" s="207">
        <v>1</v>
      </c>
      <c r="O1106" s="207">
        <v>1</v>
      </c>
      <c r="P1106" s="207">
        <v>1</v>
      </c>
      <c r="Q1106" s="207">
        <v>1</v>
      </c>
      <c r="R1106" s="207">
        <v>1</v>
      </c>
      <c r="S1106" s="207">
        <v>1</v>
      </c>
      <c r="T1106" s="207">
        <v>1</v>
      </c>
      <c r="U1106" s="207">
        <v>1</v>
      </c>
      <c r="V1106" s="207">
        <v>1</v>
      </c>
      <c r="W1106" s="207">
        <v>1</v>
      </c>
      <c r="X1106" s="207">
        <v>1</v>
      </c>
      <c r="Y1106" s="207">
        <v>1</v>
      </c>
      <c r="Z1106" s="207">
        <v>1</v>
      </c>
      <c r="AA1106" s="207">
        <v>1</v>
      </c>
      <c r="AB1106" s="207">
        <v>1</v>
      </c>
      <c r="AC1106" s="5"/>
      <c r="AD1106" s="63"/>
      <c r="AE1106" s="64"/>
      <c r="AF1106" s="64"/>
      <c r="AG1106" s="212"/>
      <c r="AH1106" s="64"/>
      <c r="AI1106" s="65"/>
      <c r="AJ1106" s="227"/>
      <c r="AK1106" s="65"/>
      <c r="AL1106" s="64"/>
      <c r="AM1106" s="64"/>
      <c r="AN1106" s="63"/>
      <c r="AO1106" s="64"/>
      <c r="AP1106" s="63"/>
      <c r="AQ1106" s="64"/>
      <c r="AR1106" s="63"/>
      <c r="AS1106" s="64"/>
      <c r="AT1106" s="63"/>
      <c r="AU1106" s="64"/>
      <c r="AV1106" s="63"/>
      <c r="AW1106" s="64"/>
      <c r="AX1106" s="63"/>
      <c r="AY1106" s="5"/>
      <c r="AZ1106" s="21" t="str">
        <f t="shared" si="737"/>
        <v/>
      </c>
      <c r="BA1106" s="2"/>
      <c r="BB1106" s="13"/>
      <c r="BC1106" s="2"/>
      <c r="BD1106" s="2"/>
      <c r="BE1106" s="16"/>
      <c r="BF1106" s="4"/>
      <c r="BG1106" s="4"/>
      <c r="BH1106" s="4"/>
      <c r="BI1106" s="4"/>
      <c r="BJ1106" s="4"/>
      <c r="BK1106" s="4"/>
      <c r="BL1106" s="4"/>
      <c r="BM1106" s="4"/>
      <c r="BN1106" s="4"/>
      <c r="BO1106" s="4"/>
      <c r="BP1106" s="4"/>
      <c r="BQ1106" s="5"/>
      <c r="BR1106" s="13"/>
      <c r="BS1106" s="5"/>
    </row>
    <row r="1107" spans="1:71" s="3" customFormat="1" x14ac:dyDescent="0.25">
      <c r="A1107" s="5"/>
      <c r="B1107" s="3" t="str">
        <f t="array" ref="B1107">IFERROR(INDEX(DemandSupply,MATCH(INDEX($AH$1:AH1107,SMALL(ROW($AH$1:AH1107)+(10000*($AH$1:AH1107="")),COUNTA($AH$1:AH1107))),Sectors,0)),"")</f>
        <v>Supply</v>
      </c>
      <c r="E1107" s="10"/>
      <c r="F1107" s="207"/>
      <c r="G1107" s="207"/>
      <c r="H1107" s="207"/>
      <c r="I1107" s="207"/>
      <c r="J1107" s="207"/>
      <c r="K1107" s="207"/>
      <c r="L1107" s="207"/>
      <c r="M1107" s="207"/>
      <c r="N1107" s="207"/>
      <c r="O1107" s="207"/>
      <c r="P1107" s="207"/>
      <c r="Q1107" s="207"/>
      <c r="R1107" s="207"/>
      <c r="S1107" s="207"/>
      <c r="T1107" s="207"/>
      <c r="U1107" s="207"/>
      <c r="V1107" s="207"/>
      <c r="W1107" s="207"/>
      <c r="X1107" s="207"/>
      <c r="Y1107" s="207"/>
      <c r="Z1107" s="207"/>
      <c r="AA1107" s="207"/>
      <c r="AB1107" s="207"/>
      <c r="AC1107" s="5"/>
      <c r="AD1107" s="63"/>
      <c r="AE1107" s="64"/>
      <c r="AF1107" s="64"/>
      <c r="AG1107" s="212"/>
      <c r="AH1107" s="64"/>
      <c r="AI1107" s="65"/>
      <c r="AJ1107" s="23" t="s">
        <v>373</v>
      </c>
      <c r="AK1107" s="65"/>
      <c r="AL1107" s="64"/>
      <c r="AM1107" s="64"/>
      <c r="AN1107" s="63"/>
      <c r="AO1107" s="64"/>
      <c r="AP1107" s="63"/>
      <c r="AQ1107" s="64"/>
      <c r="AR1107" s="63"/>
      <c r="AS1107" s="64"/>
      <c r="AT1107" s="63"/>
      <c r="AU1107" s="64"/>
      <c r="AV1107" s="63"/>
      <c r="AW1107" s="64"/>
      <c r="AX1107" s="63"/>
      <c r="AY1107" s="5"/>
      <c r="AZ1107" s="208" t="str">
        <f t="shared" si="737"/>
        <v>Transmission Losses</v>
      </c>
      <c r="BA1107" s="2"/>
      <c r="BB1107" s="13"/>
      <c r="BC1107" s="2"/>
      <c r="BD1107" s="2"/>
      <c r="BE1107" s="16"/>
      <c r="BF1107" s="4"/>
      <c r="BG1107" s="4"/>
      <c r="BH1107" s="4"/>
      <c r="BI1107" s="4"/>
      <c r="BJ1107" s="4"/>
      <c r="BK1107" s="4"/>
      <c r="BL1107" s="4"/>
      <c r="BM1107" s="4"/>
      <c r="BN1107" s="4"/>
      <c r="BO1107" s="4"/>
      <c r="BP1107" s="4"/>
      <c r="BQ1107" s="5"/>
      <c r="BR1107" s="13"/>
      <c r="BS1107" s="5"/>
    </row>
    <row r="1108" spans="1:71" s="3" customFormat="1" x14ac:dyDescent="0.25">
      <c r="A1108" s="5"/>
      <c r="B1108" s="3" t="str">
        <f t="array" ref="B1108">IFERROR(INDEX(DemandSupply,MATCH(INDEX($AH$1:AH1108,SMALL(ROW($AH$1:AH1108)+(10000*($AH$1:AH1108="")),COUNTA($AH$1:AH1108))),Sectors,0)),"")</f>
        <v>Supply</v>
      </c>
      <c r="E1108" s="10"/>
      <c r="F1108" s="207"/>
      <c r="G1108" s="207"/>
      <c r="H1108" s="207"/>
      <c r="I1108" s="207"/>
      <c r="J1108" s="207"/>
      <c r="K1108" s="207"/>
      <c r="L1108" s="207">
        <v>1</v>
      </c>
      <c r="M1108" s="207"/>
      <c r="N1108" s="207"/>
      <c r="O1108" s="207"/>
      <c r="P1108" s="207"/>
      <c r="Q1108" s="207"/>
      <c r="R1108" s="207"/>
      <c r="S1108" s="207"/>
      <c r="T1108" s="207"/>
      <c r="U1108" s="207"/>
      <c r="V1108" s="207"/>
      <c r="W1108" s="207"/>
      <c r="X1108" s="207"/>
      <c r="Y1108" s="207"/>
      <c r="Z1108" s="207"/>
      <c r="AA1108" s="207"/>
      <c r="AB1108" s="207"/>
      <c r="AC1108" s="5"/>
      <c r="AD1108" s="63"/>
      <c r="AE1108" s="64"/>
      <c r="AF1108" s="64"/>
      <c r="AG1108" s="212"/>
      <c r="AH1108" s="64"/>
      <c r="AI1108" s="65"/>
      <c r="AJ1108" s="64"/>
      <c r="AK1108" s="65"/>
      <c r="AL1108" s="64"/>
      <c r="AM1108" s="64"/>
      <c r="AN1108" s="63"/>
      <c r="AO1108" s="64"/>
      <c r="AP1108" s="63"/>
      <c r="AQ1108" s="64"/>
      <c r="AR1108" s="63"/>
      <c r="AS1108" s="64"/>
      <c r="AT1108" s="63"/>
      <c r="AU1108" s="64"/>
      <c r="AV1108" s="63"/>
      <c r="AW1108" s="64"/>
      <c r="AX1108" s="63"/>
      <c r="AY1108" s="5"/>
      <c r="AZ1108" s="21" t="str">
        <f t="shared" si="737"/>
        <v/>
      </c>
      <c r="BA1108" s="2" t="s">
        <v>337</v>
      </c>
      <c r="BB1108" s="13"/>
      <c r="BC1108" s="2" t="s">
        <v>372</v>
      </c>
      <c r="BD1108" s="2" t="s">
        <v>353</v>
      </c>
      <c r="BE1108" s="216" t="str">
        <f>AZ1107</f>
        <v>Transmission Losses</v>
      </c>
      <c r="BF1108" s="56"/>
      <c r="BG1108" s="56"/>
      <c r="BH1108" s="56"/>
      <c r="BI1108" s="56"/>
      <c r="BJ1108" s="56"/>
      <c r="BK1108" s="56"/>
      <c r="BL1108" s="56"/>
      <c r="BM1108" s="56"/>
      <c r="BN1108" s="56"/>
      <c r="BO1108" s="56"/>
      <c r="BP1108" s="56"/>
      <c r="BQ1108" s="5"/>
      <c r="BR1108" s="13"/>
      <c r="BS1108" s="5"/>
    </row>
    <row r="1109" spans="1:71" s="3" customFormat="1" x14ac:dyDescent="0.25">
      <c r="A1109" s="5"/>
      <c r="B1109" s="3" t="str">
        <f t="array" ref="B1109">IFERROR(INDEX(DemandSupply,MATCH(INDEX($AH$1:AH1109,SMALL(ROW($AH$1:AH1109)+(10000*($AH$1:AH1109="")),COUNTA($AH$1:AH1109))),Sectors,0)),"")</f>
        <v>Supply</v>
      </c>
      <c r="E1109" s="10"/>
      <c r="F1109" s="207"/>
      <c r="G1109" s="207"/>
      <c r="H1109" s="207"/>
      <c r="I1109" s="207"/>
      <c r="J1109" s="207"/>
      <c r="K1109" s="207"/>
      <c r="L1109" s="207"/>
      <c r="M1109" s="207"/>
      <c r="N1109" s="207"/>
      <c r="O1109" s="207"/>
      <c r="P1109" s="207"/>
      <c r="Q1109" s="207"/>
      <c r="R1109" s="207"/>
      <c r="S1109" s="207"/>
      <c r="T1109" s="207"/>
      <c r="U1109" s="207"/>
      <c r="V1109" s="207"/>
      <c r="W1109" s="207"/>
      <c r="X1109" s="207"/>
      <c r="Y1109" s="207"/>
      <c r="Z1109" s="207"/>
      <c r="AA1109" s="207"/>
      <c r="AB1109" s="207"/>
      <c r="AC1109" s="5"/>
      <c r="AD1109" s="63"/>
      <c r="AE1109" s="64"/>
      <c r="AF1109" s="64"/>
      <c r="AG1109" s="212"/>
      <c r="AH1109" s="64"/>
      <c r="AI1109" s="65"/>
      <c r="AJ1109" s="64"/>
      <c r="AK1109" s="65"/>
      <c r="AL1109" s="64"/>
      <c r="AM1109" s="64"/>
      <c r="AN1109" s="63"/>
      <c r="AO1109" s="64"/>
      <c r="AP1109" s="63"/>
      <c r="AQ1109" s="64"/>
      <c r="AR1109" s="63"/>
      <c r="AS1109" s="64"/>
      <c r="AT1109" s="63"/>
      <c r="AU1109" s="64"/>
      <c r="AV1109" s="63"/>
      <c r="AW1109" s="64"/>
      <c r="AX1109" s="63"/>
      <c r="AY1109" s="5"/>
      <c r="AZ1109" s="21" t="str">
        <f t="shared" si="737"/>
        <v/>
      </c>
      <c r="BA1109" s="2" t="s">
        <v>47</v>
      </c>
      <c r="BB1109" s="13"/>
      <c r="BC1109" s="2"/>
      <c r="BD1109" s="2"/>
      <c r="BE1109" s="16" t="s">
        <v>21</v>
      </c>
      <c r="BF1109" s="139"/>
      <c r="BG1109" s="139"/>
      <c r="BH1109" s="139"/>
      <c r="BI1109" s="139"/>
      <c r="BJ1109" s="139"/>
      <c r="BK1109" s="139"/>
      <c r="BL1109" s="139"/>
      <c r="BM1109" s="139"/>
      <c r="BN1109" s="139"/>
      <c r="BO1109" s="139"/>
      <c r="BP1109" s="139"/>
      <c r="BQ1109" s="5"/>
      <c r="BR1109" s="13"/>
      <c r="BS1109" s="5"/>
    </row>
    <row r="1110" spans="1:71" s="3" customFormat="1" x14ac:dyDescent="0.25">
      <c r="A1110" s="5"/>
      <c r="B1110" s="3" t="str">
        <f t="array" ref="B1110">IFERROR(INDEX(DemandSupply,MATCH(INDEX($AH$1:AH1110,SMALL(ROW($AH$1:AH1110)+(10000*($AH$1:AH1110="")),COUNTA($AH$1:AH1110))),Sectors,0)),"")</f>
        <v>Supply</v>
      </c>
      <c r="E1110" s="10"/>
      <c r="F1110" s="207"/>
      <c r="G1110" s="207"/>
      <c r="H1110" s="207"/>
      <c r="I1110" s="207"/>
      <c r="J1110" s="207"/>
      <c r="K1110" s="207"/>
      <c r="L1110" s="207"/>
      <c r="M1110" s="207"/>
      <c r="N1110" s="207"/>
      <c r="O1110" s="207"/>
      <c r="P1110" s="207"/>
      <c r="Q1110" s="207"/>
      <c r="R1110" s="207"/>
      <c r="S1110" s="207"/>
      <c r="T1110" s="207"/>
      <c r="U1110" s="207"/>
      <c r="V1110" s="207"/>
      <c r="W1110" s="207"/>
      <c r="X1110" s="207"/>
      <c r="Y1110" s="207"/>
      <c r="Z1110" s="207"/>
      <c r="AA1110" s="207"/>
      <c r="AB1110" s="207"/>
      <c r="AC1110" s="5"/>
      <c r="AD1110" s="63"/>
      <c r="AE1110" s="64"/>
      <c r="AF1110" s="64"/>
      <c r="AG1110" s="212"/>
      <c r="AH1110" s="64"/>
      <c r="AI1110" s="65"/>
      <c r="AJ1110" s="64"/>
      <c r="AK1110" s="65"/>
      <c r="AL1110" s="64"/>
      <c r="AM1110" s="64"/>
      <c r="AN1110" s="64"/>
      <c r="AO1110" s="64"/>
      <c r="AP1110" s="63"/>
      <c r="AQ1110" s="64"/>
      <c r="AR1110" s="63"/>
      <c r="AS1110" s="64"/>
      <c r="AT1110" s="63"/>
      <c r="AU1110" s="64"/>
      <c r="AV1110" s="63"/>
      <c r="AW1110" s="64"/>
      <c r="AX1110" s="63"/>
      <c r="AY1110" s="5"/>
      <c r="AZ1110" s="21" t="str">
        <f t="shared" si="737"/>
        <v/>
      </c>
      <c r="BA1110" s="2" t="s">
        <v>66</v>
      </c>
      <c r="BB1110" s="13"/>
      <c r="BC1110" s="2"/>
      <c r="BD1110" s="2"/>
      <c r="BE1110" s="16" t="s">
        <v>35</v>
      </c>
      <c r="BF1110" s="246">
        <v>10</v>
      </c>
      <c r="BG1110" s="139"/>
      <c r="BH1110" s="139"/>
      <c r="BI1110" s="139"/>
      <c r="BJ1110" s="139"/>
      <c r="BK1110" s="139"/>
      <c r="BL1110" s="139"/>
      <c r="BM1110" s="139"/>
      <c r="BN1110" s="139"/>
      <c r="BO1110" s="139"/>
      <c r="BP1110" s="139"/>
      <c r="BQ1110" s="5"/>
      <c r="BR1110" s="13"/>
      <c r="BS1110" s="5"/>
    </row>
    <row r="1111" spans="1:71" s="3" customFormat="1" x14ac:dyDescent="0.25">
      <c r="A1111" s="5"/>
      <c r="B1111" s="3" t="str">
        <f t="array" ref="B1111">IFERROR(INDEX(DemandSupply,MATCH(INDEX($AH$1:AH1111,SMALL(ROW($AH$1:AH1111)+(10000*($AH$1:AH1111="")),COUNTA($AH$1:AH1111))),Sectors,0)),"")</f>
        <v>Supply</v>
      </c>
      <c r="E1111" s="10"/>
      <c r="F1111" s="207"/>
      <c r="G1111" s="207"/>
      <c r="H1111" s="207"/>
      <c r="I1111" s="207"/>
      <c r="J1111" s="207"/>
      <c r="K1111" s="207"/>
      <c r="L1111" s="207"/>
      <c r="M1111" s="207"/>
      <c r="N1111" s="207"/>
      <c r="O1111" s="207"/>
      <c r="P1111" s="207"/>
      <c r="Q1111" s="207"/>
      <c r="R1111" s="207"/>
      <c r="S1111" s="207"/>
      <c r="T1111" s="207"/>
      <c r="U1111" s="207"/>
      <c r="V1111" s="207"/>
      <c r="W1111" s="207"/>
      <c r="X1111" s="207"/>
      <c r="Y1111" s="207"/>
      <c r="Z1111" s="207"/>
      <c r="AA1111" s="207"/>
      <c r="AB1111" s="207"/>
      <c r="AC1111" s="5"/>
      <c r="AD1111" s="63"/>
      <c r="AE1111" s="64"/>
      <c r="AF1111" s="64"/>
      <c r="AG1111" s="212"/>
      <c r="AH1111" s="64"/>
      <c r="AI1111" s="65"/>
      <c r="AJ1111" s="64"/>
      <c r="AK1111" s="65"/>
      <c r="AL1111" s="64"/>
      <c r="AM1111" s="64"/>
      <c r="AN1111" s="64"/>
      <c r="AO1111" s="64"/>
      <c r="AP1111" s="63"/>
      <c r="AQ1111" s="64"/>
      <c r="AR1111" s="63"/>
      <c r="AS1111" s="64"/>
      <c r="AT1111" s="63"/>
      <c r="AU1111" s="64"/>
      <c r="AV1111" s="63"/>
      <c r="AW1111" s="64"/>
      <c r="AX1111" s="63"/>
      <c r="AY1111" s="5"/>
      <c r="AZ1111" s="21" t="str">
        <f t="shared" si="737"/>
        <v/>
      </c>
      <c r="BA1111" s="2" t="s">
        <v>343</v>
      </c>
      <c r="BB1111" s="13"/>
      <c r="BC1111" s="2"/>
      <c r="BD1111" s="2" t="s">
        <v>99</v>
      </c>
      <c r="BE1111" s="9" t="s">
        <v>41</v>
      </c>
      <c r="BF1111" s="307">
        <v>0.25</v>
      </c>
      <c r="BG1111" s="303"/>
      <c r="BH1111" s="303"/>
      <c r="BI1111" s="303"/>
      <c r="BJ1111" s="303"/>
      <c r="BK1111" s="303"/>
      <c r="BL1111" s="303"/>
      <c r="BM1111" s="303"/>
      <c r="BN1111" s="303"/>
      <c r="BO1111" s="303"/>
      <c r="BP1111" s="303"/>
      <c r="BQ1111" s="5"/>
      <c r="BR1111" s="13"/>
      <c r="BS1111" s="5"/>
    </row>
    <row r="1112" spans="1:71" s="3" customFormat="1" x14ac:dyDescent="0.25">
      <c r="A1112" s="5"/>
      <c r="B1112" s="3" t="str">
        <f t="array" ref="B1112">IFERROR(INDEX(DemandSupply,MATCH(INDEX($AH$1:AH1112,SMALL(ROW($AH$1:AH1112)+(10000*($AH$1:AH1112="")),COUNTA($AH$1:AH1112))),Sectors,0)),"")</f>
        <v>Supply</v>
      </c>
      <c r="E1112" s="10"/>
      <c r="F1112" s="207"/>
      <c r="G1112" s="207"/>
      <c r="H1112" s="207"/>
      <c r="I1112" s="207"/>
      <c r="J1112" s="207"/>
      <c r="K1112" s="207"/>
      <c r="L1112" s="207">
        <v>1</v>
      </c>
      <c r="M1112" s="207"/>
      <c r="N1112" s="207"/>
      <c r="O1112" s="207"/>
      <c r="P1112" s="207"/>
      <c r="Q1112" s="207"/>
      <c r="R1112" s="207"/>
      <c r="S1112" s="207"/>
      <c r="T1112" s="207"/>
      <c r="U1112" s="207"/>
      <c r="V1112" s="207"/>
      <c r="W1112" s="207"/>
      <c r="X1112" s="207"/>
      <c r="Y1112" s="207"/>
      <c r="Z1112" s="207"/>
      <c r="AA1112" s="207"/>
      <c r="AB1112" s="207"/>
      <c r="AC1112" s="5"/>
      <c r="AD1112" s="63"/>
      <c r="AE1112" s="64"/>
      <c r="AF1112" s="64"/>
      <c r="AG1112" s="212"/>
      <c r="AH1112" s="64"/>
      <c r="AI1112" s="65"/>
      <c r="AJ1112" s="64"/>
      <c r="AK1112" s="65"/>
      <c r="AL1112" s="64"/>
      <c r="AM1112" s="64"/>
      <c r="AN1112" s="64"/>
      <c r="AO1112" s="64"/>
      <c r="AP1112" s="63"/>
      <c r="AQ1112" s="64"/>
      <c r="AR1112" s="63"/>
      <c r="AS1112" s="64"/>
      <c r="AT1112" s="63"/>
      <c r="AU1112" s="64"/>
      <c r="AV1112" s="63"/>
      <c r="AW1112" s="64"/>
      <c r="AX1112" s="63"/>
      <c r="AY1112" s="5"/>
      <c r="AZ1112" s="21" t="str">
        <f t="shared" si="737"/>
        <v/>
      </c>
      <c r="BA1112" s="293" t="s">
        <v>51</v>
      </c>
      <c r="BB1112" s="13"/>
      <c r="BC1112" s="2"/>
      <c r="BD1112" s="2"/>
      <c r="BE1112" s="9" t="s">
        <v>373</v>
      </c>
      <c r="BF1112" s="247"/>
      <c r="BG1112" s="4"/>
      <c r="BH1112" s="4"/>
      <c r="BI1112" s="4"/>
      <c r="BJ1112" s="4"/>
      <c r="BK1112" s="4"/>
      <c r="BL1112" s="4"/>
      <c r="BM1112" s="4"/>
      <c r="BN1112" s="4"/>
      <c r="BO1112" s="4"/>
      <c r="BP1112" s="4"/>
      <c r="BQ1112" s="5"/>
      <c r="BR1112" s="13"/>
      <c r="BS1112" s="5"/>
    </row>
    <row r="1113" spans="1:71" s="3" customFormat="1" x14ac:dyDescent="0.25">
      <c r="A1113" s="5"/>
      <c r="B1113" s="3" t="str">
        <f t="array" ref="B1113">IFERROR(INDEX(DemandSupply,MATCH(INDEX($AH$1:AH1113,SMALL(ROW($AH$1:AH1113)+(10000*($AH$1:AH1113="")),COUNTA($AH$1:AH1113))),Sectors,0)),"")</f>
        <v>Supply</v>
      </c>
      <c r="E1113" s="10"/>
      <c r="F1113" s="207"/>
      <c r="G1113" s="207"/>
      <c r="H1113" s="207"/>
      <c r="I1113" s="207"/>
      <c r="J1113" s="207"/>
      <c r="K1113" s="207"/>
      <c r="L1113" s="207"/>
      <c r="M1113" s="207"/>
      <c r="N1113" s="207"/>
      <c r="O1113" s="207"/>
      <c r="P1113" s="207"/>
      <c r="Q1113" s="207"/>
      <c r="R1113" s="207"/>
      <c r="S1113" s="207"/>
      <c r="T1113" s="207"/>
      <c r="U1113" s="207"/>
      <c r="V1113" s="207"/>
      <c r="W1113" s="207"/>
      <c r="X1113" s="207"/>
      <c r="Y1113" s="207"/>
      <c r="Z1113" s="207"/>
      <c r="AA1113" s="207"/>
      <c r="AB1113" s="207"/>
      <c r="AC1113" s="5"/>
      <c r="AD1113" s="63"/>
      <c r="AE1113" s="64"/>
      <c r="AF1113" s="64"/>
      <c r="AG1113" s="212"/>
      <c r="AH1113" s="64"/>
      <c r="AI1113" s="64"/>
      <c r="AJ1113" s="64"/>
      <c r="AK1113" s="64"/>
      <c r="AL1113" s="64"/>
      <c r="AM1113" s="64"/>
      <c r="AN1113" s="64"/>
      <c r="AO1113" s="64"/>
      <c r="AP1113" s="63"/>
      <c r="AQ1113" s="64"/>
      <c r="AR1113" s="63"/>
      <c r="AS1113" s="64"/>
      <c r="AT1113" s="63"/>
      <c r="AU1113" s="64"/>
      <c r="AV1113" s="63"/>
      <c r="AW1113" s="64"/>
      <c r="AX1113" s="63"/>
      <c r="AY1113" s="5"/>
      <c r="AZ1113" s="21" t="str">
        <f t="shared" si="737"/>
        <v/>
      </c>
      <c r="BA1113" s="264" t="s">
        <v>38</v>
      </c>
      <c r="BB1113" s="264"/>
      <c r="BC1113" s="264"/>
      <c r="BD1113" s="264" t="s">
        <v>40</v>
      </c>
      <c r="BE1113" s="9" t="s">
        <v>373</v>
      </c>
      <c r="BF1113" s="309">
        <v>2000</v>
      </c>
      <c r="BG1113" s="312">
        <f t="shared" ref="BG1113:BP1113" si="768">BF1113</f>
        <v>2000</v>
      </c>
      <c r="BH1113" s="312">
        <f t="shared" si="768"/>
        <v>2000</v>
      </c>
      <c r="BI1113" s="312">
        <f t="shared" si="768"/>
        <v>2000</v>
      </c>
      <c r="BJ1113" s="312">
        <f t="shared" si="768"/>
        <v>2000</v>
      </c>
      <c r="BK1113" s="312">
        <f t="shared" si="768"/>
        <v>2000</v>
      </c>
      <c r="BL1113" s="312">
        <f t="shared" si="768"/>
        <v>2000</v>
      </c>
      <c r="BM1113" s="312">
        <f t="shared" si="768"/>
        <v>2000</v>
      </c>
      <c r="BN1113" s="312">
        <f t="shared" si="768"/>
        <v>2000</v>
      </c>
      <c r="BO1113" s="312">
        <f t="shared" si="768"/>
        <v>2000</v>
      </c>
      <c r="BP1113" s="312">
        <f t="shared" si="768"/>
        <v>2000</v>
      </c>
      <c r="BQ1113" s="5"/>
      <c r="BR1113" s="25"/>
      <c r="BS1113" s="5"/>
    </row>
    <row r="1114" spans="1:71" s="3" customFormat="1" x14ac:dyDescent="0.25">
      <c r="A1114" s="5"/>
      <c r="B1114" s="3" t="str">
        <f t="array" ref="B1114">IFERROR(INDEX(DemandSupply,MATCH(INDEX($AH$1:AH1114,SMALL(ROW($AH$1:AH1114)+(10000*($AH$1:AH1114="")),COUNTA($AH$1:AH1114))),Sectors,0)),"")</f>
        <v>Supply</v>
      </c>
      <c r="E1114" s="10"/>
      <c r="F1114" s="207"/>
      <c r="G1114" s="207"/>
      <c r="H1114" s="207"/>
      <c r="I1114" s="207"/>
      <c r="J1114" s="207"/>
      <c r="K1114" s="207"/>
      <c r="L1114" s="207"/>
      <c r="M1114" s="207"/>
      <c r="N1114" s="207"/>
      <c r="O1114" s="207"/>
      <c r="P1114" s="207"/>
      <c r="Q1114" s="207"/>
      <c r="R1114" s="207"/>
      <c r="S1114" s="207"/>
      <c r="T1114" s="207"/>
      <c r="U1114" s="207"/>
      <c r="V1114" s="207"/>
      <c r="W1114" s="207"/>
      <c r="X1114" s="207"/>
      <c r="Y1114" s="207"/>
      <c r="Z1114" s="207"/>
      <c r="AA1114" s="207"/>
      <c r="AB1114" s="207"/>
      <c r="AC1114" s="5"/>
      <c r="AD1114" s="63"/>
      <c r="AE1114" s="64"/>
      <c r="AF1114" s="64"/>
      <c r="AG1114" s="212"/>
      <c r="AH1114" s="64"/>
      <c r="AI1114" s="64"/>
      <c r="AJ1114" s="64"/>
      <c r="AK1114" s="64"/>
      <c r="AL1114" s="64"/>
      <c r="AM1114" s="64"/>
      <c r="AN1114" s="64"/>
      <c r="AO1114" s="64"/>
      <c r="AP1114" s="63"/>
      <c r="AQ1114" s="64"/>
      <c r="AR1114" s="63"/>
      <c r="AS1114" s="64"/>
      <c r="AT1114" s="63"/>
      <c r="AU1114" s="64"/>
      <c r="AV1114" s="63"/>
      <c r="AW1114" s="64"/>
      <c r="AX1114" s="63"/>
      <c r="AY1114" s="5"/>
      <c r="AZ1114" s="21" t="str">
        <f t="shared" si="737"/>
        <v/>
      </c>
      <c r="BA1114" s="264" t="s">
        <v>37</v>
      </c>
      <c r="BB1114" s="264"/>
      <c r="BC1114" s="264"/>
      <c r="BD1114" s="264" t="s">
        <v>40</v>
      </c>
      <c r="BE1114" s="9" t="s">
        <v>373</v>
      </c>
      <c r="BF1114" s="309">
        <v>2100</v>
      </c>
      <c r="BG1114" s="312">
        <f t="shared" ref="BG1114:BP1117" si="769">BF1114</f>
        <v>2100</v>
      </c>
      <c r="BH1114" s="312">
        <f t="shared" si="769"/>
        <v>2100</v>
      </c>
      <c r="BI1114" s="312">
        <f t="shared" si="769"/>
        <v>2100</v>
      </c>
      <c r="BJ1114" s="312">
        <f t="shared" si="769"/>
        <v>2100</v>
      </c>
      <c r="BK1114" s="312">
        <f t="shared" si="769"/>
        <v>2100</v>
      </c>
      <c r="BL1114" s="312">
        <f t="shared" si="769"/>
        <v>2100</v>
      </c>
      <c r="BM1114" s="312">
        <f t="shared" si="769"/>
        <v>2100</v>
      </c>
      <c r="BN1114" s="312">
        <f t="shared" si="769"/>
        <v>2100</v>
      </c>
      <c r="BO1114" s="312">
        <f t="shared" si="769"/>
        <v>2100</v>
      </c>
      <c r="BP1114" s="312">
        <f t="shared" si="769"/>
        <v>2100</v>
      </c>
      <c r="BQ1114" s="5"/>
      <c r="BR1114" s="25"/>
      <c r="BS1114" s="5"/>
    </row>
    <row r="1115" spans="1:71" s="3" customFormat="1" x14ac:dyDescent="0.25">
      <c r="A1115" s="5"/>
      <c r="B1115" s="3" t="str">
        <f t="array" ref="B1115">IFERROR(INDEX(DemandSupply,MATCH(INDEX($AH$1:AH1115,SMALL(ROW($AH$1:AH1115)+(10000*($AH$1:AH1115="")),COUNTA($AH$1:AH1115))),Sectors,0)),"")</f>
        <v>Supply</v>
      </c>
      <c r="E1115" s="10"/>
      <c r="F1115" s="207"/>
      <c r="G1115" s="207"/>
      <c r="H1115" s="207"/>
      <c r="I1115" s="207"/>
      <c r="J1115" s="207"/>
      <c r="K1115" s="207"/>
      <c r="L1115" s="207"/>
      <c r="M1115" s="207"/>
      <c r="N1115" s="207"/>
      <c r="O1115" s="207"/>
      <c r="P1115" s="207"/>
      <c r="Q1115" s="207"/>
      <c r="R1115" s="207"/>
      <c r="S1115" s="207"/>
      <c r="T1115" s="207"/>
      <c r="U1115" s="207"/>
      <c r="V1115" s="207"/>
      <c r="W1115" s="207"/>
      <c r="X1115" s="207"/>
      <c r="Y1115" s="207"/>
      <c r="Z1115" s="207"/>
      <c r="AA1115" s="207"/>
      <c r="AB1115" s="207"/>
      <c r="AC1115" s="5"/>
      <c r="AD1115" s="63"/>
      <c r="AE1115" s="64"/>
      <c r="AF1115" s="64"/>
      <c r="AG1115" s="212"/>
      <c r="AH1115" s="64"/>
      <c r="AI1115" s="64"/>
      <c r="AJ1115" s="64"/>
      <c r="AK1115" s="64"/>
      <c r="AL1115" s="64"/>
      <c r="AM1115" s="64"/>
      <c r="AN1115" s="64"/>
      <c r="AO1115" s="64"/>
      <c r="AP1115" s="63"/>
      <c r="AQ1115" s="64"/>
      <c r="AR1115" s="63"/>
      <c r="AS1115" s="64"/>
      <c r="AT1115" s="63"/>
      <c r="AU1115" s="64"/>
      <c r="AV1115" s="63"/>
      <c r="AW1115" s="64"/>
      <c r="AX1115" s="63"/>
      <c r="AY1115" s="5"/>
      <c r="AZ1115" s="21" t="str">
        <f t="shared" si="737"/>
        <v/>
      </c>
      <c r="BA1115" s="264" t="s">
        <v>39</v>
      </c>
      <c r="BB1115" s="264"/>
      <c r="BC1115" s="264"/>
      <c r="BD1115" s="264" t="s">
        <v>10</v>
      </c>
      <c r="BE1115" s="9" t="s">
        <v>373</v>
      </c>
      <c r="BF1115" s="56">
        <v>50</v>
      </c>
      <c r="BG1115" s="282">
        <f t="shared" si="769"/>
        <v>50</v>
      </c>
      <c r="BH1115" s="282">
        <f t="shared" si="769"/>
        <v>50</v>
      </c>
      <c r="BI1115" s="282">
        <f t="shared" si="769"/>
        <v>50</v>
      </c>
      <c r="BJ1115" s="282">
        <f t="shared" si="769"/>
        <v>50</v>
      </c>
      <c r="BK1115" s="282">
        <f t="shared" si="769"/>
        <v>50</v>
      </c>
      <c r="BL1115" s="282">
        <f t="shared" si="769"/>
        <v>50</v>
      </c>
      <c r="BM1115" s="282">
        <f t="shared" si="769"/>
        <v>50</v>
      </c>
      <c r="BN1115" s="282">
        <f t="shared" si="769"/>
        <v>50</v>
      </c>
      <c r="BO1115" s="282">
        <f t="shared" si="769"/>
        <v>50</v>
      </c>
      <c r="BP1115" s="282">
        <f t="shared" si="769"/>
        <v>50</v>
      </c>
      <c r="BQ1115" s="5"/>
      <c r="BR1115" s="25"/>
      <c r="BS1115" s="5"/>
    </row>
    <row r="1116" spans="1:71" s="3" customFormat="1" x14ac:dyDescent="0.25">
      <c r="A1116" s="5"/>
      <c r="B1116" s="3" t="str">
        <f t="array" ref="B1116">IFERROR(INDEX(DemandSupply,MATCH(INDEX($AH$1:AH1116,SMALL(ROW($AH$1:AH1116)+(10000*($AH$1:AH1116="")),COUNTA($AH$1:AH1116))),Sectors,0)),"")</f>
        <v>Supply</v>
      </c>
      <c r="E1116" s="10"/>
      <c r="F1116" s="207"/>
      <c r="G1116" s="207"/>
      <c r="H1116" s="207"/>
      <c r="I1116" s="207"/>
      <c r="J1116" s="207"/>
      <c r="K1116" s="207"/>
      <c r="L1116" s="207"/>
      <c r="M1116" s="207"/>
      <c r="N1116" s="207"/>
      <c r="O1116" s="207"/>
      <c r="P1116" s="207"/>
      <c r="Q1116" s="207"/>
      <c r="R1116" s="207"/>
      <c r="S1116" s="207"/>
      <c r="T1116" s="207"/>
      <c r="U1116" s="207"/>
      <c r="V1116" s="207"/>
      <c r="W1116" s="207"/>
      <c r="X1116" s="207"/>
      <c r="Y1116" s="207"/>
      <c r="Z1116" s="207"/>
      <c r="AA1116" s="207"/>
      <c r="AB1116" s="207"/>
      <c r="AC1116" s="5"/>
      <c r="AD1116" s="63"/>
      <c r="AE1116" s="64"/>
      <c r="AF1116" s="64"/>
      <c r="AG1116" s="212"/>
      <c r="AH1116" s="64"/>
      <c r="AI1116" s="64"/>
      <c r="AJ1116" s="64"/>
      <c r="AK1116" s="64"/>
      <c r="AL1116" s="64"/>
      <c r="AM1116" s="64"/>
      <c r="AN1116" s="64"/>
      <c r="AO1116" s="64"/>
      <c r="AP1116" s="63"/>
      <c r="AQ1116" s="64"/>
      <c r="AR1116" s="63"/>
      <c r="AS1116" s="64"/>
      <c r="AT1116" s="63"/>
      <c r="AU1116" s="64"/>
      <c r="AV1116" s="63"/>
      <c r="AW1116" s="64"/>
      <c r="AX1116" s="63"/>
      <c r="AY1116" s="5"/>
      <c r="AZ1116" s="21" t="str">
        <f t="shared" si="737"/>
        <v/>
      </c>
      <c r="BA1116" s="264" t="s">
        <v>395</v>
      </c>
      <c r="BB1116" s="264"/>
      <c r="BC1116" s="264"/>
      <c r="BD1116" s="264" t="s">
        <v>10</v>
      </c>
      <c r="BE1116" s="9" t="s">
        <v>373</v>
      </c>
      <c r="BF1116" s="56"/>
      <c r="BG1116" s="56"/>
      <c r="BH1116" s="56"/>
      <c r="BI1116" s="56"/>
      <c r="BJ1116" s="56"/>
      <c r="BK1116" s="56"/>
      <c r="BL1116" s="56"/>
      <c r="BM1116" s="56"/>
      <c r="BN1116" s="56"/>
      <c r="BO1116" s="56"/>
      <c r="BP1116" s="56"/>
      <c r="BQ1116" s="5"/>
      <c r="BR1116" s="25"/>
      <c r="BS1116" s="5"/>
    </row>
    <row r="1117" spans="1:71" s="3" customFormat="1" x14ac:dyDescent="0.25">
      <c r="A1117" s="5"/>
      <c r="B1117" s="3" t="str">
        <f t="array" ref="B1117">IFERROR(INDEX(DemandSupply,MATCH(INDEX($AH$1:AH1117,SMALL(ROW($AH$1:AH1117)+(10000*($AH$1:AH1117="")),COUNTA($AH$1:AH1117))),Sectors,0)),"")</f>
        <v>Supply</v>
      </c>
      <c r="E1117" s="10"/>
      <c r="F1117" s="207"/>
      <c r="G1117" s="207"/>
      <c r="H1117" s="207"/>
      <c r="I1117" s="207"/>
      <c r="J1117" s="207"/>
      <c r="K1117" s="207"/>
      <c r="L1117" s="207"/>
      <c r="M1117" s="207"/>
      <c r="N1117" s="207"/>
      <c r="O1117" s="207"/>
      <c r="P1117" s="207"/>
      <c r="Q1117" s="207"/>
      <c r="R1117" s="207"/>
      <c r="S1117" s="207"/>
      <c r="T1117" s="207"/>
      <c r="U1117" s="207"/>
      <c r="V1117" s="207"/>
      <c r="W1117" s="207"/>
      <c r="X1117" s="207"/>
      <c r="Y1117" s="207"/>
      <c r="Z1117" s="207"/>
      <c r="AA1117" s="207"/>
      <c r="AB1117" s="207"/>
      <c r="AC1117" s="5"/>
      <c r="AD1117" s="63"/>
      <c r="AE1117" s="64"/>
      <c r="AF1117" s="64"/>
      <c r="AG1117" s="212"/>
      <c r="AH1117" s="64"/>
      <c r="AI1117" s="64"/>
      <c r="AJ1117" s="64"/>
      <c r="AK1117" s="64"/>
      <c r="AL1117" s="64"/>
      <c r="AM1117" s="64"/>
      <c r="AN1117" s="64"/>
      <c r="AO1117" s="64"/>
      <c r="AP1117" s="63"/>
      <c r="AQ1117" s="64"/>
      <c r="AR1117" s="63"/>
      <c r="AS1117" s="64"/>
      <c r="AT1117" s="63"/>
      <c r="AU1117" s="64"/>
      <c r="AV1117" s="63"/>
      <c r="AW1117" s="64"/>
      <c r="AX1117" s="63"/>
      <c r="AY1117" s="5"/>
      <c r="AZ1117" s="21" t="str">
        <f t="shared" ref="AZ1117:AZ1180" si="770">IFERROR(INDEX($AD1117:$AX1117,MATCH(TRUE,INDEX(($AD1117:$AX1117&lt;&gt;0),0),0)),"")</f>
        <v/>
      </c>
      <c r="BA1117" s="264" t="s">
        <v>341</v>
      </c>
      <c r="BB1117" s="264"/>
      <c r="BC1117" s="264"/>
      <c r="BD1117" s="264" t="s">
        <v>99</v>
      </c>
      <c r="BE1117" s="9" t="s">
        <v>373</v>
      </c>
      <c r="BF1117" s="307">
        <v>0.125</v>
      </c>
      <c r="BG1117" s="306">
        <f t="shared" si="769"/>
        <v>0.125</v>
      </c>
      <c r="BH1117" s="306">
        <f t="shared" si="769"/>
        <v>0.125</v>
      </c>
      <c r="BI1117" s="306">
        <f t="shared" si="769"/>
        <v>0.125</v>
      </c>
      <c r="BJ1117" s="306">
        <f t="shared" si="769"/>
        <v>0.125</v>
      </c>
      <c r="BK1117" s="306">
        <f t="shared" si="769"/>
        <v>0.125</v>
      </c>
      <c r="BL1117" s="306">
        <f t="shared" si="769"/>
        <v>0.125</v>
      </c>
      <c r="BM1117" s="306">
        <f t="shared" si="769"/>
        <v>0.125</v>
      </c>
      <c r="BN1117" s="306">
        <f t="shared" si="769"/>
        <v>0.125</v>
      </c>
      <c r="BO1117" s="306">
        <f t="shared" si="769"/>
        <v>0.125</v>
      </c>
      <c r="BP1117" s="306">
        <f t="shared" si="769"/>
        <v>0.125</v>
      </c>
      <c r="BQ1117" s="5"/>
      <c r="BR1117" s="25"/>
      <c r="BS1117" s="5"/>
    </row>
    <row r="1118" spans="1:71" s="3" customFormat="1" x14ac:dyDescent="0.25">
      <c r="A1118" s="5"/>
      <c r="B1118" s="3" t="str">
        <f t="array" ref="B1118">IFERROR(INDEX(DemandSupply,MATCH(INDEX($AH$1:AH1118,SMALL(ROW($AH$1:AH1118)+(10000*($AH$1:AH1118="")),COUNTA($AH$1:AH1118))),Sectors,0)),"")</f>
        <v>Supply</v>
      </c>
      <c r="E1118" s="10"/>
      <c r="F1118" s="207"/>
      <c r="G1118" s="207"/>
      <c r="H1118" s="207"/>
      <c r="I1118" s="207"/>
      <c r="J1118" s="207"/>
      <c r="K1118" s="207"/>
      <c r="L1118" s="207"/>
      <c r="M1118" s="207"/>
      <c r="N1118" s="207"/>
      <c r="O1118" s="207"/>
      <c r="P1118" s="207"/>
      <c r="Q1118" s="207"/>
      <c r="R1118" s="207"/>
      <c r="S1118" s="207"/>
      <c r="T1118" s="207"/>
      <c r="U1118" s="207"/>
      <c r="V1118" s="207"/>
      <c r="W1118" s="207"/>
      <c r="X1118" s="207"/>
      <c r="Y1118" s="207"/>
      <c r="Z1118" s="207"/>
      <c r="AA1118" s="207"/>
      <c r="AB1118" s="207"/>
      <c r="AC1118" s="5"/>
      <c r="AD1118" s="63"/>
      <c r="AE1118" s="64"/>
      <c r="AF1118" s="64"/>
      <c r="AG1118" s="212"/>
      <c r="AH1118" s="64"/>
      <c r="AI1118" s="64"/>
      <c r="AJ1118" s="64"/>
      <c r="AK1118" s="64"/>
      <c r="AL1118" s="64"/>
      <c r="AM1118" s="64"/>
      <c r="AN1118" s="64"/>
      <c r="AO1118" s="64"/>
      <c r="AP1118" s="63"/>
      <c r="AQ1118" s="64"/>
      <c r="AR1118" s="63"/>
      <c r="AS1118" s="64"/>
      <c r="AT1118" s="63"/>
      <c r="AU1118" s="64"/>
      <c r="AV1118" s="63"/>
      <c r="AW1118" s="64"/>
      <c r="AX1118" s="63"/>
      <c r="AY1118" s="5"/>
      <c r="AZ1118" s="21" t="str">
        <f t="shared" si="770"/>
        <v/>
      </c>
      <c r="BA1118" s="264" t="s">
        <v>392</v>
      </c>
      <c r="BB1118" s="264"/>
      <c r="BC1118" s="264"/>
      <c r="BD1118" s="264" t="s">
        <v>99</v>
      </c>
      <c r="BE1118" s="9" t="s">
        <v>373</v>
      </c>
      <c r="BF1118" s="303"/>
      <c r="BG1118" s="303"/>
      <c r="BH1118" s="303"/>
      <c r="BI1118" s="303"/>
      <c r="BJ1118" s="303"/>
      <c r="BK1118" s="303"/>
      <c r="BL1118" s="303"/>
      <c r="BM1118" s="303"/>
      <c r="BN1118" s="303"/>
      <c r="BO1118" s="303"/>
      <c r="BP1118" s="303"/>
      <c r="BQ1118" s="5"/>
      <c r="BR1118" s="25"/>
      <c r="BS1118" s="5"/>
    </row>
    <row r="1119" spans="1:71" s="3" customFormat="1" x14ac:dyDescent="0.25">
      <c r="A1119" s="5"/>
      <c r="B1119" s="3" t="str">
        <f t="array" ref="B1119">IFERROR(INDEX(DemandSupply,MATCH(INDEX($AH$1:AH1119,SMALL(ROW($AH$1:AH1119)+(10000*($AH$1:AH1119="")),COUNTA($AH$1:AH1119))),Sectors,0)),"")</f>
        <v>Supply</v>
      </c>
      <c r="E1119" s="10"/>
      <c r="F1119" s="207"/>
      <c r="G1119" s="207"/>
      <c r="H1119" s="207"/>
      <c r="I1119" s="207"/>
      <c r="J1119" s="207"/>
      <c r="K1119" s="207"/>
      <c r="L1119" s="207"/>
      <c r="M1119" s="207"/>
      <c r="N1119" s="207"/>
      <c r="O1119" s="207"/>
      <c r="P1119" s="207"/>
      <c r="Q1119" s="207"/>
      <c r="R1119" s="207"/>
      <c r="S1119" s="207"/>
      <c r="T1119" s="207"/>
      <c r="U1119" s="207"/>
      <c r="V1119" s="207"/>
      <c r="W1119" s="207"/>
      <c r="X1119" s="207"/>
      <c r="Y1119" s="207"/>
      <c r="Z1119" s="207"/>
      <c r="AA1119" s="207"/>
      <c r="AB1119" s="207"/>
      <c r="AC1119" s="5"/>
      <c r="AD1119" s="63"/>
      <c r="AE1119" s="64"/>
      <c r="AF1119" s="64"/>
      <c r="AG1119" s="212"/>
      <c r="AH1119" s="64"/>
      <c r="AI1119" s="64"/>
      <c r="AJ1119" s="64"/>
      <c r="AK1119" s="64"/>
      <c r="AL1119" s="64"/>
      <c r="AM1119" s="64"/>
      <c r="AN1119" s="64"/>
      <c r="AO1119" s="64"/>
      <c r="AP1119" s="63"/>
      <c r="AQ1119" s="64"/>
      <c r="AR1119" s="63"/>
      <c r="AS1119" s="64"/>
      <c r="AT1119" s="63"/>
      <c r="AU1119" s="64"/>
      <c r="AV1119" s="63"/>
      <c r="AW1119" s="64"/>
      <c r="AX1119" s="63"/>
      <c r="AY1119" s="5"/>
      <c r="AZ1119" s="21" t="str">
        <f t="shared" si="770"/>
        <v/>
      </c>
      <c r="BA1119" s="264" t="s">
        <v>391</v>
      </c>
      <c r="BB1119" s="264"/>
      <c r="BC1119" s="264"/>
      <c r="BD1119" s="264" t="s">
        <v>99</v>
      </c>
      <c r="BE1119" s="9" t="s">
        <v>373</v>
      </c>
      <c r="BF1119" s="303"/>
      <c r="BG1119" s="303"/>
      <c r="BH1119" s="303"/>
      <c r="BI1119" s="303"/>
      <c r="BJ1119" s="303"/>
      <c r="BK1119" s="303"/>
      <c r="BL1119" s="303"/>
      <c r="BM1119" s="303"/>
      <c r="BN1119" s="303"/>
      <c r="BO1119" s="303"/>
      <c r="BP1119" s="303"/>
      <c r="BQ1119" s="5"/>
      <c r="BR1119" s="25"/>
      <c r="BS1119" s="5"/>
    </row>
    <row r="1120" spans="1:71" s="3" customFormat="1" x14ac:dyDescent="0.25">
      <c r="A1120" s="5"/>
      <c r="B1120" s="3" t="str">
        <f t="array" ref="B1120">IFERROR(INDEX(DemandSupply,MATCH(INDEX($AH$1:AH1120,SMALL(ROW($AH$1:AH1120)+(10000*($AH$1:AH1120="")),COUNTA($AH$1:AH1120))),Sectors,0)),"")</f>
        <v>Supply</v>
      </c>
      <c r="E1120" s="10"/>
      <c r="F1120" s="207"/>
      <c r="G1120" s="207"/>
      <c r="H1120" s="207"/>
      <c r="I1120" s="207"/>
      <c r="J1120" s="207"/>
      <c r="K1120" s="207"/>
      <c r="L1120" s="207"/>
      <c r="M1120" s="207"/>
      <c r="N1120" s="207"/>
      <c r="O1120" s="207"/>
      <c r="P1120" s="207"/>
      <c r="Q1120" s="207"/>
      <c r="R1120" s="207"/>
      <c r="S1120" s="207"/>
      <c r="T1120" s="207"/>
      <c r="U1120" s="207"/>
      <c r="V1120" s="207"/>
      <c r="W1120" s="207"/>
      <c r="X1120" s="207"/>
      <c r="Y1120" s="207"/>
      <c r="Z1120" s="207"/>
      <c r="AA1120" s="207"/>
      <c r="AB1120" s="207"/>
      <c r="AC1120" s="5"/>
      <c r="AD1120" s="63"/>
      <c r="AE1120" s="64"/>
      <c r="AF1120" s="64"/>
      <c r="AG1120" s="212"/>
      <c r="AH1120" s="64"/>
      <c r="AI1120" s="64"/>
      <c r="AJ1120" s="64"/>
      <c r="AK1120" s="64"/>
      <c r="AL1120" s="64"/>
      <c r="AM1120" s="64"/>
      <c r="AN1120" s="64"/>
      <c r="AO1120" s="64"/>
      <c r="AP1120" s="63"/>
      <c r="AQ1120" s="64"/>
      <c r="AR1120" s="63"/>
      <c r="AS1120" s="64"/>
      <c r="AT1120" s="63"/>
      <c r="AU1120" s="64"/>
      <c r="AV1120" s="63"/>
      <c r="AW1120" s="64"/>
      <c r="AX1120" s="63"/>
      <c r="AY1120" s="5"/>
      <c r="AZ1120" s="21" t="str">
        <f t="shared" si="770"/>
        <v/>
      </c>
      <c r="BA1120" s="264" t="s">
        <v>144</v>
      </c>
      <c r="BB1120" s="264"/>
      <c r="BC1120" s="264"/>
      <c r="BD1120" s="264" t="s">
        <v>353</v>
      </c>
      <c r="BE1120" s="9" t="s">
        <v>373</v>
      </c>
      <c r="BF1120" s="56"/>
      <c r="BG1120" s="56"/>
      <c r="BH1120" s="56"/>
      <c r="BI1120" s="56"/>
      <c r="BJ1120" s="56"/>
      <c r="BK1120" s="56"/>
      <c r="BL1120" s="56"/>
      <c r="BM1120" s="56"/>
      <c r="BN1120" s="56"/>
      <c r="BO1120" s="56"/>
      <c r="BP1120" s="56"/>
      <c r="BQ1120" s="5"/>
      <c r="BR1120" s="25"/>
      <c r="BS1120" s="5"/>
    </row>
    <row r="1121" spans="1:71" s="3" customFormat="1" x14ac:dyDescent="0.25">
      <c r="A1121" s="5"/>
      <c r="B1121" s="3" t="str">
        <f t="array" ref="B1121">IFERROR(INDEX(DemandSupply,MATCH(INDEX($AH$1:AH1121,SMALL(ROW($AH$1:AH1121)+(10000*($AH$1:AH1121="")),COUNTA($AH$1:AH1121))),Sectors,0)),"")</f>
        <v>Supply</v>
      </c>
      <c r="E1121" s="10"/>
      <c r="F1121" s="207"/>
      <c r="G1121" s="207"/>
      <c r="H1121" s="207"/>
      <c r="I1121" s="207"/>
      <c r="J1121" s="207"/>
      <c r="K1121" s="207"/>
      <c r="L1121" s="207"/>
      <c r="M1121" s="207"/>
      <c r="N1121" s="207"/>
      <c r="O1121" s="207"/>
      <c r="P1121" s="207"/>
      <c r="Q1121" s="207"/>
      <c r="R1121" s="207"/>
      <c r="S1121" s="207"/>
      <c r="T1121" s="207"/>
      <c r="U1121" s="207"/>
      <c r="V1121" s="207"/>
      <c r="W1121" s="207"/>
      <c r="X1121" s="207"/>
      <c r="Y1121" s="207"/>
      <c r="Z1121" s="207"/>
      <c r="AA1121" s="207"/>
      <c r="AB1121" s="207"/>
      <c r="AC1121" s="5"/>
      <c r="AD1121" s="63"/>
      <c r="AE1121" s="64"/>
      <c r="AF1121" s="64"/>
      <c r="AG1121" s="212"/>
      <c r="AH1121" s="64"/>
      <c r="AI1121" s="64"/>
      <c r="AJ1121" s="64"/>
      <c r="AK1121" s="64"/>
      <c r="AL1121" s="64"/>
      <c r="AM1121" s="64"/>
      <c r="AN1121" s="64"/>
      <c r="AO1121" s="64"/>
      <c r="AP1121" s="63"/>
      <c r="AQ1121" s="64"/>
      <c r="AR1121" s="63"/>
      <c r="AS1121" s="64"/>
      <c r="AT1121" s="63"/>
      <c r="AU1121" s="64"/>
      <c r="AV1121" s="63"/>
      <c r="AW1121" s="64"/>
      <c r="AX1121" s="63"/>
      <c r="AY1121" s="5"/>
      <c r="AZ1121" s="21" t="str">
        <f t="shared" si="770"/>
        <v/>
      </c>
      <c r="BA1121" s="264" t="s">
        <v>76</v>
      </c>
      <c r="BB1121" s="264"/>
      <c r="BC1121" s="264"/>
      <c r="BD1121" s="264" t="s">
        <v>99</v>
      </c>
      <c r="BE1121" s="9" t="s">
        <v>373</v>
      </c>
      <c r="BF1121" s="303">
        <v>1</v>
      </c>
      <c r="BG1121" s="303"/>
      <c r="BH1121" s="303"/>
      <c r="BI1121" s="303"/>
      <c r="BJ1121" s="303"/>
      <c r="BK1121" s="303"/>
      <c r="BL1121" s="303"/>
      <c r="BM1121" s="303"/>
      <c r="BN1121" s="303"/>
      <c r="BO1121" s="303"/>
      <c r="BP1121" s="303"/>
      <c r="BQ1121" s="5"/>
      <c r="BR1121" s="25"/>
      <c r="BS1121" s="5"/>
    </row>
    <row r="1122" spans="1:71" s="3" customFormat="1" x14ac:dyDescent="0.25">
      <c r="A1122" s="5"/>
      <c r="B1122" s="3" t="str">
        <f t="array" ref="B1122">IFERROR(INDEX(DemandSupply,MATCH(INDEX($AH$1:AH1122,SMALL(ROW($AH$1:AH1122)+(10000*($AH$1:AH1122="")),COUNTA($AH$1:AH1122))),Sectors,0)),"")</f>
        <v>Supply</v>
      </c>
      <c r="E1122" s="10"/>
      <c r="F1122" s="207"/>
      <c r="G1122" s="207"/>
      <c r="H1122" s="207"/>
      <c r="I1122" s="207"/>
      <c r="J1122" s="207"/>
      <c r="K1122" s="207"/>
      <c r="L1122" s="207"/>
      <c r="M1122" s="207"/>
      <c r="N1122" s="207"/>
      <c r="O1122" s="207"/>
      <c r="P1122" s="207"/>
      <c r="Q1122" s="207"/>
      <c r="R1122" s="207"/>
      <c r="S1122" s="207"/>
      <c r="T1122" s="207"/>
      <c r="U1122" s="207"/>
      <c r="V1122" s="207"/>
      <c r="W1122" s="207"/>
      <c r="X1122" s="207"/>
      <c r="Y1122" s="207"/>
      <c r="Z1122" s="207"/>
      <c r="AA1122" s="207"/>
      <c r="AB1122" s="207"/>
      <c r="AC1122" s="5"/>
      <c r="AD1122" s="63"/>
      <c r="AE1122" s="64"/>
      <c r="AF1122" s="64"/>
      <c r="AG1122" s="212"/>
      <c r="AH1122" s="64"/>
      <c r="AI1122" s="64"/>
      <c r="AJ1122" s="64"/>
      <c r="AK1122" s="64"/>
      <c r="AL1122" s="64"/>
      <c r="AM1122" s="64"/>
      <c r="AN1122" s="64"/>
      <c r="AO1122" s="64"/>
      <c r="AP1122" s="63"/>
      <c r="AQ1122" s="64"/>
      <c r="AR1122" s="63"/>
      <c r="AS1122" s="64"/>
      <c r="AT1122" s="63"/>
      <c r="AU1122" s="64"/>
      <c r="AV1122" s="63"/>
      <c r="AW1122" s="64"/>
      <c r="AX1122" s="63"/>
      <c r="AY1122" s="5"/>
      <c r="AZ1122" s="21" t="str">
        <f t="shared" si="770"/>
        <v/>
      </c>
      <c r="BA1122" s="75" t="s">
        <v>166</v>
      </c>
      <c r="BB1122" s="75"/>
      <c r="BC1122" s="270"/>
      <c r="BD1122" s="75" t="s">
        <v>99</v>
      </c>
      <c r="BE1122" s="9" t="s">
        <v>373</v>
      </c>
      <c r="BF1122" s="303"/>
      <c r="BG1122" s="303"/>
      <c r="BH1122" s="303"/>
      <c r="BI1122" s="303"/>
      <c r="BJ1122" s="303"/>
      <c r="BK1122" s="303"/>
      <c r="BL1122" s="303"/>
      <c r="BM1122" s="303"/>
      <c r="BN1122" s="303"/>
      <c r="BO1122" s="303"/>
      <c r="BP1122" s="303"/>
      <c r="BQ1122" s="5"/>
      <c r="BR1122" s="25"/>
      <c r="BS1122" s="5"/>
    </row>
    <row r="1123" spans="1:71" s="3" customFormat="1" x14ac:dyDescent="0.25">
      <c r="A1123" s="5"/>
      <c r="B1123" s="3" t="str">
        <f t="array" ref="B1123">IFERROR(INDEX(DemandSupply,MATCH(INDEX($AH$1:AH1123,SMALL(ROW($AH$1:AH1123)+(10000*($AH$1:AH1123="")),COUNTA($AH$1:AH1123))),Sectors,0)),"")</f>
        <v>Supply</v>
      </c>
      <c r="E1123" s="10"/>
      <c r="F1123" s="207"/>
      <c r="G1123" s="207"/>
      <c r="H1123" s="207"/>
      <c r="I1123" s="207"/>
      <c r="J1123" s="207"/>
      <c r="K1123" s="207"/>
      <c r="L1123" s="207"/>
      <c r="M1123" s="207"/>
      <c r="N1123" s="207"/>
      <c r="O1123" s="207"/>
      <c r="P1123" s="207"/>
      <c r="Q1123" s="207"/>
      <c r="R1123" s="207"/>
      <c r="S1123" s="207"/>
      <c r="T1123" s="207"/>
      <c r="U1123" s="207"/>
      <c r="V1123" s="207"/>
      <c r="W1123" s="207"/>
      <c r="X1123" s="207"/>
      <c r="Y1123" s="207"/>
      <c r="Z1123" s="207"/>
      <c r="AA1123" s="207"/>
      <c r="AB1123" s="207"/>
      <c r="AC1123" s="5"/>
      <c r="AD1123" s="63"/>
      <c r="AE1123" s="64"/>
      <c r="AF1123" s="64"/>
      <c r="AG1123" s="212"/>
      <c r="AH1123" s="64"/>
      <c r="AI1123" s="64"/>
      <c r="AJ1123" s="64"/>
      <c r="AK1123" s="64"/>
      <c r="AL1123" s="64"/>
      <c r="AM1123" s="64"/>
      <c r="AN1123" s="64"/>
      <c r="AO1123" s="64"/>
      <c r="AP1123" s="63"/>
      <c r="AQ1123" s="64"/>
      <c r="AR1123" s="63"/>
      <c r="AS1123" s="64"/>
      <c r="AT1123" s="63"/>
      <c r="AU1123" s="64"/>
      <c r="AV1123" s="63"/>
      <c r="AW1123" s="64"/>
      <c r="AX1123" s="63"/>
      <c r="AY1123" s="5"/>
      <c r="AZ1123" s="21" t="str">
        <f t="shared" si="770"/>
        <v/>
      </c>
      <c r="BA1123" s="75" t="s">
        <v>167</v>
      </c>
      <c r="BB1123" s="75"/>
      <c r="BC1123" s="270"/>
      <c r="BD1123" s="75" t="s">
        <v>99</v>
      </c>
      <c r="BE1123" s="9" t="s">
        <v>373</v>
      </c>
      <c r="BF1123" s="303"/>
      <c r="BG1123" s="303"/>
      <c r="BH1123" s="303"/>
      <c r="BI1123" s="303"/>
      <c r="BJ1123" s="303"/>
      <c r="BK1123" s="303"/>
      <c r="BL1123" s="303"/>
      <c r="BM1123" s="303"/>
      <c r="BN1123" s="303"/>
      <c r="BO1123" s="303"/>
      <c r="BP1123" s="303"/>
      <c r="BQ1123" s="5"/>
      <c r="BR1123" s="25"/>
      <c r="BS1123" s="5"/>
    </row>
    <row r="1124" spans="1:71" s="3" customFormat="1" x14ac:dyDescent="0.25">
      <c r="A1124" s="5"/>
      <c r="B1124" s="3" t="str">
        <f t="array" ref="B1124">IFERROR(INDEX(DemandSupply,MATCH(INDEX($AH$1:AH1124,SMALL(ROW($AH$1:AH1124)+(10000*($AH$1:AH1124="")),COUNTA($AH$1:AH1124))),Sectors,0)),"")</f>
        <v>Supply</v>
      </c>
      <c r="E1124" s="10"/>
      <c r="F1124" s="207"/>
      <c r="G1124" s="207"/>
      <c r="H1124" s="207"/>
      <c r="I1124" s="207"/>
      <c r="J1124" s="207"/>
      <c r="K1124" s="207"/>
      <c r="L1124" s="207"/>
      <c r="M1124" s="207"/>
      <c r="N1124" s="207"/>
      <c r="O1124" s="207"/>
      <c r="P1124" s="207"/>
      <c r="Q1124" s="207"/>
      <c r="R1124" s="207"/>
      <c r="S1124" s="207"/>
      <c r="T1124" s="207"/>
      <c r="U1124" s="207"/>
      <c r="V1124" s="207"/>
      <c r="W1124" s="207"/>
      <c r="X1124" s="207"/>
      <c r="Y1124" s="207"/>
      <c r="Z1124" s="207"/>
      <c r="AA1124" s="207"/>
      <c r="AB1124" s="207"/>
      <c r="AC1124" s="5"/>
      <c r="AD1124" s="63"/>
      <c r="AE1124" s="64"/>
      <c r="AF1124" s="64"/>
      <c r="AG1124" s="212"/>
      <c r="AH1124" s="64"/>
      <c r="AI1124" s="64"/>
      <c r="AJ1124" s="64"/>
      <c r="AK1124" s="64"/>
      <c r="AL1124" s="64"/>
      <c r="AM1124" s="64"/>
      <c r="AN1124" s="64"/>
      <c r="AO1124" s="64"/>
      <c r="AP1124" s="63"/>
      <c r="AQ1124" s="64"/>
      <c r="AR1124" s="63"/>
      <c r="AS1124" s="64"/>
      <c r="AT1124" s="63"/>
      <c r="AU1124" s="64"/>
      <c r="AV1124" s="63"/>
      <c r="AW1124" s="64"/>
      <c r="AX1124" s="63"/>
      <c r="AY1124" s="5"/>
      <c r="AZ1124" s="21" t="str">
        <f t="shared" si="770"/>
        <v/>
      </c>
      <c r="BA1124" s="75" t="s">
        <v>408</v>
      </c>
      <c r="BB1124" s="75"/>
      <c r="BC1124" s="270"/>
      <c r="BD1124" s="75" t="s">
        <v>99</v>
      </c>
      <c r="BE1124" s="9" t="s">
        <v>373</v>
      </c>
      <c r="BF1124" s="303"/>
      <c r="BG1124" s="303"/>
      <c r="BH1124" s="303"/>
      <c r="BI1124" s="303"/>
      <c r="BJ1124" s="303"/>
      <c r="BK1124" s="303"/>
      <c r="BL1124" s="303"/>
      <c r="BM1124" s="303"/>
      <c r="BN1124" s="303"/>
      <c r="BO1124" s="303"/>
      <c r="BP1124" s="303"/>
      <c r="BQ1124" s="5"/>
      <c r="BR1124" s="25"/>
      <c r="BS1124" s="5"/>
    </row>
    <row r="1125" spans="1:71" s="3" customFormat="1" x14ac:dyDescent="0.25">
      <c r="A1125" s="5"/>
      <c r="B1125" s="3" t="str">
        <f t="array" ref="B1125">IFERROR(INDEX(DemandSupply,MATCH(INDEX($AH$1:AH1125,SMALL(ROW($AH$1:AH1125)+(10000*($AH$1:AH1125="")),COUNTA($AH$1:AH1125))),Sectors,0)),"")</f>
        <v>Supply</v>
      </c>
      <c r="E1125" s="10"/>
      <c r="F1125" s="207"/>
      <c r="G1125" s="207"/>
      <c r="H1125" s="207"/>
      <c r="I1125" s="207"/>
      <c r="J1125" s="207"/>
      <c r="K1125" s="207"/>
      <c r="L1125" s="207"/>
      <c r="M1125" s="207"/>
      <c r="N1125" s="207"/>
      <c r="O1125" s="207"/>
      <c r="P1125" s="207"/>
      <c r="Q1125" s="207"/>
      <c r="R1125" s="207"/>
      <c r="S1125" s="207"/>
      <c r="T1125" s="207"/>
      <c r="U1125" s="207"/>
      <c r="V1125" s="207"/>
      <c r="W1125" s="207"/>
      <c r="X1125" s="207"/>
      <c r="Y1125" s="207"/>
      <c r="Z1125" s="207"/>
      <c r="AA1125" s="207"/>
      <c r="AB1125" s="207"/>
      <c r="AC1125" s="5"/>
      <c r="AD1125" s="63"/>
      <c r="AE1125" s="64"/>
      <c r="AF1125" s="64"/>
      <c r="AG1125" s="212"/>
      <c r="AH1125" s="64"/>
      <c r="AI1125" s="64"/>
      <c r="AJ1125" s="64"/>
      <c r="AK1125" s="64"/>
      <c r="AL1125" s="64"/>
      <c r="AM1125" s="64"/>
      <c r="AN1125" s="64"/>
      <c r="AO1125" s="64"/>
      <c r="AP1125" s="63"/>
      <c r="AQ1125" s="64"/>
      <c r="AR1125" s="63"/>
      <c r="AS1125" s="64"/>
      <c r="AT1125" s="63"/>
      <c r="AU1125" s="64"/>
      <c r="AV1125" s="63"/>
      <c r="AW1125" s="64"/>
      <c r="AX1125" s="63"/>
      <c r="AY1125" s="5"/>
      <c r="AZ1125" s="21" t="str">
        <f t="shared" si="770"/>
        <v/>
      </c>
      <c r="BA1125" s="75" t="s">
        <v>409</v>
      </c>
      <c r="BB1125" s="75"/>
      <c r="BC1125" s="270"/>
      <c r="BD1125" s="75" t="s">
        <v>99</v>
      </c>
      <c r="BE1125" s="9" t="s">
        <v>373</v>
      </c>
      <c r="BF1125" s="303"/>
      <c r="BG1125" s="303"/>
      <c r="BH1125" s="303"/>
      <c r="BI1125" s="303"/>
      <c r="BJ1125" s="303"/>
      <c r="BK1125" s="303"/>
      <c r="BL1125" s="303"/>
      <c r="BM1125" s="303"/>
      <c r="BN1125" s="303"/>
      <c r="BO1125" s="303"/>
      <c r="BP1125" s="303"/>
      <c r="BQ1125" s="5"/>
      <c r="BR1125" s="25"/>
      <c r="BS1125" s="5"/>
    </row>
    <row r="1126" spans="1:71" s="3" customFormat="1" x14ac:dyDescent="0.25">
      <c r="A1126" s="5"/>
      <c r="B1126" s="3" t="str">
        <f t="array" ref="B1126">IFERROR(INDEX(DemandSupply,MATCH(INDEX($AH$1:AH1126,SMALL(ROW($AH$1:AH1126)+(10000*($AH$1:AH1126="")),COUNTA($AH$1:AH1126))),Sectors,0)),"")</f>
        <v>Supply</v>
      </c>
      <c r="E1126" s="10"/>
      <c r="F1126" s="207"/>
      <c r="G1126" s="207"/>
      <c r="H1126" s="207"/>
      <c r="I1126" s="207"/>
      <c r="J1126" s="207"/>
      <c r="K1126" s="207"/>
      <c r="L1126" s="207"/>
      <c r="M1126" s="207"/>
      <c r="N1126" s="207"/>
      <c r="O1126" s="207"/>
      <c r="P1126" s="207"/>
      <c r="Q1126" s="207"/>
      <c r="R1126" s="207"/>
      <c r="S1126" s="207"/>
      <c r="T1126" s="207"/>
      <c r="U1126" s="207"/>
      <c r="V1126" s="207"/>
      <c r="W1126" s="207"/>
      <c r="X1126" s="207"/>
      <c r="Y1126" s="207"/>
      <c r="Z1126" s="207"/>
      <c r="AA1126" s="207"/>
      <c r="AB1126" s="207"/>
      <c r="AC1126" s="5"/>
      <c r="AD1126" s="63"/>
      <c r="AE1126" s="64"/>
      <c r="AF1126" s="64"/>
      <c r="AG1126" s="212"/>
      <c r="AH1126" s="64"/>
      <c r="AI1126" s="64"/>
      <c r="AJ1126" s="64"/>
      <c r="AK1126" s="64"/>
      <c r="AL1126" s="64"/>
      <c r="AM1126" s="64"/>
      <c r="AN1126" s="64"/>
      <c r="AO1126" s="64"/>
      <c r="AP1126" s="63"/>
      <c r="AQ1126" s="64"/>
      <c r="AR1126" s="63"/>
      <c r="AS1126" s="64"/>
      <c r="AT1126" s="63"/>
      <c r="AU1126" s="64"/>
      <c r="AV1126" s="63"/>
      <c r="AW1126" s="64"/>
      <c r="AX1126" s="63"/>
      <c r="AY1126" s="5"/>
      <c r="AZ1126" s="21" t="str">
        <f t="shared" si="770"/>
        <v/>
      </c>
      <c r="BA1126" s="264" t="s">
        <v>371</v>
      </c>
      <c r="BB1126" s="264"/>
      <c r="BC1126" s="264"/>
      <c r="BD1126" s="264" t="s">
        <v>353</v>
      </c>
      <c r="BE1126" s="9" t="s">
        <v>373</v>
      </c>
      <c r="BF1126" s="56">
        <v>1</v>
      </c>
      <c r="BG1126" s="282">
        <f t="shared" ref="BG1126:BP1127" si="771">BF1126</f>
        <v>1</v>
      </c>
      <c r="BH1126" s="282">
        <f t="shared" si="771"/>
        <v>1</v>
      </c>
      <c r="BI1126" s="282">
        <f t="shared" si="771"/>
        <v>1</v>
      </c>
      <c r="BJ1126" s="282">
        <f t="shared" si="771"/>
        <v>1</v>
      </c>
      <c r="BK1126" s="282">
        <f t="shared" si="771"/>
        <v>1</v>
      </c>
      <c r="BL1126" s="282">
        <f t="shared" si="771"/>
        <v>1</v>
      </c>
      <c r="BM1126" s="282">
        <f t="shared" si="771"/>
        <v>1</v>
      </c>
      <c r="BN1126" s="282">
        <f t="shared" si="771"/>
        <v>1</v>
      </c>
      <c r="BO1126" s="282">
        <f t="shared" si="771"/>
        <v>1</v>
      </c>
      <c r="BP1126" s="282">
        <f t="shared" si="771"/>
        <v>1</v>
      </c>
      <c r="BQ1126" s="5"/>
      <c r="BR1126" s="25"/>
      <c r="BS1126" s="5"/>
    </row>
    <row r="1127" spans="1:71" s="3" customFormat="1" x14ac:dyDescent="0.25">
      <c r="A1127" s="5"/>
      <c r="B1127" s="3" t="str">
        <f t="array" ref="B1127">IFERROR(INDEX(DemandSupply,MATCH(INDEX($AH$1:AH1127,SMALL(ROW($AH$1:AH1127)+(10000*($AH$1:AH1127="")),COUNTA($AH$1:AH1127))),Sectors,0)),"")</f>
        <v>Supply</v>
      </c>
      <c r="E1127" s="10"/>
      <c r="F1127" s="207"/>
      <c r="G1127" s="207"/>
      <c r="H1127" s="207"/>
      <c r="I1127" s="207"/>
      <c r="J1127" s="207"/>
      <c r="K1127" s="207"/>
      <c r="L1127" s="207"/>
      <c r="M1127" s="207"/>
      <c r="N1127" s="207"/>
      <c r="O1127" s="207"/>
      <c r="P1127" s="207"/>
      <c r="Q1127" s="207"/>
      <c r="R1127" s="207"/>
      <c r="S1127" s="207"/>
      <c r="T1127" s="207"/>
      <c r="U1127" s="207"/>
      <c r="V1127" s="207"/>
      <c r="W1127" s="207"/>
      <c r="X1127" s="207"/>
      <c r="Y1127" s="207"/>
      <c r="Z1127" s="207"/>
      <c r="AA1127" s="207"/>
      <c r="AB1127" s="207"/>
      <c r="AC1127" s="5"/>
      <c r="AD1127" s="63"/>
      <c r="AE1127" s="64"/>
      <c r="AF1127" s="64"/>
      <c r="AG1127" s="212"/>
      <c r="AH1127" s="64"/>
      <c r="AI1127" s="64"/>
      <c r="AJ1127" s="64"/>
      <c r="AK1127" s="64"/>
      <c r="AL1127" s="64"/>
      <c r="AM1127" s="64"/>
      <c r="AN1127" s="64"/>
      <c r="AO1127" s="64"/>
      <c r="AP1127" s="63"/>
      <c r="AQ1127" s="64"/>
      <c r="AR1127" s="63"/>
      <c r="AS1127" s="64"/>
      <c r="AT1127" s="63"/>
      <c r="AU1127" s="64"/>
      <c r="AV1127" s="63"/>
      <c r="AW1127" s="64"/>
      <c r="AX1127" s="63"/>
      <c r="AY1127" s="5"/>
      <c r="AZ1127" s="21" t="str">
        <f t="shared" si="770"/>
        <v/>
      </c>
      <c r="BA1127" s="264" t="s">
        <v>170</v>
      </c>
      <c r="BB1127" s="264"/>
      <c r="BC1127" s="264"/>
      <c r="BD1127" s="264" t="s">
        <v>354</v>
      </c>
      <c r="BE1127" s="9" t="s">
        <v>373</v>
      </c>
      <c r="BF1127" s="56">
        <v>10</v>
      </c>
      <c r="BG1127" s="282">
        <f t="shared" si="771"/>
        <v>10</v>
      </c>
      <c r="BH1127" s="282">
        <f t="shared" si="771"/>
        <v>10</v>
      </c>
      <c r="BI1127" s="282">
        <f t="shared" si="771"/>
        <v>10</v>
      </c>
      <c r="BJ1127" s="282">
        <f t="shared" si="771"/>
        <v>10</v>
      </c>
      <c r="BK1127" s="282">
        <f t="shared" si="771"/>
        <v>10</v>
      </c>
      <c r="BL1127" s="282">
        <f t="shared" si="771"/>
        <v>10</v>
      </c>
      <c r="BM1127" s="282">
        <f t="shared" si="771"/>
        <v>10</v>
      </c>
      <c r="BN1127" s="282">
        <f t="shared" si="771"/>
        <v>10</v>
      </c>
      <c r="BO1127" s="282">
        <f t="shared" si="771"/>
        <v>10</v>
      </c>
      <c r="BP1127" s="282">
        <f t="shared" si="771"/>
        <v>10</v>
      </c>
      <c r="BQ1127" s="5"/>
      <c r="BR1127" s="25"/>
      <c r="BS1127" s="5"/>
    </row>
    <row r="1128" spans="1:71" s="3" customFormat="1" x14ac:dyDescent="0.25">
      <c r="A1128" s="5"/>
      <c r="B1128" s="3" t="str">
        <f t="array" ref="B1128">IFERROR(INDEX(DemandSupply,MATCH(INDEX($AH$1:AH1128,SMALL(ROW($AH$1:AH1128)+(10000*($AH$1:AH1128="")),COUNTA($AH$1:AH1128))),Sectors,0)),"")</f>
        <v>Supply</v>
      </c>
      <c r="E1128" s="10"/>
      <c r="F1128" s="207"/>
      <c r="G1128" s="207"/>
      <c r="H1128" s="207"/>
      <c r="I1128" s="207"/>
      <c r="J1128" s="207"/>
      <c r="K1128" s="207"/>
      <c r="L1128" s="207"/>
      <c r="M1128" s="207"/>
      <c r="N1128" s="207"/>
      <c r="O1128" s="207"/>
      <c r="P1128" s="207"/>
      <c r="Q1128" s="207"/>
      <c r="R1128" s="207"/>
      <c r="S1128" s="207"/>
      <c r="T1128" s="207"/>
      <c r="U1128" s="207"/>
      <c r="V1128" s="207"/>
      <c r="W1128" s="207"/>
      <c r="X1128" s="207"/>
      <c r="Y1128" s="207"/>
      <c r="Z1128" s="207"/>
      <c r="AA1128" s="207"/>
      <c r="AB1128" s="207"/>
      <c r="AC1128" s="5"/>
      <c r="AD1128" s="63"/>
      <c r="AE1128" s="64"/>
      <c r="AF1128" s="64"/>
      <c r="AG1128" s="212"/>
      <c r="AH1128" s="64"/>
      <c r="AI1128" s="64"/>
      <c r="AJ1128" s="64"/>
      <c r="AK1128" s="64"/>
      <c r="AL1128" s="64"/>
      <c r="AM1128" s="64"/>
      <c r="AN1128" s="64"/>
      <c r="AO1128" s="64"/>
      <c r="AP1128" s="63"/>
      <c r="AQ1128" s="64"/>
      <c r="AR1128" s="63"/>
      <c r="AS1128" s="64"/>
      <c r="AT1128" s="63"/>
      <c r="AU1128" s="64"/>
      <c r="AV1128" s="63"/>
      <c r="AW1128" s="64"/>
      <c r="AX1128" s="63"/>
      <c r="AY1128" s="5"/>
      <c r="AZ1128" s="21" t="str">
        <f t="shared" si="770"/>
        <v/>
      </c>
      <c r="BA1128" s="264" t="s">
        <v>425</v>
      </c>
      <c r="BB1128" s="264"/>
      <c r="BC1128" s="264"/>
      <c r="BD1128" s="264" t="s">
        <v>99</v>
      </c>
      <c r="BE1128" s="9" t="s">
        <v>373</v>
      </c>
      <c r="BF1128" s="303"/>
      <c r="BG1128" s="303"/>
      <c r="BH1128" s="303"/>
      <c r="BI1128" s="303"/>
      <c r="BJ1128" s="303"/>
      <c r="BK1128" s="303"/>
      <c r="BL1128" s="303"/>
      <c r="BM1128" s="303"/>
      <c r="BN1128" s="303"/>
      <c r="BO1128" s="303"/>
      <c r="BP1128" s="303"/>
      <c r="BQ1128" s="5"/>
      <c r="BR1128" s="25"/>
      <c r="BS1128" s="5"/>
    </row>
    <row r="1129" spans="1:71" s="3" customFormat="1" x14ac:dyDescent="0.25">
      <c r="A1129" s="5"/>
      <c r="B1129" s="3" t="str">
        <f t="array" ref="B1129">IFERROR(INDEX(DemandSupply,MATCH(INDEX($AH$1:AH1129,SMALL(ROW($AH$1:AH1129)+(10000*($AH$1:AH1129="")),COUNTA($AH$1:AH1129))),Sectors,0)),"")</f>
        <v>Supply</v>
      </c>
      <c r="E1129" s="10"/>
      <c r="F1129" s="207"/>
      <c r="G1129" s="207"/>
      <c r="H1129" s="207"/>
      <c r="I1129" s="207"/>
      <c r="J1129" s="207"/>
      <c r="K1129" s="207"/>
      <c r="L1129" s="207"/>
      <c r="M1129" s="207"/>
      <c r="N1129" s="207"/>
      <c r="O1129" s="207"/>
      <c r="P1129" s="207"/>
      <c r="Q1129" s="207"/>
      <c r="R1129" s="207"/>
      <c r="S1129" s="207"/>
      <c r="T1129" s="207"/>
      <c r="U1129" s="207"/>
      <c r="V1129" s="207"/>
      <c r="W1129" s="207"/>
      <c r="X1129" s="207"/>
      <c r="Y1129" s="207"/>
      <c r="Z1129" s="207"/>
      <c r="AA1129" s="207"/>
      <c r="AB1129" s="207"/>
      <c r="AC1129" s="5"/>
      <c r="AD1129" s="63"/>
      <c r="AE1129" s="64"/>
      <c r="AF1129" s="64"/>
      <c r="AG1129" s="212"/>
      <c r="AH1129" s="64"/>
      <c r="AI1129" s="64"/>
      <c r="AJ1129" s="64"/>
      <c r="AK1129" s="64"/>
      <c r="AL1129" s="64"/>
      <c r="AM1129" s="64"/>
      <c r="AN1129" s="64"/>
      <c r="AO1129" s="64"/>
      <c r="AP1129" s="63"/>
      <c r="AQ1129" s="64"/>
      <c r="AR1129" s="63"/>
      <c r="AS1129" s="64"/>
      <c r="AT1129" s="63"/>
      <c r="AU1129" s="64"/>
      <c r="AV1129" s="63"/>
      <c r="AW1129" s="64"/>
      <c r="AX1129" s="63"/>
      <c r="AY1129" s="5"/>
      <c r="AZ1129" s="21" t="str">
        <f t="shared" si="770"/>
        <v/>
      </c>
      <c r="BA1129" s="264" t="s">
        <v>438</v>
      </c>
      <c r="BB1129" s="264"/>
      <c r="BC1129" s="264"/>
      <c r="BD1129" s="264" t="s">
        <v>353</v>
      </c>
      <c r="BE1129" s="9" t="s">
        <v>373</v>
      </c>
      <c r="BF1129" s="56"/>
      <c r="BG1129" s="56"/>
      <c r="BH1129" s="56"/>
      <c r="BI1129" s="56"/>
      <c r="BJ1129" s="56"/>
      <c r="BK1129" s="56"/>
      <c r="BL1129" s="56"/>
      <c r="BM1129" s="56"/>
      <c r="BN1129" s="56"/>
      <c r="BO1129" s="56"/>
      <c r="BP1129" s="56"/>
      <c r="BQ1129" s="5"/>
      <c r="BR1129" s="25"/>
      <c r="BS1129" s="5"/>
    </row>
    <row r="1130" spans="1:71" s="3" customFormat="1" x14ac:dyDescent="0.25">
      <c r="A1130" s="5"/>
      <c r="B1130" s="3" t="str">
        <f t="array" ref="B1130">IFERROR(INDEX(DemandSupply,MATCH(INDEX($AH$1:AH1130,SMALL(ROW($AH$1:AH1130)+(10000*($AH$1:AH1130="")),COUNTA($AH$1:AH1130))),Sectors,0)),"")</f>
        <v>Supply</v>
      </c>
      <c r="E1130" s="10"/>
      <c r="F1130" s="207"/>
      <c r="G1130" s="207"/>
      <c r="H1130" s="207"/>
      <c r="I1130" s="207"/>
      <c r="J1130" s="207"/>
      <c r="K1130" s="207"/>
      <c r="L1130" s="207"/>
      <c r="M1130" s="207"/>
      <c r="N1130" s="207"/>
      <c r="O1130" s="207"/>
      <c r="P1130" s="207"/>
      <c r="Q1130" s="207"/>
      <c r="R1130" s="207"/>
      <c r="S1130" s="207"/>
      <c r="T1130" s="207"/>
      <c r="U1130" s="207"/>
      <c r="V1130" s="207"/>
      <c r="W1130" s="207"/>
      <c r="X1130" s="207"/>
      <c r="Y1130" s="207"/>
      <c r="Z1130" s="207"/>
      <c r="AA1130" s="207"/>
      <c r="AB1130" s="207"/>
      <c r="AC1130" s="5"/>
      <c r="AD1130" s="63"/>
      <c r="AE1130" s="64"/>
      <c r="AF1130" s="64"/>
      <c r="AG1130" s="212"/>
      <c r="AH1130" s="64"/>
      <c r="AI1130" s="64"/>
      <c r="AJ1130" s="64"/>
      <c r="AK1130" s="64"/>
      <c r="AL1130" s="64"/>
      <c r="AM1130" s="64"/>
      <c r="AN1130" s="64"/>
      <c r="AO1130" s="64"/>
      <c r="AP1130" s="63"/>
      <c r="AQ1130" s="64"/>
      <c r="AR1130" s="63"/>
      <c r="AS1130" s="64"/>
      <c r="AT1130" s="63"/>
      <c r="AU1130" s="64"/>
      <c r="AV1130" s="63"/>
      <c r="AW1130" s="64"/>
      <c r="AX1130" s="63"/>
      <c r="AY1130" s="5"/>
      <c r="AZ1130" s="21" t="str">
        <f t="shared" si="770"/>
        <v/>
      </c>
      <c r="BA1130" s="264" t="s">
        <v>435</v>
      </c>
      <c r="BB1130" s="264"/>
      <c r="BC1130" s="264"/>
      <c r="BD1130" s="264"/>
      <c r="BE1130" s="9" t="s">
        <v>373</v>
      </c>
      <c r="BF1130" s="55"/>
      <c r="BG1130" s="55"/>
      <c r="BH1130" s="55"/>
      <c r="BI1130" s="55"/>
      <c r="BJ1130" s="55"/>
      <c r="BK1130" s="55"/>
      <c r="BL1130" s="55"/>
      <c r="BM1130" s="55"/>
      <c r="BN1130" s="55"/>
      <c r="BO1130" s="55"/>
      <c r="BP1130" s="55"/>
      <c r="BQ1130" s="5"/>
      <c r="BR1130" s="25"/>
      <c r="BS1130" s="5"/>
    </row>
    <row r="1131" spans="1:71" s="3" customFormat="1" x14ac:dyDescent="0.25">
      <c r="A1131" s="5"/>
      <c r="B1131" s="3" t="str">
        <f t="array" ref="B1131">IFERROR(INDEX(DemandSupply,MATCH(INDEX($AH$1:AH1131,SMALL(ROW($AH$1:AH1131)+(10000*($AH$1:AH1131="")),COUNTA($AH$1:AH1131))),Sectors,0)),"")</f>
        <v>Supply</v>
      </c>
      <c r="E1131" s="10"/>
      <c r="F1131" s="207"/>
      <c r="G1131" s="207"/>
      <c r="H1131" s="207"/>
      <c r="I1131" s="207"/>
      <c r="J1131" s="207"/>
      <c r="K1131" s="207"/>
      <c r="L1131" s="207"/>
      <c r="M1131" s="207"/>
      <c r="N1131" s="207"/>
      <c r="O1131" s="207"/>
      <c r="P1131" s="207"/>
      <c r="Q1131" s="207"/>
      <c r="R1131" s="207"/>
      <c r="S1131" s="207"/>
      <c r="T1131" s="207"/>
      <c r="U1131" s="207"/>
      <c r="V1131" s="207"/>
      <c r="W1131" s="207"/>
      <c r="X1131" s="207"/>
      <c r="Y1131" s="207"/>
      <c r="Z1131" s="207"/>
      <c r="AA1131" s="207"/>
      <c r="AB1131" s="207"/>
      <c r="AC1131" s="5"/>
      <c r="AD1131" s="63"/>
      <c r="AE1131" s="64"/>
      <c r="AF1131" s="64"/>
      <c r="AG1131" s="212"/>
      <c r="AH1131" s="64"/>
      <c r="AI1131" s="64"/>
      <c r="AJ1131" s="64"/>
      <c r="AK1131" s="64"/>
      <c r="AL1131" s="64"/>
      <c r="AM1131" s="64"/>
      <c r="AN1131" s="64"/>
      <c r="AO1131" s="64"/>
      <c r="AP1131" s="63"/>
      <c r="AQ1131" s="64"/>
      <c r="AR1131" s="63"/>
      <c r="AS1131" s="64"/>
      <c r="AT1131" s="63"/>
      <c r="AU1131" s="64"/>
      <c r="AV1131" s="63"/>
      <c r="AW1131" s="64"/>
      <c r="AX1131" s="63"/>
      <c r="AY1131" s="5"/>
      <c r="AZ1131" s="21" t="str">
        <f t="shared" si="770"/>
        <v/>
      </c>
      <c r="BA1131" s="264" t="s">
        <v>407</v>
      </c>
      <c r="BB1131" s="264"/>
      <c r="BC1131" s="264"/>
      <c r="BD1131" s="264" t="s">
        <v>99</v>
      </c>
      <c r="BE1131" s="9" t="s">
        <v>373</v>
      </c>
      <c r="BF1131" s="303"/>
      <c r="BG1131" s="303"/>
      <c r="BH1131" s="303"/>
      <c r="BI1131" s="303"/>
      <c r="BJ1131" s="303"/>
      <c r="BK1131" s="303"/>
      <c r="BL1131" s="303"/>
      <c r="BM1131" s="303"/>
      <c r="BN1131" s="303"/>
      <c r="BO1131" s="303"/>
      <c r="BP1131" s="303"/>
      <c r="BQ1131" s="5"/>
      <c r="BR1131" s="25"/>
      <c r="BS1131" s="5"/>
    </row>
    <row r="1132" spans="1:71" s="3" customFormat="1" x14ac:dyDescent="0.25">
      <c r="A1132" s="5"/>
      <c r="B1132" s="3" t="str">
        <f t="array" ref="B1132">IFERROR(INDEX(DemandSupply,MATCH(INDEX($AH$1:AH1132,SMALL(ROW($AH$1:AH1132)+(10000*($AH$1:AH1132="")),COUNTA($AH$1:AH1132))),Sectors,0)),"")</f>
        <v>Supply</v>
      </c>
      <c r="E1132" s="10"/>
      <c r="F1132" s="207"/>
      <c r="G1132" s="207"/>
      <c r="H1132" s="207"/>
      <c r="I1132" s="207"/>
      <c r="J1132" s="207"/>
      <c r="K1132" s="207"/>
      <c r="L1132" s="207"/>
      <c r="M1132" s="207"/>
      <c r="N1132" s="207"/>
      <c r="O1132" s="207"/>
      <c r="P1132" s="207"/>
      <c r="Q1132" s="207"/>
      <c r="R1132" s="207"/>
      <c r="S1132" s="207"/>
      <c r="T1132" s="207"/>
      <c r="U1132" s="207"/>
      <c r="V1132" s="207"/>
      <c r="W1132" s="207"/>
      <c r="X1132" s="207"/>
      <c r="Y1132" s="207"/>
      <c r="Z1132" s="207"/>
      <c r="AA1132" s="207"/>
      <c r="AB1132" s="207"/>
      <c r="AC1132" s="5"/>
      <c r="AD1132" s="63"/>
      <c r="AE1132" s="64"/>
      <c r="AF1132" s="64"/>
      <c r="AG1132" s="212"/>
      <c r="AH1132" s="64"/>
      <c r="AI1132" s="64"/>
      <c r="AJ1132" s="64"/>
      <c r="AK1132" s="64"/>
      <c r="AL1132" s="64"/>
      <c r="AM1132" s="64"/>
      <c r="AN1132" s="64"/>
      <c r="AO1132" s="64"/>
      <c r="AP1132" s="63"/>
      <c r="AQ1132" s="64"/>
      <c r="AR1132" s="63"/>
      <c r="AS1132" s="64"/>
      <c r="AT1132" s="63"/>
      <c r="AU1132" s="64"/>
      <c r="AV1132" s="63"/>
      <c r="AW1132" s="64"/>
      <c r="AX1132" s="63"/>
      <c r="AY1132" s="5"/>
      <c r="AZ1132" s="21" t="str">
        <f t="shared" si="770"/>
        <v/>
      </c>
      <c r="BA1132" s="264" t="s">
        <v>444</v>
      </c>
      <c r="BB1132" s="264"/>
      <c r="BC1132" s="264"/>
      <c r="BD1132" s="264" t="s">
        <v>354</v>
      </c>
      <c r="BE1132" s="9" t="s">
        <v>373</v>
      </c>
      <c r="BF1132" s="56"/>
      <c r="BG1132" s="56"/>
      <c r="BH1132" s="56"/>
      <c r="BI1132" s="56"/>
      <c r="BJ1132" s="56"/>
      <c r="BK1132" s="56"/>
      <c r="BL1132" s="56"/>
      <c r="BM1132" s="56"/>
      <c r="BN1132" s="56"/>
      <c r="BO1132" s="56"/>
      <c r="BP1132" s="56"/>
      <c r="BQ1132" s="5"/>
      <c r="BR1132" s="25"/>
      <c r="BS1132" s="5"/>
    </row>
    <row r="1133" spans="1:71" s="3" customFormat="1" x14ac:dyDescent="0.25">
      <c r="A1133" s="5"/>
      <c r="B1133" s="3" t="str">
        <f t="array" ref="B1133">IFERROR(INDEX(DemandSupply,MATCH(INDEX($AH$1:AH1133,SMALL(ROW($AH$1:AH1133)+(10000*($AH$1:AH1133="")),COUNTA($AH$1:AH1133))),Sectors,0)),"")</f>
        <v>Supply</v>
      </c>
      <c r="E1133" s="10"/>
      <c r="F1133" s="207"/>
      <c r="G1133" s="207"/>
      <c r="H1133" s="207"/>
      <c r="I1133" s="207"/>
      <c r="J1133" s="207"/>
      <c r="K1133" s="207"/>
      <c r="L1133" s="207"/>
      <c r="M1133" s="207"/>
      <c r="N1133" s="207"/>
      <c r="O1133" s="207"/>
      <c r="P1133" s="207"/>
      <c r="Q1133" s="207"/>
      <c r="R1133" s="207"/>
      <c r="S1133" s="207"/>
      <c r="T1133" s="207"/>
      <c r="U1133" s="207"/>
      <c r="V1133" s="207"/>
      <c r="W1133" s="207"/>
      <c r="X1133" s="207"/>
      <c r="Y1133" s="207"/>
      <c r="Z1133" s="207"/>
      <c r="AA1133" s="207"/>
      <c r="AB1133" s="207"/>
      <c r="AC1133" s="5"/>
      <c r="AD1133" s="63"/>
      <c r="AE1133" s="64"/>
      <c r="AF1133" s="64"/>
      <c r="AG1133" s="212"/>
      <c r="AH1133" s="64"/>
      <c r="AI1133" s="64"/>
      <c r="AJ1133" s="64"/>
      <c r="AK1133" s="64"/>
      <c r="AL1133" s="64"/>
      <c r="AM1133" s="64"/>
      <c r="AN1133" s="64"/>
      <c r="AO1133" s="64"/>
      <c r="AP1133" s="63"/>
      <c r="AQ1133" s="64"/>
      <c r="AR1133" s="63"/>
      <c r="AS1133" s="64"/>
      <c r="AT1133" s="63"/>
      <c r="AU1133" s="64"/>
      <c r="AV1133" s="63"/>
      <c r="AW1133" s="64"/>
      <c r="AX1133" s="63"/>
      <c r="AY1133" s="5"/>
      <c r="AZ1133" s="21" t="str">
        <f t="shared" si="770"/>
        <v/>
      </c>
      <c r="BA1133" s="264" t="s">
        <v>446</v>
      </c>
      <c r="BB1133" s="264"/>
      <c r="BC1133" s="264"/>
      <c r="BD1133" s="264" t="s">
        <v>354</v>
      </c>
      <c r="BE1133" s="9" t="s">
        <v>373</v>
      </c>
      <c r="BF1133" s="56"/>
      <c r="BG1133" s="56"/>
      <c r="BH1133" s="56"/>
      <c r="BI1133" s="56"/>
      <c r="BJ1133" s="56"/>
      <c r="BK1133" s="56"/>
      <c r="BL1133" s="56"/>
      <c r="BM1133" s="56"/>
      <c r="BN1133" s="56"/>
      <c r="BO1133" s="56"/>
      <c r="BP1133" s="56"/>
      <c r="BQ1133" s="5"/>
      <c r="BR1133" s="25"/>
      <c r="BS1133" s="5"/>
    </row>
    <row r="1134" spans="1:71" s="3" customFormat="1" x14ac:dyDescent="0.25">
      <c r="A1134" s="5"/>
      <c r="B1134" s="3" t="str">
        <f t="array" ref="B1134">IFERROR(INDEX(DemandSupply,MATCH(INDEX($AH$1:AH1134,SMALL(ROW($AH$1:AH1134)+(10000*($AH$1:AH1134="")),COUNTA($AH$1:AH1134))),Sectors,0)),"")</f>
        <v>Supply</v>
      </c>
      <c r="E1134" s="10"/>
      <c r="F1134" s="207"/>
      <c r="G1134" s="207"/>
      <c r="H1134" s="207"/>
      <c r="I1134" s="207"/>
      <c r="J1134" s="207"/>
      <c r="K1134" s="207"/>
      <c r="L1134" s="207"/>
      <c r="M1134" s="207"/>
      <c r="N1134" s="207"/>
      <c r="O1134" s="207"/>
      <c r="P1134" s="207"/>
      <c r="Q1134" s="207"/>
      <c r="R1134" s="207"/>
      <c r="S1134" s="207"/>
      <c r="T1134" s="207"/>
      <c r="U1134" s="207"/>
      <c r="V1134" s="207"/>
      <c r="W1134" s="207"/>
      <c r="X1134" s="207"/>
      <c r="Y1134" s="207"/>
      <c r="Z1134" s="207"/>
      <c r="AA1134" s="207"/>
      <c r="AB1134" s="207"/>
      <c r="AC1134" s="5"/>
      <c r="AD1134" s="63"/>
      <c r="AE1134" s="64"/>
      <c r="AF1134" s="64"/>
      <c r="AG1134" s="212"/>
      <c r="AH1134" s="64"/>
      <c r="AI1134" s="64"/>
      <c r="AJ1134" s="64"/>
      <c r="AK1134" s="64"/>
      <c r="AL1134" s="64"/>
      <c r="AM1134" s="64"/>
      <c r="AN1134" s="64"/>
      <c r="AO1134" s="64"/>
      <c r="AP1134" s="63"/>
      <c r="AQ1134" s="64"/>
      <c r="AR1134" s="63"/>
      <c r="AS1134" s="64"/>
      <c r="AT1134" s="63"/>
      <c r="AU1134" s="64"/>
      <c r="AV1134" s="63"/>
      <c r="AW1134" s="64"/>
      <c r="AX1134" s="63"/>
      <c r="AY1134" s="5"/>
      <c r="AZ1134" s="21" t="str">
        <f t="shared" si="770"/>
        <v/>
      </c>
      <c r="BA1134" s="264" t="s">
        <v>447</v>
      </c>
      <c r="BB1134" s="264"/>
      <c r="BC1134" s="264"/>
      <c r="BD1134" s="264"/>
      <c r="BE1134" s="9" t="s">
        <v>373</v>
      </c>
      <c r="BF1134" s="55"/>
      <c r="BG1134" s="55"/>
      <c r="BH1134" s="55"/>
      <c r="BI1134" s="55"/>
      <c r="BJ1134" s="55"/>
      <c r="BK1134" s="55"/>
      <c r="BL1134" s="55"/>
      <c r="BM1134" s="55"/>
      <c r="BN1134" s="55"/>
      <c r="BO1134" s="55"/>
      <c r="BP1134" s="55"/>
      <c r="BQ1134" s="5"/>
      <c r="BR1134" s="25"/>
      <c r="BS1134" s="5"/>
    </row>
    <row r="1135" spans="1:71" s="3" customFormat="1" x14ac:dyDescent="0.25">
      <c r="A1135" s="5"/>
      <c r="B1135" s="3" t="str">
        <f t="array" ref="B1135">IFERROR(INDEX(DemandSupply,MATCH(INDEX($AH$1:AH1135,SMALL(ROW($AH$1:AH1135)+(10000*($AH$1:AH1135="")),COUNTA($AH$1:AH1135))),Sectors,0)),"")</f>
        <v>Supply</v>
      </c>
      <c r="E1135" s="10"/>
      <c r="F1135" s="207"/>
      <c r="G1135" s="207"/>
      <c r="H1135" s="207"/>
      <c r="I1135" s="207"/>
      <c r="J1135" s="207"/>
      <c r="K1135" s="207"/>
      <c r="L1135" s="207"/>
      <c r="M1135" s="207"/>
      <c r="N1135" s="207"/>
      <c r="O1135" s="207"/>
      <c r="P1135" s="207"/>
      <c r="Q1135" s="207"/>
      <c r="R1135" s="207"/>
      <c r="S1135" s="207"/>
      <c r="T1135" s="207"/>
      <c r="U1135" s="207"/>
      <c r="V1135" s="207"/>
      <c r="W1135" s="207"/>
      <c r="X1135" s="207"/>
      <c r="Y1135" s="207"/>
      <c r="Z1135" s="207"/>
      <c r="AA1135" s="207"/>
      <c r="AB1135" s="207"/>
      <c r="AC1135" s="5"/>
      <c r="AD1135" s="63"/>
      <c r="AE1135" s="64"/>
      <c r="AF1135" s="64"/>
      <c r="AG1135" s="212"/>
      <c r="AH1135" s="64"/>
      <c r="AI1135" s="64"/>
      <c r="AJ1135" s="64"/>
      <c r="AK1135" s="64"/>
      <c r="AL1135" s="64"/>
      <c r="AM1135" s="64"/>
      <c r="AN1135" s="64"/>
      <c r="AO1135" s="64"/>
      <c r="AP1135" s="63"/>
      <c r="AQ1135" s="64"/>
      <c r="AR1135" s="63"/>
      <c r="AS1135" s="64"/>
      <c r="AT1135" s="63"/>
      <c r="AU1135" s="64"/>
      <c r="AV1135" s="63"/>
      <c r="AW1135" s="64"/>
      <c r="AX1135" s="63"/>
      <c r="AY1135" s="5"/>
      <c r="AZ1135" s="21" t="str">
        <f t="shared" si="770"/>
        <v/>
      </c>
      <c r="BA1135" s="264" t="s">
        <v>448</v>
      </c>
      <c r="BB1135" s="264"/>
      <c r="BC1135" s="264"/>
      <c r="BD1135" s="264"/>
      <c r="BE1135" s="9" t="s">
        <v>373</v>
      </c>
      <c r="BF1135" s="55"/>
      <c r="BG1135" s="55"/>
      <c r="BH1135" s="55"/>
      <c r="BI1135" s="55"/>
      <c r="BJ1135" s="55"/>
      <c r="BK1135" s="55"/>
      <c r="BL1135" s="55"/>
      <c r="BM1135" s="55"/>
      <c r="BN1135" s="55"/>
      <c r="BO1135" s="55"/>
      <c r="BP1135" s="55"/>
      <c r="BQ1135" s="5"/>
      <c r="BR1135" s="25"/>
      <c r="BS1135" s="5"/>
    </row>
    <row r="1136" spans="1:71" s="3" customFormat="1" x14ac:dyDescent="0.25">
      <c r="A1136" s="5"/>
      <c r="B1136" s="3" t="str">
        <f t="array" ref="B1136">IFERROR(INDEX(DemandSupply,MATCH(INDEX($AH$1:AH1136,SMALL(ROW($AH$1:AH1136)+(10000*($AH$1:AH1136="")),COUNTA($AH$1:AH1136))),Sectors,0)),"")</f>
        <v>Supply</v>
      </c>
      <c r="E1136" s="10"/>
      <c r="F1136" s="207"/>
      <c r="G1136" s="207"/>
      <c r="H1136" s="207"/>
      <c r="I1136" s="207"/>
      <c r="J1136" s="207"/>
      <c r="K1136" s="207"/>
      <c r="L1136" s="207"/>
      <c r="M1136" s="207"/>
      <c r="N1136" s="207"/>
      <c r="O1136" s="207"/>
      <c r="P1136" s="207"/>
      <c r="Q1136" s="207"/>
      <c r="R1136" s="207"/>
      <c r="S1136" s="207"/>
      <c r="T1136" s="207"/>
      <c r="U1136" s="207"/>
      <c r="V1136" s="207"/>
      <c r="W1136" s="207"/>
      <c r="X1136" s="207"/>
      <c r="Y1136" s="207"/>
      <c r="Z1136" s="207"/>
      <c r="AA1136" s="207"/>
      <c r="AB1136" s="207"/>
      <c r="AC1136" s="5"/>
      <c r="AD1136" s="63"/>
      <c r="AE1136" s="64"/>
      <c r="AF1136" s="64"/>
      <c r="AG1136" s="212"/>
      <c r="AH1136" s="64"/>
      <c r="AI1136" s="64"/>
      <c r="AJ1136" s="64"/>
      <c r="AK1136" s="64"/>
      <c r="AL1136" s="64"/>
      <c r="AM1136" s="64"/>
      <c r="AN1136" s="64"/>
      <c r="AO1136" s="64"/>
      <c r="AP1136" s="63"/>
      <c r="AQ1136" s="64"/>
      <c r="AR1136" s="63"/>
      <c r="AS1136" s="64"/>
      <c r="AT1136" s="63"/>
      <c r="AU1136" s="64"/>
      <c r="AV1136" s="63"/>
      <c r="AW1136" s="64"/>
      <c r="AX1136" s="63"/>
      <c r="AY1136" s="5"/>
      <c r="AZ1136" s="21" t="str">
        <f t="shared" si="770"/>
        <v/>
      </c>
      <c r="BA1136" s="264" t="s">
        <v>445</v>
      </c>
      <c r="BB1136" s="264"/>
      <c r="BC1136" s="264"/>
      <c r="BD1136" s="264" t="s">
        <v>466</v>
      </c>
      <c r="BE1136" s="9" t="s">
        <v>373</v>
      </c>
      <c r="BF1136" s="56"/>
      <c r="BG1136" s="56"/>
      <c r="BH1136" s="56"/>
      <c r="BI1136" s="56"/>
      <c r="BJ1136" s="56"/>
      <c r="BK1136" s="56"/>
      <c r="BL1136" s="56"/>
      <c r="BM1136" s="56"/>
      <c r="BN1136" s="56"/>
      <c r="BO1136" s="56"/>
      <c r="BP1136" s="56"/>
      <c r="BQ1136" s="5"/>
      <c r="BR1136" s="25"/>
      <c r="BS1136" s="5"/>
    </row>
    <row r="1137" spans="1:71" s="3" customFormat="1" x14ac:dyDescent="0.25">
      <c r="A1137" s="5"/>
      <c r="B1137" s="3" t="str">
        <f t="array" ref="B1137">IFERROR(INDEX(DemandSupply,MATCH(INDEX($AH$1:AH1137,SMALL(ROW($AH$1:AH1137)+(10000*($AH$1:AH1137="")),COUNTA($AH$1:AH1137))),Sectors,0)),"")</f>
        <v>Supply</v>
      </c>
      <c r="E1137" s="10"/>
      <c r="F1137" s="207"/>
      <c r="G1137" s="207"/>
      <c r="H1137" s="207"/>
      <c r="I1137" s="207"/>
      <c r="J1137" s="207"/>
      <c r="K1137" s="207"/>
      <c r="L1137" s="207"/>
      <c r="M1137" s="207"/>
      <c r="N1137" s="207"/>
      <c r="O1137" s="207"/>
      <c r="P1137" s="207"/>
      <c r="Q1137" s="207"/>
      <c r="R1137" s="207"/>
      <c r="S1137" s="207"/>
      <c r="T1137" s="207"/>
      <c r="U1137" s="207"/>
      <c r="V1137" s="207"/>
      <c r="W1137" s="207"/>
      <c r="X1137" s="207"/>
      <c r="Y1137" s="207"/>
      <c r="Z1137" s="207"/>
      <c r="AA1137" s="207"/>
      <c r="AB1137" s="207"/>
      <c r="AC1137" s="5"/>
      <c r="AD1137" s="63"/>
      <c r="AE1137" s="64"/>
      <c r="AF1137" s="64"/>
      <c r="AG1137" s="212"/>
      <c r="AH1137" s="64"/>
      <c r="AI1137" s="64"/>
      <c r="AJ1137" s="64"/>
      <c r="AK1137" s="64"/>
      <c r="AL1137" s="64"/>
      <c r="AM1137" s="64"/>
      <c r="AN1137" s="64"/>
      <c r="AO1137" s="64"/>
      <c r="AP1137" s="63"/>
      <c r="AQ1137" s="64"/>
      <c r="AR1137" s="63"/>
      <c r="AS1137" s="64"/>
      <c r="AT1137" s="63"/>
      <c r="AU1137" s="64"/>
      <c r="AV1137" s="63"/>
      <c r="AW1137" s="64"/>
      <c r="AX1137" s="63"/>
      <c r="AY1137" s="5"/>
      <c r="AZ1137" s="21" t="str">
        <f t="shared" si="770"/>
        <v/>
      </c>
      <c r="BA1137" s="264" t="s">
        <v>449</v>
      </c>
      <c r="BB1137" s="264"/>
      <c r="BC1137" s="264"/>
      <c r="BD1137" s="264" t="s">
        <v>466</v>
      </c>
      <c r="BE1137" s="9" t="s">
        <v>373</v>
      </c>
      <c r="BF1137" s="56"/>
      <c r="BG1137" s="56"/>
      <c r="BH1137" s="56"/>
      <c r="BI1137" s="56"/>
      <c r="BJ1137" s="56"/>
      <c r="BK1137" s="56"/>
      <c r="BL1137" s="56"/>
      <c r="BM1137" s="56"/>
      <c r="BN1137" s="56"/>
      <c r="BO1137" s="56"/>
      <c r="BP1137" s="56"/>
      <c r="BQ1137" s="5"/>
      <c r="BR1137" s="25"/>
      <c r="BS1137" s="5"/>
    </row>
    <row r="1138" spans="1:71" s="3" customFormat="1" x14ac:dyDescent="0.25">
      <c r="A1138" s="5"/>
      <c r="B1138" s="3" t="str">
        <f t="array" ref="B1138">IFERROR(INDEX(DemandSupply,MATCH(INDEX($AH$1:AH1138,SMALL(ROW($AH$1:AH1138)+(10000*($AH$1:AH1138="")),COUNTA($AH$1:AH1138))),Sectors,0)),"")</f>
        <v>Supply</v>
      </c>
      <c r="E1138" s="10"/>
      <c r="F1138" s="207"/>
      <c r="G1138" s="207"/>
      <c r="H1138" s="207"/>
      <c r="I1138" s="207"/>
      <c r="J1138" s="207"/>
      <c r="K1138" s="207"/>
      <c r="L1138" s="207"/>
      <c r="M1138" s="207"/>
      <c r="N1138" s="207"/>
      <c r="O1138" s="207"/>
      <c r="P1138" s="207"/>
      <c r="Q1138" s="207"/>
      <c r="R1138" s="207"/>
      <c r="S1138" s="207"/>
      <c r="T1138" s="207"/>
      <c r="U1138" s="207"/>
      <c r="V1138" s="207"/>
      <c r="W1138" s="207"/>
      <c r="X1138" s="207"/>
      <c r="Y1138" s="207"/>
      <c r="Z1138" s="207"/>
      <c r="AA1138" s="207"/>
      <c r="AB1138" s="207"/>
      <c r="AC1138" s="5"/>
      <c r="AD1138" s="63"/>
      <c r="AE1138" s="64"/>
      <c r="AF1138" s="64"/>
      <c r="AG1138" s="212"/>
      <c r="AH1138" s="64"/>
      <c r="AI1138" s="64"/>
      <c r="AJ1138" s="64"/>
      <c r="AK1138" s="64"/>
      <c r="AL1138" s="64"/>
      <c r="AM1138" s="64"/>
      <c r="AN1138" s="64"/>
      <c r="AO1138" s="64"/>
      <c r="AP1138" s="63"/>
      <c r="AQ1138" s="64"/>
      <c r="AR1138" s="63"/>
      <c r="AS1138" s="64"/>
      <c r="AT1138" s="63"/>
      <c r="AU1138" s="64"/>
      <c r="AV1138" s="63"/>
      <c r="AW1138" s="64"/>
      <c r="AX1138" s="63"/>
      <c r="AY1138" s="5"/>
      <c r="AZ1138" s="21" t="str">
        <f t="shared" si="770"/>
        <v/>
      </c>
      <c r="BA1138" s="264" t="s">
        <v>450</v>
      </c>
      <c r="BB1138" s="264"/>
      <c r="BC1138" s="264"/>
      <c r="BD1138" s="264"/>
      <c r="BE1138" s="9" t="s">
        <v>373</v>
      </c>
      <c r="BF1138" s="55"/>
      <c r="BG1138" s="55"/>
      <c r="BH1138" s="55"/>
      <c r="BI1138" s="55"/>
      <c r="BJ1138" s="55"/>
      <c r="BK1138" s="55"/>
      <c r="BL1138" s="55"/>
      <c r="BM1138" s="55"/>
      <c r="BN1138" s="55"/>
      <c r="BO1138" s="55"/>
      <c r="BP1138" s="55"/>
      <c r="BQ1138" s="5"/>
      <c r="BR1138" s="25"/>
      <c r="BS1138" s="5"/>
    </row>
    <row r="1139" spans="1:71" s="3" customFormat="1" x14ac:dyDescent="0.25">
      <c r="A1139" s="5"/>
      <c r="B1139" s="3" t="str">
        <f t="array" ref="B1139">IFERROR(INDEX(DemandSupply,MATCH(INDEX($AH$1:AH1139,SMALL(ROW($AH$1:AH1139)+(10000*($AH$1:AH1139="")),COUNTA($AH$1:AH1139))),Sectors,0)),"")</f>
        <v>Supply</v>
      </c>
      <c r="E1139" s="10"/>
      <c r="F1139" s="207"/>
      <c r="G1139" s="207"/>
      <c r="H1139" s="207"/>
      <c r="I1139" s="207"/>
      <c r="J1139" s="207"/>
      <c r="K1139" s="207"/>
      <c r="L1139" s="207"/>
      <c r="M1139" s="207"/>
      <c r="N1139" s="207"/>
      <c r="O1139" s="207"/>
      <c r="P1139" s="207"/>
      <c r="Q1139" s="207"/>
      <c r="R1139" s="207"/>
      <c r="S1139" s="207"/>
      <c r="T1139" s="207"/>
      <c r="U1139" s="207"/>
      <c r="V1139" s="207"/>
      <c r="W1139" s="207"/>
      <c r="X1139" s="207"/>
      <c r="Y1139" s="207"/>
      <c r="Z1139" s="207"/>
      <c r="AA1139" s="207"/>
      <c r="AB1139" s="207"/>
      <c r="AC1139" s="5"/>
      <c r="AD1139" s="63"/>
      <c r="AE1139" s="64"/>
      <c r="AF1139" s="64"/>
      <c r="AG1139" s="212"/>
      <c r="AH1139" s="64"/>
      <c r="AI1139" s="64"/>
      <c r="AJ1139" s="64"/>
      <c r="AK1139" s="64"/>
      <c r="AL1139" s="64"/>
      <c r="AM1139" s="64"/>
      <c r="AN1139" s="64"/>
      <c r="AO1139" s="64"/>
      <c r="AP1139" s="63"/>
      <c r="AQ1139" s="64"/>
      <c r="AR1139" s="63"/>
      <c r="AS1139" s="64"/>
      <c r="AT1139" s="63"/>
      <c r="AU1139" s="64"/>
      <c r="AV1139" s="63"/>
      <c r="AW1139" s="64"/>
      <c r="AX1139" s="63"/>
      <c r="AY1139" s="5"/>
      <c r="AZ1139" s="21" t="str">
        <f t="shared" si="770"/>
        <v/>
      </c>
      <c r="BA1139" s="264" t="s">
        <v>451</v>
      </c>
      <c r="BB1139" s="264"/>
      <c r="BC1139" s="264"/>
      <c r="BD1139" s="264"/>
      <c r="BE1139" s="9" t="s">
        <v>373</v>
      </c>
      <c r="BF1139" s="55"/>
      <c r="BG1139" s="55"/>
      <c r="BH1139" s="55"/>
      <c r="BI1139" s="55"/>
      <c r="BJ1139" s="55"/>
      <c r="BK1139" s="55"/>
      <c r="BL1139" s="55"/>
      <c r="BM1139" s="55"/>
      <c r="BN1139" s="55"/>
      <c r="BO1139" s="55"/>
      <c r="BP1139" s="55"/>
      <c r="BQ1139" s="5"/>
      <c r="BR1139" s="25"/>
      <c r="BS1139" s="5"/>
    </row>
    <row r="1140" spans="1:71" s="3" customFormat="1" x14ac:dyDescent="0.25">
      <c r="A1140" s="5"/>
      <c r="B1140" s="3" t="str">
        <f t="array" ref="B1140">IFERROR(INDEX(DemandSupply,MATCH(INDEX($AH$1:AH1140,SMALL(ROW($AH$1:AH1140)+(10000*($AH$1:AH1140="")),COUNTA($AH$1:AH1140))),Sectors,0)),"")</f>
        <v>Supply</v>
      </c>
      <c r="E1140" s="10"/>
      <c r="F1140" s="207"/>
      <c r="G1140" s="207"/>
      <c r="H1140" s="207"/>
      <c r="I1140" s="207"/>
      <c r="J1140" s="207"/>
      <c r="K1140" s="207"/>
      <c r="L1140" s="207"/>
      <c r="M1140" s="207"/>
      <c r="N1140" s="207"/>
      <c r="O1140" s="207"/>
      <c r="P1140" s="207"/>
      <c r="Q1140" s="207"/>
      <c r="R1140" s="207"/>
      <c r="S1140" s="207"/>
      <c r="T1140" s="207"/>
      <c r="U1140" s="207"/>
      <c r="V1140" s="207"/>
      <c r="W1140" s="207"/>
      <c r="X1140" s="207"/>
      <c r="Y1140" s="207"/>
      <c r="Z1140" s="207"/>
      <c r="AA1140" s="207"/>
      <c r="AB1140" s="207"/>
      <c r="AC1140" s="5"/>
      <c r="AD1140" s="63"/>
      <c r="AE1140" s="64"/>
      <c r="AF1140" s="64"/>
      <c r="AG1140" s="212"/>
      <c r="AH1140" s="64"/>
      <c r="AI1140" s="64"/>
      <c r="AJ1140" s="64"/>
      <c r="AK1140" s="64"/>
      <c r="AL1140" s="64"/>
      <c r="AM1140" s="64"/>
      <c r="AN1140" s="64"/>
      <c r="AO1140" s="64"/>
      <c r="AP1140" s="63"/>
      <c r="AQ1140" s="64"/>
      <c r="AR1140" s="63"/>
      <c r="AS1140" s="64"/>
      <c r="AT1140" s="63"/>
      <c r="AU1140" s="64"/>
      <c r="AV1140" s="63"/>
      <c r="AW1140" s="64"/>
      <c r="AX1140" s="63"/>
      <c r="AY1140" s="5"/>
      <c r="AZ1140" s="21" t="str">
        <f t="shared" si="770"/>
        <v/>
      </c>
      <c r="BA1140" s="264" t="s">
        <v>342</v>
      </c>
      <c r="BB1140" s="264"/>
      <c r="BC1140" s="264"/>
      <c r="BD1140" s="264" t="s">
        <v>466</v>
      </c>
      <c r="BE1140" s="9" t="s">
        <v>373</v>
      </c>
      <c r="BF1140" s="56">
        <v>1.22</v>
      </c>
      <c r="BG1140" s="282">
        <f t="shared" ref="BG1140:BP1140" si="772">BF1140</f>
        <v>1.22</v>
      </c>
      <c r="BH1140" s="282">
        <f t="shared" si="772"/>
        <v>1.22</v>
      </c>
      <c r="BI1140" s="282">
        <f t="shared" si="772"/>
        <v>1.22</v>
      </c>
      <c r="BJ1140" s="282">
        <f t="shared" si="772"/>
        <v>1.22</v>
      </c>
      <c r="BK1140" s="282">
        <f t="shared" si="772"/>
        <v>1.22</v>
      </c>
      <c r="BL1140" s="282">
        <f t="shared" si="772"/>
        <v>1.22</v>
      </c>
      <c r="BM1140" s="282">
        <f t="shared" si="772"/>
        <v>1.22</v>
      </c>
      <c r="BN1140" s="282">
        <f t="shared" si="772"/>
        <v>1.22</v>
      </c>
      <c r="BO1140" s="282">
        <f t="shared" si="772"/>
        <v>1.22</v>
      </c>
      <c r="BP1140" s="282">
        <f t="shared" si="772"/>
        <v>1.22</v>
      </c>
      <c r="BQ1140" s="5"/>
      <c r="BR1140" s="25"/>
      <c r="BS1140" s="5"/>
    </row>
    <row r="1141" spans="1:71" s="3" customFormat="1" x14ac:dyDescent="0.25">
      <c r="A1141" s="5"/>
      <c r="B1141" s="3" t="str">
        <f t="array" ref="B1141">IFERROR(INDEX(DemandSupply,MATCH(INDEX($AH$1:AH1141,SMALL(ROW($AH$1:AH1141)+(10000*($AH$1:AH1141="")),COUNTA($AH$1:AH1141))),Sectors,0)),"")</f>
        <v>Supply</v>
      </c>
      <c r="E1141" s="10"/>
      <c r="F1141" s="207"/>
      <c r="G1141" s="207"/>
      <c r="H1141" s="207"/>
      <c r="I1141" s="207"/>
      <c r="J1141" s="207"/>
      <c r="K1141" s="207"/>
      <c r="L1141" s="207"/>
      <c r="M1141" s="207"/>
      <c r="N1141" s="207"/>
      <c r="O1141" s="207"/>
      <c r="P1141" s="207"/>
      <c r="Q1141" s="207"/>
      <c r="R1141" s="207"/>
      <c r="S1141" s="207"/>
      <c r="T1141" s="207"/>
      <c r="U1141" s="207"/>
      <c r="V1141" s="207"/>
      <c r="W1141" s="207"/>
      <c r="X1141" s="207"/>
      <c r="Y1141" s="207"/>
      <c r="Z1141" s="207"/>
      <c r="AA1141" s="207"/>
      <c r="AB1141" s="207"/>
      <c r="AC1141" s="5"/>
      <c r="AD1141" s="63"/>
      <c r="AE1141" s="64"/>
      <c r="AF1141" s="64"/>
      <c r="AG1141" s="212"/>
      <c r="AH1141" s="64"/>
      <c r="AI1141" s="64"/>
      <c r="AJ1141" s="64"/>
      <c r="AK1141" s="64"/>
      <c r="AL1141" s="64"/>
      <c r="AM1141" s="64"/>
      <c r="AN1141" s="64"/>
      <c r="AO1141" s="64"/>
      <c r="AP1141" s="63"/>
      <c r="AQ1141" s="64"/>
      <c r="AR1141" s="63"/>
      <c r="AS1141" s="64"/>
      <c r="AT1141" s="63"/>
      <c r="AU1141" s="64"/>
      <c r="AV1141" s="63"/>
      <c r="AW1141" s="64"/>
      <c r="AX1141" s="63"/>
      <c r="AY1141" s="5"/>
      <c r="AZ1141" s="21" t="str">
        <f t="shared" si="770"/>
        <v/>
      </c>
      <c r="BA1141" s="264" t="s">
        <v>394</v>
      </c>
      <c r="BB1141" s="264"/>
      <c r="BC1141" s="264"/>
      <c r="BD1141" s="264" t="s">
        <v>354</v>
      </c>
      <c r="BE1141" s="9" t="s">
        <v>373</v>
      </c>
      <c r="BF1141" s="56"/>
      <c r="BG1141" s="56"/>
      <c r="BH1141" s="56"/>
      <c r="BI1141" s="56"/>
      <c r="BJ1141" s="56"/>
      <c r="BK1141" s="56"/>
      <c r="BL1141" s="56"/>
      <c r="BM1141" s="56"/>
      <c r="BN1141" s="56"/>
      <c r="BO1141" s="56"/>
      <c r="BP1141" s="56"/>
      <c r="BQ1141" s="5"/>
      <c r="BR1141" s="25"/>
      <c r="BS1141" s="5"/>
    </row>
    <row r="1142" spans="1:71" s="3" customFormat="1" x14ac:dyDescent="0.25">
      <c r="A1142" s="5"/>
      <c r="B1142" s="3" t="str">
        <f t="array" ref="B1142">IFERROR(INDEX(DemandSupply,MATCH(INDEX($AH$1:AH1142,SMALL(ROW($AH$1:AH1142)+(10000*($AH$1:AH1142="")),COUNTA($AH$1:AH1142))),Sectors,0)),"")</f>
        <v>Supply</v>
      </c>
      <c r="E1142" s="10"/>
      <c r="F1142" s="207"/>
      <c r="G1142" s="207"/>
      <c r="H1142" s="207"/>
      <c r="I1142" s="207"/>
      <c r="J1142" s="207"/>
      <c r="K1142" s="207"/>
      <c r="L1142" s="207"/>
      <c r="M1142" s="207"/>
      <c r="N1142" s="207"/>
      <c r="O1142" s="207"/>
      <c r="P1142" s="207"/>
      <c r="Q1142" s="207"/>
      <c r="R1142" s="207"/>
      <c r="S1142" s="207"/>
      <c r="T1142" s="207"/>
      <c r="U1142" s="207"/>
      <c r="V1142" s="207"/>
      <c r="W1142" s="207"/>
      <c r="X1142" s="207"/>
      <c r="Y1142" s="207"/>
      <c r="Z1142" s="207"/>
      <c r="AA1142" s="207"/>
      <c r="AB1142" s="207"/>
      <c r="AC1142" s="5"/>
      <c r="AD1142" s="63"/>
      <c r="AE1142" s="64"/>
      <c r="AF1142" s="64"/>
      <c r="AG1142" s="212"/>
      <c r="AH1142" s="64"/>
      <c r="AI1142" s="65"/>
      <c r="AJ1142" s="64"/>
      <c r="AK1142" s="65"/>
      <c r="AL1142" s="64"/>
      <c r="AM1142" s="64"/>
      <c r="AN1142" s="64"/>
      <c r="AO1142" s="64"/>
      <c r="AP1142" s="63"/>
      <c r="AQ1142" s="64"/>
      <c r="AR1142" s="63"/>
      <c r="AS1142" s="64"/>
      <c r="AT1142" s="63"/>
      <c r="AU1142" s="64"/>
      <c r="AV1142" s="63"/>
      <c r="AW1142" s="64"/>
      <c r="AX1142" s="63"/>
      <c r="AY1142" s="5"/>
      <c r="AZ1142" s="21" t="str">
        <f t="shared" si="770"/>
        <v/>
      </c>
      <c r="BA1142" s="2"/>
      <c r="BB1142" s="13"/>
      <c r="BC1142" s="2"/>
      <c r="BD1142" s="2"/>
      <c r="BE1142" s="9"/>
      <c r="BF1142" s="4"/>
      <c r="BG1142" s="4"/>
      <c r="BH1142" s="4"/>
      <c r="BI1142" s="4"/>
      <c r="BJ1142" s="4"/>
      <c r="BK1142" s="4"/>
      <c r="BL1142" s="4"/>
      <c r="BM1142" s="4"/>
      <c r="BN1142" s="4"/>
      <c r="BO1142" s="4"/>
      <c r="BP1142" s="4"/>
      <c r="BQ1142" s="5"/>
      <c r="BR1142" s="13"/>
      <c r="BS1142" s="5"/>
    </row>
    <row r="1143" spans="1:71" s="3" customFormat="1" x14ac:dyDescent="0.25">
      <c r="A1143" s="5"/>
      <c r="B1143" s="3" t="str">
        <f t="array" ref="B1143">IFERROR(INDEX(DemandSupply,MATCH(INDEX($AH$1:AH1143,SMALL(ROW($AH$1:AH1143)+(10000*($AH$1:AH1143="")),COUNTA($AH$1:AH1143))),Sectors,0)),"")</f>
        <v>Supply</v>
      </c>
      <c r="E1143" s="10">
        <f t="shared" si="694"/>
        <v>1</v>
      </c>
      <c r="F1143" s="207">
        <v>1</v>
      </c>
      <c r="G1143" s="207">
        <v>1</v>
      </c>
      <c r="H1143" s="207">
        <v>1</v>
      </c>
      <c r="I1143" s="207">
        <v>1</v>
      </c>
      <c r="J1143" s="207">
        <v>1</v>
      </c>
      <c r="K1143" s="207">
        <v>1</v>
      </c>
      <c r="L1143" s="207">
        <v>1</v>
      </c>
      <c r="M1143" s="207">
        <v>1</v>
      </c>
      <c r="N1143" s="207">
        <v>1</v>
      </c>
      <c r="O1143" s="207">
        <v>1</v>
      </c>
      <c r="P1143" s="207">
        <v>1</v>
      </c>
      <c r="Q1143" s="207">
        <v>1</v>
      </c>
      <c r="R1143" s="207">
        <v>1</v>
      </c>
      <c r="S1143" s="207">
        <v>1</v>
      </c>
      <c r="T1143" s="207">
        <v>1</v>
      </c>
      <c r="U1143" s="207">
        <v>1</v>
      </c>
      <c r="V1143" s="207">
        <v>1</v>
      </c>
      <c r="W1143" s="207">
        <v>1</v>
      </c>
      <c r="X1143" s="207">
        <v>1</v>
      </c>
      <c r="Y1143" s="207">
        <v>1</v>
      </c>
      <c r="Z1143" s="207">
        <v>1</v>
      </c>
      <c r="AA1143" s="207">
        <v>1</v>
      </c>
      <c r="AB1143" s="207">
        <v>1</v>
      </c>
      <c r="AC1143" s="5"/>
      <c r="AD1143" s="63"/>
      <c r="AE1143" s="64"/>
      <c r="AF1143" s="64"/>
      <c r="AG1143" s="212"/>
      <c r="AH1143" s="211" t="s">
        <v>14</v>
      </c>
      <c r="AI1143" s="65"/>
      <c r="AJ1143" s="64"/>
      <c r="AK1143" s="65"/>
      <c r="AL1143" s="64"/>
      <c r="AM1143" s="64"/>
      <c r="AN1143" s="63"/>
      <c r="AO1143" s="64"/>
      <c r="AP1143" s="63"/>
      <c r="AQ1143" s="64"/>
      <c r="AR1143" s="63"/>
      <c r="AS1143" s="64"/>
      <c r="AT1143" s="63"/>
      <c r="AU1143" s="64"/>
      <c r="AV1143" s="63"/>
      <c r="AW1143" s="64"/>
      <c r="AX1143" s="63"/>
      <c r="AY1143" s="5"/>
      <c r="AZ1143" s="208" t="str">
        <f t="shared" si="770"/>
        <v>Natural Gas</v>
      </c>
      <c r="BA1143" s="2"/>
      <c r="BB1143" s="13"/>
      <c r="BC1143" s="2"/>
      <c r="BD1143" s="2"/>
      <c r="BE1143" s="16"/>
      <c r="BF1143" s="4"/>
      <c r="BG1143" s="4"/>
      <c r="BH1143" s="4"/>
      <c r="BI1143" s="4"/>
      <c r="BJ1143" s="4"/>
      <c r="BK1143" s="4"/>
      <c r="BL1143" s="4"/>
      <c r="BM1143" s="4"/>
      <c r="BN1143" s="4"/>
      <c r="BO1143" s="4"/>
      <c r="BP1143" s="4"/>
      <c r="BQ1143" s="5"/>
      <c r="BR1143" s="13"/>
      <c r="BS1143" s="5"/>
    </row>
    <row r="1144" spans="1:71" s="3" customFormat="1" x14ac:dyDescent="0.25">
      <c r="A1144" s="5"/>
      <c r="B1144" s="3" t="str">
        <f t="array" ref="B1144">IFERROR(INDEX(DemandSupply,MATCH(INDEX($AH$1:AH1144,SMALL(ROW($AH$1:AH1144)+(10000*($AH$1:AH1144="")),COUNTA($AH$1:AH1144))),Sectors,0)),"")</f>
        <v>Supply</v>
      </c>
      <c r="E1144" s="10">
        <f t="shared" si="694"/>
        <v>0</v>
      </c>
      <c r="F1144" s="207">
        <v>1</v>
      </c>
      <c r="G1144" s="207">
        <v>1</v>
      </c>
      <c r="H1144" s="207">
        <v>1</v>
      </c>
      <c r="I1144" s="207">
        <v>1</v>
      </c>
      <c r="J1144" s="207">
        <v>1</v>
      </c>
      <c r="K1144" s="207">
        <v>1</v>
      </c>
      <c r="L1144" s="207">
        <v>1</v>
      </c>
      <c r="M1144" s="207">
        <v>1</v>
      </c>
      <c r="N1144" s="207">
        <v>1</v>
      </c>
      <c r="O1144" s="207">
        <v>1</v>
      </c>
      <c r="P1144" s="207">
        <v>1</v>
      </c>
      <c r="Q1144" s="207">
        <v>1</v>
      </c>
      <c r="R1144" s="207">
        <v>1</v>
      </c>
      <c r="S1144" s="207">
        <v>1</v>
      </c>
      <c r="T1144" s="207">
        <v>1</v>
      </c>
      <c r="U1144" s="207">
        <v>1</v>
      </c>
      <c r="V1144" s="207">
        <v>1</v>
      </c>
      <c r="W1144" s="207">
        <v>1</v>
      </c>
      <c r="X1144" s="207">
        <v>1</v>
      </c>
      <c r="Y1144" s="207">
        <v>1</v>
      </c>
      <c r="Z1144" s="207">
        <v>1</v>
      </c>
      <c r="AA1144" s="207">
        <v>1</v>
      </c>
      <c r="AB1144" s="207">
        <v>1</v>
      </c>
      <c r="AC1144" s="5"/>
      <c r="AD1144" s="63"/>
      <c r="AE1144" s="64"/>
      <c r="AF1144" s="64"/>
      <c r="AG1144" s="212"/>
      <c r="AH1144" s="64"/>
      <c r="AI1144" s="65"/>
      <c r="AJ1144" s="64"/>
      <c r="AK1144" s="65"/>
      <c r="AL1144" s="64"/>
      <c r="AM1144" s="64"/>
      <c r="AN1144" s="63"/>
      <c r="AO1144" s="64"/>
      <c r="AP1144" s="63"/>
      <c r="AQ1144" s="64"/>
      <c r="AR1144" s="63"/>
      <c r="AS1144" s="64"/>
      <c r="AT1144" s="63"/>
      <c r="AU1144" s="64"/>
      <c r="AV1144" s="63"/>
      <c r="AW1144" s="64"/>
      <c r="AX1144" s="63"/>
      <c r="AY1144" s="5"/>
      <c r="AZ1144" s="21" t="str">
        <f t="shared" si="770"/>
        <v/>
      </c>
      <c r="BA1144" t="s">
        <v>337</v>
      </c>
      <c r="BB1144" s="13"/>
      <c r="BC1144" s="2" t="s">
        <v>185</v>
      </c>
      <c r="BD1144" s="2" t="s">
        <v>34</v>
      </c>
      <c r="BE1144" s="26" t="str">
        <f>AZ1143</f>
        <v>Natural Gas</v>
      </c>
      <c r="BF1144" s="56"/>
      <c r="BG1144" s="56"/>
      <c r="BH1144" s="56"/>
      <c r="BI1144" s="56"/>
      <c r="BJ1144" s="56"/>
      <c r="BK1144" s="56"/>
      <c r="BL1144" s="56"/>
      <c r="BM1144" s="56"/>
      <c r="BN1144" s="56"/>
      <c r="BO1144" s="56"/>
      <c r="BP1144" s="56"/>
      <c r="BQ1144" s="5"/>
      <c r="BR1144" s="13"/>
      <c r="BS1144" s="5"/>
    </row>
    <row r="1145" spans="1:71" s="3" customFormat="1" x14ac:dyDescent="0.25">
      <c r="A1145" s="5"/>
      <c r="B1145" s="3" t="str">
        <f t="array" ref="B1145">IFERROR(INDEX(DemandSupply,MATCH(INDEX($AH$1:AH1145,SMALL(ROW($AH$1:AH1145)+(10000*($AH$1:AH1145="")),COUNTA($AH$1:AH1145))),Sectors,0)),"")</f>
        <v>Supply</v>
      </c>
      <c r="E1145" s="10">
        <f t="shared" si="694"/>
        <v>0</v>
      </c>
      <c r="F1145" s="207">
        <v>1</v>
      </c>
      <c r="G1145" s="207">
        <v>1</v>
      </c>
      <c r="H1145" s="207">
        <v>1</v>
      </c>
      <c r="I1145" s="207">
        <v>1</v>
      </c>
      <c r="J1145" s="207">
        <v>1</v>
      </c>
      <c r="K1145" s="207">
        <v>1</v>
      </c>
      <c r="L1145" s="207">
        <v>1</v>
      </c>
      <c r="M1145" s="207">
        <v>1</v>
      </c>
      <c r="N1145" s="207">
        <v>1</v>
      </c>
      <c r="O1145" s="207">
        <v>1</v>
      </c>
      <c r="P1145" s="207">
        <v>1</v>
      </c>
      <c r="Q1145" s="207">
        <v>1</v>
      </c>
      <c r="R1145" s="207">
        <v>1</v>
      </c>
      <c r="S1145" s="207">
        <v>1</v>
      </c>
      <c r="T1145" s="207">
        <v>1</v>
      </c>
      <c r="U1145" s="207">
        <v>1</v>
      </c>
      <c r="V1145" s="207">
        <v>1</v>
      </c>
      <c r="W1145" s="207">
        <v>1</v>
      </c>
      <c r="X1145" s="207">
        <v>1</v>
      </c>
      <c r="Y1145" s="207">
        <v>1</v>
      </c>
      <c r="Z1145" s="207">
        <v>1</v>
      </c>
      <c r="AA1145" s="207">
        <v>1</v>
      </c>
      <c r="AB1145" s="207">
        <v>1</v>
      </c>
      <c r="AC1145" s="5"/>
      <c r="AD1145" s="63"/>
      <c r="AE1145" s="64"/>
      <c r="AF1145" s="64"/>
      <c r="AG1145" s="212"/>
      <c r="AH1145" s="64"/>
      <c r="AI1145" s="65"/>
      <c r="AJ1145" s="64"/>
      <c r="AK1145" s="65"/>
      <c r="AL1145" s="64"/>
      <c r="AM1145" s="64"/>
      <c r="AN1145" s="63"/>
      <c r="AO1145" s="64"/>
      <c r="AP1145" s="63"/>
      <c r="AQ1145" s="64"/>
      <c r="AR1145" s="63"/>
      <c r="AS1145" s="64"/>
      <c r="AT1145" s="63"/>
      <c r="AU1145" s="64"/>
      <c r="AV1145" s="63"/>
      <c r="AW1145" s="64"/>
      <c r="AX1145" s="63"/>
      <c r="AY1145" s="5"/>
      <c r="AZ1145" s="21" t="str">
        <f t="shared" si="770"/>
        <v/>
      </c>
      <c r="BA1145" t="s">
        <v>7</v>
      </c>
      <c r="BB1145" s="13"/>
      <c r="BC1145" s="2"/>
      <c r="BD1145" s="2"/>
      <c r="BE1145" s="26" t="s">
        <v>35</v>
      </c>
      <c r="BF1145" s="4"/>
      <c r="BG1145" s="4"/>
      <c r="BH1145" s="4"/>
      <c r="BI1145" s="4"/>
      <c r="BJ1145" s="4"/>
      <c r="BK1145" s="4"/>
      <c r="BL1145" s="4"/>
      <c r="BM1145" s="4"/>
      <c r="BN1145" s="4"/>
      <c r="BO1145" s="4"/>
      <c r="BP1145" s="4"/>
      <c r="BQ1145" s="5"/>
      <c r="BR1145" s="13"/>
      <c r="BS1145" s="5"/>
    </row>
    <row r="1146" spans="1:71" s="3" customFormat="1" x14ac:dyDescent="0.25">
      <c r="A1146" s="5"/>
      <c r="B1146" s="3" t="str">
        <f t="array" ref="B1146">IFERROR(INDEX(DemandSupply,MATCH(INDEX($AH$1:AH1146,SMALL(ROW($AH$1:AH1146)+(10000*($AH$1:AH1146="")),COUNTA($AH$1:AH1146))),Sectors,0)),"")</f>
        <v>Supply</v>
      </c>
      <c r="E1146" s="10">
        <f t="shared" si="694"/>
        <v>0</v>
      </c>
      <c r="F1146" s="207">
        <v>1</v>
      </c>
      <c r="G1146" s="207">
        <v>1</v>
      </c>
      <c r="H1146" s="207">
        <v>1</v>
      </c>
      <c r="I1146" s="207">
        <v>1</v>
      </c>
      <c r="J1146" s="207">
        <v>1</v>
      </c>
      <c r="K1146" s="207">
        <v>1</v>
      </c>
      <c r="L1146" s="207">
        <v>1</v>
      </c>
      <c r="M1146" s="207">
        <v>1</v>
      </c>
      <c r="N1146" s="207">
        <v>1</v>
      </c>
      <c r="O1146" s="207">
        <v>1</v>
      </c>
      <c r="P1146" s="207">
        <v>1</v>
      </c>
      <c r="Q1146" s="207">
        <v>1</v>
      </c>
      <c r="R1146" s="207">
        <v>1</v>
      </c>
      <c r="S1146" s="207">
        <v>1</v>
      </c>
      <c r="T1146" s="207">
        <v>1</v>
      </c>
      <c r="U1146" s="207">
        <v>1</v>
      </c>
      <c r="V1146" s="207">
        <v>1</v>
      </c>
      <c r="W1146" s="207">
        <v>1</v>
      </c>
      <c r="X1146" s="207">
        <v>1</v>
      </c>
      <c r="Y1146" s="207">
        <v>1</v>
      </c>
      <c r="Z1146" s="207">
        <v>1</v>
      </c>
      <c r="AA1146" s="207">
        <v>1</v>
      </c>
      <c r="AB1146" s="207">
        <v>1</v>
      </c>
      <c r="AC1146" s="5"/>
      <c r="AD1146" s="63"/>
      <c r="AE1146" s="64"/>
      <c r="AF1146" s="64"/>
      <c r="AG1146" s="212"/>
      <c r="AH1146" s="64"/>
      <c r="AI1146" s="65"/>
      <c r="AJ1146" s="64"/>
      <c r="AK1146" s="65"/>
      <c r="AL1146" s="64"/>
      <c r="AM1146" s="64"/>
      <c r="AN1146" s="63"/>
      <c r="AO1146" s="64"/>
      <c r="AP1146" s="63"/>
      <c r="AQ1146" s="64"/>
      <c r="AR1146" s="63"/>
      <c r="AS1146" s="64"/>
      <c r="AT1146" s="63"/>
      <c r="AU1146" s="64"/>
      <c r="AV1146" s="63"/>
      <c r="AW1146" s="64"/>
      <c r="AX1146" s="63"/>
      <c r="AY1146" s="5"/>
      <c r="AZ1146" s="21" t="str">
        <f t="shared" si="770"/>
        <v/>
      </c>
      <c r="BA1146" t="s">
        <v>343</v>
      </c>
      <c r="BB1146" s="13"/>
      <c r="BC1146" s="2"/>
      <c r="BD1146" s="2" t="s">
        <v>99</v>
      </c>
      <c r="BE1146" s="26" t="s">
        <v>41</v>
      </c>
      <c r="BF1146" s="303"/>
      <c r="BG1146" s="303"/>
      <c r="BH1146" s="303"/>
      <c r="BI1146" s="303"/>
      <c r="BJ1146" s="303"/>
      <c r="BK1146" s="303"/>
      <c r="BL1146" s="303"/>
      <c r="BM1146" s="303"/>
      <c r="BN1146" s="303"/>
      <c r="BO1146" s="303"/>
      <c r="BP1146" s="303"/>
      <c r="BQ1146" s="5"/>
      <c r="BR1146" s="13"/>
      <c r="BS1146" s="5"/>
    </row>
    <row r="1147" spans="1:71" s="3" customFormat="1" x14ac:dyDescent="0.25">
      <c r="A1147" s="5"/>
      <c r="B1147" s="3" t="str">
        <f t="array" ref="B1147">IFERROR(INDEX(DemandSupply,MATCH(INDEX($AH$1:AH1147,SMALL(ROW($AH$1:AH1147)+(10000*($AH$1:AH1147="")),COUNTA($AH$1:AH1147))),Sectors,0)),"")</f>
        <v>Supply</v>
      </c>
      <c r="E1147" s="10">
        <f t="shared" si="694"/>
        <v>0</v>
      </c>
      <c r="F1147" s="207">
        <v>1</v>
      </c>
      <c r="G1147" s="207">
        <v>1</v>
      </c>
      <c r="H1147" s="207">
        <v>1</v>
      </c>
      <c r="I1147" s="207">
        <v>1</v>
      </c>
      <c r="J1147" s="207">
        <v>1</v>
      </c>
      <c r="K1147" s="207">
        <v>1</v>
      </c>
      <c r="L1147" s="207">
        <v>1</v>
      </c>
      <c r="M1147" s="207">
        <v>1</v>
      </c>
      <c r="N1147" s="207">
        <v>1</v>
      </c>
      <c r="O1147" s="207">
        <v>1</v>
      </c>
      <c r="P1147" s="207">
        <v>1</v>
      </c>
      <c r="Q1147" s="207">
        <v>1</v>
      </c>
      <c r="R1147" s="207">
        <v>1</v>
      </c>
      <c r="S1147" s="207">
        <v>1</v>
      </c>
      <c r="T1147" s="207">
        <v>1</v>
      </c>
      <c r="U1147" s="207">
        <v>1</v>
      </c>
      <c r="V1147" s="207">
        <v>1</v>
      </c>
      <c r="W1147" s="207">
        <v>1</v>
      </c>
      <c r="X1147" s="207">
        <v>1</v>
      </c>
      <c r="Y1147" s="207">
        <v>1</v>
      </c>
      <c r="Z1147" s="207">
        <v>1</v>
      </c>
      <c r="AA1147" s="207">
        <v>1</v>
      </c>
      <c r="AB1147" s="207">
        <v>1</v>
      </c>
      <c r="AC1147" s="5"/>
      <c r="AD1147" s="63"/>
      <c r="AE1147" s="64"/>
      <c r="AF1147" s="64"/>
      <c r="AG1147" s="212"/>
      <c r="AH1147" s="64"/>
      <c r="AI1147" s="65"/>
      <c r="AJ1147" s="64"/>
      <c r="AK1147" s="65"/>
      <c r="AL1147" s="64"/>
      <c r="AM1147" s="64"/>
      <c r="AN1147" s="63"/>
      <c r="AO1147" s="64"/>
      <c r="AP1147" s="63"/>
      <c r="AQ1147" s="64"/>
      <c r="AR1147" s="63"/>
      <c r="AS1147" s="64"/>
      <c r="AT1147" s="63"/>
      <c r="AU1147" s="64"/>
      <c r="AV1147" s="63"/>
      <c r="AW1147" s="64"/>
      <c r="AX1147" s="63"/>
      <c r="AY1147" s="5"/>
      <c r="AZ1147" s="21" t="str">
        <f t="shared" si="770"/>
        <v/>
      </c>
      <c r="BA1147" t="s">
        <v>50</v>
      </c>
      <c r="BB1147" s="13"/>
      <c r="BC1147" s="2"/>
      <c r="BD1147" s="2" t="s">
        <v>99</v>
      </c>
      <c r="BE1147" s="26"/>
      <c r="BF1147" s="303"/>
      <c r="BG1147" s="303"/>
      <c r="BH1147" s="303"/>
      <c r="BI1147" s="303"/>
      <c r="BJ1147" s="303"/>
      <c r="BK1147" s="303"/>
      <c r="BL1147" s="303"/>
      <c r="BM1147" s="303"/>
      <c r="BN1147" s="303"/>
      <c r="BO1147" s="303"/>
      <c r="BP1147" s="303"/>
      <c r="BQ1147" s="5"/>
      <c r="BR1147" s="13"/>
      <c r="BS1147" s="5"/>
    </row>
    <row r="1148" spans="1:71" s="3" customFormat="1" x14ac:dyDescent="0.25">
      <c r="A1148" s="5"/>
      <c r="B1148" s="3" t="str">
        <f t="array" ref="B1148">IFERROR(INDEX(DemandSupply,MATCH(INDEX($AH$1:AH1148,SMALL(ROW($AH$1:AH1148)+(10000*($AH$1:AH1148="")),COUNTA($AH$1:AH1148))),Sectors,0)),"")</f>
        <v>Supply</v>
      </c>
      <c r="E1148" s="10">
        <f t="shared" si="694"/>
        <v>0</v>
      </c>
      <c r="F1148" s="207">
        <v>1</v>
      </c>
      <c r="G1148" s="207">
        <v>1</v>
      </c>
      <c r="H1148" s="207">
        <v>1</v>
      </c>
      <c r="I1148" s="207">
        <v>1</v>
      </c>
      <c r="J1148" s="207">
        <v>1</v>
      </c>
      <c r="K1148" s="207">
        <v>1</v>
      </c>
      <c r="L1148" s="207">
        <v>1</v>
      </c>
      <c r="M1148" s="207">
        <v>1</v>
      </c>
      <c r="N1148" s="207">
        <v>1</v>
      </c>
      <c r="O1148" s="207">
        <v>1</v>
      </c>
      <c r="P1148" s="207">
        <v>1</v>
      </c>
      <c r="Q1148" s="207">
        <v>1</v>
      </c>
      <c r="R1148" s="207">
        <v>1</v>
      </c>
      <c r="S1148" s="207">
        <v>1</v>
      </c>
      <c r="T1148" s="207">
        <v>1</v>
      </c>
      <c r="U1148" s="207">
        <v>1</v>
      </c>
      <c r="V1148" s="207">
        <v>1</v>
      </c>
      <c r="W1148" s="207">
        <v>1</v>
      </c>
      <c r="X1148" s="207">
        <v>1</v>
      </c>
      <c r="Y1148" s="207">
        <v>1</v>
      </c>
      <c r="Z1148" s="207">
        <v>1</v>
      </c>
      <c r="AA1148" s="207">
        <v>1</v>
      </c>
      <c r="AB1148" s="207">
        <v>1</v>
      </c>
      <c r="AC1148" s="5"/>
      <c r="AD1148" s="63"/>
      <c r="AE1148" s="64"/>
      <c r="AF1148" s="64"/>
      <c r="AG1148" s="212"/>
      <c r="AH1148" s="64"/>
      <c r="AI1148" s="65"/>
      <c r="AJ1148" s="64"/>
      <c r="AK1148" s="65"/>
      <c r="AL1148" s="64"/>
      <c r="AM1148" s="64"/>
      <c r="AN1148" s="63"/>
      <c r="AO1148" s="64"/>
      <c r="AP1148" s="63"/>
      <c r="AQ1148" s="64"/>
      <c r="AR1148" s="63"/>
      <c r="AS1148" s="64"/>
      <c r="AT1148" s="63"/>
      <c r="AU1148" s="64"/>
      <c r="AV1148" s="63"/>
      <c r="AW1148" s="64"/>
      <c r="AX1148" s="63"/>
      <c r="AY1148" s="5"/>
      <c r="AZ1148" s="21" t="str">
        <f t="shared" si="770"/>
        <v/>
      </c>
      <c r="BA1148" t="s">
        <v>20</v>
      </c>
      <c r="BB1148" s="13"/>
      <c r="BC1148" s="2"/>
      <c r="BD1148" s="2"/>
      <c r="BE1148" s="26" t="s">
        <v>42</v>
      </c>
      <c r="BF1148" s="4"/>
      <c r="BG1148" s="4"/>
      <c r="BH1148" s="4"/>
      <c r="BI1148" s="4"/>
      <c r="BJ1148" s="4"/>
      <c r="BK1148" s="4"/>
      <c r="BL1148" s="4"/>
      <c r="BM1148" s="4"/>
      <c r="BN1148" s="4"/>
      <c r="BO1148" s="4"/>
      <c r="BP1148" s="4"/>
      <c r="BQ1148" s="5"/>
      <c r="BR1148" s="13"/>
      <c r="BS1148" s="5"/>
    </row>
    <row r="1149" spans="1:71" s="3" customFormat="1" x14ac:dyDescent="0.25">
      <c r="A1149" s="5"/>
      <c r="B1149" s="3" t="str">
        <f t="array" ref="B1149">IFERROR(INDEX(DemandSupply,MATCH(INDEX($AH$1:AH1149,SMALL(ROW($AH$1:AH1149)+(10000*($AH$1:AH1149="")),COUNTA($AH$1:AH1149))),Sectors,0)),"")</f>
        <v>Supply</v>
      </c>
      <c r="E1149" s="10">
        <f t="shared" si="694"/>
        <v>0</v>
      </c>
      <c r="F1149" s="207">
        <v>1</v>
      </c>
      <c r="G1149" s="207">
        <v>1</v>
      </c>
      <c r="H1149" s="207">
        <v>1</v>
      </c>
      <c r="I1149" s="207">
        <v>1</v>
      </c>
      <c r="J1149" s="207">
        <v>1</v>
      </c>
      <c r="K1149" s="207">
        <v>1</v>
      </c>
      <c r="L1149" s="207">
        <v>1</v>
      </c>
      <c r="M1149" s="207">
        <v>1</v>
      </c>
      <c r="N1149" s="207">
        <v>1</v>
      </c>
      <c r="O1149" s="207">
        <v>1</v>
      </c>
      <c r="P1149" s="207">
        <v>1</v>
      </c>
      <c r="Q1149" s="207">
        <v>1</v>
      </c>
      <c r="R1149" s="207">
        <v>1</v>
      </c>
      <c r="S1149" s="207">
        <v>1</v>
      </c>
      <c r="T1149" s="207">
        <v>1</v>
      </c>
      <c r="U1149" s="207">
        <v>1</v>
      </c>
      <c r="V1149" s="207">
        <v>1</v>
      </c>
      <c r="W1149" s="207">
        <v>1</v>
      </c>
      <c r="X1149" s="207">
        <v>1</v>
      </c>
      <c r="Y1149" s="207">
        <v>1</v>
      </c>
      <c r="Z1149" s="207">
        <v>1</v>
      </c>
      <c r="AA1149" s="207">
        <v>1</v>
      </c>
      <c r="AB1149" s="207">
        <v>1</v>
      </c>
      <c r="AC1149" s="5"/>
      <c r="AD1149" s="63"/>
      <c r="AE1149" s="64"/>
      <c r="AF1149" s="64"/>
      <c r="AG1149" s="212"/>
      <c r="AH1149" s="64"/>
      <c r="AI1149" s="65"/>
      <c r="AJ1149" s="64"/>
      <c r="AK1149" s="65"/>
      <c r="AL1149" s="64"/>
      <c r="AM1149" s="64"/>
      <c r="AN1149" s="63"/>
      <c r="AO1149" s="64"/>
      <c r="AP1149" s="63"/>
      <c r="AQ1149" s="64"/>
      <c r="AR1149" s="63"/>
      <c r="AS1149" s="64"/>
      <c r="AT1149" s="63"/>
      <c r="AU1149" s="64"/>
      <c r="AV1149" s="63"/>
      <c r="AW1149" s="64"/>
      <c r="AX1149" s="63"/>
      <c r="AY1149" s="5"/>
      <c r="AZ1149" s="21" t="str">
        <f t="shared" si="770"/>
        <v/>
      </c>
      <c r="BA1149" s="15" t="s">
        <v>11</v>
      </c>
      <c r="BB1149" s="13"/>
      <c r="BC1149" s="2"/>
      <c r="BD1149" s="2" t="s">
        <v>355</v>
      </c>
      <c r="BE1149" s="14" t="s">
        <v>12</v>
      </c>
      <c r="BF1149" s="56"/>
      <c r="BG1149" s="56"/>
      <c r="BH1149" s="56"/>
      <c r="BI1149" s="56"/>
      <c r="BJ1149" s="56"/>
      <c r="BK1149" s="56"/>
      <c r="BL1149" s="56"/>
      <c r="BM1149" s="56"/>
      <c r="BN1149" s="56"/>
      <c r="BO1149" s="56"/>
      <c r="BP1149" s="56"/>
      <c r="BQ1149" s="5"/>
      <c r="BR1149" s="13"/>
      <c r="BS1149" s="5"/>
    </row>
    <row r="1150" spans="1:71" s="3" customFormat="1" x14ac:dyDescent="0.25">
      <c r="A1150" s="5"/>
      <c r="B1150" s="3" t="str">
        <f t="array" ref="B1150">IFERROR(INDEX(DemandSupply,MATCH(INDEX($AH$1:AH1150,SMALL(ROW($AH$1:AH1150)+(10000*($AH$1:AH1150="")),COUNTA($AH$1:AH1150))),Sectors,0)),"")</f>
        <v>Supply</v>
      </c>
      <c r="E1150" s="10">
        <f t="shared" si="694"/>
        <v>0</v>
      </c>
      <c r="F1150" s="207">
        <v>1</v>
      </c>
      <c r="G1150" s="207">
        <v>1</v>
      </c>
      <c r="H1150" s="207">
        <v>1</v>
      </c>
      <c r="I1150" s="207">
        <v>1</v>
      </c>
      <c r="J1150" s="207">
        <v>1</v>
      </c>
      <c r="K1150" s="207">
        <v>1</v>
      </c>
      <c r="L1150" s="207">
        <v>1</v>
      </c>
      <c r="M1150" s="207">
        <v>1</v>
      </c>
      <c r="N1150" s="207">
        <v>1</v>
      </c>
      <c r="O1150" s="207">
        <v>1</v>
      </c>
      <c r="P1150" s="207">
        <v>1</v>
      </c>
      <c r="Q1150" s="207">
        <v>1</v>
      </c>
      <c r="R1150" s="207">
        <v>1</v>
      </c>
      <c r="S1150" s="207">
        <v>1</v>
      </c>
      <c r="T1150" s="207">
        <v>1</v>
      </c>
      <c r="U1150" s="207">
        <v>1</v>
      </c>
      <c r="V1150" s="207">
        <v>1</v>
      </c>
      <c r="W1150" s="207">
        <v>1</v>
      </c>
      <c r="X1150" s="207">
        <v>1</v>
      </c>
      <c r="Y1150" s="207">
        <v>1</v>
      </c>
      <c r="Z1150" s="207">
        <v>1</v>
      </c>
      <c r="AA1150" s="207">
        <v>1</v>
      </c>
      <c r="AB1150" s="207">
        <v>1</v>
      </c>
      <c r="AC1150" s="5"/>
      <c r="AD1150" s="63"/>
      <c r="AE1150" s="64"/>
      <c r="AF1150" s="64"/>
      <c r="AG1150" s="212"/>
      <c r="AH1150" s="64"/>
      <c r="AI1150" s="65"/>
      <c r="AJ1150" s="64"/>
      <c r="AK1150" s="65"/>
      <c r="AL1150" s="64"/>
      <c r="AM1150" s="64"/>
      <c r="AN1150" s="63"/>
      <c r="AO1150" s="64"/>
      <c r="AP1150" s="63"/>
      <c r="AQ1150" s="64"/>
      <c r="AR1150" s="63"/>
      <c r="AS1150" s="64"/>
      <c r="AT1150" s="63"/>
      <c r="AU1150" s="64"/>
      <c r="AV1150" s="63"/>
      <c r="AW1150" s="64"/>
      <c r="AX1150" s="63"/>
      <c r="AY1150" s="5"/>
      <c r="AZ1150" s="21" t="str">
        <f t="shared" si="770"/>
        <v/>
      </c>
      <c r="BA1150" s="15" t="s">
        <v>11</v>
      </c>
      <c r="BB1150" s="13"/>
      <c r="BC1150" s="2"/>
      <c r="BD1150" s="2" t="s">
        <v>355</v>
      </c>
      <c r="BE1150" s="14" t="s">
        <v>13</v>
      </c>
      <c r="BF1150" s="56"/>
      <c r="BG1150" s="56"/>
      <c r="BH1150" s="56"/>
      <c r="BI1150" s="56"/>
      <c r="BJ1150" s="56"/>
      <c r="BK1150" s="56"/>
      <c r="BL1150" s="56"/>
      <c r="BM1150" s="56"/>
      <c r="BN1150" s="56"/>
      <c r="BO1150" s="56"/>
      <c r="BP1150" s="56"/>
      <c r="BQ1150" s="5"/>
      <c r="BR1150" s="13"/>
      <c r="BS1150" s="5"/>
    </row>
    <row r="1151" spans="1:71" s="3" customFormat="1" x14ac:dyDescent="0.25">
      <c r="A1151" s="5"/>
      <c r="B1151" s="3" t="str">
        <f t="array" ref="B1151">IFERROR(INDEX(DemandSupply,MATCH(INDEX($AH$1:AH1151,SMALL(ROW($AH$1:AH1151)+(10000*($AH$1:AH1151="")),COUNTA($AH$1:AH1151))),Sectors,0)),"")</f>
        <v>Supply</v>
      </c>
      <c r="E1151" s="10">
        <f t="shared" si="694"/>
        <v>0</v>
      </c>
      <c r="F1151" s="207">
        <v>1</v>
      </c>
      <c r="G1151" s="207">
        <v>1</v>
      </c>
      <c r="H1151" s="207">
        <v>1</v>
      </c>
      <c r="I1151" s="207">
        <v>1</v>
      </c>
      <c r="J1151" s="207">
        <v>1</v>
      </c>
      <c r="K1151" s="207">
        <v>1</v>
      </c>
      <c r="L1151" s="207">
        <v>1</v>
      </c>
      <c r="M1151" s="207">
        <v>1</v>
      </c>
      <c r="N1151" s="207">
        <v>1</v>
      </c>
      <c r="O1151" s="207">
        <v>1</v>
      </c>
      <c r="P1151" s="207">
        <v>1</v>
      </c>
      <c r="Q1151" s="207">
        <v>1</v>
      </c>
      <c r="R1151" s="207">
        <v>1</v>
      </c>
      <c r="S1151" s="207">
        <v>1</v>
      </c>
      <c r="T1151" s="207">
        <v>1</v>
      </c>
      <c r="U1151" s="207">
        <v>1</v>
      </c>
      <c r="V1151" s="207">
        <v>1</v>
      </c>
      <c r="W1151" s="207">
        <v>1</v>
      </c>
      <c r="X1151" s="207">
        <v>1</v>
      </c>
      <c r="Y1151" s="207">
        <v>1</v>
      </c>
      <c r="Z1151" s="207">
        <v>1</v>
      </c>
      <c r="AA1151" s="207">
        <v>1</v>
      </c>
      <c r="AB1151" s="207">
        <v>1</v>
      </c>
      <c r="AC1151" s="5"/>
      <c r="AD1151" s="63"/>
      <c r="AE1151" s="64"/>
      <c r="AF1151" s="64"/>
      <c r="AG1151" s="212"/>
      <c r="AH1151" s="64"/>
      <c r="AI1151" s="65"/>
      <c r="AJ1151" s="64"/>
      <c r="AK1151" s="65"/>
      <c r="AL1151" s="64"/>
      <c r="AM1151" s="64"/>
      <c r="AN1151" s="63"/>
      <c r="AO1151" s="64"/>
      <c r="AP1151" s="63"/>
      <c r="AQ1151" s="64"/>
      <c r="AR1151" s="63"/>
      <c r="AS1151" s="64"/>
      <c r="AT1151" s="63"/>
      <c r="AU1151" s="64"/>
      <c r="AV1151" s="63"/>
      <c r="AW1151" s="64"/>
      <c r="AX1151" s="63"/>
      <c r="AY1151" s="5"/>
      <c r="AZ1151" s="21" t="str">
        <f t="shared" si="770"/>
        <v/>
      </c>
      <c r="BA1151" s="15" t="s">
        <v>11</v>
      </c>
      <c r="BB1151" s="13"/>
      <c r="BC1151" s="2"/>
      <c r="BD1151" s="2" t="s">
        <v>355</v>
      </c>
      <c r="BE1151" s="14" t="s">
        <v>14</v>
      </c>
      <c r="BF1151" s="56"/>
      <c r="BG1151" s="56"/>
      <c r="BH1151" s="56"/>
      <c r="BI1151" s="56"/>
      <c r="BJ1151" s="56"/>
      <c r="BK1151" s="56"/>
      <c r="BL1151" s="56"/>
      <c r="BM1151" s="56"/>
      <c r="BN1151" s="56"/>
      <c r="BO1151" s="56"/>
      <c r="BP1151" s="56"/>
      <c r="BQ1151" s="5"/>
      <c r="BR1151" s="13"/>
      <c r="BS1151" s="5"/>
    </row>
    <row r="1152" spans="1:71" s="3" customFormat="1" x14ac:dyDescent="0.25">
      <c r="A1152" s="5"/>
      <c r="B1152" s="3" t="str">
        <f t="array" ref="B1152">IFERROR(INDEX(DemandSupply,MATCH(INDEX($AH$1:AH1152,SMALL(ROW($AH$1:AH1152)+(10000*($AH$1:AH1152="")),COUNTA($AH$1:AH1152))),Sectors,0)),"")</f>
        <v>Supply</v>
      </c>
      <c r="E1152" s="10">
        <f t="shared" si="694"/>
        <v>0</v>
      </c>
      <c r="F1152" s="207">
        <v>1</v>
      </c>
      <c r="G1152" s="207">
        <v>1</v>
      </c>
      <c r="H1152" s="207">
        <v>1</v>
      </c>
      <c r="I1152" s="207">
        <v>1</v>
      </c>
      <c r="J1152" s="207">
        <v>1</v>
      </c>
      <c r="K1152" s="207">
        <v>1</v>
      </c>
      <c r="L1152" s="207">
        <v>1</v>
      </c>
      <c r="M1152" s="207">
        <v>1</v>
      </c>
      <c r="N1152" s="207">
        <v>1</v>
      </c>
      <c r="O1152" s="207">
        <v>1</v>
      </c>
      <c r="P1152" s="207">
        <v>1</v>
      </c>
      <c r="Q1152" s="207">
        <v>1</v>
      </c>
      <c r="R1152" s="207">
        <v>1</v>
      </c>
      <c r="S1152" s="207">
        <v>1</v>
      </c>
      <c r="T1152" s="207">
        <v>1</v>
      </c>
      <c r="U1152" s="207">
        <v>1</v>
      </c>
      <c r="V1152" s="207">
        <v>1</v>
      </c>
      <c r="W1152" s="207">
        <v>1</v>
      </c>
      <c r="X1152" s="207">
        <v>1</v>
      </c>
      <c r="Y1152" s="207">
        <v>1</v>
      </c>
      <c r="Z1152" s="207">
        <v>1</v>
      </c>
      <c r="AA1152" s="207">
        <v>1</v>
      </c>
      <c r="AB1152" s="207">
        <v>1</v>
      </c>
      <c r="AC1152" s="5"/>
      <c r="AD1152" s="63"/>
      <c r="AE1152" s="64"/>
      <c r="AF1152" s="64"/>
      <c r="AG1152" s="212"/>
      <c r="AH1152" s="64"/>
      <c r="AI1152" s="65"/>
      <c r="AJ1152" s="64"/>
      <c r="AK1152" s="65"/>
      <c r="AL1152" s="64"/>
      <c r="AM1152" s="64"/>
      <c r="AN1152" s="63"/>
      <c r="AO1152" s="64"/>
      <c r="AP1152" s="63"/>
      <c r="AQ1152" s="64"/>
      <c r="AR1152" s="63"/>
      <c r="AS1152" s="64"/>
      <c r="AT1152" s="63"/>
      <c r="AU1152" s="64"/>
      <c r="AV1152" s="63"/>
      <c r="AW1152" s="64"/>
      <c r="AX1152" s="63"/>
      <c r="AY1152" s="5"/>
      <c r="AZ1152" s="21" t="str">
        <f t="shared" si="770"/>
        <v/>
      </c>
      <c r="BA1152" s="15" t="s">
        <v>11</v>
      </c>
      <c r="BB1152" s="13"/>
      <c r="BC1152" s="2"/>
      <c r="BD1152" s="2" t="s">
        <v>355</v>
      </c>
      <c r="BE1152" s="14" t="s">
        <v>2</v>
      </c>
      <c r="BF1152" s="56"/>
      <c r="BG1152" s="56"/>
      <c r="BH1152" s="56"/>
      <c r="BI1152" s="56"/>
      <c r="BJ1152" s="56"/>
      <c r="BK1152" s="56"/>
      <c r="BL1152" s="56"/>
      <c r="BM1152" s="56"/>
      <c r="BN1152" s="56"/>
      <c r="BO1152" s="56"/>
      <c r="BP1152" s="56"/>
      <c r="BQ1152" s="5"/>
      <c r="BR1152" s="13"/>
      <c r="BS1152" s="5"/>
    </row>
    <row r="1153" spans="1:71" s="3" customFormat="1" x14ac:dyDescent="0.25">
      <c r="A1153" s="5"/>
      <c r="B1153" s="3" t="str">
        <f t="array" ref="B1153">IFERROR(INDEX(DemandSupply,MATCH(INDEX($AH$1:AH1153,SMALL(ROW($AH$1:AH1153)+(10000*($AH$1:AH1153="")),COUNTA($AH$1:AH1153))),Sectors,0)),"")</f>
        <v>Supply</v>
      </c>
      <c r="E1153" s="10">
        <f t="shared" ref="E1153:E1191" si="773">IF(COUNTA(BA1153)=1,0,MIN(F1153:AA1153))</f>
        <v>0</v>
      </c>
      <c r="F1153" s="207">
        <v>1</v>
      </c>
      <c r="G1153" s="207">
        <v>1</v>
      </c>
      <c r="H1153" s="207">
        <v>1</v>
      </c>
      <c r="I1153" s="207">
        <v>1</v>
      </c>
      <c r="J1153" s="207">
        <v>1</v>
      </c>
      <c r="K1153" s="207">
        <v>1</v>
      </c>
      <c r="L1153" s="207">
        <v>1</v>
      </c>
      <c r="M1153" s="207">
        <v>1</v>
      </c>
      <c r="N1153" s="207">
        <v>1</v>
      </c>
      <c r="O1153" s="207">
        <v>1</v>
      </c>
      <c r="P1153" s="207">
        <v>1</v>
      </c>
      <c r="Q1153" s="207">
        <v>1</v>
      </c>
      <c r="R1153" s="207">
        <v>1</v>
      </c>
      <c r="S1153" s="207">
        <v>1</v>
      </c>
      <c r="T1153" s="207">
        <v>1</v>
      </c>
      <c r="U1153" s="207">
        <v>1</v>
      </c>
      <c r="V1153" s="207">
        <v>1</v>
      </c>
      <c r="W1153" s="207">
        <v>1</v>
      </c>
      <c r="X1153" s="207">
        <v>1</v>
      </c>
      <c r="Y1153" s="207">
        <v>1</v>
      </c>
      <c r="Z1153" s="207">
        <v>1</v>
      </c>
      <c r="AA1153" s="207">
        <v>1</v>
      </c>
      <c r="AB1153" s="207">
        <v>1</v>
      </c>
      <c r="AC1153" s="5"/>
      <c r="AD1153" s="63"/>
      <c r="AE1153" s="64"/>
      <c r="AF1153" s="64"/>
      <c r="AG1153" s="212"/>
      <c r="AH1153" s="64"/>
      <c r="AI1153" s="65"/>
      <c r="AJ1153" s="64"/>
      <c r="AK1153" s="65"/>
      <c r="AL1153" s="64"/>
      <c r="AM1153" s="64"/>
      <c r="AN1153" s="63"/>
      <c r="AO1153" s="64"/>
      <c r="AP1153" s="63"/>
      <c r="AQ1153" s="64"/>
      <c r="AR1153" s="63"/>
      <c r="AS1153" s="64"/>
      <c r="AT1153" s="63"/>
      <c r="AU1153" s="64"/>
      <c r="AV1153" s="63"/>
      <c r="AW1153" s="64"/>
      <c r="AX1153" s="63"/>
      <c r="AY1153" s="5"/>
      <c r="AZ1153" s="21" t="str">
        <f t="shared" si="770"/>
        <v/>
      </c>
      <c r="BA1153" s="15" t="s">
        <v>11</v>
      </c>
      <c r="BB1153" s="13"/>
      <c r="BC1153" s="2"/>
      <c r="BD1153" s="2" t="s">
        <v>355</v>
      </c>
      <c r="BE1153" s="14" t="s">
        <v>15</v>
      </c>
      <c r="BF1153" s="56"/>
      <c r="BG1153" s="56"/>
      <c r="BH1153" s="56"/>
      <c r="BI1153" s="56"/>
      <c r="BJ1153" s="56"/>
      <c r="BK1153" s="56"/>
      <c r="BL1153" s="56"/>
      <c r="BM1153" s="56"/>
      <c r="BN1153" s="56"/>
      <c r="BO1153" s="56"/>
      <c r="BP1153" s="56"/>
      <c r="BQ1153" s="5"/>
      <c r="BR1153" s="13"/>
      <c r="BS1153" s="5"/>
    </row>
    <row r="1154" spans="1:71" s="3" customFormat="1" x14ac:dyDescent="0.25">
      <c r="A1154" s="5"/>
      <c r="B1154" s="3" t="str">
        <f t="array" ref="B1154">IFERROR(INDEX(DemandSupply,MATCH(INDEX($AH$1:AH1154,SMALL(ROW($AH$1:AH1154)+(10000*($AH$1:AH1154="")),COUNTA($AH$1:AH1154))),Sectors,0)),"")</f>
        <v>Supply</v>
      </c>
      <c r="E1154" s="10">
        <f t="shared" si="773"/>
        <v>0</v>
      </c>
      <c r="F1154" s="207">
        <v>1</v>
      </c>
      <c r="G1154" s="207">
        <v>1</v>
      </c>
      <c r="H1154" s="207">
        <v>1</v>
      </c>
      <c r="I1154" s="207">
        <v>1</v>
      </c>
      <c r="J1154" s="207">
        <v>1</v>
      </c>
      <c r="K1154" s="207">
        <v>1</v>
      </c>
      <c r="L1154" s="207">
        <v>1</v>
      </c>
      <c r="M1154" s="207">
        <v>1</v>
      </c>
      <c r="N1154" s="207">
        <v>1</v>
      </c>
      <c r="O1154" s="207">
        <v>1</v>
      </c>
      <c r="P1154" s="207">
        <v>1</v>
      </c>
      <c r="Q1154" s="207">
        <v>1</v>
      </c>
      <c r="R1154" s="207">
        <v>1</v>
      </c>
      <c r="S1154" s="207">
        <v>1</v>
      </c>
      <c r="T1154" s="207">
        <v>1</v>
      </c>
      <c r="U1154" s="207">
        <v>1</v>
      </c>
      <c r="V1154" s="207">
        <v>1</v>
      </c>
      <c r="W1154" s="207">
        <v>1</v>
      </c>
      <c r="X1154" s="207">
        <v>1</v>
      </c>
      <c r="Y1154" s="207">
        <v>1</v>
      </c>
      <c r="Z1154" s="207">
        <v>1</v>
      </c>
      <c r="AA1154" s="207">
        <v>1</v>
      </c>
      <c r="AB1154" s="207">
        <v>1</v>
      </c>
      <c r="AC1154" s="5"/>
      <c r="AD1154" s="63"/>
      <c r="AE1154" s="64"/>
      <c r="AF1154" s="64"/>
      <c r="AG1154" s="212"/>
      <c r="AH1154" s="64"/>
      <c r="AI1154" s="65"/>
      <c r="AJ1154" s="64"/>
      <c r="AK1154" s="65"/>
      <c r="AL1154" s="64"/>
      <c r="AM1154" s="64"/>
      <c r="AN1154" s="63"/>
      <c r="AO1154" s="64"/>
      <c r="AP1154" s="63"/>
      <c r="AQ1154" s="64"/>
      <c r="AR1154" s="63"/>
      <c r="AS1154" s="64"/>
      <c r="AT1154" s="63"/>
      <c r="AU1154" s="64"/>
      <c r="AV1154" s="63"/>
      <c r="AW1154" s="64"/>
      <c r="AX1154" s="63"/>
      <c r="AY1154" s="5"/>
      <c r="AZ1154" s="21" t="str">
        <f t="shared" si="770"/>
        <v/>
      </c>
      <c r="BA1154" t="s">
        <v>11</v>
      </c>
      <c r="BB1154" s="13"/>
      <c r="BC1154" s="2"/>
      <c r="BD1154" s="2" t="s">
        <v>356</v>
      </c>
      <c r="BE1154" s="14" t="s">
        <v>17</v>
      </c>
      <c r="BF1154" s="308">
        <v>0</v>
      </c>
      <c r="BG1154" s="308">
        <v>0</v>
      </c>
      <c r="BH1154" s="308">
        <v>0</v>
      </c>
      <c r="BI1154" s="308">
        <v>0</v>
      </c>
      <c r="BJ1154" s="308">
        <v>0</v>
      </c>
      <c r="BK1154" s="308">
        <v>0</v>
      </c>
      <c r="BL1154" s="308">
        <v>0</v>
      </c>
      <c r="BM1154" s="308">
        <v>0</v>
      </c>
      <c r="BN1154" s="308">
        <v>0</v>
      </c>
      <c r="BO1154" s="308">
        <v>0</v>
      </c>
      <c r="BP1154" s="308">
        <v>0</v>
      </c>
      <c r="BQ1154" s="5"/>
      <c r="BR1154" s="13"/>
      <c r="BS1154" s="5"/>
    </row>
    <row r="1155" spans="1:71" s="3" customFormat="1" x14ac:dyDescent="0.25">
      <c r="A1155" s="5"/>
      <c r="B1155" s="3" t="str">
        <f t="array" ref="B1155">IFERROR(INDEX(DemandSupply,MATCH(INDEX($AH$1:AH1155,SMALL(ROW($AH$1:AH1155)+(10000*($AH$1:AH1155="")),COUNTA($AH$1:AH1155))),Sectors,0)),"")</f>
        <v>Supply</v>
      </c>
      <c r="E1155" s="10">
        <f t="shared" si="773"/>
        <v>0</v>
      </c>
      <c r="F1155" s="207">
        <v>1</v>
      </c>
      <c r="G1155" s="207">
        <v>1</v>
      </c>
      <c r="H1155" s="207">
        <v>1</v>
      </c>
      <c r="I1155" s="207">
        <v>1</v>
      </c>
      <c r="J1155" s="207">
        <v>1</v>
      </c>
      <c r="K1155" s="207">
        <v>1</v>
      </c>
      <c r="L1155" s="207">
        <v>1</v>
      </c>
      <c r="M1155" s="207">
        <v>1</v>
      </c>
      <c r="N1155" s="207">
        <v>1</v>
      </c>
      <c r="O1155" s="207">
        <v>1</v>
      </c>
      <c r="P1155" s="207">
        <v>1</v>
      </c>
      <c r="Q1155" s="207">
        <v>1</v>
      </c>
      <c r="R1155" s="207">
        <v>1</v>
      </c>
      <c r="S1155" s="207">
        <v>1</v>
      </c>
      <c r="T1155" s="207">
        <v>1</v>
      </c>
      <c r="U1155" s="207">
        <v>1</v>
      </c>
      <c r="V1155" s="207">
        <v>1</v>
      </c>
      <c r="W1155" s="207">
        <v>1</v>
      </c>
      <c r="X1155" s="207">
        <v>1</v>
      </c>
      <c r="Y1155" s="207">
        <v>1</v>
      </c>
      <c r="Z1155" s="207">
        <v>1</v>
      </c>
      <c r="AA1155" s="207">
        <v>1</v>
      </c>
      <c r="AB1155" s="207">
        <v>1</v>
      </c>
      <c r="AC1155" s="5"/>
      <c r="AD1155" s="63"/>
      <c r="AE1155" s="64"/>
      <c r="AF1155" s="64"/>
      <c r="AG1155" s="212"/>
      <c r="AH1155" s="64"/>
      <c r="AI1155" s="65"/>
      <c r="AJ1155" s="64"/>
      <c r="AK1155" s="65"/>
      <c r="AL1155" s="64"/>
      <c r="AM1155" s="64"/>
      <c r="AN1155" s="63"/>
      <c r="AO1155" s="64"/>
      <c r="AP1155" s="63"/>
      <c r="AQ1155" s="64"/>
      <c r="AR1155" s="63"/>
      <c r="AS1155" s="64"/>
      <c r="AT1155" s="63"/>
      <c r="AU1155" s="64"/>
      <c r="AV1155" s="63"/>
      <c r="AW1155" s="64"/>
      <c r="AX1155" s="63"/>
      <c r="AY1155" s="5"/>
      <c r="AZ1155" s="21" t="str">
        <f t="shared" si="770"/>
        <v/>
      </c>
      <c r="BA1155" t="s">
        <v>11</v>
      </c>
      <c r="BB1155" s="13"/>
      <c r="BC1155" s="2"/>
      <c r="BD1155" s="2" t="s">
        <v>356</v>
      </c>
      <c r="BE1155" s="14" t="s">
        <v>18</v>
      </c>
      <c r="BF1155" s="308">
        <v>0</v>
      </c>
      <c r="BG1155" s="308">
        <v>0</v>
      </c>
      <c r="BH1155" s="308">
        <v>0</v>
      </c>
      <c r="BI1155" s="308">
        <v>0</v>
      </c>
      <c r="BJ1155" s="308">
        <v>0</v>
      </c>
      <c r="BK1155" s="308">
        <v>0</v>
      </c>
      <c r="BL1155" s="308">
        <v>0</v>
      </c>
      <c r="BM1155" s="308">
        <v>0</v>
      </c>
      <c r="BN1155" s="308">
        <v>0</v>
      </c>
      <c r="BO1155" s="308">
        <v>0</v>
      </c>
      <c r="BP1155" s="308">
        <v>0</v>
      </c>
      <c r="BQ1155" s="5"/>
      <c r="BR1155" s="13"/>
      <c r="BS1155" s="5"/>
    </row>
    <row r="1156" spans="1:71" s="3" customFormat="1" x14ac:dyDescent="0.25">
      <c r="A1156" s="5"/>
      <c r="B1156" s="3" t="str">
        <f t="array" ref="B1156">IFERROR(INDEX(DemandSupply,MATCH(INDEX($AH$1:AH1156,SMALL(ROW($AH$1:AH1156)+(10000*($AH$1:AH1156="")),COUNTA($AH$1:AH1156))),Sectors,0)),"")</f>
        <v>Supply</v>
      </c>
      <c r="E1156" s="10">
        <f t="shared" si="773"/>
        <v>0</v>
      </c>
      <c r="F1156" s="207">
        <v>1</v>
      </c>
      <c r="G1156" s="207">
        <v>1</v>
      </c>
      <c r="H1156" s="207">
        <v>1</v>
      </c>
      <c r="I1156" s="207">
        <v>1</v>
      </c>
      <c r="J1156" s="207">
        <v>1</v>
      </c>
      <c r="K1156" s="207">
        <v>1</v>
      </c>
      <c r="L1156" s="207">
        <v>1</v>
      </c>
      <c r="M1156" s="207">
        <v>1</v>
      </c>
      <c r="N1156" s="207">
        <v>1</v>
      </c>
      <c r="O1156" s="207">
        <v>1</v>
      </c>
      <c r="P1156" s="207">
        <v>1</v>
      </c>
      <c r="Q1156" s="207">
        <v>1</v>
      </c>
      <c r="R1156" s="207">
        <v>1</v>
      </c>
      <c r="S1156" s="207">
        <v>1</v>
      </c>
      <c r="T1156" s="207">
        <v>1</v>
      </c>
      <c r="U1156" s="207">
        <v>1</v>
      </c>
      <c r="V1156" s="207">
        <v>1</v>
      </c>
      <c r="W1156" s="207">
        <v>1</v>
      </c>
      <c r="X1156" s="207">
        <v>1</v>
      </c>
      <c r="Y1156" s="207">
        <v>1</v>
      </c>
      <c r="Z1156" s="207">
        <v>1</v>
      </c>
      <c r="AA1156" s="207">
        <v>1</v>
      </c>
      <c r="AB1156" s="207">
        <v>1</v>
      </c>
      <c r="AC1156" s="5"/>
      <c r="AD1156" s="63"/>
      <c r="AE1156" s="64"/>
      <c r="AF1156" s="64"/>
      <c r="AG1156" s="212"/>
      <c r="AH1156" s="64"/>
      <c r="AI1156" s="65"/>
      <c r="AJ1156" s="64"/>
      <c r="AK1156" s="65"/>
      <c r="AL1156" s="64"/>
      <c r="AM1156" s="64"/>
      <c r="AN1156" s="63"/>
      <c r="AO1156" s="64"/>
      <c r="AP1156" s="63"/>
      <c r="AQ1156" s="64"/>
      <c r="AR1156" s="63"/>
      <c r="AS1156" s="64"/>
      <c r="AT1156" s="63"/>
      <c r="AU1156" s="64"/>
      <c r="AV1156" s="63"/>
      <c r="AW1156" s="64"/>
      <c r="AX1156" s="63"/>
      <c r="AY1156" s="5"/>
      <c r="AZ1156" s="21" t="str">
        <f t="shared" si="770"/>
        <v/>
      </c>
      <c r="BA1156" t="s">
        <v>11</v>
      </c>
      <c r="BB1156" s="13"/>
      <c r="BC1156" s="2"/>
      <c r="BD1156" s="2" t="s">
        <v>356</v>
      </c>
      <c r="BE1156" s="14" t="s">
        <v>19</v>
      </c>
      <c r="BF1156" s="308">
        <v>0</v>
      </c>
      <c r="BG1156" s="308">
        <v>0</v>
      </c>
      <c r="BH1156" s="308">
        <v>0</v>
      </c>
      <c r="BI1156" s="308">
        <v>0</v>
      </c>
      <c r="BJ1156" s="308">
        <v>0</v>
      </c>
      <c r="BK1156" s="308">
        <v>0</v>
      </c>
      <c r="BL1156" s="308">
        <v>0</v>
      </c>
      <c r="BM1156" s="308">
        <v>0</v>
      </c>
      <c r="BN1156" s="308">
        <v>0</v>
      </c>
      <c r="BO1156" s="308">
        <v>0</v>
      </c>
      <c r="BP1156" s="308">
        <v>0</v>
      </c>
      <c r="BQ1156" s="5"/>
      <c r="BR1156" s="13"/>
      <c r="BS1156" s="5"/>
    </row>
    <row r="1157" spans="1:71" s="3" customFormat="1" x14ac:dyDescent="0.25">
      <c r="A1157" s="5"/>
      <c r="B1157" s="3" t="str">
        <f t="array" ref="B1157">IFERROR(INDEX(DemandSupply,MATCH(INDEX($AH$1:AH1157,SMALL(ROW($AH$1:AH1157)+(10000*($AH$1:AH1157="")),COUNTA($AH$1:AH1157))),Sectors,0)),"")</f>
        <v>Supply</v>
      </c>
      <c r="E1157" s="10">
        <f t="shared" si="773"/>
        <v>0</v>
      </c>
      <c r="F1157" s="207">
        <v>1</v>
      </c>
      <c r="G1157" s="207">
        <v>1</v>
      </c>
      <c r="H1157" s="207">
        <v>1</v>
      </c>
      <c r="I1157" s="207">
        <v>1</v>
      </c>
      <c r="J1157" s="207">
        <v>1</v>
      </c>
      <c r="K1157" s="207">
        <v>1</v>
      </c>
      <c r="L1157" s="207">
        <v>1</v>
      </c>
      <c r="M1157" s="207">
        <v>1</v>
      </c>
      <c r="N1157" s="207">
        <v>1</v>
      </c>
      <c r="O1157" s="207">
        <v>1</v>
      </c>
      <c r="P1157" s="207">
        <v>1</v>
      </c>
      <c r="Q1157" s="207">
        <v>1</v>
      </c>
      <c r="R1157" s="207">
        <v>1</v>
      </c>
      <c r="S1157" s="207">
        <v>1</v>
      </c>
      <c r="T1157" s="207">
        <v>1</v>
      </c>
      <c r="U1157" s="207">
        <v>1</v>
      </c>
      <c r="V1157" s="207">
        <v>1</v>
      </c>
      <c r="W1157" s="207">
        <v>1</v>
      </c>
      <c r="X1157" s="207">
        <v>1</v>
      </c>
      <c r="Y1157" s="207">
        <v>1</v>
      </c>
      <c r="Z1157" s="207">
        <v>1</v>
      </c>
      <c r="AA1157" s="207">
        <v>1</v>
      </c>
      <c r="AB1157" s="207">
        <v>1</v>
      </c>
      <c r="AC1157" s="5"/>
      <c r="AD1157" s="63"/>
      <c r="AE1157" s="64"/>
      <c r="AF1157" s="64"/>
      <c r="AG1157" s="212"/>
      <c r="AH1157" s="64"/>
      <c r="AI1157" s="65"/>
      <c r="AJ1157" s="64"/>
      <c r="AK1157" s="65"/>
      <c r="AL1157" s="64"/>
      <c r="AM1157" s="64"/>
      <c r="AN1157" s="63"/>
      <c r="AO1157" s="64"/>
      <c r="AP1157" s="63"/>
      <c r="AQ1157" s="64"/>
      <c r="AR1157" s="63"/>
      <c r="AS1157" s="64"/>
      <c r="AT1157" s="63"/>
      <c r="AU1157" s="64"/>
      <c r="AV1157" s="63"/>
      <c r="AW1157" s="64"/>
      <c r="AX1157" s="63"/>
      <c r="AY1157" s="5"/>
      <c r="AZ1157" s="21" t="str">
        <f t="shared" si="770"/>
        <v/>
      </c>
      <c r="BA1157" t="s">
        <v>297</v>
      </c>
      <c r="BB1157" s="13"/>
      <c r="BC1157" s="2"/>
      <c r="BD1157" s="2" t="s">
        <v>280</v>
      </c>
      <c r="BE1157" s="14"/>
      <c r="BF1157" s="314">
        <f>IFERROR(INDEX(Coefficients!$D$5:$AR$32,MATCH($BE$1144,Coefficients!$A$5:$A$32,0),MATCH(BF$2,Coefficients!$D$1:$AR$1,0)),BE1157)</f>
        <v>37.989999934966505</v>
      </c>
      <c r="BG1157" s="314">
        <f>IFERROR(INDEX(Coefficients!$D$5:$AR$32,MATCH($BE$1144,Coefficients!$A$5:$A$32,0),MATCH(BG$2,Coefficients!$D$1:$AR$1,0)),BF1157)</f>
        <v>38.259998958056819</v>
      </c>
      <c r="BH1157" s="314">
        <f>IFERROR(INDEX(Coefficients!$D$5:$AR$32,MATCH($BE$1144,Coefficients!$A$5:$A$32,0),MATCH(BH$2,Coefficients!$D$1:$AR$1,0)),BG1157)</f>
        <v>38.51999993949601</v>
      </c>
      <c r="BI1157" s="314">
        <f>IFERROR(INDEX(Coefficients!$D$5:$AR$32,MATCH($BE$1144,Coefficients!$A$5:$A$32,0),MATCH(BI$2,Coefficients!$D$1:$AR$1,0)),BH1157)</f>
        <v>39.239999484440986</v>
      </c>
      <c r="BJ1157" s="314">
        <f>IFERROR(INDEX(Coefficients!$D$5:$AR$32,MATCH($BE$1144,Coefficients!$A$5:$A$32,0),MATCH(BJ$2,Coefficients!$D$1:$AR$1,0)),BI1157)</f>
        <v>39.219991490126624</v>
      </c>
      <c r="BK1157" s="314">
        <f>IFERROR(INDEX(Coefficients!$D$5:$AR$32,MATCH($BE$1144,Coefficients!$A$5:$A$32,0),MATCH(BK$2,Coefficients!$D$1:$AR$1,0)),BJ1157)</f>
        <v>39.219991490126624</v>
      </c>
      <c r="BL1157" s="314">
        <f>IFERROR(INDEX(Coefficients!$D$5:$AR$32,MATCH($BE$1144,Coefficients!$A$5:$A$32,0),MATCH(BL$2,Coefficients!$D$1:$AR$1,0)),BK1157)</f>
        <v>39.219991490126624</v>
      </c>
      <c r="BM1157" s="314">
        <f>IFERROR(INDEX(Coefficients!$D$5:$AR$32,MATCH($BE$1144,Coefficients!$A$5:$A$32,0),MATCH(BM$2,Coefficients!$D$1:$AR$1,0)),BL1157)</f>
        <v>39.219991490126624</v>
      </c>
      <c r="BN1157" s="314">
        <f>IFERROR(INDEX(Coefficients!$D$5:$AR$32,MATCH($BE$1144,Coefficients!$A$5:$A$32,0),MATCH(BN$2,Coefficients!$D$1:$AR$1,0)),BM1157)</f>
        <v>39.219991490126624</v>
      </c>
      <c r="BO1157" s="314">
        <f>IFERROR(INDEX(Coefficients!$D$5:$AR$32,MATCH($BE$1144,Coefficients!$A$5:$A$32,0),MATCH(BO$2,Coefficients!$D$1:$AR$1,0)),BN1157)</f>
        <v>39.219991490126624</v>
      </c>
      <c r="BP1157" s="314">
        <f>IFERROR(INDEX(Coefficients!$D$5:$AR$32,MATCH($BE$1144,Coefficients!$A$5:$A$32,0),MATCH(BP$2,Coefficients!$D$1:$AR$1,0)),BO1157)</f>
        <v>39.219991490126624</v>
      </c>
      <c r="BQ1157" s="5"/>
      <c r="BR1157" s="13"/>
      <c r="BS1157" s="5"/>
    </row>
    <row r="1158" spans="1:71" s="3" customFormat="1" x14ac:dyDescent="0.25">
      <c r="A1158" s="5"/>
      <c r="B1158" s="3" t="str">
        <f t="array" ref="B1158">IFERROR(INDEX(DemandSupply,MATCH(INDEX($AH$1:AH1158,SMALL(ROW($AH$1:AH1158)+(10000*($AH$1:AH1158="")),COUNTA($AH$1:AH1158))),Sectors,0)),"")</f>
        <v>Supply</v>
      </c>
      <c r="E1158" s="10">
        <f t="shared" si="773"/>
        <v>0</v>
      </c>
      <c r="F1158" s="207">
        <v>1</v>
      </c>
      <c r="G1158" s="207">
        <v>1</v>
      </c>
      <c r="H1158" s="207">
        <v>1</v>
      </c>
      <c r="I1158" s="207">
        <v>1</v>
      </c>
      <c r="J1158" s="207">
        <v>1</v>
      </c>
      <c r="K1158" s="207">
        <v>1</v>
      </c>
      <c r="L1158" s="207">
        <v>1</v>
      </c>
      <c r="M1158" s="207">
        <v>1</v>
      </c>
      <c r="N1158" s="207">
        <v>1</v>
      </c>
      <c r="O1158" s="207">
        <v>1</v>
      </c>
      <c r="P1158" s="207">
        <v>1</v>
      </c>
      <c r="Q1158" s="207">
        <v>1</v>
      </c>
      <c r="R1158" s="207">
        <v>1</v>
      </c>
      <c r="S1158" s="207">
        <v>1</v>
      </c>
      <c r="T1158" s="207">
        <v>1</v>
      </c>
      <c r="U1158" s="207">
        <v>1</v>
      </c>
      <c r="V1158" s="207">
        <v>1</v>
      </c>
      <c r="W1158" s="207">
        <v>1</v>
      </c>
      <c r="X1158" s="207">
        <v>1</v>
      </c>
      <c r="Y1158" s="207">
        <v>1</v>
      </c>
      <c r="Z1158" s="207">
        <v>1</v>
      </c>
      <c r="AA1158" s="207">
        <v>1</v>
      </c>
      <c r="AB1158" s="207">
        <v>1</v>
      </c>
      <c r="AC1158" s="5"/>
      <c r="AD1158" s="63"/>
      <c r="AE1158" s="64"/>
      <c r="AF1158" s="64"/>
      <c r="AG1158" s="212"/>
      <c r="AH1158" s="64"/>
      <c r="AI1158" s="65"/>
      <c r="AJ1158" s="64"/>
      <c r="AK1158" s="65"/>
      <c r="AL1158" s="64"/>
      <c r="AM1158" s="64"/>
      <c r="AN1158" s="63"/>
      <c r="AO1158" s="64"/>
      <c r="AP1158" s="63"/>
      <c r="AQ1158" s="64"/>
      <c r="AR1158" s="63"/>
      <c r="AS1158" s="64"/>
      <c r="AT1158" s="63"/>
      <c r="AU1158" s="64"/>
      <c r="AV1158" s="63"/>
      <c r="AW1158" s="64"/>
      <c r="AX1158" s="63"/>
      <c r="AY1158" s="5"/>
      <c r="AZ1158" s="21" t="str">
        <f t="shared" si="770"/>
        <v/>
      </c>
      <c r="BA1158" t="s">
        <v>344</v>
      </c>
      <c r="BB1158" s="13"/>
      <c r="BC1158" s="2"/>
      <c r="BD1158" s="2" t="s">
        <v>278</v>
      </c>
      <c r="BE1158" s="14" t="s">
        <v>17</v>
      </c>
      <c r="BF1158" s="314">
        <f t="shared" ref="BF1158:BP1158" si="774">IFERROR(INDEX(CO2_GJ,MATCH($BE$1144,CoeffIndex,0),MATCH(BF$2,CoeffYear,0)),BE1158)</f>
        <v>5.0659506393256851E-2</v>
      </c>
      <c r="BG1158" s="314">
        <f t="shared" si="774"/>
        <v>5.0269095405659998E-2</v>
      </c>
      <c r="BH1158" s="314">
        <f t="shared" si="774"/>
        <v>4.9926715324116293E-2</v>
      </c>
      <c r="BI1158" s="314">
        <f t="shared" si="774"/>
        <v>4.9022590682876281E-2</v>
      </c>
      <c r="BJ1158" s="314">
        <f t="shared" si="774"/>
        <v>4.9047599452087906E-2</v>
      </c>
      <c r="BK1158" s="314">
        <f t="shared" si="774"/>
        <v>4.9047599452087906E-2</v>
      </c>
      <c r="BL1158" s="314">
        <f t="shared" si="774"/>
        <v>4.9047599452087906E-2</v>
      </c>
      <c r="BM1158" s="314">
        <f t="shared" si="774"/>
        <v>4.9047599452087906E-2</v>
      </c>
      <c r="BN1158" s="314">
        <f t="shared" si="774"/>
        <v>4.9047599452087906E-2</v>
      </c>
      <c r="BO1158" s="314">
        <f t="shared" si="774"/>
        <v>4.9047599452087906E-2</v>
      </c>
      <c r="BP1158" s="314">
        <f t="shared" si="774"/>
        <v>4.9047599452087906E-2</v>
      </c>
      <c r="BQ1158" s="5"/>
      <c r="BR1158" s="13"/>
      <c r="BS1158" s="5"/>
    </row>
    <row r="1159" spans="1:71" s="3" customFormat="1" x14ac:dyDescent="0.25">
      <c r="A1159" s="5"/>
      <c r="B1159" s="3" t="str">
        <f t="array" ref="B1159">IFERROR(INDEX(DemandSupply,MATCH(INDEX($AH$1:AH1159,SMALL(ROW($AH$1:AH1159)+(10000*($AH$1:AH1159="")),COUNTA($AH$1:AH1159))),Sectors,0)),"")</f>
        <v>Supply</v>
      </c>
      <c r="E1159" s="10">
        <f t="shared" si="773"/>
        <v>0</v>
      </c>
      <c r="F1159" s="207">
        <v>1</v>
      </c>
      <c r="G1159" s="207">
        <v>1</v>
      </c>
      <c r="H1159" s="207">
        <v>1</v>
      </c>
      <c r="I1159" s="207">
        <v>1</v>
      </c>
      <c r="J1159" s="207">
        <v>1</v>
      </c>
      <c r="K1159" s="207">
        <v>1</v>
      </c>
      <c r="L1159" s="207">
        <v>1</v>
      </c>
      <c r="M1159" s="207">
        <v>1</v>
      </c>
      <c r="N1159" s="207">
        <v>1</v>
      </c>
      <c r="O1159" s="207">
        <v>1</v>
      </c>
      <c r="P1159" s="207">
        <v>1</v>
      </c>
      <c r="Q1159" s="207">
        <v>1</v>
      </c>
      <c r="R1159" s="207">
        <v>1</v>
      </c>
      <c r="S1159" s="207">
        <v>1</v>
      </c>
      <c r="T1159" s="207">
        <v>1</v>
      </c>
      <c r="U1159" s="207">
        <v>1</v>
      </c>
      <c r="V1159" s="207">
        <v>1</v>
      </c>
      <c r="W1159" s="207">
        <v>1</v>
      </c>
      <c r="X1159" s="207">
        <v>1</v>
      </c>
      <c r="Y1159" s="207">
        <v>1</v>
      </c>
      <c r="Z1159" s="207">
        <v>1</v>
      </c>
      <c r="AA1159" s="207">
        <v>1</v>
      </c>
      <c r="AB1159" s="207">
        <v>1</v>
      </c>
      <c r="AC1159" s="5"/>
      <c r="AD1159" s="63"/>
      <c r="AE1159" s="64"/>
      <c r="AF1159" s="64"/>
      <c r="AG1159" s="212"/>
      <c r="AH1159" s="64"/>
      <c r="AI1159" s="65"/>
      <c r="AJ1159" s="64"/>
      <c r="AK1159" s="65"/>
      <c r="AL1159" s="64"/>
      <c r="AM1159" s="64"/>
      <c r="AN1159" s="63"/>
      <c r="AO1159" s="64"/>
      <c r="AP1159" s="63"/>
      <c r="AQ1159" s="64"/>
      <c r="AR1159" s="63"/>
      <c r="AS1159" s="64"/>
      <c r="AT1159" s="63"/>
      <c r="AU1159" s="64"/>
      <c r="AV1159" s="63"/>
      <c r="AW1159" s="64"/>
      <c r="AX1159" s="63"/>
      <c r="AY1159" s="5"/>
      <c r="AZ1159" s="21" t="str">
        <f t="shared" si="770"/>
        <v/>
      </c>
      <c r="BA1159" t="s">
        <v>344</v>
      </c>
      <c r="BB1159" s="13"/>
      <c r="BC1159" s="2"/>
      <c r="BD1159" s="2" t="s">
        <v>278</v>
      </c>
      <c r="BE1159" s="14" t="s">
        <v>18</v>
      </c>
      <c r="BF1159" s="314">
        <f t="shared" ref="BF1159:BP1159" si="775">IFERROR(INDEX(CH4_GJ,MATCH($BE$1144,CoeffIndex,0),MATCH(BF$2,CoeffYear,0)),BE1159)</f>
        <v>2.727033434518255E-5</v>
      </c>
      <c r="BG1159" s="314">
        <f t="shared" si="775"/>
        <v>2.7077888871239459E-5</v>
      </c>
      <c r="BH1159" s="314">
        <f t="shared" si="775"/>
        <v>2.6895119460728506E-5</v>
      </c>
      <c r="BI1159" s="314">
        <f t="shared" si="775"/>
        <v>2.6401631335667657E-5</v>
      </c>
      <c r="BJ1159" s="314">
        <f t="shared" si="775"/>
        <v>2.6415100071115674E-5</v>
      </c>
      <c r="BK1159" s="314">
        <f t="shared" si="775"/>
        <v>2.6415100071115674E-5</v>
      </c>
      <c r="BL1159" s="314">
        <f t="shared" si="775"/>
        <v>2.6415100071115674E-5</v>
      </c>
      <c r="BM1159" s="314">
        <f t="shared" si="775"/>
        <v>2.6415100071115674E-5</v>
      </c>
      <c r="BN1159" s="314">
        <f t="shared" si="775"/>
        <v>2.6415100071115674E-5</v>
      </c>
      <c r="BO1159" s="314">
        <f t="shared" si="775"/>
        <v>2.6415100071115674E-5</v>
      </c>
      <c r="BP1159" s="314">
        <f t="shared" si="775"/>
        <v>2.6415100071115674E-5</v>
      </c>
      <c r="BQ1159" s="5"/>
      <c r="BR1159" s="13"/>
      <c r="BS1159" s="5"/>
    </row>
    <row r="1160" spans="1:71" s="3" customFormat="1" x14ac:dyDescent="0.25">
      <c r="A1160" s="5"/>
      <c r="B1160" s="3" t="str">
        <f t="array" ref="B1160">IFERROR(INDEX(DemandSupply,MATCH(INDEX($AH$1:AH1160,SMALL(ROW($AH$1:AH1160)+(10000*($AH$1:AH1160="")),COUNTA($AH$1:AH1160))),Sectors,0)),"")</f>
        <v>Supply</v>
      </c>
      <c r="E1160" s="10">
        <f t="shared" si="773"/>
        <v>0</v>
      </c>
      <c r="F1160" s="207">
        <v>1</v>
      </c>
      <c r="G1160" s="207">
        <v>1</v>
      </c>
      <c r="H1160" s="207">
        <v>1</v>
      </c>
      <c r="I1160" s="207">
        <v>1</v>
      </c>
      <c r="J1160" s="207">
        <v>1</v>
      </c>
      <c r="K1160" s="207">
        <v>1</v>
      </c>
      <c r="L1160" s="207">
        <v>1</v>
      </c>
      <c r="M1160" s="207">
        <v>1</v>
      </c>
      <c r="N1160" s="207">
        <v>1</v>
      </c>
      <c r="O1160" s="207">
        <v>1</v>
      </c>
      <c r="P1160" s="207">
        <v>1</v>
      </c>
      <c r="Q1160" s="207">
        <v>1</v>
      </c>
      <c r="R1160" s="207">
        <v>1</v>
      </c>
      <c r="S1160" s="207">
        <v>1</v>
      </c>
      <c r="T1160" s="207">
        <v>1</v>
      </c>
      <c r="U1160" s="207">
        <v>1</v>
      </c>
      <c r="V1160" s="207">
        <v>1</v>
      </c>
      <c r="W1160" s="207">
        <v>1</v>
      </c>
      <c r="X1160" s="207">
        <v>1</v>
      </c>
      <c r="Y1160" s="207">
        <v>1</v>
      </c>
      <c r="Z1160" s="207">
        <v>1</v>
      </c>
      <c r="AA1160" s="207">
        <v>1</v>
      </c>
      <c r="AB1160" s="207">
        <v>1</v>
      </c>
      <c r="AC1160" s="5"/>
      <c r="AD1160" s="63"/>
      <c r="AE1160" s="64"/>
      <c r="AF1160" s="64"/>
      <c r="AG1160" s="212"/>
      <c r="AH1160" s="64"/>
      <c r="AI1160" s="65"/>
      <c r="AJ1160" s="64"/>
      <c r="AK1160" s="65"/>
      <c r="AL1160" s="64"/>
      <c r="AM1160" s="64"/>
      <c r="AN1160" s="63"/>
      <c r="AO1160" s="64"/>
      <c r="AP1160" s="63"/>
      <c r="AQ1160" s="64"/>
      <c r="AR1160" s="63"/>
      <c r="AS1160" s="64"/>
      <c r="AT1160" s="63"/>
      <c r="AU1160" s="64"/>
      <c r="AV1160" s="63"/>
      <c r="AW1160" s="64"/>
      <c r="AX1160" s="63"/>
      <c r="AY1160" s="5"/>
      <c r="AZ1160" s="21" t="str">
        <f t="shared" si="770"/>
        <v/>
      </c>
      <c r="BA1160" t="s">
        <v>344</v>
      </c>
      <c r="BB1160" s="13"/>
      <c r="BC1160" s="2"/>
      <c r="BD1160" s="2" t="s">
        <v>278</v>
      </c>
      <c r="BE1160" s="14" t="s">
        <v>19</v>
      </c>
      <c r="BF1160" s="314">
        <f t="shared" ref="BF1160:BP1160" si="776">IFERROR(INDEX(N2O_GJ,MATCH($BE$1144,CoeffIndex,0),MATCH(BF$2,CoeffYear,0)),BE1160)</f>
        <v>2.3019215622453807E-4</v>
      </c>
      <c r="BG1160" s="314">
        <f t="shared" si="776"/>
        <v>2.2856770094497014E-4</v>
      </c>
      <c r="BH1160" s="314">
        <f t="shared" si="776"/>
        <v>2.270249224749718E-4</v>
      </c>
      <c r="BI1160" s="314">
        <f t="shared" si="776"/>
        <v>2.2285933014518699E-4</v>
      </c>
      <c r="BJ1160" s="314">
        <f t="shared" si="776"/>
        <v>2.2297302135319168E-4</v>
      </c>
      <c r="BK1160" s="314">
        <f t="shared" si="776"/>
        <v>2.2297302135319168E-4</v>
      </c>
      <c r="BL1160" s="314">
        <f t="shared" si="776"/>
        <v>2.2297302135319168E-4</v>
      </c>
      <c r="BM1160" s="314">
        <f t="shared" si="776"/>
        <v>2.2297302135319168E-4</v>
      </c>
      <c r="BN1160" s="314">
        <f t="shared" si="776"/>
        <v>2.2297302135319168E-4</v>
      </c>
      <c r="BO1160" s="314">
        <f t="shared" si="776"/>
        <v>2.2297302135319168E-4</v>
      </c>
      <c r="BP1160" s="314">
        <f t="shared" si="776"/>
        <v>2.2297302135319168E-4</v>
      </c>
      <c r="BQ1160" s="5"/>
      <c r="BR1160" s="13"/>
      <c r="BS1160" s="5"/>
    </row>
    <row r="1161" spans="1:71" s="3" customFormat="1" x14ac:dyDescent="0.25">
      <c r="A1161" s="5"/>
      <c r="B1161" s="3" t="str">
        <f t="array" ref="B1161">IFERROR(INDEX(DemandSupply,MATCH(INDEX($AH$1:AH1161,SMALL(ROW($AH$1:AH1161)+(10000*($AH$1:AH1161="")),COUNTA($AH$1:AH1161))),Sectors,0)),"")</f>
        <v>Supply</v>
      </c>
      <c r="E1161" s="10">
        <f t="shared" si="773"/>
        <v>1</v>
      </c>
      <c r="F1161" s="207">
        <v>1</v>
      </c>
      <c r="G1161" s="207">
        <v>1</v>
      </c>
      <c r="H1161" s="207">
        <v>1</v>
      </c>
      <c r="I1161" s="207">
        <v>1</v>
      </c>
      <c r="J1161" s="207">
        <v>1</v>
      </c>
      <c r="K1161" s="207">
        <v>1</v>
      </c>
      <c r="L1161" s="207">
        <v>1</v>
      </c>
      <c r="M1161" s="207">
        <v>1</v>
      </c>
      <c r="N1161" s="207">
        <v>1</v>
      </c>
      <c r="O1161" s="207">
        <v>1</v>
      </c>
      <c r="P1161" s="207">
        <v>1</v>
      </c>
      <c r="Q1161" s="207">
        <v>1</v>
      </c>
      <c r="R1161" s="207">
        <v>1</v>
      </c>
      <c r="S1161" s="207">
        <v>1</v>
      </c>
      <c r="T1161" s="207">
        <v>1</v>
      </c>
      <c r="U1161" s="207">
        <v>1</v>
      </c>
      <c r="V1161" s="207">
        <v>1</v>
      </c>
      <c r="W1161" s="207">
        <v>1</v>
      </c>
      <c r="X1161" s="207">
        <v>1</v>
      </c>
      <c r="Y1161" s="207">
        <v>1</v>
      </c>
      <c r="Z1161" s="207">
        <v>1</v>
      </c>
      <c r="AA1161" s="207">
        <v>1</v>
      </c>
      <c r="AB1161" s="207">
        <v>1</v>
      </c>
      <c r="AC1161" s="5"/>
      <c r="AD1161" s="63"/>
      <c r="AE1161" s="64"/>
      <c r="AF1161" s="64"/>
      <c r="AG1161" s="212"/>
      <c r="AH1161" s="64"/>
      <c r="AI1161" s="65"/>
      <c r="AJ1161" s="64"/>
      <c r="AK1161" s="65"/>
      <c r="AL1161" s="64"/>
      <c r="AM1161" s="64"/>
      <c r="AN1161" s="63"/>
      <c r="AO1161" s="64"/>
      <c r="AP1161" s="63"/>
      <c r="AQ1161" s="64"/>
      <c r="AR1161" s="63"/>
      <c r="AS1161" s="64"/>
      <c r="AT1161" s="63"/>
      <c r="AU1161" s="64"/>
      <c r="AV1161" s="63"/>
      <c r="AW1161" s="64"/>
      <c r="AX1161" s="63"/>
      <c r="AY1161" s="5"/>
      <c r="AZ1161" s="21" t="str">
        <f t="shared" si="770"/>
        <v/>
      </c>
      <c r="BA1161" s="2"/>
      <c r="BB1161" s="13"/>
      <c r="BC1161" s="2"/>
      <c r="BD1161" s="2"/>
      <c r="BE1161" s="16"/>
      <c r="BF1161" s="4"/>
      <c r="BG1161" s="4"/>
      <c r="BH1161" s="4"/>
      <c r="BI1161" s="4"/>
      <c r="BJ1161" s="4"/>
      <c r="BK1161" s="4"/>
      <c r="BL1161" s="4"/>
      <c r="BM1161" s="4"/>
      <c r="BN1161" s="4"/>
      <c r="BO1161" s="4"/>
      <c r="BP1161" s="4"/>
      <c r="BQ1161" s="5"/>
      <c r="BR1161" s="13"/>
      <c r="BS1161" s="5"/>
    </row>
    <row r="1162" spans="1:71" s="3" customFormat="1" x14ac:dyDescent="0.25">
      <c r="A1162" s="5"/>
      <c r="B1162" s="3" t="str">
        <f t="array" ref="B1162">IFERROR(INDEX(DemandSupply,MATCH(INDEX($AH$1:AH1162,SMALL(ROW($AH$1:AH1162)+(10000*($AH$1:AH1162="")),COUNTA($AH$1:AH1162))),Sectors,0)),"")</f>
        <v>Supply</v>
      </c>
      <c r="E1162" s="10">
        <f t="shared" si="773"/>
        <v>1</v>
      </c>
      <c r="F1162" s="207">
        <v>1</v>
      </c>
      <c r="G1162" s="207">
        <v>1</v>
      </c>
      <c r="H1162" s="207">
        <v>1</v>
      </c>
      <c r="I1162" s="207">
        <v>1</v>
      </c>
      <c r="J1162" s="207">
        <v>1</v>
      </c>
      <c r="K1162" s="207">
        <v>1</v>
      </c>
      <c r="L1162" s="207">
        <v>1</v>
      </c>
      <c r="M1162" s="207">
        <v>1</v>
      </c>
      <c r="N1162" s="207">
        <v>1</v>
      </c>
      <c r="O1162" s="207">
        <v>1</v>
      </c>
      <c r="P1162" s="207">
        <v>1</v>
      </c>
      <c r="Q1162" s="207">
        <v>1</v>
      </c>
      <c r="R1162" s="207">
        <v>1</v>
      </c>
      <c r="S1162" s="207">
        <v>1</v>
      </c>
      <c r="T1162" s="207">
        <v>1</v>
      </c>
      <c r="U1162" s="207">
        <v>1</v>
      </c>
      <c r="V1162" s="207">
        <v>1</v>
      </c>
      <c r="W1162" s="207">
        <v>1</v>
      </c>
      <c r="X1162" s="207">
        <v>1</v>
      </c>
      <c r="Y1162" s="207">
        <v>1</v>
      </c>
      <c r="Z1162" s="207">
        <v>1</v>
      </c>
      <c r="AA1162" s="207">
        <v>1</v>
      </c>
      <c r="AB1162" s="207">
        <v>1</v>
      </c>
      <c r="AC1162" s="5"/>
      <c r="AD1162" s="63"/>
      <c r="AE1162" s="64"/>
      <c r="AF1162" s="64"/>
      <c r="AG1162" s="212"/>
      <c r="AH1162" s="211" t="s">
        <v>283</v>
      </c>
      <c r="AI1162" s="65"/>
      <c r="AJ1162" s="64"/>
      <c r="AK1162" s="65"/>
      <c r="AL1162" s="64"/>
      <c r="AM1162" s="64"/>
      <c r="AN1162" s="63"/>
      <c r="AO1162" s="64"/>
      <c r="AP1162" s="63"/>
      <c r="AQ1162" s="64"/>
      <c r="AR1162" s="63"/>
      <c r="AS1162" s="64"/>
      <c r="AT1162" s="63"/>
      <c r="AU1162" s="64"/>
      <c r="AV1162" s="63"/>
      <c r="AW1162" s="64"/>
      <c r="AX1162" s="63"/>
      <c r="AY1162" s="5"/>
      <c r="AZ1162" s="208" t="str">
        <f t="shared" si="770"/>
        <v>Solar</v>
      </c>
      <c r="BA1162" s="2"/>
      <c r="BB1162" s="13"/>
      <c r="BC1162" s="2"/>
      <c r="BD1162" s="2"/>
      <c r="BE1162" s="16"/>
      <c r="BF1162" s="4"/>
      <c r="BG1162" s="4"/>
      <c r="BH1162" s="4"/>
      <c r="BI1162" s="4"/>
      <c r="BJ1162" s="4"/>
      <c r="BK1162" s="4"/>
      <c r="BL1162" s="4"/>
      <c r="BM1162" s="4"/>
      <c r="BN1162" s="4"/>
      <c r="BO1162" s="4"/>
      <c r="BP1162" s="4"/>
      <c r="BQ1162" s="5"/>
      <c r="BR1162" s="13"/>
      <c r="BS1162" s="5"/>
    </row>
    <row r="1163" spans="1:71" s="3" customFormat="1" x14ac:dyDescent="0.25">
      <c r="A1163" s="5"/>
      <c r="B1163" s="3" t="str">
        <f t="array" ref="B1163">IFERROR(INDEX(DemandSupply,MATCH(INDEX($AH$1:AH1163,SMALL(ROW($AH$1:AH1163)+(10000*($AH$1:AH1163="")),COUNTA($AH$1:AH1163))),Sectors,0)),"")</f>
        <v>Supply</v>
      </c>
      <c r="E1163" s="10">
        <f t="shared" si="773"/>
        <v>0</v>
      </c>
      <c r="F1163" s="207">
        <v>1</v>
      </c>
      <c r="G1163" s="207">
        <v>1</v>
      </c>
      <c r="H1163" s="207">
        <v>1</v>
      </c>
      <c r="I1163" s="207">
        <v>1</v>
      </c>
      <c r="J1163" s="207">
        <v>1</v>
      </c>
      <c r="K1163" s="207">
        <v>1</v>
      </c>
      <c r="L1163" s="207">
        <v>1</v>
      </c>
      <c r="M1163" s="207">
        <v>1</v>
      </c>
      <c r="N1163" s="207">
        <v>1</v>
      </c>
      <c r="O1163" s="207">
        <v>1</v>
      </c>
      <c r="P1163" s="207">
        <v>1</v>
      </c>
      <c r="Q1163" s="207">
        <v>1</v>
      </c>
      <c r="R1163" s="207">
        <v>1</v>
      </c>
      <c r="S1163" s="207">
        <v>1</v>
      </c>
      <c r="T1163" s="207">
        <v>1</v>
      </c>
      <c r="U1163" s="207">
        <v>1</v>
      </c>
      <c r="V1163" s="207">
        <v>1</v>
      </c>
      <c r="W1163" s="207">
        <v>1</v>
      </c>
      <c r="X1163" s="207">
        <v>1</v>
      </c>
      <c r="Y1163" s="207">
        <v>1</v>
      </c>
      <c r="Z1163" s="207">
        <v>1</v>
      </c>
      <c r="AA1163" s="207">
        <v>1</v>
      </c>
      <c r="AB1163" s="207">
        <v>1</v>
      </c>
      <c r="AC1163" s="5"/>
      <c r="AD1163" s="63"/>
      <c r="AE1163" s="64"/>
      <c r="AF1163" s="64"/>
      <c r="AG1163" s="212"/>
      <c r="AH1163" s="64"/>
      <c r="AI1163" s="65"/>
      <c r="AJ1163" s="64"/>
      <c r="AK1163" s="65"/>
      <c r="AL1163" s="64"/>
      <c r="AM1163" s="64"/>
      <c r="AN1163" s="63"/>
      <c r="AO1163" s="64"/>
      <c r="AP1163" s="63"/>
      <c r="AQ1163" s="64"/>
      <c r="AR1163" s="63"/>
      <c r="AS1163" s="64"/>
      <c r="AT1163" s="63"/>
      <c r="AU1163" s="64"/>
      <c r="AV1163" s="63"/>
      <c r="AW1163" s="64"/>
      <c r="AX1163" s="63"/>
      <c r="AY1163" s="5"/>
      <c r="AZ1163" s="21" t="str">
        <f t="shared" si="770"/>
        <v/>
      </c>
      <c r="BA1163" t="s">
        <v>337</v>
      </c>
      <c r="BB1163" s="13"/>
      <c r="BC1163" s="2" t="s">
        <v>281</v>
      </c>
      <c r="BD1163" s="2" t="s">
        <v>34</v>
      </c>
      <c r="BE1163" s="26" t="str">
        <f>AZ1162</f>
        <v>Solar</v>
      </c>
      <c r="BF1163" s="56"/>
      <c r="BG1163" s="56"/>
      <c r="BH1163" s="56"/>
      <c r="BI1163" s="56"/>
      <c r="BJ1163" s="56"/>
      <c r="BK1163" s="56"/>
      <c r="BL1163" s="56"/>
      <c r="BM1163" s="56"/>
      <c r="BN1163" s="56"/>
      <c r="BO1163" s="56"/>
      <c r="BP1163" s="56"/>
      <c r="BQ1163" s="5"/>
      <c r="BR1163" s="13"/>
      <c r="BS1163" s="5"/>
    </row>
    <row r="1164" spans="1:71" s="3" customFormat="1" x14ac:dyDescent="0.25">
      <c r="A1164" s="5"/>
      <c r="B1164" s="3" t="str">
        <f t="array" ref="B1164">IFERROR(INDEX(DemandSupply,MATCH(INDEX($AH$1:AH1164,SMALL(ROW($AH$1:AH1164)+(10000*($AH$1:AH1164="")),COUNTA($AH$1:AH1164))),Sectors,0)),"")</f>
        <v>Supply</v>
      </c>
      <c r="E1164" s="10">
        <f t="shared" si="773"/>
        <v>1</v>
      </c>
      <c r="F1164" s="207">
        <v>1</v>
      </c>
      <c r="G1164" s="207">
        <v>1</v>
      </c>
      <c r="H1164" s="207">
        <v>1</v>
      </c>
      <c r="I1164" s="207">
        <v>1</v>
      </c>
      <c r="J1164" s="207">
        <v>1</v>
      </c>
      <c r="K1164" s="207">
        <v>1</v>
      </c>
      <c r="L1164" s="207">
        <v>1</v>
      </c>
      <c r="M1164" s="207">
        <v>1</v>
      </c>
      <c r="N1164" s="207">
        <v>1</v>
      </c>
      <c r="O1164" s="207">
        <v>1</v>
      </c>
      <c r="P1164" s="207">
        <v>1</v>
      </c>
      <c r="Q1164" s="207">
        <v>1</v>
      </c>
      <c r="R1164" s="207">
        <v>1</v>
      </c>
      <c r="S1164" s="207">
        <v>1</v>
      </c>
      <c r="T1164" s="207">
        <v>1</v>
      </c>
      <c r="U1164" s="207">
        <v>1</v>
      </c>
      <c r="V1164" s="207">
        <v>1</v>
      </c>
      <c r="W1164" s="207">
        <v>1</v>
      </c>
      <c r="X1164" s="207">
        <v>1</v>
      </c>
      <c r="Y1164" s="207">
        <v>1</v>
      </c>
      <c r="Z1164" s="207">
        <v>1</v>
      </c>
      <c r="AA1164" s="207">
        <v>1</v>
      </c>
      <c r="AB1164" s="207">
        <v>1</v>
      </c>
      <c r="AC1164" s="5"/>
      <c r="AD1164" s="63"/>
      <c r="AE1164" s="64"/>
      <c r="AF1164" s="64"/>
      <c r="AG1164" s="212"/>
      <c r="AH1164" s="64"/>
      <c r="AI1164" s="65"/>
      <c r="AJ1164" s="64"/>
      <c r="AK1164" s="65"/>
      <c r="AL1164" s="64"/>
      <c r="AM1164" s="64"/>
      <c r="AN1164" s="63"/>
      <c r="AO1164" s="64"/>
      <c r="AP1164" s="63"/>
      <c r="AQ1164" s="64"/>
      <c r="AR1164" s="63"/>
      <c r="AS1164" s="64"/>
      <c r="AT1164" s="63"/>
      <c r="AU1164" s="64"/>
      <c r="AV1164" s="63"/>
      <c r="AW1164" s="64"/>
      <c r="AX1164" s="63"/>
      <c r="AY1164" s="5"/>
      <c r="AZ1164" s="21" t="str">
        <f t="shared" si="770"/>
        <v/>
      </c>
      <c r="BA1164" s="2"/>
      <c r="BB1164" s="13"/>
      <c r="BC1164" s="2"/>
      <c r="BD1164" s="2"/>
      <c r="BE1164" s="16"/>
      <c r="BF1164" s="4"/>
      <c r="BG1164" s="4"/>
      <c r="BH1164" s="4"/>
      <c r="BI1164" s="4"/>
      <c r="BJ1164" s="4"/>
      <c r="BK1164" s="4"/>
      <c r="BL1164" s="4"/>
      <c r="BM1164" s="4"/>
      <c r="BN1164" s="4"/>
      <c r="BO1164" s="4"/>
      <c r="BP1164" s="4"/>
      <c r="BQ1164" s="5"/>
      <c r="BR1164" s="13"/>
      <c r="BS1164" s="5"/>
    </row>
    <row r="1165" spans="1:71" s="3" customFormat="1" x14ac:dyDescent="0.25">
      <c r="A1165" s="5"/>
      <c r="B1165" s="3" t="str">
        <f t="array" ref="B1165">IFERROR(INDEX(DemandSupply,MATCH(INDEX($AH$1:AH1165,SMALL(ROW($AH$1:AH1165)+(10000*($AH$1:AH1165="")),COUNTA($AH$1:AH1165))),Sectors,0)),"")</f>
        <v>Supply</v>
      </c>
      <c r="E1165" s="10">
        <f t="shared" si="773"/>
        <v>1</v>
      </c>
      <c r="F1165" s="207">
        <v>1</v>
      </c>
      <c r="G1165" s="207">
        <v>1</v>
      </c>
      <c r="H1165" s="207">
        <v>1</v>
      </c>
      <c r="I1165" s="207">
        <v>1</v>
      </c>
      <c r="J1165" s="207">
        <v>1</v>
      </c>
      <c r="K1165" s="207">
        <v>1</v>
      </c>
      <c r="L1165" s="207">
        <v>1</v>
      </c>
      <c r="M1165" s="207">
        <v>1</v>
      </c>
      <c r="N1165" s="207">
        <v>1</v>
      </c>
      <c r="O1165" s="207">
        <v>1</v>
      </c>
      <c r="P1165" s="207">
        <v>1</v>
      </c>
      <c r="Q1165" s="207">
        <v>1</v>
      </c>
      <c r="R1165" s="207">
        <v>1</v>
      </c>
      <c r="S1165" s="207">
        <v>1</v>
      </c>
      <c r="T1165" s="207">
        <v>1</v>
      </c>
      <c r="U1165" s="207">
        <v>1</v>
      </c>
      <c r="V1165" s="207">
        <v>1</v>
      </c>
      <c r="W1165" s="207">
        <v>1</v>
      </c>
      <c r="X1165" s="207">
        <v>1</v>
      </c>
      <c r="Y1165" s="207">
        <v>1</v>
      </c>
      <c r="Z1165" s="207">
        <v>1</v>
      </c>
      <c r="AA1165" s="207">
        <v>1</v>
      </c>
      <c r="AB1165" s="207">
        <v>1</v>
      </c>
      <c r="AC1165" s="5"/>
      <c r="AD1165" s="63"/>
      <c r="AE1165" s="64"/>
      <c r="AF1165" s="64"/>
      <c r="AG1165" s="212"/>
      <c r="AH1165" s="211" t="s">
        <v>200</v>
      </c>
      <c r="AI1165" s="65"/>
      <c r="AJ1165" s="64"/>
      <c r="AK1165" s="65"/>
      <c r="AL1165" s="64"/>
      <c r="AM1165" s="64"/>
      <c r="AN1165" s="63"/>
      <c r="AO1165" s="64"/>
      <c r="AP1165" s="63"/>
      <c r="AQ1165" s="64"/>
      <c r="AR1165" s="63"/>
      <c r="AS1165" s="64"/>
      <c r="AT1165" s="63"/>
      <c r="AU1165" s="64"/>
      <c r="AV1165" s="63"/>
      <c r="AW1165" s="64"/>
      <c r="AX1165" s="63"/>
      <c r="AY1165" s="5"/>
      <c r="AZ1165" s="208" t="str">
        <f t="shared" si="770"/>
        <v>Wind</v>
      </c>
      <c r="BA1165" s="2"/>
      <c r="BB1165" s="13"/>
      <c r="BC1165" s="2"/>
      <c r="BD1165" s="2"/>
      <c r="BE1165" s="16"/>
      <c r="BF1165" s="4"/>
      <c r="BG1165" s="4"/>
      <c r="BH1165" s="4"/>
      <c r="BI1165" s="4"/>
      <c r="BJ1165" s="4"/>
      <c r="BK1165" s="4"/>
      <c r="BL1165" s="4"/>
      <c r="BM1165" s="4"/>
      <c r="BN1165" s="4"/>
      <c r="BO1165" s="4"/>
      <c r="BP1165" s="4"/>
      <c r="BQ1165" s="5"/>
      <c r="BR1165" s="13"/>
      <c r="BS1165" s="5"/>
    </row>
    <row r="1166" spans="1:71" s="3" customFormat="1" x14ac:dyDescent="0.25">
      <c r="A1166" s="5"/>
      <c r="B1166" s="3" t="str">
        <f t="array" ref="B1166">IFERROR(INDEX(DemandSupply,MATCH(INDEX($AH$1:AH1166,SMALL(ROW($AH$1:AH1166)+(10000*($AH$1:AH1166="")),COUNTA($AH$1:AH1166))),Sectors,0)),"")</f>
        <v>Supply</v>
      </c>
      <c r="E1166" s="10">
        <f t="shared" si="773"/>
        <v>0</v>
      </c>
      <c r="F1166" s="207">
        <v>1</v>
      </c>
      <c r="G1166" s="207">
        <v>1</v>
      </c>
      <c r="H1166" s="207">
        <v>1</v>
      </c>
      <c r="I1166" s="207">
        <v>1</v>
      </c>
      <c r="J1166" s="207">
        <v>1</v>
      </c>
      <c r="K1166" s="207">
        <v>1</v>
      </c>
      <c r="L1166" s="207">
        <v>1</v>
      </c>
      <c r="M1166" s="207">
        <v>1</v>
      </c>
      <c r="N1166" s="207">
        <v>1</v>
      </c>
      <c r="O1166" s="207">
        <v>1</v>
      </c>
      <c r="P1166" s="207">
        <v>1</v>
      </c>
      <c r="Q1166" s="207">
        <v>1</v>
      </c>
      <c r="R1166" s="207">
        <v>1</v>
      </c>
      <c r="S1166" s="207">
        <v>1</v>
      </c>
      <c r="T1166" s="207">
        <v>1</v>
      </c>
      <c r="U1166" s="207">
        <v>1</v>
      </c>
      <c r="V1166" s="207">
        <v>1</v>
      </c>
      <c r="W1166" s="207">
        <v>1</v>
      </c>
      <c r="X1166" s="207">
        <v>1</v>
      </c>
      <c r="Y1166" s="207">
        <v>1</v>
      </c>
      <c r="Z1166" s="207">
        <v>1</v>
      </c>
      <c r="AA1166" s="207">
        <v>1</v>
      </c>
      <c r="AB1166" s="207">
        <v>1</v>
      </c>
      <c r="AC1166" s="5"/>
      <c r="AD1166" s="63"/>
      <c r="AE1166" s="64"/>
      <c r="AF1166" s="64"/>
      <c r="AG1166" s="64"/>
      <c r="AH1166" s="318"/>
      <c r="AI1166" s="65"/>
      <c r="AJ1166" s="64"/>
      <c r="AK1166" s="65"/>
      <c r="AL1166" s="64"/>
      <c r="AM1166" s="64"/>
      <c r="AN1166" s="63"/>
      <c r="AO1166" s="64"/>
      <c r="AP1166" s="63"/>
      <c r="AQ1166" s="64"/>
      <c r="AR1166" s="63"/>
      <c r="AS1166" s="64"/>
      <c r="AT1166" s="63"/>
      <c r="AU1166" s="64"/>
      <c r="AV1166" s="63"/>
      <c r="AW1166" s="64"/>
      <c r="AX1166" s="63"/>
      <c r="AY1166" s="5"/>
      <c r="AZ1166" s="21" t="str">
        <f t="shared" si="770"/>
        <v/>
      </c>
      <c r="BA1166" t="s">
        <v>337</v>
      </c>
      <c r="BB1166" s="13"/>
      <c r="BC1166" s="2" t="s">
        <v>282</v>
      </c>
      <c r="BD1166" s="2" t="s">
        <v>34</v>
      </c>
      <c r="BE1166" s="26" t="str">
        <f>AZ1165</f>
        <v>Wind</v>
      </c>
      <c r="BF1166" s="56"/>
      <c r="BG1166" s="56"/>
      <c r="BH1166" s="56"/>
      <c r="BI1166" s="56"/>
      <c r="BJ1166" s="56"/>
      <c r="BK1166" s="56"/>
      <c r="BL1166" s="56"/>
      <c r="BM1166" s="56"/>
      <c r="BN1166" s="56"/>
      <c r="BO1166" s="56"/>
      <c r="BP1166" s="56"/>
      <c r="BQ1166" s="5"/>
      <c r="BR1166" s="13"/>
      <c r="BS1166" s="5"/>
    </row>
    <row r="1167" spans="1:71" s="3" customFormat="1" x14ac:dyDescent="0.25">
      <c r="A1167" s="5"/>
      <c r="B1167" s="3" t="str">
        <f t="array" ref="B1167">IFERROR(INDEX(DemandSupply,MATCH(INDEX($AH$1:AH1167,SMALL(ROW($AH$1:AH1167)+(10000*($AH$1:AH1167="")),COUNTA($AH$1:AH1167))),Sectors,0)),"")</f>
        <v>Supply</v>
      </c>
      <c r="E1167" s="10">
        <f t="shared" ref="E1167:E1169" si="777">IF(COUNTA(BA1167)=1,0,MIN(F1167:AA1167))</f>
        <v>1</v>
      </c>
      <c r="F1167" s="207">
        <v>1</v>
      </c>
      <c r="G1167" s="207">
        <v>1</v>
      </c>
      <c r="H1167" s="207">
        <v>1</v>
      </c>
      <c r="I1167" s="207">
        <v>1</v>
      </c>
      <c r="J1167" s="207">
        <v>1</v>
      </c>
      <c r="K1167" s="207">
        <v>1</v>
      </c>
      <c r="L1167" s="207">
        <v>1</v>
      </c>
      <c r="M1167" s="207">
        <v>1</v>
      </c>
      <c r="N1167" s="207">
        <v>1</v>
      </c>
      <c r="O1167" s="207">
        <v>1</v>
      </c>
      <c r="P1167" s="207">
        <v>1</v>
      </c>
      <c r="Q1167" s="207">
        <v>1</v>
      </c>
      <c r="R1167" s="207">
        <v>1</v>
      </c>
      <c r="S1167" s="207">
        <v>1</v>
      </c>
      <c r="T1167" s="207">
        <v>1</v>
      </c>
      <c r="U1167" s="207">
        <v>1</v>
      </c>
      <c r="V1167" s="207">
        <v>1</v>
      </c>
      <c r="W1167" s="207">
        <v>1</v>
      </c>
      <c r="X1167" s="207">
        <v>1</v>
      </c>
      <c r="Y1167" s="207">
        <v>1</v>
      </c>
      <c r="Z1167" s="207">
        <v>1</v>
      </c>
      <c r="AA1167" s="207">
        <v>1</v>
      </c>
      <c r="AB1167" s="207">
        <v>1</v>
      </c>
      <c r="AC1167" s="5"/>
      <c r="AD1167" s="63"/>
      <c r="AE1167" s="64"/>
      <c r="AF1167" s="64"/>
      <c r="AG1167" s="212"/>
      <c r="AH1167" s="64"/>
      <c r="AI1167" s="65"/>
      <c r="AJ1167" s="64"/>
      <c r="AK1167" s="65"/>
      <c r="AL1167" s="64"/>
      <c r="AM1167" s="64"/>
      <c r="AN1167" s="63"/>
      <c r="AO1167" s="64"/>
      <c r="AP1167" s="63"/>
      <c r="AQ1167" s="64"/>
      <c r="AR1167" s="63"/>
      <c r="AS1167" s="64"/>
      <c r="AT1167" s="63"/>
      <c r="AU1167" s="64"/>
      <c r="AV1167" s="63"/>
      <c r="AW1167" s="64"/>
      <c r="AX1167" s="63"/>
      <c r="AY1167" s="5"/>
      <c r="AZ1167" s="21" t="str">
        <f t="shared" si="770"/>
        <v/>
      </c>
      <c r="BA1167" s="2"/>
      <c r="BB1167" s="13"/>
      <c r="BC1167" s="2"/>
      <c r="BD1167" s="2"/>
      <c r="BE1167" s="16"/>
      <c r="BF1167" s="4"/>
      <c r="BG1167" s="4"/>
      <c r="BH1167" s="4"/>
      <c r="BI1167" s="4"/>
      <c r="BJ1167" s="4"/>
      <c r="BK1167" s="4"/>
      <c r="BL1167" s="4"/>
      <c r="BM1167" s="4"/>
      <c r="BN1167" s="4"/>
      <c r="BO1167" s="4"/>
      <c r="BP1167" s="4"/>
      <c r="BQ1167" s="5"/>
      <c r="BR1167" s="13"/>
      <c r="BS1167" s="5"/>
    </row>
    <row r="1168" spans="1:71" s="3" customFormat="1" x14ac:dyDescent="0.25">
      <c r="A1168" s="5"/>
      <c r="B1168" s="3" t="str">
        <f t="array" ref="B1168">IFERROR(INDEX(DemandSupply,MATCH(INDEX($AH$1:AH1168,SMALL(ROW($AH$1:AH1168)+(10000*($AH$1:AH1168="")),COUNTA($AH$1:AH1168))),Sectors,0)),"")</f>
        <v>Supply</v>
      </c>
      <c r="E1168" s="10">
        <f t="shared" si="777"/>
        <v>1</v>
      </c>
      <c r="F1168" s="207">
        <v>1</v>
      </c>
      <c r="G1168" s="207">
        <v>1</v>
      </c>
      <c r="H1168" s="207">
        <v>1</v>
      </c>
      <c r="I1168" s="207">
        <v>1</v>
      </c>
      <c r="J1168" s="207">
        <v>1</v>
      </c>
      <c r="K1168" s="207">
        <v>1</v>
      </c>
      <c r="L1168" s="207">
        <v>1</v>
      </c>
      <c r="M1168" s="207">
        <v>1</v>
      </c>
      <c r="N1168" s="207">
        <v>1</v>
      </c>
      <c r="O1168" s="207">
        <v>1</v>
      </c>
      <c r="P1168" s="207">
        <v>1</v>
      </c>
      <c r="Q1168" s="207">
        <v>1</v>
      </c>
      <c r="R1168" s="207">
        <v>1</v>
      </c>
      <c r="S1168" s="207">
        <v>1</v>
      </c>
      <c r="T1168" s="207">
        <v>1</v>
      </c>
      <c r="U1168" s="207">
        <v>1</v>
      </c>
      <c r="V1168" s="207">
        <v>1</v>
      </c>
      <c r="W1168" s="207">
        <v>1</v>
      </c>
      <c r="X1168" s="207">
        <v>1</v>
      </c>
      <c r="Y1168" s="207">
        <v>1</v>
      </c>
      <c r="Z1168" s="207">
        <v>1</v>
      </c>
      <c r="AA1168" s="207">
        <v>1</v>
      </c>
      <c r="AB1168" s="207">
        <v>1</v>
      </c>
      <c r="AC1168" s="5"/>
      <c r="AD1168" s="63"/>
      <c r="AE1168" s="64"/>
      <c r="AF1168" s="64"/>
      <c r="AG1168" s="212"/>
      <c r="AH1168" s="211" t="s">
        <v>475</v>
      </c>
      <c r="AI1168" s="65"/>
      <c r="AJ1168" s="64"/>
      <c r="AK1168" s="65"/>
      <c r="AL1168" s="64"/>
      <c r="AM1168" s="64"/>
      <c r="AN1168" s="63"/>
      <c r="AO1168" s="64"/>
      <c r="AP1168" s="63"/>
      <c r="AQ1168" s="64"/>
      <c r="AR1168" s="63"/>
      <c r="AS1168" s="64"/>
      <c r="AT1168" s="63"/>
      <c r="AU1168" s="64"/>
      <c r="AV1168" s="63"/>
      <c r="AW1168" s="64"/>
      <c r="AX1168" s="63"/>
      <c r="AY1168" s="5"/>
      <c r="AZ1168" s="208" t="str">
        <f t="shared" si="770"/>
        <v>Water</v>
      </c>
      <c r="BA1168" s="2"/>
      <c r="BB1168" s="13"/>
      <c r="BC1168" s="2"/>
      <c r="BD1168" s="2"/>
      <c r="BE1168" s="16"/>
      <c r="BF1168" s="4"/>
      <c r="BG1168" s="4"/>
      <c r="BH1168" s="4"/>
      <c r="BI1168" s="4"/>
      <c r="BJ1168" s="4"/>
      <c r="BK1168" s="4"/>
      <c r="BL1168" s="4"/>
      <c r="BM1168" s="4"/>
      <c r="BN1168" s="4"/>
      <c r="BO1168" s="4"/>
      <c r="BP1168" s="4"/>
      <c r="BQ1168" s="5"/>
      <c r="BR1168" s="13"/>
      <c r="BS1168" s="5"/>
    </row>
    <row r="1169" spans="1:71" s="3" customFormat="1" x14ac:dyDescent="0.25">
      <c r="A1169" s="5"/>
      <c r="B1169" s="3" t="str">
        <f t="array" ref="B1169">IFERROR(INDEX(DemandSupply,MATCH(INDEX($AH$1:AH1169,SMALL(ROW($AH$1:AH1169)+(10000*($AH$1:AH1169="")),COUNTA($AH$1:AH1169))),Sectors,0)),"")</f>
        <v>Supply</v>
      </c>
      <c r="E1169" s="10">
        <f t="shared" si="777"/>
        <v>0</v>
      </c>
      <c r="F1169" s="207">
        <v>1</v>
      </c>
      <c r="G1169" s="207">
        <v>1</v>
      </c>
      <c r="H1169" s="207">
        <v>1</v>
      </c>
      <c r="I1169" s="207">
        <v>1</v>
      </c>
      <c r="J1169" s="207">
        <v>1</v>
      </c>
      <c r="K1169" s="207">
        <v>1</v>
      </c>
      <c r="L1169" s="207">
        <v>1</v>
      </c>
      <c r="M1169" s="207">
        <v>1</v>
      </c>
      <c r="N1169" s="207">
        <v>1</v>
      </c>
      <c r="O1169" s="207">
        <v>1</v>
      </c>
      <c r="P1169" s="207">
        <v>1</v>
      </c>
      <c r="Q1169" s="207">
        <v>1</v>
      </c>
      <c r="R1169" s="207">
        <v>1</v>
      </c>
      <c r="S1169" s="207">
        <v>1</v>
      </c>
      <c r="T1169" s="207">
        <v>1</v>
      </c>
      <c r="U1169" s="207">
        <v>1</v>
      </c>
      <c r="V1169" s="207">
        <v>1</v>
      </c>
      <c r="W1169" s="207">
        <v>1</v>
      </c>
      <c r="X1169" s="207">
        <v>1</v>
      </c>
      <c r="Y1169" s="207">
        <v>1</v>
      </c>
      <c r="Z1169" s="207">
        <v>1</v>
      </c>
      <c r="AA1169" s="207">
        <v>1</v>
      </c>
      <c r="AB1169" s="207">
        <v>1</v>
      </c>
      <c r="AC1169" s="5"/>
      <c r="AD1169" s="63"/>
      <c r="AE1169" s="64"/>
      <c r="AF1169" s="64"/>
      <c r="AG1169" s="64"/>
      <c r="AH1169" s="64"/>
      <c r="AI1169" s="65"/>
      <c r="AJ1169" s="64"/>
      <c r="AK1169" s="65"/>
      <c r="AL1169" s="64"/>
      <c r="AM1169" s="64"/>
      <c r="AN1169" s="63"/>
      <c r="AO1169" s="64"/>
      <c r="AP1169" s="63"/>
      <c r="AQ1169" s="64"/>
      <c r="AR1169" s="63"/>
      <c r="AS1169" s="64"/>
      <c r="AT1169" s="63"/>
      <c r="AU1169" s="64"/>
      <c r="AV1169" s="63"/>
      <c r="AW1169" s="64"/>
      <c r="AX1169" s="63"/>
      <c r="AY1169" s="5"/>
      <c r="AZ1169" s="21" t="str">
        <f t="shared" si="770"/>
        <v/>
      </c>
      <c r="BA1169" t="s">
        <v>337</v>
      </c>
      <c r="BB1169" s="13"/>
      <c r="BC1169" s="2" t="s">
        <v>424</v>
      </c>
      <c r="BD1169" s="2" t="s">
        <v>34</v>
      </c>
      <c r="BE1169" s="26" t="str">
        <f>AZ1168</f>
        <v>Water</v>
      </c>
      <c r="BF1169" s="56"/>
      <c r="BG1169" s="56"/>
      <c r="BH1169" s="56"/>
      <c r="BI1169" s="56"/>
      <c r="BJ1169" s="56"/>
      <c r="BK1169" s="56"/>
      <c r="BL1169" s="56"/>
      <c r="BM1169" s="56"/>
      <c r="BN1169" s="56"/>
      <c r="BO1169" s="56"/>
      <c r="BP1169" s="56"/>
      <c r="BQ1169" s="5"/>
      <c r="BR1169" s="13"/>
      <c r="BS1169" s="5"/>
    </row>
    <row r="1170" spans="1:71" s="3" customFormat="1" x14ac:dyDescent="0.25">
      <c r="A1170" s="5"/>
      <c r="B1170" s="3" t="str">
        <f t="array" ref="B1170">IFERROR(INDEX(DemandSupply,MATCH(INDEX($AH$1:AH1170,SMALL(ROW($AH$1:AH1170)+(10000*($AH$1:AH1170="")),COUNTA($AH$1:AH1170))),Sectors,0)),"")</f>
        <v>Supply</v>
      </c>
      <c r="E1170" s="10">
        <f t="shared" si="773"/>
        <v>1</v>
      </c>
      <c r="F1170" s="207">
        <v>1</v>
      </c>
      <c r="G1170" s="207">
        <v>1</v>
      </c>
      <c r="H1170" s="207">
        <v>1</v>
      </c>
      <c r="I1170" s="207">
        <v>1</v>
      </c>
      <c r="J1170" s="207">
        <v>1</v>
      </c>
      <c r="K1170" s="207">
        <v>1</v>
      </c>
      <c r="L1170" s="207">
        <v>1</v>
      </c>
      <c r="M1170" s="207">
        <v>1</v>
      </c>
      <c r="N1170" s="207">
        <v>1</v>
      </c>
      <c r="O1170" s="207">
        <v>1</v>
      </c>
      <c r="P1170" s="207">
        <v>1</v>
      </c>
      <c r="Q1170" s="207">
        <v>1</v>
      </c>
      <c r="R1170" s="207">
        <v>1</v>
      </c>
      <c r="S1170" s="207">
        <v>1</v>
      </c>
      <c r="T1170" s="207">
        <v>1</v>
      </c>
      <c r="U1170" s="207">
        <v>1</v>
      </c>
      <c r="V1170" s="207">
        <v>1</v>
      </c>
      <c r="W1170" s="207">
        <v>1</v>
      </c>
      <c r="X1170" s="207">
        <v>1</v>
      </c>
      <c r="Y1170" s="207">
        <v>1</v>
      </c>
      <c r="Z1170" s="207">
        <v>1</v>
      </c>
      <c r="AA1170" s="207">
        <v>1</v>
      </c>
      <c r="AB1170" s="207">
        <v>1</v>
      </c>
      <c r="AC1170" s="5"/>
      <c r="AD1170" s="63"/>
      <c r="AE1170" s="64"/>
      <c r="AF1170" s="64"/>
      <c r="AG1170" s="64"/>
      <c r="AH1170" s="64"/>
      <c r="AI1170" s="65"/>
      <c r="AJ1170" s="64"/>
      <c r="AK1170" s="65"/>
      <c r="AL1170" s="64"/>
      <c r="AM1170" s="64"/>
      <c r="AN1170" s="63"/>
      <c r="AO1170" s="64"/>
      <c r="AP1170" s="63"/>
      <c r="AQ1170" s="64"/>
      <c r="AR1170" s="63"/>
      <c r="AS1170" s="64"/>
      <c r="AT1170" s="63"/>
      <c r="AU1170" s="64"/>
      <c r="AV1170" s="63"/>
      <c r="AW1170" s="64"/>
      <c r="AX1170" s="63"/>
      <c r="AY1170" s="5"/>
      <c r="AZ1170" s="21" t="str">
        <f t="shared" si="770"/>
        <v/>
      </c>
      <c r="BA1170" s="2"/>
      <c r="BB1170" s="13"/>
      <c r="BC1170" s="2"/>
      <c r="BD1170" s="2"/>
      <c r="BE1170" s="16"/>
      <c r="BF1170" s="4"/>
      <c r="BG1170" s="4"/>
      <c r="BH1170" s="4"/>
      <c r="BI1170" s="4"/>
      <c r="BJ1170" s="4"/>
      <c r="BK1170" s="4"/>
      <c r="BL1170" s="4"/>
      <c r="BM1170" s="4"/>
      <c r="BN1170" s="4"/>
      <c r="BO1170" s="4"/>
      <c r="BP1170" s="4"/>
      <c r="BQ1170" s="5"/>
      <c r="BR1170" s="13"/>
      <c r="BS1170" s="5"/>
    </row>
    <row r="1171" spans="1:71" s="3" customFormat="1" x14ac:dyDescent="0.25">
      <c r="A1171" s="5"/>
      <c r="B1171" s="3" t="str">
        <f t="array" ref="B1171">IFERROR(INDEX(DemandSupply,MATCH(INDEX($AH$1:AH1171,SMALL(ROW($AH$1:AH1171)+(10000*($AH$1:AH1171="")),COUNTA($AH$1:AH1171))),Sectors,0)),"")</f>
        <v>Supply</v>
      </c>
      <c r="E1171" s="10">
        <f t="shared" si="773"/>
        <v>1</v>
      </c>
      <c r="F1171" s="207">
        <v>1</v>
      </c>
      <c r="G1171" s="207">
        <v>1</v>
      </c>
      <c r="H1171" s="207">
        <v>1</v>
      </c>
      <c r="I1171" s="207">
        <v>1</v>
      </c>
      <c r="J1171" s="207">
        <v>1</v>
      </c>
      <c r="K1171" s="207">
        <v>1</v>
      </c>
      <c r="L1171" s="207">
        <v>1</v>
      </c>
      <c r="M1171" s="207">
        <v>1</v>
      </c>
      <c r="N1171" s="207">
        <v>1</v>
      </c>
      <c r="O1171" s="207">
        <v>1</v>
      </c>
      <c r="P1171" s="207">
        <v>1</v>
      </c>
      <c r="Q1171" s="207">
        <v>1</v>
      </c>
      <c r="R1171" s="207">
        <v>1</v>
      </c>
      <c r="S1171" s="207">
        <v>1</v>
      </c>
      <c r="T1171" s="207">
        <v>1</v>
      </c>
      <c r="U1171" s="207">
        <v>1</v>
      </c>
      <c r="V1171" s="207">
        <v>1</v>
      </c>
      <c r="W1171" s="207">
        <v>1</v>
      </c>
      <c r="X1171" s="207">
        <v>1</v>
      </c>
      <c r="Y1171" s="207">
        <v>1</v>
      </c>
      <c r="Z1171" s="207">
        <v>1</v>
      </c>
      <c r="AA1171" s="207">
        <v>1</v>
      </c>
      <c r="AB1171" s="207">
        <v>1</v>
      </c>
      <c r="AC1171" s="5"/>
      <c r="AD1171" s="63"/>
      <c r="AE1171" s="64"/>
      <c r="AF1171" s="64"/>
      <c r="AG1171" s="64"/>
      <c r="AH1171" s="64"/>
      <c r="AI1171" s="65"/>
      <c r="AJ1171" s="64"/>
      <c r="AK1171" s="65"/>
      <c r="AL1171" s="64"/>
      <c r="AM1171" s="64"/>
      <c r="AN1171" s="63"/>
      <c r="AO1171" s="64"/>
      <c r="AP1171" s="63"/>
      <c r="AQ1171" s="64"/>
      <c r="AR1171" s="63"/>
      <c r="AS1171" s="64"/>
      <c r="AT1171" s="63"/>
      <c r="AU1171" s="64"/>
      <c r="AV1171" s="63"/>
      <c r="AW1171" s="64"/>
      <c r="AX1171" s="63"/>
      <c r="AY1171" s="5"/>
      <c r="AZ1171" s="21" t="str">
        <f t="shared" si="770"/>
        <v/>
      </c>
      <c r="BA1171" s="2"/>
      <c r="BB1171" s="13"/>
      <c r="BC1171" s="2"/>
      <c r="BD1171" s="2"/>
      <c r="BE1171" s="16"/>
      <c r="BF1171" s="4"/>
      <c r="BG1171" s="4"/>
      <c r="BH1171" s="4"/>
      <c r="BI1171" s="4"/>
      <c r="BJ1171" s="4"/>
      <c r="BK1171" s="4"/>
      <c r="BL1171" s="4"/>
      <c r="BM1171" s="4"/>
      <c r="BN1171" s="4"/>
      <c r="BO1171" s="4"/>
      <c r="BP1171" s="4"/>
      <c r="BQ1171" s="5"/>
      <c r="BR1171" s="13"/>
      <c r="BS1171" s="5"/>
    </row>
    <row r="1172" spans="1:71" s="3" customFormat="1" x14ac:dyDescent="0.25">
      <c r="A1172" s="5"/>
      <c r="B1172" s="3" t="str">
        <f t="array" ref="B1172">IFERROR(INDEX(DemandSupply,MATCH(INDEX($AH$1:AH1172,SMALL(ROW($AH$1:AH1172)+(10000*($AH$1:AH1172="")),COUNTA($AH$1:AH1172))),Sectors,0)),"")</f>
        <v>Supply</v>
      </c>
      <c r="E1172" s="10">
        <f t="shared" si="773"/>
        <v>1</v>
      </c>
      <c r="F1172" s="207">
        <v>1</v>
      </c>
      <c r="G1172" s="207">
        <v>1</v>
      </c>
      <c r="H1172" s="207">
        <v>1</v>
      </c>
      <c r="I1172" s="207">
        <v>1</v>
      </c>
      <c r="J1172" s="207">
        <v>1</v>
      </c>
      <c r="K1172" s="207">
        <v>1</v>
      </c>
      <c r="L1172" s="207">
        <v>1</v>
      </c>
      <c r="M1172" s="207">
        <v>1</v>
      </c>
      <c r="N1172" s="207">
        <v>1</v>
      </c>
      <c r="O1172" s="207">
        <v>1</v>
      </c>
      <c r="P1172" s="207">
        <v>1</v>
      </c>
      <c r="Q1172" s="207">
        <v>1</v>
      </c>
      <c r="R1172" s="207">
        <v>1</v>
      </c>
      <c r="S1172" s="207">
        <v>1</v>
      </c>
      <c r="T1172" s="207">
        <v>1</v>
      </c>
      <c r="U1172" s="207">
        <v>1</v>
      </c>
      <c r="V1172" s="207">
        <v>1</v>
      </c>
      <c r="W1172" s="207">
        <v>1</v>
      </c>
      <c r="X1172" s="207">
        <v>1</v>
      </c>
      <c r="Y1172" s="207">
        <v>1</v>
      </c>
      <c r="Z1172" s="207">
        <v>1</v>
      </c>
      <c r="AA1172" s="207">
        <v>1</v>
      </c>
      <c r="AB1172" s="207">
        <v>1</v>
      </c>
      <c r="AC1172" s="5"/>
      <c r="AD1172" s="63"/>
      <c r="AE1172" s="64"/>
      <c r="AF1172" s="64"/>
      <c r="AG1172" s="64"/>
      <c r="AH1172" s="64"/>
      <c r="AI1172" s="65"/>
      <c r="AJ1172" s="64"/>
      <c r="AK1172" s="65"/>
      <c r="AL1172" s="64"/>
      <c r="AM1172" s="64"/>
      <c r="AN1172" s="63"/>
      <c r="AO1172" s="64"/>
      <c r="AP1172" s="63"/>
      <c r="AQ1172" s="64"/>
      <c r="AR1172" s="63"/>
      <c r="AS1172" s="64"/>
      <c r="AT1172" s="63"/>
      <c r="AU1172" s="64"/>
      <c r="AV1172" s="63"/>
      <c r="AW1172" s="64"/>
      <c r="AX1172" s="63"/>
      <c r="AY1172" s="5"/>
      <c r="AZ1172" s="21" t="str">
        <f t="shared" si="770"/>
        <v/>
      </c>
      <c r="BA1172" s="2"/>
      <c r="BB1172" s="13"/>
      <c r="BC1172" s="2"/>
      <c r="BD1172" s="2"/>
      <c r="BE1172" s="16"/>
      <c r="BF1172" s="4"/>
      <c r="BG1172" s="4"/>
      <c r="BH1172" s="4"/>
      <c r="BI1172" s="4"/>
      <c r="BJ1172" s="4"/>
      <c r="BK1172" s="4"/>
      <c r="BL1172" s="4"/>
      <c r="BM1172" s="4"/>
      <c r="BN1172" s="4"/>
      <c r="BO1172" s="4"/>
      <c r="BP1172" s="4"/>
      <c r="BQ1172" s="5"/>
      <c r="BR1172" s="13"/>
      <c r="BS1172" s="5"/>
    </row>
    <row r="1173" spans="1:71" s="3" customFormat="1" x14ac:dyDescent="0.25">
      <c r="A1173" s="5"/>
      <c r="B1173" s="3" t="str">
        <f t="array" ref="B1173">IFERROR(INDEX(DemandSupply,MATCH(INDEX($AH$1:AH1173,SMALL(ROW($AH$1:AH1173)+(10000*($AH$1:AH1173="")),COUNTA($AH$1:AH1173))),Sectors,0)),"")</f>
        <v>Supply</v>
      </c>
      <c r="E1173" s="10">
        <f t="shared" si="773"/>
        <v>1</v>
      </c>
      <c r="F1173" s="207">
        <v>1</v>
      </c>
      <c r="G1173" s="207">
        <v>1</v>
      </c>
      <c r="H1173" s="207">
        <v>1</v>
      </c>
      <c r="I1173" s="207">
        <v>1</v>
      </c>
      <c r="J1173" s="207">
        <v>1</v>
      </c>
      <c r="K1173" s="207">
        <v>1</v>
      </c>
      <c r="L1173" s="207">
        <v>1</v>
      </c>
      <c r="M1173" s="207">
        <v>1</v>
      </c>
      <c r="N1173" s="207">
        <v>1</v>
      </c>
      <c r="O1173" s="207">
        <v>1</v>
      </c>
      <c r="P1173" s="207">
        <v>1</v>
      </c>
      <c r="Q1173" s="207">
        <v>1</v>
      </c>
      <c r="R1173" s="207">
        <v>1</v>
      </c>
      <c r="S1173" s="207">
        <v>1</v>
      </c>
      <c r="T1173" s="207">
        <v>1</v>
      </c>
      <c r="U1173" s="207">
        <v>1</v>
      </c>
      <c r="V1173" s="207">
        <v>1</v>
      </c>
      <c r="W1173" s="207">
        <v>1</v>
      </c>
      <c r="X1173" s="207">
        <v>1</v>
      </c>
      <c r="Y1173" s="207">
        <v>1</v>
      </c>
      <c r="Z1173" s="207">
        <v>1</v>
      </c>
      <c r="AA1173" s="207">
        <v>1</v>
      </c>
      <c r="AB1173" s="207">
        <v>1</v>
      </c>
      <c r="AC1173" s="5"/>
      <c r="AD1173" s="63"/>
      <c r="AE1173" s="64"/>
      <c r="AF1173" s="64"/>
      <c r="AG1173" s="64"/>
      <c r="AH1173" s="64"/>
      <c r="AI1173" s="65"/>
      <c r="AJ1173" s="64"/>
      <c r="AK1173" s="65"/>
      <c r="AL1173" s="64"/>
      <c r="AM1173" s="64"/>
      <c r="AN1173" s="63"/>
      <c r="AO1173" s="64"/>
      <c r="AP1173" s="63"/>
      <c r="AQ1173" s="64"/>
      <c r="AR1173" s="63"/>
      <c r="AS1173" s="64"/>
      <c r="AT1173" s="63"/>
      <c r="AU1173" s="64"/>
      <c r="AV1173" s="63"/>
      <c r="AW1173" s="64"/>
      <c r="AX1173" s="63"/>
      <c r="AY1173" s="5"/>
      <c r="AZ1173" s="21" t="str">
        <f t="shared" si="770"/>
        <v/>
      </c>
      <c r="BA1173" s="2"/>
      <c r="BB1173" s="13"/>
      <c r="BC1173" s="2"/>
      <c r="BD1173" s="2"/>
      <c r="BE1173" s="16"/>
      <c r="BF1173" s="4"/>
      <c r="BG1173" s="4"/>
      <c r="BH1173" s="4"/>
      <c r="BI1173" s="4"/>
      <c r="BJ1173" s="4"/>
      <c r="BK1173" s="4"/>
      <c r="BL1173" s="4"/>
      <c r="BM1173" s="4"/>
      <c r="BN1173" s="4"/>
      <c r="BO1173" s="4"/>
      <c r="BP1173" s="4"/>
      <c r="BQ1173" s="5"/>
      <c r="BR1173" s="13"/>
      <c r="BS1173" s="5"/>
    </row>
    <row r="1174" spans="1:71" s="3" customFormat="1" x14ac:dyDescent="0.25">
      <c r="A1174" s="5"/>
      <c r="B1174" s="3" t="str">
        <f t="array" ref="B1174">IFERROR(INDEX(DemandSupply,MATCH(INDEX($AH$1:AH1174,SMALL(ROW($AH$1:AH1174)+(10000*($AH$1:AH1174="")),COUNTA($AH$1:AH1174))),Sectors,0)),"")</f>
        <v>Supply</v>
      </c>
      <c r="E1174" s="10">
        <f t="shared" si="773"/>
        <v>1</v>
      </c>
      <c r="F1174" s="207">
        <v>1</v>
      </c>
      <c r="G1174" s="207">
        <v>1</v>
      </c>
      <c r="H1174" s="207">
        <v>1</v>
      </c>
      <c r="I1174" s="207">
        <v>1</v>
      </c>
      <c r="J1174" s="207">
        <v>1</v>
      </c>
      <c r="K1174" s="207">
        <v>1</v>
      </c>
      <c r="L1174" s="207">
        <v>1</v>
      </c>
      <c r="M1174" s="207">
        <v>1</v>
      </c>
      <c r="N1174" s="207">
        <v>1</v>
      </c>
      <c r="O1174" s="207">
        <v>1</v>
      </c>
      <c r="P1174" s="207">
        <v>1</v>
      </c>
      <c r="Q1174" s="207">
        <v>1</v>
      </c>
      <c r="R1174" s="207">
        <v>1</v>
      </c>
      <c r="S1174" s="207">
        <v>1</v>
      </c>
      <c r="T1174" s="207">
        <v>1</v>
      </c>
      <c r="U1174" s="207">
        <v>1</v>
      </c>
      <c r="V1174" s="207">
        <v>1</v>
      </c>
      <c r="W1174" s="207">
        <v>1</v>
      </c>
      <c r="X1174" s="207">
        <v>1</v>
      </c>
      <c r="Y1174" s="207">
        <v>1</v>
      </c>
      <c r="Z1174" s="207">
        <v>1</v>
      </c>
      <c r="AA1174" s="207">
        <v>1</v>
      </c>
      <c r="AB1174" s="207">
        <v>1</v>
      </c>
      <c r="AC1174" s="5"/>
      <c r="AD1174" s="63"/>
      <c r="AE1174" s="64"/>
      <c r="AF1174" s="64"/>
      <c r="AG1174" s="64"/>
      <c r="AH1174" s="64"/>
      <c r="AI1174" s="65"/>
      <c r="AJ1174" s="64"/>
      <c r="AK1174" s="65"/>
      <c r="AL1174" s="64"/>
      <c r="AM1174" s="64"/>
      <c r="AN1174" s="63"/>
      <c r="AO1174" s="64"/>
      <c r="AP1174" s="63"/>
      <c r="AQ1174" s="64"/>
      <c r="AR1174" s="63"/>
      <c r="AS1174" s="64"/>
      <c r="AT1174" s="63"/>
      <c r="AU1174" s="64"/>
      <c r="AV1174" s="63"/>
      <c r="AW1174" s="64"/>
      <c r="AX1174" s="63"/>
      <c r="AY1174" s="5"/>
      <c r="AZ1174" s="21" t="str">
        <f t="shared" si="770"/>
        <v/>
      </c>
      <c r="BA1174" s="2"/>
      <c r="BB1174" s="13"/>
      <c r="BC1174" s="2"/>
      <c r="BD1174" s="2"/>
      <c r="BE1174" s="16"/>
      <c r="BF1174" s="4"/>
      <c r="BG1174" s="4"/>
      <c r="BH1174" s="4"/>
      <c r="BI1174" s="4"/>
      <c r="BJ1174" s="4"/>
      <c r="BK1174" s="4"/>
      <c r="BL1174" s="4"/>
      <c r="BM1174" s="4"/>
      <c r="BN1174" s="4"/>
      <c r="BO1174" s="4"/>
      <c r="BP1174" s="4"/>
      <c r="BQ1174" s="5"/>
      <c r="BR1174" s="13"/>
      <c r="BS1174" s="5"/>
    </row>
    <row r="1175" spans="1:71" s="3" customFormat="1" x14ac:dyDescent="0.25">
      <c r="A1175" s="5"/>
      <c r="B1175" s="3" t="str">
        <f t="array" ref="B1175">IFERROR(INDEX(DemandSupply,MATCH(INDEX($AH$1:AH1175,SMALL(ROW($AH$1:AH1175)+(10000*($AH$1:AH1175="")),COUNTA($AH$1:AH1175))),Sectors,0)),"")</f>
        <v>Supply</v>
      </c>
      <c r="E1175" s="10">
        <f t="shared" si="773"/>
        <v>1</v>
      </c>
      <c r="F1175" s="207">
        <v>1</v>
      </c>
      <c r="G1175" s="207">
        <v>1</v>
      </c>
      <c r="H1175" s="207">
        <v>1</v>
      </c>
      <c r="I1175" s="207">
        <v>1</v>
      </c>
      <c r="J1175" s="207">
        <v>1</v>
      </c>
      <c r="K1175" s="207">
        <v>1</v>
      </c>
      <c r="L1175" s="207">
        <v>1</v>
      </c>
      <c r="M1175" s="207">
        <v>1</v>
      </c>
      <c r="N1175" s="207">
        <v>1</v>
      </c>
      <c r="O1175" s="207">
        <v>1</v>
      </c>
      <c r="P1175" s="207">
        <v>1</v>
      </c>
      <c r="Q1175" s="207">
        <v>1</v>
      </c>
      <c r="R1175" s="207">
        <v>1</v>
      </c>
      <c r="S1175" s="207">
        <v>1</v>
      </c>
      <c r="T1175" s="207">
        <v>1</v>
      </c>
      <c r="U1175" s="207">
        <v>1</v>
      </c>
      <c r="V1175" s="207">
        <v>1</v>
      </c>
      <c r="W1175" s="207">
        <v>1</v>
      </c>
      <c r="X1175" s="207">
        <v>1</v>
      </c>
      <c r="Y1175" s="207">
        <v>1</v>
      </c>
      <c r="Z1175" s="207">
        <v>1</v>
      </c>
      <c r="AA1175" s="207">
        <v>1</v>
      </c>
      <c r="AB1175" s="207">
        <v>1</v>
      </c>
      <c r="AC1175" s="5"/>
      <c r="AD1175" s="63"/>
      <c r="AE1175" s="64"/>
      <c r="AF1175" s="64"/>
      <c r="AG1175" s="64"/>
      <c r="AH1175" s="64"/>
      <c r="AI1175" s="65"/>
      <c r="AJ1175" s="64"/>
      <c r="AK1175" s="65"/>
      <c r="AL1175" s="64"/>
      <c r="AM1175" s="64"/>
      <c r="AN1175" s="63"/>
      <c r="AO1175" s="64"/>
      <c r="AP1175" s="63"/>
      <c r="AQ1175" s="64"/>
      <c r="AR1175" s="63"/>
      <c r="AS1175" s="64"/>
      <c r="AT1175" s="63"/>
      <c r="AU1175" s="64"/>
      <c r="AV1175" s="63"/>
      <c r="AW1175" s="64"/>
      <c r="AX1175" s="63"/>
      <c r="AY1175" s="5"/>
      <c r="AZ1175" s="21" t="str">
        <f t="shared" si="770"/>
        <v/>
      </c>
      <c r="BA1175" s="2"/>
      <c r="BB1175" s="13"/>
      <c r="BC1175" s="2"/>
      <c r="BD1175" s="2"/>
      <c r="BE1175" s="16"/>
      <c r="BF1175" s="4"/>
      <c r="BG1175" s="4"/>
      <c r="BH1175" s="4"/>
      <c r="BI1175" s="4"/>
      <c r="BJ1175" s="4"/>
      <c r="BK1175" s="4"/>
      <c r="BL1175" s="4"/>
      <c r="BM1175" s="4"/>
      <c r="BN1175" s="4"/>
      <c r="BO1175" s="4"/>
      <c r="BP1175" s="4"/>
      <c r="BQ1175" s="5"/>
      <c r="BR1175" s="13"/>
      <c r="BS1175" s="5"/>
    </row>
    <row r="1176" spans="1:71" s="3" customFormat="1" x14ac:dyDescent="0.25">
      <c r="A1176" s="5"/>
      <c r="B1176" s="3" t="str">
        <f t="array" ref="B1176">IFERROR(INDEX(DemandSupply,MATCH(INDEX($AH$1:AH1176,SMALL(ROW($AH$1:AH1176)+(10000*($AH$1:AH1176="")),COUNTA($AH$1:AH1176))),Sectors,0)),"")</f>
        <v>Supply</v>
      </c>
      <c r="E1176" s="10">
        <f t="shared" si="773"/>
        <v>1</v>
      </c>
      <c r="F1176" s="207">
        <v>1</v>
      </c>
      <c r="G1176" s="207">
        <v>1</v>
      </c>
      <c r="H1176" s="207">
        <v>1</v>
      </c>
      <c r="I1176" s="207">
        <v>1</v>
      </c>
      <c r="J1176" s="207">
        <v>1</v>
      </c>
      <c r="K1176" s="207">
        <v>1</v>
      </c>
      <c r="L1176" s="207">
        <v>1</v>
      </c>
      <c r="M1176" s="207">
        <v>1</v>
      </c>
      <c r="N1176" s="207">
        <v>1</v>
      </c>
      <c r="O1176" s="207">
        <v>1</v>
      </c>
      <c r="P1176" s="207">
        <v>1</v>
      </c>
      <c r="Q1176" s="207">
        <v>1</v>
      </c>
      <c r="R1176" s="207">
        <v>1</v>
      </c>
      <c r="S1176" s="207">
        <v>1</v>
      </c>
      <c r="T1176" s="207">
        <v>1</v>
      </c>
      <c r="U1176" s="207">
        <v>1</v>
      </c>
      <c r="V1176" s="207">
        <v>1</v>
      </c>
      <c r="W1176" s="207">
        <v>1</v>
      </c>
      <c r="X1176" s="207">
        <v>1</v>
      </c>
      <c r="Y1176" s="207">
        <v>1</v>
      </c>
      <c r="Z1176" s="207">
        <v>1</v>
      </c>
      <c r="AA1176" s="207">
        <v>1</v>
      </c>
      <c r="AB1176" s="207">
        <v>1</v>
      </c>
      <c r="AC1176" s="5"/>
      <c r="AD1176" s="63"/>
      <c r="AE1176" s="64"/>
      <c r="AF1176" s="64"/>
      <c r="AG1176" s="64"/>
      <c r="AH1176" s="64"/>
      <c r="AI1176" s="65"/>
      <c r="AJ1176" s="64"/>
      <c r="AK1176" s="65"/>
      <c r="AL1176" s="64"/>
      <c r="AM1176" s="64"/>
      <c r="AN1176" s="63"/>
      <c r="AO1176" s="64"/>
      <c r="AP1176" s="63"/>
      <c r="AQ1176" s="64"/>
      <c r="AR1176" s="63"/>
      <c r="AS1176" s="64"/>
      <c r="AT1176" s="63"/>
      <c r="AU1176" s="64"/>
      <c r="AV1176" s="63"/>
      <c r="AW1176" s="64"/>
      <c r="AX1176" s="63"/>
      <c r="AY1176" s="5"/>
      <c r="AZ1176" s="21" t="str">
        <f t="shared" si="770"/>
        <v/>
      </c>
      <c r="BA1176" s="2"/>
      <c r="BB1176" s="13"/>
      <c r="BC1176" s="2"/>
      <c r="BD1176" s="2"/>
      <c r="BE1176" s="16"/>
      <c r="BF1176" s="4"/>
      <c r="BG1176" s="4"/>
      <c r="BH1176" s="4"/>
      <c r="BI1176" s="4"/>
      <c r="BJ1176" s="4"/>
      <c r="BK1176" s="4"/>
      <c r="BL1176" s="4"/>
      <c r="BM1176" s="4"/>
      <c r="BN1176" s="4"/>
      <c r="BO1176" s="4"/>
      <c r="BP1176" s="4"/>
      <c r="BQ1176" s="5"/>
      <c r="BR1176" s="13"/>
      <c r="BS1176" s="5"/>
    </row>
    <row r="1177" spans="1:71" s="3" customFormat="1" x14ac:dyDescent="0.25">
      <c r="A1177" s="5"/>
      <c r="B1177" s="3" t="str">
        <f t="array" ref="B1177">IFERROR(INDEX(DemandSupply,MATCH(INDEX($AH$1:AH1177,SMALL(ROW($AH$1:AH1177)+(10000*($AH$1:AH1177="")),COUNTA($AH$1:AH1177))),Sectors,0)),"")</f>
        <v>Supply</v>
      </c>
      <c r="E1177" s="10">
        <f t="shared" si="773"/>
        <v>1</v>
      </c>
      <c r="F1177" s="207">
        <v>1</v>
      </c>
      <c r="G1177" s="207">
        <v>1</v>
      </c>
      <c r="H1177" s="207">
        <v>1</v>
      </c>
      <c r="I1177" s="207">
        <v>1</v>
      </c>
      <c r="J1177" s="207">
        <v>1</v>
      </c>
      <c r="K1177" s="207">
        <v>1</v>
      </c>
      <c r="L1177" s="207">
        <v>1</v>
      </c>
      <c r="M1177" s="207">
        <v>1</v>
      </c>
      <c r="N1177" s="207">
        <v>1</v>
      </c>
      <c r="O1177" s="207">
        <v>1</v>
      </c>
      <c r="P1177" s="207">
        <v>1</v>
      </c>
      <c r="Q1177" s="207">
        <v>1</v>
      </c>
      <c r="R1177" s="207">
        <v>1</v>
      </c>
      <c r="S1177" s="207">
        <v>1</v>
      </c>
      <c r="T1177" s="207">
        <v>1</v>
      </c>
      <c r="U1177" s="207">
        <v>1</v>
      </c>
      <c r="V1177" s="207">
        <v>1</v>
      </c>
      <c r="W1177" s="207">
        <v>1</v>
      </c>
      <c r="X1177" s="207">
        <v>1</v>
      </c>
      <c r="Y1177" s="207">
        <v>1</v>
      </c>
      <c r="Z1177" s="207">
        <v>1</v>
      </c>
      <c r="AA1177" s="207">
        <v>1</v>
      </c>
      <c r="AB1177" s="207">
        <v>1</v>
      </c>
      <c r="AC1177" s="5"/>
      <c r="AD1177" s="63"/>
      <c r="AE1177" s="64"/>
      <c r="AF1177" s="64"/>
      <c r="AG1177" s="64"/>
      <c r="AH1177" s="64"/>
      <c r="AI1177" s="65"/>
      <c r="AJ1177" s="64"/>
      <c r="AK1177" s="65"/>
      <c r="AL1177" s="64"/>
      <c r="AM1177" s="64"/>
      <c r="AN1177" s="63"/>
      <c r="AO1177" s="64"/>
      <c r="AP1177" s="63"/>
      <c r="AQ1177" s="64"/>
      <c r="AR1177" s="63"/>
      <c r="AS1177" s="64"/>
      <c r="AT1177" s="63"/>
      <c r="AU1177" s="64"/>
      <c r="AV1177" s="63"/>
      <c r="AW1177" s="64"/>
      <c r="AX1177" s="63"/>
      <c r="AY1177" s="5"/>
      <c r="AZ1177" s="21" t="str">
        <f t="shared" si="770"/>
        <v/>
      </c>
      <c r="BA1177" s="2"/>
      <c r="BB1177" s="13"/>
      <c r="BC1177" s="2"/>
      <c r="BD1177" s="2"/>
      <c r="BE1177" s="16"/>
      <c r="BF1177" s="4"/>
      <c r="BG1177" s="4"/>
      <c r="BH1177" s="4"/>
      <c r="BI1177" s="4"/>
      <c r="BJ1177" s="4"/>
      <c r="BK1177" s="4"/>
      <c r="BL1177" s="4"/>
      <c r="BM1177" s="4"/>
      <c r="BN1177" s="4"/>
      <c r="BO1177" s="4"/>
      <c r="BP1177" s="4"/>
      <c r="BQ1177" s="5"/>
      <c r="BR1177" s="13"/>
      <c r="BS1177" s="5"/>
    </row>
    <row r="1178" spans="1:71" s="3" customFormat="1" x14ac:dyDescent="0.25">
      <c r="A1178" s="5"/>
      <c r="B1178" s="3" t="str">
        <f t="array" ref="B1178">IFERROR(INDEX(DemandSupply,MATCH(INDEX($AH$1:AH1178,SMALL(ROW($AH$1:AH1178)+(10000*($AH$1:AH1178="")),COUNTA($AH$1:AH1178))),Sectors,0)),"")</f>
        <v>Supply</v>
      </c>
      <c r="E1178" s="10">
        <f t="shared" si="773"/>
        <v>1</v>
      </c>
      <c r="F1178" s="207">
        <v>1</v>
      </c>
      <c r="G1178" s="207">
        <v>1</v>
      </c>
      <c r="H1178" s="207">
        <v>1</v>
      </c>
      <c r="I1178" s="207">
        <v>1</v>
      </c>
      <c r="J1178" s="207">
        <v>1</v>
      </c>
      <c r="K1178" s="207">
        <v>1</v>
      </c>
      <c r="L1178" s="207">
        <v>1</v>
      </c>
      <c r="M1178" s="207">
        <v>1</v>
      </c>
      <c r="N1178" s="207">
        <v>1</v>
      </c>
      <c r="O1178" s="207">
        <v>1</v>
      </c>
      <c r="P1178" s="207">
        <v>1</v>
      </c>
      <c r="Q1178" s="207">
        <v>1</v>
      </c>
      <c r="R1178" s="207">
        <v>1</v>
      </c>
      <c r="S1178" s="207">
        <v>1</v>
      </c>
      <c r="T1178" s="207">
        <v>1</v>
      </c>
      <c r="U1178" s="207">
        <v>1</v>
      </c>
      <c r="V1178" s="207">
        <v>1</v>
      </c>
      <c r="W1178" s="207">
        <v>1</v>
      </c>
      <c r="X1178" s="207">
        <v>1</v>
      </c>
      <c r="Y1178" s="207">
        <v>1</v>
      </c>
      <c r="Z1178" s="207">
        <v>1</v>
      </c>
      <c r="AA1178" s="207">
        <v>1</v>
      </c>
      <c r="AB1178" s="207">
        <v>1</v>
      </c>
      <c r="AC1178" s="5"/>
      <c r="AD1178" s="63"/>
      <c r="AE1178" s="64"/>
      <c r="AF1178" s="64"/>
      <c r="AG1178" s="64"/>
      <c r="AH1178" s="64"/>
      <c r="AI1178" s="65"/>
      <c r="AJ1178" s="64"/>
      <c r="AK1178" s="65"/>
      <c r="AL1178" s="64"/>
      <c r="AM1178" s="64"/>
      <c r="AN1178" s="63"/>
      <c r="AO1178" s="64"/>
      <c r="AP1178" s="63"/>
      <c r="AQ1178" s="64"/>
      <c r="AR1178" s="63"/>
      <c r="AS1178" s="64"/>
      <c r="AT1178" s="63"/>
      <c r="AU1178" s="64"/>
      <c r="AV1178" s="63"/>
      <c r="AW1178" s="64"/>
      <c r="AX1178" s="63"/>
      <c r="AY1178" s="5"/>
      <c r="AZ1178" s="21" t="str">
        <f t="shared" si="770"/>
        <v/>
      </c>
      <c r="BA1178" s="2"/>
      <c r="BB1178" s="13"/>
      <c r="BC1178" s="2"/>
      <c r="BD1178" s="2"/>
      <c r="BE1178" s="16"/>
      <c r="BF1178" s="4"/>
      <c r="BG1178" s="4"/>
      <c r="BH1178" s="4"/>
      <c r="BI1178" s="4"/>
      <c r="BJ1178" s="4"/>
      <c r="BK1178" s="4"/>
      <c r="BL1178" s="4"/>
      <c r="BM1178" s="4"/>
      <c r="BN1178" s="4"/>
      <c r="BO1178" s="4"/>
      <c r="BP1178" s="4"/>
      <c r="BQ1178" s="5"/>
      <c r="BR1178" s="13"/>
      <c r="BS1178" s="5"/>
    </row>
    <row r="1179" spans="1:71" s="3" customFormat="1" x14ac:dyDescent="0.25">
      <c r="A1179" s="5"/>
      <c r="B1179" s="3" t="str">
        <f t="array" ref="B1179">IFERROR(INDEX(DemandSupply,MATCH(INDEX($AH$1:AH1179,SMALL(ROW($AH$1:AH1179)+(10000*($AH$1:AH1179="")),COUNTA($AH$1:AH1179))),Sectors,0)),"")</f>
        <v>Supply</v>
      </c>
      <c r="E1179" s="10">
        <f t="shared" si="773"/>
        <v>1</v>
      </c>
      <c r="F1179" s="207">
        <v>1</v>
      </c>
      <c r="G1179" s="207">
        <v>1</v>
      </c>
      <c r="H1179" s="207">
        <v>1</v>
      </c>
      <c r="I1179" s="207">
        <v>1</v>
      </c>
      <c r="J1179" s="207">
        <v>1</v>
      </c>
      <c r="K1179" s="207">
        <v>1</v>
      </c>
      <c r="L1179" s="207">
        <v>1</v>
      </c>
      <c r="M1179" s="207">
        <v>1</v>
      </c>
      <c r="N1179" s="207">
        <v>1</v>
      </c>
      <c r="O1179" s="207">
        <v>1</v>
      </c>
      <c r="P1179" s="207">
        <v>1</v>
      </c>
      <c r="Q1179" s="207">
        <v>1</v>
      </c>
      <c r="R1179" s="207">
        <v>1</v>
      </c>
      <c r="S1179" s="207">
        <v>1</v>
      </c>
      <c r="T1179" s="207">
        <v>1</v>
      </c>
      <c r="U1179" s="207">
        <v>1</v>
      </c>
      <c r="V1179" s="207">
        <v>1</v>
      </c>
      <c r="W1179" s="207">
        <v>1</v>
      </c>
      <c r="X1179" s="207">
        <v>1</v>
      </c>
      <c r="Y1179" s="207">
        <v>1</v>
      </c>
      <c r="Z1179" s="207">
        <v>1</v>
      </c>
      <c r="AA1179" s="207">
        <v>1</v>
      </c>
      <c r="AB1179" s="207">
        <v>1</v>
      </c>
      <c r="AC1179" s="5"/>
      <c r="AD1179" s="63"/>
      <c r="AE1179" s="64"/>
      <c r="AF1179" s="64"/>
      <c r="AG1179" s="64"/>
      <c r="AH1179" s="64"/>
      <c r="AI1179" s="65"/>
      <c r="AJ1179" s="64"/>
      <c r="AK1179" s="65"/>
      <c r="AL1179" s="64"/>
      <c r="AM1179" s="64"/>
      <c r="AN1179" s="63"/>
      <c r="AO1179" s="64"/>
      <c r="AP1179" s="63"/>
      <c r="AQ1179" s="64"/>
      <c r="AR1179" s="63"/>
      <c r="AS1179" s="64"/>
      <c r="AT1179" s="63"/>
      <c r="AU1179" s="64"/>
      <c r="AV1179" s="63"/>
      <c r="AW1179" s="64"/>
      <c r="AX1179" s="63"/>
      <c r="AY1179" s="5"/>
      <c r="AZ1179" s="21" t="str">
        <f t="shared" si="770"/>
        <v/>
      </c>
      <c r="BA1179" s="2"/>
      <c r="BB1179" s="13"/>
      <c r="BC1179" s="2"/>
      <c r="BD1179" s="2"/>
      <c r="BE1179" s="16"/>
      <c r="BF1179" s="4"/>
      <c r="BG1179" s="4"/>
      <c r="BH1179" s="4"/>
      <c r="BI1179" s="4"/>
      <c r="BJ1179" s="4"/>
      <c r="BK1179" s="4"/>
      <c r="BL1179" s="4"/>
      <c r="BM1179" s="4"/>
      <c r="BN1179" s="4"/>
      <c r="BO1179" s="4"/>
      <c r="BP1179" s="4"/>
      <c r="BQ1179" s="5"/>
      <c r="BR1179" s="13"/>
      <c r="BS1179" s="5"/>
    </row>
    <row r="1180" spans="1:71" s="3" customFormat="1" x14ac:dyDescent="0.25">
      <c r="A1180" s="5"/>
      <c r="B1180" s="3" t="str">
        <f t="array" ref="B1180">IFERROR(INDEX(DemandSupply,MATCH(INDEX($AH$1:AH1180,SMALL(ROW($AH$1:AH1180)+(10000*($AH$1:AH1180="")),COUNTA($AH$1:AH1180))),Sectors,0)),"")</f>
        <v>Supply</v>
      </c>
      <c r="E1180" s="10">
        <f t="shared" si="773"/>
        <v>1</v>
      </c>
      <c r="F1180" s="207">
        <v>1</v>
      </c>
      <c r="G1180" s="207">
        <v>1</v>
      </c>
      <c r="H1180" s="207">
        <v>1</v>
      </c>
      <c r="I1180" s="207">
        <v>1</v>
      </c>
      <c r="J1180" s="207">
        <v>1</v>
      </c>
      <c r="K1180" s="207">
        <v>1</v>
      </c>
      <c r="L1180" s="207">
        <v>1</v>
      </c>
      <c r="M1180" s="207">
        <v>1</v>
      </c>
      <c r="N1180" s="207">
        <v>1</v>
      </c>
      <c r="O1180" s="207">
        <v>1</v>
      </c>
      <c r="P1180" s="207">
        <v>1</v>
      </c>
      <c r="Q1180" s="207">
        <v>1</v>
      </c>
      <c r="R1180" s="207">
        <v>1</v>
      </c>
      <c r="S1180" s="207">
        <v>1</v>
      </c>
      <c r="T1180" s="207">
        <v>1</v>
      </c>
      <c r="U1180" s="207">
        <v>1</v>
      </c>
      <c r="V1180" s="207">
        <v>1</v>
      </c>
      <c r="W1180" s="207">
        <v>1</v>
      </c>
      <c r="X1180" s="207">
        <v>1</v>
      </c>
      <c r="Y1180" s="207">
        <v>1</v>
      </c>
      <c r="Z1180" s="207">
        <v>1</v>
      </c>
      <c r="AA1180" s="207">
        <v>1</v>
      </c>
      <c r="AB1180" s="207">
        <v>1</v>
      </c>
      <c r="AC1180" s="5"/>
      <c r="AD1180" s="63"/>
      <c r="AE1180" s="64"/>
      <c r="AF1180" s="64"/>
      <c r="AG1180" s="64"/>
      <c r="AH1180" s="64"/>
      <c r="AI1180" s="65"/>
      <c r="AJ1180" s="64"/>
      <c r="AK1180" s="65"/>
      <c r="AL1180" s="64"/>
      <c r="AM1180" s="64"/>
      <c r="AN1180" s="63"/>
      <c r="AO1180" s="64"/>
      <c r="AP1180" s="63"/>
      <c r="AQ1180" s="64"/>
      <c r="AR1180" s="63"/>
      <c r="AS1180" s="64"/>
      <c r="AT1180" s="63"/>
      <c r="AU1180" s="64"/>
      <c r="AV1180" s="63"/>
      <c r="AW1180" s="64"/>
      <c r="AX1180" s="63"/>
      <c r="AY1180" s="5"/>
      <c r="AZ1180" s="21" t="str">
        <f t="shared" si="770"/>
        <v/>
      </c>
      <c r="BA1180" s="2"/>
      <c r="BB1180" s="13"/>
      <c r="BC1180" s="2"/>
      <c r="BD1180" s="2"/>
      <c r="BE1180" s="16"/>
      <c r="BF1180" s="4"/>
      <c r="BG1180" s="4"/>
      <c r="BH1180" s="4"/>
      <c r="BI1180" s="4"/>
      <c r="BJ1180" s="4"/>
      <c r="BK1180" s="4"/>
      <c r="BL1180" s="4"/>
      <c r="BM1180" s="4"/>
      <c r="BN1180" s="4"/>
      <c r="BO1180" s="4"/>
      <c r="BP1180" s="4"/>
      <c r="BQ1180" s="5"/>
      <c r="BR1180" s="13"/>
      <c r="BS1180" s="5"/>
    </row>
    <row r="1181" spans="1:71" s="3" customFormat="1" x14ac:dyDescent="0.25">
      <c r="A1181" s="5"/>
      <c r="B1181" s="3" t="str">
        <f t="array" ref="B1181">IFERROR(INDEX(DemandSupply,MATCH(INDEX($AH$1:AH1181,SMALL(ROW($AH$1:AH1181)+(10000*($AH$1:AH1181="")),COUNTA($AH$1:AH1181))),Sectors,0)),"")</f>
        <v>Supply</v>
      </c>
      <c r="E1181" s="10">
        <f t="shared" si="773"/>
        <v>1</v>
      </c>
      <c r="F1181" s="207">
        <v>1</v>
      </c>
      <c r="G1181" s="207">
        <v>1</v>
      </c>
      <c r="H1181" s="207">
        <v>1</v>
      </c>
      <c r="I1181" s="207">
        <v>1</v>
      </c>
      <c r="J1181" s="207">
        <v>1</v>
      </c>
      <c r="K1181" s="207">
        <v>1</v>
      </c>
      <c r="L1181" s="207">
        <v>1</v>
      </c>
      <c r="M1181" s="207">
        <v>1</v>
      </c>
      <c r="N1181" s="207">
        <v>1</v>
      </c>
      <c r="O1181" s="207">
        <v>1</v>
      </c>
      <c r="P1181" s="207">
        <v>1</v>
      </c>
      <c r="Q1181" s="207">
        <v>1</v>
      </c>
      <c r="R1181" s="207">
        <v>1</v>
      </c>
      <c r="S1181" s="207">
        <v>1</v>
      </c>
      <c r="T1181" s="207">
        <v>1</v>
      </c>
      <c r="U1181" s="207">
        <v>1</v>
      </c>
      <c r="V1181" s="207">
        <v>1</v>
      </c>
      <c r="W1181" s="207">
        <v>1</v>
      </c>
      <c r="X1181" s="207">
        <v>1</v>
      </c>
      <c r="Y1181" s="207">
        <v>1</v>
      </c>
      <c r="Z1181" s="207">
        <v>1</v>
      </c>
      <c r="AA1181" s="207">
        <v>1</v>
      </c>
      <c r="AB1181" s="207">
        <v>1</v>
      </c>
      <c r="AC1181" s="5"/>
      <c r="AD1181" s="63"/>
      <c r="AE1181" s="64"/>
      <c r="AF1181" s="64"/>
      <c r="AG1181" s="64"/>
      <c r="AH1181" s="64"/>
      <c r="AI1181" s="65"/>
      <c r="AJ1181" s="64"/>
      <c r="AK1181" s="65"/>
      <c r="AL1181" s="64"/>
      <c r="AM1181" s="64"/>
      <c r="AN1181" s="63"/>
      <c r="AO1181" s="64"/>
      <c r="AP1181" s="63"/>
      <c r="AQ1181" s="64"/>
      <c r="AR1181" s="63"/>
      <c r="AS1181" s="64"/>
      <c r="AT1181" s="63"/>
      <c r="AU1181" s="64"/>
      <c r="AV1181" s="63"/>
      <c r="AW1181" s="64"/>
      <c r="AX1181" s="63"/>
      <c r="AY1181" s="5"/>
      <c r="AZ1181" s="21" t="str">
        <f t="shared" ref="AZ1181:AZ1191" si="778">IFERROR(INDEX($AD1181:$AX1181,MATCH(TRUE,INDEX(($AD1181:$AX1181&lt;&gt;0),0),0)),"")</f>
        <v/>
      </c>
      <c r="BA1181" s="2"/>
      <c r="BB1181" s="13"/>
      <c r="BC1181" s="2"/>
      <c r="BD1181" s="2"/>
      <c r="BE1181" s="16"/>
      <c r="BF1181" s="4"/>
      <c r="BG1181" s="4"/>
      <c r="BH1181" s="4"/>
      <c r="BI1181" s="4"/>
      <c r="BJ1181" s="4"/>
      <c r="BK1181" s="4"/>
      <c r="BL1181" s="4"/>
      <c r="BM1181" s="4"/>
      <c r="BN1181" s="4"/>
      <c r="BO1181" s="4"/>
      <c r="BP1181" s="4"/>
      <c r="BQ1181" s="5"/>
      <c r="BR1181" s="13"/>
      <c r="BS1181" s="5"/>
    </row>
    <row r="1182" spans="1:71" s="3" customFormat="1" x14ac:dyDescent="0.25">
      <c r="A1182" s="5"/>
      <c r="B1182" s="3" t="str">
        <f t="array" ref="B1182">IFERROR(INDEX(DemandSupply,MATCH(INDEX($AH$1:AH1182,SMALL(ROW($AH$1:AH1182)+(10000*($AH$1:AH1182="")),COUNTA($AH$1:AH1182))),Sectors,0)),"")</f>
        <v>Supply</v>
      </c>
      <c r="E1182" s="10">
        <f t="shared" si="773"/>
        <v>1</v>
      </c>
      <c r="F1182" s="207">
        <v>1</v>
      </c>
      <c r="G1182" s="207">
        <v>1</v>
      </c>
      <c r="H1182" s="207">
        <v>1</v>
      </c>
      <c r="I1182" s="207">
        <v>1</v>
      </c>
      <c r="J1182" s="207">
        <v>1</v>
      </c>
      <c r="K1182" s="207">
        <v>1</v>
      </c>
      <c r="L1182" s="207">
        <v>1</v>
      </c>
      <c r="M1182" s="207">
        <v>1</v>
      </c>
      <c r="N1182" s="207">
        <v>1</v>
      </c>
      <c r="O1182" s="207">
        <v>1</v>
      </c>
      <c r="P1182" s="207">
        <v>1</v>
      </c>
      <c r="Q1182" s="207">
        <v>1</v>
      </c>
      <c r="R1182" s="207">
        <v>1</v>
      </c>
      <c r="S1182" s="207">
        <v>1</v>
      </c>
      <c r="T1182" s="207">
        <v>1</v>
      </c>
      <c r="U1182" s="207">
        <v>1</v>
      </c>
      <c r="V1182" s="207">
        <v>1</v>
      </c>
      <c r="W1182" s="207">
        <v>1</v>
      </c>
      <c r="X1182" s="207">
        <v>1</v>
      </c>
      <c r="Y1182" s="207">
        <v>1</v>
      </c>
      <c r="Z1182" s="207">
        <v>1</v>
      </c>
      <c r="AA1182" s="207">
        <v>1</v>
      </c>
      <c r="AB1182" s="207">
        <v>1</v>
      </c>
      <c r="AC1182" s="5"/>
      <c r="AD1182" s="63"/>
      <c r="AE1182" s="64"/>
      <c r="AF1182" s="64"/>
      <c r="AG1182" s="64"/>
      <c r="AH1182" s="64"/>
      <c r="AI1182" s="65"/>
      <c r="AJ1182" s="64"/>
      <c r="AK1182" s="65"/>
      <c r="AL1182" s="64"/>
      <c r="AM1182" s="64"/>
      <c r="AN1182" s="63"/>
      <c r="AO1182" s="64"/>
      <c r="AP1182" s="63"/>
      <c r="AQ1182" s="64"/>
      <c r="AR1182" s="63"/>
      <c r="AS1182" s="64"/>
      <c r="AT1182" s="63"/>
      <c r="AU1182" s="64"/>
      <c r="AV1182" s="63"/>
      <c r="AW1182" s="64"/>
      <c r="AX1182" s="63"/>
      <c r="AY1182" s="5"/>
      <c r="AZ1182" s="21" t="str">
        <f t="shared" si="778"/>
        <v/>
      </c>
      <c r="BA1182" s="2"/>
      <c r="BB1182" s="13"/>
      <c r="BC1182" s="2"/>
      <c r="BD1182" s="2"/>
      <c r="BE1182" s="16"/>
      <c r="BF1182" s="4"/>
      <c r="BG1182" s="4"/>
      <c r="BH1182" s="4"/>
      <c r="BI1182" s="4"/>
      <c r="BJ1182" s="4"/>
      <c r="BK1182" s="4"/>
      <c r="BL1182" s="4"/>
      <c r="BM1182" s="4"/>
      <c r="BN1182" s="4"/>
      <c r="BO1182" s="4"/>
      <c r="BP1182" s="4"/>
      <c r="BQ1182" s="5"/>
      <c r="BR1182" s="13"/>
      <c r="BS1182" s="5"/>
    </row>
    <row r="1183" spans="1:71" s="3" customFormat="1" x14ac:dyDescent="0.25">
      <c r="A1183" s="5"/>
      <c r="B1183" s="3" t="str">
        <f t="array" ref="B1183">IFERROR(INDEX(DemandSupply,MATCH(INDEX($AH$1:AH1183,SMALL(ROW($AH$1:AH1183)+(10000*($AH$1:AH1183="")),COUNTA($AH$1:AH1183))),Sectors,0)),"")</f>
        <v>Supply</v>
      </c>
      <c r="E1183" s="10">
        <f t="shared" si="773"/>
        <v>1</v>
      </c>
      <c r="F1183" s="207">
        <v>1</v>
      </c>
      <c r="G1183" s="207">
        <v>1</v>
      </c>
      <c r="H1183" s="207">
        <v>1</v>
      </c>
      <c r="I1183" s="207">
        <v>1</v>
      </c>
      <c r="J1183" s="207">
        <v>1</v>
      </c>
      <c r="K1183" s="207">
        <v>1</v>
      </c>
      <c r="L1183" s="207">
        <v>1</v>
      </c>
      <c r="M1183" s="207">
        <v>1</v>
      </c>
      <c r="N1183" s="207">
        <v>1</v>
      </c>
      <c r="O1183" s="207">
        <v>1</v>
      </c>
      <c r="P1183" s="207">
        <v>1</v>
      </c>
      <c r="Q1183" s="207">
        <v>1</v>
      </c>
      <c r="R1183" s="207">
        <v>1</v>
      </c>
      <c r="S1183" s="207">
        <v>1</v>
      </c>
      <c r="T1183" s="207">
        <v>1</v>
      </c>
      <c r="U1183" s="207">
        <v>1</v>
      </c>
      <c r="V1183" s="207">
        <v>1</v>
      </c>
      <c r="W1183" s="207">
        <v>1</v>
      </c>
      <c r="X1183" s="207">
        <v>1</v>
      </c>
      <c r="Y1183" s="207">
        <v>1</v>
      </c>
      <c r="Z1183" s="207">
        <v>1</v>
      </c>
      <c r="AA1183" s="207">
        <v>1</v>
      </c>
      <c r="AB1183" s="207">
        <v>1</v>
      </c>
      <c r="AC1183" s="5"/>
      <c r="AD1183" s="63"/>
      <c r="AE1183" s="64"/>
      <c r="AF1183" s="64"/>
      <c r="AG1183" s="64"/>
      <c r="AH1183" s="64"/>
      <c r="AI1183" s="65"/>
      <c r="AJ1183" s="64"/>
      <c r="AK1183" s="65"/>
      <c r="AL1183" s="64"/>
      <c r="AM1183" s="64"/>
      <c r="AN1183" s="63"/>
      <c r="AO1183" s="64"/>
      <c r="AP1183" s="63"/>
      <c r="AQ1183" s="64"/>
      <c r="AR1183" s="63"/>
      <c r="AS1183" s="64"/>
      <c r="AT1183" s="63"/>
      <c r="AU1183" s="64"/>
      <c r="AV1183" s="63"/>
      <c r="AW1183" s="64"/>
      <c r="AX1183" s="63"/>
      <c r="AY1183" s="5"/>
      <c r="AZ1183" s="21" t="str">
        <f t="shared" si="778"/>
        <v/>
      </c>
      <c r="BA1183" s="2"/>
      <c r="BB1183" s="13"/>
      <c r="BC1183" s="2"/>
      <c r="BD1183" s="2"/>
      <c r="BE1183" s="16"/>
      <c r="BF1183" s="4"/>
      <c r="BG1183" s="4"/>
      <c r="BH1183" s="4"/>
      <c r="BI1183" s="4"/>
      <c r="BJ1183" s="4"/>
      <c r="BK1183" s="4"/>
      <c r="BL1183" s="4"/>
      <c r="BM1183" s="4"/>
      <c r="BN1183" s="4"/>
      <c r="BO1183" s="4"/>
      <c r="BP1183" s="4"/>
      <c r="BQ1183" s="5"/>
      <c r="BR1183" s="13"/>
      <c r="BS1183" s="5"/>
    </row>
    <row r="1184" spans="1:71" s="3" customFormat="1" x14ac:dyDescent="0.25">
      <c r="A1184" s="5"/>
      <c r="B1184" s="3" t="str">
        <f t="array" ref="B1184">IFERROR(INDEX(DemandSupply,MATCH(INDEX($AH$1:AH1184,SMALL(ROW($AH$1:AH1184)+(10000*($AH$1:AH1184="")),COUNTA($AH$1:AH1184))),Sectors,0)),"")</f>
        <v>Supply</v>
      </c>
      <c r="E1184" s="10">
        <f t="shared" si="773"/>
        <v>1</v>
      </c>
      <c r="F1184" s="207">
        <v>1</v>
      </c>
      <c r="G1184" s="207">
        <v>1</v>
      </c>
      <c r="H1184" s="207">
        <v>1</v>
      </c>
      <c r="I1184" s="207">
        <v>1</v>
      </c>
      <c r="J1184" s="207">
        <v>1</v>
      </c>
      <c r="K1184" s="207">
        <v>1</v>
      </c>
      <c r="L1184" s="207">
        <v>1</v>
      </c>
      <c r="M1184" s="207">
        <v>1</v>
      </c>
      <c r="N1184" s="207">
        <v>1</v>
      </c>
      <c r="O1184" s="207">
        <v>1</v>
      </c>
      <c r="P1184" s="207">
        <v>1</v>
      </c>
      <c r="Q1184" s="207">
        <v>1</v>
      </c>
      <c r="R1184" s="207">
        <v>1</v>
      </c>
      <c r="S1184" s="207">
        <v>1</v>
      </c>
      <c r="T1184" s="207">
        <v>1</v>
      </c>
      <c r="U1184" s="207">
        <v>1</v>
      </c>
      <c r="V1184" s="207">
        <v>1</v>
      </c>
      <c r="W1184" s="207">
        <v>1</v>
      </c>
      <c r="X1184" s="207">
        <v>1</v>
      </c>
      <c r="Y1184" s="207">
        <v>1</v>
      </c>
      <c r="Z1184" s="207">
        <v>1</v>
      </c>
      <c r="AA1184" s="207">
        <v>1</v>
      </c>
      <c r="AB1184" s="207">
        <v>1</v>
      </c>
      <c r="AC1184" s="5"/>
      <c r="AD1184" s="63"/>
      <c r="AE1184" s="64"/>
      <c r="AF1184" s="64"/>
      <c r="AG1184" s="64"/>
      <c r="AH1184" s="64"/>
      <c r="AI1184" s="65"/>
      <c r="AJ1184" s="64"/>
      <c r="AK1184" s="65"/>
      <c r="AL1184" s="64"/>
      <c r="AM1184" s="64"/>
      <c r="AN1184" s="63"/>
      <c r="AO1184" s="64"/>
      <c r="AP1184" s="63"/>
      <c r="AQ1184" s="64"/>
      <c r="AR1184" s="63"/>
      <c r="AS1184" s="64"/>
      <c r="AT1184" s="63"/>
      <c r="AU1184" s="64"/>
      <c r="AV1184" s="63"/>
      <c r="AW1184" s="64"/>
      <c r="AX1184" s="63"/>
      <c r="AY1184" s="5"/>
      <c r="AZ1184" s="21" t="str">
        <f t="shared" si="778"/>
        <v/>
      </c>
      <c r="BA1184" s="2"/>
      <c r="BB1184" s="13"/>
      <c r="BC1184" s="2"/>
      <c r="BD1184" s="2"/>
      <c r="BE1184" s="16"/>
      <c r="BF1184" s="4"/>
      <c r="BG1184" s="4"/>
      <c r="BH1184" s="4"/>
      <c r="BI1184" s="4"/>
      <c r="BJ1184" s="4"/>
      <c r="BK1184" s="4"/>
      <c r="BL1184" s="4"/>
      <c r="BM1184" s="4"/>
      <c r="BN1184" s="4"/>
      <c r="BO1184" s="4"/>
      <c r="BP1184" s="4"/>
      <c r="BQ1184" s="5"/>
      <c r="BR1184" s="13"/>
      <c r="BS1184" s="5"/>
    </row>
    <row r="1185" spans="1:71" s="3" customFormat="1" x14ac:dyDescent="0.25">
      <c r="A1185" s="5"/>
      <c r="B1185" s="3" t="str">
        <f t="array" ref="B1185">IFERROR(INDEX(DemandSupply,MATCH(INDEX($AH$1:AH1185,SMALL(ROW($AH$1:AH1185)+(10000*($AH$1:AH1185="")),COUNTA($AH$1:AH1185))),Sectors,0)),"")</f>
        <v>Supply</v>
      </c>
      <c r="E1185" s="10">
        <f t="shared" si="773"/>
        <v>1</v>
      </c>
      <c r="F1185" s="207">
        <v>1</v>
      </c>
      <c r="G1185" s="207">
        <v>1</v>
      </c>
      <c r="H1185" s="207">
        <v>1</v>
      </c>
      <c r="I1185" s="207">
        <v>1</v>
      </c>
      <c r="J1185" s="207">
        <v>1</v>
      </c>
      <c r="K1185" s="207">
        <v>1</v>
      </c>
      <c r="L1185" s="207">
        <v>1</v>
      </c>
      <c r="M1185" s="207">
        <v>1</v>
      </c>
      <c r="N1185" s="207">
        <v>1</v>
      </c>
      <c r="O1185" s="207">
        <v>1</v>
      </c>
      <c r="P1185" s="207">
        <v>1</v>
      </c>
      <c r="Q1185" s="207">
        <v>1</v>
      </c>
      <c r="R1185" s="207">
        <v>1</v>
      </c>
      <c r="S1185" s="207">
        <v>1</v>
      </c>
      <c r="T1185" s="207">
        <v>1</v>
      </c>
      <c r="U1185" s="207">
        <v>1</v>
      </c>
      <c r="V1185" s="207">
        <v>1</v>
      </c>
      <c r="W1185" s="207">
        <v>1</v>
      </c>
      <c r="X1185" s="207">
        <v>1</v>
      </c>
      <c r="Y1185" s="207">
        <v>1</v>
      </c>
      <c r="Z1185" s="207">
        <v>1</v>
      </c>
      <c r="AA1185" s="207">
        <v>1</v>
      </c>
      <c r="AB1185" s="207">
        <v>1</v>
      </c>
      <c r="AC1185" s="5"/>
      <c r="AD1185" s="63"/>
      <c r="AE1185" s="64"/>
      <c r="AF1185" s="64"/>
      <c r="AG1185" s="64"/>
      <c r="AH1185" s="64"/>
      <c r="AI1185" s="65"/>
      <c r="AJ1185" s="64"/>
      <c r="AK1185" s="65"/>
      <c r="AL1185" s="64"/>
      <c r="AM1185" s="64"/>
      <c r="AN1185" s="63"/>
      <c r="AO1185" s="64"/>
      <c r="AP1185" s="63"/>
      <c r="AQ1185" s="64"/>
      <c r="AR1185" s="63"/>
      <c r="AS1185" s="64"/>
      <c r="AT1185" s="63"/>
      <c r="AU1185" s="64"/>
      <c r="AV1185" s="63"/>
      <c r="AW1185" s="64"/>
      <c r="AX1185" s="63"/>
      <c r="AY1185" s="5"/>
      <c r="AZ1185" s="21" t="str">
        <f t="shared" si="778"/>
        <v/>
      </c>
      <c r="BA1185" s="2"/>
      <c r="BB1185" s="13"/>
      <c r="BC1185" s="2"/>
      <c r="BD1185" s="2"/>
      <c r="BE1185" s="16"/>
      <c r="BF1185" s="4"/>
      <c r="BG1185" s="4"/>
      <c r="BH1185" s="4"/>
      <c r="BI1185" s="4"/>
      <c r="BJ1185" s="4"/>
      <c r="BK1185" s="4"/>
      <c r="BL1185" s="4"/>
      <c r="BM1185" s="4"/>
      <c r="BN1185" s="4"/>
      <c r="BO1185" s="4"/>
      <c r="BP1185" s="4"/>
      <c r="BQ1185" s="5"/>
      <c r="BR1185" s="13"/>
      <c r="BS1185" s="5"/>
    </row>
    <row r="1186" spans="1:71" s="3" customFormat="1" x14ac:dyDescent="0.25">
      <c r="A1186" s="5"/>
      <c r="B1186" s="3" t="str">
        <f t="array" ref="B1186">IFERROR(INDEX(DemandSupply,MATCH(INDEX($AH$1:AH1186,SMALL(ROW($AH$1:AH1186)+(10000*($AH$1:AH1186="")),COUNTA($AH$1:AH1186))),Sectors,0)),"")</f>
        <v>Supply</v>
      </c>
      <c r="E1186" s="10">
        <f t="shared" si="773"/>
        <v>1</v>
      </c>
      <c r="F1186" s="207">
        <v>1</v>
      </c>
      <c r="G1186" s="207">
        <v>1</v>
      </c>
      <c r="H1186" s="207">
        <v>1</v>
      </c>
      <c r="I1186" s="207">
        <v>1</v>
      </c>
      <c r="J1186" s="207">
        <v>1</v>
      </c>
      <c r="K1186" s="207">
        <v>1</v>
      </c>
      <c r="L1186" s="207">
        <v>1</v>
      </c>
      <c r="M1186" s="207">
        <v>1</v>
      </c>
      <c r="N1186" s="207">
        <v>1</v>
      </c>
      <c r="O1186" s="207">
        <v>1</v>
      </c>
      <c r="P1186" s="207">
        <v>1</v>
      </c>
      <c r="Q1186" s="207">
        <v>1</v>
      </c>
      <c r="R1186" s="207">
        <v>1</v>
      </c>
      <c r="S1186" s="207">
        <v>1</v>
      </c>
      <c r="T1186" s="207">
        <v>1</v>
      </c>
      <c r="U1186" s="207">
        <v>1</v>
      </c>
      <c r="V1186" s="207">
        <v>1</v>
      </c>
      <c r="W1186" s="207">
        <v>1</v>
      </c>
      <c r="X1186" s="207">
        <v>1</v>
      </c>
      <c r="Y1186" s="207">
        <v>1</v>
      </c>
      <c r="Z1186" s="207">
        <v>1</v>
      </c>
      <c r="AA1186" s="207">
        <v>1</v>
      </c>
      <c r="AB1186" s="207">
        <v>1</v>
      </c>
      <c r="AC1186" s="5"/>
      <c r="AD1186" s="63"/>
      <c r="AE1186" s="64"/>
      <c r="AF1186" s="64"/>
      <c r="AG1186" s="64"/>
      <c r="AH1186" s="64"/>
      <c r="AI1186" s="65"/>
      <c r="AJ1186" s="64"/>
      <c r="AK1186" s="65"/>
      <c r="AL1186" s="64"/>
      <c r="AM1186" s="64"/>
      <c r="AN1186" s="63"/>
      <c r="AO1186" s="64"/>
      <c r="AP1186" s="63"/>
      <c r="AQ1186" s="64"/>
      <c r="AR1186" s="63"/>
      <c r="AS1186" s="64"/>
      <c r="AT1186" s="63"/>
      <c r="AU1186" s="64"/>
      <c r="AV1186" s="63"/>
      <c r="AW1186" s="64"/>
      <c r="AX1186" s="63"/>
      <c r="AY1186" s="5"/>
      <c r="AZ1186" s="21" t="str">
        <f t="shared" si="778"/>
        <v/>
      </c>
      <c r="BA1186" s="2"/>
      <c r="BB1186" s="13"/>
      <c r="BC1186" s="2"/>
      <c r="BD1186" s="2"/>
      <c r="BE1186" s="16"/>
      <c r="BF1186" s="4"/>
      <c r="BG1186" s="4"/>
      <c r="BH1186" s="4"/>
      <c r="BI1186" s="4"/>
      <c r="BJ1186" s="4"/>
      <c r="BK1186" s="4"/>
      <c r="BL1186" s="4"/>
      <c r="BM1186" s="4"/>
      <c r="BN1186" s="4"/>
      <c r="BO1186" s="4"/>
      <c r="BP1186" s="4"/>
      <c r="BQ1186" s="5"/>
      <c r="BR1186" s="13"/>
      <c r="BS1186" s="5"/>
    </row>
    <row r="1187" spans="1:71" s="3" customFormat="1" x14ac:dyDescent="0.25">
      <c r="A1187" s="5"/>
      <c r="B1187" s="3" t="str">
        <f t="array" ref="B1187">IFERROR(INDEX(DemandSupply,MATCH(INDEX($AH$1:AH1187,SMALL(ROW($AH$1:AH1187)+(10000*($AH$1:AH1187="")),COUNTA($AH$1:AH1187))),Sectors,0)),"")</f>
        <v>Supply</v>
      </c>
      <c r="E1187" s="10">
        <f t="shared" si="773"/>
        <v>1</v>
      </c>
      <c r="F1187" s="207">
        <v>1</v>
      </c>
      <c r="G1187" s="207">
        <v>1</v>
      </c>
      <c r="H1187" s="207">
        <v>1</v>
      </c>
      <c r="I1187" s="207">
        <v>1</v>
      </c>
      <c r="J1187" s="207">
        <v>1</v>
      </c>
      <c r="K1187" s="207">
        <v>1</v>
      </c>
      <c r="L1187" s="207">
        <v>1</v>
      </c>
      <c r="M1187" s="207">
        <v>1</v>
      </c>
      <c r="N1187" s="207">
        <v>1</v>
      </c>
      <c r="O1187" s="207">
        <v>1</v>
      </c>
      <c r="P1187" s="207">
        <v>1</v>
      </c>
      <c r="Q1187" s="207">
        <v>1</v>
      </c>
      <c r="R1187" s="207">
        <v>1</v>
      </c>
      <c r="S1187" s="207">
        <v>1</v>
      </c>
      <c r="T1187" s="207">
        <v>1</v>
      </c>
      <c r="U1187" s="207">
        <v>1</v>
      </c>
      <c r="V1187" s="207">
        <v>1</v>
      </c>
      <c r="W1187" s="207">
        <v>1</v>
      </c>
      <c r="X1187" s="207">
        <v>1</v>
      </c>
      <c r="Y1187" s="207">
        <v>1</v>
      </c>
      <c r="Z1187" s="207">
        <v>1</v>
      </c>
      <c r="AA1187" s="207">
        <v>1</v>
      </c>
      <c r="AB1187" s="207">
        <v>1</v>
      </c>
      <c r="AC1187" s="5"/>
      <c r="AD1187" s="63"/>
      <c r="AE1187" s="64"/>
      <c r="AF1187" s="64"/>
      <c r="AG1187" s="64"/>
      <c r="AH1187" s="64"/>
      <c r="AI1187" s="65"/>
      <c r="AJ1187" s="64"/>
      <c r="AK1187" s="65"/>
      <c r="AL1187" s="64"/>
      <c r="AM1187" s="64"/>
      <c r="AN1187" s="63"/>
      <c r="AO1187" s="64"/>
      <c r="AP1187" s="63"/>
      <c r="AQ1187" s="64"/>
      <c r="AR1187" s="63"/>
      <c r="AS1187" s="64"/>
      <c r="AT1187" s="63"/>
      <c r="AU1187" s="64"/>
      <c r="AV1187" s="63"/>
      <c r="AW1187" s="64"/>
      <c r="AX1187" s="63"/>
      <c r="AY1187" s="5"/>
      <c r="AZ1187" s="21" t="str">
        <f t="shared" si="778"/>
        <v/>
      </c>
      <c r="BA1187" s="2"/>
      <c r="BB1187" s="13"/>
      <c r="BC1187" s="2"/>
      <c r="BD1187" s="2"/>
      <c r="BE1187" s="16"/>
      <c r="BF1187" s="4"/>
      <c r="BG1187" s="4"/>
      <c r="BH1187" s="4"/>
      <c r="BI1187" s="4"/>
      <c r="BJ1187" s="4"/>
      <c r="BK1187" s="4"/>
      <c r="BL1187" s="4"/>
      <c r="BM1187" s="4"/>
      <c r="BN1187" s="4"/>
      <c r="BO1187" s="4"/>
      <c r="BP1187" s="4"/>
      <c r="BQ1187" s="5"/>
      <c r="BR1187" s="13"/>
      <c r="BS1187" s="5"/>
    </row>
    <row r="1188" spans="1:71" s="3" customFormat="1" x14ac:dyDescent="0.25">
      <c r="A1188" s="5"/>
      <c r="B1188" s="3" t="str">
        <f t="array" ref="B1188">IFERROR(INDEX(DemandSupply,MATCH(INDEX($AH$1:AH1188,SMALL(ROW($AH$1:AH1188)+(10000*($AH$1:AH1188="")),COUNTA($AH$1:AH1188))),Sectors,0)),"")</f>
        <v>Supply</v>
      </c>
      <c r="E1188" s="10">
        <f t="shared" si="773"/>
        <v>1</v>
      </c>
      <c r="F1188" s="207">
        <v>1</v>
      </c>
      <c r="G1188" s="207">
        <v>1</v>
      </c>
      <c r="H1188" s="207">
        <v>1</v>
      </c>
      <c r="I1188" s="207">
        <v>1</v>
      </c>
      <c r="J1188" s="207">
        <v>1</v>
      </c>
      <c r="K1188" s="207">
        <v>1</v>
      </c>
      <c r="L1188" s="207">
        <v>1</v>
      </c>
      <c r="M1188" s="207">
        <v>1</v>
      </c>
      <c r="N1188" s="207">
        <v>1</v>
      </c>
      <c r="O1188" s="207">
        <v>1</v>
      </c>
      <c r="P1188" s="207">
        <v>1</v>
      </c>
      <c r="Q1188" s="207">
        <v>1</v>
      </c>
      <c r="R1188" s="207">
        <v>1</v>
      </c>
      <c r="S1188" s="207">
        <v>1</v>
      </c>
      <c r="T1188" s="207">
        <v>1</v>
      </c>
      <c r="U1188" s="207">
        <v>1</v>
      </c>
      <c r="V1188" s="207">
        <v>1</v>
      </c>
      <c r="W1188" s="207">
        <v>1</v>
      </c>
      <c r="X1188" s="207">
        <v>1</v>
      </c>
      <c r="Y1188" s="207">
        <v>1</v>
      </c>
      <c r="Z1188" s="207">
        <v>1</v>
      </c>
      <c r="AA1188" s="207">
        <v>1</v>
      </c>
      <c r="AB1188" s="207">
        <v>1</v>
      </c>
      <c r="AC1188" s="5"/>
      <c r="AD1188" s="63"/>
      <c r="AE1188" s="64"/>
      <c r="AF1188" s="64"/>
      <c r="AG1188" s="64"/>
      <c r="AH1188" s="64"/>
      <c r="AI1188" s="65"/>
      <c r="AJ1188" s="64"/>
      <c r="AK1188" s="65"/>
      <c r="AL1188" s="64"/>
      <c r="AM1188" s="64"/>
      <c r="AN1188" s="63"/>
      <c r="AO1188" s="64"/>
      <c r="AP1188" s="63"/>
      <c r="AQ1188" s="64"/>
      <c r="AR1188" s="63"/>
      <c r="AS1188" s="64"/>
      <c r="AT1188" s="63"/>
      <c r="AU1188" s="64"/>
      <c r="AV1188" s="63"/>
      <c r="AW1188" s="64"/>
      <c r="AX1188" s="63"/>
      <c r="AY1188" s="5"/>
      <c r="AZ1188" s="21" t="str">
        <f t="shared" si="778"/>
        <v/>
      </c>
      <c r="BA1188" s="2"/>
      <c r="BB1188" s="13"/>
      <c r="BC1188" s="2"/>
      <c r="BD1188" s="2"/>
      <c r="BE1188" s="16"/>
      <c r="BF1188" s="4"/>
      <c r="BG1188" s="4"/>
      <c r="BH1188" s="4"/>
      <c r="BI1188" s="4"/>
      <c r="BJ1188" s="4"/>
      <c r="BK1188" s="4"/>
      <c r="BL1188" s="4"/>
      <c r="BM1188" s="4"/>
      <c r="BN1188" s="4"/>
      <c r="BO1188" s="4"/>
      <c r="BP1188" s="4"/>
      <c r="BQ1188" s="5"/>
      <c r="BR1188" s="13"/>
      <c r="BS1188" s="5"/>
    </row>
    <row r="1189" spans="1:71" s="3" customFormat="1" x14ac:dyDescent="0.25">
      <c r="A1189" s="5"/>
      <c r="B1189" s="3" t="str">
        <f t="array" ref="B1189">IFERROR(INDEX(DemandSupply,MATCH(INDEX($AH$1:AH1189,SMALL(ROW($AH$1:AH1189)+(10000*($AH$1:AH1189="")),COUNTA($AH$1:AH1189))),Sectors,0)),"")</f>
        <v>Supply</v>
      </c>
      <c r="E1189" s="10">
        <f t="shared" si="773"/>
        <v>1</v>
      </c>
      <c r="F1189" s="207">
        <v>1</v>
      </c>
      <c r="G1189" s="207">
        <v>1</v>
      </c>
      <c r="H1189" s="207">
        <v>1</v>
      </c>
      <c r="I1189" s="207">
        <v>1</v>
      </c>
      <c r="J1189" s="207">
        <v>1</v>
      </c>
      <c r="K1189" s="207">
        <v>1</v>
      </c>
      <c r="L1189" s="207">
        <v>1</v>
      </c>
      <c r="M1189" s="207">
        <v>1</v>
      </c>
      <c r="N1189" s="207">
        <v>1</v>
      </c>
      <c r="O1189" s="207">
        <v>1</v>
      </c>
      <c r="P1189" s="207">
        <v>1</v>
      </c>
      <c r="Q1189" s="207">
        <v>1</v>
      </c>
      <c r="R1189" s="207">
        <v>1</v>
      </c>
      <c r="S1189" s="207">
        <v>1</v>
      </c>
      <c r="T1189" s="207">
        <v>1</v>
      </c>
      <c r="U1189" s="207">
        <v>1</v>
      </c>
      <c r="V1189" s="207">
        <v>1</v>
      </c>
      <c r="W1189" s="207">
        <v>1</v>
      </c>
      <c r="X1189" s="207">
        <v>1</v>
      </c>
      <c r="Y1189" s="207">
        <v>1</v>
      </c>
      <c r="Z1189" s="207">
        <v>1</v>
      </c>
      <c r="AA1189" s="207">
        <v>1</v>
      </c>
      <c r="AB1189" s="207">
        <v>1</v>
      </c>
      <c r="AC1189" s="5"/>
      <c r="AD1189" s="63"/>
      <c r="AE1189" s="64"/>
      <c r="AF1189" s="64"/>
      <c r="AG1189" s="64"/>
      <c r="AH1189" s="64"/>
      <c r="AI1189" s="65"/>
      <c r="AJ1189" s="64"/>
      <c r="AK1189" s="65"/>
      <c r="AL1189" s="64"/>
      <c r="AM1189" s="64"/>
      <c r="AN1189" s="63"/>
      <c r="AO1189" s="64"/>
      <c r="AP1189" s="63"/>
      <c r="AQ1189" s="64"/>
      <c r="AR1189" s="63"/>
      <c r="AS1189" s="64"/>
      <c r="AT1189" s="63"/>
      <c r="AU1189" s="64"/>
      <c r="AV1189" s="63"/>
      <c r="AW1189" s="64"/>
      <c r="AX1189" s="63"/>
      <c r="AY1189" s="5"/>
      <c r="AZ1189" s="21" t="str">
        <f t="shared" si="778"/>
        <v/>
      </c>
      <c r="BA1189" s="2"/>
      <c r="BB1189" s="13"/>
      <c r="BC1189" s="2"/>
      <c r="BD1189" s="2"/>
      <c r="BE1189" s="16"/>
      <c r="BF1189" s="4"/>
      <c r="BG1189" s="4"/>
      <c r="BH1189" s="4"/>
      <c r="BI1189" s="4"/>
      <c r="BJ1189" s="4"/>
      <c r="BK1189" s="4"/>
      <c r="BL1189" s="4"/>
      <c r="BM1189" s="4"/>
      <c r="BN1189" s="4"/>
      <c r="BO1189" s="4"/>
      <c r="BP1189" s="4"/>
      <c r="BQ1189" s="5"/>
      <c r="BR1189" s="13"/>
      <c r="BS1189" s="5"/>
    </row>
    <row r="1190" spans="1:71" s="3" customFormat="1" x14ac:dyDescent="0.25">
      <c r="A1190" s="5"/>
      <c r="B1190" s="3" t="str">
        <f t="array" ref="B1190">IFERROR(INDEX(DemandSupply,MATCH(INDEX($AH$1:AH1190,SMALL(ROW($AH$1:AH1190)+(10000*($AH$1:AH1190="")),COUNTA($AH$1:AH1190))),Sectors,0)),"")</f>
        <v>Supply</v>
      </c>
      <c r="E1190" s="10">
        <f t="shared" si="773"/>
        <v>1</v>
      </c>
      <c r="F1190" s="207">
        <v>1</v>
      </c>
      <c r="G1190" s="207">
        <v>1</v>
      </c>
      <c r="H1190" s="207">
        <v>1</v>
      </c>
      <c r="I1190" s="207">
        <v>1</v>
      </c>
      <c r="J1190" s="207">
        <v>1</v>
      </c>
      <c r="K1190" s="207">
        <v>1</v>
      </c>
      <c r="L1190" s="207">
        <v>1</v>
      </c>
      <c r="M1190" s="207">
        <v>1</v>
      </c>
      <c r="N1190" s="207">
        <v>1</v>
      </c>
      <c r="O1190" s="207">
        <v>1</v>
      </c>
      <c r="P1190" s="207">
        <v>1</v>
      </c>
      <c r="Q1190" s="207">
        <v>1</v>
      </c>
      <c r="R1190" s="207">
        <v>1</v>
      </c>
      <c r="S1190" s="207">
        <v>1</v>
      </c>
      <c r="T1190" s="207">
        <v>1</v>
      </c>
      <c r="U1190" s="207">
        <v>1</v>
      </c>
      <c r="V1190" s="207">
        <v>1</v>
      </c>
      <c r="W1190" s="207">
        <v>1</v>
      </c>
      <c r="X1190" s="207">
        <v>1</v>
      </c>
      <c r="Y1190" s="207">
        <v>1</v>
      </c>
      <c r="Z1190" s="207">
        <v>1</v>
      </c>
      <c r="AA1190" s="207">
        <v>1</v>
      </c>
      <c r="AB1190" s="207">
        <v>1</v>
      </c>
      <c r="AC1190" s="5"/>
      <c r="AD1190" s="63"/>
      <c r="AE1190" s="64"/>
      <c r="AF1190" s="64"/>
      <c r="AG1190" s="64"/>
      <c r="AH1190" s="64"/>
      <c r="AI1190" s="65"/>
      <c r="AJ1190" s="64"/>
      <c r="AK1190" s="65"/>
      <c r="AL1190" s="64"/>
      <c r="AM1190" s="64"/>
      <c r="AN1190" s="63"/>
      <c r="AO1190" s="64"/>
      <c r="AP1190" s="63"/>
      <c r="AQ1190" s="64"/>
      <c r="AR1190" s="63"/>
      <c r="AS1190" s="64"/>
      <c r="AT1190" s="63"/>
      <c r="AU1190" s="64"/>
      <c r="AV1190" s="63"/>
      <c r="AW1190" s="64"/>
      <c r="AX1190" s="63"/>
      <c r="AY1190" s="5"/>
      <c r="AZ1190" s="21" t="str">
        <f t="shared" si="778"/>
        <v/>
      </c>
      <c r="BA1190" s="2"/>
      <c r="BB1190" s="13"/>
      <c r="BC1190" s="2"/>
      <c r="BD1190" s="2"/>
      <c r="BE1190" s="16"/>
      <c r="BF1190" s="4"/>
      <c r="BG1190" s="4"/>
      <c r="BH1190" s="4"/>
      <c r="BI1190" s="4"/>
      <c r="BJ1190" s="4"/>
      <c r="BK1190" s="4"/>
      <c r="BL1190" s="4"/>
      <c r="BM1190" s="4"/>
      <c r="BN1190" s="4"/>
      <c r="BO1190" s="4"/>
      <c r="BP1190" s="4"/>
      <c r="BQ1190" s="5"/>
      <c r="BR1190" s="13"/>
      <c r="BS1190" s="5"/>
    </row>
    <row r="1191" spans="1:71" x14ac:dyDescent="0.25">
      <c r="A1191" s="5"/>
      <c r="B1191" s="3" t="str">
        <f t="array" ref="B1191">IFERROR(INDEX(DemandSupply,MATCH(INDEX($AH$1:AH1191,SMALL(ROW($AH$1:AH1191)+(10000*($AH$1:AH1191="")),COUNTA($AH$1:AH1191))),Sectors,0)),"")</f>
        <v>Supply</v>
      </c>
      <c r="E1191" s="10">
        <f t="shared" si="773"/>
        <v>1</v>
      </c>
      <c r="F1191" s="207">
        <v>1</v>
      </c>
      <c r="G1191" s="207">
        <v>1</v>
      </c>
      <c r="H1191" s="207">
        <v>1</v>
      </c>
      <c r="I1191" s="207">
        <v>1</v>
      </c>
      <c r="J1191" s="207">
        <v>1</v>
      </c>
      <c r="K1191" s="207">
        <v>1</v>
      </c>
      <c r="L1191" s="207">
        <v>1</v>
      </c>
      <c r="M1191" s="207">
        <v>1</v>
      </c>
      <c r="N1191" s="207">
        <v>1</v>
      </c>
      <c r="O1191" s="207">
        <v>1</v>
      </c>
      <c r="P1191" s="207">
        <v>1</v>
      </c>
      <c r="Q1191" s="207">
        <v>1</v>
      </c>
      <c r="R1191" s="207">
        <v>1</v>
      </c>
      <c r="S1191" s="207">
        <v>1</v>
      </c>
      <c r="T1191" s="207">
        <v>1</v>
      </c>
      <c r="U1191" s="207">
        <v>1</v>
      </c>
      <c r="V1191" s="207">
        <v>1</v>
      </c>
      <c r="W1191" s="207">
        <v>1</v>
      </c>
      <c r="X1191" s="207">
        <v>1</v>
      </c>
      <c r="Y1191" s="207">
        <v>1</v>
      </c>
      <c r="Z1191" s="207">
        <v>1</v>
      </c>
      <c r="AA1191" s="207">
        <v>1</v>
      </c>
      <c r="AB1191" s="207">
        <v>1</v>
      </c>
      <c r="AC1191" s="5"/>
      <c r="AW1191" s="64"/>
      <c r="AY1191" s="5"/>
      <c r="AZ1191" s="21" t="str">
        <f t="shared" si="778"/>
        <v/>
      </c>
      <c r="BB1191" s="13"/>
      <c r="BE1191" s="16"/>
      <c r="BF1191" s="18"/>
      <c r="BG1191" s="18"/>
      <c r="BH1191" s="18"/>
      <c r="BI1191" s="18"/>
      <c r="BJ1191" s="18"/>
      <c r="BK1191" s="18"/>
      <c r="BL1191" s="18"/>
      <c r="BM1191" s="18"/>
      <c r="BN1191" s="18"/>
      <c r="BO1191" s="18"/>
      <c r="BP1191" s="18"/>
      <c r="BQ1191" s="5"/>
      <c r="BR1191" s="13"/>
      <c r="BS1191" s="5"/>
    </row>
    <row r="1192" spans="1:71" x14ac:dyDescent="0.25">
      <c r="A1192" s="5"/>
      <c r="AC1192" s="5"/>
      <c r="AY1192" s="5"/>
    </row>
    <row r="1193" spans="1:71" x14ac:dyDescent="0.25">
      <c r="A1193" s="5"/>
      <c r="AC1193" s="5"/>
      <c r="AY1193" s="5"/>
    </row>
  </sheetData>
  <autoFilter ref="AZ2:BP1191" xr:uid="{F15D2B19-AC18-462B-AA3D-79CC91612AA2}"/>
  <phoneticPr fontId="29" type="noConversion"/>
  <conditionalFormatting sqref="AD3:AF100000">
    <cfRule type="cellIs" dxfId="47" priority="1" stopIfTrue="1" operator="notEqual">
      <formula>0</formula>
    </cfRule>
  </conditionalFormatting>
  <conditionalFormatting sqref="AH3:AH100000">
    <cfRule type="expression" dxfId="46" priority="2" stopIfTrue="1">
      <formula>AND(AH3&lt;&gt;0,$B3="Demand")</formula>
    </cfRule>
    <cfRule type="expression" dxfId="45" priority="4" stopIfTrue="1">
      <formula>AND(AH3&lt;&gt;0,$B3="Supply")</formula>
    </cfRule>
  </conditionalFormatting>
  <conditionalFormatting sqref="AJ3:AX100000">
    <cfRule type="expression" dxfId="44" priority="3" stopIfTrue="1">
      <formula>AND(AJ3&lt;&gt;0,$B3="Demand")</formula>
    </cfRule>
    <cfRule type="expression" dxfId="43" priority="5" stopIfTrue="1">
      <formula>AND(AJ3&lt;&gt;0,$B3="Supply")</formula>
    </cfRule>
  </conditionalFormatting>
  <conditionalFormatting sqref="AZ3:BS100000">
    <cfRule type="expression" dxfId="42" priority="6" stopIfTrue="1">
      <formula>$AZ3&lt;&gt;""</formula>
    </cfRule>
  </conditionalFormatting>
  <conditionalFormatting sqref="BA3:BP100000">
    <cfRule type="expression" dxfId="41" priority="7" stopIfTrue="1">
      <formula>$BA3="Technology"</formula>
    </cfRule>
    <cfRule type="expression" dxfId="40" priority="8" stopIfTrue="1">
      <formula>$BA3="Service"</formula>
    </cfRule>
  </conditionalFormatting>
  <conditionalFormatting sqref="BB3:BB100000">
    <cfRule type="expression" dxfId="39" priority="9" stopIfTrue="1">
      <formula>AND(BB3="",$BF3&lt;&gt;"")</formula>
    </cfRule>
  </conditionalFormatting>
  <dataValidations disablePrompts="1" count="1">
    <dataValidation type="list" allowBlank="1" showInputMessage="1" showErrorMessage="1" sqref="BE291 BE59 BE224 BE421 BE674 BE869 BE937 BE1039 BE1109 BE743" xr:uid="{87A47A8D-0106-47D3-8FB9-F6C03FC86F58}">
      <formula1>Competition</formula1>
    </dataValidation>
  </dataValidations>
  <hyperlinks>
    <hyperlink ref="AF12" location="$AF$12" display="$AF$12" xr:uid="{A00539EB-ED69-4CA0-A8CD-598F0C3C77B8}"/>
    <hyperlink ref="AH26" location="$AH$26" display="$AH$26" xr:uid="{FECE9C28-985C-4770-A3AB-1C5B4367721C}"/>
    <hyperlink ref="AD8" location="$AD$8" display="$AD$8" xr:uid="{068FF690-A95B-4670-8352-B1A6F60F9726}"/>
    <hyperlink ref="AJ38" location="$AJ$38" display="$AJ$38" xr:uid="{0BFE3CE2-7126-46B8-92BE-DBE7F508C1AF}"/>
    <hyperlink ref="AL57" location="$AL$57" display="$AL$57" xr:uid="{AC69F5FC-BE6E-447D-B37F-2EECDBF336F0}"/>
    <hyperlink ref="AN222" location="$AN$222" display="$AN$222" xr:uid="{57FF1B97-B486-4669-A583-8AAE15A2953E}"/>
    <hyperlink ref="AP289" location="$AP$289" display="$AP$289" xr:uid="{0FDF796E-DEDC-4726-AB67-DDB70E21A1BE}"/>
    <hyperlink ref="AN419" location="$AN$419" display="$AN$419" xr:uid="{2448D2C5-F46C-4376-BAD5-03F930F537CC}"/>
    <hyperlink ref="AH842" location="$AH$842" display="$AH$842" xr:uid="{E4A648B1-BAFE-44B6-AC8B-AE36B8C874EC}"/>
    <hyperlink ref="AJ861" location="$AJ$861" display="$AJ$861" xr:uid="{8467D7B9-11E3-4726-9EDB-EB364E824B5A}"/>
    <hyperlink ref="AL867" location="$AL$867" display="$AL$867" xr:uid="{F1ADEA5E-B258-46C5-96EB-80715123B904}"/>
    <hyperlink ref="AN935" location="$AN$935" display="$AN$935" xr:uid="{C9A1F272-69D9-4603-8288-681167745538}"/>
    <hyperlink ref="AN1037" location="$AN$1037" display="$AN$1037" xr:uid="{40D92029-ECF7-40B5-A6EF-3D49DA49D975}"/>
    <hyperlink ref="AD4" location="$AD$4" display="$AD$4" xr:uid="{A68818D1-30D7-4E6D-B58E-C1AA2FEF3E36}"/>
    <hyperlink ref="AL672" location="$AL$672" display="$AL$672" xr:uid="{78109602-7692-4866-8DE9-5A1A8234B7E1}"/>
    <hyperlink ref="AL741" location="$AL$741" display="$AL$741" xr:uid="{2573A400-3FCC-4490-8045-4B18801A8FA3}"/>
    <hyperlink ref="AH1143" location="$AH$1143" display="$AH$1143" xr:uid="{416771BB-8781-4CE2-84FF-95B679EDF975}"/>
    <hyperlink ref="AH1162" location="$AH$1162" display="$AH$1162" xr:uid="{342093F3-404E-4F82-AC02-8AE0C92F65AB}"/>
    <hyperlink ref="AH1165" location="$AH$1165" display="$AH$1165" xr:uid="{B3398EB2-A599-47BF-B2E4-A0DFC68647A8}"/>
    <hyperlink ref="AJ1107" location="$AJ$1107" display="$AJ$1107" xr:uid="{1C8AE8B2-9122-49E8-9012-FAC3288EDAFA}"/>
    <hyperlink ref="BA125" location="$BA$125" display="$BA$125" xr:uid="{64A34F99-9940-4D0A-BED4-A41AA809621A}"/>
    <hyperlink ref="BA93" location="$BA$93" display="$BA$93" xr:uid="{65E07BF6-6A9C-4135-9289-3152BEECBE01}"/>
    <hyperlink ref="BA157" location="$BA$157" display="$BA$157" xr:uid="{175C1DBE-0C5A-471A-8062-996994339ACE}"/>
    <hyperlink ref="BA61" location="$BA$61" display="$BA$61" xr:uid="{CC04365F-B70B-43F0-80B1-611446B15022}"/>
    <hyperlink ref="BA189" location="$BA$189" display="$BA$189" xr:uid="{B8534A14-91F9-4042-9DA6-1B992EB9A95E}"/>
    <hyperlink ref="BA226" location="$BA$226" display="$BA$226" xr:uid="{B4BA2694-67F6-4E64-982F-58ABFA72B397}"/>
    <hyperlink ref="BA257" location="$BA$257" display="$BA$257" xr:uid="{B91C91E0-EF3C-4F06-85BB-5CD012795BB2}"/>
    <hyperlink ref="BA294" location="$BA$294" display="$BA$294" xr:uid="{C96F7CD5-9200-444B-995E-E280C95FAEDE}"/>
    <hyperlink ref="BA325" location="$BA$325" display="$BA$325" xr:uid="{6BCE0AC4-83A4-456C-BA2E-1E0394647E09}"/>
    <hyperlink ref="BA356" location="$BA$356" display="$BA$356" xr:uid="{19BAF1B2-A733-46B9-B78F-796CE14B4065}"/>
    <hyperlink ref="BA387" location="$BA$387" display="$BA$387" xr:uid="{877C2170-BE2D-4447-9A08-CD128AE53EFE}"/>
    <hyperlink ref="BA423" location="$BA$423" display="$BA$423" xr:uid="{82FFD153-2327-476C-846E-C08BBA0B80EB}"/>
    <hyperlink ref="BA454" location="$BA$454" display="$BA$454" xr:uid="{2C1F33FD-C106-4FAF-A2D9-9F05448F42BA}"/>
    <hyperlink ref="BA485" location="$BA$485" display="$BA$485" xr:uid="{78588C5D-2F47-412B-85CF-621B47AF707B}"/>
    <hyperlink ref="BA516" location="$BA$516" display="$BA$516" xr:uid="{CC9A203F-DB06-4BBC-9D21-6DBCDF912098}"/>
    <hyperlink ref="BA547" location="$BA$547" display="$BA$547" xr:uid="{E883B0A3-330D-41D3-B682-D1EBA5BD6323}"/>
    <hyperlink ref="BA578" location="$BA$578" display="$BA$578" xr:uid="{FF41CD8B-BC9A-44F5-A1B0-E74907F04F44}"/>
    <hyperlink ref="BA609" location="$BA$609" display="$BA$609" xr:uid="{D280F041-9C41-4763-8654-1888EC129A31}"/>
    <hyperlink ref="BA640" location="$BA$640" display="$BA$640" xr:uid="{2E79329B-FA97-4F14-99E7-F7AF8B31D49D}"/>
    <hyperlink ref="BA676" location="$BA$676" display="$BA$676" xr:uid="{3A840C1A-9540-46C9-AAD5-6201B22EDC60}"/>
    <hyperlink ref="BA708" location="$BA$708" display="$BA$708" xr:uid="{85A5B6A8-F84A-46E7-ABB8-FDEE09ECD6CB}"/>
    <hyperlink ref="BA873" location="$BA$873" display="$BA$873" xr:uid="{FE5A0365-7D22-452E-8035-491C6555C076}"/>
    <hyperlink ref="BA904" location="$BA$904" display="$BA$904" xr:uid="{B77EE302-D141-47AD-A56D-8EDFB873B876}"/>
    <hyperlink ref="BA940" location="$BA$940" display="$BA$940" xr:uid="{C5D32DB7-705C-44E3-B294-EA745FA63B66}"/>
    <hyperlink ref="BA972" location="$BA$972" display="$BA$972" xr:uid="{2CE6DB4B-23A9-4731-8F20-C685BCAFC879}"/>
    <hyperlink ref="BA1004" location="$BA$1004" display="$BA$1004" xr:uid="{8F3CD80F-7C1C-478F-A1C1-9E8E48CA04F4}"/>
    <hyperlink ref="BA1042" location="$BA$1042" display="$BA$1042" xr:uid="{164C5FCD-B665-48F9-83B9-8E0AB6318E6B}"/>
    <hyperlink ref="BA1074" location="$BA$1074" display="$BA$1074" xr:uid="{4A77AE7B-AA58-46D2-AFDD-9BD648D09D9F}"/>
    <hyperlink ref="BA1112" location="$BA$1112" display="$BA$1112" xr:uid="{365108B4-A913-4FB6-A839-B1CFA5D1B544}"/>
    <hyperlink ref="BA745" location="$BA$745" display="$BA$745" xr:uid="{6CD5F613-D800-4672-8E6C-844F707C1983}"/>
    <hyperlink ref="BA777" location="$BA$777" display="$BA$777" xr:uid="{02A47EFC-6B40-4655-80CB-475499DF01A8}"/>
    <hyperlink ref="BA809" location="$BA$809" display="$BA$809" xr:uid="{6DB14440-2A80-4B03-9B37-FF54FD95E27B}"/>
    <hyperlink ref="AH1168" location="$AH$1168" display="$AH$1168" xr:uid="{E45C0607-03AE-4611-96C1-0E00D5D8BC26}"/>
    <hyperlink ref="AZ4" location="$AZ$4" display="$AZ$4" xr:uid="{AF146D74-1195-4365-82D1-CC4A80AFA1DB}"/>
    <hyperlink ref="AZ8" location="$AZ$8" display="$AZ$8" xr:uid="{2561518A-AD3E-40F6-AE4D-68F279F73D40}"/>
    <hyperlink ref="AZ12" location="$AZ$12" display="$AZ$12" xr:uid="{5BB2127A-E865-4FFE-9B01-6CE30A24FC25}"/>
    <hyperlink ref="AZ26" location="$AZ$26" display="$AZ$26" xr:uid="{DAF536E3-21A8-4BEA-8B50-D42F9986B178}"/>
    <hyperlink ref="AZ38" location="$AZ$38" display="$AZ$38" xr:uid="{A6DDFA84-CA25-4348-B9E0-0CF6904726FA}"/>
    <hyperlink ref="AZ57" location="$AZ$57" display="$AZ$57" xr:uid="{51E32337-9FDF-4715-B7D1-2E749EE1F2C7}"/>
    <hyperlink ref="AZ222" location="$AZ$222" display="$AZ$222" xr:uid="{74C8622A-5532-4572-8C71-B5705CE4EA4A}"/>
    <hyperlink ref="AZ289" location="$AZ$289" display="$AZ$289" xr:uid="{5CDE59F4-77F6-4A97-96D1-A5CE9BABBC0F}"/>
    <hyperlink ref="AZ419" location="$AZ$419" display="$AZ$419" xr:uid="{19AF0F1F-C0EC-42E6-A173-FFCFAB1803CF}"/>
    <hyperlink ref="AZ672" location="$AZ$672" display="$AZ$672" xr:uid="{C4C88B7E-5321-42B2-94B1-AF13BE7D8B82}"/>
    <hyperlink ref="AZ741" location="$AZ$741" display="$AZ$741" xr:uid="{B568B98F-97DF-436F-987D-8B3A3E85198E}"/>
    <hyperlink ref="AZ842" location="$AZ$842" display="$AZ$842" xr:uid="{8B69B208-A7EC-4FE3-9DAF-285D0A570971}"/>
    <hyperlink ref="AZ861" location="$AZ$861" display="$AZ$861" xr:uid="{0D426951-5D5C-4A8A-ABDF-08497B4AC0A5}"/>
    <hyperlink ref="AZ867" location="$AZ$867" display="$AZ$867" xr:uid="{EA57CD70-858D-4747-9FA4-30AAA15FE9CA}"/>
    <hyperlink ref="AZ935" location="$AZ$935" display="$AZ$935" xr:uid="{08BE9D1E-1315-43DB-924B-C1EAE135300A}"/>
    <hyperlink ref="AZ1037" location="$AZ$1037" display="$AZ$1037" xr:uid="{B700656E-E352-4DF0-BF48-C2EE599811FF}"/>
    <hyperlink ref="AZ1107" location="$AZ$1107" display="$AZ$1107" xr:uid="{6552BDBA-E7AA-4A81-AB8D-F0783ADBA22E}"/>
    <hyperlink ref="AZ1143" location="$AZ$1143" display="$AZ$1143" xr:uid="{D7B5355B-AAC4-44F8-8E44-EDFEEC6C47FD}"/>
    <hyperlink ref="AZ1162" location="$AZ$1162" display="$AZ$1162" xr:uid="{9648C03C-7B7A-4F79-B20E-3132D5A98E9B}"/>
    <hyperlink ref="AZ1165" location="$AZ$1165" display="$AZ$1165" xr:uid="{2FE1C846-80B0-4747-87A7-229740ABFDEF}"/>
    <hyperlink ref="AZ1168" location="$AZ$1168" display="$AZ$1168" xr:uid="{FAE52B58-9DD2-44D5-B56F-D39EE29D3362}"/>
  </hyperlink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sheetPr>
  <dimension ref="A1:K273"/>
  <sheetViews>
    <sheetView zoomScale="70" zoomScaleNormal="70" workbookViewId="0">
      <pane xSplit="1" ySplit="1" topLeftCell="B3" activePane="bottomRight" state="frozen"/>
      <selection pane="topRight" activeCell="B1" sqref="B1"/>
      <selection pane="bottomLeft" activeCell="A2" sqref="A2"/>
      <selection pane="bottomRight" activeCell="N15" sqref="N15"/>
    </sheetView>
  </sheetViews>
  <sheetFormatPr defaultRowHeight="15" x14ac:dyDescent="0.25"/>
  <cols>
    <col min="1" max="1" width="2.7109375" style="276" customWidth="1"/>
    <col min="2" max="2" width="40" style="277" bestFit="1" customWidth="1"/>
    <col min="3" max="3" width="10" style="277" bestFit="1" customWidth="1"/>
    <col min="4" max="4" width="10.28515625" style="277" bestFit="1" customWidth="1"/>
    <col min="5" max="5" width="27.7109375" style="277" bestFit="1" customWidth="1"/>
    <col min="6" max="6" width="82.7109375" style="278" customWidth="1"/>
    <col min="7" max="7" width="2.7109375" style="277" customWidth="1"/>
    <col min="8" max="8" width="24" style="274" bestFit="1" customWidth="1"/>
    <col min="9" max="9" width="20.5703125" style="274" bestFit="1" customWidth="1"/>
    <col min="10" max="10" width="16.85546875" style="274" bestFit="1" customWidth="1"/>
    <col min="11" max="11" width="2.7109375" style="277" customWidth="1"/>
    <col min="12" max="16384" width="9.140625" style="75"/>
  </cols>
  <sheetData>
    <row r="1" spans="1:11" x14ac:dyDescent="0.25">
      <c r="A1" s="248"/>
      <c r="B1" s="249" t="s">
        <v>9</v>
      </c>
      <c r="C1" s="249" t="s">
        <v>79</v>
      </c>
      <c r="D1" s="249" t="s">
        <v>6</v>
      </c>
      <c r="E1" s="249" t="s">
        <v>16</v>
      </c>
      <c r="F1" s="250" t="s">
        <v>117</v>
      </c>
      <c r="G1" s="251"/>
      <c r="H1" s="252" t="s">
        <v>393</v>
      </c>
      <c r="I1" s="252" t="s">
        <v>402</v>
      </c>
      <c r="J1" s="252" t="s">
        <v>401</v>
      </c>
      <c r="K1" s="251"/>
    </row>
    <row r="2" spans="1:11" x14ac:dyDescent="0.25">
      <c r="A2" s="253"/>
      <c r="B2" s="254"/>
      <c r="C2" s="254"/>
      <c r="D2" s="254"/>
      <c r="E2" s="254"/>
      <c r="F2" s="255"/>
      <c r="G2" s="256"/>
      <c r="H2" s="257"/>
      <c r="I2" s="257"/>
      <c r="J2" s="257"/>
      <c r="K2" s="256"/>
    </row>
    <row r="3" spans="1:11" s="258" customFormat="1" x14ac:dyDescent="0.25">
      <c r="B3" s="259" t="s">
        <v>387</v>
      </c>
      <c r="C3" s="259"/>
      <c r="E3" s="259"/>
      <c r="F3" s="260"/>
      <c r="G3" s="261"/>
      <c r="H3" s="262"/>
      <c r="I3" s="262"/>
      <c r="J3" s="262"/>
      <c r="K3" s="261"/>
    </row>
    <row r="4" spans="1:11" x14ac:dyDescent="0.25">
      <c r="A4" s="263"/>
      <c r="B4" s="264" t="s">
        <v>38</v>
      </c>
      <c r="C4" s="264"/>
      <c r="D4" s="264"/>
      <c r="E4" s="264" t="s">
        <v>40</v>
      </c>
      <c r="F4" s="265" t="s">
        <v>415</v>
      </c>
      <c r="G4" s="266"/>
      <c r="H4" s="267" t="s">
        <v>399</v>
      </c>
      <c r="I4" s="279" t="s">
        <v>404</v>
      </c>
      <c r="J4" s="269">
        <v>2000</v>
      </c>
      <c r="K4" s="266"/>
    </row>
    <row r="5" spans="1:11" s="270" customFormat="1" ht="30" x14ac:dyDescent="0.25">
      <c r="A5" s="263"/>
      <c r="B5" s="264" t="s">
        <v>37</v>
      </c>
      <c r="C5" s="264"/>
      <c r="D5" s="264"/>
      <c r="E5" s="264" t="s">
        <v>40</v>
      </c>
      <c r="F5" s="265" t="s">
        <v>414</v>
      </c>
      <c r="G5" s="266"/>
      <c r="H5" s="267" t="s">
        <v>399</v>
      </c>
      <c r="I5" s="279" t="s">
        <v>404</v>
      </c>
      <c r="J5" s="269">
        <v>2100</v>
      </c>
      <c r="K5" s="266"/>
    </row>
    <row r="6" spans="1:11" s="270" customFormat="1" x14ac:dyDescent="0.25">
      <c r="A6" s="263"/>
      <c r="B6" s="264" t="s">
        <v>39</v>
      </c>
      <c r="C6" s="264"/>
      <c r="D6" s="264"/>
      <c r="E6" s="264" t="s">
        <v>10</v>
      </c>
      <c r="F6" s="265"/>
      <c r="G6" s="266"/>
      <c r="H6" s="267" t="s">
        <v>399</v>
      </c>
      <c r="I6" s="279" t="s">
        <v>404</v>
      </c>
      <c r="J6" s="269"/>
      <c r="K6" s="266"/>
    </row>
    <row r="7" spans="1:11" s="270" customFormat="1" x14ac:dyDescent="0.25">
      <c r="A7" s="263"/>
      <c r="B7" s="264" t="s">
        <v>395</v>
      </c>
      <c r="C7" s="264"/>
      <c r="D7" s="264"/>
      <c r="E7" s="264" t="s">
        <v>10</v>
      </c>
      <c r="F7" s="265"/>
      <c r="G7" s="266"/>
      <c r="H7" s="272" t="s">
        <v>400</v>
      </c>
      <c r="I7" s="280" t="s">
        <v>405</v>
      </c>
      <c r="J7" s="271"/>
      <c r="K7" s="266"/>
    </row>
    <row r="8" spans="1:11" s="270" customFormat="1" x14ac:dyDescent="0.25">
      <c r="A8" s="263"/>
      <c r="B8" s="264" t="s">
        <v>126</v>
      </c>
      <c r="C8" s="264"/>
      <c r="D8" s="264"/>
      <c r="E8" s="264"/>
      <c r="F8" s="265"/>
      <c r="G8" s="266"/>
      <c r="H8" s="272" t="s">
        <v>400</v>
      </c>
      <c r="I8" s="279" t="s">
        <v>404</v>
      </c>
      <c r="J8" s="269" t="s">
        <v>327</v>
      </c>
      <c r="K8" s="266"/>
    </row>
    <row r="9" spans="1:11" s="270" customFormat="1" x14ac:dyDescent="0.25">
      <c r="A9" s="263"/>
      <c r="B9" s="264" t="s">
        <v>341</v>
      </c>
      <c r="C9" s="264"/>
      <c r="D9" s="264"/>
      <c r="E9" s="264" t="s">
        <v>99</v>
      </c>
      <c r="F9" s="265"/>
      <c r="G9" s="266"/>
      <c r="H9" s="267" t="s">
        <v>399</v>
      </c>
      <c r="I9" s="279" t="s">
        <v>404</v>
      </c>
      <c r="J9" s="271"/>
      <c r="K9" s="266"/>
    </row>
    <row r="10" spans="1:11" s="270" customFormat="1" x14ac:dyDescent="0.25">
      <c r="A10" s="263"/>
      <c r="B10" s="264" t="s">
        <v>392</v>
      </c>
      <c r="C10" s="264"/>
      <c r="D10" s="264"/>
      <c r="E10" s="264" t="s">
        <v>99</v>
      </c>
      <c r="F10" s="265"/>
      <c r="G10" s="266"/>
      <c r="H10" s="267" t="s">
        <v>399</v>
      </c>
      <c r="I10" s="279" t="s">
        <v>404</v>
      </c>
      <c r="J10" s="271"/>
      <c r="K10" s="266"/>
    </row>
    <row r="11" spans="1:11" s="270" customFormat="1" x14ac:dyDescent="0.25">
      <c r="A11" s="263"/>
      <c r="B11" s="264" t="s">
        <v>391</v>
      </c>
      <c r="C11" s="264"/>
      <c r="D11" s="264"/>
      <c r="E11" s="264" t="s">
        <v>99</v>
      </c>
      <c r="F11" s="265"/>
      <c r="G11" s="266"/>
      <c r="H11" s="267" t="s">
        <v>399</v>
      </c>
      <c r="I11" s="279" t="s">
        <v>404</v>
      </c>
      <c r="J11" s="271"/>
      <c r="K11" s="266"/>
    </row>
    <row r="12" spans="1:11" s="270" customFormat="1" x14ac:dyDescent="0.25">
      <c r="A12" s="263"/>
      <c r="B12" s="264" t="s">
        <v>144</v>
      </c>
      <c r="C12" s="264"/>
      <c r="D12" s="264"/>
      <c r="E12" s="264" t="s">
        <v>390</v>
      </c>
      <c r="F12" s="265" t="s">
        <v>422</v>
      </c>
      <c r="G12" s="266"/>
      <c r="H12" s="267" t="s">
        <v>399</v>
      </c>
      <c r="I12" s="268" t="s">
        <v>403</v>
      </c>
      <c r="J12" s="269"/>
      <c r="K12" s="266"/>
    </row>
    <row r="13" spans="1:11" s="270" customFormat="1" x14ac:dyDescent="0.25">
      <c r="A13" s="263"/>
      <c r="B13" s="264" t="s">
        <v>76</v>
      </c>
      <c r="C13" s="264"/>
      <c r="D13" s="264"/>
      <c r="E13" s="264" t="s">
        <v>99</v>
      </c>
      <c r="F13" s="265" t="s">
        <v>423</v>
      </c>
      <c r="G13" s="266"/>
      <c r="H13" s="267" t="s">
        <v>399</v>
      </c>
      <c r="I13" s="268" t="s">
        <v>403</v>
      </c>
      <c r="J13" s="269"/>
      <c r="K13" s="266"/>
    </row>
    <row r="14" spans="1:11" s="270" customFormat="1" ht="30" x14ac:dyDescent="0.25">
      <c r="A14" s="263"/>
      <c r="B14" s="75" t="s">
        <v>166</v>
      </c>
      <c r="C14" s="75"/>
      <c r="E14" s="75" t="s">
        <v>99</v>
      </c>
      <c r="F14" s="76" t="s">
        <v>410</v>
      </c>
      <c r="G14" s="266"/>
      <c r="H14" s="267" t="s">
        <v>399</v>
      </c>
      <c r="I14" s="280" t="s">
        <v>405</v>
      </c>
      <c r="J14" s="273">
        <v>1</v>
      </c>
      <c r="K14" s="266"/>
    </row>
    <row r="15" spans="1:11" s="270" customFormat="1" ht="45" x14ac:dyDescent="0.25">
      <c r="A15" s="263"/>
      <c r="B15" s="75" t="s">
        <v>167</v>
      </c>
      <c r="C15" s="75"/>
      <c r="E15" s="75" t="s">
        <v>99</v>
      </c>
      <c r="F15" s="76" t="s">
        <v>411</v>
      </c>
      <c r="G15" s="266"/>
      <c r="H15" s="267" t="s">
        <v>399</v>
      </c>
      <c r="I15" s="280" t="s">
        <v>405</v>
      </c>
      <c r="J15" s="273">
        <v>0</v>
      </c>
      <c r="K15" s="266"/>
    </row>
    <row r="16" spans="1:11" s="270" customFormat="1" ht="30" x14ac:dyDescent="0.25">
      <c r="A16" s="263"/>
      <c r="B16" s="75" t="s">
        <v>408</v>
      </c>
      <c r="C16" s="75"/>
      <c r="E16" s="75" t="s">
        <v>99</v>
      </c>
      <c r="F16" s="76" t="s">
        <v>412</v>
      </c>
      <c r="G16" s="266"/>
      <c r="H16" s="267" t="s">
        <v>399</v>
      </c>
      <c r="I16" s="280" t="s">
        <v>405</v>
      </c>
      <c r="J16" s="273">
        <v>1</v>
      </c>
      <c r="K16" s="266"/>
    </row>
    <row r="17" spans="1:11" s="270" customFormat="1" ht="30" x14ac:dyDescent="0.25">
      <c r="A17" s="263"/>
      <c r="B17" s="75" t="s">
        <v>409</v>
      </c>
      <c r="C17" s="75"/>
      <c r="E17" s="75" t="s">
        <v>99</v>
      </c>
      <c r="F17" s="76" t="s">
        <v>413</v>
      </c>
      <c r="G17" s="266"/>
      <c r="H17" s="267" t="s">
        <v>399</v>
      </c>
      <c r="I17" s="280" t="s">
        <v>405</v>
      </c>
      <c r="J17" s="273">
        <v>0</v>
      </c>
      <c r="K17" s="266"/>
    </row>
    <row r="18" spans="1:11" s="270" customFormat="1" x14ac:dyDescent="0.25">
      <c r="A18" s="263"/>
      <c r="B18" s="264" t="s">
        <v>371</v>
      </c>
      <c r="C18" s="264"/>
      <c r="D18" s="264"/>
      <c r="E18" s="264" t="s">
        <v>390</v>
      </c>
      <c r="F18" s="265" t="s">
        <v>421</v>
      </c>
      <c r="G18" s="266"/>
      <c r="H18" s="272" t="s">
        <v>400</v>
      </c>
      <c r="I18" s="279" t="s">
        <v>404</v>
      </c>
      <c r="J18" s="269">
        <v>1</v>
      </c>
      <c r="K18" s="266"/>
    </row>
    <row r="19" spans="1:11" s="270" customFormat="1" ht="30" x14ac:dyDescent="0.25">
      <c r="A19" s="263"/>
      <c r="B19" s="264" t="s">
        <v>170</v>
      </c>
      <c r="C19" s="264"/>
      <c r="D19" s="264"/>
      <c r="E19" s="264" t="s">
        <v>354</v>
      </c>
      <c r="F19" s="265" t="s">
        <v>420</v>
      </c>
      <c r="G19" s="266"/>
      <c r="H19" s="272" t="s">
        <v>400</v>
      </c>
      <c r="I19" s="279" t="s">
        <v>404</v>
      </c>
      <c r="J19" s="273">
        <v>0</v>
      </c>
      <c r="K19" s="266"/>
    </row>
    <row r="20" spans="1:11" s="270" customFormat="1" ht="75" x14ac:dyDescent="0.25">
      <c r="A20" s="263"/>
      <c r="B20" s="264" t="s">
        <v>425</v>
      </c>
      <c r="C20" s="264"/>
      <c r="D20" s="264"/>
      <c r="E20" s="264" t="s">
        <v>99</v>
      </c>
      <c r="F20" s="265" t="s">
        <v>455</v>
      </c>
      <c r="G20" s="266"/>
      <c r="H20" s="272" t="s">
        <v>400</v>
      </c>
      <c r="I20" s="279" t="s">
        <v>404</v>
      </c>
      <c r="J20" s="273">
        <v>0</v>
      </c>
      <c r="K20" s="266"/>
    </row>
    <row r="21" spans="1:11" s="270" customFormat="1" x14ac:dyDescent="0.25">
      <c r="A21" s="263"/>
      <c r="B21" s="264" t="s">
        <v>438</v>
      </c>
      <c r="C21" s="264"/>
      <c r="D21" s="264"/>
      <c r="E21" s="264" t="s">
        <v>390</v>
      </c>
      <c r="F21" s="265" t="s">
        <v>454</v>
      </c>
      <c r="G21" s="266"/>
      <c r="H21" s="272" t="s">
        <v>400</v>
      </c>
      <c r="I21" s="279" t="s">
        <v>404</v>
      </c>
      <c r="J21" s="273">
        <v>0</v>
      </c>
      <c r="K21" s="266"/>
    </row>
    <row r="22" spans="1:11" s="270" customFormat="1" ht="30" x14ac:dyDescent="0.25">
      <c r="A22" s="263"/>
      <c r="B22" s="264" t="s">
        <v>435</v>
      </c>
      <c r="C22" s="264"/>
      <c r="D22" s="264"/>
      <c r="E22" s="264"/>
      <c r="F22" s="265" t="s">
        <v>436</v>
      </c>
      <c r="G22" s="266"/>
      <c r="H22" s="272" t="s">
        <v>400</v>
      </c>
      <c r="I22" s="279" t="s">
        <v>404</v>
      </c>
      <c r="J22" s="273">
        <v>1</v>
      </c>
      <c r="K22" s="266"/>
    </row>
    <row r="23" spans="1:11" s="270" customFormat="1" ht="30" x14ac:dyDescent="0.25">
      <c r="A23" s="263"/>
      <c r="B23" s="264" t="s">
        <v>407</v>
      </c>
      <c r="C23" s="264"/>
      <c r="D23" s="264"/>
      <c r="E23" s="264" t="s">
        <v>99</v>
      </c>
      <c r="F23" s="265" t="s">
        <v>456</v>
      </c>
      <c r="G23" s="266"/>
      <c r="H23" s="272" t="s">
        <v>400</v>
      </c>
      <c r="I23" s="279" t="s">
        <v>404</v>
      </c>
      <c r="J23" s="273">
        <v>0</v>
      </c>
      <c r="K23" s="266"/>
    </row>
    <row r="24" spans="1:11" s="270" customFormat="1" ht="30" x14ac:dyDescent="0.25">
      <c r="A24" s="263"/>
      <c r="B24" s="264" t="s">
        <v>444</v>
      </c>
      <c r="C24" s="264"/>
      <c r="D24" s="264"/>
      <c r="E24" s="264" t="s">
        <v>354</v>
      </c>
      <c r="F24" s="265" t="s">
        <v>418</v>
      </c>
      <c r="G24" s="266"/>
      <c r="H24" s="272" t="s">
        <v>400</v>
      </c>
      <c r="I24" s="279" t="s">
        <v>404</v>
      </c>
      <c r="J24" s="273">
        <v>0</v>
      </c>
      <c r="K24" s="266"/>
    </row>
    <row r="25" spans="1:11" s="270" customFormat="1" ht="30" x14ac:dyDescent="0.25">
      <c r="A25" s="263"/>
      <c r="B25" s="264" t="s">
        <v>446</v>
      </c>
      <c r="C25" s="264"/>
      <c r="D25" s="264"/>
      <c r="E25" s="264" t="s">
        <v>354</v>
      </c>
      <c r="F25" s="265" t="s">
        <v>452</v>
      </c>
      <c r="G25" s="266"/>
      <c r="H25" s="272" t="s">
        <v>400</v>
      </c>
      <c r="I25" s="279" t="s">
        <v>404</v>
      </c>
      <c r="J25" s="273">
        <v>0</v>
      </c>
      <c r="K25" s="266"/>
    </row>
    <row r="26" spans="1:11" s="270" customFormat="1" x14ac:dyDescent="0.25">
      <c r="A26" s="263"/>
      <c r="B26" s="264" t="s">
        <v>447</v>
      </c>
      <c r="C26" s="264"/>
      <c r="D26" s="264"/>
      <c r="E26" s="264"/>
      <c r="F26" s="265"/>
      <c r="G26" s="266"/>
      <c r="H26" s="272" t="s">
        <v>400</v>
      </c>
      <c r="I26" s="279" t="s">
        <v>404</v>
      </c>
      <c r="J26" s="273">
        <v>0</v>
      </c>
      <c r="K26" s="266"/>
    </row>
    <row r="27" spans="1:11" s="270" customFormat="1" x14ac:dyDescent="0.25">
      <c r="A27" s="263"/>
      <c r="B27" s="264" t="s">
        <v>448</v>
      </c>
      <c r="C27" s="264"/>
      <c r="D27" s="264"/>
      <c r="E27" s="264"/>
      <c r="F27" s="265"/>
      <c r="G27" s="266"/>
      <c r="H27" s="272" t="s">
        <v>400</v>
      </c>
      <c r="I27" s="279" t="s">
        <v>404</v>
      </c>
      <c r="J27" s="273">
        <v>0</v>
      </c>
      <c r="K27" s="266"/>
    </row>
    <row r="28" spans="1:11" s="270" customFormat="1" x14ac:dyDescent="0.25">
      <c r="A28" s="263"/>
      <c r="B28" s="264" t="s">
        <v>445</v>
      </c>
      <c r="C28" s="264"/>
      <c r="D28" s="264"/>
      <c r="E28" s="264" t="s">
        <v>389</v>
      </c>
      <c r="F28" s="265" t="s">
        <v>419</v>
      </c>
      <c r="G28" s="266"/>
      <c r="H28" s="272" t="s">
        <v>400</v>
      </c>
      <c r="I28" s="279" t="s">
        <v>404</v>
      </c>
      <c r="J28" s="273">
        <v>0</v>
      </c>
      <c r="K28" s="266"/>
    </row>
    <row r="29" spans="1:11" s="270" customFormat="1" x14ac:dyDescent="0.25">
      <c r="A29" s="263"/>
      <c r="B29" s="264" t="s">
        <v>449</v>
      </c>
      <c r="C29" s="264"/>
      <c r="D29" s="264"/>
      <c r="E29" s="264" t="s">
        <v>389</v>
      </c>
      <c r="F29" s="265" t="s">
        <v>453</v>
      </c>
      <c r="G29" s="266"/>
      <c r="H29" s="272" t="s">
        <v>400</v>
      </c>
      <c r="I29" s="279" t="s">
        <v>404</v>
      </c>
      <c r="J29" s="273">
        <v>0</v>
      </c>
      <c r="K29" s="266"/>
    </row>
    <row r="30" spans="1:11" s="270" customFormat="1" x14ac:dyDescent="0.25">
      <c r="A30" s="263"/>
      <c r="B30" s="264" t="s">
        <v>450</v>
      </c>
      <c r="C30" s="264"/>
      <c r="D30" s="264"/>
      <c r="E30" s="264"/>
      <c r="F30" s="265"/>
      <c r="G30" s="266"/>
      <c r="H30" s="272" t="s">
        <v>400</v>
      </c>
      <c r="I30" s="279" t="s">
        <v>404</v>
      </c>
      <c r="J30" s="273">
        <v>0</v>
      </c>
      <c r="K30" s="266"/>
    </row>
    <row r="31" spans="1:11" s="270" customFormat="1" x14ac:dyDescent="0.25">
      <c r="A31" s="263"/>
      <c r="B31" s="264" t="s">
        <v>451</v>
      </c>
      <c r="C31" s="264"/>
      <c r="D31" s="264"/>
      <c r="E31" s="264"/>
      <c r="F31" s="265"/>
      <c r="G31" s="266"/>
      <c r="H31" s="272" t="s">
        <v>400</v>
      </c>
      <c r="I31" s="279" t="s">
        <v>404</v>
      </c>
      <c r="J31" s="273">
        <v>0</v>
      </c>
      <c r="K31" s="266"/>
    </row>
    <row r="32" spans="1:11" s="270" customFormat="1" x14ac:dyDescent="0.25">
      <c r="A32" s="263"/>
      <c r="B32" s="264" t="s">
        <v>342</v>
      </c>
      <c r="C32" s="264"/>
      <c r="D32" s="264"/>
      <c r="E32" s="264" t="s">
        <v>389</v>
      </c>
      <c r="F32" s="265" t="s">
        <v>416</v>
      </c>
      <c r="G32" s="266"/>
      <c r="H32" s="272" t="s">
        <v>400</v>
      </c>
      <c r="I32" s="279" t="s">
        <v>404</v>
      </c>
      <c r="J32" s="273">
        <v>0</v>
      </c>
      <c r="K32" s="266"/>
    </row>
    <row r="33" spans="1:11" s="270" customFormat="1" ht="30" x14ac:dyDescent="0.25">
      <c r="A33" s="263"/>
      <c r="B33" s="264" t="s">
        <v>394</v>
      </c>
      <c r="C33" s="264"/>
      <c r="D33" s="264"/>
      <c r="E33" s="264" t="s">
        <v>354</v>
      </c>
      <c r="F33" s="265" t="s">
        <v>417</v>
      </c>
      <c r="G33" s="266"/>
      <c r="H33" s="272" t="s">
        <v>400</v>
      </c>
      <c r="I33" s="280" t="s">
        <v>405</v>
      </c>
      <c r="J33" s="273">
        <v>0</v>
      </c>
      <c r="K33" s="266"/>
    </row>
    <row r="34" spans="1:11" s="270" customFormat="1" x14ac:dyDescent="0.25">
      <c r="A34" s="263"/>
      <c r="B34" s="264" t="s">
        <v>338</v>
      </c>
      <c r="C34" s="264"/>
      <c r="D34" s="264"/>
      <c r="E34" s="264" t="s">
        <v>388</v>
      </c>
      <c r="F34" s="264" t="s">
        <v>396</v>
      </c>
      <c r="G34" s="266"/>
      <c r="H34" s="272" t="s">
        <v>400</v>
      </c>
      <c r="I34" s="280" t="s">
        <v>405</v>
      </c>
      <c r="J34" s="269"/>
      <c r="K34" s="266"/>
    </row>
    <row r="35" spans="1:11" s="270" customFormat="1" x14ac:dyDescent="0.25">
      <c r="A35" s="263"/>
      <c r="B35" s="264" t="s">
        <v>338</v>
      </c>
      <c r="C35" s="264"/>
      <c r="D35" s="264"/>
      <c r="E35" s="264" t="s">
        <v>388</v>
      </c>
      <c r="F35" s="264" t="s">
        <v>397</v>
      </c>
      <c r="G35" s="266"/>
      <c r="H35" s="272" t="s">
        <v>400</v>
      </c>
      <c r="I35" s="280" t="s">
        <v>405</v>
      </c>
      <c r="J35" s="269"/>
      <c r="K35" s="266"/>
    </row>
    <row r="36" spans="1:11" s="270" customFormat="1" x14ac:dyDescent="0.25">
      <c r="A36" s="263"/>
      <c r="B36" s="264" t="s">
        <v>338</v>
      </c>
      <c r="C36" s="264"/>
      <c r="D36" s="264"/>
      <c r="E36" s="264" t="s">
        <v>388</v>
      </c>
      <c r="F36" s="264" t="s">
        <v>398</v>
      </c>
      <c r="G36" s="266"/>
      <c r="H36" s="272" t="s">
        <v>400</v>
      </c>
      <c r="I36" s="280" t="s">
        <v>405</v>
      </c>
      <c r="J36" s="269"/>
      <c r="K36" s="266"/>
    </row>
    <row r="37" spans="1:11" s="270" customFormat="1" x14ac:dyDescent="0.25">
      <c r="A37" s="263"/>
      <c r="B37" s="264"/>
      <c r="C37" s="264"/>
      <c r="D37" s="264"/>
      <c r="E37" s="264"/>
      <c r="F37" s="265"/>
      <c r="G37" s="266"/>
      <c r="H37" s="274"/>
      <c r="I37" s="274"/>
      <c r="J37" s="274"/>
      <c r="K37" s="266"/>
    </row>
    <row r="38" spans="1:11" s="270" customFormat="1" x14ac:dyDescent="0.25">
      <c r="A38" s="263"/>
      <c r="B38" s="264"/>
      <c r="C38" s="264"/>
      <c r="D38" s="264"/>
      <c r="E38" s="264"/>
      <c r="F38" s="265"/>
      <c r="G38" s="266"/>
      <c r="H38" s="274"/>
      <c r="I38" s="274"/>
      <c r="J38" s="274"/>
      <c r="K38" s="266"/>
    </row>
    <row r="39" spans="1:11" s="270" customFormat="1" x14ac:dyDescent="0.25">
      <c r="A39" s="263"/>
      <c r="B39" s="264"/>
      <c r="C39" s="264"/>
      <c r="D39" s="264"/>
      <c r="E39" s="264"/>
      <c r="F39" s="265"/>
      <c r="G39" s="266"/>
      <c r="H39" s="274"/>
      <c r="I39" s="274"/>
      <c r="J39" s="274"/>
      <c r="K39" s="266"/>
    </row>
    <row r="40" spans="1:11" s="270" customFormat="1" x14ac:dyDescent="0.25">
      <c r="A40" s="263"/>
      <c r="B40" s="264"/>
      <c r="C40" s="264"/>
      <c r="D40" s="264"/>
      <c r="E40" s="264"/>
      <c r="F40" s="265"/>
      <c r="G40" s="266"/>
      <c r="H40" s="274"/>
      <c r="I40" s="274"/>
      <c r="J40" s="274"/>
      <c r="K40" s="266"/>
    </row>
    <row r="41" spans="1:11" s="270" customFormat="1" x14ac:dyDescent="0.25">
      <c r="A41" s="263"/>
      <c r="B41" s="264"/>
      <c r="C41" s="264"/>
      <c r="D41" s="264"/>
      <c r="E41" s="264"/>
      <c r="F41" s="265"/>
      <c r="G41" s="266"/>
      <c r="H41" s="274"/>
      <c r="I41" s="274"/>
      <c r="J41" s="274"/>
      <c r="K41" s="266"/>
    </row>
    <row r="42" spans="1:11" s="270" customFormat="1" x14ac:dyDescent="0.25">
      <c r="A42" s="263"/>
      <c r="B42" s="264"/>
      <c r="C42" s="264"/>
      <c r="D42" s="264"/>
      <c r="E42" s="264"/>
      <c r="F42" s="265"/>
      <c r="G42" s="266"/>
      <c r="H42" s="274"/>
      <c r="I42" s="274"/>
      <c r="J42" s="274"/>
      <c r="K42" s="266"/>
    </row>
    <row r="43" spans="1:11" s="270" customFormat="1" x14ac:dyDescent="0.25">
      <c r="A43" s="263"/>
      <c r="B43" s="264"/>
      <c r="C43" s="264"/>
      <c r="D43" s="264"/>
      <c r="E43" s="264"/>
      <c r="F43" s="265"/>
      <c r="G43" s="266"/>
      <c r="H43" s="274"/>
      <c r="I43" s="274"/>
      <c r="J43" s="274"/>
      <c r="K43" s="266"/>
    </row>
    <row r="44" spans="1:11" s="270" customFormat="1" x14ac:dyDescent="0.25">
      <c r="A44" s="263"/>
      <c r="B44" s="264"/>
      <c r="C44" s="264"/>
      <c r="D44" s="264"/>
      <c r="E44" s="264"/>
      <c r="F44" s="265"/>
      <c r="G44" s="266"/>
      <c r="H44" s="274"/>
      <c r="I44" s="274"/>
      <c r="J44" s="274"/>
      <c r="K44" s="266"/>
    </row>
    <row r="45" spans="1:11" s="270" customFormat="1" x14ac:dyDescent="0.25">
      <c r="A45" s="263"/>
      <c r="B45" s="264"/>
      <c r="C45" s="264"/>
      <c r="D45" s="264"/>
      <c r="E45" s="264"/>
      <c r="F45" s="265"/>
      <c r="G45" s="266"/>
      <c r="H45" s="274"/>
      <c r="I45" s="274"/>
      <c r="J45" s="274"/>
      <c r="K45" s="266"/>
    </row>
    <row r="46" spans="1:11" s="270" customFormat="1" x14ac:dyDescent="0.25">
      <c r="A46" s="263"/>
      <c r="B46" s="264"/>
      <c r="C46" s="264"/>
      <c r="D46" s="264"/>
      <c r="E46" s="264"/>
      <c r="F46" s="265"/>
      <c r="G46" s="266"/>
      <c r="H46" s="274"/>
      <c r="I46" s="274"/>
      <c r="J46" s="274"/>
      <c r="K46" s="266"/>
    </row>
    <row r="47" spans="1:11" s="270" customFormat="1" x14ac:dyDescent="0.25">
      <c r="A47" s="263"/>
      <c r="B47" s="264"/>
      <c r="C47" s="264"/>
      <c r="D47" s="264"/>
      <c r="E47" s="264"/>
      <c r="F47" s="265"/>
      <c r="G47" s="266"/>
      <c r="H47" s="274"/>
      <c r="I47" s="274"/>
      <c r="J47" s="274"/>
      <c r="K47" s="266"/>
    </row>
    <row r="48" spans="1:11" s="270" customFormat="1" x14ac:dyDescent="0.25">
      <c r="A48" s="263"/>
      <c r="B48" s="264"/>
      <c r="C48" s="264"/>
      <c r="D48" s="264"/>
      <c r="E48" s="264"/>
      <c r="F48" s="265"/>
      <c r="G48" s="266"/>
      <c r="H48" s="274"/>
      <c r="I48" s="274"/>
      <c r="J48" s="274"/>
      <c r="K48" s="266"/>
    </row>
    <row r="49" spans="1:11" s="270" customFormat="1" x14ac:dyDescent="0.25">
      <c r="A49" s="263"/>
      <c r="B49" s="264"/>
      <c r="C49" s="264"/>
      <c r="D49" s="264"/>
      <c r="E49" s="264"/>
      <c r="F49" s="265"/>
      <c r="G49" s="266"/>
      <c r="H49" s="274"/>
      <c r="I49" s="274"/>
      <c r="J49" s="274"/>
      <c r="K49" s="266"/>
    </row>
    <row r="50" spans="1:11" s="270" customFormat="1" x14ac:dyDescent="0.25">
      <c r="A50" s="263"/>
      <c r="B50" s="264"/>
      <c r="C50" s="264"/>
      <c r="D50" s="264"/>
      <c r="E50" s="264"/>
      <c r="F50" s="265"/>
      <c r="G50" s="266"/>
      <c r="H50" s="274"/>
      <c r="I50" s="274"/>
      <c r="J50" s="274"/>
      <c r="K50" s="266"/>
    </row>
    <row r="51" spans="1:11" s="270" customFormat="1" x14ac:dyDescent="0.25">
      <c r="A51" s="263"/>
      <c r="B51" s="264"/>
      <c r="C51" s="264"/>
      <c r="D51" s="264"/>
      <c r="E51" s="264"/>
      <c r="F51" s="265"/>
      <c r="G51" s="266"/>
      <c r="H51" s="274"/>
      <c r="I51" s="274"/>
      <c r="J51" s="274"/>
      <c r="K51" s="266"/>
    </row>
    <row r="52" spans="1:11" s="270" customFormat="1" x14ac:dyDescent="0.25">
      <c r="A52" s="263"/>
      <c r="B52" s="264"/>
      <c r="C52" s="264"/>
      <c r="D52" s="264"/>
      <c r="E52" s="264"/>
      <c r="F52" s="265"/>
      <c r="G52" s="266"/>
      <c r="H52" s="274"/>
      <c r="I52" s="274"/>
      <c r="J52" s="274"/>
      <c r="K52" s="266"/>
    </row>
    <row r="53" spans="1:11" s="270" customFormat="1" x14ac:dyDescent="0.25">
      <c r="A53" s="263"/>
      <c r="B53" s="264"/>
      <c r="C53" s="264"/>
      <c r="D53" s="264"/>
      <c r="E53" s="264"/>
      <c r="F53" s="265"/>
      <c r="G53" s="266"/>
      <c r="H53" s="274"/>
      <c r="I53" s="274"/>
      <c r="J53" s="274"/>
      <c r="K53" s="266"/>
    </row>
    <row r="54" spans="1:11" s="270" customFormat="1" x14ac:dyDescent="0.25">
      <c r="A54" s="263"/>
      <c r="B54" s="264"/>
      <c r="C54" s="264"/>
      <c r="D54" s="264"/>
      <c r="E54" s="264"/>
      <c r="F54" s="265"/>
      <c r="G54" s="266"/>
      <c r="H54" s="274"/>
      <c r="I54" s="274"/>
      <c r="J54" s="274"/>
      <c r="K54" s="266"/>
    </row>
    <row r="55" spans="1:11" s="270" customFormat="1" x14ac:dyDescent="0.25">
      <c r="A55" s="263"/>
      <c r="B55" s="264"/>
      <c r="C55" s="264"/>
      <c r="D55" s="264"/>
      <c r="E55" s="264"/>
      <c r="F55" s="265"/>
      <c r="G55" s="266"/>
      <c r="H55" s="274"/>
      <c r="I55" s="274"/>
      <c r="J55" s="274"/>
      <c r="K55" s="266"/>
    </row>
    <row r="56" spans="1:11" s="270" customFormat="1" x14ac:dyDescent="0.25">
      <c r="A56" s="263"/>
      <c r="B56" s="264"/>
      <c r="C56" s="264"/>
      <c r="D56" s="264"/>
      <c r="E56" s="264"/>
      <c r="F56" s="265"/>
      <c r="G56" s="266"/>
      <c r="H56" s="274"/>
      <c r="I56" s="274"/>
      <c r="J56" s="274"/>
      <c r="K56" s="266"/>
    </row>
    <row r="57" spans="1:11" s="270" customFormat="1" x14ac:dyDescent="0.25">
      <c r="A57" s="263"/>
      <c r="B57" s="264"/>
      <c r="C57" s="264"/>
      <c r="D57" s="264"/>
      <c r="E57" s="264"/>
      <c r="F57" s="265"/>
      <c r="G57" s="266"/>
      <c r="H57" s="274"/>
      <c r="I57" s="274"/>
      <c r="J57" s="274"/>
      <c r="K57" s="266"/>
    </row>
    <row r="58" spans="1:11" s="270" customFormat="1" x14ac:dyDescent="0.25">
      <c r="A58" s="263"/>
      <c r="B58" s="264"/>
      <c r="C58" s="264"/>
      <c r="D58" s="264"/>
      <c r="E58" s="264"/>
      <c r="F58" s="265"/>
      <c r="G58" s="266"/>
      <c r="H58" s="274"/>
      <c r="I58" s="274"/>
      <c r="J58" s="274"/>
      <c r="K58" s="266"/>
    </row>
    <row r="59" spans="1:11" s="270" customFormat="1" x14ac:dyDescent="0.25">
      <c r="A59" s="263"/>
      <c r="B59" s="264"/>
      <c r="C59" s="264"/>
      <c r="D59" s="264"/>
      <c r="E59" s="264"/>
      <c r="F59" s="265"/>
      <c r="G59" s="266"/>
      <c r="H59" s="274"/>
      <c r="I59" s="274"/>
      <c r="J59" s="274"/>
      <c r="K59" s="266"/>
    </row>
    <row r="60" spans="1:11" s="270" customFormat="1" x14ac:dyDescent="0.25">
      <c r="A60" s="263"/>
      <c r="B60" s="264"/>
      <c r="C60" s="264"/>
      <c r="D60" s="264"/>
      <c r="E60" s="264"/>
      <c r="F60" s="265"/>
      <c r="G60" s="266"/>
      <c r="H60" s="274"/>
      <c r="I60" s="274"/>
      <c r="J60" s="274"/>
      <c r="K60" s="266"/>
    </row>
    <row r="61" spans="1:11" s="270" customFormat="1" x14ac:dyDescent="0.25">
      <c r="A61" s="263"/>
      <c r="B61" s="264"/>
      <c r="C61" s="264"/>
      <c r="D61" s="264"/>
      <c r="E61" s="264"/>
      <c r="F61" s="265"/>
      <c r="G61" s="266"/>
      <c r="H61" s="274"/>
      <c r="I61" s="274"/>
      <c r="J61" s="274"/>
      <c r="K61" s="266"/>
    </row>
    <row r="62" spans="1:11" s="270" customFormat="1" x14ac:dyDescent="0.25">
      <c r="A62" s="263"/>
      <c r="B62" s="264"/>
      <c r="C62" s="264"/>
      <c r="D62" s="264"/>
      <c r="E62" s="264"/>
      <c r="F62" s="265"/>
      <c r="G62" s="266"/>
      <c r="H62" s="274"/>
      <c r="I62" s="274"/>
      <c r="J62" s="274"/>
      <c r="K62" s="266"/>
    </row>
    <row r="63" spans="1:11" s="270" customFormat="1" x14ac:dyDescent="0.25">
      <c r="A63" s="263"/>
      <c r="B63" s="264"/>
      <c r="C63" s="264"/>
      <c r="D63" s="264"/>
      <c r="E63" s="264"/>
      <c r="F63" s="265"/>
      <c r="G63" s="266"/>
      <c r="H63" s="274"/>
      <c r="I63" s="274"/>
      <c r="J63" s="274"/>
      <c r="K63" s="266"/>
    </row>
    <row r="64" spans="1:11" s="270" customFormat="1" x14ac:dyDescent="0.25">
      <c r="A64" s="263"/>
      <c r="B64" s="264"/>
      <c r="C64" s="264"/>
      <c r="D64" s="264"/>
      <c r="E64" s="264"/>
      <c r="F64" s="265"/>
      <c r="G64" s="266"/>
      <c r="H64" s="274"/>
      <c r="I64" s="274"/>
      <c r="J64" s="274"/>
      <c r="K64" s="266"/>
    </row>
    <row r="65" spans="1:11" s="270" customFormat="1" x14ac:dyDescent="0.25">
      <c r="A65" s="263"/>
      <c r="B65" s="264"/>
      <c r="C65" s="264"/>
      <c r="D65" s="264"/>
      <c r="E65" s="264"/>
      <c r="F65" s="265"/>
      <c r="G65" s="266"/>
      <c r="H65" s="274"/>
      <c r="I65" s="274"/>
      <c r="J65" s="274"/>
      <c r="K65" s="266"/>
    </row>
    <row r="66" spans="1:11" s="270" customFormat="1" x14ac:dyDescent="0.25">
      <c r="A66" s="263"/>
      <c r="B66" s="264"/>
      <c r="C66" s="264"/>
      <c r="D66" s="264"/>
      <c r="E66" s="264"/>
      <c r="F66" s="265"/>
      <c r="G66" s="266"/>
      <c r="H66" s="274"/>
      <c r="I66" s="274"/>
      <c r="J66" s="274"/>
      <c r="K66" s="266"/>
    </row>
    <row r="67" spans="1:11" s="270" customFormat="1" x14ac:dyDescent="0.25">
      <c r="A67" s="263"/>
      <c r="B67" s="264"/>
      <c r="C67" s="264"/>
      <c r="D67" s="264"/>
      <c r="E67" s="264"/>
      <c r="F67" s="265"/>
      <c r="G67" s="266"/>
      <c r="H67" s="274"/>
      <c r="I67" s="274"/>
      <c r="J67" s="274"/>
      <c r="K67" s="266"/>
    </row>
    <row r="68" spans="1:11" s="270" customFormat="1" x14ac:dyDescent="0.25">
      <c r="A68" s="263"/>
      <c r="B68" s="264"/>
      <c r="C68" s="264"/>
      <c r="D68" s="264"/>
      <c r="E68" s="264"/>
      <c r="F68" s="265"/>
      <c r="G68" s="266"/>
      <c r="H68" s="274"/>
      <c r="I68" s="274"/>
      <c r="J68" s="274"/>
      <c r="K68" s="266"/>
    </row>
    <row r="69" spans="1:11" s="270" customFormat="1" x14ac:dyDescent="0.25">
      <c r="A69" s="263"/>
      <c r="B69" s="264"/>
      <c r="C69" s="264"/>
      <c r="D69" s="264"/>
      <c r="E69" s="264"/>
      <c r="F69" s="265"/>
      <c r="G69" s="266"/>
      <c r="H69" s="274"/>
      <c r="I69" s="274"/>
      <c r="J69" s="274"/>
      <c r="K69" s="266"/>
    </row>
    <row r="70" spans="1:11" s="270" customFormat="1" x14ac:dyDescent="0.25">
      <c r="A70" s="263"/>
      <c r="B70" s="264"/>
      <c r="C70" s="264"/>
      <c r="D70" s="264"/>
      <c r="E70" s="264"/>
      <c r="F70" s="265"/>
      <c r="G70" s="266"/>
      <c r="H70" s="274"/>
      <c r="I70" s="274"/>
      <c r="J70" s="274"/>
      <c r="K70" s="266"/>
    </row>
    <row r="71" spans="1:11" s="270" customFormat="1" x14ac:dyDescent="0.25">
      <c r="A71" s="263"/>
      <c r="B71" s="264"/>
      <c r="C71" s="264"/>
      <c r="D71" s="264"/>
      <c r="E71" s="264"/>
      <c r="F71" s="265"/>
      <c r="G71" s="266"/>
      <c r="H71" s="274"/>
      <c r="I71" s="274"/>
      <c r="J71" s="274"/>
      <c r="K71" s="266"/>
    </row>
    <row r="72" spans="1:11" s="270" customFormat="1" x14ac:dyDescent="0.25">
      <c r="A72" s="263"/>
      <c r="B72" s="264"/>
      <c r="C72" s="264"/>
      <c r="D72" s="264"/>
      <c r="E72" s="264"/>
      <c r="F72" s="265"/>
      <c r="G72" s="266"/>
      <c r="H72" s="274"/>
      <c r="I72" s="274"/>
      <c r="J72" s="274"/>
      <c r="K72" s="266"/>
    </row>
    <row r="73" spans="1:11" s="270" customFormat="1" x14ac:dyDescent="0.25">
      <c r="A73" s="263"/>
      <c r="B73" s="264"/>
      <c r="C73" s="264"/>
      <c r="D73" s="264"/>
      <c r="E73" s="264"/>
      <c r="F73" s="265"/>
      <c r="G73" s="266"/>
      <c r="H73" s="274"/>
      <c r="I73" s="274"/>
      <c r="J73" s="274"/>
      <c r="K73" s="266"/>
    </row>
    <row r="74" spans="1:11" s="270" customFormat="1" x14ac:dyDescent="0.25">
      <c r="A74" s="263"/>
      <c r="B74" s="264"/>
      <c r="C74" s="264"/>
      <c r="D74" s="264"/>
      <c r="E74" s="264"/>
      <c r="F74" s="265"/>
      <c r="G74" s="266"/>
      <c r="H74" s="274"/>
      <c r="I74" s="274"/>
      <c r="J74" s="274"/>
      <c r="K74" s="266"/>
    </row>
    <row r="75" spans="1:11" s="270" customFormat="1" x14ac:dyDescent="0.25">
      <c r="A75" s="263"/>
      <c r="B75" s="264"/>
      <c r="C75" s="264"/>
      <c r="D75" s="264"/>
      <c r="E75" s="264"/>
      <c r="F75" s="265"/>
      <c r="G75" s="266"/>
      <c r="H75" s="274"/>
      <c r="I75" s="274"/>
      <c r="J75" s="274"/>
      <c r="K75" s="266"/>
    </row>
    <row r="76" spans="1:11" s="270" customFormat="1" x14ac:dyDescent="0.25">
      <c r="A76" s="263"/>
      <c r="B76" s="264"/>
      <c r="C76" s="264"/>
      <c r="D76" s="264"/>
      <c r="E76" s="264"/>
      <c r="F76" s="265"/>
      <c r="G76" s="266"/>
      <c r="H76" s="274"/>
      <c r="I76" s="274"/>
      <c r="J76" s="274"/>
      <c r="K76" s="266"/>
    </row>
    <row r="77" spans="1:11" s="270" customFormat="1" x14ac:dyDescent="0.25">
      <c r="A77" s="263"/>
      <c r="B77" s="264"/>
      <c r="C77" s="264"/>
      <c r="D77" s="264"/>
      <c r="E77" s="264"/>
      <c r="F77" s="265"/>
      <c r="G77" s="266"/>
      <c r="H77" s="274"/>
      <c r="I77" s="274"/>
      <c r="J77" s="274"/>
      <c r="K77" s="266"/>
    </row>
    <row r="78" spans="1:11" s="270" customFormat="1" x14ac:dyDescent="0.25">
      <c r="A78" s="263"/>
      <c r="B78" s="264"/>
      <c r="C78" s="264"/>
      <c r="D78" s="264"/>
      <c r="E78" s="264"/>
      <c r="F78" s="265"/>
      <c r="G78" s="266"/>
      <c r="H78" s="274"/>
      <c r="I78" s="274"/>
      <c r="J78" s="274"/>
      <c r="K78" s="266"/>
    </row>
    <row r="79" spans="1:11" s="270" customFormat="1" x14ac:dyDescent="0.25">
      <c r="A79" s="263"/>
      <c r="B79" s="264"/>
      <c r="C79" s="264"/>
      <c r="D79" s="264"/>
      <c r="E79" s="264"/>
      <c r="F79" s="265"/>
      <c r="G79" s="266"/>
      <c r="H79" s="274"/>
      <c r="I79" s="274"/>
      <c r="J79" s="274"/>
      <c r="K79" s="266"/>
    </row>
    <row r="80" spans="1:11" s="270" customFormat="1" x14ac:dyDescent="0.25">
      <c r="A80" s="263"/>
      <c r="B80" s="264"/>
      <c r="C80" s="264"/>
      <c r="D80" s="264"/>
      <c r="E80" s="264"/>
      <c r="F80" s="265"/>
      <c r="G80" s="266"/>
      <c r="H80" s="274"/>
      <c r="I80" s="274"/>
      <c r="J80" s="274"/>
      <c r="K80" s="266"/>
    </row>
    <row r="81" spans="1:11" s="270" customFormat="1" x14ac:dyDescent="0.25">
      <c r="A81" s="263"/>
      <c r="B81" s="264"/>
      <c r="C81" s="264"/>
      <c r="D81" s="264"/>
      <c r="E81" s="264"/>
      <c r="F81" s="265"/>
      <c r="G81" s="266"/>
      <c r="H81" s="274"/>
      <c r="I81" s="274"/>
      <c r="J81" s="274"/>
      <c r="K81" s="266"/>
    </row>
    <row r="82" spans="1:11" s="270" customFormat="1" x14ac:dyDescent="0.25">
      <c r="A82" s="263"/>
      <c r="B82" s="264"/>
      <c r="C82" s="264"/>
      <c r="D82" s="264"/>
      <c r="E82" s="264"/>
      <c r="F82" s="265"/>
      <c r="G82" s="266"/>
      <c r="H82" s="274"/>
      <c r="I82" s="274"/>
      <c r="J82" s="274"/>
      <c r="K82" s="266"/>
    </row>
    <row r="83" spans="1:11" s="270" customFormat="1" x14ac:dyDescent="0.25">
      <c r="A83" s="263"/>
      <c r="B83" s="264"/>
      <c r="C83" s="264"/>
      <c r="D83" s="264"/>
      <c r="E83" s="264"/>
      <c r="F83" s="265"/>
      <c r="G83" s="266"/>
      <c r="H83" s="274"/>
      <c r="I83" s="274"/>
      <c r="J83" s="274"/>
      <c r="K83" s="266"/>
    </row>
    <row r="84" spans="1:11" s="270" customFormat="1" x14ac:dyDescent="0.25">
      <c r="A84" s="263"/>
      <c r="B84" s="264"/>
      <c r="C84" s="264"/>
      <c r="D84" s="264"/>
      <c r="E84" s="264"/>
      <c r="F84" s="265"/>
      <c r="G84" s="266"/>
      <c r="H84" s="274"/>
      <c r="I84" s="274"/>
      <c r="J84" s="274"/>
      <c r="K84" s="266"/>
    </row>
    <row r="85" spans="1:11" s="270" customFormat="1" x14ac:dyDescent="0.25">
      <c r="A85" s="263"/>
      <c r="B85" s="264"/>
      <c r="C85" s="264"/>
      <c r="D85" s="264"/>
      <c r="E85" s="264"/>
      <c r="F85" s="265"/>
      <c r="G85" s="266"/>
      <c r="H85" s="274"/>
      <c r="I85" s="274"/>
      <c r="J85" s="274"/>
      <c r="K85" s="266"/>
    </row>
    <row r="86" spans="1:11" s="270" customFormat="1" x14ac:dyDescent="0.25">
      <c r="A86" s="263"/>
      <c r="B86" s="264"/>
      <c r="C86" s="264"/>
      <c r="D86" s="264"/>
      <c r="E86" s="264"/>
      <c r="F86" s="265"/>
      <c r="G86" s="266"/>
      <c r="H86" s="274"/>
      <c r="I86" s="274"/>
      <c r="J86" s="274"/>
      <c r="K86" s="266"/>
    </row>
    <row r="87" spans="1:11" s="270" customFormat="1" x14ac:dyDescent="0.25">
      <c r="A87" s="263"/>
      <c r="B87" s="264"/>
      <c r="C87" s="264"/>
      <c r="D87" s="264"/>
      <c r="E87" s="264"/>
      <c r="F87" s="265"/>
      <c r="G87" s="266"/>
      <c r="H87" s="274"/>
      <c r="I87" s="274"/>
      <c r="J87" s="274"/>
      <c r="K87" s="266"/>
    </row>
    <row r="88" spans="1:11" s="270" customFormat="1" x14ac:dyDescent="0.25">
      <c r="A88" s="263"/>
      <c r="B88" s="264"/>
      <c r="C88" s="264"/>
      <c r="D88" s="264"/>
      <c r="E88" s="264"/>
      <c r="F88" s="265"/>
      <c r="G88" s="266"/>
      <c r="H88" s="274"/>
      <c r="I88" s="274"/>
      <c r="J88" s="274"/>
      <c r="K88" s="266"/>
    </row>
    <row r="89" spans="1:11" s="270" customFormat="1" x14ac:dyDescent="0.25">
      <c r="A89" s="263"/>
      <c r="B89" s="264"/>
      <c r="C89" s="264"/>
      <c r="D89" s="264"/>
      <c r="E89" s="264"/>
      <c r="F89" s="265"/>
      <c r="G89" s="266"/>
      <c r="H89" s="274"/>
      <c r="I89" s="274"/>
      <c r="J89" s="274"/>
      <c r="K89" s="266"/>
    </row>
    <row r="90" spans="1:11" s="270" customFormat="1" x14ac:dyDescent="0.25">
      <c r="A90" s="263"/>
      <c r="B90" s="264"/>
      <c r="C90" s="264"/>
      <c r="D90" s="264"/>
      <c r="E90" s="264"/>
      <c r="F90" s="265"/>
      <c r="G90" s="266"/>
      <c r="H90" s="274"/>
      <c r="I90" s="274"/>
      <c r="J90" s="274"/>
      <c r="K90" s="266"/>
    </row>
    <row r="91" spans="1:11" s="270" customFormat="1" x14ac:dyDescent="0.25">
      <c r="A91" s="263"/>
      <c r="B91" s="264"/>
      <c r="C91" s="264"/>
      <c r="D91" s="264"/>
      <c r="E91" s="264"/>
      <c r="F91" s="265"/>
      <c r="G91" s="266"/>
      <c r="H91" s="274"/>
      <c r="I91" s="274"/>
      <c r="J91" s="274"/>
      <c r="K91" s="266"/>
    </row>
    <row r="92" spans="1:11" s="270" customFormat="1" x14ac:dyDescent="0.25">
      <c r="A92" s="263"/>
      <c r="B92" s="254"/>
      <c r="C92" s="254"/>
      <c r="D92" s="254"/>
      <c r="E92" s="254"/>
      <c r="F92" s="255"/>
      <c r="G92" s="266"/>
      <c r="H92" s="257"/>
      <c r="I92" s="257"/>
      <c r="J92" s="257"/>
      <c r="K92" s="266"/>
    </row>
    <row r="93" spans="1:11" s="270" customFormat="1" x14ac:dyDescent="0.25">
      <c r="A93" s="263"/>
      <c r="B93" s="254"/>
      <c r="C93" s="254"/>
      <c r="D93" s="254"/>
      <c r="E93" s="254"/>
      <c r="F93" s="255"/>
      <c r="G93" s="266"/>
      <c r="H93" s="257"/>
      <c r="I93" s="257"/>
      <c r="J93" s="257"/>
      <c r="K93" s="266"/>
    </row>
    <row r="94" spans="1:11" s="270" customFormat="1" x14ac:dyDescent="0.25">
      <c r="A94" s="263"/>
      <c r="B94" s="254"/>
      <c r="C94" s="254"/>
      <c r="D94" s="254"/>
      <c r="E94" s="254"/>
      <c r="F94" s="255"/>
      <c r="G94" s="266"/>
      <c r="H94" s="257"/>
      <c r="I94" s="257"/>
      <c r="J94" s="257"/>
      <c r="K94" s="266"/>
    </row>
    <row r="95" spans="1:11" s="270" customFormat="1" x14ac:dyDescent="0.25">
      <c r="A95" s="263"/>
      <c r="B95" s="254"/>
      <c r="C95" s="254"/>
      <c r="D95" s="254"/>
      <c r="E95" s="254"/>
      <c r="F95" s="255"/>
      <c r="G95" s="266"/>
      <c r="H95" s="257"/>
      <c r="I95" s="257"/>
      <c r="J95" s="257"/>
      <c r="K95" s="266"/>
    </row>
    <row r="96" spans="1:11" s="270" customFormat="1" x14ac:dyDescent="0.25">
      <c r="A96" s="263"/>
      <c r="B96" s="254"/>
      <c r="C96" s="254"/>
      <c r="D96" s="254"/>
      <c r="E96" s="254"/>
      <c r="F96" s="255"/>
      <c r="G96" s="266"/>
      <c r="H96" s="257"/>
      <c r="I96" s="257"/>
      <c r="J96" s="257"/>
      <c r="K96" s="266"/>
    </row>
    <row r="97" spans="1:11" s="270" customFormat="1" x14ac:dyDescent="0.25">
      <c r="A97" s="263"/>
      <c r="B97" s="254"/>
      <c r="C97" s="254"/>
      <c r="D97" s="254"/>
      <c r="E97" s="254"/>
      <c r="F97" s="255"/>
      <c r="G97" s="266"/>
      <c r="H97" s="257"/>
      <c r="I97" s="257"/>
      <c r="J97" s="257"/>
      <c r="K97" s="266"/>
    </row>
    <row r="98" spans="1:11" s="270" customFormat="1" x14ac:dyDescent="0.25">
      <c r="A98" s="263"/>
      <c r="B98" s="254"/>
      <c r="C98" s="254"/>
      <c r="D98" s="254"/>
      <c r="E98" s="254"/>
      <c r="F98" s="255"/>
      <c r="G98" s="266"/>
      <c r="H98" s="257"/>
      <c r="I98" s="257"/>
      <c r="J98" s="257"/>
      <c r="K98" s="266"/>
    </row>
    <row r="99" spans="1:11" s="270" customFormat="1" x14ac:dyDescent="0.25">
      <c r="A99" s="263"/>
      <c r="B99" s="254"/>
      <c r="C99" s="254"/>
      <c r="D99" s="254"/>
      <c r="E99" s="254"/>
      <c r="F99" s="255"/>
      <c r="G99" s="266"/>
      <c r="H99" s="257"/>
      <c r="I99" s="257"/>
      <c r="J99" s="257"/>
      <c r="K99" s="266"/>
    </row>
    <row r="100" spans="1:11" s="270" customFormat="1" x14ac:dyDescent="0.25">
      <c r="A100" s="263"/>
      <c r="B100" s="254"/>
      <c r="C100" s="254"/>
      <c r="D100" s="254"/>
      <c r="E100" s="254"/>
      <c r="F100" s="255"/>
      <c r="G100" s="266"/>
      <c r="H100" s="257"/>
      <c r="I100" s="257"/>
      <c r="J100" s="257"/>
      <c r="K100" s="266"/>
    </row>
    <row r="101" spans="1:11" s="270" customFormat="1" x14ac:dyDescent="0.25">
      <c r="A101" s="263"/>
      <c r="B101" s="254"/>
      <c r="C101" s="254"/>
      <c r="D101" s="254"/>
      <c r="E101" s="254"/>
      <c r="F101" s="255"/>
      <c r="G101" s="266"/>
      <c r="H101" s="257"/>
      <c r="I101" s="257"/>
      <c r="J101" s="257"/>
      <c r="K101" s="266"/>
    </row>
    <row r="102" spans="1:11" s="270" customFormat="1" x14ac:dyDescent="0.25">
      <c r="A102" s="263"/>
      <c r="B102" s="254"/>
      <c r="C102" s="254"/>
      <c r="D102" s="254"/>
      <c r="E102" s="254"/>
      <c r="F102" s="255"/>
      <c r="G102" s="266"/>
      <c r="H102" s="257"/>
      <c r="I102" s="257"/>
      <c r="J102" s="257"/>
      <c r="K102" s="266"/>
    </row>
    <row r="103" spans="1:11" s="270" customFormat="1" x14ac:dyDescent="0.25">
      <c r="A103" s="263"/>
      <c r="B103" s="254"/>
      <c r="C103" s="254"/>
      <c r="D103" s="254"/>
      <c r="E103" s="254"/>
      <c r="F103" s="255"/>
      <c r="G103" s="266"/>
      <c r="H103" s="257"/>
      <c r="I103" s="257"/>
      <c r="J103" s="257"/>
      <c r="K103" s="266"/>
    </row>
    <row r="104" spans="1:11" s="270" customFormat="1" x14ac:dyDescent="0.25">
      <c r="A104" s="263"/>
      <c r="B104" s="254"/>
      <c r="C104" s="254"/>
      <c r="D104" s="254"/>
      <c r="E104" s="254"/>
      <c r="F104" s="255"/>
      <c r="G104" s="266"/>
      <c r="H104" s="257"/>
      <c r="I104" s="257"/>
      <c r="J104" s="257"/>
      <c r="K104" s="266"/>
    </row>
    <row r="105" spans="1:11" s="270" customFormat="1" x14ac:dyDescent="0.25">
      <c r="A105" s="263"/>
      <c r="B105" s="254"/>
      <c r="C105" s="254"/>
      <c r="D105" s="254"/>
      <c r="E105" s="254"/>
      <c r="F105" s="255"/>
      <c r="G105" s="266"/>
      <c r="H105" s="257"/>
      <c r="I105" s="257"/>
      <c r="J105" s="257"/>
      <c r="K105" s="266"/>
    </row>
    <row r="106" spans="1:11" s="270" customFormat="1" x14ac:dyDescent="0.25">
      <c r="A106" s="263"/>
      <c r="B106" s="254"/>
      <c r="C106" s="254"/>
      <c r="D106" s="254"/>
      <c r="E106" s="254"/>
      <c r="F106" s="255"/>
      <c r="G106" s="266"/>
      <c r="H106" s="257"/>
      <c r="I106" s="257"/>
      <c r="J106" s="257"/>
      <c r="K106" s="266"/>
    </row>
    <row r="107" spans="1:11" s="270" customFormat="1" x14ac:dyDescent="0.25">
      <c r="A107" s="263"/>
      <c r="B107" s="254"/>
      <c r="C107" s="254"/>
      <c r="D107" s="254"/>
      <c r="E107" s="254"/>
      <c r="F107" s="255"/>
      <c r="G107" s="266"/>
      <c r="H107" s="257"/>
      <c r="I107" s="257"/>
      <c r="J107" s="257"/>
      <c r="K107" s="266"/>
    </row>
    <row r="108" spans="1:11" s="270" customFormat="1" x14ac:dyDescent="0.25">
      <c r="A108" s="263"/>
      <c r="B108" s="254"/>
      <c r="C108" s="254"/>
      <c r="D108" s="254"/>
      <c r="E108" s="254"/>
      <c r="F108" s="255"/>
      <c r="G108" s="266"/>
      <c r="H108" s="257"/>
      <c r="I108" s="257"/>
      <c r="J108" s="257"/>
      <c r="K108" s="266"/>
    </row>
    <row r="109" spans="1:11" s="270" customFormat="1" x14ac:dyDescent="0.25">
      <c r="A109" s="263"/>
      <c r="B109" s="254"/>
      <c r="C109" s="254"/>
      <c r="D109" s="254"/>
      <c r="E109" s="254"/>
      <c r="F109" s="255"/>
      <c r="G109" s="266"/>
      <c r="H109" s="257"/>
      <c r="I109" s="257"/>
      <c r="J109" s="257"/>
      <c r="K109" s="266"/>
    </row>
    <row r="110" spans="1:11" s="270" customFormat="1" x14ac:dyDescent="0.25">
      <c r="A110" s="263"/>
      <c r="B110" s="254"/>
      <c r="C110" s="254"/>
      <c r="D110" s="254"/>
      <c r="E110" s="254"/>
      <c r="F110" s="255"/>
      <c r="G110" s="266"/>
      <c r="H110" s="257"/>
      <c r="I110" s="257"/>
      <c r="J110" s="257"/>
      <c r="K110" s="266"/>
    </row>
    <row r="111" spans="1:11" s="270" customFormat="1" x14ac:dyDescent="0.25">
      <c r="A111" s="263"/>
      <c r="B111" s="254"/>
      <c r="C111" s="254"/>
      <c r="D111" s="254"/>
      <c r="E111" s="254"/>
      <c r="F111" s="255"/>
      <c r="G111" s="266"/>
      <c r="H111" s="257"/>
      <c r="I111" s="257"/>
      <c r="J111" s="257"/>
      <c r="K111" s="266"/>
    </row>
    <row r="112" spans="1:11" s="270" customFormat="1" x14ac:dyDescent="0.25">
      <c r="A112" s="263"/>
      <c r="B112" s="254"/>
      <c r="C112" s="254"/>
      <c r="D112" s="254"/>
      <c r="E112" s="254"/>
      <c r="F112" s="255"/>
      <c r="G112" s="266"/>
      <c r="H112" s="257"/>
      <c r="I112" s="257"/>
      <c r="J112" s="257"/>
      <c r="K112" s="266"/>
    </row>
    <row r="113" spans="1:11" s="270" customFormat="1" x14ac:dyDescent="0.25">
      <c r="A113" s="263"/>
      <c r="B113" s="254"/>
      <c r="C113" s="254"/>
      <c r="D113" s="254"/>
      <c r="E113" s="254"/>
      <c r="F113" s="255"/>
      <c r="G113" s="266"/>
      <c r="H113" s="257"/>
      <c r="I113" s="257"/>
      <c r="J113" s="257"/>
      <c r="K113" s="266"/>
    </row>
    <row r="114" spans="1:11" s="270" customFormat="1" x14ac:dyDescent="0.25">
      <c r="A114" s="263"/>
      <c r="B114" s="254"/>
      <c r="C114" s="254"/>
      <c r="D114" s="254"/>
      <c r="E114" s="254"/>
      <c r="F114" s="255"/>
      <c r="G114" s="266"/>
      <c r="H114" s="257"/>
      <c r="I114" s="257"/>
      <c r="J114" s="257"/>
      <c r="K114" s="266"/>
    </row>
    <row r="115" spans="1:11" s="270" customFormat="1" x14ac:dyDescent="0.25">
      <c r="A115" s="263"/>
      <c r="B115" s="254"/>
      <c r="C115" s="254"/>
      <c r="D115" s="254"/>
      <c r="E115" s="254"/>
      <c r="F115" s="255"/>
      <c r="G115" s="266"/>
      <c r="H115" s="257"/>
      <c r="I115" s="257"/>
      <c r="J115" s="257"/>
      <c r="K115" s="266"/>
    </row>
    <row r="116" spans="1:11" s="270" customFormat="1" x14ac:dyDescent="0.25">
      <c r="A116" s="263"/>
      <c r="B116" s="254"/>
      <c r="C116" s="254"/>
      <c r="D116" s="254"/>
      <c r="E116" s="254"/>
      <c r="F116" s="255"/>
      <c r="G116" s="266"/>
      <c r="H116" s="257"/>
      <c r="I116" s="257"/>
      <c r="J116" s="257"/>
      <c r="K116" s="266"/>
    </row>
    <row r="117" spans="1:11" s="270" customFormat="1" x14ac:dyDescent="0.25">
      <c r="A117" s="263"/>
      <c r="B117" s="254"/>
      <c r="C117" s="254"/>
      <c r="D117" s="254"/>
      <c r="E117" s="254"/>
      <c r="F117" s="255"/>
      <c r="G117" s="266"/>
      <c r="H117" s="257"/>
      <c r="I117" s="257"/>
      <c r="J117" s="257"/>
      <c r="K117" s="266"/>
    </row>
    <row r="118" spans="1:11" s="270" customFormat="1" x14ac:dyDescent="0.25">
      <c r="A118" s="263"/>
      <c r="B118" s="254"/>
      <c r="C118" s="254"/>
      <c r="D118" s="254"/>
      <c r="E118" s="254"/>
      <c r="F118" s="255"/>
      <c r="G118" s="266"/>
      <c r="H118" s="257"/>
      <c r="I118" s="257"/>
      <c r="J118" s="257"/>
      <c r="K118" s="266"/>
    </row>
    <row r="119" spans="1:11" s="270" customFormat="1" x14ac:dyDescent="0.25">
      <c r="A119" s="263"/>
      <c r="B119" s="254"/>
      <c r="C119" s="254"/>
      <c r="D119" s="254"/>
      <c r="E119" s="254"/>
      <c r="F119" s="255"/>
      <c r="G119" s="266"/>
      <c r="H119" s="257"/>
      <c r="I119" s="257"/>
      <c r="J119" s="257"/>
      <c r="K119" s="266"/>
    </row>
    <row r="120" spans="1:11" s="270" customFormat="1" x14ac:dyDescent="0.25">
      <c r="A120" s="263"/>
      <c r="B120" s="254"/>
      <c r="C120" s="254"/>
      <c r="D120" s="254"/>
      <c r="E120" s="254"/>
      <c r="F120" s="255"/>
      <c r="G120" s="266"/>
      <c r="H120" s="257"/>
      <c r="I120" s="257"/>
      <c r="J120" s="257"/>
      <c r="K120" s="266"/>
    </row>
    <row r="121" spans="1:11" s="270" customFormat="1" x14ac:dyDescent="0.25">
      <c r="A121" s="263"/>
      <c r="B121" s="254"/>
      <c r="C121" s="254"/>
      <c r="D121" s="254"/>
      <c r="E121" s="254"/>
      <c r="F121" s="255"/>
      <c r="G121" s="266"/>
      <c r="H121" s="257"/>
      <c r="I121" s="257"/>
      <c r="J121" s="257"/>
      <c r="K121" s="266"/>
    </row>
    <row r="122" spans="1:11" s="270" customFormat="1" x14ac:dyDescent="0.25">
      <c r="A122" s="263"/>
      <c r="B122" s="254"/>
      <c r="C122" s="254"/>
      <c r="D122" s="254"/>
      <c r="E122" s="254"/>
      <c r="F122" s="255"/>
      <c r="G122" s="266"/>
      <c r="H122" s="257"/>
      <c r="I122" s="257"/>
      <c r="J122" s="257"/>
      <c r="K122" s="266"/>
    </row>
    <row r="123" spans="1:11" s="270" customFormat="1" x14ac:dyDescent="0.25">
      <c r="A123" s="263"/>
      <c r="B123" s="254"/>
      <c r="C123" s="254"/>
      <c r="D123" s="254"/>
      <c r="E123" s="254"/>
      <c r="F123" s="255"/>
      <c r="G123" s="266"/>
      <c r="H123" s="257"/>
      <c r="I123" s="257"/>
      <c r="J123" s="257"/>
      <c r="K123" s="266"/>
    </row>
    <row r="124" spans="1:11" s="270" customFormat="1" x14ac:dyDescent="0.25">
      <c r="A124" s="263"/>
      <c r="B124" s="254"/>
      <c r="C124" s="254"/>
      <c r="D124" s="254"/>
      <c r="E124" s="254"/>
      <c r="F124" s="255"/>
      <c r="G124" s="266"/>
      <c r="H124" s="257"/>
      <c r="I124" s="257"/>
      <c r="J124" s="257"/>
      <c r="K124" s="266"/>
    </row>
    <row r="125" spans="1:11" s="270" customFormat="1" x14ac:dyDescent="0.25">
      <c r="A125" s="263"/>
      <c r="B125" s="254"/>
      <c r="C125" s="254"/>
      <c r="D125" s="254"/>
      <c r="E125" s="254"/>
      <c r="F125" s="255"/>
      <c r="G125" s="266"/>
      <c r="H125" s="275"/>
      <c r="I125" s="275"/>
      <c r="J125" s="275"/>
      <c r="K125" s="266"/>
    </row>
    <row r="126" spans="1:11" s="270" customFormat="1" x14ac:dyDescent="0.25">
      <c r="A126" s="263"/>
      <c r="B126" s="254"/>
      <c r="C126" s="254"/>
      <c r="D126" s="254"/>
      <c r="E126" s="254"/>
      <c r="F126" s="255"/>
      <c r="G126" s="266"/>
      <c r="H126" s="275"/>
      <c r="I126" s="275"/>
      <c r="J126" s="275"/>
      <c r="K126" s="266"/>
    </row>
    <row r="127" spans="1:11" s="270" customFormat="1" x14ac:dyDescent="0.25">
      <c r="A127" s="263"/>
      <c r="B127" s="254"/>
      <c r="C127" s="254"/>
      <c r="D127" s="254"/>
      <c r="E127" s="254"/>
      <c r="F127" s="255"/>
      <c r="G127" s="266"/>
      <c r="H127" s="275"/>
      <c r="I127" s="275"/>
      <c r="J127" s="275"/>
      <c r="K127" s="266"/>
    </row>
    <row r="128" spans="1:11" s="270" customFormat="1" x14ac:dyDescent="0.25">
      <c r="A128" s="263"/>
      <c r="B128" s="254"/>
      <c r="C128" s="254"/>
      <c r="D128" s="254"/>
      <c r="E128" s="254"/>
      <c r="F128" s="255"/>
      <c r="G128" s="266"/>
      <c r="H128" s="275"/>
      <c r="I128" s="275"/>
      <c r="J128" s="275"/>
      <c r="K128" s="266"/>
    </row>
    <row r="129" spans="1:11" s="270" customFormat="1" x14ac:dyDescent="0.25">
      <c r="A129" s="263"/>
      <c r="B129" s="254"/>
      <c r="C129" s="254"/>
      <c r="D129" s="254"/>
      <c r="E129" s="254"/>
      <c r="F129" s="255"/>
      <c r="G129" s="266"/>
      <c r="H129" s="275"/>
      <c r="I129" s="275"/>
      <c r="J129" s="275"/>
      <c r="K129" s="266"/>
    </row>
    <row r="130" spans="1:11" s="270" customFormat="1" x14ac:dyDescent="0.25">
      <c r="A130" s="263"/>
      <c r="B130" s="254"/>
      <c r="C130" s="254"/>
      <c r="D130" s="254"/>
      <c r="E130" s="254"/>
      <c r="F130" s="255"/>
      <c r="G130" s="266"/>
      <c r="H130" s="275"/>
      <c r="I130" s="275"/>
      <c r="J130" s="275"/>
      <c r="K130" s="266"/>
    </row>
    <row r="131" spans="1:11" s="270" customFormat="1" x14ac:dyDescent="0.25">
      <c r="A131" s="263"/>
      <c r="B131" s="254"/>
      <c r="C131" s="254"/>
      <c r="D131" s="254"/>
      <c r="E131" s="254"/>
      <c r="F131" s="255"/>
      <c r="G131" s="266"/>
      <c r="H131" s="275"/>
      <c r="I131" s="275"/>
      <c r="J131" s="275"/>
      <c r="K131" s="266"/>
    </row>
    <row r="132" spans="1:11" s="270" customFormat="1" x14ac:dyDescent="0.25">
      <c r="A132" s="263"/>
      <c r="B132" s="254"/>
      <c r="C132" s="254"/>
      <c r="D132" s="254"/>
      <c r="E132" s="254"/>
      <c r="F132" s="255"/>
      <c r="G132" s="266"/>
      <c r="H132" s="275"/>
      <c r="I132" s="275"/>
      <c r="J132" s="275"/>
      <c r="K132" s="266"/>
    </row>
    <row r="133" spans="1:11" s="270" customFormat="1" x14ac:dyDescent="0.25">
      <c r="A133" s="263"/>
      <c r="B133" s="254"/>
      <c r="C133" s="254"/>
      <c r="D133" s="254"/>
      <c r="E133" s="254"/>
      <c r="F133" s="255"/>
      <c r="G133" s="266"/>
      <c r="H133" s="275"/>
      <c r="I133" s="275"/>
      <c r="J133" s="275"/>
      <c r="K133" s="266"/>
    </row>
    <row r="134" spans="1:11" s="270" customFormat="1" x14ac:dyDescent="0.25">
      <c r="A134" s="263"/>
      <c r="B134" s="254"/>
      <c r="C134" s="254"/>
      <c r="D134" s="254"/>
      <c r="E134" s="254"/>
      <c r="F134" s="255"/>
      <c r="G134" s="266"/>
      <c r="H134" s="275"/>
      <c r="I134" s="275"/>
      <c r="J134" s="275"/>
      <c r="K134" s="266"/>
    </row>
    <row r="135" spans="1:11" s="270" customFormat="1" x14ac:dyDescent="0.25">
      <c r="A135" s="263"/>
      <c r="B135" s="254"/>
      <c r="C135" s="254"/>
      <c r="D135" s="254"/>
      <c r="E135" s="254"/>
      <c r="F135" s="255"/>
      <c r="G135" s="266"/>
      <c r="H135" s="275"/>
      <c r="I135" s="275"/>
      <c r="J135" s="275"/>
      <c r="K135" s="266"/>
    </row>
    <row r="136" spans="1:11" s="270" customFormat="1" x14ac:dyDescent="0.25">
      <c r="A136" s="263"/>
      <c r="B136" s="254"/>
      <c r="C136" s="254"/>
      <c r="D136" s="254"/>
      <c r="E136" s="254"/>
      <c r="F136" s="255"/>
      <c r="G136" s="266"/>
      <c r="H136" s="275"/>
      <c r="I136" s="275"/>
      <c r="J136" s="275"/>
      <c r="K136" s="266"/>
    </row>
    <row r="137" spans="1:11" s="270" customFormat="1" x14ac:dyDescent="0.25">
      <c r="A137" s="263"/>
      <c r="B137" s="254"/>
      <c r="C137" s="254"/>
      <c r="D137" s="254"/>
      <c r="E137" s="254"/>
      <c r="F137" s="255"/>
      <c r="G137" s="266"/>
      <c r="H137" s="275"/>
      <c r="I137" s="275"/>
      <c r="J137" s="275"/>
      <c r="K137" s="266"/>
    </row>
    <row r="138" spans="1:11" s="270" customFormat="1" x14ac:dyDescent="0.25">
      <c r="A138" s="263"/>
      <c r="B138" s="254"/>
      <c r="C138" s="254"/>
      <c r="D138" s="254"/>
      <c r="E138" s="254"/>
      <c r="F138" s="255"/>
      <c r="G138" s="266"/>
      <c r="H138" s="275"/>
      <c r="I138" s="275"/>
      <c r="J138" s="275"/>
      <c r="K138" s="266"/>
    </row>
    <row r="139" spans="1:11" s="270" customFormat="1" x14ac:dyDescent="0.25">
      <c r="A139" s="263"/>
      <c r="B139" s="254"/>
      <c r="C139" s="254"/>
      <c r="D139" s="254"/>
      <c r="E139" s="254"/>
      <c r="F139" s="255"/>
      <c r="G139" s="266"/>
      <c r="H139" s="275"/>
      <c r="I139" s="275"/>
      <c r="J139" s="275"/>
      <c r="K139" s="266"/>
    </row>
    <row r="140" spans="1:11" s="270" customFormat="1" x14ac:dyDescent="0.25">
      <c r="A140" s="263"/>
      <c r="B140" s="254"/>
      <c r="C140" s="254"/>
      <c r="D140" s="254"/>
      <c r="E140" s="254"/>
      <c r="F140" s="255"/>
      <c r="G140" s="266"/>
      <c r="H140" s="275"/>
      <c r="I140" s="275"/>
      <c r="J140" s="275"/>
      <c r="K140" s="266"/>
    </row>
    <row r="141" spans="1:11" s="270" customFormat="1" x14ac:dyDescent="0.25">
      <c r="A141" s="263"/>
      <c r="B141" s="254"/>
      <c r="C141" s="254"/>
      <c r="D141" s="254"/>
      <c r="E141" s="254"/>
      <c r="F141" s="255"/>
      <c r="G141" s="266"/>
      <c r="H141" s="275"/>
      <c r="I141" s="275"/>
      <c r="J141" s="275"/>
      <c r="K141" s="266"/>
    </row>
    <row r="142" spans="1:11" s="270" customFormat="1" x14ac:dyDescent="0.25">
      <c r="A142" s="263"/>
      <c r="B142" s="254"/>
      <c r="C142" s="254"/>
      <c r="D142" s="254"/>
      <c r="E142" s="254"/>
      <c r="F142" s="255"/>
      <c r="G142" s="266"/>
      <c r="H142" s="275"/>
      <c r="I142" s="275"/>
      <c r="J142" s="275"/>
      <c r="K142" s="266"/>
    </row>
    <row r="143" spans="1:11" s="270" customFormat="1" x14ac:dyDescent="0.25">
      <c r="A143" s="263"/>
      <c r="B143" s="254"/>
      <c r="C143" s="254"/>
      <c r="D143" s="254"/>
      <c r="E143" s="254"/>
      <c r="F143" s="255"/>
      <c r="G143" s="266"/>
      <c r="H143" s="275"/>
      <c r="I143" s="275"/>
      <c r="J143" s="275"/>
      <c r="K143" s="266"/>
    </row>
    <row r="144" spans="1:11" s="270" customFormat="1" x14ac:dyDescent="0.25">
      <c r="A144" s="263"/>
      <c r="B144" s="254"/>
      <c r="C144" s="254"/>
      <c r="D144" s="254"/>
      <c r="E144" s="254"/>
      <c r="F144" s="255"/>
      <c r="G144" s="266"/>
      <c r="H144" s="275"/>
      <c r="I144" s="275"/>
      <c r="J144" s="275"/>
      <c r="K144" s="266"/>
    </row>
    <row r="145" spans="1:11" s="270" customFormat="1" x14ac:dyDescent="0.25">
      <c r="A145" s="263"/>
      <c r="B145" s="254"/>
      <c r="C145" s="254"/>
      <c r="D145" s="254"/>
      <c r="E145" s="254"/>
      <c r="F145" s="255"/>
      <c r="G145" s="266"/>
      <c r="H145" s="275"/>
      <c r="I145" s="275"/>
      <c r="J145" s="275"/>
      <c r="K145" s="266"/>
    </row>
    <row r="146" spans="1:11" s="270" customFormat="1" x14ac:dyDescent="0.25">
      <c r="A146" s="263"/>
      <c r="B146" s="254"/>
      <c r="C146" s="254"/>
      <c r="D146" s="254"/>
      <c r="E146" s="254"/>
      <c r="F146" s="255"/>
      <c r="G146" s="266"/>
      <c r="H146" s="275"/>
      <c r="I146" s="275"/>
      <c r="J146" s="275"/>
      <c r="K146" s="266"/>
    </row>
    <row r="147" spans="1:11" s="270" customFormat="1" x14ac:dyDescent="0.25">
      <c r="A147" s="263"/>
      <c r="B147" s="254"/>
      <c r="C147" s="254"/>
      <c r="D147" s="254"/>
      <c r="E147" s="254"/>
      <c r="F147" s="255"/>
      <c r="G147" s="266"/>
      <c r="H147" s="275"/>
      <c r="I147" s="275"/>
      <c r="J147" s="275"/>
      <c r="K147" s="266"/>
    </row>
    <row r="148" spans="1:11" s="270" customFormat="1" x14ac:dyDescent="0.25">
      <c r="A148" s="263"/>
      <c r="B148" s="254"/>
      <c r="C148" s="254"/>
      <c r="D148" s="254"/>
      <c r="E148" s="254"/>
      <c r="F148" s="255"/>
      <c r="G148" s="266"/>
      <c r="H148" s="275"/>
      <c r="I148" s="275"/>
      <c r="J148" s="275"/>
      <c r="K148" s="266"/>
    </row>
    <row r="149" spans="1:11" s="270" customFormat="1" x14ac:dyDescent="0.25">
      <c r="A149" s="263"/>
      <c r="B149" s="254"/>
      <c r="C149" s="254"/>
      <c r="D149" s="254"/>
      <c r="E149" s="254"/>
      <c r="F149" s="255"/>
      <c r="G149" s="266"/>
      <c r="H149" s="275"/>
      <c r="I149" s="275"/>
      <c r="J149" s="275"/>
      <c r="K149" s="266"/>
    </row>
    <row r="150" spans="1:11" s="270" customFormat="1" x14ac:dyDescent="0.25">
      <c r="A150" s="263"/>
      <c r="B150" s="254"/>
      <c r="C150" s="254"/>
      <c r="D150" s="254"/>
      <c r="E150" s="254"/>
      <c r="F150" s="255"/>
      <c r="G150" s="266"/>
      <c r="H150" s="275"/>
      <c r="I150" s="275"/>
      <c r="J150" s="275"/>
      <c r="K150" s="266"/>
    </row>
    <row r="151" spans="1:11" s="270" customFormat="1" x14ac:dyDescent="0.25">
      <c r="A151" s="263"/>
      <c r="B151" s="254"/>
      <c r="C151" s="254"/>
      <c r="D151" s="254"/>
      <c r="E151" s="254"/>
      <c r="F151" s="255"/>
      <c r="G151" s="266"/>
      <c r="H151" s="275"/>
      <c r="I151" s="275"/>
      <c r="J151" s="275"/>
      <c r="K151" s="266"/>
    </row>
    <row r="152" spans="1:11" s="270" customFormat="1" x14ac:dyDescent="0.25">
      <c r="A152" s="263"/>
      <c r="B152" s="254"/>
      <c r="C152" s="254"/>
      <c r="D152" s="254"/>
      <c r="E152" s="254"/>
      <c r="F152" s="255"/>
      <c r="G152" s="266"/>
      <c r="H152" s="275"/>
      <c r="I152" s="275"/>
      <c r="J152" s="275"/>
      <c r="K152" s="266"/>
    </row>
    <row r="153" spans="1:11" s="270" customFormat="1" x14ac:dyDescent="0.25">
      <c r="A153" s="263"/>
      <c r="B153" s="254"/>
      <c r="C153" s="254"/>
      <c r="D153" s="254"/>
      <c r="E153" s="254"/>
      <c r="F153" s="255"/>
      <c r="G153" s="266"/>
      <c r="H153" s="275"/>
      <c r="I153" s="275"/>
      <c r="J153" s="275"/>
      <c r="K153" s="266"/>
    </row>
    <row r="154" spans="1:11" s="270" customFormat="1" x14ac:dyDescent="0.25">
      <c r="A154" s="263"/>
      <c r="B154" s="254"/>
      <c r="C154" s="254"/>
      <c r="D154" s="254"/>
      <c r="E154" s="254"/>
      <c r="F154" s="255"/>
      <c r="G154" s="266"/>
      <c r="H154" s="275"/>
      <c r="I154" s="275"/>
      <c r="J154" s="275"/>
      <c r="K154" s="266"/>
    </row>
    <row r="155" spans="1:11" s="270" customFormat="1" x14ac:dyDescent="0.25">
      <c r="A155" s="263"/>
      <c r="B155" s="254"/>
      <c r="C155" s="254"/>
      <c r="D155" s="254"/>
      <c r="E155" s="254"/>
      <c r="F155" s="255"/>
      <c r="G155" s="266"/>
      <c r="H155" s="275"/>
      <c r="I155" s="275"/>
      <c r="J155" s="275"/>
      <c r="K155" s="266"/>
    </row>
    <row r="156" spans="1:11" s="270" customFormat="1" x14ac:dyDescent="0.25">
      <c r="A156" s="263"/>
      <c r="B156" s="254"/>
      <c r="C156" s="254"/>
      <c r="D156" s="254"/>
      <c r="E156" s="254"/>
      <c r="F156" s="255"/>
      <c r="G156" s="266"/>
      <c r="H156" s="275"/>
      <c r="I156" s="275"/>
      <c r="J156" s="275"/>
      <c r="K156" s="266"/>
    </row>
    <row r="157" spans="1:11" s="270" customFormat="1" x14ac:dyDescent="0.25">
      <c r="A157" s="263"/>
      <c r="B157" s="254"/>
      <c r="C157" s="254"/>
      <c r="D157" s="254"/>
      <c r="E157" s="254"/>
      <c r="F157" s="255"/>
      <c r="G157" s="266"/>
      <c r="H157" s="275"/>
      <c r="I157" s="275"/>
      <c r="J157" s="275"/>
      <c r="K157" s="266"/>
    </row>
    <row r="158" spans="1:11" s="270" customFormat="1" x14ac:dyDescent="0.25">
      <c r="A158" s="263"/>
      <c r="B158" s="254"/>
      <c r="C158" s="254"/>
      <c r="D158" s="254"/>
      <c r="E158" s="254"/>
      <c r="F158" s="255"/>
      <c r="G158" s="266"/>
      <c r="H158" s="275"/>
      <c r="I158" s="275"/>
      <c r="J158" s="275"/>
      <c r="K158" s="266"/>
    </row>
    <row r="159" spans="1:11" s="270" customFormat="1" x14ac:dyDescent="0.25">
      <c r="A159" s="263"/>
      <c r="B159" s="254"/>
      <c r="C159" s="254"/>
      <c r="D159" s="254"/>
      <c r="E159" s="254"/>
      <c r="F159" s="255"/>
      <c r="G159" s="266"/>
      <c r="H159" s="275"/>
      <c r="I159" s="275"/>
      <c r="J159" s="275"/>
      <c r="K159" s="266"/>
    </row>
    <row r="160" spans="1:11" s="270" customFormat="1" x14ac:dyDescent="0.25">
      <c r="A160" s="263"/>
      <c r="B160" s="254"/>
      <c r="C160" s="254"/>
      <c r="D160" s="254"/>
      <c r="E160" s="254"/>
      <c r="F160" s="255"/>
      <c r="G160" s="266"/>
      <c r="H160" s="275"/>
      <c r="I160" s="275"/>
      <c r="J160" s="275"/>
      <c r="K160" s="266"/>
    </row>
    <row r="161" spans="1:11" s="270" customFormat="1" x14ac:dyDescent="0.25">
      <c r="A161" s="263"/>
      <c r="B161" s="254"/>
      <c r="C161" s="254"/>
      <c r="D161" s="254"/>
      <c r="E161" s="254"/>
      <c r="F161" s="255"/>
      <c r="G161" s="266"/>
      <c r="H161" s="275"/>
      <c r="I161" s="275"/>
      <c r="J161" s="275"/>
      <c r="K161" s="266"/>
    </row>
    <row r="162" spans="1:11" s="270" customFormat="1" x14ac:dyDescent="0.25">
      <c r="A162" s="263"/>
      <c r="B162" s="254"/>
      <c r="C162" s="254"/>
      <c r="D162" s="254"/>
      <c r="E162" s="254"/>
      <c r="F162" s="255"/>
      <c r="G162" s="266"/>
      <c r="H162" s="275"/>
      <c r="I162" s="275"/>
      <c r="J162" s="275"/>
      <c r="K162" s="266"/>
    </row>
    <row r="163" spans="1:11" s="270" customFormat="1" x14ac:dyDescent="0.25">
      <c r="A163" s="263"/>
      <c r="B163" s="254"/>
      <c r="C163" s="254"/>
      <c r="D163" s="254"/>
      <c r="E163" s="254"/>
      <c r="F163" s="255"/>
      <c r="G163" s="266"/>
      <c r="H163" s="275"/>
      <c r="I163" s="275"/>
      <c r="J163" s="275"/>
      <c r="K163" s="266"/>
    </row>
    <row r="164" spans="1:11" s="270" customFormat="1" x14ac:dyDescent="0.25">
      <c r="A164" s="263"/>
      <c r="B164" s="254"/>
      <c r="C164" s="254"/>
      <c r="D164" s="254"/>
      <c r="E164" s="254"/>
      <c r="F164" s="255"/>
      <c r="G164" s="266"/>
      <c r="H164" s="275"/>
      <c r="I164" s="275"/>
      <c r="J164" s="275"/>
      <c r="K164" s="266"/>
    </row>
    <row r="165" spans="1:11" s="270" customFormat="1" x14ac:dyDescent="0.25">
      <c r="A165" s="263"/>
      <c r="B165" s="254"/>
      <c r="C165" s="254"/>
      <c r="D165" s="254"/>
      <c r="E165" s="254"/>
      <c r="F165" s="255"/>
      <c r="G165" s="266"/>
      <c r="H165" s="275"/>
      <c r="I165" s="275"/>
      <c r="J165" s="275"/>
      <c r="K165" s="266"/>
    </row>
    <row r="166" spans="1:11" s="270" customFormat="1" x14ac:dyDescent="0.25">
      <c r="A166" s="263"/>
      <c r="B166" s="254"/>
      <c r="C166" s="254"/>
      <c r="D166" s="254"/>
      <c r="E166" s="254"/>
      <c r="F166" s="255"/>
      <c r="G166" s="266"/>
      <c r="H166" s="275"/>
      <c r="I166" s="275"/>
      <c r="J166" s="275"/>
      <c r="K166" s="266"/>
    </row>
    <row r="167" spans="1:11" s="270" customFormat="1" x14ac:dyDescent="0.25">
      <c r="A167" s="263"/>
      <c r="B167" s="254"/>
      <c r="C167" s="254"/>
      <c r="D167" s="254"/>
      <c r="E167" s="254"/>
      <c r="F167" s="255"/>
      <c r="G167" s="266"/>
      <c r="H167" s="275"/>
      <c r="I167" s="275"/>
      <c r="J167" s="275"/>
      <c r="K167" s="266"/>
    </row>
    <row r="168" spans="1:11" s="270" customFormat="1" x14ac:dyDescent="0.25">
      <c r="A168" s="263"/>
      <c r="B168" s="254"/>
      <c r="C168" s="254"/>
      <c r="D168" s="254"/>
      <c r="E168" s="254"/>
      <c r="F168" s="255"/>
      <c r="G168" s="266"/>
      <c r="H168" s="275"/>
      <c r="I168" s="275"/>
      <c r="J168" s="275"/>
      <c r="K168" s="266"/>
    </row>
    <row r="169" spans="1:11" s="270" customFormat="1" x14ac:dyDescent="0.25">
      <c r="A169" s="263"/>
      <c r="B169" s="254"/>
      <c r="C169" s="254"/>
      <c r="D169" s="254"/>
      <c r="E169" s="254"/>
      <c r="F169" s="255"/>
      <c r="G169" s="266"/>
      <c r="H169" s="275"/>
      <c r="I169" s="275"/>
      <c r="J169" s="275"/>
      <c r="K169" s="266"/>
    </row>
    <row r="170" spans="1:11" s="270" customFormat="1" x14ac:dyDescent="0.25">
      <c r="A170" s="263"/>
      <c r="B170" s="254"/>
      <c r="C170" s="254"/>
      <c r="D170" s="254"/>
      <c r="E170" s="254"/>
      <c r="F170" s="255"/>
      <c r="G170" s="266"/>
      <c r="H170" s="275"/>
      <c r="I170" s="275"/>
      <c r="J170" s="275"/>
      <c r="K170" s="266"/>
    </row>
    <row r="171" spans="1:11" s="270" customFormat="1" x14ac:dyDescent="0.25">
      <c r="A171" s="263"/>
      <c r="B171" s="254"/>
      <c r="C171" s="254"/>
      <c r="D171" s="254"/>
      <c r="E171" s="254"/>
      <c r="F171" s="255"/>
      <c r="G171" s="266"/>
      <c r="H171" s="275"/>
      <c r="I171" s="275"/>
      <c r="J171" s="275"/>
      <c r="K171" s="266"/>
    </row>
    <row r="172" spans="1:11" s="270" customFormat="1" x14ac:dyDescent="0.25">
      <c r="A172" s="263"/>
      <c r="B172" s="254"/>
      <c r="C172" s="254"/>
      <c r="D172" s="254"/>
      <c r="E172" s="254"/>
      <c r="F172" s="255"/>
      <c r="G172" s="266"/>
      <c r="H172" s="275"/>
      <c r="I172" s="275"/>
      <c r="J172" s="275"/>
      <c r="K172" s="266"/>
    </row>
    <row r="173" spans="1:11" s="270" customFormat="1" x14ac:dyDescent="0.25">
      <c r="A173" s="263"/>
      <c r="B173" s="254"/>
      <c r="C173" s="254"/>
      <c r="D173" s="254"/>
      <c r="E173" s="254"/>
      <c r="F173" s="255"/>
      <c r="G173" s="266"/>
      <c r="H173" s="275"/>
      <c r="I173" s="275"/>
      <c r="J173" s="275"/>
      <c r="K173" s="266"/>
    </row>
    <row r="174" spans="1:11" s="270" customFormat="1" x14ac:dyDescent="0.25">
      <c r="A174" s="263"/>
      <c r="B174" s="254"/>
      <c r="C174" s="254"/>
      <c r="D174" s="254"/>
      <c r="E174" s="254"/>
      <c r="F174" s="255"/>
      <c r="G174" s="266"/>
      <c r="H174" s="275"/>
      <c r="I174" s="275"/>
      <c r="J174" s="275"/>
      <c r="K174" s="266"/>
    </row>
    <row r="175" spans="1:11" s="270" customFormat="1" x14ac:dyDescent="0.25">
      <c r="A175" s="263"/>
      <c r="B175" s="254"/>
      <c r="C175" s="254"/>
      <c r="D175" s="254"/>
      <c r="E175" s="254"/>
      <c r="F175" s="255"/>
      <c r="G175" s="266"/>
      <c r="H175" s="275"/>
      <c r="I175" s="275"/>
      <c r="J175" s="275"/>
      <c r="K175" s="266"/>
    </row>
    <row r="176" spans="1:11" s="270" customFormat="1" x14ac:dyDescent="0.25">
      <c r="A176" s="263"/>
      <c r="B176" s="254"/>
      <c r="C176" s="254"/>
      <c r="D176" s="254"/>
      <c r="E176" s="254"/>
      <c r="F176" s="255"/>
      <c r="G176" s="266"/>
      <c r="H176" s="275"/>
      <c r="I176" s="275"/>
      <c r="J176" s="275"/>
      <c r="K176" s="266"/>
    </row>
    <row r="177" spans="1:11" s="270" customFormat="1" x14ac:dyDescent="0.25">
      <c r="A177" s="263"/>
      <c r="B177" s="254"/>
      <c r="C177" s="254"/>
      <c r="D177" s="254"/>
      <c r="E177" s="254"/>
      <c r="F177" s="255"/>
      <c r="G177" s="266"/>
      <c r="H177" s="275"/>
      <c r="I177" s="275"/>
      <c r="J177" s="275"/>
      <c r="K177" s="266"/>
    </row>
    <row r="178" spans="1:11" s="270" customFormat="1" x14ac:dyDescent="0.25">
      <c r="A178" s="263"/>
      <c r="B178" s="254"/>
      <c r="C178" s="254"/>
      <c r="D178" s="254"/>
      <c r="E178" s="254"/>
      <c r="F178" s="255"/>
      <c r="G178" s="266"/>
      <c r="H178" s="275"/>
      <c r="I178" s="275"/>
      <c r="J178" s="275"/>
      <c r="K178" s="266"/>
    </row>
    <row r="179" spans="1:11" s="270" customFormat="1" x14ac:dyDescent="0.25">
      <c r="A179" s="263"/>
      <c r="B179" s="254"/>
      <c r="C179" s="254"/>
      <c r="D179" s="254"/>
      <c r="E179" s="254"/>
      <c r="F179" s="255"/>
      <c r="G179" s="266"/>
      <c r="H179" s="275"/>
      <c r="I179" s="275"/>
      <c r="J179" s="275"/>
      <c r="K179" s="266"/>
    </row>
    <row r="180" spans="1:11" s="270" customFormat="1" x14ac:dyDescent="0.25">
      <c r="A180" s="263"/>
      <c r="B180" s="254"/>
      <c r="C180" s="254"/>
      <c r="D180" s="254"/>
      <c r="E180" s="254"/>
      <c r="F180" s="255"/>
      <c r="G180" s="266"/>
      <c r="H180" s="275"/>
      <c r="I180" s="275"/>
      <c r="J180" s="275"/>
      <c r="K180" s="266"/>
    </row>
    <row r="181" spans="1:11" s="270" customFormat="1" x14ac:dyDescent="0.25">
      <c r="A181" s="263"/>
      <c r="B181" s="254"/>
      <c r="C181" s="254"/>
      <c r="D181" s="254"/>
      <c r="E181" s="254"/>
      <c r="F181" s="255"/>
      <c r="G181" s="266"/>
      <c r="H181" s="275"/>
      <c r="I181" s="275"/>
      <c r="J181" s="275"/>
      <c r="K181" s="266"/>
    </row>
    <row r="182" spans="1:11" s="270" customFormat="1" x14ac:dyDescent="0.25">
      <c r="A182" s="263"/>
      <c r="B182" s="254"/>
      <c r="C182" s="254"/>
      <c r="D182" s="254"/>
      <c r="E182" s="254"/>
      <c r="F182" s="255"/>
      <c r="G182" s="266"/>
      <c r="H182" s="275"/>
      <c r="I182" s="275"/>
      <c r="J182" s="275"/>
      <c r="K182" s="266"/>
    </row>
    <row r="183" spans="1:11" s="270" customFormat="1" x14ac:dyDescent="0.25">
      <c r="A183" s="263"/>
      <c r="B183" s="254"/>
      <c r="C183" s="254"/>
      <c r="D183" s="254"/>
      <c r="E183" s="254"/>
      <c r="F183" s="255"/>
      <c r="G183" s="266"/>
      <c r="H183" s="275"/>
      <c r="I183" s="275"/>
      <c r="J183" s="275"/>
      <c r="K183" s="266"/>
    </row>
    <row r="184" spans="1:11" s="270" customFormat="1" x14ac:dyDescent="0.25">
      <c r="A184" s="263"/>
      <c r="B184" s="254"/>
      <c r="C184" s="254"/>
      <c r="D184" s="254"/>
      <c r="E184" s="254"/>
      <c r="F184" s="255"/>
      <c r="G184" s="266"/>
      <c r="H184" s="275"/>
      <c r="I184" s="275"/>
      <c r="J184" s="275"/>
      <c r="K184" s="266"/>
    </row>
    <row r="185" spans="1:11" s="270" customFormat="1" x14ac:dyDescent="0.25">
      <c r="A185" s="263"/>
      <c r="B185" s="254"/>
      <c r="C185" s="254"/>
      <c r="D185" s="254"/>
      <c r="E185" s="254"/>
      <c r="F185" s="255"/>
      <c r="G185" s="266"/>
      <c r="H185" s="275"/>
      <c r="I185" s="275"/>
      <c r="J185" s="275"/>
      <c r="K185" s="266"/>
    </row>
    <row r="186" spans="1:11" s="270" customFormat="1" x14ac:dyDescent="0.25">
      <c r="A186" s="263"/>
      <c r="B186" s="254"/>
      <c r="C186" s="254"/>
      <c r="D186" s="254"/>
      <c r="E186" s="254"/>
      <c r="F186" s="255"/>
      <c r="G186" s="266"/>
      <c r="H186" s="275"/>
      <c r="I186" s="275"/>
      <c r="J186" s="275"/>
      <c r="K186" s="266"/>
    </row>
    <row r="187" spans="1:11" s="270" customFormat="1" x14ac:dyDescent="0.25">
      <c r="A187" s="263"/>
      <c r="B187" s="254"/>
      <c r="C187" s="254"/>
      <c r="D187" s="254"/>
      <c r="E187" s="254"/>
      <c r="F187" s="255"/>
      <c r="G187" s="266"/>
      <c r="H187" s="275"/>
      <c r="I187" s="275"/>
      <c r="J187" s="275"/>
      <c r="K187" s="266"/>
    </row>
    <row r="188" spans="1:11" s="270" customFormat="1" x14ac:dyDescent="0.25">
      <c r="A188" s="263"/>
      <c r="B188" s="254"/>
      <c r="C188" s="254"/>
      <c r="D188" s="254"/>
      <c r="E188" s="254"/>
      <c r="F188" s="255"/>
      <c r="G188" s="266"/>
      <c r="H188" s="275"/>
      <c r="I188" s="275"/>
      <c r="J188" s="275"/>
      <c r="K188" s="266"/>
    </row>
    <row r="189" spans="1:11" s="270" customFormat="1" x14ac:dyDescent="0.25">
      <c r="A189" s="263"/>
      <c r="B189" s="254"/>
      <c r="C189" s="254"/>
      <c r="D189" s="254"/>
      <c r="E189" s="254"/>
      <c r="F189" s="255"/>
      <c r="G189" s="266"/>
      <c r="H189" s="275"/>
      <c r="I189" s="275"/>
      <c r="J189" s="275"/>
      <c r="K189" s="266"/>
    </row>
    <row r="190" spans="1:11" s="270" customFormat="1" x14ac:dyDescent="0.25">
      <c r="A190" s="263"/>
      <c r="B190" s="254"/>
      <c r="C190" s="254"/>
      <c r="D190" s="254"/>
      <c r="E190" s="254"/>
      <c r="F190" s="255"/>
      <c r="G190" s="266"/>
      <c r="H190" s="275"/>
      <c r="I190" s="275"/>
      <c r="J190" s="275"/>
      <c r="K190" s="266"/>
    </row>
    <row r="191" spans="1:11" s="270" customFormat="1" x14ac:dyDescent="0.25">
      <c r="A191" s="263"/>
      <c r="B191" s="254"/>
      <c r="C191" s="254"/>
      <c r="D191" s="254"/>
      <c r="E191" s="254"/>
      <c r="F191" s="255"/>
      <c r="G191" s="266"/>
      <c r="H191" s="275"/>
      <c r="I191" s="275"/>
      <c r="J191" s="275"/>
      <c r="K191" s="266"/>
    </row>
    <row r="192" spans="1:11" s="270" customFormat="1" x14ac:dyDescent="0.25">
      <c r="A192" s="263"/>
      <c r="B192" s="254"/>
      <c r="C192" s="254"/>
      <c r="D192" s="254"/>
      <c r="E192" s="254"/>
      <c r="F192" s="255"/>
      <c r="G192" s="266"/>
      <c r="H192" s="275"/>
      <c r="I192" s="275"/>
      <c r="J192" s="275"/>
      <c r="K192" s="266"/>
    </row>
    <row r="193" spans="1:11" s="270" customFormat="1" x14ac:dyDescent="0.25">
      <c r="A193" s="263"/>
      <c r="B193" s="254"/>
      <c r="C193" s="254"/>
      <c r="D193" s="254"/>
      <c r="E193" s="254"/>
      <c r="F193" s="255"/>
      <c r="G193" s="266"/>
      <c r="H193" s="275"/>
      <c r="I193" s="275"/>
      <c r="J193" s="275"/>
      <c r="K193" s="266"/>
    </row>
    <row r="194" spans="1:11" s="270" customFormat="1" x14ac:dyDescent="0.25">
      <c r="A194" s="263"/>
      <c r="B194" s="254"/>
      <c r="C194" s="254"/>
      <c r="D194" s="254"/>
      <c r="E194" s="254"/>
      <c r="F194" s="255"/>
      <c r="G194" s="266"/>
      <c r="H194" s="275"/>
      <c r="I194" s="275"/>
      <c r="J194" s="275"/>
      <c r="K194" s="266"/>
    </row>
    <row r="195" spans="1:11" s="270" customFormat="1" x14ac:dyDescent="0.25">
      <c r="A195" s="263"/>
      <c r="B195" s="254"/>
      <c r="C195" s="254"/>
      <c r="D195" s="254"/>
      <c r="E195" s="254"/>
      <c r="F195" s="255"/>
      <c r="G195" s="266"/>
      <c r="H195" s="275"/>
      <c r="I195" s="275"/>
      <c r="J195" s="275"/>
      <c r="K195" s="266"/>
    </row>
    <row r="196" spans="1:11" s="270" customFormat="1" x14ac:dyDescent="0.25">
      <c r="A196" s="263"/>
      <c r="B196" s="254"/>
      <c r="C196" s="254"/>
      <c r="D196" s="254"/>
      <c r="E196" s="254"/>
      <c r="F196" s="255"/>
      <c r="G196" s="266"/>
      <c r="H196" s="275"/>
      <c r="I196" s="275"/>
      <c r="J196" s="275"/>
      <c r="K196" s="266"/>
    </row>
    <row r="197" spans="1:11" s="270" customFormat="1" x14ac:dyDescent="0.25">
      <c r="A197" s="263"/>
      <c r="B197" s="254"/>
      <c r="C197" s="254"/>
      <c r="D197" s="254"/>
      <c r="E197" s="254"/>
      <c r="F197" s="255"/>
      <c r="G197" s="266"/>
      <c r="H197" s="275"/>
      <c r="I197" s="275"/>
      <c r="J197" s="275"/>
      <c r="K197" s="266"/>
    </row>
    <row r="198" spans="1:11" s="270" customFormat="1" x14ac:dyDescent="0.25">
      <c r="A198" s="263"/>
      <c r="B198" s="254"/>
      <c r="C198" s="254"/>
      <c r="D198" s="254"/>
      <c r="E198" s="254"/>
      <c r="F198" s="255"/>
      <c r="G198" s="266"/>
      <c r="H198" s="275"/>
      <c r="I198" s="275"/>
      <c r="J198" s="275"/>
      <c r="K198" s="266"/>
    </row>
    <row r="199" spans="1:11" s="270" customFormat="1" x14ac:dyDescent="0.25">
      <c r="A199" s="263"/>
      <c r="B199" s="254"/>
      <c r="C199" s="254"/>
      <c r="D199" s="254"/>
      <c r="E199" s="254"/>
      <c r="F199" s="255"/>
      <c r="G199" s="266"/>
      <c r="H199" s="275"/>
      <c r="I199" s="275"/>
      <c r="J199" s="275"/>
      <c r="K199" s="266"/>
    </row>
    <row r="200" spans="1:11" s="270" customFormat="1" x14ac:dyDescent="0.25">
      <c r="A200" s="263"/>
      <c r="B200" s="254"/>
      <c r="C200" s="254"/>
      <c r="D200" s="254"/>
      <c r="E200" s="254"/>
      <c r="F200" s="255"/>
      <c r="G200" s="266"/>
      <c r="H200" s="275"/>
      <c r="I200" s="275"/>
      <c r="J200" s="275"/>
      <c r="K200" s="266"/>
    </row>
    <row r="201" spans="1:11" s="270" customFormat="1" x14ac:dyDescent="0.25">
      <c r="A201" s="263"/>
      <c r="B201" s="254"/>
      <c r="C201" s="254"/>
      <c r="D201" s="254"/>
      <c r="E201" s="254"/>
      <c r="F201" s="255"/>
      <c r="G201" s="266"/>
      <c r="H201" s="275"/>
      <c r="I201" s="275"/>
      <c r="J201" s="275"/>
      <c r="K201" s="266"/>
    </row>
    <row r="202" spans="1:11" s="270" customFormat="1" x14ac:dyDescent="0.25">
      <c r="A202" s="263"/>
      <c r="B202" s="254"/>
      <c r="C202" s="254"/>
      <c r="D202" s="254"/>
      <c r="E202" s="254"/>
      <c r="F202" s="255"/>
      <c r="G202" s="266"/>
      <c r="H202" s="275"/>
      <c r="I202" s="275"/>
      <c r="J202" s="275"/>
      <c r="K202" s="266"/>
    </row>
    <row r="203" spans="1:11" s="270" customFormat="1" x14ac:dyDescent="0.25">
      <c r="A203" s="263"/>
      <c r="B203" s="254"/>
      <c r="C203" s="254"/>
      <c r="D203" s="254"/>
      <c r="E203" s="254"/>
      <c r="F203" s="255"/>
      <c r="G203" s="266"/>
      <c r="H203" s="275"/>
      <c r="I203" s="275"/>
      <c r="J203" s="275"/>
      <c r="K203" s="266"/>
    </row>
    <row r="204" spans="1:11" s="270" customFormat="1" x14ac:dyDescent="0.25">
      <c r="A204" s="263"/>
      <c r="B204" s="254"/>
      <c r="C204" s="254"/>
      <c r="D204" s="254"/>
      <c r="E204" s="254"/>
      <c r="F204" s="255"/>
      <c r="G204" s="266"/>
      <c r="H204" s="275"/>
      <c r="I204" s="275"/>
      <c r="J204" s="275"/>
      <c r="K204" s="266"/>
    </row>
    <row r="205" spans="1:11" s="270" customFormat="1" x14ac:dyDescent="0.25">
      <c r="A205" s="263"/>
      <c r="B205" s="254"/>
      <c r="C205" s="254"/>
      <c r="D205" s="254"/>
      <c r="E205" s="254"/>
      <c r="F205" s="255"/>
      <c r="G205" s="266"/>
      <c r="H205" s="275"/>
      <c r="I205" s="275"/>
      <c r="J205" s="275"/>
      <c r="K205" s="266"/>
    </row>
    <row r="206" spans="1:11" s="270" customFormat="1" x14ac:dyDescent="0.25">
      <c r="A206" s="263"/>
      <c r="B206" s="254"/>
      <c r="C206" s="254"/>
      <c r="D206" s="254"/>
      <c r="E206" s="254"/>
      <c r="F206" s="255"/>
      <c r="G206" s="266"/>
      <c r="H206" s="275"/>
      <c r="I206" s="275"/>
      <c r="J206" s="275"/>
      <c r="K206" s="266"/>
    </row>
    <row r="207" spans="1:11" s="270" customFormat="1" x14ac:dyDescent="0.25">
      <c r="A207" s="263"/>
      <c r="B207" s="254"/>
      <c r="C207" s="254"/>
      <c r="D207" s="254"/>
      <c r="E207" s="254"/>
      <c r="F207" s="255"/>
      <c r="G207" s="266"/>
      <c r="H207" s="275"/>
      <c r="I207" s="275"/>
      <c r="J207" s="275"/>
      <c r="K207" s="266"/>
    </row>
    <row r="208" spans="1:11" s="270" customFormat="1" x14ac:dyDescent="0.25">
      <c r="A208" s="263"/>
      <c r="B208" s="254"/>
      <c r="C208" s="254"/>
      <c r="D208" s="254"/>
      <c r="E208" s="254"/>
      <c r="F208" s="255"/>
      <c r="G208" s="266"/>
      <c r="H208" s="275"/>
      <c r="I208" s="275"/>
      <c r="J208" s="275"/>
      <c r="K208" s="266"/>
    </row>
    <row r="209" spans="1:11" s="270" customFormat="1" x14ac:dyDescent="0.25">
      <c r="A209" s="263"/>
      <c r="B209" s="254"/>
      <c r="C209" s="254"/>
      <c r="D209" s="254"/>
      <c r="E209" s="254"/>
      <c r="F209" s="255"/>
      <c r="G209" s="266"/>
      <c r="H209" s="275"/>
      <c r="I209" s="275"/>
      <c r="J209" s="275"/>
      <c r="K209" s="266"/>
    </row>
    <row r="210" spans="1:11" s="270" customFormat="1" x14ac:dyDescent="0.25">
      <c r="A210" s="263"/>
      <c r="B210" s="254"/>
      <c r="C210" s="254"/>
      <c r="D210" s="254"/>
      <c r="E210" s="254"/>
      <c r="F210" s="255"/>
      <c r="G210" s="266"/>
      <c r="H210" s="275"/>
      <c r="I210" s="275"/>
      <c r="J210" s="275"/>
      <c r="K210" s="266"/>
    </row>
    <row r="211" spans="1:11" s="270" customFormat="1" x14ac:dyDescent="0.25">
      <c r="A211" s="263"/>
      <c r="B211" s="254"/>
      <c r="C211" s="254"/>
      <c r="D211" s="254"/>
      <c r="E211" s="254"/>
      <c r="F211" s="255"/>
      <c r="G211" s="266"/>
      <c r="H211" s="275"/>
      <c r="I211" s="275"/>
      <c r="J211" s="275"/>
      <c r="K211" s="266"/>
    </row>
    <row r="212" spans="1:11" s="270" customFormat="1" x14ac:dyDescent="0.25">
      <c r="A212" s="263"/>
      <c r="B212" s="254"/>
      <c r="C212" s="254"/>
      <c r="D212" s="254"/>
      <c r="E212" s="254"/>
      <c r="F212" s="255"/>
      <c r="G212" s="266"/>
      <c r="H212" s="275"/>
      <c r="I212" s="275"/>
      <c r="J212" s="275"/>
      <c r="K212" s="266"/>
    </row>
    <row r="213" spans="1:11" s="270" customFormat="1" x14ac:dyDescent="0.25">
      <c r="A213" s="263"/>
      <c r="B213" s="254"/>
      <c r="C213" s="254"/>
      <c r="D213" s="254"/>
      <c r="E213" s="254"/>
      <c r="F213" s="255"/>
      <c r="G213" s="266"/>
      <c r="H213" s="275"/>
      <c r="I213" s="275"/>
      <c r="J213" s="275"/>
      <c r="K213" s="266"/>
    </row>
    <row r="214" spans="1:11" s="270" customFormat="1" x14ac:dyDescent="0.25">
      <c r="A214" s="263"/>
      <c r="B214" s="254"/>
      <c r="C214" s="254"/>
      <c r="D214" s="254"/>
      <c r="E214" s="254"/>
      <c r="F214" s="255"/>
      <c r="G214" s="266"/>
      <c r="H214" s="275"/>
      <c r="I214" s="275"/>
      <c r="J214" s="275"/>
      <c r="K214" s="266"/>
    </row>
    <row r="215" spans="1:11" s="270" customFormat="1" x14ac:dyDescent="0.25">
      <c r="A215" s="263"/>
      <c r="B215" s="254"/>
      <c r="C215" s="254"/>
      <c r="D215" s="254"/>
      <c r="E215" s="254"/>
      <c r="F215" s="255"/>
      <c r="G215" s="266"/>
      <c r="H215" s="275"/>
      <c r="I215" s="275"/>
      <c r="J215" s="275"/>
      <c r="K215" s="266"/>
    </row>
    <row r="216" spans="1:11" s="270" customFormat="1" x14ac:dyDescent="0.25">
      <c r="A216" s="263"/>
      <c r="B216" s="254"/>
      <c r="C216" s="254"/>
      <c r="D216" s="254"/>
      <c r="E216" s="254"/>
      <c r="F216" s="255"/>
      <c r="G216" s="266"/>
      <c r="H216" s="275"/>
      <c r="I216" s="275"/>
      <c r="J216" s="275"/>
      <c r="K216" s="266"/>
    </row>
    <row r="217" spans="1:11" s="270" customFormat="1" x14ac:dyDescent="0.25">
      <c r="A217" s="263"/>
      <c r="B217" s="254"/>
      <c r="C217" s="254"/>
      <c r="D217" s="254"/>
      <c r="E217" s="254"/>
      <c r="F217" s="255"/>
      <c r="G217" s="266"/>
      <c r="H217" s="275"/>
      <c r="I217" s="275"/>
      <c r="J217" s="275"/>
      <c r="K217" s="266"/>
    </row>
    <row r="218" spans="1:11" s="270" customFormat="1" x14ac:dyDescent="0.25">
      <c r="A218" s="263"/>
      <c r="B218" s="254"/>
      <c r="C218" s="254"/>
      <c r="D218" s="254"/>
      <c r="E218" s="254"/>
      <c r="F218" s="255"/>
      <c r="G218" s="266"/>
      <c r="H218" s="275"/>
      <c r="I218" s="275"/>
      <c r="J218" s="275"/>
      <c r="K218" s="266"/>
    </row>
    <row r="219" spans="1:11" s="270" customFormat="1" x14ac:dyDescent="0.25">
      <c r="A219" s="263"/>
      <c r="B219" s="254"/>
      <c r="C219" s="254"/>
      <c r="D219" s="254"/>
      <c r="E219" s="254"/>
      <c r="F219" s="255"/>
      <c r="G219" s="266"/>
      <c r="H219" s="275"/>
      <c r="I219" s="275"/>
      <c r="J219" s="275"/>
      <c r="K219" s="266"/>
    </row>
    <row r="220" spans="1:11" s="270" customFormat="1" x14ac:dyDescent="0.25">
      <c r="A220" s="263"/>
      <c r="B220" s="254"/>
      <c r="C220" s="254"/>
      <c r="D220" s="254"/>
      <c r="E220" s="254"/>
      <c r="F220" s="255"/>
      <c r="G220" s="266"/>
      <c r="H220" s="275"/>
      <c r="I220" s="275"/>
      <c r="J220" s="275"/>
      <c r="K220" s="266"/>
    </row>
    <row r="221" spans="1:11" s="270" customFormat="1" x14ac:dyDescent="0.25">
      <c r="A221" s="263"/>
      <c r="B221" s="254"/>
      <c r="C221" s="254"/>
      <c r="D221" s="254"/>
      <c r="E221" s="254"/>
      <c r="F221" s="255"/>
      <c r="G221" s="266"/>
      <c r="H221" s="275"/>
      <c r="I221" s="275"/>
      <c r="J221" s="275"/>
      <c r="K221" s="266"/>
    </row>
    <row r="222" spans="1:11" s="270" customFormat="1" x14ac:dyDescent="0.25">
      <c r="A222" s="263"/>
      <c r="B222" s="254"/>
      <c r="C222" s="254"/>
      <c r="D222" s="254"/>
      <c r="E222" s="254"/>
      <c r="F222" s="255"/>
      <c r="G222" s="266"/>
      <c r="H222" s="275"/>
      <c r="I222" s="275"/>
      <c r="J222" s="275"/>
      <c r="K222" s="266"/>
    </row>
    <row r="223" spans="1:11" s="270" customFormat="1" x14ac:dyDescent="0.25">
      <c r="A223" s="263"/>
      <c r="B223" s="254"/>
      <c r="C223" s="254"/>
      <c r="D223" s="254"/>
      <c r="E223" s="254"/>
      <c r="F223" s="255"/>
      <c r="G223" s="266"/>
      <c r="H223" s="275"/>
      <c r="I223" s="275"/>
      <c r="J223" s="275"/>
      <c r="K223" s="266"/>
    </row>
    <row r="224" spans="1:11" s="270" customFormat="1" x14ac:dyDescent="0.25">
      <c r="A224" s="263"/>
      <c r="B224" s="254"/>
      <c r="C224" s="254"/>
      <c r="D224" s="254"/>
      <c r="E224" s="254"/>
      <c r="F224" s="255"/>
      <c r="G224" s="266"/>
      <c r="H224" s="275"/>
      <c r="I224" s="275"/>
      <c r="J224" s="275"/>
      <c r="K224" s="266"/>
    </row>
    <row r="225" spans="1:11" s="270" customFormat="1" x14ac:dyDescent="0.25">
      <c r="A225" s="263"/>
      <c r="B225" s="254"/>
      <c r="C225" s="254"/>
      <c r="D225" s="254"/>
      <c r="E225" s="254"/>
      <c r="F225" s="255"/>
      <c r="G225" s="266"/>
      <c r="H225" s="275"/>
      <c r="I225" s="275"/>
      <c r="J225" s="275"/>
      <c r="K225" s="266"/>
    </row>
    <row r="226" spans="1:11" s="270" customFormat="1" x14ac:dyDescent="0.25">
      <c r="A226" s="263"/>
      <c r="B226" s="254"/>
      <c r="C226" s="254"/>
      <c r="D226" s="254"/>
      <c r="E226" s="254"/>
      <c r="F226" s="255"/>
      <c r="G226" s="266"/>
      <c r="H226" s="275"/>
      <c r="I226" s="275"/>
      <c r="J226" s="275"/>
      <c r="K226" s="266"/>
    </row>
    <row r="227" spans="1:11" s="270" customFormat="1" x14ac:dyDescent="0.25">
      <c r="A227" s="263"/>
      <c r="B227" s="254"/>
      <c r="C227" s="254"/>
      <c r="D227" s="254"/>
      <c r="E227" s="254"/>
      <c r="F227" s="255"/>
      <c r="G227" s="266"/>
      <c r="H227" s="275"/>
      <c r="I227" s="275"/>
      <c r="J227" s="275"/>
      <c r="K227" s="266"/>
    </row>
    <row r="228" spans="1:11" s="270" customFormat="1" x14ac:dyDescent="0.25">
      <c r="A228" s="263"/>
      <c r="B228" s="254"/>
      <c r="C228" s="254"/>
      <c r="D228" s="254"/>
      <c r="E228" s="254"/>
      <c r="F228" s="255"/>
      <c r="G228" s="266"/>
      <c r="H228" s="275"/>
      <c r="I228" s="275"/>
      <c r="J228" s="275"/>
      <c r="K228" s="266"/>
    </row>
    <row r="229" spans="1:11" s="270" customFormat="1" x14ac:dyDescent="0.25">
      <c r="A229" s="263"/>
      <c r="B229" s="254"/>
      <c r="C229" s="254"/>
      <c r="D229" s="254"/>
      <c r="E229" s="254"/>
      <c r="F229" s="255"/>
      <c r="G229" s="266"/>
      <c r="H229" s="275"/>
      <c r="I229" s="275"/>
      <c r="J229" s="275"/>
      <c r="K229" s="266"/>
    </row>
    <row r="230" spans="1:11" s="270" customFormat="1" x14ac:dyDescent="0.25">
      <c r="A230" s="263"/>
      <c r="B230" s="254"/>
      <c r="C230" s="254"/>
      <c r="D230" s="254"/>
      <c r="E230" s="254"/>
      <c r="F230" s="255"/>
      <c r="G230" s="266"/>
      <c r="H230" s="275"/>
      <c r="I230" s="275"/>
      <c r="J230" s="275"/>
      <c r="K230" s="266"/>
    </row>
    <row r="231" spans="1:11" s="270" customFormat="1" x14ac:dyDescent="0.25">
      <c r="A231" s="263"/>
      <c r="B231" s="254"/>
      <c r="C231" s="254"/>
      <c r="D231" s="254"/>
      <c r="E231" s="254"/>
      <c r="F231" s="255"/>
      <c r="G231" s="266"/>
      <c r="H231" s="275"/>
      <c r="I231" s="275"/>
      <c r="J231" s="275"/>
      <c r="K231" s="266"/>
    </row>
    <row r="232" spans="1:11" s="270" customFormat="1" x14ac:dyDescent="0.25">
      <c r="A232" s="263"/>
      <c r="B232" s="254"/>
      <c r="C232" s="254"/>
      <c r="D232" s="254"/>
      <c r="E232" s="254"/>
      <c r="F232" s="255"/>
      <c r="G232" s="266"/>
      <c r="H232" s="275"/>
      <c r="I232" s="275"/>
      <c r="J232" s="275"/>
      <c r="K232" s="266"/>
    </row>
    <row r="233" spans="1:11" s="270" customFormat="1" x14ac:dyDescent="0.25">
      <c r="A233" s="263"/>
      <c r="B233" s="254"/>
      <c r="C233" s="254"/>
      <c r="D233" s="254"/>
      <c r="E233" s="254"/>
      <c r="F233" s="255"/>
      <c r="G233" s="266"/>
      <c r="H233" s="275"/>
      <c r="I233" s="275"/>
      <c r="J233" s="275"/>
      <c r="K233" s="266"/>
    </row>
    <row r="234" spans="1:11" s="270" customFormat="1" x14ac:dyDescent="0.25">
      <c r="A234" s="263"/>
      <c r="B234" s="254"/>
      <c r="C234" s="254"/>
      <c r="D234" s="254"/>
      <c r="E234" s="254"/>
      <c r="F234" s="255"/>
      <c r="G234" s="266"/>
      <c r="H234" s="275"/>
      <c r="I234" s="275"/>
      <c r="J234" s="275"/>
      <c r="K234" s="266"/>
    </row>
    <row r="235" spans="1:11" s="270" customFormat="1" x14ac:dyDescent="0.25">
      <c r="A235" s="263"/>
      <c r="B235" s="254"/>
      <c r="C235" s="254"/>
      <c r="D235" s="254"/>
      <c r="E235" s="254"/>
      <c r="F235" s="255"/>
      <c r="G235" s="266"/>
      <c r="H235" s="275"/>
      <c r="I235" s="275"/>
      <c r="J235" s="275"/>
      <c r="K235" s="266"/>
    </row>
    <row r="236" spans="1:11" s="270" customFormat="1" x14ac:dyDescent="0.25">
      <c r="A236" s="263"/>
      <c r="B236" s="254"/>
      <c r="C236" s="254"/>
      <c r="D236" s="254"/>
      <c r="E236" s="254"/>
      <c r="F236" s="255"/>
      <c r="G236" s="266"/>
      <c r="H236" s="275"/>
      <c r="I236" s="275"/>
      <c r="J236" s="275"/>
      <c r="K236" s="266"/>
    </row>
    <row r="237" spans="1:11" s="270" customFormat="1" x14ac:dyDescent="0.25">
      <c r="A237" s="263"/>
      <c r="B237" s="254"/>
      <c r="C237" s="254"/>
      <c r="D237" s="254"/>
      <c r="E237" s="254"/>
      <c r="F237" s="255"/>
      <c r="G237" s="266"/>
      <c r="H237" s="275"/>
      <c r="I237" s="275"/>
      <c r="J237" s="275"/>
      <c r="K237" s="266"/>
    </row>
    <row r="238" spans="1:11" s="270" customFormat="1" x14ac:dyDescent="0.25">
      <c r="A238" s="263"/>
      <c r="B238" s="254"/>
      <c r="C238" s="254"/>
      <c r="D238" s="254"/>
      <c r="E238" s="254"/>
      <c r="F238" s="255"/>
      <c r="G238" s="266"/>
      <c r="H238" s="275"/>
      <c r="I238" s="275"/>
      <c r="J238" s="275"/>
      <c r="K238" s="266"/>
    </row>
    <row r="239" spans="1:11" s="270" customFormat="1" x14ac:dyDescent="0.25">
      <c r="A239" s="263"/>
      <c r="B239" s="254"/>
      <c r="C239" s="254"/>
      <c r="D239" s="254"/>
      <c r="E239" s="254"/>
      <c r="F239" s="255"/>
      <c r="G239" s="266"/>
      <c r="H239" s="275"/>
      <c r="I239" s="275"/>
      <c r="J239" s="275"/>
      <c r="K239" s="266"/>
    </row>
    <row r="240" spans="1:11" s="270" customFormat="1" x14ac:dyDescent="0.25">
      <c r="A240" s="263"/>
      <c r="B240" s="254"/>
      <c r="C240" s="254"/>
      <c r="D240" s="254"/>
      <c r="E240" s="254"/>
      <c r="F240" s="255"/>
      <c r="G240" s="266"/>
      <c r="H240" s="275"/>
      <c r="I240" s="275"/>
      <c r="J240" s="275"/>
      <c r="K240" s="266"/>
    </row>
    <row r="241" spans="1:11" s="270" customFormat="1" x14ac:dyDescent="0.25">
      <c r="A241" s="263"/>
      <c r="B241" s="254"/>
      <c r="C241" s="254"/>
      <c r="D241" s="254"/>
      <c r="E241" s="254"/>
      <c r="F241" s="255"/>
      <c r="G241" s="266"/>
      <c r="H241" s="275"/>
      <c r="I241" s="275"/>
      <c r="J241" s="275"/>
      <c r="K241" s="266"/>
    </row>
    <row r="242" spans="1:11" s="270" customFormat="1" x14ac:dyDescent="0.25">
      <c r="A242" s="263"/>
      <c r="B242" s="254"/>
      <c r="C242" s="254"/>
      <c r="D242" s="254"/>
      <c r="E242" s="254"/>
      <c r="F242" s="255"/>
      <c r="G242" s="266"/>
      <c r="H242" s="275"/>
      <c r="I242" s="275"/>
      <c r="J242" s="275"/>
      <c r="K242" s="266"/>
    </row>
    <row r="243" spans="1:11" s="270" customFormat="1" x14ac:dyDescent="0.25">
      <c r="A243" s="263"/>
      <c r="B243" s="254"/>
      <c r="C243" s="254"/>
      <c r="D243" s="254"/>
      <c r="E243" s="254"/>
      <c r="F243" s="255"/>
      <c r="G243" s="266"/>
      <c r="H243" s="275"/>
      <c r="I243" s="275"/>
      <c r="J243" s="275"/>
      <c r="K243" s="266"/>
    </row>
    <row r="244" spans="1:11" s="270" customFormat="1" x14ac:dyDescent="0.25">
      <c r="A244" s="263"/>
      <c r="B244" s="254"/>
      <c r="C244" s="254"/>
      <c r="D244" s="254"/>
      <c r="E244" s="254"/>
      <c r="F244" s="255"/>
      <c r="G244" s="266"/>
      <c r="H244" s="275"/>
      <c r="I244" s="275"/>
      <c r="J244" s="275"/>
      <c r="K244" s="266"/>
    </row>
    <row r="245" spans="1:11" s="270" customFormat="1" x14ac:dyDescent="0.25">
      <c r="A245" s="263"/>
      <c r="B245" s="254"/>
      <c r="C245" s="254"/>
      <c r="D245" s="254"/>
      <c r="E245" s="254"/>
      <c r="F245" s="255"/>
      <c r="G245" s="266"/>
      <c r="H245" s="275"/>
      <c r="I245" s="275"/>
      <c r="J245" s="275"/>
      <c r="K245" s="266"/>
    </row>
    <row r="246" spans="1:11" s="270" customFormat="1" x14ac:dyDescent="0.25">
      <c r="A246" s="263"/>
      <c r="B246" s="254"/>
      <c r="C246" s="254"/>
      <c r="D246" s="254"/>
      <c r="E246" s="254"/>
      <c r="F246" s="255"/>
      <c r="G246" s="266"/>
      <c r="H246" s="275"/>
      <c r="I246" s="275"/>
      <c r="J246" s="275"/>
      <c r="K246" s="266"/>
    </row>
    <row r="247" spans="1:11" s="270" customFormat="1" x14ac:dyDescent="0.25">
      <c r="A247" s="263"/>
      <c r="B247" s="254"/>
      <c r="C247" s="254"/>
      <c r="D247" s="254"/>
      <c r="E247" s="254"/>
      <c r="F247" s="255"/>
      <c r="G247" s="266"/>
      <c r="H247" s="275"/>
      <c r="I247" s="275"/>
      <c r="J247" s="275"/>
      <c r="K247" s="266"/>
    </row>
    <row r="248" spans="1:11" s="270" customFormat="1" x14ac:dyDescent="0.25">
      <c r="A248" s="263"/>
      <c r="B248" s="254"/>
      <c r="C248" s="254"/>
      <c r="D248" s="254"/>
      <c r="E248" s="254"/>
      <c r="F248" s="255"/>
      <c r="G248" s="266"/>
      <c r="H248" s="275"/>
      <c r="I248" s="275"/>
      <c r="J248" s="275"/>
      <c r="K248" s="266"/>
    </row>
    <row r="249" spans="1:11" s="270" customFormat="1" x14ac:dyDescent="0.25">
      <c r="A249" s="263"/>
      <c r="B249" s="254"/>
      <c r="C249" s="254"/>
      <c r="D249" s="254"/>
      <c r="E249" s="254"/>
      <c r="F249" s="255"/>
      <c r="G249" s="266"/>
      <c r="H249" s="275"/>
      <c r="I249" s="275"/>
      <c r="J249" s="275"/>
      <c r="K249" s="266"/>
    </row>
    <row r="250" spans="1:11" s="270" customFormat="1" x14ac:dyDescent="0.25">
      <c r="A250" s="263"/>
      <c r="B250" s="254"/>
      <c r="C250" s="254"/>
      <c r="D250" s="254"/>
      <c r="E250" s="254"/>
      <c r="F250" s="255"/>
      <c r="G250" s="266"/>
      <c r="H250" s="275"/>
      <c r="I250" s="275"/>
      <c r="J250" s="275"/>
      <c r="K250" s="266"/>
    </row>
    <row r="251" spans="1:11" s="270" customFormat="1" x14ac:dyDescent="0.25">
      <c r="A251" s="263"/>
      <c r="B251" s="254"/>
      <c r="C251" s="254"/>
      <c r="D251" s="254"/>
      <c r="E251" s="254"/>
      <c r="F251" s="255"/>
      <c r="G251" s="266"/>
      <c r="H251" s="275"/>
      <c r="I251" s="275"/>
      <c r="J251" s="275"/>
      <c r="K251" s="266"/>
    </row>
    <row r="252" spans="1:11" s="270" customFormat="1" x14ac:dyDescent="0.25">
      <c r="A252" s="263"/>
      <c r="B252" s="254"/>
      <c r="C252" s="254"/>
      <c r="D252" s="254"/>
      <c r="E252" s="254"/>
      <c r="F252" s="255"/>
      <c r="G252" s="266"/>
      <c r="H252" s="275"/>
      <c r="I252" s="275"/>
      <c r="J252" s="275"/>
      <c r="K252" s="266"/>
    </row>
    <row r="253" spans="1:11" s="270" customFormat="1" x14ac:dyDescent="0.25">
      <c r="A253" s="263"/>
      <c r="B253" s="254"/>
      <c r="C253" s="254"/>
      <c r="D253" s="254"/>
      <c r="E253" s="254"/>
      <c r="F253" s="255"/>
      <c r="G253" s="266"/>
      <c r="H253" s="275"/>
      <c r="I253" s="275"/>
      <c r="J253" s="275"/>
      <c r="K253" s="266"/>
    </row>
    <row r="254" spans="1:11" s="270" customFormat="1" x14ac:dyDescent="0.25">
      <c r="A254" s="263"/>
      <c r="B254" s="254"/>
      <c r="C254" s="254"/>
      <c r="D254" s="254"/>
      <c r="E254" s="254"/>
      <c r="F254" s="255"/>
      <c r="G254" s="266"/>
      <c r="H254" s="275"/>
      <c r="I254" s="275"/>
      <c r="J254" s="275"/>
      <c r="K254" s="266"/>
    </row>
    <row r="255" spans="1:11" s="270" customFormat="1" x14ac:dyDescent="0.25">
      <c r="A255" s="263"/>
      <c r="B255" s="254"/>
      <c r="C255" s="254"/>
      <c r="D255" s="254"/>
      <c r="E255" s="254"/>
      <c r="F255" s="255"/>
      <c r="G255" s="266"/>
      <c r="H255" s="275"/>
      <c r="I255" s="275"/>
      <c r="J255" s="275"/>
      <c r="K255" s="266"/>
    </row>
    <row r="256" spans="1:11" s="270" customFormat="1" x14ac:dyDescent="0.25">
      <c r="A256" s="263"/>
      <c r="B256" s="254"/>
      <c r="C256" s="254"/>
      <c r="D256" s="254"/>
      <c r="E256" s="254"/>
      <c r="F256" s="255"/>
      <c r="G256" s="266"/>
      <c r="H256" s="275"/>
      <c r="I256" s="275"/>
      <c r="J256" s="275"/>
      <c r="K256" s="266"/>
    </row>
    <row r="257" spans="1:11" s="270" customFormat="1" x14ac:dyDescent="0.25">
      <c r="A257" s="263"/>
      <c r="B257" s="254"/>
      <c r="C257" s="254"/>
      <c r="D257" s="254"/>
      <c r="E257" s="254"/>
      <c r="F257" s="255"/>
      <c r="G257" s="266"/>
      <c r="H257" s="275"/>
      <c r="I257" s="275"/>
      <c r="J257" s="275"/>
      <c r="K257" s="266"/>
    </row>
    <row r="258" spans="1:11" s="270" customFormat="1" x14ac:dyDescent="0.25">
      <c r="A258" s="263"/>
      <c r="B258" s="254"/>
      <c r="C258" s="254"/>
      <c r="D258" s="254"/>
      <c r="E258" s="254"/>
      <c r="F258" s="255"/>
      <c r="G258" s="266"/>
      <c r="H258" s="275"/>
      <c r="I258" s="275"/>
      <c r="J258" s="275"/>
      <c r="K258" s="266"/>
    </row>
    <row r="259" spans="1:11" s="270" customFormat="1" x14ac:dyDescent="0.25">
      <c r="A259" s="263"/>
      <c r="B259" s="254"/>
      <c r="C259" s="254"/>
      <c r="D259" s="254"/>
      <c r="E259" s="254"/>
      <c r="F259" s="255"/>
      <c r="G259" s="266"/>
      <c r="H259" s="275"/>
      <c r="I259" s="275"/>
      <c r="J259" s="275"/>
      <c r="K259" s="266"/>
    </row>
    <row r="260" spans="1:11" s="270" customFormat="1" x14ac:dyDescent="0.25">
      <c r="A260" s="263"/>
      <c r="B260" s="254"/>
      <c r="C260" s="254"/>
      <c r="D260" s="254"/>
      <c r="E260" s="254"/>
      <c r="F260" s="255"/>
      <c r="G260" s="266"/>
      <c r="H260" s="275"/>
      <c r="I260" s="275"/>
      <c r="J260" s="275"/>
      <c r="K260" s="266"/>
    </row>
    <row r="261" spans="1:11" s="270" customFormat="1" x14ac:dyDescent="0.25">
      <c r="A261" s="263"/>
      <c r="B261" s="254"/>
      <c r="C261" s="254"/>
      <c r="D261" s="254"/>
      <c r="E261" s="254"/>
      <c r="F261" s="255"/>
      <c r="G261" s="266"/>
      <c r="H261" s="275"/>
      <c r="I261" s="275"/>
      <c r="J261" s="275"/>
      <c r="K261" s="266"/>
    </row>
    <row r="262" spans="1:11" s="270" customFormat="1" x14ac:dyDescent="0.25">
      <c r="A262" s="263"/>
      <c r="B262" s="254"/>
      <c r="C262" s="254"/>
      <c r="D262" s="254"/>
      <c r="E262" s="254"/>
      <c r="F262" s="255"/>
      <c r="G262" s="266"/>
      <c r="H262" s="275"/>
      <c r="I262" s="275"/>
      <c r="J262" s="275"/>
      <c r="K262" s="266"/>
    </row>
    <row r="263" spans="1:11" s="270" customFormat="1" x14ac:dyDescent="0.25">
      <c r="A263" s="263"/>
      <c r="B263" s="254"/>
      <c r="C263" s="254"/>
      <c r="D263" s="254"/>
      <c r="E263" s="254"/>
      <c r="F263" s="255"/>
      <c r="G263" s="266"/>
      <c r="H263" s="275"/>
      <c r="I263" s="275"/>
      <c r="J263" s="275"/>
      <c r="K263" s="266"/>
    </row>
    <row r="264" spans="1:11" s="270" customFormat="1" x14ac:dyDescent="0.25">
      <c r="A264" s="263"/>
      <c r="B264" s="254"/>
      <c r="C264" s="254"/>
      <c r="D264" s="254"/>
      <c r="E264" s="254"/>
      <c r="F264" s="255"/>
      <c r="G264" s="266"/>
      <c r="H264" s="275"/>
      <c r="I264" s="275"/>
      <c r="J264" s="275"/>
      <c r="K264" s="266"/>
    </row>
    <row r="265" spans="1:11" s="270" customFormat="1" x14ac:dyDescent="0.25">
      <c r="A265" s="263"/>
      <c r="B265" s="254"/>
      <c r="C265" s="254"/>
      <c r="D265" s="254"/>
      <c r="E265" s="254"/>
      <c r="F265" s="255"/>
      <c r="G265" s="266"/>
      <c r="H265" s="275"/>
      <c r="I265" s="275"/>
      <c r="J265" s="275"/>
      <c r="K265" s="266"/>
    </row>
    <row r="266" spans="1:11" s="270" customFormat="1" x14ac:dyDescent="0.25">
      <c r="A266" s="263"/>
      <c r="B266" s="254"/>
      <c r="C266" s="254"/>
      <c r="D266" s="254"/>
      <c r="E266" s="254"/>
      <c r="F266" s="255"/>
      <c r="G266" s="266"/>
      <c r="H266" s="275"/>
      <c r="I266" s="275"/>
      <c r="J266" s="275"/>
      <c r="K266" s="266"/>
    </row>
    <row r="267" spans="1:11" s="270" customFormat="1" x14ac:dyDescent="0.25">
      <c r="A267" s="263"/>
      <c r="B267" s="254"/>
      <c r="C267" s="254"/>
      <c r="D267" s="254"/>
      <c r="E267" s="254"/>
      <c r="F267" s="255"/>
      <c r="G267" s="266"/>
      <c r="H267" s="275"/>
      <c r="I267" s="275"/>
      <c r="J267" s="275"/>
      <c r="K267" s="266"/>
    </row>
    <row r="268" spans="1:11" s="270" customFormat="1" x14ac:dyDescent="0.25">
      <c r="A268" s="263"/>
      <c r="B268" s="254"/>
      <c r="C268" s="254"/>
      <c r="D268" s="254"/>
      <c r="E268" s="254"/>
      <c r="F268" s="255"/>
      <c r="G268" s="266"/>
      <c r="H268" s="275"/>
      <c r="I268" s="275"/>
      <c r="J268" s="275"/>
      <c r="K268" s="266"/>
    </row>
    <row r="269" spans="1:11" s="270" customFormat="1" x14ac:dyDescent="0.25">
      <c r="A269" s="263"/>
      <c r="B269" s="254"/>
      <c r="C269" s="254"/>
      <c r="D269" s="254"/>
      <c r="E269" s="254"/>
      <c r="F269" s="255"/>
      <c r="G269" s="266"/>
      <c r="H269" s="275"/>
      <c r="I269" s="275"/>
      <c r="J269" s="275"/>
      <c r="K269" s="266"/>
    </row>
    <row r="270" spans="1:11" s="270" customFormat="1" x14ac:dyDescent="0.25">
      <c r="A270" s="263"/>
      <c r="B270" s="254"/>
      <c r="C270" s="254"/>
      <c r="D270" s="254"/>
      <c r="E270" s="254"/>
      <c r="F270" s="255"/>
      <c r="G270" s="266"/>
      <c r="H270" s="275"/>
      <c r="I270" s="275"/>
      <c r="J270" s="275"/>
      <c r="K270" s="266"/>
    </row>
    <row r="271" spans="1:11" s="270" customFormat="1" x14ac:dyDescent="0.25">
      <c r="A271" s="263"/>
      <c r="B271" s="254"/>
      <c r="C271" s="254"/>
      <c r="D271" s="254"/>
      <c r="E271" s="254"/>
      <c r="F271" s="255"/>
      <c r="G271" s="266"/>
      <c r="H271" s="275"/>
      <c r="I271" s="275"/>
      <c r="J271" s="275"/>
      <c r="K271" s="266"/>
    </row>
    <row r="272" spans="1:11" s="270" customFormat="1" x14ac:dyDescent="0.25">
      <c r="A272" s="263"/>
      <c r="B272" s="254"/>
      <c r="C272" s="254"/>
      <c r="D272" s="254"/>
      <c r="E272" s="254"/>
      <c r="F272" s="255"/>
      <c r="G272" s="266"/>
      <c r="H272" s="275"/>
      <c r="I272" s="275"/>
      <c r="J272" s="275"/>
      <c r="K272" s="266"/>
    </row>
    <row r="273" spans="1:11" s="270" customFormat="1" x14ac:dyDescent="0.25">
      <c r="A273" s="263"/>
      <c r="B273" s="254"/>
      <c r="C273" s="254"/>
      <c r="D273" s="254"/>
      <c r="E273" s="254"/>
      <c r="F273" s="255"/>
      <c r="G273" s="266"/>
      <c r="H273" s="275"/>
      <c r="I273" s="275"/>
      <c r="J273" s="275"/>
      <c r="K273" s="266"/>
    </row>
  </sheetData>
  <conditionalFormatting sqref="J34:J35 J19:J24 J26:J28 J32">
    <cfRule type="expression" dxfId="38" priority="53" stopIfTrue="1">
      <formula>#REF!&lt;&gt;""</formula>
    </cfRule>
  </conditionalFormatting>
  <conditionalFormatting sqref="J34:J35 J19:J24 J26:J28 J32">
    <cfRule type="expression" dxfId="37" priority="55" stopIfTrue="1">
      <formula>#REF!="Technology"</formula>
    </cfRule>
    <cfRule type="expression" dxfId="36" priority="56" stopIfTrue="1">
      <formula>#REF!="Service"</formula>
    </cfRule>
  </conditionalFormatting>
  <conditionalFormatting sqref="J36">
    <cfRule type="expression" dxfId="35" priority="34" stopIfTrue="1">
      <formula>#REF!&lt;&gt;""</formula>
    </cfRule>
  </conditionalFormatting>
  <conditionalFormatting sqref="J36">
    <cfRule type="expression" dxfId="34" priority="35" stopIfTrue="1">
      <formula>#REF!="Technology"</formula>
    </cfRule>
    <cfRule type="expression" dxfId="33" priority="36" stopIfTrue="1">
      <formula>#REF!="Service"</formula>
    </cfRule>
  </conditionalFormatting>
  <conditionalFormatting sqref="J26:J27">
    <cfRule type="expression" dxfId="32" priority="31" stopIfTrue="1">
      <formula>#REF!&lt;&gt;""</formula>
    </cfRule>
  </conditionalFormatting>
  <conditionalFormatting sqref="J26:J27">
    <cfRule type="expression" dxfId="31" priority="32" stopIfTrue="1">
      <formula>#REF!="Technology"</formula>
    </cfRule>
    <cfRule type="expression" dxfId="30" priority="33" stopIfTrue="1">
      <formula>#REF!="Service"</formula>
    </cfRule>
  </conditionalFormatting>
  <conditionalFormatting sqref="J24">
    <cfRule type="expression" dxfId="29" priority="19" stopIfTrue="1">
      <formula>#REF!&lt;&gt;""</formula>
    </cfRule>
  </conditionalFormatting>
  <conditionalFormatting sqref="J24">
    <cfRule type="expression" dxfId="28" priority="20" stopIfTrue="1">
      <formula>#REF!="Technology"</formula>
    </cfRule>
    <cfRule type="expression" dxfId="27" priority="21" stopIfTrue="1">
      <formula>#REF!="Service"</formula>
    </cfRule>
  </conditionalFormatting>
  <conditionalFormatting sqref="J28">
    <cfRule type="expression" dxfId="26" priority="16" stopIfTrue="1">
      <formula>#REF!&lt;&gt;""</formula>
    </cfRule>
  </conditionalFormatting>
  <conditionalFormatting sqref="J28">
    <cfRule type="expression" dxfId="25" priority="17" stopIfTrue="1">
      <formula>#REF!="Technology"</formula>
    </cfRule>
    <cfRule type="expression" dxfId="24" priority="18" stopIfTrue="1">
      <formula>#REF!="Service"</formula>
    </cfRule>
  </conditionalFormatting>
  <conditionalFormatting sqref="J33">
    <cfRule type="expression" dxfId="23" priority="13" stopIfTrue="1">
      <formula>#REF!&lt;&gt;""</formula>
    </cfRule>
  </conditionalFormatting>
  <conditionalFormatting sqref="J33">
    <cfRule type="expression" dxfId="22" priority="14" stopIfTrue="1">
      <formula>#REF!="Technology"</formula>
    </cfRule>
    <cfRule type="expression" dxfId="21" priority="15" stopIfTrue="1">
      <formula>#REF!="Service"</formula>
    </cfRule>
  </conditionalFormatting>
  <conditionalFormatting sqref="J25">
    <cfRule type="expression" dxfId="20" priority="10" stopIfTrue="1">
      <formula>#REF!&lt;&gt;""</formula>
    </cfRule>
  </conditionalFormatting>
  <conditionalFormatting sqref="J25">
    <cfRule type="expression" dxfId="19" priority="11" stopIfTrue="1">
      <formula>#REF!="Technology"</formula>
    </cfRule>
    <cfRule type="expression" dxfId="18" priority="12" stopIfTrue="1">
      <formula>#REF!="Service"</formula>
    </cfRule>
  </conditionalFormatting>
  <conditionalFormatting sqref="J25">
    <cfRule type="expression" dxfId="17" priority="7" stopIfTrue="1">
      <formula>#REF!&lt;&gt;""</formula>
    </cfRule>
  </conditionalFormatting>
  <conditionalFormatting sqref="J25">
    <cfRule type="expression" dxfId="16" priority="8" stopIfTrue="1">
      <formula>#REF!="Technology"</formula>
    </cfRule>
    <cfRule type="expression" dxfId="15" priority="9" stopIfTrue="1">
      <formula>#REF!="Service"</formula>
    </cfRule>
  </conditionalFormatting>
  <conditionalFormatting sqref="J29:J31">
    <cfRule type="expression" dxfId="14" priority="4" stopIfTrue="1">
      <formula>#REF!&lt;&gt;""</formula>
    </cfRule>
  </conditionalFormatting>
  <conditionalFormatting sqref="J29:J31">
    <cfRule type="expression" dxfId="13" priority="5" stopIfTrue="1">
      <formula>#REF!="Technology"</formula>
    </cfRule>
    <cfRule type="expression" dxfId="12" priority="6" stopIfTrue="1">
      <formula>#REF!="Service"</formula>
    </cfRule>
  </conditionalFormatting>
  <conditionalFormatting sqref="J29:J31">
    <cfRule type="expression" dxfId="11" priority="1" stopIfTrue="1">
      <formula>#REF!&lt;&gt;""</formula>
    </cfRule>
  </conditionalFormatting>
  <conditionalFormatting sqref="J29:J31">
    <cfRule type="expression" dxfId="10" priority="2" stopIfTrue="1">
      <formula>#REF!="Technology"</formula>
    </cfRule>
    <cfRule type="expression" dxfId="9" priority="3" stopIfTrue="1">
      <formula>#REF!="Service"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L49"/>
  <sheetViews>
    <sheetView zoomScale="70" zoomScaleNormal="70" workbookViewId="0">
      <selection activeCell="B31" sqref="B31"/>
    </sheetView>
  </sheetViews>
  <sheetFormatPr defaultRowHeight="15" x14ac:dyDescent="0.25"/>
  <cols>
    <col min="1" max="1" width="44" bestFit="1" customWidth="1"/>
  </cols>
  <sheetData>
    <row r="1" spans="1:12" x14ac:dyDescent="0.25">
      <c r="A1" s="283"/>
      <c r="B1" s="284"/>
      <c r="C1" s="285">
        <v>2000</v>
      </c>
      <c r="D1" s="285">
        <v>2005</v>
      </c>
      <c r="E1" s="285">
        <v>2010</v>
      </c>
      <c r="F1" s="285">
        <v>2015</v>
      </c>
      <c r="G1" s="285">
        <v>2020</v>
      </c>
      <c r="H1" s="285">
        <v>2025</v>
      </c>
      <c r="I1" s="285">
        <v>2030</v>
      </c>
      <c r="J1" s="285">
        <v>2035</v>
      </c>
    </row>
    <row r="2" spans="1:12" x14ac:dyDescent="0.25">
      <c r="A2" s="286" t="s">
        <v>426</v>
      </c>
      <c r="B2" s="286"/>
      <c r="C2" s="287">
        <v>100</v>
      </c>
      <c r="D2" s="123">
        <f t="shared" ref="D2:J2" si="0">C2*(1-$B$17)^5</f>
        <v>95.099004989999997</v>
      </c>
      <c r="E2" s="123">
        <f t="shared" si="0"/>
        <v>90.438207500880438</v>
      </c>
      <c r="F2" s="123">
        <f t="shared" si="0"/>
        <v>86.005835464128836</v>
      </c>
      <c r="G2" s="123">
        <f t="shared" si="0"/>
        <v>81.790693759723069</v>
      </c>
      <c r="H2" s="123">
        <f t="shared" si="0"/>
        <v>77.782135939914653</v>
      </c>
      <c r="I2" s="123">
        <f t="shared" si="0"/>
        <v>73.970037338828007</v>
      </c>
      <c r="J2" s="123">
        <f t="shared" si="0"/>
        <v>70.344769499956897</v>
      </c>
    </row>
    <row r="3" spans="1:12" x14ac:dyDescent="0.25">
      <c r="A3" s="288"/>
      <c r="D3" s="123"/>
      <c r="E3" s="123"/>
      <c r="F3" s="123"/>
      <c r="G3" s="123"/>
      <c r="H3" s="123"/>
      <c r="I3" s="123"/>
      <c r="J3" s="123"/>
    </row>
    <row r="4" spans="1:12" ht="19.5" x14ac:dyDescent="0.25">
      <c r="A4" s="288" t="s">
        <v>427</v>
      </c>
    </row>
    <row r="5" spans="1:12" x14ac:dyDescent="0.25">
      <c r="A5" s="286"/>
      <c r="B5" s="287"/>
      <c r="C5" s="285" t="s">
        <v>428</v>
      </c>
      <c r="D5" s="285">
        <v>2005</v>
      </c>
      <c r="E5" s="285">
        <v>2010</v>
      </c>
      <c r="F5" s="285">
        <v>2015</v>
      </c>
      <c r="G5" s="285">
        <v>2020</v>
      </c>
      <c r="H5" s="285">
        <v>2025</v>
      </c>
      <c r="I5" s="285">
        <v>2030</v>
      </c>
      <c r="J5" s="285">
        <v>2035</v>
      </c>
    </row>
    <row r="6" spans="1:12" ht="25.5" customHeight="1" x14ac:dyDescent="0.25">
      <c r="A6" s="283" t="s">
        <v>429</v>
      </c>
      <c r="B6" s="283"/>
      <c r="C6" s="287"/>
      <c r="D6" s="287"/>
      <c r="E6" s="287"/>
      <c r="F6" s="287"/>
      <c r="G6" s="287"/>
      <c r="H6" s="287"/>
      <c r="I6" s="287"/>
      <c r="J6" s="287"/>
    </row>
    <row r="7" spans="1:12" x14ac:dyDescent="0.25">
      <c r="A7" s="286"/>
      <c r="B7" s="287" t="s">
        <v>430</v>
      </c>
      <c r="C7" s="289">
        <v>1000</v>
      </c>
      <c r="D7" s="289">
        <v>2000</v>
      </c>
      <c r="E7" s="289">
        <v>3000</v>
      </c>
      <c r="F7" s="289">
        <v>4000</v>
      </c>
      <c r="G7" s="289">
        <v>5000</v>
      </c>
      <c r="H7" s="289">
        <v>6000</v>
      </c>
      <c r="I7" s="289">
        <v>7000</v>
      </c>
      <c r="J7" s="289">
        <v>8000</v>
      </c>
    </row>
    <row r="8" spans="1:12" x14ac:dyDescent="0.25">
      <c r="A8" s="286"/>
      <c r="B8" s="287" t="s">
        <v>431</v>
      </c>
      <c r="C8" s="287" t="s">
        <v>432</v>
      </c>
      <c r="D8" s="287">
        <v>500</v>
      </c>
      <c r="E8" s="289">
        <v>1500</v>
      </c>
      <c r="F8" s="289">
        <v>2500</v>
      </c>
      <c r="G8" s="289">
        <v>3500</v>
      </c>
      <c r="H8" s="289">
        <v>4500</v>
      </c>
      <c r="I8" s="289">
        <v>5500</v>
      </c>
      <c r="J8" s="289">
        <v>6500</v>
      </c>
    </row>
    <row r="9" spans="1:12" ht="25.5" customHeight="1" x14ac:dyDescent="0.25">
      <c r="A9" s="283" t="s">
        <v>433</v>
      </c>
      <c r="B9" s="283"/>
      <c r="C9" s="289">
        <f>SUM(C7:C8)</f>
        <v>1000</v>
      </c>
      <c r="D9" s="289">
        <f t="shared" ref="D9:J9" si="1">SUM(D7:D8)</f>
        <v>2500</v>
      </c>
      <c r="E9" s="289">
        <f t="shared" si="1"/>
        <v>4500</v>
      </c>
      <c r="F9" s="289">
        <f t="shared" si="1"/>
        <v>6500</v>
      </c>
      <c r="G9" s="289">
        <f t="shared" si="1"/>
        <v>8500</v>
      </c>
      <c r="H9" s="289">
        <f t="shared" si="1"/>
        <v>10500</v>
      </c>
      <c r="I9" s="289">
        <f t="shared" si="1"/>
        <v>12500</v>
      </c>
      <c r="J9" s="289">
        <f t="shared" si="1"/>
        <v>14500</v>
      </c>
    </row>
    <row r="10" spans="1:12" ht="25.5" customHeight="1" x14ac:dyDescent="0.25">
      <c r="A10" s="283" t="s">
        <v>440</v>
      </c>
      <c r="B10" s="283"/>
      <c r="C10" s="289">
        <f>SUM($C$9:C9)</f>
        <v>1000</v>
      </c>
      <c r="D10" s="289">
        <f>SUM($C$9:D9)</f>
        <v>3500</v>
      </c>
      <c r="E10" s="289">
        <f>SUM($C$9:E9)</f>
        <v>8000</v>
      </c>
      <c r="F10" s="289">
        <f>SUM($C$9:F9)</f>
        <v>14500</v>
      </c>
      <c r="G10" s="289">
        <f>SUM($C$9:G9)</f>
        <v>23000</v>
      </c>
      <c r="H10" s="289">
        <f>SUM($C$9:H9)</f>
        <v>33500</v>
      </c>
      <c r="I10" s="289">
        <f>SUM($C$9:I9)</f>
        <v>46000</v>
      </c>
      <c r="J10" s="289">
        <f>SUM($C$9:J9)</f>
        <v>60500</v>
      </c>
    </row>
    <row r="11" spans="1:12" x14ac:dyDescent="0.25">
      <c r="A11" s="288"/>
    </row>
    <row r="12" spans="1:12" x14ac:dyDescent="0.25">
      <c r="A12" s="288"/>
    </row>
    <row r="13" spans="1:12" x14ac:dyDescent="0.25">
      <c r="A13" s="286"/>
      <c r="B13" s="287"/>
      <c r="C13" s="285">
        <v>2000</v>
      </c>
      <c r="D13" s="285">
        <v>2005</v>
      </c>
      <c r="E13" s="285">
        <v>2010</v>
      </c>
      <c r="F13" s="285">
        <v>2015</v>
      </c>
      <c r="G13" s="285">
        <v>2020</v>
      </c>
      <c r="H13" s="285">
        <v>2025</v>
      </c>
      <c r="I13" s="285">
        <v>2030</v>
      </c>
      <c r="J13" s="285">
        <v>2035</v>
      </c>
      <c r="L13" s="285"/>
    </row>
    <row r="14" spans="1:12" x14ac:dyDescent="0.25">
      <c r="A14" s="286" t="s">
        <v>434</v>
      </c>
      <c r="B14" s="286"/>
      <c r="C14" s="290">
        <v>100</v>
      </c>
      <c r="D14" s="290">
        <f>MAX($B$19*$C$14,D2*((($B$16+C10)/($B$16+$C$9))^LOG($B$18,2)))</f>
        <v>95.099004989999997</v>
      </c>
      <c r="E14" s="290">
        <f t="shared" ref="E14:J14" si="2">MAX($B$19*$C$14,E2*((($B$16+D10)/($B$16+$C$9))^LOG($B$18,2)))</f>
        <v>89.055576484778712</v>
      </c>
      <c r="F14" s="290">
        <f t="shared" si="2"/>
        <v>82.517434705220438</v>
      </c>
      <c r="G14" s="290">
        <f t="shared" si="2"/>
        <v>75.83515768046891</v>
      </c>
      <c r="H14" s="290">
        <f t="shared" si="2"/>
        <v>69.300872128422881</v>
      </c>
      <c r="I14" s="290">
        <f t="shared" si="2"/>
        <v>63.114011638706828</v>
      </c>
      <c r="J14" s="290">
        <f t="shared" si="2"/>
        <v>57.384925610342293</v>
      </c>
    </row>
    <row r="15" spans="1:12" x14ac:dyDescent="0.25">
      <c r="L15" s="285"/>
    </row>
    <row r="16" spans="1:12" x14ac:dyDescent="0.25">
      <c r="A16" t="s">
        <v>439</v>
      </c>
      <c r="B16">
        <v>50000</v>
      </c>
    </row>
    <row r="17" spans="1:12" x14ac:dyDescent="0.25">
      <c r="A17" t="s">
        <v>406</v>
      </c>
      <c r="B17">
        <v>0.01</v>
      </c>
      <c r="C17" t="s">
        <v>441</v>
      </c>
      <c r="L17" s="285"/>
    </row>
    <row r="18" spans="1:12" x14ac:dyDescent="0.25">
      <c r="A18" t="s">
        <v>437</v>
      </c>
      <c r="B18">
        <v>0.8</v>
      </c>
      <c r="C18" t="s">
        <v>442</v>
      </c>
    </row>
    <row r="19" spans="1:12" x14ac:dyDescent="0.25">
      <c r="A19" t="s">
        <v>443</v>
      </c>
      <c r="B19">
        <v>0</v>
      </c>
      <c r="L19" s="285"/>
    </row>
    <row r="21" spans="1:12" x14ac:dyDescent="0.25">
      <c r="L21" s="285"/>
    </row>
    <row r="23" spans="1:12" x14ac:dyDescent="0.25">
      <c r="L23" s="285"/>
    </row>
    <row r="25" spans="1:12" x14ac:dyDescent="0.25">
      <c r="B25">
        <v>0</v>
      </c>
      <c r="C25">
        <v>0</v>
      </c>
      <c r="D25">
        <v>0.01</v>
      </c>
      <c r="E25">
        <v>0.02</v>
      </c>
      <c r="F25">
        <v>0.03</v>
      </c>
      <c r="G25">
        <v>0.04</v>
      </c>
      <c r="H25">
        <v>0.05</v>
      </c>
      <c r="I25">
        <v>0.06</v>
      </c>
      <c r="J25">
        <v>7.0000000000000007E-2</v>
      </c>
      <c r="L25" s="285"/>
    </row>
    <row r="27" spans="1:12" x14ac:dyDescent="0.25">
      <c r="C27">
        <v>2000</v>
      </c>
      <c r="D27">
        <v>2005</v>
      </c>
      <c r="E27">
        <v>2010</v>
      </c>
      <c r="F27">
        <v>2015</v>
      </c>
      <c r="G27">
        <v>2020</v>
      </c>
      <c r="H27">
        <v>2025</v>
      </c>
      <c r="I27">
        <v>2030</v>
      </c>
      <c r="J27">
        <v>2035</v>
      </c>
      <c r="L27" s="285"/>
    </row>
    <row r="28" spans="1:12" x14ac:dyDescent="0.25">
      <c r="C28" s="287">
        <v>100</v>
      </c>
      <c r="D28">
        <f>$C$28/(1+($B$31*EXP($B$32*D25)))</f>
        <v>71.295733811221552</v>
      </c>
      <c r="E28">
        <f t="shared" ref="E28:J28" si="3">$C$28/(1+($B$31*EXP($B$32*E25)))</f>
        <v>71.162527931721343</v>
      </c>
      <c r="F28">
        <f t="shared" si="3"/>
        <v>71.0289550822134</v>
      </c>
      <c r="G28">
        <f t="shared" si="3"/>
        <v>70.895016577516515</v>
      </c>
      <c r="H28">
        <f t="shared" si="3"/>
        <v>70.760713755148913</v>
      </c>
      <c r="I28">
        <f t="shared" si="3"/>
        <v>70.626047975348897</v>
      </c>
      <c r="J28">
        <f t="shared" si="3"/>
        <v>70.491020621093014</v>
      </c>
    </row>
    <row r="29" spans="1:12" x14ac:dyDescent="0.25">
      <c r="L29" s="285"/>
    </row>
    <row r="31" spans="1:12" x14ac:dyDescent="0.25">
      <c r="A31" t="s">
        <v>473</v>
      </c>
      <c r="B31">
        <v>0.4</v>
      </c>
      <c r="C31">
        <v>0.36299999999999999</v>
      </c>
      <c r="L31" s="285"/>
    </row>
    <row r="32" spans="1:12" x14ac:dyDescent="0.25">
      <c r="A32" t="s">
        <v>474</v>
      </c>
      <c r="B32">
        <v>0.65</v>
      </c>
      <c r="C32">
        <v>6.9820000000000002</v>
      </c>
    </row>
    <row r="33" spans="12:12" x14ac:dyDescent="0.25">
      <c r="L33" s="285"/>
    </row>
    <row r="35" spans="12:12" x14ac:dyDescent="0.25">
      <c r="L35" s="285"/>
    </row>
    <row r="37" spans="12:12" x14ac:dyDescent="0.25">
      <c r="L37" s="285"/>
    </row>
    <row r="39" spans="12:12" x14ac:dyDescent="0.25">
      <c r="L39" s="285"/>
    </row>
    <row r="41" spans="12:12" x14ac:dyDescent="0.25">
      <c r="L41" s="285"/>
    </row>
    <row r="43" spans="12:12" x14ac:dyDescent="0.25">
      <c r="L43" s="285"/>
    </row>
    <row r="45" spans="12:12" x14ac:dyDescent="0.25">
      <c r="L45" s="285"/>
    </row>
    <row r="47" spans="12:12" x14ac:dyDescent="0.25">
      <c r="L47" s="285"/>
    </row>
    <row r="49" spans="12:12" x14ac:dyDescent="0.25">
      <c r="L49" s="285"/>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24</xdr:row>
                <xdr:rowOff>180975</xdr:rowOff>
              </from>
              <to>
                <xdr:col>0</xdr:col>
                <xdr:colOff>2486025</xdr:colOff>
                <xdr:row>27</xdr:row>
                <xdr:rowOff>28575</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36</xdr:row>
                <xdr:rowOff>180975</xdr:rowOff>
              </from>
              <to>
                <xdr:col>2</xdr:col>
                <xdr:colOff>571500</xdr:colOff>
                <xdr:row>46</xdr:row>
                <xdr:rowOff>95250</xdr:rowOff>
              </to>
            </anchor>
          </objectPr>
        </oleObject>
      </mc:Choice>
      <mc:Fallback>
        <oleObject progId="Equation.3" shapeId="163842" r:id="rId5"/>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zoomScale="85" zoomScaleNormal="85" workbookViewId="0">
      <pane xSplit="6" ySplit="1" topLeftCell="G20" activePane="bottomRight" state="frozen"/>
      <selection activeCell="G52" sqref="G52"/>
      <selection pane="topRight" activeCell="G52" sqref="G52"/>
      <selection pane="bottomLeft" activeCell="G52" sqref="G52"/>
      <selection pane="bottomRight" activeCell="G52" sqref="G52"/>
    </sheetView>
  </sheetViews>
  <sheetFormatPr defaultRowHeight="15" x14ac:dyDescent="0.25"/>
  <cols>
    <col min="1" max="1" width="2.7109375" style="2" customWidth="1"/>
    <col min="2" max="2" width="32.7109375" style="15" bestFit="1" customWidth="1"/>
    <col min="3" max="3" width="27.5703125" style="15" customWidth="1"/>
    <col min="4" max="4" width="29.5703125" style="15" bestFit="1" customWidth="1"/>
    <col min="5" max="5" width="29.5703125" style="15"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359</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43</v>
      </c>
      <c r="C3" s="25" t="s">
        <v>48</v>
      </c>
      <c r="D3" s="25" t="s">
        <v>84</v>
      </c>
      <c r="E3" s="25"/>
      <c r="F3" s="27" t="s">
        <v>85</v>
      </c>
      <c r="G3" s="17">
        <f t="shared" ref="G3:J16" si="0">INDEX($S3:$CA3,MATCH(G$1,$S$1:$CA$1,0))</f>
        <v>30685730</v>
      </c>
      <c r="H3" s="17">
        <f t="shared" si="0"/>
        <v>32243753</v>
      </c>
      <c r="I3" s="17">
        <f t="shared" si="0"/>
        <v>34004889</v>
      </c>
      <c r="J3" s="17">
        <f t="shared" si="0"/>
        <v>35702908</v>
      </c>
      <c r="K3" s="45">
        <f>K19</f>
        <v>37873700</v>
      </c>
      <c r="L3" s="45">
        <f t="shared" ref="L3:Q3" si="1">L19</f>
        <v>39913500</v>
      </c>
      <c r="M3" s="45">
        <f t="shared" si="1"/>
        <v>41888100</v>
      </c>
      <c r="N3" s="45">
        <f t="shared" si="1"/>
        <v>43755500</v>
      </c>
      <c r="O3" s="45">
        <f t="shared" si="1"/>
        <v>45506800</v>
      </c>
      <c r="P3" s="45">
        <f t="shared" si="1"/>
        <v>47156200</v>
      </c>
      <c r="Q3" s="45">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x14ac:dyDescent="0.25">
      <c r="A4" s="5"/>
      <c r="B4" s="25"/>
      <c r="C4" s="25" t="s">
        <v>87</v>
      </c>
      <c r="D4" s="25" t="s">
        <v>84</v>
      </c>
      <c r="E4" s="25"/>
      <c r="F4" s="27" t="s">
        <v>85</v>
      </c>
      <c r="G4" s="17">
        <f t="shared" si="0"/>
        <v>527966</v>
      </c>
      <c r="H4" s="17">
        <f t="shared" si="0"/>
        <v>514332</v>
      </c>
      <c r="I4" s="17">
        <f t="shared" si="0"/>
        <v>522009</v>
      </c>
      <c r="J4" s="17">
        <f t="shared" si="0"/>
        <v>528117</v>
      </c>
      <c r="K4" s="45">
        <f t="shared" ref="K4:Q4" si="2">K20</f>
        <v>522299.99999999994</v>
      </c>
      <c r="L4" s="45">
        <f t="shared" si="2"/>
        <v>513400</v>
      </c>
      <c r="M4" s="45">
        <f t="shared" si="2"/>
        <v>502000</v>
      </c>
      <c r="N4" s="45">
        <f t="shared" si="2"/>
        <v>487400</v>
      </c>
      <c r="O4" s="45">
        <f t="shared" si="2"/>
        <v>470100</v>
      </c>
      <c r="P4" s="45">
        <f t="shared" si="2"/>
        <v>487138.83683317655</v>
      </c>
      <c r="Q4" s="45">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x14ac:dyDescent="0.25">
      <c r="A5" s="5"/>
      <c r="B5" s="25"/>
      <c r="C5" s="25" t="s">
        <v>88</v>
      </c>
      <c r="D5" s="25" t="s">
        <v>84</v>
      </c>
      <c r="E5" s="25"/>
      <c r="F5" s="27" t="s">
        <v>85</v>
      </c>
      <c r="G5" s="17">
        <f t="shared" si="0"/>
        <v>136470</v>
      </c>
      <c r="H5" s="17">
        <f t="shared" si="0"/>
        <v>138064</v>
      </c>
      <c r="I5" s="17">
        <f t="shared" si="0"/>
        <v>141654</v>
      </c>
      <c r="J5" s="17">
        <f t="shared" si="0"/>
        <v>144546</v>
      </c>
      <c r="K5" s="45">
        <f t="shared" ref="K5:Q5" si="3">K21</f>
        <v>157400</v>
      </c>
      <c r="L5" s="45">
        <f t="shared" si="3"/>
        <v>167800</v>
      </c>
      <c r="M5" s="45">
        <f t="shared" si="3"/>
        <v>177600</v>
      </c>
      <c r="N5" s="45">
        <f t="shared" si="3"/>
        <v>186300</v>
      </c>
      <c r="O5" s="45">
        <f t="shared" si="3"/>
        <v>193600</v>
      </c>
      <c r="P5" s="45">
        <f t="shared" si="3"/>
        <v>200617.05767050199</v>
      </c>
      <c r="Q5" s="45">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x14ac:dyDescent="0.25">
      <c r="A6" s="5"/>
      <c r="B6" s="25"/>
      <c r="C6" s="25" t="s">
        <v>89</v>
      </c>
      <c r="D6" s="25" t="s">
        <v>84</v>
      </c>
      <c r="E6" s="25"/>
      <c r="F6" s="27" t="s">
        <v>85</v>
      </c>
      <c r="G6" s="17">
        <f t="shared" si="0"/>
        <v>933821</v>
      </c>
      <c r="H6" s="17">
        <f t="shared" si="0"/>
        <v>937926</v>
      </c>
      <c r="I6" s="17">
        <f t="shared" si="0"/>
        <v>942107</v>
      </c>
      <c r="J6" s="17">
        <f t="shared" si="0"/>
        <v>936525</v>
      </c>
      <c r="K6" s="45">
        <f t="shared" ref="K6:Q6" si="4">K22</f>
        <v>967100</v>
      </c>
      <c r="L6" s="45">
        <f t="shared" si="4"/>
        <v>983900</v>
      </c>
      <c r="M6" s="45">
        <f t="shared" si="4"/>
        <v>996100</v>
      </c>
      <c r="N6" s="45">
        <f t="shared" si="4"/>
        <v>1001200</v>
      </c>
      <c r="O6" s="45">
        <f t="shared" si="4"/>
        <v>998700</v>
      </c>
      <c r="P6" s="45">
        <f t="shared" si="4"/>
        <v>1034898.0139231939</v>
      </c>
      <c r="Q6" s="45">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x14ac:dyDescent="0.25">
      <c r="A7" s="5"/>
      <c r="B7" s="25"/>
      <c r="C7" s="25" t="s">
        <v>90</v>
      </c>
      <c r="D7" s="25" t="s">
        <v>84</v>
      </c>
      <c r="E7" s="25"/>
      <c r="F7" s="27" t="s">
        <v>85</v>
      </c>
      <c r="G7" s="17">
        <f t="shared" si="0"/>
        <v>750517</v>
      </c>
      <c r="H7" s="17">
        <f t="shared" si="0"/>
        <v>748057</v>
      </c>
      <c r="I7" s="17">
        <f t="shared" si="0"/>
        <v>753035</v>
      </c>
      <c r="J7" s="17">
        <f t="shared" si="0"/>
        <v>758842</v>
      </c>
      <c r="K7" s="45">
        <f t="shared" ref="K7:Q7" si="5">K23</f>
        <v>775600</v>
      </c>
      <c r="L7" s="45">
        <f t="shared" si="5"/>
        <v>787700</v>
      </c>
      <c r="M7" s="45">
        <f t="shared" si="5"/>
        <v>796600</v>
      </c>
      <c r="N7" s="45">
        <f t="shared" si="5"/>
        <v>800300</v>
      </c>
      <c r="O7" s="45">
        <f t="shared" si="5"/>
        <v>798100</v>
      </c>
      <c r="P7" s="45">
        <f t="shared" si="5"/>
        <v>827027.24032452295</v>
      </c>
      <c r="Q7" s="45">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x14ac:dyDescent="0.25">
      <c r="A8" s="5"/>
      <c r="B8" s="25"/>
      <c r="C8" s="25" t="s">
        <v>91</v>
      </c>
      <c r="D8" s="25" t="s">
        <v>84</v>
      </c>
      <c r="E8" s="25"/>
      <c r="F8" s="27" t="s">
        <v>85</v>
      </c>
      <c r="G8" s="17">
        <f t="shared" si="0"/>
        <v>7356951</v>
      </c>
      <c r="H8" s="17">
        <f t="shared" si="0"/>
        <v>7581476</v>
      </c>
      <c r="I8" s="17">
        <f t="shared" si="0"/>
        <v>7929222</v>
      </c>
      <c r="J8" s="17">
        <f t="shared" si="0"/>
        <v>8175272</v>
      </c>
      <c r="K8" s="45">
        <f t="shared" ref="K8:Q8" si="6">K24</f>
        <v>8494500</v>
      </c>
      <c r="L8" s="45">
        <f t="shared" si="6"/>
        <v>8738500</v>
      </c>
      <c r="M8" s="45">
        <f t="shared" si="6"/>
        <v>8958900</v>
      </c>
      <c r="N8" s="45">
        <f t="shared" si="6"/>
        <v>9159100</v>
      </c>
      <c r="O8" s="45">
        <f t="shared" si="6"/>
        <v>9353100</v>
      </c>
      <c r="P8" s="45">
        <f t="shared" si="6"/>
        <v>9692104.3496796079</v>
      </c>
      <c r="Q8" s="45">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x14ac:dyDescent="0.25">
      <c r="A9" s="5"/>
      <c r="B9" s="25"/>
      <c r="C9" s="25" t="s">
        <v>92</v>
      </c>
      <c r="D9" s="25" t="s">
        <v>84</v>
      </c>
      <c r="E9" s="25"/>
      <c r="F9" s="27" t="s">
        <v>85</v>
      </c>
      <c r="G9" s="17">
        <f t="shared" si="0"/>
        <v>11683290</v>
      </c>
      <c r="H9" s="17">
        <f t="shared" si="0"/>
        <v>12528663</v>
      </c>
      <c r="I9" s="17">
        <f t="shared" si="0"/>
        <v>13135778</v>
      </c>
      <c r="J9" s="17">
        <f t="shared" si="0"/>
        <v>13707118</v>
      </c>
      <c r="K9" s="45">
        <f t="shared" ref="K9:Q9" si="7">K25</f>
        <v>14677900</v>
      </c>
      <c r="L9" s="45">
        <f t="shared" si="7"/>
        <v>15561600</v>
      </c>
      <c r="M9" s="45">
        <f t="shared" si="7"/>
        <v>16411599.999999998</v>
      </c>
      <c r="N9" s="45">
        <f t="shared" si="7"/>
        <v>17195100</v>
      </c>
      <c r="O9" s="45">
        <f t="shared" si="7"/>
        <v>17892000</v>
      </c>
      <c r="P9" s="45">
        <f t="shared" si="7"/>
        <v>18540497.912399907</v>
      </c>
      <c r="Q9" s="45">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x14ac:dyDescent="0.25">
      <c r="A10" s="5"/>
      <c r="B10" s="25"/>
      <c r="C10" s="25" t="s">
        <v>93</v>
      </c>
      <c r="D10" s="25" t="s">
        <v>84</v>
      </c>
      <c r="E10" s="25"/>
      <c r="F10" s="27" t="s">
        <v>85</v>
      </c>
      <c r="G10" s="17">
        <f t="shared" si="0"/>
        <v>1147313</v>
      </c>
      <c r="H10" s="17">
        <f t="shared" si="0"/>
        <v>1178264</v>
      </c>
      <c r="I10" s="17">
        <f t="shared" si="0"/>
        <v>1220780</v>
      </c>
      <c r="J10" s="17">
        <f t="shared" si="0"/>
        <v>1292227</v>
      </c>
      <c r="K10" s="45">
        <f t="shared" ref="K10:Q10" si="8">K26</f>
        <v>1381900</v>
      </c>
      <c r="L10" s="45">
        <f t="shared" si="8"/>
        <v>1457800</v>
      </c>
      <c r="M10" s="45">
        <f t="shared" si="8"/>
        <v>1534800</v>
      </c>
      <c r="N10" s="45">
        <f t="shared" si="8"/>
        <v>1612800</v>
      </c>
      <c r="O10" s="45">
        <f t="shared" si="8"/>
        <v>1692500</v>
      </c>
      <c r="P10" s="45">
        <f t="shared" si="8"/>
        <v>1753844.886917999</v>
      </c>
      <c r="Q10" s="45">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x14ac:dyDescent="0.25">
      <c r="A11" s="5"/>
      <c r="B11" s="25"/>
      <c r="C11" s="25" t="s">
        <v>94</v>
      </c>
      <c r="D11" s="25" t="s">
        <v>84</v>
      </c>
      <c r="E11" s="25"/>
      <c r="F11" s="27" t="s">
        <v>85</v>
      </c>
      <c r="G11" s="17">
        <f t="shared" si="0"/>
        <v>1007565</v>
      </c>
      <c r="H11" s="17">
        <f t="shared" si="0"/>
        <v>993500</v>
      </c>
      <c r="I11" s="17">
        <f t="shared" si="0"/>
        <v>1051443</v>
      </c>
      <c r="J11" s="17">
        <f t="shared" si="0"/>
        <v>1120967</v>
      </c>
      <c r="K11" s="45">
        <f t="shared" ref="K11:Q11" si="9">K27</f>
        <v>1195100</v>
      </c>
      <c r="L11" s="45">
        <f t="shared" si="9"/>
        <v>1287000</v>
      </c>
      <c r="M11" s="45">
        <f t="shared" si="9"/>
        <v>1380400</v>
      </c>
      <c r="N11" s="45">
        <f t="shared" si="9"/>
        <v>1468800</v>
      </c>
      <c r="O11" s="45">
        <f t="shared" si="9"/>
        <v>1548700</v>
      </c>
      <c r="P11" s="45">
        <f t="shared" si="9"/>
        <v>1604832.8368507563</v>
      </c>
      <c r="Q11" s="45">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x14ac:dyDescent="0.25">
      <c r="A12" s="5"/>
      <c r="B12" s="25"/>
      <c r="C12" s="25" t="s">
        <v>5</v>
      </c>
      <c r="D12" s="25" t="s">
        <v>84</v>
      </c>
      <c r="E12" s="25"/>
      <c r="F12" s="27" t="s">
        <v>85</v>
      </c>
      <c r="G12" s="17">
        <f>INDEX($S12:$CA12,MATCH(G$1,$S$1:$CA$1,0))</f>
        <v>3004198</v>
      </c>
      <c r="H12" s="17">
        <f t="shared" si="0"/>
        <v>3321768</v>
      </c>
      <c r="I12" s="17">
        <f t="shared" si="0"/>
        <v>3732082</v>
      </c>
      <c r="J12" s="17">
        <f t="shared" si="0"/>
        <v>4144491</v>
      </c>
      <c r="K12" s="45">
        <f t="shared" ref="K12:Q12" si="10">K28</f>
        <v>4472800</v>
      </c>
      <c r="L12" s="45">
        <f t="shared" si="10"/>
        <v>4908500</v>
      </c>
      <c r="M12" s="45">
        <f t="shared" si="10"/>
        <v>5360500</v>
      </c>
      <c r="N12" s="45">
        <f t="shared" si="10"/>
        <v>5830000</v>
      </c>
      <c r="O12" s="45">
        <f t="shared" si="10"/>
        <v>6317800</v>
      </c>
      <c r="P12" s="45">
        <f t="shared" si="10"/>
        <v>6546789.4987122808</v>
      </c>
      <c r="Q12" s="45">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x14ac:dyDescent="0.25">
      <c r="A13" s="5"/>
      <c r="B13" s="25"/>
      <c r="C13" s="25" t="s">
        <v>61</v>
      </c>
      <c r="D13" s="25" t="s">
        <v>84</v>
      </c>
      <c r="E13" s="25"/>
      <c r="F13" s="27" t="s">
        <v>85</v>
      </c>
      <c r="G13" s="17">
        <f t="shared" ref="G13:G16" si="11">INDEX($S13:$CA13,MATCH(G$1,$S$1:$CA$1,0))</f>
        <v>4039230</v>
      </c>
      <c r="H13" s="17">
        <f t="shared" si="0"/>
        <v>4196062</v>
      </c>
      <c r="I13" s="17">
        <f t="shared" si="0"/>
        <v>4465546</v>
      </c>
      <c r="J13" s="17">
        <f t="shared" si="0"/>
        <v>4776388</v>
      </c>
      <c r="K13" s="45">
        <f t="shared" ref="K13:Q13" si="12">K29</f>
        <v>5103500</v>
      </c>
      <c r="L13" s="45">
        <f t="shared" si="12"/>
        <v>5375800</v>
      </c>
      <c r="M13" s="45">
        <f t="shared" si="12"/>
        <v>5632900</v>
      </c>
      <c r="N13" s="45">
        <f t="shared" si="12"/>
        <v>5872900</v>
      </c>
      <c r="O13" s="45">
        <f t="shared" si="12"/>
        <v>6096400</v>
      </c>
      <c r="P13" s="45">
        <f t="shared" si="12"/>
        <v>6317364.8263556212</v>
      </c>
      <c r="Q13" s="45">
        <f t="shared" si="12"/>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x14ac:dyDescent="0.25">
      <c r="A14" s="5"/>
      <c r="B14" s="25"/>
      <c r="C14" s="25" t="s">
        <v>95</v>
      </c>
      <c r="D14" s="25" t="s">
        <v>84</v>
      </c>
      <c r="E14" s="25"/>
      <c r="F14" s="27" t="s">
        <v>85</v>
      </c>
      <c r="G14" s="17">
        <f t="shared" si="11"/>
        <v>30431</v>
      </c>
      <c r="H14" s="17">
        <f t="shared" si="0"/>
        <v>31902</v>
      </c>
      <c r="I14" s="17">
        <f t="shared" si="0"/>
        <v>34596</v>
      </c>
      <c r="J14" s="17">
        <f t="shared" si="0"/>
        <v>37690</v>
      </c>
      <c r="K14" s="45">
        <f t="shared" ref="K14:Q14" si="13">K30</f>
        <v>41300</v>
      </c>
      <c r="L14" s="45">
        <f t="shared" si="13"/>
        <v>43500</v>
      </c>
      <c r="M14" s="45">
        <f t="shared" si="13"/>
        <v>45400</v>
      </c>
      <c r="N14" s="45">
        <f t="shared" si="13"/>
        <v>47000</v>
      </c>
      <c r="O14" s="45">
        <f t="shared" si="13"/>
        <v>48300</v>
      </c>
      <c r="P14" s="45">
        <f t="shared" si="13"/>
        <v>50050.63990436594</v>
      </c>
      <c r="Q14" s="45">
        <f t="shared" si="13"/>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x14ac:dyDescent="0.25">
      <c r="A15" s="5"/>
      <c r="B15" s="25"/>
      <c r="C15" s="25" t="s">
        <v>97</v>
      </c>
      <c r="D15" s="25" t="s">
        <v>84</v>
      </c>
      <c r="E15" s="25"/>
      <c r="F15" s="27" t="s">
        <v>85</v>
      </c>
      <c r="G15" s="17">
        <f t="shared" si="11"/>
        <v>40480</v>
      </c>
      <c r="H15" s="17">
        <f t="shared" si="0"/>
        <v>43400</v>
      </c>
      <c r="I15" s="17">
        <f t="shared" si="0"/>
        <v>43285</v>
      </c>
      <c r="J15" s="17">
        <f t="shared" si="0"/>
        <v>44237</v>
      </c>
      <c r="K15" s="45">
        <f t="shared" ref="K15:Q15" si="14">K31</f>
        <v>45100</v>
      </c>
      <c r="L15" s="45">
        <f t="shared" si="14"/>
        <v>46400</v>
      </c>
      <c r="M15" s="45">
        <f t="shared" si="14"/>
        <v>47400</v>
      </c>
      <c r="N15" s="45">
        <f t="shared" si="14"/>
        <v>48200</v>
      </c>
      <c r="O15" s="45">
        <f t="shared" si="14"/>
        <v>48600</v>
      </c>
      <c r="P15" s="45">
        <f t="shared" si="14"/>
        <v>50361.513444144613</v>
      </c>
      <c r="Q15" s="45">
        <f t="shared" si="14"/>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x14ac:dyDescent="0.25">
      <c r="A16" s="5"/>
      <c r="B16" s="25"/>
      <c r="C16" s="25" t="s">
        <v>96</v>
      </c>
      <c r="D16" s="25" t="s">
        <v>84</v>
      </c>
      <c r="E16" s="25"/>
      <c r="F16" s="27" t="s">
        <v>85</v>
      </c>
      <c r="G16" s="17">
        <f t="shared" si="11"/>
        <v>27498</v>
      </c>
      <c r="H16" s="17">
        <f t="shared" si="0"/>
        <v>30339</v>
      </c>
      <c r="I16" s="17">
        <f t="shared" si="0"/>
        <v>33352</v>
      </c>
      <c r="J16" s="17">
        <f t="shared" si="0"/>
        <v>36488</v>
      </c>
      <c r="K16" s="45">
        <f t="shared" ref="K16:Q16" si="15">K32</f>
        <v>39300</v>
      </c>
      <c r="L16" s="45">
        <f t="shared" si="15"/>
        <v>41600</v>
      </c>
      <c r="M16" s="45">
        <f t="shared" si="15"/>
        <v>43900</v>
      </c>
      <c r="N16" s="45">
        <f t="shared" si="15"/>
        <v>46400</v>
      </c>
      <c r="O16" s="45">
        <f t="shared" si="15"/>
        <v>48800</v>
      </c>
      <c r="P16" s="45">
        <f t="shared" si="15"/>
        <v>50568.762470663722</v>
      </c>
      <c r="Q16" s="45">
        <f t="shared" si="15"/>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x14ac:dyDescent="0.25">
      <c r="A17" s="5"/>
      <c r="B17" s="25"/>
      <c r="C17" s="25"/>
      <c r="D17" s="25"/>
      <c r="E17" s="25"/>
      <c r="F17" s="27"/>
      <c r="G17" s="17"/>
      <c r="H17" s="17"/>
      <c r="I17" s="17"/>
      <c r="J17" s="17"/>
      <c r="R17" s="38"/>
    </row>
    <row r="18" spans="1:79" x14ac:dyDescent="0.25">
      <c r="A18" s="5"/>
      <c r="B18" s="25"/>
      <c r="C18" s="25"/>
      <c r="D18" s="25"/>
      <c r="E18" s="25"/>
      <c r="F18" s="27"/>
      <c r="G18" s="17"/>
      <c r="H18" s="17"/>
      <c r="I18" s="17"/>
      <c r="J18" s="17"/>
      <c r="R18" s="38"/>
    </row>
    <row r="19" spans="1:79" x14ac:dyDescent="0.25">
      <c r="A19" s="5"/>
      <c r="B19" s="3" t="s">
        <v>101</v>
      </c>
      <c r="C19" s="25" t="s">
        <v>48</v>
      </c>
      <c r="D19" s="25" t="s">
        <v>84</v>
      </c>
      <c r="E19" s="25"/>
      <c r="F19" s="42" t="s">
        <v>98</v>
      </c>
      <c r="G19" s="3"/>
      <c r="H19" s="3"/>
      <c r="I19" s="3"/>
      <c r="J19" s="3"/>
      <c r="K19" s="17">
        <f t="shared" ref="K19:Q32" si="16">INDEX($S19:$CA19,MATCH(K$1,$S$1:$CA$1,0))</f>
        <v>37873700</v>
      </c>
      <c r="L19" s="17">
        <f t="shared" si="16"/>
        <v>39913500</v>
      </c>
      <c r="M19" s="17">
        <f t="shared" si="16"/>
        <v>41888100</v>
      </c>
      <c r="N19" s="17">
        <f t="shared" si="16"/>
        <v>43755500</v>
      </c>
      <c r="O19" s="17">
        <f t="shared" si="16"/>
        <v>45506800</v>
      </c>
      <c r="P19" s="17">
        <f t="shared" si="16"/>
        <v>47156200</v>
      </c>
      <c r="Q19" s="17">
        <f t="shared" si="16"/>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x14ac:dyDescent="0.25">
      <c r="A20" s="5"/>
      <c r="B20" s="3"/>
      <c r="C20" s="25" t="s">
        <v>87</v>
      </c>
      <c r="D20" s="25" t="s">
        <v>84</v>
      </c>
      <c r="E20" s="25"/>
      <c r="F20" s="42" t="s">
        <v>98</v>
      </c>
      <c r="G20" s="3"/>
      <c r="H20" s="3"/>
      <c r="I20" s="3"/>
      <c r="J20" s="3"/>
      <c r="K20" s="17">
        <f t="shared" si="16"/>
        <v>522299.99999999994</v>
      </c>
      <c r="L20" s="17">
        <f t="shared" si="16"/>
        <v>513400</v>
      </c>
      <c r="M20" s="17">
        <f t="shared" si="16"/>
        <v>502000</v>
      </c>
      <c r="N20" s="17">
        <f t="shared" si="16"/>
        <v>487400</v>
      </c>
      <c r="O20" s="17">
        <f t="shared" si="16"/>
        <v>470100</v>
      </c>
      <c r="P20" s="43">
        <f>$O20*P$19/$O$19</f>
        <v>487138.83683317655</v>
      </c>
      <c r="Q20" s="43">
        <f t="shared" ref="Q20:Q32" si="17">$O20*Q$19/$O$19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x14ac:dyDescent="0.25">
      <c r="A21" s="5"/>
      <c r="B21" s="3"/>
      <c r="C21" s="25" t="s">
        <v>88</v>
      </c>
      <c r="D21" s="25" t="s">
        <v>84</v>
      </c>
      <c r="E21" s="25"/>
      <c r="F21" s="42" t="s">
        <v>98</v>
      </c>
      <c r="G21" s="3"/>
      <c r="H21" s="3"/>
      <c r="I21" s="3"/>
      <c r="J21" s="3"/>
      <c r="K21" s="17">
        <f t="shared" si="16"/>
        <v>157400</v>
      </c>
      <c r="L21" s="17">
        <f t="shared" si="16"/>
        <v>167800</v>
      </c>
      <c r="M21" s="17">
        <f t="shared" si="16"/>
        <v>177600</v>
      </c>
      <c r="N21" s="17">
        <f t="shared" si="16"/>
        <v>186300</v>
      </c>
      <c r="O21" s="17">
        <f t="shared" si="16"/>
        <v>193600</v>
      </c>
      <c r="P21" s="43">
        <f t="shared" ref="P21:P32" si="18">$O21*P$19/$O$19</f>
        <v>200617.05767050199</v>
      </c>
      <c r="Q21" s="43">
        <f t="shared" si="17"/>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x14ac:dyDescent="0.25">
      <c r="A22" s="5"/>
      <c r="B22" s="3"/>
      <c r="C22" s="25" t="s">
        <v>89</v>
      </c>
      <c r="D22" s="25" t="s">
        <v>84</v>
      </c>
      <c r="E22" s="25"/>
      <c r="F22" s="42" t="s">
        <v>98</v>
      </c>
      <c r="G22" s="3"/>
      <c r="H22" s="3"/>
      <c r="I22" s="3"/>
      <c r="J22" s="3"/>
      <c r="K22" s="17">
        <f t="shared" si="16"/>
        <v>967100</v>
      </c>
      <c r="L22" s="17">
        <f t="shared" si="16"/>
        <v>983900</v>
      </c>
      <c r="M22" s="17">
        <f t="shared" si="16"/>
        <v>996100</v>
      </c>
      <c r="N22" s="17">
        <f t="shared" si="16"/>
        <v>1001200</v>
      </c>
      <c r="O22" s="17">
        <f t="shared" si="16"/>
        <v>998700</v>
      </c>
      <c r="P22" s="43">
        <f t="shared" si="18"/>
        <v>1034898.0139231939</v>
      </c>
      <c r="Q22" s="43">
        <f t="shared" si="17"/>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x14ac:dyDescent="0.25">
      <c r="A23" s="5"/>
      <c r="B23" s="3"/>
      <c r="C23" s="25" t="s">
        <v>90</v>
      </c>
      <c r="D23" s="25" t="s">
        <v>84</v>
      </c>
      <c r="E23" s="25"/>
      <c r="F23" s="42" t="s">
        <v>98</v>
      </c>
      <c r="G23" s="3"/>
      <c r="H23" s="3"/>
      <c r="I23" s="3"/>
      <c r="J23" s="3"/>
      <c r="K23" s="17">
        <f t="shared" si="16"/>
        <v>775600</v>
      </c>
      <c r="L23" s="17">
        <f t="shared" si="16"/>
        <v>787700</v>
      </c>
      <c r="M23" s="17">
        <f t="shared" si="16"/>
        <v>796600</v>
      </c>
      <c r="N23" s="17">
        <f t="shared" si="16"/>
        <v>800300</v>
      </c>
      <c r="O23" s="17">
        <f t="shared" si="16"/>
        <v>798100</v>
      </c>
      <c r="P23" s="43">
        <f t="shared" si="18"/>
        <v>827027.24032452295</v>
      </c>
      <c r="Q23" s="43">
        <f t="shared" si="17"/>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x14ac:dyDescent="0.25">
      <c r="A24" s="5"/>
      <c r="B24" s="3"/>
      <c r="C24" s="25" t="s">
        <v>91</v>
      </c>
      <c r="D24" s="25" t="s">
        <v>84</v>
      </c>
      <c r="E24" s="25"/>
      <c r="F24" s="42" t="s">
        <v>98</v>
      </c>
      <c r="G24" s="3"/>
      <c r="H24" s="3"/>
      <c r="I24" s="3"/>
      <c r="J24" s="3"/>
      <c r="K24" s="17">
        <f t="shared" si="16"/>
        <v>8494500</v>
      </c>
      <c r="L24" s="17">
        <f t="shared" si="16"/>
        <v>8738500</v>
      </c>
      <c r="M24" s="17">
        <f t="shared" si="16"/>
        <v>8958900</v>
      </c>
      <c r="N24" s="17">
        <f t="shared" si="16"/>
        <v>9159100</v>
      </c>
      <c r="O24" s="17">
        <f t="shared" si="16"/>
        <v>9353100</v>
      </c>
      <c r="P24" s="43">
        <f t="shared" si="18"/>
        <v>9692104.3496796079</v>
      </c>
      <c r="Q24" s="43">
        <f t="shared" si="17"/>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x14ac:dyDescent="0.25">
      <c r="A25" s="5"/>
      <c r="B25" s="3"/>
      <c r="C25" s="25" t="s">
        <v>92</v>
      </c>
      <c r="D25" s="25" t="s">
        <v>84</v>
      </c>
      <c r="E25" s="25"/>
      <c r="F25" s="42" t="s">
        <v>98</v>
      </c>
      <c r="G25" s="3"/>
      <c r="H25" s="3"/>
      <c r="I25" s="3"/>
      <c r="J25" s="3"/>
      <c r="K25" s="17">
        <f t="shared" si="16"/>
        <v>14677900</v>
      </c>
      <c r="L25" s="17">
        <f t="shared" si="16"/>
        <v>15561600</v>
      </c>
      <c r="M25" s="17">
        <f t="shared" si="16"/>
        <v>16411599.999999998</v>
      </c>
      <c r="N25" s="17">
        <f t="shared" si="16"/>
        <v>17195100</v>
      </c>
      <c r="O25" s="17">
        <f t="shared" si="16"/>
        <v>17892000</v>
      </c>
      <c r="P25" s="43">
        <f t="shared" si="18"/>
        <v>18540497.912399907</v>
      </c>
      <c r="Q25" s="43">
        <f t="shared" si="17"/>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x14ac:dyDescent="0.25">
      <c r="A26" s="5"/>
      <c r="B26" s="3"/>
      <c r="C26" s="25" t="s">
        <v>93</v>
      </c>
      <c r="D26" s="25" t="s">
        <v>84</v>
      </c>
      <c r="E26" s="25"/>
      <c r="F26" s="42" t="s">
        <v>98</v>
      </c>
      <c r="G26" s="3"/>
      <c r="H26" s="3"/>
      <c r="I26" s="3"/>
      <c r="J26" s="3"/>
      <c r="K26" s="17">
        <f t="shared" si="16"/>
        <v>1381900</v>
      </c>
      <c r="L26" s="17">
        <f t="shared" si="16"/>
        <v>1457800</v>
      </c>
      <c r="M26" s="17">
        <f t="shared" si="16"/>
        <v>1534800</v>
      </c>
      <c r="N26" s="17">
        <f t="shared" si="16"/>
        <v>1612800</v>
      </c>
      <c r="O26" s="17">
        <f t="shared" si="16"/>
        <v>1692500</v>
      </c>
      <c r="P26" s="43">
        <f t="shared" si="18"/>
        <v>1753844.886917999</v>
      </c>
      <c r="Q26" s="43">
        <f t="shared" si="17"/>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x14ac:dyDescent="0.25">
      <c r="A27" s="5"/>
      <c r="B27" s="3"/>
      <c r="C27" s="25" t="s">
        <v>94</v>
      </c>
      <c r="D27" s="25" t="s">
        <v>84</v>
      </c>
      <c r="E27" s="25"/>
      <c r="F27" s="42" t="s">
        <v>98</v>
      </c>
      <c r="G27" s="3"/>
      <c r="H27" s="3"/>
      <c r="I27" s="3"/>
      <c r="J27" s="3"/>
      <c r="K27" s="17">
        <f t="shared" si="16"/>
        <v>1195100</v>
      </c>
      <c r="L27" s="17">
        <f t="shared" si="16"/>
        <v>1287000</v>
      </c>
      <c r="M27" s="17">
        <f t="shared" si="16"/>
        <v>1380400</v>
      </c>
      <c r="N27" s="17">
        <f t="shared" si="16"/>
        <v>1468800</v>
      </c>
      <c r="O27" s="17">
        <f t="shared" si="16"/>
        <v>1548700</v>
      </c>
      <c r="P27" s="43">
        <f t="shared" si="18"/>
        <v>1604832.8368507563</v>
      </c>
      <c r="Q27" s="43">
        <f t="shared" si="17"/>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x14ac:dyDescent="0.25">
      <c r="A28" s="5"/>
      <c r="B28" s="3"/>
      <c r="C28" s="25" t="s">
        <v>5</v>
      </c>
      <c r="D28" s="25" t="s">
        <v>84</v>
      </c>
      <c r="E28" s="25"/>
      <c r="F28" s="42" t="s">
        <v>98</v>
      </c>
      <c r="G28" s="3"/>
      <c r="H28" s="3"/>
      <c r="I28" s="3"/>
      <c r="J28" s="3"/>
      <c r="K28" s="17">
        <f t="shared" si="16"/>
        <v>4472800</v>
      </c>
      <c r="L28" s="17">
        <f t="shared" si="16"/>
        <v>4908500</v>
      </c>
      <c r="M28" s="17">
        <f t="shared" si="16"/>
        <v>5360500</v>
      </c>
      <c r="N28" s="17">
        <f t="shared" si="16"/>
        <v>5830000</v>
      </c>
      <c r="O28" s="17">
        <f t="shared" si="16"/>
        <v>6317800</v>
      </c>
      <c r="P28" s="43">
        <f t="shared" si="18"/>
        <v>6546789.4987122808</v>
      </c>
      <c r="Q28" s="43">
        <f t="shared" si="17"/>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x14ac:dyDescent="0.25">
      <c r="A29" s="5"/>
      <c r="B29" s="3"/>
      <c r="C29" s="25" t="s">
        <v>61</v>
      </c>
      <c r="D29" s="25" t="s">
        <v>84</v>
      </c>
      <c r="E29" s="25"/>
      <c r="F29" s="42" t="s">
        <v>98</v>
      </c>
      <c r="G29" s="3"/>
      <c r="H29" s="3"/>
      <c r="I29" s="3"/>
      <c r="J29" s="3"/>
      <c r="K29" s="17">
        <f t="shared" si="16"/>
        <v>5103500</v>
      </c>
      <c r="L29" s="17">
        <f t="shared" si="16"/>
        <v>5375800</v>
      </c>
      <c r="M29" s="17">
        <f t="shared" si="16"/>
        <v>5632900</v>
      </c>
      <c r="N29" s="17">
        <f t="shared" si="16"/>
        <v>5872900</v>
      </c>
      <c r="O29" s="17">
        <f t="shared" si="16"/>
        <v>6096400</v>
      </c>
      <c r="P29" s="43">
        <f t="shared" si="18"/>
        <v>6317364.8263556212</v>
      </c>
      <c r="Q29" s="43">
        <f t="shared" si="17"/>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x14ac:dyDescent="0.25">
      <c r="A30" s="5"/>
      <c r="B30" s="3"/>
      <c r="C30" s="25" t="s">
        <v>95</v>
      </c>
      <c r="D30" s="25" t="s">
        <v>84</v>
      </c>
      <c r="E30" s="25"/>
      <c r="F30" s="42" t="s">
        <v>98</v>
      </c>
      <c r="G30" s="3"/>
      <c r="H30" s="3"/>
      <c r="I30" s="3"/>
      <c r="J30" s="3"/>
      <c r="K30" s="17">
        <f t="shared" si="16"/>
        <v>41300</v>
      </c>
      <c r="L30" s="17">
        <f t="shared" si="16"/>
        <v>43500</v>
      </c>
      <c r="M30" s="17">
        <f t="shared" si="16"/>
        <v>45400</v>
      </c>
      <c r="N30" s="17">
        <f t="shared" si="16"/>
        <v>47000</v>
      </c>
      <c r="O30" s="17">
        <f t="shared" si="16"/>
        <v>48300</v>
      </c>
      <c r="P30" s="43">
        <f t="shared" si="18"/>
        <v>50050.63990436594</v>
      </c>
      <c r="Q30" s="43">
        <f t="shared" si="17"/>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x14ac:dyDescent="0.25">
      <c r="A31" s="5"/>
      <c r="B31" s="3"/>
      <c r="C31" s="25" t="s">
        <v>97</v>
      </c>
      <c r="D31" s="25" t="s">
        <v>84</v>
      </c>
      <c r="E31" s="25"/>
      <c r="F31" s="42" t="s">
        <v>98</v>
      </c>
      <c r="G31" s="3"/>
      <c r="H31" s="3"/>
      <c r="I31" s="3"/>
      <c r="J31" s="3"/>
      <c r="K31" s="17">
        <f t="shared" si="16"/>
        <v>45100</v>
      </c>
      <c r="L31" s="17">
        <f t="shared" si="16"/>
        <v>46400</v>
      </c>
      <c r="M31" s="17">
        <f t="shared" si="16"/>
        <v>47400</v>
      </c>
      <c r="N31" s="17">
        <f t="shared" si="16"/>
        <v>48200</v>
      </c>
      <c r="O31" s="17">
        <f t="shared" si="16"/>
        <v>48600</v>
      </c>
      <c r="P31" s="43">
        <f t="shared" si="18"/>
        <v>50361.513444144613</v>
      </c>
      <c r="Q31" s="43">
        <f t="shared" si="17"/>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x14ac:dyDescent="0.25">
      <c r="A32" s="5"/>
      <c r="B32" s="3"/>
      <c r="C32" s="25" t="s">
        <v>96</v>
      </c>
      <c r="D32" s="25" t="s">
        <v>84</v>
      </c>
      <c r="E32" s="25"/>
      <c r="F32" s="42" t="s">
        <v>98</v>
      </c>
      <c r="G32" s="3"/>
      <c r="H32" s="3"/>
      <c r="I32" s="3"/>
      <c r="J32" s="3"/>
      <c r="K32" s="17">
        <f t="shared" si="16"/>
        <v>39300</v>
      </c>
      <c r="L32" s="17">
        <f t="shared" si="16"/>
        <v>41600</v>
      </c>
      <c r="M32" s="17">
        <f t="shared" si="16"/>
        <v>43900</v>
      </c>
      <c r="N32" s="17">
        <f t="shared" si="16"/>
        <v>46400</v>
      </c>
      <c r="O32" s="17">
        <f t="shared" si="16"/>
        <v>48800</v>
      </c>
      <c r="P32" s="43">
        <f t="shared" si="18"/>
        <v>50568.762470663722</v>
      </c>
      <c r="Q32" s="43">
        <f t="shared" si="17"/>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x14ac:dyDescent="0.25">
      <c r="A33" s="5"/>
      <c r="B33" s="3"/>
      <c r="C33" s="3"/>
      <c r="D33" s="3"/>
      <c r="E33" s="3"/>
      <c r="F33" s="14"/>
      <c r="G33" s="3"/>
      <c r="H33" s="3"/>
      <c r="I33" s="3"/>
      <c r="J33" s="3"/>
      <c r="K33" s="34"/>
      <c r="L33" s="34"/>
      <c r="M33" s="34"/>
      <c r="N33" s="34"/>
      <c r="O33" s="34"/>
      <c r="P33" s="34"/>
      <c r="Q33" s="34"/>
      <c r="R33" s="38"/>
    </row>
    <row r="34" spans="1:18" x14ac:dyDescent="0.25">
      <c r="A34" s="5"/>
      <c r="B34" s="3"/>
      <c r="C34" s="3"/>
      <c r="D34" s="3"/>
      <c r="E34" s="3"/>
      <c r="F34" s="14"/>
      <c r="G34" s="3"/>
      <c r="H34" s="3"/>
      <c r="I34" s="3"/>
      <c r="J34" s="3"/>
      <c r="K34" s="34"/>
      <c r="L34" s="34"/>
      <c r="M34" s="34"/>
      <c r="N34" s="34"/>
      <c r="O34" s="34"/>
      <c r="P34" s="34"/>
      <c r="Q34" s="34"/>
      <c r="R34" s="38"/>
    </row>
    <row r="35" spans="1:18" x14ac:dyDescent="0.25">
      <c r="A35" s="5"/>
      <c r="B35" s="3" t="s">
        <v>100</v>
      </c>
      <c r="C35" s="25" t="s">
        <v>48</v>
      </c>
      <c r="D35" s="25" t="s">
        <v>99</v>
      </c>
      <c r="E35" s="25"/>
      <c r="F35" s="16" t="s">
        <v>86</v>
      </c>
      <c r="G35" s="30"/>
      <c r="H35" s="46">
        <f>(H3/G3)^(1/5)-1</f>
        <v>9.9545387219122095E-3</v>
      </c>
      <c r="I35" s="46">
        <f t="shared" ref="I35:Q35" si="19">(I3/H3)^(1/5)-1</f>
        <v>1.069276116045037E-2</v>
      </c>
      <c r="J35" s="46">
        <f t="shared" si="19"/>
        <v>9.7932094088573063E-3</v>
      </c>
      <c r="K35" s="46">
        <f t="shared" si="19"/>
        <v>1.1874913081660665E-2</v>
      </c>
      <c r="L35" s="46">
        <f t="shared" si="19"/>
        <v>1.054676367092533E-2</v>
      </c>
      <c r="M35" s="46">
        <f t="shared" si="19"/>
        <v>9.7042163883949151E-3</v>
      </c>
      <c r="N35" s="46">
        <f t="shared" si="19"/>
        <v>8.7612656083213558E-3</v>
      </c>
      <c r="O35" s="46">
        <f t="shared" si="19"/>
        <v>7.8797725083630255E-3</v>
      </c>
      <c r="P35" s="46">
        <f t="shared" si="19"/>
        <v>7.1461588604009307E-3</v>
      </c>
      <c r="Q35" s="46">
        <f t="shared" si="19"/>
        <v>6.7241832107722832E-3</v>
      </c>
      <c r="R35" s="38"/>
    </row>
    <row r="36" spans="1:18" x14ac:dyDescent="0.25">
      <c r="A36" s="5"/>
      <c r="B36" s="3"/>
      <c r="C36" s="25" t="s">
        <v>87</v>
      </c>
      <c r="D36" s="25" t="s">
        <v>99</v>
      </c>
      <c r="E36" s="25"/>
      <c r="F36" s="16" t="s">
        <v>86</v>
      </c>
      <c r="G36" s="30"/>
      <c r="H36" s="46">
        <f t="shared" ref="H36:Q36" si="20">(H4/G4)^(1/5)-1</f>
        <v>-5.2189171537836421E-3</v>
      </c>
      <c r="I36" s="46">
        <f t="shared" si="20"/>
        <v>2.9675660871815168E-3</v>
      </c>
      <c r="J36" s="46">
        <f t="shared" si="20"/>
        <v>2.329312834649544E-3</v>
      </c>
      <c r="K36" s="46">
        <f t="shared" si="20"/>
        <v>-2.2126913065653175E-3</v>
      </c>
      <c r="L36" s="46">
        <f t="shared" si="20"/>
        <v>-3.4314723963486671E-3</v>
      </c>
      <c r="M36" s="46">
        <f t="shared" si="20"/>
        <v>-4.4809601548809752E-3</v>
      </c>
      <c r="N36" s="46">
        <f t="shared" si="20"/>
        <v>-5.8856072524747782E-3</v>
      </c>
      <c r="O36" s="46">
        <f t="shared" si="20"/>
        <v>-7.2018818907896298E-3</v>
      </c>
      <c r="P36" s="46">
        <f t="shared" si="20"/>
        <v>7.1461588604009307E-3</v>
      </c>
      <c r="Q36" s="46">
        <f t="shared" si="20"/>
        <v>6.7241832107722832E-3</v>
      </c>
      <c r="R36" s="38"/>
    </row>
    <row r="37" spans="1:18" x14ac:dyDescent="0.25">
      <c r="A37" s="5"/>
      <c r="B37" s="3"/>
      <c r="C37" s="25" t="s">
        <v>88</v>
      </c>
      <c r="D37" s="25" t="s">
        <v>99</v>
      </c>
      <c r="E37" s="25"/>
      <c r="F37" s="16" t="s">
        <v>86</v>
      </c>
      <c r="G37" s="30"/>
      <c r="H37" s="46">
        <f t="shared" ref="H37:Q37" si="21">(H5/G5)^(1/5)-1</f>
        <v>2.3252062119700767E-3</v>
      </c>
      <c r="I37" s="46">
        <f t="shared" si="21"/>
        <v>5.147225428461466E-3</v>
      </c>
      <c r="J37" s="46">
        <f t="shared" si="21"/>
        <v>4.0502464677787398E-3</v>
      </c>
      <c r="K37" s="46">
        <f t="shared" si="21"/>
        <v>1.7184491309354177E-2</v>
      </c>
      <c r="L37" s="46">
        <f t="shared" si="21"/>
        <v>1.2878717066848067E-2</v>
      </c>
      <c r="M37" s="46">
        <f t="shared" si="21"/>
        <v>1.1416888135353132E-2</v>
      </c>
      <c r="N37" s="46">
        <f t="shared" si="21"/>
        <v>9.6107791580339885E-3</v>
      </c>
      <c r="O37" s="46">
        <f t="shared" si="21"/>
        <v>7.7168016660342786E-3</v>
      </c>
      <c r="P37" s="46">
        <f t="shared" si="21"/>
        <v>7.1461588604009307E-3</v>
      </c>
      <c r="Q37" s="46">
        <f t="shared" si="21"/>
        <v>6.7241832107722832E-3</v>
      </c>
      <c r="R37" s="38"/>
    </row>
    <row r="38" spans="1:18" x14ac:dyDescent="0.25">
      <c r="A38" s="5"/>
      <c r="B38" s="3"/>
      <c r="C38" s="25" t="s">
        <v>89</v>
      </c>
      <c r="D38" s="25" t="s">
        <v>99</v>
      </c>
      <c r="E38" s="25"/>
      <c r="F38" s="16" t="s">
        <v>86</v>
      </c>
      <c r="G38" s="30"/>
      <c r="H38" s="46">
        <f t="shared" ref="H38:Q38" si="22">(H6/G6)^(1/5)-1</f>
        <v>8.7764162153214365E-4</v>
      </c>
      <c r="I38" s="46">
        <f t="shared" si="22"/>
        <v>8.8995609612352311E-4</v>
      </c>
      <c r="J38" s="46">
        <f t="shared" si="22"/>
        <v>-1.1878218937966256E-3</v>
      </c>
      <c r="K38" s="46">
        <f t="shared" si="22"/>
        <v>6.4458226834105403E-3</v>
      </c>
      <c r="L38" s="46">
        <f t="shared" si="22"/>
        <v>3.4504116425735365E-3</v>
      </c>
      <c r="M38" s="46">
        <f t="shared" si="22"/>
        <v>2.4677174707286031E-3</v>
      </c>
      <c r="N38" s="46">
        <f t="shared" si="22"/>
        <v>1.021902868589164E-3</v>
      </c>
      <c r="O38" s="46">
        <f t="shared" si="22"/>
        <v>-4.9990026990875958E-4</v>
      </c>
      <c r="P38" s="46">
        <f t="shared" si="22"/>
        <v>7.1461588604009307E-3</v>
      </c>
      <c r="Q38" s="46">
        <f t="shared" si="22"/>
        <v>6.7241832107722832E-3</v>
      </c>
      <c r="R38" s="38"/>
    </row>
    <row r="39" spans="1:18" x14ac:dyDescent="0.25">
      <c r="A39" s="5"/>
      <c r="B39" s="3"/>
      <c r="C39" s="25" t="s">
        <v>90</v>
      </c>
      <c r="D39" s="25" t="s">
        <v>99</v>
      </c>
      <c r="E39" s="25"/>
      <c r="F39" s="16" t="s">
        <v>86</v>
      </c>
      <c r="G39" s="30"/>
      <c r="H39" s="46">
        <f t="shared" ref="H39:Q39" si="23">(H7/G7)^(1/5)-1</f>
        <v>-6.5640928967547474E-4</v>
      </c>
      <c r="I39" s="46">
        <f t="shared" si="23"/>
        <v>1.3273860347549071E-3</v>
      </c>
      <c r="J39" s="46">
        <f t="shared" si="23"/>
        <v>1.5375567539832602E-3</v>
      </c>
      <c r="K39" s="46">
        <f t="shared" si="23"/>
        <v>4.3782237953629011E-3</v>
      </c>
      <c r="L39" s="46">
        <f t="shared" si="23"/>
        <v>3.1008744636937813E-3</v>
      </c>
      <c r="M39" s="46">
        <f t="shared" si="23"/>
        <v>2.2495993678550708E-3</v>
      </c>
      <c r="N39" s="46">
        <f t="shared" si="23"/>
        <v>9.2722693444224902E-4</v>
      </c>
      <c r="O39" s="46">
        <f t="shared" si="23"/>
        <v>-5.5039937287038043E-4</v>
      </c>
      <c r="P39" s="46">
        <f t="shared" si="23"/>
        <v>7.1461588604009307E-3</v>
      </c>
      <c r="Q39" s="46">
        <f t="shared" si="23"/>
        <v>6.7241832107722832E-3</v>
      </c>
      <c r="R39" s="38"/>
    </row>
    <row r="40" spans="1:18" x14ac:dyDescent="0.25">
      <c r="A40" s="5"/>
      <c r="B40" s="3"/>
      <c r="C40" s="25" t="s">
        <v>91</v>
      </c>
      <c r="D40" s="25" t="s">
        <v>99</v>
      </c>
      <c r="E40" s="25"/>
      <c r="F40" s="16" t="s">
        <v>86</v>
      </c>
      <c r="G40" s="30"/>
      <c r="H40" s="46">
        <f t="shared" ref="H40:Q40" si="24">(H8/G8)^(1/5)-1</f>
        <v>6.0305757544720784E-3</v>
      </c>
      <c r="I40" s="46">
        <f t="shared" si="24"/>
        <v>9.0097493833043441E-3</v>
      </c>
      <c r="J40" s="46">
        <f t="shared" si="24"/>
        <v>6.1305284421402373E-3</v>
      </c>
      <c r="K40" s="46">
        <f t="shared" si="24"/>
        <v>7.690401767234345E-3</v>
      </c>
      <c r="L40" s="46">
        <f t="shared" si="24"/>
        <v>5.680001380246269E-3</v>
      </c>
      <c r="M40" s="46">
        <f t="shared" si="24"/>
        <v>4.9942099732189771E-3</v>
      </c>
      <c r="N40" s="46">
        <f t="shared" si="24"/>
        <v>4.4298768213724138E-3</v>
      </c>
      <c r="O40" s="46">
        <f t="shared" si="24"/>
        <v>4.2007823676668554E-3</v>
      </c>
      <c r="P40" s="46">
        <f t="shared" si="24"/>
        <v>7.1461588604009307E-3</v>
      </c>
      <c r="Q40" s="46">
        <f t="shared" si="24"/>
        <v>6.7241832107722832E-3</v>
      </c>
      <c r="R40" s="38"/>
    </row>
    <row r="41" spans="1:18" x14ac:dyDescent="0.25">
      <c r="A41" s="5"/>
      <c r="B41" s="3"/>
      <c r="C41" s="25" t="s">
        <v>92</v>
      </c>
      <c r="D41" s="25" t="s">
        <v>99</v>
      </c>
      <c r="E41" s="25"/>
      <c r="F41" s="16" t="s">
        <v>86</v>
      </c>
      <c r="G41" s="30"/>
      <c r="H41" s="46">
        <f t="shared" ref="H41:Q41" si="25">(H9/G9)^(1/5)-1</f>
        <v>1.4069951710261597E-2</v>
      </c>
      <c r="I41" s="46">
        <f t="shared" si="25"/>
        <v>9.5090450166854801E-3</v>
      </c>
      <c r="J41" s="46">
        <f t="shared" si="25"/>
        <v>8.551478269280377E-3</v>
      </c>
      <c r="K41" s="46">
        <f t="shared" si="25"/>
        <v>1.377961592086363E-2</v>
      </c>
      <c r="L41" s="46">
        <f t="shared" si="25"/>
        <v>1.1761302560298281E-2</v>
      </c>
      <c r="M41" s="46">
        <f t="shared" si="25"/>
        <v>1.0693179850291612E-2</v>
      </c>
      <c r="N41" s="46">
        <f t="shared" si="25"/>
        <v>9.3708455208736385E-3</v>
      </c>
      <c r="O41" s="46">
        <f t="shared" si="25"/>
        <v>7.9774972183463966E-3</v>
      </c>
      <c r="P41" s="46">
        <f t="shared" si="25"/>
        <v>7.1461588604009307E-3</v>
      </c>
      <c r="Q41" s="46">
        <f t="shared" si="25"/>
        <v>6.7241832107722832E-3</v>
      </c>
      <c r="R41" s="38"/>
    </row>
    <row r="42" spans="1:18" x14ac:dyDescent="0.25">
      <c r="A42" s="5"/>
      <c r="B42" s="3"/>
      <c r="C42" s="25" t="s">
        <v>93</v>
      </c>
      <c r="D42" s="25" t="s">
        <v>99</v>
      </c>
      <c r="E42" s="25"/>
      <c r="F42" s="16" t="s">
        <v>86</v>
      </c>
      <c r="G42" s="30"/>
      <c r="H42" s="46">
        <f t="shared" ref="H42:Q42" si="26">(H10/G10)^(1/5)-1</f>
        <v>5.338093533967081E-3</v>
      </c>
      <c r="I42" s="46">
        <f t="shared" si="26"/>
        <v>7.1147564544709052E-3</v>
      </c>
      <c r="J42" s="46">
        <f t="shared" si="26"/>
        <v>1.14403636533007E-2</v>
      </c>
      <c r="K42" s="46">
        <f t="shared" si="26"/>
        <v>1.3508886965546418E-2</v>
      </c>
      <c r="L42" s="46">
        <f t="shared" si="26"/>
        <v>1.075120045736111E-2</v>
      </c>
      <c r="M42" s="46">
        <f t="shared" si="26"/>
        <v>1.0347494746893116E-2</v>
      </c>
      <c r="N42" s="46">
        <f t="shared" si="26"/>
        <v>9.9636538321570267E-3</v>
      </c>
      <c r="O42" s="46">
        <f t="shared" si="26"/>
        <v>9.6936675386265492E-3</v>
      </c>
      <c r="P42" s="46">
        <f t="shared" si="26"/>
        <v>7.1461588604009307E-3</v>
      </c>
      <c r="Q42" s="46">
        <f t="shared" si="26"/>
        <v>6.7241832107722832E-3</v>
      </c>
      <c r="R42" s="38"/>
    </row>
    <row r="43" spans="1:18" x14ac:dyDescent="0.25">
      <c r="A43" s="5"/>
      <c r="B43" s="3"/>
      <c r="C43" s="25" t="s">
        <v>94</v>
      </c>
      <c r="D43" s="25" t="s">
        <v>99</v>
      </c>
      <c r="E43" s="25"/>
      <c r="F43" s="16" t="s">
        <v>86</v>
      </c>
      <c r="G43" s="30"/>
      <c r="H43" s="46">
        <f t="shared" ref="H43:Q43" si="27">(H11/G11)^(1/5)-1</f>
        <v>-2.8076004725260395E-3</v>
      </c>
      <c r="I43" s="46">
        <f t="shared" si="27"/>
        <v>1.1401451378031835E-2</v>
      </c>
      <c r="J43" s="46">
        <f t="shared" si="27"/>
        <v>1.2887983164340922E-2</v>
      </c>
      <c r="K43" s="46">
        <f t="shared" si="27"/>
        <v>1.2890000636277321E-2</v>
      </c>
      <c r="L43" s="46">
        <f t="shared" si="27"/>
        <v>1.4927126073860153E-2</v>
      </c>
      <c r="M43" s="46">
        <f t="shared" si="27"/>
        <v>1.4110503179086908E-2</v>
      </c>
      <c r="N43" s="46">
        <f t="shared" si="27"/>
        <v>1.2491865334220531E-2</v>
      </c>
      <c r="O43" s="46">
        <f t="shared" si="27"/>
        <v>1.0650341074533554E-2</v>
      </c>
      <c r="P43" s="46">
        <f t="shared" si="27"/>
        <v>7.1461588604009307E-3</v>
      </c>
      <c r="Q43" s="46">
        <f t="shared" si="27"/>
        <v>6.7241832107722832E-3</v>
      </c>
      <c r="R43" s="38"/>
    </row>
    <row r="44" spans="1:18" x14ac:dyDescent="0.25">
      <c r="A44" s="5"/>
      <c r="B44" s="3"/>
      <c r="C44" s="25" t="s">
        <v>5</v>
      </c>
      <c r="D44" s="25" t="s">
        <v>99</v>
      </c>
      <c r="E44" s="25"/>
      <c r="F44" s="16" t="s">
        <v>86</v>
      </c>
      <c r="G44" s="30"/>
      <c r="H44" s="46">
        <f t="shared" ref="H44:Q44" si="28">(H12/G12)^(1/5)-1</f>
        <v>2.0300616049666598E-2</v>
      </c>
      <c r="I44" s="46">
        <f t="shared" si="28"/>
        <v>2.3567236532474389E-2</v>
      </c>
      <c r="J44" s="46">
        <f t="shared" si="28"/>
        <v>2.1184007253333803E-2</v>
      </c>
      <c r="K44" s="46">
        <f t="shared" si="28"/>
        <v>1.5363753015578352E-2</v>
      </c>
      <c r="L44" s="46">
        <f t="shared" si="28"/>
        <v>1.8764641082132716E-2</v>
      </c>
      <c r="M44" s="46">
        <f t="shared" si="28"/>
        <v>1.7773879984306573E-2</v>
      </c>
      <c r="N44" s="46">
        <f t="shared" si="28"/>
        <v>1.693372644913671E-2</v>
      </c>
      <c r="O44" s="46">
        <f t="shared" si="28"/>
        <v>1.6200639198488354E-2</v>
      </c>
      <c r="P44" s="46">
        <f t="shared" si="28"/>
        <v>7.1461588604009307E-3</v>
      </c>
      <c r="Q44" s="46">
        <f t="shared" si="28"/>
        <v>6.7241832107722832E-3</v>
      </c>
      <c r="R44" s="38"/>
    </row>
    <row r="45" spans="1:18" x14ac:dyDescent="0.25">
      <c r="A45" s="5"/>
      <c r="B45" s="3"/>
      <c r="C45" s="25" t="s">
        <v>61</v>
      </c>
      <c r="D45" s="25" t="s">
        <v>99</v>
      </c>
      <c r="E45" s="25"/>
      <c r="F45" s="16" t="s">
        <v>86</v>
      </c>
      <c r="G45" s="30"/>
      <c r="H45" s="46">
        <f t="shared" ref="H45:Q45" si="29">(H13/G13)^(1/5)-1</f>
        <v>7.6475717673321064E-3</v>
      </c>
      <c r="I45" s="46">
        <f t="shared" si="29"/>
        <v>1.2526816395749707E-2</v>
      </c>
      <c r="J45" s="46">
        <f t="shared" si="29"/>
        <v>1.3549599164150106E-2</v>
      </c>
      <c r="K45" s="46">
        <f t="shared" si="29"/>
        <v>1.3336542117141637E-2</v>
      </c>
      <c r="L45" s="46">
        <f t="shared" si="29"/>
        <v>1.0450392130632036E-2</v>
      </c>
      <c r="M45" s="46">
        <f t="shared" si="29"/>
        <v>9.3871872537927281E-3</v>
      </c>
      <c r="N45" s="46">
        <f t="shared" si="29"/>
        <v>8.3797435527874775E-3</v>
      </c>
      <c r="O45" s="46">
        <f t="shared" si="29"/>
        <v>7.4979466190987498E-3</v>
      </c>
      <c r="P45" s="46">
        <f t="shared" si="29"/>
        <v>7.1461588604009307E-3</v>
      </c>
      <c r="Q45" s="46">
        <f t="shared" si="29"/>
        <v>6.7241832107722832E-3</v>
      </c>
      <c r="R45" s="38"/>
    </row>
    <row r="46" spans="1:18" x14ac:dyDescent="0.25">
      <c r="A46" s="5"/>
      <c r="B46" s="3"/>
      <c r="C46" s="25" t="s">
        <v>95</v>
      </c>
      <c r="D46" s="25" t="s">
        <v>99</v>
      </c>
      <c r="E46" s="25"/>
      <c r="F46" s="16" t="s">
        <v>86</v>
      </c>
      <c r="G46" s="30"/>
      <c r="H46" s="46">
        <f t="shared" ref="H46:Q46" si="30">(H14/G14)^(1/5)-1</f>
        <v>9.4860860000329783E-3</v>
      </c>
      <c r="I46" s="46">
        <f t="shared" si="30"/>
        <v>1.6346031075593404E-2</v>
      </c>
      <c r="J46" s="46">
        <f t="shared" si="30"/>
        <v>1.7278930866397202E-2</v>
      </c>
      <c r="K46" s="46">
        <f t="shared" si="30"/>
        <v>1.8461890330144337E-2</v>
      </c>
      <c r="L46" s="46">
        <f t="shared" si="30"/>
        <v>1.043374344876602E-2</v>
      </c>
      <c r="M46" s="46">
        <f t="shared" si="30"/>
        <v>8.5868910387139064E-3</v>
      </c>
      <c r="N46" s="46">
        <f t="shared" si="30"/>
        <v>6.9511471803411773E-3</v>
      </c>
      <c r="O46" s="46">
        <f t="shared" si="30"/>
        <v>5.4717071957588459E-3</v>
      </c>
      <c r="P46" s="46">
        <f t="shared" si="30"/>
        <v>7.1461588604009307E-3</v>
      </c>
      <c r="Q46" s="46">
        <f t="shared" si="30"/>
        <v>6.7241832107722832E-3</v>
      </c>
      <c r="R46" s="38"/>
    </row>
    <row r="47" spans="1:18" x14ac:dyDescent="0.25">
      <c r="A47" s="5"/>
      <c r="B47" s="3"/>
      <c r="C47" s="25" t="s">
        <v>97</v>
      </c>
      <c r="D47" s="25" t="s">
        <v>99</v>
      </c>
      <c r="E47" s="25"/>
      <c r="F47" s="16" t="s">
        <v>86</v>
      </c>
      <c r="G47" s="30"/>
      <c r="H47" s="46">
        <f t="shared" ref="H47:Q47" si="31">(H15/G15)^(1/5)-1</f>
        <v>1.4027761729257904E-2</v>
      </c>
      <c r="I47" s="46">
        <f t="shared" si="31"/>
        <v>-5.3051651404789624E-4</v>
      </c>
      <c r="J47" s="46">
        <f t="shared" si="31"/>
        <v>4.3605573447920154E-3</v>
      </c>
      <c r="K47" s="46">
        <f t="shared" si="31"/>
        <v>3.8716161230409885E-3</v>
      </c>
      <c r="L47" s="46">
        <f t="shared" si="31"/>
        <v>5.6996239451236885E-3</v>
      </c>
      <c r="M47" s="46">
        <f t="shared" si="31"/>
        <v>4.2736600436747985E-3</v>
      </c>
      <c r="N47" s="46">
        <f t="shared" si="31"/>
        <v>3.3529671317917842E-3</v>
      </c>
      <c r="O47" s="46">
        <f t="shared" si="31"/>
        <v>1.6542687653957611E-3</v>
      </c>
      <c r="P47" s="46">
        <f t="shared" si="31"/>
        <v>7.1461588604009307E-3</v>
      </c>
      <c r="Q47" s="46">
        <f t="shared" si="31"/>
        <v>6.7241832107722832E-3</v>
      </c>
      <c r="R47" s="38"/>
    </row>
    <row r="48" spans="1:18" x14ac:dyDescent="0.25">
      <c r="A48" s="5"/>
      <c r="B48" s="3"/>
      <c r="C48" s="25" t="s">
        <v>96</v>
      </c>
      <c r="D48" s="25" t="s">
        <v>99</v>
      </c>
      <c r="E48" s="25"/>
      <c r="F48" s="16" t="s">
        <v>86</v>
      </c>
      <c r="G48" s="30"/>
      <c r="H48" s="46">
        <f t="shared" ref="H48:Q48" si="32">(H16/G16)^(1/5)-1</f>
        <v>1.98587606594538E-2</v>
      </c>
      <c r="I48" s="46">
        <f t="shared" si="32"/>
        <v>1.9117182726834603E-2</v>
      </c>
      <c r="J48" s="46">
        <f t="shared" si="32"/>
        <v>1.8135628661466674E-2</v>
      </c>
      <c r="K48" s="46">
        <f t="shared" si="32"/>
        <v>1.4958998278574498E-2</v>
      </c>
      <c r="L48" s="46">
        <f t="shared" si="32"/>
        <v>1.1440072476652574E-2</v>
      </c>
      <c r="M48" s="46">
        <f t="shared" si="32"/>
        <v>1.0820958175685957E-2</v>
      </c>
      <c r="N48" s="46">
        <f t="shared" si="32"/>
        <v>1.1138605257920542E-2</v>
      </c>
      <c r="O48" s="46">
        <f t="shared" si="32"/>
        <v>1.013720758985226E-2</v>
      </c>
      <c r="P48" s="46">
        <f t="shared" si="32"/>
        <v>7.1461588604009307E-3</v>
      </c>
      <c r="Q48" s="46">
        <f t="shared" si="32"/>
        <v>6.7241832107722832E-3</v>
      </c>
      <c r="R48" s="38"/>
    </row>
    <row r="49" spans="1:69" x14ac:dyDescent="0.25">
      <c r="A49" s="5"/>
      <c r="B49" s="25"/>
      <c r="C49" s="25"/>
      <c r="D49" s="25"/>
      <c r="E49" s="25"/>
      <c r="F49" s="16"/>
      <c r="G49" s="30"/>
      <c r="H49" s="30"/>
      <c r="I49" s="30"/>
      <c r="J49" s="30"/>
      <c r="K49" s="17"/>
      <c r="L49" s="17"/>
      <c r="M49" s="17"/>
      <c r="N49" s="17"/>
      <c r="O49" s="17"/>
      <c r="P49" s="17"/>
      <c r="Q49" s="17"/>
      <c r="R49" s="38"/>
    </row>
    <row r="50" spans="1:69" s="53" customFormat="1" ht="15.75" thickBot="1" x14ac:dyDescent="0.3">
      <c r="A50" s="47"/>
      <c r="B50" s="48"/>
      <c r="C50" s="48"/>
      <c r="D50" s="48"/>
      <c r="E50" s="48"/>
      <c r="F50" s="49"/>
      <c r="G50" s="50"/>
      <c r="H50" s="50"/>
      <c r="I50" s="50"/>
      <c r="J50" s="50"/>
      <c r="K50" s="51"/>
      <c r="L50" s="51"/>
      <c r="M50" s="51"/>
      <c r="N50" s="51"/>
      <c r="O50" s="51"/>
      <c r="P50" s="51"/>
      <c r="Q50" s="51"/>
      <c r="R50" s="47"/>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row>
    <row r="51" spans="1:69" x14ac:dyDescent="0.25">
      <c r="A51" s="5"/>
      <c r="B51" s="25"/>
      <c r="C51" s="25"/>
      <c r="D51" s="25"/>
      <c r="E51" s="25"/>
      <c r="F51" s="16"/>
      <c r="G51" s="30"/>
      <c r="H51" s="30"/>
      <c r="I51" s="30"/>
      <c r="J51" s="30"/>
      <c r="K51" s="17"/>
      <c r="L51" s="17"/>
      <c r="M51" s="17"/>
      <c r="N51" s="17"/>
      <c r="O51" s="17"/>
      <c r="P51" s="17"/>
      <c r="Q51" s="17"/>
      <c r="R51" s="38"/>
    </row>
    <row r="52" spans="1:69" x14ac:dyDescent="0.25">
      <c r="A52" s="5"/>
      <c r="B52" s="25" t="s">
        <v>44</v>
      </c>
      <c r="C52" s="25" t="s">
        <v>48</v>
      </c>
      <c r="D52" s="25" t="s">
        <v>360</v>
      </c>
      <c r="E52" s="25">
        <v>2012</v>
      </c>
      <c r="F52" s="27" t="s">
        <v>85</v>
      </c>
      <c r="G52" s="17">
        <f t="shared" ref="G52:J65" si="33">INDEX($S52:$CA52,MATCH(G$1,$S$1:$CA$1,0))</f>
        <v>1459303</v>
      </c>
      <c r="H52" s="17">
        <f t="shared" si="33"/>
        <v>1650884</v>
      </c>
      <c r="I52" s="17">
        <f t="shared" si="33"/>
        <v>1739847</v>
      </c>
      <c r="J52" s="17">
        <f t="shared" si="33"/>
        <v>1932903</v>
      </c>
      <c r="K52" s="43">
        <f>K$69*$J52/$J$69</f>
        <v>2141643.4253889425</v>
      </c>
      <c r="L52" s="43">
        <f t="shared" ref="L52:Q52" si="34">L$69*$J52/$J$69</f>
        <v>2316572.3239389705</v>
      </c>
      <c r="M52" s="43">
        <f t="shared" si="34"/>
        <v>2525561.0785171753</v>
      </c>
      <c r="N52" s="43">
        <f t="shared" si="34"/>
        <v>2770764.330310679</v>
      </c>
      <c r="O52" s="43">
        <f t="shared" si="34"/>
        <v>3048468.9778990773</v>
      </c>
      <c r="P52" s="43">
        <f t="shared" si="34"/>
        <v>3358311.465306255</v>
      </c>
      <c r="Q52" s="43">
        <f t="shared" si="34"/>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x14ac:dyDescent="0.25">
      <c r="A53" s="5"/>
      <c r="B53" s="25"/>
      <c r="C53" s="25" t="s">
        <v>87</v>
      </c>
      <c r="D53" s="25" t="s">
        <v>360</v>
      </c>
      <c r="E53" s="25">
        <v>2012</v>
      </c>
      <c r="F53" s="27" t="s">
        <v>85</v>
      </c>
      <c r="G53" s="17">
        <f t="shared" si="33"/>
        <v>24966</v>
      </c>
      <c r="H53" s="17">
        <f t="shared" si="33"/>
        <v>30675</v>
      </c>
      <c r="I53" s="17">
        <f t="shared" si="33"/>
        <v>31709</v>
      </c>
      <c r="J53" s="17">
        <f t="shared" si="33"/>
        <v>32777</v>
      </c>
      <c r="K53" s="43">
        <f>$J53/SUM($J$53:$J$65)*K$52</f>
        <v>36329.493481584082</v>
      </c>
      <c r="L53" s="43">
        <f t="shared" ref="L53:Q65" si="35">$J53/SUM($J$53:$J$65)*L$52</f>
        <v>39296.877409401008</v>
      </c>
      <c r="M53" s="43">
        <f t="shared" si="35"/>
        <v>42842.031335197222</v>
      </c>
      <c r="N53" s="43">
        <f t="shared" si="35"/>
        <v>47001.505238317914</v>
      </c>
      <c r="O53" s="43">
        <f t="shared" si="35"/>
        <v>51712.312399195354</v>
      </c>
      <c r="P53" s="43">
        <f t="shared" si="35"/>
        <v>56968.285682671616</v>
      </c>
      <c r="Q53" s="43">
        <f t="shared" si="35"/>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x14ac:dyDescent="0.25">
      <c r="A54" s="5"/>
      <c r="B54" s="25"/>
      <c r="C54" s="25" t="s">
        <v>88</v>
      </c>
      <c r="D54" s="25" t="s">
        <v>360</v>
      </c>
      <c r="E54" s="25">
        <v>2012</v>
      </c>
      <c r="F54" s="27" t="s">
        <v>85</v>
      </c>
      <c r="G54" s="17">
        <f t="shared" si="33"/>
        <v>4547</v>
      </c>
      <c r="H54" s="17">
        <f t="shared" si="33"/>
        <v>5096</v>
      </c>
      <c r="I54" s="17">
        <f t="shared" si="33"/>
        <v>5416</v>
      </c>
      <c r="J54" s="17">
        <f t="shared" si="33"/>
        <v>5846</v>
      </c>
      <c r="K54" s="43">
        <f t="shared" ref="K54:K65" si="36">$J54/SUM($J$53:$J$65)*K$52</f>
        <v>6479.6112790475208</v>
      </c>
      <c r="L54" s="43">
        <f t="shared" si="35"/>
        <v>7008.8643053164815</v>
      </c>
      <c r="M54" s="43">
        <f t="shared" si="35"/>
        <v>7641.1665248669187</v>
      </c>
      <c r="N54" s="43">
        <f t="shared" si="35"/>
        <v>8383.0368741253496</v>
      </c>
      <c r="O54" s="43">
        <f t="shared" si="35"/>
        <v>9223.2412449490821</v>
      </c>
      <c r="P54" s="43">
        <f t="shared" si="35"/>
        <v>10160.67968700303</v>
      </c>
      <c r="Q54" s="43">
        <f t="shared" si="35"/>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x14ac:dyDescent="0.25">
      <c r="A55" s="5"/>
      <c r="B55" s="25"/>
      <c r="C55" s="25" t="s">
        <v>89</v>
      </c>
      <c r="D55" s="25" t="s">
        <v>360</v>
      </c>
      <c r="E55" s="25">
        <v>2012</v>
      </c>
      <c r="F55" s="27" t="s">
        <v>85</v>
      </c>
      <c r="G55" s="17">
        <f t="shared" si="33"/>
        <v>32641</v>
      </c>
      <c r="H55" s="17">
        <f t="shared" si="33"/>
        <v>35996</v>
      </c>
      <c r="I55" s="17">
        <f t="shared" si="33"/>
        <v>38443</v>
      </c>
      <c r="J55" s="17">
        <f t="shared" si="33"/>
        <v>38279</v>
      </c>
      <c r="K55" s="43">
        <f t="shared" si="36"/>
        <v>42427.820757896006</v>
      </c>
      <c r="L55" s="43">
        <f t="shared" si="35"/>
        <v>45893.314530141906</v>
      </c>
      <c r="M55" s="43">
        <f t="shared" si="35"/>
        <v>50033.563702596781</v>
      </c>
      <c r="N55" s="43">
        <f t="shared" si="35"/>
        <v>54891.253592994224</v>
      </c>
      <c r="O55" s="43">
        <f t="shared" si="35"/>
        <v>60392.8244295939</v>
      </c>
      <c r="P55" s="43">
        <f t="shared" si="35"/>
        <v>66531.073851999477</v>
      </c>
      <c r="Q55" s="43">
        <f t="shared" si="35"/>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x14ac:dyDescent="0.25">
      <c r="A56" s="5"/>
      <c r="B56" s="25"/>
      <c r="C56" s="25" t="s">
        <v>90</v>
      </c>
      <c r="D56" s="25" t="s">
        <v>360</v>
      </c>
      <c r="E56" s="25">
        <v>2012</v>
      </c>
      <c r="F56" s="27" t="s">
        <v>85</v>
      </c>
      <c r="G56" s="17">
        <f t="shared" si="33"/>
        <v>27011</v>
      </c>
      <c r="H56" s="17">
        <f t="shared" si="33"/>
        <v>30221</v>
      </c>
      <c r="I56" s="17">
        <f t="shared" si="33"/>
        <v>31836</v>
      </c>
      <c r="J56" s="17">
        <f t="shared" si="33"/>
        <v>31882</v>
      </c>
      <c r="K56" s="43">
        <f t="shared" si="36"/>
        <v>35337.490044234182</v>
      </c>
      <c r="L56" s="43">
        <f t="shared" si="35"/>
        <v>38223.847379763945</v>
      </c>
      <c r="M56" s="43">
        <f t="shared" si="35"/>
        <v>41672.198280158584</v>
      </c>
      <c r="N56" s="43">
        <f t="shared" si="35"/>
        <v>45718.094700797868</v>
      </c>
      <c r="O56" s="43">
        <f t="shared" si="35"/>
        <v>50300.26982064089</v>
      </c>
      <c r="P56" s="43">
        <f t="shared" si="35"/>
        <v>55412.724902673719</v>
      </c>
      <c r="Q56" s="43">
        <f t="shared" si="35"/>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x14ac:dyDescent="0.25">
      <c r="A57" s="5"/>
      <c r="B57" s="25"/>
      <c r="C57" s="25" t="s">
        <v>91</v>
      </c>
      <c r="D57" s="25" t="s">
        <v>360</v>
      </c>
      <c r="E57" s="25">
        <v>2012</v>
      </c>
      <c r="F57" s="27" t="s">
        <v>85</v>
      </c>
      <c r="G57" s="17">
        <f t="shared" si="33"/>
        <v>294335</v>
      </c>
      <c r="H57" s="17">
        <f t="shared" si="33"/>
        <v>323424</v>
      </c>
      <c r="I57" s="17">
        <f t="shared" si="33"/>
        <v>342996</v>
      </c>
      <c r="J57" s="17">
        <f t="shared" si="33"/>
        <v>367812</v>
      </c>
      <c r="K57" s="43">
        <f t="shared" si="36"/>
        <v>407676.83608775685</v>
      </c>
      <c r="L57" s="43">
        <f t="shared" si="35"/>
        <v>440975.77794510184</v>
      </c>
      <c r="M57" s="43">
        <f t="shared" si="35"/>
        <v>480758.25211158925</v>
      </c>
      <c r="N57" s="43">
        <f t="shared" si="35"/>
        <v>527434.40963834978</v>
      </c>
      <c r="O57" s="43">
        <f t="shared" si="35"/>
        <v>580297.43564611906</v>
      </c>
      <c r="P57" s="43">
        <f t="shared" si="35"/>
        <v>639278.12470680091</v>
      </c>
      <c r="Q57" s="43">
        <f t="shared" si="35"/>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x14ac:dyDescent="0.25">
      <c r="A58" s="5"/>
      <c r="B58" s="25"/>
      <c r="C58" s="25" t="s">
        <v>92</v>
      </c>
      <c r="D58" s="25" t="s">
        <v>360</v>
      </c>
      <c r="E58" s="25">
        <v>2012</v>
      </c>
      <c r="F58" s="27" t="s">
        <v>85</v>
      </c>
      <c r="G58" s="17">
        <f t="shared" si="33"/>
        <v>575390</v>
      </c>
      <c r="H58" s="17">
        <f t="shared" si="33"/>
        <v>645906</v>
      </c>
      <c r="I58" s="17">
        <f t="shared" si="33"/>
        <v>656803</v>
      </c>
      <c r="J58" s="17">
        <f t="shared" si="33"/>
        <v>722653</v>
      </c>
      <c r="K58" s="43">
        <f t="shared" si="36"/>
        <v>800976.82682817779</v>
      </c>
      <c r="L58" s="43">
        <f t="shared" si="35"/>
        <v>866400.41341598879</v>
      </c>
      <c r="M58" s="43">
        <f t="shared" si="35"/>
        <v>944562.4209193727</v>
      </c>
      <c r="N58" s="43">
        <f t="shared" si="35"/>
        <v>1036268.6873413112</v>
      </c>
      <c r="O58" s="43">
        <f t="shared" si="35"/>
        <v>1140130.5089610312</v>
      </c>
      <c r="P58" s="43">
        <f t="shared" si="35"/>
        <v>1256011.9154724255</v>
      </c>
      <c r="Q58" s="43">
        <f t="shared" si="35"/>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x14ac:dyDescent="0.25">
      <c r="A59" s="5"/>
      <c r="B59" s="25"/>
      <c r="C59" s="25" t="s">
        <v>93</v>
      </c>
      <c r="D59" s="25" t="s">
        <v>360</v>
      </c>
      <c r="E59" s="25">
        <v>2012</v>
      </c>
      <c r="F59" s="27" t="s">
        <v>85</v>
      </c>
      <c r="G59" s="17">
        <f t="shared" si="33"/>
        <v>46947</v>
      </c>
      <c r="H59" s="17">
        <f t="shared" si="33"/>
        <v>51205</v>
      </c>
      <c r="I59" s="17">
        <f t="shared" si="33"/>
        <v>56641</v>
      </c>
      <c r="J59" s="17">
        <f t="shared" si="33"/>
        <v>63310</v>
      </c>
      <c r="K59" s="43">
        <f t="shared" si="36"/>
        <v>70171.773875555678</v>
      </c>
      <c r="L59" s="43">
        <f t="shared" si="35"/>
        <v>75903.386789186872</v>
      </c>
      <c r="M59" s="43">
        <f t="shared" si="35"/>
        <v>82750.984038543393</v>
      </c>
      <c r="N59" s="43">
        <f t="shared" si="35"/>
        <v>90785.163274183345</v>
      </c>
      <c r="O59" s="43">
        <f t="shared" si="35"/>
        <v>99884.263294171484</v>
      </c>
      <c r="P59" s="43">
        <f t="shared" si="35"/>
        <v>110036.37204655522</v>
      </c>
      <c r="Q59" s="43">
        <f t="shared" si="35"/>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x14ac:dyDescent="0.25">
      <c r="A60" s="5"/>
      <c r="B60" s="25"/>
      <c r="C60" s="25" t="s">
        <v>94</v>
      </c>
      <c r="D60" s="25" t="s">
        <v>360</v>
      </c>
      <c r="E60" s="25">
        <v>2012</v>
      </c>
      <c r="F60" s="27" t="s">
        <v>85</v>
      </c>
      <c r="G60" s="17">
        <f t="shared" si="33"/>
        <v>63257</v>
      </c>
      <c r="H60" s="17">
        <f t="shared" si="33"/>
        <v>70293</v>
      </c>
      <c r="I60" s="17">
        <f t="shared" si="33"/>
        <v>74199</v>
      </c>
      <c r="J60" s="17">
        <f t="shared" si="33"/>
        <v>82793</v>
      </c>
      <c r="K60" s="43">
        <f t="shared" si="36"/>
        <v>91766.414065374847</v>
      </c>
      <c r="L60" s="43">
        <f t="shared" si="35"/>
        <v>99261.87178071629</v>
      </c>
      <c r="M60" s="43">
        <f t="shared" si="35"/>
        <v>108216.74650928956</v>
      </c>
      <c r="N60" s="43">
        <f t="shared" si="35"/>
        <v>118723.3616010024</v>
      </c>
      <c r="O60" s="43">
        <f t="shared" si="35"/>
        <v>130622.61587291643</v>
      </c>
      <c r="P60" s="43">
        <f t="shared" si="35"/>
        <v>143898.93146186142</v>
      </c>
      <c r="Q60" s="43">
        <f t="shared" si="35"/>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x14ac:dyDescent="0.25">
      <c r="A61" s="5"/>
      <c r="B61" s="13"/>
      <c r="C61" s="25" t="s">
        <v>5</v>
      </c>
      <c r="D61" s="25" t="s">
        <v>360</v>
      </c>
      <c r="E61" s="25">
        <v>2012</v>
      </c>
      <c r="F61" s="27" t="s">
        <v>85</v>
      </c>
      <c r="G61" s="17">
        <f t="shared" si="33"/>
        <v>217724</v>
      </c>
      <c r="H61" s="17">
        <f t="shared" si="33"/>
        <v>263911</v>
      </c>
      <c r="I61" s="17">
        <f t="shared" si="33"/>
        <v>283544</v>
      </c>
      <c r="J61" s="17">
        <f t="shared" si="33"/>
        <v>337590</v>
      </c>
      <c r="K61" s="43">
        <f t="shared" si="36"/>
        <v>374179.26303346775</v>
      </c>
      <c r="L61" s="43">
        <f t="shared" si="35"/>
        <v>404742.13151416194</v>
      </c>
      <c r="M61" s="43">
        <f t="shared" si="35"/>
        <v>441255.80005641858</v>
      </c>
      <c r="N61" s="43">
        <f t="shared" si="35"/>
        <v>484096.7188395444</v>
      </c>
      <c r="O61" s="43">
        <f t="shared" si="35"/>
        <v>532616.14982592559</v>
      </c>
      <c r="P61" s="43">
        <f t="shared" si="35"/>
        <v>586750.57398825744</v>
      </c>
      <c r="Q61" s="43">
        <f t="shared" si="35"/>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x14ac:dyDescent="0.25">
      <c r="A62" s="5"/>
      <c r="B62" s="13"/>
      <c r="C62" s="25" t="s">
        <v>61</v>
      </c>
      <c r="D62" s="25" t="s">
        <v>360</v>
      </c>
      <c r="E62" s="25">
        <v>2012</v>
      </c>
      <c r="F62" s="27" t="s">
        <v>85</v>
      </c>
      <c r="G62" s="17">
        <f t="shared" si="33"/>
        <v>164117</v>
      </c>
      <c r="H62" s="17">
        <f t="shared" si="33"/>
        <v>191715</v>
      </c>
      <c r="I62" s="17">
        <f t="shared" si="33"/>
        <v>208500</v>
      </c>
      <c r="J62" s="17">
        <f t="shared" si="33"/>
        <v>239696</v>
      </c>
      <c r="K62" s="43">
        <f t="shared" si="36"/>
        <v>265675.14627823717</v>
      </c>
      <c r="L62" s="43">
        <f t="shared" si="35"/>
        <v>287375.42568031803</v>
      </c>
      <c r="M62" s="43">
        <f t="shared" si="35"/>
        <v>313300.89827993512</v>
      </c>
      <c r="N62" s="43">
        <f t="shared" si="35"/>
        <v>343718.85162168142</v>
      </c>
      <c r="O62" s="43">
        <f t="shared" si="35"/>
        <v>378168.66805496329</v>
      </c>
      <c r="P62" s="43">
        <f t="shared" si="35"/>
        <v>416605.24773449847</v>
      </c>
      <c r="Q62" s="43">
        <f t="shared" si="35"/>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x14ac:dyDescent="0.25">
      <c r="A63" s="5"/>
      <c r="B63" s="25"/>
      <c r="C63" s="25" t="s">
        <v>95</v>
      </c>
      <c r="D63" s="25" t="s">
        <v>360</v>
      </c>
      <c r="E63" s="25">
        <v>2012</v>
      </c>
      <c r="F63" s="27" t="s">
        <v>85</v>
      </c>
      <c r="G63" s="17">
        <f t="shared" si="33"/>
        <v>1505</v>
      </c>
      <c r="H63" s="17">
        <f t="shared" si="33"/>
        <v>1655</v>
      </c>
      <c r="I63" s="17">
        <f t="shared" si="33"/>
        <v>2327</v>
      </c>
      <c r="J63" s="17">
        <f t="shared" si="33"/>
        <v>2431</v>
      </c>
      <c r="K63" s="43">
        <f t="shared" si="36"/>
        <v>2694.4808449135344</v>
      </c>
      <c r="L63" s="43">
        <f t="shared" si="35"/>
        <v>2914.5653654164157</v>
      </c>
      <c r="M63" s="43">
        <f t="shared" si="35"/>
        <v>3177.5018511719945</v>
      </c>
      <c r="N63" s="43">
        <f t="shared" si="35"/>
        <v>3486.0011359902028</v>
      </c>
      <c r="O63" s="43">
        <f t="shared" si="35"/>
        <v>3835.3916295708555</v>
      </c>
      <c r="P63" s="43">
        <f t="shared" si="35"/>
        <v>4225.2159286870283</v>
      </c>
      <c r="Q63" s="43">
        <f t="shared" si="35"/>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x14ac:dyDescent="0.25">
      <c r="A64" s="5"/>
      <c r="B64" s="25"/>
      <c r="C64" s="25" t="s">
        <v>97</v>
      </c>
      <c r="D64" s="25" t="s">
        <v>360</v>
      </c>
      <c r="E64" s="25">
        <v>2012</v>
      </c>
      <c r="F64" s="27" t="s">
        <v>85</v>
      </c>
      <c r="G64" s="17">
        <f t="shared" si="33"/>
        <v>3337</v>
      </c>
      <c r="H64" s="17">
        <f t="shared" si="33"/>
        <v>5086</v>
      </c>
      <c r="I64" s="17">
        <f t="shared" si="33"/>
        <v>4789</v>
      </c>
      <c r="J64" s="17">
        <f t="shared" si="33"/>
        <v>4809</v>
      </c>
      <c r="K64" s="43">
        <f t="shared" si="36"/>
        <v>5330.2173521962923</v>
      </c>
      <c r="L64" s="43">
        <f t="shared" si="35"/>
        <v>5765.5881704185695</v>
      </c>
      <c r="M64" s="43">
        <f t="shared" si="35"/>
        <v>6285.7286722690751</v>
      </c>
      <c r="N64" s="43">
        <f t="shared" si="35"/>
        <v>6896.0014245071507</v>
      </c>
      <c r="O64" s="43">
        <f t="shared" si="35"/>
        <v>7587.1650952720047</v>
      </c>
      <c r="P64" s="43">
        <f t="shared" si="35"/>
        <v>8358.3148502903805</v>
      </c>
      <c r="Q64" s="43">
        <f t="shared" si="35"/>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x14ac:dyDescent="0.25">
      <c r="A65" s="5"/>
      <c r="B65" s="25"/>
      <c r="C65" s="25" t="s">
        <v>96</v>
      </c>
      <c r="D65" s="25" t="s">
        <v>360</v>
      </c>
      <c r="E65" s="25">
        <v>2012</v>
      </c>
      <c r="F65" s="27" t="s">
        <v>85</v>
      </c>
      <c r="G65" s="17">
        <f t="shared" si="33"/>
        <v>1374</v>
      </c>
      <c r="H65" s="17">
        <f t="shared" si="33"/>
        <v>1561</v>
      </c>
      <c r="I65" s="17">
        <f t="shared" si="33"/>
        <v>2153</v>
      </c>
      <c r="J65" s="17">
        <f t="shared" si="33"/>
        <v>2344</v>
      </c>
      <c r="K65" s="43">
        <f t="shared" si="36"/>
        <v>2598.0514605007502</v>
      </c>
      <c r="L65" s="43">
        <f t="shared" si="35"/>
        <v>2810.259653038288</v>
      </c>
      <c r="M65" s="43">
        <f t="shared" si="35"/>
        <v>3063.7862357660033</v>
      </c>
      <c r="N65" s="43">
        <f t="shared" si="35"/>
        <v>3361.2450278737283</v>
      </c>
      <c r="O65" s="43">
        <f t="shared" si="35"/>
        <v>3698.1316247281302</v>
      </c>
      <c r="P65" s="43">
        <f t="shared" si="35"/>
        <v>4074.0049925308072</v>
      </c>
      <c r="Q65" s="43">
        <f t="shared" si="35"/>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x14ac:dyDescent="0.25">
      <c r="A66" s="5"/>
      <c r="B66" s="25"/>
      <c r="C66" s="25"/>
      <c r="D66" s="25"/>
      <c r="E66" s="25"/>
      <c r="F66" s="16"/>
      <c r="G66" s="30"/>
      <c r="H66" s="30"/>
      <c r="I66" s="30"/>
      <c r="J66" s="30"/>
      <c r="R66" s="38"/>
    </row>
    <row r="67" spans="1:79" x14ac:dyDescent="0.25">
      <c r="A67" s="5"/>
      <c r="B67" s="25"/>
      <c r="C67" s="25"/>
      <c r="D67" s="25"/>
      <c r="E67" s="25"/>
      <c r="F67" s="16"/>
      <c r="G67" s="30"/>
      <c r="H67" s="30"/>
      <c r="I67" s="30"/>
      <c r="J67" s="30"/>
      <c r="R67" s="38"/>
    </row>
    <row r="68" spans="1:79" x14ac:dyDescent="0.25">
      <c r="A68" s="5"/>
      <c r="B68" s="25" t="s">
        <v>44</v>
      </c>
      <c r="C68" s="25" t="s">
        <v>48</v>
      </c>
      <c r="D68" s="25" t="s">
        <v>103</v>
      </c>
      <c r="E68" s="25"/>
      <c r="F68" s="42" t="s">
        <v>102</v>
      </c>
      <c r="G68" s="17">
        <f t="shared" ref="G68:Q68" si="37">INDEX($S68:$CA68,MATCH(G$1,$S$1:$CA$1,0))</f>
        <v>1132705.89645008</v>
      </c>
      <c r="H68" s="17">
        <f t="shared" si="37"/>
        <v>1286063.4678481901</v>
      </c>
      <c r="I68" s="17">
        <f t="shared" si="37"/>
        <v>1361085.7914598</v>
      </c>
      <c r="J68" s="17">
        <f t="shared" si="37"/>
        <v>1520564.3540934401</v>
      </c>
      <c r="K68" s="17">
        <f t="shared" si="37"/>
        <v>1684775</v>
      </c>
      <c r="L68" s="17">
        <f t="shared" si="37"/>
        <v>1822387</v>
      </c>
      <c r="M68" s="17">
        <f t="shared" si="37"/>
        <v>1986793</v>
      </c>
      <c r="N68" s="17">
        <f t="shared" si="37"/>
        <v>2179688</v>
      </c>
      <c r="O68" s="17">
        <f t="shared" si="37"/>
        <v>2398151</v>
      </c>
      <c r="P68" s="17">
        <f t="shared" si="37"/>
        <v>2641896</v>
      </c>
      <c r="Q68" s="17">
        <f t="shared" si="37"/>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x14ac:dyDescent="0.25">
      <c r="A69" s="5"/>
      <c r="B69" s="13"/>
      <c r="C69" s="13"/>
      <c r="D69" s="25" t="s">
        <v>104</v>
      </c>
      <c r="E69" s="25"/>
      <c r="F69" s="9" t="s">
        <v>86</v>
      </c>
      <c r="G69" s="56">
        <f>G68*G72</f>
        <v>1390475.7773052247</v>
      </c>
      <c r="H69" s="56">
        <f t="shared" ref="H69:J69" si="38">H68*H72</f>
        <v>1560823.2113731487</v>
      </c>
      <c r="I69" s="56">
        <f t="shared" si="38"/>
        <v>1662703.763933083</v>
      </c>
      <c r="J69" s="56">
        <f t="shared" si="38"/>
        <v>1897670.3961660294</v>
      </c>
      <c r="K69" s="57">
        <f t="shared" ref="K69" si="39">K68*K72</f>
        <v>2102605.9390999996</v>
      </c>
      <c r="L69" s="57">
        <f t="shared" ref="L69" si="40">L68*L72</f>
        <v>2274346.2655479996</v>
      </c>
      <c r="M69" s="57">
        <f t="shared" ref="M69" si="41">M68*M72</f>
        <v>2479525.6111719999</v>
      </c>
      <c r="N69" s="57">
        <f t="shared" ref="N69" si="42">N68*N72</f>
        <v>2720259.3427519999</v>
      </c>
      <c r="O69" s="57">
        <f t="shared" ref="O69" si="43">O68*O72</f>
        <v>2992902.0406039995</v>
      </c>
      <c r="P69" s="57">
        <f t="shared" ref="P69" si="44">P68*P72</f>
        <v>3297096.7755839997</v>
      </c>
      <c r="Q69" s="57">
        <f t="shared" ref="Q69" si="45">Q68*Q72</f>
        <v>3630713.2048639995</v>
      </c>
      <c r="R69" s="38"/>
    </row>
    <row r="70" spans="1:79" x14ac:dyDescent="0.25">
      <c r="A70" s="5"/>
      <c r="B70" s="13"/>
      <c r="C70" s="13"/>
      <c r="D70" s="13"/>
      <c r="E70" s="13"/>
      <c r="F70" s="9"/>
      <c r="G70" s="55">
        <f>G52/G69</f>
        <v>1.0494990447285346</v>
      </c>
      <c r="H70" s="55">
        <f t="shared" ref="H70:J70" si="46">H52/H69</f>
        <v>1.0577008260580771</v>
      </c>
      <c r="I70" s="55">
        <f t="shared" si="46"/>
        <v>1.0463962599594028</v>
      </c>
      <c r="J70" s="55">
        <f t="shared" si="46"/>
        <v>1.0185662399040176</v>
      </c>
      <c r="K70" s="29"/>
      <c r="L70" s="29"/>
      <c r="M70" s="29"/>
      <c r="N70" s="29"/>
      <c r="O70" s="29"/>
      <c r="P70" s="29"/>
      <c r="Q70" s="29"/>
      <c r="R70" s="38"/>
    </row>
    <row r="71" spans="1:79" x14ac:dyDescent="0.25">
      <c r="A71" s="5"/>
      <c r="B71" s="25"/>
      <c r="C71" s="25"/>
      <c r="D71" s="25"/>
      <c r="E71" s="25"/>
      <c r="F71" s="16"/>
      <c r="H71" s="29"/>
      <c r="I71" s="29"/>
      <c r="J71" s="29"/>
      <c r="K71" s="29"/>
      <c r="L71" s="29"/>
      <c r="M71" s="29"/>
      <c r="N71" s="29"/>
      <c r="O71" s="29"/>
      <c r="P71" s="29"/>
      <c r="Q71" s="29"/>
      <c r="R71" s="38"/>
    </row>
    <row r="72" spans="1:79" x14ac:dyDescent="0.25">
      <c r="A72" s="5"/>
      <c r="B72" s="25" t="s">
        <v>105</v>
      </c>
      <c r="C72" s="25" t="s">
        <v>48</v>
      </c>
      <c r="D72" s="25" t="s">
        <v>106</v>
      </c>
      <c r="E72" s="25"/>
      <c r="F72" s="42" t="s">
        <v>107</v>
      </c>
      <c r="G72" s="34">
        <f t="shared" ref="G72:J72" si="47">INDEX($S72:$CA72,MATCH(G$1,$S$1:$CA$1,0))</f>
        <v>1.2275700000000001</v>
      </c>
      <c r="H72" s="34">
        <f t="shared" si="47"/>
        <v>1.2136439999999999</v>
      </c>
      <c r="I72" s="34">
        <f t="shared" si="47"/>
        <v>1.2216009999999999</v>
      </c>
      <c r="J72" s="34">
        <f t="shared" si="47"/>
        <v>1.2480039999999999</v>
      </c>
      <c r="K72" s="54">
        <f>J72</f>
        <v>1.2480039999999999</v>
      </c>
      <c r="L72" s="54">
        <f t="shared" ref="L72:Q72" si="48">K72</f>
        <v>1.2480039999999999</v>
      </c>
      <c r="M72" s="54">
        <f t="shared" si="48"/>
        <v>1.2480039999999999</v>
      </c>
      <c r="N72" s="54">
        <f t="shared" si="48"/>
        <v>1.2480039999999999</v>
      </c>
      <c r="O72" s="54">
        <f t="shared" si="48"/>
        <v>1.2480039999999999</v>
      </c>
      <c r="P72" s="54">
        <f t="shared" si="48"/>
        <v>1.2480039999999999</v>
      </c>
      <c r="Q72" s="54">
        <f t="shared" si="4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x14ac:dyDescent="0.25">
      <c r="A73" s="5"/>
      <c r="B73" s="25"/>
      <c r="C73" s="25"/>
      <c r="D73" s="25"/>
      <c r="E73" s="25"/>
      <c r="F73" s="16"/>
      <c r="H73" s="29"/>
      <c r="I73" s="29"/>
      <c r="J73" s="29"/>
      <c r="K73" s="29"/>
      <c r="L73" s="29"/>
      <c r="M73" s="29"/>
      <c r="N73" s="29"/>
      <c r="O73" s="29"/>
      <c r="P73" s="29"/>
      <c r="Q73" s="29"/>
      <c r="R73" s="38"/>
    </row>
    <row r="74" spans="1:79" x14ac:dyDescent="0.25">
      <c r="A74" s="5"/>
      <c r="B74" s="25" t="s">
        <v>116</v>
      </c>
      <c r="C74" s="25" t="s">
        <v>48</v>
      </c>
      <c r="D74" s="72"/>
      <c r="E74" s="72"/>
      <c r="F74" s="70"/>
      <c r="G74" s="73"/>
      <c r="H74" s="35"/>
      <c r="I74" s="35"/>
      <c r="J74" s="35"/>
      <c r="K74" s="35"/>
      <c r="L74" s="35"/>
      <c r="M74" s="35"/>
      <c r="N74" s="35"/>
      <c r="O74" s="35"/>
      <c r="P74" s="35"/>
      <c r="Q74" s="35"/>
      <c r="R74" s="38"/>
    </row>
    <row r="75" spans="1:79" x14ac:dyDescent="0.25">
      <c r="A75" s="5"/>
      <c r="B75" s="25"/>
      <c r="C75" s="25"/>
      <c r="D75" s="25"/>
      <c r="E75" s="25"/>
      <c r="F75" s="16"/>
      <c r="H75" s="29"/>
      <c r="I75" s="29"/>
      <c r="J75" s="29"/>
      <c r="K75" s="29"/>
      <c r="L75" s="29"/>
      <c r="M75" s="29"/>
      <c r="N75" s="29"/>
      <c r="O75" s="29"/>
      <c r="P75" s="29"/>
      <c r="Q75" s="29"/>
      <c r="R75" s="38"/>
    </row>
    <row r="76" spans="1:79" x14ac:dyDescent="0.25">
      <c r="A76" s="5"/>
      <c r="B76" s="25"/>
      <c r="C76" s="25"/>
      <c r="D76" s="25"/>
      <c r="E76" s="25"/>
      <c r="F76" s="16"/>
      <c r="H76" s="29"/>
      <c r="I76" s="29"/>
      <c r="J76" s="29"/>
      <c r="K76" s="29"/>
      <c r="L76" s="29"/>
      <c r="M76" s="29"/>
      <c r="N76" s="29"/>
      <c r="O76" s="29"/>
      <c r="P76" s="29"/>
      <c r="Q76" s="29"/>
      <c r="R76" s="38"/>
    </row>
    <row r="77" spans="1:79" x14ac:dyDescent="0.25">
      <c r="A77" s="5"/>
      <c r="B77" s="25"/>
      <c r="C77" s="25"/>
      <c r="D77" s="25"/>
      <c r="E77" s="25"/>
      <c r="F77" s="16"/>
      <c r="H77" s="29"/>
      <c r="I77" s="29"/>
      <c r="J77" s="29"/>
      <c r="K77" s="29"/>
      <c r="L77" s="29"/>
      <c r="M77" s="29"/>
      <c r="N77" s="29"/>
      <c r="O77" s="29"/>
      <c r="P77" s="29"/>
      <c r="Q77" s="29"/>
      <c r="R77" s="38"/>
    </row>
    <row r="78" spans="1:79" x14ac:dyDescent="0.25">
      <c r="A78" s="5"/>
      <c r="B78" s="25"/>
      <c r="C78" s="25"/>
      <c r="D78" s="25"/>
      <c r="E78" s="25"/>
      <c r="F78" s="16"/>
      <c r="H78" s="29"/>
      <c r="I78" s="29"/>
      <c r="J78" s="29"/>
      <c r="K78" s="29"/>
      <c r="L78" s="29"/>
      <c r="M78" s="29"/>
      <c r="N78" s="29"/>
      <c r="O78" s="29"/>
      <c r="P78" s="29"/>
      <c r="Q78" s="29"/>
      <c r="R78" s="38"/>
    </row>
    <row r="79" spans="1:79" x14ac:dyDescent="0.25">
      <c r="A79" s="5"/>
      <c r="B79" s="25"/>
      <c r="C79" s="25"/>
      <c r="D79" s="25"/>
      <c r="E79" s="25"/>
      <c r="F79" s="16"/>
      <c r="H79" s="29"/>
      <c r="I79" s="29"/>
      <c r="J79" s="29"/>
      <c r="K79" s="29"/>
      <c r="L79" s="29"/>
      <c r="M79" s="29"/>
      <c r="N79" s="29"/>
      <c r="O79" s="29"/>
      <c r="P79" s="29"/>
      <c r="Q79" s="29"/>
      <c r="R79" s="38"/>
    </row>
    <row r="80" spans="1:79" x14ac:dyDescent="0.25">
      <c r="A80" s="5"/>
      <c r="B80" s="25"/>
      <c r="C80" s="25"/>
      <c r="D80" s="25"/>
      <c r="E80" s="25"/>
      <c r="F80" s="16"/>
      <c r="H80" s="29"/>
      <c r="I80" s="29"/>
      <c r="J80" s="29"/>
      <c r="K80" s="29"/>
      <c r="L80" s="29"/>
      <c r="M80" s="29"/>
      <c r="N80" s="29"/>
      <c r="O80" s="29"/>
      <c r="P80" s="29"/>
      <c r="Q80" s="29"/>
      <c r="R80" s="38"/>
    </row>
    <row r="81" spans="1:18" x14ac:dyDescent="0.25">
      <c r="A81" s="5"/>
      <c r="B81" s="25"/>
      <c r="C81" s="25"/>
      <c r="D81" s="25"/>
      <c r="E81" s="25"/>
      <c r="F81" s="16"/>
      <c r="H81" s="29"/>
      <c r="I81" s="29"/>
      <c r="J81" s="29"/>
      <c r="K81" s="29"/>
      <c r="L81" s="29"/>
      <c r="M81" s="29"/>
      <c r="N81" s="29"/>
      <c r="O81" s="29"/>
      <c r="P81" s="29"/>
      <c r="Q81" s="29"/>
      <c r="R81" s="38"/>
    </row>
    <row r="82" spans="1:18" x14ac:dyDescent="0.25">
      <c r="A82" s="5"/>
      <c r="B82" s="25"/>
      <c r="C82" s="25"/>
      <c r="D82" s="25"/>
      <c r="E82" s="25"/>
      <c r="F82" s="16"/>
      <c r="H82" s="29"/>
      <c r="I82" s="29"/>
      <c r="J82" s="29"/>
      <c r="K82" s="29"/>
      <c r="L82" s="29"/>
      <c r="M82" s="29"/>
      <c r="N82" s="29"/>
      <c r="O82" s="29"/>
      <c r="P82" s="29"/>
      <c r="Q82" s="29"/>
      <c r="R82" s="38"/>
    </row>
    <row r="83" spans="1:18" x14ac:dyDescent="0.25">
      <c r="A83" s="5"/>
      <c r="B83" s="25"/>
      <c r="C83" s="25"/>
      <c r="D83" s="25"/>
      <c r="E83" s="25"/>
      <c r="F83" s="16"/>
      <c r="H83" s="29"/>
      <c r="I83" s="29"/>
      <c r="J83" s="29"/>
      <c r="K83" s="29"/>
      <c r="L83" s="29"/>
      <c r="M83" s="29"/>
      <c r="N83" s="29"/>
      <c r="O83" s="29"/>
      <c r="P83" s="29"/>
      <c r="Q83" s="29"/>
      <c r="R83" s="38"/>
    </row>
    <row r="84" spans="1:18" x14ac:dyDescent="0.25">
      <c r="A84" s="5"/>
      <c r="B84" s="25"/>
      <c r="C84" s="25"/>
      <c r="D84" s="25"/>
      <c r="E84" s="25"/>
      <c r="F84" s="16"/>
      <c r="H84" s="29"/>
      <c r="I84" s="29"/>
      <c r="J84" s="29"/>
      <c r="K84" s="29"/>
      <c r="L84" s="29"/>
      <c r="M84" s="29"/>
      <c r="N84" s="29"/>
      <c r="O84" s="29"/>
      <c r="P84" s="29"/>
      <c r="Q84" s="29"/>
      <c r="R84" s="38"/>
    </row>
    <row r="85" spans="1:18" x14ac:dyDescent="0.25">
      <c r="A85" s="5"/>
      <c r="B85" s="25"/>
      <c r="C85" s="25"/>
      <c r="D85" s="25"/>
      <c r="E85" s="25"/>
      <c r="F85" s="16"/>
      <c r="H85" s="29"/>
      <c r="I85" s="29"/>
      <c r="J85" s="29"/>
      <c r="K85" s="29"/>
      <c r="L85" s="29"/>
      <c r="M85" s="29"/>
      <c r="N85" s="29"/>
      <c r="O85" s="29"/>
      <c r="P85" s="29"/>
      <c r="Q85" s="29"/>
      <c r="R85" s="38"/>
    </row>
    <row r="86" spans="1:18" x14ac:dyDescent="0.25">
      <c r="A86" s="5"/>
      <c r="B86" s="25"/>
      <c r="C86" s="25"/>
      <c r="D86" s="25"/>
      <c r="E86" s="25"/>
      <c r="F86" s="16"/>
      <c r="H86" s="29"/>
      <c r="I86" s="29"/>
      <c r="J86" s="29"/>
      <c r="K86" s="29"/>
      <c r="L86" s="29"/>
      <c r="M86" s="29"/>
      <c r="N86" s="29"/>
      <c r="O86" s="29"/>
      <c r="P86" s="29"/>
      <c r="Q86" s="29"/>
      <c r="R86" s="38"/>
    </row>
    <row r="87" spans="1:18" x14ac:dyDescent="0.25">
      <c r="A87" s="5"/>
      <c r="B87" s="25"/>
      <c r="C87" s="25"/>
      <c r="D87" s="25"/>
      <c r="E87" s="25"/>
      <c r="F87" s="16"/>
      <c r="H87" s="29"/>
      <c r="I87" s="29"/>
      <c r="J87" s="29"/>
      <c r="K87" s="29"/>
      <c r="L87" s="29"/>
      <c r="M87" s="29"/>
      <c r="N87" s="29"/>
      <c r="O87" s="29"/>
      <c r="P87" s="29"/>
      <c r="Q87" s="29"/>
      <c r="R87" s="38"/>
    </row>
    <row r="88" spans="1:18" x14ac:dyDescent="0.25">
      <c r="A88" s="5"/>
      <c r="B88" s="25"/>
      <c r="C88" s="25"/>
      <c r="D88" s="25"/>
      <c r="E88" s="25"/>
      <c r="F88" s="16"/>
      <c r="H88" s="29"/>
      <c r="I88" s="29"/>
      <c r="J88" s="29"/>
      <c r="K88" s="29"/>
      <c r="L88" s="29"/>
      <c r="M88" s="29"/>
      <c r="N88" s="29"/>
      <c r="O88" s="29"/>
      <c r="P88" s="29"/>
      <c r="Q88" s="29"/>
      <c r="R88" s="38"/>
    </row>
    <row r="89" spans="1:18" x14ac:dyDescent="0.25">
      <c r="A89" s="5"/>
      <c r="B89" s="25"/>
      <c r="C89" s="25"/>
      <c r="D89" s="25"/>
      <c r="E89" s="25"/>
      <c r="F89" s="16"/>
      <c r="H89" s="29"/>
      <c r="I89" s="29"/>
      <c r="J89" s="29"/>
      <c r="K89" s="29"/>
      <c r="L89" s="29"/>
      <c r="M89" s="29"/>
      <c r="N89" s="29"/>
      <c r="O89" s="29"/>
      <c r="P89" s="29"/>
      <c r="Q89" s="29"/>
      <c r="R89" s="38"/>
    </row>
    <row r="90" spans="1:18" x14ac:dyDescent="0.25">
      <c r="A90" s="5"/>
      <c r="B90" s="25"/>
      <c r="C90" s="25"/>
      <c r="D90" s="25"/>
      <c r="E90" s="25"/>
      <c r="F90" s="16"/>
      <c r="H90" s="29"/>
      <c r="I90" s="29"/>
      <c r="J90" s="29"/>
      <c r="K90" s="29"/>
      <c r="L90" s="29"/>
      <c r="M90" s="29"/>
      <c r="N90" s="29"/>
      <c r="O90" s="29"/>
      <c r="P90" s="29"/>
      <c r="Q90" s="29"/>
      <c r="R90" s="38"/>
    </row>
    <row r="91" spans="1:18" x14ac:dyDescent="0.25">
      <c r="A91" s="5"/>
      <c r="B91" s="25"/>
      <c r="C91" s="25"/>
      <c r="D91" s="25"/>
      <c r="E91" s="25"/>
      <c r="F91" s="16"/>
      <c r="H91" s="29"/>
      <c r="I91" s="29"/>
      <c r="J91" s="29"/>
      <c r="K91" s="29"/>
      <c r="L91" s="29"/>
      <c r="M91" s="29"/>
      <c r="N91" s="29"/>
      <c r="O91" s="29"/>
      <c r="P91" s="29"/>
      <c r="Q91" s="29"/>
      <c r="R91" s="38"/>
    </row>
    <row r="92" spans="1:18" x14ac:dyDescent="0.25">
      <c r="A92" s="5"/>
      <c r="B92" s="25"/>
      <c r="C92" s="25"/>
      <c r="D92" s="25"/>
      <c r="E92" s="25"/>
      <c r="F92" s="16"/>
      <c r="H92" s="29"/>
      <c r="I92" s="29"/>
      <c r="J92" s="29"/>
      <c r="K92" s="29"/>
      <c r="L92" s="29"/>
      <c r="M92" s="29"/>
      <c r="N92" s="29"/>
      <c r="O92" s="29"/>
      <c r="P92" s="29"/>
      <c r="Q92" s="29"/>
      <c r="R92" s="38"/>
    </row>
    <row r="93" spans="1:18" x14ac:dyDescent="0.25">
      <c r="A93" s="5"/>
      <c r="B93" s="25"/>
      <c r="C93" s="25"/>
      <c r="D93" s="25"/>
      <c r="E93" s="25"/>
      <c r="F93" s="16"/>
      <c r="H93" s="29"/>
      <c r="I93" s="29"/>
      <c r="J93" s="29"/>
      <c r="K93" s="29"/>
      <c r="L93" s="29"/>
      <c r="M93" s="29"/>
      <c r="N93" s="29"/>
      <c r="O93" s="29"/>
      <c r="P93" s="29"/>
      <c r="Q93" s="29"/>
      <c r="R93" s="38"/>
    </row>
    <row r="94" spans="1:18" x14ac:dyDescent="0.25">
      <c r="A94" s="5"/>
      <c r="B94" s="25"/>
      <c r="C94" s="25"/>
      <c r="D94" s="25"/>
      <c r="E94" s="25"/>
      <c r="F94" s="16"/>
      <c r="H94" s="29"/>
      <c r="I94" s="29"/>
      <c r="J94" s="29"/>
      <c r="K94" s="29"/>
      <c r="L94" s="29"/>
      <c r="M94" s="29"/>
      <c r="N94" s="29"/>
      <c r="O94" s="29"/>
      <c r="P94" s="29"/>
      <c r="Q94" s="29"/>
      <c r="R94" s="38"/>
    </row>
    <row r="95" spans="1:18" x14ac:dyDescent="0.25">
      <c r="A95" s="5"/>
      <c r="B95" s="25"/>
      <c r="C95" s="25"/>
      <c r="D95" s="25"/>
      <c r="E95" s="25"/>
      <c r="F95" s="16"/>
      <c r="H95" s="29"/>
      <c r="I95" s="29"/>
      <c r="J95" s="29"/>
      <c r="K95" s="29"/>
      <c r="L95" s="29"/>
      <c r="M95" s="29"/>
      <c r="N95" s="29"/>
      <c r="O95" s="29"/>
      <c r="P95" s="29"/>
      <c r="Q95" s="29"/>
      <c r="R95" s="38"/>
    </row>
    <row r="96" spans="1:18" x14ac:dyDescent="0.25">
      <c r="A96" s="5"/>
      <c r="B96" s="25"/>
      <c r="C96" s="25"/>
      <c r="D96" s="25"/>
      <c r="E96" s="25"/>
      <c r="F96" s="16"/>
      <c r="H96" s="29"/>
      <c r="I96" s="29"/>
      <c r="J96" s="29"/>
      <c r="K96" s="29"/>
      <c r="L96" s="29"/>
      <c r="M96" s="29"/>
      <c r="N96" s="29"/>
      <c r="O96" s="29"/>
      <c r="P96" s="29"/>
      <c r="Q96" s="29"/>
      <c r="R96" s="38"/>
    </row>
    <row r="97" spans="1:18" x14ac:dyDescent="0.25">
      <c r="A97" s="5"/>
      <c r="B97" s="25"/>
      <c r="C97" s="25"/>
      <c r="D97" s="25"/>
      <c r="E97" s="25"/>
      <c r="F97" s="16"/>
      <c r="H97" s="29"/>
      <c r="I97" s="29"/>
      <c r="J97" s="29"/>
      <c r="K97" s="29"/>
      <c r="L97" s="29"/>
      <c r="M97" s="29"/>
      <c r="N97" s="29"/>
      <c r="O97" s="29"/>
      <c r="P97" s="29"/>
      <c r="Q97" s="29"/>
      <c r="R97" s="38"/>
    </row>
    <row r="98" spans="1:18" x14ac:dyDescent="0.25">
      <c r="A98" s="5"/>
      <c r="B98" s="25"/>
      <c r="C98" s="25"/>
      <c r="D98" s="25"/>
      <c r="E98" s="25"/>
      <c r="F98" s="16"/>
      <c r="H98" s="29"/>
      <c r="I98" s="29"/>
      <c r="J98" s="29"/>
      <c r="K98" s="29"/>
      <c r="L98" s="29"/>
      <c r="M98" s="29"/>
      <c r="N98" s="29"/>
      <c r="O98" s="29"/>
      <c r="P98" s="29"/>
      <c r="Q98" s="29"/>
      <c r="R98" s="38"/>
    </row>
    <row r="99" spans="1:18" x14ac:dyDescent="0.25">
      <c r="A99" s="5"/>
      <c r="B99" s="25"/>
      <c r="C99" s="25"/>
      <c r="D99" s="25"/>
      <c r="E99" s="25"/>
      <c r="F99" s="16"/>
      <c r="H99" s="29"/>
      <c r="I99" s="29"/>
      <c r="J99" s="29"/>
      <c r="K99" s="29"/>
      <c r="L99" s="29"/>
      <c r="M99" s="29"/>
      <c r="N99" s="29"/>
      <c r="O99" s="29"/>
      <c r="P99" s="29"/>
      <c r="Q99" s="29"/>
      <c r="R99" s="38"/>
    </row>
    <row r="100" spans="1:18" x14ac:dyDescent="0.25">
      <c r="A100" s="5"/>
      <c r="B100" s="25"/>
      <c r="C100" s="25"/>
      <c r="D100" s="25"/>
      <c r="E100" s="25"/>
      <c r="F100" s="16"/>
      <c r="H100" s="29"/>
      <c r="I100" s="29"/>
      <c r="J100" s="29"/>
      <c r="K100" s="29"/>
      <c r="L100" s="29"/>
      <c r="M100" s="29"/>
      <c r="N100" s="29"/>
      <c r="O100" s="29"/>
      <c r="P100" s="29"/>
      <c r="Q100" s="29"/>
      <c r="R100" s="38"/>
    </row>
    <row r="101" spans="1:18" x14ac:dyDescent="0.25">
      <c r="A101" s="5"/>
      <c r="B101" s="25"/>
      <c r="C101" s="25"/>
      <c r="D101" s="25"/>
      <c r="E101" s="25"/>
      <c r="F101" s="16"/>
      <c r="H101" s="29"/>
      <c r="I101" s="29"/>
      <c r="J101" s="29"/>
      <c r="K101" s="29"/>
      <c r="L101" s="29"/>
      <c r="M101" s="29"/>
      <c r="N101" s="29"/>
      <c r="O101" s="29"/>
      <c r="P101" s="29"/>
      <c r="Q101" s="29"/>
      <c r="R101" s="38"/>
    </row>
    <row r="102" spans="1:18" x14ac:dyDescent="0.25">
      <c r="A102" s="5"/>
      <c r="B102" s="25"/>
      <c r="C102" s="25"/>
      <c r="D102" s="25"/>
      <c r="E102" s="25"/>
      <c r="F102" s="16"/>
      <c r="H102" s="29"/>
      <c r="I102" s="29"/>
      <c r="J102" s="29"/>
      <c r="K102" s="29"/>
      <c r="L102" s="29"/>
      <c r="M102" s="29"/>
      <c r="N102" s="29"/>
      <c r="O102" s="29"/>
      <c r="P102" s="29"/>
      <c r="Q102" s="29"/>
      <c r="R102" s="38"/>
    </row>
    <row r="103" spans="1:18" x14ac:dyDescent="0.25">
      <c r="A103" s="5"/>
      <c r="B103" s="25"/>
      <c r="C103" s="25"/>
      <c r="D103" s="25"/>
      <c r="E103" s="25"/>
      <c r="F103" s="16"/>
      <c r="H103" s="29"/>
      <c r="I103" s="29"/>
      <c r="J103" s="29"/>
      <c r="K103" s="29"/>
      <c r="L103" s="29"/>
      <c r="M103" s="29"/>
      <c r="N103" s="29"/>
      <c r="O103" s="29"/>
      <c r="P103" s="29"/>
      <c r="Q103" s="29"/>
      <c r="R103" s="38"/>
    </row>
    <row r="104" spans="1:18" x14ac:dyDescent="0.25">
      <c r="A104" s="5"/>
      <c r="B104" s="25"/>
      <c r="C104" s="25"/>
      <c r="D104" s="25"/>
      <c r="E104" s="25"/>
      <c r="F104" s="16"/>
      <c r="H104" s="29"/>
      <c r="I104" s="29"/>
      <c r="J104" s="29"/>
      <c r="K104" s="29"/>
      <c r="L104" s="29"/>
      <c r="M104" s="29"/>
      <c r="N104" s="29"/>
      <c r="O104" s="29"/>
      <c r="P104" s="29"/>
      <c r="Q104" s="29"/>
      <c r="R104" s="38"/>
    </row>
    <row r="105" spans="1:18" x14ac:dyDescent="0.25">
      <c r="A105" s="5"/>
      <c r="B105" s="25"/>
      <c r="C105" s="25"/>
      <c r="D105" s="25"/>
      <c r="E105" s="25"/>
      <c r="F105" s="16"/>
      <c r="H105" s="29"/>
      <c r="I105" s="29"/>
      <c r="J105" s="29"/>
      <c r="K105" s="29"/>
      <c r="L105" s="29"/>
      <c r="M105" s="29"/>
      <c r="N105" s="29"/>
      <c r="O105" s="29"/>
      <c r="P105" s="29"/>
      <c r="Q105" s="29"/>
      <c r="R105" s="38"/>
    </row>
    <row r="106" spans="1:18" x14ac:dyDescent="0.25">
      <c r="A106" s="5"/>
      <c r="B106" s="25"/>
      <c r="C106" s="25"/>
      <c r="D106" s="25"/>
      <c r="E106" s="25"/>
      <c r="F106" s="16"/>
      <c r="H106" s="29"/>
      <c r="I106" s="29"/>
      <c r="J106" s="29"/>
      <c r="K106" s="29"/>
      <c r="L106" s="29"/>
      <c r="M106" s="29"/>
      <c r="N106" s="29"/>
      <c r="O106" s="29"/>
      <c r="P106" s="29"/>
      <c r="Q106" s="29"/>
      <c r="R106" s="38"/>
    </row>
    <row r="107" spans="1:18" x14ac:dyDescent="0.25">
      <c r="A107" s="5"/>
      <c r="B107" s="25"/>
      <c r="C107" s="25"/>
      <c r="D107" s="25"/>
      <c r="E107" s="25"/>
      <c r="F107" s="16"/>
      <c r="H107" s="29"/>
      <c r="I107" s="29"/>
      <c r="J107" s="29"/>
      <c r="K107" s="29"/>
      <c r="L107" s="29"/>
      <c r="M107" s="29"/>
      <c r="N107" s="29"/>
      <c r="O107" s="29"/>
      <c r="P107" s="29"/>
      <c r="Q107" s="29"/>
      <c r="R107" s="38"/>
    </row>
    <row r="108" spans="1:18" x14ac:dyDescent="0.25">
      <c r="A108" s="5"/>
      <c r="B108" s="25"/>
      <c r="C108" s="25"/>
      <c r="D108" s="25"/>
      <c r="E108" s="25"/>
      <c r="F108" s="16"/>
      <c r="H108" s="29"/>
      <c r="I108" s="29"/>
      <c r="J108" s="29"/>
      <c r="K108" s="29"/>
      <c r="L108" s="29"/>
      <c r="M108" s="29"/>
      <c r="N108" s="29"/>
      <c r="O108" s="29"/>
      <c r="P108" s="29"/>
      <c r="Q108" s="29"/>
      <c r="R108" s="38"/>
    </row>
    <row r="109" spans="1:18" x14ac:dyDescent="0.25">
      <c r="A109" s="5"/>
      <c r="B109" s="25"/>
      <c r="C109" s="25"/>
      <c r="D109" s="25"/>
      <c r="E109" s="25"/>
      <c r="F109" s="16"/>
      <c r="H109" s="29"/>
      <c r="I109" s="29"/>
      <c r="J109" s="29"/>
      <c r="K109" s="29"/>
      <c r="L109" s="29"/>
      <c r="M109" s="29"/>
      <c r="N109" s="29"/>
      <c r="O109" s="29"/>
      <c r="P109" s="29"/>
      <c r="Q109" s="29"/>
      <c r="R109" s="38"/>
    </row>
    <row r="110" spans="1:18" x14ac:dyDescent="0.25">
      <c r="A110" s="5"/>
      <c r="B110" s="25"/>
      <c r="C110" s="25"/>
      <c r="D110" s="25"/>
      <c r="E110" s="25"/>
      <c r="F110" s="16"/>
      <c r="H110" s="29"/>
      <c r="I110" s="29"/>
      <c r="J110" s="29"/>
      <c r="K110" s="29"/>
      <c r="L110" s="29"/>
      <c r="M110" s="29"/>
      <c r="N110" s="29"/>
      <c r="O110" s="29"/>
      <c r="P110" s="29"/>
      <c r="Q110" s="29"/>
      <c r="R110" s="38"/>
    </row>
    <row r="111" spans="1:18" x14ac:dyDescent="0.25">
      <c r="A111" s="5"/>
      <c r="B111" s="25"/>
      <c r="C111" s="25"/>
      <c r="D111" s="25"/>
      <c r="E111" s="25"/>
      <c r="F111" s="16"/>
      <c r="H111" s="29"/>
      <c r="I111" s="29"/>
      <c r="J111" s="29"/>
      <c r="K111" s="29"/>
      <c r="L111" s="29"/>
      <c r="M111" s="29"/>
      <c r="N111" s="29"/>
      <c r="O111" s="29"/>
      <c r="P111" s="29"/>
      <c r="Q111" s="29"/>
      <c r="R111" s="38"/>
    </row>
    <row r="112" spans="1:18" x14ac:dyDescent="0.25">
      <c r="A112" s="5"/>
      <c r="B112" s="25"/>
      <c r="C112" s="25"/>
      <c r="D112" s="25"/>
      <c r="E112" s="25"/>
      <c r="F112" s="16"/>
      <c r="H112" s="29"/>
      <c r="I112" s="29"/>
      <c r="J112" s="29"/>
      <c r="K112" s="29"/>
      <c r="L112" s="29"/>
      <c r="M112" s="29"/>
      <c r="N112" s="29"/>
      <c r="O112" s="29"/>
      <c r="P112" s="29"/>
      <c r="Q112" s="29"/>
      <c r="R112" s="38"/>
    </row>
    <row r="113" spans="1:18" x14ac:dyDescent="0.25">
      <c r="A113" s="5"/>
      <c r="B113" s="25"/>
      <c r="C113" s="25"/>
      <c r="D113" s="25"/>
      <c r="E113" s="25"/>
      <c r="F113" s="16"/>
      <c r="H113" s="29"/>
      <c r="I113" s="29"/>
      <c r="J113" s="29"/>
      <c r="K113" s="29"/>
      <c r="L113" s="29"/>
      <c r="M113" s="29"/>
      <c r="N113" s="29"/>
      <c r="O113" s="29"/>
      <c r="P113" s="29"/>
      <c r="Q113" s="29"/>
      <c r="R113" s="38"/>
    </row>
    <row r="114" spans="1:18" x14ac:dyDescent="0.25">
      <c r="A114" s="5"/>
      <c r="B114" s="25"/>
      <c r="C114" s="25"/>
      <c r="D114" s="25"/>
      <c r="E114" s="25"/>
      <c r="F114" s="16"/>
      <c r="H114" s="29"/>
      <c r="I114" s="29"/>
      <c r="J114" s="29"/>
      <c r="K114" s="29"/>
      <c r="L114" s="29"/>
      <c r="M114" s="29"/>
      <c r="N114" s="29"/>
      <c r="O114" s="29"/>
      <c r="P114" s="29"/>
      <c r="Q114" s="29"/>
      <c r="R114" s="38"/>
    </row>
    <row r="115" spans="1:18" x14ac:dyDescent="0.25">
      <c r="A115" s="5"/>
      <c r="B115" s="25"/>
      <c r="C115" s="25"/>
      <c r="D115" s="25"/>
      <c r="E115" s="25"/>
      <c r="F115" s="16"/>
      <c r="H115" s="29"/>
      <c r="I115" s="29"/>
      <c r="J115" s="29"/>
      <c r="K115" s="29"/>
      <c r="L115" s="29"/>
      <c r="M115" s="29"/>
      <c r="N115" s="29"/>
      <c r="O115" s="29"/>
      <c r="P115" s="29"/>
      <c r="Q115" s="29"/>
      <c r="R115" s="38"/>
    </row>
    <row r="116" spans="1:18" x14ac:dyDescent="0.25">
      <c r="A116" s="5"/>
      <c r="B116" s="25"/>
      <c r="C116" s="25"/>
      <c r="D116" s="25"/>
      <c r="E116" s="25"/>
      <c r="F116" s="16"/>
      <c r="H116" s="29"/>
      <c r="I116" s="29"/>
      <c r="J116" s="29"/>
      <c r="K116" s="29"/>
      <c r="L116" s="29"/>
      <c r="M116" s="29"/>
      <c r="N116" s="29"/>
      <c r="O116" s="29"/>
      <c r="P116" s="29"/>
      <c r="Q116" s="29"/>
      <c r="R116" s="38"/>
    </row>
    <row r="117" spans="1:18" x14ac:dyDescent="0.25">
      <c r="A117" s="5"/>
      <c r="B117" s="25"/>
      <c r="C117" s="25"/>
      <c r="D117" s="25"/>
      <c r="E117" s="25"/>
      <c r="F117" s="16"/>
      <c r="H117" s="29"/>
      <c r="I117" s="29"/>
      <c r="J117" s="29"/>
      <c r="K117" s="29"/>
      <c r="L117" s="29"/>
      <c r="M117" s="29"/>
      <c r="N117" s="29"/>
      <c r="O117" s="29"/>
      <c r="P117" s="29"/>
      <c r="Q117" s="29"/>
      <c r="R117" s="38"/>
    </row>
    <row r="118" spans="1:18" x14ac:dyDescent="0.25">
      <c r="A118" s="5"/>
      <c r="B118" s="25"/>
      <c r="C118" s="25"/>
      <c r="D118" s="25"/>
      <c r="E118" s="25"/>
      <c r="F118" s="16"/>
      <c r="H118" s="29"/>
      <c r="I118" s="29"/>
      <c r="J118" s="29"/>
      <c r="K118" s="29"/>
      <c r="L118" s="29"/>
      <c r="M118" s="29"/>
      <c r="N118" s="29"/>
      <c r="O118" s="29"/>
      <c r="P118" s="29"/>
      <c r="Q118" s="29"/>
      <c r="R118" s="38"/>
    </row>
    <row r="119" spans="1:18" x14ac:dyDescent="0.25">
      <c r="A119" s="5"/>
      <c r="B119" s="25"/>
      <c r="C119" s="25"/>
      <c r="D119" s="25"/>
      <c r="E119" s="25"/>
      <c r="F119" s="16"/>
      <c r="H119" s="29"/>
      <c r="I119" s="29"/>
      <c r="J119" s="29"/>
      <c r="K119" s="29"/>
      <c r="L119" s="29"/>
      <c r="M119" s="29"/>
      <c r="N119" s="29"/>
      <c r="O119" s="29"/>
      <c r="P119" s="29"/>
      <c r="Q119" s="29"/>
      <c r="R119" s="38"/>
    </row>
    <row r="120" spans="1:18" x14ac:dyDescent="0.25">
      <c r="A120" s="5"/>
      <c r="B120" s="25"/>
      <c r="C120" s="25"/>
      <c r="D120" s="25"/>
      <c r="E120" s="25"/>
      <c r="F120" s="16"/>
      <c r="H120" s="29"/>
      <c r="I120" s="29"/>
      <c r="J120" s="29"/>
      <c r="K120" s="29"/>
      <c r="L120" s="29"/>
      <c r="M120" s="29"/>
      <c r="N120" s="29"/>
      <c r="O120" s="29"/>
      <c r="P120" s="29"/>
      <c r="Q120" s="29"/>
      <c r="R120" s="38"/>
    </row>
    <row r="121" spans="1:18" x14ac:dyDescent="0.25">
      <c r="A121" s="5"/>
      <c r="B121" s="25"/>
      <c r="C121" s="25"/>
      <c r="D121" s="25"/>
      <c r="E121" s="25"/>
      <c r="F121" s="16"/>
      <c r="H121" s="29"/>
      <c r="I121" s="29"/>
      <c r="J121" s="29"/>
      <c r="K121" s="29"/>
      <c r="L121" s="29"/>
      <c r="M121" s="29"/>
      <c r="N121" s="29"/>
      <c r="O121" s="29"/>
      <c r="P121" s="29"/>
      <c r="Q121" s="29"/>
      <c r="R121" s="38"/>
    </row>
    <row r="122" spans="1:18" x14ac:dyDescent="0.25">
      <c r="A122" s="5"/>
      <c r="B122" s="25"/>
      <c r="C122" s="25"/>
      <c r="D122" s="25"/>
      <c r="E122" s="25"/>
      <c r="F122" s="16"/>
      <c r="H122" s="29"/>
      <c r="I122" s="29"/>
      <c r="J122" s="29"/>
      <c r="K122" s="29"/>
      <c r="L122" s="29"/>
      <c r="M122" s="29"/>
      <c r="N122" s="29"/>
      <c r="O122" s="29"/>
      <c r="P122" s="29"/>
      <c r="Q122" s="29"/>
      <c r="R122" s="38"/>
    </row>
    <row r="123" spans="1:18" x14ac:dyDescent="0.25">
      <c r="A123" s="5"/>
      <c r="B123" s="25"/>
      <c r="C123" s="25"/>
      <c r="D123" s="25"/>
      <c r="E123" s="25"/>
      <c r="F123" s="16"/>
      <c r="H123" s="29"/>
      <c r="I123" s="29"/>
      <c r="J123" s="29"/>
      <c r="K123" s="29"/>
      <c r="L123" s="29"/>
      <c r="M123" s="29"/>
      <c r="N123" s="29"/>
      <c r="O123" s="29"/>
      <c r="P123" s="29"/>
      <c r="Q123" s="29"/>
      <c r="R123" s="38"/>
    </row>
    <row r="124" spans="1:18" x14ac:dyDescent="0.25">
      <c r="A124" s="5"/>
      <c r="B124" s="25"/>
      <c r="C124" s="25"/>
      <c r="D124" s="25"/>
      <c r="E124" s="25"/>
      <c r="F124" s="16"/>
      <c r="H124" s="29"/>
      <c r="I124" s="29"/>
      <c r="J124" s="29"/>
      <c r="K124" s="29"/>
      <c r="L124" s="29"/>
      <c r="M124" s="29"/>
      <c r="N124" s="29"/>
      <c r="O124" s="29"/>
      <c r="P124" s="29"/>
      <c r="Q124" s="29"/>
      <c r="R124" s="38"/>
    </row>
    <row r="125" spans="1:18" x14ac:dyDescent="0.25">
      <c r="A125" s="5"/>
      <c r="B125" s="25"/>
      <c r="C125" s="25"/>
      <c r="D125" s="25"/>
      <c r="E125" s="25"/>
      <c r="F125" s="16"/>
      <c r="H125" s="29"/>
      <c r="I125" s="29"/>
      <c r="J125" s="29"/>
      <c r="K125" s="29"/>
      <c r="L125" s="29"/>
      <c r="M125" s="29"/>
      <c r="N125" s="29"/>
      <c r="O125" s="29"/>
      <c r="P125" s="29"/>
      <c r="Q125" s="29"/>
      <c r="R125" s="38"/>
    </row>
    <row r="126" spans="1:18" x14ac:dyDescent="0.25">
      <c r="A126" s="5"/>
      <c r="B126" s="25"/>
      <c r="C126" s="25"/>
      <c r="D126" s="25"/>
      <c r="E126" s="25"/>
      <c r="F126" s="16"/>
      <c r="H126" s="29"/>
      <c r="I126" s="29"/>
      <c r="J126" s="29"/>
      <c r="K126" s="29"/>
      <c r="L126" s="29"/>
      <c r="M126" s="29"/>
      <c r="N126" s="29"/>
      <c r="O126" s="29"/>
      <c r="P126" s="29"/>
      <c r="Q126" s="29"/>
      <c r="R126" s="38"/>
    </row>
    <row r="127" spans="1:18" x14ac:dyDescent="0.25">
      <c r="A127" s="5"/>
      <c r="B127" s="25"/>
      <c r="C127" s="25"/>
      <c r="D127" s="25"/>
      <c r="E127" s="25"/>
      <c r="F127" s="16"/>
      <c r="H127" s="29"/>
      <c r="I127" s="29"/>
      <c r="J127" s="29"/>
      <c r="K127" s="29"/>
      <c r="L127" s="29"/>
      <c r="M127" s="29"/>
      <c r="N127" s="29"/>
      <c r="O127" s="29"/>
      <c r="P127" s="29"/>
      <c r="Q127" s="29"/>
      <c r="R127" s="38"/>
    </row>
    <row r="128" spans="1:18" x14ac:dyDescent="0.25">
      <c r="A128" s="5"/>
      <c r="B128" s="25"/>
      <c r="C128" s="25"/>
      <c r="D128" s="25"/>
      <c r="E128" s="25"/>
      <c r="F128" s="16"/>
      <c r="H128" s="29"/>
      <c r="I128" s="29"/>
      <c r="J128" s="29"/>
      <c r="K128" s="29"/>
      <c r="L128" s="29"/>
      <c r="M128" s="29"/>
      <c r="N128" s="29"/>
      <c r="O128" s="29"/>
      <c r="P128" s="29"/>
      <c r="Q128" s="29"/>
      <c r="R128" s="38"/>
    </row>
    <row r="129" spans="1:18" x14ac:dyDescent="0.25">
      <c r="A129" s="5"/>
      <c r="B129" s="25"/>
      <c r="C129" s="25"/>
      <c r="D129" s="25"/>
      <c r="E129" s="25"/>
      <c r="F129" s="16"/>
      <c r="H129" s="29"/>
      <c r="I129" s="29"/>
      <c r="J129" s="29"/>
      <c r="K129" s="29"/>
      <c r="L129" s="29"/>
      <c r="M129" s="29"/>
      <c r="N129" s="29"/>
      <c r="O129" s="29"/>
      <c r="P129" s="29"/>
      <c r="Q129" s="29"/>
      <c r="R129" s="38"/>
    </row>
    <row r="130" spans="1:18" x14ac:dyDescent="0.25">
      <c r="A130" s="5"/>
      <c r="B130" s="25"/>
      <c r="C130" s="25"/>
      <c r="D130" s="25"/>
      <c r="E130" s="25"/>
      <c r="F130" s="16"/>
      <c r="H130" s="29"/>
      <c r="I130" s="29"/>
      <c r="J130" s="29"/>
      <c r="K130" s="29"/>
      <c r="L130" s="29"/>
      <c r="M130" s="29"/>
      <c r="N130" s="29"/>
      <c r="O130" s="29"/>
      <c r="P130" s="29"/>
      <c r="Q130" s="29"/>
      <c r="R130" s="38"/>
    </row>
    <row r="131" spans="1:18" x14ac:dyDescent="0.25">
      <c r="A131" s="5"/>
      <c r="B131" s="25"/>
      <c r="C131" s="25"/>
      <c r="D131" s="25"/>
      <c r="E131" s="25"/>
      <c r="F131" s="16"/>
      <c r="H131" s="29"/>
      <c r="I131" s="29"/>
      <c r="J131" s="29"/>
      <c r="K131" s="29"/>
      <c r="L131" s="29"/>
      <c r="M131" s="29"/>
      <c r="N131" s="29"/>
      <c r="O131" s="29"/>
      <c r="P131" s="29"/>
      <c r="Q131" s="29"/>
      <c r="R131" s="38"/>
    </row>
    <row r="132" spans="1:18" x14ac:dyDescent="0.25">
      <c r="A132" s="5"/>
      <c r="B132" s="25"/>
      <c r="C132" s="25"/>
      <c r="D132" s="25"/>
      <c r="E132" s="25"/>
      <c r="F132" s="16"/>
      <c r="H132" s="29"/>
      <c r="I132" s="29"/>
      <c r="J132" s="29"/>
      <c r="K132" s="29"/>
      <c r="L132" s="29"/>
      <c r="M132" s="29"/>
      <c r="N132" s="29"/>
      <c r="O132" s="29"/>
      <c r="P132" s="29"/>
      <c r="Q132" s="29"/>
      <c r="R132" s="38"/>
    </row>
    <row r="133" spans="1:18" x14ac:dyDescent="0.25">
      <c r="A133" s="5"/>
      <c r="B133" s="25"/>
      <c r="C133" s="25"/>
      <c r="D133" s="25"/>
      <c r="E133" s="25"/>
      <c r="F133" s="16"/>
      <c r="H133" s="29"/>
      <c r="I133" s="29"/>
      <c r="J133" s="29"/>
      <c r="K133" s="29"/>
      <c r="L133" s="29"/>
      <c r="M133" s="29"/>
      <c r="N133" s="29"/>
      <c r="O133" s="29"/>
      <c r="P133" s="29"/>
      <c r="Q133" s="29"/>
      <c r="R133" s="38"/>
    </row>
    <row r="134" spans="1:18" x14ac:dyDescent="0.25">
      <c r="A134" s="5"/>
      <c r="B134" s="25"/>
      <c r="C134" s="25"/>
      <c r="D134" s="25"/>
      <c r="E134" s="25"/>
      <c r="F134" s="16"/>
      <c r="H134" s="29"/>
      <c r="I134" s="29"/>
      <c r="J134" s="29"/>
      <c r="K134" s="29"/>
      <c r="L134" s="29"/>
      <c r="M134" s="29"/>
      <c r="N134" s="29"/>
      <c r="O134" s="29"/>
      <c r="P134" s="29"/>
      <c r="Q134" s="29"/>
      <c r="R134" s="38"/>
    </row>
    <row r="135" spans="1:18" x14ac:dyDescent="0.25">
      <c r="A135" s="5"/>
      <c r="B135" s="25"/>
      <c r="C135" s="25"/>
      <c r="D135" s="25"/>
      <c r="E135" s="25"/>
      <c r="F135" s="16"/>
      <c r="H135" s="29"/>
      <c r="I135" s="29"/>
      <c r="J135" s="29"/>
      <c r="K135" s="29"/>
      <c r="L135" s="29"/>
      <c r="M135" s="29"/>
      <c r="N135" s="29"/>
      <c r="O135" s="29"/>
      <c r="P135" s="29"/>
      <c r="Q135" s="29"/>
      <c r="R135" s="38"/>
    </row>
    <row r="136" spans="1:18" x14ac:dyDescent="0.25">
      <c r="A136" s="5"/>
      <c r="B136" s="25"/>
      <c r="C136" s="25"/>
      <c r="D136" s="25"/>
      <c r="E136" s="25"/>
      <c r="F136" s="16"/>
      <c r="H136" s="29"/>
      <c r="I136" s="29"/>
      <c r="J136" s="29"/>
      <c r="K136" s="29"/>
      <c r="L136" s="29"/>
      <c r="M136" s="29"/>
      <c r="N136" s="29"/>
      <c r="O136" s="29"/>
      <c r="P136" s="29"/>
      <c r="Q136" s="29"/>
      <c r="R136" s="38"/>
    </row>
    <row r="137" spans="1:18" x14ac:dyDescent="0.25">
      <c r="A137" s="5"/>
      <c r="B137" s="13"/>
      <c r="C137" s="13"/>
      <c r="D137" s="13"/>
      <c r="E137" s="13"/>
      <c r="F137" s="9"/>
      <c r="G137" s="29"/>
      <c r="H137" s="29"/>
      <c r="I137" s="29"/>
      <c r="J137" s="29"/>
      <c r="K137" s="29"/>
      <c r="L137" s="29"/>
      <c r="M137" s="29"/>
      <c r="N137" s="29"/>
      <c r="O137" s="29"/>
      <c r="P137" s="29"/>
      <c r="Q137" s="29"/>
      <c r="R137" s="38"/>
    </row>
    <row r="138" spans="1:18" x14ac:dyDescent="0.25">
      <c r="A138" s="5"/>
      <c r="B138" s="13"/>
      <c r="C138" s="13"/>
      <c r="D138" s="13"/>
      <c r="E138" s="13"/>
      <c r="F138" s="9"/>
      <c r="G138" s="29"/>
      <c r="H138" s="29"/>
      <c r="I138" s="29"/>
      <c r="J138" s="29"/>
      <c r="K138" s="29"/>
      <c r="L138" s="29"/>
      <c r="M138" s="29"/>
      <c r="N138" s="29"/>
      <c r="O138" s="29"/>
      <c r="P138" s="29"/>
      <c r="Q138" s="29"/>
      <c r="R138" s="38"/>
    </row>
    <row r="139" spans="1:18" x14ac:dyDescent="0.25">
      <c r="A139" s="5"/>
      <c r="B139" s="25"/>
      <c r="C139" s="25"/>
      <c r="D139" s="25"/>
      <c r="E139" s="25"/>
      <c r="F139" s="16"/>
      <c r="H139" s="29"/>
      <c r="I139" s="29"/>
      <c r="J139" s="29"/>
      <c r="K139" s="29"/>
      <c r="L139" s="29"/>
      <c r="M139" s="29"/>
      <c r="N139" s="29"/>
      <c r="O139" s="29"/>
      <c r="P139" s="29"/>
      <c r="Q139" s="29"/>
      <c r="R139" s="38"/>
    </row>
    <row r="140" spans="1:18" x14ac:dyDescent="0.25">
      <c r="A140" s="5"/>
      <c r="B140" s="25"/>
      <c r="C140" s="25"/>
      <c r="D140" s="25"/>
      <c r="E140" s="25"/>
      <c r="F140" s="16"/>
      <c r="H140" s="29"/>
      <c r="I140" s="29"/>
      <c r="J140" s="29"/>
      <c r="K140" s="29"/>
      <c r="L140" s="29"/>
      <c r="M140" s="29"/>
      <c r="N140" s="29"/>
      <c r="O140" s="29"/>
      <c r="P140" s="29"/>
      <c r="Q140" s="29"/>
      <c r="R140" s="38"/>
    </row>
    <row r="141" spans="1:18" x14ac:dyDescent="0.25">
      <c r="A141" s="5"/>
      <c r="B141" s="25"/>
      <c r="C141" s="25"/>
      <c r="D141" s="25"/>
      <c r="E141" s="25"/>
      <c r="F141" s="16"/>
      <c r="H141" s="29"/>
      <c r="I141" s="29"/>
      <c r="J141" s="29"/>
      <c r="K141" s="29"/>
      <c r="L141" s="29"/>
      <c r="M141" s="29"/>
      <c r="N141" s="29"/>
      <c r="O141" s="29"/>
      <c r="P141" s="29"/>
      <c r="Q141" s="29"/>
      <c r="R141" s="38"/>
    </row>
    <row r="142" spans="1:18" x14ac:dyDescent="0.25">
      <c r="A142" s="5"/>
      <c r="B142" s="25"/>
      <c r="C142" s="25"/>
      <c r="D142" s="25"/>
      <c r="E142" s="25"/>
      <c r="F142" s="16"/>
      <c r="H142" s="29"/>
      <c r="I142" s="29"/>
      <c r="J142" s="29"/>
      <c r="K142" s="29"/>
      <c r="L142" s="29"/>
      <c r="M142" s="29"/>
      <c r="N142" s="29"/>
      <c r="O142" s="29"/>
      <c r="P142" s="29"/>
      <c r="Q142" s="29"/>
      <c r="R142" s="38"/>
    </row>
    <row r="143" spans="1:18" x14ac:dyDescent="0.25">
      <c r="A143" s="5"/>
      <c r="B143" s="25"/>
      <c r="C143" s="25"/>
      <c r="D143" s="25"/>
      <c r="E143" s="25"/>
      <c r="F143" s="16"/>
      <c r="H143" s="29"/>
      <c r="I143" s="29"/>
      <c r="J143" s="29"/>
      <c r="K143" s="29"/>
      <c r="L143" s="29"/>
      <c r="M143" s="29"/>
      <c r="N143" s="29"/>
      <c r="O143" s="29"/>
      <c r="P143" s="29"/>
      <c r="Q143" s="29"/>
      <c r="R143" s="38"/>
    </row>
    <row r="144" spans="1:18" x14ac:dyDescent="0.25">
      <c r="A144" s="5"/>
      <c r="B144" s="25"/>
      <c r="C144" s="25"/>
      <c r="D144" s="25"/>
      <c r="E144" s="25"/>
      <c r="F144" s="16"/>
      <c r="H144" s="29"/>
      <c r="I144" s="29"/>
      <c r="J144" s="29"/>
      <c r="K144" s="29"/>
      <c r="L144" s="29"/>
      <c r="M144" s="29"/>
      <c r="N144" s="29"/>
      <c r="O144" s="29"/>
      <c r="P144" s="29"/>
      <c r="Q144" s="29"/>
      <c r="R144" s="38"/>
    </row>
    <row r="145" spans="1:18" x14ac:dyDescent="0.25">
      <c r="A145" s="5"/>
      <c r="B145" s="25"/>
      <c r="C145" s="25"/>
      <c r="D145" s="25"/>
      <c r="E145" s="25"/>
      <c r="F145" s="16"/>
      <c r="H145" s="29"/>
      <c r="I145" s="29"/>
      <c r="J145" s="29"/>
      <c r="K145" s="29"/>
      <c r="L145" s="29"/>
      <c r="M145" s="29"/>
      <c r="N145" s="29"/>
      <c r="O145" s="29"/>
      <c r="P145" s="29"/>
      <c r="Q145" s="29"/>
      <c r="R145" s="38"/>
    </row>
    <row r="146" spans="1:18" x14ac:dyDescent="0.25">
      <c r="A146" s="5"/>
      <c r="B146" s="25"/>
      <c r="C146" s="25"/>
      <c r="D146" s="25"/>
      <c r="E146" s="25"/>
      <c r="F146" s="16"/>
      <c r="H146" s="29"/>
      <c r="I146" s="29"/>
      <c r="J146" s="29"/>
      <c r="K146" s="29"/>
      <c r="L146" s="29"/>
      <c r="M146" s="29"/>
      <c r="N146" s="29"/>
      <c r="O146" s="29"/>
      <c r="P146" s="29"/>
      <c r="Q146" s="29"/>
      <c r="R146" s="38"/>
    </row>
    <row r="147" spans="1:18" x14ac:dyDescent="0.25">
      <c r="A147" s="5"/>
      <c r="B147" s="25"/>
      <c r="C147" s="25"/>
      <c r="D147" s="25"/>
      <c r="E147" s="25"/>
      <c r="F147" s="16"/>
      <c r="H147" s="29"/>
      <c r="I147" s="29"/>
      <c r="J147" s="29"/>
      <c r="K147" s="29"/>
      <c r="L147" s="29"/>
      <c r="M147" s="29"/>
      <c r="N147" s="29"/>
      <c r="O147" s="29"/>
      <c r="P147" s="29"/>
      <c r="Q147" s="29"/>
      <c r="R147" s="38"/>
    </row>
    <row r="148" spans="1:18" x14ac:dyDescent="0.25">
      <c r="A148" s="5"/>
      <c r="B148" s="25"/>
      <c r="C148" s="25"/>
      <c r="D148" s="25"/>
      <c r="E148" s="25"/>
      <c r="F148" s="16"/>
      <c r="H148" s="29"/>
      <c r="I148" s="29"/>
      <c r="J148" s="29"/>
      <c r="K148" s="29"/>
      <c r="L148" s="29"/>
      <c r="M148" s="29"/>
      <c r="N148" s="29"/>
      <c r="O148" s="29"/>
      <c r="P148" s="29"/>
      <c r="Q148" s="29"/>
      <c r="R148" s="38"/>
    </row>
    <row r="149" spans="1:18" x14ac:dyDescent="0.25">
      <c r="A149" s="5"/>
      <c r="B149" s="25"/>
      <c r="C149" s="25"/>
      <c r="D149" s="25"/>
      <c r="E149" s="25"/>
      <c r="F149" s="16"/>
      <c r="H149" s="29"/>
      <c r="I149" s="29"/>
      <c r="J149" s="29"/>
      <c r="K149" s="29"/>
      <c r="L149" s="29"/>
      <c r="M149" s="29"/>
      <c r="N149" s="29"/>
      <c r="O149" s="29"/>
      <c r="P149" s="29"/>
      <c r="Q149" s="29"/>
      <c r="R149" s="38"/>
    </row>
    <row r="150" spans="1:18" x14ac:dyDescent="0.25">
      <c r="A150" s="5"/>
      <c r="B150" s="25"/>
      <c r="C150" s="25"/>
      <c r="D150" s="25"/>
      <c r="E150" s="25"/>
      <c r="F150" s="16"/>
      <c r="H150" s="29"/>
      <c r="I150" s="29"/>
      <c r="J150" s="29"/>
      <c r="K150" s="29"/>
      <c r="L150" s="29"/>
      <c r="M150" s="29"/>
      <c r="N150" s="29"/>
      <c r="O150" s="29"/>
      <c r="P150" s="29"/>
      <c r="Q150" s="29"/>
      <c r="R150" s="38"/>
    </row>
    <row r="151" spans="1:18" x14ac:dyDescent="0.25">
      <c r="A151" s="5"/>
      <c r="B151" s="25"/>
      <c r="C151" s="25"/>
      <c r="D151" s="25"/>
      <c r="E151" s="25"/>
      <c r="F151" s="16"/>
      <c r="H151" s="29"/>
      <c r="I151" s="29"/>
      <c r="J151" s="29"/>
      <c r="K151" s="29"/>
      <c r="L151" s="29"/>
      <c r="M151" s="29"/>
      <c r="N151" s="29"/>
      <c r="O151" s="29"/>
      <c r="P151" s="29"/>
      <c r="Q151" s="29"/>
      <c r="R151" s="38"/>
    </row>
    <row r="152" spans="1:18" x14ac:dyDescent="0.25">
      <c r="A152" s="5"/>
      <c r="B152" s="25"/>
      <c r="C152" s="25"/>
      <c r="D152" s="25"/>
      <c r="E152" s="25"/>
      <c r="F152" s="16"/>
      <c r="H152" s="29"/>
      <c r="I152" s="29"/>
      <c r="J152" s="29"/>
      <c r="K152" s="29"/>
      <c r="L152" s="29"/>
      <c r="M152" s="29"/>
      <c r="N152" s="29"/>
      <c r="O152" s="29"/>
      <c r="P152" s="29"/>
      <c r="Q152" s="29"/>
      <c r="R152" s="38"/>
    </row>
    <row r="153" spans="1:18" x14ac:dyDescent="0.25">
      <c r="A153" s="5"/>
      <c r="B153" s="25"/>
      <c r="C153" s="25"/>
      <c r="D153" s="25"/>
      <c r="E153" s="25"/>
      <c r="F153" s="16"/>
      <c r="H153" s="29"/>
      <c r="I153" s="29"/>
      <c r="J153" s="29"/>
      <c r="K153" s="29"/>
      <c r="L153" s="29"/>
      <c r="M153" s="29"/>
      <c r="N153" s="29"/>
      <c r="O153" s="29"/>
      <c r="P153" s="29"/>
      <c r="Q153" s="29"/>
      <c r="R153" s="38"/>
    </row>
    <row r="154" spans="1:18" x14ac:dyDescent="0.25">
      <c r="A154" s="5"/>
      <c r="B154" s="25"/>
      <c r="C154" s="25"/>
      <c r="D154" s="25"/>
      <c r="E154" s="25"/>
      <c r="F154" s="16"/>
      <c r="H154" s="29"/>
      <c r="I154" s="29"/>
      <c r="J154" s="29"/>
      <c r="K154" s="29"/>
      <c r="L154" s="29"/>
      <c r="M154" s="29"/>
      <c r="N154" s="29"/>
      <c r="O154" s="29"/>
      <c r="P154" s="29"/>
      <c r="Q154" s="29"/>
      <c r="R154" s="38"/>
    </row>
    <row r="155" spans="1:18" x14ac:dyDescent="0.25">
      <c r="A155" s="5"/>
      <c r="B155" s="25"/>
      <c r="C155" s="25"/>
      <c r="D155" s="25"/>
      <c r="E155" s="25"/>
      <c r="F155" s="16"/>
      <c r="H155" s="29"/>
      <c r="I155" s="29"/>
      <c r="J155" s="29"/>
      <c r="K155" s="29"/>
      <c r="L155" s="29"/>
      <c r="M155" s="29"/>
      <c r="N155" s="29"/>
      <c r="O155" s="29"/>
      <c r="P155" s="29"/>
      <c r="Q155" s="29"/>
      <c r="R155" s="38"/>
    </row>
    <row r="156" spans="1:18" x14ac:dyDescent="0.25">
      <c r="A156" s="5"/>
      <c r="B156" s="25"/>
      <c r="C156" s="25"/>
      <c r="D156" s="25"/>
      <c r="E156" s="25"/>
      <c r="F156" s="16"/>
      <c r="H156" s="29"/>
      <c r="I156" s="29"/>
      <c r="J156" s="29"/>
      <c r="K156" s="29"/>
      <c r="L156" s="29"/>
      <c r="M156" s="29"/>
      <c r="N156" s="29"/>
      <c r="O156" s="29"/>
      <c r="P156" s="29"/>
      <c r="Q156" s="29"/>
      <c r="R156" s="38"/>
    </row>
    <row r="157" spans="1:18" x14ac:dyDescent="0.25">
      <c r="A157" s="5"/>
      <c r="B157" s="25"/>
      <c r="C157" s="25"/>
      <c r="D157" s="25"/>
      <c r="E157" s="25"/>
      <c r="F157" s="16"/>
      <c r="H157" s="29"/>
      <c r="I157" s="29"/>
      <c r="J157" s="29"/>
      <c r="K157" s="29"/>
      <c r="L157" s="29"/>
      <c r="M157" s="29"/>
      <c r="N157" s="29"/>
      <c r="O157" s="29"/>
      <c r="P157" s="29"/>
      <c r="Q157" s="29"/>
      <c r="R157" s="38"/>
    </row>
    <row r="158" spans="1:18" x14ac:dyDescent="0.25">
      <c r="A158" s="5"/>
      <c r="B158" s="25"/>
      <c r="C158" s="25"/>
      <c r="D158" s="25"/>
      <c r="E158" s="25"/>
      <c r="F158" s="16"/>
      <c r="H158" s="29"/>
      <c r="I158" s="29"/>
      <c r="J158" s="29"/>
      <c r="K158" s="29"/>
      <c r="L158" s="29"/>
      <c r="M158" s="29"/>
      <c r="N158" s="29"/>
      <c r="O158" s="29"/>
      <c r="P158" s="29"/>
      <c r="Q158" s="29"/>
      <c r="R158" s="38"/>
    </row>
    <row r="159" spans="1:18" x14ac:dyDescent="0.25">
      <c r="A159" s="5"/>
      <c r="B159" s="25"/>
      <c r="C159" s="25"/>
      <c r="D159" s="25"/>
      <c r="E159" s="25"/>
      <c r="F159" s="16"/>
      <c r="H159" s="29"/>
      <c r="I159" s="29"/>
      <c r="J159" s="29"/>
      <c r="K159" s="29"/>
      <c r="L159" s="29"/>
      <c r="M159" s="29"/>
      <c r="N159" s="29"/>
      <c r="O159" s="29"/>
      <c r="P159" s="29"/>
      <c r="Q159" s="29"/>
      <c r="R159" s="38"/>
    </row>
    <row r="160" spans="1:18" x14ac:dyDescent="0.25">
      <c r="A160" s="5"/>
      <c r="B160" s="25"/>
      <c r="C160" s="25"/>
      <c r="D160" s="25"/>
      <c r="E160" s="25"/>
      <c r="F160" s="16"/>
      <c r="H160" s="29"/>
      <c r="I160" s="29"/>
      <c r="J160" s="29"/>
      <c r="K160" s="29"/>
      <c r="L160" s="29"/>
      <c r="M160" s="29"/>
      <c r="N160" s="29"/>
      <c r="O160" s="29"/>
      <c r="P160" s="29"/>
      <c r="Q160" s="29"/>
      <c r="R160" s="38"/>
    </row>
    <row r="161" spans="1:18" x14ac:dyDescent="0.25">
      <c r="A161" s="5"/>
      <c r="B161" s="25"/>
      <c r="C161" s="25"/>
      <c r="D161" s="25"/>
      <c r="E161" s="25"/>
      <c r="F161" s="16"/>
      <c r="H161" s="29"/>
      <c r="I161" s="29"/>
      <c r="J161" s="29"/>
      <c r="K161" s="29"/>
      <c r="L161" s="29"/>
      <c r="M161" s="29"/>
      <c r="N161" s="29"/>
      <c r="O161" s="29"/>
      <c r="P161" s="29"/>
      <c r="Q161" s="29"/>
      <c r="R161" s="38"/>
    </row>
    <row r="162" spans="1:18" x14ac:dyDescent="0.25">
      <c r="A162" s="5"/>
      <c r="B162" s="25"/>
      <c r="C162" s="25"/>
      <c r="D162" s="25"/>
      <c r="E162" s="25"/>
      <c r="F162" s="16"/>
      <c r="H162" s="29"/>
      <c r="I162" s="29"/>
      <c r="J162" s="29"/>
      <c r="K162" s="29"/>
      <c r="L162" s="29"/>
      <c r="M162" s="29"/>
      <c r="N162" s="29"/>
      <c r="O162" s="29"/>
      <c r="P162" s="29"/>
      <c r="Q162" s="29"/>
      <c r="R162" s="38"/>
    </row>
    <row r="163" spans="1:18" x14ac:dyDescent="0.25">
      <c r="A163" s="5"/>
      <c r="B163" s="25"/>
      <c r="C163" s="25"/>
      <c r="D163" s="25"/>
      <c r="E163" s="25"/>
      <c r="F163" s="16"/>
      <c r="H163" s="29"/>
      <c r="I163" s="29"/>
      <c r="J163" s="29"/>
      <c r="K163" s="29"/>
      <c r="L163" s="29"/>
      <c r="M163" s="29"/>
      <c r="N163" s="29"/>
      <c r="O163" s="29"/>
      <c r="P163" s="29"/>
      <c r="Q163" s="29"/>
      <c r="R163" s="38"/>
    </row>
    <row r="164" spans="1:18" x14ac:dyDescent="0.25">
      <c r="A164" s="5"/>
      <c r="B164" s="25"/>
      <c r="C164" s="25"/>
      <c r="D164" s="25"/>
      <c r="E164" s="25"/>
      <c r="F164" s="16"/>
      <c r="H164" s="29"/>
      <c r="I164" s="29"/>
      <c r="J164" s="29"/>
      <c r="K164" s="29"/>
      <c r="L164" s="29"/>
      <c r="M164" s="29"/>
      <c r="N164" s="29"/>
      <c r="O164" s="29"/>
      <c r="P164" s="29"/>
      <c r="Q164" s="29"/>
      <c r="R164" s="38"/>
    </row>
    <row r="165" spans="1:18" x14ac:dyDescent="0.25">
      <c r="A165" s="5"/>
      <c r="B165" s="13"/>
      <c r="C165" s="13"/>
      <c r="D165" s="13"/>
      <c r="E165" s="13"/>
      <c r="F165" s="9"/>
      <c r="G165" s="29"/>
      <c r="H165" s="29"/>
      <c r="I165" s="29"/>
      <c r="J165" s="29"/>
      <c r="K165" s="29"/>
      <c r="L165" s="29"/>
      <c r="M165" s="29"/>
      <c r="N165" s="29"/>
      <c r="O165" s="29"/>
      <c r="P165" s="29"/>
      <c r="Q165" s="29"/>
      <c r="R165" s="38"/>
    </row>
    <row r="166" spans="1:18" x14ac:dyDescent="0.25">
      <c r="A166" s="5"/>
      <c r="B166" s="13"/>
      <c r="C166" s="13"/>
      <c r="D166" s="13"/>
      <c r="E166" s="13"/>
      <c r="F166" s="9"/>
      <c r="G166" s="29"/>
      <c r="H166" s="29"/>
      <c r="I166" s="29"/>
      <c r="J166" s="29"/>
      <c r="K166" s="29"/>
      <c r="L166" s="29"/>
      <c r="M166" s="29"/>
      <c r="N166" s="29"/>
      <c r="O166" s="29"/>
      <c r="P166" s="29"/>
      <c r="Q166" s="29"/>
      <c r="R166" s="38"/>
    </row>
    <row r="167" spans="1:18" x14ac:dyDescent="0.25">
      <c r="A167" s="5"/>
      <c r="B167" s="25"/>
      <c r="C167" s="25"/>
      <c r="D167" s="25"/>
      <c r="E167" s="25"/>
      <c r="F167" s="16"/>
      <c r="H167" s="29"/>
      <c r="I167" s="29"/>
      <c r="J167" s="29"/>
      <c r="K167" s="29"/>
      <c r="L167" s="29"/>
      <c r="M167" s="29"/>
      <c r="N167" s="29"/>
      <c r="O167" s="29"/>
      <c r="P167" s="29"/>
      <c r="Q167" s="29"/>
      <c r="R167" s="38"/>
    </row>
    <row r="168" spans="1:18" x14ac:dyDescent="0.25">
      <c r="A168" s="5"/>
      <c r="B168" s="25"/>
      <c r="C168" s="25"/>
      <c r="D168" s="25"/>
      <c r="E168" s="25"/>
      <c r="F168" s="16"/>
      <c r="H168" s="29"/>
      <c r="I168" s="29"/>
      <c r="J168" s="29"/>
      <c r="K168" s="29"/>
      <c r="L168" s="29"/>
      <c r="M168" s="29"/>
      <c r="N168" s="29"/>
      <c r="O168" s="29"/>
      <c r="P168" s="29"/>
      <c r="Q168" s="29"/>
      <c r="R168" s="38"/>
    </row>
    <row r="169" spans="1:18" x14ac:dyDescent="0.25">
      <c r="A169" s="5"/>
      <c r="B169" s="25"/>
      <c r="C169" s="25"/>
      <c r="D169" s="25"/>
      <c r="E169" s="25"/>
      <c r="F169" s="16"/>
      <c r="H169" s="29"/>
      <c r="I169" s="29"/>
      <c r="J169" s="29"/>
      <c r="K169" s="29"/>
      <c r="L169" s="29"/>
      <c r="M169" s="29"/>
      <c r="N169" s="29"/>
      <c r="O169" s="29"/>
      <c r="P169" s="29"/>
      <c r="Q169" s="29"/>
      <c r="R169" s="38"/>
    </row>
    <row r="170" spans="1:18" x14ac:dyDescent="0.25">
      <c r="A170" s="5"/>
      <c r="B170" s="25"/>
      <c r="C170" s="25"/>
      <c r="D170" s="25"/>
      <c r="E170" s="25"/>
      <c r="F170" s="16"/>
      <c r="H170" s="29"/>
      <c r="I170" s="29"/>
      <c r="J170" s="29"/>
      <c r="K170" s="29"/>
      <c r="L170" s="29"/>
      <c r="M170" s="29"/>
      <c r="N170" s="29"/>
      <c r="O170" s="29"/>
      <c r="P170" s="29"/>
      <c r="Q170" s="29"/>
      <c r="R170" s="38"/>
    </row>
    <row r="171" spans="1:18" x14ac:dyDescent="0.25">
      <c r="A171" s="5"/>
      <c r="B171" s="25"/>
      <c r="C171" s="25"/>
      <c r="D171" s="25"/>
      <c r="E171" s="25"/>
      <c r="F171" s="16"/>
      <c r="H171" s="29"/>
      <c r="I171" s="29"/>
      <c r="J171" s="29"/>
      <c r="K171" s="29"/>
      <c r="L171" s="29"/>
      <c r="M171" s="29"/>
      <c r="N171" s="29"/>
      <c r="O171" s="29"/>
      <c r="P171" s="29"/>
      <c r="Q171" s="29"/>
      <c r="R171" s="38"/>
    </row>
    <row r="172" spans="1:18" x14ac:dyDescent="0.25">
      <c r="A172" s="5"/>
      <c r="B172" s="25"/>
      <c r="C172" s="25"/>
      <c r="D172" s="25"/>
      <c r="E172" s="25"/>
      <c r="F172" s="16"/>
      <c r="H172" s="29"/>
      <c r="I172" s="29"/>
      <c r="J172" s="29"/>
      <c r="K172" s="29"/>
      <c r="L172" s="29"/>
      <c r="M172" s="29"/>
      <c r="N172" s="29"/>
      <c r="O172" s="29"/>
      <c r="P172" s="29"/>
      <c r="Q172" s="29"/>
      <c r="R172" s="38"/>
    </row>
    <row r="173" spans="1:18" x14ac:dyDescent="0.25">
      <c r="A173" s="5"/>
      <c r="B173" s="25"/>
      <c r="C173" s="25"/>
      <c r="D173" s="25"/>
      <c r="E173" s="25"/>
      <c r="F173" s="16"/>
      <c r="H173" s="29"/>
      <c r="I173" s="29"/>
      <c r="J173" s="29"/>
      <c r="K173" s="29"/>
      <c r="L173" s="29"/>
      <c r="M173" s="29"/>
      <c r="N173" s="29"/>
      <c r="O173" s="29"/>
      <c r="P173" s="29"/>
      <c r="Q173" s="29"/>
      <c r="R173" s="38"/>
    </row>
    <row r="174" spans="1:18" x14ac:dyDescent="0.25">
      <c r="A174" s="5"/>
      <c r="B174" s="25"/>
      <c r="C174" s="25"/>
      <c r="D174" s="25"/>
      <c r="E174" s="25"/>
      <c r="F174" s="16"/>
      <c r="H174" s="29"/>
      <c r="I174" s="29"/>
      <c r="J174" s="29"/>
      <c r="K174" s="29"/>
      <c r="L174" s="29"/>
      <c r="M174" s="29"/>
      <c r="N174" s="29"/>
      <c r="O174" s="29"/>
      <c r="P174" s="29"/>
      <c r="Q174" s="29"/>
      <c r="R174" s="38"/>
    </row>
    <row r="175" spans="1:18" x14ac:dyDescent="0.25">
      <c r="A175" s="5"/>
      <c r="B175" s="25"/>
      <c r="C175" s="25"/>
      <c r="D175" s="25"/>
      <c r="E175" s="25"/>
      <c r="F175" s="16"/>
      <c r="H175" s="29"/>
      <c r="I175" s="29"/>
      <c r="J175" s="29"/>
      <c r="K175" s="29"/>
      <c r="L175" s="29"/>
      <c r="M175" s="29"/>
      <c r="N175" s="29"/>
      <c r="O175" s="29"/>
      <c r="P175" s="29"/>
      <c r="Q175" s="29"/>
      <c r="R175" s="38"/>
    </row>
    <row r="176" spans="1:18" x14ac:dyDescent="0.25">
      <c r="A176" s="5"/>
      <c r="B176" s="25"/>
      <c r="C176" s="25"/>
      <c r="D176" s="25"/>
      <c r="E176" s="25"/>
      <c r="F176" s="16"/>
      <c r="H176" s="29"/>
      <c r="I176" s="29"/>
      <c r="J176" s="29"/>
      <c r="K176" s="29"/>
      <c r="L176" s="29"/>
      <c r="M176" s="29"/>
      <c r="N176" s="29"/>
      <c r="O176" s="29"/>
      <c r="P176" s="29"/>
      <c r="Q176" s="29"/>
      <c r="R176" s="38"/>
    </row>
    <row r="177" spans="1:18" x14ac:dyDescent="0.25">
      <c r="A177" s="5"/>
      <c r="B177" s="25"/>
      <c r="C177" s="25"/>
      <c r="D177" s="25"/>
      <c r="E177" s="25"/>
      <c r="F177" s="16"/>
      <c r="H177" s="29"/>
      <c r="I177" s="29"/>
      <c r="J177" s="29"/>
      <c r="K177" s="29"/>
      <c r="L177" s="29"/>
      <c r="M177" s="29"/>
      <c r="N177" s="29"/>
      <c r="O177" s="29"/>
      <c r="P177" s="29"/>
      <c r="Q177" s="29"/>
      <c r="R177" s="38"/>
    </row>
    <row r="178" spans="1:18" x14ac:dyDescent="0.25">
      <c r="A178" s="5"/>
      <c r="B178" s="25"/>
      <c r="C178" s="25"/>
      <c r="D178" s="25"/>
      <c r="E178" s="25"/>
      <c r="F178" s="16"/>
      <c r="H178" s="29"/>
      <c r="I178" s="29"/>
      <c r="J178" s="29"/>
      <c r="K178" s="29"/>
      <c r="L178" s="29"/>
      <c r="M178" s="29"/>
      <c r="N178" s="29"/>
      <c r="O178" s="29"/>
      <c r="P178" s="29"/>
      <c r="Q178" s="29"/>
      <c r="R178" s="38"/>
    </row>
    <row r="179" spans="1:18" x14ac:dyDescent="0.25">
      <c r="A179" s="5"/>
      <c r="B179" s="25"/>
      <c r="C179" s="25"/>
      <c r="D179" s="25"/>
      <c r="E179" s="25"/>
      <c r="F179" s="16"/>
      <c r="H179" s="29"/>
      <c r="I179" s="29"/>
      <c r="J179" s="29"/>
      <c r="K179" s="29"/>
      <c r="L179" s="29"/>
      <c r="M179" s="29"/>
      <c r="N179" s="29"/>
      <c r="O179" s="29"/>
      <c r="P179" s="29"/>
      <c r="Q179" s="29"/>
      <c r="R179" s="38"/>
    </row>
    <row r="180" spans="1:18" x14ac:dyDescent="0.25">
      <c r="A180" s="5"/>
      <c r="B180" s="25"/>
      <c r="C180" s="25"/>
      <c r="D180" s="25"/>
      <c r="E180" s="25"/>
      <c r="F180" s="16"/>
      <c r="H180" s="29"/>
      <c r="I180" s="29"/>
      <c r="J180" s="29"/>
      <c r="K180" s="29"/>
      <c r="L180" s="29"/>
      <c r="M180" s="29"/>
      <c r="N180" s="29"/>
      <c r="O180" s="29"/>
      <c r="P180" s="29"/>
      <c r="Q180" s="29"/>
      <c r="R180" s="38"/>
    </row>
    <row r="181" spans="1:18" x14ac:dyDescent="0.25">
      <c r="A181" s="5"/>
      <c r="B181" s="25"/>
      <c r="C181" s="25"/>
      <c r="D181" s="25"/>
      <c r="E181" s="25"/>
      <c r="F181" s="16"/>
      <c r="H181" s="29"/>
      <c r="I181" s="29"/>
      <c r="J181" s="29"/>
      <c r="K181" s="29"/>
      <c r="L181" s="29"/>
      <c r="M181" s="29"/>
      <c r="N181" s="29"/>
      <c r="O181" s="29"/>
      <c r="P181" s="29"/>
      <c r="Q181" s="29"/>
      <c r="R181" s="38"/>
    </row>
    <row r="182" spans="1:18" x14ac:dyDescent="0.25">
      <c r="A182" s="5"/>
      <c r="B182" s="25"/>
      <c r="C182" s="25"/>
      <c r="D182" s="25"/>
      <c r="E182" s="25"/>
      <c r="F182" s="16"/>
      <c r="H182" s="29"/>
      <c r="I182" s="29"/>
      <c r="J182" s="29"/>
      <c r="K182" s="29"/>
      <c r="L182" s="29"/>
      <c r="M182" s="29"/>
      <c r="N182" s="29"/>
      <c r="O182" s="29"/>
      <c r="P182" s="29"/>
      <c r="Q182" s="29"/>
      <c r="R182" s="38"/>
    </row>
    <row r="183" spans="1:18" x14ac:dyDescent="0.25">
      <c r="A183" s="5"/>
      <c r="B183" s="25"/>
      <c r="C183" s="25"/>
      <c r="D183" s="25"/>
      <c r="E183" s="25"/>
      <c r="F183" s="16"/>
      <c r="H183" s="29"/>
      <c r="I183" s="29"/>
      <c r="J183" s="29"/>
      <c r="K183" s="29"/>
      <c r="L183" s="29"/>
      <c r="M183" s="29"/>
      <c r="N183" s="29"/>
      <c r="O183" s="29"/>
      <c r="P183" s="29"/>
      <c r="Q183" s="29"/>
      <c r="R183" s="38"/>
    </row>
    <row r="184" spans="1:18" x14ac:dyDescent="0.25">
      <c r="A184" s="5"/>
      <c r="B184" s="25"/>
      <c r="C184" s="25"/>
      <c r="D184" s="25"/>
      <c r="E184" s="25"/>
      <c r="F184" s="16"/>
      <c r="H184" s="29"/>
      <c r="I184" s="29"/>
      <c r="J184" s="29"/>
      <c r="K184" s="29"/>
      <c r="L184" s="29"/>
      <c r="M184" s="29"/>
      <c r="N184" s="29"/>
      <c r="O184" s="29"/>
      <c r="P184" s="29"/>
      <c r="Q184" s="29"/>
      <c r="R184" s="38"/>
    </row>
    <row r="185" spans="1:18" x14ac:dyDescent="0.25">
      <c r="A185" s="5"/>
      <c r="B185" s="25"/>
      <c r="C185" s="25"/>
      <c r="D185" s="25"/>
      <c r="E185" s="25"/>
      <c r="F185" s="16"/>
      <c r="H185" s="29"/>
      <c r="I185" s="29"/>
      <c r="J185" s="29"/>
      <c r="K185" s="29"/>
      <c r="L185" s="29"/>
      <c r="M185" s="29"/>
      <c r="N185" s="29"/>
      <c r="O185" s="29"/>
      <c r="P185" s="29"/>
      <c r="Q185" s="29"/>
      <c r="R185" s="38"/>
    </row>
    <row r="186" spans="1:18" x14ac:dyDescent="0.25">
      <c r="A186" s="5"/>
      <c r="B186" s="25"/>
      <c r="C186" s="25"/>
      <c r="D186" s="25"/>
      <c r="E186" s="25"/>
      <c r="F186" s="16"/>
      <c r="H186" s="29"/>
      <c r="I186" s="29"/>
      <c r="J186" s="29"/>
      <c r="K186" s="29"/>
      <c r="L186" s="29"/>
      <c r="M186" s="29"/>
      <c r="N186" s="29"/>
      <c r="O186" s="29"/>
      <c r="P186" s="29"/>
      <c r="Q186" s="29"/>
      <c r="R186" s="38"/>
    </row>
    <row r="187" spans="1:18" x14ac:dyDescent="0.25">
      <c r="A187" s="5"/>
      <c r="B187" s="25"/>
      <c r="C187" s="25"/>
      <c r="D187" s="25"/>
      <c r="E187" s="25"/>
      <c r="F187" s="16"/>
      <c r="H187" s="29"/>
      <c r="I187" s="29"/>
      <c r="J187" s="29"/>
      <c r="K187" s="29"/>
      <c r="L187" s="29"/>
      <c r="M187" s="29"/>
      <c r="N187" s="29"/>
      <c r="O187" s="29"/>
      <c r="P187" s="29"/>
      <c r="Q187" s="29"/>
      <c r="R187" s="38"/>
    </row>
    <row r="188" spans="1:18" x14ac:dyDescent="0.25">
      <c r="A188" s="5"/>
      <c r="B188" s="25"/>
      <c r="C188" s="25"/>
      <c r="D188" s="25"/>
      <c r="E188" s="25"/>
      <c r="F188" s="16"/>
      <c r="H188" s="29"/>
      <c r="I188" s="29"/>
      <c r="J188" s="29"/>
      <c r="K188" s="29"/>
      <c r="L188" s="29"/>
      <c r="M188" s="29"/>
      <c r="N188" s="29"/>
      <c r="O188" s="29"/>
      <c r="P188" s="29"/>
      <c r="Q188" s="29"/>
      <c r="R188" s="38"/>
    </row>
    <row r="189" spans="1:18" x14ac:dyDescent="0.25">
      <c r="A189" s="5"/>
      <c r="B189" s="25"/>
      <c r="C189" s="25"/>
      <c r="D189" s="25"/>
      <c r="E189" s="25"/>
      <c r="F189" s="16"/>
      <c r="H189" s="29"/>
      <c r="I189" s="29"/>
      <c r="J189" s="29"/>
      <c r="K189" s="29"/>
      <c r="L189" s="29"/>
      <c r="M189" s="29"/>
      <c r="N189" s="29"/>
      <c r="O189" s="29"/>
      <c r="P189" s="29"/>
      <c r="Q189" s="29"/>
      <c r="R189" s="38"/>
    </row>
    <row r="190" spans="1:18" x14ac:dyDescent="0.25">
      <c r="A190" s="5"/>
      <c r="B190" s="25"/>
      <c r="C190" s="25"/>
      <c r="D190" s="25"/>
      <c r="E190" s="25"/>
      <c r="F190" s="16"/>
      <c r="H190" s="29"/>
      <c r="I190" s="29"/>
      <c r="J190" s="29"/>
      <c r="K190" s="29"/>
      <c r="L190" s="29"/>
      <c r="M190" s="29"/>
      <c r="N190" s="29"/>
      <c r="O190" s="29"/>
      <c r="P190" s="29"/>
      <c r="Q190" s="29"/>
      <c r="R190" s="38"/>
    </row>
    <row r="191" spans="1:18" x14ac:dyDescent="0.25">
      <c r="A191" s="5"/>
      <c r="B191" s="25"/>
      <c r="C191" s="25"/>
      <c r="D191" s="25"/>
      <c r="E191" s="25"/>
      <c r="F191" s="16"/>
      <c r="H191" s="29"/>
      <c r="I191" s="29"/>
      <c r="J191" s="29"/>
      <c r="K191" s="29"/>
      <c r="L191" s="29"/>
      <c r="M191" s="29"/>
      <c r="N191" s="29"/>
      <c r="O191" s="29"/>
      <c r="P191" s="29"/>
      <c r="Q191" s="29"/>
      <c r="R191" s="38"/>
    </row>
    <row r="192" spans="1:18" x14ac:dyDescent="0.25">
      <c r="A192" s="5"/>
      <c r="B192" s="25"/>
      <c r="C192" s="25"/>
      <c r="D192" s="25"/>
      <c r="E192" s="25"/>
      <c r="F192" s="16"/>
      <c r="H192" s="29"/>
      <c r="I192" s="29"/>
      <c r="J192" s="29"/>
      <c r="K192" s="29"/>
      <c r="L192" s="29"/>
      <c r="M192" s="29"/>
      <c r="N192" s="29"/>
      <c r="O192" s="29"/>
      <c r="P192" s="29"/>
      <c r="Q192" s="29"/>
      <c r="R192" s="38"/>
    </row>
    <row r="193" spans="1:18" x14ac:dyDescent="0.25">
      <c r="A193" s="5"/>
      <c r="B193" s="25"/>
      <c r="C193" s="25"/>
      <c r="D193" s="25"/>
      <c r="E193" s="25"/>
      <c r="F193" s="16"/>
      <c r="H193" s="29"/>
      <c r="I193" s="29"/>
      <c r="J193" s="29"/>
      <c r="K193" s="29"/>
      <c r="L193" s="29"/>
      <c r="M193" s="29"/>
      <c r="N193" s="29"/>
      <c r="O193" s="29"/>
      <c r="P193" s="29"/>
      <c r="Q193" s="29"/>
      <c r="R193" s="38"/>
    </row>
    <row r="194" spans="1:18" x14ac:dyDescent="0.25">
      <c r="A194" s="5"/>
      <c r="B194" s="25"/>
      <c r="C194" s="25"/>
      <c r="D194" s="25"/>
      <c r="E194" s="25"/>
      <c r="F194" s="16"/>
      <c r="H194" s="29"/>
      <c r="I194" s="29"/>
      <c r="J194" s="29"/>
      <c r="K194" s="29"/>
      <c r="L194" s="29"/>
      <c r="M194" s="29"/>
      <c r="N194" s="29"/>
      <c r="O194" s="29"/>
      <c r="P194" s="29"/>
      <c r="Q194" s="29"/>
      <c r="R194" s="38"/>
    </row>
    <row r="195" spans="1:18" x14ac:dyDescent="0.25">
      <c r="A195" s="5"/>
      <c r="B195" s="25"/>
      <c r="C195" s="25"/>
      <c r="D195" s="25"/>
      <c r="E195" s="25"/>
      <c r="F195" s="16"/>
      <c r="H195" s="29"/>
      <c r="I195" s="29"/>
      <c r="J195" s="29"/>
      <c r="K195" s="29"/>
      <c r="L195" s="29"/>
      <c r="M195" s="29"/>
      <c r="N195" s="29"/>
      <c r="O195" s="29"/>
      <c r="P195" s="29"/>
      <c r="Q195" s="29"/>
      <c r="R195" s="38"/>
    </row>
    <row r="196" spans="1:18" x14ac:dyDescent="0.25">
      <c r="A196" s="5"/>
      <c r="B196" s="25"/>
      <c r="C196" s="25"/>
      <c r="D196" s="25"/>
      <c r="E196" s="25"/>
      <c r="F196" s="16"/>
      <c r="H196" s="29"/>
      <c r="I196" s="29"/>
      <c r="J196" s="29"/>
      <c r="K196" s="29"/>
      <c r="L196" s="29"/>
      <c r="M196" s="29"/>
      <c r="N196" s="29"/>
      <c r="O196" s="29"/>
      <c r="P196" s="29"/>
      <c r="Q196" s="29"/>
      <c r="R196" s="38"/>
    </row>
    <row r="197" spans="1:18" x14ac:dyDescent="0.25">
      <c r="A197" s="5"/>
      <c r="B197" s="25"/>
      <c r="C197" s="25"/>
      <c r="D197" s="25"/>
      <c r="E197" s="25"/>
      <c r="F197" s="16"/>
      <c r="H197" s="29"/>
      <c r="I197" s="29"/>
      <c r="J197" s="29"/>
      <c r="K197" s="29"/>
      <c r="L197" s="29"/>
      <c r="M197" s="29"/>
      <c r="N197" s="29"/>
      <c r="O197" s="29"/>
      <c r="P197" s="29"/>
      <c r="Q197" s="29"/>
      <c r="R197" s="38"/>
    </row>
    <row r="198" spans="1:18" x14ac:dyDescent="0.25">
      <c r="A198" s="5"/>
      <c r="B198" s="25"/>
      <c r="C198" s="25"/>
      <c r="D198" s="25"/>
      <c r="E198" s="25"/>
      <c r="F198" s="16"/>
      <c r="H198" s="29"/>
      <c r="I198" s="29"/>
      <c r="J198" s="29"/>
      <c r="K198" s="29"/>
      <c r="L198" s="29"/>
      <c r="M198" s="29"/>
      <c r="N198" s="29"/>
      <c r="O198" s="29"/>
      <c r="P198" s="29"/>
      <c r="Q198" s="29"/>
      <c r="R198" s="38"/>
    </row>
    <row r="199" spans="1:18" x14ac:dyDescent="0.25">
      <c r="A199" s="5"/>
      <c r="B199" s="25"/>
      <c r="C199" s="25"/>
      <c r="D199" s="25"/>
      <c r="E199" s="25"/>
      <c r="F199" s="16"/>
      <c r="H199" s="29"/>
      <c r="I199" s="29"/>
      <c r="J199" s="29"/>
      <c r="K199" s="29"/>
      <c r="L199" s="29"/>
      <c r="M199" s="29"/>
      <c r="N199" s="29"/>
      <c r="O199" s="29"/>
      <c r="P199" s="29"/>
      <c r="Q199" s="29"/>
      <c r="R199" s="38"/>
    </row>
    <row r="200" spans="1:18" x14ac:dyDescent="0.25">
      <c r="A200" s="5"/>
      <c r="B200" s="25"/>
      <c r="C200" s="25"/>
      <c r="D200" s="25"/>
      <c r="E200" s="25"/>
      <c r="F200" s="16"/>
      <c r="H200" s="29"/>
      <c r="I200" s="29"/>
      <c r="J200" s="29"/>
      <c r="K200" s="29"/>
      <c r="L200" s="29"/>
      <c r="M200" s="29"/>
      <c r="N200" s="29"/>
      <c r="O200" s="29"/>
      <c r="P200" s="29"/>
      <c r="Q200" s="29"/>
      <c r="R200" s="38"/>
    </row>
    <row r="201" spans="1:18" x14ac:dyDescent="0.25">
      <c r="A201" s="5"/>
      <c r="B201" s="25"/>
      <c r="C201" s="25"/>
      <c r="D201" s="25"/>
      <c r="E201" s="25"/>
      <c r="F201" s="16"/>
      <c r="H201" s="29"/>
      <c r="I201" s="29"/>
      <c r="J201" s="29"/>
      <c r="K201" s="29"/>
      <c r="L201" s="29"/>
      <c r="M201" s="29"/>
      <c r="N201" s="29"/>
      <c r="O201" s="29"/>
      <c r="P201" s="29"/>
      <c r="Q201" s="29"/>
      <c r="R201" s="38"/>
    </row>
    <row r="202" spans="1:18" x14ac:dyDescent="0.25">
      <c r="A202" s="5"/>
      <c r="B202" s="25"/>
      <c r="C202" s="25"/>
      <c r="D202" s="25"/>
      <c r="E202" s="25"/>
      <c r="F202" s="16"/>
      <c r="H202" s="29"/>
      <c r="I202" s="29"/>
      <c r="J202" s="29"/>
      <c r="K202" s="29"/>
      <c r="L202" s="29"/>
      <c r="M202" s="29"/>
      <c r="N202" s="29"/>
      <c r="O202" s="29"/>
      <c r="P202" s="29"/>
      <c r="Q202" s="29"/>
      <c r="R202" s="38"/>
    </row>
    <row r="203" spans="1:18" x14ac:dyDescent="0.25">
      <c r="A203" s="5"/>
      <c r="B203" s="25"/>
      <c r="C203" s="25"/>
      <c r="D203" s="25"/>
      <c r="E203" s="25"/>
      <c r="F203" s="16"/>
      <c r="H203" s="29"/>
      <c r="I203" s="29"/>
      <c r="J203" s="29"/>
      <c r="K203" s="29"/>
      <c r="L203" s="29"/>
      <c r="M203" s="29"/>
      <c r="N203" s="29"/>
      <c r="O203" s="29"/>
      <c r="P203" s="29"/>
      <c r="Q203" s="29"/>
      <c r="R203" s="38"/>
    </row>
    <row r="204" spans="1:18" x14ac:dyDescent="0.25">
      <c r="A204" s="5"/>
      <c r="B204" s="25"/>
      <c r="C204" s="25"/>
      <c r="D204" s="25"/>
      <c r="E204" s="25"/>
      <c r="F204" s="16"/>
      <c r="H204" s="29"/>
      <c r="I204" s="29"/>
      <c r="J204" s="29"/>
      <c r="K204" s="29"/>
      <c r="L204" s="29"/>
      <c r="M204" s="29"/>
      <c r="N204" s="29"/>
      <c r="O204" s="29"/>
      <c r="P204" s="29"/>
      <c r="Q204" s="29"/>
      <c r="R204" s="38"/>
    </row>
    <row r="205" spans="1:18" x14ac:dyDescent="0.25">
      <c r="A205" s="5"/>
      <c r="B205" s="25"/>
      <c r="C205" s="25"/>
      <c r="D205" s="25"/>
      <c r="E205" s="25"/>
      <c r="F205" s="16"/>
      <c r="H205" s="29"/>
      <c r="I205" s="29"/>
      <c r="J205" s="29"/>
      <c r="K205" s="29"/>
      <c r="L205" s="29"/>
      <c r="M205" s="29"/>
      <c r="N205" s="29"/>
      <c r="O205" s="29"/>
      <c r="P205" s="29"/>
      <c r="Q205" s="29"/>
      <c r="R205" s="38"/>
    </row>
    <row r="206" spans="1:18" x14ac:dyDescent="0.25">
      <c r="A206" s="5"/>
      <c r="B206" s="25"/>
      <c r="C206" s="25"/>
      <c r="D206" s="25"/>
      <c r="E206" s="25"/>
      <c r="F206" s="16"/>
      <c r="H206" s="29"/>
      <c r="I206" s="29"/>
      <c r="J206" s="29"/>
      <c r="K206" s="29"/>
      <c r="L206" s="29"/>
      <c r="M206" s="29"/>
      <c r="N206" s="29"/>
      <c r="O206" s="29"/>
      <c r="P206" s="29"/>
      <c r="Q206" s="29"/>
      <c r="R206" s="38"/>
    </row>
    <row r="207" spans="1:18" x14ac:dyDescent="0.25">
      <c r="A207" s="5"/>
      <c r="B207" s="25"/>
      <c r="C207" s="25"/>
      <c r="D207" s="25"/>
      <c r="E207" s="25"/>
      <c r="F207" s="16"/>
      <c r="H207" s="29"/>
      <c r="I207" s="29"/>
      <c r="J207" s="29"/>
      <c r="K207" s="29"/>
      <c r="L207" s="29"/>
      <c r="M207" s="29"/>
      <c r="N207" s="29"/>
      <c r="O207" s="29"/>
      <c r="P207" s="29"/>
      <c r="Q207" s="29"/>
      <c r="R207" s="38"/>
    </row>
    <row r="208" spans="1:18" x14ac:dyDescent="0.25">
      <c r="A208" s="5"/>
      <c r="B208" s="25"/>
      <c r="C208" s="25"/>
      <c r="D208" s="25"/>
      <c r="E208" s="25"/>
      <c r="F208" s="16"/>
      <c r="H208" s="29"/>
      <c r="I208" s="29"/>
      <c r="J208" s="29"/>
      <c r="K208" s="29"/>
      <c r="L208" s="29"/>
      <c r="M208" s="29"/>
      <c r="N208" s="29"/>
      <c r="O208" s="29"/>
      <c r="P208" s="29"/>
      <c r="Q208" s="29"/>
      <c r="R208" s="38"/>
    </row>
    <row r="209" spans="1:18" x14ac:dyDescent="0.25">
      <c r="A209" s="5"/>
      <c r="B209" s="25"/>
      <c r="C209" s="25"/>
      <c r="D209" s="25"/>
      <c r="E209" s="25"/>
      <c r="F209" s="16"/>
      <c r="H209" s="29"/>
      <c r="I209" s="29"/>
      <c r="J209" s="29"/>
      <c r="K209" s="29"/>
      <c r="L209" s="29"/>
      <c r="M209" s="29"/>
      <c r="N209" s="29"/>
      <c r="O209" s="29"/>
      <c r="P209" s="29"/>
      <c r="Q209" s="29"/>
      <c r="R209" s="38"/>
    </row>
    <row r="210" spans="1:18" x14ac:dyDescent="0.25">
      <c r="A210" s="5"/>
      <c r="B210" s="25"/>
      <c r="C210" s="25"/>
      <c r="D210" s="25"/>
      <c r="E210" s="25"/>
      <c r="F210" s="16"/>
      <c r="H210" s="29"/>
      <c r="I210" s="29"/>
      <c r="J210" s="29"/>
      <c r="K210" s="29"/>
      <c r="L210" s="29"/>
      <c r="M210" s="29"/>
      <c r="N210" s="29"/>
      <c r="O210" s="29"/>
      <c r="P210" s="29"/>
      <c r="Q210" s="29"/>
      <c r="R210" s="38"/>
    </row>
    <row r="211" spans="1:18" x14ac:dyDescent="0.25">
      <c r="A211" s="5"/>
      <c r="B211" s="25"/>
      <c r="C211" s="25"/>
      <c r="D211" s="25"/>
      <c r="E211" s="25"/>
      <c r="F211" s="16"/>
      <c r="H211" s="29"/>
      <c r="I211" s="29"/>
      <c r="J211" s="29"/>
      <c r="K211" s="29"/>
      <c r="L211" s="29"/>
      <c r="M211" s="29"/>
      <c r="N211" s="29"/>
      <c r="O211" s="29"/>
      <c r="P211" s="29"/>
      <c r="Q211" s="29"/>
      <c r="R211" s="38"/>
    </row>
    <row r="212" spans="1:18" x14ac:dyDescent="0.25">
      <c r="A212" s="5"/>
      <c r="B212" s="25"/>
      <c r="C212" s="25"/>
      <c r="D212" s="25"/>
      <c r="E212" s="25"/>
      <c r="F212" s="16"/>
      <c r="H212" s="29"/>
      <c r="I212" s="29"/>
      <c r="J212" s="29"/>
      <c r="K212" s="29"/>
      <c r="L212" s="29"/>
      <c r="M212" s="29"/>
      <c r="N212" s="29"/>
      <c r="O212" s="29"/>
      <c r="P212" s="29"/>
      <c r="Q212" s="29"/>
      <c r="R212" s="38"/>
    </row>
    <row r="213" spans="1:18" x14ac:dyDescent="0.25">
      <c r="A213" s="5"/>
      <c r="B213" s="25"/>
      <c r="C213" s="25"/>
      <c r="D213" s="25"/>
      <c r="E213" s="25"/>
      <c r="F213" s="16"/>
      <c r="H213" s="29"/>
      <c r="I213" s="29"/>
      <c r="J213" s="29"/>
      <c r="K213" s="29"/>
      <c r="L213" s="29"/>
      <c r="M213" s="29"/>
      <c r="N213" s="29"/>
      <c r="O213" s="29"/>
      <c r="P213" s="29"/>
      <c r="Q213" s="29"/>
      <c r="R213" s="38"/>
    </row>
    <row r="214" spans="1:18" x14ac:dyDescent="0.25">
      <c r="A214" s="5"/>
      <c r="B214" s="25"/>
      <c r="C214" s="25"/>
      <c r="D214" s="25"/>
      <c r="E214" s="25"/>
      <c r="F214" s="16"/>
      <c r="H214" s="29"/>
      <c r="I214" s="29"/>
      <c r="J214" s="29"/>
      <c r="K214" s="29"/>
      <c r="L214" s="29"/>
      <c r="M214" s="29"/>
      <c r="N214" s="29"/>
      <c r="O214" s="29"/>
      <c r="P214" s="29"/>
      <c r="Q214" s="29"/>
      <c r="R214" s="38"/>
    </row>
    <row r="215" spans="1:18" x14ac:dyDescent="0.25">
      <c r="A215" s="5"/>
      <c r="B215" s="25"/>
      <c r="C215" s="25"/>
      <c r="D215" s="25"/>
      <c r="E215" s="25"/>
      <c r="F215" s="16"/>
      <c r="H215" s="29"/>
      <c r="I215" s="29"/>
      <c r="J215" s="29"/>
      <c r="K215" s="29"/>
      <c r="L215" s="29"/>
      <c r="M215" s="29"/>
      <c r="N215" s="29"/>
      <c r="O215" s="29"/>
      <c r="P215" s="29"/>
      <c r="Q215" s="29"/>
      <c r="R215" s="38"/>
    </row>
    <row r="216" spans="1:18" x14ac:dyDescent="0.25">
      <c r="A216" s="5"/>
      <c r="B216" s="25"/>
      <c r="C216" s="25"/>
      <c r="D216" s="25"/>
      <c r="E216" s="25"/>
      <c r="F216" s="16"/>
      <c r="H216" s="29"/>
      <c r="I216" s="29"/>
      <c r="J216" s="29"/>
      <c r="K216" s="29"/>
      <c r="L216" s="29"/>
      <c r="M216" s="29"/>
      <c r="N216" s="29"/>
      <c r="O216" s="29"/>
      <c r="P216" s="29"/>
      <c r="Q216" s="29"/>
      <c r="R216" s="38"/>
    </row>
    <row r="217" spans="1:18" x14ac:dyDescent="0.25">
      <c r="A217" s="5"/>
      <c r="B217" s="25"/>
      <c r="C217" s="25"/>
      <c r="D217" s="25"/>
      <c r="E217" s="25"/>
      <c r="F217" s="16"/>
      <c r="H217" s="29"/>
      <c r="I217" s="29"/>
      <c r="J217" s="29"/>
      <c r="K217" s="29"/>
      <c r="L217" s="29"/>
      <c r="M217" s="29"/>
      <c r="N217" s="29"/>
      <c r="O217" s="29"/>
      <c r="P217" s="29"/>
      <c r="Q217" s="29"/>
      <c r="R217" s="38"/>
    </row>
    <row r="218" spans="1:18" x14ac:dyDescent="0.25">
      <c r="A218" s="5"/>
      <c r="B218" s="25"/>
      <c r="C218" s="25"/>
      <c r="D218" s="25"/>
      <c r="E218" s="25"/>
      <c r="F218" s="16"/>
      <c r="H218" s="29"/>
      <c r="I218" s="29"/>
      <c r="J218" s="29"/>
      <c r="K218" s="29"/>
      <c r="L218" s="29"/>
      <c r="M218" s="29"/>
      <c r="N218" s="29"/>
      <c r="O218" s="29"/>
      <c r="P218" s="29"/>
      <c r="Q218" s="29"/>
      <c r="R218" s="38"/>
    </row>
    <row r="219" spans="1:18" x14ac:dyDescent="0.25">
      <c r="A219" s="5"/>
      <c r="B219" s="25"/>
      <c r="C219" s="25"/>
      <c r="D219" s="25"/>
      <c r="E219" s="25"/>
      <c r="F219" s="16"/>
      <c r="H219" s="29"/>
      <c r="I219" s="29"/>
      <c r="J219" s="29"/>
      <c r="K219" s="29"/>
      <c r="L219" s="29"/>
      <c r="M219" s="29"/>
      <c r="N219" s="29"/>
      <c r="O219" s="29"/>
      <c r="P219" s="29"/>
      <c r="Q219" s="29"/>
      <c r="R219" s="38"/>
    </row>
    <row r="220" spans="1:18" x14ac:dyDescent="0.25">
      <c r="A220" s="5"/>
      <c r="B220" s="25"/>
      <c r="C220" s="25"/>
      <c r="D220" s="25"/>
      <c r="E220" s="25"/>
      <c r="F220" s="16"/>
      <c r="H220" s="29"/>
      <c r="I220" s="29"/>
      <c r="J220" s="29"/>
      <c r="K220" s="29"/>
      <c r="L220" s="29"/>
      <c r="M220" s="29"/>
      <c r="N220" s="29"/>
      <c r="O220" s="29"/>
      <c r="P220" s="29"/>
      <c r="Q220" s="29"/>
      <c r="R220" s="38"/>
    </row>
    <row r="221" spans="1:18" x14ac:dyDescent="0.25">
      <c r="A221" s="5"/>
      <c r="B221" s="25"/>
      <c r="C221" s="25"/>
      <c r="D221" s="25"/>
      <c r="E221" s="25"/>
      <c r="F221" s="16"/>
      <c r="H221" s="29"/>
      <c r="I221" s="29"/>
      <c r="J221" s="29"/>
      <c r="K221" s="29"/>
      <c r="L221" s="29"/>
      <c r="M221" s="29"/>
      <c r="N221" s="29"/>
      <c r="O221" s="29"/>
      <c r="P221" s="29"/>
      <c r="Q221" s="29"/>
      <c r="R221" s="38"/>
    </row>
    <row r="222" spans="1:18" x14ac:dyDescent="0.25">
      <c r="A222" s="5"/>
      <c r="B222" s="25"/>
      <c r="C222" s="25"/>
      <c r="D222" s="25"/>
      <c r="E222" s="25"/>
      <c r="F222" s="16"/>
      <c r="H222" s="29"/>
      <c r="I222" s="29"/>
      <c r="J222" s="29"/>
      <c r="K222" s="29"/>
      <c r="L222" s="29"/>
      <c r="M222" s="29"/>
      <c r="N222" s="29"/>
      <c r="O222" s="29"/>
      <c r="P222" s="29"/>
      <c r="Q222" s="29"/>
      <c r="R222" s="38"/>
    </row>
    <row r="223" spans="1:18" x14ac:dyDescent="0.25">
      <c r="A223" s="5"/>
      <c r="B223" s="13"/>
      <c r="C223" s="13"/>
      <c r="D223" s="13"/>
      <c r="E223" s="13"/>
      <c r="F223" s="9"/>
      <c r="G223" s="29"/>
      <c r="H223" s="29"/>
      <c r="I223" s="29"/>
      <c r="J223" s="29"/>
      <c r="K223" s="29"/>
      <c r="L223" s="29"/>
      <c r="M223" s="29"/>
      <c r="N223" s="29"/>
      <c r="O223" s="29"/>
      <c r="P223" s="29"/>
      <c r="Q223" s="29"/>
      <c r="R223" s="38"/>
    </row>
    <row r="224" spans="1:18" x14ac:dyDescent="0.25">
      <c r="A224" s="5"/>
      <c r="B224" s="13"/>
      <c r="C224" s="13"/>
      <c r="D224" s="13"/>
      <c r="E224" s="13"/>
      <c r="F224" s="9"/>
      <c r="G224" s="29"/>
      <c r="H224" s="29"/>
      <c r="I224" s="29"/>
      <c r="J224" s="29"/>
      <c r="K224" s="29"/>
      <c r="L224" s="29"/>
      <c r="M224" s="29"/>
      <c r="N224" s="29"/>
      <c r="O224" s="29"/>
      <c r="P224" s="29"/>
      <c r="Q224" s="29"/>
      <c r="R224" s="38"/>
    </row>
    <row r="225" spans="1:18" x14ac:dyDescent="0.25">
      <c r="A225" s="5"/>
      <c r="B225" s="13"/>
      <c r="C225" s="13"/>
      <c r="D225" s="13"/>
      <c r="E225" s="13"/>
      <c r="F225" s="9"/>
      <c r="G225" s="29"/>
      <c r="H225" s="29"/>
      <c r="I225" s="29"/>
      <c r="J225" s="29"/>
      <c r="K225" s="29"/>
      <c r="L225" s="29"/>
      <c r="M225" s="29"/>
      <c r="N225" s="29"/>
      <c r="O225" s="29"/>
      <c r="P225" s="29"/>
      <c r="Q225" s="29"/>
      <c r="R225" s="38"/>
    </row>
    <row r="226" spans="1:18" x14ac:dyDescent="0.25">
      <c r="A226" s="5"/>
      <c r="B226" s="13"/>
      <c r="C226" s="13"/>
      <c r="D226" s="13"/>
      <c r="E226" s="13"/>
      <c r="F226" s="9"/>
      <c r="G226" s="29"/>
      <c r="H226" s="29"/>
      <c r="I226" s="29"/>
      <c r="J226" s="29"/>
      <c r="K226" s="29"/>
      <c r="L226" s="29"/>
      <c r="M226" s="29"/>
      <c r="N226" s="29"/>
      <c r="O226" s="29"/>
      <c r="P226" s="29"/>
      <c r="Q226" s="29"/>
      <c r="R226" s="38"/>
    </row>
    <row r="227" spans="1:18" x14ac:dyDescent="0.25">
      <c r="A227" s="5"/>
      <c r="B227" s="13"/>
      <c r="C227" s="13"/>
      <c r="D227" s="13"/>
      <c r="E227" s="13"/>
      <c r="F227" s="9"/>
      <c r="G227" s="29"/>
      <c r="H227" s="29"/>
      <c r="I227" s="29"/>
      <c r="J227" s="29"/>
      <c r="K227" s="29"/>
      <c r="L227" s="29"/>
      <c r="M227" s="29"/>
      <c r="N227" s="29"/>
      <c r="O227" s="29"/>
      <c r="P227" s="29"/>
      <c r="Q227" s="29"/>
      <c r="R227" s="38"/>
    </row>
    <row r="228" spans="1:18" x14ac:dyDescent="0.25">
      <c r="A228" s="5"/>
      <c r="B228" s="13"/>
      <c r="C228" s="13"/>
      <c r="D228" s="13"/>
      <c r="E228" s="13"/>
      <c r="F228" s="9"/>
      <c r="G228" s="29"/>
      <c r="H228" s="29"/>
      <c r="I228" s="29"/>
      <c r="J228" s="29"/>
      <c r="K228" s="29"/>
      <c r="L228" s="29"/>
      <c r="M228" s="29"/>
      <c r="N228" s="29"/>
      <c r="O228" s="29"/>
      <c r="P228" s="29"/>
      <c r="Q228" s="29"/>
      <c r="R228" s="38"/>
    </row>
    <row r="229" spans="1:18" x14ac:dyDescent="0.25">
      <c r="A229" s="5"/>
      <c r="B229" s="13"/>
      <c r="C229" s="13"/>
      <c r="D229" s="13"/>
      <c r="E229" s="13"/>
      <c r="F229" s="9"/>
      <c r="G229" s="29"/>
      <c r="H229" s="29"/>
      <c r="I229" s="29"/>
      <c r="J229" s="29"/>
      <c r="K229" s="29"/>
      <c r="L229" s="29"/>
      <c r="M229" s="29"/>
      <c r="N229" s="29"/>
      <c r="O229" s="29"/>
      <c r="P229" s="29"/>
      <c r="Q229" s="29"/>
      <c r="R229" s="38"/>
    </row>
    <row r="230" spans="1:18" x14ac:dyDescent="0.25">
      <c r="A230" s="5"/>
      <c r="B230" s="13"/>
      <c r="C230" s="13"/>
      <c r="D230" s="13"/>
      <c r="E230" s="13"/>
      <c r="F230" s="9"/>
      <c r="G230" s="29"/>
      <c r="H230" s="29"/>
      <c r="I230" s="29"/>
      <c r="J230" s="29"/>
      <c r="K230" s="29"/>
      <c r="L230" s="29"/>
      <c r="M230" s="29"/>
      <c r="N230" s="29"/>
      <c r="O230" s="29"/>
      <c r="P230" s="29"/>
      <c r="Q230" s="29"/>
      <c r="R230" s="38"/>
    </row>
    <row r="231" spans="1:18" x14ac:dyDescent="0.25">
      <c r="A231" s="5"/>
      <c r="B231" s="13"/>
      <c r="C231" s="13"/>
      <c r="D231" s="13"/>
      <c r="E231" s="13"/>
      <c r="F231" s="9"/>
      <c r="G231" s="29"/>
      <c r="H231" s="29"/>
      <c r="I231" s="29"/>
      <c r="J231" s="29"/>
      <c r="K231" s="29"/>
      <c r="L231" s="29"/>
      <c r="M231" s="29"/>
      <c r="N231" s="29"/>
      <c r="O231" s="29"/>
      <c r="P231" s="29"/>
      <c r="Q231" s="29"/>
      <c r="R231" s="38"/>
    </row>
    <row r="232" spans="1:18" x14ac:dyDescent="0.25">
      <c r="A232" s="5"/>
      <c r="B232" s="13"/>
      <c r="C232" s="13"/>
      <c r="D232" s="13"/>
      <c r="E232" s="13"/>
      <c r="F232" s="9"/>
      <c r="G232" s="29"/>
      <c r="H232" s="29"/>
      <c r="I232" s="29"/>
      <c r="J232" s="29"/>
      <c r="K232" s="29"/>
      <c r="L232" s="29"/>
      <c r="M232" s="29"/>
      <c r="N232" s="29"/>
      <c r="O232" s="29"/>
      <c r="P232" s="29"/>
      <c r="Q232" s="29"/>
      <c r="R232" s="38"/>
    </row>
    <row r="233" spans="1:18" x14ac:dyDescent="0.25">
      <c r="A233" s="5"/>
      <c r="B233" s="13"/>
      <c r="C233" s="13"/>
      <c r="D233" s="13"/>
      <c r="E233" s="13"/>
      <c r="F233" s="9"/>
      <c r="G233" s="29"/>
      <c r="H233" s="29"/>
      <c r="I233" s="29"/>
      <c r="J233" s="29"/>
      <c r="K233" s="29"/>
      <c r="L233" s="29"/>
      <c r="M233" s="29"/>
      <c r="N233" s="29"/>
      <c r="O233" s="29"/>
      <c r="P233" s="29"/>
      <c r="Q233" s="29"/>
      <c r="R233" s="38"/>
    </row>
    <row r="234" spans="1:18" x14ac:dyDescent="0.25">
      <c r="A234" s="5"/>
      <c r="B234" s="13"/>
      <c r="C234" s="13"/>
      <c r="D234" s="13"/>
      <c r="E234" s="13"/>
      <c r="F234" s="9"/>
      <c r="G234" s="29"/>
      <c r="H234" s="29"/>
      <c r="I234" s="29"/>
      <c r="J234" s="29"/>
      <c r="K234" s="29"/>
      <c r="L234" s="29"/>
      <c r="M234" s="29"/>
      <c r="N234" s="29"/>
      <c r="O234" s="29"/>
      <c r="P234" s="29"/>
      <c r="Q234" s="29"/>
      <c r="R234" s="38"/>
    </row>
    <row r="235" spans="1:18" x14ac:dyDescent="0.25">
      <c r="A235" s="5"/>
      <c r="B235" s="13"/>
      <c r="C235" s="13"/>
      <c r="D235" s="13"/>
      <c r="E235" s="13"/>
      <c r="F235" s="9"/>
      <c r="G235" s="29"/>
      <c r="H235" s="29"/>
      <c r="I235" s="29"/>
      <c r="J235" s="29"/>
      <c r="K235" s="29"/>
      <c r="L235" s="29"/>
      <c r="M235" s="29"/>
      <c r="N235" s="29"/>
      <c r="O235" s="29"/>
      <c r="P235" s="29"/>
      <c r="Q235" s="29"/>
      <c r="R235" s="38"/>
    </row>
    <row r="236" spans="1:18" x14ac:dyDescent="0.25">
      <c r="A236" s="5"/>
      <c r="B236" s="13"/>
      <c r="C236" s="13"/>
      <c r="D236" s="13"/>
      <c r="E236" s="13"/>
      <c r="F236" s="9"/>
      <c r="G236" s="29"/>
      <c r="H236" s="29"/>
      <c r="I236" s="29"/>
      <c r="J236" s="29"/>
      <c r="K236" s="29"/>
      <c r="L236" s="29"/>
      <c r="M236" s="29"/>
      <c r="N236" s="29"/>
      <c r="O236" s="29"/>
      <c r="P236" s="29"/>
      <c r="Q236" s="29"/>
      <c r="R236" s="38"/>
    </row>
    <row r="237" spans="1:18" x14ac:dyDescent="0.25">
      <c r="A237" s="5"/>
      <c r="B237" s="13"/>
      <c r="C237" s="13"/>
      <c r="D237" s="13"/>
      <c r="E237" s="13"/>
      <c r="F237" s="9"/>
      <c r="G237" s="29"/>
      <c r="H237" s="29"/>
      <c r="I237" s="29"/>
      <c r="J237" s="29"/>
      <c r="K237" s="29"/>
      <c r="L237" s="29"/>
      <c r="M237" s="29"/>
      <c r="N237" s="29"/>
      <c r="O237" s="29"/>
      <c r="P237" s="29"/>
      <c r="Q237" s="29"/>
      <c r="R237" s="38"/>
    </row>
    <row r="238" spans="1:18" x14ac:dyDescent="0.25">
      <c r="A238" s="5"/>
      <c r="B238" s="13"/>
      <c r="C238" s="13"/>
      <c r="D238" s="13"/>
      <c r="E238" s="13"/>
      <c r="F238" s="9"/>
      <c r="G238" s="29"/>
      <c r="H238" s="29"/>
      <c r="I238" s="29"/>
      <c r="J238" s="29"/>
      <c r="K238" s="29"/>
      <c r="L238" s="29"/>
      <c r="M238" s="29"/>
      <c r="N238" s="29"/>
      <c r="O238" s="29"/>
      <c r="P238" s="29"/>
      <c r="Q238" s="29"/>
      <c r="R238" s="38"/>
    </row>
    <row r="239" spans="1:18" x14ac:dyDescent="0.25">
      <c r="A239" s="5"/>
      <c r="B239" s="13"/>
      <c r="C239" s="13"/>
      <c r="D239" s="13"/>
      <c r="E239" s="13"/>
      <c r="F239" s="9"/>
      <c r="G239" s="29"/>
      <c r="H239" s="29"/>
      <c r="I239" s="29"/>
      <c r="J239" s="29"/>
      <c r="K239" s="29"/>
      <c r="L239" s="29"/>
      <c r="M239" s="29"/>
      <c r="N239" s="29"/>
      <c r="O239" s="29"/>
      <c r="P239" s="29"/>
      <c r="Q239" s="29"/>
      <c r="R239" s="38"/>
    </row>
    <row r="240" spans="1:18" x14ac:dyDescent="0.25">
      <c r="A240" s="5"/>
      <c r="B240" s="13"/>
      <c r="C240" s="13"/>
      <c r="D240" s="13"/>
      <c r="E240" s="13"/>
      <c r="F240" s="9"/>
      <c r="G240" s="29"/>
      <c r="H240" s="29"/>
      <c r="I240" s="29"/>
      <c r="J240" s="29"/>
      <c r="K240" s="29"/>
      <c r="L240" s="29"/>
      <c r="M240" s="29"/>
      <c r="N240" s="29"/>
      <c r="O240" s="29"/>
      <c r="P240" s="29"/>
      <c r="Q240" s="29"/>
      <c r="R240" s="38"/>
    </row>
    <row r="241" spans="1:18" x14ac:dyDescent="0.25">
      <c r="A241" s="5"/>
      <c r="B241" s="13"/>
      <c r="C241" s="13"/>
      <c r="D241" s="13"/>
      <c r="E241" s="13"/>
      <c r="F241" s="9"/>
      <c r="G241" s="29"/>
      <c r="H241" s="29"/>
      <c r="I241" s="29"/>
      <c r="J241" s="29"/>
      <c r="K241" s="29"/>
      <c r="L241" s="29"/>
      <c r="M241" s="29"/>
      <c r="N241" s="29"/>
      <c r="O241" s="29"/>
      <c r="P241" s="29"/>
      <c r="Q241" s="29"/>
      <c r="R241" s="38"/>
    </row>
    <row r="242" spans="1:18" x14ac:dyDescent="0.25">
      <c r="A242" s="5"/>
      <c r="B242" s="13"/>
      <c r="C242" s="13"/>
      <c r="D242" s="13"/>
      <c r="E242" s="13"/>
      <c r="F242" s="9"/>
      <c r="G242" s="29"/>
      <c r="H242" s="29"/>
      <c r="I242" s="29"/>
      <c r="J242" s="29"/>
      <c r="K242" s="29"/>
      <c r="L242" s="29"/>
      <c r="M242" s="29"/>
      <c r="N242" s="29"/>
      <c r="O242" s="29"/>
      <c r="P242" s="29"/>
      <c r="Q242" s="29"/>
      <c r="R242" s="38"/>
    </row>
    <row r="243" spans="1:18" x14ac:dyDescent="0.25">
      <c r="A243" s="5"/>
      <c r="B243" s="13"/>
      <c r="C243" s="13"/>
      <c r="D243" s="13"/>
      <c r="E243" s="13"/>
      <c r="F243" s="9"/>
      <c r="G243" s="29"/>
      <c r="H243" s="29"/>
      <c r="I243" s="29"/>
      <c r="J243" s="29"/>
      <c r="K243" s="29"/>
      <c r="L243" s="29"/>
      <c r="M243" s="29"/>
      <c r="N243" s="29"/>
      <c r="O243" s="29"/>
      <c r="P243" s="29"/>
      <c r="Q243" s="29"/>
      <c r="R243" s="38"/>
    </row>
    <row r="244" spans="1:18" x14ac:dyDescent="0.25">
      <c r="A244" s="5"/>
      <c r="B244" s="13"/>
      <c r="C244" s="13"/>
      <c r="D244" s="13"/>
      <c r="E244" s="13"/>
      <c r="F244" s="9"/>
      <c r="G244" s="29"/>
      <c r="H244" s="29"/>
      <c r="I244" s="29"/>
      <c r="J244" s="29"/>
      <c r="K244" s="29"/>
      <c r="L244" s="29"/>
      <c r="M244" s="29"/>
      <c r="N244" s="29"/>
      <c r="O244" s="29"/>
      <c r="P244" s="29"/>
      <c r="Q244" s="29"/>
      <c r="R244" s="38"/>
    </row>
    <row r="245" spans="1:18" x14ac:dyDescent="0.25">
      <c r="A245" s="5"/>
      <c r="B245" s="13"/>
      <c r="C245" s="13"/>
      <c r="D245" s="13"/>
      <c r="E245" s="13"/>
      <c r="F245" s="9"/>
      <c r="G245" s="29"/>
      <c r="H245" s="29"/>
      <c r="I245" s="29"/>
      <c r="J245" s="29"/>
      <c r="K245" s="29"/>
      <c r="L245" s="29"/>
      <c r="M245" s="29"/>
      <c r="N245" s="29"/>
      <c r="O245" s="29"/>
      <c r="P245" s="29"/>
      <c r="Q245" s="29"/>
      <c r="R245" s="38"/>
    </row>
    <row r="246" spans="1:18" x14ac:dyDescent="0.25">
      <c r="A246" s="5"/>
      <c r="B246" s="13"/>
      <c r="C246" s="13"/>
      <c r="D246" s="13"/>
      <c r="E246" s="13"/>
      <c r="F246" s="9"/>
      <c r="G246" s="29"/>
      <c r="H246" s="29"/>
      <c r="I246" s="29"/>
      <c r="J246" s="29"/>
      <c r="K246" s="29"/>
      <c r="L246" s="29"/>
      <c r="M246" s="29"/>
      <c r="N246" s="29"/>
      <c r="O246" s="29"/>
      <c r="P246" s="29"/>
      <c r="Q246" s="29"/>
      <c r="R246" s="38"/>
    </row>
    <row r="247" spans="1:18" x14ac:dyDescent="0.25">
      <c r="A247" s="5"/>
      <c r="B247" s="13"/>
      <c r="C247" s="13"/>
      <c r="D247" s="13"/>
      <c r="E247" s="13"/>
      <c r="F247" s="9"/>
      <c r="G247" s="29"/>
      <c r="H247" s="29"/>
      <c r="I247" s="29"/>
      <c r="J247" s="29"/>
      <c r="K247" s="29"/>
      <c r="L247" s="29"/>
      <c r="M247" s="29"/>
      <c r="N247" s="29"/>
      <c r="O247" s="29"/>
      <c r="P247" s="29"/>
      <c r="Q247" s="29"/>
      <c r="R247" s="38"/>
    </row>
    <row r="248" spans="1:18" x14ac:dyDescent="0.25">
      <c r="A248" s="5"/>
      <c r="B248" s="13"/>
      <c r="C248" s="13"/>
      <c r="D248" s="13"/>
      <c r="E248" s="13"/>
      <c r="F248" s="9"/>
      <c r="G248" s="29"/>
      <c r="H248" s="29"/>
      <c r="I248" s="29"/>
      <c r="J248" s="29"/>
      <c r="K248" s="29"/>
      <c r="L248" s="29"/>
      <c r="M248" s="29"/>
      <c r="N248" s="29"/>
      <c r="O248" s="29"/>
      <c r="P248" s="29"/>
      <c r="Q248" s="29"/>
      <c r="R248" s="38"/>
    </row>
    <row r="249" spans="1:18" x14ac:dyDescent="0.25">
      <c r="A249" s="5"/>
      <c r="B249" s="13"/>
      <c r="C249" s="13"/>
      <c r="D249" s="13"/>
      <c r="E249" s="13"/>
      <c r="F249" s="9"/>
      <c r="G249" s="29"/>
      <c r="H249" s="29"/>
      <c r="I249" s="29"/>
      <c r="J249" s="29"/>
      <c r="K249" s="29"/>
      <c r="L249" s="29"/>
      <c r="M249" s="29"/>
      <c r="N249" s="29"/>
      <c r="O249" s="29"/>
      <c r="P249" s="29"/>
      <c r="Q249" s="29"/>
      <c r="R249" s="38"/>
    </row>
    <row r="250" spans="1:18" x14ac:dyDescent="0.25">
      <c r="A250" s="5"/>
      <c r="B250" s="13"/>
      <c r="C250" s="13"/>
      <c r="D250" s="13"/>
      <c r="E250" s="13"/>
      <c r="F250" s="9"/>
      <c r="G250" s="29"/>
      <c r="H250" s="29"/>
      <c r="I250" s="29"/>
      <c r="J250" s="29"/>
      <c r="K250" s="29"/>
      <c r="L250" s="29"/>
      <c r="M250" s="29"/>
      <c r="N250" s="29"/>
      <c r="O250" s="29"/>
      <c r="P250" s="29"/>
      <c r="Q250" s="29"/>
      <c r="R250" s="38"/>
    </row>
    <row r="251" spans="1:18" x14ac:dyDescent="0.25">
      <c r="A251" s="5"/>
      <c r="B251" s="13"/>
      <c r="C251" s="13"/>
      <c r="D251" s="13"/>
      <c r="E251" s="13"/>
      <c r="F251" s="9"/>
      <c r="G251" s="29"/>
      <c r="H251" s="29"/>
      <c r="I251" s="29"/>
      <c r="J251" s="29"/>
      <c r="K251" s="29"/>
      <c r="L251" s="29"/>
      <c r="M251" s="29"/>
      <c r="N251" s="29"/>
      <c r="O251" s="29"/>
      <c r="P251" s="29"/>
      <c r="Q251" s="29"/>
      <c r="R251" s="38"/>
    </row>
    <row r="252" spans="1:18" x14ac:dyDescent="0.25">
      <c r="A252" s="5"/>
      <c r="B252" s="13"/>
      <c r="C252" s="13"/>
      <c r="D252" s="13"/>
      <c r="E252" s="13"/>
      <c r="F252" s="9"/>
      <c r="G252" s="29"/>
      <c r="H252" s="29"/>
      <c r="I252" s="29"/>
      <c r="J252" s="29"/>
      <c r="K252" s="29"/>
      <c r="L252" s="29"/>
      <c r="M252" s="29"/>
      <c r="N252" s="29"/>
      <c r="O252" s="29"/>
      <c r="P252" s="29"/>
      <c r="Q252" s="29"/>
      <c r="R252" s="38"/>
    </row>
    <row r="253" spans="1:18" x14ac:dyDescent="0.25">
      <c r="A253" s="5"/>
      <c r="B253" s="13"/>
      <c r="C253" s="13"/>
      <c r="D253" s="13"/>
      <c r="E253" s="13"/>
      <c r="F253" s="9"/>
      <c r="G253" s="29"/>
      <c r="H253" s="29"/>
      <c r="I253" s="29"/>
      <c r="J253" s="29"/>
      <c r="K253" s="29"/>
      <c r="L253" s="29"/>
      <c r="M253" s="29"/>
      <c r="N253" s="29"/>
      <c r="O253" s="29"/>
      <c r="P253" s="29"/>
      <c r="Q253" s="29"/>
      <c r="R253" s="38"/>
    </row>
    <row r="254" spans="1:18" x14ac:dyDescent="0.25">
      <c r="A254" s="5"/>
      <c r="B254" s="13"/>
      <c r="C254" s="13"/>
      <c r="D254" s="13"/>
      <c r="E254" s="13"/>
      <c r="F254" s="9"/>
      <c r="G254" s="29"/>
      <c r="H254" s="29"/>
      <c r="I254" s="29"/>
      <c r="J254" s="29"/>
      <c r="K254" s="29"/>
      <c r="L254" s="29"/>
      <c r="M254" s="29"/>
      <c r="N254" s="29"/>
      <c r="O254" s="29"/>
      <c r="P254" s="29"/>
      <c r="Q254" s="29"/>
      <c r="R254" s="38"/>
    </row>
    <row r="255" spans="1:18" x14ac:dyDescent="0.25">
      <c r="A255" s="5"/>
      <c r="B255" s="13"/>
      <c r="C255" s="13"/>
      <c r="D255" s="13"/>
      <c r="E255" s="13"/>
      <c r="F255" s="9"/>
      <c r="G255" s="29"/>
      <c r="H255" s="29"/>
      <c r="I255" s="29"/>
      <c r="J255" s="29"/>
      <c r="K255" s="29"/>
      <c r="L255" s="29"/>
      <c r="M255" s="29"/>
      <c r="N255" s="29"/>
      <c r="O255" s="29"/>
      <c r="P255" s="29"/>
      <c r="Q255" s="29"/>
      <c r="R255" s="38"/>
    </row>
    <row r="256" spans="1:18" x14ac:dyDescent="0.25">
      <c r="A256" s="5"/>
      <c r="B256" s="13"/>
      <c r="C256" s="13"/>
      <c r="D256" s="13"/>
      <c r="E256" s="13"/>
      <c r="F256" s="9"/>
      <c r="G256" s="32"/>
      <c r="H256" s="32"/>
      <c r="I256" s="32"/>
      <c r="J256" s="32"/>
      <c r="K256" s="29"/>
      <c r="L256" s="29"/>
      <c r="M256" s="29"/>
      <c r="N256" s="29"/>
      <c r="O256" s="29"/>
      <c r="P256" s="29"/>
      <c r="Q256" s="29"/>
      <c r="R256" s="38"/>
    </row>
    <row r="257" spans="1:18" x14ac:dyDescent="0.25">
      <c r="A257" s="5"/>
      <c r="B257" s="13"/>
      <c r="C257" s="13"/>
      <c r="D257" s="13"/>
      <c r="E257" s="13"/>
      <c r="F257" s="9"/>
      <c r="G257" s="32"/>
      <c r="H257" s="32"/>
      <c r="I257" s="32"/>
      <c r="J257" s="32"/>
      <c r="K257" s="29"/>
      <c r="L257" s="29"/>
      <c r="M257" s="29"/>
      <c r="N257" s="29"/>
      <c r="O257" s="29"/>
      <c r="P257" s="29"/>
      <c r="Q257" s="29"/>
      <c r="R257" s="38"/>
    </row>
    <row r="258" spans="1:18" x14ac:dyDescent="0.25">
      <c r="A258" s="5"/>
      <c r="B258" s="13"/>
      <c r="C258" s="13"/>
      <c r="D258" s="13"/>
      <c r="E258" s="13"/>
      <c r="F258" s="9"/>
      <c r="G258" s="32"/>
      <c r="H258" s="32"/>
      <c r="I258" s="32"/>
      <c r="J258" s="32"/>
      <c r="K258" s="29"/>
      <c r="L258" s="29"/>
      <c r="M258" s="29"/>
      <c r="N258" s="29"/>
      <c r="O258" s="29"/>
      <c r="P258" s="29"/>
      <c r="Q258" s="29"/>
      <c r="R258" s="38"/>
    </row>
    <row r="259" spans="1:18" x14ac:dyDescent="0.25">
      <c r="A259" s="5"/>
      <c r="B259" s="13"/>
      <c r="C259" s="13"/>
      <c r="D259" s="13"/>
      <c r="E259" s="13"/>
      <c r="F259" s="9"/>
      <c r="G259" s="32"/>
      <c r="H259" s="32"/>
      <c r="I259" s="32"/>
      <c r="J259" s="32"/>
      <c r="K259" s="29"/>
      <c r="L259" s="29"/>
      <c r="M259" s="29"/>
      <c r="N259" s="29"/>
      <c r="O259" s="29"/>
      <c r="P259" s="29"/>
      <c r="Q259" s="29"/>
      <c r="R259" s="38"/>
    </row>
    <row r="260" spans="1:18" x14ac:dyDescent="0.25">
      <c r="A260" s="5"/>
      <c r="B260" s="13"/>
      <c r="C260" s="13"/>
      <c r="D260" s="13"/>
      <c r="E260" s="13"/>
      <c r="F260" s="9"/>
      <c r="G260" s="32"/>
      <c r="H260" s="32"/>
      <c r="I260" s="32"/>
      <c r="J260" s="32"/>
      <c r="K260" s="29"/>
      <c r="L260" s="29"/>
      <c r="M260" s="29"/>
      <c r="N260" s="29"/>
      <c r="O260" s="29"/>
      <c r="P260" s="29"/>
      <c r="Q260" s="29"/>
      <c r="R260" s="38"/>
    </row>
    <row r="261" spans="1:18" x14ac:dyDescent="0.25">
      <c r="A261" s="5"/>
      <c r="B261" s="13"/>
      <c r="C261" s="13"/>
      <c r="D261" s="13"/>
      <c r="E261" s="13"/>
      <c r="F261" s="9"/>
      <c r="G261" s="32"/>
      <c r="H261" s="32"/>
      <c r="I261" s="32"/>
      <c r="J261" s="32"/>
      <c r="K261" s="29"/>
      <c r="L261" s="29"/>
      <c r="M261" s="29"/>
      <c r="N261" s="29"/>
      <c r="O261" s="29"/>
      <c r="P261" s="29"/>
      <c r="Q261" s="29"/>
      <c r="R261" s="38"/>
    </row>
    <row r="262" spans="1:18" x14ac:dyDescent="0.25">
      <c r="A262" s="5"/>
      <c r="B262" s="13"/>
      <c r="C262" s="13"/>
      <c r="D262" s="13"/>
      <c r="E262" s="13"/>
      <c r="F262" s="9"/>
      <c r="G262" s="32"/>
      <c r="H262" s="32"/>
      <c r="I262" s="32"/>
      <c r="J262" s="32"/>
      <c r="K262" s="29"/>
      <c r="L262" s="29"/>
      <c r="M262" s="29"/>
      <c r="N262" s="29"/>
      <c r="O262" s="29"/>
      <c r="P262" s="29"/>
      <c r="Q262" s="29"/>
      <c r="R262" s="38"/>
    </row>
    <row r="263" spans="1:18" x14ac:dyDescent="0.25">
      <c r="A263" s="5"/>
      <c r="B263" s="13"/>
      <c r="C263" s="13"/>
      <c r="D263" s="13"/>
      <c r="E263" s="13"/>
      <c r="F263" s="9"/>
      <c r="G263" s="32"/>
      <c r="H263" s="32"/>
      <c r="I263" s="32"/>
      <c r="J263" s="32"/>
      <c r="K263" s="29"/>
      <c r="L263" s="29"/>
      <c r="M263" s="29"/>
      <c r="N263" s="29"/>
      <c r="O263" s="29"/>
      <c r="P263" s="29"/>
      <c r="Q263" s="29"/>
      <c r="R263" s="38"/>
    </row>
    <row r="264" spans="1:18" x14ac:dyDescent="0.25">
      <c r="A264" s="5"/>
      <c r="B264" s="13"/>
      <c r="C264" s="13"/>
      <c r="D264" s="13"/>
      <c r="E264" s="13"/>
      <c r="F264" s="9"/>
      <c r="G264" s="32"/>
      <c r="H264" s="32"/>
      <c r="I264" s="32"/>
      <c r="J264" s="32"/>
      <c r="K264" s="29"/>
      <c r="L264" s="29"/>
      <c r="M264" s="29"/>
      <c r="N264" s="29"/>
      <c r="O264" s="29"/>
      <c r="P264" s="29"/>
      <c r="Q264" s="29"/>
      <c r="R264" s="38"/>
    </row>
    <row r="265" spans="1:18" x14ac:dyDescent="0.25">
      <c r="A265" s="5"/>
      <c r="B265" s="13"/>
      <c r="C265" s="13"/>
      <c r="D265" s="13"/>
      <c r="E265" s="13"/>
      <c r="F265" s="9"/>
      <c r="G265" s="32"/>
      <c r="H265" s="32"/>
      <c r="I265" s="32"/>
      <c r="J265" s="32"/>
      <c r="K265" s="29"/>
      <c r="L265" s="29"/>
      <c r="M265" s="29"/>
      <c r="N265" s="29"/>
      <c r="O265" s="29"/>
      <c r="P265" s="29"/>
      <c r="Q265" s="29"/>
      <c r="R265" s="38"/>
    </row>
    <row r="266" spans="1:18" x14ac:dyDescent="0.25">
      <c r="A266" s="5"/>
      <c r="B266" s="13"/>
      <c r="C266" s="13"/>
      <c r="D266" s="13"/>
      <c r="E266" s="13"/>
      <c r="F266" s="9"/>
      <c r="G266" s="32"/>
      <c r="H266" s="32"/>
      <c r="I266" s="32"/>
      <c r="J266" s="32"/>
      <c r="K266" s="29"/>
      <c r="L266" s="29"/>
      <c r="M266" s="29"/>
      <c r="N266" s="29"/>
      <c r="O266" s="29"/>
      <c r="P266" s="29"/>
      <c r="Q266" s="29"/>
      <c r="R266" s="38"/>
    </row>
    <row r="267" spans="1:18" x14ac:dyDescent="0.25">
      <c r="A267" s="5"/>
      <c r="B267" s="13"/>
      <c r="C267" s="13"/>
      <c r="D267" s="13"/>
      <c r="E267" s="13"/>
      <c r="F267" s="9"/>
      <c r="G267" s="32"/>
      <c r="H267" s="32"/>
      <c r="I267" s="32"/>
      <c r="J267" s="32"/>
      <c r="K267" s="29"/>
      <c r="L267" s="29"/>
      <c r="M267" s="29"/>
      <c r="N267" s="29"/>
      <c r="O267" s="29"/>
      <c r="P267" s="29"/>
      <c r="Q267" s="29"/>
      <c r="R267" s="38"/>
    </row>
    <row r="268" spans="1:18" x14ac:dyDescent="0.25">
      <c r="A268" s="5"/>
      <c r="B268" s="13"/>
      <c r="C268" s="13"/>
      <c r="D268" s="13"/>
      <c r="E268" s="13"/>
      <c r="F268" s="9"/>
      <c r="G268" s="32"/>
      <c r="H268" s="32"/>
      <c r="I268" s="32"/>
      <c r="J268" s="32"/>
      <c r="K268" s="29"/>
      <c r="L268" s="29"/>
      <c r="M268" s="29"/>
      <c r="N268" s="29"/>
      <c r="O268" s="29"/>
      <c r="P268" s="29"/>
      <c r="Q268" s="29"/>
      <c r="R268" s="38"/>
    </row>
    <row r="269" spans="1:18" x14ac:dyDescent="0.25">
      <c r="A269" s="5"/>
      <c r="B269" s="13"/>
      <c r="C269" s="13"/>
      <c r="D269" s="13"/>
      <c r="E269" s="13"/>
      <c r="F269" s="9"/>
      <c r="G269" s="32"/>
      <c r="H269" s="32"/>
      <c r="I269" s="32"/>
      <c r="J269" s="32"/>
      <c r="K269" s="29"/>
      <c r="L269" s="29"/>
      <c r="M269" s="29"/>
      <c r="N269" s="29"/>
      <c r="O269" s="29"/>
      <c r="P269" s="29"/>
      <c r="Q269" s="29"/>
      <c r="R269" s="38"/>
    </row>
    <row r="270" spans="1:18" x14ac:dyDescent="0.25">
      <c r="A270" s="5"/>
      <c r="B270" s="13"/>
      <c r="C270" s="13"/>
      <c r="D270" s="13"/>
      <c r="E270" s="13"/>
      <c r="F270" s="9"/>
      <c r="G270" s="32"/>
      <c r="H270" s="32"/>
      <c r="I270" s="32"/>
      <c r="J270" s="32"/>
      <c r="K270" s="29"/>
      <c r="L270" s="29"/>
      <c r="M270" s="29"/>
      <c r="N270" s="29"/>
      <c r="O270" s="29"/>
      <c r="P270" s="29"/>
      <c r="Q270" s="29"/>
      <c r="R270" s="38"/>
    </row>
    <row r="271" spans="1:18" x14ac:dyDescent="0.25">
      <c r="A271" s="5"/>
      <c r="B271" s="13"/>
      <c r="C271" s="13"/>
      <c r="D271" s="13"/>
      <c r="E271" s="13"/>
      <c r="F271" s="9"/>
      <c r="G271" s="32"/>
      <c r="H271" s="32"/>
      <c r="I271" s="32"/>
      <c r="J271" s="32"/>
      <c r="K271" s="29"/>
      <c r="L271" s="29"/>
      <c r="M271" s="29"/>
      <c r="N271" s="29"/>
      <c r="O271" s="29"/>
      <c r="P271" s="29"/>
      <c r="Q271" s="29"/>
      <c r="R271" s="38"/>
    </row>
    <row r="272" spans="1:18" x14ac:dyDescent="0.25">
      <c r="A272" s="5"/>
      <c r="B272" s="13"/>
      <c r="C272" s="13"/>
      <c r="D272" s="13"/>
      <c r="E272" s="13"/>
      <c r="F272" s="9"/>
      <c r="G272" s="32"/>
      <c r="H272" s="32"/>
      <c r="I272" s="32"/>
      <c r="J272" s="32"/>
      <c r="K272" s="29"/>
      <c r="L272" s="29"/>
      <c r="M272" s="29"/>
      <c r="N272" s="29"/>
      <c r="O272" s="29"/>
      <c r="P272" s="29"/>
      <c r="Q272" s="29"/>
      <c r="R272" s="38"/>
    </row>
    <row r="273" spans="1:18" x14ac:dyDescent="0.25">
      <c r="A273" s="5"/>
      <c r="B273" s="13"/>
      <c r="C273" s="13"/>
      <c r="D273" s="13"/>
      <c r="E273" s="13"/>
      <c r="F273" s="9"/>
      <c r="G273" s="32"/>
      <c r="H273" s="32"/>
      <c r="I273" s="32"/>
      <c r="J273" s="32"/>
      <c r="K273" s="29"/>
      <c r="L273" s="29"/>
      <c r="M273" s="29"/>
      <c r="N273" s="29"/>
      <c r="O273" s="29"/>
      <c r="P273" s="29"/>
      <c r="Q273" s="29"/>
      <c r="R273" s="38"/>
    </row>
    <row r="274" spans="1:18" x14ac:dyDescent="0.25">
      <c r="A274" s="5"/>
      <c r="B274" s="13"/>
      <c r="C274" s="13"/>
      <c r="D274" s="13"/>
      <c r="E274" s="13"/>
      <c r="F274" s="9"/>
      <c r="G274" s="32"/>
      <c r="H274" s="32"/>
      <c r="I274" s="32"/>
      <c r="J274" s="32"/>
      <c r="K274" s="29"/>
      <c r="L274" s="29"/>
      <c r="M274" s="29"/>
      <c r="N274" s="29"/>
      <c r="O274" s="29"/>
      <c r="P274" s="29"/>
      <c r="Q274" s="29"/>
      <c r="R274" s="38"/>
    </row>
    <row r="275" spans="1:18" x14ac:dyDescent="0.25">
      <c r="A275" s="5"/>
      <c r="B275" s="13"/>
      <c r="C275" s="13"/>
      <c r="D275" s="13"/>
      <c r="E275" s="13"/>
      <c r="F275" s="9"/>
      <c r="G275" s="32"/>
      <c r="H275" s="32"/>
      <c r="I275" s="32"/>
      <c r="J275" s="32"/>
      <c r="K275" s="29"/>
      <c r="L275" s="29"/>
      <c r="M275" s="29"/>
      <c r="N275" s="29"/>
      <c r="O275" s="29"/>
      <c r="P275" s="29"/>
      <c r="Q275" s="29"/>
      <c r="R275" s="38"/>
    </row>
    <row r="276" spans="1:18" x14ac:dyDescent="0.25">
      <c r="A276" s="5"/>
      <c r="B276" s="13"/>
      <c r="C276" s="13"/>
      <c r="D276" s="13"/>
      <c r="E276" s="13"/>
      <c r="F276" s="9"/>
      <c r="G276" s="32"/>
      <c r="H276" s="32"/>
      <c r="I276" s="32"/>
      <c r="J276" s="32"/>
      <c r="K276" s="29"/>
      <c r="L276" s="29"/>
      <c r="M276" s="29"/>
      <c r="N276" s="29"/>
      <c r="O276" s="29"/>
      <c r="P276" s="29"/>
      <c r="Q276" s="29"/>
      <c r="R276" s="38"/>
    </row>
    <row r="277" spans="1:18" x14ac:dyDescent="0.25">
      <c r="A277" s="5"/>
      <c r="B277" s="13"/>
      <c r="C277" s="13"/>
      <c r="D277" s="13"/>
      <c r="E277" s="13"/>
      <c r="F277" s="9"/>
      <c r="G277" s="32"/>
      <c r="H277" s="32"/>
      <c r="I277" s="32"/>
      <c r="J277" s="32"/>
      <c r="K277" s="29"/>
      <c r="L277" s="29"/>
      <c r="M277" s="29"/>
      <c r="N277" s="29"/>
      <c r="O277" s="29"/>
      <c r="P277" s="29"/>
      <c r="Q277" s="29"/>
      <c r="R277" s="38"/>
    </row>
    <row r="278" spans="1:18" x14ac:dyDescent="0.25">
      <c r="A278" s="5"/>
      <c r="B278" s="13"/>
      <c r="C278" s="13"/>
      <c r="D278" s="13"/>
      <c r="E278" s="13"/>
      <c r="F278" s="9"/>
      <c r="G278" s="32"/>
      <c r="H278" s="32"/>
      <c r="I278" s="32"/>
      <c r="J278" s="32"/>
      <c r="K278" s="29"/>
      <c r="L278" s="29"/>
      <c r="M278" s="29"/>
      <c r="N278" s="29"/>
      <c r="O278" s="29"/>
      <c r="P278" s="29"/>
      <c r="Q278" s="29"/>
      <c r="R278" s="38"/>
    </row>
    <row r="279" spans="1:18" x14ac:dyDescent="0.25">
      <c r="A279" s="5"/>
      <c r="B279" s="13"/>
      <c r="C279" s="13"/>
      <c r="D279" s="13"/>
      <c r="E279" s="13"/>
      <c r="F279" s="9"/>
      <c r="G279" s="32"/>
      <c r="H279" s="32"/>
      <c r="I279" s="32"/>
      <c r="J279" s="32"/>
      <c r="K279" s="29"/>
      <c r="L279" s="29"/>
      <c r="M279" s="29"/>
      <c r="N279" s="29"/>
      <c r="O279" s="29"/>
      <c r="P279" s="29"/>
      <c r="Q279" s="29"/>
      <c r="R279" s="38"/>
    </row>
    <row r="280" spans="1:18" x14ac:dyDescent="0.25">
      <c r="A280" s="5"/>
      <c r="B280" s="13"/>
      <c r="C280" s="13"/>
      <c r="D280" s="13"/>
      <c r="E280" s="13"/>
      <c r="F280" s="9"/>
      <c r="G280" s="32"/>
      <c r="H280" s="32"/>
      <c r="I280" s="32"/>
      <c r="J280" s="32"/>
      <c r="K280" s="29"/>
      <c r="L280" s="29"/>
      <c r="M280" s="29"/>
      <c r="N280" s="29"/>
      <c r="O280" s="29"/>
      <c r="P280" s="29"/>
      <c r="Q280" s="29"/>
      <c r="R280" s="38"/>
    </row>
    <row r="281" spans="1:18" x14ac:dyDescent="0.25">
      <c r="A281" s="5"/>
      <c r="B281" s="13"/>
      <c r="C281" s="13"/>
      <c r="D281" s="13"/>
      <c r="E281" s="13"/>
      <c r="F281" s="9"/>
      <c r="G281" s="32"/>
      <c r="H281" s="32"/>
      <c r="I281" s="32"/>
      <c r="J281" s="32"/>
      <c r="K281" s="29"/>
      <c r="L281" s="29"/>
      <c r="M281" s="29"/>
      <c r="N281" s="29"/>
      <c r="O281" s="29"/>
      <c r="P281" s="29"/>
      <c r="Q281" s="29"/>
      <c r="R281" s="38"/>
    </row>
    <row r="282" spans="1:18" x14ac:dyDescent="0.25">
      <c r="A282" s="5"/>
      <c r="B282" s="13"/>
      <c r="C282" s="13"/>
      <c r="D282" s="13"/>
      <c r="E282" s="13"/>
      <c r="F282" s="9"/>
      <c r="G282" s="32"/>
      <c r="H282" s="32"/>
      <c r="I282" s="32"/>
      <c r="J282" s="32"/>
      <c r="K282" s="29"/>
      <c r="L282" s="29"/>
      <c r="M282" s="29"/>
      <c r="N282" s="29"/>
      <c r="O282" s="29"/>
      <c r="P282" s="29"/>
      <c r="Q282" s="29"/>
      <c r="R282" s="38"/>
    </row>
    <row r="283" spans="1:18" x14ac:dyDescent="0.25">
      <c r="A283" s="5"/>
      <c r="B283" s="13"/>
      <c r="C283" s="13"/>
      <c r="D283" s="13"/>
      <c r="E283" s="13"/>
      <c r="F283" s="9"/>
      <c r="G283" s="32"/>
      <c r="H283" s="32"/>
      <c r="I283" s="32"/>
      <c r="J283" s="32"/>
      <c r="K283" s="29"/>
      <c r="L283" s="29"/>
      <c r="M283" s="29"/>
      <c r="N283" s="29"/>
      <c r="O283" s="29"/>
      <c r="P283" s="29"/>
      <c r="Q283" s="29"/>
      <c r="R283" s="38"/>
    </row>
    <row r="284" spans="1:18" x14ac:dyDescent="0.25">
      <c r="A284" s="5"/>
      <c r="B284" s="13"/>
      <c r="C284" s="13"/>
      <c r="D284" s="13"/>
      <c r="E284" s="13"/>
      <c r="F284" s="9"/>
      <c r="G284" s="32"/>
      <c r="H284" s="32"/>
      <c r="I284" s="32"/>
      <c r="J284" s="32"/>
      <c r="K284" s="29"/>
      <c r="L284" s="29"/>
      <c r="M284" s="29"/>
      <c r="N284" s="29"/>
      <c r="O284" s="29"/>
      <c r="P284" s="29"/>
      <c r="Q284" s="29"/>
      <c r="R284" s="38"/>
    </row>
    <row r="285" spans="1:18" x14ac:dyDescent="0.25">
      <c r="A285" s="5"/>
      <c r="B285" s="13"/>
      <c r="C285" s="13"/>
      <c r="D285" s="13"/>
      <c r="E285" s="13"/>
      <c r="F285" s="9"/>
      <c r="G285" s="32"/>
      <c r="H285" s="32"/>
      <c r="I285" s="32"/>
      <c r="J285" s="32"/>
      <c r="K285" s="29"/>
      <c r="L285" s="29"/>
      <c r="M285" s="29"/>
      <c r="N285" s="29"/>
      <c r="O285" s="29"/>
      <c r="P285" s="29"/>
      <c r="Q285" s="29"/>
      <c r="R285" s="38"/>
    </row>
    <row r="286" spans="1:18" x14ac:dyDescent="0.25">
      <c r="A286" s="5"/>
      <c r="B286" s="13"/>
      <c r="C286" s="13"/>
      <c r="D286" s="13"/>
      <c r="E286" s="13"/>
      <c r="F286" s="9"/>
      <c r="G286" s="32"/>
      <c r="H286" s="32"/>
      <c r="I286" s="32"/>
      <c r="J286" s="32"/>
      <c r="K286" s="29"/>
      <c r="L286" s="29"/>
      <c r="M286" s="29"/>
      <c r="N286" s="29"/>
      <c r="O286" s="29"/>
      <c r="P286" s="29"/>
      <c r="Q286" s="29"/>
      <c r="R286" s="38"/>
    </row>
    <row r="287" spans="1:18" x14ac:dyDescent="0.25">
      <c r="A287" s="5"/>
      <c r="B287" s="13"/>
      <c r="C287" s="13"/>
      <c r="D287" s="13"/>
      <c r="E287" s="13"/>
      <c r="F287" s="9"/>
      <c r="G287" s="32"/>
      <c r="H287" s="32"/>
      <c r="I287" s="32"/>
      <c r="J287" s="32"/>
      <c r="K287" s="29"/>
      <c r="L287" s="29"/>
      <c r="M287" s="29"/>
      <c r="N287" s="29"/>
      <c r="O287" s="29"/>
      <c r="P287" s="29"/>
      <c r="Q287" s="29"/>
      <c r="R287" s="38"/>
    </row>
    <row r="288" spans="1:18" x14ac:dyDescent="0.25">
      <c r="A288" s="5"/>
      <c r="B288" s="13"/>
      <c r="C288" s="13"/>
      <c r="D288" s="13"/>
      <c r="E288" s="13"/>
      <c r="F288" s="9"/>
      <c r="G288" s="32"/>
      <c r="H288" s="32"/>
      <c r="I288" s="32"/>
      <c r="J288" s="32"/>
      <c r="K288" s="29"/>
      <c r="L288" s="29"/>
      <c r="M288" s="29"/>
      <c r="N288" s="29"/>
      <c r="O288" s="29"/>
      <c r="P288" s="29"/>
      <c r="Q288" s="29"/>
      <c r="R288" s="38"/>
    </row>
    <row r="289" spans="1:18" x14ac:dyDescent="0.25">
      <c r="A289" s="5"/>
      <c r="B289" s="13"/>
      <c r="C289" s="13"/>
      <c r="D289" s="13"/>
      <c r="E289" s="13"/>
      <c r="F289" s="9"/>
      <c r="G289" s="32"/>
      <c r="H289" s="32"/>
      <c r="I289" s="32"/>
      <c r="J289" s="32"/>
      <c r="K289" s="29"/>
      <c r="L289" s="29"/>
      <c r="M289" s="29"/>
      <c r="N289" s="29"/>
      <c r="O289" s="29"/>
      <c r="P289" s="29"/>
      <c r="Q289" s="29"/>
      <c r="R289" s="38"/>
    </row>
    <row r="290" spans="1:18" x14ac:dyDescent="0.25">
      <c r="A290" s="5"/>
      <c r="B290" s="13"/>
      <c r="C290" s="13"/>
      <c r="D290" s="13"/>
      <c r="E290" s="13"/>
      <c r="F290" s="9"/>
      <c r="G290" s="32"/>
      <c r="H290" s="32"/>
      <c r="I290" s="32"/>
      <c r="J290" s="32"/>
      <c r="K290" s="29"/>
      <c r="L290" s="29"/>
      <c r="M290" s="29"/>
      <c r="N290" s="29"/>
      <c r="O290" s="29"/>
      <c r="P290" s="29"/>
      <c r="Q290" s="29"/>
      <c r="R290" s="38"/>
    </row>
    <row r="291" spans="1:18" x14ac:dyDescent="0.25">
      <c r="A291" s="5"/>
      <c r="B291" s="13"/>
      <c r="C291" s="13"/>
      <c r="D291" s="13"/>
      <c r="E291" s="13"/>
      <c r="F291" s="9"/>
      <c r="G291" s="32"/>
      <c r="H291" s="32"/>
      <c r="I291" s="32"/>
      <c r="J291" s="32"/>
      <c r="K291" s="29"/>
      <c r="L291" s="29"/>
      <c r="M291" s="29"/>
      <c r="N291" s="29"/>
      <c r="O291" s="29"/>
      <c r="P291" s="29"/>
      <c r="Q291" s="29"/>
      <c r="R291" s="38"/>
    </row>
    <row r="292" spans="1:18" x14ac:dyDescent="0.25">
      <c r="A292" s="5"/>
      <c r="B292" s="13"/>
      <c r="C292" s="13"/>
      <c r="D292" s="13"/>
      <c r="E292" s="13"/>
      <c r="F292" s="9"/>
      <c r="G292" s="32"/>
      <c r="H292" s="32"/>
      <c r="I292" s="32"/>
      <c r="J292" s="32"/>
      <c r="K292" s="29"/>
      <c r="L292" s="29"/>
      <c r="M292" s="29"/>
      <c r="N292" s="29"/>
      <c r="O292" s="29"/>
      <c r="P292" s="29"/>
      <c r="Q292" s="29"/>
      <c r="R292" s="38"/>
    </row>
    <row r="293" spans="1:18" x14ac:dyDescent="0.25">
      <c r="A293" s="5"/>
      <c r="B293" s="13"/>
      <c r="C293" s="13"/>
      <c r="D293" s="13"/>
      <c r="E293" s="13"/>
      <c r="F293" s="9"/>
      <c r="G293" s="32"/>
      <c r="H293" s="32"/>
      <c r="I293" s="32"/>
      <c r="J293" s="32"/>
      <c r="K293" s="29"/>
      <c r="L293" s="29"/>
      <c r="M293" s="29"/>
      <c r="N293" s="29"/>
      <c r="O293" s="29"/>
      <c r="P293" s="29"/>
      <c r="Q293" s="29"/>
      <c r="R293" s="38"/>
    </row>
    <row r="294" spans="1:18" x14ac:dyDescent="0.25">
      <c r="A294" s="5"/>
      <c r="B294" s="13"/>
      <c r="C294" s="13"/>
      <c r="D294" s="13"/>
      <c r="E294" s="13"/>
      <c r="F294" s="9"/>
      <c r="G294" s="32"/>
      <c r="H294" s="32"/>
      <c r="I294" s="32"/>
      <c r="J294" s="32"/>
      <c r="K294" s="29"/>
      <c r="L294" s="29"/>
      <c r="M294" s="29"/>
      <c r="N294" s="29"/>
      <c r="O294" s="29"/>
      <c r="P294" s="29"/>
      <c r="Q294" s="29"/>
      <c r="R294" s="38"/>
    </row>
    <row r="295" spans="1:18" x14ac:dyDescent="0.25">
      <c r="A295" s="5"/>
      <c r="B295" s="13"/>
      <c r="C295" s="13"/>
      <c r="D295" s="13"/>
      <c r="E295" s="13"/>
      <c r="F295" s="9"/>
      <c r="G295" s="32"/>
      <c r="H295" s="32"/>
      <c r="I295" s="32"/>
      <c r="J295" s="32"/>
      <c r="K295" s="29"/>
      <c r="L295" s="29"/>
      <c r="M295" s="29"/>
      <c r="N295" s="29"/>
      <c r="O295" s="29"/>
      <c r="P295" s="29"/>
      <c r="Q295" s="29"/>
      <c r="R295" s="38"/>
    </row>
    <row r="296" spans="1:18" x14ac:dyDescent="0.25">
      <c r="A296" s="5"/>
      <c r="B296" s="13"/>
      <c r="C296" s="13"/>
      <c r="D296" s="13"/>
      <c r="E296" s="13"/>
      <c r="F296" s="9"/>
      <c r="G296" s="32"/>
      <c r="H296" s="32"/>
      <c r="I296" s="32"/>
      <c r="J296" s="32"/>
      <c r="K296" s="29"/>
      <c r="L296" s="29"/>
      <c r="M296" s="29"/>
      <c r="N296" s="29"/>
      <c r="O296" s="29"/>
      <c r="P296" s="29"/>
      <c r="Q296" s="29"/>
      <c r="R296" s="38"/>
    </row>
    <row r="297" spans="1:18" x14ac:dyDescent="0.25">
      <c r="A297" s="5"/>
      <c r="B297" s="13"/>
      <c r="C297" s="13"/>
      <c r="D297" s="13"/>
      <c r="E297" s="13"/>
      <c r="F297" s="9"/>
      <c r="G297" s="32"/>
      <c r="H297" s="32"/>
      <c r="I297" s="32"/>
      <c r="J297" s="32"/>
      <c r="K297" s="29"/>
      <c r="L297" s="29"/>
      <c r="M297" s="29"/>
      <c r="N297" s="29"/>
      <c r="O297" s="29"/>
      <c r="P297" s="29"/>
      <c r="Q297" s="29"/>
      <c r="R297" s="38"/>
    </row>
    <row r="298" spans="1:18" x14ac:dyDescent="0.25">
      <c r="A298" s="5"/>
      <c r="B298" s="13"/>
      <c r="C298" s="13"/>
      <c r="D298" s="13"/>
      <c r="E298" s="13"/>
      <c r="F298" s="9"/>
      <c r="G298" s="32"/>
      <c r="H298" s="32"/>
      <c r="I298" s="32"/>
      <c r="J298" s="32"/>
      <c r="K298" s="29"/>
      <c r="L298" s="29"/>
      <c r="M298" s="29"/>
      <c r="N298" s="29"/>
      <c r="O298" s="29"/>
      <c r="P298" s="29"/>
      <c r="Q298" s="29"/>
      <c r="R298" s="38"/>
    </row>
    <row r="299" spans="1:18" x14ac:dyDescent="0.25">
      <c r="A299" s="5"/>
      <c r="B299" s="13"/>
      <c r="C299" s="13"/>
      <c r="D299" s="13"/>
      <c r="E299" s="13"/>
      <c r="F299" s="9"/>
      <c r="G299" s="32"/>
      <c r="H299" s="32"/>
      <c r="I299" s="32"/>
      <c r="J299" s="32"/>
      <c r="K299" s="29"/>
      <c r="L299" s="29"/>
      <c r="M299" s="29"/>
      <c r="N299" s="29"/>
      <c r="O299" s="29"/>
      <c r="P299" s="29"/>
      <c r="Q299" s="29"/>
      <c r="R299" s="38"/>
    </row>
    <row r="300" spans="1:18" x14ac:dyDescent="0.25">
      <c r="A300" s="5"/>
      <c r="B300" s="13"/>
      <c r="C300" s="13"/>
      <c r="D300" s="13"/>
      <c r="E300" s="13"/>
      <c r="F300" s="9"/>
      <c r="G300" s="32"/>
      <c r="H300" s="32"/>
      <c r="I300" s="32"/>
      <c r="J300" s="32"/>
      <c r="K300" s="29"/>
      <c r="L300" s="29"/>
      <c r="M300" s="29"/>
      <c r="N300" s="29"/>
      <c r="O300" s="29"/>
      <c r="P300" s="29"/>
      <c r="Q300" s="29"/>
      <c r="R300" s="38"/>
    </row>
    <row r="301" spans="1:18" x14ac:dyDescent="0.25">
      <c r="A301" s="5"/>
      <c r="B301" s="13"/>
      <c r="C301" s="13"/>
      <c r="D301" s="13"/>
      <c r="E301" s="13"/>
      <c r="F301" s="9"/>
      <c r="G301" s="32"/>
      <c r="H301" s="32"/>
      <c r="I301" s="32"/>
      <c r="J301" s="32"/>
      <c r="K301" s="29"/>
      <c r="L301" s="29"/>
      <c r="M301" s="29"/>
      <c r="N301" s="29"/>
      <c r="O301" s="29"/>
      <c r="P301" s="29"/>
      <c r="Q301" s="29"/>
      <c r="R301" s="38"/>
    </row>
    <row r="302" spans="1:18" x14ac:dyDescent="0.25">
      <c r="A302" s="5"/>
      <c r="B302" s="13"/>
      <c r="C302" s="13"/>
      <c r="D302" s="13"/>
      <c r="E302" s="13"/>
      <c r="F302" s="9"/>
      <c r="G302" s="32"/>
      <c r="H302" s="32"/>
      <c r="I302" s="32"/>
      <c r="J302" s="32"/>
      <c r="K302" s="29"/>
      <c r="L302" s="29"/>
      <c r="M302" s="29"/>
      <c r="N302" s="29"/>
      <c r="O302" s="29"/>
      <c r="P302" s="29"/>
      <c r="Q302" s="29"/>
      <c r="R302" s="38"/>
    </row>
    <row r="303" spans="1:18" x14ac:dyDescent="0.25">
      <c r="A303" s="5"/>
      <c r="B303" s="13"/>
      <c r="C303" s="13"/>
      <c r="D303" s="13"/>
      <c r="E303" s="13"/>
      <c r="F303" s="9"/>
      <c r="G303" s="32"/>
      <c r="H303" s="32"/>
      <c r="I303" s="32"/>
      <c r="J303" s="32"/>
      <c r="K303" s="29"/>
      <c r="L303" s="29"/>
      <c r="M303" s="29"/>
      <c r="N303" s="29"/>
      <c r="O303" s="29"/>
      <c r="P303" s="29"/>
      <c r="Q303" s="29"/>
      <c r="R303" s="38"/>
    </row>
    <row r="304" spans="1:18" x14ac:dyDescent="0.25">
      <c r="A304" s="5"/>
      <c r="B304" s="13"/>
      <c r="C304" s="13"/>
      <c r="D304" s="13"/>
      <c r="E304" s="13"/>
      <c r="F304" s="9"/>
      <c r="G304" s="32"/>
      <c r="H304" s="32"/>
      <c r="I304" s="32"/>
      <c r="J304" s="32"/>
      <c r="K304" s="29"/>
      <c r="L304" s="29"/>
      <c r="M304" s="29"/>
      <c r="N304" s="29"/>
      <c r="O304" s="29"/>
      <c r="P304" s="29"/>
      <c r="Q304" s="29"/>
      <c r="R304" s="38"/>
    </row>
    <row r="305" spans="1:18" x14ac:dyDescent="0.25">
      <c r="A305" s="5"/>
      <c r="B305" s="13"/>
      <c r="C305" s="13"/>
      <c r="D305" s="13"/>
      <c r="E305" s="13"/>
      <c r="F305" s="9"/>
      <c r="G305" s="32"/>
      <c r="H305" s="32"/>
      <c r="I305" s="32"/>
      <c r="J305" s="32"/>
      <c r="K305" s="29"/>
      <c r="L305" s="29"/>
      <c r="M305" s="29"/>
      <c r="N305" s="29"/>
      <c r="O305" s="29"/>
      <c r="P305" s="29"/>
      <c r="Q305" s="29"/>
      <c r="R305" s="38"/>
    </row>
    <row r="306" spans="1:18" x14ac:dyDescent="0.25">
      <c r="A306" s="5"/>
      <c r="B306" s="13"/>
      <c r="C306" s="13"/>
      <c r="D306" s="13"/>
      <c r="E306" s="13"/>
      <c r="F306" s="9"/>
      <c r="G306" s="32"/>
      <c r="H306" s="32"/>
      <c r="I306" s="32"/>
      <c r="J306" s="32"/>
      <c r="K306" s="29"/>
      <c r="L306" s="29"/>
      <c r="M306" s="29"/>
      <c r="N306" s="29"/>
      <c r="O306" s="29"/>
      <c r="P306" s="29"/>
      <c r="Q306" s="29"/>
      <c r="R306" s="38"/>
    </row>
    <row r="307" spans="1:18" x14ac:dyDescent="0.25">
      <c r="A307" s="5"/>
      <c r="B307" s="13"/>
      <c r="C307" s="13"/>
      <c r="D307" s="13"/>
      <c r="E307" s="13"/>
      <c r="F307" s="9"/>
      <c r="G307" s="32"/>
      <c r="H307" s="32"/>
      <c r="I307" s="32"/>
      <c r="J307" s="32"/>
      <c r="K307" s="29"/>
      <c r="L307" s="29"/>
      <c r="M307" s="29"/>
      <c r="N307" s="29"/>
      <c r="O307" s="29"/>
      <c r="P307" s="29"/>
      <c r="Q307" s="29"/>
      <c r="R307" s="38"/>
    </row>
    <row r="308" spans="1:18" x14ac:dyDescent="0.25">
      <c r="A308" s="5"/>
      <c r="B308" s="13"/>
      <c r="C308" s="13"/>
      <c r="D308" s="13"/>
      <c r="E308" s="13"/>
      <c r="F308" s="9"/>
      <c r="G308" s="32"/>
      <c r="H308" s="32"/>
      <c r="I308" s="32"/>
      <c r="J308" s="32"/>
      <c r="K308" s="29"/>
      <c r="L308" s="29"/>
      <c r="M308" s="29"/>
      <c r="N308" s="29"/>
      <c r="O308" s="29"/>
      <c r="P308" s="29"/>
      <c r="Q308" s="29"/>
      <c r="R308" s="38"/>
    </row>
    <row r="309" spans="1:18" x14ac:dyDescent="0.25">
      <c r="A309" s="5"/>
      <c r="B309" s="13"/>
      <c r="C309" s="13"/>
      <c r="D309" s="13"/>
      <c r="E309" s="13"/>
      <c r="F309" s="9"/>
      <c r="G309" s="32"/>
      <c r="H309" s="32"/>
      <c r="I309" s="32"/>
      <c r="J309" s="32"/>
      <c r="K309" s="29"/>
      <c r="L309" s="29"/>
      <c r="M309" s="29"/>
      <c r="N309" s="29"/>
      <c r="O309" s="29"/>
      <c r="P309" s="29"/>
      <c r="Q309" s="29"/>
      <c r="R309" s="38"/>
    </row>
    <row r="310" spans="1:18" x14ac:dyDescent="0.25">
      <c r="A310" s="5"/>
      <c r="B310" s="13"/>
      <c r="C310" s="13"/>
      <c r="D310" s="13"/>
      <c r="E310" s="13"/>
      <c r="F310" s="9"/>
      <c r="G310" s="32"/>
      <c r="H310" s="32"/>
      <c r="I310" s="32"/>
      <c r="J310" s="32"/>
      <c r="K310" s="29"/>
      <c r="L310" s="29"/>
      <c r="M310" s="29"/>
      <c r="N310" s="29"/>
      <c r="O310" s="29"/>
      <c r="P310" s="29"/>
      <c r="Q310" s="29"/>
      <c r="R310" s="38"/>
    </row>
    <row r="311" spans="1:18" x14ac:dyDescent="0.25">
      <c r="A311" s="5"/>
      <c r="B311" s="13"/>
      <c r="C311" s="13"/>
      <c r="D311" s="13"/>
      <c r="E311" s="13"/>
      <c r="F311" s="9"/>
      <c r="G311" s="32"/>
      <c r="H311" s="32"/>
      <c r="I311" s="32"/>
      <c r="J311" s="32"/>
      <c r="K311" s="29"/>
      <c r="L311" s="29"/>
      <c r="M311" s="29"/>
      <c r="N311" s="29"/>
      <c r="O311" s="29"/>
      <c r="P311" s="29"/>
      <c r="Q311" s="29"/>
      <c r="R311" s="38"/>
    </row>
    <row r="312" spans="1:18" x14ac:dyDescent="0.25">
      <c r="A312" s="5"/>
      <c r="B312" s="13"/>
      <c r="C312" s="13"/>
      <c r="D312" s="13"/>
      <c r="E312" s="13"/>
      <c r="F312" s="9"/>
      <c r="G312" s="32"/>
      <c r="H312" s="32"/>
      <c r="I312" s="32"/>
      <c r="J312" s="32"/>
      <c r="K312" s="29"/>
      <c r="L312" s="29"/>
      <c r="M312" s="29"/>
      <c r="N312" s="29"/>
      <c r="O312" s="29"/>
      <c r="P312" s="29"/>
      <c r="Q312" s="29"/>
      <c r="R312" s="38"/>
    </row>
    <row r="313" spans="1:18" x14ac:dyDescent="0.25">
      <c r="A313" s="5"/>
      <c r="B313" s="13"/>
      <c r="C313" s="13"/>
      <c r="D313" s="13"/>
      <c r="E313" s="13"/>
      <c r="F313" s="9"/>
      <c r="G313" s="32"/>
      <c r="H313" s="32"/>
      <c r="I313" s="32"/>
      <c r="J313" s="32"/>
      <c r="K313" s="29"/>
      <c r="L313" s="29"/>
      <c r="M313" s="29"/>
      <c r="N313" s="29"/>
      <c r="O313" s="29"/>
      <c r="P313" s="29"/>
      <c r="Q313" s="29"/>
      <c r="R313" s="38"/>
    </row>
    <row r="314" spans="1:18" x14ac:dyDescent="0.25">
      <c r="A314" s="5"/>
      <c r="B314" s="13"/>
      <c r="C314" s="13"/>
      <c r="D314" s="13"/>
      <c r="E314" s="13"/>
      <c r="F314" s="9"/>
      <c r="G314" s="32"/>
      <c r="H314" s="32"/>
      <c r="I314" s="32"/>
      <c r="J314" s="32"/>
      <c r="K314" s="29"/>
      <c r="L314" s="29"/>
      <c r="M314" s="29"/>
      <c r="N314" s="29"/>
      <c r="O314" s="29"/>
      <c r="P314" s="29"/>
      <c r="Q314" s="29"/>
      <c r="R314" s="38"/>
    </row>
    <row r="315" spans="1:18" x14ac:dyDescent="0.25">
      <c r="A315" s="5"/>
      <c r="B315" s="13"/>
      <c r="C315" s="13"/>
      <c r="D315" s="13"/>
      <c r="E315" s="13"/>
      <c r="F315" s="9"/>
      <c r="G315" s="32"/>
      <c r="H315" s="32"/>
      <c r="I315" s="32"/>
      <c r="J315" s="32"/>
      <c r="K315" s="29"/>
      <c r="L315" s="29"/>
      <c r="M315" s="29"/>
      <c r="N315" s="29"/>
      <c r="O315" s="29"/>
      <c r="P315" s="29"/>
      <c r="Q315" s="29"/>
      <c r="R315" s="38"/>
    </row>
    <row r="316" spans="1:18" x14ac:dyDescent="0.25">
      <c r="A316" s="5"/>
      <c r="B316" s="13"/>
      <c r="C316" s="13"/>
      <c r="D316" s="13"/>
      <c r="E316" s="13"/>
      <c r="F316" s="9"/>
      <c r="G316" s="32"/>
      <c r="H316" s="32"/>
      <c r="I316" s="32"/>
      <c r="J316" s="32"/>
      <c r="K316" s="29"/>
      <c r="L316" s="29"/>
      <c r="M316" s="29"/>
      <c r="N316" s="29"/>
      <c r="O316" s="29"/>
      <c r="P316" s="29"/>
      <c r="Q316" s="29"/>
      <c r="R316" s="38"/>
    </row>
    <row r="317" spans="1:18" x14ac:dyDescent="0.25">
      <c r="A317" s="5"/>
      <c r="B317" s="13"/>
      <c r="C317" s="13"/>
      <c r="D317" s="13"/>
      <c r="E317" s="13"/>
      <c r="F317" s="9"/>
      <c r="G317" s="32"/>
      <c r="H317" s="32"/>
      <c r="I317" s="32"/>
      <c r="J317" s="32"/>
      <c r="K317" s="29"/>
      <c r="L317" s="29"/>
      <c r="M317" s="29"/>
      <c r="N317" s="29"/>
      <c r="O317" s="29"/>
      <c r="P317" s="29"/>
      <c r="Q317" s="29"/>
      <c r="R317" s="38"/>
    </row>
    <row r="318" spans="1:18" x14ac:dyDescent="0.25">
      <c r="A318" s="5"/>
      <c r="B318" s="13"/>
      <c r="C318" s="13"/>
      <c r="D318" s="13"/>
      <c r="E318" s="13"/>
      <c r="F318" s="9"/>
      <c r="G318" s="32"/>
      <c r="H318" s="32"/>
      <c r="I318" s="32"/>
      <c r="J318" s="32"/>
      <c r="K318" s="29"/>
      <c r="L318" s="29"/>
      <c r="M318" s="29"/>
      <c r="N318" s="29"/>
      <c r="O318" s="29"/>
      <c r="P318" s="29"/>
      <c r="Q318" s="29"/>
      <c r="R318" s="38"/>
    </row>
    <row r="319" spans="1:18" x14ac:dyDescent="0.25">
      <c r="A319" s="5"/>
      <c r="B319" s="13"/>
      <c r="C319" s="13"/>
      <c r="D319" s="13"/>
      <c r="E319" s="13"/>
      <c r="F319" s="9"/>
      <c r="G319" s="32"/>
      <c r="H319" s="32"/>
      <c r="I319" s="32"/>
      <c r="J319" s="32"/>
      <c r="K319" s="29"/>
      <c r="L319" s="29"/>
      <c r="M319" s="29"/>
      <c r="N319" s="29"/>
      <c r="O319" s="29"/>
      <c r="P319" s="29"/>
      <c r="Q319" s="29"/>
      <c r="R319" s="38"/>
    </row>
    <row r="320" spans="1:18" x14ac:dyDescent="0.25">
      <c r="A320" s="5"/>
      <c r="B320" s="13"/>
      <c r="C320" s="13"/>
      <c r="D320" s="13"/>
      <c r="E320" s="13"/>
      <c r="F320" s="9"/>
      <c r="G320" s="32"/>
      <c r="H320" s="32"/>
      <c r="I320" s="32"/>
      <c r="J320" s="32"/>
      <c r="K320" s="29"/>
      <c r="L320" s="29"/>
      <c r="M320" s="29"/>
      <c r="N320" s="29"/>
      <c r="O320" s="29"/>
      <c r="P320" s="29"/>
      <c r="Q320" s="29"/>
      <c r="R320" s="38"/>
    </row>
    <row r="321" spans="1:18" x14ac:dyDescent="0.25">
      <c r="A321" s="5"/>
      <c r="B321" s="13"/>
      <c r="C321" s="13"/>
      <c r="D321" s="13"/>
      <c r="E321" s="13"/>
      <c r="F321" s="9"/>
      <c r="G321" s="32"/>
      <c r="H321" s="32"/>
      <c r="I321" s="32"/>
      <c r="J321" s="32"/>
      <c r="K321" s="29"/>
      <c r="L321" s="29"/>
      <c r="M321" s="29"/>
      <c r="N321" s="29"/>
      <c r="O321" s="29"/>
      <c r="P321" s="29"/>
      <c r="Q321" s="29"/>
      <c r="R321" s="38"/>
    </row>
    <row r="322" spans="1:18" x14ac:dyDescent="0.25">
      <c r="A322" s="5"/>
      <c r="B322" s="13"/>
      <c r="C322" s="13"/>
      <c r="D322" s="13"/>
      <c r="E322" s="13"/>
      <c r="F322" s="9"/>
      <c r="G322" s="32"/>
      <c r="H322" s="32"/>
      <c r="I322" s="32"/>
      <c r="J322" s="32"/>
      <c r="K322" s="29"/>
      <c r="L322" s="29"/>
      <c r="M322" s="29"/>
      <c r="N322" s="29"/>
      <c r="O322" s="29"/>
      <c r="P322" s="29"/>
      <c r="Q322" s="29"/>
      <c r="R322" s="38"/>
    </row>
    <row r="323" spans="1:18" x14ac:dyDescent="0.25">
      <c r="A323" s="5"/>
      <c r="B323" s="13"/>
      <c r="C323" s="13"/>
      <c r="D323" s="13"/>
      <c r="E323" s="13"/>
      <c r="F323" s="9"/>
      <c r="G323" s="32"/>
      <c r="H323" s="32"/>
      <c r="I323" s="32"/>
      <c r="J323" s="32"/>
      <c r="K323" s="29"/>
      <c r="L323" s="29"/>
      <c r="M323" s="29"/>
      <c r="N323" s="29"/>
      <c r="O323" s="29"/>
      <c r="P323" s="29"/>
      <c r="Q323" s="29"/>
      <c r="R323" s="38"/>
    </row>
    <row r="324" spans="1:18" x14ac:dyDescent="0.25">
      <c r="A324" s="5"/>
      <c r="B324" s="13"/>
      <c r="C324" s="13"/>
      <c r="D324" s="13"/>
      <c r="E324" s="13"/>
      <c r="F324" s="9"/>
      <c r="G324" s="32"/>
      <c r="H324" s="32"/>
      <c r="I324" s="32"/>
      <c r="J324" s="32"/>
      <c r="K324" s="29"/>
      <c r="L324" s="29"/>
      <c r="M324" s="29"/>
      <c r="N324" s="29"/>
      <c r="O324" s="29"/>
      <c r="P324" s="29"/>
      <c r="Q324" s="29"/>
      <c r="R324" s="38"/>
    </row>
    <row r="325" spans="1:18" x14ac:dyDescent="0.25">
      <c r="A325" s="5"/>
      <c r="B325" s="13"/>
      <c r="C325" s="13"/>
      <c r="D325" s="13"/>
      <c r="E325" s="13"/>
      <c r="F325" s="9"/>
      <c r="G325" s="32"/>
      <c r="H325" s="32"/>
      <c r="I325" s="32"/>
      <c r="J325" s="32"/>
      <c r="K325" s="29"/>
      <c r="L325" s="29"/>
      <c r="M325" s="29"/>
      <c r="N325" s="29"/>
      <c r="O325" s="29"/>
      <c r="P325" s="29"/>
      <c r="Q325" s="29"/>
      <c r="R325" s="38"/>
    </row>
    <row r="326" spans="1:18" x14ac:dyDescent="0.25">
      <c r="A326" s="5"/>
      <c r="B326" s="13"/>
      <c r="C326" s="13"/>
      <c r="D326" s="13"/>
      <c r="E326" s="13"/>
      <c r="F326" s="9"/>
      <c r="G326" s="32"/>
      <c r="H326" s="32"/>
      <c r="I326" s="32"/>
      <c r="J326" s="32"/>
      <c r="K326" s="29"/>
      <c r="L326" s="29"/>
      <c r="M326" s="29"/>
      <c r="N326" s="29"/>
      <c r="O326" s="29"/>
      <c r="P326" s="29"/>
      <c r="Q326" s="29"/>
      <c r="R326" s="38"/>
    </row>
    <row r="327" spans="1:18" x14ac:dyDescent="0.25">
      <c r="A327" s="5"/>
      <c r="B327" s="13"/>
      <c r="C327" s="13"/>
      <c r="D327" s="13"/>
      <c r="E327" s="13"/>
      <c r="F327" s="9"/>
      <c r="G327" s="32"/>
      <c r="H327" s="32"/>
      <c r="I327" s="32"/>
      <c r="J327" s="32"/>
      <c r="K327" s="29"/>
      <c r="L327" s="29"/>
      <c r="M327" s="29"/>
      <c r="N327" s="29"/>
      <c r="O327" s="29"/>
      <c r="P327" s="29"/>
      <c r="Q327" s="29"/>
      <c r="R327" s="38"/>
    </row>
    <row r="328" spans="1:18" x14ac:dyDescent="0.25">
      <c r="A328" s="5"/>
      <c r="B328" s="13"/>
      <c r="C328" s="13"/>
      <c r="D328" s="13"/>
      <c r="E328" s="13"/>
      <c r="F328" s="9"/>
      <c r="G328" s="32"/>
      <c r="H328" s="32"/>
      <c r="I328" s="32"/>
      <c r="J328" s="32"/>
      <c r="K328" s="29"/>
      <c r="L328" s="29"/>
      <c r="M328" s="29"/>
      <c r="N328" s="29"/>
      <c r="O328" s="29"/>
      <c r="P328" s="29"/>
      <c r="Q328" s="29"/>
      <c r="R328" s="38"/>
    </row>
    <row r="329" spans="1:18" x14ac:dyDescent="0.25">
      <c r="A329" s="5"/>
      <c r="B329" s="13"/>
      <c r="C329" s="13"/>
      <c r="D329" s="13"/>
      <c r="E329" s="13"/>
      <c r="F329" s="9"/>
      <c r="G329" s="32"/>
      <c r="H329" s="32"/>
      <c r="I329" s="32"/>
      <c r="J329" s="32"/>
      <c r="K329" s="29"/>
      <c r="L329" s="29"/>
      <c r="M329" s="29"/>
      <c r="N329" s="29"/>
      <c r="O329" s="29"/>
      <c r="P329" s="29"/>
      <c r="Q329" s="29"/>
      <c r="R329" s="38"/>
    </row>
    <row r="330" spans="1:18" x14ac:dyDescent="0.25">
      <c r="A330" s="5"/>
      <c r="B330" s="13"/>
      <c r="C330" s="13"/>
      <c r="D330" s="13"/>
      <c r="E330" s="13"/>
      <c r="F330" s="9"/>
      <c r="G330" s="32"/>
      <c r="H330" s="32"/>
      <c r="I330" s="32"/>
      <c r="J330" s="32"/>
      <c r="K330" s="29"/>
      <c r="L330" s="29"/>
      <c r="M330" s="29"/>
      <c r="N330" s="29"/>
      <c r="O330" s="29"/>
      <c r="P330" s="29"/>
      <c r="Q330" s="29"/>
      <c r="R330" s="38"/>
    </row>
    <row r="331" spans="1:18" x14ac:dyDescent="0.25">
      <c r="A331" s="5"/>
      <c r="B331" s="13"/>
      <c r="C331" s="13"/>
      <c r="D331" s="13"/>
      <c r="E331" s="13"/>
      <c r="F331" s="9"/>
      <c r="G331" s="32"/>
      <c r="H331" s="32"/>
      <c r="I331" s="32"/>
      <c r="J331" s="32"/>
      <c r="K331" s="29"/>
      <c r="L331" s="29"/>
      <c r="M331" s="29"/>
      <c r="N331" s="29"/>
      <c r="O331" s="29"/>
      <c r="P331" s="29"/>
      <c r="Q331" s="29"/>
      <c r="R331" s="38"/>
    </row>
    <row r="332" spans="1:18" x14ac:dyDescent="0.25">
      <c r="A332" s="5"/>
      <c r="B332" s="13"/>
      <c r="C332" s="13"/>
      <c r="D332" s="13"/>
      <c r="E332" s="13"/>
      <c r="F332" s="9"/>
      <c r="G332" s="32"/>
      <c r="H332" s="32"/>
      <c r="I332" s="32"/>
      <c r="J332" s="32"/>
      <c r="K332" s="29"/>
      <c r="L332" s="29"/>
      <c r="M332" s="29"/>
      <c r="N332" s="29"/>
      <c r="O332" s="29"/>
      <c r="P332" s="29"/>
      <c r="Q332" s="29"/>
      <c r="R332" s="38"/>
    </row>
    <row r="333" spans="1:18" x14ac:dyDescent="0.25">
      <c r="A333" s="5"/>
      <c r="B333" s="13"/>
      <c r="C333" s="13"/>
      <c r="D333" s="13"/>
      <c r="E333" s="13"/>
      <c r="F333" s="9"/>
      <c r="G333" s="32"/>
      <c r="H333" s="32"/>
      <c r="I333" s="32"/>
      <c r="J333" s="32"/>
      <c r="K333" s="29"/>
      <c r="L333" s="29"/>
      <c r="M333" s="29"/>
      <c r="N333" s="29"/>
      <c r="O333" s="29"/>
      <c r="P333" s="29"/>
      <c r="Q333" s="29"/>
      <c r="R333" s="38"/>
    </row>
    <row r="334" spans="1:18" x14ac:dyDescent="0.25">
      <c r="A334" s="5"/>
      <c r="B334" s="13"/>
      <c r="C334" s="13"/>
      <c r="D334" s="13"/>
      <c r="E334" s="13"/>
      <c r="F334" s="9"/>
      <c r="G334" s="32"/>
      <c r="H334" s="32"/>
      <c r="I334" s="32"/>
      <c r="J334" s="32"/>
      <c r="K334" s="29"/>
      <c r="L334" s="29"/>
      <c r="M334" s="29"/>
      <c r="N334" s="29"/>
      <c r="O334" s="29"/>
      <c r="P334" s="29"/>
      <c r="Q334" s="29"/>
      <c r="R334" s="38"/>
    </row>
    <row r="335" spans="1:18" x14ac:dyDescent="0.25">
      <c r="A335" s="5"/>
      <c r="B335" s="13"/>
      <c r="C335" s="13"/>
      <c r="D335" s="13"/>
      <c r="E335" s="13"/>
      <c r="F335" s="9"/>
      <c r="G335" s="32"/>
      <c r="H335" s="32"/>
      <c r="I335" s="32"/>
      <c r="J335" s="32"/>
      <c r="K335" s="29"/>
      <c r="L335" s="29"/>
      <c r="M335" s="29"/>
      <c r="N335" s="29"/>
      <c r="O335" s="29"/>
      <c r="P335" s="29"/>
      <c r="Q335" s="29"/>
      <c r="R335" s="38"/>
    </row>
    <row r="336" spans="1:18" x14ac:dyDescent="0.25">
      <c r="A336" s="5"/>
      <c r="B336" s="13"/>
      <c r="C336" s="13"/>
      <c r="D336" s="13"/>
      <c r="E336" s="13"/>
      <c r="F336" s="9"/>
      <c r="G336" s="32"/>
      <c r="H336" s="32"/>
      <c r="I336" s="32"/>
      <c r="J336" s="32"/>
      <c r="K336" s="29"/>
      <c r="L336" s="29"/>
      <c r="M336" s="29"/>
      <c r="N336" s="29"/>
      <c r="O336" s="29"/>
      <c r="P336" s="29"/>
      <c r="Q336" s="29"/>
      <c r="R336" s="38"/>
    </row>
    <row r="337" spans="1:18" x14ac:dyDescent="0.25">
      <c r="A337" s="5"/>
      <c r="B337" s="13"/>
      <c r="C337" s="13"/>
      <c r="D337" s="13"/>
      <c r="E337" s="13"/>
      <c r="F337" s="9"/>
      <c r="G337" s="32"/>
      <c r="H337" s="32"/>
      <c r="I337" s="32"/>
      <c r="J337" s="32"/>
      <c r="K337" s="29"/>
      <c r="L337" s="29"/>
      <c r="M337" s="29"/>
      <c r="N337" s="29"/>
      <c r="O337" s="29"/>
      <c r="P337" s="29"/>
      <c r="Q337" s="29"/>
      <c r="R337" s="38"/>
    </row>
    <row r="338" spans="1:18" x14ac:dyDescent="0.25">
      <c r="A338" s="5"/>
      <c r="B338" s="13"/>
      <c r="C338" s="13"/>
      <c r="D338" s="13"/>
      <c r="E338" s="13"/>
      <c r="F338" s="9"/>
      <c r="G338" s="32"/>
      <c r="H338" s="32"/>
      <c r="I338" s="32"/>
      <c r="J338" s="32"/>
      <c r="K338" s="29"/>
      <c r="L338" s="29"/>
      <c r="M338" s="29"/>
      <c r="N338" s="29"/>
      <c r="O338" s="29"/>
      <c r="P338" s="29"/>
      <c r="Q338" s="29"/>
      <c r="R338" s="38"/>
    </row>
    <row r="339" spans="1:18" x14ac:dyDescent="0.25">
      <c r="A339" s="5"/>
      <c r="B339" s="13"/>
      <c r="C339" s="13"/>
      <c r="D339" s="13"/>
      <c r="E339" s="13"/>
      <c r="F339" s="9"/>
      <c r="G339" s="32"/>
      <c r="H339" s="32"/>
      <c r="I339" s="32"/>
      <c r="J339" s="32"/>
      <c r="K339" s="29"/>
      <c r="L339" s="29"/>
      <c r="M339" s="29"/>
      <c r="N339" s="29"/>
      <c r="O339" s="29"/>
      <c r="P339" s="29"/>
      <c r="Q339" s="29"/>
      <c r="R339" s="38"/>
    </row>
    <row r="340" spans="1:18" x14ac:dyDescent="0.25">
      <c r="A340" s="5"/>
      <c r="B340" s="13"/>
      <c r="C340" s="13"/>
      <c r="D340" s="13"/>
      <c r="E340" s="13"/>
      <c r="F340" s="9"/>
      <c r="G340" s="32"/>
      <c r="H340" s="32"/>
      <c r="I340" s="32"/>
      <c r="J340" s="32"/>
      <c r="K340" s="29"/>
      <c r="L340" s="29"/>
      <c r="M340" s="29"/>
      <c r="N340" s="29"/>
      <c r="O340" s="29"/>
      <c r="P340" s="29"/>
      <c r="Q340" s="29"/>
      <c r="R340" s="38"/>
    </row>
    <row r="341" spans="1:18" x14ac:dyDescent="0.25">
      <c r="A341" s="5"/>
      <c r="B341" s="13"/>
      <c r="C341" s="13"/>
      <c r="D341" s="13"/>
      <c r="E341" s="13"/>
      <c r="F341" s="9"/>
      <c r="G341" s="32"/>
      <c r="H341" s="32"/>
      <c r="I341" s="32"/>
      <c r="J341" s="32"/>
      <c r="K341" s="29"/>
      <c r="L341" s="29"/>
      <c r="M341" s="29"/>
      <c r="N341" s="29"/>
      <c r="O341" s="29"/>
      <c r="P341" s="29"/>
      <c r="Q341" s="29"/>
      <c r="R341" s="38"/>
    </row>
    <row r="342" spans="1:18" x14ac:dyDescent="0.25">
      <c r="A342" s="5"/>
      <c r="B342" s="13"/>
      <c r="C342" s="13"/>
      <c r="D342" s="13"/>
      <c r="E342" s="13"/>
      <c r="F342" s="9"/>
      <c r="G342" s="32"/>
      <c r="H342" s="32"/>
      <c r="I342" s="32"/>
      <c r="J342" s="32"/>
      <c r="K342" s="29"/>
      <c r="L342" s="29"/>
      <c r="M342" s="29"/>
      <c r="N342" s="29"/>
      <c r="O342" s="29"/>
      <c r="P342" s="29"/>
      <c r="Q342" s="29"/>
      <c r="R342" s="38"/>
    </row>
    <row r="343" spans="1:18" x14ac:dyDescent="0.25">
      <c r="A343" s="5"/>
      <c r="B343" s="13"/>
      <c r="C343" s="13"/>
      <c r="D343" s="13"/>
      <c r="E343" s="13"/>
      <c r="F343" s="9"/>
      <c r="G343" s="32"/>
      <c r="H343" s="32"/>
      <c r="I343" s="32"/>
      <c r="J343" s="32"/>
      <c r="K343" s="29"/>
      <c r="L343" s="29"/>
      <c r="M343" s="29"/>
      <c r="N343" s="29"/>
      <c r="O343" s="29"/>
      <c r="P343" s="29"/>
      <c r="Q343" s="29"/>
      <c r="R343" s="38"/>
    </row>
    <row r="344" spans="1:18" x14ac:dyDescent="0.25">
      <c r="A344" s="5"/>
      <c r="B344" s="13"/>
      <c r="C344" s="13"/>
      <c r="D344" s="13"/>
      <c r="E344" s="13"/>
      <c r="F344" s="9"/>
      <c r="G344" s="32"/>
      <c r="H344" s="32"/>
      <c r="I344" s="32"/>
      <c r="J344" s="32"/>
      <c r="K344" s="29"/>
      <c r="L344" s="29"/>
      <c r="M344" s="29"/>
      <c r="N344" s="29"/>
      <c r="O344" s="29"/>
      <c r="P344" s="29"/>
      <c r="Q344" s="29"/>
      <c r="R344" s="38"/>
    </row>
    <row r="345" spans="1:18" x14ac:dyDescent="0.25">
      <c r="A345" s="5"/>
      <c r="B345" s="13"/>
      <c r="C345" s="13"/>
      <c r="D345" s="13"/>
      <c r="E345" s="13"/>
      <c r="F345" s="9"/>
      <c r="G345" s="32"/>
      <c r="H345" s="32"/>
      <c r="I345" s="32"/>
      <c r="J345" s="32"/>
      <c r="K345" s="29"/>
      <c r="L345" s="29"/>
      <c r="M345" s="29"/>
      <c r="N345" s="29"/>
      <c r="O345" s="29"/>
      <c r="P345" s="29"/>
      <c r="Q345" s="29"/>
      <c r="R345" s="38"/>
    </row>
    <row r="346" spans="1:18" x14ac:dyDescent="0.25">
      <c r="A346" s="5"/>
      <c r="B346" s="13"/>
      <c r="C346" s="13"/>
      <c r="D346" s="13"/>
      <c r="E346" s="13"/>
      <c r="F346" s="9"/>
      <c r="G346" s="32"/>
      <c r="H346" s="32"/>
      <c r="I346" s="32"/>
      <c r="J346" s="32"/>
      <c r="K346" s="29"/>
      <c r="L346" s="29"/>
      <c r="M346" s="29"/>
      <c r="N346" s="29"/>
      <c r="O346" s="29"/>
      <c r="P346" s="29"/>
      <c r="Q346" s="29"/>
      <c r="R346" s="38"/>
    </row>
    <row r="347" spans="1:18" x14ac:dyDescent="0.25">
      <c r="A347" s="5"/>
      <c r="B347" s="13"/>
      <c r="C347" s="13"/>
      <c r="D347" s="13"/>
      <c r="E347" s="13"/>
      <c r="F347" s="9"/>
      <c r="G347" s="32"/>
      <c r="H347" s="32"/>
      <c r="I347" s="32"/>
      <c r="J347" s="32"/>
      <c r="K347" s="29"/>
      <c r="L347" s="29"/>
      <c r="M347" s="29"/>
      <c r="N347" s="29"/>
      <c r="O347" s="29"/>
      <c r="P347" s="29"/>
      <c r="Q347" s="29"/>
      <c r="R347" s="38"/>
    </row>
    <row r="348" spans="1:18" x14ac:dyDescent="0.25">
      <c r="A348" s="5"/>
      <c r="B348" s="13"/>
      <c r="C348" s="13"/>
      <c r="D348" s="13"/>
      <c r="E348" s="13"/>
      <c r="F348" s="9"/>
      <c r="G348" s="32"/>
      <c r="H348" s="32"/>
      <c r="I348" s="32"/>
      <c r="J348" s="32"/>
      <c r="K348" s="29"/>
      <c r="L348" s="29"/>
      <c r="M348" s="29"/>
      <c r="N348" s="29"/>
      <c r="O348" s="29"/>
      <c r="P348" s="29"/>
      <c r="Q348" s="29"/>
      <c r="R348" s="38"/>
    </row>
    <row r="349" spans="1:18" x14ac:dyDescent="0.25">
      <c r="A349" s="5"/>
      <c r="B349" s="13"/>
      <c r="C349" s="13"/>
      <c r="D349" s="13"/>
      <c r="E349" s="13"/>
      <c r="F349" s="9"/>
      <c r="G349" s="32"/>
      <c r="H349" s="32"/>
      <c r="I349" s="32"/>
      <c r="J349" s="32"/>
      <c r="K349" s="29"/>
      <c r="L349" s="29"/>
      <c r="M349" s="29"/>
      <c r="N349" s="29"/>
      <c r="O349" s="29"/>
      <c r="P349" s="29"/>
      <c r="Q349" s="29"/>
      <c r="R349" s="38"/>
    </row>
    <row r="350" spans="1:18" x14ac:dyDescent="0.25">
      <c r="A350" s="5"/>
      <c r="B350" s="13"/>
      <c r="C350" s="13"/>
      <c r="D350" s="13"/>
      <c r="E350" s="13"/>
      <c r="F350" s="9"/>
      <c r="G350" s="32"/>
      <c r="H350" s="32"/>
      <c r="I350" s="32"/>
      <c r="J350" s="32"/>
      <c r="K350" s="29"/>
      <c r="L350" s="29"/>
      <c r="M350" s="29"/>
      <c r="N350" s="29"/>
      <c r="O350" s="29"/>
      <c r="P350" s="29"/>
      <c r="Q350" s="29"/>
      <c r="R350" s="38"/>
    </row>
    <row r="351" spans="1:18" x14ac:dyDescent="0.25">
      <c r="A351" s="5"/>
      <c r="B351" s="13"/>
      <c r="C351" s="13"/>
      <c r="D351" s="13"/>
      <c r="E351" s="13"/>
      <c r="F351" s="9"/>
      <c r="G351" s="32"/>
      <c r="H351" s="32"/>
      <c r="I351" s="32"/>
      <c r="J351" s="32"/>
      <c r="K351" s="29"/>
      <c r="L351" s="29"/>
      <c r="M351" s="29"/>
      <c r="N351" s="29"/>
      <c r="O351" s="29"/>
      <c r="P351" s="29"/>
      <c r="Q351" s="29"/>
      <c r="R351" s="38"/>
    </row>
    <row r="352" spans="1:18" x14ac:dyDescent="0.25">
      <c r="A352" s="5"/>
      <c r="B352" s="13"/>
      <c r="C352" s="13"/>
      <c r="D352" s="13"/>
      <c r="E352" s="13"/>
      <c r="F352" s="9"/>
      <c r="G352" s="32"/>
      <c r="H352" s="32"/>
      <c r="I352" s="32"/>
      <c r="J352" s="32"/>
      <c r="K352" s="29"/>
      <c r="L352" s="29"/>
      <c r="M352" s="29"/>
      <c r="N352" s="29"/>
      <c r="O352" s="29"/>
      <c r="P352" s="29"/>
      <c r="Q352" s="29"/>
      <c r="R352" s="38"/>
    </row>
    <row r="353" spans="1:18" x14ac:dyDescent="0.25">
      <c r="A353" s="5"/>
      <c r="B353" s="13"/>
      <c r="C353" s="13"/>
      <c r="D353" s="13"/>
      <c r="E353" s="13"/>
      <c r="F353" s="9"/>
      <c r="G353" s="32"/>
      <c r="H353" s="32"/>
      <c r="I353" s="32"/>
      <c r="J353" s="32"/>
      <c r="K353" s="29"/>
      <c r="L353" s="29"/>
      <c r="M353" s="29"/>
      <c r="N353" s="29"/>
      <c r="O353" s="29"/>
      <c r="P353" s="29"/>
      <c r="Q353" s="29"/>
      <c r="R353" s="38"/>
    </row>
    <row r="354" spans="1:18" x14ac:dyDescent="0.25">
      <c r="A354" s="5"/>
      <c r="B354" s="13"/>
      <c r="C354" s="13"/>
      <c r="D354" s="13"/>
      <c r="E354" s="13"/>
      <c r="F354" s="9"/>
      <c r="G354" s="32"/>
      <c r="H354" s="32"/>
      <c r="I354" s="32"/>
      <c r="J354" s="32"/>
      <c r="K354" s="29"/>
      <c r="L354" s="29"/>
      <c r="M354" s="29"/>
      <c r="N354" s="29"/>
      <c r="O354" s="29"/>
      <c r="P354" s="29"/>
      <c r="Q354" s="29"/>
      <c r="R354" s="38"/>
    </row>
    <row r="355" spans="1:18" x14ac:dyDescent="0.25">
      <c r="A355" s="5"/>
      <c r="B355" s="13"/>
      <c r="C355" s="13"/>
      <c r="D355" s="13"/>
      <c r="E355" s="13"/>
      <c r="F355" s="9"/>
      <c r="G355" s="32"/>
      <c r="H355" s="32"/>
      <c r="I355" s="32"/>
      <c r="J355" s="32"/>
      <c r="K355" s="29"/>
      <c r="L355" s="29"/>
      <c r="M355" s="29"/>
      <c r="N355" s="29"/>
      <c r="O355" s="29"/>
      <c r="P355" s="29"/>
      <c r="Q355" s="29"/>
      <c r="R355" s="38"/>
    </row>
    <row r="356" spans="1:18" x14ac:dyDescent="0.25">
      <c r="A356" s="5"/>
      <c r="B356" s="13"/>
      <c r="C356" s="13"/>
      <c r="D356" s="13"/>
      <c r="E356" s="13"/>
      <c r="F356" s="9"/>
      <c r="G356" s="32"/>
      <c r="H356" s="32"/>
      <c r="I356" s="32"/>
      <c r="J356" s="32"/>
      <c r="K356" s="29"/>
      <c r="L356" s="29"/>
      <c r="M356" s="29"/>
      <c r="N356" s="29"/>
      <c r="O356" s="29"/>
      <c r="P356" s="29"/>
      <c r="Q356" s="29"/>
      <c r="R356" s="38"/>
    </row>
    <row r="357" spans="1:18" x14ac:dyDescent="0.25">
      <c r="A357" s="5"/>
      <c r="B357" s="13"/>
      <c r="C357" s="13"/>
      <c r="D357" s="13"/>
      <c r="E357" s="13"/>
      <c r="F357" s="9"/>
      <c r="G357" s="32"/>
      <c r="H357" s="32"/>
      <c r="I357" s="32"/>
      <c r="J357" s="32"/>
      <c r="K357" s="29"/>
      <c r="L357" s="29"/>
      <c r="M357" s="29"/>
      <c r="N357" s="29"/>
      <c r="O357" s="29"/>
      <c r="P357" s="29"/>
      <c r="Q357" s="29"/>
      <c r="R357" s="38"/>
    </row>
    <row r="358" spans="1:18" x14ac:dyDescent="0.25">
      <c r="A358" s="5"/>
      <c r="B358" s="13"/>
      <c r="C358" s="13"/>
      <c r="D358" s="13"/>
      <c r="E358" s="13"/>
      <c r="F358" s="9"/>
      <c r="G358" s="32"/>
      <c r="H358" s="32"/>
      <c r="I358" s="32"/>
      <c r="J358" s="32"/>
      <c r="K358" s="29"/>
      <c r="L358" s="29"/>
      <c r="M358" s="29"/>
      <c r="N358" s="29"/>
      <c r="O358" s="29"/>
      <c r="P358" s="29"/>
      <c r="Q358" s="29"/>
      <c r="R358" s="38"/>
    </row>
    <row r="359" spans="1:18" x14ac:dyDescent="0.25">
      <c r="A359" s="5"/>
      <c r="B359" s="13"/>
      <c r="C359" s="13"/>
      <c r="D359" s="13"/>
      <c r="E359" s="13"/>
      <c r="F359" s="9"/>
      <c r="G359" s="32"/>
      <c r="H359" s="32"/>
      <c r="I359" s="32"/>
      <c r="J359" s="32"/>
      <c r="K359" s="29"/>
      <c r="L359" s="29"/>
      <c r="M359" s="29"/>
      <c r="N359" s="29"/>
      <c r="O359" s="29"/>
      <c r="P359" s="29"/>
      <c r="Q359" s="29"/>
      <c r="R359" s="38"/>
    </row>
    <row r="360" spans="1:18" x14ac:dyDescent="0.25">
      <c r="A360" s="5"/>
      <c r="B360" s="13"/>
      <c r="C360" s="13"/>
      <c r="D360" s="13"/>
      <c r="E360" s="13"/>
      <c r="F360" s="9"/>
      <c r="G360" s="32"/>
      <c r="H360" s="32"/>
      <c r="I360" s="32"/>
      <c r="J360" s="32"/>
      <c r="K360" s="29"/>
      <c r="L360" s="29"/>
      <c r="M360" s="29"/>
      <c r="N360" s="29"/>
      <c r="O360" s="29"/>
      <c r="P360" s="29"/>
      <c r="Q360" s="29"/>
      <c r="R360" s="38"/>
    </row>
    <row r="361" spans="1:18" x14ac:dyDescent="0.25">
      <c r="A361" s="5"/>
      <c r="B361" s="13"/>
      <c r="C361" s="13"/>
      <c r="D361" s="13"/>
      <c r="E361" s="13"/>
      <c r="F361" s="9"/>
      <c r="G361" s="32"/>
      <c r="H361" s="32"/>
      <c r="I361" s="32"/>
      <c r="J361" s="32"/>
      <c r="K361" s="29"/>
      <c r="L361" s="29"/>
      <c r="M361" s="29"/>
      <c r="N361" s="29"/>
      <c r="O361" s="29"/>
      <c r="P361" s="29"/>
      <c r="Q361" s="29"/>
      <c r="R361" s="38"/>
    </row>
    <row r="362" spans="1:18" x14ac:dyDescent="0.25">
      <c r="A362" s="5"/>
      <c r="B362" s="13"/>
      <c r="C362" s="13"/>
      <c r="D362" s="13"/>
      <c r="E362" s="13"/>
      <c r="F362" s="9"/>
      <c r="G362" s="32"/>
      <c r="H362" s="32"/>
      <c r="I362" s="32"/>
      <c r="J362" s="32"/>
      <c r="K362" s="29"/>
      <c r="L362" s="29"/>
      <c r="M362" s="29"/>
      <c r="N362" s="29"/>
      <c r="O362" s="29"/>
      <c r="P362" s="29"/>
      <c r="Q362" s="29"/>
      <c r="R362" s="38"/>
    </row>
    <row r="363" spans="1:18" x14ac:dyDescent="0.25">
      <c r="A363" s="5"/>
      <c r="B363" s="13"/>
      <c r="C363" s="13"/>
      <c r="D363" s="13"/>
      <c r="E363" s="13"/>
      <c r="F363" s="9"/>
      <c r="G363" s="32"/>
      <c r="H363" s="32"/>
      <c r="I363" s="32"/>
      <c r="J363" s="32"/>
      <c r="K363" s="29"/>
      <c r="L363" s="29"/>
      <c r="M363" s="29"/>
      <c r="N363" s="29"/>
      <c r="O363" s="29"/>
      <c r="P363" s="29"/>
      <c r="Q363" s="29"/>
      <c r="R363" s="38"/>
    </row>
    <row r="364" spans="1:18" x14ac:dyDescent="0.25">
      <c r="A364" s="5"/>
      <c r="B364" s="13"/>
      <c r="C364" s="13"/>
      <c r="D364" s="13"/>
      <c r="E364" s="13"/>
      <c r="F364" s="9"/>
      <c r="G364" s="32"/>
      <c r="H364" s="32"/>
      <c r="I364" s="32"/>
      <c r="J364" s="32"/>
      <c r="K364" s="29"/>
      <c r="L364" s="29"/>
      <c r="M364" s="29"/>
      <c r="N364" s="29"/>
      <c r="O364" s="29"/>
      <c r="P364" s="29"/>
      <c r="Q364" s="29"/>
      <c r="R364" s="38"/>
    </row>
    <row r="365" spans="1:18" x14ac:dyDescent="0.25">
      <c r="A365" s="5"/>
      <c r="B365" s="13"/>
      <c r="C365" s="13"/>
      <c r="D365" s="13"/>
      <c r="E365" s="13"/>
      <c r="F365" s="9"/>
      <c r="G365" s="32"/>
      <c r="H365" s="32"/>
      <c r="I365" s="32"/>
      <c r="J365" s="32"/>
      <c r="K365" s="29"/>
      <c r="L365" s="29"/>
      <c r="M365" s="29"/>
      <c r="N365" s="29"/>
      <c r="O365" s="29"/>
      <c r="P365" s="29"/>
      <c r="Q365" s="29"/>
      <c r="R365" s="38"/>
    </row>
    <row r="366" spans="1:18" x14ac:dyDescent="0.25">
      <c r="A366" s="5"/>
      <c r="B366" s="13"/>
      <c r="C366" s="13"/>
      <c r="D366" s="13"/>
      <c r="E366" s="13"/>
      <c r="F366" s="9"/>
      <c r="G366" s="32"/>
      <c r="H366" s="32"/>
      <c r="I366" s="32"/>
      <c r="J366" s="32"/>
      <c r="K366" s="29"/>
      <c r="L366" s="29"/>
      <c r="M366" s="29"/>
      <c r="N366" s="29"/>
      <c r="O366" s="29"/>
      <c r="P366" s="29"/>
      <c r="Q366" s="29"/>
      <c r="R366" s="38"/>
    </row>
    <row r="367" spans="1:18" x14ac:dyDescent="0.25">
      <c r="A367" s="5"/>
      <c r="B367" s="13"/>
      <c r="C367" s="13"/>
      <c r="D367" s="13"/>
      <c r="E367" s="13"/>
      <c r="F367" s="9"/>
      <c r="G367" s="32"/>
      <c r="H367" s="32"/>
      <c r="I367" s="32"/>
      <c r="J367" s="32"/>
      <c r="K367" s="29"/>
      <c r="L367" s="29"/>
      <c r="M367" s="29"/>
      <c r="N367" s="29"/>
      <c r="O367" s="29"/>
      <c r="P367" s="29"/>
      <c r="Q367" s="29"/>
      <c r="R367" s="38"/>
    </row>
    <row r="368" spans="1:18" x14ac:dyDescent="0.25">
      <c r="A368" s="5"/>
      <c r="B368" s="13"/>
      <c r="C368" s="13"/>
      <c r="D368" s="13"/>
      <c r="E368" s="13"/>
      <c r="F368" s="9"/>
      <c r="G368" s="32"/>
      <c r="H368" s="32"/>
      <c r="I368" s="32"/>
      <c r="J368" s="32"/>
      <c r="K368" s="29"/>
      <c r="L368" s="29"/>
      <c r="M368" s="29"/>
      <c r="N368" s="29"/>
      <c r="O368" s="29"/>
      <c r="P368" s="29"/>
      <c r="Q368" s="29"/>
      <c r="R368" s="38"/>
    </row>
    <row r="369" spans="1:18" x14ac:dyDescent="0.25">
      <c r="A369" s="5"/>
      <c r="B369" s="13"/>
      <c r="C369" s="13"/>
      <c r="D369" s="13"/>
      <c r="E369" s="13"/>
      <c r="F369" s="9"/>
      <c r="G369" s="32"/>
      <c r="H369" s="32"/>
      <c r="I369" s="32"/>
      <c r="J369" s="32"/>
      <c r="K369" s="29"/>
      <c r="L369" s="29"/>
      <c r="M369" s="29"/>
      <c r="N369" s="29"/>
      <c r="O369" s="29"/>
      <c r="P369" s="29"/>
      <c r="Q369" s="29"/>
      <c r="R369" s="38"/>
    </row>
    <row r="370" spans="1:18" x14ac:dyDescent="0.25">
      <c r="A370" s="5"/>
      <c r="B370" s="13"/>
      <c r="C370" s="13"/>
      <c r="D370" s="13"/>
      <c r="E370" s="13"/>
      <c r="F370" s="9"/>
      <c r="G370" s="32"/>
      <c r="H370" s="32"/>
      <c r="I370" s="32"/>
      <c r="J370" s="32"/>
      <c r="K370" s="29"/>
      <c r="L370" s="29"/>
      <c r="M370" s="29"/>
      <c r="N370" s="29"/>
      <c r="O370" s="29"/>
      <c r="P370" s="29"/>
      <c r="Q370" s="29"/>
      <c r="R370" s="38"/>
    </row>
    <row r="371" spans="1:18" x14ac:dyDescent="0.25">
      <c r="A371" s="5"/>
      <c r="B371" s="13"/>
      <c r="C371" s="13"/>
      <c r="D371" s="13"/>
      <c r="E371" s="13"/>
      <c r="F371" s="9"/>
      <c r="G371" s="32"/>
      <c r="H371" s="32"/>
      <c r="I371" s="32"/>
      <c r="J371" s="32"/>
      <c r="K371" s="29"/>
      <c r="L371" s="29"/>
      <c r="M371" s="29"/>
      <c r="N371" s="29"/>
      <c r="O371" s="29"/>
      <c r="P371" s="29"/>
      <c r="Q371" s="29"/>
      <c r="R371" s="38"/>
    </row>
    <row r="372" spans="1:18" x14ac:dyDescent="0.25">
      <c r="A372" s="5"/>
      <c r="B372" s="13"/>
      <c r="C372" s="13"/>
      <c r="D372" s="13"/>
      <c r="E372" s="13"/>
      <c r="F372" s="9"/>
      <c r="G372" s="32"/>
      <c r="H372" s="32"/>
      <c r="I372" s="32"/>
      <c r="J372" s="32"/>
      <c r="K372" s="29"/>
      <c r="L372" s="29"/>
      <c r="M372" s="29"/>
      <c r="N372" s="29"/>
      <c r="O372" s="29"/>
      <c r="P372" s="29"/>
      <c r="Q372" s="29"/>
      <c r="R372" s="38"/>
    </row>
    <row r="373" spans="1:18" x14ac:dyDescent="0.25">
      <c r="A373" s="5"/>
      <c r="B373" s="13"/>
      <c r="C373" s="13"/>
      <c r="D373" s="13"/>
      <c r="E373" s="13"/>
      <c r="F373" s="9"/>
      <c r="G373" s="32"/>
      <c r="H373" s="32"/>
      <c r="I373" s="32"/>
      <c r="J373" s="32"/>
      <c r="K373" s="29"/>
      <c r="L373" s="29"/>
      <c r="M373" s="29"/>
      <c r="N373" s="29"/>
      <c r="O373" s="29"/>
      <c r="P373" s="29"/>
      <c r="Q373" s="29"/>
      <c r="R373" s="38"/>
    </row>
    <row r="374" spans="1:18" x14ac:dyDescent="0.25">
      <c r="A374" s="5"/>
      <c r="B374" s="13"/>
      <c r="C374" s="13"/>
      <c r="D374" s="13"/>
      <c r="E374" s="13"/>
      <c r="F374" s="9"/>
      <c r="G374" s="32"/>
      <c r="H374" s="32"/>
      <c r="I374" s="32"/>
      <c r="J374" s="32"/>
      <c r="K374" s="29"/>
      <c r="L374" s="29"/>
      <c r="M374" s="29"/>
      <c r="N374" s="29"/>
      <c r="O374" s="29"/>
      <c r="P374" s="29"/>
      <c r="Q374" s="29"/>
      <c r="R374" s="38"/>
    </row>
    <row r="375" spans="1:18" x14ac:dyDescent="0.25">
      <c r="A375" s="5"/>
      <c r="B375" s="13"/>
      <c r="C375" s="13"/>
      <c r="D375" s="13"/>
      <c r="E375" s="13"/>
      <c r="F375" s="9"/>
      <c r="G375" s="32"/>
      <c r="H375" s="32"/>
      <c r="I375" s="32"/>
      <c r="J375" s="32"/>
      <c r="K375" s="29"/>
      <c r="L375" s="29"/>
      <c r="M375" s="29"/>
      <c r="N375" s="29"/>
      <c r="O375" s="29"/>
      <c r="P375" s="29"/>
      <c r="Q375" s="29"/>
      <c r="R375" s="38"/>
    </row>
    <row r="376" spans="1:18" x14ac:dyDescent="0.25">
      <c r="A376" s="5"/>
      <c r="B376" s="13"/>
      <c r="C376" s="13"/>
      <c r="D376" s="13"/>
      <c r="E376" s="13"/>
      <c r="F376" s="9"/>
      <c r="G376" s="32"/>
      <c r="H376" s="32"/>
      <c r="I376" s="32"/>
      <c r="J376" s="32"/>
      <c r="K376" s="29"/>
      <c r="L376" s="29"/>
      <c r="M376" s="29"/>
      <c r="N376" s="29"/>
      <c r="O376" s="29"/>
      <c r="P376" s="29"/>
      <c r="Q376" s="29"/>
      <c r="R376" s="38"/>
    </row>
    <row r="377" spans="1:18" x14ac:dyDescent="0.25">
      <c r="A377" s="5"/>
      <c r="B377" s="13"/>
      <c r="C377" s="13"/>
      <c r="D377" s="13"/>
      <c r="E377" s="13"/>
      <c r="F377" s="9"/>
      <c r="G377" s="32"/>
      <c r="H377" s="32"/>
      <c r="I377" s="32"/>
      <c r="J377" s="32"/>
      <c r="K377" s="29"/>
      <c r="L377" s="29"/>
      <c r="M377" s="29"/>
      <c r="N377" s="29"/>
      <c r="O377" s="29"/>
      <c r="P377" s="29"/>
      <c r="Q377" s="29"/>
      <c r="R377" s="38"/>
    </row>
    <row r="378" spans="1:18" x14ac:dyDescent="0.25">
      <c r="A378" s="5"/>
      <c r="B378" s="13"/>
      <c r="C378" s="13"/>
      <c r="D378" s="13"/>
      <c r="E378" s="13"/>
      <c r="F378" s="9"/>
      <c r="G378" s="32"/>
      <c r="H378" s="32"/>
      <c r="I378" s="32"/>
      <c r="J378" s="32"/>
      <c r="K378" s="29"/>
      <c r="L378" s="29"/>
      <c r="M378" s="29"/>
      <c r="N378" s="29"/>
      <c r="O378" s="29"/>
      <c r="P378" s="29"/>
      <c r="Q378" s="29"/>
      <c r="R378" s="38"/>
    </row>
    <row r="379" spans="1:18" x14ac:dyDescent="0.25">
      <c r="A379" s="5"/>
      <c r="B379" s="13"/>
      <c r="C379" s="13"/>
      <c r="D379" s="13"/>
      <c r="E379" s="13"/>
      <c r="F379" s="9"/>
      <c r="G379" s="32"/>
      <c r="H379" s="32"/>
      <c r="I379" s="32"/>
      <c r="J379" s="32"/>
      <c r="K379" s="29"/>
      <c r="L379" s="29"/>
      <c r="M379" s="29"/>
      <c r="N379" s="29"/>
      <c r="O379" s="29"/>
      <c r="P379" s="29"/>
      <c r="Q379" s="29"/>
      <c r="R379" s="38"/>
    </row>
    <row r="380" spans="1:18" x14ac:dyDescent="0.25">
      <c r="A380" s="5"/>
      <c r="B380" s="13"/>
      <c r="C380" s="13"/>
      <c r="D380" s="13"/>
      <c r="E380" s="13"/>
      <c r="F380" s="9"/>
      <c r="G380" s="32"/>
      <c r="H380" s="32"/>
      <c r="I380" s="32"/>
      <c r="J380" s="32"/>
      <c r="K380" s="29"/>
      <c r="L380" s="29"/>
      <c r="M380" s="29"/>
      <c r="N380" s="29"/>
      <c r="O380" s="29"/>
      <c r="P380" s="29"/>
      <c r="Q380" s="29"/>
      <c r="R380" s="38"/>
    </row>
    <row r="381" spans="1:18" x14ac:dyDescent="0.25">
      <c r="A381" s="5"/>
      <c r="B381" s="13"/>
      <c r="C381" s="13"/>
      <c r="D381" s="13"/>
      <c r="E381" s="13"/>
      <c r="F381" s="9"/>
      <c r="G381" s="32"/>
      <c r="H381" s="32"/>
      <c r="I381" s="32"/>
      <c r="J381" s="32"/>
      <c r="K381" s="29"/>
      <c r="L381" s="29"/>
      <c r="M381" s="29"/>
      <c r="N381" s="29"/>
      <c r="O381" s="29"/>
      <c r="P381" s="29"/>
      <c r="Q381" s="29"/>
      <c r="R381" s="38"/>
    </row>
    <row r="382" spans="1:18" x14ac:dyDescent="0.25">
      <c r="A382" s="5"/>
      <c r="B382" s="13"/>
      <c r="C382" s="13"/>
      <c r="D382" s="13"/>
      <c r="E382" s="13"/>
      <c r="F382" s="9"/>
      <c r="G382" s="32"/>
      <c r="H382" s="32"/>
      <c r="I382" s="32"/>
      <c r="J382" s="32"/>
      <c r="K382" s="29"/>
      <c r="L382" s="29"/>
      <c r="M382" s="29"/>
      <c r="N382" s="29"/>
      <c r="O382" s="29"/>
      <c r="P382" s="29"/>
      <c r="Q382" s="29"/>
      <c r="R382" s="38"/>
    </row>
    <row r="383" spans="1:18" x14ac:dyDescent="0.25">
      <c r="A383" s="5"/>
      <c r="B383" s="13"/>
      <c r="C383" s="13"/>
      <c r="D383" s="13"/>
      <c r="E383" s="13"/>
      <c r="F383" s="9"/>
      <c r="G383" s="32"/>
      <c r="H383" s="32"/>
      <c r="I383" s="32"/>
      <c r="J383" s="32"/>
      <c r="K383" s="29"/>
      <c r="L383" s="29"/>
      <c r="M383" s="29"/>
      <c r="N383" s="29"/>
      <c r="O383" s="29"/>
      <c r="P383" s="29"/>
      <c r="Q383" s="29"/>
      <c r="R383" s="38"/>
    </row>
    <row r="384" spans="1:18" x14ac:dyDescent="0.25">
      <c r="A384" s="5"/>
      <c r="B384" s="13"/>
      <c r="C384" s="13"/>
      <c r="D384" s="13"/>
      <c r="E384" s="13"/>
      <c r="F384" s="9"/>
      <c r="G384" s="32"/>
      <c r="H384" s="32"/>
      <c r="I384" s="32"/>
      <c r="J384" s="32"/>
      <c r="K384" s="29"/>
      <c r="L384" s="29"/>
      <c r="M384" s="29"/>
      <c r="N384" s="29"/>
      <c r="O384" s="29"/>
      <c r="P384" s="29"/>
      <c r="Q384" s="29"/>
      <c r="R384" s="38"/>
    </row>
    <row r="385" spans="1:18" x14ac:dyDescent="0.25">
      <c r="A385" s="5"/>
      <c r="B385" s="13"/>
      <c r="C385" s="13"/>
      <c r="D385" s="13"/>
      <c r="E385" s="13"/>
      <c r="F385" s="9"/>
      <c r="G385" s="32"/>
      <c r="H385" s="32"/>
      <c r="I385" s="32"/>
      <c r="J385" s="32"/>
      <c r="K385" s="29"/>
      <c r="L385" s="29"/>
      <c r="M385" s="29"/>
      <c r="N385" s="29"/>
      <c r="O385" s="29"/>
      <c r="P385" s="29"/>
      <c r="Q385" s="29"/>
      <c r="R385" s="38"/>
    </row>
    <row r="386" spans="1:18" x14ac:dyDescent="0.25">
      <c r="A386" s="5"/>
      <c r="B386" s="13"/>
      <c r="C386" s="13"/>
      <c r="D386" s="13"/>
      <c r="E386" s="13"/>
      <c r="F386" s="9"/>
      <c r="G386" s="32"/>
      <c r="H386" s="32"/>
      <c r="I386" s="32"/>
      <c r="J386" s="32"/>
      <c r="K386" s="29"/>
      <c r="L386" s="29"/>
      <c r="M386" s="29"/>
      <c r="N386" s="29"/>
      <c r="O386" s="29"/>
      <c r="P386" s="29"/>
      <c r="Q386" s="29"/>
      <c r="R386" s="38"/>
    </row>
    <row r="387" spans="1:18" x14ac:dyDescent="0.25">
      <c r="A387" s="5"/>
      <c r="B387" s="13"/>
      <c r="C387" s="13"/>
      <c r="D387" s="13"/>
      <c r="E387" s="13"/>
      <c r="F387" s="9"/>
      <c r="G387" s="32"/>
      <c r="H387" s="32"/>
      <c r="I387" s="32"/>
      <c r="J387" s="32"/>
      <c r="K387" s="29"/>
      <c r="L387" s="29"/>
      <c r="M387" s="29"/>
      <c r="N387" s="29"/>
      <c r="O387" s="29"/>
      <c r="P387" s="29"/>
      <c r="Q387" s="29"/>
      <c r="R387" s="38"/>
    </row>
    <row r="388" spans="1:18" x14ac:dyDescent="0.25">
      <c r="A388" s="5"/>
      <c r="B388" s="13"/>
      <c r="C388" s="13"/>
      <c r="D388" s="13"/>
      <c r="E388" s="13"/>
      <c r="F388" s="9"/>
      <c r="G388" s="32"/>
      <c r="H388" s="32"/>
      <c r="I388" s="32"/>
      <c r="J388" s="32"/>
      <c r="K388" s="29"/>
      <c r="L388" s="29"/>
      <c r="M388" s="29"/>
      <c r="N388" s="29"/>
      <c r="O388" s="29"/>
      <c r="P388" s="29"/>
      <c r="Q388" s="29"/>
      <c r="R388" s="38"/>
    </row>
    <row r="389" spans="1:18" x14ac:dyDescent="0.25">
      <c r="A389" s="5"/>
      <c r="B389" s="13"/>
      <c r="C389" s="13"/>
      <c r="D389" s="13"/>
      <c r="E389" s="13"/>
      <c r="F389" s="9"/>
      <c r="G389" s="32"/>
      <c r="H389" s="32"/>
      <c r="I389" s="32"/>
      <c r="J389" s="32"/>
      <c r="K389" s="29"/>
      <c r="L389" s="29"/>
      <c r="M389" s="29"/>
      <c r="N389" s="29"/>
      <c r="O389" s="29"/>
      <c r="P389" s="29"/>
      <c r="Q389" s="29"/>
      <c r="R389" s="38"/>
    </row>
    <row r="390" spans="1:18" x14ac:dyDescent="0.25">
      <c r="A390" s="5"/>
      <c r="B390" s="13"/>
      <c r="C390" s="13"/>
      <c r="D390" s="13"/>
      <c r="E390" s="13"/>
      <c r="F390" s="9"/>
      <c r="G390" s="32"/>
      <c r="H390" s="32"/>
      <c r="I390" s="32"/>
      <c r="J390" s="32"/>
      <c r="K390" s="29"/>
      <c r="L390" s="29"/>
      <c r="M390" s="29"/>
      <c r="N390" s="29"/>
      <c r="O390" s="29"/>
      <c r="P390" s="29"/>
      <c r="Q390" s="29"/>
      <c r="R390" s="38"/>
    </row>
    <row r="391" spans="1:18" x14ac:dyDescent="0.25">
      <c r="A391" s="5"/>
      <c r="B391" s="13"/>
      <c r="C391" s="13"/>
      <c r="D391" s="13"/>
      <c r="E391" s="13"/>
      <c r="F391" s="9"/>
      <c r="G391" s="32"/>
      <c r="H391" s="32"/>
      <c r="I391" s="32"/>
      <c r="J391" s="32"/>
      <c r="K391" s="29"/>
      <c r="L391" s="29"/>
      <c r="M391" s="29"/>
      <c r="N391" s="29"/>
      <c r="O391" s="29"/>
      <c r="P391" s="29"/>
      <c r="Q391" s="29"/>
      <c r="R391" s="38"/>
    </row>
    <row r="392" spans="1:18" x14ac:dyDescent="0.25">
      <c r="A392" s="5"/>
      <c r="B392" s="13"/>
      <c r="C392" s="13"/>
      <c r="D392" s="13"/>
      <c r="E392" s="13"/>
      <c r="F392" s="9"/>
      <c r="G392" s="32"/>
      <c r="H392" s="32"/>
      <c r="I392" s="32"/>
      <c r="J392" s="32"/>
      <c r="K392" s="29"/>
      <c r="L392" s="29"/>
      <c r="M392" s="29"/>
      <c r="N392" s="29"/>
      <c r="O392" s="29"/>
      <c r="P392" s="29"/>
      <c r="Q392" s="29"/>
      <c r="R392" s="38"/>
    </row>
    <row r="393" spans="1:18" x14ac:dyDescent="0.25">
      <c r="A393" s="5"/>
      <c r="B393" s="13"/>
      <c r="C393" s="13"/>
      <c r="D393" s="13"/>
      <c r="E393" s="13"/>
      <c r="F393" s="9"/>
      <c r="G393" s="32"/>
      <c r="H393" s="32"/>
      <c r="I393" s="32"/>
      <c r="J393" s="32"/>
      <c r="K393" s="29"/>
      <c r="L393" s="29"/>
      <c r="M393" s="29"/>
      <c r="N393" s="29"/>
      <c r="O393" s="29"/>
      <c r="P393" s="29"/>
      <c r="Q393" s="29"/>
      <c r="R393" s="38"/>
    </row>
    <row r="394" spans="1:18" x14ac:dyDescent="0.25">
      <c r="A394" s="5"/>
      <c r="B394" s="13"/>
      <c r="C394" s="13"/>
      <c r="D394" s="13"/>
      <c r="E394" s="13"/>
      <c r="F394" s="9"/>
      <c r="G394" s="32"/>
      <c r="H394" s="32"/>
      <c r="I394" s="32"/>
      <c r="J394" s="32"/>
      <c r="K394" s="29"/>
      <c r="L394" s="29"/>
      <c r="M394" s="29"/>
      <c r="N394" s="29"/>
      <c r="O394" s="29"/>
      <c r="P394" s="29"/>
      <c r="Q394" s="29"/>
      <c r="R394" s="38"/>
    </row>
    <row r="395" spans="1:18" x14ac:dyDescent="0.25">
      <c r="A395" s="5"/>
      <c r="B395" s="13"/>
      <c r="C395" s="13"/>
      <c r="D395" s="13"/>
      <c r="E395" s="13"/>
      <c r="F395" s="9"/>
      <c r="G395" s="32"/>
      <c r="H395" s="32"/>
      <c r="I395" s="32"/>
      <c r="J395" s="32"/>
      <c r="K395" s="29"/>
      <c r="L395" s="29"/>
      <c r="M395" s="29"/>
      <c r="N395" s="29"/>
      <c r="O395" s="29"/>
      <c r="P395" s="29"/>
      <c r="Q395" s="29"/>
      <c r="R395" s="38"/>
    </row>
    <row r="396" spans="1:18" x14ac:dyDescent="0.25">
      <c r="A396" s="5"/>
      <c r="B396" s="13"/>
      <c r="C396" s="13"/>
      <c r="D396" s="13"/>
      <c r="E396" s="13"/>
      <c r="F396" s="9"/>
      <c r="G396" s="32"/>
      <c r="H396" s="32"/>
      <c r="I396" s="32"/>
      <c r="J396" s="32"/>
      <c r="K396" s="29"/>
      <c r="L396" s="29"/>
      <c r="M396" s="29"/>
      <c r="N396" s="29"/>
      <c r="O396" s="29"/>
      <c r="P396" s="29"/>
      <c r="Q396" s="29"/>
      <c r="R396" s="38"/>
    </row>
    <row r="397" spans="1:18" x14ac:dyDescent="0.25">
      <c r="A397" s="5"/>
      <c r="B397" s="13"/>
      <c r="C397" s="13"/>
      <c r="D397" s="13"/>
      <c r="E397" s="13"/>
      <c r="F397" s="9"/>
      <c r="G397" s="32"/>
      <c r="H397" s="32"/>
      <c r="I397" s="32"/>
      <c r="J397" s="32"/>
      <c r="K397" s="29"/>
      <c r="L397" s="29"/>
      <c r="M397" s="29"/>
      <c r="N397" s="29"/>
      <c r="O397" s="29"/>
      <c r="P397" s="29"/>
      <c r="Q397" s="29"/>
      <c r="R397" s="38"/>
    </row>
    <row r="398" spans="1:18" x14ac:dyDescent="0.25">
      <c r="A398" s="5"/>
      <c r="B398" s="13"/>
      <c r="C398" s="13"/>
      <c r="D398" s="13"/>
      <c r="E398" s="13"/>
      <c r="F398" s="9"/>
      <c r="G398" s="32"/>
      <c r="H398" s="32"/>
      <c r="I398" s="32"/>
      <c r="J398" s="32"/>
      <c r="K398" s="29"/>
      <c r="L398" s="29"/>
      <c r="M398" s="29"/>
      <c r="N398" s="29"/>
      <c r="O398" s="29"/>
      <c r="P398" s="29"/>
      <c r="Q398" s="29"/>
      <c r="R398" s="38"/>
    </row>
    <row r="399" spans="1:18" x14ac:dyDescent="0.25">
      <c r="A399" s="5"/>
      <c r="B399" s="13"/>
      <c r="C399" s="13"/>
      <c r="D399" s="13"/>
      <c r="E399" s="13"/>
      <c r="F399" s="9"/>
      <c r="G399" s="32"/>
      <c r="H399" s="32"/>
      <c r="I399" s="32"/>
      <c r="J399" s="32"/>
      <c r="K399" s="29"/>
      <c r="L399" s="29"/>
      <c r="M399" s="29"/>
      <c r="N399" s="29"/>
      <c r="O399" s="29"/>
      <c r="P399" s="29"/>
      <c r="Q399" s="29"/>
      <c r="R399" s="38"/>
    </row>
    <row r="400" spans="1:18" x14ac:dyDescent="0.25">
      <c r="A400" s="5"/>
      <c r="B400" s="13"/>
      <c r="C400" s="13"/>
      <c r="D400" s="13"/>
      <c r="E400" s="13"/>
      <c r="F400" s="9"/>
      <c r="G400" s="32"/>
      <c r="H400" s="32"/>
      <c r="I400" s="32"/>
      <c r="J400" s="32"/>
      <c r="K400" s="29"/>
      <c r="L400" s="29"/>
      <c r="M400" s="29"/>
      <c r="N400" s="29"/>
      <c r="O400" s="29"/>
      <c r="P400" s="29"/>
      <c r="Q400" s="29"/>
      <c r="R400" s="38"/>
    </row>
    <row r="401" spans="1:18" x14ac:dyDescent="0.25">
      <c r="A401" s="5"/>
      <c r="B401" s="13"/>
      <c r="C401" s="13"/>
      <c r="D401" s="13"/>
      <c r="E401" s="13"/>
      <c r="F401" s="9"/>
      <c r="G401" s="32"/>
      <c r="H401" s="32"/>
      <c r="I401" s="32"/>
      <c r="J401" s="32"/>
      <c r="K401" s="29"/>
      <c r="L401" s="29"/>
      <c r="M401" s="29"/>
      <c r="N401" s="29"/>
      <c r="O401" s="29"/>
      <c r="P401" s="29"/>
      <c r="Q401" s="29"/>
      <c r="R401" s="38"/>
    </row>
    <row r="402" spans="1:18" x14ac:dyDescent="0.25">
      <c r="A402" s="5"/>
      <c r="B402" s="13"/>
      <c r="C402" s="13"/>
      <c r="D402" s="13"/>
      <c r="E402" s="13"/>
      <c r="F402" s="9"/>
      <c r="G402" s="32"/>
      <c r="H402" s="32"/>
      <c r="I402" s="32"/>
      <c r="J402" s="32"/>
      <c r="K402" s="29"/>
      <c r="L402" s="29"/>
      <c r="M402" s="29"/>
      <c r="N402" s="29"/>
      <c r="O402" s="29"/>
      <c r="P402" s="29"/>
      <c r="Q402" s="29"/>
      <c r="R402" s="38"/>
    </row>
    <row r="403" spans="1:18" x14ac:dyDescent="0.25">
      <c r="A403" s="5"/>
      <c r="B403" s="13"/>
      <c r="C403" s="13"/>
      <c r="D403" s="13"/>
      <c r="E403" s="13"/>
      <c r="F403" s="9"/>
      <c r="G403" s="32"/>
      <c r="H403" s="32"/>
      <c r="I403" s="32"/>
      <c r="J403" s="32"/>
      <c r="K403" s="29"/>
      <c r="L403" s="29"/>
      <c r="M403" s="29"/>
      <c r="N403" s="29"/>
      <c r="O403" s="29"/>
      <c r="P403" s="29"/>
      <c r="Q403" s="29"/>
      <c r="R403" s="38"/>
    </row>
    <row r="404" spans="1:18" x14ac:dyDescent="0.25">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zoomScale="85" zoomScaleNormal="85" workbookViewId="0">
      <pane xSplit="6" ySplit="1" topLeftCell="G101" activePane="bottomRight" state="frozen"/>
      <selection activeCell="G52" sqref="G52"/>
      <selection pane="topRight" activeCell="G52" sqref="G52"/>
      <selection pane="bottomLeft" activeCell="G52" sqref="G52"/>
      <selection pane="bottomRight" activeCell="G52" sqref="G52"/>
    </sheetView>
  </sheetViews>
  <sheetFormatPr defaultRowHeight="15" x14ac:dyDescent="0.25"/>
  <cols>
    <col min="1" max="1" width="2.7109375" style="2" customWidth="1"/>
    <col min="2" max="2" width="32.7109375" style="15" bestFit="1" customWidth="1"/>
    <col min="3" max="3" width="30.7109375" style="15" bestFit="1" customWidth="1"/>
    <col min="4" max="4" width="30.7109375" style="15" customWidth="1"/>
    <col min="5" max="5" width="29.5703125" style="15" bestFit="1"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57</v>
      </c>
      <c r="E1" s="24" t="s">
        <v>16</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301</v>
      </c>
      <c r="C3" s="25" t="s">
        <v>304</v>
      </c>
      <c r="D3" s="25" t="s">
        <v>311</v>
      </c>
      <c r="E3" s="25" t="s">
        <v>302</v>
      </c>
      <c r="F3" s="74" t="s">
        <v>310</v>
      </c>
      <c r="G3" s="54">
        <f>H3</f>
        <v>54.57</v>
      </c>
      <c r="H3" s="34">
        <f t="shared" ref="H3:O8" si="0">INDEX($S3:$CA3,MATCH(H$1,$S$1:$CA$1,0))</f>
        <v>54.57</v>
      </c>
      <c r="I3" s="34">
        <f t="shared" si="0"/>
        <v>79.61</v>
      </c>
      <c r="J3" s="34">
        <f t="shared" si="0"/>
        <v>52.32</v>
      </c>
      <c r="K3" s="34">
        <f t="shared" si="0"/>
        <v>67.75</v>
      </c>
      <c r="L3" s="34">
        <f t="shared" si="0"/>
        <v>73.5</v>
      </c>
      <c r="M3" s="34">
        <f t="shared" si="0"/>
        <v>75</v>
      </c>
      <c r="N3" s="34">
        <f t="shared" si="0"/>
        <v>75</v>
      </c>
      <c r="O3" s="34">
        <f t="shared" si="0"/>
        <v>75</v>
      </c>
      <c r="P3" s="54">
        <f>O3</f>
        <v>75</v>
      </c>
      <c r="Q3" s="54">
        <f t="shared" ref="Q3:Q8" si="1">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x14ac:dyDescent="0.25">
      <c r="A4" s="5"/>
      <c r="B4" s="25"/>
      <c r="C4" s="25" t="s">
        <v>305</v>
      </c>
      <c r="D4" s="25" t="s">
        <v>311</v>
      </c>
      <c r="E4" s="25" t="s">
        <v>302</v>
      </c>
      <c r="F4" s="74" t="s">
        <v>310</v>
      </c>
      <c r="G4" s="54">
        <f t="shared" ref="G4:G8" si="2">H4</f>
        <v>56.64</v>
      </c>
      <c r="H4" s="34">
        <f t="shared" si="0"/>
        <v>56.64</v>
      </c>
      <c r="I4" s="34">
        <f t="shared" si="0"/>
        <v>79.48</v>
      </c>
      <c r="J4" s="34">
        <f t="shared" si="0"/>
        <v>48.66</v>
      </c>
      <c r="K4" s="34">
        <f t="shared" si="0"/>
        <v>62.45</v>
      </c>
      <c r="L4" s="34">
        <f t="shared" si="0"/>
        <v>70</v>
      </c>
      <c r="M4" s="34">
        <f t="shared" si="0"/>
        <v>71.5</v>
      </c>
      <c r="N4" s="34">
        <f t="shared" si="0"/>
        <v>71.5</v>
      </c>
      <c r="O4" s="34">
        <f t="shared" si="0"/>
        <v>71.5</v>
      </c>
      <c r="P4" s="54">
        <f t="shared" ref="P4" si="3">O4</f>
        <v>71.5</v>
      </c>
      <c r="Q4" s="54">
        <f t="shared" si="1"/>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x14ac:dyDescent="0.25">
      <c r="A5" s="5"/>
      <c r="B5" s="25"/>
      <c r="C5" s="25" t="s">
        <v>306</v>
      </c>
      <c r="D5" s="25" t="s">
        <v>311</v>
      </c>
      <c r="E5" s="25" t="s">
        <v>302</v>
      </c>
      <c r="F5" s="74" t="s">
        <v>310</v>
      </c>
      <c r="G5" s="54">
        <f t="shared" si="2"/>
        <v>36.24</v>
      </c>
      <c r="H5" s="34">
        <f t="shared" si="0"/>
        <v>36.24</v>
      </c>
      <c r="I5" s="34">
        <f t="shared" si="0"/>
        <v>65.3</v>
      </c>
      <c r="J5" s="34">
        <f t="shared" si="0"/>
        <v>35.270000000000003</v>
      </c>
      <c r="K5" s="34">
        <f t="shared" si="0"/>
        <v>36.15</v>
      </c>
      <c r="L5" s="34">
        <f t="shared" si="0"/>
        <v>55.2</v>
      </c>
      <c r="M5" s="34">
        <f t="shared" si="0"/>
        <v>57.5</v>
      </c>
      <c r="N5" s="34">
        <f t="shared" si="0"/>
        <v>57.5</v>
      </c>
      <c r="O5" s="34">
        <f t="shared" si="0"/>
        <v>57.5</v>
      </c>
      <c r="P5" s="54">
        <f t="shared" ref="P5" si="4">O5</f>
        <v>57.5</v>
      </c>
      <c r="Q5" s="54">
        <f t="shared" si="1"/>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x14ac:dyDescent="0.25">
      <c r="A6" s="5"/>
      <c r="B6" s="25"/>
      <c r="C6" s="25" t="s">
        <v>309</v>
      </c>
      <c r="D6" s="25" t="s">
        <v>311</v>
      </c>
      <c r="E6" s="25" t="s">
        <v>302</v>
      </c>
      <c r="F6" s="74" t="s">
        <v>310</v>
      </c>
      <c r="G6" s="54">
        <f t="shared" si="2"/>
        <v>56.75</v>
      </c>
      <c r="H6" s="34">
        <f t="shared" si="0"/>
        <v>56.75</v>
      </c>
      <c r="I6" s="34">
        <f t="shared" si="0"/>
        <v>75.239999999999995</v>
      </c>
      <c r="J6" s="34">
        <f t="shared" si="0"/>
        <v>45.16</v>
      </c>
      <c r="K6" s="34">
        <f t="shared" si="0"/>
        <v>56.53</v>
      </c>
      <c r="L6" s="34">
        <f t="shared" si="0"/>
        <v>67.099999999999994</v>
      </c>
      <c r="M6" s="34">
        <f t="shared" si="0"/>
        <v>68.900000000000006</v>
      </c>
      <c r="N6" s="34">
        <f t="shared" si="0"/>
        <v>68.900000000000006</v>
      </c>
      <c r="O6" s="34">
        <f t="shared" si="0"/>
        <v>68.900000000000006</v>
      </c>
      <c r="P6" s="54">
        <f t="shared" ref="P6" si="5">O6</f>
        <v>68.900000000000006</v>
      </c>
      <c r="Q6" s="54">
        <f t="shared" si="1"/>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x14ac:dyDescent="0.25">
      <c r="A7" s="5"/>
      <c r="B7" s="25"/>
      <c r="C7" s="25" t="s">
        <v>307</v>
      </c>
      <c r="D7" s="25" t="s">
        <v>14</v>
      </c>
      <c r="E7" s="25" t="s">
        <v>303</v>
      </c>
      <c r="F7" s="74" t="s">
        <v>310</v>
      </c>
      <c r="G7" s="54">
        <f t="shared" si="2"/>
        <v>8.69</v>
      </c>
      <c r="H7" s="34">
        <f t="shared" si="0"/>
        <v>8.69</v>
      </c>
      <c r="I7" s="34">
        <f t="shared" si="0"/>
        <v>4.38</v>
      </c>
      <c r="J7" s="34">
        <f t="shared" si="0"/>
        <v>2.61</v>
      </c>
      <c r="K7" s="34">
        <f t="shared" si="0"/>
        <v>2.87</v>
      </c>
      <c r="L7" s="34">
        <f t="shared" si="0"/>
        <v>3.05</v>
      </c>
      <c r="M7" s="34">
        <f t="shared" si="0"/>
        <v>3.55</v>
      </c>
      <c r="N7" s="34">
        <f t="shared" si="0"/>
        <v>3.95</v>
      </c>
      <c r="O7" s="34">
        <f t="shared" si="0"/>
        <v>4.16</v>
      </c>
      <c r="P7" s="54">
        <f t="shared" ref="P7" si="6">O7</f>
        <v>4.16</v>
      </c>
      <c r="Q7" s="54">
        <f t="shared" si="1"/>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x14ac:dyDescent="0.25">
      <c r="A8" s="5"/>
      <c r="B8" s="25"/>
      <c r="C8" s="25" t="s">
        <v>308</v>
      </c>
      <c r="D8" s="25" t="s">
        <v>14</v>
      </c>
      <c r="E8" s="25" t="s">
        <v>303</v>
      </c>
      <c r="F8" s="74" t="s">
        <v>310</v>
      </c>
      <c r="G8" s="54">
        <f t="shared" si="2"/>
        <v>7.3</v>
      </c>
      <c r="H8" s="34">
        <f t="shared" si="0"/>
        <v>7.3</v>
      </c>
      <c r="I8" s="34">
        <f t="shared" si="0"/>
        <v>3.49</v>
      </c>
      <c r="J8" s="34">
        <f t="shared" si="0"/>
        <v>1.9</v>
      </c>
      <c r="K8" s="34">
        <f t="shared" si="0"/>
        <v>1.62</v>
      </c>
      <c r="L8" s="34">
        <f t="shared" si="0"/>
        <v>2.15</v>
      </c>
      <c r="M8" s="34">
        <f t="shared" si="0"/>
        <v>2.5499999999999998</v>
      </c>
      <c r="N8" s="34">
        <f t="shared" si="0"/>
        <v>3.05</v>
      </c>
      <c r="O8" s="34">
        <f t="shared" si="0"/>
        <v>3.26</v>
      </c>
      <c r="P8" s="54">
        <f t="shared" ref="P8" si="7">O8</f>
        <v>3.26</v>
      </c>
      <c r="Q8" s="54">
        <f t="shared" si="1"/>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x14ac:dyDescent="0.25">
      <c r="A9" s="5"/>
      <c r="B9" s="25"/>
      <c r="C9" s="25"/>
      <c r="D9" s="25"/>
      <c r="E9" s="25"/>
      <c r="F9" s="27"/>
      <c r="G9" s="17"/>
      <c r="H9" s="17"/>
      <c r="I9" s="17"/>
      <c r="J9" s="17"/>
      <c r="R9" s="38"/>
    </row>
    <row r="10" spans="1:79" x14ac:dyDescent="0.25">
      <c r="A10" s="5"/>
      <c r="B10" s="25"/>
      <c r="C10" s="25" t="s">
        <v>304</v>
      </c>
      <c r="D10" s="25" t="s">
        <v>311</v>
      </c>
      <c r="E10" s="25" t="s">
        <v>362</v>
      </c>
      <c r="F10" s="74" t="s">
        <v>86</v>
      </c>
      <c r="G10" s="203">
        <f>G3*Macro!G$72/Conversions!$G$3/Conversions!$G$4/INDEX(Coefficients!$D$18:$BV$18,MATCH(G$1,CoeffYear,0))*1000</f>
        <v>9.9140294521656767</v>
      </c>
      <c r="H10" s="203">
        <f>H3*Macro!H$72/Conversions!$G$3/Conversions!$G$4/INDEX(Coefficients!$D$18:$BV$18,MATCH(H$1,CoeffYear,0))*1000</f>
        <v>9.8015627285205795</v>
      </c>
      <c r="I10" s="203">
        <f>I3*Macro!I$72/Conversions!$G$3/Conversions!$G$4/INDEX(Coefficients!$D$18:$BV$18,MATCH(I$1,CoeffYear,0))*1000</f>
        <v>14.3928581627291</v>
      </c>
      <c r="J10" s="203">
        <f>J3*Macro!J$72/Conversions!$G$3/Conversions!$G$4/INDEX(Coefficients!$D$18:$BV$18,MATCH(J$1,CoeffYear,0))*1000</f>
        <v>9.6634823487596684</v>
      </c>
      <c r="K10" s="203">
        <f>K3*Macro!K$72/Conversions!$G$3/Conversions!$G$4/INDEX(Coefficients!$D$18:$BV$18,MATCH(K$1,CoeffYear,0))*1000</f>
        <v>12.513392277585524</v>
      </c>
      <c r="L10" s="203">
        <f>L3*Macro!L$72/Conversions!$G$3/Conversions!$G$4/INDEX(Coefficients!$D$18:$BV$18,MATCH(L$1,CoeffYear,0))*1000</f>
        <v>13.575414500406438</v>
      </c>
      <c r="M10" s="203">
        <f>M3*Macro!M$72/Conversions!$G$3/Conversions!$G$4/INDEX(Coefficients!$D$18:$BV$18,MATCH(M$1,CoeffYear,0))*1000</f>
        <v>13.852463775924935</v>
      </c>
      <c r="N10" s="203">
        <f>N3*Macro!N$72/Conversions!$G$3/Conversions!$G$4/INDEX(Coefficients!$D$18:$BV$18,MATCH(N$1,CoeffYear,0))*1000</f>
        <v>13.852463775924935</v>
      </c>
      <c r="O10" s="203">
        <f>O3*Macro!O$72/Conversions!$G$3/Conversions!$G$4/INDEX(Coefficients!$D$18:$BV$18,MATCH(O$1,CoeffYear,0))*1000</f>
        <v>13.852463775924935</v>
      </c>
      <c r="P10" s="203">
        <f>P3*Macro!P$72/Conversions!$G$3/Conversions!$G$4/INDEX(Coefficients!$D$18:$BV$18,MATCH(P$1,CoeffYear,0))*1000</f>
        <v>13.852463775924935</v>
      </c>
      <c r="Q10" s="203">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x14ac:dyDescent="0.25">
      <c r="A11" s="5"/>
      <c r="B11" s="25"/>
      <c r="C11" s="25" t="s">
        <v>305</v>
      </c>
      <c r="D11" s="25" t="s">
        <v>311</v>
      </c>
      <c r="E11" s="25" t="s">
        <v>362</v>
      </c>
      <c r="F11" s="74" t="s">
        <v>86</v>
      </c>
      <c r="G11" s="203">
        <f>G4*Macro!G$72/Conversions!$G$3/Conversions!$G$4/INDEX(Coefficients!$D$18:$BV$18,MATCH(G$1,CoeffYear,0))*1000</f>
        <v>10.290097639191201</v>
      </c>
      <c r="H11" s="203">
        <f>H4*Macro!H$72/Conversions!$G$3/Conversions!$G$4/INDEX(Coefficients!$D$18:$BV$18,MATCH(H$1,CoeffYear,0))*1000</f>
        <v>10.173364723170343</v>
      </c>
      <c r="I11" s="203">
        <f>I4*Macro!I$72/Conversions!$G$3/Conversions!$G$4/INDEX(Coefficients!$D$18:$BV$18,MATCH(I$1,CoeffYear,0))*1000</f>
        <v>14.369355191228601</v>
      </c>
      <c r="J11" s="203">
        <f>J4*Macro!J$72/Conversions!$G$3/Conversions!$G$4/INDEX(Coefficients!$D$18:$BV$18,MATCH(J$1,CoeffYear,0))*1000</f>
        <v>8.9874818633533131</v>
      </c>
      <c r="K11" s="203">
        <f>K4*Macro!K$72/Conversions!$G$3/Conversions!$G$4/INDEX(Coefficients!$D$18:$BV$18,MATCH(K$1,CoeffYear,0))*1000</f>
        <v>11.534484837420164</v>
      </c>
      <c r="L11" s="203">
        <f>L4*Macro!L$72/Conversions!$G$3/Conversions!$G$4/INDEX(Coefficients!$D$18:$BV$18,MATCH(L$1,CoeffYear,0))*1000</f>
        <v>12.928966190863273</v>
      </c>
      <c r="M11" s="203">
        <f>M4*Macro!M$72/Conversions!$G$3/Conversions!$G$4/INDEX(Coefficients!$D$18:$BV$18,MATCH(M$1,CoeffYear,0))*1000</f>
        <v>13.206015466381771</v>
      </c>
      <c r="N11" s="203">
        <f>N4*Macro!N$72/Conversions!$G$3/Conversions!$G$4/INDEX(Coefficients!$D$18:$BV$18,MATCH(N$1,CoeffYear,0))*1000</f>
        <v>13.206015466381771</v>
      </c>
      <c r="O11" s="203">
        <f>O4*Macro!O$72/Conversions!$G$3/Conversions!$G$4/INDEX(Coefficients!$D$18:$BV$18,MATCH(O$1,CoeffYear,0))*1000</f>
        <v>13.206015466381771</v>
      </c>
      <c r="P11" s="203">
        <f>P4*Macro!P$72/Conversions!$G$3/Conversions!$G$4/INDEX(Coefficients!$D$18:$BV$18,MATCH(P$1,CoeffYear,0))*1000</f>
        <v>13.206015466381771</v>
      </c>
      <c r="Q11" s="203">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x14ac:dyDescent="0.25">
      <c r="A12" s="5"/>
      <c r="B12" s="25"/>
      <c r="C12" s="25" t="s">
        <v>306</v>
      </c>
      <c r="D12" s="25" t="s">
        <v>311</v>
      </c>
      <c r="E12" s="25" t="s">
        <v>362</v>
      </c>
      <c r="F12" s="74" t="s">
        <v>86</v>
      </c>
      <c r="G12" s="203">
        <f>G5*Macro!G$72/Conversions!$G$3/Conversions!$G$4/INDEX(Coefficients!$D$18:$BV$18,MATCH(G$1,CoeffYear,0))*1000</f>
        <v>6.5839184047367434</v>
      </c>
      <c r="H12" s="203">
        <f>H5*Macro!H$72/Conversions!$G$3/Conversions!$G$4/INDEX(Coefficients!$D$18:$BV$18,MATCH(H$1,CoeffYear,0))*1000</f>
        <v>6.5092291237233955</v>
      </c>
      <c r="I12" s="203">
        <f>I5*Macro!I$72/Conversions!$G$3/Conversions!$G$4/INDEX(Coefficients!$D$18:$BV$18,MATCH(I$1,CoeffYear,0))*1000</f>
        <v>11.805723376789475</v>
      </c>
      <c r="J12" s="203">
        <f>J5*Macro!J$72/Conversions!$G$3/Conversions!$G$4/INDEX(Coefficients!$D$18:$BV$18,MATCH(J$1,CoeffYear,0))*1000</f>
        <v>6.5143544044486541</v>
      </c>
      <c r="K12" s="203">
        <f>K5*Macro!K$72/Conversions!$G$3/Conversions!$G$4/INDEX(Coefficients!$D$18:$BV$18,MATCH(K$1,CoeffYear,0))*1000</f>
        <v>6.6768875399958185</v>
      </c>
      <c r="L12" s="203">
        <f>L5*Macro!L$72/Conversions!$G$3/Conversions!$G$4/INDEX(Coefficients!$D$18:$BV$18,MATCH(L$1,CoeffYear,0))*1000</f>
        <v>10.195413339080753</v>
      </c>
      <c r="M12" s="203">
        <f>M5*Macro!M$72/Conversions!$G$3/Conversions!$G$4/INDEX(Coefficients!$D$18:$BV$18,MATCH(M$1,CoeffYear,0))*1000</f>
        <v>10.620222228209117</v>
      </c>
      <c r="N12" s="203">
        <f>N5*Macro!N$72/Conversions!$G$3/Conversions!$G$4/INDEX(Coefficients!$D$18:$BV$18,MATCH(N$1,CoeffYear,0))*1000</f>
        <v>10.620222228209117</v>
      </c>
      <c r="O12" s="203">
        <f>O5*Macro!O$72/Conversions!$G$3/Conversions!$G$4/INDEX(Coefficients!$D$18:$BV$18,MATCH(O$1,CoeffYear,0))*1000</f>
        <v>10.620222228209117</v>
      </c>
      <c r="P12" s="203">
        <f>P5*Macro!P$72/Conversions!$G$3/Conversions!$G$4/INDEX(Coefficients!$D$18:$BV$18,MATCH(P$1,CoeffYear,0))*1000</f>
        <v>10.620222228209117</v>
      </c>
      <c r="Q12" s="203">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x14ac:dyDescent="0.25">
      <c r="A13" s="5"/>
      <c r="B13" s="25"/>
      <c r="C13" s="25" t="s">
        <v>309</v>
      </c>
      <c r="D13" s="25" t="s">
        <v>311</v>
      </c>
      <c r="E13" s="25" t="s">
        <v>362</v>
      </c>
      <c r="F13" s="74" t="s">
        <v>86</v>
      </c>
      <c r="G13" s="203">
        <f>G6*Macro!G$72/Conversions!$G$3/Conversions!$G$4/INDEX(Coefficients!$D$18:$BV$18,MATCH(G$1,CoeffYear,0))*1000</f>
        <v>10.310081938984828</v>
      </c>
      <c r="H13" s="203">
        <f>H6*Macro!H$72/Conversions!$G$3/Conversions!$G$4/INDEX(Coefficients!$D$18:$BV$18,MATCH(H$1,CoeffYear,0))*1000</f>
        <v>10.193122317088928</v>
      </c>
      <c r="I13" s="203">
        <f>I6*Macro!I$72/Conversions!$G$3/Conversions!$G$4/INDEX(Coefficients!$D$18:$BV$18,MATCH(I$1,CoeffYear,0))*1000</f>
        <v>13.602796736135373</v>
      </c>
      <c r="J13" s="203">
        <f>J6*Macro!J$72/Conversions!$G$3/Conversions!$G$4/INDEX(Coefficients!$D$18:$BV$18,MATCH(J$1,CoeffYear,0))*1000</f>
        <v>8.3410333117352167</v>
      </c>
      <c r="K13" s="203">
        <f>K6*Macro!K$72/Conversions!$G$3/Conversions!$G$4/INDEX(Coefficients!$D$18:$BV$18,MATCH(K$1,CoeffYear,0))*1000</f>
        <v>10.441063696707156</v>
      </c>
      <c r="L13" s="203">
        <f>L6*Macro!L$72/Conversions!$G$3/Conversions!$G$4/INDEX(Coefficients!$D$18:$BV$18,MATCH(L$1,CoeffYear,0))*1000</f>
        <v>12.39333759152751</v>
      </c>
      <c r="M13" s="203">
        <f>M6*Macro!M$72/Conversions!$G$3/Conversions!$G$4/INDEX(Coefficients!$D$18:$BV$18,MATCH(M$1,CoeffYear,0))*1000</f>
        <v>12.72579672214971</v>
      </c>
      <c r="N13" s="203">
        <f>N6*Macro!N$72/Conversions!$G$3/Conversions!$G$4/INDEX(Coefficients!$D$18:$BV$18,MATCH(N$1,CoeffYear,0))*1000</f>
        <v>12.72579672214971</v>
      </c>
      <c r="O13" s="203">
        <f>O6*Macro!O$72/Conversions!$G$3/Conversions!$G$4/INDEX(Coefficients!$D$18:$BV$18,MATCH(O$1,CoeffYear,0))*1000</f>
        <v>12.72579672214971</v>
      </c>
      <c r="P13" s="203">
        <f>P6*Macro!P$72/Conversions!$G$3/Conversions!$G$4/INDEX(Coefficients!$D$18:$BV$18,MATCH(P$1,CoeffYear,0))*1000</f>
        <v>12.72579672214971</v>
      </c>
      <c r="Q13" s="203">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x14ac:dyDescent="0.25">
      <c r="A14" s="5"/>
      <c r="B14" s="25"/>
      <c r="C14" s="25" t="s">
        <v>307</v>
      </c>
      <c r="D14" s="25" t="s">
        <v>14</v>
      </c>
      <c r="E14" s="25" t="s">
        <v>362</v>
      </c>
      <c r="F14" s="74" t="s">
        <v>86</v>
      </c>
      <c r="G14" s="203">
        <f>G7*Macro!G$72/Conversions!$G$5</f>
        <v>10.110878338672682</v>
      </c>
      <c r="H14" s="203">
        <f>H7*Macro!H$72/Conversions!$G$5</f>
        <v>9.9961768619794107</v>
      </c>
      <c r="I14" s="203">
        <f>I7*Macro!I$72/Conversions!$G$5</f>
        <v>5.0713820825355889</v>
      </c>
      <c r="J14" s="203">
        <f>J7*Macro!J$72/Conversions!$G$5</f>
        <v>3.0873035088051854</v>
      </c>
      <c r="K14" s="203">
        <f>K7*Macro!K$72/Conversions!$G$5</f>
        <v>3.3948509847781168</v>
      </c>
      <c r="L14" s="203">
        <f>L7*Macro!L$72/Conversions!$G$5</f>
        <v>3.6077684681439912</v>
      </c>
      <c r="M14" s="203">
        <f>M7*Macro!M$72/Conversions!$G$5</f>
        <v>4.1992059219380877</v>
      </c>
      <c r="N14" s="203">
        <f>N7*Macro!N$72/Conversions!$G$5</f>
        <v>4.6723558849733653</v>
      </c>
      <c r="O14" s="203">
        <f>O7*Macro!O$72/Conversions!$G$5</f>
        <v>4.9207596155668867</v>
      </c>
      <c r="P14" s="203">
        <f>P7*Macro!P$72/Conversions!$G$5</f>
        <v>4.9207596155668867</v>
      </c>
      <c r="Q14" s="203">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x14ac:dyDescent="0.25">
      <c r="A15" s="5"/>
      <c r="B15" s="25"/>
      <c r="C15" s="25" t="s">
        <v>308</v>
      </c>
      <c r="D15" s="25" t="s">
        <v>14</v>
      </c>
      <c r="E15" s="25" t="s">
        <v>362</v>
      </c>
      <c r="F15" s="74" t="s">
        <v>86</v>
      </c>
      <c r="G15" s="203">
        <f>G8*Macro!G$72/Conversions!$G$5</f>
        <v>8.4936032074005272</v>
      </c>
      <c r="H15" s="203">
        <f>H8*Macro!H$72/Conversions!$G$5</f>
        <v>8.3972486872784486</v>
      </c>
      <c r="I15" s="203">
        <f>I8*Macro!I$72/Conversions!$G$5</f>
        <v>4.0408957689610068</v>
      </c>
      <c r="J15" s="203">
        <f>J8*Macro!J$72/Conversions!$G$5</f>
        <v>2.247462324417568</v>
      </c>
      <c r="K15" s="203">
        <f>K8*Macro!K$72/Conversions!$G$5</f>
        <v>1.9162573502928744</v>
      </c>
      <c r="L15" s="203">
        <f>L8*Macro!L$72/Conversions!$G$5</f>
        <v>2.5431810513146162</v>
      </c>
      <c r="M15" s="203">
        <f>M8*Macro!M$72/Conversions!$G$5</f>
        <v>3.0163310143498943</v>
      </c>
      <c r="N15" s="203">
        <f>N8*Macro!N$72/Conversions!$G$5</f>
        <v>3.6077684681439912</v>
      </c>
      <c r="O15" s="203">
        <f>O8*Macro!O$72/Conversions!$G$5</f>
        <v>3.8561721987375113</v>
      </c>
      <c r="P15" s="203">
        <f>P8*Macro!P$72/Conversions!$G$5</f>
        <v>3.8561721987375113</v>
      </c>
      <c r="Q15" s="203">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x14ac:dyDescent="0.25">
      <c r="A16" s="5"/>
      <c r="B16" s="25"/>
      <c r="C16" s="25"/>
      <c r="D16" s="25"/>
      <c r="E16" s="25"/>
      <c r="F16" s="27"/>
      <c r="G16" s="17"/>
      <c r="H16" s="17"/>
      <c r="I16" s="17"/>
      <c r="J16" s="17"/>
      <c r="R16" s="38"/>
    </row>
    <row r="17" spans="1:79" x14ac:dyDescent="0.25">
      <c r="A17" s="5"/>
      <c r="B17" s="25"/>
      <c r="C17" s="25"/>
      <c r="D17" s="25"/>
      <c r="E17" s="25"/>
      <c r="F17" s="27"/>
      <c r="G17" s="17"/>
      <c r="H17" s="17"/>
      <c r="I17" s="17"/>
      <c r="J17" s="17"/>
      <c r="R17" s="38"/>
    </row>
    <row r="18" spans="1:79" x14ac:dyDescent="0.25">
      <c r="A18" s="5"/>
      <c r="B18" s="3" t="s">
        <v>0</v>
      </c>
      <c r="C18" s="25" t="s">
        <v>48</v>
      </c>
      <c r="D18" s="25" t="s">
        <v>2</v>
      </c>
      <c r="E18" s="25" t="s">
        <v>313</v>
      </c>
      <c r="F18" s="74" t="s">
        <v>310</v>
      </c>
      <c r="G18" s="54">
        <f t="shared" ref="G18:G59" si="8">H18</f>
        <v>28.95</v>
      </c>
      <c r="H18" s="34">
        <f t="shared" ref="H18:O33" si="9">INDEX($S18:$CA18,MATCH(H$1,$S$1:$CA$1,0))</f>
        <v>28.95</v>
      </c>
      <c r="I18" s="34">
        <f t="shared" si="9"/>
        <v>31.32</v>
      </c>
      <c r="J18" s="34">
        <f t="shared" si="9"/>
        <v>34.979999999999997</v>
      </c>
      <c r="K18" s="34">
        <f t="shared" si="9"/>
        <v>38.72</v>
      </c>
      <c r="L18" s="34">
        <f t="shared" si="9"/>
        <v>40.39</v>
      </c>
      <c r="M18" s="34">
        <f t="shared" si="9"/>
        <v>42.26</v>
      </c>
      <c r="N18" s="34">
        <f t="shared" si="9"/>
        <v>43.98</v>
      </c>
      <c r="O18" s="34">
        <f t="shared" si="9"/>
        <v>45.58</v>
      </c>
      <c r="P18" s="54">
        <f t="shared" ref="P18:Q18" si="10">O18</f>
        <v>45.58</v>
      </c>
      <c r="Q18" s="54">
        <f t="shared" si="10"/>
        <v>45.58</v>
      </c>
      <c r="R18" s="38"/>
      <c r="X18" s="41">
        <f>INDEX('[1]End - Use Prices'!$C$6:$AL$89,MATCH($C18,'[1]End - Use Prices'!$A$6:$A$89,0)+MATCH($D18,'[1]End - Use Prices'!$B$9:$B$11,0)-1,MATCH(X$1,'[1]End - Use Prices'!$C$7:$AL$7,0))</f>
        <v>28.95</v>
      </c>
      <c r="Y18" s="41">
        <f>INDEX('[1]End - Use Prices'!$C$6:$AL$89,MATCH($C18,'[1]End - Use Prices'!$A$6:$A$89,0)+MATCH($D18,'[1]End - Use Prices'!$B$9:$B$11,0)-1,MATCH(Y$1,'[1]End - Use Prices'!$C$7:$AL$7,0))</f>
        <v>32.35</v>
      </c>
      <c r="Z18" s="41">
        <f>INDEX('[1]End - Use Prices'!$C$6:$AL$89,MATCH($C18,'[1]End - Use Prices'!$A$6:$A$89,0)+MATCH($D18,'[1]End - Use Prices'!$B$9:$B$11,0)-1,MATCH(Z$1,'[1]End - Use Prices'!$C$7:$AL$7,0))</f>
        <v>31.56</v>
      </c>
      <c r="AA18" s="41">
        <f>INDEX('[1]End - Use Prices'!$C$6:$AL$89,MATCH($C18,'[1]End - Use Prices'!$A$6:$A$89,0)+MATCH($D18,'[1]End - Use Prices'!$B$9:$B$11,0)-1,MATCH(AA$1,'[1]End - Use Prices'!$C$7:$AL$7,0))</f>
        <v>30.57</v>
      </c>
      <c r="AB18" s="41">
        <f>INDEX('[1]End - Use Prices'!$C$6:$AL$89,MATCH($C18,'[1]End - Use Prices'!$A$6:$A$89,0)+MATCH($D18,'[1]End - Use Prices'!$B$9:$B$11,0)-1,MATCH(AB$1,'[1]End - Use Prices'!$C$7:$AL$7,0))</f>
        <v>31.64</v>
      </c>
      <c r="AC18" s="41">
        <f>INDEX('[1]End - Use Prices'!$C$6:$AL$89,MATCH($C18,'[1]End - Use Prices'!$A$6:$A$89,0)+MATCH($D18,'[1]End - Use Prices'!$B$9:$B$11,0)-1,MATCH(AC$1,'[1]End - Use Prices'!$C$7:$AL$7,0))</f>
        <v>31.32</v>
      </c>
      <c r="AD18" s="41">
        <f>INDEX('[1]End - Use Prices'!$C$6:$AL$89,MATCH($C18,'[1]End - Use Prices'!$A$6:$A$89,0)+MATCH($D18,'[1]End - Use Prices'!$B$9:$B$11,0)-1,MATCH(AD$1,'[1]End - Use Prices'!$C$7:$AL$7,0))</f>
        <v>32.659999999999997</v>
      </c>
      <c r="AE18" s="41">
        <f>INDEX('[1]End - Use Prices'!$C$6:$AL$89,MATCH($C18,'[1]End - Use Prices'!$A$6:$A$89,0)+MATCH($D18,'[1]End - Use Prices'!$B$9:$B$11,0)-1,MATCH(AE$1,'[1]End - Use Prices'!$C$7:$AL$7,0))</f>
        <v>32.83</v>
      </c>
      <c r="AF18" s="41">
        <f>INDEX('[1]End - Use Prices'!$C$6:$AL$89,MATCH($C18,'[1]End - Use Prices'!$A$6:$A$89,0)+MATCH($D18,'[1]End - Use Prices'!$B$9:$B$11,0)-1,MATCH(AF$1,'[1]End - Use Prices'!$C$7:$AL$7,0))</f>
        <v>32.92</v>
      </c>
      <c r="AG18" s="41">
        <f>INDEX('[1]End - Use Prices'!$C$6:$AL$89,MATCH($C18,'[1]End - Use Prices'!$A$6:$A$89,0)+MATCH($D18,'[1]End - Use Prices'!$B$9:$B$11,0)-1,MATCH(AG$1,'[1]End - Use Prices'!$C$7:$AL$7,0))</f>
        <v>33.6</v>
      </c>
      <c r="AH18" s="41">
        <f>INDEX('[1]End - Use Prices'!$C$6:$AL$89,MATCH($C18,'[1]End - Use Prices'!$A$6:$A$89,0)+MATCH($D18,'[1]End - Use Prices'!$B$9:$B$11,0)-1,MATCH(AH$1,'[1]End - Use Prices'!$C$7:$AL$7,0))</f>
        <v>34.979999999999997</v>
      </c>
      <c r="AI18" s="41">
        <f>INDEX('[1]End - Use Prices'!$C$6:$AL$89,MATCH($C18,'[1]End - Use Prices'!$A$6:$A$89,0)+MATCH($D18,'[1]End - Use Prices'!$B$9:$B$11,0)-1,MATCH(AI$1,'[1]End - Use Prices'!$C$7:$AL$7,0))</f>
        <v>37.61</v>
      </c>
      <c r="AJ18" s="41">
        <f>INDEX('[1]End - Use Prices'!$C$6:$AL$89,MATCH($C18,'[1]End - Use Prices'!$A$6:$A$89,0)+MATCH($D18,'[1]End - Use Prices'!$B$9:$B$11,0)-1,MATCH(AJ$1,'[1]End - Use Prices'!$C$7:$AL$7,0))</f>
        <v>37.65</v>
      </c>
      <c r="AK18" s="41">
        <f>INDEX('[1]End - Use Prices'!$C$6:$AL$89,MATCH($C18,'[1]End - Use Prices'!$A$6:$A$89,0)+MATCH($D18,'[1]End - Use Prices'!$B$9:$B$11,0)-1,MATCH(AK$1,'[1]End - Use Prices'!$C$7:$AL$7,0))</f>
        <v>38.03</v>
      </c>
      <c r="AL18" s="41">
        <f>INDEX('[1]End - Use Prices'!$C$6:$AL$89,MATCH($C18,'[1]End - Use Prices'!$A$6:$A$89,0)+MATCH($D18,'[1]End - Use Prices'!$B$9:$B$11,0)-1,MATCH(AL$1,'[1]End - Use Prices'!$C$7:$AL$7,0))</f>
        <v>38.380000000000003</v>
      </c>
      <c r="AM18" s="41">
        <f>INDEX('[1]End - Use Prices'!$C$6:$AL$89,MATCH($C18,'[1]End - Use Prices'!$A$6:$A$89,0)+MATCH($D18,'[1]End - Use Prices'!$B$9:$B$11,0)-1,MATCH(AM$1,'[1]End - Use Prices'!$C$7:$AL$7,0))</f>
        <v>38.72</v>
      </c>
      <c r="AN18" s="41">
        <f>INDEX('[1]End - Use Prices'!$C$6:$AL$89,MATCH($C18,'[1]End - Use Prices'!$A$6:$A$89,0)+MATCH($D18,'[1]End - Use Prices'!$B$9:$B$11,0)-1,MATCH(AN$1,'[1]End - Use Prices'!$C$7:$AL$7,0))</f>
        <v>39.04</v>
      </c>
      <c r="AO18" s="41">
        <f>INDEX('[1]End - Use Prices'!$C$6:$AL$89,MATCH($C18,'[1]End - Use Prices'!$A$6:$A$89,0)+MATCH($D18,'[1]End - Use Prices'!$B$9:$B$11,0)-1,MATCH(AO$1,'[1]End - Use Prices'!$C$7:$AL$7,0))</f>
        <v>39.36</v>
      </c>
      <c r="AP18" s="41">
        <f>INDEX('[1]End - Use Prices'!$C$6:$AL$89,MATCH($C18,'[1]End - Use Prices'!$A$6:$A$89,0)+MATCH($D18,'[1]End - Use Prices'!$B$9:$B$11,0)-1,MATCH(AP$1,'[1]End - Use Prices'!$C$7:$AL$7,0))</f>
        <v>39.69</v>
      </c>
      <c r="AQ18" s="41">
        <f>INDEX('[1]End - Use Prices'!$C$6:$AL$89,MATCH($C18,'[1]End - Use Prices'!$A$6:$A$89,0)+MATCH($D18,'[1]End - Use Prices'!$B$9:$B$11,0)-1,MATCH(AQ$1,'[1]End - Use Prices'!$C$7:$AL$7,0))</f>
        <v>40.020000000000003</v>
      </c>
      <c r="AR18" s="41">
        <f>INDEX('[1]End - Use Prices'!$C$6:$AL$89,MATCH($C18,'[1]End - Use Prices'!$A$6:$A$89,0)+MATCH($D18,'[1]End - Use Prices'!$B$9:$B$11,0)-1,MATCH(AR$1,'[1]End - Use Prices'!$C$7:$AL$7,0))</f>
        <v>40.39</v>
      </c>
      <c r="AS18" s="41">
        <f>INDEX('[1]End - Use Prices'!$C$6:$AL$89,MATCH($C18,'[1]End - Use Prices'!$A$6:$A$89,0)+MATCH($D18,'[1]End - Use Prices'!$B$9:$B$11,0)-1,MATCH(AS$1,'[1]End - Use Prices'!$C$7:$AL$7,0))</f>
        <v>40.74</v>
      </c>
      <c r="AT18" s="41">
        <f>INDEX('[1]End - Use Prices'!$C$6:$AL$89,MATCH($C18,'[1]End - Use Prices'!$A$6:$A$89,0)+MATCH($D18,'[1]End - Use Prices'!$B$9:$B$11,0)-1,MATCH(AT$1,'[1]End - Use Prices'!$C$7:$AL$7,0))</f>
        <v>41.1</v>
      </c>
      <c r="AU18" s="41">
        <f>INDEX('[1]End - Use Prices'!$C$6:$AL$89,MATCH($C18,'[1]End - Use Prices'!$A$6:$A$89,0)+MATCH($D18,'[1]End - Use Prices'!$B$9:$B$11,0)-1,MATCH(AU$1,'[1]End - Use Prices'!$C$7:$AL$7,0))</f>
        <v>41.49</v>
      </c>
      <c r="AV18" s="41">
        <f>INDEX('[1]End - Use Prices'!$C$6:$AL$89,MATCH($C18,'[1]End - Use Prices'!$A$6:$A$89,0)+MATCH($D18,'[1]End - Use Prices'!$B$9:$B$11,0)-1,MATCH(AV$1,'[1]End - Use Prices'!$C$7:$AL$7,0))</f>
        <v>41.88</v>
      </c>
      <c r="AW18" s="41">
        <f>INDEX('[1]End - Use Prices'!$C$6:$AL$89,MATCH($C18,'[1]End - Use Prices'!$A$6:$A$89,0)+MATCH($D18,'[1]End - Use Prices'!$B$9:$B$11,0)-1,MATCH(AW$1,'[1]End - Use Prices'!$C$7:$AL$7,0))</f>
        <v>42.26</v>
      </c>
      <c r="AX18" s="41">
        <f>INDEX('[1]End - Use Prices'!$C$6:$AL$89,MATCH($C18,'[1]End - Use Prices'!$A$6:$A$89,0)+MATCH($D18,'[1]End - Use Prices'!$B$9:$B$11,0)-1,MATCH(AX$1,'[1]End - Use Prices'!$C$7:$AL$7,0))</f>
        <v>42.62</v>
      </c>
      <c r="AY18" s="41">
        <f>INDEX('[1]End - Use Prices'!$C$6:$AL$89,MATCH($C18,'[1]End - Use Prices'!$A$6:$A$89,0)+MATCH($D18,'[1]End - Use Prices'!$B$9:$B$11,0)-1,MATCH(AY$1,'[1]End - Use Prices'!$C$7:$AL$7,0))</f>
        <v>42.97</v>
      </c>
      <c r="AZ18" s="41">
        <f>INDEX('[1]End - Use Prices'!$C$6:$AL$89,MATCH($C18,'[1]End - Use Prices'!$A$6:$A$89,0)+MATCH($D18,'[1]End - Use Prices'!$B$9:$B$11,0)-1,MATCH(AZ$1,'[1]End - Use Prices'!$C$7:$AL$7,0))</f>
        <v>43.31</v>
      </c>
      <c r="BA18" s="41">
        <f>INDEX('[1]End - Use Prices'!$C$6:$AL$89,MATCH($C18,'[1]End - Use Prices'!$A$6:$A$89,0)+MATCH($D18,'[1]End - Use Prices'!$B$9:$B$11,0)-1,MATCH(BA$1,'[1]End - Use Prices'!$C$7:$AL$7,0))</f>
        <v>43.65</v>
      </c>
      <c r="BB18" s="41">
        <f>INDEX('[1]End - Use Prices'!$C$6:$AL$89,MATCH($C18,'[1]End - Use Prices'!$A$6:$A$89,0)+MATCH($D18,'[1]End - Use Prices'!$B$9:$B$11,0)-1,MATCH(BB$1,'[1]End - Use Prices'!$C$7:$AL$7,0))</f>
        <v>43.98</v>
      </c>
      <c r="BC18" s="41">
        <f>INDEX('[1]End - Use Prices'!$C$6:$AL$89,MATCH($C18,'[1]End - Use Prices'!$A$6:$A$89,0)+MATCH($D18,'[1]End - Use Prices'!$B$9:$B$11,0)-1,MATCH(BC$1,'[1]End - Use Prices'!$C$7:$AL$7,0))</f>
        <v>44.31</v>
      </c>
      <c r="BD18" s="41">
        <f>INDEX('[1]End - Use Prices'!$C$6:$AL$89,MATCH($C18,'[1]End - Use Prices'!$A$6:$A$89,0)+MATCH($D18,'[1]End - Use Prices'!$B$9:$B$11,0)-1,MATCH(BD$1,'[1]End - Use Prices'!$C$7:$AL$7,0))</f>
        <v>44.63</v>
      </c>
      <c r="BE18" s="41">
        <f>INDEX('[1]End - Use Prices'!$C$6:$AL$89,MATCH($C18,'[1]End - Use Prices'!$A$6:$A$89,0)+MATCH($D18,'[1]End - Use Prices'!$B$9:$B$11,0)-1,MATCH(BE$1,'[1]End - Use Prices'!$C$7:$AL$7,0))</f>
        <v>44.95</v>
      </c>
      <c r="BF18" s="41">
        <f>INDEX('[1]End - Use Prices'!$C$6:$AL$89,MATCH($C18,'[1]End - Use Prices'!$A$6:$A$89,0)+MATCH($D18,'[1]End - Use Prices'!$B$9:$B$11,0)-1,MATCH(BF$1,'[1]End - Use Prices'!$C$7:$AL$7,0))</f>
        <v>45.27</v>
      </c>
      <c r="BG18" s="41">
        <f>INDEX('[1]End - Use Prices'!$C$6:$AL$89,MATCH($C18,'[1]End - Use Prices'!$A$6:$A$89,0)+MATCH($D18,'[1]End - Use Prices'!$B$9:$B$11,0)-1,MATCH(BG$1,'[1]End - Use Prices'!$C$7:$AL$7,0))</f>
        <v>45.58</v>
      </c>
      <c r="BR18" s="39"/>
      <c r="BS18" s="39"/>
      <c r="BT18" s="39"/>
      <c r="BU18" s="39"/>
      <c r="BV18" s="39"/>
      <c r="BW18" s="39"/>
      <c r="BX18" s="39"/>
      <c r="BY18" s="39"/>
      <c r="BZ18" s="39"/>
      <c r="CA18" s="39"/>
    </row>
    <row r="19" spans="1:79" x14ac:dyDescent="0.25">
      <c r="A19" s="5"/>
      <c r="B19" s="3"/>
      <c r="C19" s="25" t="s">
        <v>87</v>
      </c>
      <c r="D19" s="25" t="s">
        <v>2</v>
      </c>
      <c r="E19" s="25" t="s">
        <v>313</v>
      </c>
      <c r="F19" s="74" t="s">
        <v>310</v>
      </c>
      <c r="G19" s="54">
        <f t="shared" si="8"/>
        <v>34.03</v>
      </c>
      <c r="H19" s="34">
        <f t="shared" si="9"/>
        <v>34.03</v>
      </c>
      <c r="I19" s="34">
        <f t="shared" si="9"/>
        <v>38.9</v>
      </c>
      <c r="J19" s="34">
        <f t="shared" si="9"/>
        <v>39.4</v>
      </c>
      <c r="K19" s="34">
        <f t="shared" si="9"/>
        <v>45.24</v>
      </c>
      <c r="L19" s="34">
        <f t="shared" si="9"/>
        <v>48</v>
      </c>
      <c r="M19" s="34">
        <f t="shared" si="9"/>
        <v>50.03</v>
      </c>
      <c r="N19" s="34">
        <f t="shared" si="9"/>
        <v>52.14</v>
      </c>
      <c r="O19" s="34">
        <f t="shared" si="9"/>
        <v>55.17</v>
      </c>
      <c r="P19" s="54">
        <f t="shared" ref="P19:Q19" si="11">O19</f>
        <v>55.17</v>
      </c>
      <c r="Q19" s="54">
        <f t="shared" si="11"/>
        <v>55.17</v>
      </c>
      <c r="R19" s="38"/>
      <c r="X19" s="41">
        <f>INDEX('[1]End - Use Prices'!$C$6:$AL$89,MATCH($C19,'[1]End - Use Prices'!$A$6:$A$89,0)+MATCH($D19,'[1]End - Use Prices'!$B$9:$B$11,0)-1,MATCH(X$1,'[1]End - Use Prices'!$C$7:$AL$7,0))</f>
        <v>34.03</v>
      </c>
      <c r="Y19" s="41">
        <f>INDEX('[1]End - Use Prices'!$C$6:$AL$89,MATCH($C19,'[1]End - Use Prices'!$A$6:$A$89,0)+MATCH($D19,'[1]End - Use Prices'!$B$9:$B$11,0)-1,MATCH(Y$1,'[1]End - Use Prices'!$C$7:$AL$7,0))</f>
        <v>39.85</v>
      </c>
      <c r="Z19" s="41">
        <f>INDEX('[1]End - Use Prices'!$C$6:$AL$89,MATCH($C19,'[1]End - Use Prices'!$A$6:$A$89,0)+MATCH($D19,'[1]End - Use Prices'!$B$9:$B$11,0)-1,MATCH(Z$1,'[1]End - Use Prices'!$C$7:$AL$7,0))</f>
        <v>39.83</v>
      </c>
      <c r="AA19" s="41">
        <f>INDEX('[1]End - Use Prices'!$C$6:$AL$89,MATCH($C19,'[1]End - Use Prices'!$A$6:$A$89,0)+MATCH($D19,'[1]End - Use Prices'!$B$9:$B$11,0)-1,MATCH(AA$1,'[1]End - Use Prices'!$C$7:$AL$7,0))</f>
        <v>37.99</v>
      </c>
      <c r="AB19" s="41">
        <f>INDEX('[1]End - Use Prices'!$C$6:$AL$89,MATCH($C19,'[1]End - Use Prices'!$A$6:$A$89,0)+MATCH($D19,'[1]End - Use Prices'!$B$9:$B$11,0)-1,MATCH(AB$1,'[1]End - Use Prices'!$C$7:$AL$7,0))</f>
        <v>41.07</v>
      </c>
      <c r="AC19" s="41">
        <f>INDEX('[1]End - Use Prices'!$C$6:$AL$89,MATCH($C19,'[1]End - Use Prices'!$A$6:$A$89,0)+MATCH($D19,'[1]End - Use Prices'!$B$9:$B$11,0)-1,MATCH(AC$1,'[1]End - Use Prices'!$C$7:$AL$7,0))</f>
        <v>38.9</v>
      </c>
      <c r="AD19" s="41">
        <f>INDEX('[1]End - Use Prices'!$C$6:$AL$89,MATCH($C19,'[1]End - Use Prices'!$A$6:$A$89,0)+MATCH($D19,'[1]End - Use Prices'!$B$9:$B$11,0)-1,MATCH(AD$1,'[1]End - Use Prices'!$C$7:$AL$7,0))</f>
        <v>38.54</v>
      </c>
      <c r="AE19" s="41">
        <f>INDEX('[1]End - Use Prices'!$C$6:$AL$89,MATCH($C19,'[1]End - Use Prices'!$A$6:$A$89,0)+MATCH($D19,'[1]End - Use Prices'!$B$9:$B$11,0)-1,MATCH(AE$1,'[1]End - Use Prices'!$C$7:$AL$7,0))</f>
        <v>40.909999999999997</v>
      </c>
      <c r="AF19" s="41">
        <f>INDEX('[1]End - Use Prices'!$C$6:$AL$89,MATCH($C19,'[1]End - Use Prices'!$A$6:$A$89,0)+MATCH($D19,'[1]End - Use Prices'!$B$9:$B$11,0)-1,MATCH(AF$1,'[1]End - Use Prices'!$C$7:$AL$7,0))</f>
        <v>39.76</v>
      </c>
      <c r="AG19" s="41">
        <f>INDEX('[1]End - Use Prices'!$C$6:$AL$89,MATCH($C19,'[1]End - Use Prices'!$A$6:$A$89,0)+MATCH($D19,'[1]End - Use Prices'!$B$9:$B$11,0)-1,MATCH(AG$1,'[1]End - Use Prices'!$C$7:$AL$7,0))</f>
        <v>38.340000000000003</v>
      </c>
      <c r="AH19" s="41">
        <f>INDEX('[1]End - Use Prices'!$C$6:$AL$89,MATCH($C19,'[1]End - Use Prices'!$A$6:$A$89,0)+MATCH($D19,'[1]End - Use Prices'!$B$9:$B$11,0)-1,MATCH(AH$1,'[1]End - Use Prices'!$C$7:$AL$7,0))</f>
        <v>39.4</v>
      </c>
      <c r="AI19" s="41">
        <f>INDEX('[1]End - Use Prices'!$C$6:$AL$89,MATCH($C19,'[1]End - Use Prices'!$A$6:$A$89,0)+MATCH($D19,'[1]End - Use Prices'!$B$9:$B$11,0)-1,MATCH(AI$1,'[1]End - Use Prices'!$C$7:$AL$7,0))</f>
        <v>40.49</v>
      </c>
      <c r="AJ19" s="41">
        <f>INDEX('[1]End - Use Prices'!$C$6:$AL$89,MATCH($C19,'[1]End - Use Prices'!$A$6:$A$89,0)+MATCH($D19,'[1]End - Use Prices'!$B$9:$B$11,0)-1,MATCH(AJ$1,'[1]End - Use Prices'!$C$7:$AL$7,0))</f>
        <v>42.88</v>
      </c>
      <c r="AK19" s="41">
        <f>INDEX('[1]End - Use Prices'!$C$6:$AL$89,MATCH($C19,'[1]End - Use Prices'!$A$6:$A$89,0)+MATCH($D19,'[1]End - Use Prices'!$B$9:$B$11,0)-1,MATCH(AK$1,'[1]End - Use Prices'!$C$7:$AL$7,0))</f>
        <v>43.74</v>
      </c>
      <c r="AL19" s="41">
        <f>INDEX('[1]End - Use Prices'!$C$6:$AL$89,MATCH($C19,'[1]End - Use Prices'!$A$6:$A$89,0)+MATCH($D19,'[1]End - Use Prices'!$B$9:$B$11,0)-1,MATCH(AL$1,'[1]End - Use Prices'!$C$7:$AL$7,0))</f>
        <v>44.52</v>
      </c>
      <c r="AM19" s="41">
        <f>INDEX('[1]End - Use Prices'!$C$6:$AL$89,MATCH($C19,'[1]End - Use Prices'!$A$6:$A$89,0)+MATCH($D19,'[1]End - Use Prices'!$B$9:$B$11,0)-1,MATCH(AM$1,'[1]End - Use Prices'!$C$7:$AL$7,0))</f>
        <v>45.24</v>
      </c>
      <c r="AN19" s="41">
        <f>INDEX('[1]End - Use Prices'!$C$6:$AL$89,MATCH($C19,'[1]End - Use Prices'!$A$6:$A$89,0)+MATCH($D19,'[1]End - Use Prices'!$B$9:$B$11,0)-1,MATCH(AN$1,'[1]End - Use Prices'!$C$7:$AL$7,0))</f>
        <v>45.89</v>
      </c>
      <c r="AO19" s="41">
        <f>INDEX('[1]End - Use Prices'!$C$6:$AL$89,MATCH($C19,'[1]End - Use Prices'!$A$6:$A$89,0)+MATCH($D19,'[1]End - Use Prices'!$B$9:$B$11,0)-1,MATCH(AO$1,'[1]End - Use Prices'!$C$7:$AL$7,0))</f>
        <v>46.48</v>
      </c>
      <c r="AP19" s="41">
        <f>INDEX('[1]End - Use Prices'!$C$6:$AL$89,MATCH($C19,'[1]End - Use Prices'!$A$6:$A$89,0)+MATCH($D19,'[1]End - Use Prices'!$B$9:$B$11,0)-1,MATCH(AP$1,'[1]End - Use Prices'!$C$7:$AL$7,0))</f>
        <v>47.03</v>
      </c>
      <c r="AQ19" s="41">
        <f>INDEX('[1]End - Use Prices'!$C$6:$AL$89,MATCH($C19,'[1]End - Use Prices'!$A$6:$A$89,0)+MATCH($D19,'[1]End - Use Prices'!$B$9:$B$11,0)-1,MATCH(AQ$1,'[1]End - Use Prices'!$C$7:$AL$7,0))</f>
        <v>47.53</v>
      </c>
      <c r="AR19" s="41">
        <f>INDEX('[1]End - Use Prices'!$C$6:$AL$89,MATCH($C19,'[1]End - Use Prices'!$A$6:$A$89,0)+MATCH($D19,'[1]End - Use Prices'!$B$9:$B$11,0)-1,MATCH(AR$1,'[1]End - Use Prices'!$C$7:$AL$7,0))</f>
        <v>48</v>
      </c>
      <c r="AS19" s="41">
        <f>INDEX('[1]End - Use Prices'!$C$6:$AL$89,MATCH($C19,'[1]End - Use Prices'!$A$6:$A$89,0)+MATCH($D19,'[1]End - Use Prices'!$B$9:$B$11,0)-1,MATCH(AS$1,'[1]End - Use Prices'!$C$7:$AL$7,0))</f>
        <v>48.44</v>
      </c>
      <c r="AT19" s="41">
        <f>INDEX('[1]End - Use Prices'!$C$6:$AL$89,MATCH($C19,'[1]End - Use Prices'!$A$6:$A$89,0)+MATCH($D19,'[1]End - Use Prices'!$B$9:$B$11,0)-1,MATCH(AT$1,'[1]End - Use Prices'!$C$7:$AL$7,0))</f>
        <v>48.85</v>
      </c>
      <c r="AU19" s="41">
        <f>INDEX('[1]End - Use Prices'!$C$6:$AL$89,MATCH($C19,'[1]End - Use Prices'!$A$6:$A$89,0)+MATCH($D19,'[1]End - Use Prices'!$B$9:$B$11,0)-1,MATCH(AU$1,'[1]End - Use Prices'!$C$7:$AL$7,0))</f>
        <v>49.25</v>
      </c>
      <c r="AV19" s="41">
        <f>INDEX('[1]End - Use Prices'!$C$6:$AL$89,MATCH($C19,'[1]End - Use Prices'!$A$6:$A$89,0)+MATCH($D19,'[1]End - Use Prices'!$B$9:$B$11,0)-1,MATCH(AV$1,'[1]End - Use Prices'!$C$7:$AL$7,0))</f>
        <v>49.64</v>
      </c>
      <c r="AW19" s="41">
        <f>INDEX('[1]End - Use Prices'!$C$6:$AL$89,MATCH($C19,'[1]End - Use Prices'!$A$6:$A$89,0)+MATCH($D19,'[1]End - Use Prices'!$B$9:$B$11,0)-1,MATCH(AW$1,'[1]End - Use Prices'!$C$7:$AL$7,0))</f>
        <v>50.03</v>
      </c>
      <c r="AX19" s="41">
        <f>INDEX('[1]End - Use Prices'!$C$6:$AL$89,MATCH($C19,'[1]End - Use Prices'!$A$6:$A$89,0)+MATCH($D19,'[1]End - Use Prices'!$B$9:$B$11,0)-1,MATCH(AX$1,'[1]End - Use Prices'!$C$7:$AL$7,0))</f>
        <v>50.42</v>
      </c>
      <c r="AY19" s="41">
        <f>INDEX('[1]End - Use Prices'!$C$6:$AL$89,MATCH($C19,'[1]End - Use Prices'!$A$6:$A$89,0)+MATCH($D19,'[1]End - Use Prices'!$B$9:$B$11,0)-1,MATCH(AY$1,'[1]End - Use Prices'!$C$7:$AL$7,0))</f>
        <v>50.82</v>
      </c>
      <c r="AZ19" s="41">
        <f>INDEX('[1]End - Use Prices'!$C$6:$AL$89,MATCH($C19,'[1]End - Use Prices'!$A$6:$A$89,0)+MATCH($D19,'[1]End - Use Prices'!$B$9:$B$11,0)-1,MATCH(AZ$1,'[1]End - Use Prices'!$C$7:$AL$7,0))</f>
        <v>51.23</v>
      </c>
      <c r="BA19" s="41">
        <f>INDEX('[1]End - Use Prices'!$C$6:$AL$89,MATCH($C19,'[1]End - Use Prices'!$A$6:$A$89,0)+MATCH($D19,'[1]End - Use Prices'!$B$9:$B$11,0)-1,MATCH(BA$1,'[1]End - Use Prices'!$C$7:$AL$7,0))</f>
        <v>51.67</v>
      </c>
      <c r="BB19" s="41">
        <f>INDEX('[1]End - Use Prices'!$C$6:$AL$89,MATCH($C19,'[1]End - Use Prices'!$A$6:$A$89,0)+MATCH($D19,'[1]End - Use Prices'!$B$9:$B$11,0)-1,MATCH(BB$1,'[1]End - Use Prices'!$C$7:$AL$7,0))</f>
        <v>52.14</v>
      </c>
      <c r="BC19" s="41">
        <f>INDEX('[1]End - Use Prices'!$C$6:$AL$89,MATCH($C19,'[1]End - Use Prices'!$A$6:$A$89,0)+MATCH($D19,'[1]End - Use Prices'!$B$9:$B$11,0)-1,MATCH(BC$1,'[1]End - Use Prices'!$C$7:$AL$7,0))</f>
        <v>52.65</v>
      </c>
      <c r="BD19" s="41">
        <f>INDEX('[1]End - Use Prices'!$C$6:$AL$89,MATCH($C19,'[1]End - Use Prices'!$A$6:$A$89,0)+MATCH($D19,'[1]End - Use Prices'!$B$9:$B$11,0)-1,MATCH(BD$1,'[1]End - Use Prices'!$C$7:$AL$7,0))</f>
        <v>53.2</v>
      </c>
      <c r="BE19" s="41">
        <f>INDEX('[1]End - Use Prices'!$C$6:$AL$89,MATCH($C19,'[1]End - Use Prices'!$A$6:$A$89,0)+MATCH($D19,'[1]End - Use Prices'!$B$9:$B$11,0)-1,MATCH(BE$1,'[1]End - Use Prices'!$C$7:$AL$7,0))</f>
        <v>53.8</v>
      </c>
      <c r="BF19" s="41">
        <f>INDEX('[1]End - Use Prices'!$C$6:$AL$89,MATCH($C19,'[1]End - Use Prices'!$A$6:$A$89,0)+MATCH($D19,'[1]End - Use Prices'!$B$9:$B$11,0)-1,MATCH(BF$1,'[1]End - Use Prices'!$C$7:$AL$7,0))</f>
        <v>54.45</v>
      </c>
      <c r="BG19" s="41">
        <f>INDEX('[1]End - Use Prices'!$C$6:$AL$89,MATCH($C19,'[1]End - Use Prices'!$A$6:$A$89,0)+MATCH($D19,'[1]End - Use Prices'!$B$9:$B$11,0)-1,MATCH(BG$1,'[1]End - Use Prices'!$C$7:$AL$7,0))</f>
        <v>55.17</v>
      </c>
      <c r="BR19" s="39"/>
      <c r="BS19" s="39"/>
      <c r="BT19" s="39"/>
      <c r="BU19" s="39"/>
      <c r="BV19" s="39"/>
      <c r="BW19" s="39"/>
      <c r="BX19" s="39"/>
      <c r="BY19" s="39"/>
      <c r="BZ19" s="39"/>
      <c r="CA19" s="39"/>
    </row>
    <row r="20" spans="1:79" x14ac:dyDescent="0.25">
      <c r="A20" s="5"/>
      <c r="B20" s="3"/>
      <c r="C20" s="25" t="s">
        <v>88</v>
      </c>
      <c r="D20" s="25" t="s">
        <v>2</v>
      </c>
      <c r="E20" s="25" t="s">
        <v>313</v>
      </c>
      <c r="F20" s="74" t="s">
        <v>310</v>
      </c>
      <c r="G20" s="54">
        <f t="shared" si="8"/>
        <v>41.51</v>
      </c>
      <c r="H20" s="34">
        <f t="shared" si="9"/>
        <v>41.51</v>
      </c>
      <c r="I20" s="34">
        <f t="shared" si="9"/>
        <v>50.51</v>
      </c>
      <c r="J20" s="34">
        <f t="shared" si="9"/>
        <v>53.64</v>
      </c>
      <c r="K20" s="34">
        <f t="shared" si="9"/>
        <v>55.52</v>
      </c>
      <c r="L20" s="34">
        <f t="shared" si="9"/>
        <v>56.42</v>
      </c>
      <c r="M20" s="34">
        <f t="shared" si="9"/>
        <v>57.35</v>
      </c>
      <c r="N20" s="34">
        <f t="shared" si="9"/>
        <v>58.28</v>
      </c>
      <c r="O20" s="34">
        <f t="shared" si="9"/>
        <v>59.23</v>
      </c>
      <c r="P20" s="54">
        <f t="shared" ref="P20:Q20" si="12">O20</f>
        <v>59.23</v>
      </c>
      <c r="Q20" s="54">
        <f t="shared" si="12"/>
        <v>59.23</v>
      </c>
      <c r="R20" s="38"/>
      <c r="X20" s="41">
        <f>INDEX('[1]End - Use Prices'!$C$6:$AL$89,MATCH($C20,'[1]End - Use Prices'!$A$6:$A$89,0)+MATCH($D20,'[1]End - Use Prices'!$B$9:$B$11,0)-1,MATCH(X$1,'[1]End - Use Prices'!$C$7:$AL$7,0))</f>
        <v>41.51</v>
      </c>
      <c r="Y20" s="41">
        <f>INDEX('[1]End - Use Prices'!$C$6:$AL$89,MATCH($C20,'[1]End - Use Prices'!$A$6:$A$89,0)+MATCH($D20,'[1]End - Use Prices'!$B$9:$B$11,0)-1,MATCH(Y$1,'[1]End - Use Prices'!$C$7:$AL$7,0))</f>
        <v>42.42</v>
      </c>
      <c r="Z20" s="41">
        <f>INDEX('[1]End - Use Prices'!$C$6:$AL$89,MATCH($C20,'[1]End - Use Prices'!$A$6:$A$89,0)+MATCH($D20,'[1]End - Use Prices'!$B$9:$B$11,0)-1,MATCH(Z$1,'[1]End - Use Prices'!$C$7:$AL$7,0))</f>
        <v>44.58</v>
      </c>
      <c r="AA20" s="41">
        <f>INDEX('[1]End - Use Prices'!$C$6:$AL$89,MATCH($C20,'[1]End - Use Prices'!$A$6:$A$89,0)+MATCH($D20,'[1]End - Use Prices'!$B$9:$B$11,0)-1,MATCH(AA$1,'[1]End - Use Prices'!$C$7:$AL$7,0))</f>
        <v>46.56</v>
      </c>
      <c r="AB20" s="41">
        <f>INDEX('[1]End - Use Prices'!$C$6:$AL$89,MATCH($C20,'[1]End - Use Prices'!$A$6:$A$89,0)+MATCH($D20,'[1]End - Use Prices'!$B$9:$B$11,0)-1,MATCH(AB$1,'[1]End - Use Prices'!$C$7:$AL$7,0))</f>
        <v>55.63</v>
      </c>
      <c r="AC20" s="41">
        <f>INDEX('[1]End - Use Prices'!$C$6:$AL$89,MATCH($C20,'[1]End - Use Prices'!$A$6:$A$89,0)+MATCH($D20,'[1]End - Use Prices'!$B$9:$B$11,0)-1,MATCH(AC$1,'[1]End - Use Prices'!$C$7:$AL$7,0))</f>
        <v>50.51</v>
      </c>
      <c r="AD20" s="41">
        <f>INDEX('[1]End - Use Prices'!$C$6:$AL$89,MATCH($C20,'[1]End - Use Prices'!$A$6:$A$89,0)+MATCH($D20,'[1]End - Use Prices'!$B$9:$B$11,0)-1,MATCH(AD$1,'[1]End - Use Prices'!$C$7:$AL$7,0))</f>
        <v>43.95</v>
      </c>
      <c r="AE20" s="41">
        <f>INDEX('[1]End - Use Prices'!$C$6:$AL$89,MATCH($C20,'[1]End - Use Prices'!$A$6:$A$89,0)+MATCH($D20,'[1]End - Use Prices'!$B$9:$B$11,0)-1,MATCH(AE$1,'[1]End - Use Prices'!$C$7:$AL$7,0))</f>
        <v>43.43</v>
      </c>
      <c r="AF20" s="41">
        <f>INDEX('[1]End - Use Prices'!$C$6:$AL$89,MATCH($C20,'[1]End - Use Prices'!$A$6:$A$89,0)+MATCH($D20,'[1]End - Use Prices'!$B$9:$B$11,0)-1,MATCH(AF$1,'[1]End - Use Prices'!$C$7:$AL$7,0))</f>
        <v>50.61</v>
      </c>
      <c r="AG20" s="41">
        <f>INDEX('[1]End - Use Prices'!$C$6:$AL$89,MATCH($C20,'[1]End - Use Prices'!$A$6:$A$89,0)+MATCH($D20,'[1]End - Use Prices'!$B$9:$B$11,0)-1,MATCH(AG$1,'[1]End - Use Prices'!$C$7:$AL$7,0))</f>
        <v>51.93</v>
      </c>
      <c r="AH20" s="41">
        <f>INDEX('[1]End - Use Prices'!$C$6:$AL$89,MATCH($C20,'[1]End - Use Prices'!$A$6:$A$89,0)+MATCH($D20,'[1]End - Use Prices'!$B$9:$B$11,0)-1,MATCH(AH$1,'[1]End - Use Prices'!$C$7:$AL$7,0))</f>
        <v>53.64</v>
      </c>
      <c r="AI20" s="41">
        <f>INDEX('[1]End - Use Prices'!$C$6:$AL$89,MATCH($C20,'[1]End - Use Prices'!$A$6:$A$89,0)+MATCH($D20,'[1]End - Use Prices'!$B$9:$B$11,0)-1,MATCH(AI$1,'[1]End - Use Prices'!$C$7:$AL$7,0))</f>
        <v>54.8</v>
      </c>
      <c r="AJ20" s="41">
        <f>INDEX('[1]End - Use Prices'!$C$6:$AL$89,MATCH($C20,'[1]End - Use Prices'!$A$6:$A$89,0)+MATCH($D20,'[1]End - Use Prices'!$B$9:$B$11,0)-1,MATCH(AJ$1,'[1]End - Use Prices'!$C$7:$AL$7,0))</f>
        <v>54.98</v>
      </c>
      <c r="AK20" s="41">
        <f>INDEX('[1]End - Use Prices'!$C$6:$AL$89,MATCH($C20,'[1]End - Use Prices'!$A$6:$A$89,0)+MATCH($D20,'[1]End - Use Prices'!$B$9:$B$11,0)-1,MATCH(AK$1,'[1]End - Use Prices'!$C$7:$AL$7,0))</f>
        <v>55.16</v>
      </c>
      <c r="AL20" s="41">
        <f>INDEX('[1]End - Use Prices'!$C$6:$AL$89,MATCH($C20,'[1]End - Use Prices'!$A$6:$A$89,0)+MATCH($D20,'[1]End - Use Prices'!$B$9:$B$11,0)-1,MATCH(AL$1,'[1]End - Use Prices'!$C$7:$AL$7,0))</f>
        <v>55.34</v>
      </c>
      <c r="AM20" s="41">
        <f>INDEX('[1]End - Use Prices'!$C$6:$AL$89,MATCH($C20,'[1]End - Use Prices'!$A$6:$A$89,0)+MATCH($D20,'[1]End - Use Prices'!$B$9:$B$11,0)-1,MATCH(AM$1,'[1]End - Use Prices'!$C$7:$AL$7,0))</f>
        <v>55.52</v>
      </c>
      <c r="AN20" s="41">
        <f>INDEX('[1]End - Use Prices'!$C$6:$AL$89,MATCH($C20,'[1]End - Use Prices'!$A$6:$A$89,0)+MATCH($D20,'[1]End - Use Prices'!$B$9:$B$11,0)-1,MATCH(AN$1,'[1]End - Use Prices'!$C$7:$AL$7,0))</f>
        <v>55.7</v>
      </c>
      <c r="AO20" s="41">
        <f>INDEX('[1]End - Use Prices'!$C$6:$AL$89,MATCH($C20,'[1]End - Use Prices'!$A$6:$A$89,0)+MATCH($D20,'[1]End - Use Prices'!$B$9:$B$11,0)-1,MATCH(AO$1,'[1]End - Use Prices'!$C$7:$AL$7,0))</f>
        <v>55.88</v>
      </c>
      <c r="AP20" s="41">
        <f>INDEX('[1]End - Use Prices'!$C$6:$AL$89,MATCH($C20,'[1]End - Use Prices'!$A$6:$A$89,0)+MATCH($D20,'[1]End - Use Prices'!$B$9:$B$11,0)-1,MATCH(AP$1,'[1]End - Use Prices'!$C$7:$AL$7,0))</f>
        <v>56.06</v>
      </c>
      <c r="AQ20" s="41">
        <f>INDEX('[1]End - Use Prices'!$C$6:$AL$89,MATCH($C20,'[1]End - Use Prices'!$A$6:$A$89,0)+MATCH($D20,'[1]End - Use Prices'!$B$9:$B$11,0)-1,MATCH(AQ$1,'[1]End - Use Prices'!$C$7:$AL$7,0))</f>
        <v>56.24</v>
      </c>
      <c r="AR20" s="41">
        <f>INDEX('[1]End - Use Prices'!$C$6:$AL$89,MATCH($C20,'[1]End - Use Prices'!$A$6:$A$89,0)+MATCH($D20,'[1]End - Use Prices'!$B$9:$B$11,0)-1,MATCH(AR$1,'[1]End - Use Prices'!$C$7:$AL$7,0))</f>
        <v>56.42</v>
      </c>
      <c r="AS20" s="41">
        <f>INDEX('[1]End - Use Prices'!$C$6:$AL$89,MATCH($C20,'[1]End - Use Prices'!$A$6:$A$89,0)+MATCH($D20,'[1]End - Use Prices'!$B$9:$B$11,0)-1,MATCH(AS$1,'[1]End - Use Prices'!$C$7:$AL$7,0))</f>
        <v>56.61</v>
      </c>
      <c r="AT20" s="41">
        <f>INDEX('[1]End - Use Prices'!$C$6:$AL$89,MATCH($C20,'[1]End - Use Prices'!$A$6:$A$89,0)+MATCH($D20,'[1]End - Use Prices'!$B$9:$B$11,0)-1,MATCH(AT$1,'[1]End - Use Prices'!$C$7:$AL$7,0))</f>
        <v>56.79</v>
      </c>
      <c r="AU20" s="41">
        <f>INDEX('[1]End - Use Prices'!$C$6:$AL$89,MATCH($C20,'[1]End - Use Prices'!$A$6:$A$89,0)+MATCH($D20,'[1]End - Use Prices'!$B$9:$B$11,0)-1,MATCH(AU$1,'[1]End - Use Prices'!$C$7:$AL$7,0))</f>
        <v>56.97</v>
      </c>
      <c r="AV20" s="41">
        <f>INDEX('[1]End - Use Prices'!$C$6:$AL$89,MATCH($C20,'[1]End - Use Prices'!$A$6:$A$89,0)+MATCH($D20,'[1]End - Use Prices'!$B$9:$B$11,0)-1,MATCH(AV$1,'[1]End - Use Prices'!$C$7:$AL$7,0))</f>
        <v>57.16</v>
      </c>
      <c r="AW20" s="41">
        <f>INDEX('[1]End - Use Prices'!$C$6:$AL$89,MATCH($C20,'[1]End - Use Prices'!$A$6:$A$89,0)+MATCH($D20,'[1]End - Use Prices'!$B$9:$B$11,0)-1,MATCH(AW$1,'[1]End - Use Prices'!$C$7:$AL$7,0))</f>
        <v>57.35</v>
      </c>
      <c r="AX20" s="41">
        <f>INDEX('[1]End - Use Prices'!$C$6:$AL$89,MATCH($C20,'[1]End - Use Prices'!$A$6:$A$89,0)+MATCH($D20,'[1]End - Use Prices'!$B$9:$B$11,0)-1,MATCH(AX$1,'[1]End - Use Prices'!$C$7:$AL$7,0))</f>
        <v>57.53</v>
      </c>
      <c r="AY20" s="41">
        <f>INDEX('[1]End - Use Prices'!$C$6:$AL$89,MATCH($C20,'[1]End - Use Prices'!$A$6:$A$89,0)+MATCH($D20,'[1]End - Use Prices'!$B$9:$B$11,0)-1,MATCH(AY$1,'[1]End - Use Prices'!$C$7:$AL$7,0))</f>
        <v>57.72</v>
      </c>
      <c r="AZ20" s="41">
        <f>INDEX('[1]End - Use Prices'!$C$6:$AL$89,MATCH($C20,'[1]End - Use Prices'!$A$6:$A$89,0)+MATCH($D20,'[1]End - Use Prices'!$B$9:$B$11,0)-1,MATCH(AZ$1,'[1]End - Use Prices'!$C$7:$AL$7,0))</f>
        <v>57.91</v>
      </c>
      <c r="BA20" s="41">
        <f>INDEX('[1]End - Use Prices'!$C$6:$AL$89,MATCH($C20,'[1]End - Use Prices'!$A$6:$A$89,0)+MATCH($D20,'[1]End - Use Prices'!$B$9:$B$11,0)-1,MATCH(BA$1,'[1]End - Use Prices'!$C$7:$AL$7,0))</f>
        <v>58.09</v>
      </c>
      <c r="BB20" s="41">
        <f>INDEX('[1]End - Use Prices'!$C$6:$AL$89,MATCH($C20,'[1]End - Use Prices'!$A$6:$A$89,0)+MATCH($D20,'[1]End - Use Prices'!$B$9:$B$11,0)-1,MATCH(BB$1,'[1]End - Use Prices'!$C$7:$AL$7,0))</f>
        <v>58.28</v>
      </c>
      <c r="BC20" s="41">
        <f>INDEX('[1]End - Use Prices'!$C$6:$AL$89,MATCH($C20,'[1]End - Use Prices'!$A$6:$A$89,0)+MATCH($D20,'[1]End - Use Prices'!$B$9:$B$11,0)-1,MATCH(BC$1,'[1]End - Use Prices'!$C$7:$AL$7,0))</f>
        <v>58.47</v>
      </c>
      <c r="BD20" s="41">
        <f>INDEX('[1]End - Use Prices'!$C$6:$AL$89,MATCH($C20,'[1]End - Use Prices'!$A$6:$A$89,0)+MATCH($D20,'[1]End - Use Prices'!$B$9:$B$11,0)-1,MATCH(BD$1,'[1]End - Use Prices'!$C$7:$AL$7,0))</f>
        <v>58.66</v>
      </c>
      <c r="BE20" s="41">
        <f>INDEX('[1]End - Use Prices'!$C$6:$AL$89,MATCH($C20,'[1]End - Use Prices'!$A$6:$A$89,0)+MATCH($D20,'[1]End - Use Prices'!$B$9:$B$11,0)-1,MATCH(BE$1,'[1]End - Use Prices'!$C$7:$AL$7,0))</f>
        <v>58.85</v>
      </c>
      <c r="BF20" s="41">
        <f>INDEX('[1]End - Use Prices'!$C$6:$AL$89,MATCH($C20,'[1]End - Use Prices'!$A$6:$A$89,0)+MATCH($D20,'[1]End - Use Prices'!$B$9:$B$11,0)-1,MATCH(BF$1,'[1]End - Use Prices'!$C$7:$AL$7,0))</f>
        <v>59.04</v>
      </c>
      <c r="BG20" s="41">
        <f>INDEX('[1]End - Use Prices'!$C$6:$AL$89,MATCH($C20,'[1]End - Use Prices'!$A$6:$A$89,0)+MATCH($D20,'[1]End - Use Prices'!$B$9:$B$11,0)-1,MATCH(BG$1,'[1]End - Use Prices'!$C$7:$AL$7,0))</f>
        <v>59.23</v>
      </c>
      <c r="BR20" s="39"/>
      <c r="BS20" s="39"/>
      <c r="BT20" s="39"/>
      <c r="BU20" s="39"/>
      <c r="BV20" s="39"/>
      <c r="BW20" s="39"/>
      <c r="BX20" s="39"/>
      <c r="BY20" s="39"/>
      <c r="BZ20" s="39"/>
      <c r="CA20" s="39"/>
    </row>
    <row r="21" spans="1:79" x14ac:dyDescent="0.25">
      <c r="A21" s="5"/>
      <c r="B21" s="3"/>
      <c r="C21" s="25" t="s">
        <v>89</v>
      </c>
      <c r="D21" s="25" t="s">
        <v>2</v>
      </c>
      <c r="E21" s="25" t="s">
        <v>313</v>
      </c>
      <c r="F21" s="74" t="s">
        <v>310</v>
      </c>
      <c r="G21" s="54">
        <f t="shared" si="8"/>
        <v>37.270000000000003</v>
      </c>
      <c r="H21" s="34">
        <f t="shared" si="9"/>
        <v>37.270000000000003</v>
      </c>
      <c r="I21" s="34">
        <f t="shared" si="9"/>
        <v>40.32</v>
      </c>
      <c r="J21" s="34">
        <f t="shared" si="9"/>
        <v>46.71</v>
      </c>
      <c r="K21" s="34">
        <f t="shared" si="9"/>
        <v>49.31</v>
      </c>
      <c r="L21" s="34">
        <f t="shared" si="9"/>
        <v>53.15</v>
      </c>
      <c r="M21" s="34">
        <f t="shared" si="9"/>
        <v>56.07</v>
      </c>
      <c r="N21" s="34">
        <f t="shared" si="9"/>
        <v>57.94</v>
      </c>
      <c r="O21" s="34">
        <f t="shared" si="9"/>
        <v>58.62</v>
      </c>
      <c r="P21" s="54">
        <f t="shared" ref="P21:Q21" si="13">O21</f>
        <v>58.62</v>
      </c>
      <c r="Q21" s="54">
        <f t="shared" si="13"/>
        <v>58.62</v>
      </c>
      <c r="R21" s="38"/>
      <c r="X21" s="41">
        <f>INDEX('[1]End - Use Prices'!$C$6:$AL$89,MATCH($C21,'[1]End - Use Prices'!$A$6:$A$89,0)+MATCH($D21,'[1]End - Use Prices'!$B$9:$B$11,0)-1,MATCH(X$1,'[1]End - Use Prices'!$C$7:$AL$7,0))</f>
        <v>37.270000000000003</v>
      </c>
      <c r="Y21" s="41">
        <f>INDEX('[1]End - Use Prices'!$C$6:$AL$89,MATCH($C21,'[1]End - Use Prices'!$A$6:$A$89,0)+MATCH($D21,'[1]End - Use Prices'!$B$9:$B$11,0)-1,MATCH(Y$1,'[1]End - Use Prices'!$C$7:$AL$7,0))</f>
        <v>41.5</v>
      </c>
      <c r="Z21" s="41">
        <f>INDEX('[1]End - Use Prices'!$C$6:$AL$89,MATCH($C21,'[1]End - Use Prices'!$A$6:$A$89,0)+MATCH($D21,'[1]End - Use Prices'!$B$9:$B$11,0)-1,MATCH(Z$1,'[1]End - Use Prices'!$C$7:$AL$7,0))</f>
        <v>38.799999999999997</v>
      </c>
      <c r="AA21" s="41">
        <f>INDEX('[1]End - Use Prices'!$C$6:$AL$89,MATCH($C21,'[1]End - Use Prices'!$A$6:$A$89,0)+MATCH($D21,'[1]End - Use Prices'!$B$9:$B$11,0)-1,MATCH(AA$1,'[1]End - Use Prices'!$C$7:$AL$7,0))</f>
        <v>36.950000000000003</v>
      </c>
      <c r="AB21" s="41">
        <f>INDEX('[1]End - Use Prices'!$C$6:$AL$89,MATCH($C21,'[1]End - Use Prices'!$A$6:$A$89,0)+MATCH($D21,'[1]End - Use Prices'!$B$9:$B$11,0)-1,MATCH(AB$1,'[1]End - Use Prices'!$C$7:$AL$7,0))</f>
        <v>44.6</v>
      </c>
      <c r="AC21" s="41">
        <f>INDEX('[1]End - Use Prices'!$C$6:$AL$89,MATCH($C21,'[1]End - Use Prices'!$A$6:$A$89,0)+MATCH($D21,'[1]End - Use Prices'!$B$9:$B$11,0)-1,MATCH(AC$1,'[1]End - Use Prices'!$C$7:$AL$7,0))</f>
        <v>40.32</v>
      </c>
      <c r="AD21" s="41">
        <f>INDEX('[1]End - Use Prices'!$C$6:$AL$89,MATCH($C21,'[1]End - Use Prices'!$A$6:$A$89,0)+MATCH($D21,'[1]End - Use Prices'!$B$9:$B$11,0)-1,MATCH(AD$1,'[1]End - Use Prices'!$C$7:$AL$7,0))</f>
        <v>41.27</v>
      </c>
      <c r="AE21" s="41">
        <f>INDEX('[1]End - Use Prices'!$C$6:$AL$89,MATCH($C21,'[1]End - Use Prices'!$A$6:$A$89,0)+MATCH($D21,'[1]End - Use Prices'!$B$9:$B$11,0)-1,MATCH(AE$1,'[1]End - Use Prices'!$C$7:$AL$7,0))</f>
        <v>44.94</v>
      </c>
      <c r="AF21" s="41">
        <f>INDEX('[1]End - Use Prices'!$C$6:$AL$89,MATCH($C21,'[1]End - Use Prices'!$A$6:$A$89,0)+MATCH($D21,'[1]End - Use Prices'!$B$9:$B$11,0)-1,MATCH(AF$1,'[1]End - Use Prices'!$C$7:$AL$7,0))</f>
        <v>45.5</v>
      </c>
      <c r="AG21" s="41">
        <f>INDEX('[1]End - Use Prices'!$C$6:$AL$89,MATCH($C21,'[1]End - Use Prices'!$A$6:$A$89,0)+MATCH($D21,'[1]End - Use Prices'!$B$9:$B$11,0)-1,MATCH(AG$1,'[1]End - Use Prices'!$C$7:$AL$7,0))</f>
        <v>46.34</v>
      </c>
      <c r="AH21" s="41">
        <f>INDEX('[1]End - Use Prices'!$C$6:$AL$89,MATCH($C21,'[1]End - Use Prices'!$A$6:$A$89,0)+MATCH($D21,'[1]End - Use Prices'!$B$9:$B$11,0)-1,MATCH(AH$1,'[1]End - Use Prices'!$C$7:$AL$7,0))</f>
        <v>46.71</v>
      </c>
      <c r="AI21" s="41">
        <f>INDEX('[1]End - Use Prices'!$C$6:$AL$89,MATCH($C21,'[1]End - Use Prices'!$A$6:$A$89,0)+MATCH($D21,'[1]End - Use Prices'!$B$9:$B$11,0)-1,MATCH(AI$1,'[1]End - Use Prices'!$C$7:$AL$7,0))</f>
        <v>46.01</v>
      </c>
      <c r="AJ21" s="41">
        <f>INDEX('[1]End - Use Prices'!$C$6:$AL$89,MATCH($C21,'[1]End - Use Prices'!$A$6:$A$89,0)+MATCH($D21,'[1]End - Use Prices'!$B$9:$B$11,0)-1,MATCH(AJ$1,'[1]End - Use Prices'!$C$7:$AL$7,0))</f>
        <v>46.61</v>
      </c>
      <c r="AK21" s="41">
        <f>INDEX('[1]End - Use Prices'!$C$6:$AL$89,MATCH($C21,'[1]End - Use Prices'!$A$6:$A$89,0)+MATCH($D21,'[1]End - Use Prices'!$B$9:$B$11,0)-1,MATCH(AK$1,'[1]End - Use Prices'!$C$7:$AL$7,0))</f>
        <v>47.54</v>
      </c>
      <c r="AL21" s="41">
        <f>INDEX('[1]End - Use Prices'!$C$6:$AL$89,MATCH($C21,'[1]End - Use Prices'!$A$6:$A$89,0)+MATCH($D21,'[1]End - Use Prices'!$B$9:$B$11,0)-1,MATCH(AL$1,'[1]End - Use Prices'!$C$7:$AL$7,0))</f>
        <v>48.44</v>
      </c>
      <c r="AM21" s="41">
        <f>INDEX('[1]End - Use Prices'!$C$6:$AL$89,MATCH($C21,'[1]End - Use Prices'!$A$6:$A$89,0)+MATCH($D21,'[1]End - Use Prices'!$B$9:$B$11,0)-1,MATCH(AM$1,'[1]End - Use Prices'!$C$7:$AL$7,0))</f>
        <v>49.31</v>
      </c>
      <c r="AN21" s="41">
        <f>INDEX('[1]End - Use Prices'!$C$6:$AL$89,MATCH($C21,'[1]End - Use Prices'!$A$6:$A$89,0)+MATCH($D21,'[1]End - Use Prices'!$B$9:$B$11,0)-1,MATCH(AN$1,'[1]End - Use Prices'!$C$7:$AL$7,0))</f>
        <v>50.14</v>
      </c>
      <c r="AO21" s="41">
        <f>INDEX('[1]End - Use Prices'!$C$6:$AL$89,MATCH($C21,'[1]End - Use Prices'!$A$6:$A$89,0)+MATCH($D21,'[1]End - Use Prices'!$B$9:$B$11,0)-1,MATCH(AO$1,'[1]End - Use Prices'!$C$7:$AL$7,0))</f>
        <v>50.94</v>
      </c>
      <c r="AP21" s="41">
        <f>INDEX('[1]End - Use Prices'!$C$6:$AL$89,MATCH($C21,'[1]End - Use Prices'!$A$6:$A$89,0)+MATCH($D21,'[1]End - Use Prices'!$B$9:$B$11,0)-1,MATCH(AP$1,'[1]End - Use Prices'!$C$7:$AL$7,0))</f>
        <v>51.71</v>
      </c>
      <c r="AQ21" s="41">
        <f>INDEX('[1]End - Use Prices'!$C$6:$AL$89,MATCH($C21,'[1]End - Use Prices'!$A$6:$A$89,0)+MATCH($D21,'[1]End - Use Prices'!$B$9:$B$11,0)-1,MATCH(AQ$1,'[1]End - Use Prices'!$C$7:$AL$7,0))</f>
        <v>52.45</v>
      </c>
      <c r="AR21" s="41">
        <f>INDEX('[1]End - Use Prices'!$C$6:$AL$89,MATCH($C21,'[1]End - Use Prices'!$A$6:$A$89,0)+MATCH($D21,'[1]End - Use Prices'!$B$9:$B$11,0)-1,MATCH(AR$1,'[1]End - Use Prices'!$C$7:$AL$7,0))</f>
        <v>53.15</v>
      </c>
      <c r="AS21" s="41">
        <f>INDEX('[1]End - Use Prices'!$C$6:$AL$89,MATCH($C21,'[1]End - Use Prices'!$A$6:$A$89,0)+MATCH($D21,'[1]End - Use Prices'!$B$9:$B$11,0)-1,MATCH(AS$1,'[1]End - Use Prices'!$C$7:$AL$7,0))</f>
        <v>53.81</v>
      </c>
      <c r="AT21" s="41">
        <f>INDEX('[1]End - Use Prices'!$C$6:$AL$89,MATCH($C21,'[1]End - Use Prices'!$A$6:$A$89,0)+MATCH($D21,'[1]End - Use Prices'!$B$9:$B$11,0)-1,MATCH(AT$1,'[1]End - Use Prices'!$C$7:$AL$7,0))</f>
        <v>54.43</v>
      </c>
      <c r="AU21" s="41">
        <f>INDEX('[1]End - Use Prices'!$C$6:$AL$89,MATCH($C21,'[1]End - Use Prices'!$A$6:$A$89,0)+MATCH($D21,'[1]End - Use Prices'!$B$9:$B$11,0)-1,MATCH(AU$1,'[1]End - Use Prices'!$C$7:$AL$7,0))</f>
        <v>55.02</v>
      </c>
      <c r="AV21" s="41">
        <f>INDEX('[1]End - Use Prices'!$C$6:$AL$89,MATCH($C21,'[1]End - Use Prices'!$A$6:$A$89,0)+MATCH($D21,'[1]End - Use Prices'!$B$9:$B$11,0)-1,MATCH(AV$1,'[1]End - Use Prices'!$C$7:$AL$7,0))</f>
        <v>55.56</v>
      </c>
      <c r="AW21" s="41">
        <f>INDEX('[1]End - Use Prices'!$C$6:$AL$89,MATCH($C21,'[1]End - Use Prices'!$A$6:$A$89,0)+MATCH($D21,'[1]End - Use Prices'!$B$9:$B$11,0)-1,MATCH(AW$1,'[1]End - Use Prices'!$C$7:$AL$7,0))</f>
        <v>56.07</v>
      </c>
      <c r="AX21" s="41">
        <f>INDEX('[1]End - Use Prices'!$C$6:$AL$89,MATCH($C21,'[1]End - Use Prices'!$A$6:$A$89,0)+MATCH($D21,'[1]End - Use Prices'!$B$9:$B$11,0)-1,MATCH(AX$1,'[1]End - Use Prices'!$C$7:$AL$7,0))</f>
        <v>56.53</v>
      </c>
      <c r="AY21" s="41">
        <f>INDEX('[1]End - Use Prices'!$C$6:$AL$89,MATCH($C21,'[1]End - Use Prices'!$A$6:$A$89,0)+MATCH($D21,'[1]End - Use Prices'!$B$9:$B$11,0)-1,MATCH(AY$1,'[1]End - Use Prices'!$C$7:$AL$7,0))</f>
        <v>56.95</v>
      </c>
      <c r="AZ21" s="41">
        <f>INDEX('[1]End - Use Prices'!$C$6:$AL$89,MATCH($C21,'[1]End - Use Prices'!$A$6:$A$89,0)+MATCH($D21,'[1]End - Use Prices'!$B$9:$B$11,0)-1,MATCH(AZ$1,'[1]End - Use Prices'!$C$7:$AL$7,0))</f>
        <v>57.32</v>
      </c>
      <c r="BA21" s="41">
        <f>INDEX('[1]End - Use Prices'!$C$6:$AL$89,MATCH($C21,'[1]End - Use Prices'!$A$6:$A$89,0)+MATCH($D21,'[1]End - Use Prices'!$B$9:$B$11,0)-1,MATCH(BA$1,'[1]End - Use Prices'!$C$7:$AL$7,0))</f>
        <v>57.65</v>
      </c>
      <c r="BB21" s="41">
        <f>INDEX('[1]End - Use Prices'!$C$6:$AL$89,MATCH($C21,'[1]End - Use Prices'!$A$6:$A$89,0)+MATCH($D21,'[1]End - Use Prices'!$B$9:$B$11,0)-1,MATCH(BB$1,'[1]End - Use Prices'!$C$7:$AL$7,0))</f>
        <v>57.94</v>
      </c>
      <c r="BC21" s="41">
        <f>INDEX('[1]End - Use Prices'!$C$6:$AL$89,MATCH($C21,'[1]End - Use Prices'!$A$6:$A$89,0)+MATCH($D21,'[1]End - Use Prices'!$B$9:$B$11,0)-1,MATCH(BC$1,'[1]End - Use Prices'!$C$7:$AL$7,0))</f>
        <v>58.17</v>
      </c>
      <c r="BD21" s="41">
        <f>INDEX('[1]End - Use Prices'!$C$6:$AL$89,MATCH($C21,'[1]End - Use Prices'!$A$6:$A$89,0)+MATCH($D21,'[1]End - Use Prices'!$B$9:$B$11,0)-1,MATCH(BD$1,'[1]End - Use Prices'!$C$7:$AL$7,0))</f>
        <v>58.36</v>
      </c>
      <c r="BE21" s="41">
        <f>INDEX('[1]End - Use Prices'!$C$6:$AL$89,MATCH($C21,'[1]End - Use Prices'!$A$6:$A$89,0)+MATCH($D21,'[1]End - Use Prices'!$B$9:$B$11,0)-1,MATCH(BE$1,'[1]End - Use Prices'!$C$7:$AL$7,0))</f>
        <v>58.5</v>
      </c>
      <c r="BF21" s="41">
        <f>INDEX('[1]End - Use Prices'!$C$6:$AL$89,MATCH($C21,'[1]End - Use Prices'!$A$6:$A$89,0)+MATCH($D21,'[1]End - Use Prices'!$B$9:$B$11,0)-1,MATCH(BF$1,'[1]End - Use Prices'!$C$7:$AL$7,0))</f>
        <v>58.59</v>
      </c>
      <c r="BG21" s="41">
        <f>INDEX('[1]End - Use Prices'!$C$6:$AL$89,MATCH($C21,'[1]End - Use Prices'!$A$6:$A$89,0)+MATCH($D21,'[1]End - Use Prices'!$B$9:$B$11,0)-1,MATCH(BG$1,'[1]End - Use Prices'!$C$7:$AL$7,0))</f>
        <v>58.62</v>
      </c>
      <c r="BR21" s="39"/>
      <c r="BS21" s="39"/>
      <c r="BT21" s="39"/>
      <c r="BU21" s="39"/>
      <c r="BV21" s="39"/>
      <c r="BW21" s="39"/>
      <c r="BX21" s="39"/>
      <c r="BY21" s="39"/>
      <c r="BZ21" s="39"/>
      <c r="CA21" s="39"/>
    </row>
    <row r="22" spans="1:79" x14ac:dyDescent="0.25">
      <c r="A22" s="5"/>
      <c r="B22" s="3"/>
      <c r="C22" s="25" t="s">
        <v>90</v>
      </c>
      <c r="D22" s="25" t="s">
        <v>2</v>
      </c>
      <c r="E22" s="25" t="s">
        <v>313</v>
      </c>
      <c r="F22" s="74" t="s">
        <v>310</v>
      </c>
      <c r="G22" s="54">
        <f t="shared" si="8"/>
        <v>35.630000000000003</v>
      </c>
      <c r="H22" s="34">
        <f t="shared" si="9"/>
        <v>35.630000000000003</v>
      </c>
      <c r="I22" s="34">
        <f t="shared" si="9"/>
        <v>42.27</v>
      </c>
      <c r="J22" s="34">
        <f t="shared" si="9"/>
        <v>41.52</v>
      </c>
      <c r="K22" s="34">
        <f t="shared" si="9"/>
        <v>44.47</v>
      </c>
      <c r="L22" s="34">
        <f t="shared" si="9"/>
        <v>47.37</v>
      </c>
      <c r="M22" s="34">
        <f t="shared" si="9"/>
        <v>50.45</v>
      </c>
      <c r="N22" s="34">
        <f t="shared" si="9"/>
        <v>53.74</v>
      </c>
      <c r="O22" s="34">
        <f t="shared" si="9"/>
        <v>57.24</v>
      </c>
      <c r="P22" s="54">
        <f t="shared" ref="P22:Q22" si="14">O22</f>
        <v>57.24</v>
      </c>
      <c r="Q22" s="54">
        <f t="shared" si="14"/>
        <v>57.24</v>
      </c>
      <c r="R22" s="38"/>
      <c r="X22" s="41">
        <f>INDEX('[1]End - Use Prices'!$C$6:$AL$89,MATCH($C22,'[1]End - Use Prices'!$A$6:$A$89,0)+MATCH($D22,'[1]End - Use Prices'!$B$9:$B$11,0)-1,MATCH(X$1,'[1]End - Use Prices'!$C$7:$AL$7,0))</f>
        <v>35.630000000000003</v>
      </c>
      <c r="Y22" s="41">
        <f>INDEX('[1]End - Use Prices'!$C$6:$AL$89,MATCH($C22,'[1]End - Use Prices'!$A$6:$A$89,0)+MATCH($D22,'[1]End - Use Prices'!$B$9:$B$11,0)-1,MATCH(Y$1,'[1]End - Use Prices'!$C$7:$AL$7,0))</f>
        <v>40.94</v>
      </c>
      <c r="Z22" s="41">
        <f>INDEX('[1]End - Use Prices'!$C$6:$AL$89,MATCH($C22,'[1]End - Use Prices'!$A$6:$A$89,0)+MATCH($D22,'[1]End - Use Prices'!$B$9:$B$11,0)-1,MATCH(Z$1,'[1]End - Use Prices'!$C$7:$AL$7,0))</f>
        <v>42.23</v>
      </c>
      <c r="AA22" s="41">
        <f>INDEX('[1]End - Use Prices'!$C$6:$AL$89,MATCH($C22,'[1]End - Use Prices'!$A$6:$A$89,0)+MATCH($D22,'[1]End - Use Prices'!$B$9:$B$11,0)-1,MATCH(AA$1,'[1]End - Use Prices'!$C$7:$AL$7,0))</f>
        <v>41.92</v>
      </c>
      <c r="AB22" s="41">
        <f>INDEX('[1]End - Use Prices'!$C$6:$AL$89,MATCH($C22,'[1]End - Use Prices'!$A$6:$A$89,0)+MATCH($D22,'[1]End - Use Prices'!$B$9:$B$11,0)-1,MATCH(AB$1,'[1]End - Use Prices'!$C$7:$AL$7,0))</f>
        <v>43.47</v>
      </c>
      <c r="AC22" s="41">
        <f>INDEX('[1]End - Use Prices'!$C$6:$AL$89,MATCH($C22,'[1]End - Use Prices'!$A$6:$A$89,0)+MATCH($D22,'[1]End - Use Prices'!$B$9:$B$11,0)-1,MATCH(AC$1,'[1]End - Use Prices'!$C$7:$AL$7,0))</f>
        <v>42.27</v>
      </c>
      <c r="AD22" s="41">
        <f>INDEX('[1]End - Use Prices'!$C$6:$AL$89,MATCH($C22,'[1]End - Use Prices'!$A$6:$A$89,0)+MATCH($D22,'[1]End - Use Prices'!$B$9:$B$11,0)-1,MATCH(AD$1,'[1]End - Use Prices'!$C$7:$AL$7,0))</f>
        <v>41.5</v>
      </c>
      <c r="AE22" s="41">
        <f>INDEX('[1]End - Use Prices'!$C$6:$AL$89,MATCH($C22,'[1]End - Use Prices'!$A$6:$A$89,0)+MATCH($D22,'[1]End - Use Prices'!$B$9:$B$11,0)-1,MATCH(AE$1,'[1]End - Use Prices'!$C$7:$AL$7,0))</f>
        <v>41</v>
      </c>
      <c r="AF22" s="41">
        <f>INDEX('[1]End - Use Prices'!$C$6:$AL$89,MATCH($C22,'[1]End - Use Prices'!$A$6:$A$89,0)+MATCH($D22,'[1]End - Use Prices'!$B$9:$B$11,0)-1,MATCH(AF$1,'[1]End - Use Prices'!$C$7:$AL$7,0))</f>
        <v>40.340000000000003</v>
      </c>
      <c r="AG22" s="41">
        <f>INDEX('[1]End - Use Prices'!$C$6:$AL$89,MATCH($C22,'[1]End - Use Prices'!$A$6:$A$89,0)+MATCH($D22,'[1]End - Use Prices'!$B$9:$B$11,0)-1,MATCH(AG$1,'[1]End - Use Prices'!$C$7:$AL$7,0))</f>
        <v>40.39</v>
      </c>
      <c r="AH22" s="41">
        <f>INDEX('[1]End - Use Prices'!$C$6:$AL$89,MATCH($C22,'[1]End - Use Prices'!$A$6:$A$89,0)+MATCH($D22,'[1]End - Use Prices'!$B$9:$B$11,0)-1,MATCH(AH$1,'[1]End - Use Prices'!$C$7:$AL$7,0))</f>
        <v>41.52</v>
      </c>
      <c r="AI22" s="41">
        <f>INDEX('[1]End - Use Prices'!$C$6:$AL$89,MATCH($C22,'[1]End - Use Prices'!$A$6:$A$89,0)+MATCH($D22,'[1]End - Use Prices'!$B$9:$B$11,0)-1,MATCH(AI$1,'[1]End - Use Prices'!$C$7:$AL$7,0))</f>
        <v>42.28</v>
      </c>
      <c r="AJ22" s="41">
        <f>INDEX('[1]End - Use Prices'!$C$6:$AL$89,MATCH($C22,'[1]End - Use Prices'!$A$6:$A$89,0)+MATCH($D22,'[1]End - Use Prices'!$B$9:$B$11,0)-1,MATCH(AJ$1,'[1]End - Use Prices'!$C$7:$AL$7,0))</f>
        <v>42.82</v>
      </c>
      <c r="AK22" s="41">
        <f>INDEX('[1]End - Use Prices'!$C$6:$AL$89,MATCH($C22,'[1]End - Use Prices'!$A$6:$A$89,0)+MATCH($D22,'[1]End - Use Prices'!$B$9:$B$11,0)-1,MATCH(AK$1,'[1]End - Use Prices'!$C$7:$AL$7,0))</f>
        <v>43.37</v>
      </c>
      <c r="AL22" s="41">
        <f>INDEX('[1]End - Use Prices'!$C$6:$AL$89,MATCH($C22,'[1]End - Use Prices'!$A$6:$A$89,0)+MATCH($D22,'[1]End - Use Prices'!$B$9:$B$11,0)-1,MATCH(AL$1,'[1]End - Use Prices'!$C$7:$AL$7,0))</f>
        <v>43.92</v>
      </c>
      <c r="AM22" s="41">
        <f>INDEX('[1]End - Use Prices'!$C$6:$AL$89,MATCH($C22,'[1]End - Use Prices'!$A$6:$A$89,0)+MATCH($D22,'[1]End - Use Prices'!$B$9:$B$11,0)-1,MATCH(AM$1,'[1]End - Use Prices'!$C$7:$AL$7,0))</f>
        <v>44.47</v>
      </c>
      <c r="AN22" s="41">
        <f>INDEX('[1]End - Use Prices'!$C$6:$AL$89,MATCH($C22,'[1]End - Use Prices'!$A$6:$A$89,0)+MATCH($D22,'[1]End - Use Prices'!$B$9:$B$11,0)-1,MATCH(AN$1,'[1]End - Use Prices'!$C$7:$AL$7,0))</f>
        <v>45.04</v>
      </c>
      <c r="AO22" s="41">
        <f>INDEX('[1]End - Use Prices'!$C$6:$AL$89,MATCH($C22,'[1]End - Use Prices'!$A$6:$A$89,0)+MATCH($D22,'[1]End - Use Prices'!$B$9:$B$11,0)-1,MATCH(AO$1,'[1]End - Use Prices'!$C$7:$AL$7,0))</f>
        <v>45.61</v>
      </c>
      <c r="AP22" s="41">
        <f>INDEX('[1]End - Use Prices'!$C$6:$AL$89,MATCH($C22,'[1]End - Use Prices'!$A$6:$A$89,0)+MATCH($D22,'[1]End - Use Prices'!$B$9:$B$11,0)-1,MATCH(AP$1,'[1]End - Use Prices'!$C$7:$AL$7,0))</f>
        <v>46.19</v>
      </c>
      <c r="AQ22" s="41">
        <f>INDEX('[1]End - Use Prices'!$C$6:$AL$89,MATCH($C22,'[1]End - Use Prices'!$A$6:$A$89,0)+MATCH($D22,'[1]End - Use Prices'!$B$9:$B$11,0)-1,MATCH(AQ$1,'[1]End - Use Prices'!$C$7:$AL$7,0))</f>
        <v>46.78</v>
      </c>
      <c r="AR22" s="41">
        <f>INDEX('[1]End - Use Prices'!$C$6:$AL$89,MATCH($C22,'[1]End - Use Prices'!$A$6:$A$89,0)+MATCH($D22,'[1]End - Use Prices'!$B$9:$B$11,0)-1,MATCH(AR$1,'[1]End - Use Prices'!$C$7:$AL$7,0))</f>
        <v>47.37</v>
      </c>
      <c r="AS22" s="41">
        <f>INDEX('[1]End - Use Prices'!$C$6:$AL$89,MATCH($C22,'[1]End - Use Prices'!$A$6:$A$89,0)+MATCH($D22,'[1]End - Use Prices'!$B$9:$B$11,0)-1,MATCH(AS$1,'[1]End - Use Prices'!$C$7:$AL$7,0))</f>
        <v>47.97</v>
      </c>
      <c r="AT22" s="41">
        <f>INDEX('[1]End - Use Prices'!$C$6:$AL$89,MATCH($C22,'[1]End - Use Prices'!$A$6:$A$89,0)+MATCH($D22,'[1]End - Use Prices'!$B$9:$B$11,0)-1,MATCH(AT$1,'[1]End - Use Prices'!$C$7:$AL$7,0))</f>
        <v>48.58</v>
      </c>
      <c r="AU22" s="41">
        <f>INDEX('[1]End - Use Prices'!$C$6:$AL$89,MATCH($C22,'[1]End - Use Prices'!$A$6:$A$89,0)+MATCH($D22,'[1]End - Use Prices'!$B$9:$B$11,0)-1,MATCH(AU$1,'[1]End - Use Prices'!$C$7:$AL$7,0))</f>
        <v>49.2</v>
      </c>
      <c r="AV22" s="41">
        <f>INDEX('[1]End - Use Prices'!$C$6:$AL$89,MATCH($C22,'[1]End - Use Prices'!$A$6:$A$89,0)+MATCH($D22,'[1]End - Use Prices'!$B$9:$B$11,0)-1,MATCH(AV$1,'[1]End - Use Prices'!$C$7:$AL$7,0))</f>
        <v>49.82</v>
      </c>
      <c r="AW22" s="41">
        <f>INDEX('[1]End - Use Prices'!$C$6:$AL$89,MATCH($C22,'[1]End - Use Prices'!$A$6:$A$89,0)+MATCH($D22,'[1]End - Use Prices'!$B$9:$B$11,0)-1,MATCH(AW$1,'[1]End - Use Prices'!$C$7:$AL$7,0))</f>
        <v>50.45</v>
      </c>
      <c r="AX22" s="41">
        <f>INDEX('[1]End - Use Prices'!$C$6:$AL$89,MATCH($C22,'[1]End - Use Prices'!$A$6:$A$89,0)+MATCH($D22,'[1]End - Use Prices'!$B$9:$B$11,0)-1,MATCH(AX$1,'[1]End - Use Prices'!$C$7:$AL$7,0))</f>
        <v>51.09</v>
      </c>
      <c r="AY22" s="41">
        <f>INDEX('[1]End - Use Prices'!$C$6:$AL$89,MATCH($C22,'[1]End - Use Prices'!$A$6:$A$89,0)+MATCH($D22,'[1]End - Use Prices'!$B$9:$B$11,0)-1,MATCH(AY$1,'[1]End - Use Prices'!$C$7:$AL$7,0))</f>
        <v>51.74</v>
      </c>
      <c r="AZ22" s="41">
        <f>INDEX('[1]End - Use Prices'!$C$6:$AL$89,MATCH($C22,'[1]End - Use Prices'!$A$6:$A$89,0)+MATCH($D22,'[1]End - Use Prices'!$B$9:$B$11,0)-1,MATCH(AZ$1,'[1]End - Use Prices'!$C$7:$AL$7,0))</f>
        <v>52.4</v>
      </c>
      <c r="BA22" s="41">
        <f>INDEX('[1]End - Use Prices'!$C$6:$AL$89,MATCH($C22,'[1]End - Use Prices'!$A$6:$A$89,0)+MATCH($D22,'[1]End - Use Prices'!$B$9:$B$11,0)-1,MATCH(BA$1,'[1]End - Use Prices'!$C$7:$AL$7,0))</f>
        <v>53.07</v>
      </c>
      <c r="BB22" s="41">
        <f>INDEX('[1]End - Use Prices'!$C$6:$AL$89,MATCH($C22,'[1]End - Use Prices'!$A$6:$A$89,0)+MATCH($D22,'[1]End - Use Prices'!$B$9:$B$11,0)-1,MATCH(BB$1,'[1]End - Use Prices'!$C$7:$AL$7,0))</f>
        <v>53.74</v>
      </c>
      <c r="BC22" s="41">
        <f>INDEX('[1]End - Use Prices'!$C$6:$AL$89,MATCH($C22,'[1]End - Use Prices'!$A$6:$A$89,0)+MATCH($D22,'[1]End - Use Prices'!$B$9:$B$11,0)-1,MATCH(BC$1,'[1]End - Use Prices'!$C$7:$AL$7,0))</f>
        <v>54.42</v>
      </c>
      <c r="BD22" s="41">
        <f>INDEX('[1]End - Use Prices'!$C$6:$AL$89,MATCH($C22,'[1]End - Use Prices'!$A$6:$A$89,0)+MATCH($D22,'[1]End - Use Prices'!$B$9:$B$11,0)-1,MATCH(BD$1,'[1]End - Use Prices'!$C$7:$AL$7,0))</f>
        <v>55.11</v>
      </c>
      <c r="BE22" s="41">
        <f>INDEX('[1]End - Use Prices'!$C$6:$AL$89,MATCH($C22,'[1]End - Use Prices'!$A$6:$A$89,0)+MATCH($D22,'[1]End - Use Prices'!$B$9:$B$11,0)-1,MATCH(BE$1,'[1]End - Use Prices'!$C$7:$AL$7,0))</f>
        <v>55.81</v>
      </c>
      <c r="BF22" s="41">
        <f>INDEX('[1]End - Use Prices'!$C$6:$AL$89,MATCH($C22,'[1]End - Use Prices'!$A$6:$A$89,0)+MATCH($D22,'[1]End - Use Prices'!$B$9:$B$11,0)-1,MATCH(BF$1,'[1]End - Use Prices'!$C$7:$AL$7,0))</f>
        <v>56.52</v>
      </c>
      <c r="BG22" s="41">
        <f>INDEX('[1]End - Use Prices'!$C$6:$AL$89,MATCH($C22,'[1]End - Use Prices'!$A$6:$A$89,0)+MATCH($D22,'[1]End - Use Prices'!$B$9:$B$11,0)-1,MATCH(BG$1,'[1]End - Use Prices'!$C$7:$AL$7,0))</f>
        <v>57.24</v>
      </c>
      <c r="BR22" s="39"/>
      <c r="BS22" s="39"/>
      <c r="BT22" s="39"/>
      <c r="BU22" s="39"/>
      <c r="BV22" s="39"/>
      <c r="BW22" s="39"/>
      <c r="BX22" s="39"/>
      <c r="BY22" s="39"/>
      <c r="BZ22" s="39"/>
      <c r="CA22" s="39"/>
    </row>
    <row r="23" spans="1:79" x14ac:dyDescent="0.25">
      <c r="A23" s="5"/>
      <c r="B23" s="3"/>
      <c r="C23" s="25" t="s">
        <v>91</v>
      </c>
      <c r="D23" s="25" t="s">
        <v>2</v>
      </c>
      <c r="E23" s="25" t="s">
        <v>313</v>
      </c>
      <c r="F23" s="74" t="s">
        <v>310</v>
      </c>
      <c r="G23" s="54">
        <f t="shared" si="8"/>
        <v>23.05</v>
      </c>
      <c r="H23" s="34">
        <f t="shared" si="9"/>
        <v>23.05</v>
      </c>
      <c r="I23" s="34">
        <f t="shared" si="9"/>
        <v>24.86</v>
      </c>
      <c r="J23" s="34">
        <f t="shared" si="9"/>
        <v>25.13</v>
      </c>
      <c r="K23" s="34">
        <f t="shared" si="9"/>
        <v>26.11</v>
      </c>
      <c r="L23" s="34">
        <f t="shared" si="9"/>
        <v>27.44</v>
      </c>
      <c r="M23" s="34">
        <f t="shared" si="9"/>
        <v>28.84</v>
      </c>
      <c r="N23" s="34">
        <f t="shared" si="9"/>
        <v>30.3</v>
      </c>
      <c r="O23" s="34">
        <f t="shared" si="9"/>
        <v>31.84</v>
      </c>
      <c r="P23" s="54">
        <f t="shared" ref="P23:Q23" si="15">O23</f>
        <v>31.84</v>
      </c>
      <c r="Q23" s="54">
        <f t="shared" si="15"/>
        <v>31.84</v>
      </c>
      <c r="R23" s="38"/>
      <c r="X23" s="41">
        <f>INDEX('[1]End - Use Prices'!$C$6:$AL$89,MATCH($C23,'[1]End - Use Prices'!$A$6:$A$89,0)+MATCH($D23,'[1]End - Use Prices'!$B$9:$B$11,0)-1,MATCH(X$1,'[1]End - Use Prices'!$C$7:$AL$7,0))</f>
        <v>23.05</v>
      </c>
      <c r="Y23" s="41">
        <f>INDEX('[1]End - Use Prices'!$C$6:$AL$89,MATCH($C23,'[1]End - Use Prices'!$A$6:$A$89,0)+MATCH($D23,'[1]End - Use Prices'!$B$9:$B$11,0)-1,MATCH(Y$1,'[1]End - Use Prices'!$C$7:$AL$7,0))</f>
        <v>26.62</v>
      </c>
      <c r="Z23" s="41">
        <f>INDEX('[1]End - Use Prices'!$C$6:$AL$89,MATCH($C23,'[1]End - Use Prices'!$A$6:$A$89,0)+MATCH($D23,'[1]End - Use Prices'!$B$9:$B$11,0)-1,MATCH(Z$1,'[1]End - Use Prices'!$C$7:$AL$7,0))</f>
        <v>25.75</v>
      </c>
      <c r="AA23" s="41">
        <f>INDEX('[1]End - Use Prices'!$C$6:$AL$89,MATCH($C23,'[1]End - Use Prices'!$A$6:$A$89,0)+MATCH($D23,'[1]End - Use Prices'!$B$9:$B$11,0)-1,MATCH(AA$1,'[1]End - Use Prices'!$C$7:$AL$7,0))</f>
        <v>24.75</v>
      </c>
      <c r="AB23" s="41">
        <f>INDEX('[1]End - Use Prices'!$C$6:$AL$89,MATCH($C23,'[1]End - Use Prices'!$A$6:$A$89,0)+MATCH($D23,'[1]End - Use Prices'!$B$9:$B$11,0)-1,MATCH(AB$1,'[1]End - Use Prices'!$C$7:$AL$7,0))</f>
        <v>25.57</v>
      </c>
      <c r="AC23" s="41">
        <f>INDEX('[1]End - Use Prices'!$C$6:$AL$89,MATCH($C23,'[1]End - Use Prices'!$A$6:$A$89,0)+MATCH($D23,'[1]End - Use Prices'!$B$9:$B$11,0)-1,MATCH(AC$1,'[1]End - Use Prices'!$C$7:$AL$7,0))</f>
        <v>24.86</v>
      </c>
      <c r="AD23" s="41">
        <f>INDEX('[1]End - Use Prices'!$C$6:$AL$89,MATCH($C23,'[1]End - Use Prices'!$A$6:$A$89,0)+MATCH($D23,'[1]End - Use Prices'!$B$9:$B$11,0)-1,MATCH(AD$1,'[1]End - Use Prices'!$C$7:$AL$7,0))</f>
        <v>24.33</v>
      </c>
      <c r="AE23" s="41">
        <f>INDEX('[1]End - Use Prices'!$C$6:$AL$89,MATCH($C23,'[1]End - Use Prices'!$A$6:$A$89,0)+MATCH($D23,'[1]End - Use Prices'!$B$9:$B$11,0)-1,MATCH(AE$1,'[1]End - Use Prices'!$C$7:$AL$7,0))</f>
        <v>24.26</v>
      </c>
      <c r="AF23" s="41">
        <f>INDEX('[1]End - Use Prices'!$C$6:$AL$89,MATCH($C23,'[1]End - Use Prices'!$A$6:$A$89,0)+MATCH($D23,'[1]End - Use Prices'!$B$9:$B$11,0)-1,MATCH(AF$1,'[1]End - Use Prices'!$C$7:$AL$7,0))</f>
        <v>24.24</v>
      </c>
      <c r="AG23" s="41">
        <f>INDEX('[1]End - Use Prices'!$C$6:$AL$89,MATCH($C23,'[1]End - Use Prices'!$A$6:$A$89,0)+MATCH($D23,'[1]End - Use Prices'!$B$9:$B$11,0)-1,MATCH(AG$1,'[1]End - Use Prices'!$C$7:$AL$7,0))</f>
        <v>24.48</v>
      </c>
      <c r="AH23" s="41">
        <f>INDEX('[1]End - Use Prices'!$C$6:$AL$89,MATCH($C23,'[1]End - Use Prices'!$A$6:$A$89,0)+MATCH($D23,'[1]End - Use Prices'!$B$9:$B$11,0)-1,MATCH(AH$1,'[1]End - Use Prices'!$C$7:$AL$7,0))</f>
        <v>25.13</v>
      </c>
      <c r="AI23" s="41">
        <f>INDEX('[1]End - Use Prices'!$C$6:$AL$89,MATCH($C23,'[1]End - Use Prices'!$A$6:$A$89,0)+MATCH($D23,'[1]End - Use Prices'!$B$9:$B$11,0)-1,MATCH(AI$1,'[1]End - Use Prices'!$C$7:$AL$7,0))</f>
        <v>25.1</v>
      </c>
      <c r="AJ23" s="41">
        <f>INDEX('[1]End - Use Prices'!$C$6:$AL$89,MATCH($C23,'[1]End - Use Prices'!$A$6:$A$89,0)+MATCH($D23,'[1]End - Use Prices'!$B$9:$B$11,0)-1,MATCH(AJ$1,'[1]End - Use Prices'!$C$7:$AL$7,0))</f>
        <v>25.35</v>
      </c>
      <c r="AK23" s="41">
        <f>INDEX('[1]End - Use Prices'!$C$6:$AL$89,MATCH($C23,'[1]End - Use Prices'!$A$6:$A$89,0)+MATCH($D23,'[1]End - Use Prices'!$B$9:$B$11,0)-1,MATCH(AK$1,'[1]End - Use Prices'!$C$7:$AL$7,0))</f>
        <v>25.6</v>
      </c>
      <c r="AL23" s="41">
        <f>INDEX('[1]End - Use Prices'!$C$6:$AL$89,MATCH($C23,'[1]End - Use Prices'!$A$6:$A$89,0)+MATCH($D23,'[1]End - Use Prices'!$B$9:$B$11,0)-1,MATCH(AL$1,'[1]End - Use Prices'!$C$7:$AL$7,0))</f>
        <v>25.86</v>
      </c>
      <c r="AM23" s="41">
        <f>INDEX('[1]End - Use Prices'!$C$6:$AL$89,MATCH($C23,'[1]End - Use Prices'!$A$6:$A$89,0)+MATCH($D23,'[1]End - Use Prices'!$B$9:$B$11,0)-1,MATCH(AM$1,'[1]End - Use Prices'!$C$7:$AL$7,0))</f>
        <v>26.11</v>
      </c>
      <c r="AN23" s="41">
        <f>INDEX('[1]End - Use Prices'!$C$6:$AL$89,MATCH($C23,'[1]End - Use Prices'!$A$6:$A$89,0)+MATCH($D23,'[1]End - Use Prices'!$B$9:$B$11,0)-1,MATCH(AN$1,'[1]End - Use Prices'!$C$7:$AL$7,0))</f>
        <v>26.37</v>
      </c>
      <c r="AO23" s="41">
        <f>INDEX('[1]End - Use Prices'!$C$6:$AL$89,MATCH($C23,'[1]End - Use Prices'!$A$6:$A$89,0)+MATCH($D23,'[1]End - Use Prices'!$B$9:$B$11,0)-1,MATCH(AO$1,'[1]End - Use Prices'!$C$7:$AL$7,0))</f>
        <v>26.64</v>
      </c>
      <c r="AP23" s="41">
        <f>INDEX('[1]End - Use Prices'!$C$6:$AL$89,MATCH($C23,'[1]End - Use Prices'!$A$6:$A$89,0)+MATCH($D23,'[1]End - Use Prices'!$B$9:$B$11,0)-1,MATCH(AP$1,'[1]End - Use Prices'!$C$7:$AL$7,0))</f>
        <v>26.9</v>
      </c>
      <c r="AQ23" s="41">
        <f>INDEX('[1]End - Use Prices'!$C$6:$AL$89,MATCH($C23,'[1]End - Use Prices'!$A$6:$A$89,0)+MATCH($D23,'[1]End - Use Prices'!$B$9:$B$11,0)-1,MATCH(AQ$1,'[1]End - Use Prices'!$C$7:$AL$7,0))</f>
        <v>27.17</v>
      </c>
      <c r="AR23" s="41">
        <f>INDEX('[1]End - Use Prices'!$C$6:$AL$89,MATCH($C23,'[1]End - Use Prices'!$A$6:$A$89,0)+MATCH($D23,'[1]End - Use Prices'!$B$9:$B$11,0)-1,MATCH(AR$1,'[1]End - Use Prices'!$C$7:$AL$7,0))</f>
        <v>27.44</v>
      </c>
      <c r="AS23" s="41">
        <f>INDEX('[1]End - Use Prices'!$C$6:$AL$89,MATCH($C23,'[1]End - Use Prices'!$A$6:$A$89,0)+MATCH($D23,'[1]End - Use Prices'!$B$9:$B$11,0)-1,MATCH(AS$1,'[1]End - Use Prices'!$C$7:$AL$7,0))</f>
        <v>27.72</v>
      </c>
      <c r="AT23" s="41">
        <f>INDEX('[1]End - Use Prices'!$C$6:$AL$89,MATCH($C23,'[1]End - Use Prices'!$A$6:$A$89,0)+MATCH($D23,'[1]End - Use Prices'!$B$9:$B$11,0)-1,MATCH(AT$1,'[1]End - Use Prices'!$C$7:$AL$7,0))</f>
        <v>27.99</v>
      </c>
      <c r="AU23" s="41">
        <f>INDEX('[1]End - Use Prices'!$C$6:$AL$89,MATCH($C23,'[1]End - Use Prices'!$A$6:$A$89,0)+MATCH($D23,'[1]End - Use Prices'!$B$9:$B$11,0)-1,MATCH(AU$1,'[1]End - Use Prices'!$C$7:$AL$7,0))</f>
        <v>28.27</v>
      </c>
      <c r="AV23" s="41">
        <f>INDEX('[1]End - Use Prices'!$C$6:$AL$89,MATCH($C23,'[1]End - Use Prices'!$A$6:$A$89,0)+MATCH($D23,'[1]End - Use Prices'!$B$9:$B$11,0)-1,MATCH(AV$1,'[1]End - Use Prices'!$C$7:$AL$7,0))</f>
        <v>28.55</v>
      </c>
      <c r="AW23" s="41">
        <f>INDEX('[1]End - Use Prices'!$C$6:$AL$89,MATCH($C23,'[1]End - Use Prices'!$A$6:$A$89,0)+MATCH($D23,'[1]End - Use Prices'!$B$9:$B$11,0)-1,MATCH(AW$1,'[1]End - Use Prices'!$C$7:$AL$7,0))</f>
        <v>28.84</v>
      </c>
      <c r="AX23" s="41">
        <f>INDEX('[1]End - Use Prices'!$C$6:$AL$89,MATCH($C23,'[1]End - Use Prices'!$A$6:$A$89,0)+MATCH($D23,'[1]End - Use Prices'!$B$9:$B$11,0)-1,MATCH(AX$1,'[1]End - Use Prices'!$C$7:$AL$7,0))</f>
        <v>29.12</v>
      </c>
      <c r="AY23" s="41">
        <f>INDEX('[1]End - Use Prices'!$C$6:$AL$89,MATCH($C23,'[1]End - Use Prices'!$A$6:$A$89,0)+MATCH($D23,'[1]End - Use Prices'!$B$9:$B$11,0)-1,MATCH(AY$1,'[1]End - Use Prices'!$C$7:$AL$7,0))</f>
        <v>29.41</v>
      </c>
      <c r="AZ23" s="41">
        <f>INDEX('[1]End - Use Prices'!$C$6:$AL$89,MATCH($C23,'[1]End - Use Prices'!$A$6:$A$89,0)+MATCH($D23,'[1]End - Use Prices'!$B$9:$B$11,0)-1,MATCH(AZ$1,'[1]End - Use Prices'!$C$7:$AL$7,0))</f>
        <v>29.71</v>
      </c>
      <c r="BA23" s="41">
        <f>INDEX('[1]End - Use Prices'!$C$6:$AL$89,MATCH($C23,'[1]End - Use Prices'!$A$6:$A$89,0)+MATCH($D23,'[1]End - Use Prices'!$B$9:$B$11,0)-1,MATCH(BA$1,'[1]End - Use Prices'!$C$7:$AL$7,0))</f>
        <v>30</v>
      </c>
      <c r="BB23" s="41">
        <f>INDEX('[1]End - Use Prices'!$C$6:$AL$89,MATCH($C23,'[1]End - Use Prices'!$A$6:$A$89,0)+MATCH($D23,'[1]End - Use Prices'!$B$9:$B$11,0)-1,MATCH(BB$1,'[1]End - Use Prices'!$C$7:$AL$7,0))</f>
        <v>30.3</v>
      </c>
      <c r="BC23" s="41">
        <f>INDEX('[1]End - Use Prices'!$C$6:$AL$89,MATCH($C23,'[1]End - Use Prices'!$A$6:$A$89,0)+MATCH($D23,'[1]End - Use Prices'!$B$9:$B$11,0)-1,MATCH(BC$1,'[1]End - Use Prices'!$C$7:$AL$7,0))</f>
        <v>30.6</v>
      </c>
      <c r="BD23" s="41">
        <f>INDEX('[1]End - Use Prices'!$C$6:$AL$89,MATCH($C23,'[1]End - Use Prices'!$A$6:$A$89,0)+MATCH($D23,'[1]End - Use Prices'!$B$9:$B$11,0)-1,MATCH(BD$1,'[1]End - Use Prices'!$C$7:$AL$7,0))</f>
        <v>30.91</v>
      </c>
      <c r="BE23" s="41">
        <f>INDEX('[1]End - Use Prices'!$C$6:$AL$89,MATCH($C23,'[1]End - Use Prices'!$A$6:$A$89,0)+MATCH($D23,'[1]End - Use Prices'!$B$9:$B$11,0)-1,MATCH(BE$1,'[1]End - Use Prices'!$C$7:$AL$7,0))</f>
        <v>31.22</v>
      </c>
      <c r="BF23" s="41">
        <f>INDEX('[1]End - Use Prices'!$C$6:$AL$89,MATCH($C23,'[1]End - Use Prices'!$A$6:$A$89,0)+MATCH($D23,'[1]End - Use Prices'!$B$9:$B$11,0)-1,MATCH(BF$1,'[1]End - Use Prices'!$C$7:$AL$7,0))</f>
        <v>31.53</v>
      </c>
      <c r="BG23" s="41">
        <f>INDEX('[1]End - Use Prices'!$C$6:$AL$89,MATCH($C23,'[1]End - Use Prices'!$A$6:$A$89,0)+MATCH($D23,'[1]End - Use Prices'!$B$9:$B$11,0)-1,MATCH(BG$1,'[1]End - Use Prices'!$C$7:$AL$7,0))</f>
        <v>31.84</v>
      </c>
      <c r="BR23" s="39"/>
      <c r="BS23" s="39"/>
      <c r="BT23" s="39"/>
      <c r="BU23" s="39"/>
      <c r="BV23" s="39"/>
      <c r="BW23" s="39"/>
      <c r="BX23" s="39"/>
      <c r="BY23" s="39"/>
      <c r="BZ23" s="39"/>
      <c r="CA23" s="39"/>
    </row>
    <row r="24" spans="1:79" x14ac:dyDescent="0.25">
      <c r="A24" s="5"/>
      <c r="B24" s="3"/>
      <c r="C24" s="25" t="s">
        <v>92</v>
      </c>
      <c r="D24" s="25" t="s">
        <v>2</v>
      </c>
      <c r="E24" s="25" t="s">
        <v>313</v>
      </c>
      <c r="F24" s="74" t="s">
        <v>310</v>
      </c>
      <c r="G24" s="54">
        <f t="shared" si="8"/>
        <v>36.92</v>
      </c>
      <c r="H24" s="34">
        <f t="shared" si="9"/>
        <v>36.92</v>
      </c>
      <c r="I24" s="34">
        <f t="shared" si="9"/>
        <v>39.14</v>
      </c>
      <c r="J24" s="34">
        <f t="shared" si="9"/>
        <v>48.73</v>
      </c>
      <c r="K24" s="34">
        <f t="shared" si="9"/>
        <v>60.89</v>
      </c>
      <c r="L24" s="34">
        <f t="shared" si="9"/>
        <v>63.81</v>
      </c>
      <c r="M24" s="34">
        <f t="shared" si="9"/>
        <v>66.47</v>
      </c>
      <c r="N24" s="34">
        <f t="shared" si="9"/>
        <v>69.05</v>
      </c>
      <c r="O24" s="34">
        <f t="shared" si="9"/>
        <v>71.69</v>
      </c>
      <c r="P24" s="54">
        <f t="shared" ref="P24:Q24" si="16">O24</f>
        <v>71.69</v>
      </c>
      <c r="Q24" s="54">
        <f t="shared" si="16"/>
        <v>71.69</v>
      </c>
      <c r="R24" s="38"/>
      <c r="X24" s="41">
        <f>INDEX('[1]End - Use Prices'!$C$6:$AL$89,MATCH($C24,'[1]End - Use Prices'!$A$6:$A$89,0)+MATCH($D24,'[1]End - Use Prices'!$B$9:$B$11,0)-1,MATCH(X$1,'[1]End - Use Prices'!$C$7:$AL$7,0))</f>
        <v>36.92</v>
      </c>
      <c r="Y24" s="41">
        <f>INDEX('[1]End - Use Prices'!$C$6:$AL$89,MATCH($C24,'[1]End - Use Prices'!$A$6:$A$89,0)+MATCH($D24,'[1]End - Use Prices'!$B$9:$B$11,0)-1,MATCH(Y$1,'[1]End - Use Prices'!$C$7:$AL$7,0))</f>
        <v>40.86</v>
      </c>
      <c r="Z24" s="41">
        <f>INDEX('[1]End - Use Prices'!$C$6:$AL$89,MATCH($C24,'[1]End - Use Prices'!$A$6:$A$89,0)+MATCH($D24,'[1]End - Use Prices'!$B$9:$B$11,0)-1,MATCH(Z$1,'[1]End - Use Prices'!$C$7:$AL$7,0))</f>
        <v>40.64</v>
      </c>
      <c r="AA24" s="41">
        <f>INDEX('[1]End - Use Prices'!$C$6:$AL$89,MATCH($C24,'[1]End - Use Prices'!$A$6:$A$89,0)+MATCH($D24,'[1]End - Use Prices'!$B$9:$B$11,0)-1,MATCH(AA$1,'[1]End - Use Prices'!$C$7:$AL$7,0))</f>
        <v>37.31</v>
      </c>
      <c r="AB24" s="41">
        <f>INDEX('[1]End - Use Prices'!$C$6:$AL$89,MATCH($C24,'[1]End - Use Prices'!$A$6:$A$89,0)+MATCH($D24,'[1]End - Use Prices'!$B$9:$B$11,0)-1,MATCH(AB$1,'[1]End - Use Prices'!$C$7:$AL$7,0))</f>
        <v>39.53</v>
      </c>
      <c r="AC24" s="41">
        <f>INDEX('[1]End - Use Prices'!$C$6:$AL$89,MATCH($C24,'[1]End - Use Prices'!$A$6:$A$89,0)+MATCH($D24,'[1]End - Use Prices'!$B$9:$B$11,0)-1,MATCH(AC$1,'[1]End - Use Prices'!$C$7:$AL$7,0))</f>
        <v>39.14</v>
      </c>
      <c r="AD24" s="41">
        <f>INDEX('[1]End - Use Prices'!$C$6:$AL$89,MATCH($C24,'[1]End - Use Prices'!$A$6:$A$89,0)+MATCH($D24,'[1]End - Use Prices'!$B$9:$B$11,0)-1,MATCH(AD$1,'[1]End - Use Prices'!$C$7:$AL$7,0))</f>
        <v>40.4</v>
      </c>
      <c r="AE24" s="41">
        <f>INDEX('[1]End - Use Prices'!$C$6:$AL$89,MATCH($C24,'[1]End - Use Prices'!$A$6:$A$89,0)+MATCH($D24,'[1]End - Use Prices'!$B$9:$B$11,0)-1,MATCH(AE$1,'[1]End - Use Prices'!$C$7:$AL$7,0))</f>
        <v>42.06</v>
      </c>
      <c r="AF24" s="41">
        <f>INDEX('[1]End - Use Prices'!$C$6:$AL$89,MATCH($C24,'[1]End - Use Prices'!$A$6:$A$89,0)+MATCH($D24,'[1]End - Use Prices'!$B$9:$B$11,0)-1,MATCH(AF$1,'[1]End - Use Prices'!$C$7:$AL$7,0))</f>
        <v>42.96</v>
      </c>
      <c r="AG24" s="41">
        <f>INDEX('[1]End - Use Prices'!$C$6:$AL$89,MATCH($C24,'[1]End - Use Prices'!$A$6:$A$89,0)+MATCH($D24,'[1]End - Use Prices'!$B$9:$B$11,0)-1,MATCH(AG$1,'[1]End - Use Prices'!$C$7:$AL$7,0))</f>
        <v>46.39</v>
      </c>
      <c r="AH24" s="41">
        <f>INDEX('[1]End - Use Prices'!$C$6:$AL$89,MATCH($C24,'[1]End - Use Prices'!$A$6:$A$89,0)+MATCH($D24,'[1]End - Use Prices'!$B$9:$B$11,0)-1,MATCH(AH$1,'[1]End - Use Prices'!$C$7:$AL$7,0))</f>
        <v>48.73</v>
      </c>
      <c r="AI24" s="41">
        <f>INDEX('[1]End - Use Prices'!$C$6:$AL$89,MATCH($C24,'[1]End - Use Prices'!$A$6:$A$89,0)+MATCH($D24,'[1]End - Use Prices'!$B$9:$B$11,0)-1,MATCH(AI$1,'[1]End - Use Prices'!$C$7:$AL$7,0))</f>
        <v>58.38</v>
      </c>
      <c r="AJ24" s="41">
        <f>INDEX('[1]End - Use Prices'!$C$6:$AL$89,MATCH($C24,'[1]End - Use Prices'!$A$6:$A$89,0)+MATCH($D24,'[1]End - Use Prices'!$B$9:$B$11,0)-1,MATCH(AJ$1,'[1]End - Use Prices'!$C$7:$AL$7,0))</f>
        <v>58.96</v>
      </c>
      <c r="AK24" s="41">
        <f>INDEX('[1]End - Use Prices'!$C$6:$AL$89,MATCH($C24,'[1]End - Use Prices'!$A$6:$A$89,0)+MATCH($D24,'[1]End - Use Prices'!$B$9:$B$11,0)-1,MATCH(AK$1,'[1]End - Use Prices'!$C$7:$AL$7,0))</f>
        <v>59.62</v>
      </c>
      <c r="AL24" s="41">
        <f>INDEX('[1]End - Use Prices'!$C$6:$AL$89,MATCH($C24,'[1]End - Use Prices'!$A$6:$A$89,0)+MATCH($D24,'[1]End - Use Prices'!$B$9:$B$11,0)-1,MATCH(AL$1,'[1]End - Use Prices'!$C$7:$AL$7,0))</f>
        <v>60.27</v>
      </c>
      <c r="AM24" s="41">
        <f>INDEX('[1]End - Use Prices'!$C$6:$AL$89,MATCH($C24,'[1]End - Use Prices'!$A$6:$A$89,0)+MATCH($D24,'[1]End - Use Prices'!$B$9:$B$11,0)-1,MATCH(AM$1,'[1]End - Use Prices'!$C$7:$AL$7,0))</f>
        <v>60.89</v>
      </c>
      <c r="AN24" s="41">
        <f>INDEX('[1]End - Use Prices'!$C$6:$AL$89,MATCH($C24,'[1]End - Use Prices'!$A$6:$A$89,0)+MATCH($D24,'[1]End - Use Prices'!$B$9:$B$11,0)-1,MATCH(AN$1,'[1]End - Use Prices'!$C$7:$AL$7,0))</f>
        <v>61.51</v>
      </c>
      <c r="AO24" s="41">
        <f>INDEX('[1]End - Use Prices'!$C$6:$AL$89,MATCH($C24,'[1]End - Use Prices'!$A$6:$A$89,0)+MATCH($D24,'[1]End - Use Prices'!$B$9:$B$11,0)-1,MATCH(AO$1,'[1]End - Use Prices'!$C$7:$AL$7,0))</f>
        <v>62.1</v>
      </c>
      <c r="AP24" s="41">
        <f>INDEX('[1]End - Use Prices'!$C$6:$AL$89,MATCH($C24,'[1]End - Use Prices'!$A$6:$A$89,0)+MATCH($D24,'[1]End - Use Prices'!$B$9:$B$11,0)-1,MATCH(AP$1,'[1]End - Use Prices'!$C$7:$AL$7,0))</f>
        <v>62.68</v>
      </c>
      <c r="AQ24" s="41">
        <f>INDEX('[1]End - Use Prices'!$C$6:$AL$89,MATCH($C24,'[1]End - Use Prices'!$A$6:$A$89,0)+MATCH($D24,'[1]End - Use Prices'!$B$9:$B$11,0)-1,MATCH(AQ$1,'[1]End - Use Prices'!$C$7:$AL$7,0))</f>
        <v>63.25</v>
      </c>
      <c r="AR24" s="41">
        <f>INDEX('[1]End - Use Prices'!$C$6:$AL$89,MATCH($C24,'[1]End - Use Prices'!$A$6:$A$89,0)+MATCH($D24,'[1]End - Use Prices'!$B$9:$B$11,0)-1,MATCH(AR$1,'[1]End - Use Prices'!$C$7:$AL$7,0))</f>
        <v>63.81</v>
      </c>
      <c r="AS24" s="41">
        <f>INDEX('[1]End - Use Prices'!$C$6:$AL$89,MATCH($C24,'[1]End - Use Prices'!$A$6:$A$89,0)+MATCH($D24,'[1]End - Use Prices'!$B$9:$B$11,0)-1,MATCH(AS$1,'[1]End - Use Prices'!$C$7:$AL$7,0))</f>
        <v>64.36</v>
      </c>
      <c r="AT24" s="41">
        <f>INDEX('[1]End - Use Prices'!$C$6:$AL$89,MATCH($C24,'[1]End - Use Prices'!$A$6:$A$89,0)+MATCH($D24,'[1]End - Use Prices'!$B$9:$B$11,0)-1,MATCH(AT$1,'[1]End - Use Prices'!$C$7:$AL$7,0))</f>
        <v>64.900000000000006</v>
      </c>
      <c r="AU24" s="41">
        <f>INDEX('[1]End - Use Prices'!$C$6:$AL$89,MATCH($C24,'[1]End - Use Prices'!$A$6:$A$89,0)+MATCH($D24,'[1]End - Use Prices'!$B$9:$B$11,0)-1,MATCH(AU$1,'[1]End - Use Prices'!$C$7:$AL$7,0))</f>
        <v>65.430000000000007</v>
      </c>
      <c r="AV24" s="41">
        <f>INDEX('[1]End - Use Prices'!$C$6:$AL$89,MATCH($C24,'[1]End - Use Prices'!$A$6:$A$89,0)+MATCH($D24,'[1]End - Use Prices'!$B$9:$B$11,0)-1,MATCH(AV$1,'[1]End - Use Prices'!$C$7:$AL$7,0))</f>
        <v>65.95</v>
      </c>
      <c r="AW24" s="41">
        <f>INDEX('[1]End - Use Prices'!$C$6:$AL$89,MATCH($C24,'[1]End - Use Prices'!$A$6:$A$89,0)+MATCH($D24,'[1]End - Use Prices'!$B$9:$B$11,0)-1,MATCH(AW$1,'[1]End - Use Prices'!$C$7:$AL$7,0))</f>
        <v>66.47</v>
      </c>
      <c r="AX24" s="41">
        <f>INDEX('[1]End - Use Prices'!$C$6:$AL$89,MATCH($C24,'[1]End - Use Prices'!$A$6:$A$89,0)+MATCH($D24,'[1]End - Use Prices'!$B$9:$B$11,0)-1,MATCH(AX$1,'[1]End - Use Prices'!$C$7:$AL$7,0))</f>
        <v>66.989999999999995</v>
      </c>
      <c r="AY24" s="41">
        <f>INDEX('[1]End - Use Prices'!$C$6:$AL$89,MATCH($C24,'[1]End - Use Prices'!$A$6:$A$89,0)+MATCH($D24,'[1]End - Use Prices'!$B$9:$B$11,0)-1,MATCH(AY$1,'[1]End - Use Prices'!$C$7:$AL$7,0))</f>
        <v>67.510000000000005</v>
      </c>
      <c r="AZ24" s="41">
        <f>INDEX('[1]End - Use Prices'!$C$6:$AL$89,MATCH($C24,'[1]End - Use Prices'!$A$6:$A$89,0)+MATCH($D24,'[1]End - Use Prices'!$B$9:$B$11,0)-1,MATCH(AZ$1,'[1]End - Use Prices'!$C$7:$AL$7,0))</f>
        <v>68.02</v>
      </c>
      <c r="BA24" s="41">
        <f>INDEX('[1]End - Use Prices'!$C$6:$AL$89,MATCH($C24,'[1]End - Use Prices'!$A$6:$A$89,0)+MATCH($D24,'[1]End - Use Prices'!$B$9:$B$11,0)-1,MATCH(BA$1,'[1]End - Use Prices'!$C$7:$AL$7,0))</f>
        <v>68.53</v>
      </c>
      <c r="BB24" s="41">
        <f>INDEX('[1]End - Use Prices'!$C$6:$AL$89,MATCH($C24,'[1]End - Use Prices'!$A$6:$A$89,0)+MATCH($D24,'[1]End - Use Prices'!$B$9:$B$11,0)-1,MATCH(BB$1,'[1]End - Use Prices'!$C$7:$AL$7,0))</f>
        <v>69.05</v>
      </c>
      <c r="BC24" s="41">
        <f>INDEX('[1]End - Use Prices'!$C$6:$AL$89,MATCH($C24,'[1]End - Use Prices'!$A$6:$A$89,0)+MATCH($D24,'[1]End - Use Prices'!$B$9:$B$11,0)-1,MATCH(BC$1,'[1]End - Use Prices'!$C$7:$AL$7,0))</f>
        <v>69.569999999999993</v>
      </c>
      <c r="BD24" s="41">
        <f>INDEX('[1]End - Use Prices'!$C$6:$AL$89,MATCH($C24,'[1]End - Use Prices'!$A$6:$A$89,0)+MATCH($D24,'[1]End - Use Prices'!$B$9:$B$11,0)-1,MATCH(BD$1,'[1]End - Use Prices'!$C$7:$AL$7,0))</f>
        <v>70.09</v>
      </c>
      <c r="BE24" s="41">
        <f>INDEX('[1]End - Use Prices'!$C$6:$AL$89,MATCH($C24,'[1]End - Use Prices'!$A$6:$A$89,0)+MATCH($D24,'[1]End - Use Prices'!$B$9:$B$11,0)-1,MATCH(BE$1,'[1]End - Use Prices'!$C$7:$AL$7,0))</f>
        <v>70.62</v>
      </c>
      <c r="BF24" s="41">
        <f>INDEX('[1]End - Use Prices'!$C$6:$AL$89,MATCH($C24,'[1]End - Use Prices'!$A$6:$A$89,0)+MATCH($D24,'[1]End - Use Prices'!$B$9:$B$11,0)-1,MATCH(BF$1,'[1]End - Use Prices'!$C$7:$AL$7,0))</f>
        <v>71.150000000000006</v>
      </c>
      <c r="BG24" s="41">
        <f>INDEX('[1]End - Use Prices'!$C$6:$AL$89,MATCH($C24,'[1]End - Use Prices'!$A$6:$A$89,0)+MATCH($D24,'[1]End - Use Prices'!$B$9:$B$11,0)-1,MATCH(BG$1,'[1]End - Use Prices'!$C$7:$AL$7,0))</f>
        <v>71.69</v>
      </c>
      <c r="BR24" s="39"/>
      <c r="BS24" s="39"/>
      <c r="BT24" s="39"/>
      <c r="BU24" s="39"/>
      <c r="BV24" s="39"/>
      <c r="BW24" s="39"/>
      <c r="BX24" s="39"/>
      <c r="BY24" s="39"/>
      <c r="BZ24" s="39"/>
      <c r="CA24" s="39"/>
    </row>
    <row r="25" spans="1:79" x14ac:dyDescent="0.25">
      <c r="A25" s="5"/>
      <c r="B25" s="3"/>
      <c r="C25" s="25" t="s">
        <v>93</v>
      </c>
      <c r="D25" s="25" t="s">
        <v>2</v>
      </c>
      <c r="E25" s="25" t="s">
        <v>313</v>
      </c>
      <c r="F25" s="74" t="s">
        <v>310</v>
      </c>
      <c r="G25" s="54">
        <f t="shared" si="8"/>
        <v>23.08</v>
      </c>
      <c r="H25" s="34">
        <f t="shared" si="9"/>
        <v>23.08</v>
      </c>
      <c r="I25" s="34">
        <f t="shared" si="9"/>
        <v>24.17</v>
      </c>
      <c r="J25" s="34">
        <f t="shared" si="9"/>
        <v>26.03</v>
      </c>
      <c r="K25" s="34">
        <f t="shared" si="9"/>
        <v>28.24</v>
      </c>
      <c r="L25" s="34">
        <f t="shared" si="9"/>
        <v>29.99</v>
      </c>
      <c r="M25" s="34">
        <f t="shared" si="9"/>
        <v>31.58</v>
      </c>
      <c r="N25" s="34">
        <f t="shared" si="9"/>
        <v>32.82</v>
      </c>
      <c r="O25" s="34">
        <f t="shared" si="9"/>
        <v>33.51</v>
      </c>
      <c r="P25" s="54">
        <f t="shared" ref="P25:Q25" si="17">O25</f>
        <v>33.51</v>
      </c>
      <c r="Q25" s="54">
        <f t="shared" si="17"/>
        <v>33.51</v>
      </c>
      <c r="R25" s="38"/>
      <c r="X25" s="41">
        <f>INDEX('[1]End - Use Prices'!$C$6:$AL$89,MATCH($C25,'[1]End - Use Prices'!$A$6:$A$89,0)+MATCH($D25,'[1]End - Use Prices'!$B$9:$B$11,0)-1,MATCH(X$1,'[1]End - Use Prices'!$C$7:$AL$7,0))</f>
        <v>23.08</v>
      </c>
      <c r="Y25" s="41">
        <f>INDEX('[1]End - Use Prices'!$C$6:$AL$89,MATCH($C25,'[1]End - Use Prices'!$A$6:$A$89,0)+MATCH($D25,'[1]End - Use Prices'!$B$9:$B$11,0)-1,MATCH(Y$1,'[1]End - Use Prices'!$C$7:$AL$7,0))</f>
        <v>23.95</v>
      </c>
      <c r="Z25" s="41">
        <f>INDEX('[1]End - Use Prices'!$C$6:$AL$89,MATCH($C25,'[1]End - Use Prices'!$A$6:$A$89,0)+MATCH($D25,'[1]End - Use Prices'!$B$9:$B$11,0)-1,MATCH(Z$1,'[1]End - Use Prices'!$C$7:$AL$7,0))</f>
        <v>23.39</v>
      </c>
      <c r="AA25" s="41">
        <f>INDEX('[1]End - Use Prices'!$C$6:$AL$89,MATCH($C25,'[1]End - Use Prices'!$A$6:$A$89,0)+MATCH($D25,'[1]End - Use Prices'!$B$9:$B$11,0)-1,MATCH(AA$1,'[1]End - Use Prices'!$C$7:$AL$7,0))</f>
        <v>22.1</v>
      </c>
      <c r="AB25" s="41">
        <f>INDEX('[1]End - Use Prices'!$C$6:$AL$89,MATCH($C25,'[1]End - Use Prices'!$A$6:$A$89,0)+MATCH($D25,'[1]End - Use Prices'!$B$9:$B$11,0)-1,MATCH(AB$1,'[1]End - Use Prices'!$C$7:$AL$7,0))</f>
        <v>24.37</v>
      </c>
      <c r="AC25" s="41">
        <f>INDEX('[1]End - Use Prices'!$C$6:$AL$89,MATCH($C25,'[1]End - Use Prices'!$A$6:$A$89,0)+MATCH($D25,'[1]End - Use Prices'!$B$9:$B$11,0)-1,MATCH(AC$1,'[1]End - Use Prices'!$C$7:$AL$7,0))</f>
        <v>24.17</v>
      </c>
      <c r="AD25" s="41">
        <f>INDEX('[1]End - Use Prices'!$C$6:$AL$89,MATCH($C25,'[1]End - Use Prices'!$A$6:$A$89,0)+MATCH($D25,'[1]End - Use Prices'!$B$9:$B$11,0)-1,MATCH(AD$1,'[1]End - Use Prices'!$C$7:$AL$7,0))</f>
        <v>24.13</v>
      </c>
      <c r="AE25" s="41">
        <f>INDEX('[1]End - Use Prices'!$C$6:$AL$89,MATCH($C25,'[1]End - Use Prices'!$A$6:$A$89,0)+MATCH($D25,'[1]End - Use Prices'!$B$9:$B$11,0)-1,MATCH(AE$1,'[1]End - Use Prices'!$C$7:$AL$7,0))</f>
        <v>24.35</v>
      </c>
      <c r="AF25" s="41">
        <f>INDEX('[1]End - Use Prices'!$C$6:$AL$89,MATCH($C25,'[1]End - Use Prices'!$A$6:$A$89,0)+MATCH($D25,'[1]End - Use Prices'!$B$9:$B$11,0)-1,MATCH(AF$1,'[1]End - Use Prices'!$C$7:$AL$7,0))</f>
        <v>24.49</v>
      </c>
      <c r="AG25" s="41">
        <f>INDEX('[1]End - Use Prices'!$C$6:$AL$89,MATCH($C25,'[1]End - Use Prices'!$A$6:$A$89,0)+MATCH($D25,'[1]End - Use Prices'!$B$9:$B$11,0)-1,MATCH(AG$1,'[1]End - Use Prices'!$C$7:$AL$7,0))</f>
        <v>25.11</v>
      </c>
      <c r="AH25" s="41">
        <f>INDEX('[1]End - Use Prices'!$C$6:$AL$89,MATCH($C25,'[1]End - Use Prices'!$A$6:$A$89,0)+MATCH($D25,'[1]End - Use Prices'!$B$9:$B$11,0)-1,MATCH(AH$1,'[1]End - Use Prices'!$C$7:$AL$7,0))</f>
        <v>26.03</v>
      </c>
      <c r="AI25" s="41">
        <f>INDEX('[1]End - Use Prices'!$C$6:$AL$89,MATCH($C25,'[1]End - Use Prices'!$A$6:$A$89,0)+MATCH($D25,'[1]End - Use Prices'!$B$9:$B$11,0)-1,MATCH(AI$1,'[1]End - Use Prices'!$C$7:$AL$7,0))</f>
        <v>26.89</v>
      </c>
      <c r="AJ25" s="41">
        <f>INDEX('[1]End - Use Prices'!$C$6:$AL$89,MATCH($C25,'[1]End - Use Prices'!$A$6:$A$89,0)+MATCH($D25,'[1]End - Use Prices'!$B$9:$B$11,0)-1,MATCH(AJ$1,'[1]End - Use Prices'!$C$7:$AL$7,0))</f>
        <v>27.19</v>
      </c>
      <c r="AK25" s="41">
        <f>INDEX('[1]End - Use Prices'!$C$6:$AL$89,MATCH($C25,'[1]End - Use Prices'!$A$6:$A$89,0)+MATCH($D25,'[1]End - Use Prices'!$B$9:$B$11,0)-1,MATCH(AK$1,'[1]End - Use Prices'!$C$7:$AL$7,0))</f>
        <v>27.53</v>
      </c>
      <c r="AL25" s="41">
        <f>INDEX('[1]End - Use Prices'!$C$6:$AL$89,MATCH($C25,'[1]End - Use Prices'!$A$6:$A$89,0)+MATCH($D25,'[1]End - Use Prices'!$B$9:$B$11,0)-1,MATCH(AL$1,'[1]End - Use Prices'!$C$7:$AL$7,0))</f>
        <v>27.88</v>
      </c>
      <c r="AM25" s="41">
        <f>INDEX('[1]End - Use Prices'!$C$6:$AL$89,MATCH($C25,'[1]End - Use Prices'!$A$6:$A$89,0)+MATCH($D25,'[1]End - Use Prices'!$B$9:$B$11,0)-1,MATCH(AM$1,'[1]End - Use Prices'!$C$7:$AL$7,0))</f>
        <v>28.24</v>
      </c>
      <c r="AN25" s="41">
        <f>INDEX('[1]End - Use Prices'!$C$6:$AL$89,MATCH($C25,'[1]End - Use Prices'!$A$6:$A$89,0)+MATCH($D25,'[1]End - Use Prices'!$B$9:$B$11,0)-1,MATCH(AN$1,'[1]End - Use Prices'!$C$7:$AL$7,0))</f>
        <v>28.59</v>
      </c>
      <c r="AO25" s="41">
        <f>INDEX('[1]End - Use Prices'!$C$6:$AL$89,MATCH($C25,'[1]End - Use Prices'!$A$6:$A$89,0)+MATCH($D25,'[1]End - Use Prices'!$B$9:$B$11,0)-1,MATCH(AO$1,'[1]End - Use Prices'!$C$7:$AL$7,0))</f>
        <v>28.94</v>
      </c>
      <c r="AP25" s="41">
        <f>INDEX('[1]End - Use Prices'!$C$6:$AL$89,MATCH($C25,'[1]End - Use Prices'!$A$6:$A$89,0)+MATCH($D25,'[1]End - Use Prices'!$B$9:$B$11,0)-1,MATCH(AP$1,'[1]End - Use Prices'!$C$7:$AL$7,0))</f>
        <v>29.29</v>
      </c>
      <c r="AQ25" s="41">
        <f>INDEX('[1]End - Use Prices'!$C$6:$AL$89,MATCH($C25,'[1]End - Use Prices'!$A$6:$A$89,0)+MATCH($D25,'[1]End - Use Prices'!$B$9:$B$11,0)-1,MATCH(AQ$1,'[1]End - Use Prices'!$C$7:$AL$7,0))</f>
        <v>29.64</v>
      </c>
      <c r="AR25" s="41">
        <f>INDEX('[1]End - Use Prices'!$C$6:$AL$89,MATCH($C25,'[1]End - Use Prices'!$A$6:$A$89,0)+MATCH($D25,'[1]End - Use Prices'!$B$9:$B$11,0)-1,MATCH(AR$1,'[1]End - Use Prices'!$C$7:$AL$7,0))</f>
        <v>29.99</v>
      </c>
      <c r="AS25" s="41">
        <f>INDEX('[1]End - Use Prices'!$C$6:$AL$89,MATCH($C25,'[1]End - Use Prices'!$A$6:$A$89,0)+MATCH($D25,'[1]End - Use Prices'!$B$9:$B$11,0)-1,MATCH(AS$1,'[1]End - Use Prices'!$C$7:$AL$7,0))</f>
        <v>30.32</v>
      </c>
      <c r="AT25" s="41">
        <f>INDEX('[1]End - Use Prices'!$C$6:$AL$89,MATCH($C25,'[1]End - Use Prices'!$A$6:$A$89,0)+MATCH($D25,'[1]End - Use Prices'!$B$9:$B$11,0)-1,MATCH(AT$1,'[1]End - Use Prices'!$C$7:$AL$7,0))</f>
        <v>30.65</v>
      </c>
      <c r="AU25" s="41">
        <f>INDEX('[1]End - Use Prices'!$C$6:$AL$89,MATCH($C25,'[1]End - Use Prices'!$A$6:$A$89,0)+MATCH($D25,'[1]End - Use Prices'!$B$9:$B$11,0)-1,MATCH(AU$1,'[1]End - Use Prices'!$C$7:$AL$7,0))</f>
        <v>30.97</v>
      </c>
      <c r="AV25" s="41">
        <f>INDEX('[1]End - Use Prices'!$C$6:$AL$89,MATCH($C25,'[1]End - Use Prices'!$A$6:$A$89,0)+MATCH($D25,'[1]End - Use Prices'!$B$9:$B$11,0)-1,MATCH(AV$1,'[1]End - Use Prices'!$C$7:$AL$7,0))</f>
        <v>31.28</v>
      </c>
      <c r="AW25" s="41">
        <f>INDEX('[1]End - Use Prices'!$C$6:$AL$89,MATCH($C25,'[1]End - Use Prices'!$A$6:$A$89,0)+MATCH($D25,'[1]End - Use Prices'!$B$9:$B$11,0)-1,MATCH(AW$1,'[1]End - Use Prices'!$C$7:$AL$7,0))</f>
        <v>31.58</v>
      </c>
      <c r="AX25" s="41">
        <f>INDEX('[1]End - Use Prices'!$C$6:$AL$89,MATCH($C25,'[1]End - Use Prices'!$A$6:$A$89,0)+MATCH($D25,'[1]End - Use Prices'!$B$9:$B$11,0)-1,MATCH(AX$1,'[1]End - Use Prices'!$C$7:$AL$7,0))</f>
        <v>31.86</v>
      </c>
      <c r="AY25" s="41">
        <f>INDEX('[1]End - Use Prices'!$C$6:$AL$89,MATCH($C25,'[1]End - Use Prices'!$A$6:$A$89,0)+MATCH($D25,'[1]End - Use Prices'!$B$9:$B$11,0)-1,MATCH(AY$1,'[1]End - Use Prices'!$C$7:$AL$7,0))</f>
        <v>32.130000000000003</v>
      </c>
      <c r="AZ25" s="41">
        <f>INDEX('[1]End - Use Prices'!$C$6:$AL$89,MATCH($C25,'[1]End - Use Prices'!$A$6:$A$89,0)+MATCH($D25,'[1]End - Use Prices'!$B$9:$B$11,0)-1,MATCH(AZ$1,'[1]End - Use Prices'!$C$7:$AL$7,0))</f>
        <v>32.380000000000003</v>
      </c>
      <c r="BA25" s="41">
        <f>INDEX('[1]End - Use Prices'!$C$6:$AL$89,MATCH($C25,'[1]End - Use Prices'!$A$6:$A$89,0)+MATCH($D25,'[1]End - Use Prices'!$B$9:$B$11,0)-1,MATCH(BA$1,'[1]End - Use Prices'!$C$7:$AL$7,0))</f>
        <v>32.61</v>
      </c>
      <c r="BB25" s="41">
        <f>INDEX('[1]End - Use Prices'!$C$6:$AL$89,MATCH($C25,'[1]End - Use Prices'!$A$6:$A$89,0)+MATCH($D25,'[1]End - Use Prices'!$B$9:$B$11,0)-1,MATCH(BB$1,'[1]End - Use Prices'!$C$7:$AL$7,0))</f>
        <v>32.82</v>
      </c>
      <c r="BC25" s="41">
        <f>INDEX('[1]End - Use Prices'!$C$6:$AL$89,MATCH($C25,'[1]End - Use Prices'!$A$6:$A$89,0)+MATCH($D25,'[1]End - Use Prices'!$B$9:$B$11,0)-1,MATCH(BC$1,'[1]End - Use Prices'!$C$7:$AL$7,0))</f>
        <v>33.01</v>
      </c>
      <c r="BD25" s="41">
        <f>INDEX('[1]End - Use Prices'!$C$6:$AL$89,MATCH($C25,'[1]End - Use Prices'!$A$6:$A$89,0)+MATCH($D25,'[1]End - Use Prices'!$B$9:$B$11,0)-1,MATCH(BD$1,'[1]End - Use Prices'!$C$7:$AL$7,0))</f>
        <v>33.17</v>
      </c>
      <c r="BE25" s="41">
        <f>INDEX('[1]End - Use Prices'!$C$6:$AL$89,MATCH($C25,'[1]End - Use Prices'!$A$6:$A$89,0)+MATCH($D25,'[1]End - Use Prices'!$B$9:$B$11,0)-1,MATCH(BE$1,'[1]End - Use Prices'!$C$7:$AL$7,0))</f>
        <v>33.31</v>
      </c>
      <c r="BF25" s="41">
        <f>INDEX('[1]End - Use Prices'!$C$6:$AL$89,MATCH($C25,'[1]End - Use Prices'!$A$6:$A$89,0)+MATCH($D25,'[1]End - Use Prices'!$B$9:$B$11,0)-1,MATCH(BF$1,'[1]End - Use Prices'!$C$7:$AL$7,0))</f>
        <v>33.43</v>
      </c>
      <c r="BG25" s="41">
        <f>INDEX('[1]End - Use Prices'!$C$6:$AL$89,MATCH($C25,'[1]End - Use Prices'!$A$6:$A$89,0)+MATCH($D25,'[1]End - Use Prices'!$B$9:$B$11,0)-1,MATCH(BG$1,'[1]End - Use Prices'!$C$7:$AL$7,0))</f>
        <v>33.51</v>
      </c>
      <c r="BR25" s="39"/>
      <c r="BS25" s="39"/>
      <c r="BT25" s="39"/>
      <c r="BU25" s="39"/>
      <c r="BV25" s="39"/>
      <c r="BW25" s="39"/>
      <c r="BX25" s="39"/>
      <c r="BY25" s="39"/>
      <c r="BZ25" s="39"/>
      <c r="CA25" s="39"/>
    </row>
    <row r="26" spans="1:79" x14ac:dyDescent="0.25">
      <c r="A26" s="5"/>
      <c r="B26" s="3"/>
      <c r="C26" s="25" t="s">
        <v>94</v>
      </c>
      <c r="D26" s="25" t="s">
        <v>2</v>
      </c>
      <c r="E26" s="25" t="s">
        <v>313</v>
      </c>
      <c r="F26" s="74" t="s">
        <v>310</v>
      </c>
      <c r="G26" s="54">
        <f t="shared" si="8"/>
        <v>36.07</v>
      </c>
      <c r="H26" s="34">
        <f t="shared" si="9"/>
        <v>36.07</v>
      </c>
      <c r="I26" s="34">
        <f t="shared" si="9"/>
        <v>42.93</v>
      </c>
      <c r="J26" s="34">
        <f t="shared" si="9"/>
        <v>48.06</v>
      </c>
      <c r="K26" s="34">
        <f t="shared" si="9"/>
        <v>51.84</v>
      </c>
      <c r="L26" s="34">
        <f t="shared" si="9"/>
        <v>54.59</v>
      </c>
      <c r="M26" s="34">
        <f t="shared" si="9"/>
        <v>56.35</v>
      </c>
      <c r="N26" s="34">
        <f t="shared" si="9"/>
        <v>57.81</v>
      </c>
      <c r="O26" s="34">
        <f t="shared" si="9"/>
        <v>59.66</v>
      </c>
      <c r="P26" s="54">
        <f t="shared" ref="P26:Q26" si="18">O26</f>
        <v>59.66</v>
      </c>
      <c r="Q26" s="54">
        <f t="shared" si="18"/>
        <v>59.66</v>
      </c>
      <c r="R26" s="38"/>
      <c r="X26" s="41">
        <f>INDEX('[1]End - Use Prices'!$C$6:$AL$89,MATCH($C26,'[1]End - Use Prices'!$A$6:$A$89,0)+MATCH($D26,'[1]End - Use Prices'!$B$9:$B$11,0)-1,MATCH(X$1,'[1]End - Use Prices'!$C$7:$AL$7,0))</f>
        <v>36.07</v>
      </c>
      <c r="Y26" s="41">
        <f>INDEX('[1]End - Use Prices'!$C$6:$AL$89,MATCH($C26,'[1]End - Use Prices'!$A$6:$A$89,0)+MATCH($D26,'[1]End - Use Prices'!$B$9:$B$11,0)-1,MATCH(Y$1,'[1]End - Use Prices'!$C$7:$AL$7,0))</f>
        <v>42.3</v>
      </c>
      <c r="Z26" s="41">
        <f>INDEX('[1]End - Use Prices'!$C$6:$AL$89,MATCH($C26,'[1]End - Use Prices'!$A$6:$A$89,0)+MATCH($D26,'[1]End - Use Prices'!$B$9:$B$11,0)-1,MATCH(Z$1,'[1]End - Use Prices'!$C$7:$AL$7,0))</f>
        <v>41.68</v>
      </c>
      <c r="AA26" s="41">
        <f>INDEX('[1]End - Use Prices'!$C$6:$AL$89,MATCH($C26,'[1]End - Use Prices'!$A$6:$A$89,0)+MATCH($D26,'[1]End - Use Prices'!$B$9:$B$11,0)-1,MATCH(AA$1,'[1]End - Use Prices'!$C$7:$AL$7,0))</f>
        <v>39.369999999999997</v>
      </c>
      <c r="AB26" s="41">
        <f>INDEX('[1]End - Use Prices'!$C$6:$AL$89,MATCH($C26,'[1]End - Use Prices'!$A$6:$A$89,0)+MATCH($D26,'[1]End - Use Prices'!$B$9:$B$11,0)-1,MATCH(AB$1,'[1]End - Use Prices'!$C$7:$AL$7,0))</f>
        <v>40.299999999999997</v>
      </c>
      <c r="AC26" s="41">
        <f>INDEX('[1]End - Use Prices'!$C$6:$AL$89,MATCH($C26,'[1]End - Use Prices'!$A$6:$A$89,0)+MATCH($D26,'[1]End - Use Prices'!$B$9:$B$11,0)-1,MATCH(AC$1,'[1]End - Use Prices'!$C$7:$AL$7,0))</f>
        <v>42.93</v>
      </c>
      <c r="AD26" s="41">
        <f>INDEX('[1]End - Use Prices'!$C$6:$AL$89,MATCH($C26,'[1]End - Use Prices'!$A$6:$A$89,0)+MATCH($D26,'[1]End - Use Prices'!$B$9:$B$11,0)-1,MATCH(AD$1,'[1]End - Use Prices'!$C$7:$AL$7,0))</f>
        <v>43.6</v>
      </c>
      <c r="AE26" s="41">
        <f>INDEX('[1]End - Use Prices'!$C$6:$AL$89,MATCH($C26,'[1]End - Use Prices'!$A$6:$A$89,0)+MATCH($D26,'[1]End - Use Prices'!$B$9:$B$11,0)-1,MATCH(AE$1,'[1]End - Use Prices'!$C$7:$AL$7,0))</f>
        <v>43.08</v>
      </c>
      <c r="AF26" s="41">
        <f>INDEX('[1]End - Use Prices'!$C$6:$AL$89,MATCH($C26,'[1]End - Use Prices'!$A$6:$A$89,0)+MATCH($D26,'[1]End - Use Prices'!$B$9:$B$11,0)-1,MATCH(AF$1,'[1]End - Use Prices'!$C$7:$AL$7,0))</f>
        <v>44.44</v>
      </c>
      <c r="AG26" s="41">
        <f>INDEX('[1]End - Use Prices'!$C$6:$AL$89,MATCH($C26,'[1]End - Use Prices'!$A$6:$A$89,0)+MATCH($D26,'[1]End - Use Prices'!$B$9:$B$11,0)-1,MATCH(AG$1,'[1]End - Use Prices'!$C$7:$AL$7,0))</f>
        <v>46.3</v>
      </c>
      <c r="AH26" s="41">
        <f>INDEX('[1]End - Use Prices'!$C$6:$AL$89,MATCH($C26,'[1]End - Use Prices'!$A$6:$A$89,0)+MATCH($D26,'[1]End - Use Prices'!$B$9:$B$11,0)-1,MATCH(AH$1,'[1]End - Use Prices'!$C$7:$AL$7,0))</f>
        <v>48.06</v>
      </c>
      <c r="AI26" s="41">
        <f>INDEX('[1]End - Use Prices'!$C$6:$AL$89,MATCH($C26,'[1]End - Use Prices'!$A$6:$A$89,0)+MATCH($D26,'[1]End - Use Prices'!$B$9:$B$11,0)-1,MATCH(AI$1,'[1]End - Use Prices'!$C$7:$AL$7,0))</f>
        <v>48.66</v>
      </c>
      <c r="AJ26" s="41">
        <f>INDEX('[1]End - Use Prices'!$C$6:$AL$89,MATCH($C26,'[1]End - Use Prices'!$A$6:$A$89,0)+MATCH($D26,'[1]End - Use Prices'!$B$9:$B$11,0)-1,MATCH(AJ$1,'[1]End - Use Prices'!$C$7:$AL$7,0))</f>
        <v>49.42</v>
      </c>
      <c r="AK26" s="41">
        <f>INDEX('[1]End - Use Prices'!$C$6:$AL$89,MATCH($C26,'[1]End - Use Prices'!$A$6:$A$89,0)+MATCH($D26,'[1]End - Use Prices'!$B$9:$B$11,0)-1,MATCH(AK$1,'[1]End - Use Prices'!$C$7:$AL$7,0))</f>
        <v>50.31</v>
      </c>
      <c r="AL26" s="41">
        <f>INDEX('[1]End - Use Prices'!$C$6:$AL$89,MATCH($C26,'[1]End - Use Prices'!$A$6:$A$89,0)+MATCH($D26,'[1]End - Use Prices'!$B$9:$B$11,0)-1,MATCH(AL$1,'[1]End - Use Prices'!$C$7:$AL$7,0))</f>
        <v>51.11</v>
      </c>
      <c r="AM26" s="41">
        <f>INDEX('[1]End - Use Prices'!$C$6:$AL$89,MATCH($C26,'[1]End - Use Prices'!$A$6:$A$89,0)+MATCH($D26,'[1]End - Use Prices'!$B$9:$B$11,0)-1,MATCH(AM$1,'[1]End - Use Prices'!$C$7:$AL$7,0))</f>
        <v>51.84</v>
      </c>
      <c r="AN26" s="41">
        <f>INDEX('[1]End - Use Prices'!$C$6:$AL$89,MATCH($C26,'[1]End - Use Prices'!$A$6:$A$89,0)+MATCH($D26,'[1]End - Use Prices'!$B$9:$B$11,0)-1,MATCH(AN$1,'[1]End - Use Prices'!$C$7:$AL$7,0))</f>
        <v>52.5</v>
      </c>
      <c r="AO26" s="41">
        <f>INDEX('[1]End - Use Prices'!$C$6:$AL$89,MATCH($C26,'[1]End - Use Prices'!$A$6:$A$89,0)+MATCH($D26,'[1]End - Use Prices'!$B$9:$B$11,0)-1,MATCH(AO$1,'[1]End - Use Prices'!$C$7:$AL$7,0))</f>
        <v>53.11</v>
      </c>
      <c r="AP26" s="41">
        <f>INDEX('[1]End - Use Prices'!$C$6:$AL$89,MATCH($C26,'[1]End - Use Prices'!$A$6:$A$89,0)+MATCH($D26,'[1]End - Use Prices'!$B$9:$B$11,0)-1,MATCH(AP$1,'[1]End - Use Prices'!$C$7:$AL$7,0))</f>
        <v>53.65</v>
      </c>
      <c r="AQ26" s="41">
        <f>INDEX('[1]End - Use Prices'!$C$6:$AL$89,MATCH($C26,'[1]End - Use Prices'!$A$6:$A$89,0)+MATCH($D26,'[1]End - Use Prices'!$B$9:$B$11,0)-1,MATCH(AQ$1,'[1]End - Use Prices'!$C$7:$AL$7,0))</f>
        <v>54.15</v>
      </c>
      <c r="AR26" s="41">
        <f>INDEX('[1]End - Use Prices'!$C$6:$AL$89,MATCH($C26,'[1]End - Use Prices'!$A$6:$A$89,0)+MATCH($D26,'[1]End - Use Prices'!$B$9:$B$11,0)-1,MATCH(AR$1,'[1]End - Use Prices'!$C$7:$AL$7,0))</f>
        <v>54.59</v>
      </c>
      <c r="AS26" s="41">
        <f>INDEX('[1]End - Use Prices'!$C$6:$AL$89,MATCH($C26,'[1]End - Use Prices'!$A$6:$A$89,0)+MATCH($D26,'[1]End - Use Prices'!$B$9:$B$11,0)-1,MATCH(AS$1,'[1]End - Use Prices'!$C$7:$AL$7,0))</f>
        <v>55</v>
      </c>
      <c r="AT26" s="41">
        <f>INDEX('[1]End - Use Prices'!$C$6:$AL$89,MATCH($C26,'[1]End - Use Prices'!$A$6:$A$89,0)+MATCH($D26,'[1]End - Use Prices'!$B$9:$B$11,0)-1,MATCH(AT$1,'[1]End - Use Prices'!$C$7:$AL$7,0))</f>
        <v>55.38</v>
      </c>
      <c r="AU26" s="41">
        <f>INDEX('[1]End - Use Prices'!$C$6:$AL$89,MATCH($C26,'[1]End - Use Prices'!$A$6:$A$89,0)+MATCH($D26,'[1]End - Use Prices'!$B$9:$B$11,0)-1,MATCH(AU$1,'[1]End - Use Prices'!$C$7:$AL$7,0))</f>
        <v>55.73</v>
      </c>
      <c r="AV26" s="41">
        <f>INDEX('[1]End - Use Prices'!$C$6:$AL$89,MATCH($C26,'[1]End - Use Prices'!$A$6:$A$89,0)+MATCH($D26,'[1]End - Use Prices'!$B$9:$B$11,0)-1,MATCH(AV$1,'[1]End - Use Prices'!$C$7:$AL$7,0))</f>
        <v>56.05</v>
      </c>
      <c r="AW26" s="41">
        <f>INDEX('[1]End - Use Prices'!$C$6:$AL$89,MATCH($C26,'[1]End - Use Prices'!$A$6:$A$89,0)+MATCH($D26,'[1]End - Use Prices'!$B$9:$B$11,0)-1,MATCH(AW$1,'[1]End - Use Prices'!$C$7:$AL$7,0))</f>
        <v>56.35</v>
      </c>
      <c r="AX26" s="41">
        <f>INDEX('[1]End - Use Prices'!$C$6:$AL$89,MATCH($C26,'[1]End - Use Prices'!$A$6:$A$89,0)+MATCH($D26,'[1]End - Use Prices'!$B$9:$B$11,0)-1,MATCH(AX$1,'[1]End - Use Prices'!$C$7:$AL$7,0))</f>
        <v>56.65</v>
      </c>
      <c r="AY26" s="41">
        <f>INDEX('[1]End - Use Prices'!$C$6:$AL$89,MATCH($C26,'[1]End - Use Prices'!$A$6:$A$89,0)+MATCH($D26,'[1]End - Use Prices'!$B$9:$B$11,0)-1,MATCH(AY$1,'[1]End - Use Prices'!$C$7:$AL$7,0))</f>
        <v>56.93</v>
      </c>
      <c r="AZ26" s="41">
        <f>INDEX('[1]End - Use Prices'!$C$6:$AL$89,MATCH($C26,'[1]End - Use Prices'!$A$6:$A$89,0)+MATCH($D26,'[1]End - Use Prices'!$B$9:$B$11,0)-1,MATCH(AZ$1,'[1]End - Use Prices'!$C$7:$AL$7,0))</f>
        <v>57.22</v>
      </c>
      <c r="BA26" s="41">
        <f>INDEX('[1]End - Use Prices'!$C$6:$AL$89,MATCH($C26,'[1]End - Use Prices'!$A$6:$A$89,0)+MATCH($D26,'[1]End - Use Prices'!$B$9:$B$11,0)-1,MATCH(BA$1,'[1]End - Use Prices'!$C$7:$AL$7,0))</f>
        <v>57.51</v>
      </c>
      <c r="BB26" s="41">
        <f>INDEX('[1]End - Use Prices'!$C$6:$AL$89,MATCH($C26,'[1]End - Use Prices'!$A$6:$A$89,0)+MATCH($D26,'[1]End - Use Prices'!$B$9:$B$11,0)-1,MATCH(BB$1,'[1]End - Use Prices'!$C$7:$AL$7,0))</f>
        <v>57.81</v>
      </c>
      <c r="BC26" s="41">
        <f>INDEX('[1]End - Use Prices'!$C$6:$AL$89,MATCH($C26,'[1]End - Use Prices'!$A$6:$A$89,0)+MATCH($D26,'[1]End - Use Prices'!$B$9:$B$11,0)-1,MATCH(BC$1,'[1]End - Use Prices'!$C$7:$AL$7,0))</f>
        <v>58.13</v>
      </c>
      <c r="BD26" s="41">
        <f>INDEX('[1]End - Use Prices'!$C$6:$AL$89,MATCH($C26,'[1]End - Use Prices'!$A$6:$A$89,0)+MATCH($D26,'[1]End - Use Prices'!$B$9:$B$11,0)-1,MATCH(BD$1,'[1]End - Use Prices'!$C$7:$AL$7,0))</f>
        <v>58.47</v>
      </c>
      <c r="BE26" s="41">
        <f>INDEX('[1]End - Use Prices'!$C$6:$AL$89,MATCH($C26,'[1]End - Use Prices'!$A$6:$A$89,0)+MATCH($D26,'[1]End - Use Prices'!$B$9:$B$11,0)-1,MATCH(BE$1,'[1]End - Use Prices'!$C$7:$AL$7,0))</f>
        <v>58.83</v>
      </c>
      <c r="BF26" s="41">
        <f>INDEX('[1]End - Use Prices'!$C$6:$AL$89,MATCH($C26,'[1]End - Use Prices'!$A$6:$A$89,0)+MATCH($D26,'[1]End - Use Prices'!$B$9:$B$11,0)-1,MATCH(BF$1,'[1]End - Use Prices'!$C$7:$AL$7,0))</f>
        <v>59.23</v>
      </c>
      <c r="BG26" s="41">
        <f>INDEX('[1]End - Use Prices'!$C$6:$AL$89,MATCH($C26,'[1]End - Use Prices'!$A$6:$A$89,0)+MATCH($D26,'[1]End - Use Prices'!$B$9:$B$11,0)-1,MATCH(BG$1,'[1]End - Use Prices'!$C$7:$AL$7,0))</f>
        <v>59.66</v>
      </c>
      <c r="BR26" s="39"/>
      <c r="BS26" s="39"/>
      <c r="BT26" s="39"/>
      <c r="BU26" s="39"/>
      <c r="BV26" s="39"/>
      <c r="BW26" s="39"/>
      <c r="BX26" s="39"/>
      <c r="BY26" s="39"/>
      <c r="BZ26" s="39"/>
      <c r="CA26" s="39"/>
    </row>
    <row r="27" spans="1:79" x14ac:dyDescent="0.25">
      <c r="A27" s="5"/>
      <c r="B27" s="3"/>
      <c r="C27" s="25" t="s">
        <v>5</v>
      </c>
      <c r="D27" s="25" t="s">
        <v>2</v>
      </c>
      <c r="E27" s="25" t="s">
        <v>313</v>
      </c>
      <c r="F27" s="74" t="s">
        <v>310</v>
      </c>
      <c r="G27" s="54">
        <f t="shared" si="8"/>
        <v>30.07</v>
      </c>
      <c r="H27" s="34">
        <f t="shared" si="9"/>
        <v>30.07</v>
      </c>
      <c r="I27" s="34">
        <f t="shared" si="9"/>
        <v>31.25</v>
      </c>
      <c r="J27" s="34">
        <f t="shared" si="9"/>
        <v>33.81</v>
      </c>
      <c r="K27" s="34">
        <f t="shared" si="9"/>
        <v>32.520000000000003</v>
      </c>
      <c r="L27" s="34">
        <f t="shared" si="9"/>
        <v>35.47</v>
      </c>
      <c r="M27" s="34">
        <f t="shared" si="9"/>
        <v>37.57</v>
      </c>
      <c r="N27" s="34">
        <f t="shared" si="9"/>
        <v>38.39</v>
      </c>
      <c r="O27" s="34">
        <f t="shared" si="9"/>
        <v>37.54</v>
      </c>
      <c r="P27" s="54">
        <f t="shared" ref="P27:Q27" si="19">O27</f>
        <v>37.54</v>
      </c>
      <c r="Q27" s="54">
        <f t="shared" si="19"/>
        <v>37.54</v>
      </c>
      <c r="R27" s="38"/>
      <c r="X27" s="41">
        <f>INDEX('[1]End - Use Prices'!$C$6:$AL$89,MATCH($C27,'[1]End - Use Prices'!$A$6:$A$89,0)+MATCH($D27,'[1]End - Use Prices'!$B$9:$B$11,0)-1,MATCH(X$1,'[1]End - Use Prices'!$C$7:$AL$7,0))</f>
        <v>30.07</v>
      </c>
      <c r="Y27" s="41">
        <f>INDEX('[1]End - Use Prices'!$C$6:$AL$89,MATCH($C27,'[1]End - Use Prices'!$A$6:$A$89,0)+MATCH($D27,'[1]End - Use Prices'!$B$9:$B$11,0)-1,MATCH(Y$1,'[1]End - Use Prices'!$C$7:$AL$7,0))</f>
        <v>35.659999999999997</v>
      </c>
      <c r="Z27" s="41">
        <f>INDEX('[1]End - Use Prices'!$C$6:$AL$89,MATCH($C27,'[1]End - Use Prices'!$A$6:$A$89,0)+MATCH($D27,'[1]End - Use Prices'!$B$9:$B$11,0)-1,MATCH(Z$1,'[1]End - Use Prices'!$C$7:$AL$7,0))</f>
        <v>38.57</v>
      </c>
      <c r="AA27" s="41">
        <f>INDEX('[1]End - Use Prices'!$C$6:$AL$89,MATCH($C27,'[1]End - Use Prices'!$A$6:$A$89,0)+MATCH($D27,'[1]End - Use Prices'!$B$9:$B$11,0)-1,MATCH(AA$1,'[1]End - Use Prices'!$C$7:$AL$7,0))</f>
        <v>42.28</v>
      </c>
      <c r="AB27" s="41">
        <f>INDEX('[1]End - Use Prices'!$C$6:$AL$89,MATCH($C27,'[1]End - Use Prices'!$A$6:$A$89,0)+MATCH($D27,'[1]End - Use Prices'!$B$9:$B$11,0)-1,MATCH(AB$1,'[1]End - Use Prices'!$C$7:$AL$7,0))</f>
        <v>36.1</v>
      </c>
      <c r="AC27" s="41">
        <f>INDEX('[1]End - Use Prices'!$C$6:$AL$89,MATCH($C27,'[1]End - Use Prices'!$A$6:$A$89,0)+MATCH($D27,'[1]End - Use Prices'!$B$9:$B$11,0)-1,MATCH(AC$1,'[1]End - Use Prices'!$C$7:$AL$7,0))</f>
        <v>31.25</v>
      </c>
      <c r="AD27" s="41">
        <f>INDEX('[1]End - Use Prices'!$C$6:$AL$89,MATCH($C27,'[1]End - Use Prices'!$A$6:$A$89,0)+MATCH($D27,'[1]End - Use Prices'!$B$9:$B$11,0)-1,MATCH(AD$1,'[1]End - Use Prices'!$C$7:$AL$7,0))</f>
        <v>51.38</v>
      </c>
      <c r="AE27" s="41">
        <f>INDEX('[1]End - Use Prices'!$C$6:$AL$89,MATCH($C27,'[1]End - Use Prices'!$A$6:$A$89,0)+MATCH($D27,'[1]End - Use Prices'!$B$9:$B$11,0)-1,MATCH(AE$1,'[1]End - Use Prices'!$C$7:$AL$7,0))</f>
        <v>40.17</v>
      </c>
      <c r="AF27" s="41">
        <f>INDEX('[1]End - Use Prices'!$C$6:$AL$89,MATCH($C27,'[1]End - Use Prices'!$A$6:$A$89,0)+MATCH($D27,'[1]End - Use Prices'!$B$9:$B$11,0)-1,MATCH(AF$1,'[1]End - Use Prices'!$C$7:$AL$7,0))</f>
        <v>42.35</v>
      </c>
      <c r="AG27" s="41">
        <f>INDEX('[1]End - Use Prices'!$C$6:$AL$89,MATCH($C27,'[1]End - Use Prices'!$A$6:$A$89,0)+MATCH($D27,'[1]End - Use Prices'!$B$9:$B$11,0)-1,MATCH(AG$1,'[1]End - Use Prices'!$C$7:$AL$7,0))</f>
        <v>36.65</v>
      </c>
      <c r="AH27" s="41">
        <f>INDEX('[1]End - Use Prices'!$C$6:$AL$89,MATCH($C27,'[1]End - Use Prices'!$A$6:$A$89,0)+MATCH($D27,'[1]End - Use Prices'!$B$9:$B$11,0)-1,MATCH(AH$1,'[1]End - Use Prices'!$C$7:$AL$7,0))</f>
        <v>33.81</v>
      </c>
      <c r="AI27" s="41">
        <f>INDEX('[1]End - Use Prices'!$C$6:$AL$89,MATCH($C27,'[1]End - Use Prices'!$A$6:$A$89,0)+MATCH($D27,'[1]End - Use Prices'!$B$9:$B$11,0)-1,MATCH(AI$1,'[1]End - Use Prices'!$C$7:$AL$7,0))</f>
        <v>30.08</v>
      </c>
      <c r="AJ27" s="41">
        <f>INDEX('[1]End - Use Prices'!$C$6:$AL$89,MATCH($C27,'[1]End - Use Prices'!$A$6:$A$89,0)+MATCH($D27,'[1]End - Use Prices'!$B$9:$B$11,0)-1,MATCH(AJ$1,'[1]End - Use Prices'!$C$7:$AL$7,0))</f>
        <v>30.5</v>
      </c>
      <c r="AK27" s="41">
        <f>INDEX('[1]End - Use Prices'!$C$6:$AL$89,MATCH($C27,'[1]End - Use Prices'!$A$6:$A$89,0)+MATCH($D27,'[1]End - Use Prices'!$B$9:$B$11,0)-1,MATCH(AK$1,'[1]End - Use Prices'!$C$7:$AL$7,0))</f>
        <v>31.18</v>
      </c>
      <c r="AL27" s="41">
        <f>INDEX('[1]End - Use Prices'!$C$6:$AL$89,MATCH($C27,'[1]End - Use Prices'!$A$6:$A$89,0)+MATCH($D27,'[1]End - Use Prices'!$B$9:$B$11,0)-1,MATCH(AL$1,'[1]End - Use Prices'!$C$7:$AL$7,0))</f>
        <v>31.86</v>
      </c>
      <c r="AM27" s="41">
        <f>INDEX('[1]End - Use Prices'!$C$6:$AL$89,MATCH($C27,'[1]End - Use Prices'!$A$6:$A$89,0)+MATCH($D27,'[1]End - Use Prices'!$B$9:$B$11,0)-1,MATCH(AM$1,'[1]End - Use Prices'!$C$7:$AL$7,0))</f>
        <v>32.520000000000003</v>
      </c>
      <c r="AN27" s="41">
        <f>INDEX('[1]End - Use Prices'!$C$6:$AL$89,MATCH($C27,'[1]End - Use Prices'!$A$6:$A$89,0)+MATCH($D27,'[1]End - Use Prices'!$B$9:$B$11,0)-1,MATCH(AN$1,'[1]End - Use Prices'!$C$7:$AL$7,0))</f>
        <v>33.159999999999997</v>
      </c>
      <c r="AO27" s="41">
        <f>INDEX('[1]End - Use Prices'!$C$6:$AL$89,MATCH($C27,'[1]End - Use Prices'!$A$6:$A$89,0)+MATCH($D27,'[1]End - Use Prices'!$B$9:$B$11,0)-1,MATCH(AO$1,'[1]End - Use Prices'!$C$7:$AL$7,0))</f>
        <v>33.78</v>
      </c>
      <c r="AP27" s="41">
        <f>INDEX('[1]End - Use Prices'!$C$6:$AL$89,MATCH($C27,'[1]End - Use Prices'!$A$6:$A$89,0)+MATCH($D27,'[1]End - Use Prices'!$B$9:$B$11,0)-1,MATCH(AP$1,'[1]End - Use Prices'!$C$7:$AL$7,0))</f>
        <v>34.369999999999997</v>
      </c>
      <c r="AQ27" s="41">
        <f>INDEX('[1]End - Use Prices'!$C$6:$AL$89,MATCH($C27,'[1]End - Use Prices'!$A$6:$A$89,0)+MATCH($D27,'[1]End - Use Prices'!$B$9:$B$11,0)-1,MATCH(AQ$1,'[1]End - Use Prices'!$C$7:$AL$7,0))</f>
        <v>34.94</v>
      </c>
      <c r="AR27" s="41">
        <f>INDEX('[1]End - Use Prices'!$C$6:$AL$89,MATCH($C27,'[1]End - Use Prices'!$A$6:$A$89,0)+MATCH($D27,'[1]End - Use Prices'!$B$9:$B$11,0)-1,MATCH(AR$1,'[1]End - Use Prices'!$C$7:$AL$7,0))</f>
        <v>35.47</v>
      </c>
      <c r="AS27" s="41">
        <f>INDEX('[1]End - Use Prices'!$C$6:$AL$89,MATCH($C27,'[1]End - Use Prices'!$A$6:$A$89,0)+MATCH($D27,'[1]End - Use Prices'!$B$9:$B$11,0)-1,MATCH(AS$1,'[1]End - Use Prices'!$C$7:$AL$7,0))</f>
        <v>35.97</v>
      </c>
      <c r="AT27" s="41">
        <f>INDEX('[1]End - Use Prices'!$C$6:$AL$89,MATCH($C27,'[1]End - Use Prices'!$A$6:$A$89,0)+MATCH($D27,'[1]End - Use Prices'!$B$9:$B$11,0)-1,MATCH(AT$1,'[1]End - Use Prices'!$C$7:$AL$7,0))</f>
        <v>36.44</v>
      </c>
      <c r="AU27" s="41">
        <f>INDEX('[1]End - Use Prices'!$C$6:$AL$89,MATCH($C27,'[1]End - Use Prices'!$A$6:$A$89,0)+MATCH($D27,'[1]End - Use Prices'!$B$9:$B$11,0)-1,MATCH(AU$1,'[1]End - Use Prices'!$C$7:$AL$7,0))</f>
        <v>36.86</v>
      </c>
      <c r="AV27" s="41">
        <f>INDEX('[1]End - Use Prices'!$C$6:$AL$89,MATCH($C27,'[1]End - Use Prices'!$A$6:$A$89,0)+MATCH($D27,'[1]End - Use Prices'!$B$9:$B$11,0)-1,MATCH(AV$1,'[1]End - Use Prices'!$C$7:$AL$7,0))</f>
        <v>37.24</v>
      </c>
      <c r="AW27" s="41">
        <f>INDEX('[1]End - Use Prices'!$C$6:$AL$89,MATCH($C27,'[1]End - Use Prices'!$A$6:$A$89,0)+MATCH($D27,'[1]End - Use Prices'!$B$9:$B$11,0)-1,MATCH(AW$1,'[1]End - Use Prices'!$C$7:$AL$7,0))</f>
        <v>37.57</v>
      </c>
      <c r="AX27" s="41">
        <f>INDEX('[1]End - Use Prices'!$C$6:$AL$89,MATCH($C27,'[1]End - Use Prices'!$A$6:$A$89,0)+MATCH($D27,'[1]End - Use Prices'!$B$9:$B$11,0)-1,MATCH(AX$1,'[1]End - Use Prices'!$C$7:$AL$7,0))</f>
        <v>37.85</v>
      </c>
      <c r="AY27" s="41">
        <f>INDEX('[1]End - Use Prices'!$C$6:$AL$89,MATCH($C27,'[1]End - Use Prices'!$A$6:$A$89,0)+MATCH($D27,'[1]End - Use Prices'!$B$9:$B$11,0)-1,MATCH(AY$1,'[1]End - Use Prices'!$C$7:$AL$7,0))</f>
        <v>38.07</v>
      </c>
      <c r="AZ27" s="41">
        <f>INDEX('[1]End - Use Prices'!$C$6:$AL$89,MATCH($C27,'[1]End - Use Prices'!$A$6:$A$89,0)+MATCH($D27,'[1]End - Use Prices'!$B$9:$B$11,0)-1,MATCH(AZ$1,'[1]End - Use Prices'!$C$7:$AL$7,0))</f>
        <v>38.24</v>
      </c>
      <c r="BA27" s="41">
        <f>INDEX('[1]End - Use Prices'!$C$6:$AL$89,MATCH($C27,'[1]End - Use Prices'!$A$6:$A$89,0)+MATCH($D27,'[1]End - Use Prices'!$B$9:$B$11,0)-1,MATCH(BA$1,'[1]End - Use Prices'!$C$7:$AL$7,0))</f>
        <v>38.35</v>
      </c>
      <c r="BB27" s="41">
        <f>INDEX('[1]End - Use Prices'!$C$6:$AL$89,MATCH($C27,'[1]End - Use Prices'!$A$6:$A$89,0)+MATCH($D27,'[1]End - Use Prices'!$B$9:$B$11,0)-1,MATCH(BB$1,'[1]End - Use Prices'!$C$7:$AL$7,0))</f>
        <v>38.39</v>
      </c>
      <c r="BC27" s="41">
        <f>INDEX('[1]End - Use Prices'!$C$6:$AL$89,MATCH($C27,'[1]End - Use Prices'!$A$6:$A$89,0)+MATCH($D27,'[1]End - Use Prices'!$B$9:$B$11,0)-1,MATCH(BC$1,'[1]End - Use Prices'!$C$7:$AL$7,0))</f>
        <v>38.369999999999997</v>
      </c>
      <c r="BD27" s="41">
        <f>INDEX('[1]End - Use Prices'!$C$6:$AL$89,MATCH($C27,'[1]End - Use Prices'!$A$6:$A$89,0)+MATCH($D27,'[1]End - Use Prices'!$B$9:$B$11,0)-1,MATCH(BD$1,'[1]End - Use Prices'!$C$7:$AL$7,0))</f>
        <v>38.270000000000003</v>
      </c>
      <c r="BE27" s="41">
        <f>INDEX('[1]End - Use Prices'!$C$6:$AL$89,MATCH($C27,'[1]End - Use Prices'!$A$6:$A$89,0)+MATCH($D27,'[1]End - Use Prices'!$B$9:$B$11,0)-1,MATCH(BE$1,'[1]End - Use Prices'!$C$7:$AL$7,0))</f>
        <v>38.11</v>
      </c>
      <c r="BF27" s="41">
        <f>INDEX('[1]End - Use Prices'!$C$6:$AL$89,MATCH($C27,'[1]End - Use Prices'!$A$6:$A$89,0)+MATCH($D27,'[1]End - Use Prices'!$B$9:$B$11,0)-1,MATCH(BF$1,'[1]End - Use Prices'!$C$7:$AL$7,0))</f>
        <v>37.86</v>
      </c>
      <c r="BG27" s="41">
        <f>INDEX('[1]End - Use Prices'!$C$6:$AL$89,MATCH($C27,'[1]End - Use Prices'!$A$6:$A$89,0)+MATCH($D27,'[1]End - Use Prices'!$B$9:$B$11,0)-1,MATCH(BG$1,'[1]End - Use Prices'!$C$7:$AL$7,0))</f>
        <v>37.54</v>
      </c>
      <c r="BR27" s="39"/>
      <c r="BS27" s="39"/>
      <c r="BT27" s="39"/>
      <c r="BU27" s="39"/>
      <c r="BV27" s="39"/>
      <c r="BW27" s="39"/>
      <c r="BX27" s="39"/>
      <c r="BY27" s="39"/>
      <c r="BZ27" s="39"/>
      <c r="CA27" s="39"/>
    </row>
    <row r="28" spans="1:79" x14ac:dyDescent="0.25">
      <c r="A28" s="5"/>
      <c r="B28" s="3"/>
      <c r="C28" s="25" t="s">
        <v>61</v>
      </c>
      <c r="D28" s="25" t="s">
        <v>2</v>
      </c>
      <c r="E28" s="25" t="s">
        <v>313</v>
      </c>
      <c r="F28" s="74" t="s">
        <v>310</v>
      </c>
      <c r="G28" s="54">
        <f t="shared" si="8"/>
        <v>22.24</v>
      </c>
      <c r="H28" s="34">
        <f t="shared" si="9"/>
        <v>22.24</v>
      </c>
      <c r="I28" s="34">
        <f t="shared" si="9"/>
        <v>25.9</v>
      </c>
      <c r="J28" s="34">
        <f t="shared" si="9"/>
        <v>30.53</v>
      </c>
      <c r="K28" s="34">
        <f t="shared" si="9"/>
        <v>31.99</v>
      </c>
      <c r="L28" s="34">
        <f t="shared" si="9"/>
        <v>32.61</v>
      </c>
      <c r="M28" s="34">
        <f t="shared" si="9"/>
        <v>33.25</v>
      </c>
      <c r="N28" s="34">
        <f t="shared" si="9"/>
        <v>33.76</v>
      </c>
      <c r="O28" s="34">
        <f t="shared" si="9"/>
        <v>34</v>
      </c>
      <c r="P28" s="54">
        <f t="shared" ref="P28:Q28" si="20">O28</f>
        <v>34</v>
      </c>
      <c r="Q28" s="54">
        <f t="shared" si="20"/>
        <v>34</v>
      </c>
      <c r="R28" s="38"/>
      <c r="X28" s="41">
        <f>INDEX('[1]End - Use Prices'!$C$6:$AL$89,MATCH($C28,'[1]End - Use Prices'!$A$6:$A$89,0)+MATCH($D28,'[1]End - Use Prices'!$B$9:$B$11,0)-1,MATCH(X$1,'[1]End - Use Prices'!$C$7:$AL$7,0))</f>
        <v>22.24</v>
      </c>
      <c r="Y28" s="41">
        <f>INDEX('[1]End - Use Prices'!$C$6:$AL$89,MATCH($C28,'[1]End - Use Prices'!$A$6:$A$89,0)+MATCH($D28,'[1]End - Use Prices'!$B$9:$B$11,0)-1,MATCH(Y$1,'[1]End - Use Prices'!$C$7:$AL$7,0))</f>
        <v>23.07</v>
      </c>
      <c r="Z28" s="41">
        <f>INDEX('[1]End - Use Prices'!$C$6:$AL$89,MATCH($C28,'[1]End - Use Prices'!$A$6:$A$89,0)+MATCH($D28,'[1]End - Use Prices'!$B$9:$B$11,0)-1,MATCH(Z$1,'[1]End - Use Prices'!$C$7:$AL$7,0))</f>
        <v>22.79</v>
      </c>
      <c r="AA28" s="41">
        <f>INDEX('[1]End - Use Prices'!$C$6:$AL$89,MATCH($C28,'[1]End - Use Prices'!$A$6:$A$89,0)+MATCH($D28,'[1]End - Use Prices'!$B$9:$B$11,0)-1,MATCH(AA$1,'[1]End - Use Prices'!$C$7:$AL$7,0))</f>
        <v>22.61</v>
      </c>
      <c r="AB28" s="41">
        <f>INDEX('[1]End - Use Prices'!$C$6:$AL$89,MATCH($C28,'[1]End - Use Prices'!$A$6:$A$89,0)+MATCH($D28,'[1]End - Use Prices'!$B$9:$B$11,0)-1,MATCH(AB$1,'[1]End - Use Prices'!$C$7:$AL$7,0))</f>
        <v>23.66</v>
      </c>
      <c r="AC28" s="41">
        <f>INDEX('[1]End - Use Prices'!$C$6:$AL$89,MATCH($C28,'[1]End - Use Prices'!$A$6:$A$89,0)+MATCH($D28,'[1]End - Use Prices'!$B$9:$B$11,0)-1,MATCH(AC$1,'[1]End - Use Prices'!$C$7:$AL$7,0))</f>
        <v>25.9</v>
      </c>
      <c r="AD28" s="41">
        <f>INDEX('[1]End - Use Prices'!$C$6:$AL$89,MATCH($C28,'[1]End - Use Prices'!$A$6:$A$89,0)+MATCH($D28,'[1]End - Use Prices'!$B$9:$B$11,0)-1,MATCH(AD$1,'[1]End - Use Prices'!$C$7:$AL$7,0))</f>
        <v>25.46</v>
      </c>
      <c r="AE28" s="41">
        <f>INDEX('[1]End - Use Prices'!$C$6:$AL$89,MATCH($C28,'[1]End - Use Prices'!$A$6:$A$89,0)+MATCH($D28,'[1]End - Use Prices'!$B$9:$B$11,0)-1,MATCH(AE$1,'[1]End - Use Prices'!$C$7:$AL$7,0))</f>
        <v>28.65</v>
      </c>
      <c r="AF28" s="41">
        <f>INDEX('[1]End - Use Prices'!$C$6:$AL$89,MATCH($C28,'[1]End - Use Prices'!$A$6:$A$89,0)+MATCH($D28,'[1]End - Use Prices'!$B$9:$B$11,0)-1,MATCH(AF$1,'[1]End - Use Prices'!$C$7:$AL$7,0))</f>
        <v>27.24</v>
      </c>
      <c r="AG28" s="41">
        <f>INDEX('[1]End - Use Prices'!$C$6:$AL$89,MATCH($C28,'[1]End - Use Prices'!$A$6:$A$89,0)+MATCH($D28,'[1]End - Use Prices'!$B$9:$B$11,0)-1,MATCH(AG$1,'[1]End - Use Prices'!$C$7:$AL$7,0))</f>
        <v>28.61</v>
      </c>
      <c r="AH28" s="41">
        <f>INDEX('[1]End - Use Prices'!$C$6:$AL$89,MATCH($C28,'[1]End - Use Prices'!$A$6:$A$89,0)+MATCH($D28,'[1]End - Use Prices'!$B$9:$B$11,0)-1,MATCH(AH$1,'[1]End - Use Prices'!$C$7:$AL$7,0))</f>
        <v>30.53</v>
      </c>
      <c r="AI28" s="41">
        <f>INDEX('[1]End - Use Prices'!$C$6:$AL$89,MATCH($C28,'[1]End - Use Prices'!$A$6:$A$89,0)+MATCH($D28,'[1]End - Use Prices'!$B$9:$B$11,0)-1,MATCH(AI$1,'[1]End - Use Prices'!$C$7:$AL$7,0))</f>
        <v>31.55</v>
      </c>
      <c r="AJ28" s="41">
        <f>INDEX('[1]End - Use Prices'!$C$6:$AL$89,MATCH($C28,'[1]End - Use Prices'!$A$6:$A$89,0)+MATCH($D28,'[1]End - Use Prices'!$B$9:$B$11,0)-1,MATCH(AJ$1,'[1]End - Use Prices'!$C$7:$AL$7,0))</f>
        <v>31.68</v>
      </c>
      <c r="AK28" s="41">
        <f>INDEX('[1]End - Use Prices'!$C$6:$AL$89,MATCH($C28,'[1]End - Use Prices'!$A$6:$A$89,0)+MATCH($D28,'[1]End - Use Prices'!$B$9:$B$11,0)-1,MATCH(AK$1,'[1]End - Use Prices'!$C$7:$AL$7,0))</f>
        <v>31.78</v>
      </c>
      <c r="AL28" s="41">
        <f>INDEX('[1]End - Use Prices'!$C$6:$AL$89,MATCH($C28,'[1]End - Use Prices'!$A$6:$A$89,0)+MATCH($D28,'[1]End - Use Prices'!$B$9:$B$11,0)-1,MATCH(AL$1,'[1]End - Use Prices'!$C$7:$AL$7,0))</f>
        <v>31.88</v>
      </c>
      <c r="AM28" s="41">
        <f>INDEX('[1]End - Use Prices'!$C$6:$AL$89,MATCH($C28,'[1]End - Use Prices'!$A$6:$A$89,0)+MATCH($D28,'[1]End - Use Prices'!$B$9:$B$11,0)-1,MATCH(AM$1,'[1]End - Use Prices'!$C$7:$AL$7,0))</f>
        <v>31.99</v>
      </c>
      <c r="AN28" s="41">
        <f>INDEX('[1]End - Use Prices'!$C$6:$AL$89,MATCH($C28,'[1]End - Use Prices'!$A$6:$A$89,0)+MATCH($D28,'[1]End - Use Prices'!$B$9:$B$11,0)-1,MATCH(AN$1,'[1]End - Use Prices'!$C$7:$AL$7,0))</f>
        <v>32.1</v>
      </c>
      <c r="AO28" s="41">
        <f>INDEX('[1]End - Use Prices'!$C$6:$AL$89,MATCH($C28,'[1]End - Use Prices'!$A$6:$A$89,0)+MATCH($D28,'[1]End - Use Prices'!$B$9:$B$11,0)-1,MATCH(AO$1,'[1]End - Use Prices'!$C$7:$AL$7,0))</f>
        <v>32.229999999999997</v>
      </c>
      <c r="AP28" s="41">
        <f>INDEX('[1]End - Use Prices'!$C$6:$AL$89,MATCH($C28,'[1]End - Use Prices'!$A$6:$A$89,0)+MATCH($D28,'[1]End - Use Prices'!$B$9:$B$11,0)-1,MATCH(AP$1,'[1]End - Use Prices'!$C$7:$AL$7,0))</f>
        <v>32.35</v>
      </c>
      <c r="AQ28" s="41">
        <f>INDEX('[1]End - Use Prices'!$C$6:$AL$89,MATCH($C28,'[1]End - Use Prices'!$A$6:$A$89,0)+MATCH($D28,'[1]End - Use Prices'!$B$9:$B$11,0)-1,MATCH(AQ$1,'[1]End - Use Prices'!$C$7:$AL$7,0))</f>
        <v>32.479999999999997</v>
      </c>
      <c r="AR28" s="41">
        <f>INDEX('[1]End - Use Prices'!$C$6:$AL$89,MATCH($C28,'[1]End - Use Prices'!$A$6:$A$89,0)+MATCH($D28,'[1]End - Use Prices'!$B$9:$B$11,0)-1,MATCH(AR$1,'[1]End - Use Prices'!$C$7:$AL$7,0))</f>
        <v>32.61</v>
      </c>
      <c r="AS28" s="41">
        <f>INDEX('[1]End - Use Prices'!$C$6:$AL$89,MATCH($C28,'[1]End - Use Prices'!$A$6:$A$89,0)+MATCH($D28,'[1]End - Use Prices'!$B$9:$B$11,0)-1,MATCH(AS$1,'[1]End - Use Prices'!$C$7:$AL$7,0))</f>
        <v>32.74</v>
      </c>
      <c r="AT28" s="41">
        <f>INDEX('[1]End - Use Prices'!$C$6:$AL$89,MATCH($C28,'[1]End - Use Prices'!$A$6:$A$89,0)+MATCH($D28,'[1]End - Use Prices'!$B$9:$B$11,0)-1,MATCH(AT$1,'[1]End - Use Prices'!$C$7:$AL$7,0))</f>
        <v>32.869999999999997</v>
      </c>
      <c r="AU28" s="41">
        <f>INDEX('[1]End - Use Prices'!$C$6:$AL$89,MATCH($C28,'[1]End - Use Prices'!$A$6:$A$89,0)+MATCH($D28,'[1]End - Use Prices'!$B$9:$B$11,0)-1,MATCH(AU$1,'[1]End - Use Prices'!$C$7:$AL$7,0))</f>
        <v>33</v>
      </c>
      <c r="AV28" s="41">
        <f>INDEX('[1]End - Use Prices'!$C$6:$AL$89,MATCH($C28,'[1]End - Use Prices'!$A$6:$A$89,0)+MATCH($D28,'[1]End - Use Prices'!$B$9:$B$11,0)-1,MATCH(AV$1,'[1]End - Use Prices'!$C$7:$AL$7,0))</f>
        <v>33.130000000000003</v>
      </c>
      <c r="AW28" s="41">
        <f>INDEX('[1]End - Use Prices'!$C$6:$AL$89,MATCH($C28,'[1]End - Use Prices'!$A$6:$A$89,0)+MATCH($D28,'[1]End - Use Prices'!$B$9:$B$11,0)-1,MATCH(AW$1,'[1]End - Use Prices'!$C$7:$AL$7,0))</f>
        <v>33.25</v>
      </c>
      <c r="AX28" s="41">
        <f>INDEX('[1]End - Use Prices'!$C$6:$AL$89,MATCH($C28,'[1]End - Use Prices'!$A$6:$A$89,0)+MATCH($D28,'[1]End - Use Prices'!$B$9:$B$11,0)-1,MATCH(AX$1,'[1]End - Use Prices'!$C$7:$AL$7,0))</f>
        <v>33.369999999999997</v>
      </c>
      <c r="AY28" s="41">
        <f>INDEX('[1]End - Use Prices'!$C$6:$AL$89,MATCH($C28,'[1]End - Use Prices'!$A$6:$A$89,0)+MATCH($D28,'[1]End - Use Prices'!$B$9:$B$11,0)-1,MATCH(AY$1,'[1]End - Use Prices'!$C$7:$AL$7,0))</f>
        <v>33.479999999999997</v>
      </c>
      <c r="AZ28" s="41">
        <f>INDEX('[1]End - Use Prices'!$C$6:$AL$89,MATCH($C28,'[1]End - Use Prices'!$A$6:$A$89,0)+MATCH($D28,'[1]End - Use Prices'!$B$9:$B$11,0)-1,MATCH(AZ$1,'[1]End - Use Prices'!$C$7:$AL$7,0))</f>
        <v>33.58</v>
      </c>
      <c r="BA28" s="41">
        <f>INDEX('[1]End - Use Prices'!$C$6:$AL$89,MATCH($C28,'[1]End - Use Prices'!$A$6:$A$89,0)+MATCH($D28,'[1]End - Use Prices'!$B$9:$B$11,0)-1,MATCH(BA$1,'[1]End - Use Prices'!$C$7:$AL$7,0))</f>
        <v>33.68</v>
      </c>
      <c r="BB28" s="41">
        <f>INDEX('[1]End - Use Prices'!$C$6:$AL$89,MATCH($C28,'[1]End - Use Prices'!$A$6:$A$89,0)+MATCH($D28,'[1]End - Use Prices'!$B$9:$B$11,0)-1,MATCH(BB$1,'[1]End - Use Prices'!$C$7:$AL$7,0))</f>
        <v>33.76</v>
      </c>
      <c r="BC28" s="41">
        <f>INDEX('[1]End - Use Prices'!$C$6:$AL$89,MATCH($C28,'[1]End - Use Prices'!$A$6:$A$89,0)+MATCH($D28,'[1]End - Use Prices'!$B$9:$B$11,0)-1,MATCH(BC$1,'[1]End - Use Prices'!$C$7:$AL$7,0))</f>
        <v>33.840000000000003</v>
      </c>
      <c r="BD28" s="41">
        <f>INDEX('[1]End - Use Prices'!$C$6:$AL$89,MATCH($C28,'[1]End - Use Prices'!$A$6:$A$89,0)+MATCH($D28,'[1]End - Use Prices'!$B$9:$B$11,0)-1,MATCH(BD$1,'[1]End - Use Prices'!$C$7:$AL$7,0))</f>
        <v>33.9</v>
      </c>
      <c r="BE28" s="41">
        <f>INDEX('[1]End - Use Prices'!$C$6:$AL$89,MATCH($C28,'[1]End - Use Prices'!$A$6:$A$89,0)+MATCH($D28,'[1]End - Use Prices'!$B$9:$B$11,0)-1,MATCH(BE$1,'[1]End - Use Prices'!$C$7:$AL$7,0))</f>
        <v>33.950000000000003</v>
      </c>
      <c r="BF28" s="41">
        <f>INDEX('[1]End - Use Prices'!$C$6:$AL$89,MATCH($C28,'[1]End - Use Prices'!$A$6:$A$89,0)+MATCH($D28,'[1]End - Use Prices'!$B$9:$B$11,0)-1,MATCH(BF$1,'[1]End - Use Prices'!$C$7:$AL$7,0))</f>
        <v>33.979999999999997</v>
      </c>
      <c r="BG28" s="41">
        <f>INDEX('[1]End - Use Prices'!$C$6:$AL$89,MATCH($C28,'[1]End - Use Prices'!$A$6:$A$89,0)+MATCH($D28,'[1]End - Use Prices'!$B$9:$B$11,0)-1,MATCH(BG$1,'[1]End - Use Prices'!$C$7:$AL$7,0))</f>
        <v>34</v>
      </c>
      <c r="BR28" s="39"/>
      <c r="BS28" s="39"/>
      <c r="BT28" s="39"/>
      <c r="BU28" s="39"/>
      <c r="BV28" s="39"/>
      <c r="BW28" s="39"/>
      <c r="BX28" s="39"/>
      <c r="BY28" s="39"/>
      <c r="BZ28" s="39"/>
      <c r="CA28" s="39"/>
    </row>
    <row r="29" spans="1:79" x14ac:dyDescent="0.25">
      <c r="A29" s="5"/>
      <c r="B29" s="3"/>
      <c r="C29" s="25" t="s">
        <v>95</v>
      </c>
      <c r="D29" s="25" t="s">
        <v>2</v>
      </c>
      <c r="E29" s="25" t="s">
        <v>313</v>
      </c>
      <c r="F29" s="74" t="s">
        <v>310</v>
      </c>
      <c r="G29" s="54">
        <f t="shared" si="8"/>
        <v>33.479999999999997</v>
      </c>
      <c r="H29" s="34">
        <f t="shared" si="9"/>
        <v>33.479999999999997</v>
      </c>
      <c r="I29" s="34">
        <f t="shared" si="9"/>
        <v>37.69</v>
      </c>
      <c r="J29" s="34">
        <f t="shared" si="9"/>
        <v>47.73</v>
      </c>
      <c r="K29" s="34">
        <f t="shared" si="9"/>
        <v>48.18</v>
      </c>
      <c r="L29" s="34">
        <f t="shared" si="9"/>
        <v>49.04</v>
      </c>
      <c r="M29" s="34">
        <f t="shared" si="9"/>
        <v>49.97</v>
      </c>
      <c r="N29" s="34">
        <f t="shared" si="9"/>
        <v>50.92</v>
      </c>
      <c r="O29" s="34">
        <f t="shared" si="9"/>
        <v>51.85</v>
      </c>
      <c r="P29" s="54">
        <f t="shared" ref="P29:Q29" si="21">O29</f>
        <v>51.85</v>
      </c>
      <c r="Q29" s="54">
        <f t="shared" si="21"/>
        <v>51.85</v>
      </c>
      <c r="R29" s="38"/>
      <c r="X29" s="41">
        <f>INDEX('[1]End - Use Prices'!$C$6:$AL$89,MATCH($C29,'[1]End - Use Prices'!$A$6:$A$89,0)+MATCH($D29,'[1]End - Use Prices'!$B$9:$B$11,0)-1,MATCH(X$1,'[1]End - Use Prices'!$C$7:$AL$7,0))</f>
        <v>33.479999999999997</v>
      </c>
      <c r="Y29" s="41">
        <f>INDEX('[1]End - Use Prices'!$C$6:$AL$89,MATCH($C29,'[1]End - Use Prices'!$A$6:$A$89,0)+MATCH($D29,'[1]End - Use Prices'!$B$9:$B$11,0)-1,MATCH(Y$1,'[1]End - Use Prices'!$C$7:$AL$7,0))</f>
        <v>34.72</v>
      </c>
      <c r="Z29" s="41">
        <f>INDEX('[1]End - Use Prices'!$C$6:$AL$89,MATCH($C29,'[1]End - Use Prices'!$A$6:$A$89,0)+MATCH($D29,'[1]End - Use Prices'!$B$9:$B$11,0)-1,MATCH(Z$1,'[1]End - Use Prices'!$C$7:$AL$7,0))</f>
        <v>34.299999999999997</v>
      </c>
      <c r="AA29" s="41">
        <f>INDEX('[1]End - Use Prices'!$C$6:$AL$89,MATCH($C29,'[1]End - Use Prices'!$A$6:$A$89,0)+MATCH($D29,'[1]End - Use Prices'!$B$9:$B$11,0)-1,MATCH(AA$1,'[1]End - Use Prices'!$C$7:$AL$7,0))</f>
        <v>34</v>
      </c>
      <c r="AB29" s="41">
        <f>INDEX('[1]End - Use Prices'!$C$6:$AL$89,MATCH($C29,'[1]End - Use Prices'!$A$6:$A$89,0)+MATCH($D29,'[1]End - Use Prices'!$B$9:$B$11,0)-1,MATCH(AB$1,'[1]End - Use Prices'!$C$7:$AL$7,0))</f>
        <v>35.590000000000003</v>
      </c>
      <c r="AC29" s="41">
        <f>INDEX('[1]End - Use Prices'!$C$6:$AL$89,MATCH($C29,'[1]End - Use Prices'!$A$6:$A$89,0)+MATCH($D29,'[1]End - Use Prices'!$B$9:$B$11,0)-1,MATCH(AC$1,'[1]End - Use Prices'!$C$7:$AL$7,0))</f>
        <v>37.69</v>
      </c>
      <c r="AD29" s="41">
        <f>INDEX('[1]End - Use Prices'!$C$6:$AL$89,MATCH($C29,'[1]End - Use Prices'!$A$6:$A$89,0)+MATCH($D29,'[1]End - Use Prices'!$B$9:$B$11,0)-1,MATCH(AD$1,'[1]End - Use Prices'!$C$7:$AL$7,0))</f>
        <v>35.89</v>
      </c>
      <c r="AE29" s="41">
        <f>INDEX('[1]End - Use Prices'!$C$6:$AL$89,MATCH($C29,'[1]End - Use Prices'!$A$6:$A$89,0)+MATCH($D29,'[1]End - Use Prices'!$B$9:$B$11,0)-1,MATCH(AE$1,'[1]End - Use Prices'!$C$7:$AL$7,0))</f>
        <v>40.39</v>
      </c>
      <c r="AF29" s="41">
        <f>INDEX('[1]End - Use Prices'!$C$6:$AL$89,MATCH($C29,'[1]End - Use Prices'!$A$6:$A$89,0)+MATCH($D29,'[1]End - Use Prices'!$B$9:$B$11,0)-1,MATCH(AF$1,'[1]End - Use Prices'!$C$7:$AL$7,0))</f>
        <v>40.28</v>
      </c>
      <c r="AG29" s="41">
        <f>INDEX('[1]End - Use Prices'!$C$6:$AL$89,MATCH($C29,'[1]End - Use Prices'!$A$6:$A$89,0)+MATCH($D29,'[1]End - Use Prices'!$B$9:$B$11,0)-1,MATCH(AG$1,'[1]End - Use Prices'!$C$7:$AL$7,0))</f>
        <v>47.35</v>
      </c>
      <c r="AH29" s="41">
        <f>INDEX('[1]End - Use Prices'!$C$6:$AL$89,MATCH($C29,'[1]End - Use Prices'!$A$6:$A$89,0)+MATCH($D29,'[1]End - Use Prices'!$B$9:$B$11,0)-1,MATCH(AH$1,'[1]End - Use Prices'!$C$7:$AL$7,0))</f>
        <v>47.73</v>
      </c>
      <c r="AI29" s="41">
        <f>INDEX('[1]End - Use Prices'!$C$6:$AL$89,MATCH($C29,'[1]End - Use Prices'!$A$6:$A$89,0)+MATCH($D29,'[1]End - Use Prices'!$B$9:$B$11,0)-1,MATCH(AI$1,'[1]End - Use Prices'!$C$7:$AL$7,0))</f>
        <v>47.43</v>
      </c>
      <c r="AJ29" s="41">
        <f>INDEX('[1]End - Use Prices'!$C$6:$AL$89,MATCH($C29,'[1]End - Use Prices'!$A$6:$A$89,0)+MATCH($D29,'[1]End - Use Prices'!$B$9:$B$11,0)-1,MATCH(AJ$1,'[1]End - Use Prices'!$C$7:$AL$7,0))</f>
        <v>47.71</v>
      </c>
      <c r="AK29" s="41">
        <f>INDEX('[1]End - Use Prices'!$C$6:$AL$89,MATCH($C29,'[1]End - Use Prices'!$A$6:$A$89,0)+MATCH($D29,'[1]End - Use Prices'!$B$9:$B$11,0)-1,MATCH(AK$1,'[1]End - Use Prices'!$C$7:$AL$7,0))</f>
        <v>47.86</v>
      </c>
      <c r="AL29" s="41">
        <f>INDEX('[1]End - Use Prices'!$C$6:$AL$89,MATCH($C29,'[1]End - Use Prices'!$A$6:$A$89,0)+MATCH($D29,'[1]End - Use Prices'!$B$9:$B$11,0)-1,MATCH(AL$1,'[1]End - Use Prices'!$C$7:$AL$7,0))</f>
        <v>48.02</v>
      </c>
      <c r="AM29" s="41">
        <f>INDEX('[1]End - Use Prices'!$C$6:$AL$89,MATCH($C29,'[1]End - Use Prices'!$A$6:$A$89,0)+MATCH($D29,'[1]End - Use Prices'!$B$9:$B$11,0)-1,MATCH(AM$1,'[1]End - Use Prices'!$C$7:$AL$7,0))</f>
        <v>48.18</v>
      </c>
      <c r="AN29" s="41">
        <f>INDEX('[1]End - Use Prices'!$C$6:$AL$89,MATCH($C29,'[1]End - Use Prices'!$A$6:$A$89,0)+MATCH($D29,'[1]End - Use Prices'!$B$9:$B$11,0)-1,MATCH(AN$1,'[1]End - Use Prices'!$C$7:$AL$7,0))</f>
        <v>48.35</v>
      </c>
      <c r="AO29" s="41">
        <f>INDEX('[1]End - Use Prices'!$C$6:$AL$89,MATCH($C29,'[1]End - Use Prices'!$A$6:$A$89,0)+MATCH($D29,'[1]End - Use Prices'!$B$9:$B$11,0)-1,MATCH(AO$1,'[1]End - Use Prices'!$C$7:$AL$7,0))</f>
        <v>48.52</v>
      </c>
      <c r="AP29" s="41">
        <f>INDEX('[1]End - Use Prices'!$C$6:$AL$89,MATCH($C29,'[1]End - Use Prices'!$A$6:$A$89,0)+MATCH($D29,'[1]End - Use Prices'!$B$9:$B$11,0)-1,MATCH(AP$1,'[1]End - Use Prices'!$C$7:$AL$7,0))</f>
        <v>48.69</v>
      </c>
      <c r="AQ29" s="41">
        <f>INDEX('[1]End - Use Prices'!$C$6:$AL$89,MATCH($C29,'[1]End - Use Prices'!$A$6:$A$89,0)+MATCH($D29,'[1]End - Use Prices'!$B$9:$B$11,0)-1,MATCH(AQ$1,'[1]End - Use Prices'!$C$7:$AL$7,0))</f>
        <v>48.86</v>
      </c>
      <c r="AR29" s="41">
        <f>INDEX('[1]End - Use Prices'!$C$6:$AL$89,MATCH($C29,'[1]End - Use Prices'!$A$6:$A$89,0)+MATCH($D29,'[1]End - Use Prices'!$B$9:$B$11,0)-1,MATCH(AR$1,'[1]End - Use Prices'!$C$7:$AL$7,0))</f>
        <v>49.04</v>
      </c>
      <c r="AS29" s="41">
        <f>INDEX('[1]End - Use Prices'!$C$6:$AL$89,MATCH($C29,'[1]End - Use Prices'!$A$6:$A$89,0)+MATCH($D29,'[1]End - Use Prices'!$B$9:$B$11,0)-1,MATCH(AS$1,'[1]End - Use Prices'!$C$7:$AL$7,0))</f>
        <v>49.22</v>
      </c>
      <c r="AT29" s="41">
        <f>INDEX('[1]End - Use Prices'!$C$6:$AL$89,MATCH($C29,'[1]End - Use Prices'!$A$6:$A$89,0)+MATCH($D29,'[1]End - Use Prices'!$B$9:$B$11,0)-1,MATCH(AT$1,'[1]End - Use Prices'!$C$7:$AL$7,0))</f>
        <v>49.41</v>
      </c>
      <c r="AU29" s="41">
        <f>INDEX('[1]End - Use Prices'!$C$6:$AL$89,MATCH($C29,'[1]End - Use Prices'!$A$6:$A$89,0)+MATCH($D29,'[1]End - Use Prices'!$B$9:$B$11,0)-1,MATCH(AU$1,'[1]End - Use Prices'!$C$7:$AL$7,0))</f>
        <v>49.59</v>
      </c>
      <c r="AV29" s="41">
        <f>INDEX('[1]End - Use Prices'!$C$6:$AL$89,MATCH($C29,'[1]End - Use Prices'!$A$6:$A$89,0)+MATCH($D29,'[1]End - Use Prices'!$B$9:$B$11,0)-1,MATCH(AV$1,'[1]End - Use Prices'!$C$7:$AL$7,0))</f>
        <v>49.78</v>
      </c>
      <c r="AW29" s="41">
        <f>INDEX('[1]End - Use Prices'!$C$6:$AL$89,MATCH($C29,'[1]End - Use Prices'!$A$6:$A$89,0)+MATCH($D29,'[1]End - Use Prices'!$B$9:$B$11,0)-1,MATCH(AW$1,'[1]End - Use Prices'!$C$7:$AL$7,0))</f>
        <v>49.97</v>
      </c>
      <c r="AX29" s="41">
        <f>INDEX('[1]End - Use Prices'!$C$6:$AL$89,MATCH($C29,'[1]End - Use Prices'!$A$6:$A$89,0)+MATCH($D29,'[1]End - Use Prices'!$B$9:$B$11,0)-1,MATCH(AX$1,'[1]End - Use Prices'!$C$7:$AL$7,0))</f>
        <v>50.16</v>
      </c>
      <c r="AY29" s="41">
        <f>INDEX('[1]End - Use Prices'!$C$6:$AL$89,MATCH($C29,'[1]End - Use Prices'!$A$6:$A$89,0)+MATCH($D29,'[1]End - Use Prices'!$B$9:$B$11,0)-1,MATCH(AY$1,'[1]End - Use Prices'!$C$7:$AL$7,0))</f>
        <v>50.35</v>
      </c>
      <c r="AZ29" s="41">
        <f>INDEX('[1]End - Use Prices'!$C$6:$AL$89,MATCH($C29,'[1]End - Use Prices'!$A$6:$A$89,0)+MATCH($D29,'[1]End - Use Prices'!$B$9:$B$11,0)-1,MATCH(AZ$1,'[1]End - Use Prices'!$C$7:$AL$7,0))</f>
        <v>50.54</v>
      </c>
      <c r="BA29" s="41">
        <f>INDEX('[1]End - Use Prices'!$C$6:$AL$89,MATCH($C29,'[1]End - Use Prices'!$A$6:$A$89,0)+MATCH($D29,'[1]End - Use Prices'!$B$9:$B$11,0)-1,MATCH(BA$1,'[1]End - Use Prices'!$C$7:$AL$7,0))</f>
        <v>50.73</v>
      </c>
      <c r="BB29" s="41">
        <f>INDEX('[1]End - Use Prices'!$C$6:$AL$89,MATCH($C29,'[1]End - Use Prices'!$A$6:$A$89,0)+MATCH($D29,'[1]End - Use Prices'!$B$9:$B$11,0)-1,MATCH(BB$1,'[1]End - Use Prices'!$C$7:$AL$7,0))</f>
        <v>50.92</v>
      </c>
      <c r="BC29" s="41">
        <f>INDEX('[1]End - Use Prices'!$C$6:$AL$89,MATCH($C29,'[1]End - Use Prices'!$A$6:$A$89,0)+MATCH($D29,'[1]End - Use Prices'!$B$9:$B$11,0)-1,MATCH(BC$1,'[1]End - Use Prices'!$C$7:$AL$7,0))</f>
        <v>51.11</v>
      </c>
      <c r="BD29" s="41">
        <f>INDEX('[1]End - Use Prices'!$C$6:$AL$89,MATCH($C29,'[1]End - Use Prices'!$A$6:$A$89,0)+MATCH($D29,'[1]End - Use Prices'!$B$9:$B$11,0)-1,MATCH(BD$1,'[1]End - Use Prices'!$C$7:$AL$7,0))</f>
        <v>51.3</v>
      </c>
      <c r="BE29" s="41">
        <f>INDEX('[1]End - Use Prices'!$C$6:$AL$89,MATCH($C29,'[1]End - Use Prices'!$A$6:$A$89,0)+MATCH($D29,'[1]End - Use Prices'!$B$9:$B$11,0)-1,MATCH(BE$1,'[1]End - Use Prices'!$C$7:$AL$7,0))</f>
        <v>51.48</v>
      </c>
      <c r="BF29" s="41">
        <f>INDEX('[1]End - Use Prices'!$C$6:$AL$89,MATCH($C29,'[1]End - Use Prices'!$A$6:$A$89,0)+MATCH($D29,'[1]End - Use Prices'!$B$9:$B$11,0)-1,MATCH(BF$1,'[1]End - Use Prices'!$C$7:$AL$7,0))</f>
        <v>51.67</v>
      </c>
      <c r="BG29" s="41">
        <f>INDEX('[1]End - Use Prices'!$C$6:$AL$89,MATCH($C29,'[1]End - Use Prices'!$A$6:$A$89,0)+MATCH($D29,'[1]End - Use Prices'!$B$9:$B$11,0)-1,MATCH(BG$1,'[1]End - Use Prices'!$C$7:$AL$7,0))</f>
        <v>51.85</v>
      </c>
      <c r="BR29" s="39"/>
      <c r="BS29" s="39"/>
      <c r="BT29" s="39"/>
      <c r="BU29" s="39"/>
      <c r="BV29" s="39"/>
      <c r="BW29" s="39"/>
      <c r="BX29" s="39"/>
      <c r="BY29" s="39"/>
      <c r="BZ29" s="39"/>
      <c r="CA29" s="39"/>
    </row>
    <row r="30" spans="1:79" x14ac:dyDescent="0.25">
      <c r="A30" s="5"/>
      <c r="B30" s="3"/>
      <c r="C30" s="25" t="s">
        <v>97</v>
      </c>
      <c r="D30" s="25" t="s">
        <v>2</v>
      </c>
      <c r="E30" s="25" t="s">
        <v>313</v>
      </c>
      <c r="F30" s="74" t="s">
        <v>310</v>
      </c>
      <c r="G30" s="54">
        <f t="shared" si="8"/>
        <v>80.930000000000007</v>
      </c>
      <c r="H30" s="34">
        <f t="shared" si="9"/>
        <v>80.930000000000007</v>
      </c>
      <c r="I30" s="34">
        <f t="shared" si="9"/>
        <v>89.34</v>
      </c>
      <c r="J30" s="34">
        <f t="shared" si="9"/>
        <v>95.28</v>
      </c>
      <c r="K30" s="34">
        <f t="shared" si="9"/>
        <v>96.87</v>
      </c>
      <c r="L30" s="34">
        <f t="shared" si="9"/>
        <v>98.86</v>
      </c>
      <c r="M30" s="34">
        <f t="shared" si="9"/>
        <v>100.71</v>
      </c>
      <c r="N30" s="34">
        <f t="shared" si="9"/>
        <v>102.6</v>
      </c>
      <c r="O30" s="34">
        <f t="shared" si="9"/>
        <v>104.69</v>
      </c>
      <c r="P30" s="54">
        <f t="shared" ref="P30:Q30" si="22">O30</f>
        <v>104.69</v>
      </c>
      <c r="Q30" s="54">
        <f t="shared" si="22"/>
        <v>104.69</v>
      </c>
      <c r="R30" s="38"/>
      <c r="X30" s="41">
        <f>INDEX('[1]End - Use Prices'!$C$6:$AL$89,MATCH($C30,'[1]End - Use Prices'!$A$6:$A$89,0)+MATCH($D30,'[1]End - Use Prices'!$B$9:$B$11,0)-1,MATCH(X$1,'[1]End - Use Prices'!$C$7:$AL$7,0))</f>
        <v>80.930000000000007</v>
      </c>
      <c r="Y30" s="41">
        <f>INDEX('[1]End - Use Prices'!$C$6:$AL$89,MATCH($C30,'[1]End - Use Prices'!$A$6:$A$89,0)+MATCH($D30,'[1]End - Use Prices'!$B$9:$B$11,0)-1,MATCH(Y$1,'[1]End - Use Prices'!$C$7:$AL$7,0))</f>
        <v>83.41</v>
      </c>
      <c r="Z30" s="41">
        <f>INDEX('[1]End - Use Prices'!$C$6:$AL$89,MATCH($C30,'[1]End - Use Prices'!$A$6:$A$89,0)+MATCH($D30,'[1]End - Use Prices'!$B$9:$B$11,0)-1,MATCH(Z$1,'[1]End - Use Prices'!$C$7:$AL$7,0))</f>
        <v>82.56</v>
      </c>
      <c r="AA30" s="41">
        <f>INDEX('[1]End - Use Prices'!$C$6:$AL$89,MATCH($C30,'[1]End - Use Prices'!$A$6:$A$89,0)+MATCH($D30,'[1]End - Use Prices'!$B$9:$B$11,0)-1,MATCH(AA$1,'[1]End - Use Prices'!$C$7:$AL$7,0))</f>
        <v>81.98</v>
      </c>
      <c r="AB30" s="41">
        <f>INDEX('[1]End - Use Prices'!$C$6:$AL$89,MATCH($C30,'[1]End - Use Prices'!$A$6:$A$89,0)+MATCH($D30,'[1]End - Use Prices'!$B$9:$B$11,0)-1,MATCH(AB$1,'[1]End - Use Prices'!$C$7:$AL$7,0))</f>
        <v>85.14</v>
      </c>
      <c r="AC30" s="41">
        <f>INDEX('[1]End - Use Prices'!$C$6:$AL$89,MATCH($C30,'[1]End - Use Prices'!$A$6:$A$89,0)+MATCH($D30,'[1]End - Use Prices'!$B$9:$B$11,0)-1,MATCH(AC$1,'[1]End - Use Prices'!$C$7:$AL$7,0))</f>
        <v>89.34</v>
      </c>
      <c r="AD30" s="41">
        <f>INDEX('[1]End - Use Prices'!$C$6:$AL$89,MATCH($C30,'[1]End - Use Prices'!$A$6:$A$89,0)+MATCH($D30,'[1]End - Use Prices'!$B$9:$B$11,0)-1,MATCH(AD$1,'[1]End - Use Prices'!$C$7:$AL$7,0))</f>
        <v>85.75</v>
      </c>
      <c r="AE30" s="41">
        <f>INDEX('[1]End - Use Prices'!$C$6:$AL$89,MATCH($C30,'[1]End - Use Prices'!$A$6:$A$89,0)+MATCH($D30,'[1]End - Use Prices'!$B$9:$B$11,0)-1,MATCH(AE$1,'[1]End - Use Prices'!$C$7:$AL$7,0))</f>
        <v>94.73</v>
      </c>
      <c r="AF30" s="41">
        <f>INDEX('[1]End - Use Prices'!$C$6:$AL$89,MATCH($C30,'[1]End - Use Prices'!$A$6:$A$89,0)+MATCH($D30,'[1]End - Use Prices'!$B$9:$B$11,0)-1,MATCH(AF$1,'[1]End - Use Prices'!$C$7:$AL$7,0))</f>
        <v>94.52</v>
      </c>
      <c r="AG30" s="41">
        <f>INDEX('[1]End - Use Prices'!$C$6:$AL$89,MATCH($C30,'[1]End - Use Prices'!$A$6:$A$89,0)+MATCH($D30,'[1]End - Use Prices'!$B$9:$B$11,0)-1,MATCH(AG$1,'[1]End - Use Prices'!$C$7:$AL$7,0))</f>
        <v>94.52</v>
      </c>
      <c r="AH30" s="41">
        <f>INDEX('[1]End - Use Prices'!$C$6:$AL$89,MATCH($C30,'[1]End - Use Prices'!$A$6:$A$89,0)+MATCH($D30,'[1]End - Use Prices'!$B$9:$B$11,0)-1,MATCH(AH$1,'[1]End - Use Prices'!$C$7:$AL$7,0))</f>
        <v>95.28</v>
      </c>
      <c r="AI30" s="41">
        <f>INDEX('[1]End - Use Prices'!$C$6:$AL$89,MATCH($C30,'[1]End - Use Prices'!$A$6:$A$89,0)+MATCH($D30,'[1]End - Use Prices'!$B$9:$B$11,0)-1,MATCH(AI$1,'[1]End - Use Prices'!$C$7:$AL$7,0))</f>
        <v>94.69</v>
      </c>
      <c r="AJ30" s="41">
        <f>INDEX('[1]End - Use Prices'!$C$6:$AL$89,MATCH($C30,'[1]End - Use Prices'!$A$6:$A$89,0)+MATCH($D30,'[1]End - Use Prices'!$B$9:$B$11,0)-1,MATCH(AJ$1,'[1]End - Use Prices'!$C$7:$AL$7,0))</f>
        <v>95.56</v>
      </c>
      <c r="AK30" s="41">
        <f>INDEX('[1]End - Use Prices'!$C$6:$AL$89,MATCH($C30,'[1]End - Use Prices'!$A$6:$A$89,0)+MATCH($D30,'[1]End - Use Prices'!$B$9:$B$11,0)-1,MATCH(AK$1,'[1]End - Use Prices'!$C$7:$AL$7,0))</f>
        <v>96.01</v>
      </c>
      <c r="AL30" s="41">
        <f>INDEX('[1]End - Use Prices'!$C$6:$AL$89,MATCH($C30,'[1]End - Use Prices'!$A$6:$A$89,0)+MATCH($D30,'[1]End - Use Prices'!$B$9:$B$11,0)-1,MATCH(AL$1,'[1]End - Use Prices'!$C$7:$AL$7,0))</f>
        <v>96.45</v>
      </c>
      <c r="AM30" s="41">
        <f>INDEX('[1]End - Use Prices'!$C$6:$AL$89,MATCH($C30,'[1]End - Use Prices'!$A$6:$A$89,0)+MATCH($D30,'[1]End - Use Prices'!$B$9:$B$11,0)-1,MATCH(AM$1,'[1]End - Use Prices'!$C$7:$AL$7,0))</f>
        <v>96.87</v>
      </c>
      <c r="AN30" s="41">
        <f>INDEX('[1]End - Use Prices'!$C$6:$AL$89,MATCH($C30,'[1]End - Use Prices'!$A$6:$A$89,0)+MATCH($D30,'[1]End - Use Prices'!$B$9:$B$11,0)-1,MATCH(AN$1,'[1]End - Use Prices'!$C$7:$AL$7,0))</f>
        <v>97.29</v>
      </c>
      <c r="AO30" s="41">
        <f>INDEX('[1]End - Use Prices'!$C$6:$AL$89,MATCH($C30,'[1]End - Use Prices'!$A$6:$A$89,0)+MATCH($D30,'[1]End - Use Prices'!$B$9:$B$11,0)-1,MATCH(AO$1,'[1]End - Use Prices'!$C$7:$AL$7,0))</f>
        <v>97.69</v>
      </c>
      <c r="AP30" s="41">
        <f>INDEX('[1]End - Use Prices'!$C$6:$AL$89,MATCH($C30,'[1]End - Use Prices'!$A$6:$A$89,0)+MATCH($D30,'[1]End - Use Prices'!$B$9:$B$11,0)-1,MATCH(AP$1,'[1]End - Use Prices'!$C$7:$AL$7,0))</f>
        <v>98.09</v>
      </c>
      <c r="AQ30" s="41">
        <f>INDEX('[1]End - Use Prices'!$C$6:$AL$89,MATCH($C30,'[1]End - Use Prices'!$A$6:$A$89,0)+MATCH($D30,'[1]End - Use Prices'!$B$9:$B$11,0)-1,MATCH(AQ$1,'[1]End - Use Prices'!$C$7:$AL$7,0))</f>
        <v>98.48</v>
      </c>
      <c r="AR30" s="41">
        <f>INDEX('[1]End - Use Prices'!$C$6:$AL$89,MATCH($C30,'[1]End - Use Prices'!$A$6:$A$89,0)+MATCH($D30,'[1]End - Use Prices'!$B$9:$B$11,0)-1,MATCH(AR$1,'[1]End - Use Prices'!$C$7:$AL$7,0))</f>
        <v>98.86</v>
      </c>
      <c r="AS30" s="41">
        <f>INDEX('[1]End - Use Prices'!$C$6:$AL$89,MATCH($C30,'[1]End - Use Prices'!$A$6:$A$89,0)+MATCH($D30,'[1]End - Use Prices'!$B$9:$B$11,0)-1,MATCH(AS$1,'[1]End - Use Prices'!$C$7:$AL$7,0))</f>
        <v>99.23</v>
      </c>
      <c r="AT30" s="41">
        <f>INDEX('[1]End - Use Prices'!$C$6:$AL$89,MATCH($C30,'[1]End - Use Prices'!$A$6:$A$89,0)+MATCH($D30,'[1]End - Use Prices'!$B$9:$B$11,0)-1,MATCH(AT$1,'[1]End - Use Prices'!$C$7:$AL$7,0))</f>
        <v>99.6</v>
      </c>
      <c r="AU30" s="41">
        <f>INDEX('[1]End - Use Prices'!$C$6:$AL$89,MATCH($C30,'[1]End - Use Prices'!$A$6:$A$89,0)+MATCH($D30,'[1]End - Use Prices'!$B$9:$B$11,0)-1,MATCH(AU$1,'[1]End - Use Prices'!$C$7:$AL$7,0))</f>
        <v>99.97</v>
      </c>
      <c r="AV30" s="41">
        <f>INDEX('[1]End - Use Prices'!$C$6:$AL$89,MATCH($C30,'[1]End - Use Prices'!$A$6:$A$89,0)+MATCH($D30,'[1]End - Use Prices'!$B$9:$B$11,0)-1,MATCH(AV$1,'[1]End - Use Prices'!$C$7:$AL$7,0))</f>
        <v>100.34</v>
      </c>
      <c r="AW30" s="41">
        <f>INDEX('[1]End - Use Prices'!$C$6:$AL$89,MATCH($C30,'[1]End - Use Prices'!$A$6:$A$89,0)+MATCH($D30,'[1]End - Use Prices'!$B$9:$B$11,0)-1,MATCH(AW$1,'[1]End - Use Prices'!$C$7:$AL$7,0))</f>
        <v>100.71</v>
      </c>
      <c r="AX30" s="41">
        <f>INDEX('[1]End - Use Prices'!$C$6:$AL$89,MATCH($C30,'[1]End - Use Prices'!$A$6:$A$89,0)+MATCH($D30,'[1]End - Use Prices'!$B$9:$B$11,0)-1,MATCH(AX$1,'[1]End - Use Prices'!$C$7:$AL$7,0))</f>
        <v>101.08</v>
      </c>
      <c r="AY30" s="41">
        <f>INDEX('[1]End - Use Prices'!$C$6:$AL$89,MATCH($C30,'[1]End - Use Prices'!$A$6:$A$89,0)+MATCH($D30,'[1]End - Use Prices'!$B$9:$B$11,0)-1,MATCH(AY$1,'[1]End - Use Prices'!$C$7:$AL$7,0))</f>
        <v>101.45</v>
      </c>
      <c r="AZ30" s="41">
        <f>INDEX('[1]End - Use Prices'!$C$6:$AL$89,MATCH($C30,'[1]End - Use Prices'!$A$6:$A$89,0)+MATCH($D30,'[1]End - Use Prices'!$B$9:$B$11,0)-1,MATCH(AZ$1,'[1]End - Use Prices'!$C$7:$AL$7,0))</f>
        <v>101.83</v>
      </c>
      <c r="BA30" s="41">
        <f>INDEX('[1]End - Use Prices'!$C$6:$AL$89,MATCH($C30,'[1]End - Use Prices'!$A$6:$A$89,0)+MATCH($D30,'[1]End - Use Prices'!$B$9:$B$11,0)-1,MATCH(BA$1,'[1]End - Use Prices'!$C$7:$AL$7,0))</f>
        <v>102.21</v>
      </c>
      <c r="BB30" s="41">
        <f>INDEX('[1]End - Use Prices'!$C$6:$AL$89,MATCH($C30,'[1]End - Use Prices'!$A$6:$A$89,0)+MATCH($D30,'[1]End - Use Prices'!$B$9:$B$11,0)-1,MATCH(BB$1,'[1]End - Use Prices'!$C$7:$AL$7,0))</f>
        <v>102.6</v>
      </c>
      <c r="BC30" s="41">
        <f>INDEX('[1]End - Use Prices'!$C$6:$AL$89,MATCH($C30,'[1]End - Use Prices'!$A$6:$A$89,0)+MATCH($D30,'[1]End - Use Prices'!$B$9:$B$11,0)-1,MATCH(BC$1,'[1]End - Use Prices'!$C$7:$AL$7,0))</f>
        <v>103</v>
      </c>
      <c r="BD30" s="41">
        <f>INDEX('[1]End - Use Prices'!$C$6:$AL$89,MATCH($C30,'[1]End - Use Prices'!$A$6:$A$89,0)+MATCH($D30,'[1]End - Use Prices'!$B$9:$B$11,0)-1,MATCH(BD$1,'[1]End - Use Prices'!$C$7:$AL$7,0))</f>
        <v>103.4</v>
      </c>
      <c r="BE30" s="41">
        <f>INDEX('[1]End - Use Prices'!$C$6:$AL$89,MATCH($C30,'[1]End - Use Prices'!$A$6:$A$89,0)+MATCH($D30,'[1]End - Use Prices'!$B$9:$B$11,0)-1,MATCH(BE$1,'[1]End - Use Prices'!$C$7:$AL$7,0))</f>
        <v>103.82</v>
      </c>
      <c r="BF30" s="41">
        <f>INDEX('[1]End - Use Prices'!$C$6:$AL$89,MATCH($C30,'[1]End - Use Prices'!$A$6:$A$89,0)+MATCH($D30,'[1]End - Use Prices'!$B$9:$B$11,0)-1,MATCH(BF$1,'[1]End - Use Prices'!$C$7:$AL$7,0))</f>
        <v>104.25</v>
      </c>
      <c r="BG30" s="41">
        <f>INDEX('[1]End - Use Prices'!$C$6:$AL$89,MATCH($C30,'[1]End - Use Prices'!$A$6:$A$89,0)+MATCH($D30,'[1]End - Use Prices'!$B$9:$B$11,0)-1,MATCH(BG$1,'[1]End - Use Prices'!$C$7:$AL$7,0))</f>
        <v>104.69</v>
      </c>
      <c r="BR30" s="39"/>
      <c r="BS30" s="39"/>
      <c r="BT30" s="39"/>
      <c r="BU30" s="39"/>
      <c r="BV30" s="39"/>
      <c r="BW30" s="39"/>
      <c r="BX30" s="39"/>
      <c r="BY30" s="39"/>
      <c r="BZ30" s="39"/>
      <c r="CA30" s="39"/>
    </row>
    <row r="31" spans="1:79" x14ac:dyDescent="0.25">
      <c r="A31" s="5"/>
      <c r="B31" s="3"/>
      <c r="C31" s="25" t="s">
        <v>96</v>
      </c>
      <c r="D31" s="25" t="s">
        <v>2</v>
      </c>
      <c r="E31" s="25" t="s">
        <v>313</v>
      </c>
      <c r="F31" s="74" t="s">
        <v>310</v>
      </c>
      <c r="G31" s="54">
        <f t="shared" si="8"/>
        <v>83.79</v>
      </c>
      <c r="H31" s="34">
        <f t="shared" si="9"/>
        <v>83.79</v>
      </c>
      <c r="I31" s="34">
        <f t="shared" si="9"/>
        <v>92.5</v>
      </c>
      <c r="J31" s="34">
        <f t="shared" si="9"/>
        <v>98.65</v>
      </c>
      <c r="K31" s="34">
        <f t="shared" si="9"/>
        <v>99.14</v>
      </c>
      <c r="L31" s="34">
        <f t="shared" si="9"/>
        <v>99.31</v>
      </c>
      <c r="M31" s="34">
        <f t="shared" si="9"/>
        <v>99.23</v>
      </c>
      <c r="N31" s="34">
        <f t="shared" si="9"/>
        <v>99.15</v>
      </c>
      <c r="O31" s="34">
        <f t="shared" si="9"/>
        <v>99.32</v>
      </c>
      <c r="P31" s="54">
        <f t="shared" ref="P31:Q31" si="23">O31</f>
        <v>99.32</v>
      </c>
      <c r="Q31" s="54">
        <f t="shared" si="23"/>
        <v>99.32</v>
      </c>
      <c r="R31" s="38"/>
      <c r="X31" s="41">
        <f>INDEX('[1]End - Use Prices'!$C$6:$AL$89,MATCH($C31,'[1]End - Use Prices'!$A$6:$A$89,0)+MATCH($D31,'[1]End - Use Prices'!$B$9:$B$11,0)-1,MATCH(X$1,'[1]End - Use Prices'!$C$7:$AL$7,0))</f>
        <v>83.79</v>
      </c>
      <c r="Y31" s="41">
        <f>INDEX('[1]End - Use Prices'!$C$6:$AL$89,MATCH($C31,'[1]End - Use Prices'!$A$6:$A$89,0)+MATCH($D31,'[1]End - Use Prices'!$B$9:$B$11,0)-1,MATCH(Y$1,'[1]End - Use Prices'!$C$7:$AL$7,0))</f>
        <v>86.36</v>
      </c>
      <c r="Z31" s="41">
        <f>INDEX('[1]End - Use Prices'!$C$6:$AL$89,MATCH($C31,'[1]End - Use Prices'!$A$6:$A$89,0)+MATCH($D31,'[1]End - Use Prices'!$B$9:$B$11,0)-1,MATCH(Z$1,'[1]End - Use Prices'!$C$7:$AL$7,0))</f>
        <v>85.49</v>
      </c>
      <c r="AA31" s="41">
        <f>INDEX('[1]End - Use Prices'!$C$6:$AL$89,MATCH($C31,'[1]End - Use Prices'!$A$6:$A$89,0)+MATCH($D31,'[1]End - Use Prices'!$B$9:$B$11,0)-1,MATCH(AA$1,'[1]End - Use Prices'!$C$7:$AL$7,0))</f>
        <v>84.88</v>
      </c>
      <c r="AB31" s="41">
        <f>INDEX('[1]End - Use Prices'!$C$6:$AL$89,MATCH($C31,'[1]End - Use Prices'!$A$6:$A$89,0)+MATCH($D31,'[1]End - Use Prices'!$B$9:$B$11,0)-1,MATCH(AB$1,'[1]End - Use Prices'!$C$7:$AL$7,0))</f>
        <v>88.16</v>
      </c>
      <c r="AC31" s="41">
        <f>INDEX('[1]End - Use Prices'!$C$6:$AL$89,MATCH($C31,'[1]End - Use Prices'!$A$6:$A$89,0)+MATCH($D31,'[1]End - Use Prices'!$B$9:$B$11,0)-1,MATCH(AC$1,'[1]End - Use Prices'!$C$7:$AL$7,0))</f>
        <v>92.5</v>
      </c>
      <c r="AD31" s="41">
        <f>INDEX('[1]End - Use Prices'!$C$6:$AL$89,MATCH($C31,'[1]End - Use Prices'!$A$6:$A$89,0)+MATCH($D31,'[1]End - Use Prices'!$B$9:$B$11,0)-1,MATCH(AD$1,'[1]End - Use Prices'!$C$7:$AL$7,0))</f>
        <v>88.79</v>
      </c>
      <c r="AE31" s="41">
        <f>INDEX('[1]End - Use Prices'!$C$6:$AL$89,MATCH($C31,'[1]End - Use Prices'!$A$6:$A$89,0)+MATCH($D31,'[1]End - Use Prices'!$B$9:$B$11,0)-1,MATCH(AE$1,'[1]End - Use Prices'!$C$7:$AL$7,0))</f>
        <v>98.09</v>
      </c>
      <c r="AF31" s="41">
        <f>INDEX('[1]End - Use Prices'!$C$6:$AL$89,MATCH($C31,'[1]End - Use Prices'!$A$6:$A$89,0)+MATCH($D31,'[1]End - Use Prices'!$B$9:$B$11,0)-1,MATCH(AF$1,'[1]End - Use Prices'!$C$7:$AL$7,0))</f>
        <v>97.87</v>
      </c>
      <c r="AG31" s="41">
        <f>INDEX('[1]End - Use Prices'!$C$6:$AL$89,MATCH($C31,'[1]End - Use Prices'!$A$6:$A$89,0)+MATCH($D31,'[1]End - Use Prices'!$B$9:$B$11,0)-1,MATCH(AG$1,'[1]End - Use Prices'!$C$7:$AL$7,0))</f>
        <v>97.87</v>
      </c>
      <c r="AH31" s="41">
        <f>INDEX('[1]End - Use Prices'!$C$6:$AL$89,MATCH($C31,'[1]End - Use Prices'!$A$6:$A$89,0)+MATCH($D31,'[1]End - Use Prices'!$B$9:$B$11,0)-1,MATCH(AH$1,'[1]End - Use Prices'!$C$7:$AL$7,0))</f>
        <v>98.65</v>
      </c>
      <c r="AI31" s="41">
        <f>INDEX('[1]End - Use Prices'!$C$6:$AL$89,MATCH($C31,'[1]End - Use Prices'!$A$6:$A$89,0)+MATCH($D31,'[1]End - Use Prices'!$B$9:$B$11,0)-1,MATCH(AI$1,'[1]End - Use Prices'!$C$7:$AL$7,0))</f>
        <v>98.04</v>
      </c>
      <c r="AJ31" s="41">
        <f>INDEX('[1]End - Use Prices'!$C$6:$AL$89,MATCH($C31,'[1]End - Use Prices'!$A$6:$A$89,0)+MATCH($D31,'[1]End - Use Prices'!$B$9:$B$11,0)-1,MATCH(AJ$1,'[1]End - Use Prices'!$C$7:$AL$7,0))</f>
        <v>98.81</v>
      </c>
      <c r="AK31" s="41">
        <f>INDEX('[1]End - Use Prices'!$C$6:$AL$89,MATCH($C31,'[1]End - Use Prices'!$A$6:$A$89,0)+MATCH($D31,'[1]End - Use Prices'!$B$9:$B$11,0)-1,MATCH(AK$1,'[1]End - Use Prices'!$C$7:$AL$7,0))</f>
        <v>98.94</v>
      </c>
      <c r="AL31" s="41">
        <f>INDEX('[1]End - Use Prices'!$C$6:$AL$89,MATCH($C31,'[1]End - Use Prices'!$A$6:$A$89,0)+MATCH($D31,'[1]End - Use Prices'!$B$9:$B$11,0)-1,MATCH(AL$1,'[1]End - Use Prices'!$C$7:$AL$7,0))</f>
        <v>99.05</v>
      </c>
      <c r="AM31" s="41">
        <f>INDEX('[1]End - Use Prices'!$C$6:$AL$89,MATCH($C31,'[1]End - Use Prices'!$A$6:$A$89,0)+MATCH($D31,'[1]End - Use Prices'!$B$9:$B$11,0)-1,MATCH(AM$1,'[1]End - Use Prices'!$C$7:$AL$7,0))</f>
        <v>99.14</v>
      </c>
      <c r="AN31" s="41">
        <f>INDEX('[1]End - Use Prices'!$C$6:$AL$89,MATCH($C31,'[1]End - Use Prices'!$A$6:$A$89,0)+MATCH($D31,'[1]End - Use Prices'!$B$9:$B$11,0)-1,MATCH(AN$1,'[1]End - Use Prices'!$C$7:$AL$7,0))</f>
        <v>99.2</v>
      </c>
      <c r="AO31" s="41">
        <f>INDEX('[1]End - Use Prices'!$C$6:$AL$89,MATCH($C31,'[1]End - Use Prices'!$A$6:$A$89,0)+MATCH($D31,'[1]End - Use Prices'!$B$9:$B$11,0)-1,MATCH(AO$1,'[1]End - Use Prices'!$C$7:$AL$7,0))</f>
        <v>99.25</v>
      </c>
      <c r="AP31" s="41">
        <f>INDEX('[1]End - Use Prices'!$C$6:$AL$89,MATCH($C31,'[1]End - Use Prices'!$A$6:$A$89,0)+MATCH($D31,'[1]End - Use Prices'!$B$9:$B$11,0)-1,MATCH(AP$1,'[1]End - Use Prices'!$C$7:$AL$7,0))</f>
        <v>99.28</v>
      </c>
      <c r="AQ31" s="41">
        <f>INDEX('[1]End - Use Prices'!$C$6:$AL$89,MATCH($C31,'[1]End - Use Prices'!$A$6:$A$89,0)+MATCH($D31,'[1]End - Use Prices'!$B$9:$B$11,0)-1,MATCH(AQ$1,'[1]End - Use Prices'!$C$7:$AL$7,0))</f>
        <v>99.3</v>
      </c>
      <c r="AR31" s="41">
        <f>INDEX('[1]End - Use Prices'!$C$6:$AL$89,MATCH($C31,'[1]End - Use Prices'!$A$6:$A$89,0)+MATCH($D31,'[1]End - Use Prices'!$B$9:$B$11,0)-1,MATCH(AR$1,'[1]End - Use Prices'!$C$7:$AL$7,0))</f>
        <v>99.31</v>
      </c>
      <c r="AS31" s="41">
        <f>INDEX('[1]End - Use Prices'!$C$6:$AL$89,MATCH($C31,'[1]End - Use Prices'!$A$6:$A$89,0)+MATCH($D31,'[1]End - Use Prices'!$B$9:$B$11,0)-1,MATCH(AS$1,'[1]End - Use Prices'!$C$7:$AL$7,0))</f>
        <v>99.3</v>
      </c>
      <c r="AT31" s="41">
        <f>INDEX('[1]End - Use Prices'!$C$6:$AL$89,MATCH($C31,'[1]End - Use Prices'!$A$6:$A$89,0)+MATCH($D31,'[1]End - Use Prices'!$B$9:$B$11,0)-1,MATCH(AT$1,'[1]End - Use Prices'!$C$7:$AL$7,0))</f>
        <v>99.29</v>
      </c>
      <c r="AU31" s="41">
        <f>INDEX('[1]End - Use Prices'!$C$6:$AL$89,MATCH($C31,'[1]End - Use Prices'!$A$6:$A$89,0)+MATCH($D31,'[1]End - Use Prices'!$B$9:$B$11,0)-1,MATCH(AU$1,'[1]End - Use Prices'!$C$7:$AL$7,0))</f>
        <v>99.27</v>
      </c>
      <c r="AV31" s="41">
        <f>INDEX('[1]End - Use Prices'!$C$6:$AL$89,MATCH($C31,'[1]End - Use Prices'!$A$6:$A$89,0)+MATCH($D31,'[1]End - Use Prices'!$B$9:$B$11,0)-1,MATCH(AV$1,'[1]End - Use Prices'!$C$7:$AL$7,0))</f>
        <v>99.25</v>
      </c>
      <c r="AW31" s="41">
        <f>INDEX('[1]End - Use Prices'!$C$6:$AL$89,MATCH($C31,'[1]End - Use Prices'!$A$6:$A$89,0)+MATCH($D31,'[1]End - Use Prices'!$B$9:$B$11,0)-1,MATCH(AW$1,'[1]End - Use Prices'!$C$7:$AL$7,0))</f>
        <v>99.23</v>
      </c>
      <c r="AX31" s="41">
        <f>INDEX('[1]End - Use Prices'!$C$6:$AL$89,MATCH($C31,'[1]End - Use Prices'!$A$6:$A$89,0)+MATCH($D31,'[1]End - Use Prices'!$B$9:$B$11,0)-1,MATCH(AX$1,'[1]End - Use Prices'!$C$7:$AL$7,0))</f>
        <v>99.2</v>
      </c>
      <c r="AY31" s="41">
        <f>INDEX('[1]End - Use Prices'!$C$6:$AL$89,MATCH($C31,'[1]End - Use Prices'!$A$6:$A$89,0)+MATCH($D31,'[1]End - Use Prices'!$B$9:$B$11,0)-1,MATCH(AY$1,'[1]End - Use Prices'!$C$7:$AL$7,0))</f>
        <v>99.18</v>
      </c>
      <c r="AZ31" s="41">
        <f>INDEX('[1]End - Use Prices'!$C$6:$AL$89,MATCH($C31,'[1]End - Use Prices'!$A$6:$A$89,0)+MATCH($D31,'[1]End - Use Prices'!$B$9:$B$11,0)-1,MATCH(AZ$1,'[1]End - Use Prices'!$C$7:$AL$7,0))</f>
        <v>99.16</v>
      </c>
      <c r="BA31" s="41">
        <f>INDEX('[1]End - Use Prices'!$C$6:$AL$89,MATCH($C31,'[1]End - Use Prices'!$A$6:$A$89,0)+MATCH($D31,'[1]End - Use Prices'!$B$9:$B$11,0)-1,MATCH(BA$1,'[1]End - Use Prices'!$C$7:$AL$7,0))</f>
        <v>99.15</v>
      </c>
      <c r="BB31" s="41">
        <f>INDEX('[1]End - Use Prices'!$C$6:$AL$89,MATCH($C31,'[1]End - Use Prices'!$A$6:$A$89,0)+MATCH($D31,'[1]End - Use Prices'!$B$9:$B$11,0)-1,MATCH(BB$1,'[1]End - Use Prices'!$C$7:$AL$7,0))</f>
        <v>99.15</v>
      </c>
      <c r="BC31" s="41">
        <f>INDEX('[1]End - Use Prices'!$C$6:$AL$89,MATCH($C31,'[1]End - Use Prices'!$A$6:$A$89,0)+MATCH($D31,'[1]End - Use Prices'!$B$9:$B$11,0)-1,MATCH(BC$1,'[1]End - Use Prices'!$C$7:$AL$7,0))</f>
        <v>99.15</v>
      </c>
      <c r="BD31" s="41">
        <f>INDEX('[1]End - Use Prices'!$C$6:$AL$89,MATCH($C31,'[1]End - Use Prices'!$A$6:$A$89,0)+MATCH($D31,'[1]End - Use Prices'!$B$9:$B$11,0)-1,MATCH(BD$1,'[1]End - Use Prices'!$C$7:$AL$7,0))</f>
        <v>99.17</v>
      </c>
      <c r="BE31" s="41">
        <f>INDEX('[1]End - Use Prices'!$C$6:$AL$89,MATCH($C31,'[1]End - Use Prices'!$A$6:$A$89,0)+MATCH($D31,'[1]End - Use Prices'!$B$9:$B$11,0)-1,MATCH(BE$1,'[1]End - Use Prices'!$C$7:$AL$7,0))</f>
        <v>99.2</v>
      </c>
      <c r="BF31" s="41">
        <f>INDEX('[1]End - Use Prices'!$C$6:$AL$89,MATCH($C31,'[1]End - Use Prices'!$A$6:$A$89,0)+MATCH($D31,'[1]End - Use Prices'!$B$9:$B$11,0)-1,MATCH(BF$1,'[1]End - Use Prices'!$C$7:$AL$7,0))</f>
        <v>99.25</v>
      </c>
      <c r="BG31" s="41">
        <f>INDEX('[1]End - Use Prices'!$C$6:$AL$89,MATCH($C31,'[1]End - Use Prices'!$A$6:$A$89,0)+MATCH($D31,'[1]End - Use Prices'!$B$9:$B$11,0)-1,MATCH(BG$1,'[1]End - Use Prices'!$C$7:$AL$7,0))</f>
        <v>99.32</v>
      </c>
      <c r="BR31" s="39"/>
      <c r="BS31" s="39"/>
      <c r="BT31" s="39"/>
      <c r="BU31" s="39"/>
      <c r="BV31" s="39"/>
      <c r="BW31" s="39"/>
      <c r="BX31" s="39"/>
      <c r="BY31" s="39"/>
      <c r="BZ31" s="39"/>
      <c r="CA31" s="39"/>
    </row>
    <row r="32" spans="1:79" x14ac:dyDescent="0.25">
      <c r="A32" s="5"/>
      <c r="B32" s="3"/>
      <c r="C32" s="25" t="s">
        <v>48</v>
      </c>
      <c r="D32" s="25" t="s">
        <v>14</v>
      </c>
      <c r="E32" s="25" t="s">
        <v>313</v>
      </c>
      <c r="F32" s="74" t="s">
        <v>310</v>
      </c>
      <c r="G32" s="54">
        <f t="shared" si="8"/>
        <v>15.81</v>
      </c>
      <c r="H32" s="34">
        <f t="shared" si="9"/>
        <v>15.81</v>
      </c>
      <c r="I32" s="34">
        <f t="shared" si="9"/>
        <v>12.69</v>
      </c>
      <c r="J32" s="34">
        <f t="shared" si="9"/>
        <v>10.65</v>
      </c>
      <c r="K32" s="34">
        <f t="shared" si="9"/>
        <v>9.67</v>
      </c>
      <c r="L32" s="34">
        <f t="shared" si="9"/>
        <v>10.64</v>
      </c>
      <c r="M32" s="34">
        <f t="shared" si="9"/>
        <v>11.02</v>
      </c>
      <c r="N32" s="34">
        <f t="shared" si="9"/>
        <v>11.37</v>
      </c>
      <c r="O32" s="34">
        <f t="shared" si="9"/>
        <v>11.44</v>
      </c>
      <c r="P32" s="54">
        <f t="shared" ref="P32:Q32" si="24">O32</f>
        <v>11.44</v>
      </c>
      <c r="Q32" s="54">
        <f t="shared" si="24"/>
        <v>11.44</v>
      </c>
      <c r="R32" s="38"/>
      <c r="X32" s="41">
        <f>INDEX('[1]End - Use Prices'!$C$6:$AL$89,MATCH($C32,'[1]End - Use Prices'!$A$6:$A$89,0)+MATCH($D32,'[1]End - Use Prices'!$B$9:$B$11,0)-1,MATCH(X$1,'[1]End - Use Prices'!$C$7:$AL$7,0))</f>
        <v>15.81</v>
      </c>
      <c r="Y32" s="41">
        <f>INDEX('[1]End - Use Prices'!$C$6:$AL$89,MATCH($C32,'[1]End - Use Prices'!$A$6:$A$89,0)+MATCH($D32,'[1]End - Use Prices'!$B$9:$B$11,0)-1,MATCH(Y$1,'[1]End - Use Prices'!$C$7:$AL$7,0))</f>
        <v>16.04</v>
      </c>
      <c r="Z32" s="41">
        <f>INDEX('[1]End - Use Prices'!$C$6:$AL$89,MATCH($C32,'[1]End - Use Prices'!$A$6:$A$89,0)+MATCH($D32,'[1]End - Use Prices'!$B$9:$B$11,0)-1,MATCH(Z$1,'[1]End - Use Prices'!$C$7:$AL$7,0))</f>
        <v>14.76</v>
      </c>
      <c r="AA32" s="41">
        <f>INDEX('[1]End - Use Prices'!$C$6:$AL$89,MATCH($C32,'[1]End - Use Prices'!$A$6:$A$89,0)+MATCH($D32,'[1]End - Use Prices'!$B$9:$B$11,0)-1,MATCH(AA$1,'[1]End - Use Prices'!$C$7:$AL$7,0))</f>
        <v>14.82</v>
      </c>
      <c r="AB32" s="41">
        <f>INDEX('[1]End - Use Prices'!$C$6:$AL$89,MATCH($C32,'[1]End - Use Prices'!$A$6:$A$89,0)+MATCH($D32,'[1]End - Use Prices'!$B$9:$B$11,0)-1,MATCH(AB$1,'[1]End - Use Prices'!$C$7:$AL$7,0))</f>
        <v>12.89</v>
      </c>
      <c r="AC32" s="41">
        <f>INDEX('[1]End - Use Prices'!$C$6:$AL$89,MATCH($C32,'[1]End - Use Prices'!$A$6:$A$89,0)+MATCH($D32,'[1]End - Use Prices'!$B$9:$B$11,0)-1,MATCH(AC$1,'[1]End - Use Prices'!$C$7:$AL$7,0))</f>
        <v>12.69</v>
      </c>
      <c r="AD32" s="41">
        <f>INDEX('[1]End - Use Prices'!$C$6:$AL$89,MATCH($C32,'[1]End - Use Prices'!$A$6:$A$89,0)+MATCH($D32,'[1]End - Use Prices'!$B$9:$B$11,0)-1,MATCH(AD$1,'[1]End - Use Prices'!$C$7:$AL$7,0))</f>
        <v>11.75</v>
      </c>
      <c r="AE32" s="41">
        <f>INDEX('[1]End - Use Prices'!$C$6:$AL$89,MATCH($C32,'[1]End - Use Prices'!$A$6:$A$89,0)+MATCH($D32,'[1]End - Use Prices'!$B$9:$B$11,0)-1,MATCH(AE$1,'[1]End - Use Prices'!$C$7:$AL$7,0))</f>
        <v>10.82</v>
      </c>
      <c r="AF32" s="41">
        <f>INDEX('[1]End - Use Prices'!$C$6:$AL$89,MATCH($C32,'[1]End - Use Prices'!$A$6:$A$89,0)+MATCH($D32,'[1]End - Use Prices'!$B$9:$B$11,0)-1,MATCH(AF$1,'[1]End - Use Prices'!$C$7:$AL$7,0))</f>
        <v>10.77</v>
      </c>
      <c r="AG32" s="41">
        <f>INDEX('[1]End - Use Prices'!$C$6:$AL$89,MATCH($C32,'[1]End - Use Prices'!$A$6:$A$89,0)+MATCH($D32,'[1]End - Use Prices'!$B$9:$B$11,0)-1,MATCH(AG$1,'[1]End - Use Prices'!$C$7:$AL$7,0))</f>
        <v>11.71</v>
      </c>
      <c r="AH32" s="41">
        <f>INDEX('[1]End - Use Prices'!$C$6:$AL$89,MATCH($C32,'[1]End - Use Prices'!$A$6:$A$89,0)+MATCH($D32,'[1]End - Use Prices'!$B$9:$B$11,0)-1,MATCH(AH$1,'[1]End - Use Prices'!$C$7:$AL$7,0))</f>
        <v>10.65</v>
      </c>
      <c r="AI32" s="41">
        <f>INDEX('[1]End - Use Prices'!$C$6:$AL$89,MATCH($C32,'[1]End - Use Prices'!$A$6:$A$89,0)+MATCH($D32,'[1]End - Use Prices'!$B$9:$B$11,0)-1,MATCH(AI$1,'[1]End - Use Prices'!$C$7:$AL$7,0))</f>
        <v>8.93</v>
      </c>
      <c r="AJ32" s="41">
        <f>INDEX('[1]End - Use Prices'!$C$6:$AL$89,MATCH($C32,'[1]End - Use Prices'!$A$6:$A$89,0)+MATCH($D32,'[1]End - Use Prices'!$B$9:$B$11,0)-1,MATCH(AJ$1,'[1]End - Use Prices'!$C$7:$AL$7,0))</f>
        <v>10.82</v>
      </c>
      <c r="AK32" s="41">
        <f>INDEX('[1]End - Use Prices'!$C$6:$AL$89,MATCH($C32,'[1]End - Use Prices'!$A$6:$A$89,0)+MATCH($D32,'[1]End - Use Prices'!$B$9:$B$11,0)-1,MATCH(AK$1,'[1]End - Use Prices'!$C$7:$AL$7,0))</f>
        <v>9.86</v>
      </c>
      <c r="AL32" s="41">
        <f>INDEX('[1]End - Use Prices'!$C$6:$AL$89,MATCH($C32,'[1]End - Use Prices'!$A$6:$A$89,0)+MATCH($D32,'[1]End - Use Prices'!$B$9:$B$11,0)-1,MATCH(AL$1,'[1]End - Use Prices'!$C$7:$AL$7,0))</f>
        <v>9.5299999999999994</v>
      </c>
      <c r="AM32" s="41">
        <f>INDEX('[1]End - Use Prices'!$C$6:$AL$89,MATCH($C32,'[1]End - Use Prices'!$A$6:$A$89,0)+MATCH($D32,'[1]End - Use Prices'!$B$9:$B$11,0)-1,MATCH(AM$1,'[1]End - Use Prices'!$C$7:$AL$7,0))</f>
        <v>9.67</v>
      </c>
      <c r="AN32" s="41">
        <f>INDEX('[1]End - Use Prices'!$C$6:$AL$89,MATCH($C32,'[1]End - Use Prices'!$A$6:$A$89,0)+MATCH($D32,'[1]End - Use Prices'!$B$9:$B$11,0)-1,MATCH(AN$1,'[1]End - Use Prices'!$C$7:$AL$7,0))</f>
        <v>9.8699999999999992</v>
      </c>
      <c r="AO32" s="41">
        <f>INDEX('[1]End - Use Prices'!$C$6:$AL$89,MATCH($C32,'[1]End - Use Prices'!$A$6:$A$89,0)+MATCH($D32,'[1]End - Use Prices'!$B$9:$B$11,0)-1,MATCH(AO$1,'[1]End - Use Prices'!$C$7:$AL$7,0))</f>
        <v>10.19</v>
      </c>
      <c r="AP32" s="41">
        <f>INDEX('[1]End - Use Prices'!$C$6:$AL$89,MATCH($C32,'[1]End - Use Prices'!$A$6:$A$89,0)+MATCH($D32,'[1]End - Use Prices'!$B$9:$B$11,0)-1,MATCH(AP$1,'[1]End - Use Prices'!$C$7:$AL$7,0))</f>
        <v>10.44</v>
      </c>
      <c r="AQ32" s="41">
        <f>INDEX('[1]End - Use Prices'!$C$6:$AL$89,MATCH($C32,'[1]End - Use Prices'!$A$6:$A$89,0)+MATCH($D32,'[1]End - Use Prices'!$B$9:$B$11,0)-1,MATCH(AQ$1,'[1]End - Use Prices'!$C$7:$AL$7,0))</f>
        <v>10.53</v>
      </c>
      <c r="AR32" s="41">
        <f>INDEX('[1]End - Use Prices'!$C$6:$AL$89,MATCH($C32,'[1]End - Use Prices'!$A$6:$A$89,0)+MATCH($D32,'[1]End - Use Prices'!$B$9:$B$11,0)-1,MATCH(AR$1,'[1]End - Use Prices'!$C$7:$AL$7,0))</f>
        <v>10.64</v>
      </c>
      <c r="AS32" s="41">
        <f>INDEX('[1]End - Use Prices'!$C$6:$AL$89,MATCH($C32,'[1]End - Use Prices'!$A$6:$A$89,0)+MATCH($D32,'[1]End - Use Prices'!$B$9:$B$11,0)-1,MATCH(AS$1,'[1]End - Use Prices'!$C$7:$AL$7,0))</f>
        <v>10.82</v>
      </c>
      <c r="AT32" s="41">
        <f>INDEX('[1]End - Use Prices'!$C$6:$AL$89,MATCH($C32,'[1]End - Use Prices'!$A$6:$A$89,0)+MATCH($D32,'[1]End - Use Prices'!$B$9:$B$11,0)-1,MATCH(AT$1,'[1]End - Use Prices'!$C$7:$AL$7,0))</f>
        <v>10.85</v>
      </c>
      <c r="AU32" s="41">
        <f>INDEX('[1]End - Use Prices'!$C$6:$AL$89,MATCH($C32,'[1]End - Use Prices'!$A$6:$A$89,0)+MATCH($D32,'[1]End - Use Prices'!$B$9:$B$11,0)-1,MATCH(AU$1,'[1]End - Use Prices'!$C$7:$AL$7,0))</f>
        <v>10.9</v>
      </c>
      <c r="AV32" s="41">
        <f>INDEX('[1]End - Use Prices'!$C$6:$AL$89,MATCH($C32,'[1]End - Use Prices'!$A$6:$A$89,0)+MATCH($D32,'[1]End - Use Prices'!$B$9:$B$11,0)-1,MATCH(AV$1,'[1]End - Use Prices'!$C$7:$AL$7,0))</f>
        <v>10.96</v>
      </c>
      <c r="AW32" s="41">
        <f>INDEX('[1]End - Use Prices'!$C$6:$AL$89,MATCH($C32,'[1]End - Use Prices'!$A$6:$A$89,0)+MATCH($D32,'[1]End - Use Prices'!$B$9:$B$11,0)-1,MATCH(AW$1,'[1]End - Use Prices'!$C$7:$AL$7,0))</f>
        <v>11.02</v>
      </c>
      <c r="AX32" s="41">
        <f>INDEX('[1]End - Use Prices'!$C$6:$AL$89,MATCH($C32,'[1]End - Use Prices'!$A$6:$A$89,0)+MATCH($D32,'[1]End - Use Prices'!$B$9:$B$11,0)-1,MATCH(AX$1,'[1]End - Use Prices'!$C$7:$AL$7,0))</f>
        <v>11.09</v>
      </c>
      <c r="AY32" s="41">
        <f>INDEX('[1]End - Use Prices'!$C$6:$AL$89,MATCH($C32,'[1]End - Use Prices'!$A$6:$A$89,0)+MATCH($D32,'[1]End - Use Prices'!$B$9:$B$11,0)-1,MATCH(AY$1,'[1]End - Use Prices'!$C$7:$AL$7,0))</f>
        <v>11.18</v>
      </c>
      <c r="AZ32" s="41">
        <f>INDEX('[1]End - Use Prices'!$C$6:$AL$89,MATCH($C32,'[1]End - Use Prices'!$A$6:$A$89,0)+MATCH($D32,'[1]End - Use Prices'!$B$9:$B$11,0)-1,MATCH(AZ$1,'[1]End - Use Prices'!$C$7:$AL$7,0))</f>
        <v>11.28</v>
      </c>
      <c r="BA32" s="41">
        <f>INDEX('[1]End - Use Prices'!$C$6:$AL$89,MATCH($C32,'[1]End - Use Prices'!$A$6:$A$89,0)+MATCH($D32,'[1]End - Use Prices'!$B$9:$B$11,0)-1,MATCH(BA$1,'[1]End - Use Prices'!$C$7:$AL$7,0))</f>
        <v>11.33</v>
      </c>
      <c r="BB32" s="41">
        <f>INDEX('[1]End - Use Prices'!$C$6:$AL$89,MATCH($C32,'[1]End - Use Prices'!$A$6:$A$89,0)+MATCH($D32,'[1]End - Use Prices'!$B$9:$B$11,0)-1,MATCH(BB$1,'[1]End - Use Prices'!$C$7:$AL$7,0))</f>
        <v>11.37</v>
      </c>
      <c r="BC32" s="41">
        <f>INDEX('[1]End - Use Prices'!$C$6:$AL$89,MATCH($C32,'[1]End - Use Prices'!$A$6:$A$89,0)+MATCH($D32,'[1]End - Use Prices'!$B$9:$B$11,0)-1,MATCH(BC$1,'[1]End - Use Prices'!$C$7:$AL$7,0))</f>
        <v>11.41</v>
      </c>
      <c r="BD32" s="41">
        <f>INDEX('[1]End - Use Prices'!$C$6:$AL$89,MATCH($C32,'[1]End - Use Prices'!$A$6:$A$89,0)+MATCH($D32,'[1]End - Use Prices'!$B$9:$B$11,0)-1,MATCH(BD$1,'[1]End - Use Prices'!$C$7:$AL$7,0))</f>
        <v>11.43</v>
      </c>
      <c r="BE32" s="41">
        <f>INDEX('[1]End - Use Prices'!$C$6:$AL$89,MATCH($C32,'[1]End - Use Prices'!$A$6:$A$89,0)+MATCH($D32,'[1]End - Use Prices'!$B$9:$B$11,0)-1,MATCH(BE$1,'[1]End - Use Prices'!$C$7:$AL$7,0))</f>
        <v>11.43</v>
      </c>
      <c r="BF32" s="41">
        <f>INDEX('[1]End - Use Prices'!$C$6:$AL$89,MATCH($C32,'[1]End - Use Prices'!$A$6:$A$89,0)+MATCH($D32,'[1]End - Use Prices'!$B$9:$B$11,0)-1,MATCH(BF$1,'[1]End - Use Prices'!$C$7:$AL$7,0))</f>
        <v>11.44</v>
      </c>
      <c r="BG32" s="41">
        <f>INDEX('[1]End - Use Prices'!$C$6:$AL$89,MATCH($C32,'[1]End - Use Prices'!$A$6:$A$89,0)+MATCH($D32,'[1]End - Use Prices'!$B$9:$B$11,0)-1,MATCH(BG$1,'[1]End - Use Prices'!$C$7:$AL$7,0))</f>
        <v>11.44</v>
      </c>
      <c r="BR32" s="39"/>
      <c r="BS32" s="39"/>
      <c r="BT32" s="39"/>
      <c r="BU32" s="39"/>
      <c r="BV32" s="39"/>
      <c r="BW32" s="39"/>
      <c r="BX32" s="39"/>
      <c r="BY32" s="39"/>
      <c r="BZ32" s="39"/>
      <c r="CA32" s="39"/>
    </row>
    <row r="33" spans="1:79" x14ac:dyDescent="0.25">
      <c r="A33" s="5"/>
      <c r="B33" s="3"/>
      <c r="C33" s="25" t="s">
        <v>87</v>
      </c>
      <c r="D33" s="25" t="s">
        <v>14</v>
      </c>
      <c r="E33" s="25" t="s">
        <v>313</v>
      </c>
      <c r="F33" s="74" t="s">
        <v>310</v>
      </c>
      <c r="G33" s="54">
        <f t="shared" si="8"/>
        <v>18.899999999999999</v>
      </c>
      <c r="H33" s="34">
        <f t="shared" si="9"/>
        <v>18.899999999999999</v>
      </c>
      <c r="I33" s="34">
        <f t="shared" si="9"/>
        <v>20.09</v>
      </c>
      <c r="J33" s="34">
        <f t="shared" si="9"/>
        <v>13.86</v>
      </c>
      <c r="K33" s="34">
        <f t="shared" si="9"/>
        <v>10.91</v>
      </c>
      <c r="L33" s="34">
        <f t="shared" si="9"/>
        <v>11.38</v>
      </c>
      <c r="M33" s="34">
        <f t="shared" si="9"/>
        <v>11.9</v>
      </c>
      <c r="N33" s="34">
        <f t="shared" si="9"/>
        <v>12.45</v>
      </c>
      <c r="O33" s="34">
        <f t="shared" si="9"/>
        <v>12.67</v>
      </c>
      <c r="P33" s="54">
        <f t="shared" ref="P33:Q33" si="25">O33</f>
        <v>12.67</v>
      </c>
      <c r="Q33" s="54">
        <f t="shared" si="25"/>
        <v>12.67</v>
      </c>
      <c r="R33" s="38"/>
      <c r="X33" s="41">
        <f>INDEX('[1]End - Use Prices'!$C$6:$AL$89,MATCH($C33,'[1]End - Use Prices'!$A$6:$A$89,0)+MATCH($D33,'[1]End - Use Prices'!$B$9:$B$11,0)-1,MATCH(X$1,'[1]End - Use Prices'!$C$7:$AL$7,0))</f>
        <v>18.899999999999999</v>
      </c>
      <c r="Y33" s="41">
        <f>INDEX('[1]End - Use Prices'!$C$6:$AL$89,MATCH($C33,'[1]End - Use Prices'!$A$6:$A$89,0)+MATCH($D33,'[1]End - Use Prices'!$B$9:$B$11,0)-1,MATCH(Y$1,'[1]End - Use Prices'!$C$7:$AL$7,0))</f>
        <v>18.940000000000001</v>
      </c>
      <c r="Z33" s="41">
        <f>INDEX('[1]End - Use Prices'!$C$6:$AL$89,MATCH($C33,'[1]End - Use Prices'!$A$6:$A$89,0)+MATCH($D33,'[1]End - Use Prices'!$B$9:$B$11,0)-1,MATCH(Z$1,'[1]End - Use Prices'!$C$7:$AL$7,0))</f>
        <v>11.86</v>
      </c>
      <c r="AA33" s="41">
        <f>INDEX('[1]End - Use Prices'!$C$6:$AL$89,MATCH($C33,'[1]End - Use Prices'!$A$6:$A$89,0)+MATCH($D33,'[1]End - Use Prices'!$B$9:$B$11,0)-1,MATCH(AA$1,'[1]End - Use Prices'!$C$7:$AL$7,0))</f>
        <v>14.01</v>
      </c>
      <c r="AB33" s="41">
        <f>INDEX('[1]End - Use Prices'!$C$6:$AL$89,MATCH($C33,'[1]End - Use Prices'!$A$6:$A$89,0)+MATCH($D33,'[1]End - Use Prices'!$B$9:$B$11,0)-1,MATCH(AB$1,'[1]End - Use Prices'!$C$7:$AL$7,0))</f>
        <v>14.6</v>
      </c>
      <c r="AC33" s="41">
        <f>INDEX('[1]End - Use Prices'!$C$6:$AL$89,MATCH($C33,'[1]End - Use Prices'!$A$6:$A$89,0)+MATCH($D33,'[1]End - Use Prices'!$B$9:$B$11,0)-1,MATCH(AC$1,'[1]End - Use Prices'!$C$7:$AL$7,0))</f>
        <v>20.09</v>
      </c>
      <c r="AD33" s="41">
        <f>INDEX('[1]End - Use Prices'!$C$6:$AL$89,MATCH($C33,'[1]End - Use Prices'!$A$6:$A$89,0)+MATCH($D33,'[1]End - Use Prices'!$B$9:$B$11,0)-1,MATCH(AD$1,'[1]End - Use Prices'!$C$7:$AL$7,0))</f>
        <v>17.2</v>
      </c>
      <c r="AE33" s="41">
        <f>INDEX('[1]End - Use Prices'!$C$6:$AL$89,MATCH($C33,'[1]End - Use Prices'!$A$6:$A$89,0)+MATCH($D33,'[1]End - Use Prices'!$B$9:$B$11,0)-1,MATCH(AE$1,'[1]End - Use Prices'!$C$7:$AL$7,0))</f>
        <v>17.59</v>
      </c>
      <c r="AF33" s="41">
        <f>INDEX('[1]End - Use Prices'!$C$6:$AL$89,MATCH($C33,'[1]End - Use Prices'!$A$6:$A$89,0)+MATCH($D33,'[1]End - Use Prices'!$B$9:$B$11,0)-1,MATCH(AF$1,'[1]End - Use Prices'!$C$7:$AL$7,0))</f>
        <v>18.75</v>
      </c>
      <c r="AG33" s="41">
        <f>INDEX('[1]End - Use Prices'!$C$6:$AL$89,MATCH($C33,'[1]End - Use Prices'!$A$6:$A$89,0)+MATCH($D33,'[1]End - Use Prices'!$B$9:$B$11,0)-1,MATCH(AG$1,'[1]End - Use Prices'!$C$7:$AL$7,0))</f>
        <v>18.48</v>
      </c>
      <c r="AH33" s="41">
        <f>INDEX('[1]End - Use Prices'!$C$6:$AL$89,MATCH($C33,'[1]End - Use Prices'!$A$6:$A$89,0)+MATCH($D33,'[1]End - Use Prices'!$B$9:$B$11,0)-1,MATCH(AH$1,'[1]End - Use Prices'!$C$7:$AL$7,0))</f>
        <v>13.86</v>
      </c>
      <c r="AI33" s="41">
        <f>INDEX('[1]End - Use Prices'!$C$6:$AL$89,MATCH($C33,'[1]End - Use Prices'!$A$6:$A$89,0)+MATCH($D33,'[1]End - Use Prices'!$B$9:$B$11,0)-1,MATCH(AI$1,'[1]End - Use Prices'!$C$7:$AL$7,0))</f>
        <v>9.4700000000000006</v>
      </c>
      <c r="AJ33" s="41">
        <f>INDEX('[1]End - Use Prices'!$C$6:$AL$89,MATCH($C33,'[1]End - Use Prices'!$A$6:$A$89,0)+MATCH($D33,'[1]End - Use Prices'!$B$9:$B$11,0)-1,MATCH(AJ$1,'[1]End - Use Prices'!$C$7:$AL$7,0))</f>
        <v>10.75</v>
      </c>
      <c r="AK33" s="41">
        <f>INDEX('[1]End - Use Prices'!$C$6:$AL$89,MATCH($C33,'[1]End - Use Prices'!$A$6:$A$89,0)+MATCH($D33,'[1]End - Use Prices'!$B$9:$B$11,0)-1,MATCH(AK$1,'[1]End - Use Prices'!$C$7:$AL$7,0))</f>
        <v>10.63</v>
      </c>
      <c r="AL33" s="41">
        <f>INDEX('[1]End - Use Prices'!$C$6:$AL$89,MATCH($C33,'[1]End - Use Prices'!$A$6:$A$89,0)+MATCH($D33,'[1]End - Use Prices'!$B$9:$B$11,0)-1,MATCH(AL$1,'[1]End - Use Prices'!$C$7:$AL$7,0))</f>
        <v>10.61</v>
      </c>
      <c r="AM33" s="41">
        <f>INDEX('[1]End - Use Prices'!$C$6:$AL$89,MATCH($C33,'[1]End - Use Prices'!$A$6:$A$89,0)+MATCH($D33,'[1]End - Use Prices'!$B$9:$B$11,0)-1,MATCH(AM$1,'[1]End - Use Prices'!$C$7:$AL$7,0))</f>
        <v>10.91</v>
      </c>
      <c r="AN33" s="41">
        <f>INDEX('[1]End - Use Prices'!$C$6:$AL$89,MATCH($C33,'[1]End - Use Prices'!$A$6:$A$89,0)+MATCH($D33,'[1]End - Use Prices'!$B$9:$B$11,0)-1,MATCH(AN$1,'[1]End - Use Prices'!$C$7:$AL$7,0))</f>
        <v>11.07</v>
      </c>
      <c r="AO33" s="41">
        <f>INDEX('[1]End - Use Prices'!$C$6:$AL$89,MATCH($C33,'[1]End - Use Prices'!$A$6:$A$89,0)+MATCH($D33,'[1]End - Use Prices'!$B$9:$B$11,0)-1,MATCH(AO$1,'[1]End - Use Prices'!$C$7:$AL$7,0))</f>
        <v>11.22</v>
      </c>
      <c r="AP33" s="41">
        <f>INDEX('[1]End - Use Prices'!$C$6:$AL$89,MATCH($C33,'[1]End - Use Prices'!$A$6:$A$89,0)+MATCH($D33,'[1]End - Use Prices'!$B$9:$B$11,0)-1,MATCH(AP$1,'[1]End - Use Prices'!$C$7:$AL$7,0))</f>
        <v>11.35</v>
      </c>
      <c r="AQ33" s="41">
        <f>INDEX('[1]End - Use Prices'!$C$6:$AL$89,MATCH($C33,'[1]End - Use Prices'!$A$6:$A$89,0)+MATCH($D33,'[1]End - Use Prices'!$B$9:$B$11,0)-1,MATCH(AQ$1,'[1]End - Use Prices'!$C$7:$AL$7,0))</f>
        <v>11.35</v>
      </c>
      <c r="AR33" s="41">
        <f>INDEX('[1]End - Use Prices'!$C$6:$AL$89,MATCH($C33,'[1]End - Use Prices'!$A$6:$A$89,0)+MATCH($D33,'[1]End - Use Prices'!$B$9:$B$11,0)-1,MATCH(AR$1,'[1]End - Use Prices'!$C$7:$AL$7,0))</f>
        <v>11.38</v>
      </c>
      <c r="AS33" s="41">
        <f>INDEX('[1]End - Use Prices'!$C$6:$AL$89,MATCH($C33,'[1]End - Use Prices'!$A$6:$A$89,0)+MATCH($D33,'[1]End - Use Prices'!$B$9:$B$11,0)-1,MATCH(AS$1,'[1]End - Use Prices'!$C$7:$AL$7,0))</f>
        <v>11.48</v>
      </c>
      <c r="AT33" s="41">
        <f>INDEX('[1]End - Use Prices'!$C$6:$AL$89,MATCH($C33,'[1]End - Use Prices'!$A$6:$A$89,0)+MATCH($D33,'[1]End - Use Prices'!$B$9:$B$11,0)-1,MATCH(AT$1,'[1]End - Use Prices'!$C$7:$AL$7,0))</f>
        <v>11.57</v>
      </c>
      <c r="AU33" s="41">
        <f>INDEX('[1]End - Use Prices'!$C$6:$AL$89,MATCH($C33,'[1]End - Use Prices'!$A$6:$A$89,0)+MATCH($D33,'[1]End - Use Prices'!$B$9:$B$11,0)-1,MATCH(AU$1,'[1]End - Use Prices'!$C$7:$AL$7,0))</f>
        <v>11.67</v>
      </c>
      <c r="AV33" s="41">
        <f>INDEX('[1]End - Use Prices'!$C$6:$AL$89,MATCH($C33,'[1]End - Use Prices'!$A$6:$A$89,0)+MATCH($D33,'[1]End - Use Prices'!$B$9:$B$11,0)-1,MATCH(AV$1,'[1]End - Use Prices'!$C$7:$AL$7,0))</f>
        <v>11.79</v>
      </c>
      <c r="AW33" s="41">
        <f>INDEX('[1]End - Use Prices'!$C$6:$AL$89,MATCH($C33,'[1]End - Use Prices'!$A$6:$A$89,0)+MATCH($D33,'[1]End - Use Prices'!$B$9:$B$11,0)-1,MATCH(AW$1,'[1]End - Use Prices'!$C$7:$AL$7,0))</f>
        <v>11.9</v>
      </c>
      <c r="AX33" s="41">
        <f>INDEX('[1]End - Use Prices'!$C$6:$AL$89,MATCH($C33,'[1]End - Use Prices'!$A$6:$A$89,0)+MATCH($D33,'[1]End - Use Prices'!$B$9:$B$11,0)-1,MATCH(AX$1,'[1]End - Use Prices'!$C$7:$AL$7,0))</f>
        <v>12.02</v>
      </c>
      <c r="AY33" s="41">
        <f>INDEX('[1]End - Use Prices'!$C$6:$AL$89,MATCH($C33,'[1]End - Use Prices'!$A$6:$A$89,0)+MATCH($D33,'[1]End - Use Prices'!$B$9:$B$11,0)-1,MATCH(AY$1,'[1]End - Use Prices'!$C$7:$AL$7,0))</f>
        <v>12.15</v>
      </c>
      <c r="AZ33" s="41">
        <f>INDEX('[1]End - Use Prices'!$C$6:$AL$89,MATCH($C33,'[1]End - Use Prices'!$A$6:$A$89,0)+MATCH($D33,'[1]End - Use Prices'!$B$9:$B$11,0)-1,MATCH(AZ$1,'[1]End - Use Prices'!$C$7:$AL$7,0))</f>
        <v>12.3</v>
      </c>
      <c r="BA33" s="41">
        <f>INDEX('[1]End - Use Prices'!$C$6:$AL$89,MATCH($C33,'[1]End - Use Prices'!$A$6:$A$89,0)+MATCH($D33,'[1]End - Use Prices'!$B$9:$B$11,0)-1,MATCH(BA$1,'[1]End - Use Prices'!$C$7:$AL$7,0))</f>
        <v>12.38</v>
      </c>
      <c r="BB33" s="41">
        <f>INDEX('[1]End - Use Prices'!$C$6:$AL$89,MATCH($C33,'[1]End - Use Prices'!$A$6:$A$89,0)+MATCH($D33,'[1]End - Use Prices'!$B$9:$B$11,0)-1,MATCH(BB$1,'[1]End - Use Prices'!$C$7:$AL$7,0))</f>
        <v>12.45</v>
      </c>
      <c r="BC33" s="41">
        <f>INDEX('[1]End - Use Prices'!$C$6:$AL$89,MATCH($C33,'[1]End - Use Prices'!$A$6:$A$89,0)+MATCH($D33,'[1]End - Use Prices'!$B$9:$B$11,0)-1,MATCH(BC$1,'[1]End - Use Prices'!$C$7:$AL$7,0))</f>
        <v>12.52</v>
      </c>
      <c r="BD33" s="41">
        <f>INDEX('[1]End - Use Prices'!$C$6:$AL$89,MATCH($C33,'[1]End - Use Prices'!$A$6:$A$89,0)+MATCH($D33,'[1]End - Use Prices'!$B$9:$B$11,0)-1,MATCH(BD$1,'[1]End - Use Prices'!$C$7:$AL$7,0))</f>
        <v>12.57</v>
      </c>
      <c r="BE33" s="41">
        <f>INDEX('[1]End - Use Prices'!$C$6:$AL$89,MATCH($C33,'[1]End - Use Prices'!$A$6:$A$89,0)+MATCH($D33,'[1]End - Use Prices'!$B$9:$B$11,0)-1,MATCH(BE$1,'[1]End - Use Prices'!$C$7:$AL$7,0))</f>
        <v>12.6</v>
      </c>
      <c r="BF33" s="41">
        <f>INDEX('[1]End - Use Prices'!$C$6:$AL$89,MATCH($C33,'[1]End - Use Prices'!$A$6:$A$89,0)+MATCH($D33,'[1]End - Use Prices'!$B$9:$B$11,0)-1,MATCH(BF$1,'[1]End - Use Prices'!$C$7:$AL$7,0))</f>
        <v>12.64</v>
      </c>
      <c r="BG33" s="41">
        <f>INDEX('[1]End - Use Prices'!$C$6:$AL$89,MATCH($C33,'[1]End - Use Prices'!$A$6:$A$89,0)+MATCH($D33,'[1]End - Use Prices'!$B$9:$B$11,0)-1,MATCH(BG$1,'[1]End - Use Prices'!$C$7:$AL$7,0))</f>
        <v>12.67</v>
      </c>
      <c r="BR33" s="39"/>
      <c r="BS33" s="39"/>
      <c r="BT33" s="39"/>
      <c r="BU33" s="39"/>
      <c r="BV33" s="39"/>
      <c r="BW33" s="39"/>
      <c r="BX33" s="39"/>
      <c r="BY33" s="39"/>
      <c r="BZ33" s="39"/>
      <c r="CA33" s="39"/>
    </row>
    <row r="34" spans="1:79" x14ac:dyDescent="0.25">
      <c r="A34" s="5"/>
      <c r="B34" s="3"/>
      <c r="C34" s="25" t="s">
        <v>88</v>
      </c>
      <c r="D34" s="25" t="s">
        <v>14</v>
      </c>
      <c r="E34" s="25" t="s">
        <v>313</v>
      </c>
      <c r="F34" s="74" t="s">
        <v>310</v>
      </c>
      <c r="G34" s="54">
        <f t="shared" si="8"/>
        <v>18.899999999999999</v>
      </c>
      <c r="H34" s="34">
        <f t="shared" ref="H34:O49" si="26">INDEX($S34:$CA34,MATCH(H$1,$S$1:$CA$1,0))</f>
        <v>18.899999999999999</v>
      </c>
      <c r="I34" s="34">
        <f t="shared" si="26"/>
        <v>20.09</v>
      </c>
      <c r="J34" s="34">
        <f t="shared" si="26"/>
        <v>10.53</v>
      </c>
      <c r="K34" s="34">
        <f t="shared" si="26"/>
        <v>10.91</v>
      </c>
      <c r="L34" s="34">
        <f t="shared" si="26"/>
        <v>11.38</v>
      </c>
      <c r="M34" s="34">
        <f t="shared" si="26"/>
        <v>11.9</v>
      </c>
      <c r="N34" s="34">
        <f t="shared" si="26"/>
        <v>12.45</v>
      </c>
      <c r="O34" s="34">
        <f t="shared" si="26"/>
        <v>12.67</v>
      </c>
      <c r="P34" s="54">
        <f t="shared" ref="P34:Q34" si="27">O34</f>
        <v>12.67</v>
      </c>
      <c r="Q34" s="54">
        <f t="shared" si="27"/>
        <v>12.67</v>
      </c>
      <c r="R34" s="38"/>
      <c r="X34" s="41">
        <f>INDEX('[1]End - Use Prices'!$C$6:$AL$89,MATCH($C34,'[1]End - Use Prices'!$A$6:$A$89,0)+MATCH($D34,'[1]End - Use Prices'!$B$9:$B$11,0)-1,MATCH(X$1,'[1]End - Use Prices'!$C$7:$AL$7,0))</f>
        <v>18.899999999999999</v>
      </c>
      <c r="Y34" s="41">
        <f>INDEX('[1]End - Use Prices'!$C$6:$AL$89,MATCH($C34,'[1]End - Use Prices'!$A$6:$A$89,0)+MATCH($D34,'[1]End - Use Prices'!$B$9:$B$11,0)-1,MATCH(Y$1,'[1]End - Use Prices'!$C$7:$AL$7,0))</f>
        <v>18.940000000000001</v>
      </c>
      <c r="Z34" s="41">
        <f>INDEX('[1]End - Use Prices'!$C$6:$AL$89,MATCH($C34,'[1]End - Use Prices'!$A$6:$A$89,0)+MATCH($D34,'[1]End - Use Prices'!$B$9:$B$11,0)-1,MATCH(Z$1,'[1]End - Use Prices'!$C$7:$AL$7,0))</f>
        <v>11.86</v>
      </c>
      <c r="AA34" s="41">
        <f>INDEX('[1]End - Use Prices'!$C$6:$AL$89,MATCH($C34,'[1]End - Use Prices'!$A$6:$A$89,0)+MATCH($D34,'[1]End - Use Prices'!$B$9:$B$11,0)-1,MATCH(AA$1,'[1]End - Use Prices'!$C$7:$AL$7,0))</f>
        <v>14.01</v>
      </c>
      <c r="AB34" s="41">
        <f>INDEX('[1]End - Use Prices'!$C$6:$AL$89,MATCH($C34,'[1]End - Use Prices'!$A$6:$A$89,0)+MATCH($D34,'[1]End - Use Prices'!$B$9:$B$11,0)-1,MATCH(AB$1,'[1]End - Use Prices'!$C$7:$AL$7,0))</f>
        <v>14.6</v>
      </c>
      <c r="AC34" s="41">
        <f>INDEX('[1]End - Use Prices'!$C$6:$AL$89,MATCH($C34,'[1]End - Use Prices'!$A$6:$A$89,0)+MATCH($D34,'[1]End - Use Prices'!$B$9:$B$11,0)-1,MATCH(AC$1,'[1]End - Use Prices'!$C$7:$AL$7,0))</f>
        <v>20.09</v>
      </c>
      <c r="AD34" s="41">
        <f>INDEX('[1]End - Use Prices'!$C$6:$AL$89,MATCH($C34,'[1]End - Use Prices'!$A$6:$A$89,0)+MATCH($D34,'[1]End - Use Prices'!$B$9:$B$11,0)-1,MATCH(AD$1,'[1]End - Use Prices'!$C$7:$AL$7,0))</f>
        <v>17.2</v>
      </c>
      <c r="AE34" s="41">
        <f>INDEX('[1]End - Use Prices'!$C$6:$AL$89,MATCH($C34,'[1]End - Use Prices'!$A$6:$A$89,0)+MATCH($D34,'[1]End - Use Prices'!$B$9:$B$11,0)-1,MATCH(AE$1,'[1]End - Use Prices'!$C$7:$AL$7,0))</f>
        <v>17.59</v>
      </c>
      <c r="AF34" s="41">
        <f>INDEX('[1]End - Use Prices'!$C$6:$AL$89,MATCH($C34,'[1]End - Use Prices'!$A$6:$A$89,0)+MATCH($D34,'[1]End - Use Prices'!$B$9:$B$11,0)-1,MATCH(AF$1,'[1]End - Use Prices'!$C$7:$AL$7,0))</f>
        <v>18.38</v>
      </c>
      <c r="AG34" s="41">
        <f>INDEX('[1]End - Use Prices'!$C$6:$AL$89,MATCH($C34,'[1]End - Use Prices'!$A$6:$A$89,0)+MATCH($D34,'[1]End - Use Prices'!$B$9:$B$11,0)-1,MATCH(AG$1,'[1]End - Use Prices'!$C$7:$AL$7,0))</f>
        <v>18.48</v>
      </c>
      <c r="AH34" s="41">
        <f>INDEX('[1]End - Use Prices'!$C$6:$AL$89,MATCH($C34,'[1]End - Use Prices'!$A$6:$A$89,0)+MATCH($D34,'[1]End - Use Prices'!$B$9:$B$11,0)-1,MATCH(AH$1,'[1]End - Use Prices'!$C$7:$AL$7,0))</f>
        <v>10.53</v>
      </c>
      <c r="AI34" s="41">
        <f>INDEX('[1]End - Use Prices'!$C$6:$AL$89,MATCH($C34,'[1]End - Use Prices'!$A$6:$A$89,0)+MATCH($D34,'[1]End - Use Prices'!$B$9:$B$11,0)-1,MATCH(AI$1,'[1]End - Use Prices'!$C$7:$AL$7,0))</f>
        <v>9.49</v>
      </c>
      <c r="AJ34" s="41">
        <f>INDEX('[1]End - Use Prices'!$C$6:$AL$89,MATCH($C34,'[1]End - Use Prices'!$A$6:$A$89,0)+MATCH($D34,'[1]End - Use Prices'!$B$9:$B$11,0)-1,MATCH(AJ$1,'[1]End - Use Prices'!$C$7:$AL$7,0))</f>
        <v>10.75</v>
      </c>
      <c r="AK34" s="41">
        <f>INDEX('[1]End - Use Prices'!$C$6:$AL$89,MATCH($C34,'[1]End - Use Prices'!$A$6:$A$89,0)+MATCH($D34,'[1]End - Use Prices'!$B$9:$B$11,0)-1,MATCH(AK$1,'[1]End - Use Prices'!$C$7:$AL$7,0))</f>
        <v>10.63</v>
      </c>
      <c r="AL34" s="41">
        <f>INDEX('[1]End - Use Prices'!$C$6:$AL$89,MATCH($C34,'[1]End - Use Prices'!$A$6:$A$89,0)+MATCH($D34,'[1]End - Use Prices'!$B$9:$B$11,0)-1,MATCH(AL$1,'[1]End - Use Prices'!$C$7:$AL$7,0))</f>
        <v>10.61</v>
      </c>
      <c r="AM34" s="41">
        <f>INDEX('[1]End - Use Prices'!$C$6:$AL$89,MATCH($C34,'[1]End - Use Prices'!$A$6:$A$89,0)+MATCH($D34,'[1]End - Use Prices'!$B$9:$B$11,0)-1,MATCH(AM$1,'[1]End - Use Prices'!$C$7:$AL$7,0))</f>
        <v>10.91</v>
      </c>
      <c r="AN34" s="41">
        <f>INDEX('[1]End - Use Prices'!$C$6:$AL$89,MATCH($C34,'[1]End - Use Prices'!$A$6:$A$89,0)+MATCH($D34,'[1]End - Use Prices'!$B$9:$B$11,0)-1,MATCH(AN$1,'[1]End - Use Prices'!$C$7:$AL$7,0))</f>
        <v>11.07</v>
      </c>
      <c r="AO34" s="41">
        <f>INDEX('[1]End - Use Prices'!$C$6:$AL$89,MATCH($C34,'[1]End - Use Prices'!$A$6:$A$89,0)+MATCH($D34,'[1]End - Use Prices'!$B$9:$B$11,0)-1,MATCH(AO$1,'[1]End - Use Prices'!$C$7:$AL$7,0))</f>
        <v>11.22</v>
      </c>
      <c r="AP34" s="41">
        <f>INDEX('[1]End - Use Prices'!$C$6:$AL$89,MATCH($C34,'[1]End - Use Prices'!$A$6:$A$89,0)+MATCH($D34,'[1]End - Use Prices'!$B$9:$B$11,0)-1,MATCH(AP$1,'[1]End - Use Prices'!$C$7:$AL$7,0))</f>
        <v>11.35</v>
      </c>
      <c r="AQ34" s="41">
        <f>INDEX('[1]End - Use Prices'!$C$6:$AL$89,MATCH($C34,'[1]End - Use Prices'!$A$6:$A$89,0)+MATCH($D34,'[1]End - Use Prices'!$B$9:$B$11,0)-1,MATCH(AQ$1,'[1]End - Use Prices'!$C$7:$AL$7,0))</f>
        <v>11.35</v>
      </c>
      <c r="AR34" s="41">
        <f>INDEX('[1]End - Use Prices'!$C$6:$AL$89,MATCH($C34,'[1]End - Use Prices'!$A$6:$A$89,0)+MATCH($D34,'[1]End - Use Prices'!$B$9:$B$11,0)-1,MATCH(AR$1,'[1]End - Use Prices'!$C$7:$AL$7,0))</f>
        <v>11.38</v>
      </c>
      <c r="AS34" s="41">
        <f>INDEX('[1]End - Use Prices'!$C$6:$AL$89,MATCH($C34,'[1]End - Use Prices'!$A$6:$A$89,0)+MATCH($D34,'[1]End - Use Prices'!$B$9:$B$11,0)-1,MATCH(AS$1,'[1]End - Use Prices'!$C$7:$AL$7,0))</f>
        <v>11.48</v>
      </c>
      <c r="AT34" s="41">
        <f>INDEX('[1]End - Use Prices'!$C$6:$AL$89,MATCH($C34,'[1]End - Use Prices'!$A$6:$A$89,0)+MATCH($D34,'[1]End - Use Prices'!$B$9:$B$11,0)-1,MATCH(AT$1,'[1]End - Use Prices'!$C$7:$AL$7,0))</f>
        <v>11.57</v>
      </c>
      <c r="AU34" s="41">
        <f>INDEX('[1]End - Use Prices'!$C$6:$AL$89,MATCH($C34,'[1]End - Use Prices'!$A$6:$A$89,0)+MATCH($D34,'[1]End - Use Prices'!$B$9:$B$11,0)-1,MATCH(AU$1,'[1]End - Use Prices'!$C$7:$AL$7,0))</f>
        <v>11.67</v>
      </c>
      <c r="AV34" s="41">
        <f>INDEX('[1]End - Use Prices'!$C$6:$AL$89,MATCH($C34,'[1]End - Use Prices'!$A$6:$A$89,0)+MATCH($D34,'[1]End - Use Prices'!$B$9:$B$11,0)-1,MATCH(AV$1,'[1]End - Use Prices'!$C$7:$AL$7,0))</f>
        <v>11.79</v>
      </c>
      <c r="AW34" s="41">
        <f>INDEX('[1]End - Use Prices'!$C$6:$AL$89,MATCH($C34,'[1]End - Use Prices'!$A$6:$A$89,0)+MATCH($D34,'[1]End - Use Prices'!$B$9:$B$11,0)-1,MATCH(AW$1,'[1]End - Use Prices'!$C$7:$AL$7,0))</f>
        <v>11.9</v>
      </c>
      <c r="AX34" s="41">
        <f>INDEX('[1]End - Use Prices'!$C$6:$AL$89,MATCH($C34,'[1]End - Use Prices'!$A$6:$A$89,0)+MATCH($D34,'[1]End - Use Prices'!$B$9:$B$11,0)-1,MATCH(AX$1,'[1]End - Use Prices'!$C$7:$AL$7,0))</f>
        <v>12.02</v>
      </c>
      <c r="AY34" s="41">
        <f>INDEX('[1]End - Use Prices'!$C$6:$AL$89,MATCH($C34,'[1]End - Use Prices'!$A$6:$A$89,0)+MATCH($D34,'[1]End - Use Prices'!$B$9:$B$11,0)-1,MATCH(AY$1,'[1]End - Use Prices'!$C$7:$AL$7,0))</f>
        <v>12.15</v>
      </c>
      <c r="AZ34" s="41">
        <f>INDEX('[1]End - Use Prices'!$C$6:$AL$89,MATCH($C34,'[1]End - Use Prices'!$A$6:$A$89,0)+MATCH($D34,'[1]End - Use Prices'!$B$9:$B$11,0)-1,MATCH(AZ$1,'[1]End - Use Prices'!$C$7:$AL$7,0))</f>
        <v>12.3</v>
      </c>
      <c r="BA34" s="41">
        <f>INDEX('[1]End - Use Prices'!$C$6:$AL$89,MATCH($C34,'[1]End - Use Prices'!$A$6:$A$89,0)+MATCH($D34,'[1]End - Use Prices'!$B$9:$B$11,0)-1,MATCH(BA$1,'[1]End - Use Prices'!$C$7:$AL$7,0))</f>
        <v>12.38</v>
      </c>
      <c r="BB34" s="41">
        <f>INDEX('[1]End - Use Prices'!$C$6:$AL$89,MATCH($C34,'[1]End - Use Prices'!$A$6:$A$89,0)+MATCH($D34,'[1]End - Use Prices'!$B$9:$B$11,0)-1,MATCH(BB$1,'[1]End - Use Prices'!$C$7:$AL$7,0))</f>
        <v>12.45</v>
      </c>
      <c r="BC34" s="41">
        <f>INDEX('[1]End - Use Prices'!$C$6:$AL$89,MATCH($C34,'[1]End - Use Prices'!$A$6:$A$89,0)+MATCH($D34,'[1]End - Use Prices'!$B$9:$B$11,0)-1,MATCH(BC$1,'[1]End - Use Prices'!$C$7:$AL$7,0))</f>
        <v>12.52</v>
      </c>
      <c r="BD34" s="41">
        <f>INDEX('[1]End - Use Prices'!$C$6:$AL$89,MATCH($C34,'[1]End - Use Prices'!$A$6:$A$89,0)+MATCH($D34,'[1]End - Use Prices'!$B$9:$B$11,0)-1,MATCH(BD$1,'[1]End - Use Prices'!$C$7:$AL$7,0))</f>
        <v>12.57</v>
      </c>
      <c r="BE34" s="41">
        <f>INDEX('[1]End - Use Prices'!$C$6:$AL$89,MATCH($C34,'[1]End - Use Prices'!$A$6:$A$89,0)+MATCH($D34,'[1]End - Use Prices'!$B$9:$B$11,0)-1,MATCH(BE$1,'[1]End - Use Prices'!$C$7:$AL$7,0))</f>
        <v>12.6</v>
      </c>
      <c r="BF34" s="41">
        <f>INDEX('[1]End - Use Prices'!$C$6:$AL$89,MATCH($C34,'[1]End - Use Prices'!$A$6:$A$89,0)+MATCH($D34,'[1]End - Use Prices'!$B$9:$B$11,0)-1,MATCH(BF$1,'[1]End - Use Prices'!$C$7:$AL$7,0))</f>
        <v>12.64</v>
      </c>
      <c r="BG34" s="41">
        <f>INDEX('[1]End - Use Prices'!$C$6:$AL$89,MATCH($C34,'[1]End - Use Prices'!$A$6:$A$89,0)+MATCH($D34,'[1]End - Use Prices'!$B$9:$B$11,0)-1,MATCH(BG$1,'[1]End - Use Prices'!$C$7:$AL$7,0))</f>
        <v>12.67</v>
      </c>
      <c r="BR34" s="39"/>
      <c r="BS34" s="39"/>
      <c r="BT34" s="39"/>
      <c r="BU34" s="39"/>
      <c r="BV34" s="39"/>
      <c r="BW34" s="39"/>
      <c r="BX34" s="39"/>
      <c r="BY34" s="39"/>
      <c r="BZ34" s="39"/>
      <c r="CA34" s="39"/>
    </row>
    <row r="35" spans="1:79" x14ac:dyDescent="0.25">
      <c r="A35" s="5"/>
      <c r="B35" s="3"/>
      <c r="C35" s="25" t="s">
        <v>89</v>
      </c>
      <c r="D35" s="25" t="s">
        <v>14</v>
      </c>
      <c r="E35" s="25" t="s">
        <v>313</v>
      </c>
      <c r="F35" s="74" t="s">
        <v>310</v>
      </c>
      <c r="G35" s="54">
        <f t="shared" si="8"/>
        <v>48.47</v>
      </c>
      <c r="H35" s="34">
        <f t="shared" si="26"/>
        <v>48.47</v>
      </c>
      <c r="I35" s="34">
        <f t="shared" si="26"/>
        <v>36.06</v>
      </c>
      <c r="J35" s="34">
        <f t="shared" si="26"/>
        <v>30.99</v>
      </c>
      <c r="K35" s="34">
        <f t="shared" si="26"/>
        <v>25.99</v>
      </c>
      <c r="L35" s="34">
        <f t="shared" si="26"/>
        <v>26.97</v>
      </c>
      <c r="M35" s="34">
        <f t="shared" si="26"/>
        <v>27.22</v>
      </c>
      <c r="N35" s="34">
        <f t="shared" si="26"/>
        <v>27.55</v>
      </c>
      <c r="O35" s="34">
        <f t="shared" si="26"/>
        <v>27.62</v>
      </c>
      <c r="P35" s="54">
        <f t="shared" ref="P35:Q35" si="28">O35</f>
        <v>27.62</v>
      </c>
      <c r="Q35" s="54">
        <f t="shared" si="28"/>
        <v>27.62</v>
      </c>
      <c r="R35" s="38"/>
      <c r="X35" s="41">
        <f>INDEX('[1]End - Use Prices'!$C$6:$AL$89,MATCH($C35,'[1]End - Use Prices'!$A$6:$A$89,0)+MATCH($D35,'[1]End - Use Prices'!$B$9:$B$11,0)-1,MATCH(X$1,'[1]End - Use Prices'!$C$7:$AL$7,0))</f>
        <v>48.47</v>
      </c>
      <c r="Y35" s="41">
        <f>INDEX('[1]End - Use Prices'!$C$6:$AL$89,MATCH($C35,'[1]End - Use Prices'!$A$6:$A$89,0)+MATCH($D35,'[1]End - Use Prices'!$B$9:$B$11,0)-1,MATCH(Y$1,'[1]End - Use Prices'!$C$7:$AL$7,0))</f>
        <v>44.05</v>
      </c>
      <c r="Z35" s="41">
        <f>INDEX('[1]End - Use Prices'!$C$6:$AL$89,MATCH($C35,'[1]End - Use Prices'!$A$6:$A$89,0)+MATCH($D35,'[1]End - Use Prices'!$B$9:$B$11,0)-1,MATCH(Z$1,'[1]End - Use Prices'!$C$7:$AL$7,0))</f>
        <v>40.97</v>
      </c>
      <c r="AA35" s="41">
        <f>INDEX('[1]End - Use Prices'!$C$6:$AL$89,MATCH($C35,'[1]End - Use Prices'!$A$6:$A$89,0)+MATCH($D35,'[1]End - Use Prices'!$B$9:$B$11,0)-1,MATCH(AA$1,'[1]End - Use Prices'!$C$7:$AL$7,0))</f>
        <v>39.74</v>
      </c>
      <c r="AB35" s="41">
        <f>INDEX('[1]End - Use Prices'!$C$6:$AL$89,MATCH($C35,'[1]End - Use Prices'!$A$6:$A$89,0)+MATCH($D35,'[1]End - Use Prices'!$B$9:$B$11,0)-1,MATCH(AB$1,'[1]End - Use Prices'!$C$7:$AL$7,0))</f>
        <v>38.31</v>
      </c>
      <c r="AC35" s="41">
        <f>INDEX('[1]End - Use Prices'!$C$6:$AL$89,MATCH($C35,'[1]End - Use Prices'!$A$6:$A$89,0)+MATCH($D35,'[1]End - Use Prices'!$B$9:$B$11,0)-1,MATCH(AC$1,'[1]End - Use Prices'!$C$7:$AL$7,0))</f>
        <v>36.06</v>
      </c>
      <c r="AD35" s="41">
        <f>INDEX('[1]End - Use Prices'!$C$6:$AL$89,MATCH($C35,'[1]End - Use Prices'!$A$6:$A$89,0)+MATCH($D35,'[1]End - Use Prices'!$B$9:$B$11,0)-1,MATCH(AD$1,'[1]End - Use Prices'!$C$7:$AL$7,0))</f>
        <v>33.869999999999997</v>
      </c>
      <c r="AE35" s="41">
        <f>INDEX('[1]End - Use Prices'!$C$6:$AL$89,MATCH($C35,'[1]End - Use Prices'!$A$6:$A$89,0)+MATCH($D35,'[1]End - Use Prices'!$B$9:$B$11,0)-1,MATCH(AE$1,'[1]End - Use Prices'!$C$7:$AL$7,0))</f>
        <v>32.549999999999997</v>
      </c>
      <c r="AF35" s="41">
        <f>INDEX('[1]End - Use Prices'!$C$6:$AL$89,MATCH($C35,'[1]End - Use Prices'!$A$6:$A$89,0)+MATCH($D35,'[1]End - Use Prices'!$B$9:$B$11,0)-1,MATCH(AF$1,'[1]End - Use Prices'!$C$7:$AL$7,0))</f>
        <v>25.3</v>
      </c>
      <c r="AG35" s="41">
        <f>INDEX('[1]End - Use Prices'!$C$6:$AL$89,MATCH($C35,'[1]End - Use Prices'!$A$6:$A$89,0)+MATCH($D35,'[1]End - Use Prices'!$B$9:$B$11,0)-1,MATCH(AG$1,'[1]End - Use Prices'!$C$7:$AL$7,0))</f>
        <v>26.06</v>
      </c>
      <c r="AH35" s="41">
        <f>INDEX('[1]End - Use Prices'!$C$6:$AL$89,MATCH($C35,'[1]End - Use Prices'!$A$6:$A$89,0)+MATCH($D35,'[1]End - Use Prices'!$B$9:$B$11,0)-1,MATCH(AH$1,'[1]End - Use Prices'!$C$7:$AL$7,0))</f>
        <v>30.99</v>
      </c>
      <c r="AI35" s="41">
        <f>INDEX('[1]End - Use Prices'!$C$6:$AL$89,MATCH($C35,'[1]End - Use Prices'!$A$6:$A$89,0)+MATCH($D35,'[1]End - Use Prices'!$B$9:$B$11,0)-1,MATCH(AI$1,'[1]End - Use Prices'!$C$7:$AL$7,0))</f>
        <v>27.98</v>
      </c>
      <c r="AJ35" s="41">
        <f>INDEX('[1]End - Use Prices'!$C$6:$AL$89,MATCH($C35,'[1]End - Use Prices'!$A$6:$A$89,0)+MATCH($D35,'[1]End - Use Prices'!$B$9:$B$11,0)-1,MATCH(AJ$1,'[1]End - Use Prices'!$C$7:$AL$7,0))</f>
        <v>25.3</v>
      </c>
      <c r="AK35" s="41">
        <f>INDEX('[1]End - Use Prices'!$C$6:$AL$89,MATCH($C35,'[1]End - Use Prices'!$A$6:$A$89,0)+MATCH($D35,'[1]End - Use Prices'!$B$9:$B$11,0)-1,MATCH(AK$1,'[1]End - Use Prices'!$C$7:$AL$7,0))</f>
        <v>25.21</v>
      </c>
      <c r="AL35" s="41">
        <f>INDEX('[1]End - Use Prices'!$C$6:$AL$89,MATCH($C35,'[1]End - Use Prices'!$A$6:$A$89,0)+MATCH($D35,'[1]End - Use Prices'!$B$9:$B$11,0)-1,MATCH(AL$1,'[1]End - Use Prices'!$C$7:$AL$7,0))</f>
        <v>25.2</v>
      </c>
      <c r="AM35" s="41">
        <f>INDEX('[1]End - Use Prices'!$C$6:$AL$89,MATCH($C35,'[1]End - Use Prices'!$A$6:$A$89,0)+MATCH($D35,'[1]End - Use Prices'!$B$9:$B$11,0)-1,MATCH(AM$1,'[1]End - Use Prices'!$C$7:$AL$7,0))</f>
        <v>25.99</v>
      </c>
      <c r="AN35" s="41">
        <f>INDEX('[1]End - Use Prices'!$C$6:$AL$89,MATCH($C35,'[1]End - Use Prices'!$A$6:$A$89,0)+MATCH($D35,'[1]End - Use Prices'!$B$9:$B$11,0)-1,MATCH(AN$1,'[1]End - Use Prices'!$C$7:$AL$7,0))</f>
        <v>26.36</v>
      </c>
      <c r="AO35" s="41">
        <f>INDEX('[1]End - Use Prices'!$C$6:$AL$89,MATCH($C35,'[1]End - Use Prices'!$A$6:$A$89,0)+MATCH($D35,'[1]End - Use Prices'!$B$9:$B$11,0)-1,MATCH(AO$1,'[1]End - Use Prices'!$C$7:$AL$7,0))</f>
        <v>26.71</v>
      </c>
      <c r="AP35" s="41">
        <f>INDEX('[1]End - Use Prices'!$C$6:$AL$89,MATCH($C35,'[1]End - Use Prices'!$A$6:$A$89,0)+MATCH($D35,'[1]End - Use Prices'!$B$9:$B$11,0)-1,MATCH(AP$1,'[1]End - Use Prices'!$C$7:$AL$7,0))</f>
        <v>27.03</v>
      </c>
      <c r="AQ35" s="41">
        <f>INDEX('[1]End - Use Prices'!$C$6:$AL$89,MATCH($C35,'[1]End - Use Prices'!$A$6:$A$89,0)+MATCH($D35,'[1]End - Use Prices'!$B$9:$B$11,0)-1,MATCH(AQ$1,'[1]End - Use Prices'!$C$7:$AL$7,0))</f>
        <v>26.98</v>
      </c>
      <c r="AR35" s="41">
        <f>INDEX('[1]End - Use Prices'!$C$6:$AL$89,MATCH($C35,'[1]End - Use Prices'!$A$6:$A$89,0)+MATCH($D35,'[1]End - Use Prices'!$B$9:$B$11,0)-1,MATCH(AR$1,'[1]End - Use Prices'!$C$7:$AL$7,0))</f>
        <v>26.97</v>
      </c>
      <c r="AS35" s="41">
        <f>INDEX('[1]End - Use Prices'!$C$6:$AL$89,MATCH($C35,'[1]End - Use Prices'!$A$6:$A$89,0)+MATCH($D35,'[1]End - Use Prices'!$B$9:$B$11,0)-1,MATCH(AS$1,'[1]End - Use Prices'!$C$7:$AL$7,0))</f>
        <v>27.01</v>
      </c>
      <c r="AT35" s="41">
        <f>INDEX('[1]End - Use Prices'!$C$6:$AL$89,MATCH($C35,'[1]End - Use Prices'!$A$6:$A$89,0)+MATCH($D35,'[1]End - Use Prices'!$B$9:$B$11,0)-1,MATCH(AT$1,'[1]End - Use Prices'!$C$7:$AL$7,0))</f>
        <v>27.04</v>
      </c>
      <c r="AU35" s="41">
        <f>INDEX('[1]End - Use Prices'!$C$6:$AL$89,MATCH($C35,'[1]End - Use Prices'!$A$6:$A$89,0)+MATCH($D35,'[1]End - Use Prices'!$B$9:$B$11,0)-1,MATCH(AU$1,'[1]End - Use Prices'!$C$7:$AL$7,0))</f>
        <v>27.1</v>
      </c>
      <c r="AV35" s="41">
        <f>INDEX('[1]End - Use Prices'!$C$6:$AL$89,MATCH($C35,'[1]End - Use Prices'!$A$6:$A$89,0)+MATCH($D35,'[1]End - Use Prices'!$B$9:$B$11,0)-1,MATCH(AV$1,'[1]End - Use Prices'!$C$7:$AL$7,0))</f>
        <v>27.16</v>
      </c>
      <c r="AW35" s="41">
        <f>INDEX('[1]End - Use Prices'!$C$6:$AL$89,MATCH($C35,'[1]End - Use Prices'!$A$6:$A$89,0)+MATCH($D35,'[1]End - Use Prices'!$B$9:$B$11,0)-1,MATCH(AW$1,'[1]End - Use Prices'!$C$7:$AL$7,0))</f>
        <v>27.22</v>
      </c>
      <c r="AX35" s="41">
        <f>INDEX('[1]End - Use Prices'!$C$6:$AL$89,MATCH($C35,'[1]End - Use Prices'!$A$6:$A$89,0)+MATCH($D35,'[1]End - Use Prices'!$B$9:$B$11,0)-1,MATCH(AX$1,'[1]End - Use Prices'!$C$7:$AL$7,0))</f>
        <v>27.29</v>
      </c>
      <c r="AY35" s="41">
        <f>INDEX('[1]End - Use Prices'!$C$6:$AL$89,MATCH($C35,'[1]End - Use Prices'!$A$6:$A$89,0)+MATCH($D35,'[1]End - Use Prices'!$B$9:$B$11,0)-1,MATCH(AY$1,'[1]End - Use Prices'!$C$7:$AL$7,0))</f>
        <v>27.37</v>
      </c>
      <c r="AZ35" s="41">
        <f>INDEX('[1]End - Use Prices'!$C$6:$AL$89,MATCH($C35,'[1]End - Use Prices'!$A$6:$A$89,0)+MATCH($D35,'[1]End - Use Prices'!$B$9:$B$11,0)-1,MATCH(AZ$1,'[1]End - Use Prices'!$C$7:$AL$7,0))</f>
        <v>27.46</v>
      </c>
      <c r="BA35" s="41">
        <f>INDEX('[1]End - Use Prices'!$C$6:$AL$89,MATCH($C35,'[1]End - Use Prices'!$A$6:$A$89,0)+MATCH($D35,'[1]End - Use Prices'!$B$9:$B$11,0)-1,MATCH(BA$1,'[1]End - Use Prices'!$C$7:$AL$7,0))</f>
        <v>27.51</v>
      </c>
      <c r="BB35" s="41">
        <f>INDEX('[1]End - Use Prices'!$C$6:$AL$89,MATCH($C35,'[1]End - Use Prices'!$A$6:$A$89,0)+MATCH($D35,'[1]End - Use Prices'!$B$9:$B$11,0)-1,MATCH(BB$1,'[1]End - Use Prices'!$C$7:$AL$7,0))</f>
        <v>27.55</v>
      </c>
      <c r="BC35" s="41">
        <f>INDEX('[1]End - Use Prices'!$C$6:$AL$89,MATCH($C35,'[1]End - Use Prices'!$A$6:$A$89,0)+MATCH($D35,'[1]End - Use Prices'!$B$9:$B$11,0)-1,MATCH(BC$1,'[1]End - Use Prices'!$C$7:$AL$7,0))</f>
        <v>27.58</v>
      </c>
      <c r="BD35" s="41">
        <f>INDEX('[1]End - Use Prices'!$C$6:$AL$89,MATCH($C35,'[1]End - Use Prices'!$A$6:$A$89,0)+MATCH($D35,'[1]End - Use Prices'!$B$9:$B$11,0)-1,MATCH(BD$1,'[1]End - Use Prices'!$C$7:$AL$7,0))</f>
        <v>27.6</v>
      </c>
      <c r="BE35" s="41">
        <f>INDEX('[1]End - Use Prices'!$C$6:$AL$89,MATCH($C35,'[1]End - Use Prices'!$A$6:$A$89,0)+MATCH($D35,'[1]End - Use Prices'!$B$9:$B$11,0)-1,MATCH(BE$1,'[1]End - Use Prices'!$C$7:$AL$7,0))</f>
        <v>27.61</v>
      </c>
      <c r="BF35" s="41">
        <f>INDEX('[1]End - Use Prices'!$C$6:$AL$89,MATCH($C35,'[1]End - Use Prices'!$A$6:$A$89,0)+MATCH($D35,'[1]End - Use Prices'!$B$9:$B$11,0)-1,MATCH(BF$1,'[1]End - Use Prices'!$C$7:$AL$7,0))</f>
        <v>27.62</v>
      </c>
      <c r="BG35" s="41">
        <f>INDEX('[1]End - Use Prices'!$C$6:$AL$89,MATCH($C35,'[1]End - Use Prices'!$A$6:$A$89,0)+MATCH($D35,'[1]End - Use Prices'!$B$9:$B$11,0)-1,MATCH(BG$1,'[1]End - Use Prices'!$C$7:$AL$7,0))</f>
        <v>27.62</v>
      </c>
      <c r="BR35" s="39"/>
      <c r="BS35" s="39"/>
      <c r="BT35" s="39"/>
      <c r="BU35" s="39"/>
      <c r="BV35" s="39"/>
      <c r="BW35" s="39"/>
      <c r="BX35" s="39"/>
      <c r="BY35" s="39"/>
      <c r="BZ35" s="39"/>
      <c r="CA35" s="39"/>
    </row>
    <row r="36" spans="1:79" x14ac:dyDescent="0.25">
      <c r="A36" s="5"/>
      <c r="B36" s="3"/>
      <c r="C36" s="25" t="s">
        <v>90</v>
      </c>
      <c r="D36" s="25" t="s">
        <v>14</v>
      </c>
      <c r="E36" s="25" t="s">
        <v>313</v>
      </c>
      <c r="F36" s="74" t="s">
        <v>310</v>
      </c>
      <c r="G36" s="54">
        <f t="shared" si="8"/>
        <v>18.899999999999999</v>
      </c>
      <c r="H36" s="34">
        <f t="shared" si="26"/>
        <v>18.899999999999999</v>
      </c>
      <c r="I36" s="34">
        <f t="shared" si="26"/>
        <v>20.09</v>
      </c>
      <c r="J36" s="34">
        <f t="shared" si="26"/>
        <v>13.86</v>
      </c>
      <c r="K36" s="34">
        <f t="shared" si="26"/>
        <v>11.56</v>
      </c>
      <c r="L36" s="34">
        <f t="shared" si="26"/>
        <v>12.76</v>
      </c>
      <c r="M36" s="34">
        <f t="shared" si="26"/>
        <v>13.11</v>
      </c>
      <c r="N36" s="34">
        <f t="shared" si="26"/>
        <v>13.55</v>
      </c>
      <c r="O36" s="34">
        <f t="shared" si="26"/>
        <v>13.67</v>
      </c>
      <c r="P36" s="54">
        <f t="shared" ref="P36:Q36" si="29">O36</f>
        <v>13.67</v>
      </c>
      <c r="Q36" s="54">
        <f t="shared" si="29"/>
        <v>13.67</v>
      </c>
      <c r="R36" s="38"/>
      <c r="X36" s="41">
        <f>INDEX('[1]End - Use Prices'!$C$6:$AL$89,MATCH($C36,'[1]End - Use Prices'!$A$6:$A$89,0)+MATCH($D36,'[1]End - Use Prices'!$B$9:$B$11,0)-1,MATCH(X$1,'[1]End - Use Prices'!$C$7:$AL$7,0))</f>
        <v>18.899999999999999</v>
      </c>
      <c r="Y36" s="41">
        <f>INDEX('[1]End - Use Prices'!$C$6:$AL$89,MATCH($C36,'[1]End - Use Prices'!$A$6:$A$89,0)+MATCH($D36,'[1]End - Use Prices'!$B$9:$B$11,0)-1,MATCH(Y$1,'[1]End - Use Prices'!$C$7:$AL$7,0))</f>
        <v>18.940000000000001</v>
      </c>
      <c r="Z36" s="41">
        <f>INDEX('[1]End - Use Prices'!$C$6:$AL$89,MATCH($C36,'[1]End - Use Prices'!$A$6:$A$89,0)+MATCH($D36,'[1]End - Use Prices'!$B$9:$B$11,0)-1,MATCH(Z$1,'[1]End - Use Prices'!$C$7:$AL$7,0))</f>
        <v>11.86</v>
      </c>
      <c r="AA36" s="41">
        <f>INDEX('[1]End - Use Prices'!$C$6:$AL$89,MATCH($C36,'[1]End - Use Prices'!$A$6:$A$89,0)+MATCH($D36,'[1]End - Use Prices'!$B$9:$B$11,0)-1,MATCH(AA$1,'[1]End - Use Prices'!$C$7:$AL$7,0))</f>
        <v>14.01</v>
      </c>
      <c r="AB36" s="41">
        <f>INDEX('[1]End - Use Prices'!$C$6:$AL$89,MATCH($C36,'[1]End - Use Prices'!$A$6:$A$89,0)+MATCH($D36,'[1]End - Use Prices'!$B$9:$B$11,0)-1,MATCH(AB$1,'[1]End - Use Prices'!$C$7:$AL$7,0))</f>
        <v>14.6</v>
      </c>
      <c r="AC36" s="41">
        <f>INDEX('[1]End - Use Prices'!$C$6:$AL$89,MATCH($C36,'[1]End - Use Prices'!$A$6:$A$89,0)+MATCH($D36,'[1]End - Use Prices'!$B$9:$B$11,0)-1,MATCH(AC$1,'[1]End - Use Prices'!$C$7:$AL$7,0))</f>
        <v>20.09</v>
      </c>
      <c r="AD36" s="41">
        <f>INDEX('[1]End - Use Prices'!$C$6:$AL$89,MATCH($C36,'[1]End - Use Prices'!$A$6:$A$89,0)+MATCH($D36,'[1]End - Use Prices'!$B$9:$B$11,0)-1,MATCH(AD$1,'[1]End - Use Prices'!$C$7:$AL$7,0))</f>
        <v>17.2</v>
      </c>
      <c r="AE36" s="41">
        <f>INDEX('[1]End - Use Prices'!$C$6:$AL$89,MATCH($C36,'[1]End - Use Prices'!$A$6:$A$89,0)+MATCH($D36,'[1]End - Use Prices'!$B$9:$B$11,0)-1,MATCH(AE$1,'[1]End - Use Prices'!$C$7:$AL$7,0))</f>
        <v>17.59</v>
      </c>
      <c r="AF36" s="41">
        <f>INDEX('[1]End - Use Prices'!$C$6:$AL$89,MATCH($C36,'[1]End - Use Prices'!$A$6:$A$89,0)+MATCH($D36,'[1]End - Use Prices'!$B$9:$B$11,0)-1,MATCH(AF$1,'[1]End - Use Prices'!$C$7:$AL$7,0))</f>
        <v>18.75</v>
      </c>
      <c r="AG36" s="41">
        <f>INDEX('[1]End - Use Prices'!$C$6:$AL$89,MATCH($C36,'[1]End - Use Prices'!$A$6:$A$89,0)+MATCH($D36,'[1]End - Use Prices'!$B$9:$B$11,0)-1,MATCH(AG$1,'[1]End - Use Prices'!$C$7:$AL$7,0))</f>
        <v>18.48</v>
      </c>
      <c r="AH36" s="41">
        <f>INDEX('[1]End - Use Prices'!$C$6:$AL$89,MATCH($C36,'[1]End - Use Prices'!$A$6:$A$89,0)+MATCH($D36,'[1]End - Use Prices'!$B$9:$B$11,0)-1,MATCH(AH$1,'[1]End - Use Prices'!$C$7:$AL$7,0))</f>
        <v>13.86</v>
      </c>
      <c r="AI36" s="41">
        <f>INDEX('[1]End - Use Prices'!$C$6:$AL$89,MATCH($C36,'[1]End - Use Prices'!$A$6:$A$89,0)+MATCH($D36,'[1]End - Use Prices'!$B$9:$B$11,0)-1,MATCH(AI$1,'[1]End - Use Prices'!$C$7:$AL$7,0))</f>
        <v>9.4700000000000006</v>
      </c>
      <c r="AJ36" s="41">
        <f>INDEX('[1]End - Use Prices'!$C$6:$AL$89,MATCH($C36,'[1]End - Use Prices'!$A$6:$A$89,0)+MATCH($D36,'[1]End - Use Prices'!$B$9:$B$11,0)-1,MATCH(AJ$1,'[1]End - Use Prices'!$C$7:$AL$7,0))</f>
        <v>10.75</v>
      </c>
      <c r="AK36" s="41">
        <f>INDEX('[1]End - Use Prices'!$C$6:$AL$89,MATCH($C36,'[1]End - Use Prices'!$A$6:$A$89,0)+MATCH($D36,'[1]End - Use Prices'!$B$9:$B$11,0)-1,MATCH(AK$1,'[1]End - Use Prices'!$C$7:$AL$7,0))</f>
        <v>10.63</v>
      </c>
      <c r="AL36" s="41">
        <f>INDEX('[1]End - Use Prices'!$C$6:$AL$89,MATCH($C36,'[1]End - Use Prices'!$A$6:$A$89,0)+MATCH($D36,'[1]End - Use Prices'!$B$9:$B$11,0)-1,MATCH(AL$1,'[1]End - Use Prices'!$C$7:$AL$7,0))</f>
        <v>10.61</v>
      </c>
      <c r="AM36" s="41">
        <f>INDEX('[1]End - Use Prices'!$C$6:$AL$89,MATCH($C36,'[1]End - Use Prices'!$A$6:$A$89,0)+MATCH($D36,'[1]End - Use Prices'!$B$9:$B$11,0)-1,MATCH(AM$1,'[1]End - Use Prices'!$C$7:$AL$7,0))</f>
        <v>11.56</v>
      </c>
      <c r="AN36" s="41">
        <f>INDEX('[1]End - Use Prices'!$C$6:$AL$89,MATCH($C36,'[1]End - Use Prices'!$A$6:$A$89,0)+MATCH($D36,'[1]End - Use Prices'!$B$9:$B$11,0)-1,MATCH(AN$1,'[1]End - Use Prices'!$C$7:$AL$7,0))</f>
        <v>12.01</v>
      </c>
      <c r="AO36" s="41">
        <f>INDEX('[1]End - Use Prices'!$C$6:$AL$89,MATCH($C36,'[1]End - Use Prices'!$A$6:$A$89,0)+MATCH($D36,'[1]End - Use Prices'!$B$9:$B$11,0)-1,MATCH(AO$1,'[1]End - Use Prices'!$C$7:$AL$7,0))</f>
        <v>12.44</v>
      </c>
      <c r="AP36" s="41">
        <f>INDEX('[1]End - Use Prices'!$C$6:$AL$89,MATCH($C36,'[1]End - Use Prices'!$A$6:$A$89,0)+MATCH($D36,'[1]End - Use Prices'!$B$9:$B$11,0)-1,MATCH(AP$1,'[1]End - Use Prices'!$C$7:$AL$7,0))</f>
        <v>12.83</v>
      </c>
      <c r="AQ36" s="41">
        <f>INDEX('[1]End - Use Prices'!$C$6:$AL$89,MATCH($C36,'[1]End - Use Prices'!$A$6:$A$89,0)+MATCH($D36,'[1]End - Use Prices'!$B$9:$B$11,0)-1,MATCH(AQ$1,'[1]End - Use Prices'!$C$7:$AL$7,0))</f>
        <v>12.77</v>
      </c>
      <c r="AR36" s="41">
        <f>INDEX('[1]End - Use Prices'!$C$6:$AL$89,MATCH($C36,'[1]End - Use Prices'!$A$6:$A$89,0)+MATCH($D36,'[1]End - Use Prices'!$B$9:$B$11,0)-1,MATCH(AR$1,'[1]End - Use Prices'!$C$7:$AL$7,0))</f>
        <v>12.76</v>
      </c>
      <c r="AS36" s="41">
        <f>INDEX('[1]End - Use Prices'!$C$6:$AL$89,MATCH($C36,'[1]End - Use Prices'!$A$6:$A$89,0)+MATCH($D36,'[1]End - Use Prices'!$B$9:$B$11,0)-1,MATCH(AS$1,'[1]End - Use Prices'!$C$7:$AL$7,0))</f>
        <v>12.82</v>
      </c>
      <c r="AT36" s="41">
        <f>INDEX('[1]End - Use Prices'!$C$6:$AL$89,MATCH($C36,'[1]End - Use Prices'!$A$6:$A$89,0)+MATCH($D36,'[1]End - Use Prices'!$B$9:$B$11,0)-1,MATCH(AT$1,'[1]End - Use Prices'!$C$7:$AL$7,0))</f>
        <v>12.87</v>
      </c>
      <c r="AU36" s="41">
        <f>INDEX('[1]End - Use Prices'!$C$6:$AL$89,MATCH($C36,'[1]End - Use Prices'!$A$6:$A$89,0)+MATCH($D36,'[1]End - Use Prices'!$B$9:$B$11,0)-1,MATCH(AU$1,'[1]End - Use Prices'!$C$7:$AL$7,0))</f>
        <v>12.94</v>
      </c>
      <c r="AV36" s="41">
        <f>INDEX('[1]End - Use Prices'!$C$6:$AL$89,MATCH($C36,'[1]End - Use Prices'!$A$6:$A$89,0)+MATCH($D36,'[1]End - Use Prices'!$B$9:$B$11,0)-1,MATCH(AV$1,'[1]End - Use Prices'!$C$7:$AL$7,0))</f>
        <v>13.03</v>
      </c>
      <c r="AW36" s="41">
        <f>INDEX('[1]End - Use Prices'!$C$6:$AL$89,MATCH($C36,'[1]End - Use Prices'!$A$6:$A$89,0)+MATCH($D36,'[1]End - Use Prices'!$B$9:$B$11,0)-1,MATCH(AW$1,'[1]End - Use Prices'!$C$7:$AL$7,0))</f>
        <v>13.11</v>
      </c>
      <c r="AX36" s="41">
        <f>INDEX('[1]End - Use Prices'!$C$6:$AL$89,MATCH($C36,'[1]End - Use Prices'!$A$6:$A$89,0)+MATCH($D36,'[1]End - Use Prices'!$B$9:$B$11,0)-1,MATCH(AX$1,'[1]End - Use Prices'!$C$7:$AL$7,0))</f>
        <v>13.21</v>
      </c>
      <c r="AY36" s="41">
        <f>INDEX('[1]End - Use Prices'!$C$6:$AL$89,MATCH($C36,'[1]End - Use Prices'!$A$6:$A$89,0)+MATCH($D36,'[1]End - Use Prices'!$B$9:$B$11,0)-1,MATCH(AY$1,'[1]End - Use Prices'!$C$7:$AL$7,0))</f>
        <v>13.32</v>
      </c>
      <c r="AZ36" s="41">
        <f>INDEX('[1]End - Use Prices'!$C$6:$AL$89,MATCH($C36,'[1]End - Use Prices'!$A$6:$A$89,0)+MATCH($D36,'[1]End - Use Prices'!$B$9:$B$11,0)-1,MATCH(AZ$1,'[1]End - Use Prices'!$C$7:$AL$7,0))</f>
        <v>13.44</v>
      </c>
      <c r="BA36" s="41">
        <f>INDEX('[1]End - Use Prices'!$C$6:$AL$89,MATCH($C36,'[1]End - Use Prices'!$A$6:$A$89,0)+MATCH($D36,'[1]End - Use Prices'!$B$9:$B$11,0)-1,MATCH(BA$1,'[1]End - Use Prices'!$C$7:$AL$7,0))</f>
        <v>13.5</v>
      </c>
      <c r="BB36" s="41">
        <f>INDEX('[1]End - Use Prices'!$C$6:$AL$89,MATCH($C36,'[1]End - Use Prices'!$A$6:$A$89,0)+MATCH($D36,'[1]End - Use Prices'!$B$9:$B$11,0)-1,MATCH(BB$1,'[1]End - Use Prices'!$C$7:$AL$7,0))</f>
        <v>13.55</v>
      </c>
      <c r="BC36" s="41">
        <f>INDEX('[1]End - Use Prices'!$C$6:$AL$89,MATCH($C36,'[1]End - Use Prices'!$A$6:$A$89,0)+MATCH($D36,'[1]End - Use Prices'!$B$9:$B$11,0)-1,MATCH(BC$1,'[1]End - Use Prices'!$C$7:$AL$7,0))</f>
        <v>13.6</v>
      </c>
      <c r="BD36" s="41">
        <f>INDEX('[1]End - Use Prices'!$C$6:$AL$89,MATCH($C36,'[1]End - Use Prices'!$A$6:$A$89,0)+MATCH($D36,'[1]End - Use Prices'!$B$9:$B$11,0)-1,MATCH(BD$1,'[1]End - Use Prices'!$C$7:$AL$7,0))</f>
        <v>13.63</v>
      </c>
      <c r="BE36" s="41">
        <f>INDEX('[1]End - Use Prices'!$C$6:$AL$89,MATCH($C36,'[1]End - Use Prices'!$A$6:$A$89,0)+MATCH($D36,'[1]End - Use Prices'!$B$9:$B$11,0)-1,MATCH(BE$1,'[1]End - Use Prices'!$C$7:$AL$7,0))</f>
        <v>13.64</v>
      </c>
      <c r="BF36" s="41">
        <f>INDEX('[1]End - Use Prices'!$C$6:$AL$89,MATCH($C36,'[1]End - Use Prices'!$A$6:$A$89,0)+MATCH($D36,'[1]End - Use Prices'!$B$9:$B$11,0)-1,MATCH(BF$1,'[1]End - Use Prices'!$C$7:$AL$7,0))</f>
        <v>13.66</v>
      </c>
      <c r="BG36" s="41">
        <f>INDEX('[1]End - Use Prices'!$C$6:$AL$89,MATCH($C36,'[1]End - Use Prices'!$A$6:$A$89,0)+MATCH($D36,'[1]End - Use Prices'!$B$9:$B$11,0)-1,MATCH(BG$1,'[1]End - Use Prices'!$C$7:$AL$7,0))</f>
        <v>13.67</v>
      </c>
      <c r="BR36" s="39"/>
      <c r="BS36" s="39"/>
      <c r="BT36" s="39"/>
      <c r="BU36" s="39"/>
      <c r="BV36" s="39"/>
      <c r="BW36" s="39"/>
      <c r="BX36" s="39"/>
      <c r="BY36" s="39"/>
      <c r="BZ36" s="39"/>
      <c r="CA36" s="39"/>
    </row>
    <row r="37" spans="1:79" x14ac:dyDescent="0.25">
      <c r="A37" s="5"/>
      <c r="B37" s="3"/>
      <c r="C37" s="25" t="s">
        <v>91</v>
      </c>
      <c r="D37" s="25" t="s">
        <v>14</v>
      </c>
      <c r="E37" s="25" t="s">
        <v>313</v>
      </c>
      <c r="F37" s="74" t="s">
        <v>310</v>
      </c>
      <c r="G37" s="54">
        <f t="shared" si="8"/>
        <v>20.32</v>
      </c>
      <c r="H37" s="34">
        <f t="shared" si="26"/>
        <v>20.32</v>
      </c>
      <c r="I37" s="34">
        <f t="shared" si="26"/>
        <v>18.399999999999999</v>
      </c>
      <c r="J37" s="34">
        <f t="shared" si="26"/>
        <v>15.95</v>
      </c>
      <c r="K37" s="34">
        <f t="shared" si="26"/>
        <v>15</v>
      </c>
      <c r="L37" s="34">
        <f t="shared" si="26"/>
        <v>16.07</v>
      </c>
      <c r="M37" s="34">
        <f t="shared" si="26"/>
        <v>16.5</v>
      </c>
      <c r="N37" s="34">
        <f t="shared" si="26"/>
        <v>16.809999999999999</v>
      </c>
      <c r="O37" s="34">
        <f t="shared" si="26"/>
        <v>16.809999999999999</v>
      </c>
      <c r="P37" s="54">
        <f t="shared" ref="P37:Q37" si="30">O37</f>
        <v>16.809999999999999</v>
      </c>
      <c r="Q37" s="54">
        <f t="shared" si="30"/>
        <v>16.809999999999999</v>
      </c>
      <c r="R37" s="38"/>
      <c r="X37" s="41">
        <f>INDEX('[1]End - Use Prices'!$C$6:$AL$89,MATCH($C37,'[1]End - Use Prices'!$A$6:$A$89,0)+MATCH($D37,'[1]End - Use Prices'!$B$9:$B$11,0)-1,MATCH(X$1,'[1]End - Use Prices'!$C$7:$AL$7,0))</f>
        <v>20.32</v>
      </c>
      <c r="Y37" s="41">
        <f>INDEX('[1]End - Use Prices'!$C$6:$AL$89,MATCH($C37,'[1]End - Use Prices'!$A$6:$A$89,0)+MATCH($D37,'[1]End - Use Prices'!$B$9:$B$11,0)-1,MATCH(Y$1,'[1]End - Use Prices'!$C$7:$AL$7,0))</f>
        <v>20.36</v>
      </c>
      <c r="Z37" s="41">
        <f>INDEX('[1]End - Use Prices'!$C$6:$AL$89,MATCH($C37,'[1]End - Use Prices'!$A$6:$A$89,0)+MATCH($D37,'[1]End - Use Prices'!$B$9:$B$11,0)-1,MATCH(Z$1,'[1]End - Use Prices'!$C$7:$AL$7,0))</f>
        <v>19</v>
      </c>
      <c r="AA37" s="41">
        <f>INDEX('[1]End - Use Prices'!$C$6:$AL$89,MATCH($C37,'[1]End - Use Prices'!$A$6:$A$89,0)+MATCH($D37,'[1]End - Use Prices'!$B$9:$B$11,0)-1,MATCH(AA$1,'[1]End - Use Prices'!$C$7:$AL$7,0))</f>
        <v>19.5</v>
      </c>
      <c r="AB37" s="41">
        <f>INDEX('[1]End - Use Prices'!$C$6:$AL$89,MATCH($C37,'[1]End - Use Prices'!$A$6:$A$89,0)+MATCH($D37,'[1]End - Use Prices'!$B$9:$B$11,0)-1,MATCH(AB$1,'[1]End - Use Prices'!$C$7:$AL$7,0))</f>
        <v>18.579999999999998</v>
      </c>
      <c r="AC37" s="41">
        <f>INDEX('[1]End - Use Prices'!$C$6:$AL$89,MATCH($C37,'[1]End - Use Prices'!$A$6:$A$89,0)+MATCH($D37,'[1]End - Use Prices'!$B$9:$B$11,0)-1,MATCH(AC$1,'[1]End - Use Prices'!$C$7:$AL$7,0))</f>
        <v>18.399999999999999</v>
      </c>
      <c r="AD37" s="41">
        <f>INDEX('[1]End - Use Prices'!$C$6:$AL$89,MATCH($C37,'[1]End - Use Prices'!$A$6:$A$89,0)+MATCH($D37,'[1]End - Use Prices'!$B$9:$B$11,0)-1,MATCH(AD$1,'[1]End - Use Prices'!$C$7:$AL$7,0))</f>
        <v>17.54</v>
      </c>
      <c r="AE37" s="41">
        <f>INDEX('[1]End - Use Prices'!$C$6:$AL$89,MATCH($C37,'[1]End - Use Prices'!$A$6:$A$89,0)+MATCH($D37,'[1]End - Use Prices'!$B$9:$B$11,0)-1,MATCH(AE$1,'[1]End - Use Prices'!$C$7:$AL$7,0))</f>
        <v>17.05</v>
      </c>
      <c r="AF37" s="41">
        <f>INDEX('[1]End - Use Prices'!$C$6:$AL$89,MATCH($C37,'[1]End - Use Prices'!$A$6:$A$89,0)+MATCH($D37,'[1]End - Use Prices'!$B$9:$B$11,0)-1,MATCH(AF$1,'[1]End - Use Prices'!$C$7:$AL$7,0))</f>
        <v>15.49</v>
      </c>
      <c r="AG37" s="41">
        <f>INDEX('[1]End - Use Prices'!$C$6:$AL$89,MATCH($C37,'[1]End - Use Prices'!$A$6:$A$89,0)+MATCH($D37,'[1]End - Use Prices'!$B$9:$B$11,0)-1,MATCH(AG$1,'[1]End - Use Prices'!$C$7:$AL$7,0))</f>
        <v>16.84</v>
      </c>
      <c r="AH37" s="41">
        <f>INDEX('[1]End - Use Prices'!$C$6:$AL$89,MATCH($C37,'[1]End - Use Prices'!$A$6:$A$89,0)+MATCH($D37,'[1]End - Use Prices'!$B$9:$B$11,0)-1,MATCH(AH$1,'[1]End - Use Prices'!$C$7:$AL$7,0))</f>
        <v>15.95</v>
      </c>
      <c r="AI37" s="41">
        <f>INDEX('[1]End - Use Prices'!$C$6:$AL$89,MATCH($C37,'[1]End - Use Prices'!$A$6:$A$89,0)+MATCH($D37,'[1]End - Use Prices'!$B$9:$B$11,0)-1,MATCH(AI$1,'[1]End - Use Prices'!$C$7:$AL$7,0))</f>
        <v>14.86</v>
      </c>
      <c r="AJ37" s="41">
        <f>INDEX('[1]End - Use Prices'!$C$6:$AL$89,MATCH($C37,'[1]End - Use Prices'!$A$6:$A$89,0)+MATCH($D37,'[1]End - Use Prices'!$B$9:$B$11,0)-1,MATCH(AJ$1,'[1]End - Use Prices'!$C$7:$AL$7,0))</f>
        <v>15.15</v>
      </c>
      <c r="AK37" s="41">
        <f>INDEX('[1]End - Use Prices'!$C$6:$AL$89,MATCH($C37,'[1]End - Use Prices'!$A$6:$A$89,0)+MATCH($D37,'[1]End - Use Prices'!$B$9:$B$11,0)-1,MATCH(AK$1,'[1]End - Use Prices'!$C$7:$AL$7,0))</f>
        <v>15</v>
      </c>
      <c r="AL37" s="41">
        <f>INDEX('[1]End - Use Prices'!$C$6:$AL$89,MATCH($C37,'[1]End - Use Prices'!$A$6:$A$89,0)+MATCH($D37,'[1]End - Use Prices'!$B$9:$B$11,0)-1,MATCH(AL$1,'[1]End - Use Prices'!$C$7:$AL$7,0))</f>
        <v>14.94</v>
      </c>
      <c r="AM37" s="41">
        <f>INDEX('[1]End - Use Prices'!$C$6:$AL$89,MATCH($C37,'[1]End - Use Prices'!$A$6:$A$89,0)+MATCH($D37,'[1]End - Use Prices'!$B$9:$B$11,0)-1,MATCH(AM$1,'[1]End - Use Prices'!$C$7:$AL$7,0))</f>
        <v>15</v>
      </c>
      <c r="AN37" s="41">
        <f>INDEX('[1]End - Use Prices'!$C$6:$AL$89,MATCH($C37,'[1]End - Use Prices'!$A$6:$A$89,0)+MATCH($D37,'[1]End - Use Prices'!$B$9:$B$11,0)-1,MATCH(AN$1,'[1]End - Use Prices'!$C$7:$AL$7,0))</f>
        <v>15.24</v>
      </c>
      <c r="AO37" s="41">
        <f>INDEX('[1]End - Use Prices'!$C$6:$AL$89,MATCH($C37,'[1]End - Use Prices'!$A$6:$A$89,0)+MATCH($D37,'[1]End - Use Prices'!$B$9:$B$11,0)-1,MATCH(AO$1,'[1]End - Use Prices'!$C$7:$AL$7,0))</f>
        <v>15.47</v>
      </c>
      <c r="AP37" s="41">
        <f>INDEX('[1]End - Use Prices'!$C$6:$AL$89,MATCH($C37,'[1]End - Use Prices'!$A$6:$A$89,0)+MATCH($D37,'[1]End - Use Prices'!$B$9:$B$11,0)-1,MATCH(AP$1,'[1]End - Use Prices'!$C$7:$AL$7,0))</f>
        <v>15.66</v>
      </c>
      <c r="AQ37" s="41">
        <f>INDEX('[1]End - Use Prices'!$C$6:$AL$89,MATCH($C37,'[1]End - Use Prices'!$A$6:$A$89,0)+MATCH($D37,'[1]End - Use Prices'!$B$9:$B$11,0)-1,MATCH(AQ$1,'[1]End - Use Prices'!$C$7:$AL$7,0))</f>
        <v>15.86</v>
      </c>
      <c r="AR37" s="41">
        <f>INDEX('[1]End - Use Prices'!$C$6:$AL$89,MATCH($C37,'[1]End - Use Prices'!$A$6:$A$89,0)+MATCH($D37,'[1]End - Use Prices'!$B$9:$B$11,0)-1,MATCH(AR$1,'[1]End - Use Prices'!$C$7:$AL$7,0))</f>
        <v>16.07</v>
      </c>
      <c r="AS37" s="41">
        <f>INDEX('[1]End - Use Prices'!$C$6:$AL$89,MATCH($C37,'[1]End - Use Prices'!$A$6:$A$89,0)+MATCH($D37,'[1]End - Use Prices'!$B$9:$B$11,0)-1,MATCH(AS$1,'[1]End - Use Prices'!$C$7:$AL$7,0))</f>
        <v>16.350000000000001</v>
      </c>
      <c r="AT37" s="41">
        <f>INDEX('[1]End - Use Prices'!$C$6:$AL$89,MATCH($C37,'[1]End - Use Prices'!$A$6:$A$89,0)+MATCH($D37,'[1]End - Use Prices'!$B$9:$B$11,0)-1,MATCH(AT$1,'[1]End - Use Prices'!$C$7:$AL$7,0))</f>
        <v>16.36</v>
      </c>
      <c r="AU37" s="41">
        <f>INDEX('[1]End - Use Prices'!$C$6:$AL$89,MATCH($C37,'[1]End - Use Prices'!$A$6:$A$89,0)+MATCH($D37,'[1]End - Use Prices'!$B$9:$B$11,0)-1,MATCH(AU$1,'[1]End - Use Prices'!$C$7:$AL$7,0))</f>
        <v>16.399999999999999</v>
      </c>
      <c r="AV37" s="41">
        <f>INDEX('[1]End - Use Prices'!$C$6:$AL$89,MATCH($C37,'[1]End - Use Prices'!$A$6:$A$89,0)+MATCH($D37,'[1]End - Use Prices'!$B$9:$B$11,0)-1,MATCH(AV$1,'[1]End - Use Prices'!$C$7:$AL$7,0))</f>
        <v>16.45</v>
      </c>
      <c r="AW37" s="41">
        <f>INDEX('[1]End - Use Prices'!$C$6:$AL$89,MATCH($C37,'[1]End - Use Prices'!$A$6:$A$89,0)+MATCH($D37,'[1]End - Use Prices'!$B$9:$B$11,0)-1,MATCH(AW$1,'[1]End - Use Prices'!$C$7:$AL$7,0))</f>
        <v>16.5</v>
      </c>
      <c r="AX37" s="41">
        <f>INDEX('[1]End - Use Prices'!$C$6:$AL$89,MATCH($C37,'[1]End - Use Prices'!$A$6:$A$89,0)+MATCH($D37,'[1]End - Use Prices'!$B$9:$B$11,0)-1,MATCH(AX$1,'[1]End - Use Prices'!$C$7:$AL$7,0))</f>
        <v>16.57</v>
      </c>
      <c r="AY37" s="41">
        <f>INDEX('[1]End - Use Prices'!$C$6:$AL$89,MATCH($C37,'[1]End - Use Prices'!$A$6:$A$89,0)+MATCH($D37,'[1]End - Use Prices'!$B$9:$B$11,0)-1,MATCH(AY$1,'[1]End - Use Prices'!$C$7:$AL$7,0))</f>
        <v>16.649999999999999</v>
      </c>
      <c r="AZ37" s="41">
        <f>INDEX('[1]End - Use Prices'!$C$6:$AL$89,MATCH($C37,'[1]End - Use Prices'!$A$6:$A$89,0)+MATCH($D37,'[1]End - Use Prices'!$B$9:$B$11,0)-1,MATCH(AZ$1,'[1]End - Use Prices'!$C$7:$AL$7,0))</f>
        <v>16.739999999999998</v>
      </c>
      <c r="BA37" s="41">
        <f>INDEX('[1]End - Use Prices'!$C$6:$AL$89,MATCH($C37,'[1]End - Use Prices'!$A$6:$A$89,0)+MATCH($D37,'[1]End - Use Prices'!$B$9:$B$11,0)-1,MATCH(BA$1,'[1]End - Use Prices'!$C$7:$AL$7,0))</f>
        <v>16.77</v>
      </c>
      <c r="BB37" s="41">
        <f>INDEX('[1]End - Use Prices'!$C$6:$AL$89,MATCH($C37,'[1]End - Use Prices'!$A$6:$A$89,0)+MATCH($D37,'[1]End - Use Prices'!$B$9:$B$11,0)-1,MATCH(BB$1,'[1]End - Use Prices'!$C$7:$AL$7,0))</f>
        <v>16.809999999999999</v>
      </c>
      <c r="BC37" s="41">
        <f>INDEX('[1]End - Use Prices'!$C$6:$AL$89,MATCH($C37,'[1]End - Use Prices'!$A$6:$A$89,0)+MATCH($D37,'[1]End - Use Prices'!$B$9:$B$11,0)-1,MATCH(BC$1,'[1]End - Use Prices'!$C$7:$AL$7,0))</f>
        <v>16.829999999999998</v>
      </c>
      <c r="BD37" s="41">
        <f>INDEX('[1]End - Use Prices'!$C$6:$AL$89,MATCH($C37,'[1]End - Use Prices'!$A$6:$A$89,0)+MATCH($D37,'[1]End - Use Prices'!$B$9:$B$11,0)-1,MATCH(BD$1,'[1]End - Use Prices'!$C$7:$AL$7,0))</f>
        <v>16.829999999999998</v>
      </c>
      <c r="BE37" s="41">
        <f>INDEX('[1]End - Use Prices'!$C$6:$AL$89,MATCH($C37,'[1]End - Use Prices'!$A$6:$A$89,0)+MATCH($D37,'[1]End - Use Prices'!$B$9:$B$11,0)-1,MATCH(BE$1,'[1]End - Use Prices'!$C$7:$AL$7,0))</f>
        <v>16.829999999999998</v>
      </c>
      <c r="BF37" s="41">
        <f>INDEX('[1]End - Use Prices'!$C$6:$AL$89,MATCH($C37,'[1]End - Use Prices'!$A$6:$A$89,0)+MATCH($D37,'[1]End - Use Prices'!$B$9:$B$11,0)-1,MATCH(BF$1,'[1]End - Use Prices'!$C$7:$AL$7,0))</f>
        <v>16.82</v>
      </c>
      <c r="BG37" s="41">
        <f>INDEX('[1]End - Use Prices'!$C$6:$AL$89,MATCH($C37,'[1]End - Use Prices'!$A$6:$A$89,0)+MATCH($D37,'[1]End - Use Prices'!$B$9:$B$11,0)-1,MATCH(BG$1,'[1]End - Use Prices'!$C$7:$AL$7,0))</f>
        <v>16.809999999999999</v>
      </c>
      <c r="BR37" s="39"/>
      <c r="BS37" s="39"/>
      <c r="BT37" s="39"/>
      <c r="BU37" s="39"/>
      <c r="BV37" s="39"/>
      <c r="BW37" s="39"/>
      <c r="BX37" s="39"/>
      <c r="BY37" s="39"/>
      <c r="BZ37" s="39"/>
      <c r="CA37" s="39"/>
    </row>
    <row r="38" spans="1:79" x14ac:dyDescent="0.25">
      <c r="A38" s="5"/>
      <c r="B38" s="3"/>
      <c r="C38" s="25" t="s">
        <v>92</v>
      </c>
      <c r="D38" s="25" t="s">
        <v>14</v>
      </c>
      <c r="E38" s="25" t="s">
        <v>313</v>
      </c>
      <c r="F38" s="74" t="s">
        <v>310</v>
      </c>
      <c r="G38" s="54">
        <f t="shared" si="8"/>
        <v>16.739999999999998</v>
      </c>
      <c r="H38" s="34">
        <f t="shared" si="26"/>
        <v>16.739999999999998</v>
      </c>
      <c r="I38" s="34">
        <f t="shared" si="26"/>
        <v>13.57</v>
      </c>
      <c r="J38" s="34">
        <f t="shared" si="26"/>
        <v>12.15</v>
      </c>
      <c r="K38" s="34">
        <f t="shared" si="26"/>
        <v>10.119999999999999</v>
      </c>
      <c r="L38" s="34">
        <f t="shared" si="26"/>
        <v>11.4</v>
      </c>
      <c r="M38" s="34">
        <f t="shared" si="26"/>
        <v>11.98</v>
      </c>
      <c r="N38" s="34">
        <f t="shared" si="26"/>
        <v>12.4</v>
      </c>
      <c r="O38" s="34">
        <f t="shared" si="26"/>
        <v>12.52</v>
      </c>
      <c r="P38" s="54">
        <f t="shared" ref="P38:Q38" si="31">O38</f>
        <v>12.52</v>
      </c>
      <c r="Q38" s="54">
        <f t="shared" si="31"/>
        <v>12.52</v>
      </c>
      <c r="R38" s="38"/>
      <c r="X38" s="41">
        <f>INDEX('[1]End - Use Prices'!$C$6:$AL$89,MATCH($C38,'[1]End - Use Prices'!$A$6:$A$89,0)+MATCH($D38,'[1]End - Use Prices'!$B$9:$B$11,0)-1,MATCH(X$1,'[1]End - Use Prices'!$C$7:$AL$7,0))</f>
        <v>16.739999999999998</v>
      </c>
      <c r="Y38" s="41">
        <f>INDEX('[1]End - Use Prices'!$C$6:$AL$89,MATCH($C38,'[1]End - Use Prices'!$A$6:$A$89,0)+MATCH($D38,'[1]End - Use Prices'!$B$9:$B$11,0)-1,MATCH(Y$1,'[1]End - Use Prices'!$C$7:$AL$7,0))</f>
        <v>17.82</v>
      </c>
      <c r="Z38" s="41">
        <f>INDEX('[1]End - Use Prices'!$C$6:$AL$89,MATCH($C38,'[1]End - Use Prices'!$A$6:$A$89,0)+MATCH($D38,'[1]End - Use Prices'!$B$9:$B$11,0)-1,MATCH(Z$1,'[1]End - Use Prices'!$C$7:$AL$7,0))</f>
        <v>16.100000000000001</v>
      </c>
      <c r="AA38" s="41">
        <f>INDEX('[1]End - Use Prices'!$C$6:$AL$89,MATCH($C38,'[1]End - Use Prices'!$A$6:$A$89,0)+MATCH($D38,'[1]End - Use Prices'!$B$9:$B$11,0)-1,MATCH(AA$1,'[1]End - Use Prices'!$C$7:$AL$7,0))</f>
        <v>16.25</v>
      </c>
      <c r="AB38" s="41">
        <f>INDEX('[1]End - Use Prices'!$C$6:$AL$89,MATCH($C38,'[1]End - Use Prices'!$A$6:$A$89,0)+MATCH($D38,'[1]End - Use Prices'!$B$9:$B$11,0)-1,MATCH(AB$1,'[1]End - Use Prices'!$C$7:$AL$7,0))</f>
        <v>13.76</v>
      </c>
      <c r="AC38" s="41">
        <f>INDEX('[1]End - Use Prices'!$C$6:$AL$89,MATCH($C38,'[1]End - Use Prices'!$A$6:$A$89,0)+MATCH($D38,'[1]End - Use Prices'!$B$9:$B$11,0)-1,MATCH(AC$1,'[1]End - Use Prices'!$C$7:$AL$7,0))</f>
        <v>13.57</v>
      </c>
      <c r="AD38" s="41">
        <f>INDEX('[1]End - Use Prices'!$C$6:$AL$89,MATCH($C38,'[1]End - Use Prices'!$A$6:$A$89,0)+MATCH($D38,'[1]End - Use Prices'!$B$9:$B$11,0)-1,MATCH(AD$1,'[1]End - Use Prices'!$C$7:$AL$7,0))</f>
        <v>11.83</v>
      </c>
      <c r="AE38" s="41">
        <f>INDEX('[1]End - Use Prices'!$C$6:$AL$89,MATCH($C38,'[1]End - Use Prices'!$A$6:$A$89,0)+MATCH($D38,'[1]End - Use Prices'!$B$9:$B$11,0)-1,MATCH(AE$1,'[1]End - Use Prices'!$C$7:$AL$7,0))</f>
        <v>11.22</v>
      </c>
      <c r="AF38" s="41">
        <f>INDEX('[1]End - Use Prices'!$C$6:$AL$89,MATCH($C38,'[1]End - Use Prices'!$A$6:$A$89,0)+MATCH($D38,'[1]End - Use Prices'!$B$9:$B$11,0)-1,MATCH(AF$1,'[1]End - Use Prices'!$C$7:$AL$7,0))</f>
        <v>11.17</v>
      </c>
      <c r="AG38" s="41">
        <f>INDEX('[1]End - Use Prices'!$C$6:$AL$89,MATCH($C38,'[1]End - Use Prices'!$A$6:$A$89,0)+MATCH($D38,'[1]End - Use Prices'!$B$9:$B$11,0)-1,MATCH(AG$1,'[1]End - Use Prices'!$C$7:$AL$7,0))</f>
        <v>12.03</v>
      </c>
      <c r="AH38" s="41">
        <f>INDEX('[1]End - Use Prices'!$C$6:$AL$89,MATCH($C38,'[1]End - Use Prices'!$A$6:$A$89,0)+MATCH($D38,'[1]End - Use Prices'!$B$9:$B$11,0)-1,MATCH(AH$1,'[1]End - Use Prices'!$C$7:$AL$7,0))</f>
        <v>12.15</v>
      </c>
      <c r="AI38" s="41">
        <f>INDEX('[1]End - Use Prices'!$C$6:$AL$89,MATCH($C38,'[1]End - Use Prices'!$A$6:$A$89,0)+MATCH($D38,'[1]End - Use Prices'!$B$9:$B$11,0)-1,MATCH(AI$1,'[1]End - Use Prices'!$C$7:$AL$7,0))</f>
        <v>9.42</v>
      </c>
      <c r="AJ38" s="41">
        <f>INDEX('[1]End - Use Prices'!$C$6:$AL$89,MATCH($C38,'[1]End - Use Prices'!$A$6:$A$89,0)+MATCH($D38,'[1]End - Use Prices'!$B$9:$B$11,0)-1,MATCH(AJ$1,'[1]End - Use Prices'!$C$7:$AL$7,0))</f>
        <v>13.49</v>
      </c>
      <c r="AK38" s="41">
        <f>INDEX('[1]End - Use Prices'!$C$6:$AL$89,MATCH($C38,'[1]End - Use Prices'!$A$6:$A$89,0)+MATCH($D38,'[1]End - Use Prices'!$B$9:$B$11,0)-1,MATCH(AK$1,'[1]End - Use Prices'!$C$7:$AL$7,0))</f>
        <v>10.95</v>
      </c>
      <c r="AL38" s="41">
        <f>INDEX('[1]End - Use Prices'!$C$6:$AL$89,MATCH($C38,'[1]End - Use Prices'!$A$6:$A$89,0)+MATCH($D38,'[1]End - Use Prices'!$B$9:$B$11,0)-1,MATCH(AL$1,'[1]End - Use Prices'!$C$7:$AL$7,0))</f>
        <v>10.029999999999999</v>
      </c>
      <c r="AM38" s="41">
        <f>INDEX('[1]End - Use Prices'!$C$6:$AL$89,MATCH($C38,'[1]End - Use Prices'!$A$6:$A$89,0)+MATCH($D38,'[1]End - Use Prices'!$B$9:$B$11,0)-1,MATCH(AM$1,'[1]End - Use Prices'!$C$7:$AL$7,0))</f>
        <v>10.119999999999999</v>
      </c>
      <c r="AN38" s="41">
        <f>INDEX('[1]End - Use Prices'!$C$6:$AL$89,MATCH($C38,'[1]End - Use Prices'!$A$6:$A$89,0)+MATCH($D38,'[1]End - Use Prices'!$B$9:$B$11,0)-1,MATCH(AN$1,'[1]End - Use Prices'!$C$7:$AL$7,0))</f>
        <v>10.4</v>
      </c>
      <c r="AO38" s="41">
        <f>INDEX('[1]End - Use Prices'!$C$6:$AL$89,MATCH($C38,'[1]End - Use Prices'!$A$6:$A$89,0)+MATCH($D38,'[1]End - Use Prices'!$B$9:$B$11,0)-1,MATCH(AO$1,'[1]End - Use Prices'!$C$7:$AL$7,0))</f>
        <v>10.68</v>
      </c>
      <c r="AP38" s="41">
        <f>INDEX('[1]End - Use Prices'!$C$6:$AL$89,MATCH($C38,'[1]End - Use Prices'!$A$6:$A$89,0)+MATCH($D38,'[1]End - Use Prices'!$B$9:$B$11,0)-1,MATCH(AP$1,'[1]End - Use Prices'!$C$7:$AL$7,0))</f>
        <v>10.91</v>
      </c>
      <c r="AQ38" s="41">
        <f>INDEX('[1]End - Use Prices'!$C$6:$AL$89,MATCH($C38,'[1]End - Use Prices'!$A$6:$A$89,0)+MATCH($D38,'[1]End - Use Prices'!$B$9:$B$11,0)-1,MATCH(AQ$1,'[1]End - Use Prices'!$C$7:$AL$7,0))</f>
        <v>11.15</v>
      </c>
      <c r="AR38" s="41">
        <f>INDEX('[1]End - Use Prices'!$C$6:$AL$89,MATCH($C38,'[1]End - Use Prices'!$A$6:$A$89,0)+MATCH($D38,'[1]End - Use Prices'!$B$9:$B$11,0)-1,MATCH(AR$1,'[1]End - Use Prices'!$C$7:$AL$7,0))</f>
        <v>11.4</v>
      </c>
      <c r="AS38" s="41">
        <f>INDEX('[1]End - Use Prices'!$C$6:$AL$89,MATCH($C38,'[1]End - Use Prices'!$A$6:$A$89,0)+MATCH($D38,'[1]End - Use Prices'!$B$9:$B$11,0)-1,MATCH(AS$1,'[1]End - Use Prices'!$C$7:$AL$7,0))</f>
        <v>11.72</v>
      </c>
      <c r="AT38" s="41">
        <f>INDEX('[1]End - Use Prices'!$C$6:$AL$89,MATCH($C38,'[1]End - Use Prices'!$A$6:$A$89,0)+MATCH($D38,'[1]End - Use Prices'!$B$9:$B$11,0)-1,MATCH(AT$1,'[1]End - Use Prices'!$C$7:$AL$7,0))</f>
        <v>11.76</v>
      </c>
      <c r="AU38" s="41">
        <f>INDEX('[1]End - Use Prices'!$C$6:$AL$89,MATCH($C38,'[1]End - Use Prices'!$A$6:$A$89,0)+MATCH($D38,'[1]End - Use Prices'!$B$9:$B$11,0)-1,MATCH(AU$1,'[1]End - Use Prices'!$C$7:$AL$7,0))</f>
        <v>11.83</v>
      </c>
      <c r="AV38" s="41">
        <f>INDEX('[1]End - Use Prices'!$C$6:$AL$89,MATCH($C38,'[1]End - Use Prices'!$A$6:$A$89,0)+MATCH($D38,'[1]End - Use Prices'!$B$9:$B$11,0)-1,MATCH(AV$1,'[1]End - Use Prices'!$C$7:$AL$7,0))</f>
        <v>11.91</v>
      </c>
      <c r="AW38" s="41">
        <f>INDEX('[1]End - Use Prices'!$C$6:$AL$89,MATCH($C38,'[1]End - Use Prices'!$A$6:$A$89,0)+MATCH($D38,'[1]End - Use Prices'!$B$9:$B$11,0)-1,MATCH(AW$1,'[1]End - Use Prices'!$C$7:$AL$7,0))</f>
        <v>11.98</v>
      </c>
      <c r="AX38" s="41">
        <f>INDEX('[1]End - Use Prices'!$C$6:$AL$89,MATCH($C38,'[1]End - Use Prices'!$A$6:$A$89,0)+MATCH($D38,'[1]End - Use Prices'!$B$9:$B$11,0)-1,MATCH(AX$1,'[1]End - Use Prices'!$C$7:$AL$7,0))</f>
        <v>12.07</v>
      </c>
      <c r="AY38" s="41">
        <f>INDEX('[1]End - Use Prices'!$C$6:$AL$89,MATCH($C38,'[1]End - Use Prices'!$A$6:$A$89,0)+MATCH($D38,'[1]End - Use Prices'!$B$9:$B$11,0)-1,MATCH(AY$1,'[1]End - Use Prices'!$C$7:$AL$7,0))</f>
        <v>12.18</v>
      </c>
      <c r="AZ38" s="41">
        <f>INDEX('[1]End - Use Prices'!$C$6:$AL$89,MATCH($C38,'[1]End - Use Prices'!$A$6:$A$89,0)+MATCH($D38,'[1]End - Use Prices'!$B$9:$B$11,0)-1,MATCH(AZ$1,'[1]End - Use Prices'!$C$7:$AL$7,0))</f>
        <v>12.29</v>
      </c>
      <c r="BA38" s="41">
        <f>INDEX('[1]End - Use Prices'!$C$6:$AL$89,MATCH($C38,'[1]End - Use Prices'!$A$6:$A$89,0)+MATCH($D38,'[1]End - Use Prices'!$B$9:$B$11,0)-1,MATCH(BA$1,'[1]End - Use Prices'!$C$7:$AL$7,0))</f>
        <v>12.35</v>
      </c>
      <c r="BB38" s="41">
        <f>INDEX('[1]End - Use Prices'!$C$6:$AL$89,MATCH($C38,'[1]End - Use Prices'!$A$6:$A$89,0)+MATCH($D38,'[1]End - Use Prices'!$B$9:$B$11,0)-1,MATCH(BB$1,'[1]End - Use Prices'!$C$7:$AL$7,0))</f>
        <v>12.4</v>
      </c>
      <c r="BC38" s="41">
        <f>INDEX('[1]End - Use Prices'!$C$6:$AL$89,MATCH($C38,'[1]End - Use Prices'!$A$6:$A$89,0)+MATCH($D38,'[1]End - Use Prices'!$B$9:$B$11,0)-1,MATCH(BC$1,'[1]End - Use Prices'!$C$7:$AL$7,0))</f>
        <v>12.45</v>
      </c>
      <c r="BD38" s="41">
        <f>INDEX('[1]End - Use Prices'!$C$6:$AL$89,MATCH($C38,'[1]End - Use Prices'!$A$6:$A$89,0)+MATCH($D38,'[1]End - Use Prices'!$B$9:$B$11,0)-1,MATCH(BD$1,'[1]End - Use Prices'!$C$7:$AL$7,0))</f>
        <v>12.48</v>
      </c>
      <c r="BE38" s="41">
        <f>INDEX('[1]End - Use Prices'!$C$6:$AL$89,MATCH($C38,'[1]End - Use Prices'!$A$6:$A$89,0)+MATCH($D38,'[1]End - Use Prices'!$B$9:$B$11,0)-1,MATCH(BE$1,'[1]End - Use Prices'!$C$7:$AL$7,0))</f>
        <v>12.49</v>
      </c>
      <c r="BF38" s="41">
        <f>INDEX('[1]End - Use Prices'!$C$6:$AL$89,MATCH($C38,'[1]End - Use Prices'!$A$6:$A$89,0)+MATCH($D38,'[1]End - Use Prices'!$B$9:$B$11,0)-1,MATCH(BF$1,'[1]End - Use Prices'!$C$7:$AL$7,0))</f>
        <v>12.51</v>
      </c>
      <c r="BG38" s="41">
        <f>INDEX('[1]End - Use Prices'!$C$6:$AL$89,MATCH($C38,'[1]End - Use Prices'!$A$6:$A$89,0)+MATCH($D38,'[1]End - Use Prices'!$B$9:$B$11,0)-1,MATCH(BG$1,'[1]End - Use Prices'!$C$7:$AL$7,0))</f>
        <v>12.52</v>
      </c>
      <c r="BR38" s="39"/>
      <c r="BS38" s="39"/>
      <c r="BT38" s="39"/>
      <c r="BU38" s="39"/>
      <c r="BV38" s="39"/>
      <c r="BW38" s="39"/>
      <c r="BX38" s="39"/>
      <c r="BY38" s="39"/>
      <c r="BZ38" s="39"/>
      <c r="CA38" s="39"/>
    </row>
    <row r="39" spans="1:79" x14ac:dyDescent="0.25">
      <c r="A39" s="5"/>
      <c r="B39" s="3"/>
      <c r="C39" s="25" t="s">
        <v>93</v>
      </c>
      <c r="D39" s="25" t="s">
        <v>14</v>
      </c>
      <c r="E39" s="25" t="s">
        <v>313</v>
      </c>
      <c r="F39" s="74" t="s">
        <v>310</v>
      </c>
      <c r="G39" s="54">
        <f t="shared" si="8"/>
        <v>16.21</v>
      </c>
      <c r="H39" s="34">
        <f t="shared" si="26"/>
        <v>16.21</v>
      </c>
      <c r="I39" s="34">
        <f t="shared" si="26"/>
        <v>11.7</v>
      </c>
      <c r="J39" s="34">
        <f t="shared" si="26"/>
        <v>11.47</v>
      </c>
      <c r="K39" s="34">
        <f t="shared" si="26"/>
        <v>10.53</v>
      </c>
      <c r="L39" s="34">
        <f t="shared" si="26"/>
        <v>11.81</v>
      </c>
      <c r="M39" s="34">
        <f t="shared" si="26"/>
        <v>12.43</v>
      </c>
      <c r="N39" s="34">
        <f t="shared" si="26"/>
        <v>13.03</v>
      </c>
      <c r="O39" s="34">
        <f t="shared" si="26"/>
        <v>13.31</v>
      </c>
      <c r="P39" s="54">
        <f t="shared" ref="P39:Q39" si="32">O39</f>
        <v>13.31</v>
      </c>
      <c r="Q39" s="54">
        <f t="shared" si="32"/>
        <v>13.31</v>
      </c>
      <c r="R39" s="38"/>
      <c r="X39" s="41">
        <f>INDEX('[1]End - Use Prices'!$C$6:$AL$89,MATCH($C39,'[1]End - Use Prices'!$A$6:$A$89,0)+MATCH($D39,'[1]End - Use Prices'!$B$9:$B$11,0)-1,MATCH(X$1,'[1]End - Use Prices'!$C$7:$AL$7,0))</f>
        <v>16.21</v>
      </c>
      <c r="Y39" s="41">
        <f>INDEX('[1]End - Use Prices'!$C$6:$AL$89,MATCH($C39,'[1]End - Use Prices'!$A$6:$A$89,0)+MATCH($D39,'[1]End - Use Prices'!$B$9:$B$11,0)-1,MATCH(Y$1,'[1]End - Use Prices'!$C$7:$AL$7,0))</f>
        <v>15.41</v>
      </c>
      <c r="Z39" s="41">
        <f>INDEX('[1]End - Use Prices'!$C$6:$AL$89,MATCH($C39,'[1]End - Use Prices'!$A$6:$A$89,0)+MATCH($D39,'[1]End - Use Prices'!$B$9:$B$11,0)-1,MATCH(Z$1,'[1]End - Use Prices'!$C$7:$AL$7,0))</f>
        <v>14.81</v>
      </c>
      <c r="AA39" s="41">
        <f>INDEX('[1]End - Use Prices'!$C$6:$AL$89,MATCH($C39,'[1]End - Use Prices'!$A$6:$A$89,0)+MATCH($D39,'[1]End - Use Prices'!$B$9:$B$11,0)-1,MATCH(AA$1,'[1]End - Use Prices'!$C$7:$AL$7,0))</f>
        <v>14.53</v>
      </c>
      <c r="AB39" s="41">
        <f>INDEX('[1]End - Use Prices'!$C$6:$AL$89,MATCH($C39,'[1]End - Use Prices'!$A$6:$A$89,0)+MATCH($D39,'[1]End - Use Prices'!$B$9:$B$11,0)-1,MATCH(AB$1,'[1]End - Use Prices'!$C$7:$AL$7,0))</f>
        <v>14.23</v>
      </c>
      <c r="AC39" s="41">
        <f>INDEX('[1]End - Use Prices'!$C$6:$AL$89,MATCH($C39,'[1]End - Use Prices'!$A$6:$A$89,0)+MATCH($D39,'[1]End - Use Prices'!$B$9:$B$11,0)-1,MATCH(AC$1,'[1]End - Use Prices'!$C$7:$AL$7,0))</f>
        <v>11.7</v>
      </c>
      <c r="AD39" s="41">
        <f>INDEX('[1]End - Use Prices'!$C$6:$AL$89,MATCH($C39,'[1]End - Use Prices'!$A$6:$A$89,0)+MATCH($D39,'[1]End - Use Prices'!$B$9:$B$11,0)-1,MATCH(AD$1,'[1]End - Use Prices'!$C$7:$AL$7,0))</f>
        <v>11.6</v>
      </c>
      <c r="AE39" s="41">
        <f>INDEX('[1]End - Use Prices'!$C$6:$AL$89,MATCH($C39,'[1]End - Use Prices'!$A$6:$A$89,0)+MATCH($D39,'[1]End - Use Prices'!$B$9:$B$11,0)-1,MATCH(AE$1,'[1]End - Use Prices'!$C$7:$AL$7,0))</f>
        <v>10.07</v>
      </c>
      <c r="AF39" s="41">
        <f>INDEX('[1]End - Use Prices'!$C$6:$AL$89,MATCH($C39,'[1]End - Use Prices'!$A$6:$A$89,0)+MATCH($D39,'[1]End - Use Prices'!$B$9:$B$11,0)-1,MATCH(AF$1,'[1]End - Use Prices'!$C$7:$AL$7,0))</f>
        <v>10.41</v>
      </c>
      <c r="AG39" s="41">
        <f>INDEX('[1]End - Use Prices'!$C$6:$AL$89,MATCH($C39,'[1]End - Use Prices'!$A$6:$A$89,0)+MATCH($D39,'[1]End - Use Prices'!$B$9:$B$11,0)-1,MATCH(AG$1,'[1]End - Use Prices'!$C$7:$AL$7,0))</f>
        <v>10.98</v>
      </c>
      <c r="AH39" s="41">
        <f>INDEX('[1]End - Use Prices'!$C$6:$AL$89,MATCH($C39,'[1]End - Use Prices'!$A$6:$A$89,0)+MATCH($D39,'[1]End - Use Prices'!$B$9:$B$11,0)-1,MATCH(AH$1,'[1]End - Use Prices'!$C$7:$AL$7,0))</f>
        <v>11.47</v>
      </c>
      <c r="AI39" s="41">
        <f>INDEX('[1]End - Use Prices'!$C$6:$AL$89,MATCH($C39,'[1]End - Use Prices'!$A$6:$A$89,0)+MATCH($D39,'[1]End - Use Prices'!$B$9:$B$11,0)-1,MATCH(AI$1,'[1]End - Use Prices'!$C$7:$AL$7,0))</f>
        <v>9.65</v>
      </c>
      <c r="AJ39" s="41">
        <f>INDEX('[1]End - Use Prices'!$C$6:$AL$89,MATCH($C39,'[1]End - Use Prices'!$A$6:$A$89,0)+MATCH($D39,'[1]End - Use Prices'!$B$9:$B$11,0)-1,MATCH(AJ$1,'[1]End - Use Prices'!$C$7:$AL$7,0))</f>
        <v>9.7100000000000009</v>
      </c>
      <c r="AK39" s="41">
        <f>INDEX('[1]End - Use Prices'!$C$6:$AL$89,MATCH($C39,'[1]End - Use Prices'!$A$6:$A$89,0)+MATCH($D39,'[1]End - Use Prices'!$B$9:$B$11,0)-1,MATCH(AK$1,'[1]End - Use Prices'!$C$7:$AL$7,0))</f>
        <v>9.6300000000000008</v>
      </c>
      <c r="AL39" s="41">
        <f>INDEX('[1]End - Use Prices'!$C$6:$AL$89,MATCH($C39,'[1]End - Use Prices'!$A$6:$A$89,0)+MATCH($D39,'[1]End - Use Prices'!$B$9:$B$11,0)-1,MATCH(AL$1,'[1]End - Use Prices'!$C$7:$AL$7,0))</f>
        <v>9.6199999999999992</v>
      </c>
      <c r="AM39" s="41">
        <f>INDEX('[1]End - Use Prices'!$C$6:$AL$89,MATCH($C39,'[1]End - Use Prices'!$A$6:$A$89,0)+MATCH($D39,'[1]End - Use Prices'!$B$9:$B$11,0)-1,MATCH(AM$1,'[1]End - Use Prices'!$C$7:$AL$7,0))</f>
        <v>10.53</v>
      </c>
      <c r="AN39" s="41">
        <f>INDEX('[1]End - Use Prices'!$C$6:$AL$89,MATCH($C39,'[1]End - Use Prices'!$A$6:$A$89,0)+MATCH($D39,'[1]End - Use Prices'!$B$9:$B$11,0)-1,MATCH(AN$1,'[1]End - Use Prices'!$C$7:$AL$7,0))</f>
        <v>10.96</v>
      </c>
      <c r="AO39" s="41">
        <f>INDEX('[1]End - Use Prices'!$C$6:$AL$89,MATCH($C39,'[1]End - Use Prices'!$A$6:$A$89,0)+MATCH($D39,'[1]End - Use Prices'!$B$9:$B$11,0)-1,MATCH(AO$1,'[1]End - Use Prices'!$C$7:$AL$7,0))</f>
        <v>11.37</v>
      </c>
      <c r="AP39" s="41">
        <f>INDEX('[1]End - Use Prices'!$C$6:$AL$89,MATCH($C39,'[1]End - Use Prices'!$A$6:$A$89,0)+MATCH($D39,'[1]End - Use Prices'!$B$9:$B$11,0)-1,MATCH(AP$1,'[1]End - Use Prices'!$C$7:$AL$7,0))</f>
        <v>11.74</v>
      </c>
      <c r="AQ39" s="41">
        <f>INDEX('[1]End - Use Prices'!$C$6:$AL$89,MATCH($C39,'[1]End - Use Prices'!$A$6:$A$89,0)+MATCH($D39,'[1]End - Use Prices'!$B$9:$B$11,0)-1,MATCH(AQ$1,'[1]End - Use Prices'!$C$7:$AL$7,0))</f>
        <v>11.76</v>
      </c>
      <c r="AR39" s="41">
        <f>INDEX('[1]End - Use Prices'!$C$6:$AL$89,MATCH($C39,'[1]End - Use Prices'!$A$6:$A$89,0)+MATCH($D39,'[1]End - Use Prices'!$B$9:$B$11,0)-1,MATCH(AR$1,'[1]End - Use Prices'!$C$7:$AL$7,0))</f>
        <v>11.81</v>
      </c>
      <c r="AS39" s="41">
        <f>INDEX('[1]End - Use Prices'!$C$6:$AL$89,MATCH($C39,'[1]End - Use Prices'!$A$6:$A$89,0)+MATCH($D39,'[1]End - Use Prices'!$B$9:$B$11,0)-1,MATCH(AS$1,'[1]End - Use Prices'!$C$7:$AL$7,0))</f>
        <v>11.93</v>
      </c>
      <c r="AT39" s="41">
        <f>INDEX('[1]End - Use Prices'!$C$6:$AL$89,MATCH($C39,'[1]End - Use Prices'!$A$6:$A$89,0)+MATCH($D39,'[1]End - Use Prices'!$B$9:$B$11,0)-1,MATCH(AT$1,'[1]End - Use Prices'!$C$7:$AL$7,0))</f>
        <v>12.04</v>
      </c>
      <c r="AU39" s="41">
        <f>INDEX('[1]End - Use Prices'!$C$6:$AL$89,MATCH($C39,'[1]End - Use Prices'!$A$6:$A$89,0)+MATCH($D39,'[1]End - Use Prices'!$B$9:$B$11,0)-1,MATCH(AU$1,'[1]End - Use Prices'!$C$7:$AL$7,0))</f>
        <v>12.16</v>
      </c>
      <c r="AV39" s="41">
        <f>INDEX('[1]End - Use Prices'!$C$6:$AL$89,MATCH($C39,'[1]End - Use Prices'!$A$6:$A$89,0)+MATCH($D39,'[1]End - Use Prices'!$B$9:$B$11,0)-1,MATCH(AV$1,'[1]End - Use Prices'!$C$7:$AL$7,0))</f>
        <v>12.3</v>
      </c>
      <c r="AW39" s="41">
        <f>INDEX('[1]End - Use Prices'!$C$6:$AL$89,MATCH($C39,'[1]End - Use Prices'!$A$6:$A$89,0)+MATCH($D39,'[1]End - Use Prices'!$B$9:$B$11,0)-1,MATCH(AW$1,'[1]End - Use Prices'!$C$7:$AL$7,0))</f>
        <v>12.43</v>
      </c>
      <c r="AX39" s="41">
        <f>INDEX('[1]End - Use Prices'!$C$6:$AL$89,MATCH($C39,'[1]End - Use Prices'!$A$6:$A$89,0)+MATCH($D39,'[1]End - Use Prices'!$B$9:$B$11,0)-1,MATCH(AX$1,'[1]End - Use Prices'!$C$7:$AL$7,0))</f>
        <v>12.56</v>
      </c>
      <c r="AY39" s="41">
        <f>INDEX('[1]End - Use Prices'!$C$6:$AL$89,MATCH($C39,'[1]End - Use Prices'!$A$6:$A$89,0)+MATCH($D39,'[1]End - Use Prices'!$B$9:$B$11,0)-1,MATCH(AY$1,'[1]End - Use Prices'!$C$7:$AL$7,0))</f>
        <v>12.7</v>
      </c>
      <c r="AZ39" s="41">
        <f>INDEX('[1]End - Use Prices'!$C$6:$AL$89,MATCH($C39,'[1]End - Use Prices'!$A$6:$A$89,0)+MATCH($D39,'[1]End - Use Prices'!$B$9:$B$11,0)-1,MATCH(AZ$1,'[1]End - Use Prices'!$C$7:$AL$7,0))</f>
        <v>12.86</v>
      </c>
      <c r="BA39" s="41">
        <f>INDEX('[1]End - Use Prices'!$C$6:$AL$89,MATCH($C39,'[1]End - Use Prices'!$A$6:$A$89,0)+MATCH($D39,'[1]End - Use Prices'!$B$9:$B$11,0)-1,MATCH(BA$1,'[1]End - Use Prices'!$C$7:$AL$7,0))</f>
        <v>12.95</v>
      </c>
      <c r="BB39" s="41">
        <f>INDEX('[1]End - Use Prices'!$C$6:$AL$89,MATCH($C39,'[1]End - Use Prices'!$A$6:$A$89,0)+MATCH($D39,'[1]End - Use Prices'!$B$9:$B$11,0)-1,MATCH(BB$1,'[1]End - Use Prices'!$C$7:$AL$7,0))</f>
        <v>13.03</v>
      </c>
      <c r="BC39" s="41">
        <f>INDEX('[1]End - Use Prices'!$C$6:$AL$89,MATCH($C39,'[1]End - Use Prices'!$A$6:$A$89,0)+MATCH($D39,'[1]End - Use Prices'!$B$9:$B$11,0)-1,MATCH(BC$1,'[1]End - Use Prices'!$C$7:$AL$7,0))</f>
        <v>13.11</v>
      </c>
      <c r="BD39" s="41">
        <f>INDEX('[1]End - Use Prices'!$C$6:$AL$89,MATCH($C39,'[1]End - Use Prices'!$A$6:$A$89,0)+MATCH($D39,'[1]End - Use Prices'!$B$9:$B$11,0)-1,MATCH(BD$1,'[1]End - Use Prices'!$C$7:$AL$7,0))</f>
        <v>13.17</v>
      </c>
      <c r="BE39" s="41">
        <f>INDEX('[1]End - Use Prices'!$C$6:$AL$89,MATCH($C39,'[1]End - Use Prices'!$A$6:$A$89,0)+MATCH($D39,'[1]End - Use Prices'!$B$9:$B$11,0)-1,MATCH(BE$1,'[1]End - Use Prices'!$C$7:$AL$7,0))</f>
        <v>13.22</v>
      </c>
      <c r="BF39" s="41">
        <f>INDEX('[1]End - Use Prices'!$C$6:$AL$89,MATCH($C39,'[1]End - Use Prices'!$A$6:$A$89,0)+MATCH($D39,'[1]End - Use Prices'!$B$9:$B$11,0)-1,MATCH(BF$1,'[1]End - Use Prices'!$C$7:$AL$7,0))</f>
        <v>13.27</v>
      </c>
      <c r="BG39" s="41">
        <f>INDEX('[1]End - Use Prices'!$C$6:$AL$89,MATCH($C39,'[1]End - Use Prices'!$A$6:$A$89,0)+MATCH($D39,'[1]End - Use Prices'!$B$9:$B$11,0)-1,MATCH(BG$1,'[1]End - Use Prices'!$C$7:$AL$7,0))</f>
        <v>13.31</v>
      </c>
      <c r="BR39" s="39"/>
      <c r="BS39" s="39"/>
      <c r="BT39" s="39"/>
      <c r="BU39" s="39"/>
      <c r="BV39" s="39"/>
      <c r="BW39" s="39"/>
      <c r="BX39" s="39"/>
      <c r="BY39" s="39"/>
      <c r="BZ39" s="39"/>
      <c r="CA39" s="39"/>
    </row>
    <row r="40" spans="1:79" x14ac:dyDescent="0.25">
      <c r="A40" s="5"/>
      <c r="B40" s="3"/>
      <c r="C40" s="25" t="s">
        <v>94</v>
      </c>
      <c r="D40" s="25" t="s">
        <v>14</v>
      </c>
      <c r="E40" s="25" t="s">
        <v>313</v>
      </c>
      <c r="F40" s="74" t="s">
        <v>310</v>
      </c>
      <c r="G40" s="54">
        <f t="shared" si="8"/>
        <v>14.11</v>
      </c>
      <c r="H40" s="34">
        <f t="shared" si="26"/>
        <v>14.11</v>
      </c>
      <c r="I40" s="34">
        <f t="shared" si="26"/>
        <v>12.28</v>
      </c>
      <c r="J40" s="34">
        <f t="shared" si="26"/>
        <v>11.81</v>
      </c>
      <c r="K40" s="34">
        <f t="shared" si="26"/>
        <v>8.3000000000000007</v>
      </c>
      <c r="L40" s="34">
        <f t="shared" si="26"/>
        <v>9.42</v>
      </c>
      <c r="M40" s="34">
        <f t="shared" si="26"/>
        <v>9.6199999999999992</v>
      </c>
      <c r="N40" s="34">
        <f t="shared" si="26"/>
        <v>9.9</v>
      </c>
      <c r="O40" s="34">
        <f t="shared" si="26"/>
        <v>9.9499999999999993</v>
      </c>
      <c r="P40" s="54">
        <f t="shared" ref="P40:Q40" si="33">O40</f>
        <v>9.9499999999999993</v>
      </c>
      <c r="Q40" s="54">
        <f t="shared" si="33"/>
        <v>9.9499999999999993</v>
      </c>
      <c r="R40" s="38"/>
      <c r="X40" s="41">
        <f>INDEX('[1]End - Use Prices'!$C$6:$AL$89,MATCH($C40,'[1]End - Use Prices'!$A$6:$A$89,0)+MATCH($D40,'[1]End - Use Prices'!$B$9:$B$11,0)-1,MATCH(X$1,'[1]End - Use Prices'!$C$7:$AL$7,0))</f>
        <v>14.11</v>
      </c>
      <c r="Y40" s="41">
        <f>INDEX('[1]End - Use Prices'!$C$6:$AL$89,MATCH($C40,'[1]End - Use Prices'!$A$6:$A$89,0)+MATCH($D40,'[1]End - Use Prices'!$B$9:$B$11,0)-1,MATCH(Y$1,'[1]End - Use Prices'!$C$7:$AL$7,0))</f>
        <v>13.96</v>
      </c>
      <c r="Z40" s="41">
        <f>INDEX('[1]End - Use Prices'!$C$6:$AL$89,MATCH($C40,'[1]End - Use Prices'!$A$6:$A$89,0)+MATCH($D40,'[1]End - Use Prices'!$B$9:$B$11,0)-1,MATCH(Z$1,'[1]End - Use Prices'!$C$7:$AL$7,0))</f>
        <v>13.58</v>
      </c>
      <c r="AA40" s="41">
        <f>INDEX('[1]End - Use Prices'!$C$6:$AL$89,MATCH($C40,'[1]End - Use Prices'!$A$6:$A$89,0)+MATCH($D40,'[1]End - Use Prices'!$B$9:$B$11,0)-1,MATCH(AA$1,'[1]End - Use Prices'!$C$7:$AL$7,0))</f>
        <v>12.3</v>
      </c>
      <c r="AB40" s="41">
        <f>INDEX('[1]End - Use Prices'!$C$6:$AL$89,MATCH($C40,'[1]End - Use Prices'!$A$6:$A$89,0)+MATCH($D40,'[1]End - Use Prices'!$B$9:$B$11,0)-1,MATCH(AB$1,'[1]End - Use Prices'!$C$7:$AL$7,0))</f>
        <v>14.1</v>
      </c>
      <c r="AC40" s="41">
        <f>INDEX('[1]End - Use Prices'!$C$6:$AL$89,MATCH($C40,'[1]End - Use Prices'!$A$6:$A$89,0)+MATCH($D40,'[1]End - Use Prices'!$B$9:$B$11,0)-1,MATCH(AC$1,'[1]End - Use Prices'!$C$7:$AL$7,0))</f>
        <v>12.28</v>
      </c>
      <c r="AD40" s="41">
        <f>INDEX('[1]End - Use Prices'!$C$6:$AL$89,MATCH($C40,'[1]End - Use Prices'!$A$6:$A$89,0)+MATCH($D40,'[1]End - Use Prices'!$B$9:$B$11,0)-1,MATCH(AD$1,'[1]End - Use Prices'!$C$7:$AL$7,0))</f>
        <v>11.25</v>
      </c>
      <c r="AE40" s="41">
        <f>INDEX('[1]End - Use Prices'!$C$6:$AL$89,MATCH($C40,'[1]End - Use Prices'!$A$6:$A$89,0)+MATCH($D40,'[1]End - Use Prices'!$B$9:$B$11,0)-1,MATCH(AE$1,'[1]End - Use Prices'!$C$7:$AL$7,0))</f>
        <v>10.93</v>
      </c>
      <c r="AF40" s="41">
        <f>INDEX('[1]End - Use Prices'!$C$6:$AL$89,MATCH($C40,'[1]End - Use Prices'!$A$6:$A$89,0)+MATCH($D40,'[1]End - Use Prices'!$B$9:$B$11,0)-1,MATCH(AF$1,'[1]End - Use Prices'!$C$7:$AL$7,0))</f>
        <v>10.61</v>
      </c>
      <c r="AG40" s="41">
        <f>INDEX('[1]End - Use Prices'!$C$6:$AL$89,MATCH($C40,'[1]End - Use Prices'!$A$6:$A$89,0)+MATCH($D40,'[1]End - Use Prices'!$B$9:$B$11,0)-1,MATCH(AG$1,'[1]End - Use Prices'!$C$7:$AL$7,0))</f>
        <v>9.19</v>
      </c>
      <c r="AH40" s="41">
        <f>INDEX('[1]End - Use Prices'!$C$6:$AL$89,MATCH($C40,'[1]End - Use Prices'!$A$6:$A$89,0)+MATCH($D40,'[1]End - Use Prices'!$B$9:$B$11,0)-1,MATCH(AH$1,'[1]End - Use Prices'!$C$7:$AL$7,0))</f>
        <v>11.81</v>
      </c>
      <c r="AI40" s="41">
        <f>INDEX('[1]End - Use Prices'!$C$6:$AL$89,MATCH($C40,'[1]End - Use Prices'!$A$6:$A$89,0)+MATCH($D40,'[1]End - Use Prices'!$B$9:$B$11,0)-1,MATCH(AI$1,'[1]End - Use Prices'!$C$7:$AL$7,0))</f>
        <v>8.8000000000000007</v>
      </c>
      <c r="AJ40" s="41">
        <f>INDEX('[1]End - Use Prices'!$C$6:$AL$89,MATCH($C40,'[1]End - Use Prices'!$A$6:$A$89,0)+MATCH($D40,'[1]End - Use Prices'!$B$9:$B$11,0)-1,MATCH(AJ$1,'[1]End - Use Prices'!$C$7:$AL$7,0))</f>
        <v>7.48</v>
      </c>
      <c r="AK40" s="41">
        <f>INDEX('[1]End - Use Prices'!$C$6:$AL$89,MATCH($C40,'[1]End - Use Prices'!$A$6:$A$89,0)+MATCH($D40,'[1]End - Use Prices'!$B$9:$B$11,0)-1,MATCH(AK$1,'[1]End - Use Prices'!$C$7:$AL$7,0))</f>
        <v>7.4</v>
      </c>
      <c r="AL40" s="41">
        <f>INDEX('[1]End - Use Prices'!$C$6:$AL$89,MATCH($C40,'[1]End - Use Prices'!$A$6:$A$89,0)+MATCH($D40,'[1]End - Use Prices'!$B$9:$B$11,0)-1,MATCH(AL$1,'[1]End - Use Prices'!$C$7:$AL$7,0))</f>
        <v>7.39</v>
      </c>
      <c r="AM40" s="41">
        <f>INDEX('[1]End - Use Prices'!$C$6:$AL$89,MATCH($C40,'[1]End - Use Prices'!$A$6:$A$89,0)+MATCH($D40,'[1]End - Use Prices'!$B$9:$B$11,0)-1,MATCH(AM$1,'[1]End - Use Prices'!$C$7:$AL$7,0))</f>
        <v>8.3000000000000007</v>
      </c>
      <c r="AN40" s="41">
        <f>INDEX('[1]End - Use Prices'!$C$6:$AL$89,MATCH($C40,'[1]End - Use Prices'!$A$6:$A$89,0)+MATCH($D40,'[1]End - Use Prices'!$B$9:$B$11,0)-1,MATCH(AN$1,'[1]End - Use Prices'!$C$7:$AL$7,0))</f>
        <v>8.73</v>
      </c>
      <c r="AO40" s="41">
        <f>INDEX('[1]End - Use Prices'!$C$6:$AL$89,MATCH($C40,'[1]End - Use Prices'!$A$6:$A$89,0)+MATCH($D40,'[1]End - Use Prices'!$B$9:$B$11,0)-1,MATCH(AO$1,'[1]End - Use Prices'!$C$7:$AL$7,0))</f>
        <v>9.14</v>
      </c>
      <c r="AP40" s="41">
        <f>INDEX('[1]End - Use Prices'!$C$6:$AL$89,MATCH($C40,'[1]End - Use Prices'!$A$6:$A$89,0)+MATCH($D40,'[1]End - Use Prices'!$B$9:$B$11,0)-1,MATCH(AP$1,'[1]End - Use Prices'!$C$7:$AL$7,0))</f>
        <v>9.51</v>
      </c>
      <c r="AQ40" s="41">
        <f>INDEX('[1]End - Use Prices'!$C$6:$AL$89,MATCH($C40,'[1]End - Use Prices'!$A$6:$A$89,0)+MATCH($D40,'[1]End - Use Prices'!$B$9:$B$11,0)-1,MATCH(AQ$1,'[1]End - Use Prices'!$C$7:$AL$7,0))</f>
        <v>9.4499999999999993</v>
      </c>
      <c r="AR40" s="41">
        <f>INDEX('[1]End - Use Prices'!$C$6:$AL$89,MATCH($C40,'[1]End - Use Prices'!$A$6:$A$89,0)+MATCH($D40,'[1]End - Use Prices'!$B$9:$B$11,0)-1,MATCH(AR$1,'[1]End - Use Prices'!$C$7:$AL$7,0))</f>
        <v>9.42</v>
      </c>
      <c r="AS40" s="41">
        <f>INDEX('[1]End - Use Prices'!$C$6:$AL$89,MATCH($C40,'[1]End - Use Prices'!$A$6:$A$89,0)+MATCH($D40,'[1]End - Use Prices'!$B$9:$B$11,0)-1,MATCH(AS$1,'[1]End - Use Prices'!$C$7:$AL$7,0))</f>
        <v>9.4600000000000009</v>
      </c>
      <c r="AT40" s="41">
        <f>INDEX('[1]End - Use Prices'!$C$6:$AL$89,MATCH($C40,'[1]End - Use Prices'!$A$6:$A$89,0)+MATCH($D40,'[1]End - Use Prices'!$B$9:$B$11,0)-1,MATCH(AT$1,'[1]End - Use Prices'!$C$7:$AL$7,0))</f>
        <v>9.48</v>
      </c>
      <c r="AU40" s="41">
        <f>INDEX('[1]End - Use Prices'!$C$6:$AL$89,MATCH($C40,'[1]End - Use Prices'!$A$6:$A$89,0)+MATCH($D40,'[1]End - Use Prices'!$B$9:$B$11,0)-1,MATCH(AU$1,'[1]End - Use Prices'!$C$7:$AL$7,0))</f>
        <v>9.52</v>
      </c>
      <c r="AV40" s="41">
        <f>INDEX('[1]End - Use Prices'!$C$6:$AL$89,MATCH($C40,'[1]End - Use Prices'!$A$6:$A$89,0)+MATCH($D40,'[1]End - Use Prices'!$B$9:$B$11,0)-1,MATCH(AV$1,'[1]End - Use Prices'!$C$7:$AL$7,0))</f>
        <v>9.57</v>
      </c>
      <c r="AW40" s="41">
        <f>INDEX('[1]End - Use Prices'!$C$6:$AL$89,MATCH($C40,'[1]End - Use Prices'!$A$6:$A$89,0)+MATCH($D40,'[1]End - Use Prices'!$B$9:$B$11,0)-1,MATCH(AW$1,'[1]End - Use Prices'!$C$7:$AL$7,0))</f>
        <v>9.6199999999999992</v>
      </c>
      <c r="AX40" s="41">
        <f>INDEX('[1]End - Use Prices'!$C$6:$AL$89,MATCH($C40,'[1]End - Use Prices'!$A$6:$A$89,0)+MATCH($D40,'[1]End - Use Prices'!$B$9:$B$11,0)-1,MATCH(AX$1,'[1]End - Use Prices'!$C$7:$AL$7,0))</f>
        <v>9.68</v>
      </c>
      <c r="AY40" s="41">
        <f>INDEX('[1]End - Use Prices'!$C$6:$AL$89,MATCH($C40,'[1]End - Use Prices'!$A$6:$A$89,0)+MATCH($D40,'[1]End - Use Prices'!$B$9:$B$11,0)-1,MATCH(AY$1,'[1]End - Use Prices'!$C$7:$AL$7,0))</f>
        <v>9.75</v>
      </c>
      <c r="AZ40" s="41">
        <f>INDEX('[1]End - Use Prices'!$C$6:$AL$89,MATCH($C40,'[1]End - Use Prices'!$A$6:$A$89,0)+MATCH($D40,'[1]End - Use Prices'!$B$9:$B$11,0)-1,MATCH(AZ$1,'[1]End - Use Prices'!$C$7:$AL$7,0))</f>
        <v>9.83</v>
      </c>
      <c r="BA40" s="41">
        <f>INDEX('[1]End - Use Prices'!$C$6:$AL$89,MATCH($C40,'[1]End - Use Prices'!$A$6:$A$89,0)+MATCH($D40,'[1]End - Use Prices'!$B$9:$B$11,0)-1,MATCH(BA$1,'[1]End - Use Prices'!$C$7:$AL$7,0))</f>
        <v>9.8699999999999992</v>
      </c>
      <c r="BB40" s="41">
        <f>INDEX('[1]End - Use Prices'!$C$6:$AL$89,MATCH($C40,'[1]End - Use Prices'!$A$6:$A$89,0)+MATCH($D40,'[1]End - Use Prices'!$B$9:$B$11,0)-1,MATCH(BB$1,'[1]End - Use Prices'!$C$7:$AL$7,0))</f>
        <v>9.9</v>
      </c>
      <c r="BC40" s="41">
        <f>INDEX('[1]End - Use Prices'!$C$6:$AL$89,MATCH($C40,'[1]End - Use Prices'!$A$6:$A$89,0)+MATCH($D40,'[1]End - Use Prices'!$B$9:$B$11,0)-1,MATCH(BC$1,'[1]End - Use Prices'!$C$7:$AL$7,0))</f>
        <v>9.93</v>
      </c>
      <c r="BD40" s="41">
        <f>INDEX('[1]End - Use Prices'!$C$6:$AL$89,MATCH($C40,'[1]End - Use Prices'!$A$6:$A$89,0)+MATCH($D40,'[1]End - Use Prices'!$B$9:$B$11,0)-1,MATCH(BD$1,'[1]End - Use Prices'!$C$7:$AL$7,0))</f>
        <v>9.94</v>
      </c>
      <c r="BE40" s="41">
        <f>INDEX('[1]End - Use Prices'!$C$6:$AL$89,MATCH($C40,'[1]End - Use Prices'!$A$6:$A$89,0)+MATCH($D40,'[1]End - Use Prices'!$B$9:$B$11,0)-1,MATCH(BE$1,'[1]End - Use Prices'!$C$7:$AL$7,0))</f>
        <v>9.94</v>
      </c>
      <c r="BF40" s="41">
        <f>INDEX('[1]End - Use Prices'!$C$6:$AL$89,MATCH($C40,'[1]End - Use Prices'!$A$6:$A$89,0)+MATCH($D40,'[1]End - Use Prices'!$B$9:$B$11,0)-1,MATCH(BF$1,'[1]End - Use Prices'!$C$7:$AL$7,0))</f>
        <v>9.9499999999999993</v>
      </c>
      <c r="BG40" s="41">
        <f>INDEX('[1]End - Use Prices'!$C$6:$AL$89,MATCH($C40,'[1]End - Use Prices'!$A$6:$A$89,0)+MATCH($D40,'[1]End - Use Prices'!$B$9:$B$11,0)-1,MATCH(BG$1,'[1]End - Use Prices'!$C$7:$AL$7,0))</f>
        <v>9.9499999999999993</v>
      </c>
      <c r="BR40" s="39"/>
      <c r="BS40" s="39"/>
      <c r="BT40" s="39"/>
      <c r="BU40" s="39"/>
      <c r="BV40" s="39"/>
      <c r="BW40" s="39"/>
      <c r="BX40" s="39"/>
      <c r="BY40" s="39"/>
      <c r="BZ40" s="39"/>
      <c r="CA40" s="39"/>
    </row>
    <row r="41" spans="1:79" x14ac:dyDescent="0.25">
      <c r="A41" s="5"/>
      <c r="B41" s="3"/>
      <c r="C41" s="25" t="s">
        <v>5</v>
      </c>
      <c r="D41" s="25" t="s">
        <v>14</v>
      </c>
      <c r="E41" s="25" t="s">
        <v>313</v>
      </c>
      <c r="F41" s="74" t="s">
        <v>310</v>
      </c>
      <c r="G41" s="54">
        <f t="shared" si="8"/>
        <v>12.98</v>
      </c>
      <c r="H41" s="34">
        <f t="shared" si="26"/>
        <v>12.98</v>
      </c>
      <c r="I41" s="34">
        <f t="shared" si="26"/>
        <v>7.97</v>
      </c>
      <c r="J41" s="34">
        <f t="shared" si="26"/>
        <v>3.36</v>
      </c>
      <c r="K41" s="34">
        <f t="shared" si="26"/>
        <v>6.42</v>
      </c>
      <c r="L41" s="34">
        <f t="shared" si="26"/>
        <v>7.15</v>
      </c>
      <c r="M41" s="34">
        <f t="shared" si="26"/>
        <v>7.33</v>
      </c>
      <c r="N41" s="34">
        <f t="shared" si="26"/>
        <v>7.6</v>
      </c>
      <c r="O41" s="34">
        <f t="shared" si="26"/>
        <v>7.63</v>
      </c>
      <c r="P41" s="54">
        <f t="shared" ref="P41:Q41" si="34">O41</f>
        <v>7.63</v>
      </c>
      <c r="Q41" s="54">
        <f t="shared" si="34"/>
        <v>7.63</v>
      </c>
      <c r="R41" s="38"/>
      <c r="X41" s="41">
        <f>INDEX('[1]End - Use Prices'!$C$6:$AL$89,MATCH($C41,'[1]End - Use Prices'!$A$6:$A$89,0)+MATCH($D41,'[1]End - Use Prices'!$B$9:$B$11,0)-1,MATCH(X$1,'[1]End - Use Prices'!$C$7:$AL$7,0))</f>
        <v>12.98</v>
      </c>
      <c r="Y41" s="41">
        <f>INDEX('[1]End - Use Prices'!$C$6:$AL$89,MATCH($C41,'[1]End - Use Prices'!$A$6:$A$89,0)+MATCH($D41,'[1]End - Use Prices'!$B$9:$B$11,0)-1,MATCH(Y$1,'[1]End - Use Prices'!$C$7:$AL$7,0))</f>
        <v>11.76</v>
      </c>
      <c r="Z41" s="41">
        <f>INDEX('[1]End - Use Prices'!$C$6:$AL$89,MATCH($C41,'[1]End - Use Prices'!$A$6:$A$89,0)+MATCH($D41,'[1]End - Use Prices'!$B$9:$B$11,0)-1,MATCH(Z$1,'[1]End - Use Prices'!$C$7:$AL$7,0))</f>
        <v>10.95</v>
      </c>
      <c r="AA41" s="41">
        <f>INDEX('[1]End - Use Prices'!$C$6:$AL$89,MATCH($C41,'[1]End - Use Prices'!$A$6:$A$89,0)+MATCH($D41,'[1]End - Use Prices'!$B$9:$B$11,0)-1,MATCH(AA$1,'[1]End - Use Prices'!$C$7:$AL$7,0))</f>
        <v>11.03</v>
      </c>
      <c r="AB41" s="41">
        <f>INDEX('[1]End - Use Prices'!$C$6:$AL$89,MATCH($C41,'[1]End - Use Prices'!$A$6:$A$89,0)+MATCH($D41,'[1]End - Use Prices'!$B$9:$B$11,0)-1,MATCH(AB$1,'[1]End - Use Prices'!$C$7:$AL$7,0))</f>
        <v>7.77</v>
      </c>
      <c r="AC41" s="41">
        <f>INDEX('[1]End - Use Prices'!$C$6:$AL$89,MATCH($C41,'[1]End - Use Prices'!$A$6:$A$89,0)+MATCH($D41,'[1]End - Use Prices'!$B$9:$B$11,0)-1,MATCH(AC$1,'[1]End - Use Prices'!$C$7:$AL$7,0))</f>
        <v>7.97</v>
      </c>
      <c r="AD41" s="41">
        <f>INDEX('[1]End - Use Prices'!$C$6:$AL$89,MATCH($C41,'[1]End - Use Prices'!$A$6:$A$89,0)+MATCH($D41,'[1]End - Use Prices'!$B$9:$B$11,0)-1,MATCH(AD$1,'[1]End - Use Prices'!$C$7:$AL$7,0))</f>
        <v>8.15</v>
      </c>
      <c r="AE41" s="41">
        <f>INDEX('[1]End - Use Prices'!$C$6:$AL$89,MATCH($C41,'[1]End - Use Prices'!$A$6:$A$89,0)+MATCH($D41,'[1]End - Use Prices'!$B$9:$B$11,0)-1,MATCH(AE$1,'[1]End - Use Prices'!$C$7:$AL$7,0))</f>
        <v>6.63</v>
      </c>
      <c r="AF41" s="41">
        <f>INDEX('[1]End - Use Prices'!$C$6:$AL$89,MATCH($C41,'[1]End - Use Prices'!$A$6:$A$89,0)+MATCH($D41,'[1]End - Use Prices'!$B$9:$B$11,0)-1,MATCH(AF$1,'[1]End - Use Prices'!$C$7:$AL$7,0))</f>
        <v>6.93</v>
      </c>
      <c r="AG41" s="41">
        <f>INDEX('[1]End - Use Prices'!$C$6:$AL$89,MATCH($C41,'[1]End - Use Prices'!$A$6:$A$89,0)+MATCH($D41,'[1]End - Use Prices'!$B$9:$B$11,0)-1,MATCH(AG$1,'[1]End - Use Prices'!$C$7:$AL$7,0))</f>
        <v>8.5399999999999991</v>
      </c>
      <c r="AH41" s="41">
        <f>INDEX('[1]End - Use Prices'!$C$6:$AL$89,MATCH($C41,'[1]End - Use Prices'!$A$6:$A$89,0)+MATCH($D41,'[1]End - Use Prices'!$B$9:$B$11,0)-1,MATCH(AH$1,'[1]End - Use Prices'!$C$7:$AL$7,0))</f>
        <v>3.36</v>
      </c>
      <c r="AI41" s="41">
        <f>INDEX('[1]End - Use Prices'!$C$6:$AL$89,MATCH($C41,'[1]End - Use Prices'!$A$6:$A$89,0)+MATCH($D41,'[1]End - Use Prices'!$B$9:$B$11,0)-1,MATCH(AI$1,'[1]End - Use Prices'!$C$7:$AL$7,0))</f>
        <v>5.3</v>
      </c>
      <c r="AJ41" s="41">
        <f>INDEX('[1]End - Use Prices'!$C$6:$AL$89,MATCH($C41,'[1]End - Use Prices'!$A$6:$A$89,0)+MATCH($D41,'[1]End - Use Prices'!$B$9:$B$11,0)-1,MATCH(AJ$1,'[1]End - Use Prices'!$C$7:$AL$7,0))</f>
        <v>4.5599999999999996</v>
      </c>
      <c r="AK41" s="41">
        <f>INDEX('[1]End - Use Prices'!$C$6:$AL$89,MATCH($C41,'[1]End - Use Prices'!$A$6:$A$89,0)+MATCH($D41,'[1]End - Use Prices'!$B$9:$B$11,0)-1,MATCH(AK$1,'[1]End - Use Prices'!$C$7:$AL$7,0))</f>
        <v>5.99</v>
      </c>
      <c r="AL41" s="41">
        <f>INDEX('[1]End - Use Prices'!$C$6:$AL$89,MATCH($C41,'[1]End - Use Prices'!$A$6:$A$89,0)+MATCH($D41,'[1]End - Use Prices'!$B$9:$B$11,0)-1,MATCH(AL$1,'[1]End - Use Prices'!$C$7:$AL$7,0))</f>
        <v>6.47</v>
      </c>
      <c r="AM41" s="41">
        <f>INDEX('[1]End - Use Prices'!$C$6:$AL$89,MATCH($C41,'[1]End - Use Prices'!$A$6:$A$89,0)+MATCH($D41,'[1]End - Use Prices'!$B$9:$B$11,0)-1,MATCH(AM$1,'[1]End - Use Prices'!$C$7:$AL$7,0))</f>
        <v>6.42</v>
      </c>
      <c r="AN41" s="41">
        <f>INDEX('[1]End - Use Prices'!$C$6:$AL$89,MATCH($C41,'[1]End - Use Prices'!$A$6:$A$89,0)+MATCH($D41,'[1]End - Use Prices'!$B$9:$B$11,0)-1,MATCH(AN$1,'[1]End - Use Prices'!$C$7:$AL$7,0))</f>
        <v>6.38</v>
      </c>
      <c r="AO41" s="41">
        <f>INDEX('[1]End - Use Prices'!$C$6:$AL$89,MATCH($C41,'[1]End - Use Prices'!$A$6:$A$89,0)+MATCH($D41,'[1]End - Use Prices'!$B$9:$B$11,0)-1,MATCH(AO$1,'[1]End - Use Prices'!$C$7:$AL$7,0))</f>
        <v>6.84</v>
      </c>
      <c r="AP41" s="41">
        <f>INDEX('[1]End - Use Prices'!$C$6:$AL$89,MATCH($C41,'[1]End - Use Prices'!$A$6:$A$89,0)+MATCH($D41,'[1]End - Use Prices'!$B$9:$B$11,0)-1,MATCH(AP$1,'[1]End - Use Prices'!$C$7:$AL$7,0))</f>
        <v>7.25</v>
      </c>
      <c r="AQ41" s="41">
        <f>INDEX('[1]End - Use Prices'!$C$6:$AL$89,MATCH($C41,'[1]End - Use Prices'!$A$6:$A$89,0)+MATCH($D41,'[1]End - Use Prices'!$B$9:$B$11,0)-1,MATCH(AQ$1,'[1]End - Use Prices'!$C$7:$AL$7,0))</f>
        <v>7.19</v>
      </c>
      <c r="AR41" s="41">
        <f>INDEX('[1]End - Use Prices'!$C$6:$AL$89,MATCH($C41,'[1]End - Use Prices'!$A$6:$A$89,0)+MATCH($D41,'[1]End - Use Prices'!$B$9:$B$11,0)-1,MATCH(AR$1,'[1]End - Use Prices'!$C$7:$AL$7,0))</f>
        <v>7.15</v>
      </c>
      <c r="AS41" s="41">
        <f>INDEX('[1]End - Use Prices'!$C$6:$AL$89,MATCH($C41,'[1]End - Use Prices'!$A$6:$A$89,0)+MATCH($D41,'[1]End - Use Prices'!$B$9:$B$11,0)-1,MATCH(AS$1,'[1]End - Use Prices'!$C$7:$AL$7,0))</f>
        <v>7.18</v>
      </c>
      <c r="AT41" s="41">
        <f>INDEX('[1]End - Use Prices'!$C$6:$AL$89,MATCH($C41,'[1]End - Use Prices'!$A$6:$A$89,0)+MATCH($D41,'[1]End - Use Prices'!$B$9:$B$11,0)-1,MATCH(AT$1,'[1]End - Use Prices'!$C$7:$AL$7,0))</f>
        <v>7.2</v>
      </c>
      <c r="AU41" s="41">
        <f>INDEX('[1]End - Use Prices'!$C$6:$AL$89,MATCH($C41,'[1]End - Use Prices'!$A$6:$A$89,0)+MATCH($D41,'[1]End - Use Prices'!$B$9:$B$11,0)-1,MATCH(AU$1,'[1]End - Use Prices'!$C$7:$AL$7,0))</f>
        <v>7.23</v>
      </c>
      <c r="AV41" s="41">
        <f>INDEX('[1]End - Use Prices'!$C$6:$AL$89,MATCH($C41,'[1]End - Use Prices'!$A$6:$A$89,0)+MATCH($D41,'[1]End - Use Prices'!$B$9:$B$11,0)-1,MATCH(AV$1,'[1]End - Use Prices'!$C$7:$AL$7,0))</f>
        <v>7.28</v>
      </c>
      <c r="AW41" s="41">
        <f>INDEX('[1]End - Use Prices'!$C$6:$AL$89,MATCH($C41,'[1]End - Use Prices'!$A$6:$A$89,0)+MATCH($D41,'[1]End - Use Prices'!$B$9:$B$11,0)-1,MATCH(AW$1,'[1]End - Use Prices'!$C$7:$AL$7,0))</f>
        <v>7.33</v>
      </c>
      <c r="AX41" s="41">
        <f>INDEX('[1]End - Use Prices'!$C$6:$AL$89,MATCH($C41,'[1]End - Use Prices'!$A$6:$A$89,0)+MATCH($D41,'[1]End - Use Prices'!$B$9:$B$11,0)-1,MATCH(AX$1,'[1]End - Use Prices'!$C$7:$AL$7,0))</f>
        <v>7.38</v>
      </c>
      <c r="AY41" s="41">
        <f>INDEX('[1]End - Use Prices'!$C$6:$AL$89,MATCH($C41,'[1]End - Use Prices'!$A$6:$A$89,0)+MATCH($D41,'[1]End - Use Prices'!$B$9:$B$11,0)-1,MATCH(AY$1,'[1]End - Use Prices'!$C$7:$AL$7,0))</f>
        <v>7.45</v>
      </c>
      <c r="AZ41" s="41">
        <f>INDEX('[1]End - Use Prices'!$C$6:$AL$89,MATCH($C41,'[1]End - Use Prices'!$A$6:$A$89,0)+MATCH($D41,'[1]End - Use Prices'!$B$9:$B$11,0)-1,MATCH(AZ$1,'[1]End - Use Prices'!$C$7:$AL$7,0))</f>
        <v>7.53</v>
      </c>
      <c r="BA41" s="41">
        <f>INDEX('[1]End - Use Prices'!$C$6:$AL$89,MATCH($C41,'[1]End - Use Prices'!$A$6:$A$89,0)+MATCH($D41,'[1]End - Use Prices'!$B$9:$B$11,0)-1,MATCH(BA$1,'[1]End - Use Prices'!$C$7:$AL$7,0))</f>
        <v>7.57</v>
      </c>
      <c r="BB41" s="41">
        <f>INDEX('[1]End - Use Prices'!$C$6:$AL$89,MATCH($C41,'[1]End - Use Prices'!$A$6:$A$89,0)+MATCH($D41,'[1]End - Use Prices'!$B$9:$B$11,0)-1,MATCH(BB$1,'[1]End - Use Prices'!$C$7:$AL$7,0))</f>
        <v>7.6</v>
      </c>
      <c r="BC41" s="41">
        <f>INDEX('[1]End - Use Prices'!$C$6:$AL$89,MATCH($C41,'[1]End - Use Prices'!$A$6:$A$89,0)+MATCH($D41,'[1]End - Use Prices'!$B$9:$B$11,0)-1,MATCH(BC$1,'[1]End - Use Prices'!$C$7:$AL$7,0))</f>
        <v>7.62</v>
      </c>
      <c r="BD41" s="41">
        <f>INDEX('[1]End - Use Prices'!$C$6:$AL$89,MATCH($C41,'[1]End - Use Prices'!$A$6:$A$89,0)+MATCH($D41,'[1]End - Use Prices'!$B$9:$B$11,0)-1,MATCH(BD$1,'[1]End - Use Prices'!$C$7:$AL$7,0))</f>
        <v>7.63</v>
      </c>
      <c r="BE41" s="41">
        <f>INDEX('[1]End - Use Prices'!$C$6:$AL$89,MATCH($C41,'[1]End - Use Prices'!$A$6:$A$89,0)+MATCH($D41,'[1]End - Use Prices'!$B$9:$B$11,0)-1,MATCH(BE$1,'[1]End - Use Prices'!$C$7:$AL$7,0))</f>
        <v>7.63</v>
      </c>
      <c r="BF41" s="41">
        <f>INDEX('[1]End - Use Prices'!$C$6:$AL$89,MATCH($C41,'[1]End - Use Prices'!$A$6:$A$89,0)+MATCH($D41,'[1]End - Use Prices'!$B$9:$B$11,0)-1,MATCH(BF$1,'[1]End - Use Prices'!$C$7:$AL$7,0))</f>
        <v>7.63</v>
      </c>
      <c r="BG41" s="41">
        <f>INDEX('[1]End - Use Prices'!$C$6:$AL$89,MATCH($C41,'[1]End - Use Prices'!$A$6:$A$89,0)+MATCH($D41,'[1]End - Use Prices'!$B$9:$B$11,0)-1,MATCH(BG$1,'[1]End - Use Prices'!$C$7:$AL$7,0))</f>
        <v>7.63</v>
      </c>
      <c r="BR41" s="39"/>
      <c r="BS41" s="39"/>
      <c r="BT41" s="39"/>
      <c r="BU41" s="39"/>
      <c r="BV41" s="39"/>
      <c r="BW41" s="39"/>
      <c r="BX41" s="39"/>
      <c r="BY41" s="39"/>
      <c r="BZ41" s="39"/>
      <c r="CA41" s="39"/>
    </row>
    <row r="42" spans="1:79" x14ac:dyDescent="0.25">
      <c r="A42" s="5"/>
      <c r="B42" s="3"/>
      <c r="C42" s="25" t="s">
        <v>61</v>
      </c>
      <c r="D42" s="25" t="s">
        <v>14</v>
      </c>
      <c r="E42" s="25" t="s">
        <v>313</v>
      </c>
      <c r="F42" s="74" t="s">
        <v>310</v>
      </c>
      <c r="G42" s="54">
        <f t="shared" si="8"/>
        <v>15.71</v>
      </c>
      <c r="H42" s="34">
        <f t="shared" si="26"/>
        <v>15.71</v>
      </c>
      <c r="I42" s="34">
        <f t="shared" si="26"/>
        <v>17.63</v>
      </c>
      <c r="J42" s="34">
        <f t="shared" si="26"/>
        <v>15.79</v>
      </c>
      <c r="K42" s="34">
        <f t="shared" si="26"/>
        <v>13.09</v>
      </c>
      <c r="L42" s="34">
        <f t="shared" si="26"/>
        <v>13.24</v>
      </c>
      <c r="M42" s="34">
        <f t="shared" si="26"/>
        <v>13.33</v>
      </c>
      <c r="N42" s="34">
        <f t="shared" si="26"/>
        <v>13.56</v>
      </c>
      <c r="O42" s="34">
        <f t="shared" si="26"/>
        <v>13.49</v>
      </c>
      <c r="P42" s="54">
        <f t="shared" ref="P42:Q42" si="35">O42</f>
        <v>13.49</v>
      </c>
      <c r="Q42" s="54">
        <f t="shared" si="35"/>
        <v>13.49</v>
      </c>
      <c r="R42" s="38"/>
      <c r="X42" s="41">
        <f>INDEX('[1]End - Use Prices'!$C$6:$AL$89,MATCH($C42,'[1]End - Use Prices'!$A$6:$A$89,0)+MATCH($D42,'[1]End - Use Prices'!$B$9:$B$11,0)-1,MATCH(X$1,'[1]End - Use Prices'!$C$7:$AL$7,0))</f>
        <v>15.71</v>
      </c>
      <c r="Y42" s="41">
        <f>INDEX('[1]End - Use Prices'!$C$6:$AL$89,MATCH($C42,'[1]End - Use Prices'!$A$6:$A$89,0)+MATCH($D42,'[1]End - Use Prices'!$B$9:$B$11,0)-1,MATCH(Y$1,'[1]End - Use Prices'!$C$7:$AL$7,0))</f>
        <v>16.100000000000001</v>
      </c>
      <c r="Z42" s="41">
        <f>INDEX('[1]End - Use Prices'!$C$6:$AL$89,MATCH($C42,'[1]End - Use Prices'!$A$6:$A$89,0)+MATCH($D42,'[1]End - Use Prices'!$B$9:$B$11,0)-1,MATCH(Z$1,'[1]End - Use Prices'!$C$7:$AL$7,0))</f>
        <v>15.95</v>
      </c>
      <c r="AA42" s="41">
        <f>INDEX('[1]End - Use Prices'!$C$6:$AL$89,MATCH($C42,'[1]End - Use Prices'!$A$6:$A$89,0)+MATCH($D42,'[1]End - Use Prices'!$B$9:$B$11,0)-1,MATCH(AA$1,'[1]End - Use Prices'!$C$7:$AL$7,0))</f>
        <v>15.79</v>
      </c>
      <c r="AB42" s="41">
        <f>INDEX('[1]End - Use Prices'!$C$6:$AL$89,MATCH($C42,'[1]End - Use Prices'!$A$6:$A$89,0)+MATCH($D42,'[1]End - Use Prices'!$B$9:$B$11,0)-1,MATCH(AB$1,'[1]End - Use Prices'!$C$7:$AL$7,0))</f>
        <v>16.8</v>
      </c>
      <c r="AC42" s="41">
        <f>INDEX('[1]End - Use Prices'!$C$6:$AL$89,MATCH($C42,'[1]End - Use Prices'!$A$6:$A$89,0)+MATCH($D42,'[1]End - Use Prices'!$B$9:$B$11,0)-1,MATCH(AC$1,'[1]End - Use Prices'!$C$7:$AL$7,0))</f>
        <v>17.63</v>
      </c>
      <c r="AD42" s="41">
        <f>INDEX('[1]End - Use Prices'!$C$6:$AL$89,MATCH($C42,'[1]End - Use Prices'!$A$6:$A$89,0)+MATCH($D42,'[1]End - Use Prices'!$B$9:$B$11,0)-1,MATCH(AD$1,'[1]End - Use Prices'!$C$7:$AL$7,0))</f>
        <v>17.100000000000001</v>
      </c>
      <c r="AE42" s="41">
        <f>INDEX('[1]End - Use Prices'!$C$6:$AL$89,MATCH($C42,'[1]End - Use Prices'!$A$6:$A$89,0)+MATCH($D42,'[1]End - Use Prices'!$B$9:$B$11,0)-1,MATCH(AE$1,'[1]End - Use Prices'!$C$7:$AL$7,0))</f>
        <v>16.28</v>
      </c>
      <c r="AF42" s="41">
        <f>INDEX('[1]End - Use Prices'!$C$6:$AL$89,MATCH($C42,'[1]End - Use Prices'!$A$6:$A$89,0)+MATCH($D42,'[1]End - Use Prices'!$B$9:$B$11,0)-1,MATCH(AF$1,'[1]End - Use Prices'!$C$7:$AL$7,0))</f>
        <v>15.65</v>
      </c>
      <c r="AG42" s="41">
        <f>INDEX('[1]End - Use Prices'!$C$6:$AL$89,MATCH($C42,'[1]End - Use Prices'!$A$6:$A$89,0)+MATCH($D42,'[1]End - Use Prices'!$B$9:$B$11,0)-1,MATCH(AG$1,'[1]End - Use Prices'!$C$7:$AL$7,0))</f>
        <v>16.579999999999998</v>
      </c>
      <c r="AH42" s="41">
        <f>INDEX('[1]End - Use Prices'!$C$6:$AL$89,MATCH($C42,'[1]End - Use Prices'!$A$6:$A$89,0)+MATCH($D42,'[1]End - Use Prices'!$B$9:$B$11,0)-1,MATCH(AH$1,'[1]End - Use Prices'!$C$7:$AL$7,0))</f>
        <v>15.79</v>
      </c>
      <c r="AI42" s="41">
        <f>INDEX('[1]End - Use Prices'!$C$6:$AL$89,MATCH($C42,'[1]End - Use Prices'!$A$6:$A$89,0)+MATCH($D42,'[1]End - Use Prices'!$B$9:$B$11,0)-1,MATCH(AI$1,'[1]End - Use Prices'!$C$7:$AL$7,0))</f>
        <v>12.09</v>
      </c>
      <c r="AJ42" s="41">
        <f>INDEX('[1]End - Use Prices'!$C$6:$AL$89,MATCH($C42,'[1]End - Use Prices'!$A$6:$A$89,0)+MATCH($D42,'[1]End - Use Prices'!$B$9:$B$11,0)-1,MATCH(AJ$1,'[1]End - Use Prices'!$C$7:$AL$7,0))</f>
        <v>12.97</v>
      </c>
      <c r="AK42" s="41">
        <f>INDEX('[1]End - Use Prices'!$C$6:$AL$89,MATCH($C42,'[1]End - Use Prices'!$A$6:$A$89,0)+MATCH($D42,'[1]End - Use Prices'!$B$9:$B$11,0)-1,MATCH(AK$1,'[1]End - Use Prices'!$C$7:$AL$7,0))</f>
        <v>12.73</v>
      </c>
      <c r="AL42" s="41">
        <f>INDEX('[1]End - Use Prices'!$C$6:$AL$89,MATCH($C42,'[1]End - Use Prices'!$A$6:$A$89,0)+MATCH($D42,'[1]End - Use Prices'!$B$9:$B$11,0)-1,MATCH(AL$1,'[1]End - Use Prices'!$C$7:$AL$7,0))</f>
        <v>12.86</v>
      </c>
      <c r="AM42" s="41">
        <f>INDEX('[1]End - Use Prices'!$C$6:$AL$89,MATCH($C42,'[1]End - Use Prices'!$A$6:$A$89,0)+MATCH($D42,'[1]End - Use Prices'!$B$9:$B$11,0)-1,MATCH(AM$1,'[1]End - Use Prices'!$C$7:$AL$7,0))</f>
        <v>13.09</v>
      </c>
      <c r="AN42" s="41">
        <f>INDEX('[1]End - Use Prices'!$C$6:$AL$89,MATCH($C42,'[1]End - Use Prices'!$A$6:$A$89,0)+MATCH($D42,'[1]End - Use Prices'!$B$9:$B$11,0)-1,MATCH(AN$1,'[1]End - Use Prices'!$C$7:$AL$7,0))</f>
        <v>13.29</v>
      </c>
      <c r="AO42" s="41">
        <f>INDEX('[1]End - Use Prices'!$C$6:$AL$89,MATCH($C42,'[1]End - Use Prices'!$A$6:$A$89,0)+MATCH($D42,'[1]End - Use Prices'!$B$9:$B$11,0)-1,MATCH(AO$1,'[1]End - Use Prices'!$C$7:$AL$7,0))</f>
        <v>13.49</v>
      </c>
      <c r="AP42" s="41">
        <f>INDEX('[1]End - Use Prices'!$C$6:$AL$89,MATCH($C42,'[1]End - Use Prices'!$A$6:$A$89,0)+MATCH($D42,'[1]End - Use Prices'!$B$9:$B$11,0)-1,MATCH(AP$1,'[1]End - Use Prices'!$C$7:$AL$7,0))</f>
        <v>13.43</v>
      </c>
      <c r="AQ42" s="41">
        <f>INDEX('[1]End - Use Prices'!$C$6:$AL$89,MATCH($C42,'[1]End - Use Prices'!$A$6:$A$89,0)+MATCH($D42,'[1]End - Use Prices'!$B$9:$B$11,0)-1,MATCH(AQ$1,'[1]End - Use Prices'!$C$7:$AL$7,0))</f>
        <v>13.32</v>
      </c>
      <c r="AR42" s="41">
        <f>INDEX('[1]End - Use Prices'!$C$6:$AL$89,MATCH($C42,'[1]End - Use Prices'!$A$6:$A$89,0)+MATCH($D42,'[1]End - Use Prices'!$B$9:$B$11,0)-1,MATCH(AR$1,'[1]End - Use Prices'!$C$7:$AL$7,0))</f>
        <v>13.24</v>
      </c>
      <c r="AS42" s="41">
        <f>INDEX('[1]End - Use Prices'!$C$6:$AL$89,MATCH($C42,'[1]End - Use Prices'!$A$6:$A$89,0)+MATCH($D42,'[1]End - Use Prices'!$B$9:$B$11,0)-1,MATCH(AS$1,'[1]End - Use Prices'!$C$7:$AL$7,0))</f>
        <v>13.25</v>
      </c>
      <c r="AT42" s="41">
        <f>INDEX('[1]End - Use Prices'!$C$6:$AL$89,MATCH($C42,'[1]End - Use Prices'!$A$6:$A$89,0)+MATCH($D42,'[1]End - Use Prices'!$B$9:$B$11,0)-1,MATCH(AT$1,'[1]End - Use Prices'!$C$7:$AL$7,0))</f>
        <v>13.24</v>
      </c>
      <c r="AU42" s="41">
        <f>INDEX('[1]End - Use Prices'!$C$6:$AL$89,MATCH($C42,'[1]End - Use Prices'!$A$6:$A$89,0)+MATCH($D42,'[1]End - Use Prices'!$B$9:$B$11,0)-1,MATCH(AU$1,'[1]End - Use Prices'!$C$7:$AL$7,0))</f>
        <v>13.26</v>
      </c>
      <c r="AV42" s="41">
        <f>INDEX('[1]End - Use Prices'!$C$6:$AL$89,MATCH($C42,'[1]End - Use Prices'!$A$6:$A$89,0)+MATCH($D42,'[1]End - Use Prices'!$B$9:$B$11,0)-1,MATCH(AV$1,'[1]End - Use Prices'!$C$7:$AL$7,0))</f>
        <v>13.3</v>
      </c>
      <c r="AW42" s="41">
        <f>INDEX('[1]End - Use Prices'!$C$6:$AL$89,MATCH($C42,'[1]End - Use Prices'!$A$6:$A$89,0)+MATCH($D42,'[1]End - Use Prices'!$B$9:$B$11,0)-1,MATCH(AW$1,'[1]End - Use Prices'!$C$7:$AL$7,0))</f>
        <v>13.33</v>
      </c>
      <c r="AX42" s="41">
        <f>INDEX('[1]End - Use Prices'!$C$6:$AL$89,MATCH($C42,'[1]End - Use Prices'!$A$6:$A$89,0)+MATCH($D42,'[1]End - Use Prices'!$B$9:$B$11,0)-1,MATCH(AX$1,'[1]End - Use Prices'!$C$7:$AL$7,0))</f>
        <v>13.38</v>
      </c>
      <c r="AY42" s="41">
        <f>INDEX('[1]End - Use Prices'!$C$6:$AL$89,MATCH($C42,'[1]End - Use Prices'!$A$6:$A$89,0)+MATCH($D42,'[1]End - Use Prices'!$B$9:$B$11,0)-1,MATCH(AY$1,'[1]End - Use Prices'!$C$7:$AL$7,0))</f>
        <v>13.44</v>
      </c>
      <c r="AZ42" s="41">
        <f>INDEX('[1]End - Use Prices'!$C$6:$AL$89,MATCH($C42,'[1]End - Use Prices'!$A$6:$A$89,0)+MATCH($D42,'[1]End - Use Prices'!$B$9:$B$11,0)-1,MATCH(AZ$1,'[1]End - Use Prices'!$C$7:$AL$7,0))</f>
        <v>13.51</v>
      </c>
      <c r="BA42" s="41">
        <f>INDEX('[1]End - Use Prices'!$C$6:$AL$89,MATCH($C42,'[1]End - Use Prices'!$A$6:$A$89,0)+MATCH($D42,'[1]End - Use Prices'!$B$9:$B$11,0)-1,MATCH(BA$1,'[1]End - Use Prices'!$C$7:$AL$7,0))</f>
        <v>13.54</v>
      </c>
      <c r="BB42" s="41">
        <f>INDEX('[1]End - Use Prices'!$C$6:$AL$89,MATCH($C42,'[1]End - Use Prices'!$A$6:$A$89,0)+MATCH($D42,'[1]End - Use Prices'!$B$9:$B$11,0)-1,MATCH(BB$1,'[1]End - Use Prices'!$C$7:$AL$7,0))</f>
        <v>13.56</v>
      </c>
      <c r="BC42" s="41">
        <f>INDEX('[1]End - Use Prices'!$C$6:$AL$89,MATCH($C42,'[1]End - Use Prices'!$A$6:$A$89,0)+MATCH($D42,'[1]End - Use Prices'!$B$9:$B$11,0)-1,MATCH(BC$1,'[1]End - Use Prices'!$C$7:$AL$7,0))</f>
        <v>13.57</v>
      </c>
      <c r="BD42" s="41">
        <f>INDEX('[1]End - Use Prices'!$C$6:$AL$89,MATCH($C42,'[1]End - Use Prices'!$A$6:$A$89,0)+MATCH($D42,'[1]End - Use Prices'!$B$9:$B$11,0)-1,MATCH(BD$1,'[1]End - Use Prices'!$C$7:$AL$7,0))</f>
        <v>13.56</v>
      </c>
      <c r="BE42" s="41">
        <f>INDEX('[1]End - Use Prices'!$C$6:$AL$89,MATCH($C42,'[1]End - Use Prices'!$A$6:$A$89,0)+MATCH($D42,'[1]End - Use Prices'!$B$9:$B$11,0)-1,MATCH(BE$1,'[1]End - Use Prices'!$C$7:$AL$7,0))</f>
        <v>13.54</v>
      </c>
      <c r="BF42" s="41">
        <f>INDEX('[1]End - Use Prices'!$C$6:$AL$89,MATCH($C42,'[1]End - Use Prices'!$A$6:$A$89,0)+MATCH($D42,'[1]End - Use Prices'!$B$9:$B$11,0)-1,MATCH(BF$1,'[1]End - Use Prices'!$C$7:$AL$7,0))</f>
        <v>13.52</v>
      </c>
      <c r="BG42" s="41">
        <f>INDEX('[1]End - Use Prices'!$C$6:$AL$89,MATCH($C42,'[1]End - Use Prices'!$A$6:$A$89,0)+MATCH($D42,'[1]End - Use Prices'!$B$9:$B$11,0)-1,MATCH(BG$1,'[1]End - Use Prices'!$C$7:$AL$7,0))</f>
        <v>13.49</v>
      </c>
      <c r="BR42" s="39"/>
      <c r="BS42" s="39"/>
      <c r="BT42" s="39"/>
      <c r="BU42" s="39"/>
      <c r="BV42" s="39"/>
      <c r="BW42" s="39"/>
      <c r="BX42" s="39"/>
      <c r="BY42" s="39"/>
      <c r="BZ42" s="39"/>
      <c r="CA42" s="39"/>
    </row>
    <row r="43" spans="1:79" x14ac:dyDescent="0.25">
      <c r="A43" s="5"/>
      <c r="B43" s="3"/>
      <c r="C43" s="25" t="s">
        <v>95</v>
      </c>
      <c r="D43" s="25" t="s">
        <v>14</v>
      </c>
      <c r="E43" s="25" t="s">
        <v>313</v>
      </c>
      <c r="F43" s="74" t="s">
        <v>310</v>
      </c>
      <c r="G43" s="54">
        <f t="shared" si="8"/>
        <v>15.71</v>
      </c>
      <c r="H43" s="34">
        <f t="shared" si="26"/>
        <v>15.71</v>
      </c>
      <c r="I43" s="34">
        <f t="shared" si="26"/>
        <v>14.92</v>
      </c>
      <c r="J43" s="34">
        <f t="shared" si="26"/>
        <v>12.25</v>
      </c>
      <c r="K43" s="34">
        <f t="shared" si="26"/>
        <v>9.07</v>
      </c>
      <c r="L43" s="34">
        <f t="shared" si="26"/>
        <v>9.5</v>
      </c>
      <c r="M43" s="34">
        <f t="shared" si="26"/>
        <v>9.94</v>
      </c>
      <c r="N43" s="34">
        <f t="shared" si="26"/>
        <v>10.41</v>
      </c>
      <c r="O43" s="34">
        <f t="shared" si="26"/>
        <v>10.59</v>
      </c>
      <c r="P43" s="54">
        <f t="shared" ref="P43:Q43" si="36">O43</f>
        <v>10.59</v>
      </c>
      <c r="Q43" s="54">
        <f t="shared" si="36"/>
        <v>10.59</v>
      </c>
      <c r="R43" s="38"/>
      <c r="X43" s="41">
        <f>INDEX('[1]End - Use Prices'!$C$6:$AL$89,MATCH($C43,'[1]End - Use Prices'!$A$6:$A$89,0)+MATCH($D43,'[1]End - Use Prices'!$B$9:$B$11,0)-1,MATCH(X$1,'[1]End - Use Prices'!$C$7:$AL$7,0))</f>
        <v>15.71</v>
      </c>
      <c r="Y43" s="41">
        <f>INDEX('[1]End - Use Prices'!$C$6:$AL$89,MATCH($C43,'[1]End - Use Prices'!$A$6:$A$89,0)+MATCH($D43,'[1]End - Use Prices'!$B$9:$B$11,0)-1,MATCH(Y$1,'[1]End - Use Prices'!$C$7:$AL$7,0))</f>
        <v>16.100000000000001</v>
      </c>
      <c r="Z43" s="41">
        <f>INDEX('[1]End - Use Prices'!$C$6:$AL$89,MATCH($C43,'[1]End - Use Prices'!$A$6:$A$89,0)+MATCH($D43,'[1]End - Use Prices'!$B$9:$B$11,0)-1,MATCH(Z$1,'[1]End - Use Prices'!$C$7:$AL$7,0))</f>
        <v>15.74</v>
      </c>
      <c r="AA43" s="41">
        <f>INDEX('[1]End - Use Prices'!$C$6:$AL$89,MATCH($C43,'[1]End - Use Prices'!$A$6:$A$89,0)+MATCH($D43,'[1]End - Use Prices'!$B$9:$B$11,0)-1,MATCH(AA$1,'[1]End - Use Prices'!$C$7:$AL$7,0))</f>
        <v>15.46</v>
      </c>
      <c r="AB43" s="41">
        <f>INDEX('[1]End - Use Prices'!$C$6:$AL$89,MATCH($C43,'[1]End - Use Prices'!$A$6:$A$89,0)+MATCH($D43,'[1]End - Use Prices'!$B$9:$B$11,0)-1,MATCH(AB$1,'[1]End - Use Prices'!$C$7:$AL$7,0))</f>
        <v>15.41</v>
      </c>
      <c r="AC43" s="41">
        <f>INDEX('[1]End - Use Prices'!$C$6:$AL$89,MATCH($C43,'[1]End - Use Prices'!$A$6:$A$89,0)+MATCH($D43,'[1]End - Use Prices'!$B$9:$B$11,0)-1,MATCH(AC$1,'[1]End - Use Prices'!$C$7:$AL$7,0))</f>
        <v>14.92</v>
      </c>
      <c r="AD43" s="41">
        <f>INDEX('[1]End - Use Prices'!$C$6:$AL$89,MATCH($C43,'[1]End - Use Prices'!$A$6:$A$89,0)+MATCH($D43,'[1]End - Use Prices'!$B$9:$B$11,0)-1,MATCH(AD$1,'[1]End - Use Prices'!$C$7:$AL$7,0))</f>
        <v>13.77</v>
      </c>
      <c r="AE43" s="41">
        <f>INDEX('[1]End - Use Prices'!$C$6:$AL$89,MATCH($C43,'[1]End - Use Prices'!$A$6:$A$89,0)+MATCH($D43,'[1]End - Use Prices'!$B$9:$B$11,0)-1,MATCH(AE$1,'[1]End - Use Prices'!$C$7:$AL$7,0))</f>
        <v>12.54</v>
      </c>
      <c r="AF43" s="41">
        <f>INDEX('[1]End - Use Prices'!$C$6:$AL$89,MATCH($C43,'[1]End - Use Prices'!$A$6:$A$89,0)+MATCH($D43,'[1]End - Use Prices'!$B$9:$B$11,0)-1,MATCH(AF$1,'[1]End - Use Prices'!$C$7:$AL$7,0))</f>
        <v>12.18</v>
      </c>
      <c r="AG43" s="41">
        <f>INDEX('[1]End - Use Prices'!$C$6:$AL$89,MATCH($C43,'[1]End - Use Prices'!$A$6:$A$89,0)+MATCH($D43,'[1]End - Use Prices'!$B$9:$B$11,0)-1,MATCH(AG$1,'[1]End - Use Prices'!$C$7:$AL$7,0))</f>
        <v>13.28</v>
      </c>
      <c r="AH43" s="41">
        <f>INDEX('[1]End - Use Prices'!$C$6:$AL$89,MATCH($C43,'[1]End - Use Prices'!$A$6:$A$89,0)+MATCH($D43,'[1]End - Use Prices'!$B$9:$B$11,0)-1,MATCH(AH$1,'[1]End - Use Prices'!$C$7:$AL$7,0))</f>
        <v>12.25</v>
      </c>
      <c r="AI43" s="41">
        <f>INDEX('[1]End - Use Prices'!$C$6:$AL$89,MATCH($C43,'[1]End - Use Prices'!$A$6:$A$89,0)+MATCH($D43,'[1]End - Use Prices'!$B$9:$B$11,0)-1,MATCH(AI$1,'[1]End - Use Prices'!$C$7:$AL$7,0))</f>
        <v>8.43</v>
      </c>
      <c r="AJ43" s="41">
        <f>INDEX('[1]End - Use Prices'!$C$6:$AL$89,MATCH($C43,'[1]End - Use Prices'!$A$6:$A$89,0)+MATCH($D43,'[1]End - Use Prices'!$B$9:$B$11,0)-1,MATCH(AJ$1,'[1]End - Use Prices'!$C$7:$AL$7,0))</f>
        <v>8.91</v>
      </c>
      <c r="AK43" s="41">
        <f>INDEX('[1]End - Use Prices'!$C$6:$AL$89,MATCH($C43,'[1]End - Use Prices'!$A$6:$A$89,0)+MATCH($D43,'[1]End - Use Prices'!$B$9:$B$11,0)-1,MATCH(AK$1,'[1]End - Use Prices'!$C$7:$AL$7,0))</f>
        <v>8.81</v>
      </c>
      <c r="AL43" s="41">
        <f>INDEX('[1]End - Use Prices'!$C$6:$AL$89,MATCH($C43,'[1]End - Use Prices'!$A$6:$A$89,0)+MATCH($D43,'[1]End - Use Prices'!$B$9:$B$11,0)-1,MATCH(AL$1,'[1]End - Use Prices'!$C$7:$AL$7,0))</f>
        <v>8.7899999999999991</v>
      </c>
      <c r="AM43" s="41">
        <f>INDEX('[1]End - Use Prices'!$C$6:$AL$89,MATCH($C43,'[1]End - Use Prices'!$A$6:$A$89,0)+MATCH($D43,'[1]End - Use Prices'!$B$9:$B$11,0)-1,MATCH(AM$1,'[1]End - Use Prices'!$C$7:$AL$7,0))</f>
        <v>9.07</v>
      </c>
      <c r="AN43" s="41">
        <f>INDEX('[1]End - Use Prices'!$C$6:$AL$89,MATCH($C43,'[1]End - Use Prices'!$A$6:$A$89,0)+MATCH($D43,'[1]End - Use Prices'!$B$9:$B$11,0)-1,MATCH(AN$1,'[1]End - Use Prices'!$C$7:$AL$7,0))</f>
        <v>9.2200000000000006</v>
      </c>
      <c r="AO43" s="41">
        <f>INDEX('[1]End - Use Prices'!$C$6:$AL$89,MATCH($C43,'[1]End - Use Prices'!$A$6:$A$89,0)+MATCH($D43,'[1]End - Use Prices'!$B$9:$B$11,0)-1,MATCH(AO$1,'[1]End - Use Prices'!$C$7:$AL$7,0))</f>
        <v>9.36</v>
      </c>
      <c r="AP43" s="41">
        <f>INDEX('[1]End - Use Prices'!$C$6:$AL$89,MATCH($C43,'[1]End - Use Prices'!$A$6:$A$89,0)+MATCH($D43,'[1]End - Use Prices'!$B$9:$B$11,0)-1,MATCH(AP$1,'[1]End - Use Prices'!$C$7:$AL$7,0))</f>
        <v>9.48</v>
      </c>
      <c r="AQ43" s="41">
        <f>INDEX('[1]End - Use Prices'!$C$6:$AL$89,MATCH($C43,'[1]End - Use Prices'!$A$6:$A$89,0)+MATCH($D43,'[1]End - Use Prices'!$B$9:$B$11,0)-1,MATCH(AQ$1,'[1]End - Use Prices'!$C$7:$AL$7,0))</f>
        <v>9.48</v>
      </c>
      <c r="AR43" s="41">
        <f>INDEX('[1]End - Use Prices'!$C$6:$AL$89,MATCH($C43,'[1]End - Use Prices'!$A$6:$A$89,0)+MATCH($D43,'[1]End - Use Prices'!$B$9:$B$11,0)-1,MATCH(AR$1,'[1]End - Use Prices'!$C$7:$AL$7,0))</f>
        <v>9.5</v>
      </c>
      <c r="AS43" s="41">
        <f>INDEX('[1]End - Use Prices'!$C$6:$AL$89,MATCH($C43,'[1]End - Use Prices'!$A$6:$A$89,0)+MATCH($D43,'[1]End - Use Prices'!$B$9:$B$11,0)-1,MATCH(AS$1,'[1]End - Use Prices'!$C$7:$AL$7,0))</f>
        <v>9.58</v>
      </c>
      <c r="AT43" s="41">
        <f>INDEX('[1]End - Use Prices'!$C$6:$AL$89,MATCH($C43,'[1]End - Use Prices'!$A$6:$A$89,0)+MATCH($D43,'[1]End - Use Prices'!$B$9:$B$11,0)-1,MATCH(AT$1,'[1]End - Use Prices'!$C$7:$AL$7,0))</f>
        <v>9.66</v>
      </c>
      <c r="AU43" s="41">
        <f>INDEX('[1]End - Use Prices'!$C$6:$AL$89,MATCH($C43,'[1]End - Use Prices'!$A$6:$A$89,0)+MATCH($D43,'[1]End - Use Prices'!$B$9:$B$11,0)-1,MATCH(AU$1,'[1]End - Use Prices'!$C$7:$AL$7,0))</f>
        <v>9.75</v>
      </c>
      <c r="AV43" s="41">
        <f>INDEX('[1]End - Use Prices'!$C$6:$AL$89,MATCH($C43,'[1]End - Use Prices'!$A$6:$A$89,0)+MATCH($D43,'[1]End - Use Prices'!$B$9:$B$11,0)-1,MATCH(AV$1,'[1]End - Use Prices'!$C$7:$AL$7,0))</f>
        <v>9.85</v>
      </c>
      <c r="AW43" s="41">
        <f>INDEX('[1]End - Use Prices'!$C$6:$AL$89,MATCH($C43,'[1]End - Use Prices'!$A$6:$A$89,0)+MATCH($D43,'[1]End - Use Prices'!$B$9:$B$11,0)-1,MATCH(AW$1,'[1]End - Use Prices'!$C$7:$AL$7,0))</f>
        <v>9.94</v>
      </c>
      <c r="AX43" s="41">
        <f>INDEX('[1]End - Use Prices'!$C$6:$AL$89,MATCH($C43,'[1]End - Use Prices'!$A$6:$A$89,0)+MATCH($D43,'[1]End - Use Prices'!$B$9:$B$11,0)-1,MATCH(AX$1,'[1]End - Use Prices'!$C$7:$AL$7,0))</f>
        <v>10.039999999999999</v>
      </c>
      <c r="AY43" s="41">
        <f>INDEX('[1]End - Use Prices'!$C$6:$AL$89,MATCH($C43,'[1]End - Use Prices'!$A$6:$A$89,0)+MATCH($D43,'[1]End - Use Prices'!$B$9:$B$11,0)-1,MATCH(AY$1,'[1]End - Use Prices'!$C$7:$AL$7,0))</f>
        <v>10.16</v>
      </c>
      <c r="AZ43" s="41">
        <f>INDEX('[1]End - Use Prices'!$C$6:$AL$89,MATCH($C43,'[1]End - Use Prices'!$A$6:$A$89,0)+MATCH($D43,'[1]End - Use Prices'!$B$9:$B$11,0)-1,MATCH(AZ$1,'[1]End - Use Prices'!$C$7:$AL$7,0))</f>
        <v>10.28</v>
      </c>
      <c r="BA43" s="41">
        <f>INDEX('[1]End - Use Prices'!$C$6:$AL$89,MATCH($C43,'[1]End - Use Prices'!$A$6:$A$89,0)+MATCH($D43,'[1]End - Use Prices'!$B$9:$B$11,0)-1,MATCH(BA$1,'[1]End - Use Prices'!$C$7:$AL$7,0))</f>
        <v>10.34</v>
      </c>
      <c r="BB43" s="41">
        <f>INDEX('[1]End - Use Prices'!$C$6:$AL$89,MATCH($C43,'[1]End - Use Prices'!$A$6:$A$89,0)+MATCH($D43,'[1]End - Use Prices'!$B$9:$B$11,0)-1,MATCH(BB$1,'[1]End - Use Prices'!$C$7:$AL$7,0))</f>
        <v>10.41</v>
      </c>
      <c r="BC43" s="41">
        <f>INDEX('[1]End - Use Prices'!$C$6:$AL$89,MATCH($C43,'[1]End - Use Prices'!$A$6:$A$89,0)+MATCH($D43,'[1]End - Use Prices'!$B$9:$B$11,0)-1,MATCH(BC$1,'[1]End - Use Prices'!$C$7:$AL$7,0))</f>
        <v>10.46</v>
      </c>
      <c r="BD43" s="41">
        <f>INDEX('[1]End - Use Prices'!$C$6:$AL$89,MATCH($C43,'[1]End - Use Prices'!$A$6:$A$89,0)+MATCH($D43,'[1]End - Use Prices'!$B$9:$B$11,0)-1,MATCH(BD$1,'[1]End - Use Prices'!$C$7:$AL$7,0))</f>
        <v>10.5</v>
      </c>
      <c r="BE43" s="41">
        <f>INDEX('[1]End - Use Prices'!$C$6:$AL$89,MATCH($C43,'[1]End - Use Prices'!$A$6:$A$89,0)+MATCH($D43,'[1]End - Use Prices'!$B$9:$B$11,0)-1,MATCH(BE$1,'[1]End - Use Prices'!$C$7:$AL$7,0))</f>
        <v>10.54</v>
      </c>
      <c r="BF43" s="41">
        <f>INDEX('[1]End - Use Prices'!$C$6:$AL$89,MATCH($C43,'[1]End - Use Prices'!$A$6:$A$89,0)+MATCH($D43,'[1]End - Use Prices'!$B$9:$B$11,0)-1,MATCH(BF$1,'[1]End - Use Prices'!$C$7:$AL$7,0))</f>
        <v>10.57</v>
      </c>
      <c r="BG43" s="41">
        <f>INDEX('[1]End - Use Prices'!$C$6:$AL$89,MATCH($C43,'[1]End - Use Prices'!$A$6:$A$89,0)+MATCH($D43,'[1]End - Use Prices'!$B$9:$B$11,0)-1,MATCH(BG$1,'[1]End - Use Prices'!$C$7:$AL$7,0))</f>
        <v>10.59</v>
      </c>
      <c r="BR43" s="39"/>
      <c r="BS43" s="39"/>
      <c r="BT43" s="39"/>
      <c r="BU43" s="39"/>
      <c r="BV43" s="39"/>
      <c r="BW43" s="39"/>
      <c r="BX43" s="39"/>
      <c r="BY43" s="39"/>
      <c r="BZ43" s="39"/>
      <c r="CA43" s="39"/>
    </row>
    <row r="44" spans="1:79" x14ac:dyDescent="0.25">
      <c r="A44" s="5"/>
      <c r="B44" s="3"/>
      <c r="C44" s="25" t="s">
        <v>97</v>
      </c>
      <c r="D44" s="25" t="s">
        <v>14</v>
      </c>
      <c r="E44" s="25" t="s">
        <v>313</v>
      </c>
      <c r="F44" s="74" t="s">
        <v>310</v>
      </c>
      <c r="G44" s="54">
        <f t="shared" si="8"/>
        <v>32.04</v>
      </c>
      <c r="H44" s="34">
        <f t="shared" si="26"/>
        <v>32.04</v>
      </c>
      <c r="I44" s="34">
        <f t="shared" si="26"/>
        <v>30.65</v>
      </c>
      <c r="J44" s="34">
        <f t="shared" si="26"/>
        <v>39.43</v>
      </c>
      <c r="K44" s="34">
        <f t="shared" si="26"/>
        <v>41.09</v>
      </c>
      <c r="L44" s="34">
        <f t="shared" si="26"/>
        <v>42.93</v>
      </c>
      <c r="M44" s="34">
        <f t="shared" si="26"/>
        <v>43.05</v>
      </c>
      <c r="N44" s="34">
        <f t="shared" si="26"/>
        <v>43.31</v>
      </c>
      <c r="O44" s="34">
        <f t="shared" si="26"/>
        <v>43.29</v>
      </c>
      <c r="P44" s="54">
        <f t="shared" ref="P44:Q44" si="37">O44</f>
        <v>43.29</v>
      </c>
      <c r="Q44" s="54">
        <f t="shared" si="37"/>
        <v>43.29</v>
      </c>
      <c r="R44" s="38"/>
      <c r="X44" s="41">
        <f>INDEX('[1]End - Use Prices'!$C$6:$AL$89,MATCH($C44,'[1]End - Use Prices'!$A$6:$A$89,0)+MATCH($D44,'[1]End - Use Prices'!$B$9:$B$11,0)-1,MATCH(X$1,'[1]End - Use Prices'!$C$7:$AL$7,0))</f>
        <v>32.04</v>
      </c>
      <c r="Y44" s="41">
        <f>INDEX('[1]End - Use Prices'!$C$6:$AL$89,MATCH($C44,'[1]End - Use Prices'!$A$6:$A$89,0)+MATCH($D44,'[1]End - Use Prices'!$B$9:$B$11,0)-1,MATCH(Y$1,'[1]End - Use Prices'!$C$7:$AL$7,0))</f>
        <v>31.25</v>
      </c>
      <c r="Z44" s="41">
        <f>INDEX('[1]End - Use Prices'!$C$6:$AL$89,MATCH($C44,'[1]End - Use Prices'!$A$6:$A$89,0)+MATCH($D44,'[1]End - Use Prices'!$B$9:$B$11,0)-1,MATCH(Z$1,'[1]End - Use Prices'!$C$7:$AL$7,0))</f>
        <v>32.020000000000003</v>
      </c>
      <c r="AA44" s="41">
        <f>INDEX('[1]End - Use Prices'!$C$6:$AL$89,MATCH($C44,'[1]End - Use Prices'!$A$6:$A$89,0)+MATCH($D44,'[1]End - Use Prices'!$B$9:$B$11,0)-1,MATCH(AA$1,'[1]End - Use Prices'!$C$7:$AL$7,0))</f>
        <v>31.29</v>
      </c>
      <c r="AB44" s="41">
        <f>INDEX('[1]End - Use Prices'!$C$6:$AL$89,MATCH($C44,'[1]End - Use Prices'!$A$6:$A$89,0)+MATCH($D44,'[1]End - Use Prices'!$B$9:$B$11,0)-1,MATCH(AB$1,'[1]End - Use Prices'!$C$7:$AL$7,0))</f>
        <v>30.74</v>
      </c>
      <c r="AC44" s="41">
        <f>INDEX('[1]End - Use Prices'!$C$6:$AL$89,MATCH($C44,'[1]End - Use Prices'!$A$6:$A$89,0)+MATCH($D44,'[1]End - Use Prices'!$B$9:$B$11,0)-1,MATCH(AC$1,'[1]End - Use Prices'!$C$7:$AL$7,0))</f>
        <v>30.65</v>
      </c>
      <c r="AD44" s="41">
        <f>INDEX('[1]End - Use Prices'!$C$6:$AL$89,MATCH($C44,'[1]End - Use Prices'!$A$6:$A$89,0)+MATCH($D44,'[1]End - Use Prices'!$B$9:$B$11,0)-1,MATCH(AD$1,'[1]End - Use Prices'!$C$7:$AL$7,0))</f>
        <v>29.66</v>
      </c>
      <c r="AE44" s="41">
        <f>INDEX('[1]End - Use Prices'!$C$6:$AL$89,MATCH($C44,'[1]End - Use Prices'!$A$6:$A$89,0)+MATCH($D44,'[1]End - Use Prices'!$B$9:$B$11,0)-1,MATCH(AE$1,'[1]End - Use Prices'!$C$7:$AL$7,0))</f>
        <v>33.369999999999997</v>
      </c>
      <c r="AF44" s="41">
        <f>INDEX('[1]End - Use Prices'!$C$6:$AL$89,MATCH($C44,'[1]End - Use Prices'!$A$6:$A$89,0)+MATCH($D44,'[1]End - Use Prices'!$B$9:$B$11,0)-1,MATCH(AF$1,'[1]End - Use Prices'!$C$7:$AL$7,0))</f>
        <v>33.28</v>
      </c>
      <c r="AG44" s="41">
        <f>INDEX('[1]End - Use Prices'!$C$6:$AL$89,MATCH($C44,'[1]End - Use Prices'!$A$6:$A$89,0)+MATCH($D44,'[1]End - Use Prices'!$B$9:$B$11,0)-1,MATCH(AG$1,'[1]End - Use Prices'!$C$7:$AL$7,0))</f>
        <v>39.119999999999997</v>
      </c>
      <c r="AH44" s="41">
        <f>INDEX('[1]End - Use Prices'!$C$6:$AL$89,MATCH($C44,'[1]End - Use Prices'!$A$6:$A$89,0)+MATCH($D44,'[1]End - Use Prices'!$B$9:$B$11,0)-1,MATCH(AH$1,'[1]End - Use Prices'!$C$7:$AL$7,0))</f>
        <v>39.43</v>
      </c>
      <c r="AI44" s="41">
        <f>INDEX('[1]End - Use Prices'!$C$6:$AL$89,MATCH($C44,'[1]End - Use Prices'!$A$6:$A$89,0)+MATCH($D44,'[1]End - Use Prices'!$B$9:$B$11,0)-1,MATCH(AI$1,'[1]End - Use Prices'!$C$7:$AL$7,0))</f>
        <v>39.19</v>
      </c>
      <c r="AJ44" s="41">
        <f>INDEX('[1]End - Use Prices'!$C$6:$AL$89,MATCH($C44,'[1]End - Use Prices'!$A$6:$A$89,0)+MATCH($D44,'[1]End - Use Prices'!$B$9:$B$11,0)-1,MATCH(AJ$1,'[1]End - Use Prices'!$C$7:$AL$7,0))</f>
        <v>39.659999999999997</v>
      </c>
      <c r="AK44" s="41">
        <f>INDEX('[1]End - Use Prices'!$C$6:$AL$89,MATCH($C44,'[1]End - Use Prices'!$A$6:$A$89,0)+MATCH($D44,'[1]End - Use Prices'!$B$9:$B$11,0)-1,MATCH(AK$1,'[1]End - Use Prices'!$C$7:$AL$7,0))</f>
        <v>39.57</v>
      </c>
      <c r="AL44" s="41">
        <f>INDEX('[1]End - Use Prices'!$C$6:$AL$89,MATCH($C44,'[1]End - Use Prices'!$A$6:$A$89,0)+MATCH($D44,'[1]End - Use Prices'!$B$9:$B$11,0)-1,MATCH(AL$1,'[1]End - Use Prices'!$C$7:$AL$7,0))</f>
        <v>39.549999999999997</v>
      </c>
      <c r="AM44" s="41">
        <f>INDEX('[1]End - Use Prices'!$C$6:$AL$89,MATCH($C44,'[1]End - Use Prices'!$A$6:$A$89,0)+MATCH($D44,'[1]End - Use Prices'!$B$9:$B$11,0)-1,MATCH(AM$1,'[1]End - Use Prices'!$C$7:$AL$7,0))</f>
        <v>41.09</v>
      </c>
      <c r="AN44" s="41">
        <f>INDEX('[1]End - Use Prices'!$C$6:$AL$89,MATCH($C44,'[1]End - Use Prices'!$A$6:$A$89,0)+MATCH($D44,'[1]End - Use Prices'!$B$9:$B$11,0)-1,MATCH(AN$1,'[1]End - Use Prices'!$C$7:$AL$7,0))</f>
        <v>41.81</v>
      </c>
      <c r="AO44" s="41">
        <f>INDEX('[1]End - Use Prices'!$C$6:$AL$89,MATCH($C44,'[1]End - Use Prices'!$A$6:$A$89,0)+MATCH($D44,'[1]End - Use Prices'!$B$9:$B$11,0)-1,MATCH(AO$1,'[1]End - Use Prices'!$C$7:$AL$7,0))</f>
        <v>42.49</v>
      </c>
      <c r="AP44" s="41">
        <f>INDEX('[1]End - Use Prices'!$C$6:$AL$89,MATCH($C44,'[1]End - Use Prices'!$A$6:$A$89,0)+MATCH($D44,'[1]End - Use Prices'!$B$9:$B$11,0)-1,MATCH(AP$1,'[1]End - Use Prices'!$C$7:$AL$7,0))</f>
        <v>43.1</v>
      </c>
      <c r="AQ44" s="41">
        <f>INDEX('[1]End - Use Prices'!$C$6:$AL$89,MATCH($C44,'[1]End - Use Prices'!$A$6:$A$89,0)+MATCH($D44,'[1]End - Use Prices'!$B$9:$B$11,0)-1,MATCH(AQ$1,'[1]End - Use Prices'!$C$7:$AL$7,0))</f>
        <v>43</v>
      </c>
      <c r="AR44" s="41">
        <f>INDEX('[1]End - Use Prices'!$C$6:$AL$89,MATCH($C44,'[1]End - Use Prices'!$A$6:$A$89,0)+MATCH($D44,'[1]End - Use Prices'!$B$9:$B$11,0)-1,MATCH(AR$1,'[1]End - Use Prices'!$C$7:$AL$7,0))</f>
        <v>42.93</v>
      </c>
      <c r="AS44" s="41">
        <f>INDEX('[1]End - Use Prices'!$C$6:$AL$89,MATCH($C44,'[1]End - Use Prices'!$A$6:$A$89,0)+MATCH($D44,'[1]End - Use Prices'!$B$9:$B$11,0)-1,MATCH(AS$1,'[1]End - Use Prices'!$C$7:$AL$7,0))</f>
        <v>42.95</v>
      </c>
      <c r="AT44" s="41">
        <f>INDEX('[1]End - Use Prices'!$C$6:$AL$89,MATCH($C44,'[1]End - Use Prices'!$A$6:$A$89,0)+MATCH($D44,'[1]End - Use Prices'!$B$9:$B$11,0)-1,MATCH(AT$1,'[1]End - Use Prices'!$C$7:$AL$7,0))</f>
        <v>42.95</v>
      </c>
      <c r="AU44" s="41">
        <f>INDEX('[1]End - Use Prices'!$C$6:$AL$89,MATCH($C44,'[1]End - Use Prices'!$A$6:$A$89,0)+MATCH($D44,'[1]End - Use Prices'!$B$9:$B$11,0)-1,MATCH(AU$1,'[1]End - Use Prices'!$C$7:$AL$7,0))</f>
        <v>42.97</v>
      </c>
      <c r="AV44" s="41">
        <f>INDEX('[1]End - Use Prices'!$C$6:$AL$89,MATCH($C44,'[1]End - Use Prices'!$A$6:$A$89,0)+MATCH($D44,'[1]End - Use Prices'!$B$9:$B$11,0)-1,MATCH(AV$1,'[1]End - Use Prices'!$C$7:$AL$7,0))</f>
        <v>43.01</v>
      </c>
      <c r="AW44" s="41">
        <f>INDEX('[1]End - Use Prices'!$C$6:$AL$89,MATCH($C44,'[1]End - Use Prices'!$A$6:$A$89,0)+MATCH($D44,'[1]End - Use Prices'!$B$9:$B$11,0)-1,MATCH(AW$1,'[1]End - Use Prices'!$C$7:$AL$7,0))</f>
        <v>43.05</v>
      </c>
      <c r="AX44" s="41">
        <f>INDEX('[1]End - Use Prices'!$C$6:$AL$89,MATCH($C44,'[1]End - Use Prices'!$A$6:$A$89,0)+MATCH($D44,'[1]End - Use Prices'!$B$9:$B$11,0)-1,MATCH(AX$1,'[1]End - Use Prices'!$C$7:$AL$7,0))</f>
        <v>43.1</v>
      </c>
      <c r="AY44" s="41">
        <f>INDEX('[1]End - Use Prices'!$C$6:$AL$89,MATCH($C44,'[1]End - Use Prices'!$A$6:$A$89,0)+MATCH($D44,'[1]End - Use Prices'!$B$9:$B$11,0)-1,MATCH(AY$1,'[1]End - Use Prices'!$C$7:$AL$7,0))</f>
        <v>43.17</v>
      </c>
      <c r="AZ44" s="41">
        <f>INDEX('[1]End - Use Prices'!$C$6:$AL$89,MATCH($C44,'[1]End - Use Prices'!$A$6:$A$89,0)+MATCH($D44,'[1]End - Use Prices'!$B$9:$B$11,0)-1,MATCH(AZ$1,'[1]End - Use Prices'!$C$7:$AL$7,0))</f>
        <v>43.25</v>
      </c>
      <c r="BA44" s="41">
        <f>INDEX('[1]End - Use Prices'!$C$6:$AL$89,MATCH($C44,'[1]End - Use Prices'!$A$6:$A$89,0)+MATCH($D44,'[1]End - Use Prices'!$B$9:$B$11,0)-1,MATCH(BA$1,'[1]End - Use Prices'!$C$7:$AL$7,0))</f>
        <v>43.28</v>
      </c>
      <c r="BB44" s="41">
        <f>INDEX('[1]End - Use Prices'!$C$6:$AL$89,MATCH($C44,'[1]End - Use Prices'!$A$6:$A$89,0)+MATCH($D44,'[1]End - Use Prices'!$B$9:$B$11,0)-1,MATCH(BB$1,'[1]End - Use Prices'!$C$7:$AL$7,0))</f>
        <v>43.31</v>
      </c>
      <c r="BC44" s="41">
        <f>INDEX('[1]End - Use Prices'!$C$6:$AL$89,MATCH($C44,'[1]End - Use Prices'!$A$6:$A$89,0)+MATCH($D44,'[1]End - Use Prices'!$B$9:$B$11,0)-1,MATCH(BC$1,'[1]End - Use Prices'!$C$7:$AL$7,0))</f>
        <v>43.33</v>
      </c>
      <c r="BD44" s="41">
        <f>INDEX('[1]End - Use Prices'!$C$6:$AL$89,MATCH($C44,'[1]End - Use Prices'!$A$6:$A$89,0)+MATCH($D44,'[1]End - Use Prices'!$B$9:$B$11,0)-1,MATCH(BD$1,'[1]End - Use Prices'!$C$7:$AL$7,0))</f>
        <v>43.33</v>
      </c>
      <c r="BE44" s="41">
        <f>INDEX('[1]End - Use Prices'!$C$6:$AL$89,MATCH($C44,'[1]End - Use Prices'!$A$6:$A$89,0)+MATCH($D44,'[1]End - Use Prices'!$B$9:$B$11,0)-1,MATCH(BE$1,'[1]End - Use Prices'!$C$7:$AL$7,0))</f>
        <v>43.31</v>
      </c>
      <c r="BF44" s="41">
        <f>INDEX('[1]End - Use Prices'!$C$6:$AL$89,MATCH($C44,'[1]End - Use Prices'!$A$6:$A$89,0)+MATCH($D44,'[1]End - Use Prices'!$B$9:$B$11,0)-1,MATCH(BF$1,'[1]End - Use Prices'!$C$7:$AL$7,0))</f>
        <v>43.3</v>
      </c>
      <c r="BG44" s="41">
        <f>INDEX('[1]End - Use Prices'!$C$6:$AL$89,MATCH($C44,'[1]End - Use Prices'!$A$6:$A$89,0)+MATCH($D44,'[1]End - Use Prices'!$B$9:$B$11,0)-1,MATCH(BG$1,'[1]End - Use Prices'!$C$7:$AL$7,0))</f>
        <v>43.29</v>
      </c>
      <c r="BR44" s="39"/>
      <c r="BS44" s="39"/>
      <c r="BT44" s="39"/>
      <c r="BU44" s="39"/>
      <c r="BV44" s="39"/>
      <c r="BW44" s="39"/>
      <c r="BX44" s="39"/>
      <c r="BY44" s="39"/>
      <c r="BZ44" s="39"/>
      <c r="CA44" s="39"/>
    </row>
    <row r="45" spans="1:79" x14ac:dyDescent="0.25">
      <c r="A45" s="5"/>
      <c r="B45" s="3"/>
      <c r="C45" s="25" t="s">
        <v>96</v>
      </c>
      <c r="D45" s="25" t="s">
        <v>14</v>
      </c>
      <c r="E45" s="25" t="s">
        <v>313</v>
      </c>
      <c r="F45" s="74" t="s">
        <v>310</v>
      </c>
      <c r="G45" s="54">
        <f t="shared" si="8"/>
        <v>15.71</v>
      </c>
      <c r="H45" s="34">
        <f t="shared" si="26"/>
        <v>15.71</v>
      </c>
      <c r="I45" s="34">
        <f t="shared" si="26"/>
        <v>14.92</v>
      </c>
      <c r="J45" s="34">
        <f t="shared" si="26"/>
        <v>12.25</v>
      </c>
      <c r="K45" s="34">
        <f t="shared" si="26"/>
        <v>9.07</v>
      </c>
      <c r="L45" s="34">
        <f t="shared" si="26"/>
        <v>9.5</v>
      </c>
      <c r="M45" s="34">
        <f t="shared" si="26"/>
        <v>9.94</v>
      </c>
      <c r="N45" s="34">
        <f t="shared" si="26"/>
        <v>10.41</v>
      </c>
      <c r="O45" s="34">
        <f t="shared" si="26"/>
        <v>10.59</v>
      </c>
      <c r="P45" s="54">
        <f t="shared" ref="P45:Q45" si="38">O45</f>
        <v>10.59</v>
      </c>
      <c r="Q45" s="54">
        <f t="shared" si="38"/>
        <v>10.59</v>
      </c>
      <c r="R45" s="38"/>
      <c r="X45" s="41">
        <f>INDEX('[1]End - Use Prices'!$C$6:$AL$89,MATCH($C45,'[1]End - Use Prices'!$A$6:$A$89,0)+MATCH($D45,'[1]End - Use Prices'!$B$9:$B$11,0)-1,MATCH(X$1,'[1]End - Use Prices'!$C$7:$AL$7,0))</f>
        <v>15.71</v>
      </c>
      <c r="Y45" s="41">
        <f>INDEX('[1]End - Use Prices'!$C$6:$AL$89,MATCH($C45,'[1]End - Use Prices'!$A$6:$A$89,0)+MATCH($D45,'[1]End - Use Prices'!$B$9:$B$11,0)-1,MATCH(Y$1,'[1]End - Use Prices'!$C$7:$AL$7,0))</f>
        <v>16.100000000000001</v>
      </c>
      <c r="Z45" s="41">
        <f>INDEX('[1]End - Use Prices'!$C$6:$AL$89,MATCH($C45,'[1]End - Use Prices'!$A$6:$A$89,0)+MATCH($D45,'[1]End - Use Prices'!$B$9:$B$11,0)-1,MATCH(Z$1,'[1]End - Use Prices'!$C$7:$AL$7,0))</f>
        <v>15.74</v>
      </c>
      <c r="AA45" s="41">
        <f>INDEX('[1]End - Use Prices'!$C$6:$AL$89,MATCH($C45,'[1]End - Use Prices'!$A$6:$A$89,0)+MATCH($D45,'[1]End - Use Prices'!$B$9:$B$11,0)-1,MATCH(AA$1,'[1]End - Use Prices'!$C$7:$AL$7,0))</f>
        <v>15.46</v>
      </c>
      <c r="AB45" s="41">
        <f>INDEX('[1]End - Use Prices'!$C$6:$AL$89,MATCH($C45,'[1]End - Use Prices'!$A$6:$A$89,0)+MATCH($D45,'[1]End - Use Prices'!$B$9:$B$11,0)-1,MATCH(AB$1,'[1]End - Use Prices'!$C$7:$AL$7,0))</f>
        <v>15.41</v>
      </c>
      <c r="AC45" s="41">
        <f>INDEX('[1]End - Use Prices'!$C$6:$AL$89,MATCH($C45,'[1]End - Use Prices'!$A$6:$A$89,0)+MATCH($D45,'[1]End - Use Prices'!$B$9:$B$11,0)-1,MATCH(AC$1,'[1]End - Use Prices'!$C$7:$AL$7,0))</f>
        <v>14.92</v>
      </c>
      <c r="AD45" s="41">
        <f>INDEX('[1]End - Use Prices'!$C$6:$AL$89,MATCH($C45,'[1]End - Use Prices'!$A$6:$A$89,0)+MATCH($D45,'[1]End - Use Prices'!$B$9:$B$11,0)-1,MATCH(AD$1,'[1]End - Use Prices'!$C$7:$AL$7,0))</f>
        <v>13.77</v>
      </c>
      <c r="AE45" s="41">
        <f>INDEX('[1]End - Use Prices'!$C$6:$AL$89,MATCH($C45,'[1]End - Use Prices'!$A$6:$A$89,0)+MATCH($D45,'[1]End - Use Prices'!$B$9:$B$11,0)-1,MATCH(AE$1,'[1]End - Use Prices'!$C$7:$AL$7,0))</f>
        <v>12.54</v>
      </c>
      <c r="AF45" s="41">
        <f>INDEX('[1]End - Use Prices'!$C$6:$AL$89,MATCH($C45,'[1]End - Use Prices'!$A$6:$A$89,0)+MATCH($D45,'[1]End - Use Prices'!$B$9:$B$11,0)-1,MATCH(AF$1,'[1]End - Use Prices'!$C$7:$AL$7,0))</f>
        <v>12.18</v>
      </c>
      <c r="AG45" s="41">
        <f>INDEX('[1]End - Use Prices'!$C$6:$AL$89,MATCH($C45,'[1]End - Use Prices'!$A$6:$A$89,0)+MATCH($D45,'[1]End - Use Prices'!$B$9:$B$11,0)-1,MATCH(AG$1,'[1]End - Use Prices'!$C$7:$AL$7,0))</f>
        <v>13.28</v>
      </c>
      <c r="AH45" s="41">
        <f>INDEX('[1]End - Use Prices'!$C$6:$AL$89,MATCH($C45,'[1]End - Use Prices'!$A$6:$A$89,0)+MATCH($D45,'[1]End - Use Prices'!$B$9:$B$11,0)-1,MATCH(AH$1,'[1]End - Use Prices'!$C$7:$AL$7,0))</f>
        <v>12.25</v>
      </c>
      <c r="AI45" s="41">
        <f>INDEX('[1]End - Use Prices'!$C$6:$AL$89,MATCH($C45,'[1]End - Use Prices'!$A$6:$A$89,0)+MATCH($D45,'[1]End - Use Prices'!$B$9:$B$11,0)-1,MATCH(AI$1,'[1]End - Use Prices'!$C$7:$AL$7,0))</f>
        <v>8.43</v>
      </c>
      <c r="AJ45" s="41">
        <f>INDEX('[1]End - Use Prices'!$C$6:$AL$89,MATCH($C45,'[1]End - Use Prices'!$A$6:$A$89,0)+MATCH($D45,'[1]End - Use Prices'!$B$9:$B$11,0)-1,MATCH(AJ$1,'[1]End - Use Prices'!$C$7:$AL$7,0))</f>
        <v>8.91</v>
      </c>
      <c r="AK45" s="41">
        <f>INDEX('[1]End - Use Prices'!$C$6:$AL$89,MATCH($C45,'[1]End - Use Prices'!$A$6:$A$89,0)+MATCH($D45,'[1]End - Use Prices'!$B$9:$B$11,0)-1,MATCH(AK$1,'[1]End - Use Prices'!$C$7:$AL$7,0))</f>
        <v>8.81</v>
      </c>
      <c r="AL45" s="41">
        <f>INDEX('[1]End - Use Prices'!$C$6:$AL$89,MATCH($C45,'[1]End - Use Prices'!$A$6:$A$89,0)+MATCH($D45,'[1]End - Use Prices'!$B$9:$B$11,0)-1,MATCH(AL$1,'[1]End - Use Prices'!$C$7:$AL$7,0))</f>
        <v>8.7899999999999991</v>
      </c>
      <c r="AM45" s="41">
        <f>INDEX('[1]End - Use Prices'!$C$6:$AL$89,MATCH($C45,'[1]End - Use Prices'!$A$6:$A$89,0)+MATCH($D45,'[1]End - Use Prices'!$B$9:$B$11,0)-1,MATCH(AM$1,'[1]End - Use Prices'!$C$7:$AL$7,0))</f>
        <v>9.07</v>
      </c>
      <c r="AN45" s="41">
        <f>INDEX('[1]End - Use Prices'!$C$6:$AL$89,MATCH($C45,'[1]End - Use Prices'!$A$6:$A$89,0)+MATCH($D45,'[1]End - Use Prices'!$B$9:$B$11,0)-1,MATCH(AN$1,'[1]End - Use Prices'!$C$7:$AL$7,0))</f>
        <v>9.2200000000000006</v>
      </c>
      <c r="AO45" s="41">
        <f>INDEX('[1]End - Use Prices'!$C$6:$AL$89,MATCH($C45,'[1]End - Use Prices'!$A$6:$A$89,0)+MATCH($D45,'[1]End - Use Prices'!$B$9:$B$11,0)-1,MATCH(AO$1,'[1]End - Use Prices'!$C$7:$AL$7,0))</f>
        <v>9.36</v>
      </c>
      <c r="AP45" s="41">
        <f>INDEX('[1]End - Use Prices'!$C$6:$AL$89,MATCH($C45,'[1]End - Use Prices'!$A$6:$A$89,0)+MATCH($D45,'[1]End - Use Prices'!$B$9:$B$11,0)-1,MATCH(AP$1,'[1]End - Use Prices'!$C$7:$AL$7,0))</f>
        <v>9.48</v>
      </c>
      <c r="AQ45" s="41">
        <f>INDEX('[1]End - Use Prices'!$C$6:$AL$89,MATCH($C45,'[1]End - Use Prices'!$A$6:$A$89,0)+MATCH($D45,'[1]End - Use Prices'!$B$9:$B$11,0)-1,MATCH(AQ$1,'[1]End - Use Prices'!$C$7:$AL$7,0))</f>
        <v>9.48</v>
      </c>
      <c r="AR45" s="41">
        <f>INDEX('[1]End - Use Prices'!$C$6:$AL$89,MATCH($C45,'[1]End - Use Prices'!$A$6:$A$89,0)+MATCH($D45,'[1]End - Use Prices'!$B$9:$B$11,0)-1,MATCH(AR$1,'[1]End - Use Prices'!$C$7:$AL$7,0))</f>
        <v>9.5</v>
      </c>
      <c r="AS45" s="41">
        <f>INDEX('[1]End - Use Prices'!$C$6:$AL$89,MATCH($C45,'[1]End - Use Prices'!$A$6:$A$89,0)+MATCH($D45,'[1]End - Use Prices'!$B$9:$B$11,0)-1,MATCH(AS$1,'[1]End - Use Prices'!$C$7:$AL$7,0))</f>
        <v>9.58</v>
      </c>
      <c r="AT45" s="41">
        <f>INDEX('[1]End - Use Prices'!$C$6:$AL$89,MATCH($C45,'[1]End - Use Prices'!$A$6:$A$89,0)+MATCH($D45,'[1]End - Use Prices'!$B$9:$B$11,0)-1,MATCH(AT$1,'[1]End - Use Prices'!$C$7:$AL$7,0))</f>
        <v>9.66</v>
      </c>
      <c r="AU45" s="41">
        <f>INDEX('[1]End - Use Prices'!$C$6:$AL$89,MATCH($C45,'[1]End - Use Prices'!$A$6:$A$89,0)+MATCH($D45,'[1]End - Use Prices'!$B$9:$B$11,0)-1,MATCH(AU$1,'[1]End - Use Prices'!$C$7:$AL$7,0))</f>
        <v>9.75</v>
      </c>
      <c r="AV45" s="41">
        <f>INDEX('[1]End - Use Prices'!$C$6:$AL$89,MATCH($C45,'[1]End - Use Prices'!$A$6:$A$89,0)+MATCH($D45,'[1]End - Use Prices'!$B$9:$B$11,0)-1,MATCH(AV$1,'[1]End - Use Prices'!$C$7:$AL$7,0))</f>
        <v>9.85</v>
      </c>
      <c r="AW45" s="41">
        <f>INDEX('[1]End - Use Prices'!$C$6:$AL$89,MATCH($C45,'[1]End - Use Prices'!$A$6:$A$89,0)+MATCH($D45,'[1]End - Use Prices'!$B$9:$B$11,0)-1,MATCH(AW$1,'[1]End - Use Prices'!$C$7:$AL$7,0))</f>
        <v>9.94</v>
      </c>
      <c r="AX45" s="41">
        <f>INDEX('[1]End - Use Prices'!$C$6:$AL$89,MATCH($C45,'[1]End - Use Prices'!$A$6:$A$89,0)+MATCH($D45,'[1]End - Use Prices'!$B$9:$B$11,0)-1,MATCH(AX$1,'[1]End - Use Prices'!$C$7:$AL$7,0))</f>
        <v>10.039999999999999</v>
      </c>
      <c r="AY45" s="41">
        <f>INDEX('[1]End - Use Prices'!$C$6:$AL$89,MATCH($C45,'[1]End - Use Prices'!$A$6:$A$89,0)+MATCH($D45,'[1]End - Use Prices'!$B$9:$B$11,0)-1,MATCH(AY$1,'[1]End - Use Prices'!$C$7:$AL$7,0))</f>
        <v>10.16</v>
      </c>
      <c r="AZ45" s="41">
        <f>INDEX('[1]End - Use Prices'!$C$6:$AL$89,MATCH($C45,'[1]End - Use Prices'!$A$6:$A$89,0)+MATCH($D45,'[1]End - Use Prices'!$B$9:$B$11,0)-1,MATCH(AZ$1,'[1]End - Use Prices'!$C$7:$AL$7,0))</f>
        <v>10.28</v>
      </c>
      <c r="BA45" s="41">
        <f>INDEX('[1]End - Use Prices'!$C$6:$AL$89,MATCH($C45,'[1]End - Use Prices'!$A$6:$A$89,0)+MATCH($D45,'[1]End - Use Prices'!$B$9:$B$11,0)-1,MATCH(BA$1,'[1]End - Use Prices'!$C$7:$AL$7,0))</f>
        <v>10.34</v>
      </c>
      <c r="BB45" s="41">
        <f>INDEX('[1]End - Use Prices'!$C$6:$AL$89,MATCH($C45,'[1]End - Use Prices'!$A$6:$A$89,0)+MATCH($D45,'[1]End - Use Prices'!$B$9:$B$11,0)-1,MATCH(BB$1,'[1]End - Use Prices'!$C$7:$AL$7,0))</f>
        <v>10.41</v>
      </c>
      <c r="BC45" s="41">
        <f>INDEX('[1]End - Use Prices'!$C$6:$AL$89,MATCH($C45,'[1]End - Use Prices'!$A$6:$A$89,0)+MATCH($D45,'[1]End - Use Prices'!$B$9:$B$11,0)-1,MATCH(BC$1,'[1]End - Use Prices'!$C$7:$AL$7,0))</f>
        <v>10.46</v>
      </c>
      <c r="BD45" s="41">
        <f>INDEX('[1]End - Use Prices'!$C$6:$AL$89,MATCH($C45,'[1]End - Use Prices'!$A$6:$A$89,0)+MATCH($D45,'[1]End - Use Prices'!$B$9:$B$11,0)-1,MATCH(BD$1,'[1]End - Use Prices'!$C$7:$AL$7,0))</f>
        <v>10.5</v>
      </c>
      <c r="BE45" s="41">
        <f>INDEX('[1]End - Use Prices'!$C$6:$AL$89,MATCH($C45,'[1]End - Use Prices'!$A$6:$A$89,0)+MATCH($D45,'[1]End - Use Prices'!$B$9:$B$11,0)-1,MATCH(BE$1,'[1]End - Use Prices'!$C$7:$AL$7,0))</f>
        <v>10.54</v>
      </c>
      <c r="BF45" s="41">
        <f>INDEX('[1]End - Use Prices'!$C$6:$AL$89,MATCH($C45,'[1]End - Use Prices'!$A$6:$A$89,0)+MATCH($D45,'[1]End - Use Prices'!$B$9:$B$11,0)-1,MATCH(BF$1,'[1]End - Use Prices'!$C$7:$AL$7,0))</f>
        <v>10.57</v>
      </c>
      <c r="BG45" s="41">
        <f>INDEX('[1]End - Use Prices'!$C$6:$AL$89,MATCH($C45,'[1]End - Use Prices'!$A$6:$A$89,0)+MATCH($D45,'[1]End - Use Prices'!$B$9:$B$11,0)-1,MATCH(BG$1,'[1]End - Use Prices'!$C$7:$AL$7,0))</f>
        <v>10.59</v>
      </c>
      <c r="BR45" s="39"/>
      <c r="BS45" s="39"/>
      <c r="BT45" s="39"/>
      <c r="BU45" s="39"/>
      <c r="BV45" s="39"/>
      <c r="BW45" s="39"/>
      <c r="BX45" s="39"/>
      <c r="BY45" s="39"/>
      <c r="BZ45" s="39"/>
      <c r="CA45" s="39"/>
    </row>
    <row r="46" spans="1:79" x14ac:dyDescent="0.25">
      <c r="A46" s="5"/>
      <c r="B46" s="3"/>
      <c r="C46" s="25" t="s">
        <v>48</v>
      </c>
      <c r="D46" s="25" t="s">
        <v>311</v>
      </c>
      <c r="E46" s="25" t="s">
        <v>313</v>
      </c>
      <c r="F46" s="74" t="s">
        <v>310</v>
      </c>
      <c r="G46" s="54">
        <f t="shared" si="8"/>
        <v>25.71</v>
      </c>
      <c r="H46" s="34">
        <f t="shared" si="26"/>
        <v>25.71</v>
      </c>
      <c r="I46" s="34">
        <f t="shared" si="26"/>
        <v>26.91</v>
      </c>
      <c r="J46" s="34">
        <f t="shared" si="26"/>
        <v>28.23</v>
      </c>
      <c r="K46" s="34">
        <f t="shared" si="26"/>
        <v>38.950000000000003</v>
      </c>
      <c r="L46" s="34">
        <f t="shared" si="26"/>
        <v>34.25</v>
      </c>
      <c r="M46" s="34">
        <f t="shared" si="26"/>
        <v>33.67</v>
      </c>
      <c r="N46" s="34">
        <f t="shared" si="26"/>
        <v>33.49</v>
      </c>
      <c r="O46" s="34">
        <f t="shared" si="26"/>
        <v>33.18</v>
      </c>
      <c r="P46" s="54">
        <f t="shared" ref="P46:Q46" si="39">O46</f>
        <v>33.18</v>
      </c>
      <c r="Q46" s="54">
        <f t="shared" si="39"/>
        <v>33.18</v>
      </c>
      <c r="R46" s="38"/>
      <c r="X46" s="41">
        <f>INDEX('[1]End - Use Prices'!$C$6:$AL$89,MATCH($C46,'[1]End - Use Prices'!$A$6:$A$89,0)+MATCH($D46,'[1]End - Use Prices'!$B$9:$B$11,0)-1,MATCH(X$1,'[1]End - Use Prices'!$C$7:$AL$7,0))</f>
        <v>25.71</v>
      </c>
      <c r="Y46" s="41">
        <f>INDEX('[1]End - Use Prices'!$C$6:$AL$89,MATCH($C46,'[1]End - Use Prices'!$A$6:$A$89,0)+MATCH($D46,'[1]End - Use Prices'!$B$9:$B$11,0)-1,MATCH(Y$1,'[1]End - Use Prices'!$C$7:$AL$7,0))</f>
        <v>26.31</v>
      </c>
      <c r="Z46" s="41">
        <f>INDEX('[1]End - Use Prices'!$C$6:$AL$89,MATCH($C46,'[1]End - Use Prices'!$A$6:$A$89,0)+MATCH($D46,'[1]End - Use Prices'!$B$9:$B$11,0)-1,MATCH(Z$1,'[1]End - Use Prices'!$C$7:$AL$7,0))</f>
        <v>26.43</v>
      </c>
      <c r="AA46" s="41">
        <f>INDEX('[1]End - Use Prices'!$C$6:$AL$89,MATCH($C46,'[1]End - Use Prices'!$A$6:$A$89,0)+MATCH($D46,'[1]End - Use Prices'!$B$9:$B$11,0)-1,MATCH(AA$1,'[1]End - Use Prices'!$C$7:$AL$7,0))</f>
        <v>33.200000000000003</v>
      </c>
      <c r="AB46" s="41">
        <f>INDEX('[1]End - Use Prices'!$C$6:$AL$89,MATCH($C46,'[1]End - Use Prices'!$A$6:$A$89,0)+MATCH($D46,'[1]End - Use Prices'!$B$9:$B$11,0)-1,MATCH(AB$1,'[1]End - Use Prices'!$C$7:$AL$7,0))</f>
        <v>23.79</v>
      </c>
      <c r="AC46" s="41">
        <f>INDEX('[1]End - Use Prices'!$C$6:$AL$89,MATCH($C46,'[1]End - Use Prices'!$A$6:$A$89,0)+MATCH($D46,'[1]End - Use Prices'!$B$9:$B$11,0)-1,MATCH(AC$1,'[1]End - Use Prices'!$C$7:$AL$7,0))</f>
        <v>26.91</v>
      </c>
      <c r="AD46" s="41">
        <f>INDEX('[1]End - Use Prices'!$C$6:$AL$89,MATCH($C46,'[1]End - Use Prices'!$A$6:$A$89,0)+MATCH($D46,'[1]End - Use Prices'!$B$9:$B$11,0)-1,MATCH(AD$1,'[1]End - Use Prices'!$C$7:$AL$7,0))</f>
        <v>32.58</v>
      </c>
      <c r="AE46" s="41">
        <f>INDEX('[1]End - Use Prices'!$C$6:$AL$89,MATCH($C46,'[1]End - Use Prices'!$A$6:$A$89,0)+MATCH($D46,'[1]End - Use Prices'!$B$9:$B$11,0)-1,MATCH(AE$1,'[1]End - Use Prices'!$C$7:$AL$7,0))</f>
        <v>33.74</v>
      </c>
      <c r="AF46" s="41">
        <f>INDEX('[1]End - Use Prices'!$C$6:$AL$89,MATCH($C46,'[1]End - Use Prices'!$A$6:$A$89,0)+MATCH($D46,'[1]End - Use Prices'!$B$9:$B$11,0)-1,MATCH(AF$1,'[1]End - Use Prices'!$C$7:$AL$7,0))</f>
        <v>33.31</v>
      </c>
      <c r="AG46" s="41">
        <f>INDEX('[1]End - Use Prices'!$C$6:$AL$89,MATCH($C46,'[1]End - Use Prices'!$A$6:$A$89,0)+MATCH($D46,'[1]End - Use Prices'!$B$9:$B$11,0)-1,MATCH(AG$1,'[1]End - Use Prices'!$C$7:$AL$7,0))</f>
        <v>34.46</v>
      </c>
      <c r="AH46" s="41">
        <f>INDEX('[1]End - Use Prices'!$C$6:$AL$89,MATCH($C46,'[1]End - Use Prices'!$A$6:$A$89,0)+MATCH($D46,'[1]End - Use Prices'!$B$9:$B$11,0)-1,MATCH(AH$1,'[1]End - Use Prices'!$C$7:$AL$7,0))</f>
        <v>28.23</v>
      </c>
      <c r="AI46" s="41">
        <f>INDEX('[1]End - Use Prices'!$C$6:$AL$89,MATCH($C46,'[1]End - Use Prices'!$A$6:$A$89,0)+MATCH($D46,'[1]End - Use Prices'!$B$9:$B$11,0)-1,MATCH(AI$1,'[1]End - Use Prices'!$C$7:$AL$7,0))</f>
        <v>24.61</v>
      </c>
      <c r="AJ46" s="41">
        <f>INDEX('[1]End - Use Prices'!$C$6:$AL$89,MATCH($C46,'[1]End - Use Prices'!$A$6:$A$89,0)+MATCH($D46,'[1]End - Use Prices'!$B$9:$B$11,0)-1,MATCH(AJ$1,'[1]End - Use Prices'!$C$7:$AL$7,0))</f>
        <v>27.26</v>
      </c>
      <c r="AK46" s="41">
        <f>INDEX('[1]End - Use Prices'!$C$6:$AL$89,MATCH($C46,'[1]End - Use Prices'!$A$6:$A$89,0)+MATCH($D46,'[1]End - Use Prices'!$B$9:$B$11,0)-1,MATCH(AK$1,'[1]End - Use Prices'!$C$7:$AL$7,0))</f>
        <v>31.59</v>
      </c>
      <c r="AL46" s="41">
        <f>INDEX('[1]End - Use Prices'!$C$6:$AL$89,MATCH($C46,'[1]End - Use Prices'!$A$6:$A$89,0)+MATCH($D46,'[1]End - Use Prices'!$B$9:$B$11,0)-1,MATCH(AL$1,'[1]End - Use Prices'!$C$7:$AL$7,0))</f>
        <v>35.08</v>
      </c>
      <c r="AM46" s="41">
        <f>INDEX('[1]End - Use Prices'!$C$6:$AL$89,MATCH($C46,'[1]End - Use Prices'!$A$6:$A$89,0)+MATCH($D46,'[1]End - Use Prices'!$B$9:$B$11,0)-1,MATCH(AM$1,'[1]End - Use Prices'!$C$7:$AL$7,0))</f>
        <v>38.950000000000003</v>
      </c>
      <c r="AN46" s="41">
        <f>INDEX('[1]End - Use Prices'!$C$6:$AL$89,MATCH($C46,'[1]End - Use Prices'!$A$6:$A$89,0)+MATCH($D46,'[1]End - Use Prices'!$B$9:$B$11,0)-1,MATCH(AN$1,'[1]End - Use Prices'!$C$7:$AL$7,0))</f>
        <v>36.01</v>
      </c>
      <c r="AO46" s="41">
        <f>INDEX('[1]End - Use Prices'!$C$6:$AL$89,MATCH($C46,'[1]End - Use Prices'!$A$6:$A$89,0)+MATCH($D46,'[1]End - Use Prices'!$B$9:$B$11,0)-1,MATCH(AO$1,'[1]End - Use Prices'!$C$7:$AL$7,0))</f>
        <v>34.17</v>
      </c>
      <c r="AP46" s="41">
        <f>INDEX('[1]End - Use Prices'!$C$6:$AL$89,MATCH($C46,'[1]End - Use Prices'!$A$6:$A$89,0)+MATCH($D46,'[1]End - Use Prices'!$B$9:$B$11,0)-1,MATCH(AP$1,'[1]End - Use Prices'!$C$7:$AL$7,0))</f>
        <v>34.06</v>
      </c>
      <c r="AQ46" s="41">
        <f>INDEX('[1]End - Use Prices'!$C$6:$AL$89,MATCH($C46,'[1]End - Use Prices'!$A$6:$A$89,0)+MATCH($D46,'[1]End - Use Prices'!$B$9:$B$11,0)-1,MATCH(AQ$1,'[1]End - Use Prices'!$C$7:$AL$7,0))</f>
        <v>34.04</v>
      </c>
      <c r="AR46" s="41">
        <f>INDEX('[1]End - Use Prices'!$C$6:$AL$89,MATCH($C46,'[1]End - Use Prices'!$A$6:$A$89,0)+MATCH($D46,'[1]End - Use Prices'!$B$9:$B$11,0)-1,MATCH(AR$1,'[1]End - Use Prices'!$C$7:$AL$7,0))</f>
        <v>34.25</v>
      </c>
      <c r="AS46" s="41">
        <f>INDEX('[1]End - Use Prices'!$C$6:$AL$89,MATCH($C46,'[1]End - Use Prices'!$A$6:$A$89,0)+MATCH($D46,'[1]End - Use Prices'!$B$9:$B$11,0)-1,MATCH(AS$1,'[1]End - Use Prices'!$C$7:$AL$7,0))</f>
        <v>34.39</v>
      </c>
      <c r="AT46" s="41">
        <f>INDEX('[1]End - Use Prices'!$C$6:$AL$89,MATCH($C46,'[1]End - Use Prices'!$A$6:$A$89,0)+MATCH($D46,'[1]End - Use Prices'!$B$9:$B$11,0)-1,MATCH(AT$1,'[1]End - Use Prices'!$C$7:$AL$7,0))</f>
        <v>34.22</v>
      </c>
      <c r="AU46" s="41">
        <f>INDEX('[1]End - Use Prices'!$C$6:$AL$89,MATCH($C46,'[1]End - Use Prices'!$A$6:$A$89,0)+MATCH($D46,'[1]End - Use Prices'!$B$9:$B$11,0)-1,MATCH(AU$1,'[1]End - Use Prices'!$C$7:$AL$7,0))</f>
        <v>34.020000000000003</v>
      </c>
      <c r="AV46" s="41">
        <f>INDEX('[1]End - Use Prices'!$C$6:$AL$89,MATCH($C46,'[1]End - Use Prices'!$A$6:$A$89,0)+MATCH($D46,'[1]End - Use Prices'!$B$9:$B$11,0)-1,MATCH(AV$1,'[1]End - Use Prices'!$C$7:$AL$7,0))</f>
        <v>33.840000000000003</v>
      </c>
      <c r="AW46" s="41">
        <f>INDEX('[1]End - Use Prices'!$C$6:$AL$89,MATCH($C46,'[1]End - Use Prices'!$A$6:$A$89,0)+MATCH($D46,'[1]End - Use Prices'!$B$9:$B$11,0)-1,MATCH(AW$1,'[1]End - Use Prices'!$C$7:$AL$7,0))</f>
        <v>33.67</v>
      </c>
      <c r="AX46" s="41">
        <f>INDEX('[1]End - Use Prices'!$C$6:$AL$89,MATCH($C46,'[1]End - Use Prices'!$A$6:$A$89,0)+MATCH($D46,'[1]End - Use Prices'!$B$9:$B$11,0)-1,MATCH(AX$1,'[1]End - Use Prices'!$C$7:$AL$7,0))</f>
        <v>33.58</v>
      </c>
      <c r="AY46" s="41">
        <f>INDEX('[1]End - Use Prices'!$C$6:$AL$89,MATCH($C46,'[1]End - Use Prices'!$A$6:$A$89,0)+MATCH($D46,'[1]End - Use Prices'!$B$9:$B$11,0)-1,MATCH(AY$1,'[1]End - Use Prices'!$C$7:$AL$7,0))</f>
        <v>33.51</v>
      </c>
      <c r="AZ46" s="41">
        <f>INDEX('[1]End - Use Prices'!$C$6:$AL$89,MATCH($C46,'[1]End - Use Prices'!$A$6:$A$89,0)+MATCH($D46,'[1]End - Use Prices'!$B$9:$B$11,0)-1,MATCH(AZ$1,'[1]End - Use Prices'!$C$7:$AL$7,0))</f>
        <v>33.49</v>
      </c>
      <c r="BA46" s="41">
        <f>INDEX('[1]End - Use Prices'!$C$6:$AL$89,MATCH($C46,'[1]End - Use Prices'!$A$6:$A$89,0)+MATCH($D46,'[1]End - Use Prices'!$B$9:$B$11,0)-1,MATCH(BA$1,'[1]End - Use Prices'!$C$7:$AL$7,0))</f>
        <v>33.5</v>
      </c>
      <c r="BB46" s="41">
        <f>INDEX('[1]End - Use Prices'!$C$6:$AL$89,MATCH($C46,'[1]End - Use Prices'!$A$6:$A$89,0)+MATCH($D46,'[1]End - Use Prices'!$B$9:$B$11,0)-1,MATCH(BB$1,'[1]End - Use Prices'!$C$7:$AL$7,0))</f>
        <v>33.49</v>
      </c>
      <c r="BC46" s="41">
        <f>INDEX('[1]End - Use Prices'!$C$6:$AL$89,MATCH($C46,'[1]End - Use Prices'!$A$6:$A$89,0)+MATCH($D46,'[1]End - Use Prices'!$B$9:$B$11,0)-1,MATCH(BC$1,'[1]End - Use Prices'!$C$7:$AL$7,0))</f>
        <v>33.46</v>
      </c>
      <c r="BD46" s="41">
        <f>INDEX('[1]End - Use Prices'!$C$6:$AL$89,MATCH($C46,'[1]End - Use Prices'!$A$6:$A$89,0)+MATCH($D46,'[1]End - Use Prices'!$B$9:$B$11,0)-1,MATCH(BD$1,'[1]End - Use Prices'!$C$7:$AL$7,0))</f>
        <v>33.42</v>
      </c>
      <c r="BE46" s="41">
        <f>INDEX('[1]End - Use Prices'!$C$6:$AL$89,MATCH($C46,'[1]End - Use Prices'!$A$6:$A$89,0)+MATCH($D46,'[1]End - Use Prices'!$B$9:$B$11,0)-1,MATCH(BE$1,'[1]End - Use Prices'!$C$7:$AL$7,0))</f>
        <v>33.340000000000003</v>
      </c>
      <c r="BF46" s="41">
        <f>INDEX('[1]End - Use Prices'!$C$6:$AL$89,MATCH($C46,'[1]End - Use Prices'!$A$6:$A$89,0)+MATCH($D46,'[1]End - Use Prices'!$B$9:$B$11,0)-1,MATCH(BF$1,'[1]End - Use Prices'!$C$7:$AL$7,0))</f>
        <v>33.270000000000003</v>
      </c>
      <c r="BG46" s="41">
        <f>INDEX('[1]End - Use Prices'!$C$6:$AL$89,MATCH($C46,'[1]End - Use Prices'!$A$6:$A$89,0)+MATCH($D46,'[1]End - Use Prices'!$B$9:$B$11,0)-1,MATCH(BG$1,'[1]End - Use Prices'!$C$7:$AL$7,0))</f>
        <v>33.18</v>
      </c>
      <c r="BR46" s="39"/>
      <c r="BS46" s="39"/>
      <c r="BT46" s="39"/>
      <c r="BU46" s="39"/>
      <c r="BV46" s="39"/>
      <c r="BW46" s="39"/>
      <c r="BX46" s="39"/>
      <c r="BY46" s="39"/>
      <c r="BZ46" s="39"/>
      <c r="CA46" s="39"/>
    </row>
    <row r="47" spans="1:79" x14ac:dyDescent="0.25">
      <c r="A47" s="5"/>
      <c r="B47" s="3"/>
      <c r="C47" s="25" t="s">
        <v>87</v>
      </c>
      <c r="D47" s="25" t="s">
        <v>311</v>
      </c>
      <c r="E47" s="25" t="s">
        <v>313</v>
      </c>
      <c r="F47" s="74" t="s">
        <v>310</v>
      </c>
      <c r="G47" s="54">
        <f t="shared" si="8"/>
        <v>25.86</v>
      </c>
      <c r="H47" s="34">
        <f t="shared" si="26"/>
        <v>25.86</v>
      </c>
      <c r="I47" s="34">
        <f t="shared" si="26"/>
        <v>26.25</v>
      </c>
      <c r="J47" s="34">
        <f t="shared" si="26"/>
        <v>22.78</v>
      </c>
      <c r="K47" s="34">
        <f t="shared" si="26"/>
        <v>35.65</v>
      </c>
      <c r="L47" s="34">
        <f t="shared" si="26"/>
        <v>31.1</v>
      </c>
      <c r="M47" s="34">
        <f t="shared" si="26"/>
        <v>30.26</v>
      </c>
      <c r="N47" s="34">
        <f t="shared" si="26"/>
        <v>30.03</v>
      </c>
      <c r="O47" s="34">
        <f t="shared" si="26"/>
        <v>29.65</v>
      </c>
      <c r="P47" s="54">
        <f t="shared" ref="P47:Q47" si="40">O47</f>
        <v>29.65</v>
      </c>
      <c r="Q47" s="54">
        <f t="shared" si="40"/>
        <v>29.65</v>
      </c>
      <c r="R47" s="38"/>
      <c r="X47" s="41">
        <f>INDEX('[1]End - Use Prices'!$C$6:$AL$89,MATCH($C47,'[1]End - Use Prices'!$A$6:$A$89,0)+MATCH($D47,'[1]End - Use Prices'!$B$9:$B$11,0)-1,MATCH(X$1,'[1]End - Use Prices'!$C$7:$AL$7,0))</f>
        <v>25.86</v>
      </c>
      <c r="Y47" s="41">
        <f>INDEX('[1]End - Use Prices'!$C$6:$AL$89,MATCH($C47,'[1]End - Use Prices'!$A$6:$A$89,0)+MATCH($D47,'[1]End - Use Prices'!$B$9:$B$11,0)-1,MATCH(Y$1,'[1]End - Use Prices'!$C$7:$AL$7,0))</f>
        <v>27.18</v>
      </c>
      <c r="Z47" s="41">
        <f>INDEX('[1]End - Use Prices'!$C$6:$AL$89,MATCH($C47,'[1]End - Use Prices'!$A$6:$A$89,0)+MATCH($D47,'[1]End - Use Prices'!$B$9:$B$11,0)-1,MATCH(Z$1,'[1]End - Use Prices'!$C$7:$AL$7,0))</f>
        <v>27.19</v>
      </c>
      <c r="AA47" s="41">
        <f>INDEX('[1]End - Use Prices'!$C$6:$AL$89,MATCH($C47,'[1]End - Use Prices'!$A$6:$A$89,0)+MATCH($D47,'[1]End - Use Prices'!$B$9:$B$11,0)-1,MATCH(AA$1,'[1]End - Use Prices'!$C$7:$AL$7,0))</f>
        <v>32.65</v>
      </c>
      <c r="AB47" s="41">
        <f>INDEX('[1]End - Use Prices'!$C$6:$AL$89,MATCH($C47,'[1]End - Use Prices'!$A$6:$A$89,0)+MATCH($D47,'[1]End - Use Prices'!$B$9:$B$11,0)-1,MATCH(AB$1,'[1]End - Use Prices'!$C$7:$AL$7,0))</f>
        <v>22.7</v>
      </c>
      <c r="AC47" s="41">
        <f>INDEX('[1]End - Use Prices'!$C$6:$AL$89,MATCH($C47,'[1]End - Use Prices'!$A$6:$A$89,0)+MATCH($D47,'[1]End - Use Prices'!$B$9:$B$11,0)-1,MATCH(AC$1,'[1]End - Use Prices'!$C$7:$AL$7,0))</f>
        <v>26.25</v>
      </c>
      <c r="AD47" s="41">
        <f>INDEX('[1]End - Use Prices'!$C$6:$AL$89,MATCH($C47,'[1]End - Use Prices'!$A$6:$A$89,0)+MATCH($D47,'[1]End - Use Prices'!$B$9:$B$11,0)-1,MATCH(AD$1,'[1]End - Use Prices'!$C$7:$AL$7,0))</f>
        <v>31.74</v>
      </c>
      <c r="AE47" s="41">
        <f>INDEX('[1]End - Use Prices'!$C$6:$AL$89,MATCH($C47,'[1]End - Use Prices'!$A$6:$A$89,0)+MATCH($D47,'[1]End - Use Prices'!$B$9:$B$11,0)-1,MATCH(AE$1,'[1]End - Use Prices'!$C$7:$AL$7,0))</f>
        <v>32.58</v>
      </c>
      <c r="AF47" s="41">
        <f>INDEX('[1]End - Use Prices'!$C$6:$AL$89,MATCH($C47,'[1]End - Use Prices'!$A$6:$A$89,0)+MATCH($D47,'[1]End - Use Prices'!$B$9:$B$11,0)-1,MATCH(AF$1,'[1]End - Use Prices'!$C$7:$AL$7,0))</f>
        <v>29.61</v>
      </c>
      <c r="AG47" s="41">
        <f>INDEX('[1]End - Use Prices'!$C$6:$AL$89,MATCH($C47,'[1]End - Use Prices'!$A$6:$A$89,0)+MATCH($D47,'[1]End - Use Prices'!$B$9:$B$11,0)-1,MATCH(AG$1,'[1]End - Use Prices'!$C$7:$AL$7,0))</f>
        <v>29.41</v>
      </c>
      <c r="AH47" s="41">
        <f>INDEX('[1]End - Use Prices'!$C$6:$AL$89,MATCH($C47,'[1]End - Use Prices'!$A$6:$A$89,0)+MATCH($D47,'[1]End - Use Prices'!$B$9:$B$11,0)-1,MATCH(AH$1,'[1]End - Use Prices'!$C$7:$AL$7,0))</f>
        <v>22.78</v>
      </c>
      <c r="AI47" s="41">
        <f>INDEX('[1]End - Use Prices'!$C$6:$AL$89,MATCH($C47,'[1]End - Use Prices'!$A$6:$A$89,0)+MATCH($D47,'[1]End - Use Prices'!$B$9:$B$11,0)-1,MATCH(AI$1,'[1]End - Use Prices'!$C$7:$AL$7,0))</f>
        <v>21.05</v>
      </c>
      <c r="AJ47" s="41">
        <f>INDEX('[1]End - Use Prices'!$C$6:$AL$89,MATCH($C47,'[1]End - Use Prices'!$A$6:$A$89,0)+MATCH($D47,'[1]End - Use Prices'!$B$9:$B$11,0)-1,MATCH(AJ$1,'[1]End - Use Prices'!$C$7:$AL$7,0))</f>
        <v>24</v>
      </c>
      <c r="AK47" s="41">
        <f>INDEX('[1]End - Use Prices'!$C$6:$AL$89,MATCH($C47,'[1]End - Use Prices'!$A$6:$A$89,0)+MATCH($D47,'[1]End - Use Prices'!$B$9:$B$11,0)-1,MATCH(AK$1,'[1]End - Use Prices'!$C$7:$AL$7,0))</f>
        <v>27.31</v>
      </c>
      <c r="AL47" s="41">
        <f>INDEX('[1]End - Use Prices'!$C$6:$AL$89,MATCH($C47,'[1]End - Use Prices'!$A$6:$A$89,0)+MATCH($D47,'[1]End - Use Prices'!$B$9:$B$11,0)-1,MATCH(AL$1,'[1]End - Use Prices'!$C$7:$AL$7,0))</f>
        <v>30.69</v>
      </c>
      <c r="AM47" s="41">
        <f>INDEX('[1]End - Use Prices'!$C$6:$AL$89,MATCH($C47,'[1]End - Use Prices'!$A$6:$A$89,0)+MATCH($D47,'[1]End - Use Prices'!$B$9:$B$11,0)-1,MATCH(AM$1,'[1]End - Use Prices'!$C$7:$AL$7,0))</f>
        <v>35.65</v>
      </c>
      <c r="AN47" s="41">
        <f>INDEX('[1]End - Use Prices'!$C$6:$AL$89,MATCH($C47,'[1]End - Use Prices'!$A$6:$A$89,0)+MATCH($D47,'[1]End - Use Prices'!$B$9:$B$11,0)-1,MATCH(AN$1,'[1]End - Use Prices'!$C$7:$AL$7,0))</f>
        <v>32.92</v>
      </c>
      <c r="AO47" s="41">
        <f>INDEX('[1]End - Use Prices'!$C$6:$AL$89,MATCH($C47,'[1]End - Use Prices'!$A$6:$A$89,0)+MATCH($D47,'[1]End - Use Prices'!$B$9:$B$11,0)-1,MATCH(AO$1,'[1]End - Use Prices'!$C$7:$AL$7,0))</f>
        <v>31.27</v>
      </c>
      <c r="AP47" s="41">
        <f>INDEX('[1]End - Use Prices'!$C$6:$AL$89,MATCH($C47,'[1]End - Use Prices'!$A$6:$A$89,0)+MATCH($D47,'[1]End - Use Prices'!$B$9:$B$11,0)-1,MATCH(AP$1,'[1]End - Use Prices'!$C$7:$AL$7,0))</f>
        <v>31.4</v>
      </c>
      <c r="AQ47" s="41">
        <f>INDEX('[1]End - Use Prices'!$C$6:$AL$89,MATCH($C47,'[1]End - Use Prices'!$A$6:$A$89,0)+MATCH($D47,'[1]End - Use Prices'!$B$9:$B$11,0)-1,MATCH(AQ$1,'[1]End - Use Prices'!$C$7:$AL$7,0))</f>
        <v>31.13</v>
      </c>
      <c r="AR47" s="41">
        <f>INDEX('[1]End - Use Prices'!$C$6:$AL$89,MATCH($C47,'[1]End - Use Prices'!$A$6:$A$89,0)+MATCH($D47,'[1]End - Use Prices'!$B$9:$B$11,0)-1,MATCH(AR$1,'[1]End - Use Prices'!$C$7:$AL$7,0))</f>
        <v>31.1</v>
      </c>
      <c r="AS47" s="41">
        <f>INDEX('[1]End - Use Prices'!$C$6:$AL$89,MATCH($C47,'[1]End - Use Prices'!$A$6:$A$89,0)+MATCH($D47,'[1]End - Use Prices'!$B$9:$B$11,0)-1,MATCH(AS$1,'[1]End - Use Prices'!$C$7:$AL$7,0))</f>
        <v>31.02</v>
      </c>
      <c r="AT47" s="41">
        <f>INDEX('[1]End - Use Prices'!$C$6:$AL$89,MATCH($C47,'[1]End - Use Prices'!$A$6:$A$89,0)+MATCH($D47,'[1]End - Use Prices'!$B$9:$B$11,0)-1,MATCH(AT$1,'[1]End - Use Prices'!$C$7:$AL$7,0))</f>
        <v>30.85</v>
      </c>
      <c r="AU47" s="41">
        <f>INDEX('[1]End - Use Prices'!$C$6:$AL$89,MATCH($C47,'[1]End - Use Prices'!$A$6:$A$89,0)+MATCH($D47,'[1]End - Use Prices'!$B$9:$B$11,0)-1,MATCH(AU$1,'[1]End - Use Prices'!$C$7:$AL$7,0))</f>
        <v>30.63</v>
      </c>
      <c r="AV47" s="41">
        <f>INDEX('[1]End - Use Prices'!$C$6:$AL$89,MATCH($C47,'[1]End - Use Prices'!$A$6:$A$89,0)+MATCH($D47,'[1]End - Use Prices'!$B$9:$B$11,0)-1,MATCH(AV$1,'[1]End - Use Prices'!$C$7:$AL$7,0))</f>
        <v>30.45</v>
      </c>
      <c r="AW47" s="41">
        <f>INDEX('[1]End - Use Prices'!$C$6:$AL$89,MATCH($C47,'[1]End - Use Prices'!$A$6:$A$89,0)+MATCH($D47,'[1]End - Use Prices'!$B$9:$B$11,0)-1,MATCH(AW$1,'[1]End - Use Prices'!$C$7:$AL$7,0))</f>
        <v>30.26</v>
      </c>
      <c r="AX47" s="41">
        <f>INDEX('[1]End - Use Prices'!$C$6:$AL$89,MATCH($C47,'[1]End - Use Prices'!$A$6:$A$89,0)+MATCH($D47,'[1]End - Use Prices'!$B$9:$B$11,0)-1,MATCH(AX$1,'[1]End - Use Prices'!$C$7:$AL$7,0))</f>
        <v>30.15</v>
      </c>
      <c r="AY47" s="41">
        <f>INDEX('[1]End - Use Prices'!$C$6:$AL$89,MATCH($C47,'[1]End - Use Prices'!$A$6:$A$89,0)+MATCH($D47,'[1]End - Use Prices'!$B$9:$B$11,0)-1,MATCH(AY$1,'[1]End - Use Prices'!$C$7:$AL$7,0))</f>
        <v>30.08</v>
      </c>
      <c r="AZ47" s="41">
        <f>INDEX('[1]End - Use Prices'!$C$6:$AL$89,MATCH($C47,'[1]End - Use Prices'!$A$6:$A$89,0)+MATCH($D47,'[1]End - Use Prices'!$B$9:$B$11,0)-1,MATCH(AZ$1,'[1]End - Use Prices'!$C$7:$AL$7,0))</f>
        <v>30.05</v>
      </c>
      <c r="BA47" s="41">
        <f>INDEX('[1]End - Use Prices'!$C$6:$AL$89,MATCH($C47,'[1]End - Use Prices'!$A$6:$A$89,0)+MATCH($D47,'[1]End - Use Prices'!$B$9:$B$11,0)-1,MATCH(BA$1,'[1]End - Use Prices'!$C$7:$AL$7,0))</f>
        <v>30.05</v>
      </c>
      <c r="BB47" s="41">
        <f>INDEX('[1]End - Use Prices'!$C$6:$AL$89,MATCH($C47,'[1]End - Use Prices'!$A$6:$A$89,0)+MATCH($D47,'[1]End - Use Prices'!$B$9:$B$11,0)-1,MATCH(BB$1,'[1]End - Use Prices'!$C$7:$AL$7,0))</f>
        <v>30.03</v>
      </c>
      <c r="BC47" s="41">
        <f>INDEX('[1]End - Use Prices'!$C$6:$AL$89,MATCH($C47,'[1]End - Use Prices'!$A$6:$A$89,0)+MATCH($D47,'[1]End - Use Prices'!$B$9:$B$11,0)-1,MATCH(BC$1,'[1]End - Use Prices'!$C$7:$AL$7,0))</f>
        <v>29.99</v>
      </c>
      <c r="BD47" s="41">
        <f>INDEX('[1]End - Use Prices'!$C$6:$AL$89,MATCH($C47,'[1]End - Use Prices'!$A$6:$A$89,0)+MATCH($D47,'[1]End - Use Prices'!$B$9:$B$11,0)-1,MATCH(BD$1,'[1]End - Use Prices'!$C$7:$AL$7,0))</f>
        <v>29.93</v>
      </c>
      <c r="BE47" s="41">
        <f>INDEX('[1]End - Use Prices'!$C$6:$AL$89,MATCH($C47,'[1]End - Use Prices'!$A$6:$A$89,0)+MATCH($D47,'[1]End - Use Prices'!$B$9:$B$11,0)-1,MATCH(BE$1,'[1]End - Use Prices'!$C$7:$AL$7,0))</f>
        <v>29.84</v>
      </c>
      <c r="BF47" s="41">
        <f>INDEX('[1]End - Use Prices'!$C$6:$AL$89,MATCH($C47,'[1]End - Use Prices'!$A$6:$A$89,0)+MATCH($D47,'[1]End - Use Prices'!$B$9:$B$11,0)-1,MATCH(BF$1,'[1]End - Use Prices'!$C$7:$AL$7,0))</f>
        <v>29.75</v>
      </c>
      <c r="BG47" s="41">
        <f>INDEX('[1]End - Use Prices'!$C$6:$AL$89,MATCH($C47,'[1]End - Use Prices'!$A$6:$A$89,0)+MATCH($D47,'[1]End - Use Prices'!$B$9:$B$11,0)-1,MATCH(BG$1,'[1]End - Use Prices'!$C$7:$AL$7,0))</f>
        <v>29.65</v>
      </c>
      <c r="BR47" s="39"/>
      <c r="BS47" s="39"/>
      <c r="BT47" s="39"/>
      <c r="BU47" s="39"/>
      <c r="BV47" s="39"/>
      <c r="BW47" s="39"/>
      <c r="BX47" s="39"/>
      <c r="BY47" s="39"/>
      <c r="BZ47" s="39"/>
      <c r="CA47" s="39"/>
    </row>
    <row r="48" spans="1:79" x14ac:dyDescent="0.25">
      <c r="A48" s="5"/>
      <c r="B48" s="3"/>
      <c r="C48" s="25" t="s">
        <v>88</v>
      </c>
      <c r="D48" s="25" t="s">
        <v>311</v>
      </c>
      <c r="E48" s="25" t="s">
        <v>313</v>
      </c>
      <c r="F48" s="74" t="s">
        <v>310</v>
      </c>
      <c r="G48" s="54">
        <f t="shared" si="8"/>
        <v>24.29</v>
      </c>
      <c r="H48" s="34">
        <f t="shared" si="26"/>
        <v>24.29</v>
      </c>
      <c r="I48" s="34">
        <f t="shared" si="26"/>
        <v>24.71</v>
      </c>
      <c r="J48" s="34">
        <f t="shared" si="26"/>
        <v>24.09</v>
      </c>
      <c r="K48" s="34">
        <f t="shared" si="26"/>
        <v>34.39</v>
      </c>
      <c r="L48" s="34">
        <f t="shared" si="26"/>
        <v>30.37</v>
      </c>
      <c r="M48" s="34">
        <f t="shared" si="26"/>
        <v>29.56</v>
      </c>
      <c r="N48" s="34">
        <f t="shared" si="26"/>
        <v>29.32</v>
      </c>
      <c r="O48" s="34">
        <f t="shared" si="26"/>
        <v>28.95</v>
      </c>
      <c r="P48" s="54">
        <f t="shared" ref="P48:Q48" si="41">O48</f>
        <v>28.95</v>
      </c>
      <c r="Q48" s="54">
        <f t="shared" si="41"/>
        <v>28.95</v>
      </c>
      <c r="R48" s="38"/>
      <c r="X48" s="41">
        <f>INDEX('[1]End - Use Prices'!$C$6:$AL$89,MATCH($C48,'[1]End - Use Prices'!$A$6:$A$89,0)+MATCH($D48,'[1]End - Use Prices'!$B$9:$B$11,0)-1,MATCH(X$1,'[1]End - Use Prices'!$C$7:$AL$7,0))</f>
        <v>24.29</v>
      </c>
      <c r="Y48" s="41">
        <f>INDEX('[1]End - Use Prices'!$C$6:$AL$89,MATCH($C48,'[1]End - Use Prices'!$A$6:$A$89,0)+MATCH($D48,'[1]End - Use Prices'!$B$9:$B$11,0)-1,MATCH(Y$1,'[1]End - Use Prices'!$C$7:$AL$7,0))</f>
        <v>24.86</v>
      </c>
      <c r="Z48" s="41">
        <f>INDEX('[1]End - Use Prices'!$C$6:$AL$89,MATCH($C48,'[1]End - Use Prices'!$A$6:$A$89,0)+MATCH($D48,'[1]End - Use Prices'!$B$9:$B$11,0)-1,MATCH(Z$1,'[1]End - Use Prices'!$C$7:$AL$7,0))</f>
        <v>24.61</v>
      </c>
      <c r="AA48" s="41">
        <f>INDEX('[1]End - Use Prices'!$C$6:$AL$89,MATCH($C48,'[1]End - Use Prices'!$A$6:$A$89,0)+MATCH($D48,'[1]End - Use Prices'!$B$9:$B$11,0)-1,MATCH(AA$1,'[1]End - Use Prices'!$C$7:$AL$7,0))</f>
        <v>30.51</v>
      </c>
      <c r="AB48" s="41">
        <f>INDEX('[1]End - Use Prices'!$C$6:$AL$89,MATCH($C48,'[1]End - Use Prices'!$A$6:$A$89,0)+MATCH($D48,'[1]End - Use Prices'!$B$9:$B$11,0)-1,MATCH(AB$1,'[1]End - Use Prices'!$C$7:$AL$7,0))</f>
        <v>21.93</v>
      </c>
      <c r="AC48" s="41">
        <f>INDEX('[1]End - Use Prices'!$C$6:$AL$89,MATCH($C48,'[1]End - Use Prices'!$A$6:$A$89,0)+MATCH($D48,'[1]End - Use Prices'!$B$9:$B$11,0)-1,MATCH(AC$1,'[1]End - Use Prices'!$C$7:$AL$7,0))</f>
        <v>24.71</v>
      </c>
      <c r="AD48" s="41">
        <f>INDEX('[1]End - Use Prices'!$C$6:$AL$89,MATCH($C48,'[1]End - Use Prices'!$A$6:$A$89,0)+MATCH($D48,'[1]End - Use Prices'!$B$9:$B$11,0)-1,MATCH(AD$1,'[1]End - Use Prices'!$C$7:$AL$7,0))</f>
        <v>30.18</v>
      </c>
      <c r="AE48" s="41">
        <f>INDEX('[1]End - Use Prices'!$C$6:$AL$89,MATCH($C48,'[1]End - Use Prices'!$A$6:$A$89,0)+MATCH($D48,'[1]End - Use Prices'!$B$9:$B$11,0)-1,MATCH(AE$1,'[1]End - Use Prices'!$C$7:$AL$7,0))</f>
        <v>31.33</v>
      </c>
      <c r="AF48" s="41">
        <f>INDEX('[1]End - Use Prices'!$C$6:$AL$89,MATCH($C48,'[1]End - Use Prices'!$A$6:$A$89,0)+MATCH($D48,'[1]End - Use Prices'!$B$9:$B$11,0)-1,MATCH(AF$1,'[1]End - Use Prices'!$C$7:$AL$7,0))</f>
        <v>30.91</v>
      </c>
      <c r="AG48" s="41">
        <f>INDEX('[1]End - Use Prices'!$C$6:$AL$89,MATCH($C48,'[1]End - Use Prices'!$A$6:$A$89,0)+MATCH($D48,'[1]End - Use Prices'!$B$9:$B$11,0)-1,MATCH(AG$1,'[1]End - Use Prices'!$C$7:$AL$7,0))</f>
        <v>31</v>
      </c>
      <c r="AH48" s="41">
        <f>INDEX('[1]End - Use Prices'!$C$6:$AL$89,MATCH($C48,'[1]End - Use Prices'!$A$6:$A$89,0)+MATCH($D48,'[1]End - Use Prices'!$B$9:$B$11,0)-1,MATCH(AH$1,'[1]End - Use Prices'!$C$7:$AL$7,0))</f>
        <v>24.09</v>
      </c>
      <c r="AI48" s="41">
        <f>INDEX('[1]End - Use Prices'!$C$6:$AL$89,MATCH($C48,'[1]End - Use Prices'!$A$6:$A$89,0)+MATCH($D48,'[1]End - Use Prices'!$B$9:$B$11,0)-1,MATCH(AI$1,'[1]End - Use Prices'!$C$7:$AL$7,0))</f>
        <v>20.85</v>
      </c>
      <c r="AJ48" s="41">
        <f>INDEX('[1]End - Use Prices'!$C$6:$AL$89,MATCH($C48,'[1]End - Use Prices'!$A$6:$A$89,0)+MATCH($D48,'[1]End - Use Prices'!$B$9:$B$11,0)-1,MATCH(AJ$1,'[1]End - Use Prices'!$C$7:$AL$7,0))</f>
        <v>22.06</v>
      </c>
      <c r="AK48" s="41">
        <f>INDEX('[1]End - Use Prices'!$C$6:$AL$89,MATCH($C48,'[1]End - Use Prices'!$A$6:$A$89,0)+MATCH($D48,'[1]End - Use Prices'!$B$9:$B$11,0)-1,MATCH(AK$1,'[1]End - Use Prices'!$C$7:$AL$7,0))</f>
        <v>26.58</v>
      </c>
      <c r="AL48" s="41">
        <f>INDEX('[1]End - Use Prices'!$C$6:$AL$89,MATCH($C48,'[1]End - Use Prices'!$A$6:$A$89,0)+MATCH($D48,'[1]End - Use Prices'!$B$9:$B$11,0)-1,MATCH(AL$1,'[1]End - Use Prices'!$C$7:$AL$7,0))</f>
        <v>29.7</v>
      </c>
      <c r="AM48" s="41">
        <f>INDEX('[1]End - Use Prices'!$C$6:$AL$89,MATCH($C48,'[1]End - Use Prices'!$A$6:$A$89,0)+MATCH($D48,'[1]End - Use Prices'!$B$9:$B$11,0)-1,MATCH(AM$1,'[1]End - Use Prices'!$C$7:$AL$7,0))</f>
        <v>34.39</v>
      </c>
      <c r="AN48" s="41">
        <f>INDEX('[1]End - Use Prices'!$C$6:$AL$89,MATCH($C48,'[1]End - Use Prices'!$A$6:$A$89,0)+MATCH($D48,'[1]End - Use Prices'!$B$9:$B$11,0)-1,MATCH(AN$1,'[1]End - Use Prices'!$C$7:$AL$7,0))</f>
        <v>31.95</v>
      </c>
      <c r="AO48" s="41">
        <f>INDEX('[1]End - Use Prices'!$C$6:$AL$89,MATCH($C48,'[1]End - Use Prices'!$A$6:$A$89,0)+MATCH($D48,'[1]End - Use Prices'!$B$9:$B$11,0)-1,MATCH(AO$1,'[1]End - Use Prices'!$C$7:$AL$7,0))</f>
        <v>30.49</v>
      </c>
      <c r="AP48" s="41">
        <f>INDEX('[1]End - Use Prices'!$C$6:$AL$89,MATCH($C48,'[1]End - Use Prices'!$A$6:$A$89,0)+MATCH($D48,'[1]End - Use Prices'!$B$9:$B$11,0)-1,MATCH(AP$1,'[1]End - Use Prices'!$C$7:$AL$7,0))</f>
        <v>30.66</v>
      </c>
      <c r="AQ48" s="41">
        <f>INDEX('[1]End - Use Prices'!$C$6:$AL$89,MATCH($C48,'[1]End - Use Prices'!$A$6:$A$89,0)+MATCH($D48,'[1]End - Use Prices'!$B$9:$B$11,0)-1,MATCH(AQ$1,'[1]End - Use Prices'!$C$7:$AL$7,0))</f>
        <v>30.4</v>
      </c>
      <c r="AR48" s="41">
        <f>INDEX('[1]End - Use Prices'!$C$6:$AL$89,MATCH($C48,'[1]End - Use Prices'!$A$6:$A$89,0)+MATCH($D48,'[1]End - Use Prices'!$B$9:$B$11,0)-1,MATCH(AR$1,'[1]End - Use Prices'!$C$7:$AL$7,0))</f>
        <v>30.37</v>
      </c>
      <c r="AS48" s="41">
        <f>INDEX('[1]End - Use Prices'!$C$6:$AL$89,MATCH($C48,'[1]End - Use Prices'!$A$6:$A$89,0)+MATCH($D48,'[1]End - Use Prices'!$B$9:$B$11,0)-1,MATCH(AS$1,'[1]End - Use Prices'!$C$7:$AL$7,0))</f>
        <v>30.29</v>
      </c>
      <c r="AT48" s="41">
        <f>INDEX('[1]End - Use Prices'!$C$6:$AL$89,MATCH($C48,'[1]End - Use Prices'!$A$6:$A$89,0)+MATCH($D48,'[1]End - Use Prices'!$B$9:$B$11,0)-1,MATCH(AT$1,'[1]End - Use Prices'!$C$7:$AL$7,0))</f>
        <v>30.12</v>
      </c>
      <c r="AU48" s="41">
        <f>INDEX('[1]End - Use Prices'!$C$6:$AL$89,MATCH($C48,'[1]End - Use Prices'!$A$6:$A$89,0)+MATCH($D48,'[1]End - Use Prices'!$B$9:$B$11,0)-1,MATCH(AU$1,'[1]End - Use Prices'!$C$7:$AL$7,0))</f>
        <v>29.91</v>
      </c>
      <c r="AV48" s="41">
        <f>INDEX('[1]End - Use Prices'!$C$6:$AL$89,MATCH($C48,'[1]End - Use Prices'!$A$6:$A$89,0)+MATCH($D48,'[1]End - Use Prices'!$B$9:$B$11,0)-1,MATCH(AV$1,'[1]End - Use Prices'!$C$7:$AL$7,0))</f>
        <v>29.74</v>
      </c>
      <c r="AW48" s="41">
        <f>INDEX('[1]End - Use Prices'!$C$6:$AL$89,MATCH($C48,'[1]End - Use Prices'!$A$6:$A$89,0)+MATCH($D48,'[1]End - Use Prices'!$B$9:$B$11,0)-1,MATCH(AW$1,'[1]End - Use Prices'!$C$7:$AL$7,0))</f>
        <v>29.56</v>
      </c>
      <c r="AX48" s="41">
        <f>INDEX('[1]End - Use Prices'!$C$6:$AL$89,MATCH($C48,'[1]End - Use Prices'!$A$6:$A$89,0)+MATCH($D48,'[1]End - Use Prices'!$B$9:$B$11,0)-1,MATCH(AX$1,'[1]End - Use Prices'!$C$7:$AL$7,0))</f>
        <v>29.46</v>
      </c>
      <c r="AY48" s="41">
        <f>INDEX('[1]End - Use Prices'!$C$6:$AL$89,MATCH($C48,'[1]End - Use Prices'!$A$6:$A$89,0)+MATCH($D48,'[1]End - Use Prices'!$B$9:$B$11,0)-1,MATCH(AY$1,'[1]End - Use Prices'!$C$7:$AL$7,0))</f>
        <v>29.39</v>
      </c>
      <c r="AZ48" s="41">
        <f>INDEX('[1]End - Use Prices'!$C$6:$AL$89,MATCH($C48,'[1]End - Use Prices'!$A$6:$A$89,0)+MATCH($D48,'[1]End - Use Prices'!$B$9:$B$11,0)-1,MATCH(AZ$1,'[1]End - Use Prices'!$C$7:$AL$7,0))</f>
        <v>29.35</v>
      </c>
      <c r="BA48" s="41">
        <f>INDEX('[1]End - Use Prices'!$C$6:$AL$89,MATCH($C48,'[1]End - Use Prices'!$A$6:$A$89,0)+MATCH($D48,'[1]End - Use Prices'!$B$9:$B$11,0)-1,MATCH(BA$1,'[1]End - Use Prices'!$C$7:$AL$7,0))</f>
        <v>29.35</v>
      </c>
      <c r="BB48" s="41">
        <f>INDEX('[1]End - Use Prices'!$C$6:$AL$89,MATCH($C48,'[1]End - Use Prices'!$A$6:$A$89,0)+MATCH($D48,'[1]End - Use Prices'!$B$9:$B$11,0)-1,MATCH(BB$1,'[1]End - Use Prices'!$C$7:$AL$7,0))</f>
        <v>29.32</v>
      </c>
      <c r="BC48" s="41">
        <f>INDEX('[1]End - Use Prices'!$C$6:$AL$89,MATCH($C48,'[1]End - Use Prices'!$A$6:$A$89,0)+MATCH($D48,'[1]End - Use Prices'!$B$9:$B$11,0)-1,MATCH(BC$1,'[1]End - Use Prices'!$C$7:$AL$7,0))</f>
        <v>29.28</v>
      </c>
      <c r="BD48" s="41">
        <f>INDEX('[1]End - Use Prices'!$C$6:$AL$89,MATCH($C48,'[1]End - Use Prices'!$A$6:$A$89,0)+MATCH($D48,'[1]End - Use Prices'!$B$9:$B$11,0)-1,MATCH(BD$1,'[1]End - Use Prices'!$C$7:$AL$7,0))</f>
        <v>29.23</v>
      </c>
      <c r="BE48" s="41">
        <f>INDEX('[1]End - Use Prices'!$C$6:$AL$89,MATCH($C48,'[1]End - Use Prices'!$A$6:$A$89,0)+MATCH($D48,'[1]End - Use Prices'!$B$9:$B$11,0)-1,MATCH(BE$1,'[1]End - Use Prices'!$C$7:$AL$7,0))</f>
        <v>29.14</v>
      </c>
      <c r="BF48" s="41">
        <f>INDEX('[1]End - Use Prices'!$C$6:$AL$89,MATCH($C48,'[1]End - Use Prices'!$A$6:$A$89,0)+MATCH($D48,'[1]End - Use Prices'!$B$9:$B$11,0)-1,MATCH(BF$1,'[1]End - Use Prices'!$C$7:$AL$7,0))</f>
        <v>29.05</v>
      </c>
      <c r="BG48" s="41">
        <f>INDEX('[1]End - Use Prices'!$C$6:$AL$89,MATCH($C48,'[1]End - Use Prices'!$A$6:$A$89,0)+MATCH($D48,'[1]End - Use Prices'!$B$9:$B$11,0)-1,MATCH(BG$1,'[1]End - Use Prices'!$C$7:$AL$7,0))</f>
        <v>28.95</v>
      </c>
      <c r="BR48" s="39"/>
      <c r="BS48" s="39"/>
      <c r="BT48" s="39"/>
      <c r="BU48" s="39"/>
      <c r="BV48" s="39"/>
      <c r="BW48" s="39"/>
      <c r="BX48" s="39"/>
      <c r="BY48" s="39"/>
      <c r="BZ48" s="39"/>
      <c r="CA48" s="39"/>
    </row>
    <row r="49" spans="1:79" x14ac:dyDescent="0.25">
      <c r="A49" s="5"/>
      <c r="B49" s="3"/>
      <c r="C49" s="25" t="s">
        <v>89</v>
      </c>
      <c r="D49" s="25" t="s">
        <v>311</v>
      </c>
      <c r="E49" s="25" t="s">
        <v>313</v>
      </c>
      <c r="F49" s="74" t="s">
        <v>310</v>
      </c>
      <c r="G49" s="54">
        <f t="shared" si="8"/>
        <v>27.52</v>
      </c>
      <c r="H49" s="34">
        <f t="shared" si="26"/>
        <v>27.52</v>
      </c>
      <c r="I49" s="34">
        <f t="shared" si="26"/>
        <v>25.32</v>
      </c>
      <c r="J49" s="34">
        <f t="shared" si="26"/>
        <v>27.46</v>
      </c>
      <c r="K49" s="34">
        <f t="shared" si="26"/>
        <v>37.450000000000003</v>
      </c>
      <c r="L49" s="34">
        <f t="shared" si="26"/>
        <v>33.42</v>
      </c>
      <c r="M49" s="34">
        <f t="shared" si="26"/>
        <v>32.61</v>
      </c>
      <c r="N49" s="34">
        <f t="shared" si="26"/>
        <v>32.369999999999997</v>
      </c>
      <c r="O49" s="34">
        <f t="shared" si="26"/>
        <v>32</v>
      </c>
      <c r="P49" s="54">
        <f t="shared" ref="P49:Q49" si="42">O49</f>
        <v>32</v>
      </c>
      <c r="Q49" s="54">
        <f t="shared" si="42"/>
        <v>32</v>
      </c>
      <c r="R49" s="38"/>
      <c r="X49" s="41">
        <f>INDEX('[1]End - Use Prices'!$C$6:$AL$89,MATCH($C49,'[1]End - Use Prices'!$A$6:$A$89,0)+MATCH($D49,'[1]End - Use Prices'!$B$9:$B$11,0)-1,MATCH(X$1,'[1]End - Use Prices'!$C$7:$AL$7,0))</f>
        <v>27.52</v>
      </c>
      <c r="Y49" s="41">
        <f>INDEX('[1]End - Use Prices'!$C$6:$AL$89,MATCH($C49,'[1]End - Use Prices'!$A$6:$A$89,0)+MATCH($D49,'[1]End - Use Prices'!$B$9:$B$11,0)-1,MATCH(Y$1,'[1]End - Use Prices'!$C$7:$AL$7,0))</f>
        <v>28.18</v>
      </c>
      <c r="Z49" s="41">
        <f>INDEX('[1]End - Use Prices'!$C$6:$AL$89,MATCH($C49,'[1]End - Use Prices'!$A$6:$A$89,0)+MATCH($D49,'[1]End - Use Prices'!$B$9:$B$11,0)-1,MATCH(Z$1,'[1]End - Use Prices'!$C$7:$AL$7,0))</f>
        <v>26.07</v>
      </c>
      <c r="AA49" s="41">
        <f>INDEX('[1]End - Use Prices'!$C$6:$AL$89,MATCH($C49,'[1]End - Use Prices'!$A$6:$A$89,0)+MATCH($D49,'[1]End - Use Prices'!$B$9:$B$11,0)-1,MATCH(AA$1,'[1]End - Use Prices'!$C$7:$AL$7,0))</f>
        <v>31.72</v>
      </c>
      <c r="AB49" s="41">
        <f>INDEX('[1]End - Use Prices'!$C$6:$AL$89,MATCH($C49,'[1]End - Use Prices'!$A$6:$A$89,0)+MATCH($D49,'[1]End - Use Prices'!$B$9:$B$11,0)-1,MATCH(AB$1,'[1]End - Use Prices'!$C$7:$AL$7,0))</f>
        <v>22.7</v>
      </c>
      <c r="AC49" s="41">
        <f>INDEX('[1]End - Use Prices'!$C$6:$AL$89,MATCH($C49,'[1]End - Use Prices'!$A$6:$A$89,0)+MATCH($D49,'[1]End - Use Prices'!$B$9:$B$11,0)-1,MATCH(AC$1,'[1]End - Use Prices'!$C$7:$AL$7,0))</f>
        <v>25.32</v>
      </c>
      <c r="AD49" s="41">
        <f>INDEX('[1]End - Use Prices'!$C$6:$AL$89,MATCH($C49,'[1]End - Use Prices'!$A$6:$A$89,0)+MATCH($D49,'[1]End - Use Prices'!$B$9:$B$11,0)-1,MATCH(AD$1,'[1]End - Use Prices'!$C$7:$AL$7,0))</f>
        <v>30.73</v>
      </c>
      <c r="AE49" s="41">
        <f>INDEX('[1]End - Use Prices'!$C$6:$AL$89,MATCH($C49,'[1]End - Use Prices'!$A$6:$A$89,0)+MATCH($D49,'[1]End - Use Prices'!$B$9:$B$11,0)-1,MATCH(AE$1,'[1]End - Use Prices'!$C$7:$AL$7,0))</f>
        <v>31.88</v>
      </c>
      <c r="AF49" s="41">
        <f>INDEX('[1]End - Use Prices'!$C$6:$AL$89,MATCH($C49,'[1]End - Use Prices'!$A$6:$A$89,0)+MATCH($D49,'[1]End - Use Prices'!$B$9:$B$11,0)-1,MATCH(AF$1,'[1]End - Use Prices'!$C$7:$AL$7,0))</f>
        <v>31.97</v>
      </c>
      <c r="AG49" s="41">
        <f>INDEX('[1]End - Use Prices'!$C$6:$AL$89,MATCH($C49,'[1]End - Use Prices'!$A$6:$A$89,0)+MATCH($D49,'[1]End - Use Prices'!$B$9:$B$11,0)-1,MATCH(AG$1,'[1]End - Use Prices'!$C$7:$AL$7,0))</f>
        <v>34.450000000000003</v>
      </c>
      <c r="AH49" s="41">
        <f>INDEX('[1]End - Use Prices'!$C$6:$AL$89,MATCH($C49,'[1]End - Use Prices'!$A$6:$A$89,0)+MATCH($D49,'[1]End - Use Prices'!$B$9:$B$11,0)-1,MATCH(AH$1,'[1]End - Use Prices'!$C$7:$AL$7,0))</f>
        <v>27.46</v>
      </c>
      <c r="AI49" s="41">
        <f>INDEX('[1]End - Use Prices'!$C$6:$AL$89,MATCH($C49,'[1]End - Use Prices'!$A$6:$A$89,0)+MATCH($D49,'[1]End - Use Prices'!$B$9:$B$11,0)-1,MATCH(AI$1,'[1]End - Use Prices'!$C$7:$AL$7,0))</f>
        <v>23.92</v>
      </c>
      <c r="AJ49" s="41">
        <f>INDEX('[1]End - Use Prices'!$C$6:$AL$89,MATCH($C49,'[1]End - Use Prices'!$A$6:$A$89,0)+MATCH($D49,'[1]End - Use Prices'!$B$9:$B$11,0)-1,MATCH(AJ$1,'[1]End - Use Prices'!$C$7:$AL$7,0))</f>
        <v>25.38</v>
      </c>
      <c r="AK49" s="41">
        <f>INDEX('[1]End - Use Prices'!$C$6:$AL$89,MATCH($C49,'[1]End - Use Prices'!$A$6:$A$89,0)+MATCH($D49,'[1]End - Use Prices'!$B$9:$B$11,0)-1,MATCH(AK$1,'[1]End - Use Prices'!$C$7:$AL$7,0))</f>
        <v>29.63</v>
      </c>
      <c r="AL49" s="41">
        <f>INDEX('[1]End - Use Prices'!$C$6:$AL$89,MATCH($C49,'[1]End - Use Prices'!$A$6:$A$89,0)+MATCH($D49,'[1]End - Use Prices'!$B$9:$B$11,0)-1,MATCH(AL$1,'[1]End - Use Prices'!$C$7:$AL$7,0))</f>
        <v>32.75</v>
      </c>
      <c r="AM49" s="41">
        <f>INDEX('[1]End - Use Prices'!$C$6:$AL$89,MATCH($C49,'[1]End - Use Prices'!$A$6:$A$89,0)+MATCH($D49,'[1]End - Use Prices'!$B$9:$B$11,0)-1,MATCH(AM$1,'[1]End - Use Prices'!$C$7:$AL$7,0))</f>
        <v>37.450000000000003</v>
      </c>
      <c r="AN49" s="41">
        <f>INDEX('[1]End - Use Prices'!$C$6:$AL$89,MATCH($C49,'[1]End - Use Prices'!$A$6:$A$89,0)+MATCH($D49,'[1]End - Use Prices'!$B$9:$B$11,0)-1,MATCH(AN$1,'[1]End - Use Prices'!$C$7:$AL$7,0))</f>
        <v>35</v>
      </c>
      <c r="AO49" s="41">
        <f>INDEX('[1]End - Use Prices'!$C$6:$AL$89,MATCH($C49,'[1]End - Use Prices'!$A$6:$A$89,0)+MATCH($D49,'[1]End - Use Prices'!$B$9:$B$11,0)-1,MATCH(AO$1,'[1]End - Use Prices'!$C$7:$AL$7,0))</f>
        <v>33.549999999999997</v>
      </c>
      <c r="AP49" s="41">
        <f>INDEX('[1]End - Use Prices'!$C$6:$AL$89,MATCH($C49,'[1]End - Use Prices'!$A$6:$A$89,0)+MATCH($D49,'[1]End - Use Prices'!$B$9:$B$11,0)-1,MATCH(AP$1,'[1]End - Use Prices'!$C$7:$AL$7,0))</f>
        <v>33.72</v>
      </c>
      <c r="AQ49" s="41">
        <f>INDEX('[1]End - Use Prices'!$C$6:$AL$89,MATCH($C49,'[1]End - Use Prices'!$A$6:$A$89,0)+MATCH($D49,'[1]End - Use Prices'!$B$9:$B$11,0)-1,MATCH(AQ$1,'[1]End - Use Prices'!$C$7:$AL$7,0))</f>
        <v>33.450000000000003</v>
      </c>
      <c r="AR49" s="41">
        <f>INDEX('[1]End - Use Prices'!$C$6:$AL$89,MATCH($C49,'[1]End - Use Prices'!$A$6:$A$89,0)+MATCH($D49,'[1]End - Use Prices'!$B$9:$B$11,0)-1,MATCH(AR$1,'[1]End - Use Prices'!$C$7:$AL$7,0))</f>
        <v>33.42</v>
      </c>
      <c r="AS49" s="41">
        <f>INDEX('[1]End - Use Prices'!$C$6:$AL$89,MATCH($C49,'[1]End - Use Prices'!$A$6:$A$89,0)+MATCH($D49,'[1]End - Use Prices'!$B$9:$B$11,0)-1,MATCH(AS$1,'[1]End - Use Prices'!$C$7:$AL$7,0))</f>
        <v>33.340000000000003</v>
      </c>
      <c r="AT49" s="41">
        <f>INDEX('[1]End - Use Prices'!$C$6:$AL$89,MATCH($C49,'[1]End - Use Prices'!$A$6:$A$89,0)+MATCH($D49,'[1]End - Use Prices'!$B$9:$B$11,0)-1,MATCH(AT$1,'[1]End - Use Prices'!$C$7:$AL$7,0))</f>
        <v>33.17</v>
      </c>
      <c r="AU49" s="41">
        <f>INDEX('[1]End - Use Prices'!$C$6:$AL$89,MATCH($C49,'[1]End - Use Prices'!$A$6:$A$89,0)+MATCH($D49,'[1]End - Use Prices'!$B$9:$B$11,0)-1,MATCH(AU$1,'[1]End - Use Prices'!$C$7:$AL$7,0))</f>
        <v>32.96</v>
      </c>
      <c r="AV49" s="41">
        <f>INDEX('[1]End - Use Prices'!$C$6:$AL$89,MATCH($C49,'[1]End - Use Prices'!$A$6:$A$89,0)+MATCH($D49,'[1]End - Use Prices'!$B$9:$B$11,0)-1,MATCH(AV$1,'[1]End - Use Prices'!$C$7:$AL$7,0))</f>
        <v>32.79</v>
      </c>
      <c r="AW49" s="41">
        <f>INDEX('[1]End - Use Prices'!$C$6:$AL$89,MATCH($C49,'[1]End - Use Prices'!$A$6:$A$89,0)+MATCH($D49,'[1]End - Use Prices'!$B$9:$B$11,0)-1,MATCH(AW$1,'[1]End - Use Prices'!$C$7:$AL$7,0))</f>
        <v>32.61</v>
      </c>
      <c r="AX49" s="41">
        <f>INDEX('[1]End - Use Prices'!$C$6:$AL$89,MATCH($C49,'[1]End - Use Prices'!$A$6:$A$89,0)+MATCH($D49,'[1]End - Use Prices'!$B$9:$B$11,0)-1,MATCH(AX$1,'[1]End - Use Prices'!$C$7:$AL$7,0))</f>
        <v>32.51</v>
      </c>
      <c r="AY49" s="41">
        <f>INDEX('[1]End - Use Prices'!$C$6:$AL$89,MATCH($C49,'[1]End - Use Prices'!$A$6:$A$89,0)+MATCH($D49,'[1]End - Use Prices'!$B$9:$B$11,0)-1,MATCH(AY$1,'[1]End - Use Prices'!$C$7:$AL$7,0))</f>
        <v>32.44</v>
      </c>
      <c r="AZ49" s="41">
        <f>INDEX('[1]End - Use Prices'!$C$6:$AL$89,MATCH($C49,'[1]End - Use Prices'!$A$6:$A$89,0)+MATCH($D49,'[1]End - Use Prices'!$B$9:$B$11,0)-1,MATCH(AZ$1,'[1]End - Use Prices'!$C$7:$AL$7,0))</f>
        <v>32.4</v>
      </c>
      <c r="BA49" s="41">
        <f>INDEX('[1]End - Use Prices'!$C$6:$AL$89,MATCH($C49,'[1]End - Use Prices'!$A$6:$A$89,0)+MATCH($D49,'[1]End - Use Prices'!$B$9:$B$11,0)-1,MATCH(BA$1,'[1]End - Use Prices'!$C$7:$AL$7,0))</f>
        <v>32.4</v>
      </c>
      <c r="BB49" s="41">
        <f>INDEX('[1]End - Use Prices'!$C$6:$AL$89,MATCH($C49,'[1]End - Use Prices'!$A$6:$A$89,0)+MATCH($D49,'[1]End - Use Prices'!$B$9:$B$11,0)-1,MATCH(BB$1,'[1]End - Use Prices'!$C$7:$AL$7,0))</f>
        <v>32.369999999999997</v>
      </c>
      <c r="BC49" s="41">
        <f>INDEX('[1]End - Use Prices'!$C$6:$AL$89,MATCH($C49,'[1]End - Use Prices'!$A$6:$A$89,0)+MATCH($D49,'[1]End - Use Prices'!$B$9:$B$11,0)-1,MATCH(BC$1,'[1]End - Use Prices'!$C$7:$AL$7,0))</f>
        <v>32.33</v>
      </c>
      <c r="BD49" s="41">
        <f>INDEX('[1]End - Use Prices'!$C$6:$AL$89,MATCH($C49,'[1]End - Use Prices'!$A$6:$A$89,0)+MATCH($D49,'[1]End - Use Prices'!$B$9:$B$11,0)-1,MATCH(BD$1,'[1]End - Use Prices'!$C$7:$AL$7,0))</f>
        <v>32.28</v>
      </c>
      <c r="BE49" s="41">
        <f>INDEX('[1]End - Use Prices'!$C$6:$AL$89,MATCH($C49,'[1]End - Use Prices'!$A$6:$A$89,0)+MATCH($D49,'[1]End - Use Prices'!$B$9:$B$11,0)-1,MATCH(BE$1,'[1]End - Use Prices'!$C$7:$AL$7,0))</f>
        <v>32.19</v>
      </c>
      <c r="BF49" s="41">
        <f>INDEX('[1]End - Use Prices'!$C$6:$AL$89,MATCH($C49,'[1]End - Use Prices'!$A$6:$A$89,0)+MATCH($D49,'[1]End - Use Prices'!$B$9:$B$11,0)-1,MATCH(BF$1,'[1]End - Use Prices'!$C$7:$AL$7,0))</f>
        <v>32.1</v>
      </c>
      <c r="BG49" s="41">
        <f>INDEX('[1]End - Use Prices'!$C$6:$AL$89,MATCH($C49,'[1]End - Use Prices'!$A$6:$A$89,0)+MATCH($D49,'[1]End - Use Prices'!$B$9:$B$11,0)-1,MATCH(BG$1,'[1]End - Use Prices'!$C$7:$AL$7,0))</f>
        <v>32</v>
      </c>
      <c r="BR49" s="39"/>
      <c r="BS49" s="39"/>
      <c r="BT49" s="39"/>
      <c r="BU49" s="39"/>
      <c r="BV49" s="39"/>
      <c r="BW49" s="39"/>
      <c r="BX49" s="39"/>
      <c r="BY49" s="39"/>
      <c r="BZ49" s="39"/>
      <c r="CA49" s="39"/>
    </row>
    <row r="50" spans="1:79" x14ac:dyDescent="0.25">
      <c r="A50" s="5"/>
      <c r="B50" s="3"/>
      <c r="C50" s="25" t="s">
        <v>90</v>
      </c>
      <c r="D50" s="25" t="s">
        <v>311</v>
      </c>
      <c r="E50" s="25" t="s">
        <v>313</v>
      </c>
      <c r="F50" s="74" t="s">
        <v>310</v>
      </c>
      <c r="G50" s="54">
        <f t="shared" si="8"/>
        <v>27.36</v>
      </c>
      <c r="H50" s="34">
        <f t="shared" ref="H50:O59" si="43">INDEX($S50:$CA50,MATCH(H$1,$S$1:$CA$1,0))</f>
        <v>27.36</v>
      </c>
      <c r="I50" s="34">
        <f t="shared" si="43"/>
        <v>27.36</v>
      </c>
      <c r="J50" s="34">
        <f t="shared" si="43"/>
        <v>28.05</v>
      </c>
      <c r="K50" s="34">
        <f t="shared" si="43"/>
        <v>38.97</v>
      </c>
      <c r="L50" s="34">
        <f t="shared" si="43"/>
        <v>34.42</v>
      </c>
      <c r="M50" s="34">
        <f t="shared" si="43"/>
        <v>33.590000000000003</v>
      </c>
      <c r="N50" s="34">
        <f t="shared" si="43"/>
        <v>33.35</v>
      </c>
      <c r="O50" s="34">
        <f t="shared" si="43"/>
        <v>32.97</v>
      </c>
      <c r="P50" s="54">
        <f t="shared" ref="P50:Q50" si="44">O50</f>
        <v>32.97</v>
      </c>
      <c r="Q50" s="54">
        <f t="shared" si="44"/>
        <v>32.97</v>
      </c>
      <c r="R50" s="38"/>
      <c r="X50" s="41">
        <f>INDEX('[1]End - Use Prices'!$C$6:$AL$89,MATCH($C50,'[1]End - Use Prices'!$A$6:$A$89,0)+MATCH($D50,'[1]End - Use Prices'!$B$9:$B$11,0)-1,MATCH(X$1,'[1]End - Use Prices'!$C$7:$AL$7,0))</f>
        <v>27.36</v>
      </c>
      <c r="Y50" s="41">
        <f>INDEX('[1]End - Use Prices'!$C$6:$AL$89,MATCH($C50,'[1]End - Use Prices'!$A$6:$A$89,0)+MATCH($D50,'[1]End - Use Prices'!$B$9:$B$11,0)-1,MATCH(Y$1,'[1]End - Use Prices'!$C$7:$AL$7,0))</f>
        <v>27.14</v>
      </c>
      <c r="Z50" s="41">
        <f>INDEX('[1]End - Use Prices'!$C$6:$AL$89,MATCH($C50,'[1]End - Use Prices'!$A$6:$A$89,0)+MATCH($D50,'[1]End - Use Prices'!$B$9:$B$11,0)-1,MATCH(Z$1,'[1]End - Use Prices'!$C$7:$AL$7,0))</f>
        <v>27.83</v>
      </c>
      <c r="AA50" s="41">
        <f>INDEX('[1]End - Use Prices'!$C$6:$AL$89,MATCH($C50,'[1]End - Use Prices'!$A$6:$A$89,0)+MATCH($D50,'[1]End - Use Prices'!$B$9:$B$11,0)-1,MATCH(AA$1,'[1]End - Use Prices'!$C$7:$AL$7,0))</f>
        <v>34.340000000000003</v>
      </c>
      <c r="AB50" s="41">
        <f>INDEX('[1]End - Use Prices'!$C$6:$AL$89,MATCH($C50,'[1]End - Use Prices'!$A$6:$A$89,0)+MATCH($D50,'[1]End - Use Prices'!$B$9:$B$11,0)-1,MATCH(AB$1,'[1]End - Use Prices'!$C$7:$AL$7,0))</f>
        <v>24.16</v>
      </c>
      <c r="AC50" s="41">
        <f>INDEX('[1]End - Use Prices'!$C$6:$AL$89,MATCH($C50,'[1]End - Use Prices'!$A$6:$A$89,0)+MATCH($D50,'[1]End - Use Prices'!$B$9:$B$11,0)-1,MATCH(AC$1,'[1]End - Use Prices'!$C$7:$AL$7,0))</f>
        <v>27.36</v>
      </c>
      <c r="AD50" s="41">
        <f>INDEX('[1]End - Use Prices'!$C$6:$AL$89,MATCH($C50,'[1]End - Use Prices'!$A$6:$A$89,0)+MATCH($D50,'[1]End - Use Prices'!$B$9:$B$11,0)-1,MATCH(AD$1,'[1]End - Use Prices'!$C$7:$AL$7,0))</f>
        <v>32.19</v>
      </c>
      <c r="AE50" s="41">
        <f>INDEX('[1]End - Use Prices'!$C$6:$AL$89,MATCH($C50,'[1]End - Use Prices'!$A$6:$A$89,0)+MATCH($D50,'[1]End - Use Prices'!$B$9:$B$11,0)-1,MATCH(AE$1,'[1]End - Use Prices'!$C$7:$AL$7,0))</f>
        <v>33.76</v>
      </c>
      <c r="AF50" s="41">
        <f>INDEX('[1]End - Use Prices'!$C$6:$AL$89,MATCH($C50,'[1]End - Use Prices'!$A$6:$A$89,0)+MATCH($D50,'[1]End - Use Prices'!$B$9:$B$11,0)-1,MATCH(AF$1,'[1]End - Use Prices'!$C$7:$AL$7,0))</f>
        <v>32.590000000000003</v>
      </c>
      <c r="AG50" s="41">
        <f>INDEX('[1]End - Use Prices'!$C$6:$AL$89,MATCH($C50,'[1]End - Use Prices'!$A$6:$A$89,0)+MATCH($D50,'[1]End - Use Prices'!$B$9:$B$11,0)-1,MATCH(AG$1,'[1]End - Use Prices'!$C$7:$AL$7,0))</f>
        <v>34.17</v>
      </c>
      <c r="AH50" s="41">
        <f>INDEX('[1]End - Use Prices'!$C$6:$AL$89,MATCH($C50,'[1]End - Use Prices'!$A$6:$A$89,0)+MATCH($D50,'[1]End - Use Prices'!$B$9:$B$11,0)-1,MATCH(AH$1,'[1]End - Use Prices'!$C$7:$AL$7,0))</f>
        <v>28.05</v>
      </c>
      <c r="AI50" s="41">
        <f>INDEX('[1]End - Use Prices'!$C$6:$AL$89,MATCH($C50,'[1]End - Use Prices'!$A$6:$A$89,0)+MATCH($D50,'[1]End - Use Prices'!$B$9:$B$11,0)-1,MATCH(AI$1,'[1]End - Use Prices'!$C$7:$AL$7,0))</f>
        <v>24.4</v>
      </c>
      <c r="AJ50" s="41">
        <f>INDEX('[1]End - Use Prices'!$C$6:$AL$89,MATCH($C50,'[1]End - Use Prices'!$A$6:$A$89,0)+MATCH($D50,'[1]End - Use Prices'!$B$9:$B$11,0)-1,MATCH(AJ$1,'[1]End - Use Prices'!$C$7:$AL$7,0))</f>
        <v>26.95</v>
      </c>
      <c r="AK50" s="41">
        <f>INDEX('[1]End - Use Prices'!$C$6:$AL$89,MATCH($C50,'[1]End - Use Prices'!$A$6:$A$89,0)+MATCH($D50,'[1]End - Use Prices'!$B$9:$B$11,0)-1,MATCH(AK$1,'[1]End - Use Prices'!$C$7:$AL$7,0))</f>
        <v>30.62</v>
      </c>
      <c r="AL50" s="41">
        <f>INDEX('[1]End - Use Prices'!$C$6:$AL$89,MATCH($C50,'[1]End - Use Prices'!$A$6:$A$89,0)+MATCH($D50,'[1]End - Use Prices'!$B$9:$B$11,0)-1,MATCH(AL$1,'[1]End - Use Prices'!$C$7:$AL$7,0))</f>
        <v>34.01</v>
      </c>
      <c r="AM50" s="41">
        <f>INDEX('[1]End - Use Prices'!$C$6:$AL$89,MATCH($C50,'[1]End - Use Prices'!$A$6:$A$89,0)+MATCH($D50,'[1]End - Use Prices'!$B$9:$B$11,0)-1,MATCH(AM$1,'[1]End - Use Prices'!$C$7:$AL$7,0))</f>
        <v>38.97</v>
      </c>
      <c r="AN50" s="41">
        <f>INDEX('[1]End - Use Prices'!$C$6:$AL$89,MATCH($C50,'[1]End - Use Prices'!$A$6:$A$89,0)+MATCH($D50,'[1]End - Use Prices'!$B$9:$B$11,0)-1,MATCH(AN$1,'[1]End - Use Prices'!$C$7:$AL$7,0))</f>
        <v>36.24</v>
      </c>
      <c r="AO50" s="41">
        <f>INDEX('[1]End - Use Prices'!$C$6:$AL$89,MATCH($C50,'[1]End - Use Prices'!$A$6:$A$89,0)+MATCH($D50,'[1]End - Use Prices'!$B$9:$B$11,0)-1,MATCH(AO$1,'[1]End - Use Prices'!$C$7:$AL$7,0))</f>
        <v>34.6</v>
      </c>
      <c r="AP50" s="41">
        <f>INDEX('[1]End - Use Prices'!$C$6:$AL$89,MATCH($C50,'[1]End - Use Prices'!$A$6:$A$89,0)+MATCH($D50,'[1]End - Use Prices'!$B$9:$B$11,0)-1,MATCH(AP$1,'[1]End - Use Prices'!$C$7:$AL$7,0))</f>
        <v>34.72</v>
      </c>
      <c r="AQ50" s="41">
        <f>INDEX('[1]End - Use Prices'!$C$6:$AL$89,MATCH($C50,'[1]End - Use Prices'!$A$6:$A$89,0)+MATCH($D50,'[1]End - Use Prices'!$B$9:$B$11,0)-1,MATCH(AQ$1,'[1]End - Use Prices'!$C$7:$AL$7,0))</f>
        <v>34.450000000000003</v>
      </c>
      <c r="AR50" s="41">
        <f>INDEX('[1]End - Use Prices'!$C$6:$AL$89,MATCH($C50,'[1]End - Use Prices'!$A$6:$A$89,0)+MATCH($D50,'[1]End - Use Prices'!$B$9:$B$11,0)-1,MATCH(AR$1,'[1]End - Use Prices'!$C$7:$AL$7,0))</f>
        <v>34.42</v>
      </c>
      <c r="AS50" s="41">
        <f>INDEX('[1]End - Use Prices'!$C$6:$AL$89,MATCH($C50,'[1]End - Use Prices'!$A$6:$A$89,0)+MATCH($D50,'[1]End - Use Prices'!$B$9:$B$11,0)-1,MATCH(AS$1,'[1]End - Use Prices'!$C$7:$AL$7,0))</f>
        <v>34.35</v>
      </c>
      <c r="AT50" s="41">
        <f>INDEX('[1]End - Use Prices'!$C$6:$AL$89,MATCH($C50,'[1]End - Use Prices'!$A$6:$A$89,0)+MATCH($D50,'[1]End - Use Prices'!$B$9:$B$11,0)-1,MATCH(AT$1,'[1]End - Use Prices'!$C$7:$AL$7,0))</f>
        <v>34.17</v>
      </c>
      <c r="AU50" s="41">
        <f>INDEX('[1]End - Use Prices'!$C$6:$AL$89,MATCH($C50,'[1]End - Use Prices'!$A$6:$A$89,0)+MATCH($D50,'[1]End - Use Prices'!$B$9:$B$11,0)-1,MATCH(AU$1,'[1]End - Use Prices'!$C$7:$AL$7,0))</f>
        <v>33.950000000000003</v>
      </c>
      <c r="AV50" s="41">
        <f>INDEX('[1]End - Use Prices'!$C$6:$AL$89,MATCH($C50,'[1]End - Use Prices'!$A$6:$A$89,0)+MATCH($D50,'[1]End - Use Prices'!$B$9:$B$11,0)-1,MATCH(AV$1,'[1]End - Use Prices'!$C$7:$AL$7,0))</f>
        <v>33.770000000000003</v>
      </c>
      <c r="AW50" s="41">
        <f>INDEX('[1]End - Use Prices'!$C$6:$AL$89,MATCH($C50,'[1]End - Use Prices'!$A$6:$A$89,0)+MATCH($D50,'[1]End - Use Prices'!$B$9:$B$11,0)-1,MATCH(AW$1,'[1]End - Use Prices'!$C$7:$AL$7,0))</f>
        <v>33.590000000000003</v>
      </c>
      <c r="AX50" s="41">
        <f>INDEX('[1]End - Use Prices'!$C$6:$AL$89,MATCH($C50,'[1]End - Use Prices'!$A$6:$A$89,0)+MATCH($D50,'[1]End - Use Prices'!$B$9:$B$11,0)-1,MATCH(AX$1,'[1]End - Use Prices'!$C$7:$AL$7,0))</f>
        <v>33.479999999999997</v>
      </c>
      <c r="AY50" s="41">
        <f>INDEX('[1]End - Use Prices'!$C$6:$AL$89,MATCH($C50,'[1]End - Use Prices'!$A$6:$A$89,0)+MATCH($D50,'[1]End - Use Prices'!$B$9:$B$11,0)-1,MATCH(AY$1,'[1]End - Use Prices'!$C$7:$AL$7,0))</f>
        <v>33.409999999999997</v>
      </c>
      <c r="AZ50" s="41">
        <f>INDEX('[1]End - Use Prices'!$C$6:$AL$89,MATCH($C50,'[1]End - Use Prices'!$A$6:$A$89,0)+MATCH($D50,'[1]End - Use Prices'!$B$9:$B$11,0)-1,MATCH(AZ$1,'[1]End - Use Prices'!$C$7:$AL$7,0))</f>
        <v>33.369999999999997</v>
      </c>
      <c r="BA50" s="41">
        <f>INDEX('[1]End - Use Prices'!$C$6:$AL$89,MATCH($C50,'[1]End - Use Prices'!$A$6:$A$89,0)+MATCH($D50,'[1]End - Use Prices'!$B$9:$B$11,0)-1,MATCH(BA$1,'[1]End - Use Prices'!$C$7:$AL$7,0))</f>
        <v>33.369999999999997</v>
      </c>
      <c r="BB50" s="41">
        <f>INDEX('[1]End - Use Prices'!$C$6:$AL$89,MATCH($C50,'[1]End - Use Prices'!$A$6:$A$89,0)+MATCH($D50,'[1]End - Use Prices'!$B$9:$B$11,0)-1,MATCH(BB$1,'[1]End - Use Prices'!$C$7:$AL$7,0))</f>
        <v>33.35</v>
      </c>
      <c r="BC50" s="41">
        <f>INDEX('[1]End - Use Prices'!$C$6:$AL$89,MATCH($C50,'[1]End - Use Prices'!$A$6:$A$89,0)+MATCH($D50,'[1]End - Use Prices'!$B$9:$B$11,0)-1,MATCH(BC$1,'[1]End - Use Prices'!$C$7:$AL$7,0))</f>
        <v>33.31</v>
      </c>
      <c r="BD50" s="41">
        <f>INDEX('[1]End - Use Prices'!$C$6:$AL$89,MATCH($C50,'[1]End - Use Prices'!$A$6:$A$89,0)+MATCH($D50,'[1]End - Use Prices'!$B$9:$B$11,0)-1,MATCH(BD$1,'[1]End - Use Prices'!$C$7:$AL$7,0))</f>
        <v>33.25</v>
      </c>
      <c r="BE50" s="41">
        <f>INDEX('[1]End - Use Prices'!$C$6:$AL$89,MATCH($C50,'[1]End - Use Prices'!$A$6:$A$89,0)+MATCH($D50,'[1]End - Use Prices'!$B$9:$B$11,0)-1,MATCH(BE$1,'[1]End - Use Prices'!$C$7:$AL$7,0))</f>
        <v>33.159999999999997</v>
      </c>
      <c r="BF50" s="41">
        <f>INDEX('[1]End - Use Prices'!$C$6:$AL$89,MATCH($C50,'[1]End - Use Prices'!$A$6:$A$89,0)+MATCH($D50,'[1]End - Use Prices'!$B$9:$B$11,0)-1,MATCH(BF$1,'[1]End - Use Prices'!$C$7:$AL$7,0))</f>
        <v>33.07</v>
      </c>
      <c r="BG50" s="41">
        <f>INDEX('[1]End - Use Prices'!$C$6:$AL$89,MATCH($C50,'[1]End - Use Prices'!$A$6:$A$89,0)+MATCH($D50,'[1]End - Use Prices'!$B$9:$B$11,0)-1,MATCH(BG$1,'[1]End - Use Prices'!$C$7:$AL$7,0))</f>
        <v>32.97</v>
      </c>
      <c r="BR50" s="39"/>
      <c r="BS50" s="39"/>
      <c r="BT50" s="39"/>
      <c r="BU50" s="39"/>
      <c r="BV50" s="39"/>
      <c r="BW50" s="39"/>
      <c r="BX50" s="39"/>
      <c r="BY50" s="39"/>
      <c r="BZ50" s="39"/>
      <c r="CA50" s="39"/>
    </row>
    <row r="51" spans="1:79" x14ac:dyDescent="0.25">
      <c r="A51" s="5"/>
      <c r="B51" s="3"/>
      <c r="C51" s="25" t="s">
        <v>91</v>
      </c>
      <c r="D51" s="25" t="s">
        <v>311</v>
      </c>
      <c r="E51" s="25" t="s">
        <v>313</v>
      </c>
      <c r="F51" s="74" t="s">
        <v>310</v>
      </c>
      <c r="G51" s="54">
        <f t="shared" si="8"/>
        <v>24.67</v>
      </c>
      <c r="H51" s="34">
        <f t="shared" si="43"/>
        <v>24.67</v>
      </c>
      <c r="I51" s="34">
        <f t="shared" si="43"/>
        <v>26.1</v>
      </c>
      <c r="J51" s="34">
        <f t="shared" si="43"/>
        <v>27.54</v>
      </c>
      <c r="K51" s="34">
        <f t="shared" si="43"/>
        <v>38.03</v>
      </c>
      <c r="L51" s="34">
        <f t="shared" si="43"/>
        <v>32.78</v>
      </c>
      <c r="M51" s="34">
        <f t="shared" si="43"/>
        <v>32.11</v>
      </c>
      <c r="N51" s="34">
        <f t="shared" si="43"/>
        <v>31.7</v>
      </c>
      <c r="O51" s="34">
        <f t="shared" si="43"/>
        <v>31.16</v>
      </c>
      <c r="P51" s="54">
        <f t="shared" ref="P51:Q51" si="45">O51</f>
        <v>31.16</v>
      </c>
      <c r="Q51" s="54">
        <f t="shared" si="45"/>
        <v>31.16</v>
      </c>
      <c r="R51" s="38"/>
      <c r="X51" s="41">
        <f>INDEX('[1]End - Use Prices'!$C$6:$AL$89,MATCH($C51,'[1]End - Use Prices'!$A$6:$A$89,0)+MATCH($D51,'[1]End - Use Prices'!$B$9:$B$11,0)-1,MATCH(X$1,'[1]End - Use Prices'!$C$7:$AL$7,0))</f>
        <v>24.67</v>
      </c>
      <c r="Y51" s="41">
        <f>INDEX('[1]End - Use Prices'!$C$6:$AL$89,MATCH($C51,'[1]End - Use Prices'!$A$6:$A$89,0)+MATCH($D51,'[1]End - Use Prices'!$B$9:$B$11,0)-1,MATCH(Y$1,'[1]End - Use Prices'!$C$7:$AL$7,0))</f>
        <v>25.2</v>
      </c>
      <c r="Z51" s="41">
        <f>INDEX('[1]End - Use Prices'!$C$6:$AL$89,MATCH($C51,'[1]End - Use Prices'!$A$6:$A$89,0)+MATCH($D51,'[1]End - Use Prices'!$B$9:$B$11,0)-1,MATCH(Z$1,'[1]End - Use Prices'!$C$7:$AL$7,0))</f>
        <v>25.43</v>
      </c>
      <c r="AA51" s="41">
        <f>INDEX('[1]End - Use Prices'!$C$6:$AL$89,MATCH($C51,'[1]End - Use Prices'!$A$6:$A$89,0)+MATCH($D51,'[1]End - Use Prices'!$B$9:$B$11,0)-1,MATCH(AA$1,'[1]End - Use Prices'!$C$7:$AL$7,0))</f>
        <v>33.47</v>
      </c>
      <c r="AB51" s="41">
        <f>INDEX('[1]End - Use Prices'!$C$6:$AL$89,MATCH($C51,'[1]End - Use Prices'!$A$6:$A$89,0)+MATCH($D51,'[1]End - Use Prices'!$B$9:$B$11,0)-1,MATCH(AB$1,'[1]End - Use Prices'!$C$7:$AL$7,0))</f>
        <v>23.22</v>
      </c>
      <c r="AC51" s="41">
        <f>INDEX('[1]End - Use Prices'!$C$6:$AL$89,MATCH($C51,'[1]End - Use Prices'!$A$6:$A$89,0)+MATCH($D51,'[1]End - Use Prices'!$B$9:$B$11,0)-1,MATCH(AC$1,'[1]End - Use Prices'!$C$7:$AL$7,0))</f>
        <v>26.1</v>
      </c>
      <c r="AD51" s="41">
        <f>INDEX('[1]End - Use Prices'!$C$6:$AL$89,MATCH($C51,'[1]End - Use Prices'!$A$6:$A$89,0)+MATCH($D51,'[1]End - Use Prices'!$B$9:$B$11,0)-1,MATCH(AD$1,'[1]End - Use Prices'!$C$7:$AL$7,0))</f>
        <v>32.090000000000003</v>
      </c>
      <c r="AE51" s="41">
        <f>INDEX('[1]End - Use Prices'!$C$6:$AL$89,MATCH($C51,'[1]End - Use Prices'!$A$6:$A$89,0)+MATCH($D51,'[1]End - Use Prices'!$B$9:$B$11,0)-1,MATCH(AE$1,'[1]End - Use Prices'!$C$7:$AL$7,0))</f>
        <v>33.770000000000003</v>
      </c>
      <c r="AF51" s="41">
        <f>INDEX('[1]End - Use Prices'!$C$6:$AL$89,MATCH($C51,'[1]End - Use Prices'!$A$6:$A$89,0)+MATCH($D51,'[1]End - Use Prices'!$B$9:$B$11,0)-1,MATCH(AF$1,'[1]End - Use Prices'!$C$7:$AL$7,0))</f>
        <v>33.130000000000003</v>
      </c>
      <c r="AG51" s="41">
        <f>INDEX('[1]End - Use Prices'!$C$6:$AL$89,MATCH($C51,'[1]End - Use Prices'!$A$6:$A$89,0)+MATCH($D51,'[1]End - Use Prices'!$B$9:$B$11,0)-1,MATCH(AG$1,'[1]End - Use Prices'!$C$7:$AL$7,0))</f>
        <v>33.630000000000003</v>
      </c>
      <c r="AH51" s="41">
        <f>INDEX('[1]End - Use Prices'!$C$6:$AL$89,MATCH($C51,'[1]End - Use Prices'!$A$6:$A$89,0)+MATCH($D51,'[1]End - Use Prices'!$B$9:$B$11,0)-1,MATCH(AH$1,'[1]End - Use Prices'!$C$7:$AL$7,0))</f>
        <v>27.54</v>
      </c>
      <c r="AI51" s="41">
        <f>INDEX('[1]End - Use Prices'!$C$6:$AL$89,MATCH($C51,'[1]End - Use Prices'!$A$6:$A$89,0)+MATCH($D51,'[1]End - Use Prices'!$B$9:$B$11,0)-1,MATCH(AI$1,'[1]End - Use Prices'!$C$7:$AL$7,0))</f>
        <v>23.58</v>
      </c>
      <c r="AJ51" s="41">
        <f>INDEX('[1]End - Use Prices'!$C$6:$AL$89,MATCH($C51,'[1]End - Use Prices'!$A$6:$A$89,0)+MATCH($D51,'[1]End - Use Prices'!$B$9:$B$11,0)-1,MATCH(AJ$1,'[1]End - Use Prices'!$C$7:$AL$7,0))</f>
        <v>25.75</v>
      </c>
      <c r="AK51" s="41">
        <f>INDEX('[1]End - Use Prices'!$C$6:$AL$89,MATCH($C51,'[1]End - Use Prices'!$A$6:$A$89,0)+MATCH($D51,'[1]End - Use Prices'!$B$9:$B$11,0)-1,MATCH(AK$1,'[1]End - Use Prices'!$C$7:$AL$7,0))</f>
        <v>30.37</v>
      </c>
      <c r="AL51" s="41">
        <f>INDEX('[1]End - Use Prices'!$C$6:$AL$89,MATCH($C51,'[1]End - Use Prices'!$A$6:$A$89,0)+MATCH($D51,'[1]End - Use Prices'!$B$9:$B$11,0)-1,MATCH(AL$1,'[1]End - Use Prices'!$C$7:$AL$7,0))</f>
        <v>34.700000000000003</v>
      </c>
      <c r="AM51" s="41">
        <f>INDEX('[1]End - Use Prices'!$C$6:$AL$89,MATCH($C51,'[1]End - Use Prices'!$A$6:$A$89,0)+MATCH($D51,'[1]End - Use Prices'!$B$9:$B$11,0)-1,MATCH(AM$1,'[1]End - Use Prices'!$C$7:$AL$7,0))</f>
        <v>38.03</v>
      </c>
      <c r="AN51" s="41">
        <f>INDEX('[1]End - Use Prices'!$C$6:$AL$89,MATCH($C51,'[1]End - Use Prices'!$A$6:$A$89,0)+MATCH($D51,'[1]End - Use Prices'!$B$9:$B$11,0)-1,MATCH(AN$1,'[1]End - Use Prices'!$C$7:$AL$7,0))</f>
        <v>34.799999999999997</v>
      </c>
      <c r="AO51" s="41">
        <f>INDEX('[1]End - Use Prices'!$C$6:$AL$89,MATCH($C51,'[1]End - Use Prices'!$A$6:$A$89,0)+MATCH($D51,'[1]End - Use Prices'!$B$9:$B$11,0)-1,MATCH(AO$1,'[1]End - Use Prices'!$C$7:$AL$7,0))</f>
        <v>32.68</v>
      </c>
      <c r="AP51" s="41">
        <f>INDEX('[1]End - Use Prices'!$C$6:$AL$89,MATCH($C51,'[1]End - Use Prices'!$A$6:$A$89,0)+MATCH($D51,'[1]End - Use Prices'!$B$9:$B$11,0)-1,MATCH(AP$1,'[1]End - Use Prices'!$C$7:$AL$7,0))</f>
        <v>32.369999999999997</v>
      </c>
      <c r="AQ51" s="41">
        <f>INDEX('[1]End - Use Prices'!$C$6:$AL$89,MATCH($C51,'[1]End - Use Prices'!$A$6:$A$89,0)+MATCH($D51,'[1]End - Use Prices'!$B$9:$B$11,0)-1,MATCH(AQ$1,'[1]End - Use Prices'!$C$7:$AL$7,0))</f>
        <v>32.47</v>
      </c>
      <c r="AR51" s="41">
        <f>INDEX('[1]End - Use Prices'!$C$6:$AL$89,MATCH($C51,'[1]End - Use Prices'!$A$6:$A$89,0)+MATCH($D51,'[1]End - Use Prices'!$B$9:$B$11,0)-1,MATCH(AR$1,'[1]End - Use Prices'!$C$7:$AL$7,0))</f>
        <v>32.78</v>
      </c>
      <c r="AS51" s="41">
        <f>INDEX('[1]End - Use Prices'!$C$6:$AL$89,MATCH($C51,'[1]End - Use Prices'!$A$6:$A$89,0)+MATCH($D51,'[1]End - Use Prices'!$B$9:$B$11,0)-1,MATCH(AS$1,'[1]End - Use Prices'!$C$7:$AL$7,0))</f>
        <v>33.03</v>
      </c>
      <c r="AT51" s="41">
        <f>INDEX('[1]End - Use Prices'!$C$6:$AL$89,MATCH($C51,'[1]End - Use Prices'!$A$6:$A$89,0)+MATCH($D51,'[1]End - Use Prices'!$B$9:$B$11,0)-1,MATCH(AT$1,'[1]End - Use Prices'!$C$7:$AL$7,0))</f>
        <v>32.81</v>
      </c>
      <c r="AU51" s="41">
        <f>INDEX('[1]End - Use Prices'!$C$6:$AL$89,MATCH($C51,'[1]End - Use Prices'!$A$6:$A$89,0)+MATCH($D51,'[1]End - Use Prices'!$B$9:$B$11,0)-1,MATCH(AU$1,'[1]End - Use Prices'!$C$7:$AL$7,0))</f>
        <v>32.549999999999997</v>
      </c>
      <c r="AV51" s="41">
        <f>INDEX('[1]End - Use Prices'!$C$6:$AL$89,MATCH($C51,'[1]End - Use Prices'!$A$6:$A$89,0)+MATCH($D51,'[1]End - Use Prices'!$B$9:$B$11,0)-1,MATCH(AV$1,'[1]End - Use Prices'!$C$7:$AL$7,0))</f>
        <v>32.33</v>
      </c>
      <c r="AW51" s="41">
        <f>INDEX('[1]End - Use Prices'!$C$6:$AL$89,MATCH($C51,'[1]End - Use Prices'!$A$6:$A$89,0)+MATCH($D51,'[1]End - Use Prices'!$B$9:$B$11,0)-1,MATCH(AW$1,'[1]End - Use Prices'!$C$7:$AL$7,0))</f>
        <v>32.11</v>
      </c>
      <c r="AX51" s="41">
        <f>INDEX('[1]End - Use Prices'!$C$6:$AL$89,MATCH($C51,'[1]End - Use Prices'!$A$6:$A$89,0)+MATCH($D51,'[1]End - Use Prices'!$B$9:$B$11,0)-1,MATCH(AX$1,'[1]End - Use Prices'!$C$7:$AL$7,0))</f>
        <v>31.96</v>
      </c>
      <c r="AY51" s="41">
        <f>INDEX('[1]End - Use Prices'!$C$6:$AL$89,MATCH($C51,'[1]End - Use Prices'!$A$6:$A$89,0)+MATCH($D51,'[1]End - Use Prices'!$B$9:$B$11,0)-1,MATCH(AY$1,'[1]End - Use Prices'!$C$7:$AL$7,0))</f>
        <v>31.85</v>
      </c>
      <c r="AZ51" s="41">
        <f>INDEX('[1]End - Use Prices'!$C$6:$AL$89,MATCH($C51,'[1]End - Use Prices'!$A$6:$A$89,0)+MATCH($D51,'[1]End - Use Prices'!$B$9:$B$11,0)-1,MATCH(AZ$1,'[1]End - Use Prices'!$C$7:$AL$7,0))</f>
        <v>31.79</v>
      </c>
      <c r="BA51" s="41">
        <f>INDEX('[1]End - Use Prices'!$C$6:$AL$89,MATCH($C51,'[1]End - Use Prices'!$A$6:$A$89,0)+MATCH($D51,'[1]End - Use Prices'!$B$9:$B$11,0)-1,MATCH(BA$1,'[1]End - Use Prices'!$C$7:$AL$7,0))</f>
        <v>31.75</v>
      </c>
      <c r="BB51" s="41">
        <f>INDEX('[1]End - Use Prices'!$C$6:$AL$89,MATCH($C51,'[1]End - Use Prices'!$A$6:$A$89,0)+MATCH($D51,'[1]End - Use Prices'!$B$9:$B$11,0)-1,MATCH(BB$1,'[1]End - Use Prices'!$C$7:$AL$7,0))</f>
        <v>31.7</v>
      </c>
      <c r="BC51" s="41">
        <f>INDEX('[1]End - Use Prices'!$C$6:$AL$89,MATCH($C51,'[1]End - Use Prices'!$A$6:$A$89,0)+MATCH($D51,'[1]End - Use Prices'!$B$9:$B$11,0)-1,MATCH(BC$1,'[1]End - Use Prices'!$C$7:$AL$7,0))</f>
        <v>31.63</v>
      </c>
      <c r="BD51" s="41">
        <f>INDEX('[1]End - Use Prices'!$C$6:$AL$89,MATCH($C51,'[1]End - Use Prices'!$A$6:$A$89,0)+MATCH($D51,'[1]End - Use Prices'!$B$9:$B$11,0)-1,MATCH(BD$1,'[1]End - Use Prices'!$C$7:$AL$7,0))</f>
        <v>31.54</v>
      </c>
      <c r="BE51" s="41">
        <f>INDEX('[1]End - Use Prices'!$C$6:$AL$89,MATCH($C51,'[1]End - Use Prices'!$A$6:$A$89,0)+MATCH($D51,'[1]End - Use Prices'!$B$9:$B$11,0)-1,MATCH(BE$1,'[1]End - Use Prices'!$C$7:$AL$7,0))</f>
        <v>31.42</v>
      </c>
      <c r="BF51" s="41">
        <f>INDEX('[1]End - Use Prices'!$C$6:$AL$89,MATCH($C51,'[1]End - Use Prices'!$A$6:$A$89,0)+MATCH($D51,'[1]End - Use Prices'!$B$9:$B$11,0)-1,MATCH(BF$1,'[1]End - Use Prices'!$C$7:$AL$7,0))</f>
        <v>31.3</v>
      </c>
      <c r="BG51" s="41">
        <f>INDEX('[1]End - Use Prices'!$C$6:$AL$89,MATCH($C51,'[1]End - Use Prices'!$A$6:$A$89,0)+MATCH($D51,'[1]End - Use Prices'!$B$9:$B$11,0)-1,MATCH(BG$1,'[1]End - Use Prices'!$C$7:$AL$7,0))</f>
        <v>31.16</v>
      </c>
      <c r="BR51" s="39"/>
      <c r="BS51" s="39"/>
      <c r="BT51" s="39"/>
      <c r="BU51" s="39"/>
      <c r="BV51" s="39"/>
      <c r="BW51" s="39"/>
      <c r="BX51" s="39"/>
      <c r="BY51" s="39"/>
      <c r="BZ51" s="39"/>
      <c r="CA51" s="39"/>
    </row>
    <row r="52" spans="1:79" x14ac:dyDescent="0.25">
      <c r="A52" s="5"/>
      <c r="B52" s="3"/>
      <c r="C52" s="25" t="s">
        <v>92</v>
      </c>
      <c r="D52" s="25" t="s">
        <v>311</v>
      </c>
      <c r="E52" s="25" t="s">
        <v>313</v>
      </c>
      <c r="F52" s="74" t="s">
        <v>310</v>
      </c>
      <c r="G52" s="54">
        <f t="shared" si="8"/>
        <v>25.66</v>
      </c>
      <c r="H52" s="34">
        <f t="shared" si="43"/>
        <v>25.66</v>
      </c>
      <c r="I52" s="34">
        <f t="shared" si="43"/>
        <v>28.54</v>
      </c>
      <c r="J52" s="34">
        <f t="shared" si="43"/>
        <v>30.91</v>
      </c>
      <c r="K52" s="34">
        <f t="shared" si="43"/>
        <v>41.65</v>
      </c>
      <c r="L52" s="34">
        <f t="shared" si="43"/>
        <v>36.79</v>
      </c>
      <c r="M52" s="34">
        <f t="shared" si="43"/>
        <v>36.32</v>
      </c>
      <c r="N52" s="34">
        <f t="shared" si="43"/>
        <v>36.090000000000003</v>
      </c>
      <c r="O52" s="34">
        <f t="shared" si="43"/>
        <v>35.71</v>
      </c>
      <c r="P52" s="54">
        <f t="shared" ref="P52:Q52" si="46">O52</f>
        <v>35.71</v>
      </c>
      <c r="Q52" s="54">
        <f t="shared" si="46"/>
        <v>35.71</v>
      </c>
      <c r="R52" s="38"/>
      <c r="X52" s="41">
        <f>INDEX('[1]End - Use Prices'!$C$6:$AL$89,MATCH($C52,'[1]End - Use Prices'!$A$6:$A$89,0)+MATCH($D52,'[1]End - Use Prices'!$B$9:$B$11,0)-1,MATCH(X$1,'[1]End - Use Prices'!$C$7:$AL$7,0))</f>
        <v>25.66</v>
      </c>
      <c r="Y52" s="41">
        <f>INDEX('[1]End - Use Prices'!$C$6:$AL$89,MATCH($C52,'[1]End - Use Prices'!$A$6:$A$89,0)+MATCH($D52,'[1]End - Use Prices'!$B$9:$B$11,0)-1,MATCH(Y$1,'[1]End - Use Prices'!$C$7:$AL$7,0))</f>
        <v>26.36</v>
      </c>
      <c r="Z52" s="41">
        <f>INDEX('[1]End - Use Prices'!$C$6:$AL$89,MATCH($C52,'[1]End - Use Prices'!$A$6:$A$89,0)+MATCH($D52,'[1]End - Use Prices'!$B$9:$B$11,0)-1,MATCH(Z$1,'[1]End - Use Prices'!$C$7:$AL$7,0))</f>
        <v>27.18</v>
      </c>
      <c r="AA52" s="41">
        <f>INDEX('[1]End - Use Prices'!$C$6:$AL$89,MATCH($C52,'[1]End - Use Prices'!$A$6:$A$89,0)+MATCH($D52,'[1]End - Use Prices'!$B$9:$B$11,0)-1,MATCH(AA$1,'[1]End - Use Prices'!$C$7:$AL$7,0))</f>
        <v>33.630000000000003</v>
      </c>
      <c r="AB52" s="41">
        <f>INDEX('[1]End - Use Prices'!$C$6:$AL$89,MATCH($C52,'[1]End - Use Prices'!$A$6:$A$89,0)+MATCH($D52,'[1]End - Use Prices'!$B$9:$B$11,0)-1,MATCH(AB$1,'[1]End - Use Prices'!$C$7:$AL$7,0))</f>
        <v>25.05</v>
      </c>
      <c r="AC52" s="41">
        <f>INDEX('[1]End - Use Prices'!$C$6:$AL$89,MATCH($C52,'[1]End - Use Prices'!$A$6:$A$89,0)+MATCH($D52,'[1]End - Use Prices'!$B$9:$B$11,0)-1,MATCH(AC$1,'[1]End - Use Prices'!$C$7:$AL$7,0))</f>
        <v>28.54</v>
      </c>
      <c r="AD52" s="41">
        <f>INDEX('[1]End - Use Prices'!$C$6:$AL$89,MATCH($C52,'[1]End - Use Prices'!$A$6:$A$89,0)+MATCH($D52,'[1]End - Use Prices'!$B$9:$B$11,0)-1,MATCH(AD$1,'[1]End - Use Prices'!$C$7:$AL$7,0))</f>
        <v>35.020000000000003</v>
      </c>
      <c r="AE52" s="41">
        <f>INDEX('[1]End - Use Prices'!$C$6:$AL$89,MATCH($C52,'[1]End - Use Prices'!$A$6:$A$89,0)+MATCH($D52,'[1]End - Use Prices'!$B$9:$B$11,0)-1,MATCH(AE$1,'[1]End - Use Prices'!$C$7:$AL$7,0))</f>
        <v>35.61</v>
      </c>
      <c r="AF52" s="41">
        <f>INDEX('[1]End - Use Prices'!$C$6:$AL$89,MATCH($C52,'[1]End - Use Prices'!$A$6:$A$89,0)+MATCH($D52,'[1]End - Use Prices'!$B$9:$B$11,0)-1,MATCH(AF$1,'[1]End - Use Prices'!$C$7:$AL$7,0))</f>
        <v>35.47</v>
      </c>
      <c r="AG52" s="41">
        <f>INDEX('[1]End - Use Prices'!$C$6:$AL$89,MATCH($C52,'[1]End - Use Prices'!$A$6:$A$89,0)+MATCH($D52,'[1]End - Use Prices'!$B$9:$B$11,0)-1,MATCH(AG$1,'[1]End - Use Prices'!$C$7:$AL$7,0))</f>
        <v>36.5</v>
      </c>
      <c r="AH52" s="41">
        <f>INDEX('[1]End - Use Prices'!$C$6:$AL$89,MATCH($C52,'[1]End - Use Prices'!$A$6:$A$89,0)+MATCH($D52,'[1]End - Use Prices'!$B$9:$B$11,0)-1,MATCH(AH$1,'[1]End - Use Prices'!$C$7:$AL$7,0))</f>
        <v>30.91</v>
      </c>
      <c r="AI52" s="41">
        <f>INDEX('[1]End - Use Prices'!$C$6:$AL$89,MATCH($C52,'[1]End - Use Prices'!$A$6:$A$89,0)+MATCH($D52,'[1]End - Use Prices'!$B$9:$B$11,0)-1,MATCH(AI$1,'[1]End - Use Prices'!$C$7:$AL$7,0))</f>
        <v>27.23</v>
      </c>
      <c r="AJ52" s="41">
        <f>INDEX('[1]End - Use Prices'!$C$6:$AL$89,MATCH($C52,'[1]End - Use Prices'!$A$6:$A$89,0)+MATCH($D52,'[1]End - Use Prices'!$B$9:$B$11,0)-1,MATCH(AJ$1,'[1]End - Use Prices'!$C$7:$AL$7,0))</f>
        <v>31.23</v>
      </c>
      <c r="AK52" s="41">
        <f>INDEX('[1]End - Use Prices'!$C$6:$AL$89,MATCH($C52,'[1]End - Use Prices'!$A$6:$A$89,0)+MATCH($D52,'[1]End - Use Prices'!$B$9:$B$11,0)-1,MATCH(AK$1,'[1]End - Use Prices'!$C$7:$AL$7,0))</f>
        <v>35.57</v>
      </c>
      <c r="AL52" s="41">
        <f>INDEX('[1]End - Use Prices'!$C$6:$AL$89,MATCH($C52,'[1]End - Use Prices'!$A$6:$A$89,0)+MATCH($D52,'[1]End - Use Prices'!$B$9:$B$11,0)-1,MATCH(AL$1,'[1]End - Use Prices'!$C$7:$AL$7,0))</f>
        <v>38.32</v>
      </c>
      <c r="AM52" s="41">
        <f>INDEX('[1]End - Use Prices'!$C$6:$AL$89,MATCH($C52,'[1]End - Use Prices'!$A$6:$A$89,0)+MATCH($D52,'[1]End - Use Prices'!$B$9:$B$11,0)-1,MATCH(AM$1,'[1]End - Use Prices'!$C$7:$AL$7,0))</f>
        <v>41.65</v>
      </c>
      <c r="AN52" s="41">
        <f>INDEX('[1]End - Use Prices'!$C$6:$AL$89,MATCH($C52,'[1]End - Use Prices'!$A$6:$A$89,0)+MATCH($D52,'[1]End - Use Prices'!$B$9:$B$11,0)-1,MATCH(AN$1,'[1]End - Use Prices'!$C$7:$AL$7,0))</f>
        <v>38.53</v>
      </c>
      <c r="AO52" s="41">
        <f>INDEX('[1]End - Use Prices'!$C$6:$AL$89,MATCH($C52,'[1]End - Use Prices'!$A$6:$A$89,0)+MATCH($D52,'[1]End - Use Prices'!$B$9:$B$11,0)-1,MATCH(AO$1,'[1]End - Use Prices'!$C$7:$AL$7,0))</f>
        <v>36.51</v>
      </c>
      <c r="AP52" s="41">
        <f>INDEX('[1]End - Use Prices'!$C$6:$AL$89,MATCH($C52,'[1]End - Use Prices'!$A$6:$A$89,0)+MATCH($D52,'[1]End - Use Prices'!$B$9:$B$11,0)-1,MATCH(AP$1,'[1]End - Use Prices'!$C$7:$AL$7,0))</f>
        <v>36.270000000000003</v>
      </c>
      <c r="AQ52" s="41">
        <f>INDEX('[1]End - Use Prices'!$C$6:$AL$89,MATCH($C52,'[1]End - Use Prices'!$A$6:$A$89,0)+MATCH($D52,'[1]End - Use Prices'!$B$9:$B$11,0)-1,MATCH(AQ$1,'[1]End - Use Prices'!$C$7:$AL$7,0))</f>
        <v>36.42</v>
      </c>
      <c r="AR52" s="41">
        <f>INDEX('[1]End - Use Prices'!$C$6:$AL$89,MATCH($C52,'[1]End - Use Prices'!$A$6:$A$89,0)+MATCH($D52,'[1]End - Use Prices'!$B$9:$B$11,0)-1,MATCH(AR$1,'[1]End - Use Prices'!$C$7:$AL$7,0))</f>
        <v>36.79</v>
      </c>
      <c r="AS52" s="41">
        <f>INDEX('[1]End - Use Prices'!$C$6:$AL$89,MATCH($C52,'[1]End - Use Prices'!$A$6:$A$89,0)+MATCH($D52,'[1]End - Use Prices'!$B$9:$B$11,0)-1,MATCH(AS$1,'[1]End - Use Prices'!$C$7:$AL$7,0))</f>
        <v>37.08</v>
      </c>
      <c r="AT52" s="41">
        <f>INDEX('[1]End - Use Prices'!$C$6:$AL$89,MATCH($C52,'[1]End - Use Prices'!$A$6:$A$89,0)+MATCH($D52,'[1]End - Use Prices'!$B$9:$B$11,0)-1,MATCH(AT$1,'[1]End - Use Prices'!$C$7:$AL$7,0))</f>
        <v>36.909999999999997</v>
      </c>
      <c r="AU52" s="41">
        <f>INDEX('[1]End - Use Prices'!$C$6:$AL$89,MATCH($C52,'[1]End - Use Prices'!$A$6:$A$89,0)+MATCH($D52,'[1]End - Use Prices'!$B$9:$B$11,0)-1,MATCH(AU$1,'[1]End - Use Prices'!$C$7:$AL$7,0))</f>
        <v>36.69</v>
      </c>
      <c r="AV52" s="41">
        <f>INDEX('[1]End - Use Prices'!$C$6:$AL$89,MATCH($C52,'[1]End - Use Prices'!$A$6:$A$89,0)+MATCH($D52,'[1]End - Use Prices'!$B$9:$B$11,0)-1,MATCH(AV$1,'[1]End - Use Prices'!$C$7:$AL$7,0))</f>
        <v>36.51</v>
      </c>
      <c r="AW52" s="41">
        <f>INDEX('[1]End - Use Prices'!$C$6:$AL$89,MATCH($C52,'[1]End - Use Prices'!$A$6:$A$89,0)+MATCH($D52,'[1]End - Use Prices'!$B$9:$B$11,0)-1,MATCH(AW$1,'[1]End - Use Prices'!$C$7:$AL$7,0))</f>
        <v>36.32</v>
      </c>
      <c r="AX52" s="41">
        <f>INDEX('[1]End - Use Prices'!$C$6:$AL$89,MATCH($C52,'[1]End - Use Prices'!$A$6:$A$89,0)+MATCH($D52,'[1]End - Use Prices'!$B$9:$B$11,0)-1,MATCH(AX$1,'[1]End - Use Prices'!$C$7:$AL$7,0))</f>
        <v>36.22</v>
      </c>
      <c r="AY52" s="41">
        <f>INDEX('[1]End - Use Prices'!$C$6:$AL$89,MATCH($C52,'[1]End - Use Prices'!$A$6:$A$89,0)+MATCH($D52,'[1]End - Use Prices'!$B$9:$B$11,0)-1,MATCH(AY$1,'[1]End - Use Prices'!$C$7:$AL$7,0))</f>
        <v>36.14</v>
      </c>
      <c r="AZ52" s="41">
        <f>INDEX('[1]End - Use Prices'!$C$6:$AL$89,MATCH($C52,'[1]End - Use Prices'!$A$6:$A$89,0)+MATCH($D52,'[1]End - Use Prices'!$B$9:$B$11,0)-1,MATCH(AZ$1,'[1]End - Use Prices'!$C$7:$AL$7,0))</f>
        <v>36.11</v>
      </c>
      <c r="BA52" s="41">
        <f>INDEX('[1]End - Use Prices'!$C$6:$AL$89,MATCH($C52,'[1]End - Use Prices'!$A$6:$A$89,0)+MATCH($D52,'[1]End - Use Prices'!$B$9:$B$11,0)-1,MATCH(BA$1,'[1]End - Use Prices'!$C$7:$AL$7,0))</f>
        <v>36.11</v>
      </c>
      <c r="BB52" s="41">
        <f>INDEX('[1]End - Use Prices'!$C$6:$AL$89,MATCH($C52,'[1]End - Use Prices'!$A$6:$A$89,0)+MATCH($D52,'[1]End - Use Prices'!$B$9:$B$11,0)-1,MATCH(BB$1,'[1]End - Use Prices'!$C$7:$AL$7,0))</f>
        <v>36.090000000000003</v>
      </c>
      <c r="BC52" s="41">
        <f>INDEX('[1]End - Use Prices'!$C$6:$AL$89,MATCH($C52,'[1]End - Use Prices'!$A$6:$A$89,0)+MATCH($D52,'[1]End - Use Prices'!$B$9:$B$11,0)-1,MATCH(BC$1,'[1]End - Use Prices'!$C$7:$AL$7,0))</f>
        <v>36.049999999999997</v>
      </c>
      <c r="BD52" s="41">
        <f>INDEX('[1]End - Use Prices'!$C$6:$AL$89,MATCH($C52,'[1]End - Use Prices'!$A$6:$A$89,0)+MATCH($D52,'[1]End - Use Prices'!$B$9:$B$11,0)-1,MATCH(BD$1,'[1]End - Use Prices'!$C$7:$AL$7,0))</f>
        <v>35.99</v>
      </c>
      <c r="BE52" s="41">
        <f>INDEX('[1]End - Use Prices'!$C$6:$AL$89,MATCH($C52,'[1]End - Use Prices'!$A$6:$A$89,0)+MATCH($D52,'[1]End - Use Prices'!$B$9:$B$11,0)-1,MATCH(BE$1,'[1]End - Use Prices'!$C$7:$AL$7,0))</f>
        <v>35.9</v>
      </c>
      <c r="BF52" s="41">
        <f>INDEX('[1]End - Use Prices'!$C$6:$AL$89,MATCH($C52,'[1]End - Use Prices'!$A$6:$A$89,0)+MATCH($D52,'[1]End - Use Prices'!$B$9:$B$11,0)-1,MATCH(BF$1,'[1]End - Use Prices'!$C$7:$AL$7,0))</f>
        <v>35.81</v>
      </c>
      <c r="BG52" s="41">
        <f>INDEX('[1]End - Use Prices'!$C$6:$AL$89,MATCH($C52,'[1]End - Use Prices'!$A$6:$A$89,0)+MATCH($D52,'[1]End - Use Prices'!$B$9:$B$11,0)-1,MATCH(BG$1,'[1]End - Use Prices'!$C$7:$AL$7,0))</f>
        <v>35.71</v>
      </c>
      <c r="BR52" s="39"/>
      <c r="BS52" s="39"/>
      <c r="BT52" s="39"/>
      <c r="BU52" s="39"/>
      <c r="BV52" s="39"/>
      <c r="BW52" s="39"/>
      <c r="BX52" s="39"/>
      <c r="BY52" s="39"/>
      <c r="BZ52" s="39"/>
      <c r="CA52" s="39"/>
    </row>
    <row r="53" spans="1:79" x14ac:dyDescent="0.25">
      <c r="A53" s="5"/>
      <c r="B53" s="3"/>
      <c r="C53" s="25" t="s">
        <v>93</v>
      </c>
      <c r="D53" s="25" t="s">
        <v>311</v>
      </c>
      <c r="E53" s="25" t="s">
        <v>313</v>
      </c>
      <c r="F53" s="74" t="s">
        <v>310</v>
      </c>
      <c r="G53" s="54">
        <f t="shared" si="8"/>
        <v>26.86</v>
      </c>
      <c r="H53" s="34">
        <f t="shared" si="43"/>
        <v>26.86</v>
      </c>
      <c r="I53" s="34">
        <f t="shared" si="43"/>
        <v>28.11</v>
      </c>
      <c r="J53" s="34">
        <f t="shared" si="43"/>
        <v>26.82</v>
      </c>
      <c r="K53" s="34">
        <f t="shared" si="43"/>
        <v>36.65</v>
      </c>
      <c r="L53" s="34">
        <f t="shared" si="43"/>
        <v>30.13</v>
      </c>
      <c r="M53" s="34">
        <f t="shared" si="43"/>
        <v>29.7</v>
      </c>
      <c r="N53" s="34">
        <f t="shared" si="43"/>
        <v>29.69</v>
      </c>
      <c r="O53" s="34">
        <f t="shared" si="43"/>
        <v>29.56</v>
      </c>
      <c r="P53" s="54">
        <f t="shared" ref="P53:Q53" si="47">O53</f>
        <v>29.56</v>
      </c>
      <c r="Q53" s="54">
        <f t="shared" si="47"/>
        <v>29.56</v>
      </c>
      <c r="R53" s="38"/>
      <c r="X53" s="41">
        <f>INDEX('[1]End - Use Prices'!$C$6:$AL$89,MATCH($C53,'[1]End - Use Prices'!$A$6:$A$89,0)+MATCH($D53,'[1]End - Use Prices'!$B$9:$B$11,0)-1,MATCH(X$1,'[1]End - Use Prices'!$C$7:$AL$7,0))</f>
        <v>26.86</v>
      </c>
      <c r="Y53" s="41">
        <f>INDEX('[1]End - Use Prices'!$C$6:$AL$89,MATCH($C53,'[1]End - Use Prices'!$A$6:$A$89,0)+MATCH($D53,'[1]End - Use Prices'!$B$9:$B$11,0)-1,MATCH(Y$1,'[1]End - Use Prices'!$C$7:$AL$7,0))</f>
        <v>26.92</v>
      </c>
      <c r="Z53" s="41">
        <f>INDEX('[1]End - Use Prices'!$C$6:$AL$89,MATCH($C53,'[1]End - Use Prices'!$A$6:$A$89,0)+MATCH($D53,'[1]End - Use Prices'!$B$9:$B$11,0)-1,MATCH(Z$1,'[1]End - Use Prices'!$C$7:$AL$7,0))</f>
        <v>28.39</v>
      </c>
      <c r="AA53" s="41">
        <f>INDEX('[1]End - Use Prices'!$C$6:$AL$89,MATCH($C53,'[1]End - Use Prices'!$A$6:$A$89,0)+MATCH($D53,'[1]End - Use Prices'!$B$9:$B$11,0)-1,MATCH(AA$1,'[1]End - Use Prices'!$C$7:$AL$7,0))</f>
        <v>34.549999999999997</v>
      </c>
      <c r="AB53" s="41">
        <f>INDEX('[1]End - Use Prices'!$C$6:$AL$89,MATCH($C53,'[1]End - Use Prices'!$A$6:$A$89,0)+MATCH($D53,'[1]End - Use Prices'!$B$9:$B$11,0)-1,MATCH(AB$1,'[1]End - Use Prices'!$C$7:$AL$7,0))</f>
        <v>25.26</v>
      </c>
      <c r="AC53" s="41">
        <f>INDEX('[1]End - Use Prices'!$C$6:$AL$89,MATCH($C53,'[1]End - Use Prices'!$A$6:$A$89,0)+MATCH($D53,'[1]End - Use Prices'!$B$9:$B$11,0)-1,MATCH(AC$1,'[1]End - Use Prices'!$C$7:$AL$7,0))</f>
        <v>28.11</v>
      </c>
      <c r="AD53" s="41">
        <f>INDEX('[1]End - Use Prices'!$C$6:$AL$89,MATCH($C53,'[1]End - Use Prices'!$A$6:$A$89,0)+MATCH($D53,'[1]End - Use Prices'!$B$9:$B$11,0)-1,MATCH(AD$1,'[1]End - Use Prices'!$C$7:$AL$7,0))</f>
        <v>32.72</v>
      </c>
      <c r="AE53" s="41">
        <f>INDEX('[1]End - Use Prices'!$C$6:$AL$89,MATCH($C53,'[1]End - Use Prices'!$A$6:$A$89,0)+MATCH($D53,'[1]End - Use Prices'!$B$9:$B$11,0)-1,MATCH(AE$1,'[1]End - Use Prices'!$C$7:$AL$7,0))</f>
        <v>32.950000000000003</v>
      </c>
      <c r="AF53" s="41">
        <f>INDEX('[1]End - Use Prices'!$C$6:$AL$89,MATCH($C53,'[1]End - Use Prices'!$A$6:$A$89,0)+MATCH($D53,'[1]End - Use Prices'!$B$9:$B$11,0)-1,MATCH(AF$1,'[1]End - Use Prices'!$C$7:$AL$7,0))</f>
        <v>33.5</v>
      </c>
      <c r="AG53" s="41">
        <f>INDEX('[1]End - Use Prices'!$C$6:$AL$89,MATCH($C53,'[1]End - Use Prices'!$A$6:$A$89,0)+MATCH($D53,'[1]End - Use Prices'!$B$9:$B$11,0)-1,MATCH(AG$1,'[1]End - Use Prices'!$C$7:$AL$7,0))</f>
        <v>34.840000000000003</v>
      </c>
      <c r="AH53" s="41">
        <f>INDEX('[1]End - Use Prices'!$C$6:$AL$89,MATCH($C53,'[1]End - Use Prices'!$A$6:$A$89,0)+MATCH($D53,'[1]End - Use Prices'!$B$9:$B$11,0)-1,MATCH(AH$1,'[1]End - Use Prices'!$C$7:$AL$7,0))</f>
        <v>26.82</v>
      </c>
      <c r="AI53" s="41">
        <f>INDEX('[1]End - Use Prices'!$C$6:$AL$89,MATCH($C53,'[1]End - Use Prices'!$A$6:$A$89,0)+MATCH($D53,'[1]End - Use Prices'!$B$9:$B$11,0)-1,MATCH(AI$1,'[1]End - Use Prices'!$C$7:$AL$7,0))</f>
        <v>24</v>
      </c>
      <c r="AJ53" s="41">
        <f>INDEX('[1]End - Use Prices'!$C$6:$AL$89,MATCH($C53,'[1]End - Use Prices'!$A$6:$A$89,0)+MATCH($D53,'[1]End - Use Prices'!$B$9:$B$11,0)-1,MATCH(AJ$1,'[1]End - Use Prices'!$C$7:$AL$7,0))</f>
        <v>26.23</v>
      </c>
      <c r="AK53" s="41">
        <f>INDEX('[1]End - Use Prices'!$C$6:$AL$89,MATCH($C53,'[1]End - Use Prices'!$A$6:$A$89,0)+MATCH($D53,'[1]End - Use Prices'!$B$9:$B$11,0)-1,MATCH(AK$1,'[1]End - Use Prices'!$C$7:$AL$7,0))</f>
        <v>30.14</v>
      </c>
      <c r="AL53" s="41">
        <f>INDEX('[1]End - Use Prices'!$C$6:$AL$89,MATCH($C53,'[1]End - Use Prices'!$A$6:$A$89,0)+MATCH($D53,'[1]End - Use Prices'!$B$9:$B$11,0)-1,MATCH(AL$1,'[1]End - Use Prices'!$C$7:$AL$7,0))</f>
        <v>33.479999999999997</v>
      </c>
      <c r="AM53" s="41">
        <f>INDEX('[1]End - Use Prices'!$C$6:$AL$89,MATCH($C53,'[1]End - Use Prices'!$A$6:$A$89,0)+MATCH($D53,'[1]End - Use Prices'!$B$9:$B$11,0)-1,MATCH(AM$1,'[1]End - Use Prices'!$C$7:$AL$7,0))</f>
        <v>36.65</v>
      </c>
      <c r="AN53" s="41">
        <f>INDEX('[1]End - Use Prices'!$C$6:$AL$89,MATCH($C53,'[1]End - Use Prices'!$A$6:$A$89,0)+MATCH($D53,'[1]End - Use Prices'!$B$9:$B$11,0)-1,MATCH(AN$1,'[1]End - Use Prices'!$C$7:$AL$7,0))</f>
        <v>33.15</v>
      </c>
      <c r="AO53" s="41">
        <f>INDEX('[1]End - Use Prices'!$C$6:$AL$89,MATCH($C53,'[1]End - Use Prices'!$A$6:$A$89,0)+MATCH($D53,'[1]End - Use Prices'!$B$9:$B$11,0)-1,MATCH(AO$1,'[1]End - Use Prices'!$C$7:$AL$7,0))</f>
        <v>30.77</v>
      </c>
      <c r="AP53" s="41">
        <f>INDEX('[1]End - Use Prices'!$C$6:$AL$89,MATCH($C53,'[1]End - Use Prices'!$A$6:$A$89,0)+MATCH($D53,'[1]End - Use Prices'!$B$9:$B$11,0)-1,MATCH(AP$1,'[1]End - Use Prices'!$C$7:$AL$7,0))</f>
        <v>30.2</v>
      </c>
      <c r="AQ53" s="41">
        <f>INDEX('[1]End - Use Prices'!$C$6:$AL$89,MATCH($C53,'[1]End - Use Prices'!$A$6:$A$89,0)+MATCH($D53,'[1]End - Use Prices'!$B$9:$B$11,0)-1,MATCH(AQ$1,'[1]End - Use Prices'!$C$7:$AL$7,0))</f>
        <v>30.06</v>
      </c>
      <c r="AR53" s="41">
        <f>INDEX('[1]End - Use Prices'!$C$6:$AL$89,MATCH($C53,'[1]End - Use Prices'!$A$6:$A$89,0)+MATCH($D53,'[1]End - Use Prices'!$B$9:$B$11,0)-1,MATCH(AR$1,'[1]End - Use Prices'!$C$7:$AL$7,0))</f>
        <v>30.13</v>
      </c>
      <c r="AS53" s="41">
        <f>INDEX('[1]End - Use Prices'!$C$6:$AL$89,MATCH($C53,'[1]End - Use Prices'!$A$6:$A$89,0)+MATCH($D53,'[1]End - Use Prices'!$B$9:$B$11,0)-1,MATCH(AS$1,'[1]End - Use Prices'!$C$7:$AL$7,0))</f>
        <v>30.14</v>
      </c>
      <c r="AT53" s="41">
        <f>INDEX('[1]End - Use Prices'!$C$6:$AL$89,MATCH($C53,'[1]End - Use Prices'!$A$6:$A$89,0)+MATCH($D53,'[1]End - Use Prices'!$B$9:$B$11,0)-1,MATCH(AT$1,'[1]End - Use Prices'!$C$7:$AL$7,0))</f>
        <v>30.06</v>
      </c>
      <c r="AU53" s="41">
        <f>INDEX('[1]End - Use Prices'!$C$6:$AL$89,MATCH($C53,'[1]End - Use Prices'!$A$6:$A$89,0)+MATCH($D53,'[1]End - Use Prices'!$B$9:$B$11,0)-1,MATCH(AU$1,'[1]End - Use Prices'!$C$7:$AL$7,0))</f>
        <v>29.92</v>
      </c>
      <c r="AV53" s="41">
        <f>INDEX('[1]End - Use Prices'!$C$6:$AL$89,MATCH($C53,'[1]End - Use Prices'!$A$6:$A$89,0)+MATCH($D53,'[1]End - Use Prices'!$B$9:$B$11,0)-1,MATCH(AV$1,'[1]End - Use Prices'!$C$7:$AL$7,0))</f>
        <v>29.81</v>
      </c>
      <c r="AW53" s="41">
        <f>INDEX('[1]End - Use Prices'!$C$6:$AL$89,MATCH($C53,'[1]End - Use Prices'!$A$6:$A$89,0)+MATCH($D53,'[1]End - Use Prices'!$B$9:$B$11,0)-1,MATCH(AW$1,'[1]End - Use Prices'!$C$7:$AL$7,0))</f>
        <v>29.7</v>
      </c>
      <c r="AX53" s="41">
        <f>INDEX('[1]End - Use Prices'!$C$6:$AL$89,MATCH($C53,'[1]End - Use Prices'!$A$6:$A$89,0)+MATCH($D53,'[1]End - Use Prices'!$B$9:$B$11,0)-1,MATCH(AX$1,'[1]End - Use Prices'!$C$7:$AL$7,0))</f>
        <v>29.64</v>
      </c>
      <c r="AY53" s="41">
        <f>INDEX('[1]End - Use Prices'!$C$6:$AL$89,MATCH($C53,'[1]End - Use Prices'!$A$6:$A$89,0)+MATCH($D53,'[1]End - Use Prices'!$B$9:$B$11,0)-1,MATCH(AY$1,'[1]End - Use Prices'!$C$7:$AL$7,0))</f>
        <v>29.62</v>
      </c>
      <c r="AZ53" s="41">
        <f>INDEX('[1]End - Use Prices'!$C$6:$AL$89,MATCH($C53,'[1]End - Use Prices'!$A$6:$A$89,0)+MATCH($D53,'[1]End - Use Prices'!$B$9:$B$11,0)-1,MATCH(AZ$1,'[1]End - Use Prices'!$C$7:$AL$7,0))</f>
        <v>29.64</v>
      </c>
      <c r="BA53" s="41">
        <f>INDEX('[1]End - Use Prices'!$C$6:$AL$89,MATCH($C53,'[1]End - Use Prices'!$A$6:$A$89,0)+MATCH($D53,'[1]End - Use Prices'!$B$9:$B$11,0)-1,MATCH(BA$1,'[1]End - Use Prices'!$C$7:$AL$7,0))</f>
        <v>29.67</v>
      </c>
      <c r="BB53" s="41">
        <f>INDEX('[1]End - Use Prices'!$C$6:$AL$89,MATCH($C53,'[1]End - Use Prices'!$A$6:$A$89,0)+MATCH($D53,'[1]End - Use Prices'!$B$9:$B$11,0)-1,MATCH(BB$1,'[1]End - Use Prices'!$C$7:$AL$7,0))</f>
        <v>29.69</v>
      </c>
      <c r="BC53" s="41">
        <f>INDEX('[1]End - Use Prices'!$C$6:$AL$89,MATCH($C53,'[1]End - Use Prices'!$A$6:$A$89,0)+MATCH($D53,'[1]End - Use Prices'!$B$9:$B$11,0)-1,MATCH(BC$1,'[1]End - Use Prices'!$C$7:$AL$7,0))</f>
        <v>29.7</v>
      </c>
      <c r="BD53" s="41">
        <f>INDEX('[1]End - Use Prices'!$C$6:$AL$89,MATCH($C53,'[1]End - Use Prices'!$A$6:$A$89,0)+MATCH($D53,'[1]End - Use Prices'!$B$9:$B$11,0)-1,MATCH(BD$1,'[1]End - Use Prices'!$C$7:$AL$7,0))</f>
        <v>29.69</v>
      </c>
      <c r="BE53" s="41">
        <f>INDEX('[1]End - Use Prices'!$C$6:$AL$89,MATCH($C53,'[1]End - Use Prices'!$A$6:$A$89,0)+MATCH($D53,'[1]End - Use Prices'!$B$9:$B$11,0)-1,MATCH(BE$1,'[1]End - Use Prices'!$C$7:$AL$7,0))</f>
        <v>29.65</v>
      </c>
      <c r="BF53" s="41">
        <f>INDEX('[1]End - Use Prices'!$C$6:$AL$89,MATCH($C53,'[1]End - Use Prices'!$A$6:$A$89,0)+MATCH($D53,'[1]End - Use Prices'!$B$9:$B$11,0)-1,MATCH(BF$1,'[1]End - Use Prices'!$C$7:$AL$7,0))</f>
        <v>29.61</v>
      </c>
      <c r="BG53" s="41">
        <f>INDEX('[1]End - Use Prices'!$C$6:$AL$89,MATCH($C53,'[1]End - Use Prices'!$A$6:$A$89,0)+MATCH($D53,'[1]End - Use Prices'!$B$9:$B$11,0)-1,MATCH(BG$1,'[1]End - Use Prices'!$C$7:$AL$7,0))</f>
        <v>29.56</v>
      </c>
      <c r="BR53" s="39"/>
      <c r="BS53" s="39"/>
      <c r="BT53" s="39"/>
      <c r="BU53" s="39"/>
      <c r="BV53" s="39"/>
      <c r="BW53" s="39"/>
      <c r="BX53" s="39"/>
      <c r="BY53" s="39"/>
      <c r="BZ53" s="39"/>
      <c r="CA53" s="39"/>
    </row>
    <row r="54" spans="1:79" x14ac:dyDescent="0.25">
      <c r="A54" s="5"/>
      <c r="B54" s="3"/>
      <c r="C54" s="25" t="s">
        <v>94</v>
      </c>
      <c r="D54" s="25" t="s">
        <v>311</v>
      </c>
      <c r="E54" s="25" t="s">
        <v>313</v>
      </c>
      <c r="F54" s="74" t="s">
        <v>310</v>
      </c>
      <c r="G54" s="54">
        <f t="shared" si="8"/>
        <v>26.98</v>
      </c>
      <c r="H54" s="34">
        <f t="shared" si="43"/>
        <v>26.98</v>
      </c>
      <c r="I54" s="34">
        <f t="shared" si="43"/>
        <v>26.99</v>
      </c>
      <c r="J54" s="34">
        <f t="shared" si="43"/>
        <v>26.82</v>
      </c>
      <c r="K54" s="34">
        <f t="shared" si="43"/>
        <v>37.92</v>
      </c>
      <c r="L54" s="34">
        <f t="shared" si="43"/>
        <v>33.53</v>
      </c>
      <c r="M54" s="34">
        <f t="shared" si="43"/>
        <v>32.72</v>
      </c>
      <c r="N54" s="34">
        <f t="shared" si="43"/>
        <v>32.49</v>
      </c>
      <c r="O54" s="34">
        <f t="shared" si="43"/>
        <v>32.130000000000003</v>
      </c>
      <c r="P54" s="54">
        <f t="shared" ref="P54:Q54" si="48">O54</f>
        <v>32.130000000000003</v>
      </c>
      <c r="Q54" s="54">
        <f t="shared" si="48"/>
        <v>32.130000000000003</v>
      </c>
      <c r="R54" s="38"/>
      <c r="X54" s="41">
        <f>INDEX('[1]End - Use Prices'!$C$6:$AL$89,MATCH($C54,'[1]End - Use Prices'!$A$6:$A$89,0)+MATCH($D54,'[1]End - Use Prices'!$B$9:$B$11,0)-1,MATCH(X$1,'[1]End - Use Prices'!$C$7:$AL$7,0))</f>
        <v>26.98</v>
      </c>
      <c r="Y54" s="41">
        <f>INDEX('[1]End - Use Prices'!$C$6:$AL$89,MATCH($C54,'[1]End - Use Prices'!$A$6:$A$89,0)+MATCH($D54,'[1]End - Use Prices'!$B$9:$B$11,0)-1,MATCH(Y$1,'[1]End - Use Prices'!$C$7:$AL$7,0))</f>
        <v>26.48</v>
      </c>
      <c r="Z54" s="41">
        <f>INDEX('[1]End - Use Prices'!$C$6:$AL$89,MATCH($C54,'[1]End - Use Prices'!$A$6:$A$89,0)+MATCH($D54,'[1]End - Use Prices'!$B$9:$B$11,0)-1,MATCH(Z$1,'[1]End - Use Prices'!$C$7:$AL$7,0))</f>
        <v>28.47</v>
      </c>
      <c r="AA54" s="41">
        <f>INDEX('[1]End - Use Prices'!$C$6:$AL$89,MATCH($C54,'[1]End - Use Prices'!$A$6:$A$89,0)+MATCH($D54,'[1]End - Use Prices'!$B$9:$B$11,0)-1,MATCH(AA$1,'[1]End - Use Prices'!$C$7:$AL$7,0))</f>
        <v>34.4</v>
      </c>
      <c r="AB54" s="41">
        <f>INDEX('[1]End - Use Prices'!$C$6:$AL$89,MATCH($C54,'[1]End - Use Prices'!$A$6:$A$89,0)+MATCH($D54,'[1]End - Use Prices'!$B$9:$B$11,0)-1,MATCH(AB$1,'[1]End - Use Prices'!$C$7:$AL$7,0))</f>
        <v>24.36</v>
      </c>
      <c r="AC54" s="41">
        <f>INDEX('[1]End - Use Prices'!$C$6:$AL$89,MATCH($C54,'[1]End - Use Prices'!$A$6:$A$89,0)+MATCH($D54,'[1]End - Use Prices'!$B$9:$B$11,0)-1,MATCH(AC$1,'[1]End - Use Prices'!$C$7:$AL$7,0))</f>
        <v>26.99</v>
      </c>
      <c r="AD54" s="41">
        <f>INDEX('[1]End - Use Prices'!$C$6:$AL$89,MATCH($C54,'[1]End - Use Prices'!$A$6:$A$89,0)+MATCH($D54,'[1]End - Use Prices'!$B$9:$B$11,0)-1,MATCH(AD$1,'[1]End - Use Prices'!$C$7:$AL$7,0))</f>
        <v>32.65</v>
      </c>
      <c r="AE54" s="41">
        <f>INDEX('[1]End - Use Prices'!$C$6:$AL$89,MATCH($C54,'[1]End - Use Prices'!$A$6:$A$89,0)+MATCH($D54,'[1]End - Use Prices'!$B$9:$B$11,0)-1,MATCH(AE$1,'[1]End - Use Prices'!$C$7:$AL$7,0))</f>
        <v>31.57</v>
      </c>
      <c r="AF54" s="41">
        <f>INDEX('[1]End - Use Prices'!$C$6:$AL$89,MATCH($C54,'[1]End - Use Prices'!$A$6:$A$89,0)+MATCH($D54,'[1]End - Use Prices'!$B$9:$B$11,0)-1,MATCH(AF$1,'[1]End - Use Prices'!$C$7:$AL$7,0))</f>
        <v>32.36</v>
      </c>
      <c r="AG54" s="41">
        <f>INDEX('[1]End - Use Prices'!$C$6:$AL$89,MATCH($C54,'[1]End - Use Prices'!$A$6:$A$89,0)+MATCH($D54,'[1]End - Use Prices'!$B$9:$B$11,0)-1,MATCH(AG$1,'[1]End - Use Prices'!$C$7:$AL$7,0))</f>
        <v>35.340000000000003</v>
      </c>
      <c r="AH54" s="41">
        <f>INDEX('[1]End - Use Prices'!$C$6:$AL$89,MATCH($C54,'[1]End - Use Prices'!$A$6:$A$89,0)+MATCH($D54,'[1]End - Use Prices'!$B$9:$B$11,0)-1,MATCH(AH$1,'[1]End - Use Prices'!$C$7:$AL$7,0))</f>
        <v>26.82</v>
      </c>
      <c r="AI54" s="41">
        <f>INDEX('[1]End - Use Prices'!$C$6:$AL$89,MATCH($C54,'[1]End - Use Prices'!$A$6:$A$89,0)+MATCH($D54,'[1]End - Use Prices'!$B$9:$B$11,0)-1,MATCH(AI$1,'[1]End - Use Prices'!$C$7:$AL$7,0))</f>
        <v>24.02</v>
      </c>
      <c r="AJ54" s="41">
        <f>INDEX('[1]End - Use Prices'!$C$6:$AL$89,MATCH($C54,'[1]End - Use Prices'!$A$6:$A$89,0)+MATCH($D54,'[1]End - Use Prices'!$B$9:$B$11,0)-1,MATCH(AJ$1,'[1]End - Use Prices'!$C$7:$AL$7,0))</f>
        <v>26.27</v>
      </c>
      <c r="AK54" s="41">
        <f>INDEX('[1]End - Use Prices'!$C$6:$AL$89,MATCH($C54,'[1]End - Use Prices'!$A$6:$A$89,0)+MATCH($D54,'[1]End - Use Prices'!$B$9:$B$11,0)-1,MATCH(AK$1,'[1]End - Use Prices'!$C$7:$AL$7,0))</f>
        <v>29.87</v>
      </c>
      <c r="AL54" s="41">
        <f>INDEX('[1]End - Use Prices'!$C$6:$AL$89,MATCH($C54,'[1]End - Use Prices'!$A$6:$A$89,0)+MATCH($D54,'[1]End - Use Prices'!$B$9:$B$11,0)-1,MATCH(AL$1,'[1]End - Use Prices'!$C$7:$AL$7,0))</f>
        <v>33.14</v>
      </c>
      <c r="AM54" s="41">
        <f>INDEX('[1]End - Use Prices'!$C$6:$AL$89,MATCH($C54,'[1]End - Use Prices'!$A$6:$A$89,0)+MATCH($D54,'[1]End - Use Prices'!$B$9:$B$11,0)-1,MATCH(AM$1,'[1]End - Use Prices'!$C$7:$AL$7,0))</f>
        <v>37.92</v>
      </c>
      <c r="AN54" s="41">
        <f>INDEX('[1]End - Use Prices'!$C$6:$AL$89,MATCH($C54,'[1]End - Use Prices'!$A$6:$A$89,0)+MATCH($D54,'[1]End - Use Prices'!$B$9:$B$11,0)-1,MATCH(AN$1,'[1]End - Use Prices'!$C$7:$AL$7,0))</f>
        <v>35.28</v>
      </c>
      <c r="AO54" s="41">
        <f>INDEX('[1]End - Use Prices'!$C$6:$AL$89,MATCH($C54,'[1]End - Use Prices'!$A$6:$A$89,0)+MATCH($D54,'[1]End - Use Prices'!$B$9:$B$11,0)-1,MATCH(AO$1,'[1]End - Use Prices'!$C$7:$AL$7,0))</f>
        <v>33.700000000000003</v>
      </c>
      <c r="AP54" s="41">
        <f>INDEX('[1]End - Use Prices'!$C$6:$AL$89,MATCH($C54,'[1]End - Use Prices'!$A$6:$A$89,0)+MATCH($D54,'[1]End - Use Prices'!$B$9:$B$11,0)-1,MATCH(AP$1,'[1]End - Use Prices'!$C$7:$AL$7,0))</f>
        <v>33.82</v>
      </c>
      <c r="AQ54" s="41">
        <f>INDEX('[1]End - Use Prices'!$C$6:$AL$89,MATCH($C54,'[1]End - Use Prices'!$A$6:$A$89,0)+MATCH($D54,'[1]End - Use Prices'!$B$9:$B$11,0)-1,MATCH(AQ$1,'[1]End - Use Prices'!$C$7:$AL$7,0))</f>
        <v>33.549999999999997</v>
      </c>
      <c r="AR54" s="41">
        <f>INDEX('[1]End - Use Prices'!$C$6:$AL$89,MATCH($C54,'[1]End - Use Prices'!$A$6:$A$89,0)+MATCH($D54,'[1]End - Use Prices'!$B$9:$B$11,0)-1,MATCH(AR$1,'[1]End - Use Prices'!$C$7:$AL$7,0))</f>
        <v>33.53</v>
      </c>
      <c r="AS54" s="41">
        <f>INDEX('[1]End - Use Prices'!$C$6:$AL$89,MATCH($C54,'[1]End - Use Prices'!$A$6:$A$89,0)+MATCH($D54,'[1]End - Use Prices'!$B$9:$B$11,0)-1,MATCH(AS$1,'[1]End - Use Prices'!$C$7:$AL$7,0))</f>
        <v>33.46</v>
      </c>
      <c r="AT54" s="41">
        <f>INDEX('[1]End - Use Prices'!$C$6:$AL$89,MATCH($C54,'[1]End - Use Prices'!$A$6:$A$89,0)+MATCH($D54,'[1]End - Use Prices'!$B$9:$B$11,0)-1,MATCH(AT$1,'[1]End - Use Prices'!$C$7:$AL$7,0))</f>
        <v>33.29</v>
      </c>
      <c r="AU54" s="41">
        <f>INDEX('[1]End - Use Prices'!$C$6:$AL$89,MATCH($C54,'[1]End - Use Prices'!$A$6:$A$89,0)+MATCH($D54,'[1]End - Use Prices'!$B$9:$B$11,0)-1,MATCH(AU$1,'[1]End - Use Prices'!$C$7:$AL$7,0))</f>
        <v>33.07</v>
      </c>
      <c r="AV54" s="41">
        <f>INDEX('[1]End - Use Prices'!$C$6:$AL$89,MATCH($C54,'[1]End - Use Prices'!$A$6:$A$89,0)+MATCH($D54,'[1]End - Use Prices'!$B$9:$B$11,0)-1,MATCH(AV$1,'[1]End - Use Prices'!$C$7:$AL$7,0))</f>
        <v>32.9</v>
      </c>
      <c r="AW54" s="41">
        <f>INDEX('[1]End - Use Prices'!$C$6:$AL$89,MATCH($C54,'[1]End - Use Prices'!$A$6:$A$89,0)+MATCH($D54,'[1]End - Use Prices'!$B$9:$B$11,0)-1,MATCH(AW$1,'[1]End - Use Prices'!$C$7:$AL$7,0))</f>
        <v>32.72</v>
      </c>
      <c r="AX54" s="41">
        <f>INDEX('[1]End - Use Prices'!$C$6:$AL$89,MATCH($C54,'[1]End - Use Prices'!$A$6:$A$89,0)+MATCH($D54,'[1]End - Use Prices'!$B$9:$B$11,0)-1,MATCH(AX$1,'[1]End - Use Prices'!$C$7:$AL$7,0))</f>
        <v>32.619999999999997</v>
      </c>
      <c r="AY54" s="41">
        <f>INDEX('[1]End - Use Prices'!$C$6:$AL$89,MATCH($C54,'[1]End - Use Prices'!$A$6:$A$89,0)+MATCH($D54,'[1]End - Use Prices'!$B$9:$B$11,0)-1,MATCH(AY$1,'[1]End - Use Prices'!$C$7:$AL$7,0))</f>
        <v>32.549999999999997</v>
      </c>
      <c r="AZ54" s="41">
        <f>INDEX('[1]End - Use Prices'!$C$6:$AL$89,MATCH($C54,'[1]End - Use Prices'!$A$6:$A$89,0)+MATCH($D54,'[1]End - Use Prices'!$B$9:$B$11,0)-1,MATCH(AZ$1,'[1]End - Use Prices'!$C$7:$AL$7,0))</f>
        <v>32.520000000000003</v>
      </c>
      <c r="BA54" s="41">
        <f>INDEX('[1]End - Use Prices'!$C$6:$AL$89,MATCH($C54,'[1]End - Use Prices'!$A$6:$A$89,0)+MATCH($D54,'[1]End - Use Prices'!$B$9:$B$11,0)-1,MATCH(BA$1,'[1]End - Use Prices'!$C$7:$AL$7,0))</f>
        <v>32.51</v>
      </c>
      <c r="BB54" s="41">
        <f>INDEX('[1]End - Use Prices'!$C$6:$AL$89,MATCH($C54,'[1]End - Use Prices'!$A$6:$A$89,0)+MATCH($D54,'[1]End - Use Prices'!$B$9:$B$11,0)-1,MATCH(BB$1,'[1]End - Use Prices'!$C$7:$AL$7,0))</f>
        <v>32.49</v>
      </c>
      <c r="BC54" s="41">
        <f>INDEX('[1]End - Use Prices'!$C$6:$AL$89,MATCH($C54,'[1]End - Use Prices'!$A$6:$A$89,0)+MATCH($D54,'[1]End - Use Prices'!$B$9:$B$11,0)-1,MATCH(BC$1,'[1]End - Use Prices'!$C$7:$AL$7,0))</f>
        <v>32.450000000000003</v>
      </c>
      <c r="BD54" s="41">
        <f>INDEX('[1]End - Use Prices'!$C$6:$AL$89,MATCH($C54,'[1]End - Use Prices'!$A$6:$A$89,0)+MATCH($D54,'[1]End - Use Prices'!$B$9:$B$11,0)-1,MATCH(BD$1,'[1]End - Use Prices'!$C$7:$AL$7,0))</f>
        <v>32.4</v>
      </c>
      <c r="BE54" s="41">
        <f>INDEX('[1]End - Use Prices'!$C$6:$AL$89,MATCH($C54,'[1]End - Use Prices'!$A$6:$A$89,0)+MATCH($D54,'[1]End - Use Prices'!$B$9:$B$11,0)-1,MATCH(BE$1,'[1]End - Use Prices'!$C$7:$AL$7,0))</f>
        <v>32.31</v>
      </c>
      <c r="BF54" s="41">
        <f>INDEX('[1]End - Use Prices'!$C$6:$AL$89,MATCH($C54,'[1]End - Use Prices'!$A$6:$A$89,0)+MATCH($D54,'[1]End - Use Prices'!$B$9:$B$11,0)-1,MATCH(BF$1,'[1]End - Use Prices'!$C$7:$AL$7,0))</f>
        <v>32.229999999999997</v>
      </c>
      <c r="BG54" s="41">
        <f>INDEX('[1]End - Use Prices'!$C$6:$AL$89,MATCH($C54,'[1]End - Use Prices'!$A$6:$A$89,0)+MATCH($D54,'[1]End - Use Prices'!$B$9:$B$11,0)-1,MATCH(BG$1,'[1]End - Use Prices'!$C$7:$AL$7,0))</f>
        <v>32.130000000000003</v>
      </c>
      <c r="BR54" s="39"/>
      <c r="BS54" s="39"/>
      <c r="BT54" s="39"/>
      <c r="BU54" s="39"/>
      <c r="BV54" s="39"/>
      <c r="BW54" s="39"/>
      <c r="BX54" s="39"/>
      <c r="BY54" s="39"/>
      <c r="BZ54" s="39"/>
      <c r="CA54" s="39"/>
    </row>
    <row r="55" spans="1:79" x14ac:dyDescent="0.25">
      <c r="A55" s="5"/>
      <c r="B55" s="3"/>
      <c r="C55" s="25" t="s">
        <v>5</v>
      </c>
      <c r="D55" s="25" t="s">
        <v>311</v>
      </c>
      <c r="E55" s="25" t="s">
        <v>313</v>
      </c>
      <c r="F55" s="74" t="s">
        <v>310</v>
      </c>
      <c r="G55" s="54">
        <f t="shared" si="8"/>
        <v>24.45</v>
      </c>
      <c r="H55" s="34">
        <f t="shared" si="43"/>
        <v>24.45</v>
      </c>
      <c r="I55" s="34">
        <f t="shared" si="43"/>
        <v>26.03</v>
      </c>
      <c r="J55" s="34">
        <f t="shared" si="43"/>
        <v>24.73</v>
      </c>
      <c r="K55" s="34">
        <f t="shared" si="43"/>
        <v>37.21</v>
      </c>
      <c r="L55" s="34">
        <f t="shared" si="43"/>
        <v>32.299999999999997</v>
      </c>
      <c r="M55" s="34">
        <f t="shared" si="43"/>
        <v>31.49</v>
      </c>
      <c r="N55" s="34">
        <f t="shared" si="43"/>
        <v>31.25</v>
      </c>
      <c r="O55" s="34">
        <f t="shared" si="43"/>
        <v>30.88</v>
      </c>
      <c r="P55" s="54">
        <f t="shared" ref="P55:Q55" si="49">O55</f>
        <v>30.88</v>
      </c>
      <c r="Q55" s="54">
        <f t="shared" si="49"/>
        <v>30.88</v>
      </c>
      <c r="R55" s="38"/>
      <c r="X55" s="41">
        <f>INDEX('[1]End - Use Prices'!$C$6:$AL$89,MATCH($C55,'[1]End - Use Prices'!$A$6:$A$89,0)+MATCH($D55,'[1]End - Use Prices'!$B$9:$B$11,0)-1,MATCH(X$1,'[1]End - Use Prices'!$C$7:$AL$7,0))</f>
        <v>24.45</v>
      </c>
      <c r="Y55" s="41">
        <f>INDEX('[1]End - Use Prices'!$C$6:$AL$89,MATCH($C55,'[1]End - Use Prices'!$A$6:$A$89,0)+MATCH($D55,'[1]End - Use Prices'!$B$9:$B$11,0)-1,MATCH(Y$1,'[1]End - Use Prices'!$C$7:$AL$7,0))</f>
        <v>25.51</v>
      </c>
      <c r="Z55" s="41">
        <f>INDEX('[1]End - Use Prices'!$C$6:$AL$89,MATCH($C55,'[1]End - Use Prices'!$A$6:$A$89,0)+MATCH($D55,'[1]End - Use Prices'!$B$9:$B$11,0)-1,MATCH(Z$1,'[1]End - Use Prices'!$C$7:$AL$7,0))</f>
        <v>26.83</v>
      </c>
      <c r="AA55" s="41">
        <f>INDEX('[1]End - Use Prices'!$C$6:$AL$89,MATCH($C55,'[1]End - Use Prices'!$A$6:$A$89,0)+MATCH($D55,'[1]End - Use Prices'!$B$9:$B$11,0)-1,MATCH(AA$1,'[1]End - Use Prices'!$C$7:$AL$7,0))</f>
        <v>31.95</v>
      </c>
      <c r="AB55" s="41">
        <f>INDEX('[1]End - Use Prices'!$C$6:$AL$89,MATCH($C55,'[1]End - Use Prices'!$A$6:$A$89,0)+MATCH($D55,'[1]End - Use Prices'!$B$9:$B$11,0)-1,MATCH(AB$1,'[1]End - Use Prices'!$C$7:$AL$7,0))</f>
        <v>23.37</v>
      </c>
      <c r="AC55" s="41">
        <f>INDEX('[1]End - Use Prices'!$C$6:$AL$89,MATCH($C55,'[1]End - Use Prices'!$A$6:$A$89,0)+MATCH($D55,'[1]End - Use Prices'!$B$9:$B$11,0)-1,MATCH(AC$1,'[1]End - Use Prices'!$C$7:$AL$7,0))</f>
        <v>26.03</v>
      </c>
      <c r="AD55" s="41">
        <f>INDEX('[1]End - Use Prices'!$C$6:$AL$89,MATCH($C55,'[1]End - Use Prices'!$A$6:$A$89,0)+MATCH($D55,'[1]End - Use Prices'!$B$9:$B$11,0)-1,MATCH(AD$1,'[1]End - Use Prices'!$C$7:$AL$7,0))</f>
        <v>27.78</v>
      </c>
      <c r="AE55" s="41">
        <f>INDEX('[1]End - Use Prices'!$C$6:$AL$89,MATCH($C55,'[1]End - Use Prices'!$A$6:$A$89,0)+MATCH($D55,'[1]End - Use Prices'!$B$9:$B$11,0)-1,MATCH(AE$1,'[1]End - Use Prices'!$C$7:$AL$7,0))</f>
        <v>29.65</v>
      </c>
      <c r="AF55" s="41">
        <f>INDEX('[1]End - Use Prices'!$C$6:$AL$89,MATCH($C55,'[1]End - Use Prices'!$A$6:$A$89,0)+MATCH($D55,'[1]End - Use Prices'!$B$9:$B$11,0)-1,MATCH(AF$1,'[1]End - Use Prices'!$C$7:$AL$7,0))</f>
        <v>27.25</v>
      </c>
      <c r="AG55" s="41">
        <f>INDEX('[1]End - Use Prices'!$C$6:$AL$89,MATCH($C55,'[1]End - Use Prices'!$A$6:$A$89,0)+MATCH($D55,'[1]End - Use Prices'!$B$9:$B$11,0)-1,MATCH(AG$1,'[1]End - Use Prices'!$C$7:$AL$7,0))</f>
        <v>32.840000000000003</v>
      </c>
      <c r="AH55" s="41">
        <f>INDEX('[1]End - Use Prices'!$C$6:$AL$89,MATCH($C55,'[1]End - Use Prices'!$A$6:$A$89,0)+MATCH($D55,'[1]End - Use Prices'!$B$9:$B$11,0)-1,MATCH(AH$1,'[1]End - Use Prices'!$C$7:$AL$7,0))</f>
        <v>24.73</v>
      </c>
      <c r="AI55" s="41">
        <f>INDEX('[1]End - Use Prices'!$C$6:$AL$89,MATCH($C55,'[1]End - Use Prices'!$A$6:$A$89,0)+MATCH($D55,'[1]End - Use Prices'!$B$9:$B$11,0)-1,MATCH(AI$1,'[1]End - Use Prices'!$C$7:$AL$7,0))</f>
        <v>22.55</v>
      </c>
      <c r="AJ55" s="41">
        <f>INDEX('[1]End - Use Prices'!$C$6:$AL$89,MATCH($C55,'[1]End - Use Prices'!$A$6:$A$89,0)+MATCH($D55,'[1]End - Use Prices'!$B$9:$B$11,0)-1,MATCH(AJ$1,'[1]End - Use Prices'!$C$7:$AL$7,0))</f>
        <v>24.52</v>
      </c>
      <c r="AK55" s="41">
        <f>INDEX('[1]End - Use Prices'!$C$6:$AL$89,MATCH($C55,'[1]End - Use Prices'!$A$6:$A$89,0)+MATCH($D55,'[1]End - Use Prices'!$B$9:$B$11,0)-1,MATCH(AK$1,'[1]End - Use Prices'!$C$7:$AL$7,0))</f>
        <v>30.35</v>
      </c>
      <c r="AL55" s="41">
        <f>INDEX('[1]End - Use Prices'!$C$6:$AL$89,MATCH($C55,'[1]End - Use Prices'!$A$6:$A$89,0)+MATCH($D55,'[1]End - Use Prices'!$B$9:$B$11,0)-1,MATCH(AL$1,'[1]End - Use Prices'!$C$7:$AL$7,0))</f>
        <v>34.29</v>
      </c>
      <c r="AM55" s="41">
        <f>INDEX('[1]End - Use Prices'!$C$6:$AL$89,MATCH($C55,'[1]End - Use Prices'!$A$6:$A$89,0)+MATCH($D55,'[1]End - Use Prices'!$B$9:$B$11,0)-1,MATCH(AM$1,'[1]End - Use Prices'!$C$7:$AL$7,0))</f>
        <v>37.21</v>
      </c>
      <c r="AN55" s="41">
        <f>INDEX('[1]End - Use Prices'!$C$6:$AL$89,MATCH($C55,'[1]End - Use Prices'!$A$6:$A$89,0)+MATCH($D55,'[1]End - Use Prices'!$B$9:$B$11,0)-1,MATCH(AN$1,'[1]End - Use Prices'!$C$7:$AL$7,0))</f>
        <v>33.880000000000003</v>
      </c>
      <c r="AO55" s="41">
        <f>INDEX('[1]End - Use Prices'!$C$6:$AL$89,MATCH($C55,'[1]End - Use Prices'!$A$6:$A$89,0)+MATCH($D55,'[1]End - Use Prices'!$B$9:$B$11,0)-1,MATCH(AO$1,'[1]End - Use Prices'!$C$7:$AL$7,0))</f>
        <v>32.43</v>
      </c>
      <c r="AP55" s="41">
        <f>INDEX('[1]End - Use Prices'!$C$6:$AL$89,MATCH($C55,'[1]End - Use Prices'!$A$6:$A$89,0)+MATCH($D55,'[1]End - Use Prices'!$B$9:$B$11,0)-1,MATCH(AP$1,'[1]End - Use Prices'!$C$7:$AL$7,0))</f>
        <v>32.590000000000003</v>
      </c>
      <c r="AQ55" s="41">
        <f>INDEX('[1]End - Use Prices'!$C$6:$AL$89,MATCH($C55,'[1]End - Use Prices'!$A$6:$A$89,0)+MATCH($D55,'[1]End - Use Prices'!$B$9:$B$11,0)-1,MATCH(AQ$1,'[1]End - Use Prices'!$C$7:$AL$7,0))</f>
        <v>32.33</v>
      </c>
      <c r="AR55" s="41">
        <f>INDEX('[1]End - Use Prices'!$C$6:$AL$89,MATCH($C55,'[1]End - Use Prices'!$A$6:$A$89,0)+MATCH($D55,'[1]End - Use Prices'!$B$9:$B$11,0)-1,MATCH(AR$1,'[1]End - Use Prices'!$C$7:$AL$7,0))</f>
        <v>32.299999999999997</v>
      </c>
      <c r="AS55" s="41">
        <f>INDEX('[1]End - Use Prices'!$C$6:$AL$89,MATCH($C55,'[1]End - Use Prices'!$A$6:$A$89,0)+MATCH($D55,'[1]End - Use Prices'!$B$9:$B$11,0)-1,MATCH(AS$1,'[1]End - Use Prices'!$C$7:$AL$7,0))</f>
        <v>32.22</v>
      </c>
      <c r="AT55" s="41">
        <f>INDEX('[1]End - Use Prices'!$C$6:$AL$89,MATCH($C55,'[1]End - Use Prices'!$A$6:$A$89,0)+MATCH($D55,'[1]End - Use Prices'!$B$9:$B$11,0)-1,MATCH(AT$1,'[1]End - Use Prices'!$C$7:$AL$7,0))</f>
        <v>32.049999999999997</v>
      </c>
      <c r="AU55" s="41">
        <f>INDEX('[1]End - Use Prices'!$C$6:$AL$89,MATCH($C55,'[1]End - Use Prices'!$A$6:$A$89,0)+MATCH($D55,'[1]End - Use Prices'!$B$9:$B$11,0)-1,MATCH(AU$1,'[1]End - Use Prices'!$C$7:$AL$7,0))</f>
        <v>31.84</v>
      </c>
      <c r="AV55" s="41">
        <f>INDEX('[1]End - Use Prices'!$C$6:$AL$89,MATCH($C55,'[1]End - Use Prices'!$A$6:$A$89,0)+MATCH($D55,'[1]End - Use Prices'!$B$9:$B$11,0)-1,MATCH(AV$1,'[1]End - Use Prices'!$C$7:$AL$7,0))</f>
        <v>31.67</v>
      </c>
      <c r="AW55" s="41">
        <f>INDEX('[1]End - Use Prices'!$C$6:$AL$89,MATCH($C55,'[1]End - Use Prices'!$A$6:$A$89,0)+MATCH($D55,'[1]End - Use Prices'!$B$9:$B$11,0)-1,MATCH(AW$1,'[1]End - Use Prices'!$C$7:$AL$7,0))</f>
        <v>31.49</v>
      </c>
      <c r="AX55" s="41">
        <f>INDEX('[1]End - Use Prices'!$C$6:$AL$89,MATCH($C55,'[1]End - Use Prices'!$A$6:$A$89,0)+MATCH($D55,'[1]End - Use Prices'!$B$9:$B$11,0)-1,MATCH(AX$1,'[1]End - Use Prices'!$C$7:$AL$7,0))</f>
        <v>31.39</v>
      </c>
      <c r="AY55" s="41">
        <f>INDEX('[1]End - Use Prices'!$C$6:$AL$89,MATCH($C55,'[1]End - Use Prices'!$A$6:$A$89,0)+MATCH($D55,'[1]End - Use Prices'!$B$9:$B$11,0)-1,MATCH(AY$1,'[1]End - Use Prices'!$C$7:$AL$7,0))</f>
        <v>31.32</v>
      </c>
      <c r="AZ55" s="41">
        <f>INDEX('[1]End - Use Prices'!$C$6:$AL$89,MATCH($C55,'[1]End - Use Prices'!$A$6:$A$89,0)+MATCH($D55,'[1]End - Use Prices'!$B$9:$B$11,0)-1,MATCH(AZ$1,'[1]End - Use Prices'!$C$7:$AL$7,0))</f>
        <v>31.28</v>
      </c>
      <c r="BA55" s="41">
        <f>INDEX('[1]End - Use Prices'!$C$6:$AL$89,MATCH($C55,'[1]End - Use Prices'!$A$6:$A$89,0)+MATCH($D55,'[1]End - Use Prices'!$B$9:$B$11,0)-1,MATCH(BA$1,'[1]End - Use Prices'!$C$7:$AL$7,0))</f>
        <v>31.27</v>
      </c>
      <c r="BB55" s="41">
        <f>INDEX('[1]End - Use Prices'!$C$6:$AL$89,MATCH($C55,'[1]End - Use Prices'!$A$6:$A$89,0)+MATCH($D55,'[1]End - Use Prices'!$B$9:$B$11,0)-1,MATCH(BB$1,'[1]End - Use Prices'!$C$7:$AL$7,0))</f>
        <v>31.25</v>
      </c>
      <c r="BC55" s="41">
        <f>INDEX('[1]End - Use Prices'!$C$6:$AL$89,MATCH($C55,'[1]End - Use Prices'!$A$6:$A$89,0)+MATCH($D55,'[1]End - Use Prices'!$B$9:$B$11,0)-1,MATCH(BC$1,'[1]End - Use Prices'!$C$7:$AL$7,0))</f>
        <v>31.21</v>
      </c>
      <c r="BD55" s="41">
        <f>INDEX('[1]End - Use Prices'!$C$6:$AL$89,MATCH($C55,'[1]End - Use Prices'!$A$6:$A$89,0)+MATCH($D55,'[1]End - Use Prices'!$B$9:$B$11,0)-1,MATCH(BD$1,'[1]End - Use Prices'!$C$7:$AL$7,0))</f>
        <v>31.15</v>
      </c>
      <c r="BE55" s="41">
        <f>INDEX('[1]End - Use Prices'!$C$6:$AL$89,MATCH($C55,'[1]End - Use Prices'!$A$6:$A$89,0)+MATCH($D55,'[1]End - Use Prices'!$B$9:$B$11,0)-1,MATCH(BE$1,'[1]End - Use Prices'!$C$7:$AL$7,0))</f>
        <v>31.06</v>
      </c>
      <c r="BF55" s="41">
        <f>INDEX('[1]End - Use Prices'!$C$6:$AL$89,MATCH($C55,'[1]End - Use Prices'!$A$6:$A$89,0)+MATCH($D55,'[1]End - Use Prices'!$B$9:$B$11,0)-1,MATCH(BF$1,'[1]End - Use Prices'!$C$7:$AL$7,0))</f>
        <v>30.98</v>
      </c>
      <c r="BG55" s="41">
        <f>INDEX('[1]End - Use Prices'!$C$6:$AL$89,MATCH($C55,'[1]End - Use Prices'!$A$6:$A$89,0)+MATCH($D55,'[1]End - Use Prices'!$B$9:$B$11,0)-1,MATCH(BG$1,'[1]End - Use Prices'!$C$7:$AL$7,0))</f>
        <v>30.88</v>
      </c>
      <c r="BR55" s="39"/>
      <c r="BS55" s="39"/>
      <c r="BT55" s="39"/>
      <c r="BU55" s="39"/>
      <c r="BV55" s="39"/>
      <c r="BW55" s="39"/>
      <c r="BX55" s="39"/>
      <c r="BY55" s="39"/>
      <c r="BZ55" s="39"/>
      <c r="CA55" s="39"/>
    </row>
    <row r="56" spans="1:79" x14ac:dyDescent="0.25">
      <c r="A56" s="5"/>
      <c r="B56" s="3"/>
      <c r="C56" s="25" t="s">
        <v>61</v>
      </c>
      <c r="D56" s="25" t="s">
        <v>311</v>
      </c>
      <c r="E56" s="25" t="s">
        <v>313</v>
      </c>
      <c r="F56" s="74" t="s">
        <v>310</v>
      </c>
      <c r="G56" s="54">
        <f t="shared" si="8"/>
        <v>28.98</v>
      </c>
      <c r="H56" s="34">
        <f t="shared" si="43"/>
        <v>28.98</v>
      </c>
      <c r="I56" s="34">
        <f t="shared" si="43"/>
        <v>29.71</v>
      </c>
      <c r="J56" s="34">
        <f t="shared" si="43"/>
        <v>29.49</v>
      </c>
      <c r="K56" s="34">
        <f t="shared" si="43"/>
        <v>41.92</v>
      </c>
      <c r="L56" s="34">
        <f t="shared" si="43"/>
        <v>36</v>
      </c>
      <c r="M56" s="34">
        <f t="shared" si="43"/>
        <v>35.03</v>
      </c>
      <c r="N56" s="34">
        <f t="shared" si="43"/>
        <v>34.64</v>
      </c>
      <c r="O56" s="34">
        <f t="shared" si="43"/>
        <v>34.14</v>
      </c>
      <c r="P56" s="54">
        <f t="shared" ref="P56:Q56" si="50">O56</f>
        <v>34.14</v>
      </c>
      <c r="Q56" s="54">
        <f t="shared" si="50"/>
        <v>34.14</v>
      </c>
      <c r="R56" s="38"/>
      <c r="X56" s="41">
        <f>INDEX('[1]End - Use Prices'!$C$6:$AL$89,MATCH($C56,'[1]End - Use Prices'!$A$6:$A$89,0)+MATCH($D56,'[1]End - Use Prices'!$B$9:$B$11,0)-1,MATCH(X$1,'[1]End - Use Prices'!$C$7:$AL$7,0))</f>
        <v>28.98</v>
      </c>
      <c r="Y56" s="41">
        <f>INDEX('[1]End - Use Prices'!$C$6:$AL$89,MATCH($C56,'[1]End - Use Prices'!$A$6:$A$89,0)+MATCH($D56,'[1]End - Use Prices'!$B$9:$B$11,0)-1,MATCH(Y$1,'[1]End - Use Prices'!$C$7:$AL$7,0))</f>
        <v>28.54</v>
      </c>
      <c r="Z56" s="41">
        <f>INDEX('[1]End - Use Prices'!$C$6:$AL$89,MATCH($C56,'[1]End - Use Prices'!$A$6:$A$89,0)+MATCH($D56,'[1]End - Use Prices'!$B$9:$B$11,0)-1,MATCH(Z$1,'[1]End - Use Prices'!$C$7:$AL$7,0))</f>
        <v>29.02</v>
      </c>
      <c r="AA56" s="41">
        <f>INDEX('[1]End - Use Prices'!$C$6:$AL$89,MATCH($C56,'[1]End - Use Prices'!$A$6:$A$89,0)+MATCH($D56,'[1]End - Use Prices'!$B$9:$B$11,0)-1,MATCH(AA$1,'[1]End - Use Prices'!$C$7:$AL$7,0))</f>
        <v>34.479999999999997</v>
      </c>
      <c r="AB56" s="41">
        <f>INDEX('[1]End - Use Prices'!$C$6:$AL$89,MATCH($C56,'[1]End - Use Prices'!$A$6:$A$89,0)+MATCH($D56,'[1]End - Use Prices'!$B$9:$B$11,0)-1,MATCH(AB$1,'[1]End - Use Prices'!$C$7:$AL$7,0))</f>
        <v>25.41</v>
      </c>
      <c r="AC56" s="41">
        <f>INDEX('[1]End - Use Prices'!$C$6:$AL$89,MATCH($C56,'[1]End - Use Prices'!$A$6:$A$89,0)+MATCH($D56,'[1]End - Use Prices'!$B$9:$B$11,0)-1,MATCH(AC$1,'[1]End - Use Prices'!$C$7:$AL$7,0))</f>
        <v>29.71</v>
      </c>
      <c r="AD56" s="41">
        <f>INDEX('[1]End - Use Prices'!$C$6:$AL$89,MATCH($C56,'[1]End - Use Prices'!$A$6:$A$89,0)+MATCH($D56,'[1]End - Use Prices'!$B$9:$B$11,0)-1,MATCH(AD$1,'[1]End - Use Prices'!$C$7:$AL$7,0))</f>
        <v>34.4</v>
      </c>
      <c r="AE56" s="41">
        <f>INDEX('[1]End - Use Prices'!$C$6:$AL$89,MATCH($C56,'[1]End - Use Prices'!$A$6:$A$89,0)+MATCH($D56,'[1]End - Use Prices'!$B$9:$B$11,0)-1,MATCH(AE$1,'[1]End - Use Prices'!$C$7:$AL$7,0))</f>
        <v>35.71</v>
      </c>
      <c r="AF56" s="41">
        <f>INDEX('[1]End - Use Prices'!$C$6:$AL$89,MATCH($C56,'[1]End - Use Prices'!$A$6:$A$89,0)+MATCH($D56,'[1]End - Use Prices'!$B$9:$B$11,0)-1,MATCH(AF$1,'[1]End - Use Prices'!$C$7:$AL$7,0))</f>
        <v>35.47</v>
      </c>
      <c r="AG56" s="41">
        <f>INDEX('[1]End - Use Prices'!$C$6:$AL$89,MATCH($C56,'[1]End - Use Prices'!$A$6:$A$89,0)+MATCH($D56,'[1]End - Use Prices'!$B$9:$B$11,0)-1,MATCH(AG$1,'[1]End - Use Prices'!$C$7:$AL$7,0))</f>
        <v>35.78</v>
      </c>
      <c r="AH56" s="41">
        <f>INDEX('[1]End - Use Prices'!$C$6:$AL$89,MATCH($C56,'[1]End - Use Prices'!$A$6:$A$89,0)+MATCH($D56,'[1]End - Use Prices'!$B$9:$B$11,0)-1,MATCH(AH$1,'[1]End - Use Prices'!$C$7:$AL$7,0))</f>
        <v>29.49</v>
      </c>
      <c r="AI56" s="41">
        <f>INDEX('[1]End - Use Prices'!$C$6:$AL$89,MATCH($C56,'[1]End - Use Prices'!$A$6:$A$89,0)+MATCH($D56,'[1]End - Use Prices'!$B$9:$B$11,0)-1,MATCH(AI$1,'[1]End - Use Prices'!$C$7:$AL$7,0))</f>
        <v>26.92</v>
      </c>
      <c r="AJ56" s="41">
        <f>INDEX('[1]End - Use Prices'!$C$6:$AL$89,MATCH($C56,'[1]End - Use Prices'!$A$6:$A$89,0)+MATCH($D56,'[1]End - Use Prices'!$B$9:$B$11,0)-1,MATCH(AJ$1,'[1]End - Use Prices'!$C$7:$AL$7,0))</f>
        <v>29.45</v>
      </c>
      <c r="AK56" s="41">
        <f>INDEX('[1]End - Use Prices'!$C$6:$AL$89,MATCH($C56,'[1]End - Use Prices'!$A$6:$A$89,0)+MATCH($D56,'[1]End - Use Prices'!$B$9:$B$11,0)-1,MATCH(AK$1,'[1]End - Use Prices'!$C$7:$AL$7,0))</f>
        <v>33.119999999999997</v>
      </c>
      <c r="AL56" s="41">
        <f>INDEX('[1]End - Use Prices'!$C$6:$AL$89,MATCH($C56,'[1]End - Use Prices'!$A$6:$A$89,0)+MATCH($D56,'[1]End - Use Prices'!$B$9:$B$11,0)-1,MATCH(AL$1,'[1]End - Use Prices'!$C$7:$AL$7,0))</f>
        <v>38.61</v>
      </c>
      <c r="AM56" s="41">
        <f>INDEX('[1]End - Use Prices'!$C$6:$AL$89,MATCH($C56,'[1]End - Use Prices'!$A$6:$A$89,0)+MATCH($D56,'[1]End - Use Prices'!$B$9:$B$11,0)-1,MATCH(AM$1,'[1]End - Use Prices'!$C$7:$AL$7,0))</f>
        <v>41.92</v>
      </c>
      <c r="AN56" s="41">
        <f>INDEX('[1]End - Use Prices'!$C$6:$AL$89,MATCH($C56,'[1]End - Use Prices'!$A$6:$A$89,0)+MATCH($D56,'[1]End - Use Prices'!$B$9:$B$11,0)-1,MATCH(AN$1,'[1]End - Use Prices'!$C$7:$AL$7,0))</f>
        <v>38.94</v>
      </c>
      <c r="AO56" s="41">
        <f>INDEX('[1]End - Use Prices'!$C$6:$AL$89,MATCH($C56,'[1]End - Use Prices'!$A$6:$A$89,0)+MATCH($D56,'[1]End - Use Prices'!$B$9:$B$11,0)-1,MATCH(AO$1,'[1]End - Use Prices'!$C$7:$AL$7,0))</f>
        <v>36.979999999999997</v>
      </c>
      <c r="AP56" s="41">
        <f>INDEX('[1]End - Use Prices'!$C$6:$AL$89,MATCH($C56,'[1]End - Use Prices'!$A$6:$A$89,0)+MATCH($D56,'[1]End - Use Prices'!$B$9:$B$11,0)-1,MATCH(AP$1,'[1]End - Use Prices'!$C$7:$AL$7,0))</f>
        <v>36.39</v>
      </c>
      <c r="AQ56" s="41">
        <f>INDEX('[1]End - Use Prices'!$C$6:$AL$89,MATCH($C56,'[1]End - Use Prices'!$A$6:$A$89,0)+MATCH($D56,'[1]End - Use Prices'!$B$9:$B$11,0)-1,MATCH(AQ$1,'[1]End - Use Prices'!$C$7:$AL$7,0))</f>
        <v>36.08</v>
      </c>
      <c r="AR56" s="41">
        <f>INDEX('[1]End - Use Prices'!$C$6:$AL$89,MATCH($C56,'[1]End - Use Prices'!$A$6:$A$89,0)+MATCH($D56,'[1]End - Use Prices'!$B$9:$B$11,0)-1,MATCH(AR$1,'[1]End - Use Prices'!$C$7:$AL$7,0))</f>
        <v>36</v>
      </c>
      <c r="AS56" s="41">
        <f>INDEX('[1]End - Use Prices'!$C$6:$AL$89,MATCH($C56,'[1]End - Use Prices'!$A$6:$A$89,0)+MATCH($D56,'[1]End - Use Prices'!$B$9:$B$11,0)-1,MATCH(AS$1,'[1]End - Use Prices'!$C$7:$AL$7,0))</f>
        <v>35.89</v>
      </c>
      <c r="AT56" s="41">
        <f>INDEX('[1]End - Use Prices'!$C$6:$AL$89,MATCH($C56,'[1]End - Use Prices'!$A$6:$A$89,0)+MATCH($D56,'[1]End - Use Prices'!$B$9:$B$11,0)-1,MATCH(AT$1,'[1]End - Use Prices'!$C$7:$AL$7,0))</f>
        <v>35.68</v>
      </c>
      <c r="AU56" s="41">
        <f>INDEX('[1]End - Use Prices'!$C$6:$AL$89,MATCH($C56,'[1]End - Use Prices'!$A$6:$A$89,0)+MATCH($D56,'[1]End - Use Prices'!$B$9:$B$11,0)-1,MATCH(AU$1,'[1]End - Use Prices'!$C$7:$AL$7,0))</f>
        <v>35.44</v>
      </c>
      <c r="AV56" s="41">
        <f>INDEX('[1]End - Use Prices'!$C$6:$AL$89,MATCH($C56,'[1]End - Use Prices'!$A$6:$A$89,0)+MATCH($D56,'[1]End - Use Prices'!$B$9:$B$11,0)-1,MATCH(AV$1,'[1]End - Use Prices'!$C$7:$AL$7,0))</f>
        <v>35.229999999999997</v>
      </c>
      <c r="AW56" s="41">
        <f>INDEX('[1]End - Use Prices'!$C$6:$AL$89,MATCH($C56,'[1]End - Use Prices'!$A$6:$A$89,0)+MATCH($D56,'[1]End - Use Prices'!$B$9:$B$11,0)-1,MATCH(AW$1,'[1]End - Use Prices'!$C$7:$AL$7,0))</f>
        <v>35.03</v>
      </c>
      <c r="AX56" s="41">
        <f>INDEX('[1]End - Use Prices'!$C$6:$AL$89,MATCH($C56,'[1]End - Use Prices'!$A$6:$A$89,0)+MATCH($D56,'[1]End - Use Prices'!$B$9:$B$11,0)-1,MATCH(AX$1,'[1]End - Use Prices'!$C$7:$AL$7,0))</f>
        <v>34.89</v>
      </c>
      <c r="AY56" s="41">
        <f>INDEX('[1]End - Use Prices'!$C$6:$AL$89,MATCH($C56,'[1]End - Use Prices'!$A$6:$A$89,0)+MATCH($D56,'[1]End - Use Prices'!$B$9:$B$11,0)-1,MATCH(AY$1,'[1]End - Use Prices'!$C$7:$AL$7,0))</f>
        <v>34.79</v>
      </c>
      <c r="AZ56" s="41">
        <f>INDEX('[1]End - Use Prices'!$C$6:$AL$89,MATCH($C56,'[1]End - Use Prices'!$A$6:$A$89,0)+MATCH($D56,'[1]End - Use Prices'!$B$9:$B$11,0)-1,MATCH(AZ$1,'[1]End - Use Prices'!$C$7:$AL$7,0))</f>
        <v>34.729999999999997</v>
      </c>
      <c r="BA56" s="41">
        <f>INDEX('[1]End - Use Prices'!$C$6:$AL$89,MATCH($C56,'[1]End - Use Prices'!$A$6:$A$89,0)+MATCH($D56,'[1]End - Use Prices'!$B$9:$B$11,0)-1,MATCH(BA$1,'[1]End - Use Prices'!$C$7:$AL$7,0))</f>
        <v>34.69</v>
      </c>
      <c r="BB56" s="41">
        <f>INDEX('[1]End - Use Prices'!$C$6:$AL$89,MATCH($C56,'[1]End - Use Prices'!$A$6:$A$89,0)+MATCH($D56,'[1]End - Use Prices'!$B$9:$B$11,0)-1,MATCH(BB$1,'[1]End - Use Prices'!$C$7:$AL$7,0))</f>
        <v>34.64</v>
      </c>
      <c r="BC56" s="41">
        <f>INDEX('[1]End - Use Prices'!$C$6:$AL$89,MATCH($C56,'[1]End - Use Prices'!$A$6:$A$89,0)+MATCH($D56,'[1]End - Use Prices'!$B$9:$B$11,0)-1,MATCH(BC$1,'[1]End - Use Prices'!$C$7:$AL$7,0))</f>
        <v>34.58</v>
      </c>
      <c r="BD56" s="41">
        <f>INDEX('[1]End - Use Prices'!$C$6:$AL$89,MATCH($C56,'[1]End - Use Prices'!$A$6:$A$89,0)+MATCH($D56,'[1]End - Use Prices'!$B$9:$B$11,0)-1,MATCH(BD$1,'[1]End - Use Prices'!$C$7:$AL$7,0))</f>
        <v>34.49</v>
      </c>
      <c r="BE56" s="41">
        <f>INDEX('[1]End - Use Prices'!$C$6:$AL$89,MATCH($C56,'[1]End - Use Prices'!$A$6:$A$89,0)+MATCH($D56,'[1]End - Use Prices'!$B$9:$B$11,0)-1,MATCH(BE$1,'[1]End - Use Prices'!$C$7:$AL$7,0))</f>
        <v>34.380000000000003</v>
      </c>
      <c r="BF56" s="41">
        <f>INDEX('[1]End - Use Prices'!$C$6:$AL$89,MATCH($C56,'[1]End - Use Prices'!$A$6:$A$89,0)+MATCH($D56,'[1]End - Use Prices'!$B$9:$B$11,0)-1,MATCH(BF$1,'[1]End - Use Prices'!$C$7:$AL$7,0))</f>
        <v>34.270000000000003</v>
      </c>
      <c r="BG56" s="41">
        <f>INDEX('[1]End - Use Prices'!$C$6:$AL$89,MATCH($C56,'[1]End - Use Prices'!$A$6:$A$89,0)+MATCH($D56,'[1]End - Use Prices'!$B$9:$B$11,0)-1,MATCH(BG$1,'[1]End - Use Prices'!$C$7:$AL$7,0))</f>
        <v>34.14</v>
      </c>
      <c r="BR56" s="39"/>
      <c r="BS56" s="39"/>
      <c r="BT56" s="39"/>
      <c r="BU56" s="39"/>
      <c r="BV56" s="39"/>
      <c r="BW56" s="39"/>
      <c r="BX56" s="39"/>
      <c r="BY56" s="39"/>
      <c r="BZ56" s="39"/>
      <c r="CA56" s="39"/>
    </row>
    <row r="57" spans="1:79" x14ac:dyDescent="0.25">
      <c r="A57" s="5"/>
      <c r="B57" s="3"/>
      <c r="C57" s="25" t="s">
        <v>95</v>
      </c>
      <c r="D57" s="25" t="s">
        <v>311</v>
      </c>
      <c r="E57" s="25" t="s">
        <v>313</v>
      </c>
      <c r="F57" s="74" t="s">
        <v>310</v>
      </c>
      <c r="G57" s="54">
        <f t="shared" si="8"/>
        <v>29.08</v>
      </c>
      <c r="H57" s="34">
        <f t="shared" si="43"/>
        <v>29.08</v>
      </c>
      <c r="I57" s="34">
        <f t="shared" si="43"/>
        <v>31.56</v>
      </c>
      <c r="J57" s="34">
        <f t="shared" si="43"/>
        <v>29.89</v>
      </c>
      <c r="K57" s="34">
        <f t="shared" si="43"/>
        <v>37.340000000000003</v>
      </c>
      <c r="L57" s="34">
        <f t="shared" si="43"/>
        <v>32.57</v>
      </c>
      <c r="M57" s="34">
        <f t="shared" si="43"/>
        <v>32.04</v>
      </c>
      <c r="N57" s="34">
        <f t="shared" si="43"/>
        <v>32.03</v>
      </c>
      <c r="O57" s="34">
        <f t="shared" si="43"/>
        <v>31.87</v>
      </c>
      <c r="P57" s="54">
        <f t="shared" ref="P57:Q57" si="51">O57</f>
        <v>31.87</v>
      </c>
      <c r="Q57" s="54">
        <f t="shared" si="51"/>
        <v>31.87</v>
      </c>
      <c r="R57" s="38"/>
      <c r="X57" s="41">
        <f>INDEX('[1]End - Use Prices'!$C$6:$AL$89,MATCH($C57,'[1]End - Use Prices'!$A$6:$A$89,0)+MATCH($D57,'[1]End - Use Prices'!$B$9:$B$11,0)-1,MATCH(X$1,'[1]End - Use Prices'!$C$7:$AL$7,0))</f>
        <v>29.08</v>
      </c>
      <c r="Y57" s="41">
        <f>INDEX('[1]End - Use Prices'!$C$6:$AL$89,MATCH($C57,'[1]End - Use Prices'!$A$6:$A$89,0)+MATCH($D57,'[1]End - Use Prices'!$B$9:$B$11,0)-1,MATCH(Y$1,'[1]End - Use Prices'!$C$7:$AL$7,0))</f>
        <v>30.15</v>
      </c>
      <c r="Z57" s="41">
        <f>INDEX('[1]End - Use Prices'!$C$6:$AL$89,MATCH($C57,'[1]End - Use Prices'!$A$6:$A$89,0)+MATCH($D57,'[1]End - Use Prices'!$B$9:$B$11,0)-1,MATCH(Z$1,'[1]End - Use Prices'!$C$7:$AL$7,0))</f>
        <v>31.73</v>
      </c>
      <c r="AA57" s="41">
        <f>INDEX('[1]End - Use Prices'!$C$6:$AL$89,MATCH($C57,'[1]End - Use Prices'!$A$6:$A$89,0)+MATCH($D57,'[1]End - Use Prices'!$B$9:$B$11,0)-1,MATCH(AA$1,'[1]End - Use Prices'!$C$7:$AL$7,0))</f>
        <v>37.46</v>
      </c>
      <c r="AB57" s="41">
        <f>INDEX('[1]End - Use Prices'!$C$6:$AL$89,MATCH($C57,'[1]End - Use Prices'!$A$6:$A$89,0)+MATCH($D57,'[1]End - Use Prices'!$B$9:$B$11,0)-1,MATCH(AB$1,'[1]End - Use Prices'!$C$7:$AL$7,0))</f>
        <v>28.89</v>
      </c>
      <c r="AC57" s="41">
        <f>INDEX('[1]End - Use Prices'!$C$6:$AL$89,MATCH($C57,'[1]End - Use Prices'!$A$6:$A$89,0)+MATCH($D57,'[1]End - Use Prices'!$B$9:$B$11,0)-1,MATCH(AC$1,'[1]End - Use Prices'!$C$7:$AL$7,0))</f>
        <v>31.56</v>
      </c>
      <c r="AD57" s="41">
        <f>INDEX('[1]End - Use Prices'!$C$6:$AL$89,MATCH($C57,'[1]End - Use Prices'!$A$6:$A$89,0)+MATCH($D57,'[1]End - Use Prices'!$B$9:$B$11,0)-1,MATCH(AD$1,'[1]End - Use Prices'!$C$7:$AL$7,0))</f>
        <v>36.9</v>
      </c>
      <c r="AE57" s="41">
        <f>INDEX('[1]End - Use Prices'!$C$6:$AL$89,MATCH($C57,'[1]End - Use Prices'!$A$6:$A$89,0)+MATCH($D57,'[1]End - Use Prices'!$B$9:$B$11,0)-1,MATCH(AE$1,'[1]End - Use Prices'!$C$7:$AL$7,0))</f>
        <v>38.08</v>
      </c>
      <c r="AF57" s="41">
        <f>INDEX('[1]End - Use Prices'!$C$6:$AL$89,MATCH($C57,'[1]End - Use Prices'!$A$6:$A$89,0)+MATCH($D57,'[1]End - Use Prices'!$B$9:$B$11,0)-1,MATCH(AF$1,'[1]End - Use Prices'!$C$7:$AL$7,0))</f>
        <v>36.86</v>
      </c>
      <c r="AG57" s="41">
        <f>INDEX('[1]End - Use Prices'!$C$6:$AL$89,MATCH($C57,'[1]End - Use Prices'!$A$6:$A$89,0)+MATCH($D57,'[1]End - Use Prices'!$B$9:$B$11,0)-1,MATCH(AG$1,'[1]End - Use Prices'!$C$7:$AL$7,0))</f>
        <v>37.01</v>
      </c>
      <c r="AH57" s="41">
        <f>INDEX('[1]End - Use Prices'!$C$6:$AL$89,MATCH($C57,'[1]End - Use Prices'!$A$6:$A$89,0)+MATCH($D57,'[1]End - Use Prices'!$B$9:$B$11,0)-1,MATCH(AH$1,'[1]End - Use Prices'!$C$7:$AL$7,0))</f>
        <v>29.89</v>
      </c>
      <c r="AI57" s="41">
        <f>INDEX('[1]End - Use Prices'!$C$6:$AL$89,MATCH($C57,'[1]End - Use Prices'!$A$6:$A$89,0)+MATCH($D57,'[1]End - Use Prices'!$B$9:$B$11,0)-1,MATCH(AI$1,'[1]End - Use Prices'!$C$7:$AL$7,0))</f>
        <v>25.86</v>
      </c>
      <c r="AJ57" s="41">
        <f>INDEX('[1]End - Use Prices'!$C$6:$AL$89,MATCH($C57,'[1]End - Use Prices'!$A$6:$A$89,0)+MATCH($D57,'[1]End - Use Prices'!$B$9:$B$11,0)-1,MATCH(AJ$1,'[1]End - Use Prices'!$C$7:$AL$7,0))</f>
        <v>27.9</v>
      </c>
      <c r="AK57" s="41">
        <f>INDEX('[1]End - Use Prices'!$C$6:$AL$89,MATCH($C57,'[1]End - Use Prices'!$A$6:$A$89,0)+MATCH($D57,'[1]End - Use Prices'!$B$9:$B$11,0)-1,MATCH(AK$1,'[1]End - Use Prices'!$C$7:$AL$7,0))</f>
        <v>31.56</v>
      </c>
      <c r="AL57" s="41">
        <f>INDEX('[1]End - Use Prices'!$C$6:$AL$89,MATCH($C57,'[1]End - Use Prices'!$A$6:$A$89,0)+MATCH($D57,'[1]End - Use Prices'!$B$9:$B$11,0)-1,MATCH(AL$1,'[1]End - Use Prices'!$C$7:$AL$7,0))</f>
        <v>33.29</v>
      </c>
      <c r="AM57" s="41">
        <f>INDEX('[1]End - Use Prices'!$C$6:$AL$89,MATCH($C57,'[1]End - Use Prices'!$A$6:$A$89,0)+MATCH($D57,'[1]End - Use Prices'!$B$9:$B$11,0)-1,MATCH(AM$1,'[1]End - Use Prices'!$C$7:$AL$7,0))</f>
        <v>37.340000000000003</v>
      </c>
      <c r="AN57" s="41">
        <f>INDEX('[1]End - Use Prices'!$C$6:$AL$89,MATCH($C57,'[1]End - Use Prices'!$A$6:$A$89,0)+MATCH($D57,'[1]End - Use Prices'!$B$9:$B$11,0)-1,MATCH(AN$1,'[1]End - Use Prices'!$C$7:$AL$7,0))</f>
        <v>34.270000000000003</v>
      </c>
      <c r="AO57" s="41">
        <f>INDEX('[1]End - Use Prices'!$C$6:$AL$89,MATCH($C57,'[1]End - Use Prices'!$A$6:$A$89,0)+MATCH($D57,'[1]End - Use Prices'!$B$9:$B$11,0)-1,MATCH(AO$1,'[1]End - Use Prices'!$C$7:$AL$7,0))</f>
        <v>32.229999999999997</v>
      </c>
      <c r="AP57" s="41">
        <f>INDEX('[1]End - Use Prices'!$C$6:$AL$89,MATCH($C57,'[1]End - Use Prices'!$A$6:$A$89,0)+MATCH($D57,'[1]End - Use Prices'!$B$9:$B$11,0)-1,MATCH(AP$1,'[1]End - Use Prices'!$C$7:$AL$7,0))</f>
        <v>32.729999999999997</v>
      </c>
      <c r="AQ57" s="41">
        <f>INDEX('[1]End - Use Prices'!$C$6:$AL$89,MATCH($C57,'[1]End - Use Prices'!$A$6:$A$89,0)+MATCH($D57,'[1]End - Use Prices'!$B$9:$B$11,0)-1,MATCH(AQ$1,'[1]End - Use Prices'!$C$7:$AL$7,0))</f>
        <v>32.54</v>
      </c>
      <c r="AR57" s="41">
        <f>INDEX('[1]End - Use Prices'!$C$6:$AL$89,MATCH($C57,'[1]End - Use Prices'!$A$6:$A$89,0)+MATCH($D57,'[1]End - Use Prices'!$B$9:$B$11,0)-1,MATCH(AR$1,'[1]End - Use Prices'!$C$7:$AL$7,0))</f>
        <v>32.57</v>
      </c>
      <c r="AS57" s="41">
        <f>INDEX('[1]End - Use Prices'!$C$6:$AL$89,MATCH($C57,'[1]End - Use Prices'!$A$6:$A$89,0)+MATCH($D57,'[1]End - Use Prices'!$B$9:$B$11,0)-1,MATCH(AS$1,'[1]End - Use Prices'!$C$7:$AL$7,0))</f>
        <v>32.56</v>
      </c>
      <c r="AT57" s="41">
        <f>INDEX('[1]End - Use Prices'!$C$6:$AL$89,MATCH($C57,'[1]End - Use Prices'!$A$6:$A$89,0)+MATCH($D57,'[1]End - Use Prices'!$B$9:$B$11,0)-1,MATCH(AT$1,'[1]End - Use Prices'!$C$7:$AL$7,0))</f>
        <v>32.44</v>
      </c>
      <c r="AU57" s="41">
        <f>INDEX('[1]End - Use Prices'!$C$6:$AL$89,MATCH($C57,'[1]End - Use Prices'!$A$6:$A$89,0)+MATCH($D57,'[1]End - Use Prices'!$B$9:$B$11,0)-1,MATCH(AU$1,'[1]End - Use Prices'!$C$7:$AL$7,0))</f>
        <v>32.29</v>
      </c>
      <c r="AV57" s="41">
        <f>INDEX('[1]End - Use Prices'!$C$6:$AL$89,MATCH($C57,'[1]End - Use Prices'!$A$6:$A$89,0)+MATCH($D57,'[1]End - Use Prices'!$B$9:$B$11,0)-1,MATCH(AV$1,'[1]End - Use Prices'!$C$7:$AL$7,0))</f>
        <v>32.17</v>
      </c>
      <c r="AW57" s="41">
        <f>INDEX('[1]End - Use Prices'!$C$6:$AL$89,MATCH($C57,'[1]End - Use Prices'!$A$6:$A$89,0)+MATCH($D57,'[1]End - Use Prices'!$B$9:$B$11,0)-1,MATCH(AW$1,'[1]End - Use Prices'!$C$7:$AL$7,0))</f>
        <v>32.04</v>
      </c>
      <c r="AX57" s="41">
        <f>INDEX('[1]End - Use Prices'!$C$6:$AL$89,MATCH($C57,'[1]End - Use Prices'!$A$6:$A$89,0)+MATCH($D57,'[1]End - Use Prices'!$B$9:$B$11,0)-1,MATCH(AX$1,'[1]End - Use Prices'!$C$7:$AL$7,0))</f>
        <v>31.98</v>
      </c>
      <c r="AY57" s="41">
        <f>INDEX('[1]End - Use Prices'!$C$6:$AL$89,MATCH($C57,'[1]End - Use Prices'!$A$6:$A$89,0)+MATCH($D57,'[1]End - Use Prices'!$B$9:$B$11,0)-1,MATCH(AY$1,'[1]End - Use Prices'!$C$7:$AL$7,0))</f>
        <v>31.96</v>
      </c>
      <c r="AZ57" s="41">
        <f>INDEX('[1]End - Use Prices'!$C$6:$AL$89,MATCH($C57,'[1]End - Use Prices'!$A$6:$A$89,0)+MATCH($D57,'[1]End - Use Prices'!$B$9:$B$11,0)-1,MATCH(AZ$1,'[1]End - Use Prices'!$C$7:$AL$7,0))</f>
        <v>31.97</v>
      </c>
      <c r="BA57" s="41">
        <f>INDEX('[1]End - Use Prices'!$C$6:$AL$89,MATCH($C57,'[1]End - Use Prices'!$A$6:$A$89,0)+MATCH($D57,'[1]End - Use Prices'!$B$9:$B$11,0)-1,MATCH(BA$1,'[1]End - Use Prices'!$C$7:$AL$7,0))</f>
        <v>32.01</v>
      </c>
      <c r="BB57" s="41">
        <f>INDEX('[1]End - Use Prices'!$C$6:$AL$89,MATCH($C57,'[1]End - Use Prices'!$A$6:$A$89,0)+MATCH($D57,'[1]End - Use Prices'!$B$9:$B$11,0)-1,MATCH(BB$1,'[1]End - Use Prices'!$C$7:$AL$7,0))</f>
        <v>32.03</v>
      </c>
      <c r="BC57" s="41">
        <f>INDEX('[1]End - Use Prices'!$C$6:$AL$89,MATCH($C57,'[1]End - Use Prices'!$A$6:$A$89,0)+MATCH($D57,'[1]End - Use Prices'!$B$9:$B$11,0)-1,MATCH(BC$1,'[1]End - Use Prices'!$C$7:$AL$7,0))</f>
        <v>32.03</v>
      </c>
      <c r="BD57" s="41">
        <f>INDEX('[1]End - Use Prices'!$C$6:$AL$89,MATCH($C57,'[1]End - Use Prices'!$A$6:$A$89,0)+MATCH($D57,'[1]End - Use Prices'!$B$9:$B$11,0)-1,MATCH(BD$1,'[1]End - Use Prices'!$C$7:$AL$7,0))</f>
        <v>32.020000000000003</v>
      </c>
      <c r="BE57" s="41">
        <f>INDEX('[1]End - Use Prices'!$C$6:$AL$89,MATCH($C57,'[1]End - Use Prices'!$A$6:$A$89,0)+MATCH($D57,'[1]End - Use Prices'!$B$9:$B$11,0)-1,MATCH(BE$1,'[1]End - Use Prices'!$C$7:$AL$7,0))</f>
        <v>31.97</v>
      </c>
      <c r="BF57" s="41">
        <f>INDEX('[1]End - Use Prices'!$C$6:$AL$89,MATCH($C57,'[1]End - Use Prices'!$A$6:$A$89,0)+MATCH($D57,'[1]End - Use Prices'!$B$9:$B$11,0)-1,MATCH(BF$1,'[1]End - Use Prices'!$C$7:$AL$7,0))</f>
        <v>31.93</v>
      </c>
      <c r="BG57" s="41">
        <f>INDEX('[1]End - Use Prices'!$C$6:$AL$89,MATCH($C57,'[1]End - Use Prices'!$A$6:$A$89,0)+MATCH($D57,'[1]End - Use Prices'!$B$9:$B$11,0)-1,MATCH(BG$1,'[1]End - Use Prices'!$C$7:$AL$7,0))</f>
        <v>31.87</v>
      </c>
      <c r="BR57" s="39"/>
      <c r="BS57" s="39"/>
      <c r="BT57" s="39"/>
      <c r="BU57" s="39"/>
      <c r="BV57" s="39"/>
      <c r="BW57" s="39"/>
      <c r="BX57" s="39"/>
      <c r="BY57" s="39"/>
      <c r="BZ57" s="39"/>
      <c r="CA57" s="39"/>
    </row>
    <row r="58" spans="1:79" x14ac:dyDescent="0.25">
      <c r="A58" s="5"/>
      <c r="B58" s="3"/>
      <c r="C58" s="25" t="s">
        <v>97</v>
      </c>
      <c r="D58" s="25" t="s">
        <v>311</v>
      </c>
      <c r="E58" s="25" t="s">
        <v>313</v>
      </c>
      <c r="F58" s="74" t="s">
        <v>310</v>
      </c>
      <c r="G58" s="54">
        <f t="shared" si="8"/>
        <v>26.74</v>
      </c>
      <c r="H58" s="34">
        <f t="shared" si="43"/>
        <v>26.74</v>
      </c>
      <c r="I58" s="34">
        <f t="shared" si="43"/>
        <v>28.81</v>
      </c>
      <c r="J58" s="34">
        <f t="shared" si="43"/>
        <v>28.29</v>
      </c>
      <c r="K58" s="34">
        <f t="shared" si="43"/>
        <v>36.4</v>
      </c>
      <c r="L58" s="34">
        <f t="shared" si="43"/>
        <v>31.63</v>
      </c>
      <c r="M58" s="34">
        <f t="shared" si="43"/>
        <v>31.1</v>
      </c>
      <c r="N58" s="34">
        <f t="shared" si="43"/>
        <v>31.09</v>
      </c>
      <c r="O58" s="34">
        <f t="shared" si="43"/>
        <v>30.93</v>
      </c>
      <c r="P58" s="54">
        <f t="shared" ref="P58:Q58" si="52">O58</f>
        <v>30.93</v>
      </c>
      <c r="Q58" s="54">
        <f t="shared" si="52"/>
        <v>30.93</v>
      </c>
      <c r="R58" s="38"/>
      <c r="X58" s="41">
        <f>INDEX('[1]End - Use Prices'!$C$6:$AL$89,MATCH($C58,'[1]End - Use Prices'!$A$6:$A$89,0)+MATCH($D58,'[1]End - Use Prices'!$B$9:$B$11,0)-1,MATCH(X$1,'[1]End - Use Prices'!$C$7:$AL$7,0))</f>
        <v>26.74</v>
      </c>
      <c r="Y58" s="41">
        <f>INDEX('[1]End - Use Prices'!$C$6:$AL$89,MATCH($C58,'[1]End - Use Prices'!$A$6:$A$89,0)+MATCH($D58,'[1]End - Use Prices'!$B$9:$B$11,0)-1,MATCH(Y$1,'[1]End - Use Prices'!$C$7:$AL$7,0))</f>
        <v>27.19</v>
      </c>
      <c r="Z58" s="41">
        <f>INDEX('[1]End - Use Prices'!$C$6:$AL$89,MATCH($C58,'[1]End - Use Prices'!$A$6:$A$89,0)+MATCH($D58,'[1]End - Use Prices'!$B$9:$B$11,0)-1,MATCH(Z$1,'[1]End - Use Prices'!$C$7:$AL$7,0))</f>
        <v>29.89</v>
      </c>
      <c r="AA58" s="41">
        <f>INDEX('[1]End - Use Prices'!$C$6:$AL$89,MATCH($C58,'[1]End - Use Prices'!$A$6:$A$89,0)+MATCH($D58,'[1]End - Use Prices'!$B$9:$B$11,0)-1,MATCH(AA$1,'[1]End - Use Prices'!$C$7:$AL$7,0))</f>
        <v>36.56</v>
      </c>
      <c r="AB58" s="41">
        <f>INDEX('[1]End - Use Prices'!$C$6:$AL$89,MATCH($C58,'[1]End - Use Prices'!$A$6:$A$89,0)+MATCH($D58,'[1]End - Use Prices'!$B$9:$B$11,0)-1,MATCH(AB$1,'[1]End - Use Prices'!$C$7:$AL$7,0))</f>
        <v>26.59</v>
      </c>
      <c r="AC58" s="41">
        <f>INDEX('[1]End - Use Prices'!$C$6:$AL$89,MATCH($C58,'[1]End - Use Prices'!$A$6:$A$89,0)+MATCH($D58,'[1]End - Use Prices'!$B$9:$B$11,0)-1,MATCH(AC$1,'[1]End - Use Prices'!$C$7:$AL$7,0))</f>
        <v>28.81</v>
      </c>
      <c r="AD58" s="41">
        <f>INDEX('[1]End - Use Prices'!$C$6:$AL$89,MATCH($C58,'[1]End - Use Prices'!$A$6:$A$89,0)+MATCH($D58,'[1]End - Use Prices'!$B$9:$B$11,0)-1,MATCH(AD$1,'[1]End - Use Prices'!$C$7:$AL$7,0))</f>
        <v>34.630000000000003</v>
      </c>
      <c r="AE58" s="41">
        <f>INDEX('[1]End - Use Prices'!$C$6:$AL$89,MATCH($C58,'[1]End - Use Prices'!$A$6:$A$89,0)+MATCH($D58,'[1]End - Use Prices'!$B$9:$B$11,0)-1,MATCH(AE$1,'[1]End - Use Prices'!$C$7:$AL$7,0))</f>
        <v>34.79</v>
      </c>
      <c r="AF58" s="41">
        <f>INDEX('[1]End - Use Prices'!$C$6:$AL$89,MATCH($C58,'[1]End - Use Prices'!$A$6:$A$89,0)+MATCH($D58,'[1]End - Use Prices'!$B$9:$B$11,0)-1,MATCH(AF$1,'[1]End - Use Prices'!$C$7:$AL$7,0))</f>
        <v>33.89</v>
      </c>
      <c r="AG58" s="41">
        <f>INDEX('[1]End - Use Prices'!$C$6:$AL$89,MATCH($C58,'[1]End - Use Prices'!$A$6:$A$89,0)+MATCH($D58,'[1]End - Use Prices'!$B$9:$B$11,0)-1,MATCH(AG$1,'[1]End - Use Prices'!$C$7:$AL$7,0))</f>
        <v>36.409999999999997</v>
      </c>
      <c r="AH58" s="41">
        <f>INDEX('[1]End - Use Prices'!$C$6:$AL$89,MATCH($C58,'[1]End - Use Prices'!$A$6:$A$89,0)+MATCH($D58,'[1]End - Use Prices'!$B$9:$B$11,0)-1,MATCH(AH$1,'[1]End - Use Prices'!$C$7:$AL$7,0))</f>
        <v>28.29</v>
      </c>
      <c r="AI58" s="41">
        <f>INDEX('[1]End - Use Prices'!$C$6:$AL$89,MATCH($C58,'[1]End - Use Prices'!$A$6:$A$89,0)+MATCH($D58,'[1]End - Use Prices'!$B$9:$B$11,0)-1,MATCH(AI$1,'[1]End - Use Prices'!$C$7:$AL$7,0))</f>
        <v>24.92</v>
      </c>
      <c r="AJ58" s="41">
        <f>INDEX('[1]End - Use Prices'!$C$6:$AL$89,MATCH($C58,'[1]End - Use Prices'!$A$6:$A$89,0)+MATCH($D58,'[1]End - Use Prices'!$B$9:$B$11,0)-1,MATCH(AJ$1,'[1]End - Use Prices'!$C$7:$AL$7,0))</f>
        <v>27.54</v>
      </c>
      <c r="AK58" s="41">
        <f>INDEX('[1]End - Use Prices'!$C$6:$AL$89,MATCH($C58,'[1]End - Use Prices'!$A$6:$A$89,0)+MATCH($D58,'[1]End - Use Prices'!$B$9:$B$11,0)-1,MATCH(AK$1,'[1]End - Use Prices'!$C$7:$AL$7,0))</f>
        <v>30.62</v>
      </c>
      <c r="AL58" s="41">
        <f>INDEX('[1]End - Use Prices'!$C$6:$AL$89,MATCH($C58,'[1]End - Use Prices'!$A$6:$A$89,0)+MATCH($D58,'[1]End - Use Prices'!$B$9:$B$11,0)-1,MATCH(AL$1,'[1]End - Use Prices'!$C$7:$AL$7,0))</f>
        <v>32.35</v>
      </c>
      <c r="AM58" s="41">
        <f>INDEX('[1]End - Use Prices'!$C$6:$AL$89,MATCH($C58,'[1]End - Use Prices'!$A$6:$A$89,0)+MATCH($D58,'[1]End - Use Prices'!$B$9:$B$11,0)-1,MATCH(AM$1,'[1]End - Use Prices'!$C$7:$AL$7,0))</f>
        <v>36.4</v>
      </c>
      <c r="AN58" s="41">
        <f>INDEX('[1]End - Use Prices'!$C$6:$AL$89,MATCH($C58,'[1]End - Use Prices'!$A$6:$A$89,0)+MATCH($D58,'[1]End - Use Prices'!$B$9:$B$11,0)-1,MATCH(AN$1,'[1]End - Use Prices'!$C$7:$AL$7,0))</f>
        <v>33.33</v>
      </c>
      <c r="AO58" s="41">
        <f>INDEX('[1]End - Use Prices'!$C$6:$AL$89,MATCH($C58,'[1]End - Use Prices'!$A$6:$A$89,0)+MATCH($D58,'[1]End - Use Prices'!$B$9:$B$11,0)-1,MATCH(AO$1,'[1]End - Use Prices'!$C$7:$AL$7,0))</f>
        <v>31.29</v>
      </c>
      <c r="AP58" s="41">
        <f>INDEX('[1]End - Use Prices'!$C$6:$AL$89,MATCH($C58,'[1]End - Use Prices'!$A$6:$A$89,0)+MATCH($D58,'[1]End - Use Prices'!$B$9:$B$11,0)-1,MATCH(AP$1,'[1]End - Use Prices'!$C$7:$AL$7,0))</f>
        <v>31.79</v>
      </c>
      <c r="AQ58" s="41">
        <f>INDEX('[1]End - Use Prices'!$C$6:$AL$89,MATCH($C58,'[1]End - Use Prices'!$A$6:$A$89,0)+MATCH($D58,'[1]End - Use Prices'!$B$9:$B$11,0)-1,MATCH(AQ$1,'[1]End - Use Prices'!$C$7:$AL$7,0))</f>
        <v>31.61</v>
      </c>
      <c r="AR58" s="41">
        <f>INDEX('[1]End - Use Prices'!$C$6:$AL$89,MATCH($C58,'[1]End - Use Prices'!$A$6:$A$89,0)+MATCH($D58,'[1]End - Use Prices'!$B$9:$B$11,0)-1,MATCH(AR$1,'[1]End - Use Prices'!$C$7:$AL$7,0))</f>
        <v>31.63</v>
      </c>
      <c r="AS58" s="41">
        <f>INDEX('[1]End - Use Prices'!$C$6:$AL$89,MATCH($C58,'[1]End - Use Prices'!$A$6:$A$89,0)+MATCH($D58,'[1]End - Use Prices'!$B$9:$B$11,0)-1,MATCH(AS$1,'[1]End - Use Prices'!$C$7:$AL$7,0))</f>
        <v>31.62</v>
      </c>
      <c r="AT58" s="41">
        <f>INDEX('[1]End - Use Prices'!$C$6:$AL$89,MATCH($C58,'[1]End - Use Prices'!$A$6:$A$89,0)+MATCH($D58,'[1]End - Use Prices'!$B$9:$B$11,0)-1,MATCH(AT$1,'[1]End - Use Prices'!$C$7:$AL$7,0))</f>
        <v>31.5</v>
      </c>
      <c r="AU58" s="41">
        <f>INDEX('[1]End - Use Prices'!$C$6:$AL$89,MATCH($C58,'[1]End - Use Prices'!$A$6:$A$89,0)+MATCH($D58,'[1]End - Use Prices'!$B$9:$B$11,0)-1,MATCH(AU$1,'[1]End - Use Prices'!$C$7:$AL$7,0))</f>
        <v>31.35</v>
      </c>
      <c r="AV58" s="41">
        <f>INDEX('[1]End - Use Prices'!$C$6:$AL$89,MATCH($C58,'[1]End - Use Prices'!$A$6:$A$89,0)+MATCH($D58,'[1]End - Use Prices'!$B$9:$B$11,0)-1,MATCH(AV$1,'[1]End - Use Prices'!$C$7:$AL$7,0))</f>
        <v>31.23</v>
      </c>
      <c r="AW58" s="41">
        <f>INDEX('[1]End - Use Prices'!$C$6:$AL$89,MATCH($C58,'[1]End - Use Prices'!$A$6:$A$89,0)+MATCH($D58,'[1]End - Use Prices'!$B$9:$B$11,0)-1,MATCH(AW$1,'[1]End - Use Prices'!$C$7:$AL$7,0))</f>
        <v>31.1</v>
      </c>
      <c r="AX58" s="41">
        <f>INDEX('[1]End - Use Prices'!$C$6:$AL$89,MATCH($C58,'[1]End - Use Prices'!$A$6:$A$89,0)+MATCH($D58,'[1]End - Use Prices'!$B$9:$B$11,0)-1,MATCH(AX$1,'[1]End - Use Prices'!$C$7:$AL$7,0))</f>
        <v>31.05</v>
      </c>
      <c r="AY58" s="41">
        <f>INDEX('[1]End - Use Prices'!$C$6:$AL$89,MATCH($C58,'[1]End - Use Prices'!$A$6:$A$89,0)+MATCH($D58,'[1]End - Use Prices'!$B$9:$B$11,0)-1,MATCH(AY$1,'[1]End - Use Prices'!$C$7:$AL$7,0))</f>
        <v>31.02</v>
      </c>
      <c r="AZ58" s="41">
        <f>INDEX('[1]End - Use Prices'!$C$6:$AL$89,MATCH($C58,'[1]End - Use Prices'!$A$6:$A$89,0)+MATCH($D58,'[1]End - Use Prices'!$B$9:$B$11,0)-1,MATCH(AZ$1,'[1]End - Use Prices'!$C$7:$AL$7,0))</f>
        <v>31.03</v>
      </c>
      <c r="BA58" s="41">
        <f>INDEX('[1]End - Use Prices'!$C$6:$AL$89,MATCH($C58,'[1]End - Use Prices'!$A$6:$A$89,0)+MATCH($D58,'[1]End - Use Prices'!$B$9:$B$11,0)-1,MATCH(BA$1,'[1]End - Use Prices'!$C$7:$AL$7,0))</f>
        <v>31.07</v>
      </c>
      <c r="BB58" s="41">
        <f>INDEX('[1]End - Use Prices'!$C$6:$AL$89,MATCH($C58,'[1]End - Use Prices'!$A$6:$A$89,0)+MATCH($D58,'[1]End - Use Prices'!$B$9:$B$11,0)-1,MATCH(BB$1,'[1]End - Use Prices'!$C$7:$AL$7,0))</f>
        <v>31.09</v>
      </c>
      <c r="BC58" s="41">
        <f>INDEX('[1]End - Use Prices'!$C$6:$AL$89,MATCH($C58,'[1]End - Use Prices'!$A$6:$A$89,0)+MATCH($D58,'[1]End - Use Prices'!$B$9:$B$11,0)-1,MATCH(BC$1,'[1]End - Use Prices'!$C$7:$AL$7,0))</f>
        <v>31.09</v>
      </c>
      <c r="BD58" s="41">
        <f>INDEX('[1]End - Use Prices'!$C$6:$AL$89,MATCH($C58,'[1]End - Use Prices'!$A$6:$A$89,0)+MATCH($D58,'[1]End - Use Prices'!$B$9:$B$11,0)-1,MATCH(BD$1,'[1]End - Use Prices'!$C$7:$AL$7,0))</f>
        <v>31.08</v>
      </c>
      <c r="BE58" s="41">
        <f>INDEX('[1]End - Use Prices'!$C$6:$AL$89,MATCH($C58,'[1]End - Use Prices'!$A$6:$A$89,0)+MATCH($D58,'[1]End - Use Prices'!$B$9:$B$11,0)-1,MATCH(BE$1,'[1]End - Use Prices'!$C$7:$AL$7,0))</f>
        <v>31.03</v>
      </c>
      <c r="BF58" s="41">
        <f>INDEX('[1]End - Use Prices'!$C$6:$AL$89,MATCH($C58,'[1]End - Use Prices'!$A$6:$A$89,0)+MATCH($D58,'[1]End - Use Prices'!$B$9:$B$11,0)-1,MATCH(BF$1,'[1]End - Use Prices'!$C$7:$AL$7,0))</f>
        <v>30.99</v>
      </c>
      <c r="BG58" s="41">
        <f>INDEX('[1]End - Use Prices'!$C$6:$AL$89,MATCH($C58,'[1]End - Use Prices'!$A$6:$A$89,0)+MATCH($D58,'[1]End - Use Prices'!$B$9:$B$11,0)-1,MATCH(BG$1,'[1]End - Use Prices'!$C$7:$AL$7,0))</f>
        <v>30.93</v>
      </c>
      <c r="BR58" s="39"/>
      <c r="BS58" s="39"/>
      <c r="BT58" s="39"/>
      <c r="BU58" s="39"/>
      <c r="BV58" s="39"/>
      <c r="BW58" s="39"/>
      <c r="BX58" s="39"/>
      <c r="BY58" s="39"/>
      <c r="BZ58" s="39"/>
      <c r="CA58" s="39"/>
    </row>
    <row r="59" spans="1:79" x14ac:dyDescent="0.25">
      <c r="A59" s="5"/>
      <c r="B59" s="3"/>
      <c r="C59" s="25" t="s">
        <v>96</v>
      </c>
      <c r="D59" s="25" t="s">
        <v>311</v>
      </c>
      <c r="E59" s="25" t="s">
        <v>313</v>
      </c>
      <c r="F59" s="74" t="s">
        <v>310</v>
      </c>
      <c r="G59" s="54">
        <f t="shared" si="8"/>
        <v>26.74</v>
      </c>
      <c r="H59" s="34">
        <f t="shared" si="43"/>
        <v>26.74</v>
      </c>
      <c r="I59" s="34">
        <f t="shared" si="43"/>
        <v>28.81</v>
      </c>
      <c r="J59" s="34">
        <f t="shared" si="43"/>
        <v>28.29</v>
      </c>
      <c r="K59" s="34">
        <f t="shared" si="43"/>
        <v>36.33</v>
      </c>
      <c r="L59" s="34">
        <f t="shared" si="43"/>
        <v>31.48</v>
      </c>
      <c r="M59" s="34">
        <f t="shared" si="43"/>
        <v>30.97</v>
      </c>
      <c r="N59" s="34">
        <f t="shared" si="43"/>
        <v>30.96</v>
      </c>
      <c r="O59" s="34">
        <f t="shared" si="43"/>
        <v>30.82</v>
      </c>
      <c r="P59" s="54">
        <f t="shared" ref="P59:Q59" si="53">O59</f>
        <v>30.82</v>
      </c>
      <c r="Q59" s="54">
        <f t="shared" si="53"/>
        <v>30.82</v>
      </c>
      <c r="R59" s="38"/>
      <c r="X59" s="41">
        <f>INDEX('[1]End - Use Prices'!$C$6:$AL$89,MATCH($C59,'[1]End - Use Prices'!$A$6:$A$89,0)+MATCH($D59,'[1]End - Use Prices'!$B$9:$B$11,0)-1,MATCH(X$1,'[1]End - Use Prices'!$C$7:$AL$7,0))</f>
        <v>26.74</v>
      </c>
      <c r="Y59" s="41">
        <f>INDEX('[1]End - Use Prices'!$C$6:$AL$89,MATCH($C59,'[1]End - Use Prices'!$A$6:$A$89,0)+MATCH($D59,'[1]End - Use Prices'!$B$9:$B$11,0)-1,MATCH(Y$1,'[1]End - Use Prices'!$C$7:$AL$7,0))</f>
        <v>27.19</v>
      </c>
      <c r="Z59" s="41">
        <f>INDEX('[1]End - Use Prices'!$C$6:$AL$89,MATCH($C59,'[1]End - Use Prices'!$A$6:$A$89,0)+MATCH($D59,'[1]End - Use Prices'!$B$9:$B$11,0)-1,MATCH(Z$1,'[1]End - Use Prices'!$C$7:$AL$7,0))</f>
        <v>29.89</v>
      </c>
      <c r="AA59" s="41">
        <f>INDEX('[1]End - Use Prices'!$C$6:$AL$89,MATCH($C59,'[1]End - Use Prices'!$A$6:$A$89,0)+MATCH($D59,'[1]End - Use Prices'!$B$9:$B$11,0)-1,MATCH(AA$1,'[1]End - Use Prices'!$C$7:$AL$7,0))</f>
        <v>36.56</v>
      </c>
      <c r="AB59" s="41">
        <f>INDEX('[1]End - Use Prices'!$C$6:$AL$89,MATCH($C59,'[1]End - Use Prices'!$A$6:$A$89,0)+MATCH($D59,'[1]End - Use Prices'!$B$9:$B$11,0)-1,MATCH(AB$1,'[1]End - Use Prices'!$C$7:$AL$7,0))</f>
        <v>26.59</v>
      </c>
      <c r="AC59" s="41">
        <f>INDEX('[1]End - Use Prices'!$C$6:$AL$89,MATCH($C59,'[1]End - Use Prices'!$A$6:$A$89,0)+MATCH($D59,'[1]End - Use Prices'!$B$9:$B$11,0)-1,MATCH(AC$1,'[1]End - Use Prices'!$C$7:$AL$7,0))</f>
        <v>28.81</v>
      </c>
      <c r="AD59" s="41">
        <f>INDEX('[1]End - Use Prices'!$C$6:$AL$89,MATCH($C59,'[1]End - Use Prices'!$A$6:$A$89,0)+MATCH($D59,'[1]End - Use Prices'!$B$9:$B$11,0)-1,MATCH(AD$1,'[1]End - Use Prices'!$C$7:$AL$7,0))</f>
        <v>34.630000000000003</v>
      </c>
      <c r="AE59" s="41">
        <f>INDEX('[1]End - Use Prices'!$C$6:$AL$89,MATCH($C59,'[1]End - Use Prices'!$A$6:$A$89,0)+MATCH($D59,'[1]End - Use Prices'!$B$9:$B$11,0)-1,MATCH(AE$1,'[1]End - Use Prices'!$C$7:$AL$7,0))</f>
        <v>34.79</v>
      </c>
      <c r="AF59" s="41">
        <f>INDEX('[1]End - Use Prices'!$C$6:$AL$89,MATCH($C59,'[1]End - Use Prices'!$A$6:$A$89,0)+MATCH($D59,'[1]End - Use Prices'!$B$9:$B$11,0)-1,MATCH(AF$1,'[1]End - Use Prices'!$C$7:$AL$7,0))</f>
        <v>33.89</v>
      </c>
      <c r="AG59" s="41">
        <f>INDEX('[1]End - Use Prices'!$C$6:$AL$89,MATCH($C59,'[1]End - Use Prices'!$A$6:$A$89,0)+MATCH($D59,'[1]End - Use Prices'!$B$9:$B$11,0)-1,MATCH(AG$1,'[1]End - Use Prices'!$C$7:$AL$7,0))</f>
        <v>36.409999999999997</v>
      </c>
      <c r="AH59" s="41">
        <f>INDEX('[1]End - Use Prices'!$C$6:$AL$89,MATCH($C59,'[1]End - Use Prices'!$A$6:$A$89,0)+MATCH($D59,'[1]End - Use Prices'!$B$9:$B$11,0)-1,MATCH(AH$1,'[1]End - Use Prices'!$C$7:$AL$7,0))</f>
        <v>28.29</v>
      </c>
      <c r="AI59" s="41">
        <f>INDEX('[1]End - Use Prices'!$C$6:$AL$89,MATCH($C59,'[1]End - Use Prices'!$A$6:$A$89,0)+MATCH($D59,'[1]End - Use Prices'!$B$9:$B$11,0)-1,MATCH(AI$1,'[1]End - Use Prices'!$C$7:$AL$7,0))</f>
        <v>24.92</v>
      </c>
      <c r="AJ59" s="41">
        <f>INDEX('[1]End - Use Prices'!$C$6:$AL$89,MATCH($C59,'[1]End - Use Prices'!$A$6:$A$89,0)+MATCH($D59,'[1]End - Use Prices'!$B$9:$B$11,0)-1,MATCH(AJ$1,'[1]End - Use Prices'!$C$7:$AL$7,0))</f>
        <v>27.54</v>
      </c>
      <c r="AK59" s="41">
        <f>INDEX('[1]End - Use Prices'!$C$6:$AL$89,MATCH($C59,'[1]End - Use Prices'!$A$6:$A$89,0)+MATCH($D59,'[1]End - Use Prices'!$B$9:$B$11,0)-1,MATCH(AK$1,'[1]End - Use Prices'!$C$7:$AL$7,0))</f>
        <v>30.62</v>
      </c>
      <c r="AL59" s="41">
        <f>INDEX('[1]End - Use Prices'!$C$6:$AL$89,MATCH($C59,'[1]End - Use Prices'!$A$6:$A$89,0)+MATCH($D59,'[1]End - Use Prices'!$B$9:$B$11,0)-1,MATCH(AL$1,'[1]End - Use Prices'!$C$7:$AL$7,0))</f>
        <v>32.35</v>
      </c>
      <c r="AM59" s="41">
        <f>INDEX('[1]End - Use Prices'!$C$6:$AL$89,MATCH($C59,'[1]End - Use Prices'!$A$6:$A$89,0)+MATCH($D59,'[1]End - Use Prices'!$B$9:$B$11,0)-1,MATCH(AM$1,'[1]End - Use Prices'!$C$7:$AL$7,0))</f>
        <v>36.33</v>
      </c>
      <c r="AN59" s="41">
        <f>INDEX('[1]End - Use Prices'!$C$6:$AL$89,MATCH($C59,'[1]End - Use Prices'!$A$6:$A$89,0)+MATCH($D59,'[1]End - Use Prices'!$B$9:$B$11,0)-1,MATCH(AN$1,'[1]End - Use Prices'!$C$7:$AL$7,0))</f>
        <v>33.229999999999997</v>
      </c>
      <c r="AO59" s="41">
        <f>INDEX('[1]End - Use Prices'!$C$6:$AL$89,MATCH($C59,'[1]End - Use Prices'!$A$6:$A$89,0)+MATCH($D59,'[1]End - Use Prices'!$B$9:$B$11,0)-1,MATCH(AO$1,'[1]End - Use Prices'!$C$7:$AL$7,0))</f>
        <v>31.15</v>
      </c>
      <c r="AP59" s="41">
        <f>INDEX('[1]End - Use Prices'!$C$6:$AL$89,MATCH($C59,'[1]End - Use Prices'!$A$6:$A$89,0)+MATCH($D59,'[1]End - Use Prices'!$B$9:$B$11,0)-1,MATCH(AP$1,'[1]End - Use Prices'!$C$7:$AL$7,0))</f>
        <v>31.62</v>
      </c>
      <c r="AQ59" s="41">
        <f>INDEX('[1]End - Use Prices'!$C$6:$AL$89,MATCH($C59,'[1]End - Use Prices'!$A$6:$A$89,0)+MATCH($D59,'[1]End - Use Prices'!$B$9:$B$11,0)-1,MATCH(AQ$1,'[1]End - Use Prices'!$C$7:$AL$7,0))</f>
        <v>31.44</v>
      </c>
      <c r="AR59" s="41">
        <f>INDEX('[1]End - Use Prices'!$C$6:$AL$89,MATCH($C59,'[1]End - Use Prices'!$A$6:$A$89,0)+MATCH($D59,'[1]End - Use Prices'!$B$9:$B$11,0)-1,MATCH(AR$1,'[1]End - Use Prices'!$C$7:$AL$7,0))</f>
        <v>31.48</v>
      </c>
      <c r="AS59" s="41">
        <f>INDEX('[1]End - Use Prices'!$C$6:$AL$89,MATCH($C59,'[1]End - Use Prices'!$A$6:$A$89,0)+MATCH($D59,'[1]End - Use Prices'!$B$9:$B$11,0)-1,MATCH(AS$1,'[1]End - Use Prices'!$C$7:$AL$7,0))</f>
        <v>31.46</v>
      </c>
      <c r="AT59" s="41">
        <f>INDEX('[1]End - Use Prices'!$C$6:$AL$89,MATCH($C59,'[1]End - Use Prices'!$A$6:$A$89,0)+MATCH($D59,'[1]End - Use Prices'!$B$9:$B$11,0)-1,MATCH(AT$1,'[1]End - Use Prices'!$C$7:$AL$7,0))</f>
        <v>31.36</v>
      </c>
      <c r="AU59" s="41">
        <f>INDEX('[1]End - Use Prices'!$C$6:$AL$89,MATCH($C59,'[1]End - Use Prices'!$A$6:$A$89,0)+MATCH($D59,'[1]End - Use Prices'!$B$9:$B$11,0)-1,MATCH(AU$1,'[1]End - Use Prices'!$C$7:$AL$7,0))</f>
        <v>31.2</v>
      </c>
      <c r="AV59" s="41">
        <f>INDEX('[1]End - Use Prices'!$C$6:$AL$89,MATCH($C59,'[1]End - Use Prices'!$A$6:$A$89,0)+MATCH($D59,'[1]End - Use Prices'!$B$9:$B$11,0)-1,MATCH(AV$1,'[1]End - Use Prices'!$C$7:$AL$7,0))</f>
        <v>31.09</v>
      </c>
      <c r="AW59" s="41">
        <f>INDEX('[1]End - Use Prices'!$C$6:$AL$89,MATCH($C59,'[1]End - Use Prices'!$A$6:$A$89,0)+MATCH($D59,'[1]End - Use Prices'!$B$9:$B$11,0)-1,MATCH(AW$1,'[1]End - Use Prices'!$C$7:$AL$7,0))</f>
        <v>30.97</v>
      </c>
      <c r="AX59" s="41">
        <f>INDEX('[1]End - Use Prices'!$C$6:$AL$89,MATCH($C59,'[1]End - Use Prices'!$A$6:$A$89,0)+MATCH($D59,'[1]End - Use Prices'!$B$9:$B$11,0)-1,MATCH(AX$1,'[1]End - Use Prices'!$C$7:$AL$7,0))</f>
        <v>30.91</v>
      </c>
      <c r="AY59" s="41">
        <f>INDEX('[1]End - Use Prices'!$C$6:$AL$89,MATCH($C59,'[1]End - Use Prices'!$A$6:$A$89,0)+MATCH($D59,'[1]End - Use Prices'!$B$9:$B$11,0)-1,MATCH(AY$1,'[1]End - Use Prices'!$C$7:$AL$7,0))</f>
        <v>30.89</v>
      </c>
      <c r="AZ59" s="41">
        <f>INDEX('[1]End - Use Prices'!$C$6:$AL$89,MATCH($C59,'[1]End - Use Prices'!$A$6:$A$89,0)+MATCH($D59,'[1]End - Use Prices'!$B$9:$B$11,0)-1,MATCH(AZ$1,'[1]End - Use Prices'!$C$7:$AL$7,0))</f>
        <v>30.9</v>
      </c>
      <c r="BA59" s="41">
        <f>INDEX('[1]End - Use Prices'!$C$6:$AL$89,MATCH($C59,'[1]End - Use Prices'!$A$6:$A$89,0)+MATCH($D59,'[1]End - Use Prices'!$B$9:$B$11,0)-1,MATCH(BA$1,'[1]End - Use Prices'!$C$7:$AL$7,0))</f>
        <v>30.94</v>
      </c>
      <c r="BB59" s="41">
        <f>INDEX('[1]End - Use Prices'!$C$6:$AL$89,MATCH($C59,'[1]End - Use Prices'!$A$6:$A$89,0)+MATCH($D59,'[1]End - Use Prices'!$B$9:$B$11,0)-1,MATCH(BB$1,'[1]End - Use Prices'!$C$7:$AL$7,0))</f>
        <v>30.96</v>
      </c>
      <c r="BC59" s="41">
        <f>INDEX('[1]End - Use Prices'!$C$6:$AL$89,MATCH($C59,'[1]End - Use Prices'!$A$6:$A$89,0)+MATCH($D59,'[1]End - Use Prices'!$B$9:$B$11,0)-1,MATCH(BC$1,'[1]End - Use Prices'!$C$7:$AL$7,0))</f>
        <v>30.97</v>
      </c>
      <c r="BD59" s="41">
        <f>INDEX('[1]End - Use Prices'!$C$6:$AL$89,MATCH($C59,'[1]End - Use Prices'!$A$6:$A$89,0)+MATCH($D59,'[1]End - Use Prices'!$B$9:$B$11,0)-1,MATCH(BD$1,'[1]End - Use Prices'!$C$7:$AL$7,0))</f>
        <v>30.96</v>
      </c>
      <c r="BE59" s="41">
        <f>INDEX('[1]End - Use Prices'!$C$6:$AL$89,MATCH($C59,'[1]End - Use Prices'!$A$6:$A$89,0)+MATCH($D59,'[1]End - Use Prices'!$B$9:$B$11,0)-1,MATCH(BE$1,'[1]End - Use Prices'!$C$7:$AL$7,0))</f>
        <v>30.91</v>
      </c>
      <c r="BF59" s="41">
        <f>INDEX('[1]End - Use Prices'!$C$6:$AL$89,MATCH($C59,'[1]End - Use Prices'!$A$6:$A$89,0)+MATCH($D59,'[1]End - Use Prices'!$B$9:$B$11,0)-1,MATCH(BF$1,'[1]End - Use Prices'!$C$7:$AL$7,0))</f>
        <v>30.87</v>
      </c>
      <c r="BG59" s="41">
        <f>INDEX('[1]End - Use Prices'!$C$6:$AL$89,MATCH($C59,'[1]End - Use Prices'!$A$6:$A$89,0)+MATCH($D59,'[1]End - Use Prices'!$B$9:$B$11,0)-1,MATCH(BG$1,'[1]End - Use Prices'!$C$7:$AL$7,0))</f>
        <v>30.82</v>
      </c>
      <c r="BR59" s="39"/>
      <c r="BS59" s="39"/>
      <c r="BT59" s="39"/>
      <c r="BU59" s="39"/>
      <c r="BV59" s="39"/>
      <c r="BW59" s="39"/>
      <c r="BX59" s="39"/>
      <c r="BY59" s="39"/>
      <c r="BZ59" s="39"/>
      <c r="CA59" s="39"/>
    </row>
    <row r="60" spans="1:79" s="39" customFormat="1" x14ac:dyDescent="0.25">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x14ac:dyDescent="0.25">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x14ac:dyDescent="0.25">
      <c r="A62" s="5"/>
      <c r="B62" s="71" t="s">
        <v>58</v>
      </c>
      <c r="C62" s="25" t="s">
        <v>48</v>
      </c>
      <c r="D62" s="25" t="s">
        <v>2</v>
      </c>
      <c r="E62" s="25" t="s">
        <v>313</v>
      </c>
      <c r="F62" s="74" t="s">
        <v>310</v>
      </c>
      <c r="G62" s="54">
        <f t="shared" ref="G62:G103" si="54">H62</f>
        <v>28.95</v>
      </c>
      <c r="H62" s="34">
        <f t="shared" ref="H62:O77" si="55">INDEX($S62:$CA62,MATCH(H$1,$S$1:$CA$1,0))</f>
        <v>28.95</v>
      </c>
      <c r="I62" s="34">
        <f t="shared" si="55"/>
        <v>31.32</v>
      </c>
      <c r="J62" s="34">
        <f t="shared" si="55"/>
        <v>34.979999999999997</v>
      </c>
      <c r="K62" s="34">
        <f t="shared" si="55"/>
        <v>38.72</v>
      </c>
      <c r="L62" s="34">
        <f t="shared" si="55"/>
        <v>40.39</v>
      </c>
      <c r="M62" s="34">
        <f t="shared" si="55"/>
        <v>42.26</v>
      </c>
      <c r="N62" s="34">
        <f t="shared" si="55"/>
        <v>43.98</v>
      </c>
      <c r="O62" s="34">
        <f t="shared" si="55"/>
        <v>45.58</v>
      </c>
      <c r="P62" s="54">
        <f t="shared" ref="P62:Q62" si="56">O62</f>
        <v>45.58</v>
      </c>
      <c r="Q62" s="54">
        <f t="shared" si="56"/>
        <v>45.58</v>
      </c>
      <c r="R62" s="38"/>
      <c r="X62" s="41">
        <f>INDEX('[1]End - Use Prices'!$C$6:$AL$89,MATCH($C62,'[1]End - Use Prices'!$A$6:$A$89,0)+MATCH($D62,'[1]End - Use Prices'!$B$9:$B$11,0)-1,MATCH(X$1,'[1]End - Use Prices'!$C$7:$AL$7,0))</f>
        <v>28.95</v>
      </c>
      <c r="Y62" s="41">
        <f>INDEX('[1]End - Use Prices'!$C$6:$AL$89,MATCH($C62,'[1]End - Use Prices'!$A$6:$A$89,0)+MATCH($D62,'[1]End - Use Prices'!$B$9:$B$11,0)-1,MATCH(Y$1,'[1]End - Use Prices'!$C$7:$AL$7,0))</f>
        <v>32.35</v>
      </c>
      <c r="Z62" s="41">
        <f>INDEX('[1]End - Use Prices'!$C$6:$AL$89,MATCH($C62,'[1]End - Use Prices'!$A$6:$A$89,0)+MATCH($D62,'[1]End - Use Prices'!$B$9:$B$11,0)-1,MATCH(Z$1,'[1]End - Use Prices'!$C$7:$AL$7,0))</f>
        <v>31.56</v>
      </c>
      <c r="AA62" s="41">
        <f>INDEX('[1]End - Use Prices'!$C$6:$AL$89,MATCH($C62,'[1]End - Use Prices'!$A$6:$A$89,0)+MATCH($D62,'[1]End - Use Prices'!$B$9:$B$11,0)-1,MATCH(AA$1,'[1]End - Use Prices'!$C$7:$AL$7,0))</f>
        <v>30.57</v>
      </c>
      <c r="AB62" s="41">
        <f>INDEX('[1]End - Use Prices'!$C$6:$AL$89,MATCH($C62,'[1]End - Use Prices'!$A$6:$A$89,0)+MATCH($D62,'[1]End - Use Prices'!$B$9:$B$11,0)-1,MATCH(AB$1,'[1]End - Use Prices'!$C$7:$AL$7,0))</f>
        <v>31.64</v>
      </c>
      <c r="AC62" s="41">
        <f>INDEX('[1]End - Use Prices'!$C$6:$AL$89,MATCH($C62,'[1]End - Use Prices'!$A$6:$A$89,0)+MATCH($D62,'[1]End - Use Prices'!$B$9:$B$11,0)-1,MATCH(AC$1,'[1]End - Use Prices'!$C$7:$AL$7,0))</f>
        <v>31.32</v>
      </c>
      <c r="AD62" s="41">
        <f>INDEX('[1]End - Use Prices'!$C$6:$AL$89,MATCH($C62,'[1]End - Use Prices'!$A$6:$A$89,0)+MATCH($D62,'[1]End - Use Prices'!$B$9:$B$11,0)-1,MATCH(AD$1,'[1]End - Use Prices'!$C$7:$AL$7,0))</f>
        <v>32.659999999999997</v>
      </c>
      <c r="AE62" s="41">
        <f>INDEX('[1]End - Use Prices'!$C$6:$AL$89,MATCH($C62,'[1]End - Use Prices'!$A$6:$A$89,0)+MATCH($D62,'[1]End - Use Prices'!$B$9:$B$11,0)-1,MATCH(AE$1,'[1]End - Use Prices'!$C$7:$AL$7,0))</f>
        <v>32.83</v>
      </c>
      <c r="AF62" s="41">
        <f>INDEX('[1]End - Use Prices'!$C$6:$AL$89,MATCH($C62,'[1]End - Use Prices'!$A$6:$A$89,0)+MATCH($D62,'[1]End - Use Prices'!$B$9:$B$11,0)-1,MATCH(AF$1,'[1]End - Use Prices'!$C$7:$AL$7,0))</f>
        <v>32.92</v>
      </c>
      <c r="AG62" s="41">
        <f>INDEX('[1]End - Use Prices'!$C$6:$AL$89,MATCH($C62,'[1]End - Use Prices'!$A$6:$A$89,0)+MATCH($D62,'[1]End - Use Prices'!$B$9:$B$11,0)-1,MATCH(AG$1,'[1]End - Use Prices'!$C$7:$AL$7,0))</f>
        <v>33.6</v>
      </c>
      <c r="AH62" s="41">
        <f>INDEX('[1]End - Use Prices'!$C$6:$AL$89,MATCH($C62,'[1]End - Use Prices'!$A$6:$A$89,0)+MATCH($D62,'[1]End - Use Prices'!$B$9:$B$11,0)-1,MATCH(AH$1,'[1]End - Use Prices'!$C$7:$AL$7,0))</f>
        <v>34.979999999999997</v>
      </c>
      <c r="AI62" s="41">
        <f>INDEX('[1]End - Use Prices'!$C$6:$AL$89,MATCH($C62,'[1]End - Use Prices'!$A$6:$A$89,0)+MATCH($D62,'[1]End - Use Prices'!$B$9:$B$11,0)-1,MATCH(AI$1,'[1]End - Use Prices'!$C$7:$AL$7,0))</f>
        <v>37.61</v>
      </c>
      <c r="AJ62" s="41">
        <f>INDEX('[1]End - Use Prices'!$C$6:$AL$89,MATCH($C62,'[1]End - Use Prices'!$A$6:$A$89,0)+MATCH($D62,'[1]End - Use Prices'!$B$9:$B$11,0)-1,MATCH(AJ$1,'[1]End - Use Prices'!$C$7:$AL$7,0))</f>
        <v>37.65</v>
      </c>
      <c r="AK62" s="41">
        <f>INDEX('[1]End - Use Prices'!$C$6:$AL$89,MATCH($C62,'[1]End - Use Prices'!$A$6:$A$89,0)+MATCH($D62,'[1]End - Use Prices'!$B$9:$B$11,0)-1,MATCH(AK$1,'[1]End - Use Prices'!$C$7:$AL$7,0))</f>
        <v>38.03</v>
      </c>
      <c r="AL62" s="41">
        <f>INDEX('[1]End - Use Prices'!$C$6:$AL$89,MATCH($C62,'[1]End - Use Prices'!$A$6:$A$89,0)+MATCH($D62,'[1]End - Use Prices'!$B$9:$B$11,0)-1,MATCH(AL$1,'[1]End - Use Prices'!$C$7:$AL$7,0))</f>
        <v>38.380000000000003</v>
      </c>
      <c r="AM62" s="41">
        <f>INDEX('[1]End - Use Prices'!$C$6:$AL$89,MATCH($C62,'[1]End - Use Prices'!$A$6:$A$89,0)+MATCH($D62,'[1]End - Use Prices'!$B$9:$B$11,0)-1,MATCH(AM$1,'[1]End - Use Prices'!$C$7:$AL$7,0))</f>
        <v>38.72</v>
      </c>
      <c r="AN62" s="41">
        <f>INDEX('[1]End - Use Prices'!$C$6:$AL$89,MATCH($C62,'[1]End - Use Prices'!$A$6:$A$89,0)+MATCH($D62,'[1]End - Use Prices'!$B$9:$B$11,0)-1,MATCH(AN$1,'[1]End - Use Prices'!$C$7:$AL$7,0))</f>
        <v>39.04</v>
      </c>
      <c r="AO62" s="41">
        <f>INDEX('[1]End - Use Prices'!$C$6:$AL$89,MATCH($C62,'[1]End - Use Prices'!$A$6:$A$89,0)+MATCH($D62,'[1]End - Use Prices'!$B$9:$B$11,0)-1,MATCH(AO$1,'[1]End - Use Prices'!$C$7:$AL$7,0))</f>
        <v>39.36</v>
      </c>
      <c r="AP62" s="41">
        <f>INDEX('[1]End - Use Prices'!$C$6:$AL$89,MATCH($C62,'[1]End - Use Prices'!$A$6:$A$89,0)+MATCH($D62,'[1]End - Use Prices'!$B$9:$B$11,0)-1,MATCH(AP$1,'[1]End - Use Prices'!$C$7:$AL$7,0))</f>
        <v>39.69</v>
      </c>
      <c r="AQ62" s="41">
        <f>INDEX('[1]End - Use Prices'!$C$6:$AL$89,MATCH($C62,'[1]End - Use Prices'!$A$6:$A$89,0)+MATCH($D62,'[1]End - Use Prices'!$B$9:$B$11,0)-1,MATCH(AQ$1,'[1]End - Use Prices'!$C$7:$AL$7,0))</f>
        <v>40.020000000000003</v>
      </c>
      <c r="AR62" s="41">
        <f>INDEX('[1]End - Use Prices'!$C$6:$AL$89,MATCH($C62,'[1]End - Use Prices'!$A$6:$A$89,0)+MATCH($D62,'[1]End - Use Prices'!$B$9:$B$11,0)-1,MATCH(AR$1,'[1]End - Use Prices'!$C$7:$AL$7,0))</f>
        <v>40.39</v>
      </c>
      <c r="AS62" s="41">
        <f>INDEX('[1]End - Use Prices'!$C$6:$AL$89,MATCH($C62,'[1]End - Use Prices'!$A$6:$A$89,0)+MATCH($D62,'[1]End - Use Prices'!$B$9:$B$11,0)-1,MATCH(AS$1,'[1]End - Use Prices'!$C$7:$AL$7,0))</f>
        <v>40.74</v>
      </c>
      <c r="AT62" s="41">
        <f>INDEX('[1]End - Use Prices'!$C$6:$AL$89,MATCH($C62,'[1]End - Use Prices'!$A$6:$A$89,0)+MATCH($D62,'[1]End - Use Prices'!$B$9:$B$11,0)-1,MATCH(AT$1,'[1]End - Use Prices'!$C$7:$AL$7,0))</f>
        <v>41.1</v>
      </c>
      <c r="AU62" s="41">
        <f>INDEX('[1]End - Use Prices'!$C$6:$AL$89,MATCH($C62,'[1]End - Use Prices'!$A$6:$A$89,0)+MATCH($D62,'[1]End - Use Prices'!$B$9:$B$11,0)-1,MATCH(AU$1,'[1]End - Use Prices'!$C$7:$AL$7,0))</f>
        <v>41.49</v>
      </c>
      <c r="AV62" s="41">
        <f>INDEX('[1]End - Use Prices'!$C$6:$AL$89,MATCH($C62,'[1]End - Use Prices'!$A$6:$A$89,0)+MATCH($D62,'[1]End - Use Prices'!$B$9:$B$11,0)-1,MATCH(AV$1,'[1]End - Use Prices'!$C$7:$AL$7,0))</f>
        <v>41.88</v>
      </c>
      <c r="AW62" s="41">
        <f>INDEX('[1]End - Use Prices'!$C$6:$AL$89,MATCH($C62,'[1]End - Use Prices'!$A$6:$A$89,0)+MATCH($D62,'[1]End - Use Prices'!$B$9:$B$11,0)-1,MATCH(AW$1,'[1]End - Use Prices'!$C$7:$AL$7,0))</f>
        <v>42.26</v>
      </c>
      <c r="AX62" s="41">
        <f>INDEX('[1]End - Use Prices'!$C$6:$AL$89,MATCH($C62,'[1]End - Use Prices'!$A$6:$A$89,0)+MATCH($D62,'[1]End - Use Prices'!$B$9:$B$11,0)-1,MATCH(AX$1,'[1]End - Use Prices'!$C$7:$AL$7,0))</f>
        <v>42.62</v>
      </c>
      <c r="AY62" s="41">
        <f>INDEX('[1]End - Use Prices'!$C$6:$AL$89,MATCH($C62,'[1]End - Use Prices'!$A$6:$A$89,0)+MATCH($D62,'[1]End - Use Prices'!$B$9:$B$11,0)-1,MATCH(AY$1,'[1]End - Use Prices'!$C$7:$AL$7,0))</f>
        <v>42.97</v>
      </c>
      <c r="AZ62" s="41">
        <f>INDEX('[1]End - Use Prices'!$C$6:$AL$89,MATCH($C62,'[1]End - Use Prices'!$A$6:$A$89,0)+MATCH($D62,'[1]End - Use Prices'!$B$9:$B$11,0)-1,MATCH(AZ$1,'[1]End - Use Prices'!$C$7:$AL$7,0))</f>
        <v>43.31</v>
      </c>
      <c r="BA62" s="41">
        <f>INDEX('[1]End - Use Prices'!$C$6:$AL$89,MATCH($C62,'[1]End - Use Prices'!$A$6:$A$89,0)+MATCH($D62,'[1]End - Use Prices'!$B$9:$B$11,0)-1,MATCH(BA$1,'[1]End - Use Prices'!$C$7:$AL$7,0))</f>
        <v>43.65</v>
      </c>
      <c r="BB62" s="41">
        <f>INDEX('[1]End - Use Prices'!$C$6:$AL$89,MATCH($C62,'[1]End - Use Prices'!$A$6:$A$89,0)+MATCH($D62,'[1]End - Use Prices'!$B$9:$B$11,0)-1,MATCH(BB$1,'[1]End - Use Prices'!$C$7:$AL$7,0))</f>
        <v>43.98</v>
      </c>
      <c r="BC62" s="41">
        <f>INDEX('[1]End - Use Prices'!$C$6:$AL$89,MATCH($C62,'[1]End - Use Prices'!$A$6:$A$89,0)+MATCH($D62,'[1]End - Use Prices'!$B$9:$B$11,0)-1,MATCH(BC$1,'[1]End - Use Prices'!$C$7:$AL$7,0))</f>
        <v>44.31</v>
      </c>
      <c r="BD62" s="41">
        <f>INDEX('[1]End - Use Prices'!$C$6:$AL$89,MATCH($C62,'[1]End - Use Prices'!$A$6:$A$89,0)+MATCH($D62,'[1]End - Use Prices'!$B$9:$B$11,0)-1,MATCH(BD$1,'[1]End - Use Prices'!$C$7:$AL$7,0))</f>
        <v>44.63</v>
      </c>
      <c r="BE62" s="41">
        <f>INDEX('[1]End - Use Prices'!$C$6:$AL$89,MATCH($C62,'[1]End - Use Prices'!$A$6:$A$89,0)+MATCH($D62,'[1]End - Use Prices'!$B$9:$B$11,0)-1,MATCH(BE$1,'[1]End - Use Prices'!$C$7:$AL$7,0))</f>
        <v>44.95</v>
      </c>
      <c r="BF62" s="41">
        <f>INDEX('[1]End - Use Prices'!$C$6:$AL$89,MATCH($C62,'[1]End - Use Prices'!$A$6:$A$89,0)+MATCH($D62,'[1]End - Use Prices'!$B$9:$B$11,0)-1,MATCH(BF$1,'[1]End - Use Prices'!$C$7:$AL$7,0))</f>
        <v>45.27</v>
      </c>
      <c r="BG62" s="41">
        <f>INDEX('[1]End - Use Prices'!$C$6:$AL$89,MATCH($C62,'[1]End - Use Prices'!$A$6:$A$89,0)+MATCH($D62,'[1]End - Use Prices'!$B$9:$B$11,0)-1,MATCH(BG$1,'[1]End - Use Prices'!$C$7:$AL$7,0))</f>
        <v>45.58</v>
      </c>
      <c r="BR62" s="39"/>
      <c r="BS62" s="39"/>
      <c r="BT62" s="39"/>
      <c r="BU62" s="39"/>
      <c r="BV62" s="39"/>
      <c r="BW62" s="39"/>
      <c r="BX62" s="39"/>
      <c r="BY62" s="39"/>
      <c r="BZ62" s="39"/>
      <c r="CA62" s="39"/>
    </row>
    <row r="63" spans="1:79" x14ac:dyDescent="0.25">
      <c r="A63" s="5"/>
      <c r="B63" s="3"/>
      <c r="C63" s="25" t="s">
        <v>87</v>
      </c>
      <c r="D63" s="25" t="s">
        <v>2</v>
      </c>
      <c r="E63" s="25" t="s">
        <v>313</v>
      </c>
      <c r="F63" s="74" t="s">
        <v>310</v>
      </c>
      <c r="G63" s="54">
        <f t="shared" si="54"/>
        <v>34.03</v>
      </c>
      <c r="H63" s="34">
        <f t="shared" si="55"/>
        <v>34.03</v>
      </c>
      <c r="I63" s="34">
        <f t="shared" si="55"/>
        <v>38.9</v>
      </c>
      <c r="J63" s="34">
        <f t="shared" si="55"/>
        <v>39.4</v>
      </c>
      <c r="K63" s="34">
        <f t="shared" si="55"/>
        <v>45.24</v>
      </c>
      <c r="L63" s="34">
        <f t="shared" si="55"/>
        <v>48</v>
      </c>
      <c r="M63" s="34">
        <f t="shared" si="55"/>
        <v>50.03</v>
      </c>
      <c r="N63" s="34">
        <f t="shared" si="55"/>
        <v>52.14</v>
      </c>
      <c r="O63" s="34">
        <f t="shared" si="55"/>
        <v>55.17</v>
      </c>
      <c r="P63" s="54">
        <f t="shared" ref="P63:Q63" si="57">O63</f>
        <v>55.17</v>
      </c>
      <c r="Q63" s="54">
        <f t="shared" si="57"/>
        <v>55.17</v>
      </c>
      <c r="R63" s="38"/>
      <c r="X63" s="41">
        <f>INDEX('[1]End - Use Prices'!$C$6:$AL$89,MATCH($C63,'[1]End - Use Prices'!$A$6:$A$89,0)+MATCH($D63,'[1]End - Use Prices'!$B$9:$B$11,0)-1,MATCH(X$1,'[1]End - Use Prices'!$C$7:$AL$7,0))</f>
        <v>34.03</v>
      </c>
      <c r="Y63" s="41">
        <f>INDEX('[1]End - Use Prices'!$C$6:$AL$89,MATCH($C63,'[1]End - Use Prices'!$A$6:$A$89,0)+MATCH($D63,'[1]End - Use Prices'!$B$9:$B$11,0)-1,MATCH(Y$1,'[1]End - Use Prices'!$C$7:$AL$7,0))</f>
        <v>39.85</v>
      </c>
      <c r="Z63" s="41">
        <f>INDEX('[1]End - Use Prices'!$C$6:$AL$89,MATCH($C63,'[1]End - Use Prices'!$A$6:$A$89,0)+MATCH($D63,'[1]End - Use Prices'!$B$9:$B$11,0)-1,MATCH(Z$1,'[1]End - Use Prices'!$C$7:$AL$7,0))</f>
        <v>39.83</v>
      </c>
      <c r="AA63" s="41">
        <f>INDEX('[1]End - Use Prices'!$C$6:$AL$89,MATCH($C63,'[1]End - Use Prices'!$A$6:$A$89,0)+MATCH($D63,'[1]End - Use Prices'!$B$9:$B$11,0)-1,MATCH(AA$1,'[1]End - Use Prices'!$C$7:$AL$7,0))</f>
        <v>37.99</v>
      </c>
      <c r="AB63" s="41">
        <f>INDEX('[1]End - Use Prices'!$C$6:$AL$89,MATCH($C63,'[1]End - Use Prices'!$A$6:$A$89,0)+MATCH($D63,'[1]End - Use Prices'!$B$9:$B$11,0)-1,MATCH(AB$1,'[1]End - Use Prices'!$C$7:$AL$7,0))</f>
        <v>41.07</v>
      </c>
      <c r="AC63" s="41">
        <f>INDEX('[1]End - Use Prices'!$C$6:$AL$89,MATCH($C63,'[1]End - Use Prices'!$A$6:$A$89,0)+MATCH($D63,'[1]End - Use Prices'!$B$9:$B$11,0)-1,MATCH(AC$1,'[1]End - Use Prices'!$C$7:$AL$7,0))</f>
        <v>38.9</v>
      </c>
      <c r="AD63" s="41">
        <f>INDEX('[1]End - Use Prices'!$C$6:$AL$89,MATCH($C63,'[1]End - Use Prices'!$A$6:$A$89,0)+MATCH($D63,'[1]End - Use Prices'!$B$9:$B$11,0)-1,MATCH(AD$1,'[1]End - Use Prices'!$C$7:$AL$7,0))</f>
        <v>38.54</v>
      </c>
      <c r="AE63" s="41">
        <f>INDEX('[1]End - Use Prices'!$C$6:$AL$89,MATCH($C63,'[1]End - Use Prices'!$A$6:$A$89,0)+MATCH($D63,'[1]End - Use Prices'!$B$9:$B$11,0)-1,MATCH(AE$1,'[1]End - Use Prices'!$C$7:$AL$7,0))</f>
        <v>40.909999999999997</v>
      </c>
      <c r="AF63" s="41">
        <f>INDEX('[1]End - Use Prices'!$C$6:$AL$89,MATCH($C63,'[1]End - Use Prices'!$A$6:$A$89,0)+MATCH($D63,'[1]End - Use Prices'!$B$9:$B$11,0)-1,MATCH(AF$1,'[1]End - Use Prices'!$C$7:$AL$7,0))</f>
        <v>39.76</v>
      </c>
      <c r="AG63" s="41">
        <f>INDEX('[1]End - Use Prices'!$C$6:$AL$89,MATCH($C63,'[1]End - Use Prices'!$A$6:$A$89,0)+MATCH($D63,'[1]End - Use Prices'!$B$9:$B$11,0)-1,MATCH(AG$1,'[1]End - Use Prices'!$C$7:$AL$7,0))</f>
        <v>38.340000000000003</v>
      </c>
      <c r="AH63" s="41">
        <f>INDEX('[1]End - Use Prices'!$C$6:$AL$89,MATCH($C63,'[1]End - Use Prices'!$A$6:$A$89,0)+MATCH($D63,'[1]End - Use Prices'!$B$9:$B$11,0)-1,MATCH(AH$1,'[1]End - Use Prices'!$C$7:$AL$7,0))</f>
        <v>39.4</v>
      </c>
      <c r="AI63" s="41">
        <f>INDEX('[1]End - Use Prices'!$C$6:$AL$89,MATCH($C63,'[1]End - Use Prices'!$A$6:$A$89,0)+MATCH($D63,'[1]End - Use Prices'!$B$9:$B$11,0)-1,MATCH(AI$1,'[1]End - Use Prices'!$C$7:$AL$7,0))</f>
        <v>40.49</v>
      </c>
      <c r="AJ63" s="41">
        <f>INDEX('[1]End - Use Prices'!$C$6:$AL$89,MATCH($C63,'[1]End - Use Prices'!$A$6:$A$89,0)+MATCH($D63,'[1]End - Use Prices'!$B$9:$B$11,0)-1,MATCH(AJ$1,'[1]End - Use Prices'!$C$7:$AL$7,0))</f>
        <v>42.88</v>
      </c>
      <c r="AK63" s="41">
        <f>INDEX('[1]End - Use Prices'!$C$6:$AL$89,MATCH($C63,'[1]End - Use Prices'!$A$6:$A$89,0)+MATCH($D63,'[1]End - Use Prices'!$B$9:$B$11,0)-1,MATCH(AK$1,'[1]End - Use Prices'!$C$7:$AL$7,0))</f>
        <v>43.74</v>
      </c>
      <c r="AL63" s="41">
        <f>INDEX('[1]End - Use Prices'!$C$6:$AL$89,MATCH($C63,'[1]End - Use Prices'!$A$6:$A$89,0)+MATCH($D63,'[1]End - Use Prices'!$B$9:$B$11,0)-1,MATCH(AL$1,'[1]End - Use Prices'!$C$7:$AL$7,0))</f>
        <v>44.52</v>
      </c>
      <c r="AM63" s="41">
        <f>INDEX('[1]End - Use Prices'!$C$6:$AL$89,MATCH($C63,'[1]End - Use Prices'!$A$6:$A$89,0)+MATCH($D63,'[1]End - Use Prices'!$B$9:$B$11,0)-1,MATCH(AM$1,'[1]End - Use Prices'!$C$7:$AL$7,0))</f>
        <v>45.24</v>
      </c>
      <c r="AN63" s="41">
        <f>INDEX('[1]End - Use Prices'!$C$6:$AL$89,MATCH($C63,'[1]End - Use Prices'!$A$6:$A$89,0)+MATCH($D63,'[1]End - Use Prices'!$B$9:$B$11,0)-1,MATCH(AN$1,'[1]End - Use Prices'!$C$7:$AL$7,0))</f>
        <v>45.89</v>
      </c>
      <c r="AO63" s="41">
        <f>INDEX('[1]End - Use Prices'!$C$6:$AL$89,MATCH($C63,'[1]End - Use Prices'!$A$6:$A$89,0)+MATCH($D63,'[1]End - Use Prices'!$B$9:$B$11,0)-1,MATCH(AO$1,'[1]End - Use Prices'!$C$7:$AL$7,0))</f>
        <v>46.48</v>
      </c>
      <c r="AP63" s="41">
        <f>INDEX('[1]End - Use Prices'!$C$6:$AL$89,MATCH($C63,'[1]End - Use Prices'!$A$6:$A$89,0)+MATCH($D63,'[1]End - Use Prices'!$B$9:$B$11,0)-1,MATCH(AP$1,'[1]End - Use Prices'!$C$7:$AL$7,0))</f>
        <v>47.03</v>
      </c>
      <c r="AQ63" s="41">
        <f>INDEX('[1]End - Use Prices'!$C$6:$AL$89,MATCH($C63,'[1]End - Use Prices'!$A$6:$A$89,0)+MATCH($D63,'[1]End - Use Prices'!$B$9:$B$11,0)-1,MATCH(AQ$1,'[1]End - Use Prices'!$C$7:$AL$7,0))</f>
        <v>47.53</v>
      </c>
      <c r="AR63" s="41">
        <f>INDEX('[1]End - Use Prices'!$C$6:$AL$89,MATCH($C63,'[1]End - Use Prices'!$A$6:$A$89,0)+MATCH($D63,'[1]End - Use Prices'!$B$9:$B$11,0)-1,MATCH(AR$1,'[1]End - Use Prices'!$C$7:$AL$7,0))</f>
        <v>48</v>
      </c>
      <c r="AS63" s="41">
        <f>INDEX('[1]End - Use Prices'!$C$6:$AL$89,MATCH($C63,'[1]End - Use Prices'!$A$6:$A$89,0)+MATCH($D63,'[1]End - Use Prices'!$B$9:$B$11,0)-1,MATCH(AS$1,'[1]End - Use Prices'!$C$7:$AL$7,0))</f>
        <v>48.44</v>
      </c>
      <c r="AT63" s="41">
        <f>INDEX('[1]End - Use Prices'!$C$6:$AL$89,MATCH($C63,'[1]End - Use Prices'!$A$6:$A$89,0)+MATCH($D63,'[1]End - Use Prices'!$B$9:$B$11,0)-1,MATCH(AT$1,'[1]End - Use Prices'!$C$7:$AL$7,0))</f>
        <v>48.85</v>
      </c>
      <c r="AU63" s="41">
        <f>INDEX('[1]End - Use Prices'!$C$6:$AL$89,MATCH($C63,'[1]End - Use Prices'!$A$6:$A$89,0)+MATCH($D63,'[1]End - Use Prices'!$B$9:$B$11,0)-1,MATCH(AU$1,'[1]End - Use Prices'!$C$7:$AL$7,0))</f>
        <v>49.25</v>
      </c>
      <c r="AV63" s="41">
        <f>INDEX('[1]End - Use Prices'!$C$6:$AL$89,MATCH($C63,'[1]End - Use Prices'!$A$6:$A$89,0)+MATCH($D63,'[1]End - Use Prices'!$B$9:$B$11,0)-1,MATCH(AV$1,'[1]End - Use Prices'!$C$7:$AL$7,0))</f>
        <v>49.64</v>
      </c>
      <c r="AW63" s="41">
        <f>INDEX('[1]End - Use Prices'!$C$6:$AL$89,MATCH($C63,'[1]End - Use Prices'!$A$6:$A$89,0)+MATCH($D63,'[1]End - Use Prices'!$B$9:$B$11,0)-1,MATCH(AW$1,'[1]End - Use Prices'!$C$7:$AL$7,0))</f>
        <v>50.03</v>
      </c>
      <c r="AX63" s="41">
        <f>INDEX('[1]End - Use Prices'!$C$6:$AL$89,MATCH($C63,'[1]End - Use Prices'!$A$6:$A$89,0)+MATCH($D63,'[1]End - Use Prices'!$B$9:$B$11,0)-1,MATCH(AX$1,'[1]End - Use Prices'!$C$7:$AL$7,0))</f>
        <v>50.42</v>
      </c>
      <c r="AY63" s="41">
        <f>INDEX('[1]End - Use Prices'!$C$6:$AL$89,MATCH($C63,'[1]End - Use Prices'!$A$6:$A$89,0)+MATCH($D63,'[1]End - Use Prices'!$B$9:$B$11,0)-1,MATCH(AY$1,'[1]End - Use Prices'!$C$7:$AL$7,0))</f>
        <v>50.82</v>
      </c>
      <c r="AZ63" s="41">
        <f>INDEX('[1]End - Use Prices'!$C$6:$AL$89,MATCH($C63,'[1]End - Use Prices'!$A$6:$A$89,0)+MATCH($D63,'[1]End - Use Prices'!$B$9:$B$11,0)-1,MATCH(AZ$1,'[1]End - Use Prices'!$C$7:$AL$7,0))</f>
        <v>51.23</v>
      </c>
      <c r="BA63" s="41">
        <f>INDEX('[1]End - Use Prices'!$C$6:$AL$89,MATCH($C63,'[1]End - Use Prices'!$A$6:$A$89,0)+MATCH($D63,'[1]End - Use Prices'!$B$9:$B$11,0)-1,MATCH(BA$1,'[1]End - Use Prices'!$C$7:$AL$7,0))</f>
        <v>51.67</v>
      </c>
      <c r="BB63" s="41">
        <f>INDEX('[1]End - Use Prices'!$C$6:$AL$89,MATCH($C63,'[1]End - Use Prices'!$A$6:$A$89,0)+MATCH($D63,'[1]End - Use Prices'!$B$9:$B$11,0)-1,MATCH(BB$1,'[1]End - Use Prices'!$C$7:$AL$7,0))</f>
        <v>52.14</v>
      </c>
      <c r="BC63" s="41">
        <f>INDEX('[1]End - Use Prices'!$C$6:$AL$89,MATCH($C63,'[1]End - Use Prices'!$A$6:$A$89,0)+MATCH($D63,'[1]End - Use Prices'!$B$9:$B$11,0)-1,MATCH(BC$1,'[1]End - Use Prices'!$C$7:$AL$7,0))</f>
        <v>52.65</v>
      </c>
      <c r="BD63" s="41">
        <f>INDEX('[1]End - Use Prices'!$C$6:$AL$89,MATCH($C63,'[1]End - Use Prices'!$A$6:$A$89,0)+MATCH($D63,'[1]End - Use Prices'!$B$9:$B$11,0)-1,MATCH(BD$1,'[1]End - Use Prices'!$C$7:$AL$7,0))</f>
        <v>53.2</v>
      </c>
      <c r="BE63" s="41">
        <f>INDEX('[1]End - Use Prices'!$C$6:$AL$89,MATCH($C63,'[1]End - Use Prices'!$A$6:$A$89,0)+MATCH($D63,'[1]End - Use Prices'!$B$9:$B$11,0)-1,MATCH(BE$1,'[1]End - Use Prices'!$C$7:$AL$7,0))</f>
        <v>53.8</v>
      </c>
      <c r="BF63" s="41">
        <f>INDEX('[1]End - Use Prices'!$C$6:$AL$89,MATCH($C63,'[1]End - Use Prices'!$A$6:$A$89,0)+MATCH($D63,'[1]End - Use Prices'!$B$9:$B$11,0)-1,MATCH(BF$1,'[1]End - Use Prices'!$C$7:$AL$7,0))</f>
        <v>54.45</v>
      </c>
      <c r="BG63" s="41">
        <f>INDEX('[1]End - Use Prices'!$C$6:$AL$89,MATCH($C63,'[1]End - Use Prices'!$A$6:$A$89,0)+MATCH($D63,'[1]End - Use Prices'!$B$9:$B$11,0)-1,MATCH(BG$1,'[1]End - Use Prices'!$C$7:$AL$7,0))</f>
        <v>55.17</v>
      </c>
      <c r="BR63" s="39"/>
      <c r="BS63" s="39"/>
      <c r="BT63" s="39"/>
      <c r="BU63" s="39"/>
      <c r="BV63" s="39"/>
      <c r="BW63" s="39"/>
      <c r="BX63" s="39"/>
      <c r="BY63" s="39"/>
      <c r="BZ63" s="39"/>
      <c r="CA63" s="39"/>
    </row>
    <row r="64" spans="1:79" x14ac:dyDescent="0.25">
      <c r="A64" s="5"/>
      <c r="B64" s="3"/>
      <c r="C64" s="25" t="s">
        <v>88</v>
      </c>
      <c r="D64" s="25" t="s">
        <v>2</v>
      </c>
      <c r="E64" s="25" t="s">
        <v>313</v>
      </c>
      <c r="F64" s="74" t="s">
        <v>310</v>
      </c>
      <c r="G64" s="54">
        <f t="shared" si="54"/>
        <v>41.51</v>
      </c>
      <c r="H64" s="34">
        <f t="shared" si="55"/>
        <v>41.51</v>
      </c>
      <c r="I64" s="34">
        <f t="shared" si="55"/>
        <v>50.51</v>
      </c>
      <c r="J64" s="34">
        <f t="shared" si="55"/>
        <v>53.64</v>
      </c>
      <c r="K64" s="34">
        <f t="shared" si="55"/>
        <v>55.52</v>
      </c>
      <c r="L64" s="34">
        <f t="shared" si="55"/>
        <v>56.42</v>
      </c>
      <c r="M64" s="34">
        <f t="shared" si="55"/>
        <v>57.35</v>
      </c>
      <c r="N64" s="34">
        <f t="shared" si="55"/>
        <v>58.28</v>
      </c>
      <c r="O64" s="34">
        <f t="shared" si="55"/>
        <v>59.23</v>
      </c>
      <c r="P64" s="54">
        <f t="shared" ref="P64:Q64" si="58">O64</f>
        <v>59.23</v>
      </c>
      <c r="Q64" s="54">
        <f t="shared" si="58"/>
        <v>59.23</v>
      </c>
      <c r="R64" s="38"/>
      <c r="X64" s="41">
        <f>INDEX('[1]End - Use Prices'!$C$6:$AL$89,MATCH($C64,'[1]End - Use Prices'!$A$6:$A$89,0)+MATCH($D64,'[1]End - Use Prices'!$B$9:$B$11,0)-1,MATCH(X$1,'[1]End - Use Prices'!$C$7:$AL$7,0))</f>
        <v>41.51</v>
      </c>
      <c r="Y64" s="41">
        <f>INDEX('[1]End - Use Prices'!$C$6:$AL$89,MATCH($C64,'[1]End - Use Prices'!$A$6:$A$89,0)+MATCH($D64,'[1]End - Use Prices'!$B$9:$B$11,0)-1,MATCH(Y$1,'[1]End - Use Prices'!$C$7:$AL$7,0))</f>
        <v>42.42</v>
      </c>
      <c r="Z64" s="41">
        <f>INDEX('[1]End - Use Prices'!$C$6:$AL$89,MATCH($C64,'[1]End - Use Prices'!$A$6:$A$89,0)+MATCH($D64,'[1]End - Use Prices'!$B$9:$B$11,0)-1,MATCH(Z$1,'[1]End - Use Prices'!$C$7:$AL$7,0))</f>
        <v>44.58</v>
      </c>
      <c r="AA64" s="41">
        <f>INDEX('[1]End - Use Prices'!$C$6:$AL$89,MATCH($C64,'[1]End - Use Prices'!$A$6:$A$89,0)+MATCH($D64,'[1]End - Use Prices'!$B$9:$B$11,0)-1,MATCH(AA$1,'[1]End - Use Prices'!$C$7:$AL$7,0))</f>
        <v>46.56</v>
      </c>
      <c r="AB64" s="41">
        <f>INDEX('[1]End - Use Prices'!$C$6:$AL$89,MATCH($C64,'[1]End - Use Prices'!$A$6:$A$89,0)+MATCH($D64,'[1]End - Use Prices'!$B$9:$B$11,0)-1,MATCH(AB$1,'[1]End - Use Prices'!$C$7:$AL$7,0))</f>
        <v>55.63</v>
      </c>
      <c r="AC64" s="41">
        <f>INDEX('[1]End - Use Prices'!$C$6:$AL$89,MATCH($C64,'[1]End - Use Prices'!$A$6:$A$89,0)+MATCH($D64,'[1]End - Use Prices'!$B$9:$B$11,0)-1,MATCH(AC$1,'[1]End - Use Prices'!$C$7:$AL$7,0))</f>
        <v>50.51</v>
      </c>
      <c r="AD64" s="41">
        <f>INDEX('[1]End - Use Prices'!$C$6:$AL$89,MATCH($C64,'[1]End - Use Prices'!$A$6:$A$89,0)+MATCH($D64,'[1]End - Use Prices'!$B$9:$B$11,0)-1,MATCH(AD$1,'[1]End - Use Prices'!$C$7:$AL$7,0))</f>
        <v>43.95</v>
      </c>
      <c r="AE64" s="41">
        <f>INDEX('[1]End - Use Prices'!$C$6:$AL$89,MATCH($C64,'[1]End - Use Prices'!$A$6:$A$89,0)+MATCH($D64,'[1]End - Use Prices'!$B$9:$B$11,0)-1,MATCH(AE$1,'[1]End - Use Prices'!$C$7:$AL$7,0))</f>
        <v>43.43</v>
      </c>
      <c r="AF64" s="41">
        <f>INDEX('[1]End - Use Prices'!$C$6:$AL$89,MATCH($C64,'[1]End - Use Prices'!$A$6:$A$89,0)+MATCH($D64,'[1]End - Use Prices'!$B$9:$B$11,0)-1,MATCH(AF$1,'[1]End - Use Prices'!$C$7:$AL$7,0))</f>
        <v>50.61</v>
      </c>
      <c r="AG64" s="41">
        <f>INDEX('[1]End - Use Prices'!$C$6:$AL$89,MATCH($C64,'[1]End - Use Prices'!$A$6:$A$89,0)+MATCH($D64,'[1]End - Use Prices'!$B$9:$B$11,0)-1,MATCH(AG$1,'[1]End - Use Prices'!$C$7:$AL$7,0))</f>
        <v>51.93</v>
      </c>
      <c r="AH64" s="41">
        <f>INDEX('[1]End - Use Prices'!$C$6:$AL$89,MATCH($C64,'[1]End - Use Prices'!$A$6:$A$89,0)+MATCH($D64,'[1]End - Use Prices'!$B$9:$B$11,0)-1,MATCH(AH$1,'[1]End - Use Prices'!$C$7:$AL$7,0))</f>
        <v>53.64</v>
      </c>
      <c r="AI64" s="41">
        <f>INDEX('[1]End - Use Prices'!$C$6:$AL$89,MATCH($C64,'[1]End - Use Prices'!$A$6:$A$89,0)+MATCH($D64,'[1]End - Use Prices'!$B$9:$B$11,0)-1,MATCH(AI$1,'[1]End - Use Prices'!$C$7:$AL$7,0))</f>
        <v>54.8</v>
      </c>
      <c r="AJ64" s="41">
        <f>INDEX('[1]End - Use Prices'!$C$6:$AL$89,MATCH($C64,'[1]End - Use Prices'!$A$6:$A$89,0)+MATCH($D64,'[1]End - Use Prices'!$B$9:$B$11,0)-1,MATCH(AJ$1,'[1]End - Use Prices'!$C$7:$AL$7,0))</f>
        <v>54.98</v>
      </c>
      <c r="AK64" s="41">
        <f>INDEX('[1]End - Use Prices'!$C$6:$AL$89,MATCH($C64,'[1]End - Use Prices'!$A$6:$A$89,0)+MATCH($D64,'[1]End - Use Prices'!$B$9:$B$11,0)-1,MATCH(AK$1,'[1]End - Use Prices'!$C$7:$AL$7,0))</f>
        <v>55.16</v>
      </c>
      <c r="AL64" s="41">
        <f>INDEX('[1]End - Use Prices'!$C$6:$AL$89,MATCH($C64,'[1]End - Use Prices'!$A$6:$A$89,0)+MATCH($D64,'[1]End - Use Prices'!$B$9:$B$11,0)-1,MATCH(AL$1,'[1]End - Use Prices'!$C$7:$AL$7,0))</f>
        <v>55.34</v>
      </c>
      <c r="AM64" s="41">
        <f>INDEX('[1]End - Use Prices'!$C$6:$AL$89,MATCH($C64,'[1]End - Use Prices'!$A$6:$A$89,0)+MATCH($D64,'[1]End - Use Prices'!$B$9:$B$11,0)-1,MATCH(AM$1,'[1]End - Use Prices'!$C$7:$AL$7,0))</f>
        <v>55.52</v>
      </c>
      <c r="AN64" s="41">
        <f>INDEX('[1]End - Use Prices'!$C$6:$AL$89,MATCH($C64,'[1]End - Use Prices'!$A$6:$A$89,0)+MATCH($D64,'[1]End - Use Prices'!$B$9:$B$11,0)-1,MATCH(AN$1,'[1]End - Use Prices'!$C$7:$AL$7,0))</f>
        <v>55.7</v>
      </c>
      <c r="AO64" s="41">
        <f>INDEX('[1]End - Use Prices'!$C$6:$AL$89,MATCH($C64,'[1]End - Use Prices'!$A$6:$A$89,0)+MATCH($D64,'[1]End - Use Prices'!$B$9:$B$11,0)-1,MATCH(AO$1,'[1]End - Use Prices'!$C$7:$AL$7,0))</f>
        <v>55.88</v>
      </c>
      <c r="AP64" s="41">
        <f>INDEX('[1]End - Use Prices'!$C$6:$AL$89,MATCH($C64,'[1]End - Use Prices'!$A$6:$A$89,0)+MATCH($D64,'[1]End - Use Prices'!$B$9:$B$11,0)-1,MATCH(AP$1,'[1]End - Use Prices'!$C$7:$AL$7,0))</f>
        <v>56.06</v>
      </c>
      <c r="AQ64" s="41">
        <f>INDEX('[1]End - Use Prices'!$C$6:$AL$89,MATCH($C64,'[1]End - Use Prices'!$A$6:$A$89,0)+MATCH($D64,'[1]End - Use Prices'!$B$9:$B$11,0)-1,MATCH(AQ$1,'[1]End - Use Prices'!$C$7:$AL$7,0))</f>
        <v>56.24</v>
      </c>
      <c r="AR64" s="41">
        <f>INDEX('[1]End - Use Prices'!$C$6:$AL$89,MATCH($C64,'[1]End - Use Prices'!$A$6:$A$89,0)+MATCH($D64,'[1]End - Use Prices'!$B$9:$B$11,0)-1,MATCH(AR$1,'[1]End - Use Prices'!$C$7:$AL$7,0))</f>
        <v>56.42</v>
      </c>
      <c r="AS64" s="41">
        <f>INDEX('[1]End - Use Prices'!$C$6:$AL$89,MATCH($C64,'[1]End - Use Prices'!$A$6:$A$89,0)+MATCH($D64,'[1]End - Use Prices'!$B$9:$B$11,0)-1,MATCH(AS$1,'[1]End - Use Prices'!$C$7:$AL$7,0))</f>
        <v>56.61</v>
      </c>
      <c r="AT64" s="41">
        <f>INDEX('[1]End - Use Prices'!$C$6:$AL$89,MATCH($C64,'[1]End - Use Prices'!$A$6:$A$89,0)+MATCH($D64,'[1]End - Use Prices'!$B$9:$B$11,0)-1,MATCH(AT$1,'[1]End - Use Prices'!$C$7:$AL$7,0))</f>
        <v>56.79</v>
      </c>
      <c r="AU64" s="41">
        <f>INDEX('[1]End - Use Prices'!$C$6:$AL$89,MATCH($C64,'[1]End - Use Prices'!$A$6:$A$89,0)+MATCH($D64,'[1]End - Use Prices'!$B$9:$B$11,0)-1,MATCH(AU$1,'[1]End - Use Prices'!$C$7:$AL$7,0))</f>
        <v>56.97</v>
      </c>
      <c r="AV64" s="41">
        <f>INDEX('[1]End - Use Prices'!$C$6:$AL$89,MATCH($C64,'[1]End - Use Prices'!$A$6:$A$89,0)+MATCH($D64,'[1]End - Use Prices'!$B$9:$B$11,0)-1,MATCH(AV$1,'[1]End - Use Prices'!$C$7:$AL$7,0))</f>
        <v>57.16</v>
      </c>
      <c r="AW64" s="41">
        <f>INDEX('[1]End - Use Prices'!$C$6:$AL$89,MATCH($C64,'[1]End - Use Prices'!$A$6:$A$89,0)+MATCH($D64,'[1]End - Use Prices'!$B$9:$B$11,0)-1,MATCH(AW$1,'[1]End - Use Prices'!$C$7:$AL$7,0))</f>
        <v>57.35</v>
      </c>
      <c r="AX64" s="41">
        <f>INDEX('[1]End - Use Prices'!$C$6:$AL$89,MATCH($C64,'[1]End - Use Prices'!$A$6:$A$89,0)+MATCH($D64,'[1]End - Use Prices'!$B$9:$B$11,0)-1,MATCH(AX$1,'[1]End - Use Prices'!$C$7:$AL$7,0))</f>
        <v>57.53</v>
      </c>
      <c r="AY64" s="41">
        <f>INDEX('[1]End - Use Prices'!$C$6:$AL$89,MATCH($C64,'[1]End - Use Prices'!$A$6:$A$89,0)+MATCH($D64,'[1]End - Use Prices'!$B$9:$B$11,0)-1,MATCH(AY$1,'[1]End - Use Prices'!$C$7:$AL$7,0))</f>
        <v>57.72</v>
      </c>
      <c r="AZ64" s="41">
        <f>INDEX('[1]End - Use Prices'!$C$6:$AL$89,MATCH($C64,'[1]End - Use Prices'!$A$6:$A$89,0)+MATCH($D64,'[1]End - Use Prices'!$B$9:$B$11,0)-1,MATCH(AZ$1,'[1]End - Use Prices'!$C$7:$AL$7,0))</f>
        <v>57.91</v>
      </c>
      <c r="BA64" s="41">
        <f>INDEX('[1]End - Use Prices'!$C$6:$AL$89,MATCH($C64,'[1]End - Use Prices'!$A$6:$A$89,0)+MATCH($D64,'[1]End - Use Prices'!$B$9:$B$11,0)-1,MATCH(BA$1,'[1]End - Use Prices'!$C$7:$AL$7,0))</f>
        <v>58.09</v>
      </c>
      <c r="BB64" s="41">
        <f>INDEX('[1]End - Use Prices'!$C$6:$AL$89,MATCH($C64,'[1]End - Use Prices'!$A$6:$A$89,0)+MATCH($D64,'[1]End - Use Prices'!$B$9:$B$11,0)-1,MATCH(BB$1,'[1]End - Use Prices'!$C$7:$AL$7,0))</f>
        <v>58.28</v>
      </c>
      <c r="BC64" s="41">
        <f>INDEX('[1]End - Use Prices'!$C$6:$AL$89,MATCH($C64,'[1]End - Use Prices'!$A$6:$A$89,0)+MATCH($D64,'[1]End - Use Prices'!$B$9:$B$11,0)-1,MATCH(BC$1,'[1]End - Use Prices'!$C$7:$AL$7,0))</f>
        <v>58.47</v>
      </c>
      <c r="BD64" s="41">
        <f>INDEX('[1]End - Use Prices'!$C$6:$AL$89,MATCH($C64,'[1]End - Use Prices'!$A$6:$A$89,0)+MATCH($D64,'[1]End - Use Prices'!$B$9:$B$11,0)-1,MATCH(BD$1,'[1]End - Use Prices'!$C$7:$AL$7,0))</f>
        <v>58.66</v>
      </c>
      <c r="BE64" s="41">
        <f>INDEX('[1]End - Use Prices'!$C$6:$AL$89,MATCH($C64,'[1]End - Use Prices'!$A$6:$A$89,0)+MATCH($D64,'[1]End - Use Prices'!$B$9:$B$11,0)-1,MATCH(BE$1,'[1]End - Use Prices'!$C$7:$AL$7,0))</f>
        <v>58.85</v>
      </c>
      <c r="BF64" s="41">
        <f>INDEX('[1]End - Use Prices'!$C$6:$AL$89,MATCH($C64,'[1]End - Use Prices'!$A$6:$A$89,0)+MATCH($D64,'[1]End - Use Prices'!$B$9:$B$11,0)-1,MATCH(BF$1,'[1]End - Use Prices'!$C$7:$AL$7,0))</f>
        <v>59.04</v>
      </c>
      <c r="BG64" s="41">
        <f>INDEX('[1]End - Use Prices'!$C$6:$AL$89,MATCH($C64,'[1]End - Use Prices'!$A$6:$A$89,0)+MATCH($D64,'[1]End - Use Prices'!$B$9:$B$11,0)-1,MATCH(BG$1,'[1]End - Use Prices'!$C$7:$AL$7,0))</f>
        <v>59.23</v>
      </c>
      <c r="BR64" s="39"/>
      <c r="BS64" s="39"/>
      <c r="BT64" s="39"/>
      <c r="BU64" s="39"/>
      <c r="BV64" s="39"/>
      <c r="BW64" s="39"/>
      <c r="BX64" s="39"/>
      <c r="BY64" s="39"/>
      <c r="BZ64" s="39"/>
      <c r="CA64" s="39"/>
    </row>
    <row r="65" spans="1:79" x14ac:dyDescent="0.25">
      <c r="A65" s="5"/>
      <c r="B65" s="3"/>
      <c r="C65" s="25" t="s">
        <v>89</v>
      </c>
      <c r="D65" s="25" t="s">
        <v>2</v>
      </c>
      <c r="E65" s="25" t="s">
        <v>313</v>
      </c>
      <c r="F65" s="74" t="s">
        <v>310</v>
      </c>
      <c r="G65" s="54">
        <f t="shared" si="54"/>
        <v>37.270000000000003</v>
      </c>
      <c r="H65" s="34">
        <f t="shared" si="55"/>
        <v>37.270000000000003</v>
      </c>
      <c r="I65" s="34">
        <f t="shared" si="55"/>
        <v>40.32</v>
      </c>
      <c r="J65" s="34">
        <f t="shared" si="55"/>
        <v>46.71</v>
      </c>
      <c r="K65" s="34">
        <f t="shared" si="55"/>
        <v>49.31</v>
      </c>
      <c r="L65" s="34">
        <f t="shared" si="55"/>
        <v>53.15</v>
      </c>
      <c r="M65" s="34">
        <f t="shared" si="55"/>
        <v>56.07</v>
      </c>
      <c r="N65" s="34">
        <f t="shared" si="55"/>
        <v>57.94</v>
      </c>
      <c r="O65" s="34">
        <f t="shared" si="55"/>
        <v>58.62</v>
      </c>
      <c r="P65" s="54">
        <f t="shared" ref="P65:Q65" si="59">O65</f>
        <v>58.62</v>
      </c>
      <c r="Q65" s="54">
        <f t="shared" si="59"/>
        <v>58.62</v>
      </c>
      <c r="R65" s="38"/>
      <c r="X65" s="41">
        <f>INDEX('[1]End - Use Prices'!$C$6:$AL$89,MATCH($C65,'[1]End - Use Prices'!$A$6:$A$89,0)+MATCH($D65,'[1]End - Use Prices'!$B$9:$B$11,0)-1,MATCH(X$1,'[1]End - Use Prices'!$C$7:$AL$7,0))</f>
        <v>37.270000000000003</v>
      </c>
      <c r="Y65" s="41">
        <f>INDEX('[1]End - Use Prices'!$C$6:$AL$89,MATCH($C65,'[1]End - Use Prices'!$A$6:$A$89,0)+MATCH($D65,'[1]End - Use Prices'!$B$9:$B$11,0)-1,MATCH(Y$1,'[1]End - Use Prices'!$C$7:$AL$7,0))</f>
        <v>41.5</v>
      </c>
      <c r="Z65" s="41">
        <f>INDEX('[1]End - Use Prices'!$C$6:$AL$89,MATCH($C65,'[1]End - Use Prices'!$A$6:$A$89,0)+MATCH($D65,'[1]End - Use Prices'!$B$9:$B$11,0)-1,MATCH(Z$1,'[1]End - Use Prices'!$C$7:$AL$7,0))</f>
        <v>38.799999999999997</v>
      </c>
      <c r="AA65" s="41">
        <f>INDEX('[1]End - Use Prices'!$C$6:$AL$89,MATCH($C65,'[1]End - Use Prices'!$A$6:$A$89,0)+MATCH($D65,'[1]End - Use Prices'!$B$9:$B$11,0)-1,MATCH(AA$1,'[1]End - Use Prices'!$C$7:$AL$7,0))</f>
        <v>36.950000000000003</v>
      </c>
      <c r="AB65" s="41">
        <f>INDEX('[1]End - Use Prices'!$C$6:$AL$89,MATCH($C65,'[1]End - Use Prices'!$A$6:$A$89,0)+MATCH($D65,'[1]End - Use Prices'!$B$9:$B$11,0)-1,MATCH(AB$1,'[1]End - Use Prices'!$C$7:$AL$7,0))</f>
        <v>44.6</v>
      </c>
      <c r="AC65" s="41">
        <f>INDEX('[1]End - Use Prices'!$C$6:$AL$89,MATCH($C65,'[1]End - Use Prices'!$A$6:$A$89,0)+MATCH($D65,'[1]End - Use Prices'!$B$9:$B$11,0)-1,MATCH(AC$1,'[1]End - Use Prices'!$C$7:$AL$7,0))</f>
        <v>40.32</v>
      </c>
      <c r="AD65" s="41">
        <f>INDEX('[1]End - Use Prices'!$C$6:$AL$89,MATCH($C65,'[1]End - Use Prices'!$A$6:$A$89,0)+MATCH($D65,'[1]End - Use Prices'!$B$9:$B$11,0)-1,MATCH(AD$1,'[1]End - Use Prices'!$C$7:$AL$7,0))</f>
        <v>41.27</v>
      </c>
      <c r="AE65" s="41">
        <f>INDEX('[1]End - Use Prices'!$C$6:$AL$89,MATCH($C65,'[1]End - Use Prices'!$A$6:$A$89,0)+MATCH($D65,'[1]End - Use Prices'!$B$9:$B$11,0)-1,MATCH(AE$1,'[1]End - Use Prices'!$C$7:$AL$7,0))</f>
        <v>44.94</v>
      </c>
      <c r="AF65" s="41">
        <f>INDEX('[1]End - Use Prices'!$C$6:$AL$89,MATCH($C65,'[1]End - Use Prices'!$A$6:$A$89,0)+MATCH($D65,'[1]End - Use Prices'!$B$9:$B$11,0)-1,MATCH(AF$1,'[1]End - Use Prices'!$C$7:$AL$7,0))</f>
        <v>45.5</v>
      </c>
      <c r="AG65" s="41">
        <f>INDEX('[1]End - Use Prices'!$C$6:$AL$89,MATCH($C65,'[1]End - Use Prices'!$A$6:$A$89,0)+MATCH($D65,'[1]End - Use Prices'!$B$9:$B$11,0)-1,MATCH(AG$1,'[1]End - Use Prices'!$C$7:$AL$7,0))</f>
        <v>46.34</v>
      </c>
      <c r="AH65" s="41">
        <f>INDEX('[1]End - Use Prices'!$C$6:$AL$89,MATCH($C65,'[1]End - Use Prices'!$A$6:$A$89,0)+MATCH($D65,'[1]End - Use Prices'!$B$9:$B$11,0)-1,MATCH(AH$1,'[1]End - Use Prices'!$C$7:$AL$7,0))</f>
        <v>46.71</v>
      </c>
      <c r="AI65" s="41">
        <f>INDEX('[1]End - Use Prices'!$C$6:$AL$89,MATCH($C65,'[1]End - Use Prices'!$A$6:$A$89,0)+MATCH($D65,'[1]End - Use Prices'!$B$9:$B$11,0)-1,MATCH(AI$1,'[1]End - Use Prices'!$C$7:$AL$7,0))</f>
        <v>46.01</v>
      </c>
      <c r="AJ65" s="41">
        <f>INDEX('[1]End - Use Prices'!$C$6:$AL$89,MATCH($C65,'[1]End - Use Prices'!$A$6:$A$89,0)+MATCH($D65,'[1]End - Use Prices'!$B$9:$B$11,0)-1,MATCH(AJ$1,'[1]End - Use Prices'!$C$7:$AL$7,0))</f>
        <v>46.61</v>
      </c>
      <c r="AK65" s="41">
        <f>INDEX('[1]End - Use Prices'!$C$6:$AL$89,MATCH($C65,'[1]End - Use Prices'!$A$6:$A$89,0)+MATCH($D65,'[1]End - Use Prices'!$B$9:$B$11,0)-1,MATCH(AK$1,'[1]End - Use Prices'!$C$7:$AL$7,0))</f>
        <v>47.54</v>
      </c>
      <c r="AL65" s="41">
        <f>INDEX('[1]End - Use Prices'!$C$6:$AL$89,MATCH($C65,'[1]End - Use Prices'!$A$6:$A$89,0)+MATCH($D65,'[1]End - Use Prices'!$B$9:$B$11,0)-1,MATCH(AL$1,'[1]End - Use Prices'!$C$7:$AL$7,0))</f>
        <v>48.44</v>
      </c>
      <c r="AM65" s="41">
        <f>INDEX('[1]End - Use Prices'!$C$6:$AL$89,MATCH($C65,'[1]End - Use Prices'!$A$6:$A$89,0)+MATCH($D65,'[1]End - Use Prices'!$B$9:$B$11,0)-1,MATCH(AM$1,'[1]End - Use Prices'!$C$7:$AL$7,0))</f>
        <v>49.31</v>
      </c>
      <c r="AN65" s="41">
        <f>INDEX('[1]End - Use Prices'!$C$6:$AL$89,MATCH($C65,'[1]End - Use Prices'!$A$6:$A$89,0)+MATCH($D65,'[1]End - Use Prices'!$B$9:$B$11,0)-1,MATCH(AN$1,'[1]End - Use Prices'!$C$7:$AL$7,0))</f>
        <v>50.14</v>
      </c>
      <c r="AO65" s="41">
        <f>INDEX('[1]End - Use Prices'!$C$6:$AL$89,MATCH($C65,'[1]End - Use Prices'!$A$6:$A$89,0)+MATCH($D65,'[1]End - Use Prices'!$B$9:$B$11,0)-1,MATCH(AO$1,'[1]End - Use Prices'!$C$7:$AL$7,0))</f>
        <v>50.94</v>
      </c>
      <c r="AP65" s="41">
        <f>INDEX('[1]End - Use Prices'!$C$6:$AL$89,MATCH($C65,'[1]End - Use Prices'!$A$6:$A$89,0)+MATCH($D65,'[1]End - Use Prices'!$B$9:$B$11,0)-1,MATCH(AP$1,'[1]End - Use Prices'!$C$7:$AL$7,0))</f>
        <v>51.71</v>
      </c>
      <c r="AQ65" s="41">
        <f>INDEX('[1]End - Use Prices'!$C$6:$AL$89,MATCH($C65,'[1]End - Use Prices'!$A$6:$A$89,0)+MATCH($D65,'[1]End - Use Prices'!$B$9:$B$11,0)-1,MATCH(AQ$1,'[1]End - Use Prices'!$C$7:$AL$7,0))</f>
        <v>52.45</v>
      </c>
      <c r="AR65" s="41">
        <f>INDEX('[1]End - Use Prices'!$C$6:$AL$89,MATCH($C65,'[1]End - Use Prices'!$A$6:$A$89,0)+MATCH($D65,'[1]End - Use Prices'!$B$9:$B$11,0)-1,MATCH(AR$1,'[1]End - Use Prices'!$C$7:$AL$7,0))</f>
        <v>53.15</v>
      </c>
      <c r="AS65" s="41">
        <f>INDEX('[1]End - Use Prices'!$C$6:$AL$89,MATCH($C65,'[1]End - Use Prices'!$A$6:$A$89,0)+MATCH($D65,'[1]End - Use Prices'!$B$9:$B$11,0)-1,MATCH(AS$1,'[1]End - Use Prices'!$C$7:$AL$7,0))</f>
        <v>53.81</v>
      </c>
      <c r="AT65" s="41">
        <f>INDEX('[1]End - Use Prices'!$C$6:$AL$89,MATCH($C65,'[1]End - Use Prices'!$A$6:$A$89,0)+MATCH($D65,'[1]End - Use Prices'!$B$9:$B$11,0)-1,MATCH(AT$1,'[1]End - Use Prices'!$C$7:$AL$7,0))</f>
        <v>54.43</v>
      </c>
      <c r="AU65" s="41">
        <f>INDEX('[1]End - Use Prices'!$C$6:$AL$89,MATCH($C65,'[1]End - Use Prices'!$A$6:$A$89,0)+MATCH($D65,'[1]End - Use Prices'!$B$9:$B$11,0)-1,MATCH(AU$1,'[1]End - Use Prices'!$C$7:$AL$7,0))</f>
        <v>55.02</v>
      </c>
      <c r="AV65" s="41">
        <f>INDEX('[1]End - Use Prices'!$C$6:$AL$89,MATCH($C65,'[1]End - Use Prices'!$A$6:$A$89,0)+MATCH($D65,'[1]End - Use Prices'!$B$9:$B$11,0)-1,MATCH(AV$1,'[1]End - Use Prices'!$C$7:$AL$7,0))</f>
        <v>55.56</v>
      </c>
      <c r="AW65" s="41">
        <f>INDEX('[1]End - Use Prices'!$C$6:$AL$89,MATCH($C65,'[1]End - Use Prices'!$A$6:$A$89,0)+MATCH($D65,'[1]End - Use Prices'!$B$9:$B$11,0)-1,MATCH(AW$1,'[1]End - Use Prices'!$C$7:$AL$7,0))</f>
        <v>56.07</v>
      </c>
      <c r="AX65" s="41">
        <f>INDEX('[1]End - Use Prices'!$C$6:$AL$89,MATCH($C65,'[1]End - Use Prices'!$A$6:$A$89,0)+MATCH($D65,'[1]End - Use Prices'!$B$9:$B$11,0)-1,MATCH(AX$1,'[1]End - Use Prices'!$C$7:$AL$7,0))</f>
        <v>56.53</v>
      </c>
      <c r="AY65" s="41">
        <f>INDEX('[1]End - Use Prices'!$C$6:$AL$89,MATCH($C65,'[1]End - Use Prices'!$A$6:$A$89,0)+MATCH($D65,'[1]End - Use Prices'!$B$9:$B$11,0)-1,MATCH(AY$1,'[1]End - Use Prices'!$C$7:$AL$7,0))</f>
        <v>56.95</v>
      </c>
      <c r="AZ65" s="41">
        <f>INDEX('[1]End - Use Prices'!$C$6:$AL$89,MATCH($C65,'[1]End - Use Prices'!$A$6:$A$89,0)+MATCH($D65,'[1]End - Use Prices'!$B$9:$B$11,0)-1,MATCH(AZ$1,'[1]End - Use Prices'!$C$7:$AL$7,0))</f>
        <v>57.32</v>
      </c>
      <c r="BA65" s="41">
        <f>INDEX('[1]End - Use Prices'!$C$6:$AL$89,MATCH($C65,'[1]End - Use Prices'!$A$6:$A$89,0)+MATCH($D65,'[1]End - Use Prices'!$B$9:$B$11,0)-1,MATCH(BA$1,'[1]End - Use Prices'!$C$7:$AL$7,0))</f>
        <v>57.65</v>
      </c>
      <c r="BB65" s="41">
        <f>INDEX('[1]End - Use Prices'!$C$6:$AL$89,MATCH($C65,'[1]End - Use Prices'!$A$6:$A$89,0)+MATCH($D65,'[1]End - Use Prices'!$B$9:$B$11,0)-1,MATCH(BB$1,'[1]End - Use Prices'!$C$7:$AL$7,0))</f>
        <v>57.94</v>
      </c>
      <c r="BC65" s="41">
        <f>INDEX('[1]End - Use Prices'!$C$6:$AL$89,MATCH($C65,'[1]End - Use Prices'!$A$6:$A$89,0)+MATCH($D65,'[1]End - Use Prices'!$B$9:$B$11,0)-1,MATCH(BC$1,'[1]End - Use Prices'!$C$7:$AL$7,0))</f>
        <v>58.17</v>
      </c>
      <c r="BD65" s="41">
        <f>INDEX('[1]End - Use Prices'!$C$6:$AL$89,MATCH($C65,'[1]End - Use Prices'!$A$6:$A$89,0)+MATCH($D65,'[1]End - Use Prices'!$B$9:$B$11,0)-1,MATCH(BD$1,'[1]End - Use Prices'!$C$7:$AL$7,0))</f>
        <v>58.36</v>
      </c>
      <c r="BE65" s="41">
        <f>INDEX('[1]End - Use Prices'!$C$6:$AL$89,MATCH($C65,'[1]End - Use Prices'!$A$6:$A$89,0)+MATCH($D65,'[1]End - Use Prices'!$B$9:$B$11,0)-1,MATCH(BE$1,'[1]End - Use Prices'!$C$7:$AL$7,0))</f>
        <v>58.5</v>
      </c>
      <c r="BF65" s="41">
        <f>INDEX('[1]End - Use Prices'!$C$6:$AL$89,MATCH($C65,'[1]End - Use Prices'!$A$6:$A$89,0)+MATCH($D65,'[1]End - Use Prices'!$B$9:$B$11,0)-1,MATCH(BF$1,'[1]End - Use Prices'!$C$7:$AL$7,0))</f>
        <v>58.59</v>
      </c>
      <c r="BG65" s="41">
        <f>INDEX('[1]End - Use Prices'!$C$6:$AL$89,MATCH($C65,'[1]End - Use Prices'!$A$6:$A$89,0)+MATCH($D65,'[1]End - Use Prices'!$B$9:$B$11,0)-1,MATCH(BG$1,'[1]End - Use Prices'!$C$7:$AL$7,0))</f>
        <v>58.62</v>
      </c>
      <c r="BR65" s="39"/>
      <c r="BS65" s="39"/>
      <c r="BT65" s="39"/>
      <c r="BU65" s="39"/>
      <c r="BV65" s="39"/>
      <c r="BW65" s="39"/>
      <c r="BX65" s="39"/>
      <c r="BY65" s="39"/>
      <c r="BZ65" s="39"/>
      <c r="CA65" s="39"/>
    </row>
    <row r="66" spans="1:79" x14ac:dyDescent="0.25">
      <c r="A66" s="5"/>
      <c r="B66" s="3"/>
      <c r="C66" s="25" t="s">
        <v>90</v>
      </c>
      <c r="D66" s="25" t="s">
        <v>2</v>
      </c>
      <c r="E66" s="25" t="s">
        <v>313</v>
      </c>
      <c r="F66" s="74" t="s">
        <v>310</v>
      </c>
      <c r="G66" s="54">
        <f t="shared" si="54"/>
        <v>35.630000000000003</v>
      </c>
      <c r="H66" s="34">
        <f t="shared" si="55"/>
        <v>35.630000000000003</v>
      </c>
      <c r="I66" s="34">
        <f t="shared" si="55"/>
        <v>42.27</v>
      </c>
      <c r="J66" s="34">
        <f t="shared" si="55"/>
        <v>41.52</v>
      </c>
      <c r="K66" s="34">
        <f t="shared" si="55"/>
        <v>44.47</v>
      </c>
      <c r="L66" s="34">
        <f t="shared" si="55"/>
        <v>47.37</v>
      </c>
      <c r="M66" s="34">
        <f t="shared" si="55"/>
        <v>50.45</v>
      </c>
      <c r="N66" s="34">
        <f t="shared" si="55"/>
        <v>53.74</v>
      </c>
      <c r="O66" s="34">
        <f t="shared" si="55"/>
        <v>57.24</v>
      </c>
      <c r="P66" s="54">
        <f t="shared" ref="P66:Q66" si="60">O66</f>
        <v>57.24</v>
      </c>
      <c r="Q66" s="54">
        <f t="shared" si="60"/>
        <v>57.24</v>
      </c>
      <c r="R66" s="38"/>
      <c r="X66" s="41">
        <f>INDEX('[1]End - Use Prices'!$C$6:$AL$89,MATCH($C66,'[1]End - Use Prices'!$A$6:$A$89,0)+MATCH($D66,'[1]End - Use Prices'!$B$9:$B$11,0)-1,MATCH(X$1,'[1]End - Use Prices'!$C$7:$AL$7,0))</f>
        <v>35.630000000000003</v>
      </c>
      <c r="Y66" s="41">
        <f>INDEX('[1]End - Use Prices'!$C$6:$AL$89,MATCH($C66,'[1]End - Use Prices'!$A$6:$A$89,0)+MATCH($D66,'[1]End - Use Prices'!$B$9:$B$11,0)-1,MATCH(Y$1,'[1]End - Use Prices'!$C$7:$AL$7,0))</f>
        <v>40.94</v>
      </c>
      <c r="Z66" s="41">
        <f>INDEX('[1]End - Use Prices'!$C$6:$AL$89,MATCH($C66,'[1]End - Use Prices'!$A$6:$A$89,0)+MATCH($D66,'[1]End - Use Prices'!$B$9:$B$11,0)-1,MATCH(Z$1,'[1]End - Use Prices'!$C$7:$AL$7,0))</f>
        <v>42.23</v>
      </c>
      <c r="AA66" s="41">
        <f>INDEX('[1]End - Use Prices'!$C$6:$AL$89,MATCH($C66,'[1]End - Use Prices'!$A$6:$A$89,0)+MATCH($D66,'[1]End - Use Prices'!$B$9:$B$11,0)-1,MATCH(AA$1,'[1]End - Use Prices'!$C$7:$AL$7,0))</f>
        <v>41.92</v>
      </c>
      <c r="AB66" s="41">
        <f>INDEX('[1]End - Use Prices'!$C$6:$AL$89,MATCH($C66,'[1]End - Use Prices'!$A$6:$A$89,0)+MATCH($D66,'[1]End - Use Prices'!$B$9:$B$11,0)-1,MATCH(AB$1,'[1]End - Use Prices'!$C$7:$AL$7,0))</f>
        <v>43.47</v>
      </c>
      <c r="AC66" s="41">
        <f>INDEX('[1]End - Use Prices'!$C$6:$AL$89,MATCH($C66,'[1]End - Use Prices'!$A$6:$A$89,0)+MATCH($D66,'[1]End - Use Prices'!$B$9:$B$11,0)-1,MATCH(AC$1,'[1]End - Use Prices'!$C$7:$AL$7,0))</f>
        <v>42.27</v>
      </c>
      <c r="AD66" s="41">
        <f>INDEX('[1]End - Use Prices'!$C$6:$AL$89,MATCH($C66,'[1]End - Use Prices'!$A$6:$A$89,0)+MATCH($D66,'[1]End - Use Prices'!$B$9:$B$11,0)-1,MATCH(AD$1,'[1]End - Use Prices'!$C$7:$AL$7,0))</f>
        <v>41.5</v>
      </c>
      <c r="AE66" s="41">
        <f>INDEX('[1]End - Use Prices'!$C$6:$AL$89,MATCH($C66,'[1]End - Use Prices'!$A$6:$A$89,0)+MATCH($D66,'[1]End - Use Prices'!$B$9:$B$11,0)-1,MATCH(AE$1,'[1]End - Use Prices'!$C$7:$AL$7,0))</f>
        <v>41</v>
      </c>
      <c r="AF66" s="41">
        <f>INDEX('[1]End - Use Prices'!$C$6:$AL$89,MATCH($C66,'[1]End - Use Prices'!$A$6:$A$89,0)+MATCH($D66,'[1]End - Use Prices'!$B$9:$B$11,0)-1,MATCH(AF$1,'[1]End - Use Prices'!$C$7:$AL$7,0))</f>
        <v>40.340000000000003</v>
      </c>
      <c r="AG66" s="41">
        <f>INDEX('[1]End - Use Prices'!$C$6:$AL$89,MATCH($C66,'[1]End - Use Prices'!$A$6:$A$89,0)+MATCH($D66,'[1]End - Use Prices'!$B$9:$B$11,0)-1,MATCH(AG$1,'[1]End - Use Prices'!$C$7:$AL$7,0))</f>
        <v>40.39</v>
      </c>
      <c r="AH66" s="41">
        <f>INDEX('[1]End - Use Prices'!$C$6:$AL$89,MATCH($C66,'[1]End - Use Prices'!$A$6:$A$89,0)+MATCH($D66,'[1]End - Use Prices'!$B$9:$B$11,0)-1,MATCH(AH$1,'[1]End - Use Prices'!$C$7:$AL$7,0))</f>
        <v>41.52</v>
      </c>
      <c r="AI66" s="41">
        <f>INDEX('[1]End - Use Prices'!$C$6:$AL$89,MATCH($C66,'[1]End - Use Prices'!$A$6:$A$89,0)+MATCH($D66,'[1]End - Use Prices'!$B$9:$B$11,0)-1,MATCH(AI$1,'[1]End - Use Prices'!$C$7:$AL$7,0))</f>
        <v>42.28</v>
      </c>
      <c r="AJ66" s="41">
        <f>INDEX('[1]End - Use Prices'!$C$6:$AL$89,MATCH($C66,'[1]End - Use Prices'!$A$6:$A$89,0)+MATCH($D66,'[1]End - Use Prices'!$B$9:$B$11,0)-1,MATCH(AJ$1,'[1]End - Use Prices'!$C$7:$AL$7,0))</f>
        <v>42.82</v>
      </c>
      <c r="AK66" s="41">
        <f>INDEX('[1]End - Use Prices'!$C$6:$AL$89,MATCH($C66,'[1]End - Use Prices'!$A$6:$A$89,0)+MATCH($D66,'[1]End - Use Prices'!$B$9:$B$11,0)-1,MATCH(AK$1,'[1]End - Use Prices'!$C$7:$AL$7,0))</f>
        <v>43.37</v>
      </c>
      <c r="AL66" s="41">
        <f>INDEX('[1]End - Use Prices'!$C$6:$AL$89,MATCH($C66,'[1]End - Use Prices'!$A$6:$A$89,0)+MATCH($D66,'[1]End - Use Prices'!$B$9:$B$11,0)-1,MATCH(AL$1,'[1]End - Use Prices'!$C$7:$AL$7,0))</f>
        <v>43.92</v>
      </c>
      <c r="AM66" s="41">
        <f>INDEX('[1]End - Use Prices'!$C$6:$AL$89,MATCH($C66,'[1]End - Use Prices'!$A$6:$A$89,0)+MATCH($D66,'[1]End - Use Prices'!$B$9:$B$11,0)-1,MATCH(AM$1,'[1]End - Use Prices'!$C$7:$AL$7,0))</f>
        <v>44.47</v>
      </c>
      <c r="AN66" s="41">
        <f>INDEX('[1]End - Use Prices'!$C$6:$AL$89,MATCH($C66,'[1]End - Use Prices'!$A$6:$A$89,0)+MATCH($D66,'[1]End - Use Prices'!$B$9:$B$11,0)-1,MATCH(AN$1,'[1]End - Use Prices'!$C$7:$AL$7,0))</f>
        <v>45.04</v>
      </c>
      <c r="AO66" s="41">
        <f>INDEX('[1]End - Use Prices'!$C$6:$AL$89,MATCH($C66,'[1]End - Use Prices'!$A$6:$A$89,0)+MATCH($D66,'[1]End - Use Prices'!$B$9:$B$11,0)-1,MATCH(AO$1,'[1]End - Use Prices'!$C$7:$AL$7,0))</f>
        <v>45.61</v>
      </c>
      <c r="AP66" s="41">
        <f>INDEX('[1]End - Use Prices'!$C$6:$AL$89,MATCH($C66,'[1]End - Use Prices'!$A$6:$A$89,0)+MATCH($D66,'[1]End - Use Prices'!$B$9:$B$11,0)-1,MATCH(AP$1,'[1]End - Use Prices'!$C$7:$AL$7,0))</f>
        <v>46.19</v>
      </c>
      <c r="AQ66" s="41">
        <f>INDEX('[1]End - Use Prices'!$C$6:$AL$89,MATCH($C66,'[1]End - Use Prices'!$A$6:$A$89,0)+MATCH($D66,'[1]End - Use Prices'!$B$9:$B$11,0)-1,MATCH(AQ$1,'[1]End - Use Prices'!$C$7:$AL$7,0))</f>
        <v>46.78</v>
      </c>
      <c r="AR66" s="41">
        <f>INDEX('[1]End - Use Prices'!$C$6:$AL$89,MATCH($C66,'[1]End - Use Prices'!$A$6:$A$89,0)+MATCH($D66,'[1]End - Use Prices'!$B$9:$B$11,0)-1,MATCH(AR$1,'[1]End - Use Prices'!$C$7:$AL$7,0))</f>
        <v>47.37</v>
      </c>
      <c r="AS66" s="41">
        <f>INDEX('[1]End - Use Prices'!$C$6:$AL$89,MATCH($C66,'[1]End - Use Prices'!$A$6:$A$89,0)+MATCH($D66,'[1]End - Use Prices'!$B$9:$B$11,0)-1,MATCH(AS$1,'[1]End - Use Prices'!$C$7:$AL$7,0))</f>
        <v>47.97</v>
      </c>
      <c r="AT66" s="41">
        <f>INDEX('[1]End - Use Prices'!$C$6:$AL$89,MATCH($C66,'[1]End - Use Prices'!$A$6:$A$89,0)+MATCH($D66,'[1]End - Use Prices'!$B$9:$B$11,0)-1,MATCH(AT$1,'[1]End - Use Prices'!$C$7:$AL$7,0))</f>
        <v>48.58</v>
      </c>
      <c r="AU66" s="41">
        <f>INDEX('[1]End - Use Prices'!$C$6:$AL$89,MATCH($C66,'[1]End - Use Prices'!$A$6:$A$89,0)+MATCH($D66,'[1]End - Use Prices'!$B$9:$B$11,0)-1,MATCH(AU$1,'[1]End - Use Prices'!$C$7:$AL$7,0))</f>
        <v>49.2</v>
      </c>
      <c r="AV66" s="41">
        <f>INDEX('[1]End - Use Prices'!$C$6:$AL$89,MATCH($C66,'[1]End - Use Prices'!$A$6:$A$89,0)+MATCH($D66,'[1]End - Use Prices'!$B$9:$B$11,0)-1,MATCH(AV$1,'[1]End - Use Prices'!$C$7:$AL$7,0))</f>
        <v>49.82</v>
      </c>
      <c r="AW66" s="41">
        <f>INDEX('[1]End - Use Prices'!$C$6:$AL$89,MATCH($C66,'[1]End - Use Prices'!$A$6:$A$89,0)+MATCH($D66,'[1]End - Use Prices'!$B$9:$B$11,0)-1,MATCH(AW$1,'[1]End - Use Prices'!$C$7:$AL$7,0))</f>
        <v>50.45</v>
      </c>
      <c r="AX66" s="41">
        <f>INDEX('[1]End - Use Prices'!$C$6:$AL$89,MATCH($C66,'[1]End - Use Prices'!$A$6:$A$89,0)+MATCH($D66,'[1]End - Use Prices'!$B$9:$B$11,0)-1,MATCH(AX$1,'[1]End - Use Prices'!$C$7:$AL$7,0))</f>
        <v>51.09</v>
      </c>
      <c r="AY66" s="41">
        <f>INDEX('[1]End - Use Prices'!$C$6:$AL$89,MATCH($C66,'[1]End - Use Prices'!$A$6:$A$89,0)+MATCH($D66,'[1]End - Use Prices'!$B$9:$B$11,0)-1,MATCH(AY$1,'[1]End - Use Prices'!$C$7:$AL$7,0))</f>
        <v>51.74</v>
      </c>
      <c r="AZ66" s="41">
        <f>INDEX('[1]End - Use Prices'!$C$6:$AL$89,MATCH($C66,'[1]End - Use Prices'!$A$6:$A$89,0)+MATCH($D66,'[1]End - Use Prices'!$B$9:$B$11,0)-1,MATCH(AZ$1,'[1]End - Use Prices'!$C$7:$AL$7,0))</f>
        <v>52.4</v>
      </c>
      <c r="BA66" s="41">
        <f>INDEX('[1]End - Use Prices'!$C$6:$AL$89,MATCH($C66,'[1]End - Use Prices'!$A$6:$A$89,0)+MATCH($D66,'[1]End - Use Prices'!$B$9:$B$11,0)-1,MATCH(BA$1,'[1]End - Use Prices'!$C$7:$AL$7,0))</f>
        <v>53.07</v>
      </c>
      <c r="BB66" s="41">
        <f>INDEX('[1]End - Use Prices'!$C$6:$AL$89,MATCH($C66,'[1]End - Use Prices'!$A$6:$A$89,0)+MATCH($D66,'[1]End - Use Prices'!$B$9:$B$11,0)-1,MATCH(BB$1,'[1]End - Use Prices'!$C$7:$AL$7,0))</f>
        <v>53.74</v>
      </c>
      <c r="BC66" s="41">
        <f>INDEX('[1]End - Use Prices'!$C$6:$AL$89,MATCH($C66,'[1]End - Use Prices'!$A$6:$A$89,0)+MATCH($D66,'[1]End - Use Prices'!$B$9:$B$11,0)-1,MATCH(BC$1,'[1]End - Use Prices'!$C$7:$AL$7,0))</f>
        <v>54.42</v>
      </c>
      <c r="BD66" s="41">
        <f>INDEX('[1]End - Use Prices'!$C$6:$AL$89,MATCH($C66,'[1]End - Use Prices'!$A$6:$A$89,0)+MATCH($D66,'[1]End - Use Prices'!$B$9:$B$11,0)-1,MATCH(BD$1,'[1]End - Use Prices'!$C$7:$AL$7,0))</f>
        <v>55.11</v>
      </c>
      <c r="BE66" s="41">
        <f>INDEX('[1]End - Use Prices'!$C$6:$AL$89,MATCH($C66,'[1]End - Use Prices'!$A$6:$A$89,0)+MATCH($D66,'[1]End - Use Prices'!$B$9:$B$11,0)-1,MATCH(BE$1,'[1]End - Use Prices'!$C$7:$AL$7,0))</f>
        <v>55.81</v>
      </c>
      <c r="BF66" s="41">
        <f>INDEX('[1]End - Use Prices'!$C$6:$AL$89,MATCH($C66,'[1]End - Use Prices'!$A$6:$A$89,0)+MATCH($D66,'[1]End - Use Prices'!$B$9:$B$11,0)-1,MATCH(BF$1,'[1]End - Use Prices'!$C$7:$AL$7,0))</f>
        <v>56.52</v>
      </c>
      <c r="BG66" s="41">
        <f>INDEX('[1]End - Use Prices'!$C$6:$AL$89,MATCH($C66,'[1]End - Use Prices'!$A$6:$A$89,0)+MATCH($D66,'[1]End - Use Prices'!$B$9:$B$11,0)-1,MATCH(BG$1,'[1]End - Use Prices'!$C$7:$AL$7,0))</f>
        <v>57.24</v>
      </c>
      <c r="BR66" s="39"/>
      <c r="BS66" s="39"/>
      <c r="BT66" s="39"/>
      <c r="BU66" s="39"/>
      <c r="BV66" s="39"/>
      <c r="BW66" s="39"/>
      <c r="BX66" s="39"/>
      <c r="BY66" s="39"/>
      <c r="BZ66" s="39"/>
      <c r="CA66" s="39"/>
    </row>
    <row r="67" spans="1:79" x14ac:dyDescent="0.25">
      <c r="A67" s="5"/>
      <c r="B67" s="3"/>
      <c r="C67" s="25" t="s">
        <v>91</v>
      </c>
      <c r="D67" s="25" t="s">
        <v>2</v>
      </c>
      <c r="E67" s="25" t="s">
        <v>313</v>
      </c>
      <c r="F67" s="74" t="s">
        <v>310</v>
      </c>
      <c r="G67" s="54">
        <f t="shared" si="54"/>
        <v>23.05</v>
      </c>
      <c r="H67" s="34">
        <f t="shared" si="55"/>
        <v>23.05</v>
      </c>
      <c r="I67" s="34">
        <f t="shared" si="55"/>
        <v>24.86</v>
      </c>
      <c r="J67" s="34">
        <f t="shared" si="55"/>
        <v>25.13</v>
      </c>
      <c r="K67" s="34">
        <f t="shared" si="55"/>
        <v>26.11</v>
      </c>
      <c r="L67" s="34">
        <f t="shared" si="55"/>
        <v>27.44</v>
      </c>
      <c r="M67" s="34">
        <f t="shared" si="55"/>
        <v>28.84</v>
      </c>
      <c r="N67" s="34">
        <f t="shared" si="55"/>
        <v>30.3</v>
      </c>
      <c r="O67" s="34">
        <f t="shared" si="55"/>
        <v>31.84</v>
      </c>
      <c r="P67" s="54">
        <f t="shared" ref="P67:Q67" si="61">O67</f>
        <v>31.84</v>
      </c>
      <c r="Q67" s="54">
        <f t="shared" si="61"/>
        <v>31.84</v>
      </c>
      <c r="R67" s="38"/>
      <c r="X67" s="41">
        <f>INDEX('[1]End - Use Prices'!$C$6:$AL$89,MATCH($C67,'[1]End - Use Prices'!$A$6:$A$89,0)+MATCH($D67,'[1]End - Use Prices'!$B$9:$B$11,0)-1,MATCH(X$1,'[1]End - Use Prices'!$C$7:$AL$7,0))</f>
        <v>23.05</v>
      </c>
      <c r="Y67" s="41">
        <f>INDEX('[1]End - Use Prices'!$C$6:$AL$89,MATCH($C67,'[1]End - Use Prices'!$A$6:$A$89,0)+MATCH($D67,'[1]End - Use Prices'!$B$9:$B$11,0)-1,MATCH(Y$1,'[1]End - Use Prices'!$C$7:$AL$7,0))</f>
        <v>26.62</v>
      </c>
      <c r="Z67" s="41">
        <f>INDEX('[1]End - Use Prices'!$C$6:$AL$89,MATCH($C67,'[1]End - Use Prices'!$A$6:$A$89,0)+MATCH($D67,'[1]End - Use Prices'!$B$9:$B$11,0)-1,MATCH(Z$1,'[1]End - Use Prices'!$C$7:$AL$7,0))</f>
        <v>25.75</v>
      </c>
      <c r="AA67" s="41">
        <f>INDEX('[1]End - Use Prices'!$C$6:$AL$89,MATCH($C67,'[1]End - Use Prices'!$A$6:$A$89,0)+MATCH($D67,'[1]End - Use Prices'!$B$9:$B$11,0)-1,MATCH(AA$1,'[1]End - Use Prices'!$C$7:$AL$7,0))</f>
        <v>24.75</v>
      </c>
      <c r="AB67" s="41">
        <f>INDEX('[1]End - Use Prices'!$C$6:$AL$89,MATCH($C67,'[1]End - Use Prices'!$A$6:$A$89,0)+MATCH($D67,'[1]End - Use Prices'!$B$9:$B$11,0)-1,MATCH(AB$1,'[1]End - Use Prices'!$C$7:$AL$7,0))</f>
        <v>25.57</v>
      </c>
      <c r="AC67" s="41">
        <f>INDEX('[1]End - Use Prices'!$C$6:$AL$89,MATCH($C67,'[1]End - Use Prices'!$A$6:$A$89,0)+MATCH($D67,'[1]End - Use Prices'!$B$9:$B$11,0)-1,MATCH(AC$1,'[1]End - Use Prices'!$C$7:$AL$7,0))</f>
        <v>24.86</v>
      </c>
      <c r="AD67" s="41">
        <f>INDEX('[1]End - Use Prices'!$C$6:$AL$89,MATCH($C67,'[1]End - Use Prices'!$A$6:$A$89,0)+MATCH($D67,'[1]End - Use Prices'!$B$9:$B$11,0)-1,MATCH(AD$1,'[1]End - Use Prices'!$C$7:$AL$7,0))</f>
        <v>24.33</v>
      </c>
      <c r="AE67" s="41">
        <f>INDEX('[1]End - Use Prices'!$C$6:$AL$89,MATCH($C67,'[1]End - Use Prices'!$A$6:$A$89,0)+MATCH($D67,'[1]End - Use Prices'!$B$9:$B$11,0)-1,MATCH(AE$1,'[1]End - Use Prices'!$C$7:$AL$7,0))</f>
        <v>24.26</v>
      </c>
      <c r="AF67" s="41">
        <f>INDEX('[1]End - Use Prices'!$C$6:$AL$89,MATCH($C67,'[1]End - Use Prices'!$A$6:$A$89,0)+MATCH($D67,'[1]End - Use Prices'!$B$9:$B$11,0)-1,MATCH(AF$1,'[1]End - Use Prices'!$C$7:$AL$7,0))</f>
        <v>24.24</v>
      </c>
      <c r="AG67" s="41">
        <f>INDEX('[1]End - Use Prices'!$C$6:$AL$89,MATCH($C67,'[1]End - Use Prices'!$A$6:$A$89,0)+MATCH($D67,'[1]End - Use Prices'!$B$9:$B$11,0)-1,MATCH(AG$1,'[1]End - Use Prices'!$C$7:$AL$7,0))</f>
        <v>24.48</v>
      </c>
      <c r="AH67" s="41">
        <f>INDEX('[1]End - Use Prices'!$C$6:$AL$89,MATCH($C67,'[1]End - Use Prices'!$A$6:$A$89,0)+MATCH($D67,'[1]End - Use Prices'!$B$9:$B$11,0)-1,MATCH(AH$1,'[1]End - Use Prices'!$C$7:$AL$7,0))</f>
        <v>25.13</v>
      </c>
      <c r="AI67" s="41">
        <f>INDEX('[1]End - Use Prices'!$C$6:$AL$89,MATCH($C67,'[1]End - Use Prices'!$A$6:$A$89,0)+MATCH($D67,'[1]End - Use Prices'!$B$9:$B$11,0)-1,MATCH(AI$1,'[1]End - Use Prices'!$C$7:$AL$7,0))</f>
        <v>25.1</v>
      </c>
      <c r="AJ67" s="41">
        <f>INDEX('[1]End - Use Prices'!$C$6:$AL$89,MATCH($C67,'[1]End - Use Prices'!$A$6:$A$89,0)+MATCH($D67,'[1]End - Use Prices'!$B$9:$B$11,0)-1,MATCH(AJ$1,'[1]End - Use Prices'!$C$7:$AL$7,0))</f>
        <v>25.35</v>
      </c>
      <c r="AK67" s="41">
        <f>INDEX('[1]End - Use Prices'!$C$6:$AL$89,MATCH($C67,'[1]End - Use Prices'!$A$6:$A$89,0)+MATCH($D67,'[1]End - Use Prices'!$B$9:$B$11,0)-1,MATCH(AK$1,'[1]End - Use Prices'!$C$7:$AL$7,0))</f>
        <v>25.6</v>
      </c>
      <c r="AL67" s="41">
        <f>INDEX('[1]End - Use Prices'!$C$6:$AL$89,MATCH($C67,'[1]End - Use Prices'!$A$6:$A$89,0)+MATCH($D67,'[1]End - Use Prices'!$B$9:$B$11,0)-1,MATCH(AL$1,'[1]End - Use Prices'!$C$7:$AL$7,0))</f>
        <v>25.86</v>
      </c>
      <c r="AM67" s="41">
        <f>INDEX('[1]End - Use Prices'!$C$6:$AL$89,MATCH($C67,'[1]End - Use Prices'!$A$6:$A$89,0)+MATCH($D67,'[1]End - Use Prices'!$B$9:$B$11,0)-1,MATCH(AM$1,'[1]End - Use Prices'!$C$7:$AL$7,0))</f>
        <v>26.11</v>
      </c>
      <c r="AN67" s="41">
        <f>INDEX('[1]End - Use Prices'!$C$6:$AL$89,MATCH($C67,'[1]End - Use Prices'!$A$6:$A$89,0)+MATCH($D67,'[1]End - Use Prices'!$B$9:$B$11,0)-1,MATCH(AN$1,'[1]End - Use Prices'!$C$7:$AL$7,0))</f>
        <v>26.37</v>
      </c>
      <c r="AO67" s="41">
        <f>INDEX('[1]End - Use Prices'!$C$6:$AL$89,MATCH($C67,'[1]End - Use Prices'!$A$6:$A$89,0)+MATCH($D67,'[1]End - Use Prices'!$B$9:$B$11,0)-1,MATCH(AO$1,'[1]End - Use Prices'!$C$7:$AL$7,0))</f>
        <v>26.64</v>
      </c>
      <c r="AP67" s="41">
        <f>INDEX('[1]End - Use Prices'!$C$6:$AL$89,MATCH($C67,'[1]End - Use Prices'!$A$6:$A$89,0)+MATCH($D67,'[1]End - Use Prices'!$B$9:$B$11,0)-1,MATCH(AP$1,'[1]End - Use Prices'!$C$7:$AL$7,0))</f>
        <v>26.9</v>
      </c>
      <c r="AQ67" s="41">
        <f>INDEX('[1]End - Use Prices'!$C$6:$AL$89,MATCH($C67,'[1]End - Use Prices'!$A$6:$A$89,0)+MATCH($D67,'[1]End - Use Prices'!$B$9:$B$11,0)-1,MATCH(AQ$1,'[1]End - Use Prices'!$C$7:$AL$7,0))</f>
        <v>27.17</v>
      </c>
      <c r="AR67" s="41">
        <f>INDEX('[1]End - Use Prices'!$C$6:$AL$89,MATCH($C67,'[1]End - Use Prices'!$A$6:$A$89,0)+MATCH($D67,'[1]End - Use Prices'!$B$9:$B$11,0)-1,MATCH(AR$1,'[1]End - Use Prices'!$C$7:$AL$7,0))</f>
        <v>27.44</v>
      </c>
      <c r="AS67" s="41">
        <f>INDEX('[1]End - Use Prices'!$C$6:$AL$89,MATCH($C67,'[1]End - Use Prices'!$A$6:$A$89,0)+MATCH($D67,'[1]End - Use Prices'!$B$9:$B$11,0)-1,MATCH(AS$1,'[1]End - Use Prices'!$C$7:$AL$7,0))</f>
        <v>27.72</v>
      </c>
      <c r="AT67" s="41">
        <f>INDEX('[1]End - Use Prices'!$C$6:$AL$89,MATCH($C67,'[1]End - Use Prices'!$A$6:$A$89,0)+MATCH($D67,'[1]End - Use Prices'!$B$9:$B$11,0)-1,MATCH(AT$1,'[1]End - Use Prices'!$C$7:$AL$7,0))</f>
        <v>27.99</v>
      </c>
      <c r="AU67" s="41">
        <f>INDEX('[1]End - Use Prices'!$C$6:$AL$89,MATCH($C67,'[1]End - Use Prices'!$A$6:$A$89,0)+MATCH($D67,'[1]End - Use Prices'!$B$9:$B$11,0)-1,MATCH(AU$1,'[1]End - Use Prices'!$C$7:$AL$7,0))</f>
        <v>28.27</v>
      </c>
      <c r="AV67" s="41">
        <f>INDEX('[1]End - Use Prices'!$C$6:$AL$89,MATCH($C67,'[1]End - Use Prices'!$A$6:$A$89,0)+MATCH($D67,'[1]End - Use Prices'!$B$9:$B$11,0)-1,MATCH(AV$1,'[1]End - Use Prices'!$C$7:$AL$7,0))</f>
        <v>28.55</v>
      </c>
      <c r="AW67" s="41">
        <f>INDEX('[1]End - Use Prices'!$C$6:$AL$89,MATCH($C67,'[1]End - Use Prices'!$A$6:$A$89,0)+MATCH($D67,'[1]End - Use Prices'!$B$9:$B$11,0)-1,MATCH(AW$1,'[1]End - Use Prices'!$C$7:$AL$7,0))</f>
        <v>28.84</v>
      </c>
      <c r="AX67" s="41">
        <f>INDEX('[1]End - Use Prices'!$C$6:$AL$89,MATCH($C67,'[1]End - Use Prices'!$A$6:$A$89,0)+MATCH($D67,'[1]End - Use Prices'!$B$9:$B$11,0)-1,MATCH(AX$1,'[1]End - Use Prices'!$C$7:$AL$7,0))</f>
        <v>29.12</v>
      </c>
      <c r="AY67" s="41">
        <f>INDEX('[1]End - Use Prices'!$C$6:$AL$89,MATCH($C67,'[1]End - Use Prices'!$A$6:$A$89,0)+MATCH($D67,'[1]End - Use Prices'!$B$9:$B$11,0)-1,MATCH(AY$1,'[1]End - Use Prices'!$C$7:$AL$7,0))</f>
        <v>29.41</v>
      </c>
      <c r="AZ67" s="41">
        <f>INDEX('[1]End - Use Prices'!$C$6:$AL$89,MATCH($C67,'[1]End - Use Prices'!$A$6:$A$89,0)+MATCH($D67,'[1]End - Use Prices'!$B$9:$B$11,0)-1,MATCH(AZ$1,'[1]End - Use Prices'!$C$7:$AL$7,0))</f>
        <v>29.71</v>
      </c>
      <c r="BA67" s="41">
        <f>INDEX('[1]End - Use Prices'!$C$6:$AL$89,MATCH($C67,'[1]End - Use Prices'!$A$6:$A$89,0)+MATCH($D67,'[1]End - Use Prices'!$B$9:$B$11,0)-1,MATCH(BA$1,'[1]End - Use Prices'!$C$7:$AL$7,0))</f>
        <v>30</v>
      </c>
      <c r="BB67" s="41">
        <f>INDEX('[1]End - Use Prices'!$C$6:$AL$89,MATCH($C67,'[1]End - Use Prices'!$A$6:$A$89,0)+MATCH($D67,'[1]End - Use Prices'!$B$9:$B$11,0)-1,MATCH(BB$1,'[1]End - Use Prices'!$C$7:$AL$7,0))</f>
        <v>30.3</v>
      </c>
      <c r="BC67" s="41">
        <f>INDEX('[1]End - Use Prices'!$C$6:$AL$89,MATCH($C67,'[1]End - Use Prices'!$A$6:$A$89,0)+MATCH($D67,'[1]End - Use Prices'!$B$9:$B$11,0)-1,MATCH(BC$1,'[1]End - Use Prices'!$C$7:$AL$7,0))</f>
        <v>30.6</v>
      </c>
      <c r="BD67" s="41">
        <f>INDEX('[1]End - Use Prices'!$C$6:$AL$89,MATCH($C67,'[1]End - Use Prices'!$A$6:$A$89,0)+MATCH($D67,'[1]End - Use Prices'!$B$9:$B$11,0)-1,MATCH(BD$1,'[1]End - Use Prices'!$C$7:$AL$7,0))</f>
        <v>30.91</v>
      </c>
      <c r="BE67" s="41">
        <f>INDEX('[1]End - Use Prices'!$C$6:$AL$89,MATCH($C67,'[1]End - Use Prices'!$A$6:$A$89,0)+MATCH($D67,'[1]End - Use Prices'!$B$9:$B$11,0)-1,MATCH(BE$1,'[1]End - Use Prices'!$C$7:$AL$7,0))</f>
        <v>31.22</v>
      </c>
      <c r="BF67" s="41">
        <f>INDEX('[1]End - Use Prices'!$C$6:$AL$89,MATCH($C67,'[1]End - Use Prices'!$A$6:$A$89,0)+MATCH($D67,'[1]End - Use Prices'!$B$9:$B$11,0)-1,MATCH(BF$1,'[1]End - Use Prices'!$C$7:$AL$7,0))</f>
        <v>31.53</v>
      </c>
      <c r="BG67" s="41">
        <f>INDEX('[1]End - Use Prices'!$C$6:$AL$89,MATCH($C67,'[1]End - Use Prices'!$A$6:$A$89,0)+MATCH($D67,'[1]End - Use Prices'!$B$9:$B$11,0)-1,MATCH(BG$1,'[1]End - Use Prices'!$C$7:$AL$7,0))</f>
        <v>31.84</v>
      </c>
      <c r="BR67" s="39"/>
      <c r="BS67" s="39"/>
      <c r="BT67" s="39"/>
      <c r="BU67" s="39"/>
      <c r="BV67" s="39"/>
      <c r="BW67" s="39"/>
      <c r="BX67" s="39"/>
      <c r="BY67" s="39"/>
      <c r="BZ67" s="39"/>
      <c r="CA67" s="39"/>
    </row>
    <row r="68" spans="1:79" x14ac:dyDescent="0.25">
      <c r="A68" s="5"/>
      <c r="B68" s="3"/>
      <c r="C68" s="25" t="s">
        <v>92</v>
      </c>
      <c r="D68" s="25" t="s">
        <v>2</v>
      </c>
      <c r="E68" s="25" t="s">
        <v>313</v>
      </c>
      <c r="F68" s="74" t="s">
        <v>310</v>
      </c>
      <c r="G68" s="54">
        <f t="shared" si="54"/>
        <v>36.92</v>
      </c>
      <c r="H68" s="34">
        <f t="shared" si="55"/>
        <v>36.92</v>
      </c>
      <c r="I68" s="34">
        <f t="shared" si="55"/>
        <v>39.14</v>
      </c>
      <c r="J68" s="34">
        <f t="shared" si="55"/>
        <v>48.73</v>
      </c>
      <c r="K68" s="34">
        <f t="shared" si="55"/>
        <v>60.89</v>
      </c>
      <c r="L68" s="34">
        <f t="shared" si="55"/>
        <v>63.81</v>
      </c>
      <c r="M68" s="34">
        <f t="shared" si="55"/>
        <v>66.47</v>
      </c>
      <c r="N68" s="34">
        <f t="shared" si="55"/>
        <v>69.05</v>
      </c>
      <c r="O68" s="34">
        <f t="shared" si="55"/>
        <v>71.69</v>
      </c>
      <c r="P68" s="54">
        <f t="shared" ref="P68:Q68" si="62">O68</f>
        <v>71.69</v>
      </c>
      <c r="Q68" s="54">
        <f t="shared" si="62"/>
        <v>71.69</v>
      </c>
      <c r="R68" s="38"/>
      <c r="X68" s="41">
        <f>INDEX('[1]End - Use Prices'!$C$6:$AL$89,MATCH($C68,'[1]End - Use Prices'!$A$6:$A$89,0)+MATCH($D68,'[1]End - Use Prices'!$B$9:$B$11,0)-1,MATCH(X$1,'[1]End - Use Prices'!$C$7:$AL$7,0))</f>
        <v>36.92</v>
      </c>
      <c r="Y68" s="41">
        <f>INDEX('[1]End - Use Prices'!$C$6:$AL$89,MATCH($C68,'[1]End - Use Prices'!$A$6:$A$89,0)+MATCH($D68,'[1]End - Use Prices'!$B$9:$B$11,0)-1,MATCH(Y$1,'[1]End - Use Prices'!$C$7:$AL$7,0))</f>
        <v>40.86</v>
      </c>
      <c r="Z68" s="41">
        <f>INDEX('[1]End - Use Prices'!$C$6:$AL$89,MATCH($C68,'[1]End - Use Prices'!$A$6:$A$89,0)+MATCH($D68,'[1]End - Use Prices'!$B$9:$B$11,0)-1,MATCH(Z$1,'[1]End - Use Prices'!$C$7:$AL$7,0))</f>
        <v>40.64</v>
      </c>
      <c r="AA68" s="41">
        <f>INDEX('[1]End - Use Prices'!$C$6:$AL$89,MATCH($C68,'[1]End - Use Prices'!$A$6:$A$89,0)+MATCH($D68,'[1]End - Use Prices'!$B$9:$B$11,0)-1,MATCH(AA$1,'[1]End - Use Prices'!$C$7:$AL$7,0))</f>
        <v>37.31</v>
      </c>
      <c r="AB68" s="41">
        <f>INDEX('[1]End - Use Prices'!$C$6:$AL$89,MATCH($C68,'[1]End - Use Prices'!$A$6:$A$89,0)+MATCH($D68,'[1]End - Use Prices'!$B$9:$B$11,0)-1,MATCH(AB$1,'[1]End - Use Prices'!$C$7:$AL$7,0))</f>
        <v>39.53</v>
      </c>
      <c r="AC68" s="41">
        <f>INDEX('[1]End - Use Prices'!$C$6:$AL$89,MATCH($C68,'[1]End - Use Prices'!$A$6:$A$89,0)+MATCH($D68,'[1]End - Use Prices'!$B$9:$B$11,0)-1,MATCH(AC$1,'[1]End - Use Prices'!$C$7:$AL$7,0))</f>
        <v>39.14</v>
      </c>
      <c r="AD68" s="41">
        <f>INDEX('[1]End - Use Prices'!$C$6:$AL$89,MATCH($C68,'[1]End - Use Prices'!$A$6:$A$89,0)+MATCH($D68,'[1]End - Use Prices'!$B$9:$B$11,0)-1,MATCH(AD$1,'[1]End - Use Prices'!$C$7:$AL$7,0))</f>
        <v>40.4</v>
      </c>
      <c r="AE68" s="41">
        <f>INDEX('[1]End - Use Prices'!$C$6:$AL$89,MATCH($C68,'[1]End - Use Prices'!$A$6:$A$89,0)+MATCH($D68,'[1]End - Use Prices'!$B$9:$B$11,0)-1,MATCH(AE$1,'[1]End - Use Prices'!$C$7:$AL$7,0))</f>
        <v>42.06</v>
      </c>
      <c r="AF68" s="41">
        <f>INDEX('[1]End - Use Prices'!$C$6:$AL$89,MATCH($C68,'[1]End - Use Prices'!$A$6:$A$89,0)+MATCH($D68,'[1]End - Use Prices'!$B$9:$B$11,0)-1,MATCH(AF$1,'[1]End - Use Prices'!$C$7:$AL$7,0))</f>
        <v>42.96</v>
      </c>
      <c r="AG68" s="41">
        <f>INDEX('[1]End - Use Prices'!$C$6:$AL$89,MATCH($C68,'[1]End - Use Prices'!$A$6:$A$89,0)+MATCH($D68,'[1]End - Use Prices'!$B$9:$B$11,0)-1,MATCH(AG$1,'[1]End - Use Prices'!$C$7:$AL$7,0))</f>
        <v>46.39</v>
      </c>
      <c r="AH68" s="41">
        <f>INDEX('[1]End - Use Prices'!$C$6:$AL$89,MATCH($C68,'[1]End - Use Prices'!$A$6:$A$89,0)+MATCH($D68,'[1]End - Use Prices'!$B$9:$B$11,0)-1,MATCH(AH$1,'[1]End - Use Prices'!$C$7:$AL$7,0))</f>
        <v>48.73</v>
      </c>
      <c r="AI68" s="41">
        <f>INDEX('[1]End - Use Prices'!$C$6:$AL$89,MATCH($C68,'[1]End - Use Prices'!$A$6:$A$89,0)+MATCH($D68,'[1]End - Use Prices'!$B$9:$B$11,0)-1,MATCH(AI$1,'[1]End - Use Prices'!$C$7:$AL$7,0))</f>
        <v>58.38</v>
      </c>
      <c r="AJ68" s="41">
        <f>INDEX('[1]End - Use Prices'!$C$6:$AL$89,MATCH($C68,'[1]End - Use Prices'!$A$6:$A$89,0)+MATCH($D68,'[1]End - Use Prices'!$B$9:$B$11,0)-1,MATCH(AJ$1,'[1]End - Use Prices'!$C$7:$AL$7,0))</f>
        <v>58.96</v>
      </c>
      <c r="AK68" s="41">
        <f>INDEX('[1]End - Use Prices'!$C$6:$AL$89,MATCH($C68,'[1]End - Use Prices'!$A$6:$A$89,0)+MATCH($D68,'[1]End - Use Prices'!$B$9:$B$11,0)-1,MATCH(AK$1,'[1]End - Use Prices'!$C$7:$AL$7,0))</f>
        <v>59.62</v>
      </c>
      <c r="AL68" s="41">
        <f>INDEX('[1]End - Use Prices'!$C$6:$AL$89,MATCH($C68,'[1]End - Use Prices'!$A$6:$A$89,0)+MATCH($D68,'[1]End - Use Prices'!$B$9:$B$11,0)-1,MATCH(AL$1,'[1]End - Use Prices'!$C$7:$AL$7,0))</f>
        <v>60.27</v>
      </c>
      <c r="AM68" s="41">
        <f>INDEX('[1]End - Use Prices'!$C$6:$AL$89,MATCH($C68,'[1]End - Use Prices'!$A$6:$A$89,0)+MATCH($D68,'[1]End - Use Prices'!$B$9:$B$11,0)-1,MATCH(AM$1,'[1]End - Use Prices'!$C$7:$AL$7,0))</f>
        <v>60.89</v>
      </c>
      <c r="AN68" s="41">
        <f>INDEX('[1]End - Use Prices'!$C$6:$AL$89,MATCH($C68,'[1]End - Use Prices'!$A$6:$A$89,0)+MATCH($D68,'[1]End - Use Prices'!$B$9:$B$11,0)-1,MATCH(AN$1,'[1]End - Use Prices'!$C$7:$AL$7,0))</f>
        <v>61.51</v>
      </c>
      <c r="AO68" s="41">
        <f>INDEX('[1]End - Use Prices'!$C$6:$AL$89,MATCH($C68,'[1]End - Use Prices'!$A$6:$A$89,0)+MATCH($D68,'[1]End - Use Prices'!$B$9:$B$11,0)-1,MATCH(AO$1,'[1]End - Use Prices'!$C$7:$AL$7,0))</f>
        <v>62.1</v>
      </c>
      <c r="AP68" s="41">
        <f>INDEX('[1]End - Use Prices'!$C$6:$AL$89,MATCH($C68,'[1]End - Use Prices'!$A$6:$A$89,0)+MATCH($D68,'[1]End - Use Prices'!$B$9:$B$11,0)-1,MATCH(AP$1,'[1]End - Use Prices'!$C$7:$AL$7,0))</f>
        <v>62.68</v>
      </c>
      <c r="AQ68" s="41">
        <f>INDEX('[1]End - Use Prices'!$C$6:$AL$89,MATCH($C68,'[1]End - Use Prices'!$A$6:$A$89,0)+MATCH($D68,'[1]End - Use Prices'!$B$9:$B$11,0)-1,MATCH(AQ$1,'[1]End - Use Prices'!$C$7:$AL$7,0))</f>
        <v>63.25</v>
      </c>
      <c r="AR68" s="41">
        <f>INDEX('[1]End - Use Prices'!$C$6:$AL$89,MATCH($C68,'[1]End - Use Prices'!$A$6:$A$89,0)+MATCH($D68,'[1]End - Use Prices'!$B$9:$B$11,0)-1,MATCH(AR$1,'[1]End - Use Prices'!$C$7:$AL$7,0))</f>
        <v>63.81</v>
      </c>
      <c r="AS68" s="41">
        <f>INDEX('[1]End - Use Prices'!$C$6:$AL$89,MATCH($C68,'[1]End - Use Prices'!$A$6:$A$89,0)+MATCH($D68,'[1]End - Use Prices'!$B$9:$B$11,0)-1,MATCH(AS$1,'[1]End - Use Prices'!$C$7:$AL$7,0))</f>
        <v>64.36</v>
      </c>
      <c r="AT68" s="41">
        <f>INDEX('[1]End - Use Prices'!$C$6:$AL$89,MATCH($C68,'[1]End - Use Prices'!$A$6:$A$89,0)+MATCH($D68,'[1]End - Use Prices'!$B$9:$B$11,0)-1,MATCH(AT$1,'[1]End - Use Prices'!$C$7:$AL$7,0))</f>
        <v>64.900000000000006</v>
      </c>
      <c r="AU68" s="41">
        <f>INDEX('[1]End - Use Prices'!$C$6:$AL$89,MATCH($C68,'[1]End - Use Prices'!$A$6:$A$89,0)+MATCH($D68,'[1]End - Use Prices'!$B$9:$B$11,0)-1,MATCH(AU$1,'[1]End - Use Prices'!$C$7:$AL$7,0))</f>
        <v>65.430000000000007</v>
      </c>
      <c r="AV68" s="41">
        <f>INDEX('[1]End - Use Prices'!$C$6:$AL$89,MATCH($C68,'[1]End - Use Prices'!$A$6:$A$89,0)+MATCH($D68,'[1]End - Use Prices'!$B$9:$B$11,0)-1,MATCH(AV$1,'[1]End - Use Prices'!$C$7:$AL$7,0))</f>
        <v>65.95</v>
      </c>
      <c r="AW68" s="41">
        <f>INDEX('[1]End - Use Prices'!$C$6:$AL$89,MATCH($C68,'[1]End - Use Prices'!$A$6:$A$89,0)+MATCH($D68,'[1]End - Use Prices'!$B$9:$B$11,0)-1,MATCH(AW$1,'[1]End - Use Prices'!$C$7:$AL$7,0))</f>
        <v>66.47</v>
      </c>
      <c r="AX68" s="41">
        <f>INDEX('[1]End - Use Prices'!$C$6:$AL$89,MATCH($C68,'[1]End - Use Prices'!$A$6:$A$89,0)+MATCH($D68,'[1]End - Use Prices'!$B$9:$B$11,0)-1,MATCH(AX$1,'[1]End - Use Prices'!$C$7:$AL$7,0))</f>
        <v>66.989999999999995</v>
      </c>
      <c r="AY68" s="41">
        <f>INDEX('[1]End - Use Prices'!$C$6:$AL$89,MATCH($C68,'[1]End - Use Prices'!$A$6:$A$89,0)+MATCH($D68,'[1]End - Use Prices'!$B$9:$B$11,0)-1,MATCH(AY$1,'[1]End - Use Prices'!$C$7:$AL$7,0))</f>
        <v>67.510000000000005</v>
      </c>
      <c r="AZ68" s="41">
        <f>INDEX('[1]End - Use Prices'!$C$6:$AL$89,MATCH($C68,'[1]End - Use Prices'!$A$6:$A$89,0)+MATCH($D68,'[1]End - Use Prices'!$B$9:$B$11,0)-1,MATCH(AZ$1,'[1]End - Use Prices'!$C$7:$AL$7,0))</f>
        <v>68.02</v>
      </c>
      <c r="BA68" s="41">
        <f>INDEX('[1]End - Use Prices'!$C$6:$AL$89,MATCH($C68,'[1]End - Use Prices'!$A$6:$A$89,0)+MATCH($D68,'[1]End - Use Prices'!$B$9:$B$11,0)-1,MATCH(BA$1,'[1]End - Use Prices'!$C$7:$AL$7,0))</f>
        <v>68.53</v>
      </c>
      <c r="BB68" s="41">
        <f>INDEX('[1]End - Use Prices'!$C$6:$AL$89,MATCH($C68,'[1]End - Use Prices'!$A$6:$A$89,0)+MATCH($D68,'[1]End - Use Prices'!$B$9:$B$11,0)-1,MATCH(BB$1,'[1]End - Use Prices'!$C$7:$AL$7,0))</f>
        <v>69.05</v>
      </c>
      <c r="BC68" s="41">
        <f>INDEX('[1]End - Use Prices'!$C$6:$AL$89,MATCH($C68,'[1]End - Use Prices'!$A$6:$A$89,0)+MATCH($D68,'[1]End - Use Prices'!$B$9:$B$11,0)-1,MATCH(BC$1,'[1]End - Use Prices'!$C$7:$AL$7,0))</f>
        <v>69.569999999999993</v>
      </c>
      <c r="BD68" s="41">
        <f>INDEX('[1]End - Use Prices'!$C$6:$AL$89,MATCH($C68,'[1]End - Use Prices'!$A$6:$A$89,0)+MATCH($D68,'[1]End - Use Prices'!$B$9:$B$11,0)-1,MATCH(BD$1,'[1]End - Use Prices'!$C$7:$AL$7,0))</f>
        <v>70.09</v>
      </c>
      <c r="BE68" s="41">
        <f>INDEX('[1]End - Use Prices'!$C$6:$AL$89,MATCH($C68,'[1]End - Use Prices'!$A$6:$A$89,0)+MATCH($D68,'[1]End - Use Prices'!$B$9:$B$11,0)-1,MATCH(BE$1,'[1]End - Use Prices'!$C$7:$AL$7,0))</f>
        <v>70.62</v>
      </c>
      <c r="BF68" s="41">
        <f>INDEX('[1]End - Use Prices'!$C$6:$AL$89,MATCH($C68,'[1]End - Use Prices'!$A$6:$A$89,0)+MATCH($D68,'[1]End - Use Prices'!$B$9:$B$11,0)-1,MATCH(BF$1,'[1]End - Use Prices'!$C$7:$AL$7,0))</f>
        <v>71.150000000000006</v>
      </c>
      <c r="BG68" s="41">
        <f>INDEX('[1]End - Use Prices'!$C$6:$AL$89,MATCH($C68,'[1]End - Use Prices'!$A$6:$A$89,0)+MATCH($D68,'[1]End - Use Prices'!$B$9:$B$11,0)-1,MATCH(BG$1,'[1]End - Use Prices'!$C$7:$AL$7,0))</f>
        <v>71.69</v>
      </c>
      <c r="BR68" s="39"/>
      <c r="BS68" s="39"/>
      <c r="BT68" s="39"/>
      <c r="BU68" s="39"/>
      <c r="BV68" s="39"/>
      <c r="BW68" s="39"/>
      <c r="BX68" s="39"/>
      <c r="BY68" s="39"/>
      <c r="BZ68" s="39"/>
      <c r="CA68" s="39"/>
    </row>
    <row r="69" spans="1:79" x14ac:dyDescent="0.25">
      <c r="A69" s="5"/>
      <c r="B69" s="3"/>
      <c r="C69" s="25" t="s">
        <v>93</v>
      </c>
      <c r="D69" s="25" t="s">
        <v>2</v>
      </c>
      <c r="E69" s="25" t="s">
        <v>313</v>
      </c>
      <c r="F69" s="74" t="s">
        <v>310</v>
      </c>
      <c r="G69" s="54">
        <f t="shared" si="54"/>
        <v>23.08</v>
      </c>
      <c r="H69" s="34">
        <f t="shared" si="55"/>
        <v>23.08</v>
      </c>
      <c r="I69" s="34">
        <f t="shared" si="55"/>
        <v>24.17</v>
      </c>
      <c r="J69" s="34">
        <f t="shared" si="55"/>
        <v>26.03</v>
      </c>
      <c r="K69" s="34">
        <f t="shared" si="55"/>
        <v>28.24</v>
      </c>
      <c r="L69" s="34">
        <f t="shared" si="55"/>
        <v>29.99</v>
      </c>
      <c r="M69" s="34">
        <f t="shared" si="55"/>
        <v>31.58</v>
      </c>
      <c r="N69" s="34">
        <f t="shared" si="55"/>
        <v>32.82</v>
      </c>
      <c r="O69" s="34">
        <f t="shared" si="55"/>
        <v>33.51</v>
      </c>
      <c r="P69" s="54">
        <f t="shared" ref="P69:Q69" si="63">O69</f>
        <v>33.51</v>
      </c>
      <c r="Q69" s="54">
        <f t="shared" si="63"/>
        <v>33.51</v>
      </c>
      <c r="R69" s="38"/>
      <c r="X69" s="41">
        <f>INDEX('[1]End - Use Prices'!$C$6:$AL$89,MATCH($C69,'[1]End - Use Prices'!$A$6:$A$89,0)+MATCH($D69,'[1]End - Use Prices'!$B$9:$B$11,0)-1,MATCH(X$1,'[1]End - Use Prices'!$C$7:$AL$7,0))</f>
        <v>23.08</v>
      </c>
      <c r="Y69" s="41">
        <f>INDEX('[1]End - Use Prices'!$C$6:$AL$89,MATCH($C69,'[1]End - Use Prices'!$A$6:$A$89,0)+MATCH($D69,'[1]End - Use Prices'!$B$9:$B$11,0)-1,MATCH(Y$1,'[1]End - Use Prices'!$C$7:$AL$7,0))</f>
        <v>23.95</v>
      </c>
      <c r="Z69" s="41">
        <f>INDEX('[1]End - Use Prices'!$C$6:$AL$89,MATCH($C69,'[1]End - Use Prices'!$A$6:$A$89,0)+MATCH($D69,'[1]End - Use Prices'!$B$9:$B$11,0)-1,MATCH(Z$1,'[1]End - Use Prices'!$C$7:$AL$7,0))</f>
        <v>23.39</v>
      </c>
      <c r="AA69" s="41">
        <f>INDEX('[1]End - Use Prices'!$C$6:$AL$89,MATCH($C69,'[1]End - Use Prices'!$A$6:$A$89,0)+MATCH($D69,'[1]End - Use Prices'!$B$9:$B$11,0)-1,MATCH(AA$1,'[1]End - Use Prices'!$C$7:$AL$7,0))</f>
        <v>22.1</v>
      </c>
      <c r="AB69" s="41">
        <f>INDEX('[1]End - Use Prices'!$C$6:$AL$89,MATCH($C69,'[1]End - Use Prices'!$A$6:$A$89,0)+MATCH($D69,'[1]End - Use Prices'!$B$9:$B$11,0)-1,MATCH(AB$1,'[1]End - Use Prices'!$C$7:$AL$7,0))</f>
        <v>24.37</v>
      </c>
      <c r="AC69" s="41">
        <f>INDEX('[1]End - Use Prices'!$C$6:$AL$89,MATCH($C69,'[1]End - Use Prices'!$A$6:$A$89,0)+MATCH($D69,'[1]End - Use Prices'!$B$9:$B$11,0)-1,MATCH(AC$1,'[1]End - Use Prices'!$C$7:$AL$7,0))</f>
        <v>24.17</v>
      </c>
      <c r="AD69" s="41">
        <f>INDEX('[1]End - Use Prices'!$C$6:$AL$89,MATCH($C69,'[1]End - Use Prices'!$A$6:$A$89,0)+MATCH($D69,'[1]End - Use Prices'!$B$9:$B$11,0)-1,MATCH(AD$1,'[1]End - Use Prices'!$C$7:$AL$7,0))</f>
        <v>24.13</v>
      </c>
      <c r="AE69" s="41">
        <f>INDEX('[1]End - Use Prices'!$C$6:$AL$89,MATCH($C69,'[1]End - Use Prices'!$A$6:$A$89,0)+MATCH($D69,'[1]End - Use Prices'!$B$9:$B$11,0)-1,MATCH(AE$1,'[1]End - Use Prices'!$C$7:$AL$7,0))</f>
        <v>24.35</v>
      </c>
      <c r="AF69" s="41">
        <f>INDEX('[1]End - Use Prices'!$C$6:$AL$89,MATCH($C69,'[1]End - Use Prices'!$A$6:$A$89,0)+MATCH($D69,'[1]End - Use Prices'!$B$9:$B$11,0)-1,MATCH(AF$1,'[1]End - Use Prices'!$C$7:$AL$7,0))</f>
        <v>24.49</v>
      </c>
      <c r="AG69" s="41">
        <f>INDEX('[1]End - Use Prices'!$C$6:$AL$89,MATCH($C69,'[1]End - Use Prices'!$A$6:$A$89,0)+MATCH($D69,'[1]End - Use Prices'!$B$9:$B$11,0)-1,MATCH(AG$1,'[1]End - Use Prices'!$C$7:$AL$7,0))</f>
        <v>25.11</v>
      </c>
      <c r="AH69" s="41">
        <f>INDEX('[1]End - Use Prices'!$C$6:$AL$89,MATCH($C69,'[1]End - Use Prices'!$A$6:$A$89,0)+MATCH($D69,'[1]End - Use Prices'!$B$9:$B$11,0)-1,MATCH(AH$1,'[1]End - Use Prices'!$C$7:$AL$7,0))</f>
        <v>26.03</v>
      </c>
      <c r="AI69" s="41">
        <f>INDEX('[1]End - Use Prices'!$C$6:$AL$89,MATCH($C69,'[1]End - Use Prices'!$A$6:$A$89,0)+MATCH($D69,'[1]End - Use Prices'!$B$9:$B$11,0)-1,MATCH(AI$1,'[1]End - Use Prices'!$C$7:$AL$7,0))</f>
        <v>26.89</v>
      </c>
      <c r="AJ69" s="41">
        <f>INDEX('[1]End - Use Prices'!$C$6:$AL$89,MATCH($C69,'[1]End - Use Prices'!$A$6:$A$89,0)+MATCH($D69,'[1]End - Use Prices'!$B$9:$B$11,0)-1,MATCH(AJ$1,'[1]End - Use Prices'!$C$7:$AL$7,0))</f>
        <v>27.19</v>
      </c>
      <c r="AK69" s="41">
        <f>INDEX('[1]End - Use Prices'!$C$6:$AL$89,MATCH($C69,'[1]End - Use Prices'!$A$6:$A$89,0)+MATCH($D69,'[1]End - Use Prices'!$B$9:$B$11,0)-1,MATCH(AK$1,'[1]End - Use Prices'!$C$7:$AL$7,0))</f>
        <v>27.53</v>
      </c>
      <c r="AL69" s="41">
        <f>INDEX('[1]End - Use Prices'!$C$6:$AL$89,MATCH($C69,'[1]End - Use Prices'!$A$6:$A$89,0)+MATCH($D69,'[1]End - Use Prices'!$B$9:$B$11,0)-1,MATCH(AL$1,'[1]End - Use Prices'!$C$7:$AL$7,0))</f>
        <v>27.88</v>
      </c>
      <c r="AM69" s="41">
        <f>INDEX('[1]End - Use Prices'!$C$6:$AL$89,MATCH($C69,'[1]End - Use Prices'!$A$6:$A$89,0)+MATCH($D69,'[1]End - Use Prices'!$B$9:$B$11,0)-1,MATCH(AM$1,'[1]End - Use Prices'!$C$7:$AL$7,0))</f>
        <v>28.24</v>
      </c>
      <c r="AN69" s="41">
        <f>INDEX('[1]End - Use Prices'!$C$6:$AL$89,MATCH($C69,'[1]End - Use Prices'!$A$6:$A$89,0)+MATCH($D69,'[1]End - Use Prices'!$B$9:$B$11,0)-1,MATCH(AN$1,'[1]End - Use Prices'!$C$7:$AL$7,0))</f>
        <v>28.59</v>
      </c>
      <c r="AO69" s="41">
        <f>INDEX('[1]End - Use Prices'!$C$6:$AL$89,MATCH($C69,'[1]End - Use Prices'!$A$6:$A$89,0)+MATCH($D69,'[1]End - Use Prices'!$B$9:$B$11,0)-1,MATCH(AO$1,'[1]End - Use Prices'!$C$7:$AL$7,0))</f>
        <v>28.94</v>
      </c>
      <c r="AP69" s="41">
        <f>INDEX('[1]End - Use Prices'!$C$6:$AL$89,MATCH($C69,'[1]End - Use Prices'!$A$6:$A$89,0)+MATCH($D69,'[1]End - Use Prices'!$B$9:$B$11,0)-1,MATCH(AP$1,'[1]End - Use Prices'!$C$7:$AL$7,0))</f>
        <v>29.29</v>
      </c>
      <c r="AQ69" s="41">
        <f>INDEX('[1]End - Use Prices'!$C$6:$AL$89,MATCH($C69,'[1]End - Use Prices'!$A$6:$A$89,0)+MATCH($D69,'[1]End - Use Prices'!$B$9:$B$11,0)-1,MATCH(AQ$1,'[1]End - Use Prices'!$C$7:$AL$7,0))</f>
        <v>29.64</v>
      </c>
      <c r="AR69" s="41">
        <f>INDEX('[1]End - Use Prices'!$C$6:$AL$89,MATCH($C69,'[1]End - Use Prices'!$A$6:$A$89,0)+MATCH($D69,'[1]End - Use Prices'!$B$9:$B$11,0)-1,MATCH(AR$1,'[1]End - Use Prices'!$C$7:$AL$7,0))</f>
        <v>29.99</v>
      </c>
      <c r="AS69" s="41">
        <f>INDEX('[1]End - Use Prices'!$C$6:$AL$89,MATCH($C69,'[1]End - Use Prices'!$A$6:$A$89,0)+MATCH($D69,'[1]End - Use Prices'!$B$9:$B$11,0)-1,MATCH(AS$1,'[1]End - Use Prices'!$C$7:$AL$7,0))</f>
        <v>30.32</v>
      </c>
      <c r="AT69" s="41">
        <f>INDEX('[1]End - Use Prices'!$C$6:$AL$89,MATCH($C69,'[1]End - Use Prices'!$A$6:$A$89,0)+MATCH($D69,'[1]End - Use Prices'!$B$9:$B$11,0)-1,MATCH(AT$1,'[1]End - Use Prices'!$C$7:$AL$7,0))</f>
        <v>30.65</v>
      </c>
      <c r="AU69" s="41">
        <f>INDEX('[1]End - Use Prices'!$C$6:$AL$89,MATCH($C69,'[1]End - Use Prices'!$A$6:$A$89,0)+MATCH($D69,'[1]End - Use Prices'!$B$9:$B$11,0)-1,MATCH(AU$1,'[1]End - Use Prices'!$C$7:$AL$7,0))</f>
        <v>30.97</v>
      </c>
      <c r="AV69" s="41">
        <f>INDEX('[1]End - Use Prices'!$C$6:$AL$89,MATCH($C69,'[1]End - Use Prices'!$A$6:$A$89,0)+MATCH($D69,'[1]End - Use Prices'!$B$9:$B$11,0)-1,MATCH(AV$1,'[1]End - Use Prices'!$C$7:$AL$7,0))</f>
        <v>31.28</v>
      </c>
      <c r="AW69" s="41">
        <f>INDEX('[1]End - Use Prices'!$C$6:$AL$89,MATCH($C69,'[1]End - Use Prices'!$A$6:$A$89,0)+MATCH($D69,'[1]End - Use Prices'!$B$9:$B$11,0)-1,MATCH(AW$1,'[1]End - Use Prices'!$C$7:$AL$7,0))</f>
        <v>31.58</v>
      </c>
      <c r="AX69" s="41">
        <f>INDEX('[1]End - Use Prices'!$C$6:$AL$89,MATCH($C69,'[1]End - Use Prices'!$A$6:$A$89,0)+MATCH($D69,'[1]End - Use Prices'!$B$9:$B$11,0)-1,MATCH(AX$1,'[1]End - Use Prices'!$C$7:$AL$7,0))</f>
        <v>31.86</v>
      </c>
      <c r="AY69" s="41">
        <f>INDEX('[1]End - Use Prices'!$C$6:$AL$89,MATCH($C69,'[1]End - Use Prices'!$A$6:$A$89,0)+MATCH($D69,'[1]End - Use Prices'!$B$9:$B$11,0)-1,MATCH(AY$1,'[1]End - Use Prices'!$C$7:$AL$7,0))</f>
        <v>32.130000000000003</v>
      </c>
      <c r="AZ69" s="41">
        <f>INDEX('[1]End - Use Prices'!$C$6:$AL$89,MATCH($C69,'[1]End - Use Prices'!$A$6:$A$89,0)+MATCH($D69,'[1]End - Use Prices'!$B$9:$B$11,0)-1,MATCH(AZ$1,'[1]End - Use Prices'!$C$7:$AL$7,0))</f>
        <v>32.380000000000003</v>
      </c>
      <c r="BA69" s="41">
        <f>INDEX('[1]End - Use Prices'!$C$6:$AL$89,MATCH($C69,'[1]End - Use Prices'!$A$6:$A$89,0)+MATCH($D69,'[1]End - Use Prices'!$B$9:$B$11,0)-1,MATCH(BA$1,'[1]End - Use Prices'!$C$7:$AL$7,0))</f>
        <v>32.61</v>
      </c>
      <c r="BB69" s="41">
        <f>INDEX('[1]End - Use Prices'!$C$6:$AL$89,MATCH($C69,'[1]End - Use Prices'!$A$6:$A$89,0)+MATCH($D69,'[1]End - Use Prices'!$B$9:$B$11,0)-1,MATCH(BB$1,'[1]End - Use Prices'!$C$7:$AL$7,0))</f>
        <v>32.82</v>
      </c>
      <c r="BC69" s="41">
        <f>INDEX('[1]End - Use Prices'!$C$6:$AL$89,MATCH($C69,'[1]End - Use Prices'!$A$6:$A$89,0)+MATCH($D69,'[1]End - Use Prices'!$B$9:$B$11,0)-1,MATCH(BC$1,'[1]End - Use Prices'!$C$7:$AL$7,0))</f>
        <v>33.01</v>
      </c>
      <c r="BD69" s="41">
        <f>INDEX('[1]End - Use Prices'!$C$6:$AL$89,MATCH($C69,'[1]End - Use Prices'!$A$6:$A$89,0)+MATCH($D69,'[1]End - Use Prices'!$B$9:$B$11,0)-1,MATCH(BD$1,'[1]End - Use Prices'!$C$7:$AL$7,0))</f>
        <v>33.17</v>
      </c>
      <c r="BE69" s="41">
        <f>INDEX('[1]End - Use Prices'!$C$6:$AL$89,MATCH($C69,'[1]End - Use Prices'!$A$6:$A$89,0)+MATCH($D69,'[1]End - Use Prices'!$B$9:$B$11,0)-1,MATCH(BE$1,'[1]End - Use Prices'!$C$7:$AL$7,0))</f>
        <v>33.31</v>
      </c>
      <c r="BF69" s="41">
        <f>INDEX('[1]End - Use Prices'!$C$6:$AL$89,MATCH($C69,'[1]End - Use Prices'!$A$6:$A$89,0)+MATCH($D69,'[1]End - Use Prices'!$B$9:$B$11,0)-1,MATCH(BF$1,'[1]End - Use Prices'!$C$7:$AL$7,0))</f>
        <v>33.43</v>
      </c>
      <c r="BG69" s="41">
        <f>INDEX('[1]End - Use Prices'!$C$6:$AL$89,MATCH($C69,'[1]End - Use Prices'!$A$6:$A$89,0)+MATCH($D69,'[1]End - Use Prices'!$B$9:$B$11,0)-1,MATCH(BG$1,'[1]End - Use Prices'!$C$7:$AL$7,0))</f>
        <v>33.51</v>
      </c>
      <c r="BR69" s="39"/>
      <c r="BS69" s="39"/>
      <c r="BT69" s="39"/>
      <c r="BU69" s="39"/>
      <c r="BV69" s="39"/>
      <c r="BW69" s="39"/>
      <c r="BX69" s="39"/>
      <c r="BY69" s="39"/>
      <c r="BZ69" s="39"/>
      <c r="CA69" s="39"/>
    </row>
    <row r="70" spans="1:79" x14ac:dyDescent="0.25">
      <c r="A70" s="5"/>
      <c r="B70" s="3"/>
      <c r="C70" s="25" t="s">
        <v>94</v>
      </c>
      <c r="D70" s="25" t="s">
        <v>2</v>
      </c>
      <c r="E70" s="25" t="s">
        <v>313</v>
      </c>
      <c r="F70" s="74" t="s">
        <v>310</v>
      </c>
      <c r="G70" s="54">
        <f t="shared" si="54"/>
        <v>36.07</v>
      </c>
      <c r="H70" s="34">
        <f t="shared" si="55"/>
        <v>36.07</v>
      </c>
      <c r="I70" s="34">
        <f t="shared" si="55"/>
        <v>42.93</v>
      </c>
      <c r="J70" s="34">
        <f t="shared" si="55"/>
        <v>48.06</v>
      </c>
      <c r="K70" s="34">
        <f t="shared" si="55"/>
        <v>51.84</v>
      </c>
      <c r="L70" s="34">
        <f t="shared" si="55"/>
        <v>54.59</v>
      </c>
      <c r="M70" s="34">
        <f t="shared" si="55"/>
        <v>56.35</v>
      </c>
      <c r="N70" s="34">
        <f t="shared" si="55"/>
        <v>57.81</v>
      </c>
      <c r="O70" s="34">
        <f t="shared" si="55"/>
        <v>59.66</v>
      </c>
      <c r="P70" s="54">
        <f t="shared" ref="P70:Q70" si="64">O70</f>
        <v>59.66</v>
      </c>
      <c r="Q70" s="54">
        <f t="shared" si="64"/>
        <v>59.66</v>
      </c>
      <c r="R70" s="38"/>
      <c r="X70" s="41">
        <f>INDEX('[1]End - Use Prices'!$C$6:$AL$89,MATCH($C70,'[1]End - Use Prices'!$A$6:$A$89,0)+MATCH($D70,'[1]End - Use Prices'!$B$9:$B$11,0)-1,MATCH(X$1,'[1]End - Use Prices'!$C$7:$AL$7,0))</f>
        <v>36.07</v>
      </c>
      <c r="Y70" s="41">
        <f>INDEX('[1]End - Use Prices'!$C$6:$AL$89,MATCH($C70,'[1]End - Use Prices'!$A$6:$A$89,0)+MATCH($D70,'[1]End - Use Prices'!$B$9:$B$11,0)-1,MATCH(Y$1,'[1]End - Use Prices'!$C$7:$AL$7,0))</f>
        <v>42.3</v>
      </c>
      <c r="Z70" s="41">
        <f>INDEX('[1]End - Use Prices'!$C$6:$AL$89,MATCH($C70,'[1]End - Use Prices'!$A$6:$A$89,0)+MATCH($D70,'[1]End - Use Prices'!$B$9:$B$11,0)-1,MATCH(Z$1,'[1]End - Use Prices'!$C$7:$AL$7,0))</f>
        <v>41.68</v>
      </c>
      <c r="AA70" s="41">
        <f>INDEX('[1]End - Use Prices'!$C$6:$AL$89,MATCH($C70,'[1]End - Use Prices'!$A$6:$A$89,0)+MATCH($D70,'[1]End - Use Prices'!$B$9:$B$11,0)-1,MATCH(AA$1,'[1]End - Use Prices'!$C$7:$AL$7,0))</f>
        <v>39.369999999999997</v>
      </c>
      <c r="AB70" s="41">
        <f>INDEX('[1]End - Use Prices'!$C$6:$AL$89,MATCH($C70,'[1]End - Use Prices'!$A$6:$A$89,0)+MATCH($D70,'[1]End - Use Prices'!$B$9:$B$11,0)-1,MATCH(AB$1,'[1]End - Use Prices'!$C$7:$AL$7,0))</f>
        <v>40.299999999999997</v>
      </c>
      <c r="AC70" s="41">
        <f>INDEX('[1]End - Use Prices'!$C$6:$AL$89,MATCH($C70,'[1]End - Use Prices'!$A$6:$A$89,0)+MATCH($D70,'[1]End - Use Prices'!$B$9:$B$11,0)-1,MATCH(AC$1,'[1]End - Use Prices'!$C$7:$AL$7,0))</f>
        <v>42.93</v>
      </c>
      <c r="AD70" s="41">
        <f>INDEX('[1]End - Use Prices'!$C$6:$AL$89,MATCH($C70,'[1]End - Use Prices'!$A$6:$A$89,0)+MATCH($D70,'[1]End - Use Prices'!$B$9:$B$11,0)-1,MATCH(AD$1,'[1]End - Use Prices'!$C$7:$AL$7,0))</f>
        <v>43.6</v>
      </c>
      <c r="AE70" s="41">
        <f>INDEX('[1]End - Use Prices'!$C$6:$AL$89,MATCH($C70,'[1]End - Use Prices'!$A$6:$A$89,0)+MATCH($D70,'[1]End - Use Prices'!$B$9:$B$11,0)-1,MATCH(AE$1,'[1]End - Use Prices'!$C$7:$AL$7,0))</f>
        <v>43.08</v>
      </c>
      <c r="AF70" s="41">
        <f>INDEX('[1]End - Use Prices'!$C$6:$AL$89,MATCH($C70,'[1]End - Use Prices'!$A$6:$A$89,0)+MATCH($D70,'[1]End - Use Prices'!$B$9:$B$11,0)-1,MATCH(AF$1,'[1]End - Use Prices'!$C$7:$AL$7,0))</f>
        <v>44.44</v>
      </c>
      <c r="AG70" s="41">
        <f>INDEX('[1]End - Use Prices'!$C$6:$AL$89,MATCH($C70,'[1]End - Use Prices'!$A$6:$A$89,0)+MATCH($D70,'[1]End - Use Prices'!$B$9:$B$11,0)-1,MATCH(AG$1,'[1]End - Use Prices'!$C$7:$AL$7,0))</f>
        <v>46.3</v>
      </c>
      <c r="AH70" s="41">
        <f>INDEX('[1]End - Use Prices'!$C$6:$AL$89,MATCH($C70,'[1]End - Use Prices'!$A$6:$A$89,0)+MATCH($D70,'[1]End - Use Prices'!$B$9:$B$11,0)-1,MATCH(AH$1,'[1]End - Use Prices'!$C$7:$AL$7,0))</f>
        <v>48.06</v>
      </c>
      <c r="AI70" s="41">
        <f>INDEX('[1]End - Use Prices'!$C$6:$AL$89,MATCH($C70,'[1]End - Use Prices'!$A$6:$A$89,0)+MATCH($D70,'[1]End - Use Prices'!$B$9:$B$11,0)-1,MATCH(AI$1,'[1]End - Use Prices'!$C$7:$AL$7,0))</f>
        <v>48.66</v>
      </c>
      <c r="AJ70" s="41">
        <f>INDEX('[1]End - Use Prices'!$C$6:$AL$89,MATCH($C70,'[1]End - Use Prices'!$A$6:$A$89,0)+MATCH($D70,'[1]End - Use Prices'!$B$9:$B$11,0)-1,MATCH(AJ$1,'[1]End - Use Prices'!$C$7:$AL$7,0))</f>
        <v>49.42</v>
      </c>
      <c r="AK70" s="41">
        <f>INDEX('[1]End - Use Prices'!$C$6:$AL$89,MATCH($C70,'[1]End - Use Prices'!$A$6:$A$89,0)+MATCH($D70,'[1]End - Use Prices'!$B$9:$B$11,0)-1,MATCH(AK$1,'[1]End - Use Prices'!$C$7:$AL$7,0))</f>
        <v>50.31</v>
      </c>
      <c r="AL70" s="41">
        <f>INDEX('[1]End - Use Prices'!$C$6:$AL$89,MATCH($C70,'[1]End - Use Prices'!$A$6:$A$89,0)+MATCH($D70,'[1]End - Use Prices'!$B$9:$B$11,0)-1,MATCH(AL$1,'[1]End - Use Prices'!$C$7:$AL$7,0))</f>
        <v>51.11</v>
      </c>
      <c r="AM70" s="41">
        <f>INDEX('[1]End - Use Prices'!$C$6:$AL$89,MATCH($C70,'[1]End - Use Prices'!$A$6:$A$89,0)+MATCH($D70,'[1]End - Use Prices'!$B$9:$B$11,0)-1,MATCH(AM$1,'[1]End - Use Prices'!$C$7:$AL$7,0))</f>
        <v>51.84</v>
      </c>
      <c r="AN70" s="41">
        <f>INDEX('[1]End - Use Prices'!$C$6:$AL$89,MATCH($C70,'[1]End - Use Prices'!$A$6:$A$89,0)+MATCH($D70,'[1]End - Use Prices'!$B$9:$B$11,0)-1,MATCH(AN$1,'[1]End - Use Prices'!$C$7:$AL$7,0))</f>
        <v>52.5</v>
      </c>
      <c r="AO70" s="41">
        <f>INDEX('[1]End - Use Prices'!$C$6:$AL$89,MATCH($C70,'[1]End - Use Prices'!$A$6:$A$89,0)+MATCH($D70,'[1]End - Use Prices'!$B$9:$B$11,0)-1,MATCH(AO$1,'[1]End - Use Prices'!$C$7:$AL$7,0))</f>
        <v>53.11</v>
      </c>
      <c r="AP70" s="41">
        <f>INDEX('[1]End - Use Prices'!$C$6:$AL$89,MATCH($C70,'[1]End - Use Prices'!$A$6:$A$89,0)+MATCH($D70,'[1]End - Use Prices'!$B$9:$B$11,0)-1,MATCH(AP$1,'[1]End - Use Prices'!$C$7:$AL$7,0))</f>
        <v>53.65</v>
      </c>
      <c r="AQ70" s="41">
        <f>INDEX('[1]End - Use Prices'!$C$6:$AL$89,MATCH($C70,'[1]End - Use Prices'!$A$6:$A$89,0)+MATCH($D70,'[1]End - Use Prices'!$B$9:$B$11,0)-1,MATCH(AQ$1,'[1]End - Use Prices'!$C$7:$AL$7,0))</f>
        <v>54.15</v>
      </c>
      <c r="AR70" s="41">
        <f>INDEX('[1]End - Use Prices'!$C$6:$AL$89,MATCH($C70,'[1]End - Use Prices'!$A$6:$A$89,0)+MATCH($D70,'[1]End - Use Prices'!$B$9:$B$11,0)-1,MATCH(AR$1,'[1]End - Use Prices'!$C$7:$AL$7,0))</f>
        <v>54.59</v>
      </c>
      <c r="AS70" s="41">
        <f>INDEX('[1]End - Use Prices'!$C$6:$AL$89,MATCH($C70,'[1]End - Use Prices'!$A$6:$A$89,0)+MATCH($D70,'[1]End - Use Prices'!$B$9:$B$11,0)-1,MATCH(AS$1,'[1]End - Use Prices'!$C$7:$AL$7,0))</f>
        <v>55</v>
      </c>
      <c r="AT70" s="41">
        <f>INDEX('[1]End - Use Prices'!$C$6:$AL$89,MATCH($C70,'[1]End - Use Prices'!$A$6:$A$89,0)+MATCH($D70,'[1]End - Use Prices'!$B$9:$B$11,0)-1,MATCH(AT$1,'[1]End - Use Prices'!$C$7:$AL$7,0))</f>
        <v>55.38</v>
      </c>
      <c r="AU70" s="41">
        <f>INDEX('[1]End - Use Prices'!$C$6:$AL$89,MATCH($C70,'[1]End - Use Prices'!$A$6:$A$89,0)+MATCH($D70,'[1]End - Use Prices'!$B$9:$B$11,0)-1,MATCH(AU$1,'[1]End - Use Prices'!$C$7:$AL$7,0))</f>
        <v>55.73</v>
      </c>
      <c r="AV70" s="41">
        <f>INDEX('[1]End - Use Prices'!$C$6:$AL$89,MATCH($C70,'[1]End - Use Prices'!$A$6:$A$89,0)+MATCH($D70,'[1]End - Use Prices'!$B$9:$B$11,0)-1,MATCH(AV$1,'[1]End - Use Prices'!$C$7:$AL$7,0))</f>
        <v>56.05</v>
      </c>
      <c r="AW70" s="41">
        <f>INDEX('[1]End - Use Prices'!$C$6:$AL$89,MATCH($C70,'[1]End - Use Prices'!$A$6:$A$89,0)+MATCH($D70,'[1]End - Use Prices'!$B$9:$B$11,0)-1,MATCH(AW$1,'[1]End - Use Prices'!$C$7:$AL$7,0))</f>
        <v>56.35</v>
      </c>
      <c r="AX70" s="41">
        <f>INDEX('[1]End - Use Prices'!$C$6:$AL$89,MATCH($C70,'[1]End - Use Prices'!$A$6:$A$89,0)+MATCH($D70,'[1]End - Use Prices'!$B$9:$B$11,0)-1,MATCH(AX$1,'[1]End - Use Prices'!$C$7:$AL$7,0))</f>
        <v>56.65</v>
      </c>
      <c r="AY70" s="41">
        <f>INDEX('[1]End - Use Prices'!$C$6:$AL$89,MATCH($C70,'[1]End - Use Prices'!$A$6:$A$89,0)+MATCH($D70,'[1]End - Use Prices'!$B$9:$B$11,0)-1,MATCH(AY$1,'[1]End - Use Prices'!$C$7:$AL$7,0))</f>
        <v>56.93</v>
      </c>
      <c r="AZ70" s="41">
        <f>INDEX('[1]End - Use Prices'!$C$6:$AL$89,MATCH($C70,'[1]End - Use Prices'!$A$6:$A$89,0)+MATCH($D70,'[1]End - Use Prices'!$B$9:$B$11,0)-1,MATCH(AZ$1,'[1]End - Use Prices'!$C$7:$AL$7,0))</f>
        <v>57.22</v>
      </c>
      <c r="BA70" s="41">
        <f>INDEX('[1]End - Use Prices'!$C$6:$AL$89,MATCH($C70,'[1]End - Use Prices'!$A$6:$A$89,0)+MATCH($D70,'[1]End - Use Prices'!$B$9:$B$11,0)-1,MATCH(BA$1,'[1]End - Use Prices'!$C$7:$AL$7,0))</f>
        <v>57.51</v>
      </c>
      <c r="BB70" s="41">
        <f>INDEX('[1]End - Use Prices'!$C$6:$AL$89,MATCH($C70,'[1]End - Use Prices'!$A$6:$A$89,0)+MATCH($D70,'[1]End - Use Prices'!$B$9:$B$11,0)-1,MATCH(BB$1,'[1]End - Use Prices'!$C$7:$AL$7,0))</f>
        <v>57.81</v>
      </c>
      <c r="BC70" s="41">
        <f>INDEX('[1]End - Use Prices'!$C$6:$AL$89,MATCH($C70,'[1]End - Use Prices'!$A$6:$A$89,0)+MATCH($D70,'[1]End - Use Prices'!$B$9:$B$11,0)-1,MATCH(BC$1,'[1]End - Use Prices'!$C$7:$AL$7,0))</f>
        <v>58.13</v>
      </c>
      <c r="BD70" s="41">
        <f>INDEX('[1]End - Use Prices'!$C$6:$AL$89,MATCH($C70,'[1]End - Use Prices'!$A$6:$A$89,0)+MATCH($D70,'[1]End - Use Prices'!$B$9:$B$11,0)-1,MATCH(BD$1,'[1]End - Use Prices'!$C$7:$AL$7,0))</f>
        <v>58.47</v>
      </c>
      <c r="BE70" s="41">
        <f>INDEX('[1]End - Use Prices'!$C$6:$AL$89,MATCH($C70,'[1]End - Use Prices'!$A$6:$A$89,0)+MATCH($D70,'[1]End - Use Prices'!$B$9:$B$11,0)-1,MATCH(BE$1,'[1]End - Use Prices'!$C$7:$AL$7,0))</f>
        <v>58.83</v>
      </c>
      <c r="BF70" s="41">
        <f>INDEX('[1]End - Use Prices'!$C$6:$AL$89,MATCH($C70,'[1]End - Use Prices'!$A$6:$A$89,0)+MATCH($D70,'[1]End - Use Prices'!$B$9:$B$11,0)-1,MATCH(BF$1,'[1]End - Use Prices'!$C$7:$AL$7,0))</f>
        <v>59.23</v>
      </c>
      <c r="BG70" s="41">
        <f>INDEX('[1]End - Use Prices'!$C$6:$AL$89,MATCH($C70,'[1]End - Use Prices'!$A$6:$A$89,0)+MATCH($D70,'[1]End - Use Prices'!$B$9:$B$11,0)-1,MATCH(BG$1,'[1]End - Use Prices'!$C$7:$AL$7,0))</f>
        <v>59.66</v>
      </c>
      <c r="BR70" s="39"/>
      <c r="BS70" s="39"/>
      <c r="BT70" s="39"/>
      <c r="BU70" s="39"/>
      <c r="BV70" s="39"/>
      <c r="BW70" s="39"/>
      <c r="BX70" s="39"/>
      <c r="BY70" s="39"/>
      <c r="BZ70" s="39"/>
      <c r="CA70" s="39"/>
    </row>
    <row r="71" spans="1:79" x14ac:dyDescent="0.25">
      <c r="A71" s="5"/>
      <c r="B71" s="3"/>
      <c r="C71" s="25" t="s">
        <v>5</v>
      </c>
      <c r="D71" s="25" t="s">
        <v>2</v>
      </c>
      <c r="E71" s="25" t="s">
        <v>313</v>
      </c>
      <c r="F71" s="74" t="s">
        <v>310</v>
      </c>
      <c r="G71" s="54">
        <f t="shared" si="54"/>
        <v>30.07</v>
      </c>
      <c r="H71" s="34">
        <f t="shared" si="55"/>
        <v>30.07</v>
      </c>
      <c r="I71" s="34">
        <f t="shared" si="55"/>
        <v>31.25</v>
      </c>
      <c r="J71" s="34">
        <f t="shared" si="55"/>
        <v>33.81</v>
      </c>
      <c r="K71" s="34">
        <f t="shared" si="55"/>
        <v>32.520000000000003</v>
      </c>
      <c r="L71" s="34">
        <f t="shared" si="55"/>
        <v>35.47</v>
      </c>
      <c r="M71" s="34">
        <f t="shared" si="55"/>
        <v>37.57</v>
      </c>
      <c r="N71" s="34">
        <f t="shared" si="55"/>
        <v>38.39</v>
      </c>
      <c r="O71" s="34">
        <f t="shared" si="55"/>
        <v>37.54</v>
      </c>
      <c r="P71" s="54">
        <f t="shared" ref="P71:Q71" si="65">O71</f>
        <v>37.54</v>
      </c>
      <c r="Q71" s="54">
        <f t="shared" si="65"/>
        <v>37.54</v>
      </c>
      <c r="R71" s="38"/>
      <c r="X71" s="41">
        <f>INDEX('[1]End - Use Prices'!$C$6:$AL$89,MATCH($C71,'[1]End - Use Prices'!$A$6:$A$89,0)+MATCH($D71,'[1]End - Use Prices'!$B$9:$B$11,0)-1,MATCH(X$1,'[1]End - Use Prices'!$C$7:$AL$7,0))</f>
        <v>30.07</v>
      </c>
      <c r="Y71" s="41">
        <f>INDEX('[1]End - Use Prices'!$C$6:$AL$89,MATCH($C71,'[1]End - Use Prices'!$A$6:$A$89,0)+MATCH($D71,'[1]End - Use Prices'!$B$9:$B$11,0)-1,MATCH(Y$1,'[1]End - Use Prices'!$C$7:$AL$7,0))</f>
        <v>35.659999999999997</v>
      </c>
      <c r="Z71" s="41">
        <f>INDEX('[1]End - Use Prices'!$C$6:$AL$89,MATCH($C71,'[1]End - Use Prices'!$A$6:$A$89,0)+MATCH($D71,'[1]End - Use Prices'!$B$9:$B$11,0)-1,MATCH(Z$1,'[1]End - Use Prices'!$C$7:$AL$7,0))</f>
        <v>38.57</v>
      </c>
      <c r="AA71" s="41">
        <f>INDEX('[1]End - Use Prices'!$C$6:$AL$89,MATCH($C71,'[1]End - Use Prices'!$A$6:$A$89,0)+MATCH($D71,'[1]End - Use Prices'!$B$9:$B$11,0)-1,MATCH(AA$1,'[1]End - Use Prices'!$C$7:$AL$7,0))</f>
        <v>42.28</v>
      </c>
      <c r="AB71" s="41">
        <f>INDEX('[1]End - Use Prices'!$C$6:$AL$89,MATCH($C71,'[1]End - Use Prices'!$A$6:$A$89,0)+MATCH($D71,'[1]End - Use Prices'!$B$9:$B$11,0)-1,MATCH(AB$1,'[1]End - Use Prices'!$C$7:$AL$7,0))</f>
        <v>36.1</v>
      </c>
      <c r="AC71" s="41">
        <f>INDEX('[1]End - Use Prices'!$C$6:$AL$89,MATCH($C71,'[1]End - Use Prices'!$A$6:$A$89,0)+MATCH($D71,'[1]End - Use Prices'!$B$9:$B$11,0)-1,MATCH(AC$1,'[1]End - Use Prices'!$C$7:$AL$7,0))</f>
        <v>31.25</v>
      </c>
      <c r="AD71" s="41">
        <f>INDEX('[1]End - Use Prices'!$C$6:$AL$89,MATCH($C71,'[1]End - Use Prices'!$A$6:$A$89,0)+MATCH($D71,'[1]End - Use Prices'!$B$9:$B$11,0)-1,MATCH(AD$1,'[1]End - Use Prices'!$C$7:$AL$7,0))</f>
        <v>51.38</v>
      </c>
      <c r="AE71" s="41">
        <f>INDEX('[1]End - Use Prices'!$C$6:$AL$89,MATCH($C71,'[1]End - Use Prices'!$A$6:$A$89,0)+MATCH($D71,'[1]End - Use Prices'!$B$9:$B$11,0)-1,MATCH(AE$1,'[1]End - Use Prices'!$C$7:$AL$7,0))</f>
        <v>40.17</v>
      </c>
      <c r="AF71" s="41">
        <f>INDEX('[1]End - Use Prices'!$C$6:$AL$89,MATCH($C71,'[1]End - Use Prices'!$A$6:$A$89,0)+MATCH($D71,'[1]End - Use Prices'!$B$9:$B$11,0)-1,MATCH(AF$1,'[1]End - Use Prices'!$C$7:$AL$7,0))</f>
        <v>42.35</v>
      </c>
      <c r="AG71" s="41">
        <f>INDEX('[1]End - Use Prices'!$C$6:$AL$89,MATCH($C71,'[1]End - Use Prices'!$A$6:$A$89,0)+MATCH($D71,'[1]End - Use Prices'!$B$9:$B$11,0)-1,MATCH(AG$1,'[1]End - Use Prices'!$C$7:$AL$7,0))</f>
        <v>36.65</v>
      </c>
      <c r="AH71" s="41">
        <f>INDEX('[1]End - Use Prices'!$C$6:$AL$89,MATCH($C71,'[1]End - Use Prices'!$A$6:$A$89,0)+MATCH($D71,'[1]End - Use Prices'!$B$9:$B$11,0)-1,MATCH(AH$1,'[1]End - Use Prices'!$C$7:$AL$7,0))</f>
        <v>33.81</v>
      </c>
      <c r="AI71" s="41">
        <f>INDEX('[1]End - Use Prices'!$C$6:$AL$89,MATCH($C71,'[1]End - Use Prices'!$A$6:$A$89,0)+MATCH($D71,'[1]End - Use Prices'!$B$9:$B$11,0)-1,MATCH(AI$1,'[1]End - Use Prices'!$C$7:$AL$7,0))</f>
        <v>30.08</v>
      </c>
      <c r="AJ71" s="41">
        <f>INDEX('[1]End - Use Prices'!$C$6:$AL$89,MATCH($C71,'[1]End - Use Prices'!$A$6:$A$89,0)+MATCH($D71,'[1]End - Use Prices'!$B$9:$B$11,0)-1,MATCH(AJ$1,'[1]End - Use Prices'!$C$7:$AL$7,0))</f>
        <v>30.5</v>
      </c>
      <c r="AK71" s="41">
        <f>INDEX('[1]End - Use Prices'!$C$6:$AL$89,MATCH($C71,'[1]End - Use Prices'!$A$6:$A$89,0)+MATCH($D71,'[1]End - Use Prices'!$B$9:$B$11,0)-1,MATCH(AK$1,'[1]End - Use Prices'!$C$7:$AL$7,0))</f>
        <v>31.18</v>
      </c>
      <c r="AL71" s="41">
        <f>INDEX('[1]End - Use Prices'!$C$6:$AL$89,MATCH($C71,'[1]End - Use Prices'!$A$6:$A$89,0)+MATCH($D71,'[1]End - Use Prices'!$B$9:$B$11,0)-1,MATCH(AL$1,'[1]End - Use Prices'!$C$7:$AL$7,0))</f>
        <v>31.86</v>
      </c>
      <c r="AM71" s="41">
        <f>INDEX('[1]End - Use Prices'!$C$6:$AL$89,MATCH($C71,'[1]End - Use Prices'!$A$6:$A$89,0)+MATCH($D71,'[1]End - Use Prices'!$B$9:$B$11,0)-1,MATCH(AM$1,'[1]End - Use Prices'!$C$7:$AL$7,0))</f>
        <v>32.520000000000003</v>
      </c>
      <c r="AN71" s="41">
        <f>INDEX('[1]End - Use Prices'!$C$6:$AL$89,MATCH($C71,'[1]End - Use Prices'!$A$6:$A$89,0)+MATCH($D71,'[1]End - Use Prices'!$B$9:$B$11,0)-1,MATCH(AN$1,'[1]End - Use Prices'!$C$7:$AL$7,0))</f>
        <v>33.159999999999997</v>
      </c>
      <c r="AO71" s="41">
        <f>INDEX('[1]End - Use Prices'!$C$6:$AL$89,MATCH($C71,'[1]End - Use Prices'!$A$6:$A$89,0)+MATCH($D71,'[1]End - Use Prices'!$B$9:$B$11,0)-1,MATCH(AO$1,'[1]End - Use Prices'!$C$7:$AL$7,0))</f>
        <v>33.78</v>
      </c>
      <c r="AP71" s="41">
        <f>INDEX('[1]End - Use Prices'!$C$6:$AL$89,MATCH($C71,'[1]End - Use Prices'!$A$6:$A$89,0)+MATCH($D71,'[1]End - Use Prices'!$B$9:$B$11,0)-1,MATCH(AP$1,'[1]End - Use Prices'!$C$7:$AL$7,0))</f>
        <v>34.369999999999997</v>
      </c>
      <c r="AQ71" s="41">
        <f>INDEX('[1]End - Use Prices'!$C$6:$AL$89,MATCH($C71,'[1]End - Use Prices'!$A$6:$A$89,0)+MATCH($D71,'[1]End - Use Prices'!$B$9:$B$11,0)-1,MATCH(AQ$1,'[1]End - Use Prices'!$C$7:$AL$7,0))</f>
        <v>34.94</v>
      </c>
      <c r="AR71" s="41">
        <f>INDEX('[1]End - Use Prices'!$C$6:$AL$89,MATCH($C71,'[1]End - Use Prices'!$A$6:$A$89,0)+MATCH($D71,'[1]End - Use Prices'!$B$9:$B$11,0)-1,MATCH(AR$1,'[1]End - Use Prices'!$C$7:$AL$7,0))</f>
        <v>35.47</v>
      </c>
      <c r="AS71" s="41">
        <f>INDEX('[1]End - Use Prices'!$C$6:$AL$89,MATCH($C71,'[1]End - Use Prices'!$A$6:$A$89,0)+MATCH($D71,'[1]End - Use Prices'!$B$9:$B$11,0)-1,MATCH(AS$1,'[1]End - Use Prices'!$C$7:$AL$7,0))</f>
        <v>35.97</v>
      </c>
      <c r="AT71" s="41">
        <f>INDEX('[1]End - Use Prices'!$C$6:$AL$89,MATCH($C71,'[1]End - Use Prices'!$A$6:$A$89,0)+MATCH($D71,'[1]End - Use Prices'!$B$9:$B$11,0)-1,MATCH(AT$1,'[1]End - Use Prices'!$C$7:$AL$7,0))</f>
        <v>36.44</v>
      </c>
      <c r="AU71" s="41">
        <f>INDEX('[1]End - Use Prices'!$C$6:$AL$89,MATCH($C71,'[1]End - Use Prices'!$A$6:$A$89,0)+MATCH($D71,'[1]End - Use Prices'!$B$9:$B$11,0)-1,MATCH(AU$1,'[1]End - Use Prices'!$C$7:$AL$7,0))</f>
        <v>36.86</v>
      </c>
      <c r="AV71" s="41">
        <f>INDEX('[1]End - Use Prices'!$C$6:$AL$89,MATCH($C71,'[1]End - Use Prices'!$A$6:$A$89,0)+MATCH($D71,'[1]End - Use Prices'!$B$9:$B$11,0)-1,MATCH(AV$1,'[1]End - Use Prices'!$C$7:$AL$7,0))</f>
        <v>37.24</v>
      </c>
      <c r="AW71" s="41">
        <f>INDEX('[1]End - Use Prices'!$C$6:$AL$89,MATCH($C71,'[1]End - Use Prices'!$A$6:$A$89,0)+MATCH($D71,'[1]End - Use Prices'!$B$9:$B$11,0)-1,MATCH(AW$1,'[1]End - Use Prices'!$C$7:$AL$7,0))</f>
        <v>37.57</v>
      </c>
      <c r="AX71" s="41">
        <f>INDEX('[1]End - Use Prices'!$C$6:$AL$89,MATCH($C71,'[1]End - Use Prices'!$A$6:$A$89,0)+MATCH($D71,'[1]End - Use Prices'!$B$9:$B$11,0)-1,MATCH(AX$1,'[1]End - Use Prices'!$C$7:$AL$7,0))</f>
        <v>37.85</v>
      </c>
      <c r="AY71" s="41">
        <f>INDEX('[1]End - Use Prices'!$C$6:$AL$89,MATCH($C71,'[1]End - Use Prices'!$A$6:$A$89,0)+MATCH($D71,'[1]End - Use Prices'!$B$9:$B$11,0)-1,MATCH(AY$1,'[1]End - Use Prices'!$C$7:$AL$7,0))</f>
        <v>38.07</v>
      </c>
      <c r="AZ71" s="41">
        <f>INDEX('[1]End - Use Prices'!$C$6:$AL$89,MATCH($C71,'[1]End - Use Prices'!$A$6:$A$89,0)+MATCH($D71,'[1]End - Use Prices'!$B$9:$B$11,0)-1,MATCH(AZ$1,'[1]End - Use Prices'!$C$7:$AL$7,0))</f>
        <v>38.24</v>
      </c>
      <c r="BA71" s="41">
        <f>INDEX('[1]End - Use Prices'!$C$6:$AL$89,MATCH($C71,'[1]End - Use Prices'!$A$6:$A$89,0)+MATCH($D71,'[1]End - Use Prices'!$B$9:$B$11,0)-1,MATCH(BA$1,'[1]End - Use Prices'!$C$7:$AL$7,0))</f>
        <v>38.35</v>
      </c>
      <c r="BB71" s="41">
        <f>INDEX('[1]End - Use Prices'!$C$6:$AL$89,MATCH($C71,'[1]End - Use Prices'!$A$6:$A$89,0)+MATCH($D71,'[1]End - Use Prices'!$B$9:$B$11,0)-1,MATCH(BB$1,'[1]End - Use Prices'!$C$7:$AL$7,0))</f>
        <v>38.39</v>
      </c>
      <c r="BC71" s="41">
        <f>INDEX('[1]End - Use Prices'!$C$6:$AL$89,MATCH($C71,'[1]End - Use Prices'!$A$6:$A$89,0)+MATCH($D71,'[1]End - Use Prices'!$B$9:$B$11,0)-1,MATCH(BC$1,'[1]End - Use Prices'!$C$7:$AL$7,0))</f>
        <v>38.369999999999997</v>
      </c>
      <c r="BD71" s="41">
        <f>INDEX('[1]End - Use Prices'!$C$6:$AL$89,MATCH($C71,'[1]End - Use Prices'!$A$6:$A$89,0)+MATCH($D71,'[1]End - Use Prices'!$B$9:$B$11,0)-1,MATCH(BD$1,'[1]End - Use Prices'!$C$7:$AL$7,0))</f>
        <v>38.270000000000003</v>
      </c>
      <c r="BE71" s="41">
        <f>INDEX('[1]End - Use Prices'!$C$6:$AL$89,MATCH($C71,'[1]End - Use Prices'!$A$6:$A$89,0)+MATCH($D71,'[1]End - Use Prices'!$B$9:$B$11,0)-1,MATCH(BE$1,'[1]End - Use Prices'!$C$7:$AL$7,0))</f>
        <v>38.11</v>
      </c>
      <c r="BF71" s="41">
        <f>INDEX('[1]End - Use Prices'!$C$6:$AL$89,MATCH($C71,'[1]End - Use Prices'!$A$6:$A$89,0)+MATCH($D71,'[1]End - Use Prices'!$B$9:$B$11,0)-1,MATCH(BF$1,'[1]End - Use Prices'!$C$7:$AL$7,0))</f>
        <v>37.86</v>
      </c>
      <c r="BG71" s="41">
        <f>INDEX('[1]End - Use Prices'!$C$6:$AL$89,MATCH($C71,'[1]End - Use Prices'!$A$6:$A$89,0)+MATCH($D71,'[1]End - Use Prices'!$B$9:$B$11,0)-1,MATCH(BG$1,'[1]End - Use Prices'!$C$7:$AL$7,0))</f>
        <v>37.54</v>
      </c>
      <c r="BR71" s="39"/>
      <c r="BS71" s="39"/>
      <c r="BT71" s="39"/>
      <c r="BU71" s="39"/>
      <c r="BV71" s="39"/>
      <c r="BW71" s="39"/>
      <c r="BX71" s="39"/>
      <c r="BY71" s="39"/>
      <c r="BZ71" s="39"/>
      <c r="CA71" s="39"/>
    </row>
    <row r="72" spans="1:79" x14ac:dyDescent="0.25">
      <c r="A72" s="5"/>
      <c r="B72" s="3"/>
      <c r="C72" s="25" t="s">
        <v>61</v>
      </c>
      <c r="D72" s="25" t="s">
        <v>2</v>
      </c>
      <c r="E72" s="25" t="s">
        <v>313</v>
      </c>
      <c r="F72" s="74" t="s">
        <v>310</v>
      </c>
      <c r="G72" s="54">
        <f t="shared" si="54"/>
        <v>22.24</v>
      </c>
      <c r="H72" s="34">
        <f t="shared" si="55"/>
        <v>22.24</v>
      </c>
      <c r="I72" s="34">
        <f t="shared" si="55"/>
        <v>25.9</v>
      </c>
      <c r="J72" s="34">
        <f t="shared" si="55"/>
        <v>30.53</v>
      </c>
      <c r="K72" s="34">
        <f t="shared" si="55"/>
        <v>31.99</v>
      </c>
      <c r="L72" s="34">
        <f t="shared" si="55"/>
        <v>32.61</v>
      </c>
      <c r="M72" s="34">
        <f t="shared" si="55"/>
        <v>33.25</v>
      </c>
      <c r="N72" s="34">
        <f t="shared" si="55"/>
        <v>33.76</v>
      </c>
      <c r="O72" s="34">
        <f t="shared" si="55"/>
        <v>34</v>
      </c>
      <c r="P72" s="54">
        <f t="shared" ref="P72:Q72" si="66">O72</f>
        <v>34</v>
      </c>
      <c r="Q72" s="54">
        <f t="shared" si="66"/>
        <v>34</v>
      </c>
      <c r="R72" s="38"/>
      <c r="X72" s="41">
        <f>INDEX('[1]End - Use Prices'!$C$6:$AL$89,MATCH($C72,'[1]End - Use Prices'!$A$6:$A$89,0)+MATCH($D72,'[1]End - Use Prices'!$B$9:$B$11,0)-1,MATCH(X$1,'[1]End - Use Prices'!$C$7:$AL$7,0))</f>
        <v>22.24</v>
      </c>
      <c r="Y72" s="41">
        <f>INDEX('[1]End - Use Prices'!$C$6:$AL$89,MATCH($C72,'[1]End - Use Prices'!$A$6:$A$89,0)+MATCH($D72,'[1]End - Use Prices'!$B$9:$B$11,0)-1,MATCH(Y$1,'[1]End - Use Prices'!$C$7:$AL$7,0))</f>
        <v>23.07</v>
      </c>
      <c r="Z72" s="41">
        <f>INDEX('[1]End - Use Prices'!$C$6:$AL$89,MATCH($C72,'[1]End - Use Prices'!$A$6:$A$89,0)+MATCH($D72,'[1]End - Use Prices'!$B$9:$B$11,0)-1,MATCH(Z$1,'[1]End - Use Prices'!$C$7:$AL$7,0))</f>
        <v>22.79</v>
      </c>
      <c r="AA72" s="41">
        <f>INDEX('[1]End - Use Prices'!$C$6:$AL$89,MATCH($C72,'[1]End - Use Prices'!$A$6:$A$89,0)+MATCH($D72,'[1]End - Use Prices'!$B$9:$B$11,0)-1,MATCH(AA$1,'[1]End - Use Prices'!$C$7:$AL$7,0))</f>
        <v>22.61</v>
      </c>
      <c r="AB72" s="41">
        <f>INDEX('[1]End - Use Prices'!$C$6:$AL$89,MATCH($C72,'[1]End - Use Prices'!$A$6:$A$89,0)+MATCH($D72,'[1]End - Use Prices'!$B$9:$B$11,0)-1,MATCH(AB$1,'[1]End - Use Prices'!$C$7:$AL$7,0))</f>
        <v>23.66</v>
      </c>
      <c r="AC72" s="41">
        <f>INDEX('[1]End - Use Prices'!$C$6:$AL$89,MATCH($C72,'[1]End - Use Prices'!$A$6:$A$89,0)+MATCH($D72,'[1]End - Use Prices'!$B$9:$B$11,0)-1,MATCH(AC$1,'[1]End - Use Prices'!$C$7:$AL$7,0))</f>
        <v>25.9</v>
      </c>
      <c r="AD72" s="41">
        <f>INDEX('[1]End - Use Prices'!$C$6:$AL$89,MATCH($C72,'[1]End - Use Prices'!$A$6:$A$89,0)+MATCH($D72,'[1]End - Use Prices'!$B$9:$B$11,0)-1,MATCH(AD$1,'[1]End - Use Prices'!$C$7:$AL$7,0))</f>
        <v>25.46</v>
      </c>
      <c r="AE72" s="41">
        <f>INDEX('[1]End - Use Prices'!$C$6:$AL$89,MATCH($C72,'[1]End - Use Prices'!$A$6:$A$89,0)+MATCH($D72,'[1]End - Use Prices'!$B$9:$B$11,0)-1,MATCH(AE$1,'[1]End - Use Prices'!$C$7:$AL$7,0))</f>
        <v>28.65</v>
      </c>
      <c r="AF72" s="41">
        <f>INDEX('[1]End - Use Prices'!$C$6:$AL$89,MATCH($C72,'[1]End - Use Prices'!$A$6:$A$89,0)+MATCH($D72,'[1]End - Use Prices'!$B$9:$B$11,0)-1,MATCH(AF$1,'[1]End - Use Prices'!$C$7:$AL$7,0))</f>
        <v>27.24</v>
      </c>
      <c r="AG72" s="41">
        <f>INDEX('[1]End - Use Prices'!$C$6:$AL$89,MATCH($C72,'[1]End - Use Prices'!$A$6:$A$89,0)+MATCH($D72,'[1]End - Use Prices'!$B$9:$B$11,0)-1,MATCH(AG$1,'[1]End - Use Prices'!$C$7:$AL$7,0))</f>
        <v>28.61</v>
      </c>
      <c r="AH72" s="41">
        <f>INDEX('[1]End - Use Prices'!$C$6:$AL$89,MATCH($C72,'[1]End - Use Prices'!$A$6:$A$89,0)+MATCH($D72,'[1]End - Use Prices'!$B$9:$B$11,0)-1,MATCH(AH$1,'[1]End - Use Prices'!$C$7:$AL$7,0))</f>
        <v>30.53</v>
      </c>
      <c r="AI72" s="41">
        <f>INDEX('[1]End - Use Prices'!$C$6:$AL$89,MATCH($C72,'[1]End - Use Prices'!$A$6:$A$89,0)+MATCH($D72,'[1]End - Use Prices'!$B$9:$B$11,0)-1,MATCH(AI$1,'[1]End - Use Prices'!$C$7:$AL$7,0))</f>
        <v>31.55</v>
      </c>
      <c r="AJ72" s="41">
        <f>INDEX('[1]End - Use Prices'!$C$6:$AL$89,MATCH($C72,'[1]End - Use Prices'!$A$6:$A$89,0)+MATCH($D72,'[1]End - Use Prices'!$B$9:$B$11,0)-1,MATCH(AJ$1,'[1]End - Use Prices'!$C$7:$AL$7,0))</f>
        <v>31.68</v>
      </c>
      <c r="AK72" s="41">
        <f>INDEX('[1]End - Use Prices'!$C$6:$AL$89,MATCH($C72,'[1]End - Use Prices'!$A$6:$A$89,0)+MATCH($D72,'[1]End - Use Prices'!$B$9:$B$11,0)-1,MATCH(AK$1,'[1]End - Use Prices'!$C$7:$AL$7,0))</f>
        <v>31.78</v>
      </c>
      <c r="AL72" s="41">
        <f>INDEX('[1]End - Use Prices'!$C$6:$AL$89,MATCH($C72,'[1]End - Use Prices'!$A$6:$A$89,0)+MATCH($D72,'[1]End - Use Prices'!$B$9:$B$11,0)-1,MATCH(AL$1,'[1]End - Use Prices'!$C$7:$AL$7,0))</f>
        <v>31.88</v>
      </c>
      <c r="AM72" s="41">
        <f>INDEX('[1]End - Use Prices'!$C$6:$AL$89,MATCH($C72,'[1]End - Use Prices'!$A$6:$A$89,0)+MATCH($D72,'[1]End - Use Prices'!$B$9:$B$11,0)-1,MATCH(AM$1,'[1]End - Use Prices'!$C$7:$AL$7,0))</f>
        <v>31.99</v>
      </c>
      <c r="AN72" s="41">
        <f>INDEX('[1]End - Use Prices'!$C$6:$AL$89,MATCH($C72,'[1]End - Use Prices'!$A$6:$A$89,0)+MATCH($D72,'[1]End - Use Prices'!$B$9:$B$11,0)-1,MATCH(AN$1,'[1]End - Use Prices'!$C$7:$AL$7,0))</f>
        <v>32.1</v>
      </c>
      <c r="AO72" s="41">
        <f>INDEX('[1]End - Use Prices'!$C$6:$AL$89,MATCH($C72,'[1]End - Use Prices'!$A$6:$A$89,0)+MATCH($D72,'[1]End - Use Prices'!$B$9:$B$11,0)-1,MATCH(AO$1,'[1]End - Use Prices'!$C$7:$AL$7,0))</f>
        <v>32.229999999999997</v>
      </c>
      <c r="AP72" s="41">
        <f>INDEX('[1]End - Use Prices'!$C$6:$AL$89,MATCH($C72,'[1]End - Use Prices'!$A$6:$A$89,0)+MATCH($D72,'[1]End - Use Prices'!$B$9:$B$11,0)-1,MATCH(AP$1,'[1]End - Use Prices'!$C$7:$AL$7,0))</f>
        <v>32.35</v>
      </c>
      <c r="AQ72" s="41">
        <f>INDEX('[1]End - Use Prices'!$C$6:$AL$89,MATCH($C72,'[1]End - Use Prices'!$A$6:$A$89,0)+MATCH($D72,'[1]End - Use Prices'!$B$9:$B$11,0)-1,MATCH(AQ$1,'[1]End - Use Prices'!$C$7:$AL$7,0))</f>
        <v>32.479999999999997</v>
      </c>
      <c r="AR72" s="41">
        <f>INDEX('[1]End - Use Prices'!$C$6:$AL$89,MATCH($C72,'[1]End - Use Prices'!$A$6:$A$89,0)+MATCH($D72,'[1]End - Use Prices'!$B$9:$B$11,0)-1,MATCH(AR$1,'[1]End - Use Prices'!$C$7:$AL$7,0))</f>
        <v>32.61</v>
      </c>
      <c r="AS72" s="41">
        <f>INDEX('[1]End - Use Prices'!$C$6:$AL$89,MATCH($C72,'[1]End - Use Prices'!$A$6:$A$89,0)+MATCH($D72,'[1]End - Use Prices'!$B$9:$B$11,0)-1,MATCH(AS$1,'[1]End - Use Prices'!$C$7:$AL$7,0))</f>
        <v>32.74</v>
      </c>
      <c r="AT72" s="41">
        <f>INDEX('[1]End - Use Prices'!$C$6:$AL$89,MATCH($C72,'[1]End - Use Prices'!$A$6:$A$89,0)+MATCH($D72,'[1]End - Use Prices'!$B$9:$B$11,0)-1,MATCH(AT$1,'[1]End - Use Prices'!$C$7:$AL$7,0))</f>
        <v>32.869999999999997</v>
      </c>
      <c r="AU72" s="41">
        <f>INDEX('[1]End - Use Prices'!$C$6:$AL$89,MATCH($C72,'[1]End - Use Prices'!$A$6:$A$89,0)+MATCH($D72,'[1]End - Use Prices'!$B$9:$B$11,0)-1,MATCH(AU$1,'[1]End - Use Prices'!$C$7:$AL$7,0))</f>
        <v>33</v>
      </c>
      <c r="AV72" s="41">
        <f>INDEX('[1]End - Use Prices'!$C$6:$AL$89,MATCH($C72,'[1]End - Use Prices'!$A$6:$A$89,0)+MATCH($D72,'[1]End - Use Prices'!$B$9:$B$11,0)-1,MATCH(AV$1,'[1]End - Use Prices'!$C$7:$AL$7,0))</f>
        <v>33.130000000000003</v>
      </c>
      <c r="AW72" s="41">
        <f>INDEX('[1]End - Use Prices'!$C$6:$AL$89,MATCH($C72,'[1]End - Use Prices'!$A$6:$A$89,0)+MATCH($D72,'[1]End - Use Prices'!$B$9:$B$11,0)-1,MATCH(AW$1,'[1]End - Use Prices'!$C$7:$AL$7,0))</f>
        <v>33.25</v>
      </c>
      <c r="AX72" s="41">
        <f>INDEX('[1]End - Use Prices'!$C$6:$AL$89,MATCH($C72,'[1]End - Use Prices'!$A$6:$A$89,0)+MATCH($D72,'[1]End - Use Prices'!$B$9:$B$11,0)-1,MATCH(AX$1,'[1]End - Use Prices'!$C$7:$AL$7,0))</f>
        <v>33.369999999999997</v>
      </c>
      <c r="AY72" s="41">
        <f>INDEX('[1]End - Use Prices'!$C$6:$AL$89,MATCH($C72,'[1]End - Use Prices'!$A$6:$A$89,0)+MATCH($D72,'[1]End - Use Prices'!$B$9:$B$11,0)-1,MATCH(AY$1,'[1]End - Use Prices'!$C$7:$AL$7,0))</f>
        <v>33.479999999999997</v>
      </c>
      <c r="AZ72" s="41">
        <f>INDEX('[1]End - Use Prices'!$C$6:$AL$89,MATCH($C72,'[1]End - Use Prices'!$A$6:$A$89,0)+MATCH($D72,'[1]End - Use Prices'!$B$9:$B$11,0)-1,MATCH(AZ$1,'[1]End - Use Prices'!$C$7:$AL$7,0))</f>
        <v>33.58</v>
      </c>
      <c r="BA72" s="41">
        <f>INDEX('[1]End - Use Prices'!$C$6:$AL$89,MATCH($C72,'[1]End - Use Prices'!$A$6:$A$89,0)+MATCH($D72,'[1]End - Use Prices'!$B$9:$B$11,0)-1,MATCH(BA$1,'[1]End - Use Prices'!$C$7:$AL$7,0))</f>
        <v>33.68</v>
      </c>
      <c r="BB72" s="41">
        <f>INDEX('[1]End - Use Prices'!$C$6:$AL$89,MATCH($C72,'[1]End - Use Prices'!$A$6:$A$89,0)+MATCH($D72,'[1]End - Use Prices'!$B$9:$B$11,0)-1,MATCH(BB$1,'[1]End - Use Prices'!$C$7:$AL$7,0))</f>
        <v>33.76</v>
      </c>
      <c r="BC72" s="41">
        <f>INDEX('[1]End - Use Prices'!$C$6:$AL$89,MATCH($C72,'[1]End - Use Prices'!$A$6:$A$89,0)+MATCH($D72,'[1]End - Use Prices'!$B$9:$B$11,0)-1,MATCH(BC$1,'[1]End - Use Prices'!$C$7:$AL$7,0))</f>
        <v>33.840000000000003</v>
      </c>
      <c r="BD72" s="41">
        <f>INDEX('[1]End - Use Prices'!$C$6:$AL$89,MATCH($C72,'[1]End - Use Prices'!$A$6:$A$89,0)+MATCH($D72,'[1]End - Use Prices'!$B$9:$B$11,0)-1,MATCH(BD$1,'[1]End - Use Prices'!$C$7:$AL$7,0))</f>
        <v>33.9</v>
      </c>
      <c r="BE72" s="41">
        <f>INDEX('[1]End - Use Prices'!$C$6:$AL$89,MATCH($C72,'[1]End - Use Prices'!$A$6:$A$89,0)+MATCH($D72,'[1]End - Use Prices'!$B$9:$B$11,0)-1,MATCH(BE$1,'[1]End - Use Prices'!$C$7:$AL$7,0))</f>
        <v>33.950000000000003</v>
      </c>
      <c r="BF72" s="41">
        <f>INDEX('[1]End - Use Prices'!$C$6:$AL$89,MATCH($C72,'[1]End - Use Prices'!$A$6:$A$89,0)+MATCH($D72,'[1]End - Use Prices'!$B$9:$B$11,0)-1,MATCH(BF$1,'[1]End - Use Prices'!$C$7:$AL$7,0))</f>
        <v>33.979999999999997</v>
      </c>
      <c r="BG72" s="41">
        <f>INDEX('[1]End - Use Prices'!$C$6:$AL$89,MATCH($C72,'[1]End - Use Prices'!$A$6:$A$89,0)+MATCH($D72,'[1]End - Use Prices'!$B$9:$B$11,0)-1,MATCH(BG$1,'[1]End - Use Prices'!$C$7:$AL$7,0))</f>
        <v>34</v>
      </c>
      <c r="BR72" s="39"/>
      <c r="BS72" s="39"/>
      <c r="BT72" s="39"/>
      <c r="BU72" s="39"/>
      <c r="BV72" s="39"/>
      <c r="BW72" s="39"/>
      <c r="BX72" s="39"/>
      <c r="BY72" s="39"/>
      <c r="BZ72" s="39"/>
      <c r="CA72" s="39"/>
    </row>
    <row r="73" spans="1:79" x14ac:dyDescent="0.25">
      <c r="A73" s="5"/>
      <c r="B73" s="3"/>
      <c r="C73" s="25" t="s">
        <v>95</v>
      </c>
      <c r="D73" s="25" t="s">
        <v>2</v>
      </c>
      <c r="E73" s="25" t="s">
        <v>313</v>
      </c>
      <c r="F73" s="74" t="s">
        <v>310</v>
      </c>
      <c r="G73" s="54">
        <f t="shared" si="54"/>
        <v>33.479999999999997</v>
      </c>
      <c r="H73" s="34">
        <f t="shared" si="55"/>
        <v>33.479999999999997</v>
      </c>
      <c r="I73" s="34">
        <f t="shared" si="55"/>
        <v>37.69</v>
      </c>
      <c r="J73" s="34">
        <f t="shared" si="55"/>
        <v>47.73</v>
      </c>
      <c r="K73" s="34">
        <f t="shared" si="55"/>
        <v>48.18</v>
      </c>
      <c r="L73" s="34">
        <f t="shared" si="55"/>
        <v>49.04</v>
      </c>
      <c r="M73" s="34">
        <f t="shared" si="55"/>
        <v>49.97</v>
      </c>
      <c r="N73" s="34">
        <f t="shared" si="55"/>
        <v>50.92</v>
      </c>
      <c r="O73" s="34">
        <f t="shared" si="55"/>
        <v>51.85</v>
      </c>
      <c r="P73" s="54">
        <f t="shared" ref="P73:Q73" si="67">O73</f>
        <v>51.85</v>
      </c>
      <c r="Q73" s="54">
        <f t="shared" si="67"/>
        <v>51.85</v>
      </c>
      <c r="R73" s="38"/>
      <c r="X73" s="41">
        <f>INDEX('[1]End - Use Prices'!$C$6:$AL$89,MATCH($C73,'[1]End - Use Prices'!$A$6:$A$89,0)+MATCH($D73,'[1]End - Use Prices'!$B$9:$B$11,0)-1,MATCH(X$1,'[1]End - Use Prices'!$C$7:$AL$7,0))</f>
        <v>33.479999999999997</v>
      </c>
      <c r="Y73" s="41">
        <f>INDEX('[1]End - Use Prices'!$C$6:$AL$89,MATCH($C73,'[1]End - Use Prices'!$A$6:$A$89,0)+MATCH($D73,'[1]End - Use Prices'!$B$9:$B$11,0)-1,MATCH(Y$1,'[1]End - Use Prices'!$C$7:$AL$7,0))</f>
        <v>34.72</v>
      </c>
      <c r="Z73" s="41">
        <f>INDEX('[1]End - Use Prices'!$C$6:$AL$89,MATCH($C73,'[1]End - Use Prices'!$A$6:$A$89,0)+MATCH($D73,'[1]End - Use Prices'!$B$9:$B$11,0)-1,MATCH(Z$1,'[1]End - Use Prices'!$C$7:$AL$7,0))</f>
        <v>34.299999999999997</v>
      </c>
      <c r="AA73" s="41">
        <f>INDEX('[1]End - Use Prices'!$C$6:$AL$89,MATCH($C73,'[1]End - Use Prices'!$A$6:$A$89,0)+MATCH($D73,'[1]End - Use Prices'!$B$9:$B$11,0)-1,MATCH(AA$1,'[1]End - Use Prices'!$C$7:$AL$7,0))</f>
        <v>34</v>
      </c>
      <c r="AB73" s="41">
        <f>INDEX('[1]End - Use Prices'!$C$6:$AL$89,MATCH($C73,'[1]End - Use Prices'!$A$6:$A$89,0)+MATCH($D73,'[1]End - Use Prices'!$B$9:$B$11,0)-1,MATCH(AB$1,'[1]End - Use Prices'!$C$7:$AL$7,0))</f>
        <v>35.590000000000003</v>
      </c>
      <c r="AC73" s="41">
        <f>INDEX('[1]End - Use Prices'!$C$6:$AL$89,MATCH($C73,'[1]End - Use Prices'!$A$6:$A$89,0)+MATCH($D73,'[1]End - Use Prices'!$B$9:$B$11,0)-1,MATCH(AC$1,'[1]End - Use Prices'!$C$7:$AL$7,0))</f>
        <v>37.69</v>
      </c>
      <c r="AD73" s="41">
        <f>INDEX('[1]End - Use Prices'!$C$6:$AL$89,MATCH($C73,'[1]End - Use Prices'!$A$6:$A$89,0)+MATCH($D73,'[1]End - Use Prices'!$B$9:$B$11,0)-1,MATCH(AD$1,'[1]End - Use Prices'!$C$7:$AL$7,0))</f>
        <v>35.89</v>
      </c>
      <c r="AE73" s="41">
        <f>INDEX('[1]End - Use Prices'!$C$6:$AL$89,MATCH($C73,'[1]End - Use Prices'!$A$6:$A$89,0)+MATCH($D73,'[1]End - Use Prices'!$B$9:$B$11,0)-1,MATCH(AE$1,'[1]End - Use Prices'!$C$7:$AL$7,0))</f>
        <v>40.39</v>
      </c>
      <c r="AF73" s="41">
        <f>INDEX('[1]End - Use Prices'!$C$6:$AL$89,MATCH($C73,'[1]End - Use Prices'!$A$6:$A$89,0)+MATCH($D73,'[1]End - Use Prices'!$B$9:$B$11,0)-1,MATCH(AF$1,'[1]End - Use Prices'!$C$7:$AL$7,0))</f>
        <v>40.28</v>
      </c>
      <c r="AG73" s="41">
        <f>INDEX('[1]End - Use Prices'!$C$6:$AL$89,MATCH($C73,'[1]End - Use Prices'!$A$6:$A$89,0)+MATCH($D73,'[1]End - Use Prices'!$B$9:$B$11,0)-1,MATCH(AG$1,'[1]End - Use Prices'!$C$7:$AL$7,0))</f>
        <v>47.35</v>
      </c>
      <c r="AH73" s="41">
        <f>INDEX('[1]End - Use Prices'!$C$6:$AL$89,MATCH($C73,'[1]End - Use Prices'!$A$6:$A$89,0)+MATCH($D73,'[1]End - Use Prices'!$B$9:$B$11,0)-1,MATCH(AH$1,'[1]End - Use Prices'!$C$7:$AL$7,0))</f>
        <v>47.73</v>
      </c>
      <c r="AI73" s="41">
        <f>INDEX('[1]End - Use Prices'!$C$6:$AL$89,MATCH($C73,'[1]End - Use Prices'!$A$6:$A$89,0)+MATCH($D73,'[1]End - Use Prices'!$B$9:$B$11,0)-1,MATCH(AI$1,'[1]End - Use Prices'!$C$7:$AL$7,0))</f>
        <v>47.43</v>
      </c>
      <c r="AJ73" s="41">
        <f>INDEX('[1]End - Use Prices'!$C$6:$AL$89,MATCH($C73,'[1]End - Use Prices'!$A$6:$A$89,0)+MATCH($D73,'[1]End - Use Prices'!$B$9:$B$11,0)-1,MATCH(AJ$1,'[1]End - Use Prices'!$C$7:$AL$7,0))</f>
        <v>47.71</v>
      </c>
      <c r="AK73" s="41">
        <f>INDEX('[1]End - Use Prices'!$C$6:$AL$89,MATCH($C73,'[1]End - Use Prices'!$A$6:$A$89,0)+MATCH($D73,'[1]End - Use Prices'!$B$9:$B$11,0)-1,MATCH(AK$1,'[1]End - Use Prices'!$C$7:$AL$7,0))</f>
        <v>47.86</v>
      </c>
      <c r="AL73" s="41">
        <f>INDEX('[1]End - Use Prices'!$C$6:$AL$89,MATCH($C73,'[1]End - Use Prices'!$A$6:$A$89,0)+MATCH($D73,'[1]End - Use Prices'!$B$9:$B$11,0)-1,MATCH(AL$1,'[1]End - Use Prices'!$C$7:$AL$7,0))</f>
        <v>48.02</v>
      </c>
      <c r="AM73" s="41">
        <f>INDEX('[1]End - Use Prices'!$C$6:$AL$89,MATCH($C73,'[1]End - Use Prices'!$A$6:$A$89,0)+MATCH($D73,'[1]End - Use Prices'!$B$9:$B$11,0)-1,MATCH(AM$1,'[1]End - Use Prices'!$C$7:$AL$7,0))</f>
        <v>48.18</v>
      </c>
      <c r="AN73" s="41">
        <f>INDEX('[1]End - Use Prices'!$C$6:$AL$89,MATCH($C73,'[1]End - Use Prices'!$A$6:$A$89,0)+MATCH($D73,'[1]End - Use Prices'!$B$9:$B$11,0)-1,MATCH(AN$1,'[1]End - Use Prices'!$C$7:$AL$7,0))</f>
        <v>48.35</v>
      </c>
      <c r="AO73" s="41">
        <f>INDEX('[1]End - Use Prices'!$C$6:$AL$89,MATCH($C73,'[1]End - Use Prices'!$A$6:$A$89,0)+MATCH($D73,'[1]End - Use Prices'!$B$9:$B$11,0)-1,MATCH(AO$1,'[1]End - Use Prices'!$C$7:$AL$7,0))</f>
        <v>48.52</v>
      </c>
      <c r="AP73" s="41">
        <f>INDEX('[1]End - Use Prices'!$C$6:$AL$89,MATCH($C73,'[1]End - Use Prices'!$A$6:$A$89,0)+MATCH($D73,'[1]End - Use Prices'!$B$9:$B$11,0)-1,MATCH(AP$1,'[1]End - Use Prices'!$C$7:$AL$7,0))</f>
        <v>48.69</v>
      </c>
      <c r="AQ73" s="41">
        <f>INDEX('[1]End - Use Prices'!$C$6:$AL$89,MATCH($C73,'[1]End - Use Prices'!$A$6:$A$89,0)+MATCH($D73,'[1]End - Use Prices'!$B$9:$B$11,0)-1,MATCH(AQ$1,'[1]End - Use Prices'!$C$7:$AL$7,0))</f>
        <v>48.86</v>
      </c>
      <c r="AR73" s="41">
        <f>INDEX('[1]End - Use Prices'!$C$6:$AL$89,MATCH($C73,'[1]End - Use Prices'!$A$6:$A$89,0)+MATCH($D73,'[1]End - Use Prices'!$B$9:$B$11,0)-1,MATCH(AR$1,'[1]End - Use Prices'!$C$7:$AL$7,0))</f>
        <v>49.04</v>
      </c>
      <c r="AS73" s="41">
        <f>INDEX('[1]End - Use Prices'!$C$6:$AL$89,MATCH($C73,'[1]End - Use Prices'!$A$6:$A$89,0)+MATCH($D73,'[1]End - Use Prices'!$B$9:$B$11,0)-1,MATCH(AS$1,'[1]End - Use Prices'!$C$7:$AL$7,0))</f>
        <v>49.22</v>
      </c>
      <c r="AT73" s="41">
        <f>INDEX('[1]End - Use Prices'!$C$6:$AL$89,MATCH($C73,'[1]End - Use Prices'!$A$6:$A$89,0)+MATCH($D73,'[1]End - Use Prices'!$B$9:$B$11,0)-1,MATCH(AT$1,'[1]End - Use Prices'!$C$7:$AL$7,0))</f>
        <v>49.41</v>
      </c>
      <c r="AU73" s="41">
        <f>INDEX('[1]End - Use Prices'!$C$6:$AL$89,MATCH($C73,'[1]End - Use Prices'!$A$6:$A$89,0)+MATCH($D73,'[1]End - Use Prices'!$B$9:$B$11,0)-1,MATCH(AU$1,'[1]End - Use Prices'!$C$7:$AL$7,0))</f>
        <v>49.59</v>
      </c>
      <c r="AV73" s="41">
        <f>INDEX('[1]End - Use Prices'!$C$6:$AL$89,MATCH($C73,'[1]End - Use Prices'!$A$6:$A$89,0)+MATCH($D73,'[1]End - Use Prices'!$B$9:$B$11,0)-1,MATCH(AV$1,'[1]End - Use Prices'!$C$7:$AL$7,0))</f>
        <v>49.78</v>
      </c>
      <c r="AW73" s="41">
        <f>INDEX('[1]End - Use Prices'!$C$6:$AL$89,MATCH($C73,'[1]End - Use Prices'!$A$6:$A$89,0)+MATCH($D73,'[1]End - Use Prices'!$B$9:$B$11,0)-1,MATCH(AW$1,'[1]End - Use Prices'!$C$7:$AL$7,0))</f>
        <v>49.97</v>
      </c>
      <c r="AX73" s="41">
        <f>INDEX('[1]End - Use Prices'!$C$6:$AL$89,MATCH($C73,'[1]End - Use Prices'!$A$6:$A$89,0)+MATCH($D73,'[1]End - Use Prices'!$B$9:$B$11,0)-1,MATCH(AX$1,'[1]End - Use Prices'!$C$7:$AL$7,0))</f>
        <v>50.16</v>
      </c>
      <c r="AY73" s="41">
        <f>INDEX('[1]End - Use Prices'!$C$6:$AL$89,MATCH($C73,'[1]End - Use Prices'!$A$6:$A$89,0)+MATCH($D73,'[1]End - Use Prices'!$B$9:$B$11,0)-1,MATCH(AY$1,'[1]End - Use Prices'!$C$7:$AL$7,0))</f>
        <v>50.35</v>
      </c>
      <c r="AZ73" s="41">
        <f>INDEX('[1]End - Use Prices'!$C$6:$AL$89,MATCH($C73,'[1]End - Use Prices'!$A$6:$A$89,0)+MATCH($D73,'[1]End - Use Prices'!$B$9:$B$11,0)-1,MATCH(AZ$1,'[1]End - Use Prices'!$C$7:$AL$7,0))</f>
        <v>50.54</v>
      </c>
      <c r="BA73" s="41">
        <f>INDEX('[1]End - Use Prices'!$C$6:$AL$89,MATCH($C73,'[1]End - Use Prices'!$A$6:$A$89,0)+MATCH($D73,'[1]End - Use Prices'!$B$9:$B$11,0)-1,MATCH(BA$1,'[1]End - Use Prices'!$C$7:$AL$7,0))</f>
        <v>50.73</v>
      </c>
      <c r="BB73" s="41">
        <f>INDEX('[1]End - Use Prices'!$C$6:$AL$89,MATCH($C73,'[1]End - Use Prices'!$A$6:$A$89,0)+MATCH($D73,'[1]End - Use Prices'!$B$9:$B$11,0)-1,MATCH(BB$1,'[1]End - Use Prices'!$C$7:$AL$7,0))</f>
        <v>50.92</v>
      </c>
      <c r="BC73" s="41">
        <f>INDEX('[1]End - Use Prices'!$C$6:$AL$89,MATCH($C73,'[1]End - Use Prices'!$A$6:$A$89,0)+MATCH($D73,'[1]End - Use Prices'!$B$9:$B$11,0)-1,MATCH(BC$1,'[1]End - Use Prices'!$C$7:$AL$7,0))</f>
        <v>51.11</v>
      </c>
      <c r="BD73" s="41">
        <f>INDEX('[1]End - Use Prices'!$C$6:$AL$89,MATCH($C73,'[1]End - Use Prices'!$A$6:$A$89,0)+MATCH($D73,'[1]End - Use Prices'!$B$9:$B$11,0)-1,MATCH(BD$1,'[1]End - Use Prices'!$C$7:$AL$7,0))</f>
        <v>51.3</v>
      </c>
      <c r="BE73" s="41">
        <f>INDEX('[1]End - Use Prices'!$C$6:$AL$89,MATCH($C73,'[1]End - Use Prices'!$A$6:$A$89,0)+MATCH($D73,'[1]End - Use Prices'!$B$9:$B$11,0)-1,MATCH(BE$1,'[1]End - Use Prices'!$C$7:$AL$7,0))</f>
        <v>51.48</v>
      </c>
      <c r="BF73" s="41">
        <f>INDEX('[1]End - Use Prices'!$C$6:$AL$89,MATCH($C73,'[1]End - Use Prices'!$A$6:$A$89,0)+MATCH($D73,'[1]End - Use Prices'!$B$9:$B$11,0)-1,MATCH(BF$1,'[1]End - Use Prices'!$C$7:$AL$7,0))</f>
        <v>51.67</v>
      </c>
      <c r="BG73" s="41">
        <f>INDEX('[1]End - Use Prices'!$C$6:$AL$89,MATCH($C73,'[1]End - Use Prices'!$A$6:$A$89,0)+MATCH($D73,'[1]End - Use Prices'!$B$9:$B$11,0)-1,MATCH(BG$1,'[1]End - Use Prices'!$C$7:$AL$7,0))</f>
        <v>51.85</v>
      </c>
      <c r="BR73" s="39"/>
      <c r="BS73" s="39"/>
      <c r="BT73" s="39"/>
      <c r="BU73" s="39"/>
      <c r="BV73" s="39"/>
      <c r="BW73" s="39"/>
      <c r="BX73" s="39"/>
      <c r="BY73" s="39"/>
      <c r="BZ73" s="39"/>
      <c r="CA73" s="39"/>
    </row>
    <row r="74" spans="1:79" x14ac:dyDescent="0.25">
      <c r="A74" s="5"/>
      <c r="B74" s="3"/>
      <c r="C74" s="25" t="s">
        <v>97</v>
      </c>
      <c r="D74" s="25" t="s">
        <v>2</v>
      </c>
      <c r="E74" s="25" t="s">
        <v>313</v>
      </c>
      <c r="F74" s="74" t="s">
        <v>310</v>
      </c>
      <c r="G74" s="54">
        <f t="shared" si="54"/>
        <v>80.930000000000007</v>
      </c>
      <c r="H74" s="34">
        <f t="shared" si="55"/>
        <v>80.930000000000007</v>
      </c>
      <c r="I74" s="34">
        <f t="shared" si="55"/>
        <v>89.34</v>
      </c>
      <c r="J74" s="34">
        <f t="shared" si="55"/>
        <v>95.28</v>
      </c>
      <c r="K74" s="34">
        <f t="shared" si="55"/>
        <v>96.87</v>
      </c>
      <c r="L74" s="34">
        <f t="shared" si="55"/>
        <v>98.86</v>
      </c>
      <c r="M74" s="34">
        <f t="shared" si="55"/>
        <v>100.71</v>
      </c>
      <c r="N74" s="34">
        <f t="shared" si="55"/>
        <v>102.6</v>
      </c>
      <c r="O74" s="34">
        <f t="shared" si="55"/>
        <v>104.69</v>
      </c>
      <c r="P74" s="54">
        <f t="shared" ref="P74:Q74" si="68">O74</f>
        <v>104.69</v>
      </c>
      <c r="Q74" s="54">
        <f t="shared" si="68"/>
        <v>104.69</v>
      </c>
      <c r="R74" s="38"/>
      <c r="X74" s="41">
        <f>INDEX('[1]End - Use Prices'!$C$6:$AL$89,MATCH($C74,'[1]End - Use Prices'!$A$6:$A$89,0)+MATCH($D74,'[1]End - Use Prices'!$B$9:$B$11,0)-1,MATCH(X$1,'[1]End - Use Prices'!$C$7:$AL$7,0))</f>
        <v>80.930000000000007</v>
      </c>
      <c r="Y74" s="41">
        <f>INDEX('[1]End - Use Prices'!$C$6:$AL$89,MATCH($C74,'[1]End - Use Prices'!$A$6:$A$89,0)+MATCH($D74,'[1]End - Use Prices'!$B$9:$B$11,0)-1,MATCH(Y$1,'[1]End - Use Prices'!$C$7:$AL$7,0))</f>
        <v>83.41</v>
      </c>
      <c r="Z74" s="41">
        <f>INDEX('[1]End - Use Prices'!$C$6:$AL$89,MATCH($C74,'[1]End - Use Prices'!$A$6:$A$89,0)+MATCH($D74,'[1]End - Use Prices'!$B$9:$B$11,0)-1,MATCH(Z$1,'[1]End - Use Prices'!$C$7:$AL$7,0))</f>
        <v>82.56</v>
      </c>
      <c r="AA74" s="41">
        <f>INDEX('[1]End - Use Prices'!$C$6:$AL$89,MATCH($C74,'[1]End - Use Prices'!$A$6:$A$89,0)+MATCH($D74,'[1]End - Use Prices'!$B$9:$B$11,0)-1,MATCH(AA$1,'[1]End - Use Prices'!$C$7:$AL$7,0))</f>
        <v>81.98</v>
      </c>
      <c r="AB74" s="41">
        <f>INDEX('[1]End - Use Prices'!$C$6:$AL$89,MATCH($C74,'[1]End - Use Prices'!$A$6:$A$89,0)+MATCH($D74,'[1]End - Use Prices'!$B$9:$B$11,0)-1,MATCH(AB$1,'[1]End - Use Prices'!$C$7:$AL$7,0))</f>
        <v>85.14</v>
      </c>
      <c r="AC74" s="41">
        <f>INDEX('[1]End - Use Prices'!$C$6:$AL$89,MATCH($C74,'[1]End - Use Prices'!$A$6:$A$89,0)+MATCH($D74,'[1]End - Use Prices'!$B$9:$B$11,0)-1,MATCH(AC$1,'[1]End - Use Prices'!$C$7:$AL$7,0))</f>
        <v>89.34</v>
      </c>
      <c r="AD74" s="41">
        <f>INDEX('[1]End - Use Prices'!$C$6:$AL$89,MATCH($C74,'[1]End - Use Prices'!$A$6:$A$89,0)+MATCH($D74,'[1]End - Use Prices'!$B$9:$B$11,0)-1,MATCH(AD$1,'[1]End - Use Prices'!$C$7:$AL$7,0))</f>
        <v>85.75</v>
      </c>
      <c r="AE74" s="41">
        <f>INDEX('[1]End - Use Prices'!$C$6:$AL$89,MATCH($C74,'[1]End - Use Prices'!$A$6:$A$89,0)+MATCH($D74,'[1]End - Use Prices'!$B$9:$B$11,0)-1,MATCH(AE$1,'[1]End - Use Prices'!$C$7:$AL$7,0))</f>
        <v>94.73</v>
      </c>
      <c r="AF74" s="41">
        <f>INDEX('[1]End - Use Prices'!$C$6:$AL$89,MATCH($C74,'[1]End - Use Prices'!$A$6:$A$89,0)+MATCH($D74,'[1]End - Use Prices'!$B$9:$B$11,0)-1,MATCH(AF$1,'[1]End - Use Prices'!$C$7:$AL$7,0))</f>
        <v>94.52</v>
      </c>
      <c r="AG74" s="41">
        <f>INDEX('[1]End - Use Prices'!$C$6:$AL$89,MATCH($C74,'[1]End - Use Prices'!$A$6:$A$89,0)+MATCH($D74,'[1]End - Use Prices'!$B$9:$B$11,0)-1,MATCH(AG$1,'[1]End - Use Prices'!$C$7:$AL$7,0))</f>
        <v>94.52</v>
      </c>
      <c r="AH74" s="41">
        <f>INDEX('[1]End - Use Prices'!$C$6:$AL$89,MATCH($C74,'[1]End - Use Prices'!$A$6:$A$89,0)+MATCH($D74,'[1]End - Use Prices'!$B$9:$B$11,0)-1,MATCH(AH$1,'[1]End - Use Prices'!$C$7:$AL$7,0))</f>
        <v>95.28</v>
      </c>
      <c r="AI74" s="41">
        <f>INDEX('[1]End - Use Prices'!$C$6:$AL$89,MATCH($C74,'[1]End - Use Prices'!$A$6:$A$89,0)+MATCH($D74,'[1]End - Use Prices'!$B$9:$B$11,0)-1,MATCH(AI$1,'[1]End - Use Prices'!$C$7:$AL$7,0))</f>
        <v>94.69</v>
      </c>
      <c r="AJ74" s="41">
        <f>INDEX('[1]End - Use Prices'!$C$6:$AL$89,MATCH($C74,'[1]End - Use Prices'!$A$6:$A$89,0)+MATCH($D74,'[1]End - Use Prices'!$B$9:$B$11,0)-1,MATCH(AJ$1,'[1]End - Use Prices'!$C$7:$AL$7,0))</f>
        <v>95.56</v>
      </c>
      <c r="AK74" s="41">
        <f>INDEX('[1]End - Use Prices'!$C$6:$AL$89,MATCH($C74,'[1]End - Use Prices'!$A$6:$A$89,0)+MATCH($D74,'[1]End - Use Prices'!$B$9:$B$11,0)-1,MATCH(AK$1,'[1]End - Use Prices'!$C$7:$AL$7,0))</f>
        <v>96.01</v>
      </c>
      <c r="AL74" s="41">
        <f>INDEX('[1]End - Use Prices'!$C$6:$AL$89,MATCH($C74,'[1]End - Use Prices'!$A$6:$A$89,0)+MATCH($D74,'[1]End - Use Prices'!$B$9:$B$11,0)-1,MATCH(AL$1,'[1]End - Use Prices'!$C$7:$AL$7,0))</f>
        <v>96.45</v>
      </c>
      <c r="AM74" s="41">
        <f>INDEX('[1]End - Use Prices'!$C$6:$AL$89,MATCH($C74,'[1]End - Use Prices'!$A$6:$A$89,0)+MATCH($D74,'[1]End - Use Prices'!$B$9:$B$11,0)-1,MATCH(AM$1,'[1]End - Use Prices'!$C$7:$AL$7,0))</f>
        <v>96.87</v>
      </c>
      <c r="AN74" s="41">
        <f>INDEX('[1]End - Use Prices'!$C$6:$AL$89,MATCH($C74,'[1]End - Use Prices'!$A$6:$A$89,0)+MATCH($D74,'[1]End - Use Prices'!$B$9:$B$11,0)-1,MATCH(AN$1,'[1]End - Use Prices'!$C$7:$AL$7,0))</f>
        <v>97.29</v>
      </c>
      <c r="AO74" s="41">
        <f>INDEX('[1]End - Use Prices'!$C$6:$AL$89,MATCH($C74,'[1]End - Use Prices'!$A$6:$A$89,0)+MATCH($D74,'[1]End - Use Prices'!$B$9:$B$11,0)-1,MATCH(AO$1,'[1]End - Use Prices'!$C$7:$AL$7,0))</f>
        <v>97.69</v>
      </c>
      <c r="AP74" s="41">
        <f>INDEX('[1]End - Use Prices'!$C$6:$AL$89,MATCH($C74,'[1]End - Use Prices'!$A$6:$A$89,0)+MATCH($D74,'[1]End - Use Prices'!$B$9:$B$11,0)-1,MATCH(AP$1,'[1]End - Use Prices'!$C$7:$AL$7,0))</f>
        <v>98.09</v>
      </c>
      <c r="AQ74" s="41">
        <f>INDEX('[1]End - Use Prices'!$C$6:$AL$89,MATCH($C74,'[1]End - Use Prices'!$A$6:$A$89,0)+MATCH($D74,'[1]End - Use Prices'!$B$9:$B$11,0)-1,MATCH(AQ$1,'[1]End - Use Prices'!$C$7:$AL$7,0))</f>
        <v>98.48</v>
      </c>
      <c r="AR74" s="41">
        <f>INDEX('[1]End - Use Prices'!$C$6:$AL$89,MATCH($C74,'[1]End - Use Prices'!$A$6:$A$89,0)+MATCH($D74,'[1]End - Use Prices'!$B$9:$B$11,0)-1,MATCH(AR$1,'[1]End - Use Prices'!$C$7:$AL$7,0))</f>
        <v>98.86</v>
      </c>
      <c r="AS74" s="41">
        <f>INDEX('[1]End - Use Prices'!$C$6:$AL$89,MATCH($C74,'[1]End - Use Prices'!$A$6:$A$89,0)+MATCH($D74,'[1]End - Use Prices'!$B$9:$B$11,0)-1,MATCH(AS$1,'[1]End - Use Prices'!$C$7:$AL$7,0))</f>
        <v>99.23</v>
      </c>
      <c r="AT74" s="41">
        <f>INDEX('[1]End - Use Prices'!$C$6:$AL$89,MATCH($C74,'[1]End - Use Prices'!$A$6:$A$89,0)+MATCH($D74,'[1]End - Use Prices'!$B$9:$B$11,0)-1,MATCH(AT$1,'[1]End - Use Prices'!$C$7:$AL$7,0))</f>
        <v>99.6</v>
      </c>
      <c r="AU74" s="41">
        <f>INDEX('[1]End - Use Prices'!$C$6:$AL$89,MATCH($C74,'[1]End - Use Prices'!$A$6:$A$89,0)+MATCH($D74,'[1]End - Use Prices'!$B$9:$B$11,0)-1,MATCH(AU$1,'[1]End - Use Prices'!$C$7:$AL$7,0))</f>
        <v>99.97</v>
      </c>
      <c r="AV74" s="41">
        <f>INDEX('[1]End - Use Prices'!$C$6:$AL$89,MATCH($C74,'[1]End - Use Prices'!$A$6:$A$89,0)+MATCH($D74,'[1]End - Use Prices'!$B$9:$B$11,0)-1,MATCH(AV$1,'[1]End - Use Prices'!$C$7:$AL$7,0))</f>
        <v>100.34</v>
      </c>
      <c r="AW74" s="41">
        <f>INDEX('[1]End - Use Prices'!$C$6:$AL$89,MATCH($C74,'[1]End - Use Prices'!$A$6:$A$89,0)+MATCH($D74,'[1]End - Use Prices'!$B$9:$B$11,0)-1,MATCH(AW$1,'[1]End - Use Prices'!$C$7:$AL$7,0))</f>
        <v>100.71</v>
      </c>
      <c r="AX74" s="41">
        <f>INDEX('[1]End - Use Prices'!$C$6:$AL$89,MATCH($C74,'[1]End - Use Prices'!$A$6:$A$89,0)+MATCH($D74,'[1]End - Use Prices'!$B$9:$B$11,0)-1,MATCH(AX$1,'[1]End - Use Prices'!$C$7:$AL$7,0))</f>
        <v>101.08</v>
      </c>
      <c r="AY74" s="41">
        <f>INDEX('[1]End - Use Prices'!$C$6:$AL$89,MATCH($C74,'[1]End - Use Prices'!$A$6:$A$89,0)+MATCH($D74,'[1]End - Use Prices'!$B$9:$B$11,0)-1,MATCH(AY$1,'[1]End - Use Prices'!$C$7:$AL$7,0))</f>
        <v>101.45</v>
      </c>
      <c r="AZ74" s="41">
        <f>INDEX('[1]End - Use Prices'!$C$6:$AL$89,MATCH($C74,'[1]End - Use Prices'!$A$6:$A$89,0)+MATCH($D74,'[1]End - Use Prices'!$B$9:$B$11,0)-1,MATCH(AZ$1,'[1]End - Use Prices'!$C$7:$AL$7,0))</f>
        <v>101.83</v>
      </c>
      <c r="BA74" s="41">
        <f>INDEX('[1]End - Use Prices'!$C$6:$AL$89,MATCH($C74,'[1]End - Use Prices'!$A$6:$A$89,0)+MATCH($D74,'[1]End - Use Prices'!$B$9:$B$11,0)-1,MATCH(BA$1,'[1]End - Use Prices'!$C$7:$AL$7,0))</f>
        <v>102.21</v>
      </c>
      <c r="BB74" s="41">
        <f>INDEX('[1]End - Use Prices'!$C$6:$AL$89,MATCH($C74,'[1]End - Use Prices'!$A$6:$A$89,0)+MATCH($D74,'[1]End - Use Prices'!$B$9:$B$11,0)-1,MATCH(BB$1,'[1]End - Use Prices'!$C$7:$AL$7,0))</f>
        <v>102.6</v>
      </c>
      <c r="BC74" s="41">
        <f>INDEX('[1]End - Use Prices'!$C$6:$AL$89,MATCH($C74,'[1]End - Use Prices'!$A$6:$A$89,0)+MATCH($D74,'[1]End - Use Prices'!$B$9:$B$11,0)-1,MATCH(BC$1,'[1]End - Use Prices'!$C$7:$AL$7,0))</f>
        <v>103</v>
      </c>
      <c r="BD74" s="41">
        <f>INDEX('[1]End - Use Prices'!$C$6:$AL$89,MATCH($C74,'[1]End - Use Prices'!$A$6:$A$89,0)+MATCH($D74,'[1]End - Use Prices'!$B$9:$B$11,0)-1,MATCH(BD$1,'[1]End - Use Prices'!$C$7:$AL$7,0))</f>
        <v>103.4</v>
      </c>
      <c r="BE74" s="41">
        <f>INDEX('[1]End - Use Prices'!$C$6:$AL$89,MATCH($C74,'[1]End - Use Prices'!$A$6:$A$89,0)+MATCH($D74,'[1]End - Use Prices'!$B$9:$B$11,0)-1,MATCH(BE$1,'[1]End - Use Prices'!$C$7:$AL$7,0))</f>
        <v>103.82</v>
      </c>
      <c r="BF74" s="41">
        <f>INDEX('[1]End - Use Prices'!$C$6:$AL$89,MATCH($C74,'[1]End - Use Prices'!$A$6:$A$89,0)+MATCH($D74,'[1]End - Use Prices'!$B$9:$B$11,0)-1,MATCH(BF$1,'[1]End - Use Prices'!$C$7:$AL$7,0))</f>
        <v>104.25</v>
      </c>
      <c r="BG74" s="41">
        <f>INDEX('[1]End - Use Prices'!$C$6:$AL$89,MATCH($C74,'[1]End - Use Prices'!$A$6:$A$89,0)+MATCH($D74,'[1]End - Use Prices'!$B$9:$B$11,0)-1,MATCH(BG$1,'[1]End - Use Prices'!$C$7:$AL$7,0))</f>
        <v>104.69</v>
      </c>
      <c r="BR74" s="39"/>
      <c r="BS74" s="39"/>
      <c r="BT74" s="39"/>
      <c r="BU74" s="39"/>
      <c r="BV74" s="39"/>
      <c r="BW74" s="39"/>
      <c r="BX74" s="39"/>
      <c r="BY74" s="39"/>
      <c r="BZ74" s="39"/>
      <c r="CA74" s="39"/>
    </row>
    <row r="75" spans="1:79" x14ac:dyDescent="0.25">
      <c r="A75" s="5"/>
      <c r="B75" s="3"/>
      <c r="C75" s="25" t="s">
        <v>96</v>
      </c>
      <c r="D75" s="25" t="s">
        <v>2</v>
      </c>
      <c r="E75" s="25" t="s">
        <v>313</v>
      </c>
      <c r="F75" s="74" t="s">
        <v>310</v>
      </c>
      <c r="G75" s="54">
        <f t="shared" si="54"/>
        <v>83.79</v>
      </c>
      <c r="H75" s="34">
        <f t="shared" si="55"/>
        <v>83.79</v>
      </c>
      <c r="I75" s="34">
        <f t="shared" si="55"/>
        <v>92.5</v>
      </c>
      <c r="J75" s="34">
        <f t="shared" si="55"/>
        <v>98.65</v>
      </c>
      <c r="K75" s="34">
        <f t="shared" si="55"/>
        <v>99.14</v>
      </c>
      <c r="L75" s="34">
        <f t="shared" si="55"/>
        <v>99.31</v>
      </c>
      <c r="M75" s="34">
        <f t="shared" si="55"/>
        <v>99.23</v>
      </c>
      <c r="N75" s="34">
        <f t="shared" si="55"/>
        <v>99.15</v>
      </c>
      <c r="O75" s="34">
        <f t="shared" si="55"/>
        <v>99.32</v>
      </c>
      <c r="P75" s="54">
        <f t="shared" ref="P75:Q75" si="69">O75</f>
        <v>99.32</v>
      </c>
      <c r="Q75" s="54">
        <f t="shared" si="69"/>
        <v>99.32</v>
      </c>
      <c r="R75" s="38"/>
      <c r="X75" s="41">
        <f>INDEX('[1]End - Use Prices'!$C$6:$AL$89,MATCH($C75,'[1]End - Use Prices'!$A$6:$A$89,0)+MATCH($D75,'[1]End - Use Prices'!$B$9:$B$11,0)-1,MATCH(X$1,'[1]End - Use Prices'!$C$7:$AL$7,0))</f>
        <v>83.79</v>
      </c>
      <c r="Y75" s="41">
        <f>INDEX('[1]End - Use Prices'!$C$6:$AL$89,MATCH($C75,'[1]End - Use Prices'!$A$6:$A$89,0)+MATCH($D75,'[1]End - Use Prices'!$B$9:$B$11,0)-1,MATCH(Y$1,'[1]End - Use Prices'!$C$7:$AL$7,0))</f>
        <v>86.36</v>
      </c>
      <c r="Z75" s="41">
        <f>INDEX('[1]End - Use Prices'!$C$6:$AL$89,MATCH($C75,'[1]End - Use Prices'!$A$6:$A$89,0)+MATCH($D75,'[1]End - Use Prices'!$B$9:$B$11,0)-1,MATCH(Z$1,'[1]End - Use Prices'!$C$7:$AL$7,0))</f>
        <v>85.49</v>
      </c>
      <c r="AA75" s="41">
        <f>INDEX('[1]End - Use Prices'!$C$6:$AL$89,MATCH($C75,'[1]End - Use Prices'!$A$6:$A$89,0)+MATCH($D75,'[1]End - Use Prices'!$B$9:$B$11,0)-1,MATCH(AA$1,'[1]End - Use Prices'!$C$7:$AL$7,0))</f>
        <v>84.88</v>
      </c>
      <c r="AB75" s="41">
        <f>INDEX('[1]End - Use Prices'!$C$6:$AL$89,MATCH($C75,'[1]End - Use Prices'!$A$6:$A$89,0)+MATCH($D75,'[1]End - Use Prices'!$B$9:$B$11,0)-1,MATCH(AB$1,'[1]End - Use Prices'!$C$7:$AL$7,0))</f>
        <v>88.16</v>
      </c>
      <c r="AC75" s="41">
        <f>INDEX('[1]End - Use Prices'!$C$6:$AL$89,MATCH($C75,'[1]End - Use Prices'!$A$6:$A$89,0)+MATCH($D75,'[1]End - Use Prices'!$B$9:$B$11,0)-1,MATCH(AC$1,'[1]End - Use Prices'!$C$7:$AL$7,0))</f>
        <v>92.5</v>
      </c>
      <c r="AD75" s="41">
        <f>INDEX('[1]End - Use Prices'!$C$6:$AL$89,MATCH($C75,'[1]End - Use Prices'!$A$6:$A$89,0)+MATCH($D75,'[1]End - Use Prices'!$B$9:$B$11,0)-1,MATCH(AD$1,'[1]End - Use Prices'!$C$7:$AL$7,0))</f>
        <v>88.79</v>
      </c>
      <c r="AE75" s="41">
        <f>INDEX('[1]End - Use Prices'!$C$6:$AL$89,MATCH($C75,'[1]End - Use Prices'!$A$6:$A$89,0)+MATCH($D75,'[1]End - Use Prices'!$B$9:$B$11,0)-1,MATCH(AE$1,'[1]End - Use Prices'!$C$7:$AL$7,0))</f>
        <v>98.09</v>
      </c>
      <c r="AF75" s="41">
        <f>INDEX('[1]End - Use Prices'!$C$6:$AL$89,MATCH($C75,'[1]End - Use Prices'!$A$6:$A$89,0)+MATCH($D75,'[1]End - Use Prices'!$B$9:$B$11,0)-1,MATCH(AF$1,'[1]End - Use Prices'!$C$7:$AL$7,0))</f>
        <v>97.87</v>
      </c>
      <c r="AG75" s="41">
        <f>INDEX('[1]End - Use Prices'!$C$6:$AL$89,MATCH($C75,'[1]End - Use Prices'!$A$6:$A$89,0)+MATCH($D75,'[1]End - Use Prices'!$B$9:$B$11,0)-1,MATCH(AG$1,'[1]End - Use Prices'!$C$7:$AL$7,0))</f>
        <v>97.87</v>
      </c>
      <c r="AH75" s="41">
        <f>INDEX('[1]End - Use Prices'!$C$6:$AL$89,MATCH($C75,'[1]End - Use Prices'!$A$6:$A$89,0)+MATCH($D75,'[1]End - Use Prices'!$B$9:$B$11,0)-1,MATCH(AH$1,'[1]End - Use Prices'!$C$7:$AL$7,0))</f>
        <v>98.65</v>
      </c>
      <c r="AI75" s="41">
        <f>INDEX('[1]End - Use Prices'!$C$6:$AL$89,MATCH($C75,'[1]End - Use Prices'!$A$6:$A$89,0)+MATCH($D75,'[1]End - Use Prices'!$B$9:$B$11,0)-1,MATCH(AI$1,'[1]End - Use Prices'!$C$7:$AL$7,0))</f>
        <v>98.04</v>
      </c>
      <c r="AJ75" s="41">
        <f>INDEX('[1]End - Use Prices'!$C$6:$AL$89,MATCH($C75,'[1]End - Use Prices'!$A$6:$A$89,0)+MATCH($D75,'[1]End - Use Prices'!$B$9:$B$11,0)-1,MATCH(AJ$1,'[1]End - Use Prices'!$C$7:$AL$7,0))</f>
        <v>98.81</v>
      </c>
      <c r="AK75" s="41">
        <f>INDEX('[1]End - Use Prices'!$C$6:$AL$89,MATCH($C75,'[1]End - Use Prices'!$A$6:$A$89,0)+MATCH($D75,'[1]End - Use Prices'!$B$9:$B$11,0)-1,MATCH(AK$1,'[1]End - Use Prices'!$C$7:$AL$7,0))</f>
        <v>98.94</v>
      </c>
      <c r="AL75" s="41">
        <f>INDEX('[1]End - Use Prices'!$C$6:$AL$89,MATCH($C75,'[1]End - Use Prices'!$A$6:$A$89,0)+MATCH($D75,'[1]End - Use Prices'!$B$9:$B$11,0)-1,MATCH(AL$1,'[1]End - Use Prices'!$C$7:$AL$7,0))</f>
        <v>99.05</v>
      </c>
      <c r="AM75" s="41">
        <f>INDEX('[1]End - Use Prices'!$C$6:$AL$89,MATCH($C75,'[1]End - Use Prices'!$A$6:$A$89,0)+MATCH($D75,'[1]End - Use Prices'!$B$9:$B$11,0)-1,MATCH(AM$1,'[1]End - Use Prices'!$C$7:$AL$7,0))</f>
        <v>99.14</v>
      </c>
      <c r="AN75" s="41">
        <f>INDEX('[1]End - Use Prices'!$C$6:$AL$89,MATCH($C75,'[1]End - Use Prices'!$A$6:$A$89,0)+MATCH($D75,'[1]End - Use Prices'!$B$9:$B$11,0)-1,MATCH(AN$1,'[1]End - Use Prices'!$C$7:$AL$7,0))</f>
        <v>99.2</v>
      </c>
      <c r="AO75" s="41">
        <f>INDEX('[1]End - Use Prices'!$C$6:$AL$89,MATCH($C75,'[1]End - Use Prices'!$A$6:$A$89,0)+MATCH($D75,'[1]End - Use Prices'!$B$9:$B$11,0)-1,MATCH(AO$1,'[1]End - Use Prices'!$C$7:$AL$7,0))</f>
        <v>99.25</v>
      </c>
      <c r="AP75" s="41">
        <f>INDEX('[1]End - Use Prices'!$C$6:$AL$89,MATCH($C75,'[1]End - Use Prices'!$A$6:$A$89,0)+MATCH($D75,'[1]End - Use Prices'!$B$9:$B$11,0)-1,MATCH(AP$1,'[1]End - Use Prices'!$C$7:$AL$7,0))</f>
        <v>99.28</v>
      </c>
      <c r="AQ75" s="41">
        <f>INDEX('[1]End - Use Prices'!$C$6:$AL$89,MATCH($C75,'[1]End - Use Prices'!$A$6:$A$89,0)+MATCH($D75,'[1]End - Use Prices'!$B$9:$B$11,0)-1,MATCH(AQ$1,'[1]End - Use Prices'!$C$7:$AL$7,0))</f>
        <v>99.3</v>
      </c>
      <c r="AR75" s="41">
        <f>INDEX('[1]End - Use Prices'!$C$6:$AL$89,MATCH($C75,'[1]End - Use Prices'!$A$6:$A$89,0)+MATCH($D75,'[1]End - Use Prices'!$B$9:$B$11,0)-1,MATCH(AR$1,'[1]End - Use Prices'!$C$7:$AL$7,0))</f>
        <v>99.31</v>
      </c>
      <c r="AS75" s="41">
        <f>INDEX('[1]End - Use Prices'!$C$6:$AL$89,MATCH($C75,'[1]End - Use Prices'!$A$6:$A$89,0)+MATCH($D75,'[1]End - Use Prices'!$B$9:$B$11,0)-1,MATCH(AS$1,'[1]End - Use Prices'!$C$7:$AL$7,0))</f>
        <v>99.3</v>
      </c>
      <c r="AT75" s="41">
        <f>INDEX('[1]End - Use Prices'!$C$6:$AL$89,MATCH($C75,'[1]End - Use Prices'!$A$6:$A$89,0)+MATCH($D75,'[1]End - Use Prices'!$B$9:$B$11,0)-1,MATCH(AT$1,'[1]End - Use Prices'!$C$7:$AL$7,0))</f>
        <v>99.29</v>
      </c>
      <c r="AU75" s="41">
        <f>INDEX('[1]End - Use Prices'!$C$6:$AL$89,MATCH($C75,'[1]End - Use Prices'!$A$6:$A$89,0)+MATCH($D75,'[1]End - Use Prices'!$B$9:$B$11,0)-1,MATCH(AU$1,'[1]End - Use Prices'!$C$7:$AL$7,0))</f>
        <v>99.27</v>
      </c>
      <c r="AV75" s="41">
        <f>INDEX('[1]End - Use Prices'!$C$6:$AL$89,MATCH($C75,'[1]End - Use Prices'!$A$6:$A$89,0)+MATCH($D75,'[1]End - Use Prices'!$B$9:$B$11,0)-1,MATCH(AV$1,'[1]End - Use Prices'!$C$7:$AL$7,0))</f>
        <v>99.25</v>
      </c>
      <c r="AW75" s="41">
        <f>INDEX('[1]End - Use Prices'!$C$6:$AL$89,MATCH($C75,'[1]End - Use Prices'!$A$6:$A$89,0)+MATCH($D75,'[1]End - Use Prices'!$B$9:$B$11,0)-1,MATCH(AW$1,'[1]End - Use Prices'!$C$7:$AL$7,0))</f>
        <v>99.23</v>
      </c>
      <c r="AX75" s="41">
        <f>INDEX('[1]End - Use Prices'!$C$6:$AL$89,MATCH($C75,'[1]End - Use Prices'!$A$6:$A$89,0)+MATCH($D75,'[1]End - Use Prices'!$B$9:$B$11,0)-1,MATCH(AX$1,'[1]End - Use Prices'!$C$7:$AL$7,0))</f>
        <v>99.2</v>
      </c>
      <c r="AY75" s="41">
        <f>INDEX('[1]End - Use Prices'!$C$6:$AL$89,MATCH($C75,'[1]End - Use Prices'!$A$6:$A$89,0)+MATCH($D75,'[1]End - Use Prices'!$B$9:$B$11,0)-1,MATCH(AY$1,'[1]End - Use Prices'!$C$7:$AL$7,0))</f>
        <v>99.18</v>
      </c>
      <c r="AZ75" s="41">
        <f>INDEX('[1]End - Use Prices'!$C$6:$AL$89,MATCH($C75,'[1]End - Use Prices'!$A$6:$A$89,0)+MATCH($D75,'[1]End - Use Prices'!$B$9:$B$11,0)-1,MATCH(AZ$1,'[1]End - Use Prices'!$C$7:$AL$7,0))</f>
        <v>99.16</v>
      </c>
      <c r="BA75" s="41">
        <f>INDEX('[1]End - Use Prices'!$C$6:$AL$89,MATCH($C75,'[1]End - Use Prices'!$A$6:$A$89,0)+MATCH($D75,'[1]End - Use Prices'!$B$9:$B$11,0)-1,MATCH(BA$1,'[1]End - Use Prices'!$C$7:$AL$7,0))</f>
        <v>99.15</v>
      </c>
      <c r="BB75" s="41">
        <f>INDEX('[1]End - Use Prices'!$C$6:$AL$89,MATCH($C75,'[1]End - Use Prices'!$A$6:$A$89,0)+MATCH($D75,'[1]End - Use Prices'!$B$9:$B$11,0)-1,MATCH(BB$1,'[1]End - Use Prices'!$C$7:$AL$7,0))</f>
        <v>99.15</v>
      </c>
      <c r="BC75" s="41">
        <f>INDEX('[1]End - Use Prices'!$C$6:$AL$89,MATCH($C75,'[1]End - Use Prices'!$A$6:$A$89,0)+MATCH($D75,'[1]End - Use Prices'!$B$9:$B$11,0)-1,MATCH(BC$1,'[1]End - Use Prices'!$C$7:$AL$7,0))</f>
        <v>99.15</v>
      </c>
      <c r="BD75" s="41">
        <f>INDEX('[1]End - Use Prices'!$C$6:$AL$89,MATCH($C75,'[1]End - Use Prices'!$A$6:$A$89,0)+MATCH($D75,'[1]End - Use Prices'!$B$9:$B$11,0)-1,MATCH(BD$1,'[1]End - Use Prices'!$C$7:$AL$7,0))</f>
        <v>99.17</v>
      </c>
      <c r="BE75" s="41">
        <f>INDEX('[1]End - Use Prices'!$C$6:$AL$89,MATCH($C75,'[1]End - Use Prices'!$A$6:$A$89,0)+MATCH($D75,'[1]End - Use Prices'!$B$9:$B$11,0)-1,MATCH(BE$1,'[1]End - Use Prices'!$C$7:$AL$7,0))</f>
        <v>99.2</v>
      </c>
      <c r="BF75" s="41">
        <f>INDEX('[1]End - Use Prices'!$C$6:$AL$89,MATCH($C75,'[1]End - Use Prices'!$A$6:$A$89,0)+MATCH($D75,'[1]End - Use Prices'!$B$9:$B$11,0)-1,MATCH(BF$1,'[1]End - Use Prices'!$C$7:$AL$7,0))</f>
        <v>99.25</v>
      </c>
      <c r="BG75" s="41">
        <f>INDEX('[1]End - Use Prices'!$C$6:$AL$89,MATCH($C75,'[1]End - Use Prices'!$A$6:$A$89,0)+MATCH($D75,'[1]End - Use Prices'!$B$9:$B$11,0)-1,MATCH(BG$1,'[1]End - Use Prices'!$C$7:$AL$7,0))</f>
        <v>99.32</v>
      </c>
      <c r="BR75" s="39"/>
      <c r="BS75" s="39"/>
      <c r="BT75" s="39"/>
      <c r="BU75" s="39"/>
      <c r="BV75" s="39"/>
      <c r="BW75" s="39"/>
      <c r="BX75" s="39"/>
      <c r="BY75" s="39"/>
      <c r="BZ75" s="39"/>
      <c r="CA75" s="39"/>
    </row>
    <row r="76" spans="1:79" x14ac:dyDescent="0.25">
      <c r="A76" s="5"/>
      <c r="B76" s="3"/>
      <c r="C76" s="25" t="s">
        <v>48</v>
      </c>
      <c r="D76" s="25" t="s">
        <v>14</v>
      </c>
      <c r="E76" s="25" t="s">
        <v>313</v>
      </c>
      <c r="F76" s="74" t="s">
        <v>310</v>
      </c>
      <c r="G76" s="54">
        <f t="shared" si="54"/>
        <v>15.81</v>
      </c>
      <c r="H76" s="34">
        <f t="shared" si="55"/>
        <v>15.81</v>
      </c>
      <c r="I76" s="34">
        <f t="shared" si="55"/>
        <v>12.69</v>
      </c>
      <c r="J76" s="34">
        <f t="shared" si="55"/>
        <v>10.65</v>
      </c>
      <c r="K76" s="34">
        <f t="shared" si="55"/>
        <v>9.67</v>
      </c>
      <c r="L76" s="34">
        <f t="shared" si="55"/>
        <v>10.64</v>
      </c>
      <c r="M76" s="34">
        <f t="shared" si="55"/>
        <v>11.02</v>
      </c>
      <c r="N76" s="34">
        <f t="shared" si="55"/>
        <v>11.37</v>
      </c>
      <c r="O76" s="34">
        <f t="shared" si="55"/>
        <v>11.44</v>
      </c>
      <c r="P76" s="54">
        <f t="shared" ref="P76:Q76" si="70">O76</f>
        <v>11.44</v>
      </c>
      <c r="Q76" s="54">
        <f t="shared" si="70"/>
        <v>11.44</v>
      </c>
      <c r="R76" s="38"/>
      <c r="X76" s="41">
        <f>INDEX('[1]End - Use Prices'!$C$6:$AL$89,MATCH($C76,'[1]End - Use Prices'!$A$6:$A$89,0)+MATCH($D76,'[1]End - Use Prices'!$B$9:$B$11,0)-1,MATCH(X$1,'[1]End - Use Prices'!$C$7:$AL$7,0))</f>
        <v>15.81</v>
      </c>
      <c r="Y76" s="41">
        <f>INDEX('[1]End - Use Prices'!$C$6:$AL$89,MATCH($C76,'[1]End - Use Prices'!$A$6:$A$89,0)+MATCH($D76,'[1]End - Use Prices'!$B$9:$B$11,0)-1,MATCH(Y$1,'[1]End - Use Prices'!$C$7:$AL$7,0))</f>
        <v>16.04</v>
      </c>
      <c r="Z76" s="41">
        <f>INDEX('[1]End - Use Prices'!$C$6:$AL$89,MATCH($C76,'[1]End - Use Prices'!$A$6:$A$89,0)+MATCH($D76,'[1]End - Use Prices'!$B$9:$B$11,0)-1,MATCH(Z$1,'[1]End - Use Prices'!$C$7:$AL$7,0))</f>
        <v>14.76</v>
      </c>
      <c r="AA76" s="41">
        <f>INDEX('[1]End - Use Prices'!$C$6:$AL$89,MATCH($C76,'[1]End - Use Prices'!$A$6:$A$89,0)+MATCH($D76,'[1]End - Use Prices'!$B$9:$B$11,0)-1,MATCH(AA$1,'[1]End - Use Prices'!$C$7:$AL$7,0))</f>
        <v>14.82</v>
      </c>
      <c r="AB76" s="41">
        <f>INDEX('[1]End - Use Prices'!$C$6:$AL$89,MATCH($C76,'[1]End - Use Prices'!$A$6:$A$89,0)+MATCH($D76,'[1]End - Use Prices'!$B$9:$B$11,0)-1,MATCH(AB$1,'[1]End - Use Prices'!$C$7:$AL$7,0))</f>
        <v>12.89</v>
      </c>
      <c r="AC76" s="41">
        <f>INDEX('[1]End - Use Prices'!$C$6:$AL$89,MATCH($C76,'[1]End - Use Prices'!$A$6:$A$89,0)+MATCH($D76,'[1]End - Use Prices'!$B$9:$B$11,0)-1,MATCH(AC$1,'[1]End - Use Prices'!$C$7:$AL$7,0))</f>
        <v>12.69</v>
      </c>
      <c r="AD76" s="41">
        <f>INDEX('[1]End - Use Prices'!$C$6:$AL$89,MATCH($C76,'[1]End - Use Prices'!$A$6:$A$89,0)+MATCH($D76,'[1]End - Use Prices'!$B$9:$B$11,0)-1,MATCH(AD$1,'[1]End - Use Prices'!$C$7:$AL$7,0))</f>
        <v>11.75</v>
      </c>
      <c r="AE76" s="41">
        <f>INDEX('[1]End - Use Prices'!$C$6:$AL$89,MATCH($C76,'[1]End - Use Prices'!$A$6:$A$89,0)+MATCH($D76,'[1]End - Use Prices'!$B$9:$B$11,0)-1,MATCH(AE$1,'[1]End - Use Prices'!$C$7:$AL$7,0))</f>
        <v>10.82</v>
      </c>
      <c r="AF76" s="41">
        <f>INDEX('[1]End - Use Prices'!$C$6:$AL$89,MATCH($C76,'[1]End - Use Prices'!$A$6:$A$89,0)+MATCH($D76,'[1]End - Use Prices'!$B$9:$B$11,0)-1,MATCH(AF$1,'[1]End - Use Prices'!$C$7:$AL$7,0))</f>
        <v>10.77</v>
      </c>
      <c r="AG76" s="41">
        <f>INDEX('[1]End - Use Prices'!$C$6:$AL$89,MATCH($C76,'[1]End - Use Prices'!$A$6:$A$89,0)+MATCH($D76,'[1]End - Use Prices'!$B$9:$B$11,0)-1,MATCH(AG$1,'[1]End - Use Prices'!$C$7:$AL$7,0))</f>
        <v>11.71</v>
      </c>
      <c r="AH76" s="41">
        <f>INDEX('[1]End - Use Prices'!$C$6:$AL$89,MATCH($C76,'[1]End - Use Prices'!$A$6:$A$89,0)+MATCH($D76,'[1]End - Use Prices'!$B$9:$B$11,0)-1,MATCH(AH$1,'[1]End - Use Prices'!$C$7:$AL$7,0))</f>
        <v>10.65</v>
      </c>
      <c r="AI76" s="41">
        <f>INDEX('[1]End - Use Prices'!$C$6:$AL$89,MATCH($C76,'[1]End - Use Prices'!$A$6:$A$89,0)+MATCH($D76,'[1]End - Use Prices'!$B$9:$B$11,0)-1,MATCH(AI$1,'[1]End - Use Prices'!$C$7:$AL$7,0))</f>
        <v>8.93</v>
      </c>
      <c r="AJ76" s="41">
        <f>INDEX('[1]End - Use Prices'!$C$6:$AL$89,MATCH($C76,'[1]End - Use Prices'!$A$6:$A$89,0)+MATCH($D76,'[1]End - Use Prices'!$B$9:$B$11,0)-1,MATCH(AJ$1,'[1]End - Use Prices'!$C$7:$AL$7,0))</f>
        <v>10.82</v>
      </c>
      <c r="AK76" s="41">
        <f>INDEX('[1]End - Use Prices'!$C$6:$AL$89,MATCH($C76,'[1]End - Use Prices'!$A$6:$A$89,0)+MATCH($D76,'[1]End - Use Prices'!$B$9:$B$11,0)-1,MATCH(AK$1,'[1]End - Use Prices'!$C$7:$AL$7,0))</f>
        <v>9.86</v>
      </c>
      <c r="AL76" s="41">
        <f>INDEX('[1]End - Use Prices'!$C$6:$AL$89,MATCH($C76,'[1]End - Use Prices'!$A$6:$A$89,0)+MATCH($D76,'[1]End - Use Prices'!$B$9:$B$11,0)-1,MATCH(AL$1,'[1]End - Use Prices'!$C$7:$AL$7,0))</f>
        <v>9.5299999999999994</v>
      </c>
      <c r="AM76" s="41">
        <f>INDEX('[1]End - Use Prices'!$C$6:$AL$89,MATCH($C76,'[1]End - Use Prices'!$A$6:$A$89,0)+MATCH($D76,'[1]End - Use Prices'!$B$9:$B$11,0)-1,MATCH(AM$1,'[1]End - Use Prices'!$C$7:$AL$7,0))</f>
        <v>9.67</v>
      </c>
      <c r="AN76" s="41">
        <f>INDEX('[1]End - Use Prices'!$C$6:$AL$89,MATCH($C76,'[1]End - Use Prices'!$A$6:$A$89,0)+MATCH($D76,'[1]End - Use Prices'!$B$9:$B$11,0)-1,MATCH(AN$1,'[1]End - Use Prices'!$C$7:$AL$7,0))</f>
        <v>9.8699999999999992</v>
      </c>
      <c r="AO76" s="41">
        <f>INDEX('[1]End - Use Prices'!$C$6:$AL$89,MATCH($C76,'[1]End - Use Prices'!$A$6:$A$89,0)+MATCH($D76,'[1]End - Use Prices'!$B$9:$B$11,0)-1,MATCH(AO$1,'[1]End - Use Prices'!$C$7:$AL$7,0))</f>
        <v>10.19</v>
      </c>
      <c r="AP76" s="41">
        <f>INDEX('[1]End - Use Prices'!$C$6:$AL$89,MATCH($C76,'[1]End - Use Prices'!$A$6:$A$89,0)+MATCH($D76,'[1]End - Use Prices'!$B$9:$B$11,0)-1,MATCH(AP$1,'[1]End - Use Prices'!$C$7:$AL$7,0))</f>
        <v>10.44</v>
      </c>
      <c r="AQ76" s="41">
        <f>INDEX('[1]End - Use Prices'!$C$6:$AL$89,MATCH($C76,'[1]End - Use Prices'!$A$6:$A$89,0)+MATCH($D76,'[1]End - Use Prices'!$B$9:$B$11,0)-1,MATCH(AQ$1,'[1]End - Use Prices'!$C$7:$AL$7,0))</f>
        <v>10.53</v>
      </c>
      <c r="AR76" s="41">
        <f>INDEX('[1]End - Use Prices'!$C$6:$AL$89,MATCH($C76,'[1]End - Use Prices'!$A$6:$A$89,0)+MATCH($D76,'[1]End - Use Prices'!$B$9:$B$11,0)-1,MATCH(AR$1,'[1]End - Use Prices'!$C$7:$AL$7,0))</f>
        <v>10.64</v>
      </c>
      <c r="AS76" s="41">
        <f>INDEX('[1]End - Use Prices'!$C$6:$AL$89,MATCH($C76,'[1]End - Use Prices'!$A$6:$A$89,0)+MATCH($D76,'[1]End - Use Prices'!$B$9:$B$11,0)-1,MATCH(AS$1,'[1]End - Use Prices'!$C$7:$AL$7,0))</f>
        <v>10.82</v>
      </c>
      <c r="AT76" s="41">
        <f>INDEX('[1]End - Use Prices'!$C$6:$AL$89,MATCH($C76,'[1]End - Use Prices'!$A$6:$A$89,0)+MATCH($D76,'[1]End - Use Prices'!$B$9:$B$11,0)-1,MATCH(AT$1,'[1]End - Use Prices'!$C$7:$AL$7,0))</f>
        <v>10.85</v>
      </c>
      <c r="AU76" s="41">
        <f>INDEX('[1]End - Use Prices'!$C$6:$AL$89,MATCH($C76,'[1]End - Use Prices'!$A$6:$A$89,0)+MATCH($D76,'[1]End - Use Prices'!$B$9:$B$11,0)-1,MATCH(AU$1,'[1]End - Use Prices'!$C$7:$AL$7,0))</f>
        <v>10.9</v>
      </c>
      <c r="AV76" s="41">
        <f>INDEX('[1]End - Use Prices'!$C$6:$AL$89,MATCH($C76,'[1]End - Use Prices'!$A$6:$A$89,0)+MATCH($D76,'[1]End - Use Prices'!$B$9:$B$11,0)-1,MATCH(AV$1,'[1]End - Use Prices'!$C$7:$AL$7,0))</f>
        <v>10.96</v>
      </c>
      <c r="AW76" s="41">
        <f>INDEX('[1]End - Use Prices'!$C$6:$AL$89,MATCH($C76,'[1]End - Use Prices'!$A$6:$A$89,0)+MATCH($D76,'[1]End - Use Prices'!$B$9:$B$11,0)-1,MATCH(AW$1,'[1]End - Use Prices'!$C$7:$AL$7,0))</f>
        <v>11.02</v>
      </c>
      <c r="AX76" s="41">
        <f>INDEX('[1]End - Use Prices'!$C$6:$AL$89,MATCH($C76,'[1]End - Use Prices'!$A$6:$A$89,0)+MATCH($D76,'[1]End - Use Prices'!$B$9:$B$11,0)-1,MATCH(AX$1,'[1]End - Use Prices'!$C$7:$AL$7,0))</f>
        <v>11.09</v>
      </c>
      <c r="AY76" s="41">
        <f>INDEX('[1]End - Use Prices'!$C$6:$AL$89,MATCH($C76,'[1]End - Use Prices'!$A$6:$A$89,0)+MATCH($D76,'[1]End - Use Prices'!$B$9:$B$11,0)-1,MATCH(AY$1,'[1]End - Use Prices'!$C$7:$AL$7,0))</f>
        <v>11.18</v>
      </c>
      <c r="AZ76" s="41">
        <f>INDEX('[1]End - Use Prices'!$C$6:$AL$89,MATCH($C76,'[1]End - Use Prices'!$A$6:$A$89,0)+MATCH($D76,'[1]End - Use Prices'!$B$9:$B$11,0)-1,MATCH(AZ$1,'[1]End - Use Prices'!$C$7:$AL$7,0))</f>
        <v>11.28</v>
      </c>
      <c r="BA76" s="41">
        <f>INDEX('[1]End - Use Prices'!$C$6:$AL$89,MATCH($C76,'[1]End - Use Prices'!$A$6:$A$89,0)+MATCH($D76,'[1]End - Use Prices'!$B$9:$B$11,0)-1,MATCH(BA$1,'[1]End - Use Prices'!$C$7:$AL$7,0))</f>
        <v>11.33</v>
      </c>
      <c r="BB76" s="41">
        <f>INDEX('[1]End - Use Prices'!$C$6:$AL$89,MATCH($C76,'[1]End - Use Prices'!$A$6:$A$89,0)+MATCH($D76,'[1]End - Use Prices'!$B$9:$B$11,0)-1,MATCH(BB$1,'[1]End - Use Prices'!$C$7:$AL$7,0))</f>
        <v>11.37</v>
      </c>
      <c r="BC76" s="41">
        <f>INDEX('[1]End - Use Prices'!$C$6:$AL$89,MATCH($C76,'[1]End - Use Prices'!$A$6:$A$89,0)+MATCH($D76,'[1]End - Use Prices'!$B$9:$B$11,0)-1,MATCH(BC$1,'[1]End - Use Prices'!$C$7:$AL$7,0))</f>
        <v>11.41</v>
      </c>
      <c r="BD76" s="41">
        <f>INDEX('[1]End - Use Prices'!$C$6:$AL$89,MATCH($C76,'[1]End - Use Prices'!$A$6:$A$89,0)+MATCH($D76,'[1]End - Use Prices'!$B$9:$B$11,0)-1,MATCH(BD$1,'[1]End - Use Prices'!$C$7:$AL$7,0))</f>
        <v>11.43</v>
      </c>
      <c r="BE76" s="41">
        <f>INDEX('[1]End - Use Prices'!$C$6:$AL$89,MATCH($C76,'[1]End - Use Prices'!$A$6:$A$89,0)+MATCH($D76,'[1]End - Use Prices'!$B$9:$B$11,0)-1,MATCH(BE$1,'[1]End - Use Prices'!$C$7:$AL$7,0))</f>
        <v>11.43</v>
      </c>
      <c r="BF76" s="41">
        <f>INDEX('[1]End - Use Prices'!$C$6:$AL$89,MATCH($C76,'[1]End - Use Prices'!$A$6:$A$89,0)+MATCH($D76,'[1]End - Use Prices'!$B$9:$B$11,0)-1,MATCH(BF$1,'[1]End - Use Prices'!$C$7:$AL$7,0))</f>
        <v>11.44</v>
      </c>
      <c r="BG76" s="41">
        <f>INDEX('[1]End - Use Prices'!$C$6:$AL$89,MATCH($C76,'[1]End - Use Prices'!$A$6:$A$89,0)+MATCH($D76,'[1]End - Use Prices'!$B$9:$B$11,0)-1,MATCH(BG$1,'[1]End - Use Prices'!$C$7:$AL$7,0))</f>
        <v>11.44</v>
      </c>
      <c r="BR76" s="39"/>
      <c r="BS76" s="39"/>
      <c r="BT76" s="39"/>
      <c r="BU76" s="39"/>
      <c r="BV76" s="39"/>
      <c r="BW76" s="39"/>
      <c r="BX76" s="39"/>
      <c r="BY76" s="39"/>
      <c r="BZ76" s="39"/>
      <c r="CA76" s="39"/>
    </row>
    <row r="77" spans="1:79" x14ac:dyDescent="0.25">
      <c r="A77" s="5"/>
      <c r="B77" s="3"/>
      <c r="C77" s="25" t="s">
        <v>87</v>
      </c>
      <c r="D77" s="25" t="s">
        <v>14</v>
      </c>
      <c r="E77" s="25" t="s">
        <v>313</v>
      </c>
      <c r="F77" s="74" t="s">
        <v>310</v>
      </c>
      <c r="G77" s="54">
        <f t="shared" si="54"/>
        <v>18.899999999999999</v>
      </c>
      <c r="H77" s="34">
        <f t="shared" si="55"/>
        <v>18.899999999999999</v>
      </c>
      <c r="I77" s="34">
        <f t="shared" si="55"/>
        <v>20.09</v>
      </c>
      <c r="J77" s="34">
        <f t="shared" si="55"/>
        <v>13.86</v>
      </c>
      <c r="K77" s="34">
        <f t="shared" si="55"/>
        <v>10.91</v>
      </c>
      <c r="L77" s="34">
        <f t="shared" si="55"/>
        <v>11.38</v>
      </c>
      <c r="M77" s="34">
        <f t="shared" si="55"/>
        <v>11.9</v>
      </c>
      <c r="N77" s="34">
        <f t="shared" si="55"/>
        <v>12.45</v>
      </c>
      <c r="O77" s="34">
        <f t="shared" si="55"/>
        <v>12.67</v>
      </c>
      <c r="P77" s="54">
        <f t="shared" ref="P77:Q77" si="71">O77</f>
        <v>12.67</v>
      </c>
      <c r="Q77" s="54">
        <f t="shared" si="71"/>
        <v>12.67</v>
      </c>
      <c r="R77" s="38"/>
      <c r="X77" s="41">
        <f>INDEX('[1]End - Use Prices'!$C$6:$AL$89,MATCH($C77,'[1]End - Use Prices'!$A$6:$A$89,0)+MATCH($D77,'[1]End - Use Prices'!$B$9:$B$11,0)-1,MATCH(X$1,'[1]End - Use Prices'!$C$7:$AL$7,0))</f>
        <v>18.899999999999999</v>
      </c>
      <c r="Y77" s="41">
        <f>INDEX('[1]End - Use Prices'!$C$6:$AL$89,MATCH($C77,'[1]End - Use Prices'!$A$6:$A$89,0)+MATCH($D77,'[1]End - Use Prices'!$B$9:$B$11,0)-1,MATCH(Y$1,'[1]End - Use Prices'!$C$7:$AL$7,0))</f>
        <v>18.940000000000001</v>
      </c>
      <c r="Z77" s="41">
        <f>INDEX('[1]End - Use Prices'!$C$6:$AL$89,MATCH($C77,'[1]End - Use Prices'!$A$6:$A$89,0)+MATCH($D77,'[1]End - Use Prices'!$B$9:$B$11,0)-1,MATCH(Z$1,'[1]End - Use Prices'!$C$7:$AL$7,0))</f>
        <v>11.86</v>
      </c>
      <c r="AA77" s="41">
        <f>INDEX('[1]End - Use Prices'!$C$6:$AL$89,MATCH($C77,'[1]End - Use Prices'!$A$6:$A$89,0)+MATCH($D77,'[1]End - Use Prices'!$B$9:$B$11,0)-1,MATCH(AA$1,'[1]End - Use Prices'!$C$7:$AL$7,0))</f>
        <v>14.01</v>
      </c>
      <c r="AB77" s="41">
        <f>INDEX('[1]End - Use Prices'!$C$6:$AL$89,MATCH($C77,'[1]End - Use Prices'!$A$6:$A$89,0)+MATCH($D77,'[1]End - Use Prices'!$B$9:$B$11,0)-1,MATCH(AB$1,'[1]End - Use Prices'!$C$7:$AL$7,0))</f>
        <v>14.6</v>
      </c>
      <c r="AC77" s="41">
        <f>INDEX('[1]End - Use Prices'!$C$6:$AL$89,MATCH($C77,'[1]End - Use Prices'!$A$6:$A$89,0)+MATCH($D77,'[1]End - Use Prices'!$B$9:$B$11,0)-1,MATCH(AC$1,'[1]End - Use Prices'!$C$7:$AL$7,0))</f>
        <v>20.09</v>
      </c>
      <c r="AD77" s="41">
        <f>INDEX('[1]End - Use Prices'!$C$6:$AL$89,MATCH($C77,'[1]End - Use Prices'!$A$6:$A$89,0)+MATCH($D77,'[1]End - Use Prices'!$B$9:$B$11,0)-1,MATCH(AD$1,'[1]End - Use Prices'!$C$7:$AL$7,0))</f>
        <v>17.2</v>
      </c>
      <c r="AE77" s="41">
        <f>INDEX('[1]End - Use Prices'!$C$6:$AL$89,MATCH($C77,'[1]End - Use Prices'!$A$6:$A$89,0)+MATCH($D77,'[1]End - Use Prices'!$B$9:$B$11,0)-1,MATCH(AE$1,'[1]End - Use Prices'!$C$7:$AL$7,0))</f>
        <v>17.59</v>
      </c>
      <c r="AF77" s="41">
        <f>INDEX('[1]End - Use Prices'!$C$6:$AL$89,MATCH($C77,'[1]End - Use Prices'!$A$6:$A$89,0)+MATCH($D77,'[1]End - Use Prices'!$B$9:$B$11,0)-1,MATCH(AF$1,'[1]End - Use Prices'!$C$7:$AL$7,0))</f>
        <v>18.75</v>
      </c>
      <c r="AG77" s="41">
        <f>INDEX('[1]End - Use Prices'!$C$6:$AL$89,MATCH($C77,'[1]End - Use Prices'!$A$6:$A$89,0)+MATCH($D77,'[1]End - Use Prices'!$B$9:$B$11,0)-1,MATCH(AG$1,'[1]End - Use Prices'!$C$7:$AL$7,0))</f>
        <v>18.48</v>
      </c>
      <c r="AH77" s="41">
        <f>INDEX('[1]End - Use Prices'!$C$6:$AL$89,MATCH($C77,'[1]End - Use Prices'!$A$6:$A$89,0)+MATCH($D77,'[1]End - Use Prices'!$B$9:$B$11,0)-1,MATCH(AH$1,'[1]End - Use Prices'!$C$7:$AL$7,0))</f>
        <v>13.86</v>
      </c>
      <c r="AI77" s="41">
        <f>INDEX('[1]End - Use Prices'!$C$6:$AL$89,MATCH($C77,'[1]End - Use Prices'!$A$6:$A$89,0)+MATCH($D77,'[1]End - Use Prices'!$B$9:$B$11,0)-1,MATCH(AI$1,'[1]End - Use Prices'!$C$7:$AL$7,0))</f>
        <v>9.4700000000000006</v>
      </c>
      <c r="AJ77" s="41">
        <f>INDEX('[1]End - Use Prices'!$C$6:$AL$89,MATCH($C77,'[1]End - Use Prices'!$A$6:$A$89,0)+MATCH($D77,'[1]End - Use Prices'!$B$9:$B$11,0)-1,MATCH(AJ$1,'[1]End - Use Prices'!$C$7:$AL$7,0))</f>
        <v>10.75</v>
      </c>
      <c r="AK77" s="41">
        <f>INDEX('[1]End - Use Prices'!$C$6:$AL$89,MATCH($C77,'[1]End - Use Prices'!$A$6:$A$89,0)+MATCH($D77,'[1]End - Use Prices'!$B$9:$B$11,0)-1,MATCH(AK$1,'[1]End - Use Prices'!$C$7:$AL$7,0))</f>
        <v>10.63</v>
      </c>
      <c r="AL77" s="41">
        <f>INDEX('[1]End - Use Prices'!$C$6:$AL$89,MATCH($C77,'[1]End - Use Prices'!$A$6:$A$89,0)+MATCH($D77,'[1]End - Use Prices'!$B$9:$B$11,0)-1,MATCH(AL$1,'[1]End - Use Prices'!$C$7:$AL$7,0))</f>
        <v>10.61</v>
      </c>
      <c r="AM77" s="41">
        <f>INDEX('[1]End - Use Prices'!$C$6:$AL$89,MATCH($C77,'[1]End - Use Prices'!$A$6:$A$89,0)+MATCH($D77,'[1]End - Use Prices'!$B$9:$B$11,0)-1,MATCH(AM$1,'[1]End - Use Prices'!$C$7:$AL$7,0))</f>
        <v>10.91</v>
      </c>
      <c r="AN77" s="41">
        <f>INDEX('[1]End - Use Prices'!$C$6:$AL$89,MATCH($C77,'[1]End - Use Prices'!$A$6:$A$89,0)+MATCH($D77,'[1]End - Use Prices'!$B$9:$B$11,0)-1,MATCH(AN$1,'[1]End - Use Prices'!$C$7:$AL$7,0))</f>
        <v>11.07</v>
      </c>
      <c r="AO77" s="41">
        <f>INDEX('[1]End - Use Prices'!$C$6:$AL$89,MATCH($C77,'[1]End - Use Prices'!$A$6:$A$89,0)+MATCH($D77,'[1]End - Use Prices'!$B$9:$B$11,0)-1,MATCH(AO$1,'[1]End - Use Prices'!$C$7:$AL$7,0))</f>
        <v>11.22</v>
      </c>
      <c r="AP77" s="41">
        <f>INDEX('[1]End - Use Prices'!$C$6:$AL$89,MATCH($C77,'[1]End - Use Prices'!$A$6:$A$89,0)+MATCH($D77,'[1]End - Use Prices'!$B$9:$B$11,0)-1,MATCH(AP$1,'[1]End - Use Prices'!$C$7:$AL$7,0))</f>
        <v>11.35</v>
      </c>
      <c r="AQ77" s="41">
        <f>INDEX('[1]End - Use Prices'!$C$6:$AL$89,MATCH($C77,'[1]End - Use Prices'!$A$6:$A$89,0)+MATCH($D77,'[1]End - Use Prices'!$B$9:$B$11,0)-1,MATCH(AQ$1,'[1]End - Use Prices'!$C$7:$AL$7,0))</f>
        <v>11.35</v>
      </c>
      <c r="AR77" s="41">
        <f>INDEX('[1]End - Use Prices'!$C$6:$AL$89,MATCH($C77,'[1]End - Use Prices'!$A$6:$A$89,0)+MATCH($D77,'[1]End - Use Prices'!$B$9:$B$11,0)-1,MATCH(AR$1,'[1]End - Use Prices'!$C$7:$AL$7,0))</f>
        <v>11.38</v>
      </c>
      <c r="AS77" s="41">
        <f>INDEX('[1]End - Use Prices'!$C$6:$AL$89,MATCH($C77,'[1]End - Use Prices'!$A$6:$A$89,0)+MATCH($D77,'[1]End - Use Prices'!$B$9:$B$11,0)-1,MATCH(AS$1,'[1]End - Use Prices'!$C$7:$AL$7,0))</f>
        <v>11.48</v>
      </c>
      <c r="AT77" s="41">
        <f>INDEX('[1]End - Use Prices'!$C$6:$AL$89,MATCH($C77,'[1]End - Use Prices'!$A$6:$A$89,0)+MATCH($D77,'[1]End - Use Prices'!$B$9:$B$11,0)-1,MATCH(AT$1,'[1]End - Use Prices'!$C$7:$AL$7,0))</f>
        <v>11.57</v>
      </c>
      <c r="AU77" s="41">
        <f>INDEX('[1]End - Use Prices'!$C$6:$AL$89,MATCH($C77,'[1]End - Use Prices'!$A$6:$A$89,0)+MATCH($D77,'[1]End - Use Prices'!$B$9:$B$11,0)-1,MATCH(AU$1,'[1]End - Use Prices'!$C$7:$AL$7,0))</f>
        <v>11.67</v>
      </c>
      <c r="AV77" s="41">
        <f>INDEX('[1]End - Use Prices'!$C$6:$AL$89,MATCH($C77,'[1]End - Use Prices'!$A$6:$A$89,0)+MATCH($D77,'[1]End - Use Prices'!$B$9:$B$11,0)-1,MATCH(AV$1,'[1]End - Use Prices'!$C$7:$AL$7,0))</f>
        <v>11.79</v>
      </c>
      <c r="AW77" s="41">
        <f>INDEX('[1]End - Use Prices'!$C$6:$AL$89,MATCH($C77,'[1]End - Use Prices'!$A$6:$A$89,0)+MATCH($D77,'[1]End - Use Prices'!$B$9:$B$11,0)-1,MATCH(AW$1,'[1]End - Use Prices'!$C$7:$AL$7,0))</f>
        <v>11.9</v>
      </c>
      <c r="AX77" s="41">
        <f>INDEX('[1]End - Use Prices'!$C$6:$AL$89,MATCH($C77,'[1]End - Use Prices'!$A$6:$A$89,0)+MATCH($D77,'[1]End - Use Prices'!$B$9:$B$11,0)-1,MATCH(AX$1,'[1]End - Use Prices'!$C$7:$AL$7,0))</f>
        <v>12.02</v>
      </c>
      <c r="AY77" s="41">
        <f>INDEX('[1]End - Use Prices'!$C$6:$AL$89,MATCH($C77,'[1]End - Use Prices'!$A$6:$A$89,0)+MATCH($D77,'[1]End - Use Prices'!$B$9:$B$11,0)-1,MATCH(AY$1,'[1]End - Use Prices'!$C$7:$AL$7,0))</f>
        <v>12.15</v>
      </c>
      <c r="AZ77" s="41">
        <f>INDEX('[1]End - Use Prices'!$C$6:$AL$89,MATCH($C77,'[1]End - Use Prices'!$A$6:$A$89,0)+MATCH($D77,'[1]End - Use Prices'!$B$9:$B$11,0)-1,MATCH(AZ$1,'[1]End - Use Prices'!$C$7:$AL$7,0))</f>
        <v>12.3</v>
      </c>
      <c r="BA77" s="41">
        <f>INDEX('[1]End - Use Prices'!$C$6:$AL$89,MATCH($C77,'[1]End - Use Prices'!$A$6:$A$89,0)+MATCH($D77,'[1]End - Use Prices'!$B$9:$B$11,0)-1,MATCH(BA$1,'[1]End - Use Prices'!$C$7:$AL$7,0))</f>
        <v>12.38</v>
      </c>
      <c r="BB77" s="41">
        <f>INDEX('[1]End - Use Prices'!$C$6:$AL$89,MATCH($C77,'[1]End - Use Prices'!$A$6:$A$89,0)+MATCH($D77,'[1]End - Use Prices'!$B$9:$B$11,0)-1,MATCH(BB$1,'[1]End - Use Prices'!$C$7:$AL$7,0))</f>
        <v>12.45</v>
      </c>
      <c r="BC77" s="41">
        <f>INDEX('[1]End - Use Prices'!$C$6:$AL$89,MATCH($C77,'[1]End - Use Prices'!$A$6:$A$89,0)+MATCH($D77,'[1]End - Use Prices'!$B$9:$B$11,0)-1,MATCH(BC$1,'[1]End - Use Prices'!$C$7:$AL$7,0))</f>
        <v>12.52</v>
      </c>
      <c r="BD77" s="41">
        <f>INDEX('[1]End - Use Prices'!$C$6:$AL$89,MATCH($C77,'[1]End - Use Prices'!$A$6:$A$89,0)+MATCH($D77,'[1]End - Use Prices'!$B$9:$B$11,0)-1,MATCH(BD$1,'[1]End - Use Prices'!$C$7:$AL$7,0))</f>
        <v>12.57</v>
      </c>
      <c r="BE77" s="41">
        <f>INDEX('[1]End - Use Prices'!$C$6:$AL$89,MATCH($C77,'[1]End - Use Prices'!$A$6:$A$89,0)+MATCH($D77,'[1]End - Use Prices'!$B$9:$B$11,0)-1,MATCH(BE$1,'[1]End - Use Prices'!$C$7:$AL$7,0))</f>
        <v>12.6</v>
      </c>
      <c r="BF77" s="41">
        <f>INDEX('[1]End - Use Prices'!$C$6:$AL$89,MATCH($C77,'[1]End - Use Prices'!$A$6:$A$89,0)+MATCH($D77,'[1]End - Use Prices'!$B$9:$B$11,0)-1,MATCH(BF$1,'[1]End - Use Prices'!$C$7:$AL$7,0))</f>
        <v>12.64</v>
      </c>
      <c r="BG77" s="41">
        <f>INDEX('[1]End - Use Prices'!$C$6:$AL$89,MATCH($C77,'[1]End - Use Prices'!$A$6:$A$89,0)+MATCH($D77,'[1]End - Use Prices'!$B$9:$B$11,0)-1,MATCH(BG$1,'[1]End - Use Prices'!$C$7:$AL$7,0))</f>
        <v>12.67</v>
      </c>
      <c r="BR77" s="39"/>
      <c r="BS77" s="39"/>
      <c r="BT77" s="39"/>
      <c r="BU77" s="39"/>
      <c r="BV77" s="39"/>
      <c r="BW77" s="39"/>
      <c r="BX77" s="39"/>
      <c r="BY77" s="39"/>
      <c r="BZ77" s="39"/>
      <c r="CA77" s="39"/>
    </row>
    <row r="78" spans="1:79" x14ac:dyDescent="0.25">
      <c r="A78" s="5"/>
      <c r="B78" s="3"/>
      <c r="C78" s="25" t="s">
        <v>88</v>
      </c>
      <c r="D78" s="25" t="s">
        <v>14</v>
      </c>
      <c r="E78" s="25" t="s">
        <v>313</v>
      </c>
      <c r="F78" s="74" t="s">
        <v>310</v>
      </c>
      <c r="G78" s="54">
        <f t="shared" si="54"/>
        <v>18.899999999999999</v>
      </c>
      <c r="H78" s="34">
        <f t="shared" ref="H78:O93" si="72">INDEX($S78:$CA78,MATCH(H$1,$S$1:$CA$1,0))</f>
        <v>18.899999999999999</v>
      </c>
      <c r="I78" s="34">
        <f t="shared" si="72"/>
        <v>20.09</v>
      </c>
      <c r="J78" s="34">
        <f t="shared" si="72"/>
        <v>10.53</v>
      </c>
      <c r="K78" s="34">
        <f t="shared" si="72"/>
        <v>10.91</v>
      </c>
      <c r="L78" s="34">
        <f t="shared" si="72"/>
        <v>11.38</v>
      </c>
      <c r="M78" s="34">
        <f t="shared" si="72"/>
        <v>11.9</v>
      </c>
      <c r="N78" s="34">
        <f t="shared" si="72"/>
        <v>12.45</v>
      </c>
      <c r="O78" s="34">
        <f t="shared" si="72"/>
        <v>12.67</v>
      </c>
      <c r="P78" s="54">
        <f t="shared" ref="P78:Q78" si="73">O78</f>
        <v>12.67</v>
      </c>
      <c r="Q78" s="54">
        <f t="shared" si="73"/>
        <v>12.67</v>
      </c>
      <c r="R78" s="38"/>
      <c r="X78" s="41">
        <f>INDEX('[1]End - Use Prices'!$C$6:$AL$89,MATCH($C78,'[1]End - Use Prices'!$A$6:$A$89,0)+MATCH($D78,'[1]End - Use Prices'!$B$9:$B$11,0)-1,MATCH(X$1,'[1]End - Use Prices'!$C$7:$AL$7,0))</f>
        <v>18.899999999999999</v>
      </c>
      <c r="Y78" s="41">
        <f>INDEX('[1]End - Use Prices'!$C$6:$AL$89,MATCH($C78,'[1]End - Use Prices'!$A$6:$A$89,0)+MATCH($D78,'[1]End - Use Prices'!$B$9:$B$11,0)-1,MATCH(Y$1,'[1]End - Use Prices'!$C$7:$AL$7,0))</f>
        <v>18.940000000000001</v>
      </c>
      <c r="Z78" s="41">
        <f>INDEX('[1]End - Use Prices'!$C$6:$AL$89,MATCH($C78,'[1]End - Use Prices'!$A$6:$A$89,0)+MATCH($D78,'[1]End - Use Prices'!$B$9:$B$11,0)-1,MATCH(Z$1,'[1]End - Use Prices'!$C$7:$AL$7,0))</f>
        <v>11.86</v>
      </c>
      <c r="AA78" s="41">
        <f>INDEX('[1]End - Use Prices'!$C$6:$AL$89,MATCH($C78,'[1]End - Use Prices'!$A$6:$A$89,0)+MATCH($D78,'[1]End - Use Prices'!$B$9:$B$11,0)-1,MATCH(AA$1,'[1]End - Use Prices'!$C$7:$AL$7,0))</f>
        <v>14.01</v>
      </c>
      <c r="AB78" s="41">
        <f>INDEX('[1]End - Use Prices'!$C$6:$AL$89,MATCH($C78,'[1]End - Use Prices'!$A$6:$A$89,0)+MATCH($D78,'[1]End - Use Prices'!$B$9:$B$11,0)-1,MATCH(AB$1,'[1]End - Use Prices'!$C$7:$AL$7,0))</f>
        <v>14.6</v>
      </c>
      <c r="AC78" s="41">
        <f>INDEX('[1]End - Use Prices'!$C$6:$AL$89,MATCH($C78,'[1]End - Use Prices'!$A$6:$A$89,0)+MATCH($D78,'[1]End - Use Prices'!$B$9:$B$11,0)-1,MATCH(AC$1,'[1]End - Use Prices'!$C$7:$AL$7,0))</f>
        <v>20.09</v>
      </c>
      <c r="AD78" s="41">
        <f>INDEX('[1]End - Use Prices'!$C$6:$AL$89,MATCH($C78,'[1]End - Use Prices'!$A$6:$A$89,0)+MATCH($D78,'[1]End - Use Prices'!$B$9:$B$11,0)-1,MATCH(AD$1,'[1]End - Use Prices'!$C$7:$AL$7,0))</f>
        <v>17.2</v>
      </c>
      <c r="AE78" s="41">
        <f>INDEX('[1]End - Use Prices'!$C$6:$AL$89,MATCH($C78,'[1]End - Use Prices'!$A$6:$A$89,0)+MATCH($D78,'[1]End - Use Prices'!$B$9:$B$11,0)-1,MATCH(AE$1,'[1]End - Use Prices'!$C$7:$AL$7,0))</f>
        <v>17.59</v>
      </c>
      <c r="AF78" s="41">
        <f>INDEX('[1]End - Use Prices'!$C$6:$AL$89,MATCH($C78,'[1]End - Use Prices'!$A$6:$A$89,0)+MATCH($D78,'[1]End - Use Prices'!$B$9:$B$11,0)-1,MATCH(AF$1,'[1]End - Use Prices'!$C$7:$AL$7,0))</f>
        <v>18.38</v>
      </c>
      <c r="AG78" s="41">
        <f>INDEX('[1]End - Use Prices'!$C$6:$AL$89,MATCH($C78,'[1]End - Use Prices'!$A$6:$A$89,0)+MATCH($D78,'[1]End - Use Prices'!$B$9:$B$11,0)-1,MATCH(AG$1,'[1]End - Use Prices'!$C$7:$AL$7,0))</f>
        <v>18.48</v>
      </c>
      <c r="AH78" s="41">
        <f>INDEX('[1]End - Use Prices'!$C$6:$AL$89,MATCH($C78,'[1]End - Use Prices'!$A$6:$A$89,0)+MATCH($D78,'[1]End - Use Prices'!$B$9:$B$11,0)-1,MATCH(AH$1,'[1]End - Use Prices'!$C$7:$AL$7,0))</f>
        <v>10.53</v>
      </c>
      <c r="AI78" s="41">
        <f>INDEX('[1]End - Use Prices'!$C$6:$AL$89,MATCH($C78,'[1]End - Use Prices'!$A$6:$A$89,0)+MATCH($D78,'[1]End - Use Prices'!$B$9:$B$11,0)-1,MATCH(AI$1,'[1]End - Use Prices'!$C$7:$AL$7,0))</f>
        <v>9.49</v>
      </c>
      <c r="AJ78" s="41">
        <f>INDEX('[1]End - Use Prices'!$C$6:$AL$89,MATCH($C78,'[1]End - Use Prices'!$A$6:$A$89,0)+MATCH($D78,'[1]End - Use Prices'!$B$9:$B$11,0)-1,MATCH(AJ$1,'[1]End - Use Prices'!$C$7:$AL$7,0))</f>
        <v>10.75</v>
      </c>
      <c r="AK78" s="41">
        <f>INDEX('[1]End - Use Prices'!$C$6:$AL$89,MATCH($C78,'[1]End - Use Prices'!$A$6:$A$89,0)+MATCH($D78,'[1]End - Use Prices'!$B$9:$B$11,0)-1,MATCH(AK$1,'[1]End - Use Prices'!$C$7:$AL$7,0))</f>
        <v>10.63</v>
      </c>
      <c r="AL78" s="41">
        <f>INDEX('[1]End - Use Prices'!$C$6:$AL$89,MATCH($C78,'[1]End - Use Prices'!$A$6:$A$89,0)+MATCH($D78,'[1]End - Use Prices'!$B$9:$B$11,0)-1,MATCH(AL$1,'[1]End - Use Prices'!$C$7:$AL$7,0))</f>
        <v>10.61</v>
      </c>
      <c r="AM78" s="41">
        <f>INDEX('[1]End - Use Prices'!$C$6:$AL$89,MATCH($C78,'[1]End - Use Prices'!$A$6:$A$89,0)+MATCH($D78,'[1]End - Use Prices'!$B$9:$B$11,0)-1,MATCH(AM$1,'[1]End - Use Prices'!$C$7:$AL$7,0))</f>
        <v>10.91</v>
      </c>
      <c r="AN78" s="41">
        <f>INDEX('[1]End - Use Prices'!$C$6:$AL$89,MATCH($C78,'[1]End - Use Prices'!$A$6:$A$89,0)+MATCH($D78,'[1]End - Use Prices'!$B$9:$B$11,0)-1,MATCH(AN$1,'[1]End - Use Prices'!$C$7:$AL$7,0))</f>
        <v>11.07</v>
      </c>
      <c r="AO78" s="41">
        <f>INDEX('[1]End - Use Prices'!$C$6:$AL$89,MATCH($C78,'[1]End - Use Prices'!$A$6:$A$89,0)+MATCH($D78,'[1]End - Use Prices'!$B$9:$B$11,0)-1,MATCH(AO$1,'[1]End - Use Prices'!$C$7:$AL$7,0))</f>
        <v>11.22</v>
      </c>
      <c r="AP78" s="41">
        <f>INDEX('[1]End - Use Prices'!$C$6:$AL$89,MATCH($C78,'[1]End - Use Prices'!$A$6:$A$89,0)+MATCH($D78,'[1]End - Use Prices'!$B$9:$B$11,0)-1,MATCH(AP$1,'[1]End - Use Prices'!$C$7:$AL$7,0))</f>
        <v>11.35</v>
      </c>
      <c r="AQ78" s="41">
        <f>INDEX('[1]End - Use Prices'!$C$6:$AL$89,MATCH($C78,'[1]End - Use Prices'!$A$6:$A$89,0)+MATCH($D78,'[1]End - Use Prices'!$B$9:$B$11,0)-1,MATCH(AQ$1,'[1]End - Use Prices'!$C$7:$AL$7,0))</f>
        <v>11.35</v>
      </c>
      <c r="AR78" s="41">
        <f>INDEX('[1]End - Use Prices'!$C$6:$AL$89,MATCH($C78,'[1]End - Use Prices'!$A$6:$A$89,0)+MATCH($D78,'[1]End - Use Prices'!$B$9:$B$11,0)-1,MATCH(AR$1,'[1]End - Use Prices'!$C$7:$AL$7,0))</f>
        <v>11.38</v>
      </c>
      <c r="AS78" s="41">
        <f>INDEX('[1]End - Use Prices'!$C$6:$AL$89,MATCH($C78,'[1]End - Use Prices'!$A$6:$A$89,0)+MATCH($D78,'[1]End - Use Prices'!$B$9:$B$11,0)-1,MATCH(AS$1,'[1]End - Use Prices'!$C$7:$AL$7,0))</f>
        <v>11.48</v>
      </c>
      <c r="AT78" s="41">
        <f>INDEX('[1]End - Use Prices'!$C$6:$AL$89,MATCH($C78,'[1]End - Use Prices'!$A$6:$A$89,0)+MATCH($D78,'[1]End - Use Prices'!$B$9:$B$11,0)-1,MATCH(AT$1,'[1]End - Use Prices'!$C$7:$AL$7,0))</f>
        <v>11.57</v>
      </c>
      <c r="AU78" s="41">
        <f>INDEX('[1]End - Use Prices'!$C$6:$AL$89,MATCH($C78,'[1]End - Use Prices'!$A$6:$A$89,0)+MATCH($D78,'[1]End - Use Prices'!$B$9:$B$11,0)-1,MATCH(AU$1,'[1]End - Use Prices'!$C$7:$AL$7,0))</f>
        <v>11.67</v>
      </c>
      <c r="AV78" s="41">
        <f>INDEX('[1]End - Use Prices'!$C$6:$AL$89,MATCH($C78,'[1]End - Use Prices'!$A$6:$A$89,0)+MATCH($D78,'[1]End - Use Prices'!$B$9:$B$11,0)-1,MATCH(AV$1,'[1]End - Use Prices'!$C$7:$AL$7,0))</f>
        <v>11.79</v>
      </c>
      <c r="AW78" s="41">
        <f>INDEX('[1]End - Use Prices'!$C$6:$AL$89,MATCH($C78,'[1]End - Use Prices'!$A$6:$A$89,0)+MATCH($D78,'[1]End - Use Prices'!$B$9:$B$11,0)-1,MATCH(AW$1,'[1]End - Use Prices'!$C$7:$AL$7,0))</f>
        <v>11.9</v>
      </c>
      <c r="AX78" s="41">
        <f>INDEX('[1]End - Use Prices'!$C$6:$AL$89,MATCH($C78,'[1]End - Use Prices'!$A$6:$A$89,0)+MATCH($D78,'[1]End - Use Prices'!$B$9:$B$11,0)-1,MATCH(AX$1,'[1]End - Use Prices'!$C$7:$AL$7,0))</f>
        <v>12.02</v>
      </c>
      <c r="AY78" s="41">
        <f>INDEX('[1]End - Use Prices'!$C$6:$AL$89,MATCH($C78,'[1]End - Use Prices'!$A$6:$A$89,0)+MATCH($D78,'[1]End - Use Prices'!$B$9:$B$11,0)-1,MATCH(AY$1,'[1]End - Use Prices'!$C$7:$AL$7,0))</f>
        <v>12.15</v>
      </c>
      <c r="AZ78" s="41">
        <f>INDEX('[1]End - Use Prices'!$C$6:$AL$89,MATCH($C78,'[1]End - Use Prices'!$A$6:$A$89,0)+MATCH($D78,'[1]End - Use Prices'!$B$9:$B$11,0)-1,MATCH(AZ$1,'[1]End - Use Prices'!$C$7:$AL$7,0))</f>
        <v>12.3</v>
      </c>
      <c r="BA78" s="41">
        <f>INDEX('[1]End - Use Prices'!$C$6:$AL$89,MATCH($C78,'[1]End - Use Prices'!$A$6:$A$89,0)+MATCH($D78,'[1]End - Use Prices'!$B$9:$B$11,0)-1,MATCH(BA$1,'[1]End - Use Prices'!$C$7:$AL$7,0))</f>
        <v>12.38</v>
      </c>
      <c r="BB78" s="41">
        <f>INDEX('[1]End - Use Prices'!$C$6:$AL$89,MATCH($C78,'[1]End - Use Prices'!$A$6:$A$89,0)+MATCH($D78,'[1]End - Use Prices'!$B$9:$B$11,0)-1,MATCH(BB$1,'[1]End - Use Prices'!$C$7:$AL$7,0))</f>
        <v>12.45</v>
      </c>
      <c r="BC78" s="41">
        <f>INDEX('[1]End - Use Prices'!$C$6:$AL$89,MATCH($C78,'[1]End - Use Prices'!$A$6:$A$89,0)+MATCH($D78,'[1]End - Use Prices'!$B$9:$B$11,0)-1,MATCH(BC$1,'[1]End - Use Prices'!$C$7:$AL$7,0))</f>
        <v>12.52</v>
      </c>
      <c r="BD78" s="41">
        <f>INDEX('[1]End - Use Prices'!$C$6:$AL$89,MATCH($C78,'[1]End - Use Prices'!$A$6:$A$89,0)+MATCH($D78,'[1]End - Use Prices'!$B$9:$B$11,0)-1,MATCH(BD$1,'[1]End - Use Prices'!$C$7:$AL$7,0))</f>
        <v>12.57</v>
      </c>
      <c r="BE78" s="41">
        <f>INDEX('[1]End - Use Prices'!$C$6:$AL$89,MATCH($C78,'[1]End - Use Prices'!$A$6:$A$89,0)+MATCH($D78,'[1]End - Use Prices'!$B$9:$B$11,0)-1,MATCH(BE$1,'[1]End - Use Prices'!$C$7:$AL$7,0))</f>
        <v>12.6</v>
      </c>
      <c r="BF78" s="41">
        <f>INDEX('[1]End - Use Prices'!$C$6:$AL$89,MATCH($C78,'[1]End - Use Prices'!$A$6:$A$89,0)+MATCH($D78,'[1]End - Use Prices'!$B$9:$B$11,0)-1,MATCH(BF$1,'[1]End - Use Prices'!$C$7:$AL$7,0))</f>
        <v>12.64</v>
      </c>
      <c r="BG78" s="41">
        <f>INDEX('[1]End - Use Prices'!$C$6:$AL$89,MATCH($C78,'[1]End - Use Prices'!$A$6:$A$89,0)+MATCH($D78,'[1]End - Use Prices'!$B$9:$B$11,0)-1,MATCH(BG$1,'[1]End - Use Prices'!$C$7:$AL$7,0))</f>
        <v>12.67</v>
      </c>
      <c r="BR78" s="39"/>
      <c r="BS78" s="39"/>
      <c r="BT78" s="39"/>
      <c r="BU78" s="39"/>
      <c r="BV78" s="39"/>
      <c r="BW78" s="39"/>
      <c r="BX78" s="39"/>
      <c r="BY78" s="39"/>
      <c r="BZ78" s="39"/>
      <c r="CA78" s="39"/>
    </row>
    <row r="79" spans="1:79" x14ac:dyDescent="0.25">
      <c r="A79" s="5"/>
      <c r="B79" s="3"/>
      <c r="C79" s="25" t="s">
        <v>89</v>
      </c>
      <c r="D79" s="25" t="s">
        <v>14</v>
      </c>
      <c r="E79" s="25" t="s">
        <v>313</v>
      </c>
      <c r="F79" s="74" t="s">
        <v>310</v>
      </c>
      <c r="G79" s="54">
        <f t="shared" si="54"/>
        <v>48.47</v>
      </c>
      <c r="H79" s="34">
        <f t="shared" si="72"/>
        <v>48.47</v>
      </c>
      <c r="I79" s="34">
        <f t="shared" si="72"/>
        <v>36.06</v>
      </c>
      <c r="J79" s="34">
        <f t="shared" si="72"/>
        <v>30.99</v>
      </c>
      <c r="K79" s="34">
        <f t="shared" si="72"/>
        <v>25.99</v>
      </c>
      <c r="L79" s="34">
        <f t="shared" si="72"/>
        <v>26.97</v>
      </c>
      <c r="M79" s="34">
        <f t="shared" si="72"/>
        <v>27.22</v>
      </c>
      <c r="N79" s="34">
        <f t="shared" si="72"/>
        <v>27.55</v>
      </c>
      <c r="O79" s="34">
        <f t="shared" si="72"/>
        <v>27.62</v>
      </c>
      <c r="P79" s="54">
        <f t="shared" ref="P79:Q79" si="74">O79</f>
        <v>27.62</v>
      </c>
      <c r="Q79" s="54">
        <f t="shared" si="74"/>
        <v>27.62</v>
      </c>
      <c r="R79" s="38"/>
      <c r="X79" s="41">
        <f>INDEX('[1]End - Use Prices'!$C$6:$AL$89,MATCH($C79,'[1]End - Use Prices'!$A$6:$A$89,0)+MATCH($D79,'[1]End - Use Prices'!$B$9:$B$11,0)-1,MATCH(X$1,'[1]End - Use Prices'!$C$7:$AL$7,0))</f>
        <v>48.47</v>
      </c>
      <c r="Y79" s="41">
        <f>INDEX('[1]End - Use Prices'!$C$6:$AL$89,MATCH($C79,'[1]End - Use Prices'!$A$6:$A$89,0)+MATCH($D79,'[1]End - Use Prices'!$B$9:$B$11,0)-1,MATCH(Y$1,'[1]End - Use Prices'!$C$7:$AL$7,0))</f>
        <v>44.05</v>
      </c>
      <c r="Z79" s="41">
        <f>INDEX('[1]End - Use Prices'!$C$6:$AL$89,MATCH($C79,'[1]End - Use Prices'!$A$6:$A$89,0)+MATCH($D79,'[1]End - Use Prices'!$B$9:$B$11,0)-1,MATCH(Z$1,'[1]End - Use Prices'!$C$7:$AL$7,0))</f>
        <v>40.97</v>
      </c>
      <c r="AA79" s="41">
        <f>INDEX('[1]End - Use Prices'!$C$6:$AL$89,MATCH($C79,'[1]End - Use Prices'!$A$6:$A$89,0)+MATCH($D79,'[1]End - Use Prices'!$B$9:$B$11,0)-1,MATCH(AA$1,'[1]End - Use Prices'!$C$7:$AL$7,0))</f>
        <v>39.74</v>
      </c>
      <c r="AB79" s="41">
        <f>INDEX('[1]End - Use Prices'!$C$6:$AL$89,MATCH($C79,'[1]End - Use Prices'!$A$6:$A$89,0)+MATCH($D79,'[1]End - Use Prices'!$B$9:$B$11,0)-1,MATCH(AB$1,'[1]End - Use Prices'!$C$7:$AL$7,0))</f>
        <v>38.31</v>
      </c>
      <c r="AC79" s="41">
        <f>INDEX('[1]End - Use Prices'!$C$6:$AL$89,MATCH($C79,'[1]End - Use Prices'!$A$6:$A$89,0)+MATCH($D79,'[1]End - Use Prices'!$B$9:$B$11,0)-1,MATCH(AC$1,'[1]End - Use Prices'!$C$7:$AL$7,0))</f>
        <v>36.06</v>
      </c>
      <c r="AD79" s="41">
        <f>INDEX('[1]End - Use Prices'!$C$6:$AL$89,MATCH($C79,'[1]End - Use Prices'!$A$6:$A$89,0)+MATCH($D79,'[1]End - Use Prices'!$B$9:$B$11,0)-1,MATCH(AD$1,'[1]End - Use Prices'!$C$7:$AL$7,0))</f>
        <v>33.869999999999997</v>
      </c>
      <c r="AE79" s="41">
        <f>INDEX('[1]End - Use Prices'!$C$6:$AL$89,MATCH($C79,'[1]End - Use Prices'!$A$6:$A$89,0)+MATCH($D79,'[1]End - Use Prices'!$B$9:$B$11,0)-1,MATCH(AE$1,'[1]End - Use Prices'!$C$7:$AL$7,0))</f>
        <v>32.549999999999997</v>
      </c>
      <c r="AF79" s="41">
        <f>INDEX('[1]End - Use Prices'!$C$6:$AL$89,MATCH($C79,'[1]End - Use Prices'!$A$6:$A$89,0)+MATCH($D79,'[1]End - Use Prices'!$B$9:$B$11,0)-1,MATCH(AF$1,'[1]End - Use Prices'!$C$7:$AL$7,0))</f>
        <v>25.3</v>
      </c>
      <c r="AG79" s="41">
        <f>INDEX('[1]End - Use Prices'!$C$6:$AL$89,MATCH($C79,'[1]End - Use Prices'!$A$6:$A$89,0)+MATCH($D79,'[1]End - Use Prices'!$B$9:$B$11,0)-1,MATCH(AG$1,'[1]End - Use Prices'!$C$7:$AL$7,0))</f>
        <v>26.06</v>
      </c>
      <c r="AH79" s="41">
        <f>INDEX('[1]End - Use Prices'!$C$6:$AL$89,MATCH($C79,'[1]End - Use Prices'!$A$6:$A$89,0)+MATCH($D79,'[1]End - Use Prices'!$B$9:$B$11,0)-1,MATCH(AH$1,'[1]End - Use Prices'!$C$7:$AL$7,0))</f>
        <v>30.99</v>
      </c>
      <c r="AI79" s="41">
        <f>INDEX('[1]End - Use Prices'!$C$6:$AL$89,MATCH($C79,'[1]End - Use Prices'!$A$6:$A$89,0)+MATCH($D79,'[1]End - Use Prices'!$B$9:$B$11,0)-1,MATCH(AI$1,'[1]End - Use Prices'!$C$7:$AL$7,0))</f>
        <v>27.98</v>
      </c>
      <c r="AJ79" s="41">
        <f>INDEX('[1]End - Use Prices'!$C$6:$AL$89,MATCH($C79,'[1]End - Use Prices'!$A$6:$A$89,0)+MATCH($D79,'[1]End - Use Prices'!$B$9:$B$11,0)-1,MATCH(AJ$1,'[1]End - Use Prices'!$C$7:$AL$7,0))</f>
        <v>25.3</v>
      </c>
      <c r="AK79" s="41">
        <f>INDEX('[1]End - Use Prices'!$C$6:$AL$89,MATCH($C79,'[1]End - Use Prices'!$A$6:$A$89,0)+MATCH($D79,'[1]End - Use Prices'!$B$9:$B$11,0)-1,MATCH(AK$1,'[1]End - Use Prices'!$C$7:$AL$7,0))</f>
        <v>25.21</v>
      </c>
      <c r="AL79" s="41">
        <f>INDEX('[1]End - Use Prices'!$C$6:$AL$89,MATCH($C79,'[1]End - Use Prices'!$A$6:$A$89,0)+MATCH($D79,'[1]End - Use Prices'!$B$9:$B$11,0)-1,MATCH(AL$1,'[1]End - Use Prices'!$C$7:$AL$7,0))</f>
        <v>25.2</v>
      </c>
      <c r="AM79" s="41">
        <f>INDEX('[1]End - Use Prices'!$C$6:$AL$89,MATCH($C79,'[1]End - Use Prices'!$A$6:$A$89,0)+MATCH($D79,'[1]End - Use Prices'!$B$9:$B$11,0)-1,MATCH(AM$1,'[1]End - Use Prices'!$C$7:$AL$7,0))</f>
        <v>25.99</v>
      </c>
      <c r="AN79" s="41">
        <f>INDEX('[1]End - Use Prices'!$C$6:$AL$89,MATCH($C79,'[1]End - Use Prices'!$A$6:$A$89,0)+MATCH($D79,'[1]End - Use Prices'!$B$9:$B$11,0)-1,MATCH(AN$1,'[1]End - Use Prices'!$C$7:$AL$7,0))</f>
        <v>26.36</v>
      </c>
      <c r="AO79" s="41">
        <f>INDEX('[1]End - Use Prices'!$C$6:$AL$89,MATCH($C79,'[1]End - Use Prices'!$A$6:$A$89,0)+MATCH($D79,'[1]End - Use Prices'!$B$9:$B$11,0)-1,MATCH(AO$1,'[1]End - Use Prices'!$C$7:$AL$7,0))</f>
        <v>26.71</v>
      </c>
      <c r="AP79" s="41">
        <f>INDEX('[1]End - Use Prices'!$C$6:$AL$89,MATCH($C79,'[1]End - Use Prices'!$A$6:$A$89,0)+MATCH($D79,'[1]End - Use Prices'!$B$9:$B$11,0)-1,MATCH(AP$1,'[1]End - Use Prices'!$C$7:$AL$7,0))</f>
        <v>27.03</v>
      </c>
      <c r="AQ79" s="41">
        <f>INDEX('[1]End - Use Prices'!$C$6:$AL$89,MATCH($C79,'[1]End - Use Prices'!$A$6:$A$89,0)+MATCH($D79,'[1]End - Use Prices'!$B$9:$B$11,0)-1,MATCH(AQ$1,'[1]End - Use Prices'!$C$7:$AL$7,0))</f>
        <v>26.98</v>
      </c>
      <c r="AR79" s="41">
        <f>INDEX('[1]End - Use Prices'!$C$6:$AL$89,MATCH($C79,'[1]End - Use Prices'!$A$6:$A$89,0)+MATCH($D79,'[1]End - Use Prices'!$B$9:$B$11,0)-1,MATCH(AR$1,'[1]End - Use Prices'!$C$7:$AL$7,0))</f>
        <v>26.97</v>
      </c>
      <c r="AS79" s="41">
        <f>INDEX('[1]End - Use Prices'!$C$6:$AL$89,MATCH($C79,'[1]End - Use Prices'!$A$6:$A$89,0)+MATCH($D79,'[1]End - Use Prices'!$B$9:$B$11,0)-1,MATCH(AS$1,'[1]End - Use Prices'!$C$7:$AL$7,0))</f>
        <v>27.01</v>
      </c>
      <c r="AT79" s="41">
        <f>INDEX('[1]End - Use Prices'!$C$6:$AL$89,MATCH($C79,'[1]End - Use Prices'!$A$6:$A$89,0)+MATCH($D79,'[1]End - Use Prices'!$B$9:$B$11,0)-1,MATCH(AT$1,'[1]End - Use Prices'!$C$7:$AL$7,0))</f>
        <v>27.04</v>
      </c>
      <c r="AU79" s="41">
        <f>INDEX('[1]End - Use Prices'!$C$6:$AL$89,MATCH($C79,'[1]End - Use Prices'!$A$6:$A$89,0)+MATCH($D79,'[1]End - Use Prices'!$B$9:$B$11,0)-1,MATCH(AU$1,'[1]End - Use Prices'!$C$7:$AL$7,0))</f>
        <v>27.1</v>
      </c>
      <c r="AV79" s="41">
        <f>INDEX('[1]End - Use Prices'!$C$6:$AL$89,MATCH($C79,'[1]End - Use Prices'!$A$6:$A$89,0)+MATCH($D79,'[1]End - Use Prices'!$B$9:$B$11,0)-1,MATCH(AV$1,'[1]End - Use Prices'!$C$7:$AL$7,0))</f>
        <v>27.16</v>
      </c>
      <c r="AW79" s="41">
        <f>INDEX('[1]End - Use Prices'!$C$6:$AL$89,MATCH($C79,'[1]End - Use Prices'!$A$6:$A$89,0)+MATCH($D79,'[1]End - Use Prices'!$B$9:$B$11,0)-1,MATCH(AW$1,'[1]End - Use Prices'!$C$7:$AL$7,0))</f>
        <v>27.22</v>
      </c>
      <c r="AX79" s="41">
        <f>INDEX('[1]End - Use Prices'!$C$6:$AL$89,MATCH($C79,'[1]End - Use Prices'!$A$6:$A$89,0)+MATCH($D79,'[1]End - Use Prices'!$B$9:$B$11,0)-1,MATCH(AX$1,'[1]End - Use Prices'!$C$7:$AL$7,0))</f>
        <v>27.29</v>
      </c>
      <c r="AY79" s="41">
        <f>INDEX('[1]End - Use Prices'!$C$6:$AL$89,MATCH($C79,'[1]End - Use Prices'!$A$6:$A$89,0)+MATCH($D79,'[1]End - Use Prices'!$B$9:$B$11,0)-1,MATCH(AY$1,'[1]End - Use Prices'!$C$7:$AL$7,0))</f>
        <v>27.37</v>
      </c>
      <c r="AZ79" s="41">
        <f>INDEX('[1]End - Use Prices'!$C$6:$AL$89,MATCH($C79,'[1]End - Use Prices'!$A$6:$A$89,0)+MATCH($D79,'[1]End - Use Prices'!$B$9:$B$11,0)-1,MATCH(AZ$1,'[1]End - Use Prices'!$C$7:$AL$7,0))</f>
        <v>27.46</v>
      </c>
      <c r="BA79" s="41">
        <f>INDEX('[1]End - Use Prices'!$C$6:$AL$89,MATCH($C79,'[1]End - Use Prices'!$A$6:$A$89,0)+MATCH($D79,'[1]End - Use Prices'!$B$9:$B$11,0)-1,MATCH(BA$1,'[1]End - Use Prices'!$C$7:$AL$7,0))</f>
        <v>27.51</v>
      </c>
      <c r="BB79" s="41">
        <f>INDEX('[1]End - Use Prices'!$C$6:$AL$89,MATCH($C79,'[1]End - Use Prices'!$A$6:$A$89,0)+MATCH($D79,'[1]End - Use Prices'!$B$9:$B$11,0)-1,MATCH(BB$1,'[1]End - Use Prices'!$C$7:$AL$7,0))</f>
        <v>27.55</v>
      </c>
      <c r="BC79" s="41">
        <f>INDEX('[1]End - Use Prices'!$C$6:$AL$89,MATCH($C79,'[1]End - Use Prices'!$A$6:$A$89,0)+MATCH($D79,'[1]End - Use Prices'!$B$9:$B$11,0)-1,MATCH(BC$1,'[1]End - Use Prices'!$C$7:$AL$7,0))</f>
        <v>27.58</v>
      </c>
      <c r="BD79" s="41">
        <f>INDEX('[1]End - Use Prices'!$C$6:$AL$89,MATCH($C79,'[1]End - Use Prices'!$A$6:$A$89,0)+MATCH($D79,'[1]End - Use Prices'!$B$9:$B$11,0)-1,MATCH(BD$1,'[1]End - Use Prices'!$C$7:$AL$7,0))</f>
        <v>27.6</v>
      </c>
      <c r="BE79" s="41">
        <f>INDEX('[1]End - Use Prices'!$C$6:$AL$89,MATCH($C79,'[1]End - Use Prices'!$A$6:$A$89,0)+MATCH($D79,'[1]End - Use Prices'!$B$9:$B$11,0)-1,MATCH(BE$1,'[1]End - Use Prices'!$C$7:$AL$7,0))</f>
        <v>27.61</v>
      </c>
      <c r="BF79" s="41">
        <f>INDEX('[1]End - Use Prices'!$C$6:$AL$89,MATCH($C79,'[1]End - Use Prices'!$A$6:$A$89,0)+MATCH($D79,'[1]End - Use Prices'!$B$9:$B$11,0)-1,MATCH(BF$1,'[1]End - Use Prices'!$C$7:$AL$7,0))</f>
        <v>27.62</v>
      </c>
      <c r="BG79" s="41">
        <f>INDEX('[1]End - Use Prices'!$C$6:$AL$89,MATCH($C79,'[1]End - Use Prices'!$A$6:$A$89,0)+MATCH($D79,'[1]End - Use Prices'!$B$9:$B$11,0)-1,MATCH(BG$1,'[1]End - Use Prices'!$C$7:$AL$7,0))</f>
        <v>27.62</v>
      </c>
      <c r="BR79" s="39"/>
      <c r="BS79" s="39"/>
      <c r="BT79" s="39"/>
      <c r="BU79" s="39"/>
      <c r="BV79" s="39"/>
      <c r="BW79" s="39"/>
      <c r="BX79" s="39"/>
      <c r="BY79" s="39"/>
      <c r="BZ79" s="39"/>
      <c r="CA79" s="39"/>
    </row>
    <row r="80" spans="1:79" x14ac:dyDescent="0.25">
      <c r="A80" s="5"/>
      <c r="B80" s="3"/>
      <c r="C80" s="25" t="s">
        <v>90</v>
      </c>
      <c r="D80" s="25" t="s">
        <v>14</v>
      </c>
      <c r="E80" s="25" t="s">
        <v>313</v>
      </c>
      <c r="F80" s="74" t="s">
        <v>310</v>
      </c>
      <c r="G80" s="54">
        <f t="shared" si="54"/>
        <v>18.899999999999999</v>
      </c>
      <c r="H80" s="34">
        <f t="shared" si="72"/>
        <v>18.899999999999999</v>
      </c>
      <c r="I80" s="34">
        <f t="shared" si="72"/>
        <v>20.09</v>
      </c>
      <c r="J80" s="34">
        <f t="shared" si="72"/>
        <v>13.86</v>
      </c>
      <c r="K80" s="34">
        <f t="shared" si="72"/>
        <v>11.56</v>
      </c>
      <c r="L80" s="34">
        <f t="shared" si="72"/>
        <v>12.76</v>
      </c>
      <c r="M80" s="34">
        <f t="shared" si="72"/>
        <v>13.11</v>
      </c>
      <c r="N80" s="34">
        <f t="shared" si="72"/>
        <v>13.55</v>
      </c>
      <c r="O80" s="34">
        <f t="shared" si="72"/>
        <v>13.67</v>
      </c>
      <c r="P80" s="54">
        <f t="shared" ref="P80:Q80" si="75">O80</f>
        <v>13.67</v>
      </c>
      <c r="Q80" s="54">
        <f t="shared" si="75"/>
        <v>13.67</v>
      </c>
      <c r="R80" s="38"/>
      <c r="X80" s="41">
        <f>INDEX('[1]End - Use Prices'!$C$6:$AL$89,MATCH($C80,'[1]End - Use Prices'!$A$6:$A$89,0)+MATCH($D80,'[1]End - Use Prices'!$B$9:$B$11,0)-1,MATCH(X$1,'[1]End - Use Prices'!$C$7:$AL$7,0))</f>
        <v>18.899999999999999</v>
      </c>
      <c r="Y80" s="41">
        <f>INDEX('[1]End - Use Prices'!$C$6:$AL$89,MATCH($C80,'[1]End - Use Prices'!$A$6:$A$89,0)+MATCH($D80,'[1]End - Use Prices'!$B$9:$B$11,0)-1,MATCH(Y$1,'[1]End - Use Prices'!$C$7:$AL$7,0))</f>
        <v>18.940000000000001</v>
      </c>
      <c r="Z80" s="41">
        <f>INDEX('[1]End - Use Prices'!$C$6:$AL$89,MATCH($C80,'[1]End - Use Prices'!$A$6:$A$89,0)+MATCH($D80,'[1]End - Use Prices'!$B$9:$B$11,0)-1,MATCH(Z$1,'[1]End - Use Prices'!$C$7:$AL$7,0))</f>
        <v>11.86</v>
      </c>
      <c r="AA80" s="41">
        <f>INDEX('[1]End - Use Prices'!$C$6:$AL$89,MATCH($C80,'[1]End - Use Prices'!$A$6:$A$89,0)+MATCH($D80,'[1]End - Use Prices'!$B$9:$B$11,0)-1,MATCH(AA$1,'[1]End - Use Prices'!$C$7:$AL$7,0))</f>
        <v>14.01</v>
      </c>
      <c r="AB80" s="41">
        <f>INDEX('[1]End - Use Prices'!$C$6:$AL$89,MATCH($C80,'[1]End - Use Prices'!$A$6:$A$89,0)+MATCH($D80,'[1]End - Use Prices'!$B$9:$B$11,0)-1,MATCH(AB$1,'[1]End - Use Prices'!$C$7:$AL$7,0))</f>
        <v>14.6</v>
      </c>
      <c r="AC80" s="41">
        <f>INDEX('[1]End - Use Prices'!$C$6:$AL$89,MATCH($C80,'[1]End - Use Prices'!$A$6:$A$89,0)+MATCH($D80,'[1]End - Use Prices'!$B$9:$B$11,0)-1,MATCH(AC$1,'[1]End - Use Prices'!$C$7:$AL$7,0))</f>
        <v>20.09</v>
      </c>
      <c r="AD80" s="41">
        <f>INDEX('[1]End - Use Prices'!$C$6:$AL$89,MATCH($C80,'[1]End - Use Prices'!$A$6:$A$89,0)+MATCH($D80,'[1]End - Use Prices'!$B$9:$B$11,0)-1,MATCH(AD$1,'[1]End - Use Prices'!$C$7:$AL$7,0))</f>
        <v>17.2</v>
      </c>
      <c r="AE80" s="41">
        <f>INDEX('[1]End - Use Prices'!$C$6:$AL$89,MATCH($C80,'[1]End - Use Prices'!$A$6:$A$89,0)+MATCH($D80,'[1]End - Use Prices'!$B$9:$B$11,0)-1,MATCH(AE$1,'[1]End - Use Prices'!$C$7:$AL$7,0))</f>
        <v>17.59</v>
      </c>
      <c r="AF80" s="41">
        <f>INDEX('[1]End - Use Prices'!$C$6:$AL$89,MATCH($C80,'[1]End - Use Prices'!$A$6:$A$89,0)+MATCH($D80,'[1]End - Use Prices'!$B$9:$B$11,0)-1,MATCH(AF$1,'[1]End - Use Prices'!$C$7:$AL$7,0))</f>
        <v>18.75</v>
      </c>
      <c r="AG80" s="41">
        <f>INDEX('[1]End - Use Prices'!$C$6:$AL$89,MATCH($C80,'[1]End - Use Prices'!$A$6:$A$89,0)+MATCH($D80,'[1]End - Use Prices'!$B$9:$B$11,0)-1,MATCH(AG$1,'[1]End - Use Prices'!$C$7:$AL$7,0))</f>
        <v>18.48</v>
      </c>
      <c r="AH80" s="41">
        <f>INDEX('[1]End - Use Prices'!$C$6:$AL$89,MATCH($C80,'[1]End - Use Prices'!$A$6:$A$89,0)+MATCH($D80,'[1]End - Use Prices'!$B$9:$B$11,0)-1,MATCH(AH$1,'[1]End - Use Prices'!$C$7:$AL$7,0))</f>
        <v>13.86</v>
      </c>
      <c r="AI80" s="41">
        <f>INDEX('[1]End - Use Prices'!$C$6:$AL$89,MATCH($C80,'[1]End - Use Prices'!$A$6:$A$89,0)+MATCH($D80,'[1]End - Use Prices'!$B$9:$B$11,0)-1,MATCH(AI$1,'[1]End - Use Prices'!$C$7:$AL$7,0))</f>
        <v>9.4700000000000006</v>
      </c>
      <c r="AJ80" s="41">
        <f>INDEX('[1]End - Use Prices'!$C$6:$AL$89,MATCH($C80,'[1]End - Use Prices'!$A$6:$A$89,0)+MATCH($D80,'[1]End - Use Prices'!$B$9:$B$11,0)-1,MATCH(AJ$1,'[1]End - Use Prices'!$C$7:$AL$7,0))</f>
        <v>10.75</v>
      </c>
      <c r="AK80" s="41">
        <f>INDEX('[1]End - Use Prices'!$C$6:$AL$89,MATCH($C80,'[1]End - Use Prices'!$A$6:$A$89,0)+MATCH($D80,'[1]End - Use Prices'!$B$9:$B$11,0)-1,MATCH(AK$1,'[1]End - Use Prices'!$C$7:$AL$7,0))</f>
        <v>10.63</v>
      </c>
      <c r="AL80" s="41">
        <f>INDEX('[1]End - Use Prices'!$C$6:$AL$89,MATCH($C80,'[1]End - Use Prices'!$A$6:$A$89,0)+MATCH($D80,'[1]End - Use Prices'!$B$9:$B$11,0)-1,MATCH(AL$1,'[1]End - Use Prices'!$C$7:$AL$7,0))</f>
        <v>10.61</v>
      </c>
      <c r="AM80" s="41">
        <f>INDEX('[1]End - Use Prices'!$C$6:$AL$89,MATCH($C80,'[1]End - Use Prices'!$A$6:$A$89,0)+MATCH($D80,'[1]End - Use Prices'!$B$9:$B$11,0)-1,MATCH(AM$1,'[1]End - Use Prices'!$C$7:$AL$7,0))</f>
        <v>11.56</v>
      </c>
      <c r="AN80" s="41">
        <f>INDEX('[1]End - Use Prices'!$C$6:$AL$89,MATCH($C80,'[1]End - Use Prices'!$A$6:$A$89,0)+MATCH($D80,'[1]End - Use Prices'!$B$9:$B$11,0)-1,MATCH(AN$1,'[1]End - Use Prices'!$C$7:$AL$7,0))</f>
        <v>12.01</v>
      </c>
      <c r="AO80" s="41">
        <f>INDEX('[1]End - Use Prices'!$C$6:$AL$89,MATCH($C80,'[1]End - Use Prices'!$A$6:$A$89,0)+MATCH($D80,'[1]End - Use Prices'!$B$9:$B$11,0)-1,MATCH(AO$1,'[1]End - Use Prices'!$C$7:$AL$7,0))</f>
        <v>12.44</v>
      </c>
      <c r="AP80" s="41">
        <f>INDEX('[1]End - Use Prices'!$C$6:$AL$89,MATCH($C80,'[1]End - Use Prices'!$A$6:$A$89,0)+MATCH($D80,'[1]End - Use Prices'!$B$9:$B$11,0)-1,MATCH(AP$1,'[1]End - Use Prices'!$C$7:$AL$7,0))</f>
        <v>12.83</v>
      </c>
      <c r="AQ80" s="41">
        <f>INDEX('[1]End - Use Prices'!$C$6:$AL$89,MATCH($C80,'[1]End - Use Prices'!$A$6:$A$89,0)+MATCH($D80,'[1]End - Use Prices'!$B$9:$B$11,0)-1,MATCH(AQ$1,'[1]End - Use Prices'!$C$7:$AL$7,0))</f>
        <v>12.77</v>
      </c>
      <c r="AR80" s="41">
        <f>INDEX('[1]End - Use Prices'!$C$6:$AL$89,MATCH($C80,'[1]End - Use Prices'!$A$6:$A$89,0)+MATCH($D80,'[1]End - Use Prices'!$B$9:$B$11,0)-1,MATCH(AR$1,'[1]End - Use Prices'!$C$7:$AL$7,0))</f>
        <v>12.76</v>
      </c>
      <c r="AS80" s="41">
        <f>INDEX('[1]End - Use Prices'!$C$6:$AL$89,MATCH($C80,'[1]End - Use Prices'!$A$6:$A$89,0)+MATCH($D80,'[1]End - Use Prices'!$B$9:$B$11,0)-1,MATCH(AS$1,'[1]End - Use Prices'!$C$7:$AL$7,0))</f>
        <v>12.82</v>
      </c>
      <c r="AT80" s="41">
        <f>INDEX('[1]End - Use Prices'!$C$6:$AL$89,MATCH($C80,'[1]End - Use Prices'!$A$6:$A$89,0)+MATCH($D80,'[1]End - Use Prices'!$B$9:$B$11,0)-1,MATCH(AT$1,'[1]End - Use Prices'!$C$7:$AL$7,0))</f>
        <v>12.87</v>
      </c>
      <c r="AU80" s="41">
        <f>INDEX('[1]End - Use Prices'!$C$6:$AL$89,MATCH($C80,'[1]End - Use Prices'!$A$6:$A$89,0)+MATCH($D80,'[1]End - Use Prices'!$B$9:$B$11,0)-1,MATCH(AU$1,'[1]End - Use Prices'!$C$7:$AL$7,0))</f>
        <v>12.94</v>
      </c>
      <c r="AV80" s="41">
        <f>INDEX('[1]End - Use Prices'!$C$6:$AL$89,MATCH($C80,'[1]End - Use Prices'!$A$6:$A$89,0)+MATCH($D80,'[1]End - Use Prices'!$B$9:$B$11,0)-1,MATCH(AV$1,'[1]End - Use Prices'!$C$7:$AL$7,0))</f>
        <v>13.03</v>
      </c>
      <c r="AW80" s="41">
        <f>INDEX('[1]End - Use Prices'!$C$6:$AL$89,MATCH($C80,'[1]End - Use Prices'!$A$6:$A$89,0)+MATCH($D80,'[1]End - Use Prices'!$B$9:$B$11,0)-1,MATCH(AW$1,'[1]End - Use Prices'!$C$7:$AL$7,0))</f>
        <v>13.11</v>
      </c>
      <c r="AX80" s="41">
        <f>INDEX('[1]End - Use Prices'!$C$6:$AL$89,MATCH($C80,'[1]End - Use Prices'!$A$6:$A$89,0)+MATCH($D80,'[1]End - Use Prices'!$B$9:$B$11,0)-1,MATCH(AX$1,'[1]End - Use Prices'!$C$7:$AL$7,0))</f>
        <v>13.21</v>
      </c>
      <c r="AY80" s="41">
        <f>INDEX('[1]End - Use Prices'!$C$6:$AL$89,MATCH($C80,'[1]End - Use Prices'!$A$6:$A$89,0)+MATCH($D80,'[1]End - Use Prices'!$B$9:$B$11,0)-1,MATCH(AY$1,'[1]End - Use Prices'!$C$7:$AL$7,0))</f>
        <v>13.32</v>
      </c>
      <c r="AZ80" s="41">
        <f>INDEX('[1]End - Use Prices'!$C$6:$AL$89,MATCH($C80,'[1]End - Use Prices'!$A$6:$A$89,0)+MATCH($D80,'[1]End - Use Prices'!$B$9:$B$11,0)-1,MATCH(AZ$1,'[1]End - Use Prices'!$C$7:$AL$7,0))</f>
        <v>13.44</v>
      </c>
      <c r="BA80" s="41">
        <f>INDEX('[1]End - Use Prices'!$C$6:$AL$89,MATCH($C80,'[1]End - Use Prices'!$A$6:$A$89,0)+MATCH($D80,'[1]End - Use Prices'!$B$9:$B$11,0)-1,MATCH(BA$1,'[1]End - Use Prices'!$C$7:$AL$7,0))</f>
        <v>13.5</v>
      </c>
      <c r="BB80" s="41">
        <f>INDEX('[1]End - Use Prices'!$C$6:$AL$89,MATCH($C80,'[1]End - Use Prices'!$A$6:$A$89,0)+MATCH($D80,'[1]End - Use Prices'!$B$9:$B$11,0)-1,MATCH(BB$1,'[1]End - Use Prices'!$C$7:$AL$7,0))</f>
        <v>13.55</v>
      </c>
      <c r="BC80" s="41">
        <f>INDEX('[1]End - Use Prices'!$C$6:$AL$89,MATCH($C80,'[1]End - Use Prices'!$A$6:$A$89,0)+MATCH($D80,'[1]End - Use Prices'!$B$9:$B$11,0)-1,MATCH(BC$1,'[1]End - Use Prices'!$C$7:$AL$7,0))</f>
        <v>13.6</v>
      </c>
      <c r="BD80" s="41">
        <f>INDEX('[1]End - Use Prices'!$C$6:$AL$89,MATCH($C80,'[1]End - Use Prices'!$A$6:$A$89,0)+MATCH($D80,'[1]End - Use Prices'!$B$9:$B$11,0)-1,MATCH(BD$1,'[1]End - Use Prices'!$C$7:$AL$7,0))</f>
        <v>13.63</v>
      </c>
      <c r="BE80" s="41">
        <f>INDEX('[1]End - Use Prices'!$C$6:$AL$89,MATCH($C80,'[1]End - Use Prices'!$A$6:$A$89,0)+MATCH($D80,'[1]End - Use Prices'!$B$9:$B$11,0)-1,MATCH(BE$1,'[1]End - Use Prices'!$C$7:$AL$7,0))</f>
        <v>13.64</v>
      </c>
      <c r="BF80" s="41">
        <f>INDEX('[1]End - Use Prices'!$C$6:$AL$89,MATCH($C80,'[1]End - Use Prices'!$A$6:$A$89,0)+MATCH($D80,'[1]End - Use Prices'!$B$9:$B$11,0)-1,MATCH(BF$1,'[1]End - Use Prices'!$C$7:$AL$7,0))</f>
        <v>13.66</v>
      </c>
      <c r="BG80" s="41">
        <f>INDEX('[1]End - Use Prices'!$C$6:$AL$89,MATCH($C80,'[1]End - Use Prices'!$A$6:$A$89,0)+MATCH($D80,'[1]End - Use Prices'!$B$9:$B$11,0)-1,MATCH(BG$1,'[1]End - Use Prices'!$C$7:$AL$7,0))</f>
        <v>13.67</v>
      </c>
      <c r="BR80" s="39"/>
      <c r="BS80" s="39"/>
      <c r="BT80" s="39"/>
      <c r="BU80" s="39"/>
      <c r="BV80" s="39"/>
      <c r="BW80" s="39"/>
      <c r="BX80" s="39"/>
      <c r="BY80" s="39"/>
      <c r="BZ80" s="39"/>
      <c r="CA80" s="39"/>
    </row>
    <row r="81" spans="1:79" x14ac:dyDescent="0.25">
      <c r="A81" s="5"/>
      <c r="B81" s="3"/>
      <c r="C81" s="25" t="s">
        <v>91</v>
      </c>
      <c r="D81" s="25" t="s">
        <v>14</v>
      </c>
      <c r="E81" s="25" t="s">
        <v>313</v>
      </c>
      <c r="F81" s="74" t="s">
        <v>310</v>
      </c>
      <c r="G81" s="54">
        <f t="shared" si="54"/>
        <v>20.32</v>
      </c>
      <c r="H81" s="34">
        <f t="shared" si="72"/>
        <v>20.32</v>
      </c>
      <c r="I81" s="34">
        <f t="shared" si="72"/>
        <v>18.399999999999999</v>
      </c>
      <c r="J81" s="34">
        <f t="shared" si="72"/>
        <v>15.95</v>
      </c>
      <c r="K81" s="34">
        <f t="shared" si="72"/>
        <v>15</v>
      </c>
      <c r="L81" s="34">
        <f t="shared" si="72"/>
        <v>16.07</v>
      </c>
      <c r="M81" s="34">
        <f t="shared" si="72"/>
        <v>16.5</v>
      </c>
      <c r="N81" s="34">
        <f t="shared" si="72"/>
        <v>16.809999999999999</v>
      </c>
      <c r="O81" s="34">
        <f t="shared" si="72"/>
        <v>16.809999999999999</v>
      </c>
      <c r="P81" s="54">
        <f t="shared" ref="P81:Q81" si="76">O81</f>
        <v>16.809999999999999</v>
      </c>
      <c r="Q81" s="54">
        <f t="shared" si="76"/>
        <v>16.809999999999999</v>
      </c>
      <c r="R81" s="38"/>
      <c r="X81" s="41">
        <f>INDEX('[1]End - Use Prices'!$C$6:$AL$89,MATCH($C81,'[1]End - Use Prices'!$A$6:$A$89,0)+MATCH($D81,'[1]End - Use Prices'!$B$9:$B$11,0)-1,MATCH(X$1,'[1]End - Use Prices'!$C$7:$AL$7,0))</f>
        <v>20.32</v>
      </c>
      <c r="Y81" s="41">
        <f>INDEX('[1]End - Use Prices'!$C$6:$AL$89,MATCH($C81,'[1]End - Use Prices'!$A$6:$A$89,0)+MATCH($D81,'[1]End - Use Prices'!$B$9:$B$11,0)-1,MATCH(Y$1,'[1]End - Use Prices'!$C$7:$AL$7,0))</f>
        <v>20.36</v>
      </c>
      <c r="Z81" s="41">
        <f>INDEX('[1]End - Use Prices'!$C$6:$AL$89,MATCH($C81,'[1]End - Use Prices'!$A$6:$A$89,0)+MATCH($D81,'[1]End - Use Prices'!$B$9:$B$11,0)-1,MATCH(Z$1,'[1]End - Use Prices'!$C$7:$AL$7,0))</f>
        <v>19</v>
      </c>
      <c r="AA81" s="41">
        <f>INDEX('[1]End - Use Prices'!$C$6:$AL$89,MATCH($C81,'[1]End - Use Prices'!$A$6:$A$89,0)+MATCH($D81,'[1]End - Use Prices'!$B$9:$B$11,0)-1,MATCH(AA$1,'[1]End - Use Prices'!$C$7:$AL$7,0))</f>
        <v>19.5</v>
      </c>
      <c r="AB81" s="41">
        <f>INDEX('[1]End - Use Prices'!$C$6:$AL$89,MATCH($C81,'[1]End - Use Prices'!$A$6:$A$89,0)+MATCH($D81,'[1]End - Use Prices'!$B$9:$B$11,0)-1,MATCH(AB$1,'[1]End - Use Prices'!$C$7:$AL$7,0))</f>
        <v>18.579999999999998</v>
      </c>
      <c r="AC81" s="41">
        <f>INDEX('[1]End - Use Prices'!$C$6:$AL$89,MATCH($C81,'[1]End - Use Prices'!$A$6:$A$89,0)+MATCH($D81,'[1]End - Use Prices'!$B$9:$B$11,0)-1,MATCH(AC$1,'[1]End - Use Prices'!$C$7:$AL$7,0))</f>
        <v>18.399999999999999</v>
      </c>
      <c r="AD81" s="41">
        <f>INDEX('[1]End - Use Prices'!$C$6:$AL$89,MATCH($C81,'[1]End - Use Prices'!$A$6:$A$89,0)+MATCH($D81,'[1]End - Use Prices'!$B$9:$B$11,0)-1,MATCH(AD$1,'[1]End - Use Prices'!$C$7:$AL$7,0))</f>
        <v>17.54</v>
      </c>
      <c r="AE81" s="41">
        <f>INDEX('[1]End - Use Prices'!$C$6:$AL$89,MATCH($C81,'[1]End - Use Prices'!$A$6:$A$89,0)+MATCH($D81,'[1]End - Use Prices'!$B$9:$B$11,0)-1,MATCH(AE$1,'[1]End - Use Prices'!$C$7:$AL$7,0))</f>
        <v>17.05</v>
      </c>
      <c r="AF81" s="41">
        <f>INDEX('[1]End - Use Prices'!$C$6:$AL$89,MATCH($C81,'[1]End - Use Prices'!$A$6:$A$89,0)+MATCH($D81,'[1]End - Use Prices'!$B$9:$B$11,0)-1,MATCH(AF$1,'[1]End - Use Prices'!$C$7:$AL$7,0))</f>
        <v>15.49</v>
      </c>
      <c r="AG81" s="41">
        <f>INDEX('[1]End - Use Prices'!$C$6:$AL$89,MATCH($C81,'[1]End - Use Prices'!$A$6:$A$89,0)+MATCH($D81,'[1]End - Use Prices'!$B$9:$B$11,0)-1,MATCH(AG$1,'[1]End - Use Prices'!$C$7:$AL$7,0))</f>
        <v>16.84</v>
      </c>
      <c r="AH81" s="41">
        <f>INDEX('[1]End - Use Prices'!$C$6:$AL$89,MATCH($C81,'[1]End - Use Prices'!$A$6:$A$89,0)+MATCH($D81,'[1]End - Use Prices'!$B$9:$B$11,0)-1,MATCH(AH$1,'[1]End - Use Prices'!$C$7:$AL$7,0))</f>
        <v>15.95</v>
      </c>
      <c r="AI81" s="41">
        <f>INDEX('[1]End - Use Prices'!$C$6:$AL$89,MATCH($C81,'[1]End - Use Prices'!$A$6:$A$89,0)+MATCH($D81,'[1]End - Use Prices'!$B$9:$B$11,0)-1,MATCH(AI$1,'[1]End - Use Prices'!$C$7:$AL$7,0))</f>
        <v>14.86</v>
      </c>
      <c r="AJ81" s="41">
        <f>INDEX('[1]End - Use Prices'!$C$6:$AL$89,MATCH($C81,'[1]End - Use Prices'!$A$6:$A$89,0)+MATCH($D81,'[1]End - Use Prices'!$B$9:$B$11,0)-1,MATCH(AJ$1,'[1]End - Use Prices'!$C$7:$AL$7,0))</f>
        <v>15.15</v>
      </c>
      <c r="AK81" s="41">
        <f>INDEX('[1]End - Use Prices'!$C$6:$AL$89,MATCH($C81,'[1]End - Use Prices'!$A$6:$A$89,0)+MATCH($D81,'[1]End - Use Prices'!$B$9:$B$11,0)-1,MATCH(AK$1,'[1]End - Use Prices'!$C$7:$AL$7,0))</f>
        <v>15</v>
      </c>
      <c r="AL81" s="41">
        <f>INDEX('[1]End - Use Prices'!$C$6:$AL$89,MATCH($C81,'[1]End - Use Prices'!$A$6:$A$89,0)+MATCH($D81,'[1]End - Use Prices'!$B$9:$B$11,0)-1,MATCH(AL$1,'[1]End - Use Prices'!$C$7:$AL$7,0))</f>
        <v>14.94</v>
      </c>
      <c r="AM81" s="41">
        <f>INDEX('[1]End - Use Prices'!$C$6:$AL$89,MATCH($C81,'[1]End - Use Prices'!$A$6:$A$89,0)+MATCH($D81,'[1]End - Use Prices'!$B$9:$B$11,0)-1,MATCH(AM$1,'[1]End - Use Prices'!$C$7:$AL$7,0))</f>
        <v>15</v>
      </c>
      <c r="AN81" s="41">
        <f>INDEX('[1]End - Use Prices'!$C$6:$AL$89,MATCH($C81,'[1]End - Use Prices'!$A$6:$A$89,0)+MATCH($D81,'[1]End - Use Prices'!$B$9:$B$11,0)-1,MATCH(AN$1,'[1]End - Use Prices'!$C$7:$AL$7,0))</f>
        <v>15.24</v>
      </c>
      <c r="AO81" s="41">
        <f>INDEX('[1]End - Use Prices'!$C$6:$AL$89,MATCH($C81,'[1]End - Use Prices'!$A$6:$A$89,0)+MATCH($D81,'[1]End - Use Prices'!$B$9:$B$11,0)-1,MATCH(AO$1,'[1]End - Use Prices'!$C$7:$AL$7,0))</f>
        <v>15.47</v>
      </c>
      <c r="AP81" s="41">
        <f>INDEX('[1]End - Use Prices'!$C$6:$AL$89,MATCH($C81,'[1]End - Use Prices'!$A$6:$A$89,0)+MATCH($D81,'[1]End - Use Prices'!$B$9:$B$11,0)-1,MATCH(AP$1,'[1]End - Use Prices'!$C$7:$AL$7,0))</f>
        <v>15.66</v>
      </c>
      <c r="AQ81" s="41">
        <f>INDEX('[1]End - Use Prices'!$C$6:$AL$89,MATCH($C81,'[1]End - Use Prices'!$A$6:$A$89,0)+MATCH($D81,'[1]End - Use Prices'!$B$9:$B$11,0)-1,MATCH(AQ$1,'[1]End - Use Prices'!$C$7:$AL$7,0))</f>
        <v>15.86</v>
      </c>
      <c r="AR81" s="41">
        <f>INDEX('[1]End - Use Prices'!$C$6:$AL$89,MATCH($C81,'[1]End - Use Prices'!$A$6:$A$89,0)+MATCH($D81,'[1]End - Use Prices'!$B$9:$B$11,0)-1,MATCH(AR$1,'[1]End - Use Prices'!$C$7:$AL$7,0))</f>
        <v>16.07</v>
      </c>
      <c r="AS81" s="41">
        <f>INDEX('[1]End - Use Prices'!$C$6:$AL$89,MATCH($C81,'[1]End - Use Prices'!$A$6:$A$89,0)+MATCH($D81,'[1]End - Use Prices'!$B$9:$B$11,0)-1,MATCH(AS$1,'[1]End - Use Prices'!$C$7:$AL$7,0))</f>
        <v>16.350000000000001</v>
      </c>
      <c r="AT81" s="41">
        <f>INDEX('[1]End - Use Prices'!$C$6:$AL$89,MATCH($C81,'[1]End - Use Prices'!$A$6:$A$89,0)+MATCH($D81,'[1]End - Use Prices'!$B$9:$B$11,0)-1,MATCH(AT$1,'[1]End - Use Prices'!$C$7:$AL$7,0))</f>
        <v>16.36</v>
      </c>
      <c r="AU81" s="41">
        <f>INDEX('[1]End - Use Prices'!$C$6:$AL$89,MATCH($C81,'[1]End - Use Prices'!$A$6:$A$89,0)+MATCH($D81,'[1]End - Use Prices'!$B$9:$B$11,0)-1,MATCH(AU$1,'[1]End - Use Prices'!$C$7:$AL$7,0))</f>
        <v>16.399999999999999</v>
      </c>
      <c r="AV81" s="41">
        <f>INDEX('[1]End - Use Prices'!$C$6:$AL$89,MATCH($C81,'[1]End - Use Prices'!$A$6:$A$89,0)+MATCH($D81,'[1]End - Use Prices'!$B$9:$B$11,0)-1,MATCH(AV$1,'[1]End - Use Prices'!$C$7:$AL$7,0))</f>
        <v>16.45</v>
      </c>
      <c r="AW81" s="41">
        <f>INDEX('[1]End - Use Prices'!$C$6:$AL$89,MATCH($C81,'[1]End - Use Prices'!$A$6:$A$89,0)+MATCH($D81,'[1]End - Use Prices'!$B$9:$B$11,0)-1,MATCH(AW$1,'[1]End - Use Prices'!$C$7:$AL$7,0))</f>
        <v>16.5</v>
      </c>
      <c r="AX81" s="41">
        <f>INDEX('[1]End - Use Prices'!$C$6:$AL$89,MATCH($C81,'[1]End - Use Prices'!$A$6:$A$89,0)+MATCH($D81,'[1]End - Use Prices'!$B$9:$B$11,0)-1,MATCH(AX$1,'[1]End - Use Prices'!$C$7:$AL$7,0))</f>
        <v>16.57</v>
      </c>
      <c r="AY81" s="41">
        <f>INDEX('[1]End - Use Prices'!$C$6:$AL$89,MATCH($C81,'[1]End - Use Prices'!$A$6:$A$89,0)+MATCH($D81,'[1]End - Use Prices'!$B$9:$B$11,0)-1,MATCH(AY$1,'[1]End - Use Prices'!$C$7:$AL$7,0))</f>
        <v>16.649999999999999</v>
      </c>
      <c r="AZ81" s="41">
        <f>INDEX('[1]End - Use Prices'!$C$6:$AL$89,MATCH($C81,'[1]End - Use Prices'!$A$6:$A$89,0)+MATCH($D81,'[1]End - Use Prices'!$B$9:$B$11,0)-1,MATCH(AZ$1,'[1]End - Use Prices'!$C$7:$AL$7,0))</f>
        <v>16.739999999999998</v>
      </c>
      <c r="BA81" s="41">
        <f>INDEX('[1]End - Use Prices'!$C$6:$AL$89,MATCH($C81,'[1]End - Use Prices'!$A$6:$A$89,0)+MATCH($D81,'[1]End - Use Prices'!$B$9:$B$11,0)-1,MATCH(BA$1,'[1]End - Use Prices'!$C$7:$AL$7,0))</f>
        <v>16.77</v>
      </c>
      <c r="BB81" s="41">
        <f>INDEX('[1]End - Use Prices'!$C$6:$AL$89,MATCH($C81,'[1]End - Use Prices'!$A$6:$A$89,0)+MATCH($D81,'[1]End - Use Prices'!$B$9:$B$11,0)-1,MATCH(BB$1,'[1]End - Use Prices'!$C$7:$AL$7,0))</f>
        <v>16.809999999999999</v>
      </c>
      <c r="BC81" s="41">
        <f>INDEX('[1]End - Use Prices'!$C$6:$AL$89,MATCH($C81,'[1]End - Use Prices'!$A$6:$A$89,0)+MATCH($D81,'[1]End - Use Prices'!$B$9:$B$11,0)-1,MATCH(BC$1,'[1]End - Use Prices'!$C$7:$AL$7,0))</f>
        <v>16.829999999999998</v>
      </c>
      <c r="BD81" s="41">
        <f>INDEX('[1]End - Use Prices'!$C$6:$AL$89,MATCH($C81,'[1]End - Use Prices'!$A$6:$A$89,0)+MATCH($D81,'[1]End - Use Prices'!$B$9:$B$11,0)-1,MATCH(BD$1,'[1]End - Use Prices'!$C$7:$AL$7,0))</f>
        <v>16.829999999999998</v>
      </c>
      <c r="BE81" s="41">
        <f>INDEX('[1]End - Use Prices'!$C$6:$AL$89,MATCH($C81,'[1]End - Use Prices'!$A$6:$A$89,0)+MATCH($D81,'[1]End - Use Prices'!$B$9:$B$11,0)-1,MATCH(BE$1,'[1]End - Use Prices'!$C$7:$AL$7,0))</f>
        <v>16.829999999999998</v>
      </c>
      <c r="BF81" s="41">
        <f>INDEX('[1]End - Use Prices'!$C$6:$AL$89,MATCH($C81,'[1]End - Use Prices'!$A$6:$A$89,0)+MATCH($D81,'[1]End - Use Prices'!$B$9:$B$11,0)-1,MATCH(BF$1,'[1]End - Use Prices'!$C$7:$AL$7,0))</f>
        <v>16.82</v>
      </c>
      <c r="BG81" s="41">
        <f>INDEX('[1]End - Use Prices'!$C$6:$AL$89,MATCH($C81,'[1]End - Use Prices'!$A$6:$A$89,0)+MATCH($D81,'[1]End - Use Prices'!$B$9:$B$11,0)-1,MATCH(BG$1,'[1]End - Use Prices'!$C$7:$AL$7,0))</f>
        <v>16.809999999999999</v>
      </c>
      <c r="BR81" s="39"/>
      <c r="BS81" s="39"/>
      <c r="BT81" s="39"/>
      <c r="BU81" s="39"/>
      <c r="BV81" s="39"/>
      <c r="BW81" s="39"/>
      <c r="BX81" s="39"/>
      <c r="BY81" s="39"/>
      <c r="BZ81" s="39"/>
      <c r="CA81" s="39"/>
    </row>
    <row r="82" spans="1:79" x14ac:dyDescent="0.25">
      <c r="A82" s="5"/>
      <c r="B82" s="3"/>
      <c r="C82" s="25" t="s">
        <v>92</v>
      </c>
      <c r="D82" s="25" t="s">
        <v>14</v>
      </c>
      <c r="E82" s="25" t="s">
        <v>313</v>
      </c>
      <c r="F82" s="74" t="s">
        <v>310</v>
      </c>
      <c r="G82" s="54">
        <f t="shared" si="54"/>
        <v>16.739999999999998</v>
      </c>
      <c r="H82" s="34">
        <f t="shared" si="72"/>
        <v>16.739999999999998</v>
      </c>
      <c r="I82" s="34">
        <f t="shared" si="72"/>
        <v>13.57</v>
      </c>
      <c r="J82" s="34">
        <f t="shared" si="72"/>
        <v>12.15</v>
      </c>
      <c r="K82" s="34">
        <f t="shared" si="72"/>
        <v>10.119999999999999</v>
      </c>
      <c r="L82" s="34">
        <f t="shared" si="72"/>
        <v>11.4</v>
      </c>
      <c r="M82" s="34">
        <f t="shared" si="72"/>
        <v>11.98</v>
      </c>
      <c r="N82" s="34">
        <f t="shared" si="72"/>
        <v>12.4</v>
      </c>
      <c r="O82" s="34">
        <f t="shared" si="72"/>
        <v>12.52</v>
      </c>
      <c r="P82" s="54">
        <f t="shared" ref="P82:Q82" si="77">O82</f>
        <v>12.52</v>
      </c>
      <c r="Q82" s="54">
        <f t="shared" si="77"/>
        <v>12.52</v>
      </c>
      <c r="R82" s="38"/>
      <c r="X82" s="41">
        <f>INDEX('[1]End - Use Prices'!$C$6:$AL$89,MATCH($C82,'[1]End - Use Prices'!$A$6:$A$89,0)+MATCH($D82,'[1]End - Use Prices'!$B$9:$B$11,0)-1,MATCH(X$1,'[1]End - Use Prices'!$C$7:$AL$7,0))</f>
        <v>16.739999999999998</v>
      </c>
      <c r="Y82" s="41">
        <f>INDEX('[1]End - Use Prices'!$C$6:$AL$89,MATCH($C82,'[1]End - Use Prices'!$A$6:$A$89,0)+MATCH($D82,'[1]End - Use Prices'!$B$9:$B$11,0)-1,MATCH(Y$1,'[1]End - Use Prices'!$C$7:$AL$7,0))</f>
        <v>17.82</v>
      </c>
      <c r="Z82" s="41">
        <f>INDEX('[1]End - Use Prices'!$C$6:$AL$89,MATCH($C82,'[1]End - Use Prices'!$A$6:$A$89,0)+MATCH($D82,'[1]End - Use Prices'!$B$9:$B$11,0)-1,MATCH(Z$1,'[1]End - Use Prices'!$C$7:$AL$7,0))</f>
        <v>16.100000000000001</v>
      </c>
      <c r="AA82" s="41">
        <f>INDEX('[1]End - Use Prices'!$C$6:$AL$89,MATCH($C82,'[1]End - Use Prices'!$A$6:$A$89,0)+MATCH($D82,'[1]End - Use Prices'!$B$9:$B$11,0)-1,MATCH(AA$1,'[1]End - Use Prices'!$C$7:$AL$7,0))</f>
        <v>16.25</v>
      </c>
      <c r="AB82" s="41">
        <f>INDEX('[1]End - Use Prices'!$C$6:$AL$89,MATCH($C82,'[1]End - Use Prices'!$A$6:$A$89,0)+MATCH($D82,'[1]End - Use Prices'!$B$9:$B$11,0)-1,MATCH(AB$1,'[1]End - Use Prices'!$C$7:$AL$7,0))</f>
        <v>13.76</v>
      </c>
      <c r="AC82" s="41">
        <f>INDEX('[1]End - Use Prices'!$C$6:$AL$89,MATCH($C82,'[1]End - Use Prices'!$A$6:$A$89,0)+MATCH($D82,'[1]End - Use Prices'!$B$9:$B$11,0)-1,MATCH(AC$1,'[1]End - Use Prices'!$C$7:$AL$7,0))</f>
        <v>13.57</v>
      </c>
      <c r="AD82" s="41">
        <f>INDEX('[1]End - Use Prices'!$C$6:$AL$89,MATCH($C82,'[1]End - Use Prices'!$A$6:$A$89,0)+MATCH($D82,'[1]End - Use Prices'!$B$9:$B$11,0)-1,MATCH(AD$1,'[1]End - Use Prices'!$C$7:$AL$7,0))</f>
        <v>11.83</v>
      </c>
      <c r="AE82" s="41">
        <f>INDEX('[1]End - Use Prices'!$C$6:$AL$89,MATCH($C82,'[1]End - Use Prices'!$A$6:$A$89,0)+MATCH($D82,'[1]End - Use Prices'!$B$9:$B$11,0)-1,MATCH(AE$1,'[1]End - Use Prices'!$C$7:$AL$7,0))</f>
        <v>11.22</v>
      </c>
      <c r="AF82" s="41">
        <f>INDEX('[1]End - Use Prices'!$C$6:$AL$89,MATCH($C82,'[1]End - Use Prices'!$A$6:$A$89,0)+MATCH($D82,'[1]End - Use Prices'!$B$9:$B$11,0)-1,MATCH(AF$1,'[1]End - Use Prices'!$C$7:$AL$7,0))</f>
        <v>11.17</v>
      </c>
      <c r="AG82" s="41">
        <f>INDEX('[1]End - Use Prices'!$C$6:$AL$89,MATCH($C82,'[1]End - Use Prices'!$A$6:$A$89,0)+MATCH($D82,'[1]End - Use Prices'!$B$9:$B$11,0)-1,MATCH(AG$1,'[1]End - Use Prices'!$C$7:$AL$7,0))</f>
        <v>12.03</v>
      </c>
      <c r="AH82" s="41">
        <f>INDEX('[1]End - Use Prices'!$C$6:$AL$89,MATCH($C82,'[1]End - Use Prices'!$A$6:$A$89,0)+MATCH($D82,'[1]End - Use Prices'!$B$9:$B$11,0)-1,MATCH(AH$1,'[1]End - Use Prices'!$C$7:$AL$7,0))</f>
        <v>12.15</v>
      </c>
      <c r="AI82" s="41">
        <f>INDEX('[1]End - Use Prices'!$C$6:$AL$89,MATCH($C82,'[1]End - Use Prices'!$A$6:$A$89,0)+MATCH($D82,'[1]End - Use Prices'!$B$9:$B$11,0)-1,MATCH(AI$1,'[1]End - Use Prices'!$C$7:$AL$7,0))</f>
        <v>9.42</v>
      </c>
      <c r="AJ82" s="41">
        <f>INDEX('[1]End - Use Prices'!$C$6:$AL$89,MATCH($C82,'[1]End - Use Prices'!$A$6:$A$89,0)+MATCH($D82,'[1]End - Use Prices'!$B$9:$B$11,0)-1,MATCH(AJ$1,'[1]End - Use Prices'!$C$7:$AL$7,0))</f>
        <v>13.49</v>
      </c>
      <c r="AK82" s="41">
        <f>INDEX('[1]End - Use Prices'!$C$6:$AL$89,MATCH($C82,'[1]End - Use Prices'!$A$6:$A$89,0)+MATCH($D82,'[1]End - Use Prices'!$B$9:$B$11,0)-1,MATCH(AK$1,'[1]End - Use Prices'!$C$7:$AL$7,0))</f>
        <v>10.95</v>
      </c>
      <c r="AL82" s="41">
        <f>INDEX('[1]End - Use Prices'!$C$6:$AL$89,MATCH($C82,'[1]End - Use Prices'!$A$6:$A$89,0)+MATCH($D82,'[1]End - Use Prices'!$B$9:$B$11,0)-1,MATCH(AL$1,'[1]End - Use Prices'!$C$7:$AL$7,0))</f>
        <v>10.029999999999999</v>
      </c>
      <c r="AM82" s="41">
        <f>INDEX('[1]End - Use Prices'!$C$6:$AL$89,MATCH($C82,'[1]End - Use Prices'!$A$6:$A$89,0)+MATCH($D82,'[1]End - Use Prices'!$B$9:$B$11,0)-1,MATCH(AM$1,'[1]End - Use Prices'!$C$7:$AL$7,0))</f>
        <v>10.119999999999999</v>
      </c>
      <c r="AN82" s="41">
        <f>INDEX('[1]End - Use Prices'!$C$6:$AL$89,MATCH($C82,'[1]End - Use Prices'!$A$6:$A$89,0)+MATCH($D82,'[1]End - Use Prices'!$B$9:$B$11,0)-1,MATCH(AN$1,'[1]End - Use Prices'!$C$7:$AL$7,0))</f>
        <v>10.4</v>
      </c>
      <c r="AO82" s="41">
        <f>INDEX('[1]End - Use Prices'!$C$6:$AL$89,MATCH($C82,'[1]End - Use Prices'!$A$6:$A$89,0)+MATCH($D82,'[1]End - Use Prices'!$B$9:$B$11,0)-1,MATCH(AO$1,'[1]End - Use Prices'!$C$7:$AL$7,0))</f>
        <v>10.68</v>
      </c>
      <c r="AP82" s="41">
        <f>INDEX('[1]End - Use Prices'!$C$6:$AL$89,MATCH($C82,'[1]End - Use Prices'!$A$6:$A$89,0)+MATCH($D82,'[1]End - Use Prices'!$B$9:$B$11,0)-1,MATCH(AP$1,'[1]End - Use Prices'!$C$7:$AL$7,0))</f>
        <v>10.91</v>
      </c>
      <c r="AQ82" s="41">
        <f>INDEX('[1]End - Use Prices'!$C$6:$AL$89,MATCH($C82,'[1]End - Use Prices'!$A$6:$A$89,0)+MATCH($D82,'[1]End - Use Prices'!$B$9:$B$11,0)-1,MATCH(AQ$1,'[1]End - Use Prices'!$C$7:$AL$7,0))</f>
        <v>11.15</v>
      </c>
      <c r="AR82" s="41">
        <f>INDEX('[1]End - Use Prices'!$C$6:$AL$89,MATCH($C82,'[1]End - Use Prices'!$A$6:$A$89,0)+MATCH($D82,'[1]End - Use Prices'!$B$9:$B$11,0)-1,MATCH(AR$1,'[1]End - Use Prices'!$C$7:$AL$7,0))</f>
        <v>11.4</v>
      </c>
      <c r="AS82" s="41">
        <f>INDEX('[1]End - Use Prices'!$C$6:$AL$89,MATCH($C82,'[1]End - Use Prices'!$A$6:$A$89,0)+MATCH($D82,'[1]End - Use Prices'!$B$9:$B$11,0)-1,MATCH(AS$1,'[1]End - Use Prices'!$C$7:$AL$7,0))</f>
        <v>11.72</v>
      </c>
      <c r="AT82" s="41">
        <f>INDEX('[1]End - Use Prices'!$C$6:$AL$89,MATCH($C82,'[1]End - Use Prices'!$A$6:$A$89,0)+MATCH($D82,'[1]End - Use Prices'!$B$9:$B$11,0)-1,MATCH(AT$1,'[1]End - Use Prices'!$C$7:$AL$7,0))</f>
        <v>11.76</v>
      </c>
      <c r="AU82" s="41">
        <f>INDEX('[1]End - Use Prices'!$C$6:$AL$89,MATCH($C82,'[1]End - Use Prices'!$A$6:$A$89,0)+MATCH($D82,'[1]End - Use Prices'!$B$9:$B$11,0)-1,MATCH(AU$1,'[1]End - Use Prices'!$C$7:$AL$7,0))</f>
        <v>11.83</v>
      </c>
      <c r="AV82" s="41">
        <f>INDEX('[1]End - Use Prices'!$C$6:$AL$89,MATCH($C82,'[1]End - Use Prices'!$A$6:$A$89,0)+MATCH($D82,'[1]End - Use Prices'!$B$9:$B$11,0)-1,MATCH(AV$1,'[1]End - Use Prices'!$C$7:$AL$7,0))</f>
        <v>11.91</v>
      </c>
      <c r="AW82" s="41">
        <f>INDEX('[1]End - Use Prices'!$C$6:$AL$89,MATCH($C82,'[1]End - Use Prices'!$A$6:$A$89,0)+MATCH($D82,'[1]End - Use Prices'!$B$9:$B$11,0)-1,MATCH(AW$1,'[1]End - Use Prices'!$C$7:$AL$7,0))</f>
        <v>11.98</v>
      </c>
      <c r="AX82" s="41">
        <f>INDEX('[1]End - Use Prices'!$C$6:$AL$89,MATCH($C82,'[1]End - Use Prices'!$A$6:$A$89,0)+MATCH($D82,'[1]End - Use Prices'!$B$9:$B$11,0)-1,MATCH(AX$1,'[1]End - Use Prices'!$C$7:$AL$7,0))</f>
        <v>12.07</v>
      </c>
      <c r="AY82" s="41">
        <f>INDEX('[1]End - Use Prices'!$C$6:$AL$89,MATCH($C82,'[1]End - Use Prices'!$A$6:$A$89,0)+MATCH($D82,'[1]End - Use Prices'!$B$9:$B$11,0)-1,MATCH(AY$1,'[1]End - Use Prices'!$C$7:$AL$7,0))</f>
        <v>12.18</v>
      </c>
      <c r="AZ82" s="41">
        <f>INDEX('[1]End - Use Prices'!$C$6:$AL$89,MATCH($C82,'[1]End - Use Prices'!$A$6:$A$89,0)+MATCH($D82,'[1]End - Use Prices'!$B$9:$B$11,0)-1,MATCH(AZ$1,'[1]End - Use Prices'!$C$7:$AL$7,0))</f>
        <v>12.29</v>
      </c>
      <c r="BA82" s="41">
        <f>INDEX('[1]End - Use Prices'!$C$6:$AL$89,MATCH($C82,'[1]End - Use Prices'!$A$6:$A$89,0)+MATCH($D82,'[1]End - Use Prices'!$B$9:$B$11,0)-1,MATCH(BA$1,'[1]End - Use Prices'!$C$7:$AL$7,0))</f>
        <v>12.35</v>
      </c>
      <c r="BB82" s="41">
        <f>INDEX('[1]End - Use Prices'!$C$6:$AL$89,MATCH($C82,'[1]End - Use Prices'!$A$6:$A$89,0)+MATCH($D82,'[1]End - Use Prices'!$B$9:$B$11,0)-1,MATCH(BB$1,'[1]End - Use Prices'!$C$7:$AL$7,0))</f>
        <v>12.4</v>
      </c>
      <c r="BC82" s="41">
        <f>INDEX('[1]End - Use Prices'!$C$6:$AL$89,MATCH($C82,'[1]End - Use Prices'!$A$6:$A$89,0)+MATCH($D82,'[1]End - Use Prices'!$B$9:$B$11,0)-1,MATCH(BC$1,'[1]End - Use Prices'!$C$7:$AL$7,0))</f>
        <v>12.45</v>
      </c>
      <c r="BD82" s="41">
        <f>INDEX('[1]End - Use Prices'!$C$6:$AL$89,MATCH($C82,'[1]End - Use Prices'!$A$6:$A$89,0)+MATCH($D82,'[1]End - Use Prices'!$B$9:$B$11,0)-1,MATCH(BD$1,'[1]End - Use Prices'!$C$7:$AL$7,0))</f>
        <v>12.48</v>
      </c>
      <c r="BE82" s="41">
        <f>INDEX('[1]End - Use Prices'!$C$6:$AL$89,MATCH($C82,'[1]End - Use Prices'!$A$6:$A$89,0)+MATCH($D82,'[1]End - Use Prices'!$B$9:$B$11,0)-1,MATCH(BE$1,'[1]End - Use Prices'!$C$7:$AL$7,0))</f>
        <v>12.49</v>
      </c>
      <c r="BF82" s="41">
        <f>INDEX('[1]End - Use Prices'!$C$6:$AL$89,MATCH($C82,'[1]End - Use Prices'!$A$6:$A$89,0)+MATCH($D82,'[1]End - Use Prices'!$B$9:$B$11,0)-1,MATCH(BF$1,'[1]End - Use Prices'!$C$7:$AL$7,0))</f>
        <v>12.51</v>
      </c>
      <c r="BG82" s="41">
        <f>INDEX('[1]End - Use Prices'!$C$6:$AL$89,MATCH($C82,'[1]End - Use Prices'!$A$6:$A$89,0)+MATCH($D82,'[1]End - Use Prices'!$B$9:$B$11,0)-1,MATCH(BG$1,'[1]End - Use Prices'!$C$7:$AL$7,0))</f>
        <v>12.52</v>
      </c>
      <c r="BR82" s="39"/>
      <c r="BS82" s="39"/>
      <c r="BT82" s="39"/>
      <c r="BU82" s="39"/>
      <c r="BV82" s="39"/>
      <c r="BW82" s="39"/>
      <c r="BX82" s="39"/>
      <c r="BY82" s="39"/>
      <c r="BZ82" s="39"/>
      <c r="CA82" s="39"/>
    </row>
    <row r="83" spans="1:79" x14ac:dyDescent="0.25">
      <c r="A83" s="5"/>
      <c r="B83" s="3"/>
      <c r="C83" s="25" t="s">
        <v>93</v>
      </c>
      <c r="D83" s="25" t="s">
        <v>14</v>
      </c>
      <c r="E83" s="25" t="s">
        <v>313</v>
      </c>
      <c r="F83" s="74" t="s">
        <v>310</v>
      </c>
      <c r="G83" s="54">
        <f t="shared" si="54"/>
        <v>16.21</v>
      </c>
      <c r="H83" s="34">
        <f t="shared" si="72"/>
        <v>16.21</v>
      </c>
      <c r="I83" s="34">
        <f t="shared" si="72"/>
        <v>11.7</v>
      </c>
      <c r="J83" s="34">
        <f t="shared" si="72"/>
        <v>11.47</v>
      </c>
      <c r="K83" s="34">
        <f t="shared" si="72"/>
        <v>10.53</v>
      </c>
      <c r="L83" s="34">
        <f t="shared" si="72"/>
        <v>11.81</v>
      </c>
      <c r="M83" s="34">
        <f t="shared" si="72"/>
        <v>12.43</v>
      </c>
      <c r="N83" s="34">
        <f t="shared" si="72"/>
        <v>13.03</v>
      </c>
      <c r="O83" s="34">
        <f t="shared" si="72"/>
        <v>13.31</v>
      </c>
      <c r="P83" s="54">
        <f t="shared" ref="P83:Q83" si="78">O83</f>
        <v>13.31</v>
      </c>
      <c r="Q83" s="54">
        <f t="shared" si="78"/>
        <v>13.31</v>
      </c>
      <c r="R83" s="38"/>
      <c r="X83" s="41">
        <f>INDEX('[1]End - Use Prices'!$C$6:$AL$89,MATCH($C83,'[1]End - Use Prices'!$A$6:$A$89,0)+MATCH($D83,'[1]End - Use Prices'!$B$9:$B$11,0)-1,MATCH(X$1,'[1]End - Use Prices'!$C$7:$AL$7,0))</f>
        <v>16.21</v>
      </c>
      <c r="Y83" s="41">
        <f>INDEX('[1]End - Use Prices'!$C$6:$AL$89,MATCH($C83,'[1]End - Use Prices'!$A$6:$A$89,0)+MATCH($D83,'[1]End - Use Prices'!$B$9:$B$11,0)-1,MATCH(Y$1,'[1]End - Use Prices'!$C$7:$AL$7,0))</f>
        <v>15.41</v>
      </c>
      <c r="Z83" s="41">
        <f>INDEX('[1]End - Use Prices'!$C$6:$AL$89,MATCH($C83,'[1]End - Use Prices'!$A$6:$A$89,0)+MATCH($D83,'[1]End - Use Prices'!$B$9:$B$11,0)-1,MATCH(Z$1,'[1]End - Use Prices'!$C$7:$AL$7,0))</f>
        <v>14.81</v>
      </c>
      <c r="AA83" s="41">
        <f>INDEX('[1]End - Use Prices'!$C$6:$AL$89,MATCH($C83,'[1]End - Use Prices'!$A$6:$A$89,0)+MATCH($D83,'[1]End - Use Prices'!$B$9:$B$11,0)-1,MATCH(AA$1,'[1]End - Use Prices'!$C$7:$AL$7,0))</f>
        <v>14.53</v>
      </c>
      <c r="AB83" s="41">
        <f>INDEX('[1]End - Use Prices'!$C$6:$AL$89,MATCH($C83,'[1]End - Use Prices'!$A$6:$A$89,0)+MATCH($D83,'[1]End - Use Prices'!$B$9:$B$11,0)-1,MATCH(AB$1,'[1]End - Use Prices'!$C$7:$AL$7,0))</f>
        <v>14.23</v>
      </c>
      <c r="AC83" s="41">
        <f>INDEX('[1]End - Use Prices'!$C$6:$AL$89,MATCH($C83,'[1]End - Use Prices'!$A$6:$A$89,0)+MATCH($D83,'[1]End - Use Prices'!$B$9:$B$11,0)-1,MATCH(AC$1,'[1]End - Use Prices'!$C$7:$AL$7,0))</f>
        <v>11.7</v>
      </c>
      <c r="AD83" s="41">
        <f>INDEX('[1]End - Use Prices'!$C$6:$AL$89,MATCH($C83,'[1]End - Use Prices'!$A$6:$A$89,0)+MATCH($D83,'[1]End - Use Prices'!$B$9:$B$11,0)-1,MATCH(AD$1,'[1]End - Use Prices'!$C$7:$AL$7,0))</f>
        <v>11.6</v>
      </c>
      <c r="AE83" s="41">
        <f>INDEX('[1]End - Use Prices'!$C$6:$AL$89,MATCH($C83,'[1]End - Use Prices'!$A$6:$A$89,0)+MATCH($D83,'[1]End - Use Prices'!$B$9:$B$11,0)-1,MATCH(AE$1,'[1]End - Use Prices'!$C$7:$AL$7,0))</f>
        <v>10.07</v>
      </c>
      <c r="AF83" s="41">
        <f>INDEX('[1]End - Use Prices'!$C$6:$AL$89,MATCH($C83,'[1]End - Use Prices'!$A$6:$A$89,0)+MATCH($D83,'[1]End - Use Prices'!$B$9:$B$11,0)-1,MATCH(AF$1,'[1]End - Use Prices'!$C$7:$AL$7,0))</f>
        <v>10.41</v>
      </c>
      <c r="AG83" s="41">
        <f>INDEX('[1]End - Use Prices'!$C$6:$AL$89,MATCH($C83,'[1]End - Use Prices'!$A$6:$A$89,0)+MATCH($D83,'[1]End - Use Prices'!$B$9:$B$11,0)-1,MATCH(AG$1,'[1]End - Use Prices'!$C$7:$AL$7,0))</f>
        <v>10.98</v>
      </c>
      <c r="AH83" s="41">
        <f>INDEX('[1]End - Use Prices'!$C$6:$AL$89,MATCH($C83,'[1]End - Use Prices'!$A$6:$A$89,0)+MATCH($D83,'[1]End - Use Prices'!$B$9:$B$11,0)-1,MATCH(AH$1,'[1]End - Use Prices'!$C$7:$AL$7,0))</f>
        <v>11.47</v>
      </c>
      <c r="AI83" s="41">
        <f>INDEX('[1]End - Use Prices'!$C$6:$AL$89,MATCH($C83,'[1]End - Use Prices'!$A$6:$A$89,0)+MATCH($D83,'[1]End - Use Prices'!$B$9:$B$11,0)-1,MATCH(AI$1,'[1]End - Use Prices'!$C$7:$AL$7,0))</f>
        <v>9.65</v>
      </c>
      <c r="AJ83" s="41">
        <f>INDEX('[1]End - Use Prices'!$C$6:$AL$89,MATCH($C83,'[1]End - Use Prices'!$A$6:$A$89,0)+MATCH($D83,'[1]End - Use Prices'!$B$9:$B$11,0)-1,MATCH(AJ$1,'[1]End - Use Prices'!$C$7:$AL$7,0))</f>
        <v>9.7100000000000009</v>
      </c>
      <c r="AK83" s="41">
        <f>INDEX('[1]End - Use Prices'!$C$6:$AL$89,MATCH($C83,'[1]End - Use Prices'!$A$6:$A$89,0)+MATCH($D83,'[1]End - Use Prices'!$B$9:$B$11,0)-1,MATCH(AK$1,'[1]End - Use Prices'!$C$7:$AL$7,0))</f>
        <v>9.6300000000000008</v>
      </c>
      <c r="AL83" s="41">
        <f>INDEX('[1]End - Use Prices'!$C$6:$AL$89,MATCH($C83,'[1]End - Use Prices'!$A$6:$A$89,0)+MATCH($D83,'[1]End - Use Prices'!$B$9:$B$11,0)-1,MATCH(AL$1,'[1]End - Use Prices'!$C$7:$AL$7,0))</f>
        <v>9.6199999999999992</v>
      </c>
      <c r="AM83" s="41">
        <f>INDEX('[1]End - Use Prices'!$C$6:$AL$89,MATCH($C83,'[1]End - Use Prices'!$A$6:$A$89,0)+MATCH($D83,'[1]End - Use Prices'!$B$9:$B$11,0)-1,MATCH(AM$1,'[1]End - Use Prices'!$C$7:$AL$7,0))</f>
        <v>10.53</v>
      </c>
      <c r="AN83" s="41">
        <f>INDEX('[1]End - Use Prices'!$C$6:$AL$89,MATCH($C83,'[1]End - Use Prices'!$A$6:$A$89,0)+MATCH($D83,'[1]End - Use Prices'!$B$9:$B$11,0)-1,MATCH(AN$1,'[1]End - Use Prices'!$C$7:$AL$7,0))</f>
        <v>10.96</v>
      </c>
      <c r="AO83" s="41">
        <f>INDEX('[1]End - Use Prices'!$C$6:$AL$89,MATCH($C83,'[1]End - Use Prices'!$A$6:$A$89,0)+MATCH($D83,'[1]End - Use Prices'!$B$9:$B$11,0)-1,MATCH(AO$1,'[1]End - Use Prices'!$C$7:$AL$7,0))</f>
        <v>11.37</v>
      </c>
      <c r="AP83" s="41">
        <f>INDEX('[1]End - Use Prices'!$C$6:$AL$89,MATCH($C83,'[1]End - Use Prices'!$A$6:$A$89,0)+MATCH($D83,'[1]End - Use Prices'!$B$9:$B$11,0)-1,MATCH(AP$1,'[1]End - Use Prices'!$C$7:$AL$7,0))</f>
        <v>11.74</v>
      </c>
      <c r="AQ83" s="41">
        <f>INDEX('[1]End - Use Prices'!$C$6:$AL$89,MATCH($C83,'[1]End - Use Prices'!$A$6:$A$89,0)+MATCH($D83,'[1]End - Use Prices'!$B$9:$B$11,0)-1,MATCH(AQ$1,'[1]End - Use Prices'!$C$7:$AL$7,0))</f>
        <v>11.76</v>
      </c>
      <c r="AR83" s="41">
        <f>INDEX('[1]End - Use Prices'!$C$6:$AL$89,MATCH($C83,'[1]End - Use Prices'!$A$6:$A$89,0)+MATCH($D83,'[1]End - Use Prices'!$B$9:$B$11,0)-1,MATCH(AR$1,'[1]End - Use Prices'!$C$7:$AL$7,0))</f>
        <v>11.81</v>
      </c>
      <c r="AS83" s="41">
        <f>INDEX('[1]End - Use Prices'!$C$6:$AL$89,MATCH($C83,'[1]End - Use Prices'!$A$6:$A$89,0)+MATCH($D83,'[1]End - Use Prices'!$B$9:$B$11,0)-1,MATCH(AS$1,'[1]End - Use Prices'!$C$7:$AL$7,0))</f>
        <v>11.93</v>
      </c>
      <c r="AT83" s="41">
        <f>INDEX('[1]End - Use Prices'!$C$6:$AL$89,MATCH($C83,'[1]End - Use Prices'!$A$6:$A$89,0)+MATCH($D83,'[1]End - Use Prices'!$B$9:$B$11,0)-1,MATCH(AT$1,'[1]End - Use Prices'!$C$7:$AL$7,0))</f>
        <v>12.04</v>
      </c>
      <c r="AU83" s="41">
        <f>INDEX('[1]End - Use Prices'!$C$6:$AL$89,MATCH($C83,'[1]End - Use Prices'!$A$6:$A$89,0)+MATCH($D83,'[1]End - Use Prices'!$B$9:$B$11,0)-1,MATCH(AU$1,'[1]End - Use Prices'!$C$7:$AL$7,0))</f>
        <v>12.16</v>
      </c>
      <c r="AV83" s="41">
        <f>INDEX('[1]End - Use Prices'!$C$6:$AL$89,MATCH($C83,'[1]End - Use Prices'!$A$6:$A$89,0)+MATCH($D83,'[1]End - Use Prices'!$B$9:$B$11,0)-1,MATCH(AV$1,'[1]End - Use Prices'!$C$7:$AL$7,0))</f>
        <v>12.3</v>
      </c>
      <c r="AW83" s="41">
        <f>INDEX('[1]End - Use Prices'!$C$6:$AL$89,MATCH($C83,'[1]End - Use Prices'!$A$6:$A$89,0)+MATCH($D83,'[1]End - Use Prices'!$B$9:$B$11,0)-1,MATCH(AW$1,'[1]End - Use Prices'!$C$7:$AL$7,0))</f>
        <v>12.43</v>
      </c>
      <c r="AX83" s="41">
        <f>INDEX('[1]End - Use Prices'!$C$6:$AL$89,MATCH($C83,'[1]End - Use Prices'!$A$6:$A$89,0)+MATCH($D83,'[1]End - Use Prices'!$B$9:$B$11,0)-1,MATCH(AX$1,'[1]End - Use Prices'!$C$7:$AL$7,0))</f>
        <v>12.56</v>
      </c>
      <c r="AY83" s="41">
        <f>INDEX('[1]End - Use Prices'!$C$6:$AL$89,MATCH($C83,'[1]End - Use Prices'!$A$6:$A$89,0)+MATCH($D83,'[1]End - Use Prices'!$B$9:$B$11,0)-1,MATCH(AY$1,'[1]End - Use Prices'!$C$7:$AL$7,0))</f>
        <v>12.7</v>
      </c>
      <c r="AZ83" s="41">
        <f>INDEX('[1]End - Use Prices'!$C$6:$AL$89,MATCH($C83,'[1]End - Use Prices'!$A$6:$A$89,0)+MATCH($D83,'[1]End - Use Prices'!$B$9:$B$11,0)-1,MATCH(AZ$1,'[1]End - Use Prices'!$C$7:$AL$7,0))</f>
        <v>12.86</v>
      </c>
      <c r="BA83" s="41">
        <f>INDEX('[1]End - Use Prices'!$C$6:$AL$89,MATCH($C83,'[1]End - Use Prices'!$A$6:$A$89,0)+MATCH($D83,'[1]End - Use Prices'!$B$9:$B$11,0)-1,MATCH(BA$1,'[1]End - Use Prices'!$C$7:$AL$7,0))</f>
        <v>12.95</v>
      </c>
      <c r="BB83" s="41">
        <f>INDEX('[1]End - Use Prices'!$C$6:$AL$89,MATCH($C83,'[1]End - Use Prices'!$A$6:$A$89,0)+MATCH($D83,'[1]End - Use Prices'!$B$9:$B$11,0)-1,MATCH(BB$1,'[1]End - Use Prices'!$C$7:$AL$7,0))</f>
        <v>13.03</v>
      </c>
      <c r="BC83" s="41">
        <f>INDEX('[1]End - Use Prices'!$C$6:$AL$89,MATCH($C83,'[1]End - Use Prices'!$A$6:$A$89,0)+MATCH($D83,'[1]End - Use Prices'!$B$9:$B$11,0)-1,MATCH(BC$1,'[1]End - Use Prices'!$C$7:$AL$7,0))</f>
        <v>13.11</v>
      </c>
      <c r="BD83" s="41">
        <f>INDEX('[1]End - Use Prices'!$C$6:$AL$89,MATCH($C83,'[1]End - Use Prices'!$A$6:$A$89,0)+MATCH($D83,'[1]End - Use Prices'!$B$9:$B$11,0)-1,MATCH(BD$1,'[1]End - Use Prices'!$C$7:$AL$7,0))</f>
        <v>13.17</v>
      </c>
      <c r="BE83" s="41">
        <f>INDEX('[1]End - Use Prices'!$C$6:$AL$89,MATCH($C83,'[1]End - Use Prices'!$A$6:$A$89,0)+MATCH($D83,'[1]End - Use Prices'!$B$9:$B$11,0)-1,MATCH(BE$1,'[1]End - Use Prices'!$C$7:$AL$7,0))</f>
        <v>13.22</v>
      </c>
      <c r="BF83" s="41">
        <f>INDEX('[1]End - Use Prices'!$C$6:$AL$89,MATCH($C83,'[1]End - Use Prices'!$A$6:$A$89,0)+MATCH($D83,'[1]End - Use Prices'!$B$9:$B$11,0)-1,MATCH(BF$1,'[1]End - Use Prices'!$C$7:$AL$7,0))</f>
        <v>13.27</v>
      </c>
      <c r="BG83" s="41">
        <f>INDEX('[1]End - Use Prices'!$C$6:$AL$89,MATCH($C83,'[1]End - Use Prices'!$A$6:$A$89,0)+MATCH($D83,'[1]End - Use Prices'!$B$9:$B$11,0)-1,MATCH(BG$1,'[1]End - Use Prices'!$C$7:$AL$7,0))</f>
        <v>13.31</v>
      </c>
      <c r="BR83" s="39"/>
      <c r="BS83" s="39"/>
      <c r="BT83" s="39"/>
      <c r="BU83" s="39"/>
      <c r="BV83" s="39"/>
      <c r="BW83" s="39"/>
      <c r="BX83" s="39"/>
      <c r="BY83" s="39"/>
      <c r="BZ83" s="39"/>
      <c r="CA83" s="39"/>
    </row>
    <row r="84" spans="1:79" x14ac:dyDescent="0.25">
      <c r="A84" s="5"/>
      <c r="B84" s="3"/>
      <c r="C84" s="25" t="s">
        <v>94</v>
      </c>
      <c r="D84" s="25" t="s">
        <v>14</v>
      </c>
      <c r="E84" s="25" t="s">
        <v>313</v>
      </c>
      <c r="F84" s="74" t="s">
        <v>310</v>
      </c>
      <c r="G84" s="54">
        <f t="shared" si="54"/>
        <v>14.11</v>
      </c>
      <c r="H84" s="34">
        <f t="shared" si="72"/>
        <v>14.11</v>
      </c>
      <c r="I84" s="34">
        <f t="shared" si="72"/>
        <v>12.28</v>
      </c>
      <c r="J84" s="34">
        <f t="shared" si="72"/>
        <v>11.81</v>
      </c>
      <c r="K84" s="34">
        <f t="shared" si="72"/>
        <v>8.3000000000000007</v>
      </c>
      <c r="L84" s="34">
        <f t="shared" si="72"/>
        <v>9.42</v>
      </c>
      <c r="M84" s="34">
        <f t="shared" si="72"/>
        <v>9.6199999999999992</v>
      </c>
      <c r="N84" s="34">
        <f t="shared" si="72"/>
        <v>9.9</v>
      </c>
      <c r="O84" s="34">
        <f t="shared" si="72"/>
        <v>9.9499999999999993</v>
      </c>
      <c r="P84" s="54">
        <f t="shared" ref="P84:Q84" si="79">O84</f>
        <v>9.9499999999999993</v>
      </c>
      <c r="Q84" s="54">
        <f t="shared" si="79"/>
        <v>9.9499999999999993</v>
      </c>
      <c r="R84" s="38"/>
      <c r="X84" s="41">
        <f>INDEX('[1]End - Use Prices'!$C$6:$AL$89,MATCH($C84,'[1]End - Use Prices'!$A$6:$A$89,0)+MATCH($D84,'[1]End - Use Prices'!$B$9:$B$11,0)-1,MATCH(X$1,'[1]End - Use Prices'!$C$7:$AL$7,0))</f>
        <v>14.11</v>
      </c>
      <c r="Y84" s="41">
        <f>INDEX('[1]End - Use Prices'!$C$6:$AL$89,MATCH($C84,'[1]End - Use Prices'!$A$6:$A$89,0)+MATCH($D84,'[1]End - Use Prices'!$B$9:$B$11,0)-1,MATCH(Y$1,'[1]End - Use Prices'!$C$7:$AL$7,0))</f>
        <v>13.96</v>
      </c>
      <c r="Z84" s="41">
        <f>INDEX('[1]End - Use Prices'!$C$6:$AL$89,MATCH($C84,'[1]End - Use Prices'!$A$6:$A$89,0)+MATCH($D84,'[1]End - Use Prices'!$B$9:$B$11,0)-1,MATCH(Z$1,'[1]End - Use Prices'!$C$7:$AL$7,0))</f>
        <v>13.58</v>
      </c>
      <c r="AA84" s="41">
        <f>INDEX('[1]End - Use Prices'!$C$6:$AL$89,MATCH($C84,'[1]End - Use Prices'!$A$6:$A$89,0)+MATCH($D84,'[1]End - Use Prices'!$B$9:$B$11,0)-1,MATCH(AA$1,'[1]End - Use Prices'!$C$7:$AL$7,0))</f>
        <v>12.3</v>
      </c>
      <c r="AB84" s="41">
        <f>INDEX('[1]End - Use Prices'!$C$6:$AL$89,MATCH($C84,'[1]End - Use Prices'!$A$6:$A$89,0)+MATCH($D84,'[1]End - Use Prices'!$B$9:$B$11,0)-1,MATCH(AB$1,'[1]End - Use Prices'!$C$7:$AL$7,0))</f>
        <v>14.1</v>
      </c>
      <c r="AC84" s="41">
        <f>INDEX('[1]End - Use Prices'!$C$6:$AL$89,MATCH($C84,'[1]End - Use Prices'!$A$6:$A$89,0)+MATCH($D84,'[1]End - Use Prices'!$B$9:$B$11,0)-1,MATCH(AC$1,'[1]End - Use Prices'!$C$7:$AL$7,0))</f>
        <v>12.28</v>
      </c>
      <c r="AD84" s="41">
        <f>INDEX('[1]End - Use Prices'!$C$6:$AL$89,MATCH($C84,'[1]End - Use Prices'!$A$6:$A$89,0)+MATCH($D84,'[1]End - Use Prices'!$B$9:$B$11,0)-1,MATCH(AD$1,'[1]End - Use Prices'!$C$7:$AL$7,0))</f>
        <v>11.25</v>
      </c>
      <c r="AE84" s="41">
        <f>INDEX('[1]End - Use Prices'!$C$6:$AL$89,MATCH($C84,'[1]End - Use Prices'!$A$6:$A$89,0)+MATCH($D84,'[1]End - Use Prices'!$B$9:$B$11,0)-1,MATCH(AE$1,'[1]End - Use Prices'!$C$7:$AL$7,0))</f>
        <v>10.93</v>
      </c>
      <c r="AF84" s="41">
        <f>INDEX('[1]End - Use Prices'!$C$6:$AL$89,MATCH($C84,'[1]End - Use Prices'!$A$6:$A$89,0)+MATCH($D84,'[1]End - Use Prices'!$B$9:$B$11,0)-1,MATCH(AF$1,'[1]End - Use Prices'!$C$7:$AL$7,0))</f>
        <v>10.61</v>
      </c>
      <c r="AG84" s="41">
        <f>INDEX('[1]End - Use Prices'!$C$6:$AL$89,MATCH($C84,'[1]End - Use Prices'!$A$6:$A$89,0)+MATCH($D84,'[1]End - Use Prices'!$B$9:$B$11,0)-1,MATCH(AG$1,'[1]End - Use Prices'!$C$7:$AL$7,0))</f>
        <v>9.19</v>
      </c>
      <c r="AH84" s="41">
        <f>INDEX('[1]End - Use Prices'!$C$6:$AL$89,MATCH($C84,'[1]End - Use Prices'!$A$6:$A$89,0)+MATCH($D84,'[1]End - Use Prices'!$B$9:$B$11,0)-1,MATCH(AH$1,'[1]End - Use Prices'!$C$7:$AL$7,0))</f>
        <v>11.81</v>
      </c>
      <c r="AI84" s="41">
        <f>INDEX('[1]End - Use Prices'!$C$6:$AL$89,MATCH($C84,'[1]End - Use Prices'!$A$6:$A$89,0)+MATCH($D84,'[1]End - Use Prices'!$B$9:$B$11,0)-1,MATCH(AI$1,'[1]End - Use Prices'!$C$7:$AL$7,0))</f>
        <v>8.8000000000000007</v>
      </c>
      <c r="AJ84" s="41">
        <f>INDEX('[1]End - Use Prices'!$C$6:$AL$89,MATCH($C84,'[1]End - Use Prices'!$A$6:$A$89,0)+MATCH($D84,'[1]End - Use Prices'!$B$9:$B$11,0)-1,MATCH(AJ$1,'[1]End - Use Prices'!$C$7:$AL$7,0))</f>
        <v>7.48</v>
      </c>
      <c r="AK84" s="41">
        <f>INDEX('[1]End - Use Prices'!$C$6:$AL$89,MATCH($C84,'[1]End - Use Prices'!$A$6:$A$89,0)+MATCH($D84,'[1]End - Use Prices'!$B$9:$B$11,0)-1,MATCH(AK$1,'[1]End - Use Prices'!$C$7:$AL$7,0))</f>
        <v>7.4</v>
      </c>
      <c r="AL84" s="41">
        <f>INDEX('[1]End - Use Prices'!$C$6:$AL$89,MATCH($C84,'[1]End - Use Prices'!$A$6:$A$89,0)+MATCH($D84,'[1]End - Use Prices'!$B$9:$B$11,0)-1,MATCH(AL$1,'[1]End - Use Prices'!$C$7:$AL$7,0))</f>
        <v>7.39</v>
      </c>
      <c r="AM84" s="41">
        <f>INDEX('[1]End - Use Prices'!$C$6:$AL$89,MATCH($C84,'[1]End - Use Prices'!$A$6:$A$89,0)+MATCH($D84,'[1]End - Use Prices'!$B$9:$B$11,0)-1,MATCH(AM$1,'[1]End - Use Prices'!$C$7:$AL$7,0))</f>
        <v>8.3000000000000007</v>
      </c>
      <c r="AN84" s="41">
        <f>INDEX('[1]End - Use Prices'!$C$6:$AL$89,MATCH($C84,'[1]End - Use Prices'!$A$6:$A$89,0)+MATCH($D84,'[1]End - Use Prices'!$B$9:$B$11,0)-1,MATCH(AN$1,'[1]End - Use Prices'!$C$7:$AL$7,0))</f>
        <v>8.73</v>
      </c>
      <c r="AO84" s="41">
        <f>INDEX('[1]End - Use Prices'!$C$6:$AL$89,MATCH($C84,'[1]End - Use Prices'!$A$6:$A$89,0)+MATCH($D84,'[1]End - Use Prices'!$B$9:$B$11,0)-1,MATCH(AO$1,'[1]End - Use Prices'!$C$7:$AL$7,0))</f>
        <v>9.14</v>
      </c>
      <c r="AP84" s="41">
        <f>INDEX('[1]End - Use Prices'!$C$6:$AL$89,MATCH($C84,'[1]End - Use Prices'!$A$6:$A$89,0)+MATCH($D84,'[1]End - Use Prices'!$B$9:$B$11,0)-1,MATCH(AP$1,'[1]End - Use Prices'!$C$7:$AL$7,0))</f>
        <v>9.51</v>
      </c>
      <c r="AQ84" s="41">
        <f>INDEX('[1]End - Use Prices'!$C$6:$AL$89,MATCH($C84,'[1]End - Use Prices'!$A$6:$A$89,0)+MATCH($D84,'[1]End - Use Prices'!$B$9:$B$11,0)-1,MATCH(AQ$1,'[1]End - Use Prices'!$C$7:$AL$7,0))</f>
        <v>9.4499999999999993</v>
      </c>
      <c r="AR84" s="41">
        <f>INDEX('[1]End - Use Prices'!$C$6:$AL$89,MATCH($C84,'[1]End - Use Prices'!$A$6:$A$89,0)+MATCH($D84,'[1]End - Use Prices'!$B$9:$B$11,0)-1,MATCH(AR$1,'[1]End - Use Prices'!$C$7:$AL$7,0))</f>
        <v>9.42</v>
      </c>
      <c r="AS84" s="41">
        <f>INDEX('[1]End - Use Prices'!$C$6:$AL$89,MATCH($C84,'[1]End - Use Prices'!$A$6:$A$89,0)+MATCH($D84,'[1]End - Use Prices'!$B$9:$B$11,0)-1,MATCH(AS$1,'[1]End - Use Prices'!$C$7:$AL$7,0))</f>
        <v>9.4600000000000009</v>
      </c>
      <c r="AT84" s="41">
        <f>INDEX('[1]End - Use Prices'!$C$6:$AL$89,MATCH($C84,'[1]End - Use Prices'!$A$6:$A$89,0)+MATCH($D84,'[1]End - Use Prices'!$B$9:$B$11,0)-1,MATCH(AT$1,'[1]End - Use Prices'!$C$7:$AL$7,0))</f>
        <v>9.48</v>
      </c>
      <c r="AU84" s="41">
        <f>INDEX('[1]End - Use Prices'!$C$6:$AL$89,MATCH($C84,'[1]End - Use Prices'!$A$6:$A$89,0)+MATCH($D84,'[1]End - Use Prices'!$B$9:$B$11,0)-1,MATCH(AU$1,'[1]End - Use Prices'!$C$7:$AL$7,0))</f>
        <v>9.52</v>
      </c>
      <c r="AV84" s="41">
        <f>INDEX('[1]End - Use Prices'!$C$6:$AL$89,MATCH($C84,'[1]End - Use Prices'!$A$6:$A$89,0)+MATCH($D84,'[1]End - Use Prices'!$B$9:$B$11,0)-1,MATCH(AV$1,'[1]End - Use Prices'!$C$7:$AL$7,0))</f>
        <v>9.57</v>
      </c>
      <c r="AW84" s="41">
        <f>INDEX('[1]End - Use Prices'!$C$6:$AL$89,MATCH($C84,'[1]End - Use Prices'!$A$6:$A$89,0)+MATCH($D84,'[1]End - Use Prices'!$B$9:$B$11,0)-1,MATCH(AW$1,'[1]End - Use Prices'!$C$7:$AL$7,0))</f>
        <v>9.6199999999999992</v>
      </c>
      <c r="AX84" s="41">
        <f>INDEX('[1]End - Use Prices'!$C$6:$AL$89,MATCH($C84,'[1]End - Use Prices'!$A$6:$A$89,0)+MATCH($D84,'[1]End - Use Prices'!$B$9:$B$11,0)-1,MATCH(AX$1,'[1]End - Use Prices'!$C$7:$AL$7,0))</f>
        <v>9.68</v>
      </c>
      <c r="AY84" s="41">
        <f>INDEX('[1]End - Use Prices'!$C$6:$AL$89,MATCH($C84,'[1]End - Use Prices'!$A$6:$A$89,0)+MATCH($D84,'[1]End - Use Prices'!$B$9:$B$11,0)-1,MATCH(AY$1,'[1]End - Use Prices'!$C$7:$AL$7,0))</f>
        <v>9.75</v>
      </c>
      <c r="AZ84" s="41">
        <f>INDEX('[1]End - Use Prices'!$C$6:$AL$89,MATCH($C84,'[1]End - Use Prices'!$A$6:$A$89,0)+MATCH($D84,'[1]End - Use Prices'!$B$9:$B$11,0)-1,MATCH(AZ$1,'[1]End - Use Prices'!$C$7:$AL$7,0))</f>
        <v>9.83</v>
      </c>
      <c r="BA84" s="41">
        <f>INDEX('[1]End - Use Prices'!$C$6:$AL$89,MATCH($C84,'[1]End - Use Prices'!$A$6:$A$89,0)+MATCH($D84,'[1]End - Use Prices'!$B$9:$B$11,0)-1,MATCH(BA$1,'[1]End - Use Prices'!$C$7:$AL$7,0))</f>
        <v>9.8699999999999992</v>
      </c>
      <c r="BB84" s="41">
        <f>INDEX('[1]End - Use Prices'!$C$6:$AL$89,MATCH($C84,'[1]End - Use Prices'!$A$6:$A$89,0)+MATCH($D84,'[1]End - Use Prices'!$B$9:$B$11,0)-1,MATCH(BB$1,'[1]End - Use Prices'!$C$7:$AL$7,0))</f>
        <v>9.9</v>
      </c>
      <c r="BC84" s="41">
        <f>INDEX('[1]End - Use Prices'!$C$6:$AL$89,MATCH($C84,'[1]End - Use Prices'!$A$6:$A$89,0)+MATCH($D84,'[1]End - Use Prices'!$B$9:$B$11,0)-1,MATCH(BC$1,'[1]End - Use Prices'!$C$7:$AL$7,0))</f>
        <v>9.93</v>
      </c>
      <c r="BD84" s="41">
        <f>INDEX('[1]End - Use Prices'!$C$6:$AL$89,MATCH($C84,'[1]End - Use Prices'!$A$6:$A$89,0)+MATCH($D84,'[1]End - Use Prices'!$B$9:$B$11,0)-1,MATCH(BD$1,'[1]End - Use Prices'!$C$7:$AL$7,0))</f>
        <v>9.94</v>
      </c>
      <c r="BE84" s="41">
        <f>INDEX('[1]End - Use Prices'!$C$6:$AL$89,MATCH($C84,'[1]End - Use Prices'!$A$6:$A$89,0)+MATCH($D84,'[1]End - Use Prices'!$B$9:$B$11,0)-1,MATCH(BE$1,'[1]End - Use Prices'!$C$7:$AL$7,0))</f>
        <v>9.94</v>
      </c>
      <c r="BF84" s="41">
        <f>INDEX('[1]End - Use Prices'!$C$6:$AL$89,MATCH($C84,'[1]End - Use Prices'!$A$6:$A$89,0)+MATCH($D84,'[1]End - Use Prices'!$B$9:$B$11,0)-1,MATCH(BF$1,'[1]End - Use Prices'!$C$7:$AL$7,0))</f>
        <v>9.9499999999999993</v>
      </c>
      <c r="BG84" s="41">
        <f>INDEX('[1]End - Use Prices'!$C$6:$AL$89,MATCH($C84,'[1]End - Use Prices'!$A$6:$A$89,0)+MATCH($D84,'[1]End - Use Prices'!$B$9:$B$11,0)-1,MATCH(BG$1,'[1]End - Use Prices'!$C$7:$AL$7,0))</f>
        <v>9.9499999999999993</v>
      </c>
      <c r="BR84" s="39"/>
      <c r="BS84" s="39"/>
      <c r="BT84" s="39"/>
      <c r="BU84" s="39"/>
      <c r="BV84" s="39"/>
      <c r="BW84" s="39"/>
      <c r="BX84" s="39"/>
      <c r="BY84" s="39"/>
      <c r="BZ84" s="39"/>
      <c r="CA84" s="39"/>
    </row>
    <row r="85" spans="1:79" x14ac:dyDescent="0.25">
      <c r="A85" s="5"/>
      <c r="B85" s="3"/>
      <c r="C85" s="25" t="s">
        <v>5</v>
      </c>
      <c r="D85" s="25" t="s">
        <v>14</v>
      </c>
      <c r="E85" s="25" t="s">
        <v>313</v>
      </c>
      <c r="F85" s="74" t="s">
        <v>310</v>
      </c>
      <c r="G85" s="54">
        <f t="shared" si="54"/>
        <v>12.98</v>
      </c>
      <c r="H85" s="34">
        <f t="shared" si="72"/>
        <v>12.98</v>
      </c>
      <c r="I85" s="34">
        <f t="shared" si="72"/>
        <v>7.97</v>
      </c>
      <c r="J85" s="34">
        <f t="shared" si="72"/>
        <v>3.36</v>
      </c>
      <c r="K85" s="34">
        <f t="shared" si="72"/>
        <v>6.42</v>
      </c>
      <c r="L85" s="34">
        <f t="shared" si="72"/>
        <v>7.15</v>
      </c>
      <c r="M85" s="34">
        <f t="shared" si="72"/>
        <v>7.33</v>
      </c>
      <c r="N85" s="34">
        <f t="shared" si="72"/>
        <v>7.6</v>
      </c>
      <c r="O85" s="34">
        <f t="shared" si="72"/>
        <v>7.63</v>
      </c>
      <c r="P85" s="54">
        <f t="shared" ref="P85:Q85" si="80">O85</f>
        <v>7.63</v>
      </c>
      <c r="Q85" s="54">
        <f t="shared" si="80"/>
        <v>7.63</v>
      </c>
      <c r="R85" s="38"/>
      <c r="X85" s="41">
        <f>INDEX('[1]End - Use Prices'!$C$6:$AL$89,MATCH($C85,'[1]End - Use Prices'!$A$6:$A$89,0)+MATCH($D85,'[1]End - Use Prices'!$B$9:$B$11,0)-1,MATCH(X$1,'[1]End - Use Prices'!$C$7:$AL$7,0))</f>
        <v>12.98</v>
      </c>
      <c r="Y85" s="41">
        <f>INDEX('[1]End - Use Prices'!$C$6:$AL$89,MATCH($C85,'[1]End - Use Prices'!$A$6:$A$89,0)+MATCH($D85,'[1]End - Use Prices'!$B$9:$B$11,0)-1,MATCH(Y$1,'[1]End - Use Prices'!$C$7:$AL$7,0))</f>
        <v>11.76</v>
      </c>
      <c r="Z85" s="41">
        <f>INDEX('[1]End - Use Prices'!$C$6:$AL$89,MATCH($C85,'[1]End - Use Prices'!$A$6:$A$89,0)+MATCH($D85,'[1]End - Use Prices'!$B$9:$B$11,0)-1,MATCH(Z$1,'[1]End - Use Prices'!$C$7:$AL$7,0))</f>
        <v>10.95</v>
      </c>
      <c r="AA85" s="41">
        <f>INDEX('[1]End - Use Prices'!$C$6:$AL$89,MATCH($C85,'[1]End - Use Prices'!$A$6:$A$89,0)+MATCH($D85,'[1]End - Use Prices'!$B$9:$B$11,0)-1,MATCH(AA$1,'[1]End - Use Prices'!$C$7:$AL$7,0))</f>
        <v>11.03</v>
      </c>
      <c r="AB85" s="41">
        <f>INDEX('[1]End - Use Prices'!$C$6:$AL$89,MATCH($C85,'[1]End - Use Prices'!$A$6:$A$89,0)+MATCH($D85,'[1]End - Use Prices'!$B$9:$B$11,0)-1,MATCH(AB$1,'[1]End - Use Prices'!$C$7:$AL$7,0))</f>
        <v>7.77</v>
      </c>
      <c r="AC85" s="41">
        <f>INDEX('[1]End - Use Prices'!$C$6:$AL$89,MATCH($C85,'[1]End - Use Prices'!$A$6:$A$89,0)+MATCH($D85,'[1]End - Use Prices'!$B$9:$B$11,0)-1,MATCH(AC$1,'[1]End - Use Prices'!$C$7:$AL$7,0))</f>
        <v>7.97</v>
      </c>
      <c r="AD85" s="41">
        <f>INDEX('[1]End - Use Prices'!$C$6:$AL$89,MATCH($C85,'[1]End - Use Prices'!$A$6:$A$89,0)+MATCH($D85,'[1]End - Use Prices'!$B$9:$B$11,0)-1,MATCH(AD$1,'[1]End - Use Prices'!$C$7:$AL$7,0))</f>
        <v>8.15</v>
      </c>
      <c r="AE85" s="41">
        <f>INDEX('[1]End - Use Prices'!$C$6:$AL$89,MATCH($C85,'[1]End - Use Prices'!$A$6:$A$89,0)+MATCH($D85,'[1]End - Use Prices'!$B$9:$B$11,0)-1,MATCH(AE$1,'[1]End - Use Prices'!$C$7:$AL$7,0))</f>
        <v>6.63</v>
      </c>
      <c r="AF85" s="41">
        <f>INDEX('[1]End - Use Prices'!$C$6:$AL$89,MATCH($C85,'[1]End - Use Prices'!$A$6:$A$89,0)+MATCH($D85,'[1]End - Use Prices'!$B$9:$B$11,0)-1,MATCH(AF$1,'[1]End - Use Prices'!$C$7:$AL$7,0))</f>
        <v>6.93</v>
      </c>
      <c r="AG85" s="41">
        <f>INDEX('[1]End - Use Prices'!$C$6:$AL$89,MATCH($C85,'[1]End - Use Prices'!$A$6:$A$89,0)+MATCH($D85,'[1]End - Use Prices'!$B$9:$B$11,0)-1,MATCH(AG$1,'[1]End - Use Prices'!$C$7:$AL$7,0))</f>
        <v>8.5399999999999991</v>
      </c>
      <c r="AH85" s="41">
        <f>INDEX('[1]End - Use Prices'!$C$6:$AL$89,MATCH($C85,'[1]End - Use Prices'!$A$6:$A$89,0)+MATCH($D85,'[1]End - Use Prices'!$B$9:$B$11,0)-1,MATCH(AH$1,'[1]End - Use Prices'!$C$7:$AL$7,0))</f>
        <v>3.36</v>
      </c>
      <c r="AI85" s="41">
        <f>INDEX('[1]End - Use Prices'!$C$6:$AL$89,MATCH($C85,'[1]End - Use Prices'!$A$6:$A$89,0)+MATCH($D85,'[1]End - Use Prices'!$B$9:$B$11,0)-1,MATCH(AI$1,'[1]End - Use Prices'!$C$7:$AL$7,0))</f>
        <v>5.3</v>
      </c>
      <c r="AJ85" s="41">
        <f>INDEX('[1]End - Use Prices'!$C$6:$AL$89,MATCH($C85,'[1]End - Use Prices'!$A$6:$A$89,0)+MATCH($D85,'[1]End - Use Prices'!$B$9:$B$11,0)-1,MATCH(AJ$1,'[1]End - Use Prices'!$C$7:$AL$7,0))</f>
        <v>4.5599999999999996</v>
      </c>
      <c r="AK85" s="41">
        <f>INDEX('[1]End - Use Prices'!$C$6:$AL$89,MATCH($C85,'[1]End - Use Prices'!$A$6:$A$89,0)+MATCH($D85,'[1]End - Use Prices'!$B$9:$B$11,0)-1,MATCH(AK$1,'[1]End - Use Prices'!$C$7:$AL$7,0))</f>
        <v>5.99</v>
      </c>
      <c r="AL85" s="41">
        <f>INDEX('[1]End - Use Prices'!$C$6:$AL$89,MATCH($C85,'[1]End - Use Prices'!$A$6:$A$89,0)+MATCH($D85,'[1]End - Use Prices'!$B$9:$B$11,0)-1,MATCH(AL$1,'[1]End - Use Prices'!$C$7:$AL$7,0))</f>
        <v>6.47</v>
      </c>
      <c r="AM85" s="41">
        <f>INDEX('[1]End - Use Prices'!$C$6:$AL$89,MATCH($C85,'[1]End - Use Prices'!$A$6:$A$89,0)+MATCH($D85,'[1]End - Use Prices'!$B$9:$B$11,0)-1,MATCH(AM$1,'[1]End - Use Prices'!$C$7:$AL$7,0))</f>
        <v>6.42</v>
      </c>
      <c r="AN85" s="41">
        <f>INDEX('[1]End - Use Prices'!$C$6:$AL$89,MATCH($C85,'[1]End - Use Prices'!$A$6:$A$89,0)+MATCH($D85,'[1]End - Use Prices'!$B$9:$B$11,0)-1,MATCH(AN$1,'[1]End - Use Prices'!$C$7:$AL$7,0))</f>
        <v>6.38</v>
      </c>
      <c r="AO85" s="41">
        <f>INDEX('[1]End - Use Prices'!$C$6:$AL$89,MATCH($C85,'[1]End - Use Prices'!$A$6:$A$89,0)+MATCH($D85,'[1]End - Use Prices'!$B$9:$B$11,0)-1,MATCH(AO$1,'[1]End - Use Prices'!$C$7:$AL$7,0))</f>
        <v>6.84</v>
      </c>
      <c r="AP85" s="41">
        <f>INDEX('[1]End - Use Prices'!$C$6:$AL$89,MATCH($C85,'[1]End - Use Prices'!$A$6:$A$89,0)+MATCH($D85,'[1]End - Use Prices'!$B$9:$B$11,0)-1,MATCH(AP$1,'[1]End - Use Prices'!$C$7:$AL$7,0))</f>
        <v>7.25</v>
      </c>
      <c r="AQ85" s="41">
        <f>INDEX('[1]End - Use Prices'!$C$6:$AL$89,MATCH($C85,'[1]End - Use Prices'!$A$6:$A$89,0)+MATCH($D85,'[1]End - Use Prices'!$B$9:$B$11,0)-1,MATCH(AQ$1,'[1]End - Use Prices'!$C$7:$AL$7,0))</f>
        <v>7.19</v>
      </c>
      <c r="AR85" s="41">
        <f>INDEX('[1]End - Use Prices'!$C$6:$AL$89,MATCH($C85,'[1]End - Use Prices'!$A$6:$A$89,0)+MATCH($D85,'[1]End - Use Prices'!$B$9:$B$11,0)-1,MATCH(AR$1,'[1]End - Use Prices'!$C$7:$AL$7,0))</f>
        <v>7.15</v>
      </c>
      <c r="AS85" s="41">
        <f>INDEX('[1]End - Use Prices'!$C$6:$AL$89,MATCH($C85,'[1]End - Use Prices'!$A$6:$A$89,0)+MATCH($D85,'[1]End - Use Prices'!$B$9:$B$11,0)-1,MATCH(AS$1,'[1]End - Use Prices'!$C$7:$AL$7,0))</f>
        <v>7.18</v>
      </c>
      <c r="AT85" s="41">
        <f>INDEX('[1]End - Use Prices'!$C$6:$AL$89,MATCH($C85,'[1]End - Use Prices'!$A$6:$A$89,0)+MATCH($D85,'[1]End - Use Prices'!$B$9:$B$11,0)-1,MATCH(AT$1,'[1]End - Use Prices'!$C$7:$AL$7,0))</f>
        <v>7.2</v>
      </c>
      <c r="AU85" s="41">
        <f>INDEX('[1]End - Use Prices'!$C$6:$AL$89,MATCH($C85,'[1]End - Use Prices'!$A$6:$A$89,0)+MATCH($D85,'[1]End - Use Prices'!$B$9:$B$11,0)-1,MATCH(AU$1,'[1]End - Use Prices'!$C$7:$AL$7,0))</f>
        <v>7.23</v>
      </c>
      <c r="AV85" s="41">
        <f>INDEX('[1]End - Use Prices'!$C$6:$AL$89,MATCH($C85,'[1]End - Use Prices'!$A$6:$A$89,0)+MATCH($D85,'[1]End - Use Prices'!$B$9:$B$11,0)-1,MATCH(AV$1,'[1]End - Use Prices'!$C$7:$AL$7,0))</f>
        <v>7.28</v>
      </c>
      <c r="AW85" s="41">
        <f>INDEX('[1]End - Use Prices'!$C$6:$AL$89,MATCH($C85,'[1]End - Use Prices'!$A$6:$A$89,0)+MATCH($D85,'[1]End - Use Prices'!$B$9:$B$11,0)-1,MATCH(AW$1,'[1]End - Use Prices'!$C$7:$AL$7,0))</f>
        <v>7.33</v>
      </c>
      <c r="AX85" s="41">
        <f>INDEX('[1]End - Use Prices'!$C$6:$AL$89,MATCH($C85,'[1]End - Use Prices'!$A$6:$A$89,0)+MATCH($D85,'[1]End - Use Prices'!$B$9:$B$11,0)-1,MATCH(AX$1,'[1]End - Use Prices'!$C$7:$AL$7,0))</f>
        <v>7.38</v>
      </c>
      <c r="AY85" s="41">
        <f>INDEX('[1]End - Use Prices'!$C$6:$AL$89,MATCH($C85,'[1]End - Use Prices'!$A$6:$A$89,0)+MATCH($D85,'[1]End - Use Prices'!$B$9:$B$11,0)-1,MATCH(AY$1,'[1]End - Use Prices'!$C$7:$AL$7,0))</f>
        <v>7.45</v>
      </c>
      <c r="AZ85" s="41">
        <f>INDEX('[1]End - Use Prices'!$C$6:$AL$89,MATCH($C85,'[1]End - Use Prices'!$A$6:$A$89,0)+MATCH($D85,'[1]End - Use Prices'!$B$9:$B$11,0)-1,MATCH(AZ$1,'[1]End - Use Prices'!$C$7:$AL$7,0))</f>
        <v>7.53</v>
      </c>
      <c r="BA85" s="41">
        <f>INDEX('[1]End - Use Prices'!$C$6:$AL$89,MATCH($C85,'[1]End - Use Prices'!$A$6:$A$89,0)+MATCH($D85,'[1]End - Use Prices'!$B$9:$B$11,0)-1,MATCH(BA$1,'[1]End - Use Prices'!$C$7:$AL$7,0))</f>
        <v>7.57</v>
      </c>
      <c r="BB85" s="41">
        <f>INDEX('[1]End - Use Prices'!$C$6:$AL$89,MATCH($C85,'[1]End - Use Prices'!$A$6:$A$89,0)+MATCH($D85,'[1]End - Use Prices'!$B$9:$B$11,0)-1,MATCH(BB$1,'[1]End - Use Prices'!$C$7:$AL$7,0))</f>
        <v>7.6</v>
      </c>
      <c r="BC85" s="41">
        <f>INDEX('[1]End - Use Prices'!$C$6:$AL$89,MATCH($C85,'[1]End - Use Prices'!$A$6:$A$89,0)+MATCH($D85,'[1]End - Use Prices'!$B$9:$B$11,0)-1,MATCH(BC$1,'[1]End - Use Prices'!$C$7:$AL$7,0))</f>
        <v>7.62</v>
      </c>
      <c r="BD85" s="41">
        <f>INDEX('[1]End - Use Prices'!$C$6:$AL$89,MATCH($C85,'[1]End - Use Prices'!$A$6:$A$89,0)+MATCH($D85,'[1]End - Use Prices'!$B$9:$B$11,0)-1,MATCH(BD$1,'[1]End - Use Prices'!$C$7:$AL$7,0))</f>
        <v>7.63</v>
      </c>
      <c r="BE85" s="41">
        <f>INDEX('[1]End - Use Prices'!$C$6:$AL$89,MATCH($C85,'[1]End - Use Prices'!$A$6:$A$89,0)+MATCH($D85,'[1]End - Use Prices'!$B$9:$B$11,0)-1,MATCH(BE$1,'[1]End - Use Prices'!$C$7:$AL$7,0))</f>
        <v>7.63</v>
      </c>
      <c r="BF85" s="41">
        <f>INDEX('[1]End - Use Prices'!$C$6:$AL$89,MATCH($C85,'[1]End - Use Prices'!$A$6:$A$89,0)+MATCH($D85,'[1]End - Use Prices'!$B$9:$B$11,0)-1,MATCH(BF$1,'[1]End - Use Prices'!$C$7:$AL$7,0))</f>
        <v>7.63</v>
      </c>
      <c r="BG85" s="41">
        <f>INDEX('[1]End - Use Prices'!$C$6:$AL$89,MATCH($C85,'[1]End - Use Prices'!$A$6:$A$89,0)+MATCH($D85,'[1]End - Use Prices'!$B$9:$B$11,0)-1,MATCH(BG$1,'[1]End - Use Prices'!$C$7:$AL$7,0))</f>
        <v>7.63</v>
      </c>
      <c r="BR85" s="39"/>
      <c r="BS85" s="39"/>
      <c r="BT85" s="39"/>
      <c r="BU85" s="39"/>
      <c r="BV85" s="39"/>
      <c r="BW85" s="39"/>
      <c r="BX85" s="39"/>
      <c r="BY85" s="39"/>
      <c r="BZ85" s="39"/>
      <c r="CA85" s="39"/>
    </row>
    <row r="86" spans="1:79" x14ac:dyDescent="0.25">
      <c r="A86" s="5"/>
      <c r="B86" s="3"/>
      <c r="C86" s="25" t="s">
        <v>61</v>
      </c>
      <c r="D86" s="25" t="s">
        <v>14</v>
      </c>
      <c r="E86" s="25" t="s">
        <v>313</v>
      </c>
      <c r="F86" s="74" t="s">
        <v>310</v>
      </c>
      <c r="G86" s="54">
        <f t="shared" si="54"/>
        <v>15.71</v>
      </c>
      <c r="H86" s="34">
        <f t="shared" si="72"/>
        <v>15.71</v>
      </c>
      <c r="I86" s="34">
        <f t="shared" si="72"/>
        <v>17.63</v>
      </c>
      <c r="J86" s="34">
        <f t="shared" si="72"/>
        <v>15.79</v>
      </c>
      <c r="K86" s="34">
        <f t="shared" si="72"/>
        <v>13.09</v>
      </c>
      <c r="L86" s="34">
        <f t="shared" si="72"/>
        <v>13.24</v>
      </c>
      <c r="M86" s="34">
        <f t="shared" si="72"/>
        <v>13.33</v>
      </c>
      <c r="N86" s="34">
        <f t="shared" si="72"/>
        <v>13.56</v>
      </c>
      <c r="O86" s="34">
        <f t="shared" si="72"/>
        <v>13.49</v>
      </c>
      <c r="P86" s="54">
        <f t="shared" ref="P86:Q86" si="81">O86</f>
        <v>13.49</v>
      </c>
      <c r="Q86" s="54">
        <f t="shared" si="81"/>
        <v>13.49</v>
      </c>
      <c r="R86" s="38"/>
      <c r="X86" s="41">
        <f>INDEX('[1]End - Use Prices'!$C$6:$AL$89,MATCH($C86,'[1]End - Use Prices'!$A$6:$A$89,0)+MATCH($D86,'[1]End - Use Prices'!$B$9:$B$11,0)-1,MATCH(X$1,'[1]End - Use Prices'!$C$7:$AL$7,0))</f>
        <v>15.71</v>
      </c>
      <c r="Y86" s="41">
        <f>INDEX('[1]End - Use Prices'!$C$6:$AL$89,MATCH($C86,'[1]End - Use Prices'!$A$6:$A$89,0)+MATCH($D86,'[1]End - Use Prices'!$B$9:$B$11,0)-1,MATCH(Y$1,'[1]End - Use Prices'!$C$7:$AL$7,0))</f>
        <v>16.100000000000001</v>
      </c>
      <c r="Z86" s="41">
        <f>INDEX('[1]End - Use Prices'!$C$6:$AL$89,MATCH($C86,'[1]End - Use Prices'!$A$6:$A$89,0)+MATCH($D86,'[1]End - Use Prices'!$B$9:$B$11,0)-1,MATCH(Z$1,'[1]End - Use Prices'!$C$7:$AL$7,0))</f>
        <v>15.95</v>
      </c>
      <c r="AA86" s="41">
        <f>INDEX('[1]End - Use Prices'!$C$6:$AL$89,MATCH($C86,'[1]End - Use Prices'!$A$6:$A$89,0)+MATCH($D86,'[1]End - Use Prices'!$B$9:$B$11,0)-1,MATCH(AA$1,'[1]End - Use Prices'!$C$7:$AL$7,0))</f>
        <v>15.79</v>
      </c>
      <c r="AB86" s="41">
        <f>INDEX('[1]End - Use Prices'!$C$6:$AL$89,MATCH($C86,'[1]End - Use Prices'!$A$6:$A$89,0)+MATCH($D86,'[1]End - Use Prices'!$B$9:$B$11,0)-1,MATCH(AB$1,'[1]End - Use Prices'!$C$7:$AL$7,0))</f>
        <v>16.8</v>
      </c>
      <c r="AC86" s="41">
        <f>INDEX('[1]End - Use Prices'!$C$6:$AL$89,MATCH($C86,'[1]End - Use Prices'!$A$6:$A$89,0)+MATCH($D86,'[1]End - Use Prices'!$B$9:$B$11,0)-1,MATCH(AC$1,'[1]End - Use Prices'!$C$7:$AL$7,0))</f>
        <v>17.63</v>
      </c>
      <c r="AD86" s="41">
        <f>INDEX('[1]End - Use Prices'!$C$6:$AL$89,MATCH($C86,'[1]End - Use Prices'!$A$6:$A$89,0)+MATCH($D86,'[1]End - Use Prices'!$B$9:$B$11,0)-1,MATCH(AD$1,'[1]End - Use Prices'!$C$7:$AL$7,0))</f>
        <v>17.100000000000001</v>
      </c>
      <c r="AE86" s="41">
        <f>INDEX('[1]End - Use Prices'!$C$6:$AL$89,MATCH($C86,'[1]End - Use Prices'!$A$6:$A$89,0)+MATCH($D86,'[1]End - Use Prices'!$B$9:$B$11,0)-1,MATCH(AE$1,'[1]End - Use Prices'!$C$7:$AL$7,0))</f>
        <v>16.28</v>
      </c>
      <c r="AF86" s="41">
        <f>INDEX('[1]End - Use Prices'!$C$6:$AL$89,MATCH($C86,'[1]End - Use Prices'!$A$6:$A$89,0)+MATCH($D86,'[1]End - Use Prices'!$B$9:$B$11,0)-1,MATCH(AF$1,'[1]End - Use Prices'!$C$7:$AL$7,0))</f>
        <v>15.65</v>
      </c>
      <c r="AG86" s="41">
        <f>INDEX('[1]End - Use Prices'!$C$6:$AL$89,MATCH($C86,'[1]End - Use Prices'!$A$6:$A$89,0)+MATCH($D86,'[1]End - Use Prices'!$B$9:$B$11,0)-1,MATCH(AG$1,'[1]End - Use Prices'!$C$7:$AL$7,0))</f>
        <v>16.579999999999998</v>
      </c>
      <c r="AH86" s="41">
        <f>INDEX('[1]End - Use Prices'!$C$6:$AL$89,MATCH($C86,'[1]End - Use Prices'!$A$6:$A$89,0)+MATCH($D86,'[1]End - Use Prices'!$B$9:$B$11,0)-1,MATCH(AH$1,'[1]End - Use Prices'!$C$7:$AL$7,0))</f>
        <v>15.79</v>
      </c>
      <c r="AI86" s="41">
        <f>INDEX('[1]End - Use Prices'!$C$6:$AL$89,MATCH($C86,'[1]End - Use Prices'!$A$6:$A$89,0)+MATCH($D86,'[1]End - Use Prices'!$B$9:$B$11,0)-1,MATCH(AI$1,'[1]End - Use Prices'!$C$7:$AL$7,0))</f>
        <v>12.09</v>
      </c>
      <c r="AJ86" s="41">
        <f>INDEX('[1]End - Use Prices'!$C$6:$AL$89,MATCH($C86,'[1]End - Use Prices'!$A$6:$A$89,0)+MATCH($D86,'[1]End - Use Prices'!$B$9:$B$11,0)-1,MATCH(AJ$1,'[1]End - Use Prices'!$C$7:$AL$7,0))</f>
        <v>12.97</v>
      </c>
      <c r="AK86" s="41">
        <f>INDEX('[1]End - Use Prices'!$C$6:$AL$89,MATCH($C86,'[1]End - Use Prices'!$A$6:$A$89,0)+MATCH($D86,'[1]End - Use Prices'!$B$9:$B$11,0)-1,MATCH(AK$1,'[1]End - Use Prices'!$C$7:$AL$7,0))</f>
        <v>12.73</v>
      </c>
      <c r="AL86" s="41">
        <f>INDEX('[1]End - Use Prices'!$C$6:$AL$89,MATCH($C86,'[1]End - Use Prices'!$A$6:$A$89,0)+MATCH($D86,'[1]End - Use Prices'!$B$9:$B$11,0)-1,MATCH(AL$1,'[1]End - Use Prices'!$C$7:$AL$7,0))</f>
        <v>12.86</v>
      </c>
      <c r="AM86" s="41">
        <f>INDEX('[1]End - Use Prices'!$C$6:$AL$89,MATCH($C86,'[1]End - Use Prices'!$A$6:$A$89,0)+MATCH($D86,'[1]End - Use Prices'!$B$9:$B$11,0)-1,MATCH(AM$1,'[1]End - Use Prices'!$C$7:$AL$7,0))</f>
        <v>13.09</v>
      </c>
      <c r="AN86" s="41">
        <f>INDEX('[1]End - Use Prices'!$C$6:$AL$89,MATCH($C86,'[1]End - Use Prices'!$A$6:$A$89,0)+MATCH($D86,'[1]End - Use Prices'!$B$9:$B$11,0)-1,MATCH(AN$1,'[1]End - Use Prices'!$C$7:$AL$7,0))</f>
        <v>13.29</v>
      </c>
      <c r="AO86" s="41">
        <f>INDEX('[1]End - Use Prices'!$C$6:$AL$89,MATCH($C86,'[1]End - Use Prices'!$A$6:$A$89,0)+MATCH($D86,'[1]End - Use Prices'!$B$9:$B$11,0)-1,MATCH(AO$1,'[1]End - Use Prices'!$C$7:$AL$7,0))</f>
        <v>13.49</v>
      </c>
      <c r="AP86" s="41">
        <f>INDEX('[1]End - Use Prices'!$C$6:$AL$89,MATCH($C86,'[1]End - Use Prices'!$A$6:$A$89,0)+MATCH($D86,'[1]End - Use Prices'!$B$9:$B$11,0)-1,MATCH(AP$1,'[1]End - Use Prices'!$C$7:$AL$7,0))</f>
        <v>13.43</v>
      </c>
      <c r="AQ86" s="41">
        <f>INDEX('[1]End - Use Prices'!$C$6:$AL$89,MATCH($C86,'[1]End - Use Prices'!$A$6:$A$89,0)+MATCH($D86,'[1]End - Use Prices'!$B$9:$B$11,0)-1,MATCH(AQ$1,'[1]End - Use Prices'!$C$7:$AL$7,0))</f>
        <v>13.32</v>
      </c>
      <c r="AR86" s="41">
        <f>INDEX('[1]End - Use Prices'!$C$6:$AL$89,MATCH($C86,'[1]End - Use Prices'!$A$6:$A$89,0)+MATCH($D86,'[1]End - Use Prices'!$B$9:$B$11,0)-1,MATCH(AR$1,'[1]End - Use Prices'!$C$7:$AL$7,0))</f>
        <v>13.24</v>
      </c>
      <c r="AS86" s="41">
        <f>INDEX('[1]End - Use Prices'!$C$6:$AL$89,MATCH($C86,'[1]End - Use Prices'!$A$6:$A$89,0)+MATCH($D86,'[1]End - Use Prices'!$B$9:$B$11,0)-1,MATCH(AS$1,'[1]End - Use Prices'!$C$7:$AL$7,0))</f>
        <v>13.25</v>
      </c>
      <c r="AT86" s="41">
        <f>INDEX('[1]End - Use Prices'!$C$6:$AL$89,MATCH($C86,'[1]End - Use Prices'!$A$6:$A$89,0)+MATCH($D86,'[1]End - Use Prices'!$B$9:$B$11,0)-1,MATCH(AT$1,'[1]End - Use Prices'!$C$7:$AL$7,0))</f>
        <v>13.24</v>
      </c>
      <c r="AU86" s="41">
        <f>INDEX('[1]End - Use Prices'!$C$6:$AL$89,MATCH($C86,'[1]End - Use Prices'!$A$6:$A$89,0)+MATCH($D86,'[1]End - Use Prices'!$B$9:$B$11,0)-1,MATCH(AU$1,'[1]End - Use Prices'!$C$7:$AL$7,0))</f>
        <v>13.26</v>
      </c>
      <c r="AV86" s="41">
        <f>INDEX('[1]End - Use Prices'!$C$6:$AL$89,MATCH($C86,'[1]End - Use Prices'!$A$6:$A$89,0)+MATCH($D86,'[1]End - Use Prices'!$B$9:$B$11,0)-1,MATCH(AV$1,'[1]End - Use Prices'!$C$7:$AL$7,0))</f>
        <v>13.3</v>
      </c>
      <c r="AW86" s="41">
        <f>INDEX('[1]End - Use Prices'!$C$6:$AL$89,MATCH($C86,'[1]End - Use Prices'!$A$6:$A$89,0)+MATCH($D86,'[1]End - Use Prices'!$B$9:$B$11,0)-1,MATCH(AW$1,'[1]End - Use Prices'!$C$7:$AL$7,0))</f>
        <v>13.33</v>
      </c>
      <c r="AX86" s="41">
        <f>INDEX('[1]End - Use Prices'!$C$6:$AL$89,MATCH($C86,'[1]End - Use Prices'!$A$6:$A$89,0)+MATCH($D86,'[1]End - Use Prices'!$B$9:$B$11,0)-1,MATCH(AX$1,'[1]End - Use Prices'!$C$7:$AL$7,0))</f>
        <v>13.38</v>
      </c>
      <c r="AY86" s="41">
        <f>INDEX('[1]End - Use Prices'!$C$6:$AL$89,MATCH($C86,'[1]End - Use Prices'!$A$6:$A$89,0)+MATCH($D86,'[1]End - Use Prices'!$B$9:$B$11,0)-1,MATCH(AY$1,'[1]End - Use Prices'!$C$7:$AL$7,0))</f>
        <v>13.44</v>
      </c>
      <c r="AZ86" s="41">
        <f>INDEX('[1]End - Use Prices'!$C$6:$AL$89,MATCH($C86,'[1]End - Use Prices'!$A$6:$A$89,0)+MATCH($D86,'[1]End - Use Prices'!$B$9:$B$11,0)-1,MATCH(AZ$1,'[1]End - Use Prices'!$C$7:$AL$7,0))</f>
        <v>13.51</v>
      </c>
      <c r="BA86" s="41">
        <f>INDEX('[1]End - Use Prices'!$C$6:$AL$89,MATCH($C86,'[1]End - Use Prices'!$A$6:$A$89,0)+MATCH($D86,'[1]End - Use Prices'!$B$9:$B$11,0)-1,MATCH(BA$1,'[1]End - Use Prices'!$C$7:$AL$7,0))</f>
        <v>13.54</v>
      </c>
      <c r="BB86" s="41">
        <f>INDEX('[1]End - Use Prices'!$C$6:$AL$89,MATCH($C86,'[1]End - Use Prices'!$A$6:$A$89,0)+MATCH($D86,'[1]End - Use Prices'!$B$9:$B$11,0)-1,MATCH(BB$1,'[1]End - Use Prices'!$C$7:$AL$7,0))</f>
        <v>13.56</v>
      </c>
      <c r="BC86" s="41">
        <f>INDEX('[1]End - Use Prices'!$C$6:$AL$89,MATCH($C86,'[1]End - Use Prices'!$A$6:$A$89,0)+MATCH($D86,'[1]End - Use Prices'!$B$9:$B$11,0)-1,MATCH(BC$1,'[1]End - Use Prices'!$C$7:$AL$7,0))</f>
        <v>13.57</v>
      </c>
      <c r="BD86" s="41">
        <f>INDEX('[1]End - Use Prices'!$C$6:$AL$89,MATCH($C86,'[1]End - Use Prices'!$A$6:$A$89,0)+MATCH($D86,'[1]End - Use Prices'!$B$9:$B$11,0)-1,MATCH(BD$1,'[1]End - Use Prices'!$C$7:$AL$7,0))</f>
        <v>13.56</v>
      </c>
      <c r="BE86" s="41">
        <f>INDEX('[1]End - Use Prices'!$C$6:$AL$89,MATCH($C86,'[1]End - Use Prices'!$A$6:$A$89,0)+MATCH($D86,'[1]End - Use Prices'!$B$9:$B$11,0)-1,MATCH(BE$1,'[1]End - Use Prices'!$C$7:$AL$7,0))</f>
        <v>13.54</v>
      </c>
      <c r="BF86" s="41">
        <f>INDEX('[1]End - Use Prices'!$C$6:$AL$89,MATCH($C86,'[1]End - Use Prices'!$A$6:$A$89,0)+MATCH($D86,'[1]End - Use Prices'!$B$9:$B$11,0)-1,MATCH(BF$1,'[1]End - Use Prices'!$C$7:$AL$7,0))</f>
        <v>13.52</v>
      </c>
      <c r="BG86" s="41">
        <f>INDEX('[1]End - Use Prices'!$C$6:$AL$89,MATCH($C86,'[1]End - Use Prices'!$A$6:$A$89,0)+MATCH($D86,'[1]End - Use Prices'!$B$9:$B$11,0)-1,MATCH(BG$1,'[1]End - Use Prices'!$C$7:$AL$7,0))</f>
        <v>13.49</v>
      </c>
      <c r="BR86" s="39"/>
      <c r="BS86" s="39"/>
      <c r="BT86" s="39"/>
      <c r="BU86" s="39"/>
      <c r="BV86" s="39"/>
      <c r="BW86" s="39"/>
      <c r="BX86" s="39"/>
      <c r="BY86" s="39"/>
      <c r="BZ86" s="39"/>
      <c r="CA86" s="39"/>
    </row>
    <row r="87" spans="1:79" x14ac:dyDescent="0.25">
      <c r="A87" s="5"/>
      <c r="B87" s="3"/>
      <c r="C87" s="25" t="s">
        <v>95</v>
      </c>
      <c r="D87" s="25" t="s">
        <v>14</v>
      </c>
      <c r="E87" s="25" t="s">
        <v>313</v>
      </c>
      <c r="F87" s="74" t="s">
        <v>310</v>
      </c>
      <c r="G87" s="54">
        <f t="shared" si="54"/>
        <v>15.71</v>
      </c>
      <c r="H87" s="34">
        <f t="shared" si="72"/>
        <v>15.71</v>
      </c>
      <c r="I87" s="34">
        <f t="shared" si="72"/>
        <v>14.92</v>
      </c>
      <c r="J87" s="34">
        <f t="shared" si="72"/>
        <v>12.25</v>
      </c>
      <c r="K87" s="34">
        <f t="shared" si="72"/>
        <v>9.07</v>
      </c>
      <c r="L87" s="34">
        <f t="shared" si="72"/>
        <v>9.5</v>
      </c>
      <c r="M87" s="34">
        <f t="shared" si="72"/>
        <v>9.94</v>
      </c>
      <c r="N87" s="34">
        <f t="shared" si="72"/>
        <v>10.41</v>
      </c>
      <c r="O87" s="34">
        <f t="shared" si="72"/>
        <v>10.59</v>
      </c>
      <c r="P87" s="54">
        <f t="shared" ref="P87:Q87" si="82">O87</f>
        <v>10.59</v>
      </c>
      <c r="Q87" s="54">
        <f t="shared" si="82"/>
        <v>10.59</v>
      </c>
      <c r="R87" s="38"/>
      <c r="X87" s="41">
        <f>INDEX('[1]End - Use Prices'!$C$6:$AL$89,MATCH($C87,'[1]End - Use Prices'!$A$6:$A$89,0)+MATCH($D87,'[1]End - Use Prices'!$B$9:$B$11,0)-1,MATCH(X$1,'[1]End - Use Prices'!$C$7:$AL$7,0))</f>
        <v>15.71</v>
      </c>
      <c r="Y87" s="41">
        <f>INDEX('[1]End - Use Prices'!$C$6:$AL$89,MATCH($C87,'[1]End - Use Prices'!$A$6:$A$89,0)+MATCH($D87,'[1]End - Use Prices'!$B$9:$B$11,0)-1,MATCH(Y$1,'[1]End - Use Prices'!$C$7:$AL$7,0))</f>
        <v>16.100000000000001</v>
      </c>
      <c r="Z87" s="41">
        <f>INDEX('[1]End - Use Prices'!$C$6:$AL$89,MATCH($C87,'[1]End - Use Prices'!$A$6:$A$89,0)+MATCH($D87,'[1]End - Use Prices'!$B$9:$B$11,0)-1,MATCH(Z$1,'[1]End - Use Prices'!$C$7:$AL$7,0))</f>
        <v>15.74</v>
      </c>
      <c r="AA87" s="41">
        <f>INDEX('[1]End - Use Prices'!$C$6:$AL$89,MATCH($C87,'[1]End - Use Prices'!$A$6:$A$89,0)+MATCH($D87,'[1]End - Use Prices'!$B$9:$B$11,0)-1,MATCH(AA$1,'[1]End - Use Prices'!$C$7:$AL$7,0))</f>
        <v>15.46</v>
      </c>
      <c r="AB87" s="41">
        <f>INDEX('[1]End - Use Prices'!$C$6:$AL$89,MATCH($C87,'[1]End - Use Prices'!$A$6:$A$89,0)+MATCH($D87,'[1]End - Use Prices'!$B$9:$B$11,0)-1,MATCH(AB$1,'[1]End - Use Prices'!$C$7:$AL$7,0))</f>
        <v>15.41</v>
      </c>
      <c r="AC87" s="41">
        <f>INDEX('[1]End - Use Prices'!$C$6:$AL$89,MATCH($C87,'[1]End - Use Prices'!$A$6:$A$89,0)+MATCH($D87,'[1]End - Use Prices'!$B$9:$B$11,0)-1,MATCH(AC$1,'[1]End - Use Prices'!$C$7:$AL$7,0))</f>
        <v>14.92</v>
      </c>
      <c r="AD87" s="41">
        <f>INDEX('[1]End - Use Prices'!$C$6:$AL$89,MATCH($C87,'[1]End - Use Prices'!$A$6:$A$89,0)+MATCH($D87,'[1]End - Use Prices'!$B$9:$B$11,0)-1,MATCH(AD$1,'[1]End - Use Prices'!$C$7:$AL$7,0))</f>
        <v>13.77</v>
      </c>
      <c r="AE87" s="41">
        <f>INDEX('[1]End - Use Prices'!$C$6:$AL$89,MATCH($C87,'[1]End - Use Prices'!$A$6:$A$89,0)+MATCH($D87,'[1]End - Use Prices'!$B$9:$B$11,0)-1,MATCH(AE$1,'[1]End - Use Prices'!$C$7:$AL$7,0))</f>
        <v>12.54</v>
      </c>
      <c r="AF87" s="41">
        <f>INDEX('[1]End - Use Prices'!$C$6:$AL$89,MATCH($C87,'[1]End - Use Prices'!$A$6:$A$89,0)+MATCH($D87,'[1]End - Use Prices'!$B$9:$B$11,0)-1,MATCH(AF$1,'[1]End - Use Prices'!$C$7:$AL$7,0))</f>
        <v>12.18</v>
      </c>
      <c r="AG87" s="41">
        <f>INDEX('[1]End - Use Prices'!$C$6:$AL$89,MATCH($C87,'[1]End - Use Prices'!$A$6:$A$89,0)+MATCH($D87,'[1]End - Use Prices'!$B$9:$B$11,0)-1,MATCH(AG$1,'[1]End - Use Prices'!$C$7:$AL$7,0))</f>
        <v>13.28</v>
      </c>
      <c r="AH87" s="41">
        <f>INDEX('[1]End - Use Prices'!$C$6:$AL$89,MATCH($C87,'[1]End - Use Prices'!$A$6:$A$89,0)+MATCH($D87,'[1]End - Use Prices'!$B$9:$B$11,0)-1,MATCH(AH$1,'[1]End - Use Prices'!$C$7:$AL$7,0))</f>
        <v>12.25</v>
      </c>
      <c r="AI87" s="41">
        <f>INDEX('[1]End - Use Prices'!$C$6:$AL$89,MATCH($C87,'[1]End - Use Prices'!$A$6:$A$89,0)+MATCH($D87,'[1]End - Use Prices'!$B$9:$B$11,0)-1,MATCH(AI$1,'[1]End - Use Prices'!$C$7:$AL$7,0))</f>
        <v>8.43</v>
      </c>
      <c r="AJ87" s="41">
        <f>INDEX('[1]End - Use Prices'!$C$6:$AL$89,MATCH($C87,'[1]End - Use Prices'!$A$6:$A$89,0)+MATCH($D87,'[1]End - Use Prices'!$B$9:$B$11,0)-1,MATCH(AJ$1,'[1]End - Use Prices'!$C$7:$AL$7,0))</f>
        <v>8.91</v>
      </c>
      <c r="AK87" s="41">
        <f>INDEX('[1]End - Use Prices'!$C$6:$AL$89,MATCH($C87,'[1]End - Use Prices'!$A$6:$A$89,0)+MATCH($D87,'[1]End - Use Prices'!$B$9:$B$11,0)-1,MATCH(AK$1,'[1]End - Use Prices'!$C$7:$AL$7,0))</f>
        <v>8.81</v>
      </c>
      <c r="AL87" s="41">
        <f>INDEX('[1]End - Use Prices'!$C$6:$AL$89,MATCH($C87,'[1]End - Use Prices'!$A$6:$A$89,0)+MATCH($D87,'[1]End - Use Prices'!$B$9:$B$11,0)-1,MATCH(AL$1,'[1]End - Use Prices'!$C$7:$AL$7,0))</f>
        <v>8.7899999999999991</v>
      </c>
      <c r="AM87" s="41">
        <f>INDEX('[1]End - Use Prices'!$C$6:$AL$89,MATCH($C87,'[1]End - Use Prices'!$A$6:$A$89,0)+MATCH($D87,'[1]End - Use Prices'!$B$9:$B$11,0)-1,MATCH(AM$1,'[1]End - Use Prices'!$C$7:$AL$7,0))</f>
        <v>9.07</v>
      </c>
      <c r="AN87" s="41">
        <f>INDEX('[1]End - Use Prices'!$C$6:$AL$89,MATCH($C87,'[1]End - Use Prices'!$A$6:$A$89,0)+MATCH($D87,'[1]End - Use Prices'!$B$9:$B$11,0)-1,MATCH(AN$1,'[1]End - Use Prices'!$C$7:$AL$7,0))</f>
        <v>9.2200000000000006</v>
      </c>
      <c r="AO87" s="41">
        <f>INDEX('[1]End - Use Prices'!$C$6:$AL$89,MATCH($C87,'[1]End - Use Prices'!$A$6:$A$89,0)+MATCH($D87,'[1]End - Use Prices'!$B$9:$B$11,0)-1,MATCH(AO$1,'[1]End - Use Prices'!$C$7:$AL$7,0))</f>
        <v>9.36</v>
      </c>
      <c r="AP87" s="41">
        <f>INDEX('[1]End - Use Prices'!$C$6:$AL$89,MATCH($C87,'[1]End - Use Prices'!$A$6:$A$89,0)+MATCH($D87,'[1]End - Use Prices'!$B$9:$B$11,0)-1,MATCH(AP$1,'[1]End - Use Prices'!$C$7:$AL$7,0))</f>
        <v>9.48</v>
      </c>
      <c r="AQ87" s="41">
        <f>INDEX('[1]End - Use Prices'!$C$6:$AL$89,MATCH($C87,'[1]End - Use Prices'!$A$6:$A$89,0)+MATCH($D87,'[1]End - Use Prices'!$B$9:$B$11,0)-1,MATCH(AQ$1,'[1]End - Use Prices'!$C$7:$AL$7,0))</f>
        <v>9.48</v>
      </c>
      <c r="AR87" s="41">
        <f>INDEX('[1]End - Use Prices'!$C$6:$AL$89,MATCH($C87,'[1]End - Use Prices'!$A$6:$A$89,0)+MATCH($D87,'[1]End - Use Prices'!$B$9:$B$11,0)-1,MATCH(AR$1,'[1]End - Use Prices'!$C$7:$AL$7,0))</f>
        <v>9.5</v>
      </c>
      <c r="AS87" s="41">
        <f>INDEX('[1]End - Use Prices'!$C$6:$AL$89,MATCH($C87,'[1]End - Use Prices'!$A$6:$A$89,0)+MATCH($D87,'[1]End - Use Prices'!$B$9:$B$11,0)-1,MATCH(AS$1,'[1]End - Use Prices'!$C$7:$AL$7,0))</f>
        <v>9.58</v>
      </c>
      <c r="AT87" s="41">
        <f>INDEX('[1]End - Use Prices'!$C$6:$AL$89,MATCH($C87,'[1]End - Use Prices'!$A$6:$A$89,0)+MATCH($D87,'[1]End - Use Prices'!$B$9:$B$11,0)-1,MATCH(AT$1,'[1]End - Use Prices'!$C$7:$AL$7,0))</f>
        <v>9.66</v>
      </c>
      <c r="AU87" s="41">
        <f>INDEX('[1]End - Use Prices'!$C$6:$AL$89,MATCH($C87,'[1]End - Use Prices'!$A$6:$A$89,0)+MATCH($D87,'[1]End - Use Prices'!$B$9:$B$11,0)-1,MATCH(AU$1,'[1]End - Use Prices'!$C$7:$AL$7,0))</f>
        <v>9.75</v>
      </c>
      <c r="AV87" s="41">
        <f>INDEX('[1]End - Use Prices'!$C$6:$AL$89,MATCH($C87,'[1]End - Use Prices'!$A$6:$A$89,0)+MATCH($D87,'[1]End - Use Prices'!$B$9:$B$11,0)-1,MATCH(AV$1,'[1]End - Use Prices'!$C$7:$AL$7,0))</f>
        <v>9.85</v>
      </c>
      <c r="AW87" s="41">
        <f>INDEX('[1]End - Use Prices'!$C$6:$AL$89,MATCH($C87,'[1]End - Use Prices'!$A$6:$A$89,0)+MATCH($D87,'[1]End - Use Prices'!$B$9:$B$11,0)-1,MATCH(AW$1,'[1]End - Use Prices'!$C$7:$AL$7,0))</f>
        <v>9.94</v>
      </c>
      <c r="AX87" s="41">
        <f>INDEX('[1]End - Use Prices'!$C$6:$AL$89,MATCH($C87,'[1]End - Use Prices'!$A$6:$A$89,0)+MATCH($D87,'[1]End - Use Prices'!$B$9:$B$11,0)-1,MATCH(AX$1,'[1]End - Use Prices'!$C$7:$AL$7,0))</f>
        <v>10.039999999999999</v>
      </c>
      <c r="AY87" s="41">
        <f>INDEX('[1]End - Use Prices'!$C$6:$AL$89,MATCH($C87,'[1]End - Use Prices'!$A$6:$A$89,0)+MATCH($D87,'[1]End - Use Prices'!$B$9:$B$11,0)-1,MATCH(AY$1,'[1]End - Use Prices'!$C$7:$AL$7,0))</f>
        <v>10.16</v>
      </c>
      <c r="AZ87" s="41">
        <f>INDEX('[1]End - Use Prices'!$C$6:$AL$89,MATCH($C87,'[1]End - Use Prices'!$A$6:$A$89,0)+MATCH($D87,'[1]End - Use Prices'!$B$9:$B$11,0)-1,MATCH(AZ$1,'[1]End - Use Prices'!$C$7:$AL$7,0))</f>
        <v>10.28</v>
      </c>
      <c r="BA87" s="41">
        <f>INDEX('[1]End - Use Prices'!$C$6:$AL$89,MATCH($C87,'[1]End - Use Prices'!$A$6:$A$89,0)+MATCH($D87,'[1]End - Use Prices'!$B$9:$B$11,0)-1,MATCH(BA$1,'[1]End - Use Prices'!$C$7:$AL$7,0))</f>
        <v>10.34</v>
      </c>
      <c r="BB87" s="41">
        <f>INDEX('[1]End - Use Prices'!$C$6:$AL$89,MATCH($C87,'[1]End - Use Prices'!$A$6:$A$89,0)+MATCH($D87,'[1]End - Use Prices'!$B$9:$B$11,0)-1,MATCH(BB$1,'[1]End - Use Prices'!$C$7:$AL$7,0))</f>
        <v>10.41</v>
      </c>
      <c r="BC87" s="41">
        <f>INDEX('[1]End - Use Prices'!$C$6:$AL$89,MATCH($C87,'[1]End - Use Prices'!$A$6:$A$89,0)+MATCH($D87,'[1]End - Use Prices'!$B$9:$B$11,0)-1,MATCH(BC$1,'[1]End - Use Prices'!$C$7:$AL$7,0))</f>
        <v>10.46</v>
      </c>
      <c r="BD87" s="41">
        <f>INDEX('[1]End - Use Prices'!$C$6:$AL$89,MATCH($C87,'[1]End - Use Prices'!$A$6:$A$89,0)+MATCH($D87,'[1]End - Use Prices'!$B$9:$B$11,0)-1,MATCH(BD$1,'[1]End - Use Prices'!$C$7:$AL$7,0))</f>
        <v>10.5</v>
      </c>
      <c r="BE87" s="41">
        <f>INDEX('[1]End - Use Prices'!$C$6:$AL$89,MATCH($C87,'[1]End - Use Prices'!$A$6:$A$89,0)+MATCH($D87,'[1]End - Use Prices'!$B$9:$B$11,0)-1,MATCH(BE$1,'[1]End - Use Prices'!$C$7:$AL$7,0))</f>
        <v>10.54</v>
      </c>
      <c r="BF87" s="41">
        <f>INDEX('[1]End - Use Prices'!$C$6:$AL$89,MATCH($C87,'[1]End - Use Prices'!$A$6:$A$89,0)+MATCH($D87,'[1]End - Use Prices'!$B$9:$B$11,0)-1,MATCH(BF$1,'[1]End - Use Prices'!$C$7:$AL$7,0))</f>
        <v>10.57</v>
      </c>
      <c r="BG87" s="41">
        <f>INDEX('[1]End - Use Prices'!$C$6:$AL$89,MATCH($C87,'[1]End - Use Prices'!$A$6:$A$89,0)+MATCH($D87,'[1]End - Use Prices'!$B$9:$B$11,0)-1,MATCH(BG$1,'[1]End - Use Prices'!$C$7:$AL$7,0))</f>
        <v>10.59</v>
      </c>
      <c r="BR87" s="39"/>
      <c r="BS87" s="39"/>
      <c r="BT87" s="39"/>
      <c r="BU87" s="39"/>
      <c r="BV87" s="39"/>
      <c r="BW87" s="39"/>
      <c r="BX87" s="39"/>
      <c r="BY87" s="39"/>
      <c r="BZ87" s="39"/>
      <c r="CA87" s="39"/>
    </row>
    <row r="88" spans="1:79" x14ac:dyDescent="0.25">
      <c r="A88" s="5"/>
      <c r="B88" s="3"/>
      <c r="C88" s="25" t="s">
        <v>97</v>
      </c>
      <c r="D88" s="25" t="s">
        <v>14</v>
      </c>
      <c r="E88" s="25" t="s">
        <v>313</v>
      </c>
      <c r="F88" s="74" t="s">
        <v>310</v>
      </c>
      <c r="G88" s="54">
        <f t="shared" si="54"/>
        <v>32.04</v>
      </c>
      <c r="H88" s="34">
        <f t="shared" si="72"/>
        <v>32.04</v>
      </c>
      <c r="I88" s="34">
        <f t="shared" si="72"/>
        <v>30.65</v>
      </c>
      <c r="J88" s="34">
        <f t="shared" si="72"/>
        <v>39.43</v>
      </c>
      <c r="K88" s="34">
        <f t="shared" si="72"/>
        <v>41.09</v>
      </c>
      <c r="L88" s="34">
        <f t="shared" si="72"/>
        <v>42.93</v>
      </c>
      <c r="M88" s="34">
        <f t="shared" si="72"/>
        <v>43.05</v>
      </c>
      <c r="N88" s="34">
        <f t="shared" si="72"/>
        <v>43.31</v>
      </c>
      <c r="O88" s="34">
        <f t="shared" si="72"/>
        <v>43.29</v>
      </c>
      <c r="P88" s="54">
        <f t="shared" ref="P88:Q88" si="83">O88</f>
        <v>43.29</v>
      </c>
      <c r="Q88" s="54">
        <f t="shared" si="83"/>
        <v>43.29</v>
      </c>
      <c r="R88" s="38"/>
      <c r="X88" s="41">
        <f>INDEX('[1]End - Use Prices'!$C$6:$AL$89,MATCH($C88,'[1]End - Use Prices'!$A$6:$A$89,0)+MATCH($D88,'[1]End - Use Prices'!$B$9:$B$11,0)-1,MATCH(X$1,'[1]End - Use Prices'!$C$7:$AL$7,0))</f>
        <v>32.04</v>
      </c>
      <c r="Y88" s="41">
        <f>INDEX('[1]End - Use Prices'!$C$6:$AL$89,MATCH($C88,'[1]End - Use Prices'!$A$6:$A$89,0)+MATCH($D88,'[1]End - Use Prices'!$B$9:$B$11,0)-1,MATCH(Y$1,'[1]End - Use Prices'!$C$7:$AL$7,0))</f>
        <v>31.25</v>
      </c>
      <c r="Z88" s="41">
        <f>INDEX('[1]End - Use Prices'!$C$6:$AL$89,MATCH($C88,'[1]End - Use Prices'!$A$6:$A$89,0)+MATCH($D88,'[1]End - Use Prices'!$B$9:$B$11,0)-1,MATCH(Z$1,'[1]End - Use Prices'!$C$7:$AL$7,0))</f>
        <v>32.020000000000003</v>
      </c>
      <c r="AA88" s="41">
        <f>INDEX('[1]End - Use Prices'!$C$6:$AL$89,MATCH($C88,'[1]End - Use Prices'!$A$6:$A$89,0)+MATCH($D88,'[1]End - Use Prices'!$B$9:$B$11,0)-1,MATCH(AA$1,'[1]End - Use Prices'!$C$7:$AL$7,0))</f>
        <v>31.29</v>
      </c>
      <c r="AB88" s="41">
        <f>INDEX('[1]End - Use Prices'!$C$6:$AL$89,MATCH($C88,'[1]End - Use Prices'!$A$6:$A$89,0)+MATCH($D88,'[1]End - Use Prices'!$B$9:$B$11,0)-1,MATCH(AB$1,'[1]End - Use Prices'!$C$7:$AL$7,0))</f>
        <v>30.74</v>
      </c>
      <c r="AC88" s="41">
        <f>INDEX('[1]End - Use Prices'!$C$6:$AL$89,MATCH($C88,'[1]End - Use Prices'!$A$6:$A$89,0)+MATCH($D88,'[1]End - Use Prices'!$B$9:$B$11,0)-1,MATCH(AC$1,'[1]End - Use Prices'!$C$7:$AL$7,0))</f>
        <v>30.65</v>
      </c>
      <c r="AD88" s="41">
        <f>INDEX('[1]End - Use Prices'!$C$6:$AL$89,MATCH($C88,'[1]End - Use Prices'!$A$6:$A$89,0)+MATCH($D88,'[1]End - Use Prices'!$B$9:$B$11,0)-1,MATCH(AD$1,'[1]End - Use Prices'!$C$7:$AL$7,0))</f>
        <v>29.66</v>
      </c>
      <c r="AE88" s="41">
        <f>INDEX('[1]End - Use Prices'!$C$6:$AL$89,MATCH($C88,'[1]End - Use Prices'!$A$6:$A$89,0)+MATCH($D88,'[1]End - Use Prices'!$B$9:$B$11,0)-1,MATCH(AE$1,'[1]End - Use Prices'!$C$7:$AL$7,0))</f>
        <v>33.369999999999997</v>
      </c>
      <c r="AF88" s="41">
        <f>INDEX('[1]End - Use Prices'!$C$6:$AL$89,MATCH($C88,'[1]End - Use Prices'!$A$6:$A$89,0)+MATCH($D88,'[1]End - Use Prices'!$B$9:$B$11,0)-1,MATCH(AF$1,'[1]End - Use Prices'!$C$7:$AL$7,0))</f>
        <v>33.28</v>
      </c>
      <c r="AG88" s="41">
        <f>INDEX('[1]End - Use Prices'!$C$6:$AL$89,MATCH($C88,'[1]End - Use Prices'!$A$6:$A$89,0)+MATCH($D88,'[1]End - Use Prices'!$B$9:$B$11,0)-1,MATCH(AG$1,'[1]End - Use Prices'!$C$7:$AL$7,0))</f>
        <v>39.119999999999997</v>
      </c>
      <c r="AH88" s="41">
        <f>INDEX('[1]End - Use Prices'!$C$6:$AL$89,MATCH($C88,'[1]End - Use Prices'!$A$6:$A$89,0)+MATCH($D88,'[1]End - Use Prices'!$B$9:$B$11,0)-1,MATCH(AH$1,'[1]End - Use Prices'!$C$7:$AL$7,0))</f>
        <v>39.43</v>
      </c>
      <c r="AI88" s="41">
        <f>INDEX('[1]End - Use Prices'!$C$6:$AL$89,MATCH($C88,'[1]End - Use Prices'!$A$6:$A$89,0)+MATCH($D88,'[1]End - Use Prices'!$B$9:$B$11,0)-1,MATCH(AI$1,'[1]End - Use Prices'!$C$7:$AL$7,0))</f>
        <v>39.19</v>
      </c>
      <c r="AJ88" s="41">
        <f>INDEX('[1]End - Use Prices'!$C$6:$AL$89,MATCH($C88,'[1]End - Use Prices'!$A$6:$A$89,0)+MATCH($D88,'[1]End - Use Prices'!$B$9:$B$11,0)-1,MATCH(AJ$1,'[1]End - Use Prices'!$C$7:$AL$7,0))</f>
        <v>39.659999999999997</v>
      </c>
      <c r="AK88" s="41">
        <f>INDEX('[1]End - Use Prices'!$C$6:$AL$89,MATCH($C88,'[1]End - Use Prices'!$A$6:$A$89,0)+MATCH($D88,'[1]End - Use Prices'!$B$9:$B$11,0)-1,MATCH(AK$1,'[1]End - Use Prices'!$C$7:$AL$7,0))</f>
        <v>39.57</v>
      </c>
      <c r="AL88" s="41">
        <f>INDEX('[1]End - Use Prices'!$C$6:$AL$89,MATCH($C88,'[1]End - Use Prices'!$A$6:$A$89,0)+MATCH($D88,'[1]End - Use Prices'!$B$9:$B$11,0)-1,MATCH(AL$1,'[1]End - Use Prices'!$C$7:$AL$7,0))</f>
        <v>39.549999999999997</v>
      </c>
      <c r="AM88" s="41">
        <f>INDEX('[1]End - Use Prices'!$C$6:$AL$89,MATCH($C88,'[1]End - Use Prices'!$A$6:$A$89,0)+MATCH($D88,'[1]End - Use Prices'!$B$9:$B$11,0)-1,MATCH(AM$1,'[1]End - Use Prices'!$C$7:$AL$7,0))</f>
        <v>41.09</v>
      </c>
      <c r="AN88" s="41">
        <f>INDEX('[1]End - Use Prices'!$C$6:$AL$89,MATCH($C88,'[1]End - Use Prices'!$A$6:$A$89,0)+MATCH($D88,'[1]End - Use Prices'!$B$9:$B$11,0)-1,MATCH(AN$1,'[1]End - Use Prices'!$C$7:$AL$7,0))</f>
        <v>41.81</v>
      </c>
      <c r="AO88" s="41">
        <f>INDEX('[1]End - Use Prices'!$C$6:$AL$89,MATCH($C88,'[1]End - Use Prices'!$A$6:$A$89,0)+MATCH($D88,'[1]End - Use Prices'!$B$9:$B$11,0)-1,MATCH(AO$1,'[1]End - Use Prices'!$C$7:$AL$7,0))</f>
        <v>42.49</v>
      </c>
      <c r="AP88" s="41">
        <f>INDEX('[1]End - Use Prices'!$C$6:$AL$89,MATCH($C88,'[1]End - Use Prices'!$A$6:$A$89,0)+MATCH($D88,'[1]End - Use Prices'!$B$9:$B$11,0)-1,MATCH(AP$1,'[1]End - Use Prices'!$C$7:$AL$7,0))</f>
        <v>43.1</v>
      </c>
      <c r="AQ88" s="41">
        <f>INDEX('[1]End - Use Prices'!$C$6:$AL$89,MATCH($C88,'[1]End - Use Prices'!$A$6:$A$89,0)+MATCH($D88,'[1]End - Use Prices'!$B$9:$B$11,0)-1,MATCH(AQ$1,'[1]End - Use Prices'!$C$7:$AL$7,0))</f>
        <v>43</v>
      </c>
      <c r="AR88" s="41">
        <f>INDEX('[1]End - Use Prices'!$C$6:$AL$89,MATCH($C88,'[1]End - Use Prices'!$A$6:$A$89,0)+MATCH($D88,'[1]End - Use Prices'!$B$9:$B$11,0)-1,MATCH(AR$1,'[1]End - Use Prices'!$C$7:$AL$7,0))</f>
        <v>42.93</v>
      </c>
      <c r="AS88" s="41">
        <f>INDEX('[1]End - Use Prices'!$C$6:$AL$89,MATCH($C88,'[1]End - Use Prices'!$A$6:$A$89,0)+MATCH($D88,'[1]End - Use Prices'!$B$9:$B$11,0)-1,MATCH(AS$1,'[1]End - Use Prices'!$C$7:$AL$7,0))</f>
        <v>42.95</v>
      </c>
      <c r="AT88" s="41">
        <f>INDEX('[1]End - Use Prices'!$C$6:$AL$89,MATCH($C88,'[1]End - Use Prices'!$A$6:$A$89,0)+MATCH($D88,'[1]End - Use Prices'!$B$9:$B$11,0)-1,MATCH(AT$1,'[1]End - Use Prices'!$C$7:$AL$7,0))</f>
        <v>42.95</v>
      </c>
      <c r="AU88" s="41">
        <f>INDEX('[1]End - Use Prices'!$C$6:$AL$89,MATCH($C88,'[1]End - Use Prices'!$A$6:$A$89,0)+MATCH($D88,'[1]End - Use Prices'!$B$9:$B$11,0)-1,MATCH(AU$1,'[1]End - Use Prices'!$C$7:$AL$7,0))</f>
        <v>42.97</v>
      </c>
      <c r="AV88" s="41">
        <f>INDEX('[1]End - Use Prices'!$C$6:$AL$89,MATCH($C88,'[1]End - Use Prices'!$A$6:$A$89,0)+MATCH($D88,'[1]End - Use Prices'!$B$9:$B$11,0)-1,MATCH(AV$1,'[1]End - Use Prices'!$C$7:$AL$7,0))</f>
        <v>43.01</v>
      </c>
      <c r="AW88" s="41">
        <f>INDEX('[1]End - Use Prices'!$C$6:$AL$89,MATCH($C88,'[1]End - Use Prices'!$A$6:$A$89,0)+MATCH($D88,'[1]End - Use Prices'!$B$9:$B$11,0)-1,MATCH(AW$1,'[1]End - Use Prices'!$C$7:$AL$7,0))</f>
        <v>43.05</v>
      </c>
      <c r="AX88" s="41">
        <f>INDEX('[1]End - Use Prices'!$C$6:$AL$89,MATCH($C88,'[1]End - Use Prices'!$A$6:$A$89,0)+MATCH($D88,'[1]End - Use Prices'!$B$9:$B$11,0)-1,MATCH(AX$1,'[1]End - Use Prices'!$C$7:$AL$7,0))</f>
        <v>43.1</v>
      </c>
      <c r="AY88" s="41">
        <f>INDEX('[1]End - Use Prices'!$C$6:$AL$89,MATCH($C88,'[1]End - Use Prices'!$A$6:$A$89,0)+MATCH($D88,'[1]End - Use Prices'!$B$9:$B$11,0)-1,MATCH(AY$1,'[1]End - Use Prices'!$C$7:$AL$7,0))</f>
        <v>43.17</v>
      </c>
      <c r="AZ88" s="41">
        <f>INDEX('[1]End - Use Prices'!$C$6:$AL$89,MATCH($C88,'[1]End - Use Prices'!$A$6:$A$89,0)+MATCH($D88,'[1]End - Use Prices'!$B$9:$B$11,0)-1,MATCH(AZ$1,'[1]End - Use Prices'!$C$7:$AL$7,0))</f>
        <v>43.25</v>
      </c>
      <c r="BA88" s="41">
        <f>INDEX('[1]End - Use Prices'!$C$6:$AL$89,MATCH($C88,'[1]End - Use Prices'!$A$6:$A$89,0)+MATCH($D88,'[1]End - Use Prices'!$B$9:$B$11,0)-1,MATCH(BA$1,'[1]End - Use Prices'!$C$7:$AL$7,0))</f>
        <v>43.28</v>
      </c>
      <c r="BB88" s="41">
        <f>INDEX('[1]End - Use Prices'!$C$6:$AL$89,MATCH($C88,'[1]End - Use Prices'!$A$6:$A$89,0)+MATCH($D88,'[1]End - Use Prices'!$B$9:$B$11,0)-1,MATCH(BB$1,'[1]End - Use Prices'!$C$7:$AL$7,0))</f>
        <v>43.31</v>
      </c>
      <c r="BC88" s="41">
        <f>INDEX('[1]End - Use Prices'!$C$6:$AL$89,MATCH($C88,'[1]End - Use Prices'!$A$6:$A$89,0)+MATCH($D88,'[1]End - Use Prices'!$B$9:$B$11,0)-1,MATCH(BC$1,'[1]End - Use Prices'!$C$7:$AL$7,0))</f>
        <v>43.33</v>
      </c>
      <c r="BD88" s="41">
        <f>INDEX('[1]End - Use Prices'!$C$6:$AL$89,MATCH($C88,'[1]End - Use Prices'!$A$6:$A$89,0)+MATCH($D88,'[1]End - Use Prices'!$B$9:$B$11,0)-1,MATCH(BD$1,'[1]End - Use Prices'!$C$7:$AL$7,0))</f>
        <v>43.33</v>
      </c>
      <c r="BE88" s="41">
        <f>INDEX('[1]End - Use Prices'!$C$6:$AL$89,MATCH($C88,'[1]End - Use Prices'!$A$6:$A$89,0)+MATCH($D88,'[1]End - Use Prices'!$B$9:$B$11,0)-1,MATCH(BE$1,'[1]End - Use Prices'!$C$7:$AL$7,0))</f>
        <v>43.31</v>
      </c>
      <c r="BF88" s="41">
        <f>INDEX('[1]End - Use Prices'!$C$6:$AL$89,MATCH($C88,'[1]End - Use Prices'!$A$6:$A$89,0)+MATCH($D88,'[1]End - Use Prices'!$B$9:$B$11,0)-1,MATCH(BF$1,'[1]End - Use Prices'!$C$7:$AL$7,0))</f>
        <v>43.3</v>
      </c>
      <c r="BG88" s="41">
        <f>INDEX('[1]End - Use Prices'!$C$6:$AL$89,MATCH($C88,'[1]End - Use Prices'!$A$6:$A$89,0)+MATCH($D88,'[1]End - Use Prices'!$B$9:$B$11,0)-1,MATCH(BG$1,'[1]End - Use Prices'!$C$7:$AL$7,0))</f>
        <v>43.29</v>
      </c>
      <c r="BR88" s="39"/>
      <c r="BS88" s="39"/>
      <c r="BT88" s="39"/>
      <c r="BU88" s="39"/>
      <c r="BV88" s="39"/>
      <c r="BW88" s="39"/>
      <c r="BX88" s="39"/>
      <c r="BY88" s="39"/>
      <c r="BZ88" s="39"/>
      <c r="CA88" s="39"/>
    </row>
    <row r="89" spans="1:79" x14ac:dyDescent="0.25">
      <c r="A89" s="5"/>
      <c r="B89" s="3"/>
      <c r="C89" s="25" t="s">
        <v>96</v>
      </c>
      <c r="D89" s="25" t="s">
        <v>14</v>
      </c>
      <c r="E89" s="25" t="s">
        <v>313</v>
      </c>
      <c r="F89" s="74" t="s">
        <v>310</v>
      </c>
      <c r="G89" s="54">
        <f t="shared" si="54"/>
        <v>15.71</v>
      </c>
      <c r="H89" s="34">
        <f t="shared" si="72"/>
        <v>15.71</v>
      </c>
      <c r="I89" s="34">
        <f t="shared" si="72"/>
        <v>14.92</v>
      </c>
      <c r="J89" s="34">
        <f t="shared" si="72"/>
        <v>12.25</v>
      </c>
      <c r="K89" s="34">
        <f t="shared" si="72"/>
        <v>9.07</v>
      </c>
      <c r="L89" s="34">
        <f t="shared" si="72"/>
        <v>9.5</v>
      </c>
      <c r="M89" s="34">
        <f t="shared" si="72"/>
        <v>9.94</v>
      </c>
      <c r="N89" s="34">
        <f t="shared" si="72"/>
        <v>10.41</v>
      </c>
      <c r="O89" s="34">
        <f t="shared" si="72"/>
        <v>10.59</v>
      </c>
      <c r="P89" s="54">
        <f t="shared" ref="P89:Q89" si="84">O89</f>
        <v>10.59</v>
      </c>
      <c r="Q89" s="54">
        <f t="shared" si="84"/>
        <v>10.59</v>
      </c>
      <c r="R89" s="38"/>
      <c r="X89" s="41">
        <f>INDEX('[1]End - Use Prices'!$C$6:$AL$89,MATCH($C89,'[1]End - Use Prices'!$A$6:$A$89,0)+MATCH($D89,'[1]End - Use Prices'!$B$9:$B$11,0)-1,MATCH(X$1,'[1]End - Use Prices'!$C$7:$AL$7,0))</f>
        <v>15.71</v>
      </c>
      <c r="Y89" s="41">
        <f>INDEX('[1]End - Use Prices'!$C$6:$AL$89,MATCH($C89,'[1]End - Use Prices'!$A$6:$A$89,0)+MATCH($D89,'[1]End - Use Prices'!$B$9:$B$11,0)-1,MATCH(Y$1,'[1]End - Use Prices'!$C$7:$AL$7,0))</f>
        <v>16.100000000000001</v>
      </c>
      <c r="Z89" s="41">
        <f>INDEX('[1]End - Use Prices'!$C$6:$AL$89,MATCH($C89,'[1]End - Use Prices'!$A$6:$A$89,0)+MATCH($D89,'[1]End - Use Prices'!$B$9:$B$11,0)-1,MATCH(Z$1,'[1]End - Use Prices'!$C$7:$AL$7,0))</f>
        <v>15.74</v>
      </c>
      <c r="AA89" s="41">
        <f>INDEX('[1]End - Use Prices'!$C$6:$AL$89,MATCH($C89,'[1]End - Use Prices'!$A$6:$A$89,0)+MATCH($D89,'[1]End - Use Prices'!$B$9:$B$11,0)-1,MATCH(AA$1,'[1]End - Use Prices'!$C$7:$AL$7,0))</f>
        <v>15.46</v>
      </c>
      <c r="AB89" s="41">
        <f>INDEX('[1]End - Use Prices'!$C$6:$AL$89,MATCH($C89,'[1]End - Use Prices'!$A$6:$A$89,0)+MATCH($D89,'[1]End - Use Prices'!$B$9:$B$11,0)-1,MATCH(AB$1,'[1]End - Use Prices'!$C$7:$AL$7,0))</f>
        <v>15.41</v>
      </c>
      <c r="AC89" s="41">
        <f>INDEX('[1]End - Use Prices'!$C$6:$AL$89,MATCH($C89,'[1]End - Use Prices'!$A$6:$A$89,0)+MATCH($D89,'[1]End - Use Prices'!$B$9:$B$11,0)-1,MATCH(AC$1,'[1]End - Use Prices'!$C$7:$AL$7,0))</f>
        <v>14.92</v>
      </c>
      <c r="AD89" s="41">
        <f>INDEX('[1]End - Use Prices'!$C$6:$AL$89,MATCH($C89,'[1]End - Use Prices'!$A$6:$A$89,0)+MATCH($D89,'[1]End - Use Prices'!$B$9:$B$11,0)-1,MATCH(AD$1,'[1]End - Use Prices'!$C$7:$AL$7,0))</f>
        <v>13.77</v>
      </c>
      <c r="AE89" s="41">
        <f>INDEX('[1]End - Use Prices'!$C$6:$AL$89,MATCH($C89,'[1]End - Use Prices'!$A$6:$A$89,0)+MATCH($D89,'[1]End - Use Prices'!$B$9:$B$11,0)-1,MATCH(AE$1,'[1]End - Use Prices'!$C$7:$AL$7,0))</f>
        <v>12.54</v>
      </c>
      <c r="AF89" s="41">
        <f>INDEX('[1]End - Use Prices'!$C$6:$AL$89,MATCH($C89,'[1]End - Use Prices'!$A$6:$A$89,0)+MATCH($D89,'[1]End - Use Prices'!$B$9:$B$11,0)-1,MATCH(AF$1,'[1]End - Use Prices'!$C$7:$AL$7,0))</f>
        <v>12.18</v>
      </c>
      <c r="AG89" s="41">
        <f>INDEX('[1]End - Use Prices'!$C$6:$AL$89,MATCH($C89,'[1]End - Use Prices'!$A$6:$A$89,0)+MATCH($D89,'[1]End - Use Prices'!$B$9:$B$11,0)-1,MATCH(AG$1,'[1]End - Use Prices'!$C$7:$AL$7,0))</f>
        <v>13.28</v>
      </c>
      <c r="AH89" s="41">
        <f>INDEX('[1]End - Use Prices'!$C$6:$AL$89,MATCH($C89,'[1]End - Use Prices'!$A$6:$A$89,0)+MATCH($D89,'[1]End - Use Prices'!$B$9:$B$11,0)-1,MATCH(AH$1,'[1]End - Use Prices'!$C$7:$AL$7,0))</f>
        <v>12.25</v>
      </c>
      <c r="AI89" s="41">
        <f>INDEX('[1]End - Use Prices'!$C$6:$AL$89,MATCH($C89,'[1]End - Use Prices'!$A$6:$A$89,0)+MATCH($D89,'[1]End - Use Prices'!$B$9:$B$11,0)-1,MATCH(AI$1,'[1]End - Use Prices'!$C$7:$AL$7,0))</f>
        <v>8.43</v>
      </c>
      <c r="AJ89" s="41">
        <f>INDEX('[1]End - Use Prices'!$C$6:$AL$89,MATCH($C89,'[1]End - Use Prices'!$A$6:$A$89,0)+MATCH($D89,'[1]End - Use Prices'!$B$9:$B$11,0)-1,MATCH(AJ$1,'[1]End - Use Prices'!$C$7:$AL$7,0))</f>
        <v>8.91</v>
      </c>
      <c r="AK89" s="41">
        <f>INDEX('[1]End - Use Prices'!$C$6:$AL$89,MATCH($C89,'[1]End - Use Prices'!$A$6:$A$89,0)+MATCH($D89,'[1]End - Use Prices'!$B$9:$B$11,0)-1,MATCH(AK$1,'[1]End - Use Prices'!$C$7:$AL$7,0))</f>
        <v>8.81</v>
      </c>
      <c r="AL89" s="41">
        <f>INDEX('[1]End - Use Prices'!$C$6:$AL$89,MATCH($C89,'[1]End - Use Prices'!$A$6:$A$89,0)+MATCH($D89,'[1]End - Use Prices'!$B$9:$B$11,0)-1,MATCH(AL$1,'[1]End - Use Prices'!$C$7:$AL$7,0))</f>
        <v>8.7899999999999991</v>
      </c>
      <c r="AM89" s="41">
        <f>INDEX('[1]End - Use Prices'!$C$6:$AL$89,MATCH($C89,'[1]End - Use Prices'!$A$6:$A$89,0)+MATCH($D89,'[1]End - Use Prices'!$B$9:$B$11,0)-1,MATCH(AM$1,'[1]End - Use Prices'!$C$7:$AL$7,0))</f>
        <v>9.07</v>
      </c>
      <c r="AN89" s="41">
        <f>INDEX('[1]End - Use Prices'!$C$6:$AL$89,MATCH($C89,'[1]End - Use Prices'!$A$6:$A$89,0)+MATCH($D89,'[1]End - Use Prices'!$B$9:$B$11,0)-1,MATCH(AN$1,'[1]End - Use Prices'!$C$7:$AL$7,0))</f>
        <v>9.2200000000000006</v>
      </c>
      <c r="AO89" s="41">
        <f>INDEX('[1]End - Use Prices'!$C$6:$AL$89,MATCH($C89,'[1]End - Use Prices'!$A$6:$A$89,0)+MATCH($D89,'[1]End - Use Prices'!$B$9:$B$11,0)-1,MATCH(AO$1,'[1]End - Use Prices'!$C$7:$AL$7,0))</f>
        <v>9.36</v>
      </c>
      <c r="AP89" s="41">
        <f>INDEX('[1]End - Use Prices'!$C$6:$AL$89,MATCH($C89,'[1]End - Use Prices'!$A$6:$A$89,0)+MATCH($D89,'[1]End - Use Prices'!$B$9:$B$11,0)-1,MATCH(AP$1,'[1]End - Use Prices'!$C$7:$AL$7,0))</f>
        <v>9.48</v>
      </c>
      <c r="AQ89" s="41">
        <f>INDEX('[1]End - Use Prices'!$C$6:$AL$89,MATCH($C89,'[1]End - Use Prices'!$A$6:$A$89,0)+MATCH($D89,'[1]End - Use Prices'!$B$9:$B$11,0)-1,MATCH(AQ$1,'[1]End - Use Prices'!$C$7:$AL$7,0))</f>
        <v>9.48</v>
      </c>
      <c r="AR89" s="41">
        <f>INDEX('[1]End - Use Prices'!$C$6:$AL$89,MATCH($C89,'[1]End - Use Prices'!$A$6:$A$89,0)+MATCH($D89,'[1]End - Use Prices'!$B$9:$B$11,0)-1,MATCH(AR$1,'[1]End - Use Prices'!$C$7:$AL$7,0))</f>
        <v>9.5</v>
      </c>
      <c r="AS89" s="41">
        <f>INDEX('[1]End - Use Prices'!$C$6:$AL$89,MATCH($C89,'[1]End - Use Prices'!$A$6:$A$89,0)+MATCH($D89,'[1]End - Use Prices'!$B$9:$B$11,0)-1,MATCH(AS$1,'[1]End - Use Prices'!$C$7:$AL$7,0))</f>
        <v>9.58</v>
      </c>
      <c r="AT89" s="41">
        <f>INDEX('[1]End - Use Prices'!$C$6:$AL$89,MATCH($C89,'[1]End - Use Prices'!$A$6:$A$89,0)+MATCH($D89,'[1]End - Use Prices'!$B$9:$B$11,0)-1,MATCH(AT$1,'[1]End - Use Prices'!$C$7:$AL$7,0))</f>
        <v>9.66</v>
      </c>
      <c r="AU89" s="41">
        <f>INDEX('[1]End - Use Prices'!$C$6:$AL$89,MATCH($C89,'[1]End - Use Prices'!$A$6:$A$89,0)+MATCH($D89,'[1]End - Use Prices'!$B$9:$B$11,0)-1,MATCH(AU$1,'[1]End - Use Prices'!$C$7:$AL$7,0))</f>
        <v>9.75</v>
      </c>
      <c r="AV89" s="41">
        <f>INDEX('[1]End - Use Prices'!$C$6:$AL$89,MATCH($C89,'[1]End - Use Prices'!$A$6:$A$89,0)+MATCH($D89,'[1]End - Use Prices'!$B$9:$B$11,0)-1,MATCH(AV$1,'[1]End - Use Prices'!$C$7:$AL$7,0))</f>
        <v>9.85</v>
      </c>
      <c r="AW89" s="41">
        <f>INDEX('[1]End - Use Prices'!$C$6:$AL$89,MATCH($C89,'[1]End - Use Prices'!$A$6:$A$89,0)+MATCH($D89,'[1]End - Use Prices'!$B$9:$B$11,0)-1,MATCH(AW$1,'[1]End - Use Prices'!$C$7:$AL$7,0))</f>
        <v>9.94</v>
      </c>
      <c r="AX89" s="41">
        <f>INDEX('[1]End - Use Prices'!$C$6:$AL$89,MATCH($C89,'[1]End - Use Prices'!$A$6:$A$89,0)+MATCH($D89,'[1]End - Use Prices'!$B$9:$B$11,0)-1,MATCH(AX$1,'[1]End - Use Prices'!$C$7:$AL$7,0))</f>
        <v>10.039999999999999</v>
      </c>
      <c r="AY89" s="41">
        <f>INDEX('[1]End - Use Prices'!$C$6:$AL$89,MATCH($C89,'[1]End - Use Prices'!$A$6:$A$89,0)+MATCH($D89,'[1]End - Use Prices'!$B$9:$B$11,0)-1,MATCH(AY$1,'[1]End - Use Prices'!$C$7:$AL$7,0))</f>
        <v>10.16</v>
      </c>
      <c r="AZ89" s="41">
        <f>INDEX('[1]End - Use Prices'!$C$6:$AL$89,MATCH($C89,'[1]End - Use Prices'!$A$6:$A$89,0)+MATCH($D89,'[1]End - Use Prices'!$B$9:$B$11,0)-1,MATCH(AZ$1,'[1]End - Use Prices'!$C$7:$AL$7,0))</f>
        <v>10.28</v>
      </c>
      <c r="BA89" s="41">
        <f>INDEX('[1]End - Use Prices'!$C$6:$AL$89,MATCH($C89,'[1]End - Use Prices'!$A$6:$A$89,0)+MATCH($D89,'[1]End - Use Prices'!$B$9:$B$11,0)-1,MATCH(BA$1,'[1]End - Use Prices'!$C$7:$AL$7,0))</f>
        <v>10.34</v>
      </c>
      <c r="BB89" s="41">
        <f>INDEX('[1]End - Use Prices'!$C$6:$AL$89,MATCH($C89,'[1]End - Use Prices'!$A$6:$A$89,0)+MATCH($D89,'[1]End - Use Prices'!$B$9:$B$11,0)-1,MATCH(BB$1,'[1]End - Use Prices'!$C$7:$AL$7,0))</f>
        <v>10.41</v>
      </c>
      <c r="BC89" s="41">
        <f>INDEX('[1]End - Use Prices'!$C$6:$AL$89,MATCH($C89,'[1]End - Use Prices'!$A$6:$A$89,0)+MATCH($D89,'[1]End - Use Prices'!$B$9:$B$11,0)-1,MATCH(BC$1,'[1]End - Use Prices'!$C$7:$AL$7,0))</f>
        <v>10.46</v>
      </c>
      <c r="BD89" s="41">
        <f>INDEX('[1]End - Use Prices'!$C$6:$AL$89,MATCH($C89,'[1]End - Use Prices'!$A$6:$A$89,0)+MATCH($D89,'[1]End - Use Prices'!$B$9:$B$11,0)-1,MATCH(BD$1,'[1]End - Use Prices'!$C$7:$AL$7,0))</f>
        <v>10.5</v>
      </c>
      <c r="BE89" s="41">
        <f>INDEX('[1]End - Use Prices'!$C$6:$AL$89,MATCH($C89,'[1]End - Use Prices'!$A$6:$A$89,0)+MATCH($D89,'[1]End - Use Prices'!$B$9:$B$11,0)-1,MATCH(BE$1,'[1]End - Use Prices'!$C$7:$AL$7,0))</f>
        <v>10.54</v>
      </c>
      <c r="BF89" s="41">
        <f>INDEX('[1]End - Use Prices'!$C$6:$AL$89,MATCH($C89,'[1]End - Use Prices'!$A$6:$A$89,0)+MATCH($D89,'[1]End - Use Prices'!$B$9:$B$11,0)-1,MATCH(BF$1,'[1]End - Use Prices'!$C$7:$AL$7,0))</f>
        <v>10.57</v>
      </c>
      <c r="BG89" s="41">
        <f>INDEX('[1]End - Use Prices'!$C$6:$AL$89,MATCH($C89,'[1]End - Use Prices'!$A$6:$A$89,0)+MATCH($D89,'[1]End - Use Prices'!$B$9:$B$11,0)-1,MATCH(BG$1,'[1]End - Use Prices'!$C$7:$AL$7,0))</f>
        <v>10.59</v>
      </c>
      <c r="BR89" s="39"/>
      <c r="BS89" s="39"/>
      <c r="BT89" s="39"/>
      <c r="BU89" s="39"/>
      <c r="BV89" s="39"/>
      <c r="BW89" s="39"/>
      <c r="BX89" s="39"/>
      <c r="BY89" s="39"/>
      <c r="BZ89" s="39"/>
      <c r="CA89" s="39"/>
    </row>
    <row r="90" spans="1:79" x14ac:dyDescent="0.25">
      <c r="A90" s="5"/>
      <c r="B90" s="3"/>
      <c r="C90" s="25" t="s">
        <v>48</v>
      </c>
      <c r="D90" s="25" t="s">
        <v>311</v>
      </c>
      <c r="E90" s="25" t="s">
        <v>313</v>
      </c>
      <c r="F90" s="74" t="s">
        <v>310</v>
      </c>
      <c r="G90" s="54">
        <f t="shared" si="54"/>
        <v>25.71</v>
      </c>
      <c r="H90" s="34">
        <f t="shared" si="72"/>
        <v>25.71</v>
      </c>
      <c r="I90" s="34">
        <f t="shared" si="72"/>
        <v>26.91</v>
      </c>
      <c r="J90" s="34">
        <f t="shared" si="72"/>
        <v>28.23</v>
      </c>
      <c r="K90" s="34">
        <f t="shared" si="72"/>
        <v>38.950000000000003</v>
      </c>
      <c r="L90" s="34">
        <f t="shared" si="72"/>
        <v>34.25</v>
      </c>
      <c r="M90" s="34">
        <f t="shared" si="72"/>
        <v>33.67</v>
      </c>
      <c r="N90" s="34">
        <f t="shared" si="72"/>
        <v>33.49</v>
      </c>
      <c r="O90" s="34">
        <f t="shared" si="72"/>
        <v>33.18</v>
      </c>
      <c r="P90" s="54">
        <f t="shared" ref="P90:Q90" si="85">O90</f>
        <v>33.18</v>
      </c>
      <c r="Q90" s="54">
        <f t="shared" si="85"/>
        <v>33.18</v>
      </c>
      <c r="R90" s="38"/>
      <c r="X90" s="41">
        <f>INDEX('[1]End - Use Prices'!$C$6:$AL$89,MATCH($C90,'[1]End - Use Prices'!$A$6:$A$89,0)+MATCH($D90,'[1]End - Use Prices'!$B$9:$B$11,0)-1,MATCH(X$1,'[1]End - Use Prices'!$C$7:$AL$7,0))</f>
        <v>25.71</v>
      </c>
      <c r="Y90" s="41">
        <f>INDEX('[1]End - Use Prices'!$C$6:$AL$89,MATCH($C90,'[1]End - Use Prices'!$A$6:$A$89,0)+MATCH($D90,'[1]End - Use Prices'!$B$9:$B$11,0)-1,MATCH(Y$1,'[1]End - Use Prices'!$C$7:$AL$7,0))</f>
        <v>26.31</v>
      </c>
      <c r="Z90" s="41">
        <f>INDEX('[1]End - Use Prices'!$C$6:$AL$89,MATCH($C90,'[1]End - Use Prices'!$A$6:$A$89,0)+MATCH($D90,'[1]End - Use Prices'!$B$9:$B$11,0)-1,MATCH(Z$1,'[1]End - Use Prices'!$C$7:$AL$7,0))</f>
        <v>26.43</v>
      </c>
      <c r="AA90" s="41">
        <f>INDEX('[1]End - Use Prices'!$C$6:$AL$89,MATCH($C90,'[1]End - Use Prices'!$A$6:$A$89,0)+MATCH($D90,'[1]End - Use Prices'!$B$9:$B$11,0)-1,MATCH(AA$1,'[1]End - Use Prices'!$C$7:$AL$7,0))</f>
        <v>33.200000000000003</v>
      </c>
      <c r="AB90" s="41">
        <f>INDEX('[1]End - Use Prices'!$C$6:$AL$89,MATCH($C90,'[1]End - Use Prices'!$A$6:$A$89,0)+MATCH($D90,'[1]End - Use Prices'!$B$9:$B$11,0)-1,MATCH(AB$1,'[1]End - Use Prices'!$C$7:$AL$7,0))</f>
        <v>23.79</v>
      </c>
      <c r="AC90" s="41">
        <f>INDEX('[1]End - Use Prices'!$C$6:$AL$89,MATCH($C90,'[1]End - Use Prices'!$A$6:$A$89,0)+MATCH($D90,'[1]End - Use Prices'!$B$9:$B$11,0)-1,MATCH(AC$1,'[1]End - Use Prices'!$C$7:$AL$7,0))</f>
        <v>26.91</v>
      </c>
      <c r="AD90" s="41">
        <f>INDEX('[1]End - Use Prices'!$C$6:$AL$89,MATCH($C90,'[1]End - Use Prices'!$A$6:$A$89,0)+MATCH($D90,'[1]End - Use Prices'!$B$9:$B$11,0)-1,MATCH(AD$1,'[1]End - Use Prices'!$C$7:$AL$7,0))</f>
        <v>32.58</v>
      </c>
      <c r="AE90" s="41">
        <f>INDEX('[1]End - Use Prices'!$C$6:$AL$89,MATCH($C90,'[1]End - Use Prices'!$A$6:$A$89,0)+MATCH($D90,'[1]End - Use Prices'!$B$9:$B$11,0)-1,MATCH(AE$1,'[1]End - Use Prices'!$C$7:$AL$7,0))</f>
        <v>33.74</v>
      </c>
      <c r="AF90" s="41">
        <f>INDEX('[1]End - Use Prices'!$C$6:$AL$89,MATCH($C90,'[1]End - Use Prices'!$A$6:$A$89,0)+MATCH($D90,'[1]End - Use Prices'!$B$9:$B$11,0)-1,MATCH(AF$1,'[1]End - Use Prices'!$C$7:$AL$7,0))</f>
        <v>33.31</v>
      </c>
      <c r="AG90" s="41">
        <f>INDEX('[1]End - Use Prices'!$C$6:$AL$89,MATCH($C90,'[1]End - Use Prices'!$A$6:$A$89,0)+MATCH($D90,'[1]End - Use Prices'!$B$9:$B$11,0)-1,MATCH(AG$1,'[1]End - Use Prices'!$C$7:$AL$7,0))</f>
        <v>34.46</v>
      </c>
      <c r="AH90" s="41">
        <f>INDEX('[1]End - Use Prices'!$C$6:$AL$89,MATCH($C90,'[1]End - Use Prices'!$A$6:$A$89,0)+MATCH($D90,'[1]End - Use Prices'!$B$9:$B$11,0)-1,MATCH(AH$1,'[1]End - Use Prices'!$C$7:$AL$7,0))</f>
        <v>28.23</v>
      </c>
      <c r="AI90" s="41">
        <f>INDEX('[1]End - Use Prices'!$C$6:$AL$89,MATCH($C90,'[1]End - Use Prices'!$A$6:$A$89,0)+MATCH($D90,'[1]End - Use Prices'!$B$9:$B$11,0)-1,MATCH(AI$1,'[1]End - Use Prices'!$C$7:$AL$7,0))</f>
        <v>24.61</v>
      </c>
      <c r="AJ90" s="41">
        <f>INDEX('[1]End - Use Prices'!$C$6:$AL$89,MATCH($C90,'[1]End - Use Prices'!$A$6:$A$89,0)+MATCH($D90,'[1]End - Use Prices'!$B$9:$B$11,0)-1,MATCH(AJ$1,'[1]End - Use Prices'!$C$7:$AL$7,0))</f>
        <v>27.26</v>
      </c>
      <c r="AK90" s="41">
        <f>INDEX('[1]End - Use Prices'!$C$6:$AL$89,MATCH($C90,'[1]End - Use Prices'!$A$6:$A$89,0)+MATCH($D90,'[1]End - Use Prices'!$B$9:$B$11,0)-1,MATCH(AK$1,'[1]End - Use Prices'!$C$7:$AL$7,0))</f>
        <v>31.59</v>
      </c>
      <c r="AL90" s="41">
        <f>INDEX('[1]End - Use Prices'!$C$6:$AL$89,MATCH($C90,'[1]End - Use Prices'!$A$6:$A$89,0)+MATCH($D90,'[1]End - Use Prices'!$B$9:$B$11,0)-1,MATCH(AL$1,'[1]End - Use Prices'!$C$7:$AL$7,0))</f>
        <v>35.08</v>
      </c>
      <c r="AM90" s="41">
        <f>INDEX('[1]End - Use Prices'!$C$6:$AL$89,MATCH($C90,'[1]End - Use Prices'!$A$6:$A$89,0)+MATCH($D90,'[1]End - Use Prices'!$B$9:$B$11,0)-1,MATCH(AM$1,'[1]End - Use Prices'!$C$7:$AL$7,0))</f>
        <v>38.950000000000003</v>
      </c>
      <c r="AN90" s="41">
        <f>INDEX('[1]End - Use Prices'!$C$6:$AL$89,MATCH($C90,'[1]End - Use Prices'!$A$6:$A$89,0)+MATCH($D90,'[1]End - Use Prices'!$B$9:$B$11,0)-1,MATCH(AN$1,'[1]End - Use Prices'!$C$7:$AL$7,0))</f>
        <v>36.01</v>
      </c>
      <c r="AO90" s="41">
        <f>INDEX('[1]End - Use Prices'!$C$6:$AL$89,MATCH($C90,'[1]End - Use Prices'!$A$6:$A$89,0)+MATCH($D90,'[1]End - Use Prices'!$B$9:$B$11,0)-1,MATCH(AO$1,'[1]End - Use Prices'!$C$7:$AL$7,0))</f>
        <v>34.17</v>
      </c>
      <c r="AP90" s="41">
        <f>INDEX('[1]End - Use Prices'!$C$6:$AL$89,MATCH($C90,'[1]End - Use Prices'!$A$6:$A$89,0)+MATCH($D90,'[1]End - Use Prices'!$B$9:$B$11,0)-1,MATCH(AP$1,'[1]End - Use Prices'!$C$7:$AL$7,0))</f>
        <v>34.06</v>
      </c>
      <c r="AQ90" s="41">
        <f>INDEX('[1]End - Use Prices'!$C$6:$AL$89,MATCH($C90,'[1]End - Use Prices'!$A$6:$A$89,0)+MATCH($D90,'[1]End - Use Prices'!$B$9:$B$11,0)-1,MATCH(AQ$1,'[1]End - Use Prices'!$C$7:$AL$7,0))</f>
        <v>34.04</v>
      </c>
      <c r="AR90" s="41">
        <f>INDEX('[1]End - Use Prices'!$C$6:$AL$89,MATCH($C90,'[1]End - Use Prices'!$A$6:$A$89,0)+MATCH($D90,'[1]End - Use Prices'!$B$9:$B$11,0)-1,MATCH(AR$1,'[1]End - Use Prices'!$C$7:$AL$7,0))</f>
        <v>34.25</v>
      </c>
      <c r="AS90" s="41">
        <f>INDEX('[1]End - Use Prices'!$C$6:$AL$89,MATCH($C90,'[1]End - Use Prices'!$A$6:$A$89,0)+MATCH($D90,'[1]End - Use Prices'!$B$9:$B$11,0)-1,MATCH(AS$1,'[1]End - Use Prices'!$C$7:$AL$7,0))</f>
        <v>34.39</v>
      </c>
      <c r="AT90" s="41">
        <f>INDEX('[1]End - Use Prices'!$C$6:$AL$89,MATCH($C90,'[1]End - Use Prices'!$A$6:$A$89,0)+MATCH($D90,'[1]End - Use Prices'!$B$9:$B$11,0)-1,MATCH(AT$1,'[1]End - Use Prices'!$C$7:$AL$7,0))</f>
        <v>34.22</v>
      </c>
      <c r="AU90" s="41">
        <f>INDEX('[1]End - Use Prices'!$C$6:$AL$89,MATCH($C90,'[1]End - Use Prices'!$A$6:$A$89,0)+MATCH($D90,'[1]End - Use Prices'!$B$9:$B$11,0)-1,MATCH(AU$1,'[1]End - Use Prices'!$C$7:$AL$7,0))</f>
        <v>34.020000000000003</v>
      </c>
      <c r="AV90" s="41">
        <f>INDEX('[1]End - Use Prices'!$C$6:$AL$89,MATCH($C90,'[1]End - Use Prices'!$A$6:$A$89,0)+MATCH($D90,'[1]End - Use Prices'!$B$9:$B$11,0)-1,MATCH(AV$1,'[1]End - Use Prices'!$C$7:$AL$7,0))</f>
        <v>33.840000000000003</v>
      </c>
      <c r="AW90" s="41">
        <f>INDEX('[1]End - Use Prices'!$C$6:$AL$89,MATCH($C90,'[1]End - Use Prices'!$A$6:$A$89,0)+MATCH($D90,'[1]End - Use Prices'!$B$9:$B$11,0)-1,MATCH(AW$1,'[1]End - Use Prices'!$C$7:$AL$7,0))</f>
        <v>33.67</v>
      </c>
      <c r="AX90" s="41">
        <f>INDEX('[1]End - Use Prices'!$C$6:$AL$89,MATCH($C90,'[1]End - Use Prices'!$A$6:$A$89,0)+MATCH($D90,'[1]End - Use Prices'!$B$9:$B$11,0)-1,MATCH(AX$1,'[1]End - Use Prices'!$C$7:$AL$7,0))</f>
        <v>33.58</v>
      </c>
      <c r="AY90" s="41">
        <f>INDEX('[1]End - Use Prices'!$C$6:$AL$89,MATCH($C90,'[1]End - Use Prices'!$A$6:$A$89,0)+MATCH($D90,'[1]End - Use Prices'!$B$9:$B$11,0)-1,MATCH(AY$1,'[1]End - Use Prices'!$C$7:$AL$7,0))</f>
        <v>33.51</v>
      </c>
      <c r="AZ90" s="41">
        <f>INDEX('[1]End - Use Prices'!$C$6:$AL$89,MATCH($C90,'[1]End - Use Prices'!$A$6:$A$89,0)+MATCH($D90,'[1]End - Use Prices'!$B$9:$B$11,0)-1,MATCH(AZ$1,'[1]End - Use Prices'!$C$7:$AL$7,0))</f>
        <v>33.49</v>
      </c>
      <c r="BA90" s="41">
        <f>INDEX('[1]End - Use Prices'!$C$6:$AL$89,MATCH($C90,'[1]End - Use Prices'!$A$6:$A$89,0)+MATCH($D90,'[1]End - Use Prices'!$B$9:$B$11,0)-1,MATCH(BA$1,'[1]End - Use Prices'!$C$7:$AL$7,0))</f>
        <v>33.5</v>
      </c>
      <c r="BB90" s="41">
        <f>INDEX('[1]End - Use Prices'!$C$6:$AL$89,MATCH($C90,'[1]End - Use Prices'!$A$6:$A$89,0)+MATCH($D90,'[1]End - Use Prices'!$B$9:$B$11,0)-1,MATCH(BB$1,'[1]End - Use Prices'!$C$7:$AL$7,0))</f>
        <v>33.49</v>
      </c>
      <c r="BC90" s="41">
        <f>INDEX('[1]End - Use Prices'!$C$6:$AL$89,MATCH($C90,'[1]End - Use Prices'!$A$6:$A$89,0)+MATCH($D90,'[1]End - Use Prices'!$B$9:$B$11,0)-1,MATCH(BC$1,'[1]End - Use Prices'!$C$7:$AL$7,0))</f>
        <v>33.46</v>
      </c>
      <c r="BD90" s="41">
        <f>INDEX('[1]End - Use Prices'!$C$6:$AL$89,MATCH($C90,'[1]End - Use Prices'!$A$6:$A$89,0)+MATCH($D90,'[1]End - Use Prices'!$B$9:$B$11,0)-1,MATCH(BD$1,'[1]End - Use Prices'!$C$7:$AL$7,0))</f>
        <v>33.42</v>
      </c>
      <c r="BE90" s="41">
        <f>INDEX('[1]End - Use Prices'!$C$6:$AL$89,MATCH($C90,'[1]End - Use Prices'!$A$6:$A$89,0)+MATCH($D90,'[1]End - Use Prices'!$B$9:$B$11,0)-1,MATCH(BE$1,'[1]End - Use Prices'!$C$7:$AL$7,0))</f>
        <v>33.340000000000003</v>
      </c>
      <c r="BF90" s="41">
        <f>INDEX('[1]End - Use Prices'!$C$6:$AL$89,MATCH($C90,'[1]End - Use Prices'!$A$6:$A$89,0)+MATCH($D90,'[1]End - Use Prices'!$B$9:$B$11,0)-1,MATCH(BF$1,'[1]End - Use Prices'!$C$7:$AL$7,0))</f>
        <v>33.270000000000003</v>
      </c>
      <c r="BG90" s="41">
        <f>INDEX('[1]End - Use Prices'!$C$6:$AL$89,MATCH($C90,'[1]End - Use Prices'!$A$6:$A$89,0)+MATCH($D90,'[1]End - Use Prices'!$B$9:$B$11,0)-1,MATCH(BG$1,'[1]End - Use Prices'!$C$7:$AL$7,0))</f>
        <v>33.18</v>
      </c>
      <c r="BR90" s="39"/>
      <c r="BS90" s="39"/>
      <c r="BT90" s="39"/>
      <c r="BU90" s="39"/>
      <c r="BV90" s="39"/>
      <c r="BW90" s="39"/>
      <c r="BX90" s="39"/>
      <c r="BY90" s="39"/>
      <c r="BZ90" s="39"/>
      <c r="CA90" s="39"/>
    </row>
    <row r="91" spans="1:79" x14ac:dyDescent="0.25">
      <c r="A91" s="5"/>
      <c r="B91" s="3"/>
      <c r="C91" s="25" t="s">
        <v>87</v>
      </c>
      <c r="D91" s="25" t="s">
        <v>311</v>
      </c>
      <c r="E91" s="25" t="s">
        <v>313</v>
      </c>
      <c r="F91" s="74" t="s">
        <v>310</v>
      </c>
      <c r="G91" s="54">
        <f t="shared" si="54"/>
        <v>25.86</v>
      </c>
      <c r="H91" s="34">
        <f t="shared" si="72"/>
        <v>25.86</v>
      </c>
      <c r="I91" s="34">
        <f t="shared" si="72"/>
        <v>26.25</v>
      </c>
      <c r="J91" s="34">
        <f t="shared" si="72"/>
        <v>22.78</v>
      </c>
      <c r="K91" s="34">
        <f t="shared" si="72"/>
        <v>35.65</v>
      </c>
      <c r="L91" s="34">
        <f t="shared" si="72"/>
        <v>31.1</v>
      </c>
      <c r="M91" s="34">
        <f t="shared" si="72"/>
        <v>30.26</v>
      </c>
      <c r="N91" s="34">
        <f t="shared" si="72"/>
        <v>30.03</v>
      </c>
      <c r="O91" s="34">
        <f t="shared" si="72"/>
        <v>29.65</v>
      </c>
      <c r="P91" s="54">
        <f t="shared" ref="P91:Q91" si="86">O91</f>
        <v>29.65</v>
      </c>
      <c r="Q91" s="54">
        <f t="shared" si="86"/>
        <v>29.65</v>
      </c>
      <c r="R91" s="38"/>
      <c r="X91" s="41">
        <f>INDEX('[1]End - Use Prices'!$C$6:$AL$89,MATCH($C91,'[1]End - Use Prices'!$A$6:$A$89,0)+MATCH($D91,'[1]End - Use Prices'!$B$9:$B$11,0)-1,MATCH(X$1,'[1]End - Use Prices'!$C$7:$AL$7,0))</f>
        <v>25.86</v>
      </c>
      <c r="Y91" s="41">
        <f>INDEX('[1]End - Use Prices'!$C$6:$AL$89,MATCH($C91,'[1]End - Use Prices'!$A$6:$A$89,0)+MATCH($D91,'[1]End - Use Prices'!$B$9:$B$11,0)-1,MATCH(Y$1,'[1]End - Use Prices'!$C$7:$AL$7,0))</f>
        <v>27.18</v>
      </c>
      <c r="Z91" s="41">
        <f>INDEX('[1]End - Use Prices'!$C$6:$AL$89,MATCH($C91,'[1]End - Use Prices'!$A$6:$A$89,0)+MATCH($D91,'[1]End - Use Prices'!$B$9:$B$11,0)-1,MATCH(Z$1,'[1]End - Use Prices'!$C$7:$AL$7,0))</f>
        <v>27.19</v>
      </c>
      <c r="AA91" s="41">
        <f>INDEX('[1]End - Use Prices'!$C$6:$AL$89,MATCH($C91,'[1]End - Use Prices'!$A$6:$A$89,0)+MATCH($D91,'[1]End - Use Prices'!$B$9:$B$11,0)-1,MATCH(AA$1,'[1]End - Use Prices'!$C$7:$AL$7,0))</f>
        <v>32.65</v>
      </c>
      <c r="AB91" s="41">
        <f>INDEX('[1]End - Use Prices'!$C$6:$AL$89,MATCH($C91,'[1]End - Use Prices'!$A$6:$A$89,0)+MATCH($D91,'[1]End - Use Prices'!$B$9:$B$11,0)-1,MATCH(AB$1,'[1]End - Use Prices'!$C$7:$AL$7,0))</f>
        <v>22.7</v>
      </c>
      <c r="AC91" s="41">
        <f>INDEX('[1]End - Use Prices'!$C$6:$AL$89,MATCH($C91,'[1]End - Use Prices'!$A$6:$A$89,0)+MATCH($D91,'[1]End - Use Prices'!$B$9:$B$11,0)-1,MATCH(AC$1,'[1]End - Use Prices'!$C$7:$AL$7,0))</f>
        <v>26.25</v>
      </c>
      <c r="AD91" s="41">
        <f>INDEX('[1]End - Use Prices'!$C$6:$AL$89,MATCH($C91,'[1]End - Use Prices'!$A$6:$A$89,0)+MATCH($D91,'[1]End - Use Prices'!$B$9:$B$11,0)-1,MATCH(AD$1,'[1]End - Use Prices'!$C$7:$AL$7,0))</f>
        <v>31.74</v>
      </c>
      <c r="AE91" s="41">
        <f>INDEX('[1]End - Use Prices'!$C$6:$AL$89,MATCH($C91,'[1]End - Use Prices'!$A$6:$A$89,0)+MATCH($D91,'[1]End - Use Prices'!$B$9:$B$11,0)-1,MATCH(AE$1,'[1]End - Use Prices'!$C$7:$AL$7,0))</f>
        <v>32.58</v>
      </c>
      <c r="AF91" s="41">
        <f>INDEX('[1]End - Use Prices'!$C$6:$AL$89,MATCH($C91,'[1]End - Use Prices'!$A$6:$A$89,0)+MATCH($D91,'[1]End - Use Prices'!$B$9:$B$11,0)-1,MATCH(AF$1,'[1]End - Use Prices'!$C$7:$AL$7,0))</f>
        <v>29.61</v>
      </c>
      <c r="AG91" s="41">
        <f>INDEX('[1]End - Use Prices'!$C$6:$AL$89,MATCH($C91,'[1]End - Use Prices'!$A$6:$A$89,0)+MATCH($D91,'[1]End - Use Prices'!$B$9:$B$11,0)-1,MATCH(AG$1,'[1]End - Use Prices'!$C$7:$AL$7,0))</f>
        <v>29.41</v>
      </c>
      <c r="AH91" s="41">
        <f>INDEX('[1]End - Use Prices'!$C$6:$AL$89,MATCH($C91,'[1]End - Use Prices'!$A$6:$A$89,0)+MATCH($D91,'[1]End - Use Prices'!$B$9:$B$11,0)-1,MATCH(AH$1,'[1]End - Use Prices'!$C$7:$AL$7,0))</f>
        <v>22.78</v>
      </c>
      <c r="AI91" s="41">
        <f>INDEX('[1]End - Use Prices'!$C$6:$AL$89,MATCH($C91,'[1]End - Use Prices'!$A$6:$A$89,0)+MATCH($D91,'[1]End - Use Prices'!$B$9:$B$11,0)-1,MATCH(AI$1,'[1]End - Use Prices'!$C$7:$AL$7,0))</f>
        <v>21.05</v>
      </c>
      <c r="AJ91" s="41">
        <f>INDEX('[1]End - Use Prices'!$C$6:$AL$89,MATCH($C91,'[1]End - Use Prices'!$A$6:$A$89,0)+MATCH($D91,'[1]End - Use Prices'!$B$9:$B$11,0)-1,MATCH(AJ$1,'[1]End - Use Prices'!$C$7:$AL$7,0))</f>
        <v>24</v>
      </c>
      <c r="AK91" s="41">
        <f>INDEX('[1]End - Use Prices'!$C$6:$AL$89,MATCH($C91,'[1]End - Use Prices'!$A$6:$A$89,0)+MATCH($D91,'[1]End - Use Prices'!$B$9:$B$11,0)-1,MATCH(AK$1,'[1]End - Use Prices'!$C$7:$AL$7,0))</f>
        <v>27.31</v>
      </c>
      <c r="AL91" s="41">
        <f>INDEX('[1]End - Use Prices'!$C$6:$AL$89,MATCH($C91,'[1]End - Use Prices'!$A$6:$A$89,0)+MATCH($D91,'[1]End - Use Prices'!$B$9:$B$11,0)-1,MATCH(AL$1,'[1]End - Use Prices'!$C$7:$AL$7,0))</f>
        <v>30.69</v>
      </c>
      <c r="AM91" s="41">
        <f>INDEX('[1]End - Use Prices'!$C$6:$AL$89,MATCH($C91,'[1]End - Use Prices'!$A$6:$A$89,0)+MATCH($D91,'[1]End - Use Prices'!$B$9:$B$11,0)-1,MATCH(AM$1,'[1]End - Use Prices'!$C$7:$AL$7,0))</f>
        <v>35.65</v>
      </c>
      <c r="AN91" s="41">
        <f>INDEX('[1]End - Use Prices'!$C$6:$AL$89,MATCH($C91,'[1]End - Use Prices'!$A$6:$A$89,0)+MATCH($D91,'[1]End - Use Prices'!$B$9:$B$11,0)-1,MATCH(AN$1,'[1]End - Use Prices'!$C$7:$AL$7,0))</f>
        <v>32.92</v>
      </c>
      <c r="AO91" s="41">
        <f>INDEX('[1]End - Use Prices'!$C$6:$AL$89,MATCH($C91,'[1]End - Use Prices'!$A$6:$A$89,0)+MATCH($D91,'[1]End - Use Prices'!$B$9:$B$11,0)-1,MATCH(AO$1,'[1]End - Use Prices'!$C$7:$AL$7,0))</f>
        <v>31.27</v>
      </c>
      <c r="AP91" s="41">
        <f>INDEX('[1]End - Use Prices'!$C$6:$AL$89,MATCH($C91,'[1]End - Use Prices'!$A$6:$A$89,0)+MATCH($D91,'[1]End - Use Prices'!$B$9:$B$11,0)-1,MATCH(AP$1,'[1]End - Use Prices'!$C$7:$AL$7,0))</f>
        <v>31.4</v>
      </c>
      <c r="AQ91" s="41">
        <f>INDEX('[1]End - Use Prices'!$C$6:$AL$89,MATCH($C91,'[1]End - Use Prices'!$A$6:$A$89,0)+MATCH($D91,'[1]End - Use Prices'!$B$9:$B$11,0)-1,MATCH(AQ$1,'[1]End - Use Prices'!$C$7:$AL$7,0))</f>
        <v>31.13</v>
      </c>
      <c r="AR91" s="41">
        <f>INDEX('[1]End - Use Prices'!$C$6:$AL$89,MATCH($C91,'[1]End - Use Prices'!$A$6:$A$89,0)+MATCH($D91,'[1]End - Use Prices'!$B$9:$B$11,0)-1,MATCH(AR$1,'[1]End - Use Prices'!$C$7:$AL$7,0))</f>
        <v>31.1</v>
      </c>
      <c r="AS91" s="41">
        <f>INDEX('[1]End - Use Prices'!$C$6:$AL$89,MATCH($C91,'[1]End - Use Prices'!$A$6:$A$89,0)+MATCH($D91,'[1]End - Use Prices'!$B$9:$B$11,0)-1,MATCH(AS$1,'[1]End - Use Prices'!$C$7:$AL$7,0))</f>
        <v>31.02</v>
      </c>
      <c r="AT91" s="41">
        <f>INDEX('[1]End - Use Prices'!$C$6:$AL$89,MATCH($C91,'[1]End - Use Prices'!$A$6:$A$89,0)+MATCH($D91,'[1]End - Use Prices'!$B$9:$B$11,0)-1,MATCH(AT$1,'[1]End - Use Prices'!$C$7:$AL$7,0))</f>
        <v>30.85</v>
      </c>
      <c r="AU91" s="41">
        <f>INDEX('[1]End - Use Prices'!$C$6:$AL$89,MATCH($C91,'[1]End - Use Prices'!$A$6:$A$89,0)+MATCH($D91,'[1]End - Use Prices'!$B$9:$B$11,0)-1,MATCH(AU$1,'[1]End - Use Prices'!$C$7:$AL$7,0))</f>
        <v>30.63</v>
      </c>
      <c r="AV91" s="41">
        <f>INDEX('[1]End - Use Prices'!$C$6:$AL$89,MATCH($C91,'[1]End - Use Prices'!$A$6:$A$89,0)+MATCH($D91,'[1]End - Use Prices'!$B$9:$B$11,0)-1,MATCH(AV$1,'[1]End - Use Prices'!$C$7:$AL$7,0))</f>
        <v>30.45</v>
      </c>
      <c r="AW91" s="41">
        <f>INDEX('[1]End - Use Prices'!$C$6:$AL$89,MATCH($C91,'[1]End - Use Prices'!$A$6:$A$89,0)+MATCH($D91,'[1]End - Use Prices'!$B$9:$B$11,0)-1,MATCH(AW$1,'[1]End - Use Prices'!$C$7:$AL$7,0))</f>
        <v>30.26</v>
      </c>
      <c r="AX91" s="41">
        <f>INDEX('[1]End - Use Prices'!$C$6:$AL$89,MATCH($C91,'[1]End - Use Prices'!$A$6:$A$89,0)+MATCH($D91,'[1]End - Use Prices'!$B$9:$B$11,0)-1,MATCH(AX$1,'[1]End - Use Prices'!$C$7:$AL$7,0))</f>
        <v>30.15</v>
      </c>
      <c r="AY91" s="41">
        <f>INDEX('[1]End - Use Prices'!$C$6:$AL$89,MATCH($C91,'[1]End - Use Prices'!$A$6:$A$89,0)+MATCH($D91,'[1]End - Use Prices'!$B$9:$B$11,0)-1,MATCH(AY$1,'[1]End - Use Prices'!$C$7:$AL$7,0))</f>
        <v>30.08</v>
      </c>
      <c r="AZ91" s="41">
        <f>INDEX('[1]End - Use Prices'!$C$6:$AL$89,MATCH($C91,'[1]End - Use Prices'!$A$6:$A$89,0)+MATCH($D91,'[1]End - Use Prices'!$B$9:$B$11,0)-1,MATCH(AZ$1,'[1]End - Use Prices'!$C$7:$AL$7,0))</f>
        <v>30.05</v>
      </c>
      <c r="BA91" s="41">
        <f>INDEX('[1]End - Use Prices'!$C$6:$AL$89,MATCH($C91,'[1]End - Use Prices'!$A$6:$A$89,0)+MATCH($D91,'[1]End - Use Prices'!$B$9:$B$11,0)-1,MATCH(BA$1,'[1]End - Use Prices'!$C$7:$AL$7,0))</f>
        <v>30.05</v>
      </c>
      <c r="BB91" s="41">
        <f>INDEX('[1]End - Use Prices'!$C$6:$AL$89,MATCH($C91,'[1]End - Use Prices'!$A$6:$A$89,0)+MATCH($D91,'[1]End - Use Prices'!$B$9:$B$11,0)-1,MATCH(BB$1,'[1]End - Use Prices'!$C$7:$AL$7,0))</f>
        <v>30.03</v>
      </c>
      <c r="BC91" s="41">
        <f>INDEX('[1]End - Use Prices'!$C$6:$AL$89,MATCH($C91,'[1]End - Use Prices'!$A$6:$A$89,0)+MATCH($D91,'[1]End - Use Prices'!$B$9:$B$11,0)-1,MATCH(BC$1,'[1]End - Use Prices'!$C$7:$AL$7,0))</f>
        <v>29.99</v>
      </c>
      <c r="BD91" s="41">
        <f>INDEX('[1]End - Use Prices'!$C$6:$AL$89,MATCH($C91,'[1]End - Use Prices'!$A$6:$A$89,0)+MATCH($D91,'[1]End - Use Prices'!$B$9:$B$11,0)-1,MATCH(BD$1,'[1]End - Use Prices'!$C$7:$AL$7,0))</f>
        <v>29.93</v>
      </c>
      <c r="BE91" s="41">
        <f>INDEX('[1]End - Use Prices'!$C$6:$AL$89,MATCH($C91,'[1]End - Use Prices'!$A$6:$A$89,0)+MATCH($D91,'[1]End - Use Prices'!$B$9:$B$11,0)-1,MATCH(BE$1,'[1]End - Use Prices'!$C$7:$AL$7,0))</f>
        <v>29.84</v>
      </c>
      <c r="BF91" s="41">
        <f>INDEX('[1]End - Use Prices'!$C$6:$AL$89,MATCH($C91,'[1]End - Use Prices'!$A$6:$A$89,0)+MATCH($D91,'[1]End - Use Prices'!$B$9:$B$11,0)-1,MATCH(BF$1,'[1]End - Use Prices'!$C$7:$AL$7,0))</f>
        <v>29.75</v>
      </c>
      <c r="BG91" s="41">
        <f>INDEX('[1]End - Use Prices'!$C$6:$AL$89,MATCH($C91,'[1]End - Use Prices'!$A$6:$A$89,0)+MATCH($D91,'[1]End - Use Prices'!$B$9:$B$11,0)-1,MATCH(BG$1,'[1]End - Use Prices'!$C$7:$AL$7,0))</f>
        <v>29.65</v>
      </c>
      <c r="BR91" s="39"/>
      <c r="BS91" s="39"/>
      <c r="BT91" s="39"/>
      <c r="BU91" s="39"/>
      <c r="BV91" s="39"/>
      <c r="BW91" s="39"/>
      <c r="BX91" s="39"/>
      <c r="BY91" s="39"/>
      <c r="BZ91" s="39"/>
      <c r="CA91" s="39"/>
    </row>
    <row r="92" spans="1:79" x14ac:dyDescent="0.25">
      <c r="A92" s="5"/>
      <c r="B92" s="3"/>
      <c r="C92" s="25" t="s">
        <v>88</v>
      </c>
      <c r="D92" s="25" t="s">
        <v>311</v>
      </c>
      <c r="E92" s="25" t="s">
        <v>313</v>
      </c>
      <c r="F92" s="74" t="s">
        <v>310</v>
      </c>
      <c r="G92" s="54">
        <f t="shared" si="54"/>
        <v>24.29</v>
      </c>
      <c r="H92" s="34">
        <f t="shared" si="72"/>
        <v>24.29</v>
      </c>
      <c r="I92" s="34">
        <f t="shared" si="72"/>
        <v>24.71</v>
      </c>
      <c r="J92" s="34">
        <f t="shared" si="72"/>
        <v>24.09</v>
      </c>
      <c r="K92" s="34">
        <f t="shared" si="72"/>
        <v>34.39</v>
      </c>
      <c r="L92" s="34">
        <f t="shared" si="72"/>
        <v>30.37</v>
      </c>
      <c r="M92" s="34">
        <f t="shared" si="72"/>
        <v>29.56</v>
      </c>
      <c r="N92" s="34">
        <f t="shared" si="72"/>
        <v>29.32</v>
      </c>
      <c r="O92" s="34">
        <f t="shared" si="72"/>
        <v>28.95</v>
      </c>
      <c r="P92" s="54">
        <f t="shared" ref="P92:Q92" si="87">O92</f>
        <v>28.95</v>
      </c>
      <c r="Q92" s="54">
        <f t="shared" si="87"/>
        <v>28.95</v>
      </c>
      <c r="R92" s="38"/>
      <c r="X92" s="41">
        <f>INDEX('[1]End - Use Prices'!$C$6:$AL$89,MATCH($C92,'[1]End - Use Prices'!$A$6:$A$89,0)+MATCH($D92,'[1]End - Use Prices'!$B$9:$B$11,0)-1,MATCH(X$1,'[1]End - Use Prices'!$C$7:$AL$7,0))</f>
        <v>24.29</v>
      </c>
      <c r="Y92" s="41">
        <f>INDEX('[1]End - Use Prices'!$C$6:$AL$89,MATCH($C92,'[1]End - Use Prices'!$A$6:$A$89,0)+MATCH($D92,'[1]End - Use Prices'!$B$9:$B$11,0)-1,MATCH(Y$1,'[1]End - Use Prices'!$C$7:$AL$7,0))</f>
        <v>24.86</v>
      </c>
      <c r="Z92" s="41">
        <f>INDEX('[1]End - Use Prices'!$C$6:$AL$89,MATCH($C92,'[1]End - Use Prices'!$A$6:$A$89,0)+MATCH($D92,'[1]End - Use Prices'!$B$9:$B$11,0)-1,MATCH(Z$1,'[1]End - Use Prices'!$C$7:$AL$7,0))</f>
        <v>24.61</v>
      </c>
      <c r="AA92" s="41">
        <f>INDEX('[1]End - Use Prices'!$C$6:$AL$89,MATCH($C92,'[1]End - Use Prices'!$A$6:$A$89,0)+MATCH($D92,'[1]End - Use Prices'!$B$9:$B$11,0)-1,MATCH(AA$1,'[1]End - Use Prices'!$C$7:$AL$7,0))</f>
        <v>30.51</v>
      </c>
      <c r="AB92" s="41">
        <f>INDEX('[1]End - Use Prices'!$C$6:$AL$89,MATCH($C92,'[1]End - Use Prices'!$A$6:$A$89,0)+MATCH($D92,'[1]End - Use Prices'!$B$9:$B$11,0)-1,MATCH(AB$1,'[1]End - Use Prices'!$C$7:$AL$7,0))</f>
        <v>21.93</v>
      </c>
      <c r="AC92" s="41">
        <f>INDEX('[1]End - Use Prices'!$C$6:$AL$89,MATCH($C92,'[1]End - Use Prices'!$A$6:$A$89,0)+MATCH($D92,'[1]End - Use Prices'!$B$9:$B$11,0)-1,MATCH(AC$1,'[1]End - Use Prices'!$C$7:$AL$7,0))</f>
        <v>24.71</v>
      </c>
      <c r="AD92" s="41">
        <f>INDEX('[1]End - Use Prices'!$C$6:$AL$89,MATCH($C92,'[1]End - Use Prices'!$A$6:$A$89,0)+MATCH($D92,'[1]End - Use Prices'!$B$9:$B$11,0)-1,MATCH(AD$1,'[1]End - Use Prices'!$C$7:$AL$7,0))</f>
        <v>30.18</v>
      </c>
      <c r="AE92" s="41">
        <f>INDEX('[1]End - Use Prices'!$C$6:$AL$89,MATCH($C92,'[1]End - Use Prices'!$A$6:$A$89,0)+MATCH($D92,'[1]End - Use Prices'!$B$9:$B$11,0)-1,MATCH(AE$1,'[1]End - Use Prices'!$C$7:$AL$7,0))</f>
        <v>31.33</v>
      </c>
      <c r="AF92" s="41">
        <f>INDEX('[1]End - Use Prices'!$C$6:$AL$89,MATCH($C92,'[1]End - Use Prices'!$A$6:$A$89,0)+MATCH($D92,'[1]End - Use Prices'!$B$9:$B$11,0)-1,MATCH(AF$1,'[1]End - Use Prices'!$C$7:$AL$7,0))</f>
        <v>30.91</v>
      </c>
      <c r="AG92" s="41">
        <f>INDEX('[1]End - Use Prices'!$C$6:$AL$89,MATCH($C92,'[1]End - Use Prices'!$A$6:$A$89,0)+MATCH($D92,'[1]End - Use Prices'!$B$9:$B$11,0)-1,MATCH(AG$1,'[1]End - Use Prices'!$C$7:$AL$7,0))</f>
        <v>31</v>
      </c>
      <c r="AH92" s="41">
        <f>INDEX('[1]End - Use Prices'!$C$6:$AL$89,MATCH($C92,'[1]End - Use Prices'!$A$6:$A$89,0)+MATCH($D92,'[1]End - Use Prices'!$B$9:$B$11,0)-1,MATCH(AH$1,'[1]End - Use Prices'!$C$7:$AL$7,0))</f>
        <v>24.09</v>
      </c>
      <c r="AI92" s="41">
        <f>INDEX('[1]End - Use Prices'!$C$6:$AL$89,MATCH($C92,'[1]End - Use Prices'!$A$6:$A$89,0)+MATCH($D92,'[1]End - Use Prices'!$B$9:$B$11,0)-1,MATCH(AI$1,'[1]End - Use Prices'!$C$7:$AL$7,0))</f>
        <v>20.85</v>
      </c>
      <c r="AJ92" s="41">
        <f>INDEX('[1]End - Use Prices'!$C$6:$AL$89,MATCH($C92,'[1]End - Use Prices'!$A$6:$A$89,0)+MATCH($D92,'[1]End - Use Prices'!$B$9:$B$11,0)-1,MATCH(AJ$1,'[1]End - Use Prices'!$C$7:$AL$7,0))</f>
        <v>22.06</v>
      </c>
      <c r="AK92" s="41">
        <f>INDEX('[1]End - Use Prices'!$C$6:$AL$89,MATCH($C92,'[1]End - Use Prices'!$A$6:$A$89,0)+MATCH($D92,'[1]End - Use Prices'!$B$9:$B$11,0)-1,MATCH(AK$1,'[1]End - Use Prices'!$C$7:$AL$7,0))</f>
        <v>26.58</v>
      </c>
      <c r="AL92" s="41">
        <f>INDEX('[1]End - Use Prices'!$C$6:$AL$89,MATCH($C92,'[1]End - Use Prices'!$A$6:$A$89,0)+MATCH($D92,'[1]End - Use Prices'!$B$9:$B$11,0)-1,MATCH(AL$1,'[1]End - Use Prices'!$C$7:$AL$7,0))</f>
        <v>29.7</v>
      </c>
      <c r="AM92" s="41">
        <f>INDEX('[1]End - Use Prices'!$C$6:$AL$89,MATCH($C92,'[1]End - Use Prices'!$A$6:$A$89,0)+MATCH($D92,'[1]End - Use Prices'!$B$9:$B$11,0)-1,MATCH(AM$1,'[1]End - Use Prices'!$C$7:$AL$7,0))</f>
        <v>34.39</v>
      </c>
      <c r="AN92" s="41">
        <f>INDEX('[1]End - Use Prices'!$C$6:$AL$89,MATCH($C92,'[1]End - Use Prices'!$A$6:$A$89,0)+MATCH($D92,'[1]End - Use Prices'!$B$9:$B$11,0)-1,MATCH(AN$1,'[1]End - Use Prices'!$C$7:$AL$7,0))</f>
        <v>31.95</v>
      </c>
      <c r="AO92" s="41">
        <f>INDEX('[1]End - Use Prices'!$C$6:$AL$89,MATCH($C92,'[1]End - Use Prices'!$A$6:$A$89,0)+MATCH($D92,'[1]End - Use Prices'!$B$9:$B$11,0)-1,MATCH(AO$1,'[1]End - Use Prices'!$C$7:$AL$7,0))</f>
        <v>30.49</v>
      </c>
      <c r="AP92" s="41">
        <f>INDEX('[1]End - Use Prices'!$C$6:$AL$89,MATCH($C92,'[1]End - Use Prices'!$A$6:$A$89,0)+MATCH($D92,'[1]End - Use Prices'!$B$9:$B$11,0)-1,MATCH(AP$1,'[1]End - Use Prices'!$C$7:$AL$7,0))</f>
        <v>30.66</v>
      </c>
      <c r="AQ92" s="41">
        <f>INDEX('[1]End - Use Prices'!$C$6:$AL$89,MATCH($C92,'[1]End - Use Prices'!$A$6:$A$89,0)+MATCH($D92,'[1]End - Use Prices'!$B$9:$B$11,0)-1,MATCH(AQ$1,'[1]End - Use Prices'!$C$7:$AL$7,0))</f>
        <v>30.4</v>
      </c>
      <c r="AR92" s="41">
        <f>INDEX('[1]End - Use Prices'!$C$6:$AL$89,MATCH($C92,'[1]End - Use Prices'!$A$6:$A$89,0)+MATCH($D92,'[1]End - Use Prices'!$B$9:$B$11,0)-1,MATCH(AR$1,'[1]End - Use Prices'!$C$7:$AL$7,0))</f>
        <v>30.37</v>
      </c>
      <c r="AS92" s="41">
        <f>INDEX('[1]End - Use Prices'!$C$6:$AL$89,MATCH($C92,'[1]End - Use Prices'!$A$6:$A$89,0)+MATCH($D92,'[1]End - Use Prices'!$B$9:$B$11,0)-1,MATCH(AS$1,'[1]End - Use Prices'!$C$7:$AL$7,0))</f>
        <v>30.29</v>
      </c>
      <c r="AT92" s="41">
        <f>INDEX('[1]End - Use Prices'!$C$6:$AL$89,MATCH($C92,'[1]End - Use Prices'!$A$6:$A$89,0)+MATCH($D92,'[1]End - Use Prices'!$B$9:$B$11,0)-1,MATCH(AT$1,'[1]End - Use Prices'!$C$7:$AL$7,0))</f>
        <v>30.12</v>
      </c>
      <c r="AU92" s="41">
        <f>INDEX('[1]End - Use Prices'!$C$6:$AL$89,MATCH($C92,'[1]End - Use Prices'!$A$6:$A$89,0)+MATCH($D92,'[1]End - Use Prices'!$B$9:$B$11,0)-1,MATCH(AU$1,'[1]End - Use Prices'!$C$7:$AL$7,0))</f>
        <v>29.91</v>
      </c>
      <c r="AV92" s="41">
        <f>INDEX('[1]End - Use Prices'!$C$6:$AL$89,MATCH($C92,'[1]End - Use Prices'!$A$6:$A$89,0)+MATCH($D92,'[1]End - Use Prices'!$B$9:$B$11,0)-1,MATCH(AV$1,'[1]End - Use Prices'!$C$7:$AL$7,0))</f>
        <v>29.74</v>
      </c>
      <c r="AW92" s="41">
        <f>INDEX('[1]End - Use Prices'!$C$6:$AL$89,MATCH($C92,'[1]End - Use Prices'!$A$6:$A$89,0)+MATCH($D92,'[1]End - Use Prices'!$B$9:$B$11,0)-1,MATCH(AW$1,'[1]End - Use Prices'!$C$7:$AL$7,0))</f>
        <v>29.56</v>
      </c>
      <c r="AX92" s="41">
        <f>INDEX('[1]End - Use Prices'!$C$6:$AL$89,MATCH($C92,'[1]End - Use Prices'!$A$6:$A$89,0)+MATCH($D92,'[1]End - Use Prices'!$B$9:$B$11,0)-1,MATCH(AX$1,'[1]End - Use Prices'!$C$7:$AL$7,0))</f>
        <v>29.46</v>
      </c>
      <c r="AY92" s="41">
        <f>INDEX('[1]End - Use Prices'!$C$6:$AL$89,MATCH($C92,'[1]End - Use Prices'!$A$6:$A$89,0)+MATCH($D92,'[1]End - Use Prices'!$B$9:$B$11,0)-1,MATCH(AY$1,'[1]End - Use Prices'!$C$7:$AL$7,0))</f>
        <v>29.39</v>
      </c>
      <c r="AZ92" s="41">
        <f>INDEX('[1]End - Use Prices'!$C$6:$AL$89,MATCH($C92,'[1]End - Use Prices'!$A$6:$A$89,0)+MATCH($D92,'[1]End - Use Prices'!$B$9:$B$11,0)-1,MATCH(AZ$1,'[1]End - Use Prices'!$C$7:$AL$7,0))</f>
        <v>29.35</v>
      </c>
      <c r="BA92" s="41">
        <f>INDEX('[1]End - Use Prices'!$C$6:$AL$89,MATCH($C92,'[1]End - Use Prices'!$A$6:$A$89,0)+MATCH($D92,'[1]End - Use Prices'!$B$9:$B$11,0)-1,MATCH(BA$1,'[1]End - Use Prices'!$C$7:$AL$7,0))</f>
        <v>29.35</v>
      </c>
      <c r="BB92" s="41">
        <f>INDEX('[1]End - Use Prices'!$C$6:$AL$89,MATCH($C92,'[1]End - Use Prices'!$A$6:$A$89,0)+MATCH($D92,'[1]End - Use Prices'!$B$9:$B$11,0)-1,MATCH(BB$1,'[1]End - Use Prices'!$C$7:$AL$7,0))</f>
        <v>29.32</v>
      </c>
      <c r="BC92" s="41">
        <f>INDEX('[1]End - Use Prices'!$C$6:$AL$89,MATCH($C92,'[1]End - Use Prices'!$A$6:$A$89,0)+MATCH($D92,'[1]End - Use Prices'!$B$9:$B$11,0)-1,MATCH(BC$1,'[1]End - Use Prices'!$C$7:$AL$7,0))</f>
        <v>29.28</v>
      </c>
      <c r="BD92" s="41">
        <f>INDEX('[1]End - Use Prices'!$C$6:$AL$89,MATCH($C92,'[1]End - Use Prices'!$A$6:$A$89,0)+MATCH($D92,'[1]End - Use Prices'!$B$9:$B$11,0)-1,MATCH(BD$1,'[1]End - Use Prices'!$C$7:$AL$7,0))</f>
        <v>29.23</v>
      </c>
      <c r="BE92" s="41">
        <f>INDEX('[1]End - Use Prices'!$C$6:$AL$89,MATCH($C92,'[1]End - Use Prices'!$A$6:$A$89,0)+MATCH($D92,'[1]End - Use Prices'!$B$9:$B$11,0)-1,MATCH(BE$1,'[1]End - Use Prices'!$C$7:$AL$7,0))</f>
        <v>29.14</v>
      </c>
      <c r="BF92" s="41">
        <f>INDEX('[1]End - Use Prices'!$C$6:$AL$89,MATCH($C92,'[1]End - Use Prices'!$A$6:$A$89,0)+MATCH($D92,'[1]End - Use Prices'!$B$9:$B$11,0)-1,MATCH(BF$1,'[1]End - Use Prices'!$C$7:$AL$7,0))</f>
        <v>29.05</v>
      </c>
      <c r="BG92" s="41">
        <f>INDEX('[1]End - Use Prices'!$C$6:$AL$89,MATCH($C92,'[1]End - Use Prices'!$A$6:$A$89,0)+MATCH($D92,'[1]End - Use Prices'!$B$9:$B$11,0)-1,MATCH(BG$1,'[1]End - Use Prices'!$C$7:$AL$7,0))</f>
        <v>28.95</v>
      </c>
      <c r="BR92" s="39"/>
      <c r="BS92" s="39"/>
      <c r="BT92" s="39"/>
      <c r="BU92" s="39"/>
      <c r="BV92" s="39"/>
      <c r="BW92" s="39"/>
      <c r="BX92" s="39"/>
      <c r="BY92" s="39"/>
      <c r="BZ92" s="39"/>
      <c r="CA92" s="39"/>
    </row>
    <row r="93" spans="1:79" x14ac:dyDescent="0.25">
      <c r="A93" s="5"/>
      <c r="B93" s="3"/>
      <c r="C93" s="25" t="s">
        <v>89</v>
      </c>
      <c r="D93" s="25" t="s">
        <v>311</v>
      </c>
      <c r="E93" s="25" t="s">
        <v>313</v>
      </c>
      <c r="F93" s="74" t="s">
        <v>310</v>
      </c>
      <c r="G93" s="54">
        <f t="shared" si="54"/>
        <v>27.52</v>
      </c>
      <c r="H93" s="34">
        <f t="shared" si="72"/>
        <v>27.52</v>
      </c>
      <c r="I93" s="34">
        <f t="shared" si="72"/>
        <v>25.32</v>
      </c>
      <c r="J93" s="34">
        <f t="shared" si="72"/>
        <v>27.46</v>
      </c>
      <c r="K93" s="34">
        <f t="shared" si="72"/>
        <v>37.450000000000003</v>
      </c>
      <c r="L93" s="34">
        <f t="shared" si="72"/>
        <v>33.42</v>
      </c>
      <c r="M93" s="34">
        <f t="shared" si="72"/>
        <v>32.61</v>
      </c>
      <c r="N93" s="34">
        <f t="shared" si="72"/>
        <v>32.369999999999997</v>
      </c>
      <c r="O93" s="34">
        <f t="shared" si="72"/>
        <v>32</v>
      </c>
      <c r="P93" s="54">
        <f t="shared" ref="P93:Q93" si="88">O93</f>
        <v>32</v>
      </c>
      <c r="Q93" s="54">
        <f t="shared" si="88"/>
        <v>32</v>
      </c>
      <c r="R93" s="38"/>
      <c r="X93" s="41">
        <f>INDEX('[1]End - Use Prices'!$C$6:$AL$89,MATCH($C93,'[1]End - Use Prices'!$A$6:$A$89,0)+MATCH($D93,'[1]End - Use Prices'!$B$9:$B$11,0)-1,MATCH(X$1,'[1]End - Use Prices'!$C$7:$AL$7,0))</f>
        <v>27.52</v>
      </c>
      <c r="Y93" s="41">
        <f>INDEX('[1]End - Use Prices'!$C$6:$AL$89,MATCH($C93,'[1]End - Use Prices'!$A$6:$A$89,0)+MATCH($D93,'[1]End - Use Prices'!$B$9:$B$11,0)-1,MATCH(Y$1,'[1]End - Use Prices'!$C$7:$AL$7,0))</f>
        <v>28.18</v>
      </c>
      <c r="Z93" s="41">
        <f>INDEX('[1]End - Use Prices'!$C$6:$AL$89,MATCH($C93,'[1]End - Use Prices'!$A$6:$A$89,0)+MATCH($D93,'[1]End - Use Prices'!$B$9:$B$11,0)-1,MATCH(Z$1,'[1]End - Use Prices'!$C$7:$AL$7,0))</f>
        <v>26.07</v>
      </c>
      <c r="AA93" s="41">
        <f>INDEX('[1]End - Use Prices'!$C$6:$AL$89,MATCH($C93,'[1]End - Use Prices'!$A$6:$A$89,0)+MATCH($D93,'[1]End - Use Prices'!$B$9:$B$11,0)-1,MATCH(AA$1,'[1]End - Use Prices'!$C$7:$AL$7,0))</f>
        <v>31.72</v>
      </c>
      <c r="AB93" s="41">
        <f>INDEX('[1]End - Use Prices'!$C$6:$AL$89,MATCH($C93,'[1]End - Use Prices'!$A$6:$A$89,0)+MATCH($D93,'[1]End - Use Prices'!$B$9:$B$11,0)-1,MATCH(AB$1,'[1]End - Use Prices'!$C$7:$AL$7,0))</f>
        <v>22.7</v>
      </c>
      <c r="AC93" s="41">
        <f>INDEX('[1]End - Use Prices'!$C$6:$AL$89,MATCH($C93,'[1]End - Use Prices'!$A$6:$A$89,0)+MATCH($D93,'[1]End - Use Prices'!$B$9:$B$11,0)-1,MATCH(AC$1,'[1]End - Use Prices'!$C$7:$AL$7,0))</f>
        <v>25.32</v>
      </c>
      <c r="AD93" s="41">
        <f>INDEX('[1]End - Use Prices'!$C$6:$AL$89,MATCH($C93,'[1]End - Use Prices'!$A$6:$A$89,0)+MATCH($D93,'[1]End - Use Prices'!$B$9:$B$11,0)-1,MATCH(AD$1,'[1]End - Use Prices'!$C$7:$AL$7,0))</f>
        <v>30.73</v>
      </c>
      <c r="AE93" s="41">
        <f>INDEX('[1]End - Use Prices'!$C$6:$AL$89,MATCH($C93,'[1]End - Use Prices'!$A$6:$A$89,0)+MATCH($D93,'[1]End - Use Prices'!$B$9:$B$11,0)-1,MATCH(AE$1,'[1]End - Use Prices'!$C$7:$AL$7,0))</f>
        <v>31.88</v>
      </c>
      <c r="AF93" s="41">
        <f>INDEX('[1]End - Use Prices'!$C$6:$AL$89,MATCH($C93,'[1]End - Use Prices'!$A$6:$A$89,0)+MATCH($D93,'[1]End - Use Prices'!$B$9:$B$11,0)-1,MATCH(AF$1,'[1]End - Use Prices'!$C$7:$AL$7,0))</f>
        <v>31.97</v>
      </c>
      <c r="AG93" s="41">
        <f>INDEX('[1]End - Use Prices'!$C$6:$AL$89,MATCH($C93,'[1]End - Use Prices'!$A$6:$A$89,0)+MATCH($D93,'[1]End - Use Prices'!$B$9:$B$11,0)-1,MATCH(AG$1,'[1]End - Use Prices'!$C$7:$AL$7,0))</f>
        <v>34.450000000000003</v>
      </c>
      <c r="AH93" s="41">
        <f>INDEX('[1]End - Use Prices'!$C$6:$AL$89,MATCH($C93,'[1]End - Use Prices'!$A$6:$A$89,0)+MATCH($D93,'[1]End - Use Prices'!$B$9:$B$11,0)-1,MATCH(AH$1,'[1]End - Use Prices'!$C$7:$AL$7,0))</f>
        <v>27.46</v>
      </c>
      <c r="AI93" s="41">
        <f>INDEX('[1]End - Use Prices'!$C$6:$AL$89,MATCH($C93,'[1]End - Use Prices'!$A$6:$A$89,0)+MATCH($D93,'[1]End - Use Prices'!$B$9:$B$11,0)-1,MATCH(AI$1,'[1]End - Use Prices'!$C$7:$AL$7,0))</f>
        <v>23.92</v>
      </c>
      <c r="AJ93" s="41">
        <f>INDEX('[1]End - Use Prices'!$C$6:$AL$89,MATCH($C93,'[1]End - Use Prices'!$A$6:$A$89,0)+MATCH($D93,'[1]End - Use Prices'!$B$9:$B$11,0)-1,MATCH(AJ$1,'[1]End - Use Prices'!$C$7:$AL$7,0))</f>
        <v>25.38</v>
      </c>
      <c r="AK93" s="41">
        <f>INDEX('[1]End - Use Prices'!$C$6:$AL$89,MATCH($C93,'[1]End - Use Prices'!$A$6:$A$89,0)+MATCH($D93,'[1]End - Use Prices'!$B$9:$B$11,0)-1,MATCH(AK$1,'[1]End - Use Prices'!$C$7:$AL$7,0))</f>
        <v>29.63</v>
      </c>
      <c r="AL93" s="41">
        <f>INDEX('[1]End - Use Prices'!$C$6:$AL$89,MATCH($C93,'[1]End - Use Prices'!$A$6:$A$89,0)+MATCH($D93,'[1]End - Use Prices'!$B$9:$B$11,0)-1,MATCH(AL$1,'[1]End - Use Prices'!$C$7:$AL$7,0))</f>
        <v>32.75</v>
      </c>
      <c r="AM93" s="41">
        <f>INDEX('[1]End - Use Prices'!$C$6:$AL$89,MATCH($C93,'[1]End - Use Prices'!$A$6:$A$89,0)+MATCH($D93,'[1]End - Use Prices'!$B$9:$B$11,0)-1,MATCH(AM$1,'[1]End - Use Prices'!$C$7:$AL$7,0))</f>
        <v>37.450000000000003</v>
      </c>
      <c r="AN93" s="41">
        <f>INDEX('[1]End - Use Prices'!$C$6:$AL$89,MATCH($C93,'[1]End - Use Prices'!$A$6:$A$89,0)+MATCH($D93,'[1]End - Use Prices'!$B$9:$B$11,0)-1,MATCH(AN$1,'[1]End - Use Prices'!$C$7:$AL$7,0))</f>
        <v>35</v>
      </c>
      <c r="AO93" s="41">
        <f>INDEX('[1]End - Use Prices'!$C$6:$AL$89,MATCH($C93,'[1]End - Use Prices'!$A$6:$A$89,0)+MATCH($D93,'[1]End - Use Prices'!$B$9:$B$11,0)-1,MATCH(AO$1,'[1]End - Use Prices'!$C$7:$AL$7,0))</f>
        <v>33.549999999999997</v>
      </c>
      <c r="AP93" s="41">
        <f>INDEX('[1]End - Use Prices'!$C$6:$AL$89,MATCH($C93,'[1]End - Use Prices'!$A$6:$A$89,0)+MATCH($D93,'[1]End - Use Prices'!$B$9:$B$11,0)-1,MATCH(AP$1,'[1]End - Use Prices'!$C$7:$AL$7,0))</f>
        <v>33.72</v>
      </c>
      <c r="AQ93" s="41">
        <f>INDEX('[1]End - Use Prices'!$C$6:$AL$89,MATCH($C93,'[1]End - Use Prices'!$A$6:$A$89,0)+MATCH($D93,'[1]End - Use Prices'!$B$9:$B$11,0)-1,MATCH(AQ$1,'[1]End - Use Prices'!$C$7:$AL$7,0))</f>
        <v>33.450000000000003</v>
      </c>
      <c r="AR93" s="41">
        <f>INDEX('[1]End - Use Prices'!$C$6:$AL$89,MATCH($C93,'[1]End - Use Prices'!$A$6:$A$89,0)+MATCH($D93,'[1]End - Use Prices'!$B$9:$B$11,0)-1,MATCH(AR$1,'[1]End - Use Prices'!$C$7:$AL$7,0))</f>
        <v>33.42</v>
      </c>
      <c r="AS93" s="41">
        <f>INDEX('[1]End - Use Prices'!$C$6:$AL$89,MATCH($C93,'[1]End - Use Prices'!$A$6:$A$89,0)+MATCH($D93,'[1]End - Use Prices'!$B$9:$B$11,0)-1,MATCH(AS$1,'[1]End - Use Prices'!$C$7:$AL$7,0))</f>
        <v>33.340000000000003</v>
      </c>
      <c r="AT93" s="41">
        <f>INDEX('[1]End - Use Prices'!$C$6:$AL$89,MATCH($C93,'[1]End - Use Prices'!$A$6:$A$89,0)+MATCH($D93,'[1]End - Use Prices'!$B$9:$B$11,0)-1,MATCH(AT$1,'[1]End - Use Prices'!$C$7:$AL$7,0))</f>
        <v>33.17</v>
      </c>
      <c r="AU93" s="41">
        <f>INDEX('[1]End - Use Prices'!$C$6:$AL$89,MATCH($C93,'[1]End - Use Prices'!$A$6:$A$89,0)+MATCH($D93,'[1]End - Use Prices'!$B$9:$B$11,0)-1,MATCH(AU$1,'[1]End - Use Prices'!$C$7:$AL$7,0))</f>
        <v>32.96</v>
      </c>
      <c r="AV93" s="41">
        <f>INDEX('[1]End - Use Prices'!$C$6:$AL$89,MATCH($C93,'[1]End - Use Prices'!$A$6:$A$89,0)+MATCH($D93,'[1]End - Use Prices'!$B$9:$B$11,0)-1,MATCH(AV$1,'[1]End - Use Prices'!$C$7:$AL$7,0))</f>
        <v>32.79</v>
      </c>
      <c r="AW93" s="41">
        <f>INDEX('[1]End - Use Prices'!$C$6:$AL$89,MATCH($C93,'[1]End - Use Prices'!$A$6:$A$89,0)+MATCH($D93,'[1]End - Use Prices'!$B$9:$B$11,0)-1,MATCH(AW$1,'[1]End - Use Prices'!$C$7:$AL$7,0))</f>
        <v>32.61</v>
      </c>
      <c r="AX93" s="41">
        <f>INDEX('[1]End - Use Prices'!$C$6:$AL$89,MATCH($C93,'[1]End - Use Prices'!$A$6:$A$89,0)+MATCH($D93,'[1]End - Use Prices'!$B$9:$B$11,0)-1,MATCH(AX$1,'[1]End - Use Prices'!$C$7:$AL$7,0))</f>
        <v>32.51</v>
      </c>
      <c r="AY93" s="41">
        <f>INDEX('[1]End - Use Prices'!$C$6:$AL$89,MATCH($C93,'[1]End - Use Prices'!$A$6:$A$89,0)+MATCH($D93,'[1]End - Use Prices'!$B$9:$B$11,0)-1,MATCH(AY$1,'[1]End - Use Prices'!$C$7:$AL$7,0))</f>
        <v>32.44</v>
      </c>
      <c r="AZ93" s="41">
        <f>INDEX('[1]End - Use Prices'!$C$6:$AL$89,MATCH($C93,'[1]End - Use Prices'!$A$6:$A$89,0)+MATCH($D93,'[1]End - Use Prices'!$B$9:$B$11,0)-1,MATCH(AZ$1,'[1]End - Use Prices'!$C$7:$AL$7,0))</f>
        <v>32.4</v>
      </c>
      <c r="BA93" s="41">
        <f>INDEX('[1]End - Use Prices'!$C$6:$AL$89,MATCH($C93,'[1]End - Use Prices'!$A$6:$A$89,0)+MATCH($D93,'[1]End - Use Prices'!$B$9:$B$11,0)-1,MATCH(BA$1,'[1]End - Use Prices'!$C$7:$AL$7,0))</f>
        <v>32.4</v>
      </c>
      <c r="BB93" s="41">
        <f>INDEX('[1]End - Use Prices'!$C$6:$AL$89,MATCH($C93,'[1]End - Use Prices'!$A$6:$A$89,0)+MATCH($D93,'[1]End - Use Prices'!$B$9:$B$11,0)-1,MATCH(BB$1,'[1]End - Use Prices'!$C$7:$AL$7,0))</f>
        <v>32.369999999999997</v>
      </c>
      <c r="BC93" s="41">
        <f>INDEX('[1]End - Use Prices'!$C$6:$AL$89,MATCH($C93,'[1]End - Use Prices'!$A$6:$A$89,0)+MATCH($D93,'[1]End - Use Prices'!$B$9:$B$11,0)-1,MATCH(BC$1,'[1]End - Use Prices'!$C$7:$AL$7,0))</f>
        <v>32.33</v>
      </c>
      <c r="BD93" s="41">
        <f>INDEX('[1]End - Use Prices'!$C$6:$AL$89,MATCH($C93,'[1]End - Use Prices'!$A$6:$A$89,0)+MATCH($D93,'[1]End - Use Prices'!$B$9:$B$11,0)-1,MATCH(BD$1,'[1]End - Use Prices'!$C$7:$AL$7,0))</f>
        <v>32.28</v>
      </c>
      <c r="BE93" s="41">
        <f>INDEX('[1]End - Use Prices'!$C$6:$AL$89,MATCH($C93,'[1]End - Use Prices'!$A$6:$A$89,0)+MATCH($D93,'[1]End - Use Prices'!$B$9:$B$11,0)-1,MATCH(BE$1,'[1]End - Use Prices'!$C$7:$AL$7,0))</f>
        <v>32.19</v>
      </c>
      <c r="BF93" s="41">
        <f>INDEX('[1]End - Use Prices'!$C$6:$AL$89,MATCH($C93,'[1]End - Use Prices'!$A$6:$A$89,0)+MATCH($D93,'[1]End - Use Prices'!$B$9:$B$11,0)-1,MATCH(BF$1,'[1]End - Use Prices'!$C$7:$AL$7,0))</f>
        <v>32.1</v>
      </c>
      <c r="BG93" s="41">
        <f>INDEX('[1]End - Use Prices'!$C$6:$AL$89,MATCH($C93,'[1]End - Use Prices'!$A$6:$A$89,0)+MATCH($D93,'[1]End - Use Prices'!$B$9:$B$11,0)-1,MATCH(BG$1,'[1]End - Use Prices'!$C$7:$AL$7,0))</f>
        <v>32</v>
      </c>
      <c r="BR93" s="39"/>
      <c r="BS93" s="39"/>
      <c r="BT93" s="39"/>
      <c r="BU93" s="39"/>
      <c r="BV93" s="39"/>
      <c r="BW93" s="39"/>
      <c r="BX93" s="39"/>
      <c r="BY93" s="39"/>
      <c r="BZ93" s="39"/>
      <c r="CA93" s="39"/>
    </row>
    <row r="94" spans="1:79" x14ac:dyDescent="0.25">
      <c r="A94" s="5"/>
      <c r="B94" s="3"/>
      <c r="C94" s="25" t="s">
        <v>90</v>
      </c>
      <c r="D94" s="25" t="s">
        <v>311</v>
      </c>
      <c r="E94" s="25" t="s">
        <v>313</v>
      </c>
      <c r="F94" s="74" t="s">
        <v>310</v>
      </c>
      <c r="G94" s="54">
        <f t="shared" si="54"/>
        <v>27.36</v>
      </c>
      <c r="H94" s="34">
        <f t="shared" ref="H94:O103" si="89">INDEX($S94:$CA94,MATCH(H$1,$S$1:$CA$1,0))</f>
        <v>27.36</v>
      </c>
      <c r="I94" s="34">
        <f t="shared" si="89"/>
        <v>27.36</v>
      </c>
      <c r="J94" s="34">
        <f t="shared" si="89"/>
        <v>28.05</v>
      </c>
      <c r="K94" s="34">
        <f t="shared" si="89"/>
        <v>38.97</v>
      </c>
      <c r="L94" s="34">
        <f t="shared" si="89"/>
        <v>34.42</v>
      </c>
      <c r="M94" s="34">
        <f t="shared" si="89"/>
        <v>33.590000000000003</v>
      </c>
      <c r="N94" s="34">
        <f t="shared" si="89"/>
        <v>33.35</v>
      </c>
      <c r="O94" s="34">
        <f t="shared" si="89"/>
        <v>32.97</v>
      </c>
      <c r="P94" s="54">
        <f t="shared" ref="P94:Q94" si="90">O94</f>
        <v>32.97</v>
      </c>
      <c r="Q94" s="54">
        <f t="shared" si="90"/>
        <v>32.97</v>
      </c>
      <c r="R94" s="38"/>
      <c r="X94" s="41">
        <f>INDEX('[1]End - Use Prices'!$C$6:$AL$89,MATCH($C94,'[1]End - Use Prices'!$A$6:$A$89,0)+MATCH($D94,'[1]End - Use Prices'!$B$9:$B$11,0)-1,MATCH(X$1,'[1]End - Use Prices'!$C$7:$AL$7,0))</f>
        <v>27.36</v>
      </c>
      <c r="Y94" s="41">
        <f>INDEX('[1]End - Use Prices'!$C$6:$AL$89,MATCH($C94,'[1]End - Use Prices'!$A$6:$A$89,0)+MATCH($D94,'[1]End - Use Prices'!$B$9:$B$11,0)-1,MATCH(Y$1,'[1]End - Use Prices'!$C$7:$AL$7,0))</f>
        <v>27.14</v>
      </c>
      <c r="Z94" s="41">
        <f>INDEX('[1]End - Use Prices'!$C$6:$AL$89,MATCH($C94,'[1]End - Use Prices'!$A$6:$A$89,0)+MATCH($D94,'[1]End - Use Prices'!$B$9:$B$11,0)-1,MATCH(Z$1,'[1]End - Use Prices'!$C$7:$AL$7,0))</f>
        <v>27.83</v>
      </c>
      <c r="AA94" s="41">
        <f>INDEX('[1]End - Use Prices'!$C$6:$AL$89,MATCH($C94,'[1]End - Use Prices'!$A$6:$A$89,0)+MATCH($D94,'[1]End - Use Prices'!$B$9:$B$11,0)-1,MATCH(AA$1,'[1]End - Use Prices'!$C$7:$AL$7,0))</f>
        <v>34.340000000000003</v>
      </c>
      <c r="AB94" s="41">
        <f>INDEX('[1]End - Use Prices'!$C$6:$AL$89,MATCH($C94,'[1]End - Use Prices'!$A$6:$A$89,0)+MATCH($D94,'[1]End - Use Prices'!$B$9:$B$11,0)-1,MATCH(AB$1,'[1]End - Use Prices'!$C$7:$AL$7,0))</f>
        <v>24.16</v>
      </c>
      <c r="AC94" s="41">
        <f>INDEX('[1]End - Use Prices'!$C$6:$AL$89,MATCH($C94,'[1]End - Use Prices'!$A$6:$A$89,0)+MATCH($D94,'[1]End - Use Prices'!$B$9:$B$11,0)-1,MATCH(AC$1,'[1]End - Use Prices'!$C$7:$AL$7,0))</f>
        <v>27.36</v>
      </c>
      <c r="AD94" s="41">
        <f>INDEX('[1]End - Use Prices'!$C$6:$AL$89,MATCH($C94,'[1]End - Use Prices'!$A$6:$A$89,0)+MATCH($D94,'[1]End - Use Prices'!$B$9:$B$11,0)-1,MATCH(AD$1,'[1]End - Use Prices'!$C$7:$AL$7,0))</f>
        <v>32.19</v>
      </c>
      <c r="AE94" s="41">
        <f>INDEX('[1]End - Use Prices'!$C$6:$AL$89,MATCH($C94,'[1]End - Use Prices'!$A$6:$A$89,0)+MATCH($D94,'[1]End - Use Prices'!$B$9:$B$11,0)-1,MATCH(AE$1,'[1]End - Use Prices'!$C$7:$AL$7,0))</f>
        <v>33.76</v>
      </c>
      <c r="AF94" s="41">
        <f>INDEX('[1]End - Use Prices'!$C$6:$AL$89,MATCH($C94,'[1]End - Use Prices'!$A$6:$A$89,0)+MATCH($D94,'[1]End - Use Prices'!$B$9:$B$11,0)-1,MATCH(AF$1,'[1]End - Use Prices'!$C$7:$AL$7,0))</f>
        <v>32.590000000000003</v>
      </c>
      <c r="AG94" s="41">
        <f>INDEX('[1]End - Use Prices'!$C$6:$AL$89,MATCH($C94,'[1]End - Use Prices'!$A$6:$A$89,0)+MATCH($D94,'[1]End - Use Prices'!$B$9:$B$11,0)-1,MATCH(AG$1,'[1]End - Use Prices'!$C$7:$AL$7,0))</f>
        <v>34.17</v>
      </c>
      <c r="AH94" s="41">
        <f>INDEX('[1]End - Use Prices'!$C$6:$AL$89,MATCH($C94,'[1]End - Use Prices'!$A$6:$A$89,0)+MATCH($D94,'[1]End - Use Prices'!$B$9:$B$11,0)-1,MATCH(AH$1,'[1]End - Use Prices'!$C$7:$AL$7,0))</f>
        <v>28.05</v>
      </c>
      <c r="AI94" s="41">
        <f>INDEX('[1]End - Use Prices'!$C$6:$AL$89,MATCH($C94,'[1]End - Use Prices'!$A$6:$A$89,0)+MATCH($D94,'[1]End - Use Prices'!$B$9:$B$11,0)-1,MATCH(AI$1,'[1]End - Use Prices'!$C$7:$AL$7,0))</f>
        <v>24.4</v>
      </c>
      <c r="AJ94" s="41">
        <f>INDEX('[1]End - Use Prices'!$C$6:$AL$89,MATCH($C94,'[1]End - Use Prices'!$A$6:$A$89,0)+MATCH($D94,'[1]End - Use Prices'!$B$9:$B$11,0)-1,MATCH(AJ$1,'[1]End - Use Prices'!$C$7:$AL$7,0))</f>
        <v>26.95</v>
      </c>
      <c r="AK94" s="41">
        <f>INDEX('[1]End - Use Prices'!$C$6:$AL$89,MATCH($C94,'[1]End - Use Prices'!$A$6:$A$89,0)+MATCH($D94,'[1]End - Use Prices'!$B$9:$B$11,0)-1,MATCH(AK$1,'[1]End - Use Prices'!$C$7:$AL$7,0))</f>
        <v>30.62</v>
      </c>
      <c r="AL94" s="41">
        <f>INDEX('[1]End - Use Prices'!$C$6:$AL$89,MATCH($C94,'[1]End - Use Prices'!$A$6:$A$89,0)+MATCH($D94,'[1]End - Use Prices'!$B$9:$B$11,0)-1,MATCH(AL$1,'[1]End - Use Prices'!$C$7:$AL$7,0))</f>
        <v>34.01</v>
      </c>
      <c r="AM94" s="41">
        <f>INDEX('[1]End - Use Prices'!$C$6:$AL$89,MATCH($C94,'[1]End - Use Prices'!$A$6:$A$89,0)+MATCH($D94,'[1]End - Use Prices'!$B$9:$B$11,0)-1,MATCH(AM$1,'[1]End - Use Prices'!$C$7:$AL$7,0))</f>
        <v>38.97</v>
      </c>
      <c r="AN94" s="41">
        <f>INDEX('[1]End - Use Prices'!$C$6:$AL$89,MATCH($C94,'[1]End - Use Prices'!$A$6:$A$89,0)+MATCH($D94,'[1]End - Use Prices'!$B$9:$B$11,0)-1,MATCH(AN$1,'[1]End - Use Prices'!$C$7:$AL$7,0))</f>
        <v>36.24</v>
      </c>
      <c r="AO94" s="41">
        <f>INDEX('[1]End - Use Prices'!$C$6:$AL$89,MATCH($C94,'[1]End - Use Prices'!$A$6:$A$89,0)+MATCH($D94,'[1]End - Use Prices'!$B$9:$B$11,0)-1,MATCH(AO$1,'[1]End - Use Prices'!$C$7:$AL$7,0))</f>
        <v>34.6</v>
      </c>
      <c r="AP94" s="41">
        <f>INDEX('[1]End - Use Prices'!$C$6:$AL$89,MATCH($C94,'[1]End - Use Prices'!$A$6:$A$89,0)+MATCH($D94,'[1]End - Use Prices'!$B$9:$B$11,0)-1,MATCH(AP$1,'[1]End - Use Prices'!$C$7:$AL$7,0))</f>
        <v>34.72</v>
      </c>
      <c r="AQ94" s="41">
        <f>INDEX('[1]End - Use Prices'!$C$6:$AL$89,MATCH($C94,'[1]End - Use Prices'!$A$6:$A$89,0)+MATCH($D94,'[1]End - Use Prices'!$B$9:$B$11,0)-1,MATCH(AQ$1,'[1]End - Use Prices'!$C$7:$AL$7,0))</f>
        <v>34.450000000000003</v>
      </c>
      <c r="AR94" s="41">
        <f>INDEX('[1]End - Use Prices'!$C$6:$AL$89,MATCH($C94,'[1]End - Use Prices'!$A$6:$A$89,0)+MATCH($D94,'[1]End - Use Prices'!$B$9:$B$11,0)-1,MATCH(AR$1,'[1]End - Use Prices'!$C$7:$AL$7,0))</f>
        <v>34.42</v>
      </c>
      <c r="AS94" s="41">
        <f>INDEX('[1]End - Use Prices'!$C$6:$AL$89,MATCH($C94,'[1]End - Use Prices'!$A$6:$A$89,0)+MATCH($D94,'[1]End - Use Prices'!$B$9:$B$11,0)-1,MATCH(AS$1,'[1]End - Use Prices'!$C$7:$AL$7,0))</f>
        <v>34.35</v>
      </c>
      <c r="AT94" s="41">
        <f>INDEX('[1]End - Use Prices'!$C$6:$AL$89,MATCH($C94,'[1]End - Use Prices'!$A$6:$A$89,0)+MATCH($D94,'[1]End - Use Prices'!$B$9:$B$11,0)-1,MATCH(AT$1,'[1]End - Use Prices'!$C$7:$AL$7,0))</f>
        <v>34.17</v>
      </c>
      <c r="AU94" s="41">
        <f>INDEX('[1]End - Use Prices'!$C$6:$AL$89,MATCH($C94,'[1]End - Use Prices'!$A$6:$A$89,0)+MATCH($D94,'[1]End - Use Prices'!$B$9:$B$11,0)-1,MATCH(AU$1,'[1]End - Use Prices'!$C$7:$AL$7,0))</f>
        <v>33.950000000000003</v>
      </c>
      <c r="AV94" s="41">
        <f>INDEX('[1]End - Use Prices'!$C$6:$AL$89,MATCH($C94,'[1]End - Use Prices'!$A$6:$A$89,0)+MATCH($D94,'[1]End - Use Prices'!$B$9:$B$11,0)-1,MATCH(AV$1,'[1]End - Use Prices'!$C$7:$AL$7,0))</f>
        <v>33.770000000000003</v>
      </c>
      <c r="AW94" s="41">
        <f>INDEX('[1]End - Use Prices'!$C$6:$AL$89,MATCH($C94,'[1]End - Use Prices'!$A$6:$A$89,0)+MATCH($D94,'[1]End - Use Prices'!$B$9:$B$11,0)-1,MATCH(AW$1,'[1]End - Use Prices'!$C$7:$AL$7,0))</f>
        <v>33.590000000000003</v>
      </c>
      <c r="AX94" s="41">
        <f>INDEX('[1]End - Use Prices'!$C$6:$AL$89,MATCH($C94,'[1]End - Use Prices'!$A$6:$A$89,0)+MATCH($D94,'[1]End - Use Prices'!$B$9:$B$11,0)-1,MATCH(AX$1,'[1]End - Use Prices'!$C$7:$AL$7,0))</f>
        <v>33.479999999999997</v>
      </c>
      <c r="AY94" s="41">
        <f>INDEX('[1]End - Use Prices'!$C$6:$AL$89,MATCH($C94,'[1]End - Use Prices'!$A$6:$A$89,0)+MATCH($D94,'[1]End - Use Prices'!$B$9:$B$11,0)-1,MATCH(AY$1,'[1]End - Use Prices'!$C$7:$AL$7,0))</f>
        <v>33.409999999999997</v>
      </c>
      <c r="AZ94" s="41">
        <f>INDEX('[1]End - Use Prices'!$C$6:$AL$89,MATCH($C94,'[1]End - Use Prices'!$A$6:$A$89,0)+MATCH($D94,'[1]End - Use Prices'!$B$9:$B$11,0)-1,MATCH(AZ$1,'[1]End - Use Prices'!$C$7:$AL$7,0))</f>
        <v>33.369999999999997</v>
      </c>
      <c r="BA94" s="41">
        <f>INDEX('[1]End - Use Prices'!$C$6:$AL$89,MATCH($C94,'[1]End - Use Prices'!$A$6:$A$89,0)+MATCH($D94,'[1]End - Use Prices'!$B$9:$B$11,0)-1,MATCH(BA$1,'[1]End - Use Prices'!$C$7:$AL$7,0))</f>
        <v>33.369999999999997</v>
      </c>
      <c r="BB94" s="41">
        <f>INDEX('[1]End - Use Prices'!$C$6:$AL$89,MATCH($C94,'[1]End - Use Prices'!$A$6:$A$89,0)+MATCH($D94,'[1]End - Use Prices'!$B$9:$B$11,0)-1,MATCH(BB$1,'[1]End - Use Prices'!$C$7:$AL$7,0))</f>
        <v>33.35</v>
      </c>
      <c r="BC94" s="41">
        <f>INDEX('[1]End - Use Prices'!$C$6:$AL$89,MATCH($C94,'[1]End - Use Prices'!$A$6:$A$89,0)+MATCH($D94,'[1]End - Use Prices'!$B$9:$B$11,0)-1,MATCH(BC$1,'[1]End - Use Prices'!$C$7:$AL$7,0))</f>
        <v>33.31</v>
      </c>
      <c r="BD94" s="41">
        <f>INDEX('[1]End - Use Prices'!$C$6:$AL$89,MATCH($C94,'[1]End - Use Prices'!$A$6:$A$89,0)+MATCH($D94,'[1]End - Use Prices'!$B$9:$B$11,0)-1,MATCH(BD$1,'[1]End - Use Prices'!$C$7:$AL$7,0))</f>
        <v>33.25</v>
      </c>
      <c r="BE94" s="41">
        <f>INDEX('[1]End - Use Prices'!$C$6:$AL$89,MATCH($C94,'[1]End - Use Prices'!$A$6:$A$89,0)+MATCH($D94,'[1]End - Use Prices'!$B$9:$B$11,0)-1,MATCH(BE$1,'[1]End - Use Prices'!$C$7:$AL$7,0))</f>
        <v>33.159999999999997</v>
      </c>
      <c r="BF94" s="41">
        <f>INDEX('[1]End - Use Prices'!$C$6:$AL$89,MATCH($C94,'[1]End - Use Prices'!$A$6:$A$89,0)+MATCH($D94,'[1]End - Use Prices'!$B$9:$B$11,0)-1,MATCH(BF$1,'[1]End - Use Prices'!$C$7:$AL$7,0))</f>
        <v>33.07</v>
      </c>
      <c r="BG94" s="41">
        <f>INDEX('[1]End - Use Prices'!$C$6:$AL$89,MATCH($C94,'[1]End - Use Prices'!$A$6:$A$89,0)+MATCH($D94,'[1]End - Use Prices'!$B$9:$B$11,0)-1,MATCH(BG$1,'[1]End - Use Prices'!$C$7:$AL$7,0))</f>
        <v>32.97</v>
      </c>
      <c r="BR94" s="39"/>
      <c r="BS94" s="39"/>
      <c r="BT94" s="39"/>
      <c r="BU94" s="39"/>
      <c r="BV94" s="39"/>
      <c r="BW94" s="39"/>
      <c r="BX94" s="39"/>
      <c r="BY94" s="39"/>
      <c r="BZ94" s="39"/>
      <c r="CA94" s="39"/>
    </row>
    <row r="95" spans="1:79" x14ac:dyDescent="0.25">
      <c r="A95" s="5"/>
      <c r="B95" s="3"/>
      <c r="C95" s="25" t="s">
        <v>91</v>
      </c>
      <c r="D95" s="25" t="s">
        <v>311</v>
      </c>
      <c r="E95" s="25" t="s">
        <v>313</v>
      </c>
      <c r="F95" s="74" t="s">
        <v>310</v>
      </c>
      <c r="G95" s="54">
        <f t="shared" si="54"/>
        <v>24.67</v>
      </c>
      <c r="H95" s="34">
        <f t="shared" si="89"/>
        <v>24.67</v>
      </c>
      <c r="I95" s="34">
        <f t="shared" si="89"/>
        <v>26.1</v>
      </c>
      <c r="J95" s="34">
        <f t="shared" si="89"/>
        <v>27.54</v>
      </c>
      <c r="K95" s="34">
        <f t="shared" si="89"/>
        <v>38.03</v>
      </c>
      <c r="L95" s="34">
        <f t="shared" si="89"/>
        <v>32.78</v>
      </c>
      <c r="M95" s="34">
        <f t="shared" si="89"/>
        <v>32.11</v>
      </c>
      <c r="N95" s="34">
        <f t="shared" si="89"/>
        <v>31.7</v>
      </c>
      <c r="O95" s="34">
        <f t="shared" si="89"/>
        <v>31.16</v>
      </c>
      <c r="P95" s="54">
        <f t="shared" ref="P95:Q95" si="91">O95</f>
        <v>31.16</v>
      </c>
      <c r="Q95" s="54">
        <f t="shared" si="91"/>
        <v>31.16</v>
      </c>
      <c r="R95" s="38"/>
      <c r="X95" s="41">
        <f>INDEX('[1]End - Use Prices'!$C$6:$AL$89,MATCH($C95,'[1]End - Use Prices'!$A$6:$A$89,0)+MATCH($D95,'[1]End - Use Prices'!$B$9:$B$11,0)-1,MATCH(X$1,'[1]End - Use Prices'!$C$7:$AL$7,0))</f>
        <v>24.67</v>
      </c>
      <c r="Y95" s="41">
        <f>INDEX('[1]End - Use Prices'!$C$6:$AL$89,MATCH($C95,'[1]End - Use Prices'!$A$6:$A$89,0)+MATCH($D95,'[1]End - Use Prices'!$B$9:$B$11,0)-1,MATCH(Y$1,'[1]End - Use Prices'!$C$7:$AL$7,0))</f>
        <v>25.2</v>
      </c>
      <c r="Z95" s="41">
        <f>INDEX('[1]End - Use Prices'!$C$6:$AL$89,MATCH($C95,'[1]End - Use Prices'!$A$6:$A$89,0)+MATCH($D95,'[1]End - Use Prices'!$B$9:$B$11,0)-1,MATCH(Z$1,'[1]End - Use Prices'!$C$7:$AL$7,0))</f>
        <v>25.43</v>
      </c>
      <c r="AA95" s="41">
        <f>INDEX('[1]End - Use Prices'!$C$6:$AL$89,MATCH($C95,'[1]End - Use Prices'!$A$6:$A$89,0)+MATCH($D95,'[1]End - Use Prices'!$B$9:$B$11,0)-1,MATCH(AA$1,'[1]End - Use Prices'!$C$7:$AL$7,0))</f>
        <v>33.47</v>
      </c>
      <c r="AB95" s="41">
        <f>INDEX('[1]End - Use Prices'!$C$6:$AL$89,MATCH($C95,'[1]End - Use Prices'!$A$6:$A$89,0)+MATCH($D95,'[1]End - Use Prices'!$B$9:$B$11,0)-1,MATCH(AB$1,'[1]End - Use Prices'!$C$7:$AL$7,0))</f>
        <v>23.22</v>
      </c>
      <c r="AC95" s="41">
        <f>INDEX('[1]End - Use Prices'!$C$6:$AL$89,MATCH($C95,'[1]End - Use Prices'!$A$6:$A$89,0)+MATCH($D95,'[1]End - Use Prices'!$B$9:$B$11,0)-1,MATCH(AC$1,'[1]End - Use Prices'!$C$7:$AL$7,0))</f>
        <v>26.1</v>
      </c>
      <c r="AD95" s="41">
        <f>INDEX('[1]End - Use Prices'!$C$6:$AL$89,MATCH($C95,'[1]End - Use Prices'!$A$6:$A$89,0)+MATCH($D95,'[1]End - Use Prices'!$B$9:$B$11,0)-1,MATCH(AD$1,'[1]End - Use Prices'!$C$7:$AL$7,0))</f>
        <v>32.090000000000003</v>
      </c>
      <c r="AE95" s="41">
        <f>INDEX('[1]End - Use Prices'!$C$6:$AL$89,MATCH($C95,'[1]End - Use Prices'!$A$6:$A$89,0)+MATCH($D95,'[1]End - Use Prices'!$B$9:$B$11,0)-1,MATCH(AE$1,'[1]End - Use Prices'!$C$7:$AL$7,0))</f>
        <v>33.770000000000003</v>
      </c>
      <c r="AF95" s="41">
        <f>INDEX('[1]End - Use Prices'!$C$6:$AL$89,MATCH($C95,'[1]End - Use Prices'!$A$6:$A$89,0)+MATCH($D95,'[1]End - Use Prices'!$B$9:$B$11,0)-1,MATCH(AF$1,'[1]End - Use Prices'!$C$7:$AL$7,0))</f>
        <v>33.130000000000003</v>
      </c>
      <c r="AG95" s="41">
        <f>INDEX('[1]End - Use Prices'!$C$6:$AL$89,MATCH($C95,'[1]End - Use Prices'!$A$6:$A$89,0)+MATCH($D95,'[1]End - Use Prices'!$B$9:$B$11,0)-1,MATCH(AG$1,'[1]End - Use Prices'!$C$7:$AL$7,0))</f>
        <v>33.630000000000003</v>
      </c>
      <c r="AH95" s="41">
        <f>INDEX('[1]End - Use Prices'!$C$6:$AL$89,MATCH($C95,'[1]End - Use Prices'!$A$6:$A$89,0)+MATCH($D95,'[1]End - Use Prices'!$B$9:$B$11,0)-1,MATCH(AH$1,'[1]End - Use Prices'!$C$7:$AL$7,0))</f>
        <v>27.54</v>
      </c>
      <c r="AI95" s="41">
        <f>INDEX('[1]End - Use Prices'!$C$6:$AL$89,MATCH($C95,'[1]End - Use Prices'!$A$6:$A$89,0)+MATCH($D95,'[1]End - Use Prices'!$B$9:$B$11,0)-1,MATCH(AI$1,'[1]End - Use Prices'!$C$7:$AL$7,0))</f>
        <v>23.58</v>
      </c>
      <c r="AJ95" s="41">
        <f>INDEX('[1]End - Use Prices'!$C$6:$AL$89,MATCH($C95,'[1]End - Use Prices'!$A$6:$A$89,0)+MATCH($D95,'[1]End - Use Prices'!$B$9:$B$11,0)-1,MATCH(AJ$1,'[1]End - Use Prices'!$C$7:$AL$7,0))</f>
        <v>25.75</v>
      </c>
      <c r="AK95" s="41">
        <f>INDEX('[1]End - Use Prices'!$C$6:$AL$89,MATCH($C95,'[1]End - Use Prices'!$A$6:$A$89,0)+MATCH($D95,'[1]End - Use Prices'!$B$9:$B$11,0)-1,MATCH(AK$1,'[1]End - Use Prices'!$C$7:$AL$7,0))</f>
        <v>30.37</v>
      </c>
      <c r="AL95" s="41">
        <f>INDEX('[1]End - Use Prices'!$C$6:$AL$89,MATCH($C95,'[1]End - Use Prices'!$A$6:$A$89,0)+MATCH($D95,'[1]End - Use Prices'!$B$9:$B$11,0)-1,MATCH(AL$1,'[1]End - Use Prices'!$C$7:$AL$7,0))</f>
        <v>34.700000000000003</v>
      </c>
      <c r="AM95" s="41">
        <f>INDEX('[1]End - Use Prices'!$C$6:$AL$89,MATCH($C95,'[1]End - Use Prices'!$A$6:$A$89,0)+MATCH($D95,'[1]End - Use Prices'!$B$9:$B$11,0)-1,MATCH(AM$1,'[1]End - Use Prices'!$C$7:$AL$7,0))</f>
        <v>38.03</v>
      </c>
      <c r="AN95" s="41">
        <f>INDEX('[1]End - Use Prices'!$C$6:$AL$89,MATCH($C95,'[1]End - Use Prices'!$A$6:$A$89,0)+MATCH($D95,'[1]End - Use Prices'!$B$9:$B$11,0)-1,MATCH(AN$1,'[1]End - Use Prices'!$C$7:$AL$7,0))</f>
        <v>34.799999999999997</v>
      </c>
      <c r="AO95" s="41">
        <f>INDEX('[1]End - Use Prices'!$C$6:$AL$89,MATCH($C95,'[1]End - Use Prices'!$A$6:$A$89,0)+MATCH($D95,'[1]End - Use Prices'!$B$9:$B$11,0)-1,MATCH(AO$1,'[1]End - Use Prices'!$C$7:$AL$7,0))</f>
        <v>32.68</v>
      </c>
      <c r="AP95" s="41">
        <f>INDEX('[1]End - Use Prices'!$C$6:$AL$89,MATCH($C95,'[1]End - Use Prices'!$A$6:$A$89,0)+MATCH($D95,'[1]End - Use Prices'!$B$9:$B$11,0)-1,MATCH(AP$1,'[1]End - Use Prices'!$C$7:$AL$7,0))</f>
        <v>32.369999999999997</v>
      </c>
      <c r="AQ95" s="41">
        <f>INDEX('[1]End - Use Prices'!$C$6:$AL$89,MATCH($C95,'[1]End - Use Prices'!$A$6:$A$89,0)+MATCH($D95,'[1]End - Use Prices'!$B$9:$B$11,0)-1,MATCH(AQ$1,'[1]End - Use Prices'!$C$7:$AL$7,0))</f>
        <v>32.47</v>
      </c>
      <c r="AR95" s="41">
        <f>INDEX('[1]End - Use Prices'!$C$6:$AL$89,MATCH($C95,'[1]End - Use Prices'!$A$6:$A$89,0)+MATCH($D95,'[1]End - Use Prices'!$B$9:$B$11,0)-1,MATCH(AR$1,'[1]End - Use Prices'!$C$7:$AL$7,0))</f>
        <v>32.78</v>
      </c>
      <c r="AS95" s="41">
        <f>INDEX('[1]End - Use Prices'!$C$6:$AL$89,MATCH($C95,'[1]End - Use Prices'!$A$6:$A$89,0)+MATCH($D95,'[1]End - Use Prices'!$B$9:$B$11,0)-1,MATCH(AS$1,'[1]End - Use Prices'!$C$7:$AL$7,0))</f>
        <v>33.03</v>
      </c>
      <c r="AT95" s="41">
        <f>INDEX('[1]End - Use Prices'!$C$6:$AL$89,MATCH($C95,'[1]End - Use Prices'!$A$6:$A$89,0)+MATCH($D95,'[1]End - Use Prices'!$B$9:$B$11,0)-1,MATCH(AT$1,'[1]End - Use Prices'!$C$7:$AL$7,0))</f>
        <v>32.81</v>
      </c>
      <c r="AU95" s="41">
        <f>INDEX('[1]End - Use Prices'!$C$6:$AL$89,MATCH($C95,'[1]End - Use Prices'!$A$6:$A$89,0)+MATCH($D95,'[1]End - Use Prices'!$B$9:$B$11,0)-1,MATCH(AU$1,'[1]End - Use Prices'!$C$7:$AL$7,0))</f>
        <v>32.549999999999997</v>
      </c>
      <c r="AV95" s="41">
        <f>INDEX('[1]End - Use Prices'!$C$6:$AL$89,MATCH($C95,'[1]End - Use Prices'!$A$6:$A$89,0)+MATCH($D95,'[1]End - Use Prices'!$B$9:$B$11,0)-1,MATCH(AV$1,'[1]End - Use Prices'!$C$7:$AL$7,0))</f>
        <v>32.33</v>
      </c>
      <c r="AW95" s="41">
        <f>INDEX('[1]End - Use Prices'!$C$6:$AL$89,MATCH($C95,'[1]End - Use Prices'!$A$6:$A$89,0)+MATCH($D95,'[1]End - Use Prices'!$B$9:$B$11,0)-1,MATCH(AW$1,'[1]End - Use Prices'!$C$7:$AL$7,0))</f>
        <v>32.11</v>
      </c>
      <c r="AX95" s="41">
        <f>INDEX('[1]End - Use Prices'!$C$6:$AL$89,MATCH($C95,'[1]End - Use Prices'!$A$6:$A$89,0)+MATCH($D95,'[1]End - Use Prices'!$B$9:$B$11,0)-1,MATCH(AX$1,'[1]End - Use Prices'!$C$7:$AL$7,0))</f>
        <v>31.96</v>
      </c>
      <c r="AY95" s="41">
        <f>INDEX('[1]End - Use Prices'!$C$6:$AL$89,MATCH($C95,'[1]End - Use Prices'!$A$6:$A$89,0)+MATCH($D95,'[1]End - Use Prices'!$B$9:$B$11,0)-1,MATCH(AY$1,'[1]End - Use Prices'!$C$7:$AL$7,0))</f>
        <v>31.85</v>
      </c>
      <c r="AZ95" s="41">
        <f>INDEX('[1]End - Use Prices'!$C$6:$AL$89,MATCH($C95,'[1]End - Use Prices'!$A$6:$A$89,0)+MATCH($D95,'[1]End - Use Prices'!$B$9:$B$11,0)-1,MATCH(AZ$1,'[1]End - Use Prices'!$C$7:$AL$7,0))</f>
        <v>31.79</v>
      </c>
      <c r="BA95" s="41">
        <f>INDEX('[1]End - Use Prices'!$C$6:$AL$89,MATCH($C95,'[1]End - Use Prices'!$A$6:$A$89,0)+MATCH($D95,'[1]End - Use Prices'!$B$9:$B$11,0)-1,MATCH(BA$1,'[1]End - Use Prices'!$C$7:$AL$7,0))</f>
        <v>31.75</v>
      </c>
      <c r="BB95" s="41">
        <f>INDEX('[1]End - Use Prices'!$C$6:$AL$89,MATCH($C95,'[1]End - Use Prices'!$A$6:$A$89,0)+MATCH($D95,'[1]End - Use Prices'!$B$9:$B$11,0)-1,MATCH(BB$1,'[1]End - Use Prices'!$C$7:$AL$7,0))</f>
        <v>31.7</v>
      </c>
      <c r="BC95" s="41">
        <f>INDEX('[1]End - Use Prices'!$C$6:$AL$89,MATCH($C95,'[1]End - Use Prices'!$A$6:$A$89,0)+MATCH($D95,'[1]End - Use Prices'!$B$9:$B$11,0)-1,MATCH(BC$1,'[1]End - Use Prices'!$C$7:$AL$7,0))</f>
        <v>31.63</v>
      </c>
      <c r="BD95" s="41">
        <f>INDEX('[1]End - Use Prices'!$C$6:$AL$89,MATCH($C95,'[1]End - Use Prices'!$A$6:$A$89,0)+MATCH($D95,'[1]End - Use Prices'!$B$9:$B$11,0)-1,MATCH(BD$1,'[1]End - Use Prices'!$C$7:$AL$7,0))</f>
        <v>31.54</v>
      </c>
      <c r="BE95" s="41">
        <f>INDEX('[1]End - Use Prices'!$C$6:$AL$89,MATCH($C95,'[1]End - Use Prices'!$A$6:$A$89,0)+MATCH($D95,'[1]End - Use Prices'!$B$9:$B$11,0)-1,MATCH(BE$1,'[1]End - Use Prices'!$C$7:$AL$7,0))</f>
        <v>31.42</v>
      </c>
      <c r="BF95" s="41">
        <f>INDEX('[1]End - Use Prices'!$C$6:$AL$89,MATCH($C95,'[1]End - Use Prices'!$A$6:$A$89,0)+MATCH($D95,'[1]End - Use Prices'!$B$9:$B$11,0)-1,MATCH(BF$1,'[1]End - Use Prices'!$C$7:$AL$7,0))</f>
        <v>31.3</v>
      </c>
      <c r="BG95" s="41">
        <f>INDEX('[1]End - Use Prices'!$C$6:$AL$89,MATCH($C95,'[1]End - Use Prices'!$A$6:$A$89,0)+MATCH($D95,'[1]End - Use Prices'!$B$9:$B$11,0)-1,MATCH(BG$1,'[1]End - Use Prices'!$C$7:$AL$7,0))</f>
        <v>31.16</v>
      </c>
      <c r="BR95" s="39"/>
      <c r="BS95" s="39"/>
      <c r="BT95" s="39"/>
      <c r="BU95" s="39"/>
      <c r="BV95" s="39"/>
      <c r="BW95" s="39"/>
      <c r="BX95" s="39"/>
      <c r="BY95" s="39"/>
      <c r="BZ95" s="39"/>
      <c r="CA95" s="39"/>
    </row>
    <row r="96" spans="1:79" x14ac:dyDescent="0.25">
      <c r="A96" s="5"/>
      <c r="B96" s="3"/>
      <c r="C96" s="25" t="s">
        <v>92</v>
      </c>
      <c r="D96" s="25" t="s">
        <v>311</v>
      </c>
      <c r="E96" s="25" t="s">
        <v>313</v>
      </c>
      <c r="F96" s="74" t="s">
        <v>310</v>
      </c>
      <c r="G96" s="54">
        <f t="shared" si="54"/>
        <v>25.66</v>
      </c>
      <c r="H96" s="34">
        <f t="shared" si="89"/>
        <v>25.66</v>
      </c>
      <c r="I96" s="34">
        <f t="shared" si="89"/>
        <v>28.54</v>
      </c>
      <c r="J96" s="34">
        <f t="shared" si="89"/>
        <v>30.91</v>
      </c>
      <c r="K96" s="34">
        <f t="shared" si="89"/>
        <v>41.65</v>
      </c>
      <c r="L96" s="34">
        <f t="shared" si="89"/>
        <v>36.79</v>
      </c>
      <c r="M96" s="34">
        <f t="shared" si="89"/>
        <v>36.32</v>
      </c>
      <c r="N96" s="34">
        <f t="shared" si="89"/>
        <v>36.090000000000003</v>
      </c>
      <c r="O96" s="34">
        <f t="shared" si="89"/>
        <v>35.71</v>
      </c>
      <c r="P96" s="54">
        <f t="shared" ref="P96:Q96" si="92">O96</f>
        <v>35.71</v>
      </c>
      <c r="Q96" s="54">
        <f t="shared" si="92"/>
        <v>35.71</v>
      </c>
      <c r="R96" s="38"/>
      <c r="X96" s="41">
        <f>INDEX('[1]End - Use Prices'!$C$6:$AL$89,MATCH($C96,'[1]End - Use Prices'!$A$6:$A$89,0)+MATCH($D96,'[1]End - Use Prices'!$B$9:$B$11,0)-1,MATCH(X$1,'[1]End - Use Prices'!$C$7:$AL$7,0))</f>
        <v>25.66</v>
      </c>
      <c r="Y96" s="41">
        <f>INDEX('[1]End - Use Prices'!$C$6:$AL$89,MATCH($C96,'[1]End - Use Prices'!$A$6:$A$89,0)+MATCH($D96,'[1]End - Use Prices'!$B$9:$B$11,0)-1,MATCH(Y$1,'[1]End - Use Prices'!$C$7:$AL$7,0))</f>
        <v>26.36</v>
      </c>
      <c r="Z96" s="41">
        <f>INDEX('[1]End - Use Prices'!$C$6:$AL$89,MATCH($C96,'[1]End - Use Prices'!$A$6:$A$89,0)+MATCH($D96,'[1]End - Use Prices'!$B$9:$B$11,0)-1,MATCH(Z$1,'[1]End - Use Prices'!$C$7:$AL$7,0))</f>
        <v>27.18</v>
      </c>
      <c r="AA96" s="41">
        <f>INDEX('[1]End - Use Prices'!$C$6:$AL$89,MATCH($C96,'[1]End - Use Prices'!$A$6:$A$89,0)+MATCH($D96,'[1]End - Use Prices'!$B$9:$B$11,0)-1,MATCH(AA$1,'[1]End - Use Prices'!$C$7:$AL$7,0))</f>
        <v>33.630000000000003</v>
      </c>
      <c r="AB96" s="41">
        <f>INDEX('[1]End - Use Prices'!$C$6:$AL$89,MATCH($C96,'[1]End - Use Prices'!$A$6:$A$89,0)+MATCH($D96,'[1]End - Use Prices'!$B$9:$B$11,0)-1,MATCH(AB$1,'[1]End - Use Prices'!$C$7:$AL$7,0))</f>
        <v>25.05</v>
      </c>
      <c r="AC96" s="41">
        <f>INDEX('[1]End - Use Prices'!$C$6:$AL$89,MATCH($C96,'[1]End - Use Prices'!$A$6:$A$89,0)+MATCH($D96,'[1]End - Use Prices'!$B$9:$B$11,0)-1,MATCH(AC$1,'[1]End - Use Prices'!$C$7:$AL$7,0))</f>
        <v>28.54</v>
      </c>
      <c r="AD96" s="41">
        <f>INDEX('[1]End - Use Prices'!$C$6:$AL$89,MATCH($C96,'[1]End - Use Prices'!$A$6:$A$89,0)+MATCH($D96,'[1]End - Use Prices'!$B$9:$B$11,0)-1,MATCH(AD$1,'[1]End - Use Prices'!$C$7:$AL$7,0))</f>
        <v>35.020000000000003</v>
      </c>
      <c r="AE96" s="41">
        <f>INDEX('[1]End - Use Prices'!$C$6:$AL$89,MATCH($C96,'[1]End - Use Prices'!$A$6:$A$89,0)+MATCH($D96,'[1]End - Use Prices'!$B$9:$B$11,0)-1,MATCH(AE$1,'[1]End - Use Prices'!$C$7:$AL$7,0))</f>
        <v>35.61</v>
      </c>
      <c r="AF96" s="41">
        <f>INDEX('[1]End - Use Prices'!$C$6:$AL$89,MATCH($C96,'[1]End - Use Prices'!$A$6:$A$89,0)+MATCH($D96,'[1]End - Use Prices'!$B$9:$B$11,0)-1,MATCH(AF$1,'[1]End - Use Prices'!$C$7:$AL$7,0))</f>
        <v>35.47</v>
      </c>
      <c r="AG96" s="41">
        <f>INDEX('[1]End - Use Prices'!$C$6:$AL$89,MATCH($C96,'[1]End - Use Prices'!$A$6:$A$89,0)+MATCH($D96,'[1]End - Use Prices'!$B$9:$B$11,0)-1,MATCH(AG$1,'[1]End - Use Prices'!$C$7:$AL$7,0))</f>
        <v>36.5</v>
      </c>
      <c r="AH96" s="41">
        <f>INDEX('[1]End - Use Prices'!$C$6:$AL$89,MATCH($C96,'[1]End - Use Prices'!$A$6:$A$89,0)+MATCH($D96,'[1]End - Use Prices'!$B$9:$B$11,0)-1,MATCH(AH$1,'[1]End - Use Prices'!$C$7:$AL$7,0))</f>
        <v>30.91</v>
      </c>
      <c r="AI96" s="41">
        <f>INDEX('[1]End - Use Prices'!$C$6:$AL$89,MATCH($C96,'[1]End - Use Prices'!$A$6:$A$89,0)+MATCH($D96,'[1]End - Use Prices'!$B$9:$B$11,0)-1,MATCH(AI$1,'[1]End - Use Prices'!$C$7:$AL$7,0))</f>
        <v>27.23</v>
      </c>
      <c r="AJ96" s="41">
        <f>INDEX('[1]End - Use Prices'!$C$6:$AL$89,MATCH($C96,'[1]End - Use Prices'!$A$6:$A$89,0)+MATCH($D96,'[1]End - Use Prices'!$B$9:$B$11,0)-1,MATCH(AJ$1,'[1]End - Use Prices'!$C$7:$AL$7,0))</f>
        <v>31.23</v>
      </c>
      <c r="AK96" s="41">
        <f>INDEX('[1]End - Use Prices'!$C$6:$AL$89,MATCH($C96,'[1]End - Use Prices'!$A$6:$A$89,0)+MATCH($D96,'[1]End - Use Prices'!$B$9:$B$11,0)-1,MATCH(AK$1,'[1]End - Use Prices'!$C$7:$AL$7,0))</f>
        <v>35.57</v>
      </c>
      <c r="AL96" s="41">
        <f>INDEX('[1]End - Use Prices'!$C$6:$AL$89,MATCH($C96,'[1]End - Use Prices'!$A$6:$A$89,0)+MATCH($D96,'[1]End - Use Prices'!$B$9:$B$11,0)-1,MATCH(AL$1,'[1]End - Use Prices'!$C$7:$AL$7,0))</f>
        <v>38.32</v>
      </c>
      <c r="AM96" s="41">
        <f>INDEX('[1]End - Use Prices'!$C$6:$AL$89,MATCH($C96,'[1]End - Use Prices'!$A$6:$A$89,0)+MATCH($D96,'[1]End - Use Prices'!$B$9:$B$11,0)-1,MATCH(AM$1,'[1]End - Use Prices'!$C$7:$AL$7,0))</f>
        <v>41.65</v>
      </c>
      <c r="AN96" s="41">
        <f>INDEX('[1]End - Use Prices'!$C$6:$AL$89,MATCH($C96,'[1]End - Use Prices'!$A$6:$A$89,0)+MATCH($D96,'[1]End - Use Prices'!$B$9:$B$11,0)-1,MATCH(AN$1,'[1]End - Use Prices'!$C$7:$AL$7,0))</f>
        <v>38.53</v>
      </c>
      <c r="AO96" s="41">
        <f>INDEX('[1]End - Use Prices'!$C$6:$AL$89,MATCH($C96,'[1]End - Use Prices'!$A$6:$A$89,0)+MATCH($D96,'[1]End - Use Prices'!$B$9:$B$11,0)-1,MATCH(AO$1,'[1]End - Use Prices'!$C$7:$AL$7,0))</f>
        <v>36.51</v>
      </c>
      <c r="AP96" s="41">
        <f>INDEX('[1]End - Use Prices'!$C$6:$AL$89,MATCH($C96,'[1]End - Use Prices'!$A$6:$A$89,0)+MATCH($D96,'[1]End - Use Prices'!$B$9:$B$11,0)-1,MATCH(AP$1,'[1]End - Use Prices'!$C$7:$AL$7,0))</f>
        <v>36.270000000000003</v>
      </c>
      <c r="AQ96" s="41">
        <f>INDEX('[1]End - Use Prices'!$C$6:$AL$89,MATCH($C96,'[1]End - Use Prices'!$A$6:$A$89,0)+MATCH($D96,'[1]End - Use Prices'!$B$9:$B$11,0)-1,MATCH(AQ$1,'[1]End - Use Prices'!$C$7:$AL$7,0))</f>
        <v>36.42</v>
      </c>
      <c r="AR96" s="41">
        <f>INDEX('[1]End - Use Prices'!$C$6:$AL$89,MATCH($C96,'[1]End - Use Prices'!$A$6:$A$89,0)+MATCH($D96,'[1]End - Use Prices'!$B$9:$B$11,0)-1,MATCH(AR$1,'[1]End - Use Prices'!$C$7:$AL$7,0))</f>
        <v>36.79</v>
      </c>
      <c r="AS96" s="41">
        <f>INDEX('[1]End - Use Prices'!$C$6:$AL$89,MATCH($C96,'[1]End - Use Prices'!$A$6:$A$89,0)+MATCH($D96,'[1]End - Use Prices'!$B$9:$B$11,0)-1,MATCH(AS$1,'[1]End - Use Prices'!$C$7:$AL$7,0))</f>
        <v>37.08</v>
      </c>
      <c r="AT96" s="41">
        <f>INDEX('[1]End - Use Prices'!$C$6:$AL$89,MATCH($C96,'[1]End - Use Prices'!$A$6:$A$89,0)+MATCH($D96,'[1]End - Use Prices'!$B$9:$B$11,0)-1,MATCH(AT$1,'[1]End - Use Prices'!$C$7:$AL$7,0))</f>
        <v>36.909999999999997</v>
      </c>
      <c r="AU96" s="41">
        <f>INDEX('[1]End - Use Prices'!$C$6:$AL$89,MATCH($C96,'[1]End - Use Prices'!$A$6:$A$89,0)+MATCH($D96,'[1]End - Use Prices'!$B$9:$B$11,0)-1,MATCH(AU$1,'[1]End - Use Prices'!$C$7:$AL$7,0))</f>
        <v>36.69</v>
      </c>
      <c r="AV96" s="41">
        <f>INDEX('[1]End - Use Prices'!$C$6:$AL$89,MATCH($C96,'[1]End - Use Prices'!$A$6:$A$89,0)+MATCH($D96,'[1]End - Use Prices'!$B$9:$B$11,0)-1,MATCH(AV$1,'[1]End - Use Prices'!$C$7:$AL$7,0))</f>
        <v>36.51</v>
      </c>
      <c r="AW96" s="41">
        <f>INDEX('[1]End - Use Prices'!$C$6:$AL$89,MATCH($C96,'[1]End - Use Prices'!$A$6:$A$89,0)+MATCH($D96,'[1]End - Use Prices'!$B$9:$B$11,0)-1,MATCH(AW$1,'[1]End - Use Prices'!$C$7:$AL$7,0))</f>
        <v>36.32</v>
      </c>
      <c r="AX96" s="41">
        <f>INDEX('[1]End - Use Prices'!$C$6:$AL$89,MATCH($C96,'[1]End - Use Prices'!$A$6:$A$89,0)+MATCH($D96,'[1]End - Use Prices'!$B$9:$B$11,0)-1,MATCH(AX$1,'[1]End - Use Prices'!$C$7:$AL$7,0))</f>
        <v>36.22</v>
      </c>
      <c r="AY96" s="41">
        <f>INDEX('[1]End - Use Prices'!$C$6:$AL$89,MATCH($C96,'[1]End - Use Prices'!$A$6:$A$89,0)+MATCH($D96,'[1]End - Use Prices'!$B$9:$B$11,0)-1,MATCH(AY$1,'[1]End - Use Prices'!$C$7:$AL$7,0))</f>
        <v>36.14</v>
      </c>
      <c r="AZ96" s="41">
        <f>INDEX('[1]End - Use Prices'!$C$6:$AL$89,MATCH($C96,'[1]End - Use Prices'!$A$6:$A$89,0)+MATCH($D96,'[1]End - Use Prices'!$B$9:$B$11,0)-1,MATCH(AZ$1,'[1]End - Use Prices'!$C$7:$AL$7,0))</f>
        <v>36.11</v>
      </c>
      <c r="BA96" s="41">
        <f>INDEX('[1]End - Use Prices'!$C$6:$AL$89,MATCH($C96,'[1]End - Use Prices'!$A$6:$A$89,0)+MATCH($D96,'[1]End - Use Prices'!$B$9:$B$11,0)-1,MATCH(BA$1,'[1]End - Use Prices'!$C$7:$AL$7,0))</f>
        <v>36.11</v>
      </c>
      <c r="BB96" s="41">
        <f>INDEX('[1]End - Use Prices'!$C$6:$AL$89,MATCH($C96,'[1]End - Use Prices'!$A$6:$A$89,0)+MATCH($D96,'[1]End - Use Prices'!$B$9:$B$11,0)-1,MATCH(BB$1,'[1]End - Use Prices'!$C$7:$AL$7,0))</f>
        <v>36.090000000000003</v>
      </c>
      <c r="BC96" s="41">
        <f>INDEX('[1]End - Use Prices'!$C$6:$AL$89,MATCH($C96,'[1]End - Use Prices'!$A$6:$A$89,0)+MATCH($D96,'[1]End - Use Prices'!$B$9:$B$11,0)-1,MATCH(BC$1,'[1]End - Use Prices'!$C$7:$AL$7,0))</f>
        <v>36.049999999999997</v>
      </c>
      <c r="BD96" s="41">
        <f>INDEX('[1]End - Use Prices'!$C$6:$AL$89,MATCH($C96,'[1]End - Use Prices'!$A$6:$A$89,0)+MATCH($D96,'[1]End - Use Prices'!$B$9:$B$11,0)-1,MATCH(BD$1,'[1]End - Use Prices'!$C$7:$AL$7,0))</f>
        <v>35.99</v>
      </c>
      <c r="BE96" s="41">
        <f>INDEX('[1]End - Use Prices'!$C$6:$AL$89,MATCH($C96,'[1]End - Use Prices'!$A$6:$A$89,0)+MATCH($D96,'[1]End - Use Prices'!$B$9:$B$11,0)-1,MATCH(BE$1,'[1]End - Use Prices'!$C$7:$AL$7,0))</f>
        <v>35.9</v>
      </c>
      <c r="BF96" s="41">
        <f>INDEX('[1]End - Use Prices'!$C$6:$AL$89,MATCH($C96,'[1]End - Use Prices'!$A$6:$A$89,0)+MATCH($D96,'[1]End - Use Prices'!$B$9:$B$11,0)-1,MATCH(BF$1,'[1]End - Use Prices'!$C$7:$AL$7,0))</f>
        <v>35.81</v>
      </c>
      <c r="BG96" s="41">
        <f>INDEX('[1]End - Use Prices'!$C$6:$AL$89,MATCH($C96,'[1]End - Use Prices'!$A$6:$A$89,0)+MATCH($D96,'[1]End - Use Prices'!$B$9:$B$11,0)-1,MATCH(BG$1,'[1]End - Use Prices'!$C$7:$AL$7,0))</f>
        <v>35.71</v>
      </c>
      <c r="BR96" s="39"/>
      <c r="BS96" s="39"/>
      <c r="BT96" s="39"/>
      <c r="BU96" s="39"/>
      <c r="BV96" s="39"/>
      <c r="BW96" s="39"/>
      <c r="BX96" s="39"/>
      <c r="BY96" s="39"/>
      <c r="BZ96" s="39"/>
      <c r="CA96" s="39"/>
    </row>
    <row r="97" spans="1:79" x14ac:dyDescent="0.25">
      <c r="A97" s="5"/>
      <c r="B97" s="3"/>
      <c r="C97" s="25" t="s">
        <v>93</v>
      </c>
      <c r="D97" s="25" t="s">
        <v>311</v>
      </c>
      <c r="E97" s="25" t="s">
        <v>313</v>
      </c>
      <c r="F97" s="74" t="s">
        <v>310</v>
      </c>
      <c r="G97" s="54">
        <f t="shared" si="54"/>
        <v>26.86</v>
      </c>
      <c r="H97" s="34">
        <f t="shared" si="89"/>
        <v>26.86</v>
      </c>
      <c r="I97" s="34">
        <f t="shared" si="89"/>
        <v>28.11</v>
      </c>
      <c r="J97" s="34">
        <f t="shared" si="89"/>
        <v>26.82</v>
      </c>
      <c r="K97" s="34">
        <f t="shared" si="89"/>
        <v>36.65</v>
      </c>
      <c r="L97" s="34">
        <f t="shared" si="89"/>
        <v>30.13</v>
      </c>
      <c r="M97" s="34">
        <f t="shared" si="89"/>
        <v>29.7</v>
      </c>
      <c r="N97" s="34">
        <f t="shared" si="89"/>
        <v>29.69</v>
      </c>
      <c r="O97" s="34">
        <f t="shared" si="89"/>
        <v>29.56</v>
      </c>
      <c r="P97" s="54">
        <f t="shared" ref="P97:Q97" si="93">O97</f>
        <v>29.56</v>
      </c>
      <c r="Q97" s="54">
        <f t="shared" si="93"/>
        <v>29.56</v>
      </c>
      <c r="R97" s="38"/>
      <c r="X97" s="41">
        <f>INDEX('[1]End - Use Prices'!$C$6:$AL$89,MATCH($C97,'[1]End - Use Prices'!$A$6:$A$89,0)+MATCH($D97,'[1]End - Use Prices'!$B$9:$B$11,0)-1,MATCH(X$1,'[1]End - Use Prices'!$C$7:$AL$7,0))</f>
        <v>26.86</v>
      </c>
      <c r="Y97" s="41">
        <f>INDEX('[1]End - Use Prices'!$C$6:$AL$89,MATCH($C97,'[1]End - Use Prices'!$A$6:$A$89,0)+MATCH($D97,'[1]End - Use Prices'!$B$9:$B$11,0)-1,MATCH(Y$1,'[1]End - Use Prices'!$C$7:$AL$7,0))</f>
        <v>26.92</v>
      </c>
      <c r="Z97" s="41">
        <f>INDEX('[1]End - Use Prices'!$C$6:$AL$89,MATCH($C97,'[1]End - Use Prices'!$A$6:$A$89,0)+MATCH($D97,'[1]End - Use Prices'!$B$9:$B$11,0)-1,MATCH(Z$1,'[1]End - Use Prices'!$C$7:$AL$7,0))</f>
        <v>28.39</v>
      </c>
      <c r="AA97" s="41">
        <f>INDEX('[1]End - Use Prices'!$C$6:$AL$89,MATCH($C97,'[1]End - Use Prices'!$A$6:$A$89,0)+MATCH($D97,'[1]End - Use Prices'!$B$9:$B$11,0)-1,MATCH(AA$1,'[1]End - Use Prices'!$C$7:$AL$7,0))</f>
        <v>34.549999999999997</v>
      </c>
      <c r="AB97" s="41">
        <f>INDEX('[1]End - Use Prices'!$C$6:$AL$89,MATCH($C97,'[1]End - Use Prices'!$A$6:$A$89,0)+MATCH($D97,'[1]End - Use Prices'!$B$9:$B$11,0)-1,MATCH(AB$1,'[1]End - Use Prices'!$C$7:$AL$7,0))</f>
        <v>25.26</v>
      </c>
      <c r="AC97" s="41">
        <f>INDEX('[1]End - Use Prices'!$C$6:$AL$89,MATCH($C97,'[1]End - Use Prices'!$A$6:$A$89,0)+MATCH($D97,'[1]End - Use Prices'!$B$9:$B$11,0)-1,MATCH(AC$1,'[1]End - Use Prices'!$C$7:$AL$7,0))</f>
        <v>28.11</v>
      </c>
      <c r="AD97" s="41">
        <f>INDEX('[1]End - Use Prices'!$C$6:$AL$89,MATCH($C97,'[1]End - Use Prices'!$A$6:$A$89,0)+MATCH($D97,'[1]End - Use Prices'!$B$9:$B$11,0)-1,MATCH(AD$1,'[1]End - Use Prices'!$C$7:$AL$7,0))</f>
        <v>32.72</v>
      </c>
      <c r="AE97" s="41">
        <f>INDEX('[1]End - Use Prices'!$C$6:$AL$89,MATCH($C97,'[1]End - Use Prices'!$A$6:$A$89,0)+MATCH($D97,'[1]End - Use Prices'!$B$9:$B$11,0)-1,MATCH(AE$1,'[1]End - Use Prices'!$C$7:$AL$7,0))</f>
        <v>32.950000000000003</v>
      </c>
      <c r="AF97" s="41">
        <f>INDEX('[1]End - Use Prices'!$C$6:$AL$89,MATCH($C97,'[1]End - Use Prices'!$A$6:$A$89,0)+MATCH($D97,'[1]End - Use Prices'!$B$9:$B$11,0)-1,MATCH(AF$1,'[1]End - Use Prices'!$C$7:$AL$7,0))</f>
        <v>33.5</v>
      </c>
      <c r="AG97" s="41">
        <f>INDEX('[1]End - Use Prices'!$C$6:$AL$89,MATCH($C97,'[1]End - Use Prices'!$A$6:$A$89,0)+MATCH($D97,'[1]End - Use Prices'!$B$9:$B$11,0)-1,MATCH(AG$1,'[1]End - Use Prices'!$C$7:$AL$7,0))</f>
        <v>34.840000000000003</v>
      </c>
      <c r="AH97" s="41">
        <f>INDEX('[1]End - Use Prices'!$C$6:$AL$89,MATCH($C97,'[1]End - Use Prices'!$A$6:$A$89,0)+MATCH($D97,'[1]End - Use Prices'!$B$9:$B$11,0)-1,MATCH(AH$1,'[1]End - Use Prices'!$C$7:$AL$7,0))</f>
        <v>26.82</v>
      </c>
      <c r="AI97" s="41">
        <f>INDEX('[1]End - Use Prices'!$C$6:$AL$89,MATCH($C97,'[1]End - Use Prices'!$A$6:$A$89,0)+MATCH($D97,'[1]End - Use Prices'!$B$9:$B$11,0)-1,MATCH(AI$1,'[1]End - Use Prices'!$C$7:$AL$7,0))</f>
        <v>24</v>
      </c>
      <c r="AJ97" s="41">
        <f>INDEX('[1]End - Use Prices'!$C$6:$AL$89,MATCH($C97,'[1]End - Use Prices'!$A$6:$A$89,0)+MATCH($D97,'[1]End - Use Prices'!$B$9:$B$11,0)-1,MATCH(AJ$1,'[1]End - Use Prices'!$C$7:$AL$7,0))</f>
        <v>26.23</v>
      </c>
      <c r="AK97" s="41">
        <f>INDEX('[1]End - Use Prices'!$C$6:$AL$89,MATCH($C97,'[1]End - Use Prices'!$A$6:$A$89,0)+MATCH($D97,'[1]End - Use Prices'!$B$9:$B$11,0)-1,MATCH(AK$1,'[1]End - Use Prices'!$C$7:$AL$7,0))</f>
        <v>30.14</v>
      </c>
      <c r="AL97" s="41">
        <f>INDEX('[1]End - Use Prices'!$C$6:$AL$89,MATCH($C97,'[1]End - Use Prices'!$A$6:$A$89,0)+MATCH($D97,'[1]End - Use Prices'!$B$9:$B$11,0)-1,MATCH(AL$1,'[1]End - Use Prices'!$C$7:$AL$7,0))</f>
        <v>33.479999999999997</v>
      </c>
      <c r="AM97" s="41">
        <f>INDEX('[1]End - Use Prices'!$C$6:$AL$89,MATCH($C97,'[1]End - Use Prices'!$A$6:$A$89,0)+MATCH($D97,'[1]End - Use Prices'!$B$9:$B$11,0)-1,MATCH(AM$1,'[1]End - Use Prices'!$C$7:$AL$7,0))</f>
        <v>36.65</v>
      </c>
      <c r="AN97" s="41">
        <f>INDEX('[1]End - Use Prices'!$C$6:$AL$89,MATCH($C97,'[1]End - Use Prices'!$A$6:$A$89,0)+MATCH($D97,'[1]End - Use Prices'!$B$9:$B$11,0)-1,MATCH(AN$1,'[1]End - Use Prices'!$C$7:$AL$7,0))</f>
        <v>33.15</v>
      </c>
      <c r="AO97" s="41">
        <f>INDEX('[1]End - Use Prices'!$C$6:$AL$89,MATCH($C97,'[1]End - Use Prices'!$A$6:$A$89,0)+MATCH($D97,'[1]End - Use Prices'!$B$9:$B$11,0)-1,MATCH(AO$1,'[1]End - Use Prices'!$C$7:$AL$7,0))</f>
        <v>30.77</v>
      </c>
      <c r="AP97" s="41">
        <f>INDEX('[1]End - Use Prices'!$C$6:$AL$89,MATCH($C97,'[1]End - Use Prices'!$A$6:$A$89,0)+MATCH($D97,'[1]End - Use Prices'!$B$9:$B$11,0)-1,MATCH(AP$1,'[1]End - Use Prices'!$C$7:$AL$7,0))</f>
        <v>30.2</v>
      </c>
      <c r="AQ97" s="41">
        <f>INDEX('[1]End - Use Prices'!$C$6:$AL$89,MATCH($C97,'[1]End - Use Prices'!$A$6:$A$89,0)+MATCH($D97,'[1]End - Use Prices'!$B$9:$B$11,0)-1,MATCH(AQ$1,'[1]End - Use Prices'!$C$7:$AL$7,0))</f>
        <v>30.06</v>
      </c>
      <c r="AR97" s="41">
        <f>INDEX('[1]End - Use Prices'!$C$6:$AL$89,MATCH($C97,'[1]End - Use Prices'!$A$6:$A$89,0)+MATCH($D97,'[1]End - Use Prices'!$B$9:$B$11,0)-1,MATCH(AR$1,'[1]End - Use Prices'!$C$7:$AL$7,0))</f>
        <v>30.13</v>
      </c>
      <c r="AS97" s="41">
        <f>INDEX('[1]End - Use Prices'!$C$6:$AL$89,MATCH($C97,'[1]End - Use Prices'!$A$6:$A$89,0)+MATCH($D97,'[1]End - Use Prices'!$B$9:$B$11,0)-1,MATCH(AS$1,'[1]End - Use Prices'!$C$7:$AL$7,0))</f>
        <v>30.14</v>
      </c>
      <c r="AT97" s="41">
        <f>INDEX('[1]End - Use Prices'!$C$6:$AL$89,MATCH($C97,'[1]End - Use Prices'!$A$6:$A$89,0)+MATCH($D97,'[1]End - Use Prices'!$B$9:$B$11,0)-1,MATCH(AT$1,'[1]End - Use Prices'!$C$7:$AL$7,0))</f>
        <v>30.06</v>
      </c>
      <c r="AU97" s="41">
        <f>INDEX('[1]End - Use Prices'!$C$6:$AL$89,MATCH($C97,'[1]End - Use Prices'!$A$6:$A$89,0)+MATCH($D97,'[1]End - Use Prices'!$B$9:$B$11,0)-1,MATCH(AU$1,'[1]End - Use Prices'!$C$7:$AL$7,0))</f>
        <v>29.92</v>
      </c>
      <c r="AV97" s="41">
        <f>INDEX('[1]End - Use Prices'!$C$6:$AL$89,MATCH($C97,'[1]End - Use Prices'!$A$6:$A$89,0)+MATCH($D97,'[1]End - Use Prices'!$B$9:$B$11,0)-1,MATCH(AV$1,'[1]End - Use Prices'!$C$7:$AL$7,0))</f>
        <v>29.81</v>
      </c>
      <c r="AW97" s="41">
        <f>INDEX('[1]End - Use Prices'!$C$6:$AL$89,MATCH($C97,'[1]End - Use Prices'!$A$6:$A$89,0)+MATCH($D97,'[1]End - Use Prices'!$B$9:$B$11,0)-1,MATCH(AW$1,'[1]End - Use Prices'!$C$7:$AL$7,0))</f>
        <v>29.7</v>
      </c>
      <c r="AX97" s="41">
        <f>INDEX('[1]End - Use Prices'!$C$6:$AL$89,MATCH($C97,'[1]End - Use Prices'!$A$6:$A$89,0)+MATCH($D97,'[1]End - Use Prices'!$B$9:$B$11,0)-1,MATCH(AX$1,'[1]End - Use Prices'!$C$7:$AL$7,0))</f>
        <v>29.64</v>
      </c>
      <c r="AY97" s="41">
        <f>INDEX('[1]End - Use Prices'!$C$6:$AL$89,MATCH($C97,'[1]End - Use Prices'!$A$6:$A$89,0)+MATCH($D97,'[1]End - Use Prices'!$B$9:$B$11,0)-1,MATCH(AY$1,'[1]End - Use Prices'!$C$7:$AL$7,0))</f>
        <v>29.62</v>
      </c>
      <c r="AZ97" s="41">
        <f>INDEX('[1]End - Use Prices'!$C$6:$AL$89,MATCH($C97,'[1]End - Use Prices'!$A$6:$A$89,0)+MATCH($D97,'[1]End - Use Prices'!$B$9:$B$11,0)-1,MATCH(AZ$1,'[1]End - Use Prices'!$C$7:$AL$7,0))</f>
        <v>29.64</v>
      </c>
      <c r="BA97" s="41">
        <f>INDEX('[1]End - Use Prices'!$C$6:$AL$89,MATCH($C97,'[1]End - Use Prices'!$A$6:$A$89,0)+MATCH($D97,'[1]End - Use Prices'!$B$9:$B$11,0)-1,MATCH(BA$1,'[1]End - Use Prices'!$C$7:$AL$7,0))</f>
        <v>29.67</v>
      </c>
      <c r="BB97" s="41">
        <f>INDEX('[1]End - Use Prices'!$C$6:$AL$89,MATCH($C97,'[1]End - Use Prices'!$A$6:$A$89,0)+MATCH($D97,'[1]End - Use Prices'!$B$9:$B$11,0)-1,MATCH(BB$1,'[1]End - Use Prices'!$C$7:$AL$7,0))</f>
        <v>29.69</v>
      </c>
      <c r="BC97" s="41">
        <f>INDEX('[1]End - Use Prices'!$C$6:$AL$89,MATCH($C97,'[1]End - Use Prices'!$A$6:$A$89,0)+MATCH($D97,'[1]End - Use Prices'!$B$9:$B$11,0)-1,MATCH(BC$1,'[1]End - Use Prices'!$C$7:$AL$7,0))</f>
        <v>29.7</v>
      </c>
      <c r="BD97" s="41">
        <f>INDEX('[1]End - Use Prices'!$C$6:$AL$89,MATCH($C97,'[1]End - Use Prices'!$A$6:$A$89,0)+MATCH($D97,'[1]End - Use Prices'!$B$9:$B$11,0)-1,MATCH(BD$1,'[1]End - Use Prices'!$C$7:$AL$7,0))</f>
        <v>29.69</v>
      </c>
      <c r="BE97" s="41">
        <f>INDEX('[1]End - Use Prices'!$C$6:$AL$89,MATCH($C97,'[1]End - Use Prices'!$A$6:$A$89,0)+MATCH($D97,'[1]End - Use Prices'!$B$9:$B$11,0)-1,MATCH(BE$1,'[1]End - Use Prices'!$C$7:$AL$7,0))</f>
        <v>29.65</v>
      </c>
      <c r="BF97" s="41">
        <f>INDEX('[1]End - Use Prices'!$C$6:$AL$89,MATCH($C97,'[1]End - Use Prices'!$A$6:$A$89,0)+MATCH($D97,'[1]End - Use Prices'!$B$9:$B$11,0)-1,MATCH(BF$1,'[1]End - Use Prices'!$C$7:$AL$7,0))</f>
        <v>29.61</v>
      </c>
      <c r="BG97" s="41">
        <f>INDEX('[1]End - Use Prices'!$C$6:$AL$89,MATCH($C97,'[1]End - Use Prices'!$A$6:$A$89,0)+MATCH($D97,'[1]End - Use Prices'!$B$9:$B$11,0)-1,MATCH(BG$1,'[1]End - Use Prices'!$C$7:$AL$7,0))</f>
        <v>29.56</v>
      </c>
      <c r="BR97" s="39"/>
      <c r="BS97" s="39"/>
      <c r="BT97" s="39"/>
      <c r="BU97" s="39"/>
      <c r="BV97" s="39"/>
      <c r="BW97" s="39"/>
      <c r="BX97" s="39"/>
      <c r="BY97" s="39"/>
      <c r="BZ97" s="39"/>
      <c r="CA97" s="39"/>
    </row>
    <row r="98" spans="1:79" x14ac:dyDescent="0.25">
      <c r="A98" s="5"/>
      <c r="B98" s="3"/>
      <c r="C98" s="25" t="s">
        <v>94</v>
      </c>
      <c r="D98" s="25" t="s">
        <v>311</v>
      </c>
      <c r="E98" s="25" t="s">
        <v>313</v>
      </c>
      <c r="F98" s="74" t="s">
        <v>310</v>
      </c>
      <c r="G98" s="54">
        <f t="shared" si="54"/>
        <v>26.98</v>
      </c>
      <c r="H98" s="34">
        <f t="shared" si="89"/>
        <v>26.98</v>
      </c>
      <c r="I98" s="34">
        <f t="shared" si="89"/>
        <v>26.99</v>
      </c>
      <c r="J98" s="34">
        <f t="shared" si="89"/>
        <v>26.82</v>
      </c>
      <c r="K98" s="34">
        <f t="shared" si="89"/>
        <v>37.92</v>
      </c>
      <c r="L98" s="34">
        <f t="shared" si="89"/>
        <v>33.53</v>
      </c>
      <c r="M98" s="34">
        <f t="shared" si="89"/>
        <v>32.72</v>
      </c>
      <c r="N98" s="34">
        <f t="shared" si="89"/>
        <v>32.49</v>
      </c>
      <c r="O98" s="34">
        <f t="shared" si="89"/>
        <v>32.130000000000003</v>
      </c>
      <c r="P98" s="54">
        <f t="shared" ref="P98:Q98" si="94">O98</f>
        <v>32.130000000000003</v>
      </c>
      <c r="Q98" s="54">
        <f t="shared" si="94"/>
        <v>32.130000000000003</v>
      </c>
      <c r="R98" s="38"/>
      <c r="X98" s="41">
        <f>INDEX('[1]End - Use Prices'!$C$6:$AL$89,MATCH($C98,'[1]End - Use Prices'!$A$6:$A$89,0)+MATCH($D98,'[1]End - Use Prices'!$B$9:$B$11,0)-1,MATCH(X$1,'[1]End - Use Prices'!$C$7:$AL$7,0))</f>
        <v>26.98</v>
      </c>
      <c r="Y98" s="41">
        <f>INDEX('[1]End - Use Prices'!$C$6:$AL$89,MATCH($C98,'[1]End - Use Prices'!$A$6:$A$89,0)+MATCH($D98,'[1]End - Use Prices'!$B$9:$B$11,0)-1,MATCH(Y$1,'[1]End - Use Prices'!$C$7:$AL$7,0))</f>
        <v>26.48</v>
      </c>
      <c r="Z98" s="41">
        <f>INDEX('[1]End - Use Prices'!$C$6:$AL$89,MATCH($C98,'[1]End - Use Prices'!$A$6:$A$89,0)+MATCH($D98,'[1]End - Use Prices'!$B$9:$B$11,0)-1,MATCH(Z$1,'[1]End - Use Prices'!$C$7:$AL$7,0))</f>
        <v>28.47</v>
      </c>
      <c r="AA98" s="41">
        <f>INDEX('[1]End - Use Prices'!$C$6:$AL$89,MATCH($C98,'[1]End - Use Prices'!$A$6:$A$89,0)+MATCH($D98,'[1]End - Use Prices'!$B$9:$B$11,0)-1,MATCH(AA$1,'[1]End - Use Prices'!$C$7:$AL$7,0))</f>
        <v>34.4</v>
      </c>
      <c r="AB98" s="41">
        <f>INDEX('[1]End - Use Prices'!$C$6:$AL$89,MATCH($C98,'[1]End - Use Prices'!$A$6:$A$89,0)+MATCH($D98,'[1]End - Use Prices'!$B$9:$B$11,0)-1,MATCH(AB$1,'[1]End - Use Prices'!$C$7:$AL$7,0))</f>
        <v>24.36</v>
      </c>
      <c r="AC98" s="41">
        <f>INDEX('[1]End - Use Prices'!$C$6:$AL$89,MATCH($C98,'[1]End - Use Prices'!$A$6:$A$89,0)+MATCH($D98,'[1]End - Use Prices'!$B$9:$B$11,0)-1,MATCH(AC$1,'[1]End - Use Prices'!$C$7:$AL$7,0))</f>
        <v>26.99</v>
      </c>
      <c r="AD98" s="41">
        <f>INDEX('[1]End - Use Prices'!$C$6:$AL$89,MATCH($C98,'[1]End - Use Prices'!$A$6:$A$89,0)+MATCH($D98,'[1]End - Use Prices'!$B$9:$B$11,0)-1,MATCH(AD$1,'[1]End - Use Prices'!$C$7:$AL$7,0))</f>
        <v>32.65</v>
      </c>
      <c r="AE98" s="41">
        <f>INDEX('[1]End - Use Prices'!$C$6:$AL$89,MATCH($C98,'[1]End - Use Prices'!$A$6:$A$89,0)+MATCH($D98,'[1]End - Use Prices'!$B$9:$B$11,0)-1,MATCH(AE$1,'[1]End - Use Prices'!$C$7:$AL$7,0))</f>
        <v>31.57</v>
      </c>
      <c r="AF98" s="41">
        <f>INDEX('[1]End - Use Prices'!$C$6:$AL$89,MATCH($C98,'[1]End - Use Prices'!$A$6:$A$89,0)+MATCH($D98,'[1]End - Use Prices'!$B$9:$B$11,0)-1,MATCH(AF$1,'[1]End - Use Prices'!$C$7:$AL$7,0))</f>
        <v>32.36</v>
      </c>
      <c r="AG98" s="41">
        <f>INDEX('[1]End - Use Prices'!$C$6:$AL$89,MATCH($C98,'[1]End - Use Prices'!$A$6:$A$89,0)+MATCH($D98,'[1]End - Use Prices'!$B$9:$B$11,0)-1,MATCH(AG$1,'[1]End - Use Prices'!$C$7:$AL$7,0))</f>
        <v>35.340000000000003</v>
      </c>
      <c r="AH98" s="41">
        <f>INDEX('[1]End - Use Prices'!$C$6:$AL$89,MATCH($C98,'[1]End - Use Prices'!$A$6:$A$89,0)+MATCH($D98,'[1]End - Use Prices'!$B$9:$B$11,0)-1,MATCH(AH$1,'[1]End - Use Prices'!$C$7:$AL$7,0))</f>
        <v>26.82</v>
      </c>
      <c r="AI98" s="41">
        <f>INDEX('[1]End - Use Prices'!$C$6:$AL$89,MATCH($C98,'[1]End - Use Prices'!$A$6:$A$89,0)+MATCH($D98,'[1]End - Use Prices'!$B$9:$B$11,0)-1,MATCH(AI$1,'[1]End - Use Prices'!$C$7:$AL$7,0))</f>
        <v>24.02</v>
      </c>
      <c r="AJ98" s="41">
        <f>INDEX('[1]End - Use Prices'!$C$6:$AL$89,MATCH($C98,'[1]End - Use Prices'!$A$6:$A$89,0)+MATCH($D98,'[1]End - Use Prices'!$B$9:$B$11,0)-1,MATCH(AJ$1,'[1]End - Use Prices'!$C$7:$AL$7,0))</f>
        <v>26.27</v>
      </c>
      <c r="AK98" s="41">
        <f>INDEX('[1]End - Use Prices'!$C$6:$AL$89,MATCH($C98,'[1]End - Use Prices'!$A$6:$A$89,0)+MATCH($D98,'[1]End - Use Prices'!$B$9:$B$11,0)-1,MATCH(AK$1,'[1]End - Use Prices'!$C$7:$AL$7,0))</f>
        <v>29.87</v>
      </c>
      <c r="AL98" s="41">
        <f>INDEX('[1]End - Use Prices'!$C$6:$AL$89,MATCH($C98,'[1]End - Use Prices'!$A$6:$A$89,0)+MATCH($D98,'[1]End - Use Prices'!$B$9:$B$11,0)-1,MATCH(AL$1,'[1]End - Use Prices'!$C$7:$AL$7,0))</f>
        <v>33.14</v>
      </c>
      <c r="AM98" s="41">
        <f>INDEX('[1]End - Use Prices'!$C$6:$AL$89,MATCH($C98,'[1]End - Use Prices'!$A$6:$A$89,0)+MATCH($D98,'[1]End - Use Prices'!$B$9:$B$11,0)-1,MATCH(AM$1,'[1]End - Use Prices'!$C$7:$AL$7,0))</f>
        <v>37.92</v>
      </c>
      <c r="AN98" s="41">
        <f>INDEX('[1]End - Use Prices'!$C$6:$AL$89,MATCH($C98,'[1]End - Use Prices'!$A$6:$A$89,0)+MATCH($D98,'[1]End - Use Prices'!$B$9:$B$11,0)-1,MATCH(AN$1,'[1]End - Use Prices'!$C$7:$AL$7,0))</f>
        <v>35.28</v>
      </c>
      <c r="AO98" s="41">
        <f>INDEX('[1]End - Use Prices'!$C$6:$AL$89,MATCH($C98,'[1]End - Use Prices'!$A$6:$A$89,0)+MATCH($D98,'[1]End - Use Prices'!$B$9:$B$11,0)-1,MATCH(AO$1,'[1]End - Use Prices'!$C$7:$AL$7,0))</f>
        <v>33.700000000000003</v>
      </c>
      <c r="AP98" s="41">
        <f>INDEX('[1]End - Use Prices'!$C$6:$AL$89,MATCH($C98,'[1]End - Use Prices'!$A$6:$A$89,0)+MATCH($D98,'[1]End - Use Prices'!$B$9:$B$11,0)-1,MATCH(AP$1,'[1]End - Use Prices'!$C$7:$AL$7,0))</f>
        <v>33.82</v>
      </c>
      <c r="AQ98" s="41">
        <f>INDEX('[1]End - Use Prices'!$C$6:$AL$89,MATCH($C98,'[1]End - Use Prices'!$A$6:$A$89,0)+MATCH($D98,'[1]End - Use Prices'!$B$9:$B$11,0)-1,MATCH(AQ$1,'[1]End - Use Prices'!$C$7:$AL$7,0))</f>
        <v>33.549999999999997</v>
      </c>
      <c r="AR98" s="41">
        <f>INDEX('[1]End - Use Prices'!$C$6:$AL$89,MATCH($C98,'[1]End - Use Prices'!$A$6:$A$89,0)+MATCH($D98,'[1]End - Use Prices'!$B$9:$B$11,0)-1,MATCH(AR$1,'[1]End - Use Prices'!$C$7:$AL$7,0))</f>
        <v>33.53</v>
      </c>
      <c r="AS98" s="41">
        <f>INDEX('[1]End - Use Prices'!$C$6:$AL$89,MATCH($C98,'[1]End - Use Prices'!$A$6:$A$89,0)+MATCH($D98,'[1]End - Use Prices'!$B$9:$B$11,0)-1,MATCH(AS$1,'[1]End - Use Prices'!$C$7:$AL$7,0))</f>
        <v>33.46</v>
      </c>
      <c r="AT98" s="41">
        <f>INDEX('[1]End - Use Prices'!$C$6:$AL$89,MATCH($C98,'[1]End - Use Prices'!$A$6:$A$89,0)+MATCH($D98,'[1]End - Use Prices'!$B$9:$B$11,0)-1,MATCH(AT$1,'[1]End - Use Prices'!$C$7:$AL$7,0))</f>
        <v>33.29</v>
      </c>
      <c r="AU98" s="41">
        <f>INDEX('[1]End - Use Prices'!$C$6:$AL$89,MATCH($C98,'[1]End - Use Prices'!$A$6:$A$89,0)+MATCH($D98,'[1]End - Use Prices'!$B$9:$B$11,0)-1,MATCH(AU$1,'[1]End - Use Prices'!$C$7:$AL$7,0))</f>
        <v>33.07</v>
      </c>
      <c r="AV98" s="41">
        <f>INDEX('[1]End - Use Prices'!$C$6:$AL$89,MATCH($C98,'[1]End - Use Prices'!$A$6:$A$89,0)+MATCH($D98,'[1]End - Use Prices'!$B$9:$B$11,0)-1,MATCH(AV$1,'[1]End - Use Prices'!$C$7:$AL$7,0))</f>
        <v>32.9</v>
      </c>
      <c r="AW98" s="41">
        <f>INDEX('[1]End - Use Prices'!$C$6:$AL$89,MATCH($C98,'[1]End - Use Prices'!$A$6:$A$89,0)+MATCH($D98,'[1]End - Use Prices'!$B$9:$B$11,0)-1,MATCH(AW$1,'[1]End - Use Prices'!$C$7:$AL$7,0))</f>
        <v>32.72</v>
      </c>
      <c r="AX98" s="41">
        <f>INDEX('[1]End - Use Prices'!$C$6:$AL$89,MATCH($C98,'[1]End - Use Prices'!$A$6:$A$89,0)+MATCH($D98,'[1]End - Use Prices'!$B$9:$B$11,0)-1,MATCH(AX$1,'[1]End - Use Prices'!$C$7:$AL$7,0))</f>
        <v>32.619999999999997</v>
      </c>
      <c r="AY98" s="41">
        <f>INDEX('[1]End - Use Prices'!$C$6:$AL$89,MATCH($C98,'[1]End - Use Prices'!$A$6:$A$89,0)+MATCH($D98,'[1]End - Use Prices'!$B$9:$B$11,0)-1,MATCH(AY$1,'[1]End - Use Prices'!$C$7:$AL$7,0))</f>
        <v>32.549999999999997</v>
      </c>
      <c r="AZ98" s="41">
        <f>INDEX('[1]End - Use Prices'!$C$6:$AL$89,MATCH($C98,'[1]End - Use Prices'!$A$6:$A$89,0)+MATCH($D98,'[1]End - Use Prices'!$B$9:$B$11,0)-1,MATCH(AZ$1,'[1]End - Use Prices'!$C$7:$AL$7,0))</f>
        <v>32.520000000000003</v>
      </c>
      <c r="BA98" s="41">
        <f>INDEX('[1]End - Use Prices'!$C$6:$AL$89,MATCH($C98,'[1]End - Use Prices'!$A$6:$A$89,0)+MATCH($D98,'[1]End - Use Prices'!$B$9:$B$11,0)-1,MATCH(BA$1,'[1]End - Use Prices'!$C$7:$AL$7,0))</f>
        <v>32.51</v>
      </c>
      <c r="BB98" s="41">
        <f>INDEX('[1]End - Use Prices'!$C$6:$AL$89,MATCH($C98,'[1]End - Use Prices'!$A$6:$A$89,0)+MATCH($D98,'[1]End - Use Prices'!$B$9:$B$11,0)-1,MATCH(BB$1,'[1]End - Use Prices'!$C$7:$AL$7,0))</f>
        <v>32.49</v>
      </c>
      <c r="BC98" s="41">
        <f>INDEX('[1]End - Use Prices'!$C$6:$AL$89,MATCH($C98,'[1]End - Use Prices'!$A$6:$A$89,0)+MATCH($D98,'[1]End - Use Prices'!$B$9:$B$11,0)-1,MATCH(BC$1,'[1]End - Use Prices'!$C$7:$AL$7,0))</f>
        <v>32.450000000000003</v>
      </c>
      <c r="BD98" s="41">
        <f>INDEX('[1]End - Use Prices'!$C$6:$AL$89,MATCH($C98,'[1]End - Use Prices'!$A$6:$A$89,0)+MATCH($D98,'[1]End - Use Prices'!$B$9:$B$11,0)-1,MATCH(BD$1,'[1]End - Use Prices'!$C$7:$AL$7,0))</f>
        <v>32.4</v>
      </c>
      <c r="BE98" s="41">
        <f>INDEX('[1]End - Use Prices'!$C$6:$AL$89,MATCH($C98,'[1]End - Use Prices'!$A$6:$A$89,0)+MATCH($D98,'[1]End - Use Prices'!$B$9:$B$11,0)-1,MATCH(BE$1,'[1]End - Use Prices'!$C$7:$AL$7,0))</f>
        <v>32.31</v>
      </c>
      <c r="BF98" s="41">
        <f>INDEX('[1]End - Use Prices'!$C$6:$AL$89,MATCH($C98,'[1]End - Use Prices'!$A$6:$A$89,0)+MATCH($D98,'[1]End - Use Prices'!$B$9:$B$11,0)-1,MATCH(BF$1,'[1]End - Use Prices'!$C$7:$AL$7,0))</f>
        <v>32.229999999999997</v>
      </c>
      <c r="BG98" s="41">
        <f>INDEX('[1]End - Use Prices'!$C$6:$AL$89,MATCH($C98,'[1]End - Use Prices'!$A$6:$A$89,0)+MATCH($D98,'[1]End - Use Prices'!$B$9:$B$11,0)-1,MATCH(BG$1,'[1]End - Use Prices'!$C$7:$AL$7,0))</f>
        <v>32.130000000000003</v>
      </c>
      <c r="BR98" s="39"/>
      <c r="BS98" s="39"/>
      <c r="BT98" s="39"/>
      <c r="BU98" s="39"/>
      <c r="BV98" s="39"/>
      <c r="BW98" s="39"/>
      <c r="BX98" s="39"/>
      <c r="BY98" s="39"/>
      <c r="BZ98" s="39"/>
      <c r="CA98" s="39"/>
    </row>
    <row r="99" spans="1:79" x14ac:dyDescent="0.25">
      <c r="A99" s="5"/>
      <c r="B99" s="3"/>
      <c r="C99" s="25" t="s">
        <v>5</v>
      </c>
      <c r="D99" s="25" t="s">
        <v>311</v>
      </c>
      <c r="E99" s="25" t="s">
        <v>313</v>
      </c>
      <c r="F99" s="74" t="s">
        <v>310</v>
      </c>
      <c r="G99" s="54">
        <f t="shared" si="54"/>
        <v>24.45</v>
      </c>
      <c r="H99" s="34">
        <f t="shared" si="89"/>
        <v>24.45</v>
      </c>
      <c r="I99" s="34">
        <f t="shared" si="89"/>
        <v>26.03</v>
      </c>
      <c r="J99" s="34">
        <f t="shared" si="89"/>
        <v>24.73</v>
      </c>
      <c r="K99" s="34">
        <f t="shared" si="89"/>
        <v>37.21</v>
      </c>
      <c r="L99" s="34">
        <f t="shared" si="89"/>
        <v>32.299999999999997</v>
      </c>
      <c r="M99" s="34">
        <f t="shared" si="89"/>
        <v>31.49</v>
      </c>
      <c r="N99" s="34">
        <f t="shared" si="89"/>
        <v>31.25</v>
      </c>
      <c r="O99" s="34">
        <f t="shared" si="89"/>
        <v>30.88</v>
      </c>
      <c r="P99" s="54">
        <f t="shared" ref="P99:Q99" si="95">O99</f>
        <v>30.88</v>
      </c>
      <c r="Q99" s="54">
        <f t="shared" si="95"/>
        <v>30.88</v>
      </c>
      <c r="R99" s="38"/>
      <c r="X99" s="41">
        <f>INDEX('[1]End - Use Prices'!$C$6:$AL$89,MATCH($C99,'[1]End - Use Prices'!$A$6:$A$89,0)+MATCH($D99,'[1]End - Use Prices'!$B$9:$B$11,0)-1,MATCH(X$1,'[1]End - Use Prices'!$C$7:$AL$7,0))</f>
        <v>24.45</v>
      </c>
      <c r="Y99" s="41">
        <f>INDEX('[1]End - Use Prices'!$C$6:$AL$89,MATCH($C99,'[1]End - Use Prices'!$A$6:$A$89,0)+MATCH($D99,'[1]End - Use Prices'!$B$9:$B$11,0)-1,MATCH(Y$1,'[1]End - Use Prices'!$C$7:$AL$7,0))</f>
        <v>25.51</v>
      </c>
      <c r="Z99" s="41">
        <f>INDEX('[1]End - Use Prices'!$C$6:$AL$89,MATCH($C99,'[1]End - Use Prices'!$A$6:$A$89,0)+MATCH($D99,'[1]End - Use Prices'!$B$9:$B$11,0)-1,MATCH(Z$1,'[1]End - Use Prices'!$C$7:$AL$7,0))</f>
        <v>26.83</v>
      </c>
      <c r="AA99" s="41">
        <f>INDEX('[1]End - Use Prices'!$C$6:$AL$89,MATCH($C99,'[1]End - Use Prices'!$A$6:$A$89,0)+MATCH($D99,'[1]End - Use Prices'!$B$9:$B$11,0)-1,MATCH(AA$1,'[1]End - Use Prices'!$C$7:$AL$7,0))</f>
        <v>31.95</v>
      </c>
      <c r="AB99" s="41">
        <f>INDEX('[1]End - Use Prices'!$C$6:$AL$89,MATCH($C99,'[1]End - Use Prices'!$A$6:$A$89,0)+MATCH($D99,'[1]End - Use Prices'!$B$9:$B$11,0)-1,MATCH(AB$1,'[1]End - Use Prices'!$C$7:$AL$7,0))</f>
        <v>23.37</v>
      </c>
      <c r="AC99" s="41">
        <f>INDEX('[1]End - Use Prices'!$C$6:$AL$89,MATCH($C99,'[1]End - Use Prices'!$A$6:$A$89,0)+MATCH($D99,'[1]End - Use Prices'!$B$9:$B$11,0)-1,MATCH(AC$1,'[1]End - Use Prices'!$C$7:$AL$7,0))</f>
        <v>26.03</v>
      </c>
      <c r="AD99" s="41">
        <f>INDEX('[1]End - Use Prices'!$C$6:$AL$89,MATCH($C99,'[1]End - Use Prices'!$A$6:$A$89,0)+MATCH($D99,'[1]End - Use Prices'!$B$9:$B$11,0)-1,MATCH(AD$1,'[1]End - Use Prices'!$C$7:$AL$7,0))</f>
        <v>27.78</v>
      </c>
      <c r="AE99" s="41">
        <f>INDEX('[1]End - Use Prices'!$C$6:$AL$89,MATCH($C99,'[1]End - Use Prices'!$A$6:$A$89,0)+MATCH($D99,'[1]End - Use Prices'!$B$9:$B$11,0)-1,MATCH(AE$1,'[1]End - Use Prices'!$C$7:$AL$7,0))</f>
        <v>29.65</v>
      </c>
      <c r="AF99" s="41">
        <f>INDEX('[1]End - Use Prices'!$C$6:$AL$89,MATCH($C99,'[1]End - Use Prices'!$A$6:$A$89,0)+MATCH($D99,'[1]End - Use Prices'!$B$9:$B$11,0)-1,MATCH(AF$1,'[1]End - Use Prices'!$C$7:$AL$7,0))</f>
        <v>27.25</v>
      </c>
      <c r="AG99" s="41">
        <f>INDEX('[1]End - Use Prices'!$C$6:$AL$89,MATCH($C99,'[1]End - Use Prices'!$A$6:$A$89,0)+MATCH($D99,'[1]End - Use Prices'!$B$9:$B$11,0)-1,MATCH(AG$1,'[1]End - Use Prices'!$C$7:$AL$7,0))</f>
        <v>32.840000000000003</v>
      </c>
      <c r="AH99" s="41">
        <f>INDEX('[1]End - Use Prices'!$C$6:$AL$89,MATCH($C99,'[1]End - Use Prices'!$A$6:$A$89,0)+MATCH($D99,'[1]End - Use Prices'!$B$9:$B$11,0)-1,MATCH(AH$1,'[1]End - Use Prices'!$C$7:$AL$7,0))</f>
        <v>24.73</v>
      </c>
      <c r="AI99" s="41">
        <f>INDEX('[1]End - Use Prices'!$C$6:$AL$89,MATCH($C99,'[1]End - Use Prices'!$A$6:$A$89,0)+MATCH($D99,'[1]End - Use Prices'!$B$9:$B$11,0)-1,MATCH(AI$1,'[1]End - Use Prices'!$C$7:$AL$7,0))</f>
        <v>22.55</v>
      </c>
      <c r="AJ99" s="41">
        <f>INDEX('[1]End - Use Prices'!$C$6:$AL$89,MATCH($C99,'[1]End - Use Prices'!$A$6:$A$89,0)+MATCH($D99,'[1]End - Use Prices'!$B$9:$B$11,0)-1,MATCH(AJ$1,'[1]End - Use Prices'!$C$7:$AL$7,0))</f>
        <v>24.52</v>
      </c>
      <c r="AK99" s="41">
        <f>INDEX('[1]End - Use Prices'!$C$6:$AL$89,MATCH($C99,'[1]End - Use Prices'!$A$6:$A$89,0)+MATCH($D99,'[1]End - Use Prices'!$B$9:$B$11,0)-1,MATCH(AK$1,'[1]End - Use Prices'!$C$7:$AL$7,0))</f>
        <v>30.35</v>
      </c>
      <c r="AL99" s="41">
        <f>INDEX('[1]End - Use Prices'!$C$6:$AL$89,MATCH($C99,'[1]End - Use Prices'!$A$6:$A$89,0)+MATCH($D99,'[1]End - Use Prices'!$B$9:$B$11,0)-1,MATCH(AL$1,'[1]End - Use Prices'!$C$7:$AL$7,0))</f>
        <v>34.29</v>
      </c>
      <c r="AM99" s="41">
        <f>INDEX('[1]End - Use Prices'!$C$6:$AL$89,MATCH($C99,'[1]End - Use Prices'!$A$6:$A$89,0)+MATCH($D99,'[1]End - Use Prices'!$B$9:$B$11,0)-1,MATCH(AM$1,'[1]End - Use Prices'!$C$7:$AL$7,0))</f>
        <v>37.21</v>
      </c>
      <c r="AN99" s="41">
        <f>INDEX('[1]End - Use Prices'!$C$6:$AL$89,MATCH($C99,'[1]End - Use Prices'!$A$6:$A$89,0)+MATCH($D99,'[1]End - Use Prices'!$B$9:$B$11,0)-1,MATCH(AN$1,'[1]End - Use Prices'!$C$7:$AL$7,0))</f>
        <v>33.880000000000003</v>
      </c>
      <c r="AO99" s="41">
        <f>INDEX('[1]End - Use Prices'!$C$6:$AL$89,MATCH($C99,'[1]End - Use Prices'!$A$6:$A$89,0)+MATCH($D99,'[1]End - Use Prices'!$B$9:$B$11,0)-1,MATCH(AO$1,'[1]End - Use Prices'!$C$7:$AL$7,0))</f>
        <v>32.43</v>
      </c>
      <c r="AP99" s="41">
        <f>INDEX('[1]End - Use Prices'!$C$6:$AL$89,MATCH($C99,'[1]End - Use Prices'!$A$6:$A$89,0)+MATCH($D99,'[1]End - Use Prices'!$B$9:$B$11,0)-1,MATCH(AP$1,'[1]End - Use Prices'!$C$7:$AL$7,0))</f>
        <v>32.590000000000003</v>
      </c>
      <c r="AQ99" s="41">
        <f>INDEX('[1]End - Use Prices'!$C$6:$AL$89,MATCH($C99,'[1]End - Use Prices'!$A$6:$A$89,0)+MATCH($D99,'[1]End - Use Prices'!$B$9:$B$11,0)-1,MATCH(AQ$1,'[1]End - Use Prices'!$C$7:$AL$7,0))</f>
        <v>32.33</v>
      </c>
      <c r="AR99" s="41">
        <f>INDEX('[1]End - Use Prices'!$C$6:$AL$89,MATCH($C99,'[1]End - Use Prices'!$A$6:$A$89,0)+MATCH($D99,'[1]End - Use Prices'!$B$9:$B$11,0)-1,MATCH(AR$1,'[1]End - Use Prices'!$C$7:$AL$7,0))</f>
        <v>32.299999999999997</v>
      </c>
      <c r="AS99" s="41">
        <f>INDEX('[1]End - Use Prices'!$C$6:$AL$89,MATCH($C99,'[1]End - Use Prices'!$A$6:$A$89,0)+MATCH($D99,'[1]End - Use Prices'!$B$9:$B$11,0)-1,MATCH(AS$1,'[1]End - Use Prices'!$C$7:$AL$7,0))</f>
        <v>32.22</v>
      </c>
      <c r="AT99" s="41">
        <f>INDEX('[1]End - Use Prices'!$C$6:$AL$89,MATCH($C99,'[1]End - Use Prices'!$A$6:$A$89,0)+MATCH($D99,'[1]End - Use Prices'!$B$9:$B$11,0)-1,MATCH(AT$1,'[1]End - Use Prices'!$C$7:$AL$7,0))</f>
        <v>32.049999999999997</v>
      </c>
      <c r="AU99" s="41">
        <f>INDEX('[1]End - Use Prices'!$C$6:$AL$89,MATCH($C99,'[1]End - Use Prices'!$A$6:$A$89,0)+MATCH($D99,'[1]End - Use Prices'!$B$9:$B$11,0)-1,MATCH(AU$1,'[1]End - Use Prices'!$C$7:$AL$7,0))</f>
        <v>31.84</v>
      </c>
      <c r="AV99" s="41">
        <f>INDEX('[1]End - Use Prices'!$C$6:$AL$89,MATCH($C99,'[1]End - Use Prices'!$A$6:$A$89,0)+MATCH($D99,'[1]End - Use Prices'!$B$9:$B$11,0)-1,MATCH(AV$1,'[1]End - Use Prices'!$C$7:$AL$7,0))</f>
        <v>31.67</v>
      </c>
      <c r="AW99" s="41">
        <f>INDEX('[1]End - Use Prices'!$C$6:$AL$89,MATCH($C99,'[1]End - Use Prices'!$A$6:$A$89,0)+MATCH($D99,'[1]End - Use Prices'!$B$9:$B$11,0)-1,MATCH(AW$1,'[1]End - Use Prices'!$C$7:$AL$7,0))</f>
        <v>31.49</v>
      </c>
      <c r="AX99" s="41">
        <f>INDEX('[1]End - Use Prices'!$C$6:$AL$89,MATCH($C99,'[1]End - Use Prices'!$A$6:$A$89,0)+MATCH($D99,'[1]End - Use Prices'!$B$9:$B$11,0)-1,MATCH(AX$1,'[1]End - Use Prices'!$C$7:$AL$7,0))</f>
        <v>31.39</v>
      </c>
      <c r="AY99" s="41">
        <f>INDEX('[1]End - Use Prices'!$C$6:$AL$89,MATCH($C99,'[1]End - Use Prices'!$A$6:$A$89,0)+MATCH($D99,'[1]End - Use Prices'!$B$9:$B$11,0)-1,MATCH(AY$1,'[1]End - Use Prices'!$C$7:$AL$7,0))</f>
        <v>31.32</v>
      </c>
      <c r="AZ99" s="41">
        <f>INDEX('[1]End - Use Prices'!$C$6:$AL$89,MATCH($C99,'[1]End - Use Prices'!$A$6:$A$89,0)+MATCH($D99,'[1]End - Use Prices'!$B$9:$B$11,0)-1,MATCH(AZ$1,'[1]End - Use Prices'!$C$7:$AL$7,0))</f>
        <v>31.28</v>
      </c>
      <c r="BA99" s="41">
        <f>INDEX('[1]End - Use Prices'!$C$6:$AL$89,MATCH($C99,'[1]End - Use Prices'!$A$6:$A$89,0)+MATCH($D99,'[1]End - Use Prices'!$B$9:$B$11,0)-1,MATCH(BA$1,'[1]End - Use Prices'!$C$7:$AL$7,0))</f>
        <v>31.27</v>
      </c>
      <c r="BB99" s="41">
        <f>INDEX('[1]End - Use Prices'!$C$6:$AL$89,MATCH($C99,'[1]End - Use Prices'!$A$6:$A$89,0)+MATCH($D99,'[1]End - Use Prices'!$B$9:$B$11,0)-1,MATCH(BB$1,'[1]End - Use Prices'!$C$7:$AL$7,0))</f>
        <v>31.25</v>
      </c>
      <c r="BC99" s="41">
        <f>INDEX('[1]End - Use Prices'!$C$6:$AL$89,MATCH($C99,'[1]End - Use Prices'!$A$6:$A$89,0)+MATCH($D99,'[1]End - Use Prices'!$B$9:$B$11,0)-1,MATCH(BC$1,'[1]End - Use Prices'!$C$7:$AL$7,0))</f>
        <v>31.21</v>
      </c>
      <c r="BD99" s="41">
        <f>INDEX('[1]End - Use Prices'!$C$6:$AL$89,MATCH($C99,'[1]End - Use Prices'!$A$6:$A$89,0)+MATCH($D99,'[1]End - Use Prices'!$B$9:$B$11,0)-1,MATCH(BD$1,'[1]End - Use Prices'!$C$7:$AL$7,0))</f>
        <v>31.15</v>
      </c>
      <c r="BE99" s="41">
        <f>INDEX('[1]End - Use Prices'!$C$6:$AL$89,MATCH($C99,'[1]End - Use Prices'!$A$6:$A$89,0)+MATCH($D99,'[1]End - Use Prices'!$B$9:$B$11,0)-1,MATCH(BE$1,'[1]End - Use Prices'!$C$7:$AL$7,0))</f>
        <v>31.06</v>
      </c>
      <c r="BF99" s="41">
        <f>INDEX('[1]End - Use Prices'!$C$6:$AL$89,MATCH($C99,'[1]End - Use Prices'!$A$6:$A$89,0)+MATCH($D99,'[1]End - Use Prices'!$B$9:$B$11,0)-1,MATCH(BF$1,'[1]End - Use Prices'!$C$7:$AL$7,0))</f>
        <v>30.98</v>
      </c>
      <c r="BG99" s="41">
        <f>INDEX('[1]End - Use Prices'!$C$6:$AL$89,MATCH($C99,'[1]End - Use Prices'!$A$6:$A$89,0)+MATCH($D99,'[1]End - Use Prices'!$B$9:$B$11,0)-1,MATCH(BG$1,'[1]End - Use Prices'!$C$7:$AL$7,0))</f>
        <v>30.88</v>
      </c>
      <c r="BR99" s="39"/>
      <c r="BS99" s="39"/>
      <c r="BT99" s="39"/>
      <c r="BU99" s="39"/>
      <c r="BV99" s="39"/>
      <c r="BW99" s="39"/>
      <c r="BX99" s="39"/>
      <c r="BY99" s="39"/>
      <c r="BZ99" s="39"/>
      <c r="CA99" s="39"/>
    </row>
    <row r="100" spans="1:79" x14ac:dyDescent="0.25">
      <c r="A100" s="5"/>
      <c r="B100" s="3"/>
      <c r="C100" s="25" t="s">
        <v>61</v>
      </c>
      <c r="D100" s="25" t="s">
        <v>311</v>
      </c>
      <c r="E100" s="25" t="s">
        <v>313</v>
      </c>
      <c r="F100" s="74" t="s">
        <v>310</v>
      </c>
      <c r="G100" s="54">
        <f t="shared" si="54"/>
        <v>28.98</v>
      </c>
      <c r="H100" s="34">
        <f t="shared" si="89"/>
        <v>28.98</v>
      </c>
      <c r="I100" s="34">
        <f t="shared" si="89"/>
        <v>29.71</v>
      </c>
      <c r="J100" s="34">
        <f t="shared" si="89"/>
        <v>29.49</v>
      </c>
      <c r="K100" s="34">
        <f t="shared" si="89"/>
        <v>41.92</v>
      </c>
      <c r="L100" s="34">
        <f t="shared" si="89"/>
        <v>36</v>
      </c>
      <c r="M100" s="34">
        <f t="shared" si="89"/>
        <v>35.03</v>
      </c>
      <c r="N100" s="34">
        <f t="shared" si="89"/>
        <v>34.64</v>
      </c>
      <c r="O100" s="34">
        <f t="shared" si="89"/>
        <v>34.14</v>
      </c>
      <c r="P100" s="54">
        <f t="shared" ref="P100:Q100" si="96">O100</f>
        <v>34.14</v>
      </c>
      <c r="Q100" s="54">
        <f t="shared" si="96"/>
        <v>34.14</v>
      </c>
      <c r="R100" s="38"/>
      <c r="X100" s="41">
        <f>INDEX('[1]End - Use Prices'!$C$6:$AL$89,MATCH($C100,'[1]End - Use Prices'!$A$6:$A$89,0)+MATCH($D100,'[1]End - Use Prices'!$B$9:$B$11,0)-1,MATCH(X$1,'[1]End - Use Prices'!$C$7:$AL$7,0))</f>
        <v>28.98</v>
      </c>
      <c r="Y100" s="41">
        <f>INDEX('[1]End - Use Prices'!$C$6:$AL$89,MATCH($C100,'[1]End - Use Prices'!$A$6:$A$89,0)+MATCH($D100,'[1]End - Use Prices'!$B$9:$B$11,0)-1,MATCH(Y$1,'[1]End - Use Prices'!$C$7:$AL$7,0))</f>
        <v>28.54</v>
      </c>
      <c r="Z100" s="41">
        <f>INDEX('[1]End - Use Prices'!$C$6:$AL$89,MATCH($C100,'[1]End - Use Prices'!$A$6:$A$89,0)+MATCH($D100,'[1]End - Use Prices'!$B$9:$B$11,0)-1,MATCH(Z$1,'[1]End - Use Prices'!$C$7:$AL$7,0))</f>
        <v>29.02</v>
      </c>
      <c r="AA100" s="41">
        <f>INDEX('[1]End - Use Prices'!$C$6:$AL$89,MATCH($C100,'[1]End - Use Prices'!$A$6:$A$89,0)+MATCH($D100,'[1]End - Use Prices'!$B$9:$B$11,0)-1,MATCH(AA$1,'[1]End - Use Prices'!$C$7:$AL$7,0))</f>
        <v>34.479999999999997</v>
      </c>
      <c r="AB100" s="41">
        <f>INDEX('[1]End - Use Prices'!$C$6:$AL$89,MATCH($C100,'[1]End - Use Prices'!$A$6:$A$89,0)+MATCH($D100,'[1]End - Use Prices'!$B$9:$B$11,0)-1,MATCH(AB$1,'[1]End - Use Prices'!$C$7:$AL$7,0))</f>
        <v>25.41</v>
      </c>
      <c r="AC100" s="41">
        <f>INDEX('[1]End - Use Prices'!$C$6:$AL$89,MATCH($C100,'[1]End - Use Prices'!$A$6:$A$89,0)+MATCH($D100,'[1]End - Use Prices'!$B$9:$B$11,0)-1,MATCH(AC$1,'[1]End - Use Prices'!$C$7:$AL$7,0))</f>
        <v>29.71</v>
      </c>
      <c r="AD100" s="41">
        <f>INDEX('[1]End - Use Prices'!$C$6:$AL$89,MATCH($C100,'[1]End - Use Prices'!$A$6:$A$89,0)+MATCH($D100,'[1]End - Use Prices'!$B$9:$B$11,0)-1,MATCH(AD$1,'[1]End - Use Prices'!$C$7:$AL$7,0))</f>
        <v>34.4</v>
      </c>
      <c r="AE100" s="41">
        <f>INDEX('[1]End - Use Prices'!$C$6:$AL$89,MATCH($C100,'[1]End - Use Prices'!$A$6:$A$89,0)+MATCH($D100,'[1]End - Use Prices'!$B$9:$B$11,0)-1,MATCH(AE$1,'[1]End - Use Prices'!$C$7:$AL$7,0))</f>
        <v>35.71</v>
      </c>
      <c r="AF100" s="41">
        <f>INDEX('[1]End - Use Prices'!$C$6:$AL$89,MATCH($C100,'[1]End - Use Prices'!$A$6:$A$89,0)+MATCH($D100,'[1]End - Use Prices'!$B$9:$B$11,0)-1,MATCH(AF$1,'[1]End - Use Prices'!$C$7:$AL$7,0))</f>
        <v>35.47</v>
      </c>
      <c r="AG100" s="41">
        <f>INDEX('[1]End - Use Prices'!$C$6:$AL$89,MATCH($C100,'[1]End - Use Prices'!$A$6:$A$89,0)+MATCH($D100,'[1]End - Use Prices'!$B$9:$B$11,0)-1,MATCH(AG$1,'[1]End - Use Prices'!$C$7:$AL$7,0))</f>
        <v>35.78</v>
      </c>
      <c r="AH100" s="41">
        <f>INDEX('[1]End - Use Prices'!$C$6:$AL$89,MATCH($C100,'[1]End - Use Prices'!$A$6:$A$89,0)+MATCH($D100,'[1]End - Use Prices'!$B$9:$B$11,0)-1,MATCH(AH$1,'[1]End - Use Prices'!$C$7:$AL$7,0))</f>
        <v>29.49</v>
      </c>
      <c r="AI100" s="41">
        <f>INDEX('[1]End - Use Prices'!$C$6:$AL$89,MATCH($C100,'[1]End - Use Prices'!$A$6:$A$89,0)+MATCH($D100,'[1]End - Use Prices'!$B$9:$B$11,0)-1,MATCH(AI$1,'[1]End - Use Prices'!$C$7:$AL$7,0))</f>
        <v>26.92</v>
      </c>
      <c r="AJ100" s="41">
        <f>INDEX('[1]End - Use Prices'!$C$6:$AL$89,MATCH($C100,'[1]End - Use Prices'!$A$6:$A$89,0)+MATCH($D100,'[1]End - Use Prices'!$B$9:$B$11,0)-1,MATCH(AJ$1,'[1]End - Use Prices'!$C$7:$AL$7,0))</f>
        <v>29.45</v>
      </c>
      <c r="AK100" s="41">
        <f>INDEX('[1]End - Use Prices'!$C$6:$AL$89,MATCH($C100,'[1]End - Use Prices'!$A$6:$A$89,0)+MATCH($D100,'[1]End - Use Prices'!$B$9:$B$11,0)-1,MATCH(AK$1,'[1]End - Use Prices'!$C$7:$AL$7,0))</f>
        <v>33.119999999999997</v>
      </c>
      <c r="AL100" s="41">
        <f>INDEX('[1]End - Use Prices'!$C$6:$AL$89,MATCH($C100,'[1]End - Use Prices'!$A$6:$A$89,0)+MATCH($D100,'[1]End - Use Prices'!$B$9:$B$11,0)-1,MATCH(AL$1,'[1]End - Use Prices'!$C$7:$AL$7,0))</f>
        <v>38.61</v>
      </c>
      <c r="AM100" s="41">
        <f>INDEX('[1]End - Use Prices'!$C$6:$AL$89,MATCH($C100,'[1]End - Use Prices'!$A$6:$A$89,0)+MATCH($D100,'[1]End - Use Prices'!$B$9:$B$11,0)-1,MATCH(AM$1,'[1]End - Use Prices'!$C$7:$AL$7,0))</f>
        <v>41.92</v>
      </c>
      <c r="AN100" s="41">
        <f>INDEX('[1]End - Use Prices'!$C$6:$AL$89,MATCH($C100,'[1]End - Use Prices'!$A$6:$A$89,0)+MATCH($D100,'[1]End - Use Prices'!$B$9:$B$11,0)-1,MATCH(AN$1,'[1]End - Use Prices'!$C$7:$AL$7,0))</f>
        <v>38.94</v>
      </c>
      <c r="AO100" s="41">
        <f>INDEX('[1]End - Use Prices'!$C$6:$AL$89,MATCH($C100,'[1]End - Use Prices'!$A$6:$A$89,0)+MATCH($D100,'[1]End - Use Prices'!$B$9:$B$11,0)-1,MATCH(AO$1,'[1]End - Use Prices'!$C$7:$AL$7,0))</f>
        <v>36.979999999999997</v>
      </c>
      <c r="AP100" s="41">
        <f>INDEX('[1]End - Use Prices'!$C$6:$AL$89,MATCH($C100,'[1]End - Use Prices'!$A$6:$A$89,0)+MATCH($D100,'[1]End - Use Prices'!$B$9:$B$11,0)-1,MATCH(AP$1,'[1]End - Use Prices'!$C$7:$AL$7,0))</f>
        <v>36.39</v>
      </c>
      <c r="AQ100" s="41">
        <f>INDEX('[1]End - Use Prices'!$C$6:$AL$89,MATCH($C100,'[1]End - Use Prices'!$A$6:$A$89,0)+MATCH($D100,'[1]End - Use Prices'!$B$9:$B$11,0)-1,MATCH(AQ$1,'[1]End - Use Prices'!$C$7:$AL$7,0))</f>
        <v>36.08</v>
      </c>
      <c r="AR100" s="41">
        <f>INDEX('[1]End - Use Prices'!$C$6:$AL$89,MATCH($C100,'[1]End - Use Prices'!$A$6:$A$89,0)+MATCH($D100,'[1]End - Use Prices'!$B$9:$B$11,0)-1,MATCH(AR$1,'[1]End - Use Prices'!$C$7:$AL$7,0))</f>
        <v>36</v>
      </c>
      <c r="AS100" s="41">
        <f>INDEX('[1]End - Use Prices'!$C$6:$AL$89,MATCH($C100,'[1]End - Use Prices'!$A$6:$A$89,0)+MATCH($D100,'[1]End - Use Prices'!$B$9:$B$11,0)-1,MATCH(AS$1,'[1]End - Use Prices'!$C$7:$AL$7,0))</f>
        <v>35.89</v>
      </c>
      <c r="AT100" s="41">
        <f>INDEX('[1]End - Use Prices'!$C$6:$AL$89,MATCH($C100,'[1]End - Use Prices'!$A$6:$A$89,0)+MATCH($D100,'[1]End - Use Prices'!$B$9:$B$11,0)-1,MATCH(AT$1,'[1]End - Use Prices'!$C$7:$AL$7,0))</f>
        <v>35.68</v>
      </c>
      <c r="AU100" s="41">
        <f>INDEX('[1]End - Use Prices'!$C$6:$AL$89,MATCH($C100,'[1]End - Use Prices'!$A$6:$A$89,0)+MATCH($D100,'[1]End - Use Prices'!$B$9:$B$11,0)-1,MATCH(AU$1,'[1]End - Use Prices'!$C$7:$AL$7,0))</f>
        <v>35.44</v>
      </c>
      <c r="AV100" s="41">
        <f>INDEX('[1]End - Use Prices'!$C$6:$AL$89,MATCH($C100,'[1]End - Use Prices'!$A$6:$A$89,0)+MATCH($D100,'[1]End - Use Prices'!$B$9:$B$11,0)-1,MATCH(AV$1,'[1]End - Use Prices'!$C$7:$AL$7,0))</f>
        <v>35.229999999999997</v>
      </c>
      <c r="AW100" s="41">
        <f>INDEX('[1]End - Use Prices'!$C$6:$AL$89,MATCH($C100,'[1]End - Use Prices'!$A$6:$A$89,0)+MATCH($D100,'[1]End - Use Prices'!$B$9:$B$11,0)-1,MATCH(AW$1,'[1]End - Use Prices'!$C$7:$AL$7,0))</f>
        <v>35.03</v>
      </c>
      <c r="AX100" s="41">
        <f>INDEX('[1]End - Use Prices'!$C$6:$AL$89,MATCH($C100,'[1]End - Use Prices'!$A$6:$A$89,0)+MATCH($D100,'[1]End - Use Prices'!$B$9:$B$11,0)-1,MATCH(AX$1,'[1]End - Use Prices'!$C$7:$AL$7,0))</f>
        <v>34.89</v>
      </c>
      <c r="AY100" s="41">
        <f>INDEX('[1]End - Use Prices'!$C$6:$AL$89,MATCH($C100,'[1]End - Use Prices'!$A$6:$A$89,0)+MATCH($D100,'[1]End - Use Prices'!$B$9:$B$11,0)-1,MATCH(AY$1,'[1]End - Use Prices'!$C$7:$AL$7,0))</f>
        <v>34.79</v>
      </c>
      <c r="AZ100" s="41">
        <f>INDEX('[1]End - Use Prices'!$C$6:$AL$89,MATCH($C100,'[1]End - Use Prices'!$A$6:$A$89,0)+MATCH($D100,'[1]End - Use Prices'!$B$9:$B$11,0)-1,MATCH(AZ$1,'[1]End - Use Prices'!$C$7:$AL$7,0))</f>
        <v>34.729999999999997</v>
      </c>
      <c r="BA100" s="41">
        <f>INDEX('[1]End - Use Prices'!$C$6:$AL$89,MATCH($C100,'[1]End - Use Prices'!$A$6:$A$89,0)+MATCH($D100,'[1]End - Use Prices'!$B$9:$B$11,0)-1,MATCH(BA$1,'[1]End - Use Prices'!$C$7:$AL$7,0))</f>
        <v>34.69</v>
      </c>
      <c r="BB100" s="41">
        <f>INDEX('[1]End - Use Prices'!$C$6:$AL$89,MATCH($C100,'[1]End - Use Prices'!$A$6:$A$89,0)+MATCH($D100,'[1]End - Use Prices'!$B$9:$B$11,0)-1,MATCH(BB$1,'[1]End - Use Prices'!$C$7:$AL$7,0))</f>
        <v>34.64</v>
      </c>
      <c r="BC100" s="41">
        <f>INDEX('[1]End - Use Prices'!$C$6:$AL$89,MATCH($C100,'[1]End - Use Prices'!$A$6:$A$89,0)+MATCH($D100,'[1]End - Use Prices'!$B$9:$B$11,0)-1,MATCH(BC$1,'[1]End - Use Prices'!$C$7:$AL$7,0))</f>
        <v>34.58</v>
      </c>
      <c r="BD100" s="41">
        <f>INDEX('[1]End - Use Prices'!$C$6:$AL$89,MATCH($C100,'[1]End - Use Prices'!$A$6:$A$89,0)+MATCH($D100,'[1]End - Use Prices'!$B$9:$B$11,0)-1,MATCH(BD$1,'[1]End - Use Prices'!$C$7:$AL$7,0))</f>
        <v>34.49</v>
      </c>
      <c r="BE100" s="41">
        <f>INDEX('[1]End - Use Prices'!$C$6:$AL$89,MATCH($C100,'[1]End - Use Prices'!$A$6:$A$89,0)+MATCH($D100,'[1]End - Use Prices'!$B$9:$B$11,0)-1,MATCH(BE$1,'[1]End - Use Prices'!$C$7:$AL$7,0))</f>
        <v>34.380000000000003</v>
      </c>
      <c r="BF100" s="41">
        <f>INDEX('[1]End - Use Prices'!$C$6:$AL$89,MATCH($C100,'[1]End - Use Prices'!$A$6:$A$89,0)+MATCH($D100,'[1]End - Use Prices'!$B$9:$B$11,0)-1,MATCH(BF$1,'[1]End - Use Prices'!$C$7:$AL$7,0))</f>
        <v>34.270000000000003</v>
      </c>
      <c r="BG100" s="41">
        <f>INDEX('[1]End - Use Prices'!$C$6:$AL$89,MATCH($C100,'[1]End - Use Prices'!$A$6:$A$89,0)+MATCH($D100,'[1]End - Use Prices'!$B$9:$B$11,0)-1,MATCH(BG$1,'[1]End - Use Prices'!$C$7:$AL$7,0))</f>
        <v>34.14</v>
      </c>
      <c r="BR100" s="39"/>
      <c r="BS100" s="39"/>
      <c r="BT100" s="39"/>
      <c r="BU100" s="39"/>
      <c r="BV100" s="39"/>
      <c r="BW100" s="39"/>
      <c r="BX100" s="39"/>
      <c r="BY100" s="39"/>
      <c r="BZ100" s="39"/>
      <c r="CA100" s="39"/>
    </row>
    <row r="101" spans="1:79" x14ac:dyDescent="0.25">
      <c r="A101" s="5"/>
      <c r="B101" s="3"/>
      <c r="C101" s="25" t="s">
        <v>95</v>
      </c>
      <c r="D101" s="25" t="s">
        <v>311</v>
      </c>
      <c r="E101" s="25" t="s">
        <v>313</v>
      </c>
      <c r="F101" s="74" t="s">
        <v>310</v>
      </c>
      <c r="G101" s="54">
        <f t="shared" si="54"/>
        <v>29.08</v>
      </c>
      <c r="H101" s="34">
        <f t="shared" si="89"/>
        <v>29.08</v>
      </c>
      <c r="I101" s="34">
        <f t="shared" si="89"/>
        <v>31.56</v>
      </c>
      <c r="J101" s="34">
        <f t="shared" si="89"/>
        <v>29.89</v>
      </c>
      <c r="K101" s="34">
        <f t="shared" si="89"/>
        <v>37.340000000000003</v>
      </c>
      <c r="L101" s="34">
        <f t="shared" si="89"/>
        <v>32.57</v>
      </c>
      <c r="M101" s="34">
        <f t="shared" si="89"/>
        <v>32.04</v>
      </c>
      <c r="N101" s="34">
        <f t="shared" si="89"/>
        <v>32.03</v>
      </c>
      <c r="O101" s="34">
        <f t="shared" si="89"/>
        <v>31.87</v>
      </c>
      <c r="P101" s="54">
        <f t="shared" ref="P101:Q101" si="97">O101</f>
        <v>31.87</v>
      </c>
      <c r="Q101" s="54">
        <f t="shared" si="97"/>
        <v>31.87</v>
      </c>
      <c r="R101" s="38"/>
      <c r="X101" s="41">
        <f>INDEX('[1]End - Use Prices'!$C$6:$AL$89,MATCH($C101,'[1]End - Use Prices'!$A$6:$A$89,0)+MATCH($D101,'[1]End - Use Prices'!$B$9:$B$11,0)-1,MATCH(X$1,'[1]End - Use Prices'!$C$7:$AL$7,0))</f>
        <v>29.08</v>
      </c>
      <c r="Y101" s="41">
        <f>INDEX('[1]End - Use Prices'!$C$6:$AL$89,MATCH($C101,'[1]End - Use Prices'!$A$6:$A$89,0)+MATCH($D101,'[1]End - Use Prices'!$B$9:$B$11,0)-1,MATCH(Y$1,'[1]End - Use Prices'!$C$7:$AL$7,0))</f>
        <v>30.15</v>
      </c>
      <c r="Z101" s="41">
        <f>INDEX('[1]End - Use Prices'!$C$6:$AL$89,MATCH($C101,'[1]End - Use Prices'!$A$6:$A$89,0)+MATCH($D101,'[1]End - Use Prices'!$B$9:$B$11,0)-1,MATCH(Z$1,'[1]End - Use Prices'!$C$7:$AL$7,0))</f>
        <v>31.73</v>
      </c>
      <c r="AA101" s="41">
        <f>INDEX('[1]End - Use Prices'!$C$6:$AL$89,MATCH($C101,'[1]End - Use Prices'!$A$6:$A$89,0)+MATCH($D101,'[1]End - Use Prices'!$B$9:$B$11,0)-1,MATCH(AA$1,'[1]End - Use Prices'!$C$7:$AL$7,0))</f>
        <v>37.46</v>
      </c>
      <c r="AB101" s="41">
        <f>INDEX('[1]End - Use Prices'!$C$6:$AL$89,MATCH($C101,'[1]End - Use Prices'!$A$6:$A$89,0)+MATCH($D101,'[1]End - Use Prices'!$B$9:$B$11,0)-1,MATCH(AB$1,'[1]End - Use Prices'!$C$7:$AL$7,0))</f>
        <v>28.89</v>
      </c>
      <c r="AC101" s="41">
        <f>INDEX('[1]End - Use Prices'!$C$6:$AL$89,MATCH($C101,'[1]End - Use Prices'!$A$6:$A$89,0)+MATCH($D101,'[1]End - Use Prices'!$B$9:$B$11,0)-1,MATCH(AC$1,'[1]End - Use Prices'!$C$7:$AL$7,0))</f>
        <v>31.56</v>
      </c>
      <c r="AD101" s="41">
        <f>INDEX('[1]End - Use Prices'!$C$6:$AL$89,MATCH($C101,'[1]End - Use Prices'!$A$6:$A$89,0)+MATCH($D101,'[1]End - Use Prices'!$B$9:$B$11,0)-1,MATCH(AD$1,'[1]End - Use Prices'!$C$7:$AL$7,0))</f>
        <v>36.9</v>
      </c>
      <c r="AE101" s="41">
        <f>INDEX('[1]End - Use Prices'!$C$6:$AL$89,MATCH($C101,'[1]End - Use Prices'!$A$6:$A$89,0)+MATCH($D101,'[1]End - Use Prices'!$B$9:$B$11,0)-1,MATCH(AE$1,'[1]End - Use Prices'!$C$7:$AL$7,0))</f>
        <v>38.08</v>
      </c>
      <c r="AF101" s="41">
        <f>INDEX('[1]End - Use Prices'!$C$6:$AL$89,MATCH($C101,'[1]End - Use Prices'!$A$6:$A$89,0)+MATCH($D101,'[1]End - Use Prices'!$B$9:$B$11,0)-1,MATCH(AF$1,'[1]End - Use Prices'!$C$7:$AL$7,0))</f>
        <v>36.86</v>
      </c>
      <c r="AG101" s="41">
        <f>INDEX('[1]End - Use Prices'!$C$6:$AL$89,MATCH($C101,'[1]End - Use Prices'!$A$6:$A$89,0)+MATCH($D101,'[1]End - Use Prices'!$B$9:$B$11,0)-1,MATCH(AG$1,'[1]End - Use Prices'!$C$7:$AL$7,0))</f>
        <v>37.01</v>
      </c>
      <c r="AH101" s="41">
        <f>INDEX('[1]End - Use Prices'!$C$6:$AL$89,MATCH($C101,'[1]End - Use Prices'!$A$6:$A$89,0)+MATCH($D101,'[1]End - Use Prices'!$B$9:$B$11,0)-1,MATCH(AH$1,'[1]End - Use Prices'!$C$7:$AL$7,0))</f>
        <v>29.89</v>
      </c>
      <c r="AI101" s="41">
        <f>INDEX('[1]End - Use Prices'!$C$6:$AL$89,MATCH($C101,'[1]End - Use Prices'!$A$6:$A$89,0)+MATCH($D101,'[1]End - Use Prices'!$B$9:$B$11,0)-1,MATCH(AI$1,'[1]End - Use Prices'!$C$7:$AL$7,0))</f>
        <v>25.86</v>
      </c>
      <c r="AJ101" s="41">
        <f>INDEX('[1]End - Use Prices'!$C$6:$AL$89,MATCH($C101,'[1]End - Use Prices'!$A$6:$A$89,0)+MATCH($D101,'[1]End - Use Prices'!$B$9:$B$11,0)-1,MATCH(AJ$1,'[1]End - Use Prices'!$C$7:$AL$7,0))</f>
        <v>27.9</v>
      </c>
      <c r="AK101" s="41">
        <f>INDEX('[1]End - Use Prices'!$C$6:$AL$89,MATCH($C101,'[1]End - Use Prices'!$A$6:$A$89,0)+MATCH($D101,'[1]End - Use Prices'!$B$9:$B$11,0)-1,MATCH(AK$1,'[1]End - Use Prices'!$C$7:$AL$7,0))</f>
        <v>31.56</v>
      </c>
      <c r="AL101" s="41">
        <f>INDEX('[1]End - Use Prices'!$C$6:$AL$89,MATCH($C101,'[1]End - Use Prices'!$A$6:$A$89,0)+MATCH($D101,'[1]End - Use Prices'!$B$9:$B$11,0)-1,MATCH(AL$1,'[1]End - Use Prices'!$C$7:$AL$7,0))</f>
        <v>33.29</v>
      </c>
      <c r="AM101" s="41">
        <f>INDEX('[1]End - Use Prices'!$C$6:$AL$89,MATCH($C101,'[1]End - Use Prices'!$A$6:$A$89,0)+MATCH($D101,'[1]End - Use Prices'!$B$9:$B$11,0)-1,MATCH(AM$1,'[1]End - Use Prices'!$C$7:$AL$7,0))</f>
        <v>37.340000000000003</v>
      </c>
      <c r="AN101" s="41">
        <f>INDEX('[1]End - Use Prices'!$C$6:$AL$89,MATCH($C101,'[1]End - Use Prices'!$A$6:$A$89,0)+MATCH($D101,'[1]End - Use Prices'!$B$9:$B$11,0)-1,MATCH(AN$1,'[1]End - Use Prices'!$C$7:$AL$7,0))</f>
        <v>34.270000000000003</v>
      </c>
      <c r="AO101" s="41">
        <f>INDEX('[1]End - Use Prices'!$C$6:$AL$89,MATCH($C101,'[1]End - Use Prices'!$A$6:$A$89,0)+MATCH($D101,'[1]End - Use Prices'!$B$9:$B$11,0)-1,MATCH(AO$1,'[1]End - Use Prices'!$C$7:$AL$7,0))</f>
        <v>32.229999999999997</v>
      </c>
      <c r="AP101" s="41">
        <f>INDEX('[1]End - Use Prices'!$C$6:$AL$89,MATCH($C101,'[1]End - Use Prices'!$A$6:$A$89,0)+MATCH($D101,'[1]End - Use Prices'!$B$9:$B$11,0)-1,MATCH(AP$1,'[1]End - Use Prices'!$C$7:$AL$7,0))</f>
        <v>32.729999999999997</v>
      </c>
      <c r="AQ101" s="41">
        <f>INDEX('[1]End - Use Prices'!$C$6:$AL$89,MATCH($C101,'[1]End - Use Prices'!$A$6:$A$89,0)+MATCH($D101,'[1]End - Use Prices'!$B$9:$B$11,0)-1,MATCH(AQ$1,'[1]End - Use Prices'!$C$7:$AL$7,0))</f>
        <v>32.54</v>
      </c>
      <c r="AR101" s="41">
        <f>INDEX('[1]End - Use Prices'!$C$6:$AL$89,MATCH($C101,'[1]End - Use Prices'!$A$6:$A$89,0)+MATCH($D101,'[1]End - Use Prices'!$B$9:$B$11,0)-1,MATCH(AR$1,'[1]End - Use Prices'!$C$7:$AL$7,0))</f>
        <v>32.57</v>
      </c>
      <c r="AS101" s="41">
        <f>INDEX('[1]End - Use Prices'!$C$6:$AL$89,MATCH($C101,'[1]End - Use Prices'!$A$6:$A$89,0)+MATCH($D101,'[1]End - Use Prices'!$B$9:$B$11,0)-1,MATCH(AS$1,'[1]End - Use Prices'!$C$7:$AL$7,0))</f>
        <v>32.56</v>
      </c>
      <c r="AT101" s="41">
        <f>INDEX('[1]End - Use Prices'!$C$6:$AL$89,MATCH($C101,'[1]End - Use Prices'!$A$6:$A$89,0)+MATCH($D101,'[1]End - Use Prices'!$B$9:$B$11,0)-1,MATCH(AT$1,'[1]End - Use Prices'!$C$7:$AL$7,0))</f>
        <v>32.44</v>
      </c>
      <c r="AU101" s="41">
        <f>INDEX('[1]End - Use Prices'!$C$6:$AL$89,MATCH($C101,'[1]End - Use Prices'!$A$6:$A$89,0)+MATCH($D101,'[1]End - Use Prices'!$B$9:$B$11,0)-1,MATCH(AU$1,'[1]End - Use Prices'!$C$7:$AL$7,0))</f>
        <v>32.29</v>
      </c>
      <c r="AV101" s="41">
        <f>INDEX('[1]End - Use Prices'!$C$6:$AL$89,MATCH($C101,'[1]End - Use Prices'!$A$6:$A$89,0)+MATCH($D101,'[1]End - Use Prices'!$B$9:$B$11,0)-1,MATCH(AV$1,'[1]End - Use Prices'!$C$7:$AL$7,0))</f>
        <v>32.17</v>
      </c>
      <c r="AW101" s="41">
        <f>INDEX('[1]End - Use Prices'!$C$6:$AL$89,MATCH($C101,'[1]End - Use Prices'!$A$6:$A$89,0)+MATCH($D101,'[1]End - Use Prices'!$B$9:$B$11,0)-1,MATCH(AW$1,'[1]End - Use Prices'!$C$7:$AL$7,0))</f>
        <v>32.04</v>
      </c>
      <c r="AX101" s="41">
        <f>INDEX('[1]End - Use Prices'!$C$6:$AL$89,MATCH($C101,'[1]End - Use Prices'!$A$6:$A$89,0)+MATCH($D101,'[1]End - Use Prices'!$B$9:$B$11,0)-1,MATCH(AX$1,'[1]End - Use Prices'!$C$7:$AL$7,0))</f>
        <v>31.98</v>
      </c>
      <c r="AY101" s="41">
        <f>INDEX('[1]End - Use Prices'!$C$6:$AL$89,MATCH($C101,'[1]End - Use Prices'!$A$6:$A$89,0)+MATCH($D101,'[1]End - Use Prices'!$B$9:$B$11,0)-1,MATCH(AY$1,'[1]End - Use Prices'!$C$7:$AL$7,0))</f>
        <v>31.96</v>
      </c>
      <c r="AZ101" s="41">
        <f>INDEX('[1]End - Use Prices'!$C$6:$AL$89,MATCH($C101,'[1]End - Use Prices'!$A$6:$A$89,0)+MATCH($D101,'[1]End - Use Prices'!$B$9:$B$11,0)-1,MATCH(AZ$1,'[1]End - Use Prices'!$C$7:$AL$7,0))</f>
        <v>31.97</v>
      </c>
      <c r="BA101" s="41">
        <f>INDEX('[1]End - Use Prices'!$C$6:$AL$89,MATCH($C101,'[1]End - Use Prices'!$A$6:$A$89,0)+MATCH($D101,'[1]End - Use Prices'!$B$9:$B$11,0)-1,MATCH(BA$1,'[1]End - Use Prices'!$C$7:$AL$7,0))</f>
        <v>32.01</v>
      </c>
      <c r="BB101" s="41">
        <f>INDEX('[1]End - Use Prices'!$C$6:$AL$89,MATCH($C101,'[1]End - Use Prices'!$A$6:$A$89,0)+MATCH($D101,'[1]End - Use Prices'!$B$9:$B$11,0)-1,MATCH(BB$1,'[1]End - Use Prices'!$C$7:$AL$7,0))</f>
        <v>32.03</v>
      </c>
      <c r="BC101" s="41">
        <f>INDEX('[1]End - Use Prices'!$C$6:$AL$89,MATCH($C101,'[1]End - Use Prices'!$A$6:$A$89,0)+MATCH($D101,'[1]End - Use Prices'!$B$9:$B$11,0)-1,MATCH(BC$1,'[1]End - Use Prices'!$C$7:$AL$7,0))</f>
        <v>32.03</v>
      </c>
      <c r="BD101" s="41">
        <f>INDEX('[1]End - Use Prices'!$C$6:$AL$89,MATCH($C101,'[1]End - Use Prices'!$A$6:$A$89,0)+MATCH($D101,'[1]End - Use Prices'!$B$9:$B$11,0)-1,MATCH(BD$1,'[1]End - Use Prices'!$C$7:$AL$7,0))</f>
        <v>32.020000000000003</v>
      </c>
      <c r="BE101" s="41">
        <f>INDEX('[1]End - Use Prices'!$C$6:$AL$89,MATCH($C101,'[1]End - Use Prices'!$A$6:$A$89,0)+MATCH($D101,'[1]End - Use Prices'!$B$9:$B$11,0)-1,MATCH(BE$1,'[1]End - Use Prices'!$C$7:$AL$7,0))</f>
        <v>31.97</v>
      </c>
      <c r="BF101" s="41">
        <f>INDEX('[1]End - Use Prices'!$C$6:$AL$89,MATCH($C101,'[1]End - Use Prices'!$A$6:$A$89,0)+MATCH($D101,'[1]End - Use Prices'!$B$9:$B$11,0)-1,MATCH(BF$1,'[1]End - Use Prices'!$C$7:$AL$7,0))</f>
        <v>31.93</v>
      </c>
      <c r="BG101" s="41">
        <f>INDEX('[1]End - Use Prices'!$C$6:$AL$89,MATCH($C101,'[1]End - Use Prices'!$A$6:$A$89,0)+MATCH($D101,'[1]End - Use Prices'!$B$9:$B$11,0)-1,MATCH(BG$1,'[1]End - Use Prices'!$C$7:$AL$7,0))</f>
        <v>31.87</v>
      </c>
      <c r="BR101" s="39"/>
      <c r="BS101" s="39"/>
      <c r="BT101" s="39"/>
      <c r="BU101" s="39"/>
      <c r="BV101" s="39"/>
      <c r="BW101" s="39"/>
      <c r="BX101" s="39"/>
      <c r="BY101" s="39"/>
      <c r="BZ101" s="39"/>
      <c r="CA101" s="39"/>
    </row>
    <row r="102" spans="1:79" x14ac:dyDescent="0.25">
      <c r="A102" s="5"/>
      <c r="B102" s="3"/>
      <c r="C102" s="25" t="s">
        <v>97</v>
      </c>
      <c r="D102" s="25" t="s">
        <v>311</v>
      </c>
      <c r="E102" s="25" t="s">
        <v>313</v>
      </c>
      <c r="F102" s="74" t="s">
        <v>310</v>
      </c>
      <c r="G102" s="54">
        <f t="shared" si="54"/>
        <v>26.74</v>
      </c>
      <c r="H102" s="34">
        <f t="shared" si="89"/>
        <v>26.74</v>
      </c>
      <c r="I102" s="34">
        <f t="shared" si="89"/>
        <v>28.81</v>
      </c>
      <c r="J102" s="34">
        <f t="shared" si="89"/>
        <v>28.29</v>
      </c>
      <c r="K102" s="34">
        <f t="shared" si="89"/>
        <v>36.4</v>
      </c>
      <c r="L102" s="34">
        <f t="shared" si="89"/>
        <v>31.63</v>
      </c>
      <c r="M102" s="34">
        <f t="shared" si="89"/>
        <v>31.1</v>
      </c>
      <c r="N102" s="34">
        <f t="shared" si="89"/>
        <v>31.09</v>
      </c>
      <c r="O102" s="34">
        <f t="shared" si="89"/>
        <v>30.93</v>
      </c>
      <c r="P102" s="54">
        <f t="shared" ref="P102:Q102" si="98">O102</f>
        <v>30.93</v>
      </c>
      <c r="Q102" s="54">
        <f t="shared" si="98"/>
        <v>30.93</v>
      </c>
      <c r="R102" s="38"/>
      <c r="X102" s="41">
        <f>INDEX('[1]End - Use Prices'!$C$6:$AL$89,MATCH($C102,'[1]End - Use Prices'!$A$6:$A$89,0)+MATCH($D102,'[1]End - Use Prices'!$B$9:$B$11,0)-1,MATCH(X$1,'[1]End - Use Prices'!$C$7:$AL$7,0))</f>
        <v>26.74</v>
      </c>
      <c r="Y102" s="41">
        <f>INDEX('[1]End - Use Prices'!$C$6:$AL$89,MATCH($C102,'[1]End - Use Prices'!$A$6:$A$89,0)+MATCH($D102,'[1]End - Use Prices'!$B$9:$B$11,0)-1,MATCH(Y$1,'[1]End - Use Prices'!$C$7:$AL$7,0))</f>
        <v>27.19</v>
      </c>
      <c r="Z102" s="41">
        <f>INDEX('[1]End - Use Prices'!$C$6:$AL$89,MATCH($C102,'[1]End - Use Prices'!$A$6:$A$89,0)+MATCH($D102,'[1]End - Use Prices'!$B$9:$B$11,0)-1,MATCH(Z$1,'[1]End - Use Prices'!$C$7:$AL$7,0))</f>
        <v>29.89</v>
      </c>
      <c r="AA102" s="41">
        <f>INDEX('[1]End - Use Prices'!$C$6:$AL$89,MATCH($C102,'[1]End - Use Prices'!$A$6:$A$89,0)+MATCH($D102,'[1]End - Use Prices'!$B$9:$B$11,0)-1,MATCH(AA$1,'[1]End - Use Prices'!$C$7:$AL$7,0))</f>
        <v>36.56</v>
      </c>
      <c r="AB102" s="41">
        <f>INDEX('[1]End - Use Prices'!$C$6:$AL$89,MATCH($C102,'[1]End - Use Prices'!$A$6:$A$89,0)+MATCH($D102,'[1]End - Use Prices'!$B$9:$B$11,0)-1,MATCH(AB$1,'[1]End - Use Prices'!$C$7:$AL$7,0))</f>
        <v>26.59</v>
      </c>
      <c r="AC102" s="41">
        <f>INDEX('[1]End - Use Prices'!$C$6:$AL$89,MATCH($C102,'[1]End - Use Prices'!$A$6:$A$89,0)+MATCH($D102,'[1]End - Use Prices'!$B$9:$B$11,0)-1,MATCH(AC$1,'[1]End - Use Prices'!$C$7:$AL$7,0))</f>
        <v>28.81</v>
      </c>
      <c r="AD102" s="41">
        <f>INDEX('[1]End - Use Prices'!$C$6:$AL$89,MATCH($C102,'[1]End - Use Prices'!$A$6:$A$89,0)+MATCH($D102,'[1]End - Use Prices'!$B$9:$B$11,0)-1,MATCH(AD$1,'[1]End - Use Prices'!$C$7:$AL$7,0))</f>
        <v>34.630000000000003</v>
      </c>
      <c r="AE102" s="41">
        <f>INDEX('[1]End - Use Prices'!$C$6:$AL$89,MATCH($C102,'[1]End - Use Prices'!$A$6:$A$89,0)+MATCH($D102,'[1]End - Use Prices'!$B$9:$B$11,0)-1,MATCH(AE$1,'[1]End - Use Prices'!$C$7:$AL$7,0))</f>
        <v>34.79</v>
      </c>
      <c r="AF102" s="41">
        <f>INDEX('[1]End - Use Prices'!$C$6:$AL$89,MATCH($C102,'[1]End - Use Prices'!$A$6:$A$89,0)+MATCH($D102,'[1]End - Use Prices'!$B$9:$B$11,0)-1,MATCH(AF$1,'[1]End - Use Prices'!$C$7:$AL$7,0))</f>
        <v>33.89</v>
      </c>
      <c r="AG102" s="41">
        <f>INDEX('[1]End - Use Prices'!$C$6:$AL$89,MATCH($C102,'[1]End - Use Prices'!$A$6:$A$89,0)+MATCH($D102,'[1]End - Use Prices'!$B$9:$B$11,0)-1,MATCH(AG$1,'[1]End - Use Prices'!$C$7:$AL$7,0))</f>
        <v>36.409999999999997</v>
      </c>
      <c r="AH102" s="41">
        <f>INDEX('[1]End - Use Prices'!$C$6:$AL$89,MATCH($C102,'[1]End - Use Prices'!$A$6:$A$89,0)+MATCH($D102,'[1]End - Use Prices'!$B$9:$B$11,0)-1,MATCH(AH$1,'[1]End - Use Prices'!$C$7:$AL$7,0))</f>
        <v>28.29</v>
      </c>
      <c r="AI102" s="41">
        <f>INDEX('[1]End - Use Prices'!$C$6:$AL$89,MATCH($C102,'[1]End - Use Prices'!$A$6:$A$89,0)+MATCH($D102,'[1]End - Use Prices'!$B$9:$B$11,0)-1,MATCH(AI$1,'[1]End - Use Prices'!$C$7:$AL$7,0))</f>
        <v>24.92</v>
      </c>
      <c r="AJ102" s="41">
        <f>INDEX('[1]End - Use Prices'!$C$6:$AL$89,MATCH($C102,'[1]End - Use Prices'!$A$6:$A$89,0)+MATCH($D102,'[1]End - Use Prices'!$B$9:$B$11,0)-1,MATCH(AJ$1,'[1]End - Use Prices'!$C$7:$AL$7,0))</f>
        <v>27.54</v>
      </c>
      <c r="AK102" s="41">
        <f>INDEX('[1]End - Use Prices'!$C$6:$AL$89,MATCH($C102,'[1]End - Use Prices'!$A$6:$A$89,0)+MATCH($D102,'[1]End - Use Prices'!$B$9:$B$11,0)-1,MATCH(AK$1,'[1]End - Use Prices'!$C$7:$AL$7,0))</f>
        <v>30.62</v>
      </c>
      <c r="AL102" s="41">
        <f>INDEX('[1]End - Use Prices'!$C$6:$AL$89,MATCH($C102,'[1]End - Use Prices'!$A$6:$A$89,0)+MATCH($D102,'[1]End - Use Prices'!$B$9:$B$11,0)-1,MATCH(AL$1,'[1]End - Use Prices'!$C$7:$AL$7,0))</f>
        <v>32.35</v>
      </c>
      <c r="AM102" s="41">
        <f>INDEX('[1]End - Use Prices'!$C$6:$AL$89,MATCH($C102,'[1]End - Use Prices'!$A$6:$A$89,0)+MATCH($D102,'[1]End - Use Prices'!$B$9:$B$11,0)-1,MATCH(AM$1,'[1]End - Use Prices'!$C$7:$AL$7,0))</f>
        <v>36.4</v>
      </c>
      <c r="AN102" s="41">
        <f>INDEX('[1]End - Use Prices'!$C$6:$AL$89,MATCH($C102,'[1]End - Use Prices'!$A$6:$A$89,0)+MATCH($D102,'[1]End - Use Prices'!$B$9:$B$11,0)-1,MATCH(AN$1,'[1]End - Use Prices'!$C$7:$AL$7,0))</f>
        <v>33.33</v>
      </c>
      <c r="AO102" s="41">
        <f>INDEX('[1]End - Use Prices'!$C$6:$AL$89,MATCH($C102,'[1]End - Use Prices'!$A$6:$A$89,0)+MATCH($D102,'[1]End - Use Prices'!$B$9:$B$11,0)-1,MATCH(AO$1,'[1]End - Use Prices'!$C$7:$AL$7,0))</f>
        <v>31.29</v>
      </c>
      <c r="AP102" s="41">
        <f>INDEX('[1]End - Use Prices'!$C$6:$AL$89,MATCH($C102,'[1]End - Use Prices'!$A$6:$A$89,0)+MATCH($D102,'[1]End - Use Prices'!$B$9:$B$11,0)-1,MATCH(AP$1,'[1]End - Use Prices'!$C$7:$AL$7,0))</f>
        <v>31.79</v>
      </c>
      <c r="AQ102" s="41">
        <f>INDEX('[1]End - Use Prices'!$C$6:$AL$89,MATCH($C102,'[1]End - Use Prices'!$A$6:$A$89,0)+MATCH($D102,'[1]End - Use Prices'!$B$9:$B$11,0)-1,MATCH(AQ$1,'[1]End - Use Prices'!$C$7:$AL$7,0))</f>
        <v>31.61</v>
      </c>
      <c r="AR102" s="41">
        <f>INDEX('[1]End - Use Prices'!$C$6:$AL$89,MATCH($C102,'[1]End - Use Prices'!$A$6:$A$89,0)+MATCH($D102,'[1]End - Use Prices'!$B$9:$B$11,0)-1,MATCH(AR$1,'[1]End - Use Prices'!$C$7:$AL$7,0))</f>
        <v>31.63</v>
      </c>
      <c r="AS102" s="41">
        <f>INDEX('[1]End - Use Prices'!$C$6:$AL$89,MATCH($C102,'[1]End - Use Prices'!$A$6:$A$89,0)+MATCH($D102,'[1]End - Use Prices'!$B$9:$B$11,0)-1,MATCH(AS$1,'[1]End - Use Prices'!$C$7:$AL$7,0))</f>
        <v>31.62</v>
      </c>
      <c r="AT102" s="41">
        <f>INDEX('[1]End - Use Prices'!$C$6:$AL$89,MATCH($C102,'[1]End - Use Prices'!$A$6:$A$89,0)+MATCH($D102,'[1]End - Use Prices'!$B$9:$B$11,0)-1,MATCH(AT$1,'[1]End - Use Prices'!$C$7:$AL$7,0))</f>
        <v>31.5</v>
      </c>
      <c r="AU102" s="41">
        <f>INDEX('[1]End - Use Prices'!$C$6:$AL$89,MATCH($C102,'[1]End - Use Prices'!$A$6:$A$89,0)+MATCH($D102,'[1]End - Use Prices'!$B$9:$B$11,0)-1,MATCH(AU$1,'[1]End - Use Prices'!$C$7:$AL$7,0))</f>
        <v>31.35</v>
      </c>
      <c r="AV102" s="41">
        <f>INDEX('[1]End - Use Prices'!$C$6:$AL$89,MATCH($C102,'[1]End - Use Prices'!$A$6:$A$89,0)+MATCH($D102,'[1]End - Use Prices'!$B$9:$B$11,0)-1,MATCH(AV$1,'[1]End - Use Prices'!$C$7:$AL$7,0))</f>
        <v>31.23</v>
      </c>
      <c r="AW102" s="41">
        <f>INDEX('[1]End - Use Prices'!$C$6:$AL$89,MATCH($C102,'[1]End - Use Prices'!$A$6:$A$89,0)+MATCH($D102,'[1]End - Use Prices'!$B$9:$B$11,0)-1,MATCH(AW$1,'[1]End - Use Prices'!$C$7:$AL$7,0))</f>
        <v>31.1</v>
      </c>
      <c r="AX102" s="41">
        <f>INDEX('[1]End - Use Prices'!$C$6:$AL$89,MATCH($C102,'[1]End - Use Prices'!$A$6:$A$89,0)+MATCH($D102,'[1]End - Use Prices'!$B$9:$B$11,0)-1,MATCH(AX$1,'[1]End - Use Prices'!$C$7:$AL$7,0))</f>
        <v>31.05</v>
      </c>
      <c r="AY102" s="41">
        <f>INDEX('[1]End - Use Prices'!$C$6:$AL$89,MATCH($C102,'[1]End - Use Prices'!$A$6:$A$89,0)+MATCH($D102,'[1]End - Use Prices'!$B$9:$B$11,0)-1,MATCH(AY$1,'[1]End - Use Prices'!$C$7:$AL$7,0))</f>
        <v>31.02</v>
      </c>
      <c r="AZ102" s="41">
        <f>INDEX('[1]End - Use Prices'!$C$6:$AL$89,MATCH($C102,'[1]End - Use Prices'!$A$6:$A$89,0)+MATCH($D102,'[1]End - Use Prices'!$B$9:$B$11,0)-1,MATCH(AZ$1,'[1]End - Use Prices'!$C$7:$AL$7,0))</f>
        <v>31.03</v>
      </c>
      <c r="BA102" s="41">
        <f>INDEX('[1]End - Use Prices'!$C$6:$AL$89,MATCH($C102,'[1]End - Use Prices'!$A$6:$A$89,0)+MATCH($D102,'[1]End - Use Prices'!$B$9:$B$11,0)-1,MATCH(BA$1,'[1]End - Use Prices'!$C$7:$AL$7,0))</f>
        <v>31.07</v>
      </c>
      <c r="BB102" s="41">
        <f>INDEX('[1]End - Use Prices'!$C$6:$AL$89,MATCH($C102,'[1]End - Use Prices'!$A$6:$A$89,0)+MATCH($D102,'[1]End - Use Prices'!$B$9:$B$11,0)-1,MATCH(BB$1,'[1]End - Use Prices'!$C$7:$AL$7,0))</f>
        <v>31.09</v>
      </c>
      <c r="BC102" s="41">
        <f>INDEX('[1]End - Use Prices'!$C$6:$AL$89,MATCH($C102,'[1]End - Use Prices'!$A$6:$A$89,0)+MATCH($D102,'[1]End - Use Prices'!$B$9:$B$11,0)-1,MATCH(BC$1,'[1]End - Use Prices'!$C$7:$AL$7,0))</f>
        <v>31.09</v>
      </c>
      <c r="BD102" s="41">
        <f>INDEX('[1]End - Use Prices'!$C$6:$AL$89,MATCH($C102,'[1]End - Use Prices'!$A$6:$A$89,0)+MATCH($D102,'[1]End - Use Prices'!$B$9:$B$11,0)-1,MATCH(BD$1,'[1]End - Use Prices'!$C$7:$AL$7,0))</f>
        <v>31.08</v>
      </c>
      <c r="BE102" s="41">
        <f>INDEX('[1]End - Use Prices'!$C$6:$AL$89,MATCH($C102,'[1]End - Use Prices'!$A$6:$A$89,0)+MATCH($D102,'[1]End - Use Prices'!$B$9:$B$11,0)-1,MATCH(BE$1,'[1]End - Use Prices'!$C$7:$AL$7,0))</f>
        <v>31.03</v>
      </c>
      <c r="BF102" s="41">
        <f>INDEX('[1]End - Use Prices'!$C$6:$AL$89,MATCH($C102,'[1]End - Use Prices'!$A$6:$A$89,0)+MATCH($D102,'[1]End - Use Prices'!$B$9:$B$11,0)-1,MATCH(BF$1,'[1]End - Use Prices'!$C$7:$AL$7,0))</f>
        <v>30.99</v>
      </c>
      <c r="BG102" s="41">
        <f>INDEX('[1]End - Use Prices'!$C$6:$AL$89,MATCH($C102,'[1]End - Use Prices'!$A$6:$A$89,0)+MATCH($D102,'[1]End - Use Prices'!$B$9:$B$11,0)-1,MATCH(BG$1,'[1]End - Use Prices'!$C$7:$AL$7,0))</f>
        <v>30.93</v>
      </c>
      <c r="BR102" s="39"/>
      <c r="BS102" s="39"/>
      <c r="BT102" s="39"/>
      <c r="BU102" s="39"/>
      <c r="BV102" s="39"/>
      <c r="BW102" s="39"/>
      <c r="BX102" s="39"/>
      <c r="BY102" s="39"/>
      <c r="BZ102" s="39"/>
      <c r="CA102" s="39"/>
    </row>
    <row r="103" spans="1:79" x14ac:dyDescent="0.25">
      <c r="A103" s="5"/>
      <c r="B103" s="3"/>
      <c r="C103" s="25" t="s">
        <v>96</v>
      </c>
      <c r="D103" s="25" t="s">
        <v>311</v>
      </c>
      <c r="E103" s="25" t="s">
        <v>313</v>
      </c>
      <c r="F103" s="74" t="s">
        <v>310</v>
      </c>
      <c r="G103" s="54">
        <f t="shared" si="54"/>
        <v>26.74</v>
      </c>
      <c r="H103" s="34">
        <f t="shared" si="89"/>
        <v>26.74</v>
      </c>
      <c r="I103" s="34">
        <f t="shared" si="89"/>
        <v>28.81</v>
      </c>
      <c r="J103" s="34">
        <f t="shared" si="89"/>
        <v>28.29</v>
      </c>
      <c r="K103" s="34">
        <f t="shared" si="89"/>
        <v>36.33</v>
      </c>
      <c r="L103" s="34">
        <f t="shared" si="89"/>
        <v>31.48</v>
      </c>
      <c r="M103" s="34">
        <f t="shared" si="89"/>
        <v>30.97</v>
      </c>
      <c r="N103" s="34">
        <f t="shared" si="89"/>
        <v>30.96</v>
      </c>
      <c r="O103" s="34">
        <f t="shared" si="89"/>
        <v>30.82</v>
      </c>
      <c r="P103" s="54">
        <f t="shared" ref="P103:Q103" si="99">O103</f>
        <v>30.82</v>
      </c>
      <c r="Q103" s="54">
        <f t="shared" si="99"/>
        <v>30.82</v>
      </c>
      <c r="R103" s="38"/>
      <c r="X103" s="41">
        <f>INDEX('[1]End - Use Prices'!$C$6:$AL$89,MATCH($C103,'[1]End - Use Prices'!$A$6:$A$89,0)+MATCH($D103,'[1]End - Use Prices'!$B$9:$B$11,0)-1,MATCH(X$1,'[1]End - Use Prices'!$C$7:$AL$7,0))</f>
        <v>26.74</v>
      </c>
      <c r="Y103" s="41">
        <f>INDEX('[1]End - Use Prices'!$C$6:$AL$89,MATCH($C103,'[1]End - Use Prices'!$A$6:$A$89,0)+MATCH($D103,'[1]End - Use Prices'!$B$9:$B$11,0)-1,MATCH(Y$1,'[1]End - Use Prices'!$C$7:$AL$7,0))</f>
        <v>27.19</v>
      </c>
      <c r="Z103" s="41">
        <f>INDEX('[1]End - Use Prices'!$C$6:$AL$89,MATCH($C103,'[1]End - Use Prices'!$A$6:$A$89,0)+MATCH($D103,'[1]End - Use Prices'!$B$9:$B$11,0)-1,MATCH(Z$1,'[1]End - Use Prices'!$C$7:$AL$7,0))</f>
        <v>29.89</v>
      </c>
      <c r="AA103" s="41">
        <f>INDEX('[1]End - Use Prices'!$C$6:$AL$89,MATCH($C103,'[1]End - Use Prices'!$A$6:$A$89,0)+MATCH($D103,'[1]End - Use Prices'!$B$9:$B$11,0)-1,MATCH(AA$1,'[1]End - Use Prices'!$C$7:$AL$7,0))</f>
        <v>36.56</v>
      </c>
      <c r="AB103" s="41">
        <f>INDEX('[1]End - Use Prices'!$C$6:$AL$89,MATCH($C103,'[1]End - Use Prices'!$A$6:$A$89,0)+MATCH($D103,'[1]End - Use Prices'!$B$9:$B$11,0)-1,MATCH(AB$1,'[1]End - Use Prices'!$C$7:$AL$7,0))</f>
        <v>26.59</v>
      </c>
      <c r="AC103" s="41">
        <f>INDEX('[1]End - Use Prices'!$C$6:$AL$89,MATCH($C103,'[1]End - Use Prices'!$A$6:$A$89,0)+MATCH($D103,'[1]End - Use Prices'!$B$9:$B$11,0)-1,MATCH(AC$1,'[1]End - Use Prices'!$C$7:$AL$7,0))</f>
        <v>28.81</v>
      </c>
      <c r="AD103" s="41">
        <f>INDEX('[1]End - Use Prices'!$C$6:$AL$89,MATCH($C103,'[1]End - Use Prices'!$A$6:$A$89,0)+MATCH($D103,'[1]End - Use Prices'!$B$9:$B$11,0)-1,MATCH(AD$1,'[1]End - Use Prices'!$C$7:$AL$7,0))</f>
        <v>34.630000000000003</v>
      </c>
      <c r="AE103" s="41">
        <f>INDEX('[1]End - Use Prices'!$C$6:$AL$89,MATCH($C103,'[1]End - Use Prices'!$A$6:$A$89,0)+MATCH($D103,'[1]End - Use Prices'!$B$9:$B$11,0)-1,MATCH(AE$1,'[1]End - Use Prices'!$C$7:$AL$7,0))</f>
        <v>34.79</v>
      </c>
      <c r="AF103" s="41">
        <f>INDEX('[1]End - Use Prices'!$C$6:$AL$89,MATCH($C103,'[1]End - Use Prices'!$A$6:$A$89,0)+MATCH($D103,'[1]End - Use Prices'!$B$9:$B$11,0)-1,MATCH(AF$1,'[1]End - Use Prices'!$C$7:$AL$7,0))</f>
        <v>33.89</v>
      </c>
      <c r="AG103" s="41">
        <f>INDEX('[1]End - Use Prices'!$C$6:$AL$89,MATCH($C103,'[1]End - Use Prices'!$A$6:$A$89,0)+MATCH($D103,'[1]End - Use Prices'!$B$9:$B$11,0)-1,MATCH(AG$1,'[1]End - Use Prices'!$C$7:$AL$7,0))</f>
        <v>36.409999999999997</v>
      </c>
      <c r="AH103" s="41">
        <f>INDEX('[1]End - Use Prices'!$C$6:$AL$89,MATCH($C103,'[1]End - Use Prices'!$A$6:$A$89,0)+MATCH($D103,'[1]End - Use Prices'!$B$9:$B$11,0)-1,MATCH(AH$1,'[1]End - Use Prices'!$C$7:$AL$7,0))</f>
        <v>28.29</v>
      </c>
      <c r="AI103" s="41">
        <f>INDEX('[1]End - Use Prices'!$C$6:$AL$89,MATCH($C103,'[1]End - Use Prices'!$A$6:$A$89,0)+MATCH($D103,'[1]End - Use Prices'!$B$9:$B$11,0)-1,MATCH(AI$1,'[1]End - Use Prices'!$C$7:$AL$7,0))</f>
        <v>24.92</v>
      </c>
      <c r="AJ103" s="41">
        <f>INDEX('[1]End - Use Prices'!$C$6:$AL$89,MATCH($C103,'[1]End - Use Prices'!$A$6:$A$89,0)+MATCH($D103,'[1]End - Use Prices'!$B$9:$B$11,0)-1,MATCH(AJ$1,'[1]End - Use Prices'!$C$7:$AL$7,0))</f>
        <v>27.54</v>
      </c>
      <c r="AK103" s="41">
        <f>INDEX('[1]End - Use Prices'!$C$6:$AL$89,MATCH($C103,'[1]End - Use Prices'!$A$6:$A$89,0)+MATCH($D103,'[1]End - Use Prices'!$B$9:$B$11,0)-1,MATCH(AK$1,'[1]End - Use Prices'!$C$7:$AL$7,0))</f>
        <v>30.62</v>
      </c>
      <c r="AL103" s="41">
        <f>INDEX('[1]End - Use Prices'!$C$6:$AL$89,MATCH($C103,'[1]End - Use Prices'!$A$6:$A$89,0)+MATCH($D103,'[1]End - Use Prices'!$B$9:$B$11,0)-1,MATCH(AL$1,'[1]End - Use Prices'!$C$7:$AL$7,0))</f>
        <v>32.35</v>
      </c>
      <c r="AM103" s="41">
        <f>INDEX('[1]End - Use Prices'!$C$6:$AL$89,MATCH($C103,'[1]End - Use Prices'!$A$6:$A$89,0)+MATCH($D103,'[1]End - Use Prices'!$B$9:$B$11,0)-1,MATCH(AM$1,'[1]End - Use Prices'!$C$7:$AL$7,0))</f>
        <v>36.33</v>
      </c>
      <c r="AN103" s="41">
        <f>INDEX('[1]End - Use Prices'!$C$6:$AL$89,MATCH($C103,'[1]End - Use Prices'!$A$6:$A$89,0)+MATCH($D103,'[1]End - Use Prices'!$B$9:$B$11,0)-1,MATCH(AN$1,'[1]End - Use Prices'!$C$7:$AL$7,0))</f>
        <v>33.229999999999997</v>
      </c>
      <c r="AO103" s="41">
        <f>INDEX('[1]End - Use Prices'!$C$6:$AL$89,MATCH($C103,'[1]End - Use Prices'!$A$6:$A$89,0)+MATCH($D103,'[1]End - Use Prices'!$B$9:$B$11,0)-1,MATCH(AO$1,'[1]End - Use Prices'!$C$7:$AL$7,0))</f>
        <v>31.15</v>
      </c>
      <c r="AP103" s="41">
        <f>INDEX('[1]End - Use Prices'!$C$6:$AL$89,MATCH($C103,'[1]End - Use Prices'!$A$6:$A$89,0)+MATCH($D103,'[1]End - Use Prices'!$B$9:$B$11,0)-1,MATCH(AP$1,'[1]End - Use Prices'!$C$7:$AL$7,0))</f>
        <v>31.62</v>
      </c>
      <c r="AQ103" s="41">
        <f>INDEX('[1]End - Use Prices'!$C$6:$AL$89,MATCH($C103,'[1]End - Use Prices'!$A$6:$A$89,0)+MATCH($D103,'[1]End - Use Prices'!$B$9:$B$11,0)-1,MATCH(AQ$1,'[1]End - Use Prices'!$C$7:$AL$7,0))</f>
        <v>31.44</v>
      </c>
      <c r="AR103" s="41">
        <f>INDEX('[1]End - Use Prices'!$C$6:$AL$89,MATCH($C103,'[1]End - Use Prices'!$A$6:$A$89,0)+MATCH($D103,'[1]End - Use Prices'!$B$9:$B$11,0)-1,MATCH(AR$1,'[1]End - Use Prices'!$C$7:$AL$7,0))</f>
        <v>31.48</v>
      </c>
      <c r="AS103" s="41">
        <f>INDEX('[1]End - Use Prices'!$C$6:$AL$89,MATCH($C103,'[1]End - Use Prices'!$A$6:$A$89,0)+MATCH($D103,'[1]End - Use Prices'!$B$9:$B$11,0)-1,MATCH(AS$1,'[1]End - Use Prices'!$C$7:$AL$7,0))</f>
        <v>31.46</v>
      </c>
      <c r="AT103" s="41">
        <f>INDEX('[1]End - Use Prices'!$C$6:$AL$89,MATCH($C103,'[1]End - Use Prices'!$A$6:$A$89,0)+MATCH($D103,'[1]End - Use Prices'!$B$9:$B$11,0)-1,MATCH(AT$1,'[1]End - Use Prices'!$C$7:$AL$7,0))</f>
        <v>31.36</v>
      </c>
      <c r="AU103" s="41">
        <f>INDEX('[1]End - Use Prices'!$C$6:$AL$89,MATCH($C103,'[1]End - Use Prices'!$A$6:$A$89,0)+MATCH($D103,'[1]End - Use Prices'!$B$9:$B$11,0)-1,MATCH(AU$1,'[1]End - Use Prices'!$C$7:$AL$7,0))</f>
        <v>31.2</v>
      </c>
      <c r="AV103" s="41">
        <f>INDEX('[1]End - Use Prices'!$C$6:$AL$89,MATCH($C103,'[1]End - Use Prices'!$A$6:$A$89,0)+MATCH($D103,'[1]End - Use Prices'!$B$9:$B$11,0)-1,MATCH(AV$1,'[1]End - Use Prices'!$C$7:$AL$7,0))</f>
        <v>31.09</v>
      </c>
      <c r="AW103" s="41">
        <f>INDEX('[1]End - Use Prices'!$C$6:$AL$89,MATCH($C103,'[1]End - Use Prices'!$A$6:$A$89,0)+MATCH($D103,'[1]End - Use Prices'!$B$9:$B$11,0)-1,MATCH(AW$1,'[1]End - Use Prices'!$C$7:$AL$7,0))</f>
        <v>30.97</v>
      </c>
      <c r="AX103" s="41">
        <f>INDEX('[1]End - Use Prices'!$C$6:$AL$89,MATCH($C103,'[1]End - Use Prices'!$A$6:$A$89,0)+MATCH($D103,'[1]End - Use Prices'!$B$9:$B$11,0)-1,MATCH(AX$1,'[1]End - Use Prices'!$C$7:$AL$7,0))</f>
        <v>30.91</v>
      </c>
      <c r="AY103" s="41">
        <f>INDEX('[1]End - Use Prices'!$C$6:$AL$89,MATCH($C103,'[1]End - Use Prices'!$A$6:$A$89,0)+MATCH($D103,'[1]End - Use Prices'!$B$9:$B$11,0)-1,MATCH(AY$1,'[1]End - Use Prices'!$C$7:$AL$7,0))</f>
        <v>30.89</v>
      </c>
      <c r="AZ103" s="41">
        <f>INDEX('[1]End - Use Prices'!$C$6:$AL$89,MATCH($C103,'[1]End - Use Prices'!$A$6:$A$89,0)+MATCH($D103,'[1]End - Use Prices'!$B$9:$B$11,0)-1,MATCH(AZ$1,'[1]End - Use Prices'!$C$7:$AL$7,0))</f>
        <v>30.9</v>
      </c>
      <c r="BA103" s="41">
        <f>INDEX('[1]End - Use Prices'!$C$6:$AL$89,MATCH($C103,'[1]End - Use Prices'!$A$6:$A$89,0)+MATCH($D103,'[1]End - Use Prices'!$B$9:$B$11,0)-1,MATCH(BA$1,'[1]End - Use Prices'!$C$7:$AL$7,0))</f>
        <v>30.94</v>
      </c>
      <c r="BB103" s="41">
        <f>INDEX('[1]End - Use Prices'!$C$6:$AL$89,MATCH($C103,'[1]End - Use Prices'!$A$6:$A$89,0)+MATCH($D103,'[1]End - Use Prices'!$B$9:$B$11,0)-1,MATCH(BB$1,'[1]End - Use Prices'!$C$7:$AL$7,0))</f>
        <v>30.96</v>
      </c>
      <c r="BC103" s="41">
        <f>INDEX('[1]End - Use Prices'!$C$6:$AL$89,MATCH($C103,'[1]End - Use Prices'!$A$6:$A$89,0)+MATCH($D103,'[1]End - Use Prices'!$B$9:$B$11,0)-1,MATCH(BC$1,'[1]End - Use Prices'!$C$7:$AL$7,0))</f>
        <v>30.97</v>
      </c>
      <c r="BD103" s="41">
        <f>INDEX('[1]End - Use Prices'!$C$6:$AL$89,MATCH($C103,'[1]End - Use Prices'!$A$6:$A$89,0)+MATCH($D103,'[1]End - Use Prices'!$B$9:$B$11,0)-1,MATCH(BD$1,'[1]End - Use Prices'!$C$7:$AL$7,0))</f>
        <v>30.96</v>
      </c>
      <c r="BE103" s="41">
        <f>INDEX('[1]End - Use Prices'!$C$6:$AL$89,MATCH($C103,'[1]End - Use Prices'!$A$6:$A$89,0)+MATCH($D103,'[1]End - Use Prices'!$B$9:$B$11,0)-1,MATCH(BE$1,'[1]End - Use Prices'!$C$7:$AL$7,0))</f>
        <v>30.91</v>
      </c>
      <c r="BF103" s="41">
        <f>INDEX('[1]End - Use Prices'!$C$6:$AL$89,MATCH($C103,'[1]End - Use Prices'!$A$6:$A$89,0)+MATCH($D103,'[1]End - Use Prices'!$B$9:$B$11,0)-1,MATCH(BF$1,'[1]End - Use Prices'!$C$7:$AL$7,0))</f>
        <v>30.87</v>
      </c>
      <c r="BG103" s="41">
        <f>INDEX('[1]End - Use Prices'!$C$6:$AL$89,MATCH($C103,'[1]End - Use Prices'!$A$6:$A$89,0)+MATCH($D103,'[1]End - Use Prices'!$B$9:$B$11,0)-1,MATCH(BG$1,'[1]End - Use Prices'!$C$7:$AL$7,0))</f>
        <v>30.82</v>
      </c>
      <c r="BR103" s="39"/>
      <c r="BS103" s="39"/>
      <c r="BT103" s="39"/>
      <c r="BU103" s="39"/>
      <c r="BV103" s="39"/>
      <c r="BW103" s="39"/>
      <c r="BX103" s="39"/>
      <c r="BY103" s="39"/>
      <c r="BZ103" s="39"/>
      <c r="CA103" s="39"/>
    </row>
    <row r="104" spans="1:79" s="39" customFormat="1" x14ac:dyDescent="0.25">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x14ac:dyDescent="0.25">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x14ac:dyDescent="0.25">
      <c r="A106" s="5"/>
      <c r="B106" s="71" t="s">
        <v>334</v>
      </c>
      <c r="C106" s="25" t="s">
        <v>48</v>
      </c>
      <c r="D106" s="25" t="s">
        <v>2</v>
      </c>
      <c r="E106" s="25" t="s">
        <v>313</v>
      </c>
      <c r="F106" s="74" t="s">
        <v>310</v>
      </c>
      <c r="G106" s="54">
        <f t="shared" ref="G106:G147" si="100">H106</f>
        <v>28.95</v>
      </c>
      <c r="H106" s="34">
        <f t="shared" ref="H106:O121" si="101">INDEX($S106:$CA106,MATCH(H$1,$S$1:$CA$1,0))</f>
        <v>28.95</v>
      </c>
      <c r="I106" s="34">
        <f t="shared" si="101"/>
        <v>31.32</v>
      </c>
      <c r="J106" s="34">
        <f t="shared" si="101"/>
        <v>34.979999999999997</v>
      </c>
      <c r="K106" s="34">
        <f t="shared" si="101"/>
        <v>38.72</v>
      </c>
      <c r="L106" s="34">
        <f t="shared" si="101"/>
        <v>40.39</v>
      </c>
      <c r="M106" s="34">
        <f t="shared" si="101"/>
        <v>42.26</v>
      </c>
      <c r="N106" s="34">
        <f t="shared" si="101"/>
        <v>43.98</v>
      </c>
      <c r="O106" s="34">
        <f t="shared" si="101"/>
        <v>45.58</v>
      </c>
      <c r="P106" s="54">
        <f t="shared" ref="P106:Q106" si="102">O106</f>
        <v>45.58</v>
      </c>
      <c r="Q106" s="54">
        <f t="shared" si="102"/>
        <v>45.58</v>
      </c>
      <c r="R106" s="38"/>
      <c r="X106" s="41">
        <f>INDEX('[1]End - Use Prices'!$C$6:$AL$89,MATCH($C106,'[1]End - Use Prices'!$A$6:$A$89,0)+MATCH($D106,'[1]End - Use Prices'!$B$9:$B$11,0)-1,MATCH(X$1,'[1]End - Use Prices'!$C$7:$AL$7,0))</f>
        <v>28.95</v>
      </c>
      <c r="Y106" s="41">
        <f>INDEX('[1]End - Use Prices'!$C$6:$AL$89,MATCH($C106,'[1]End - Use Prices'!$A$6:$A$89,0)+MATCH($D106,'[1]End - Use Prices'!$B$9:$B$11,0)-1,MATCH(Y$1,'[1]End - Use Prices'!$C$7:$AL$7,0))</f>
        <v>32.35</v>
      </c>
      <c r="Z106" s="41">
        <f>INDEX('[1]End - Use Prices'!$C$6:$AL$89,MATCH($C106,'[1]End - Use Prices'!$A$6:$A$89,0)+MATCH($D106,'[1]End - Use Prices'!$B$9:$B$11,0)-1,MATCH(Z$1,'[1]End - Use Prices'!$C$7:$AL$7,0))</f>
        <v>31.56</v>
      </c>
      <c r="AA106" s="41">
        <f>INDEX('[1]End - Use Prices'!$C$6:$AL$89,MATCH($C106,'[1]End - Use Prices'!$A$6:$A$89,0)+MATCH($D106,'[1]End - Use Prices'!$B$9:$B$11,0)-1,MATCH(AA$1,'[1]End - Use Prices'!$C$7:$AL$7,0))</f>
        <v>30.57</v>
      </c>
      <c r="AB106" s="41">
        <f>INDEX('[1]End - Use Prices'!$C$6:$AL$89,MATCH($C106,'[1]End - Use Prices'!$A$6:$A$89,0)+MATCH($D106,'[1]End - Use Prices'!$B$9:$B$11,0)-1,MATCH(AB$1,'[1]End - Use Prices'!$C$7:$AL$7,0))</f>
        <v>31.64</v>
      </c>
      <c r="AC106" s="41">
        <f>INDEX('[1]End - Use Prices'!$C$6:$AL$89,MATCH($C106,'[1]End - Use Prices'!$A$6:$A$89,0)+MATCH($D106,'[1]End - Use Prices'!$B$9:$B$11,0)-1,MATCH(AC$1,'[1]End - Use Prices'!$C$7:$AL$7,0))</f>
        <v>31.32</v>
      </c>
      <c r="AD106" s="41">
        <f>INDEX('[1]End - Use Prices'!$C$6:$AL$89,MATCH($C106,'[1]End - Use Prices'!$A$6:$A$89,0)+MATCH($D106,'[1]End - Use Prices'!$B$9:$B$11,0)-1,MATCH(AD$1,'[1]End - Use Prices'!$C$7:$AL$7,0))</f>
        <v>32.659999999999997</v>
      </c>
      <c r="AE106" s="41">
        <f>INDEX('[1]End - Use Prices'!$C$6:$AL$89,MATCH($C106,'[1]End - Use Prices'!$A$6:$A$89,0)+MATCH($D106,'[1]End - Use Prices'!$B$9:$B$11,0)-1,MATCH(AE$1,'[1]End - Use Prices'!$C$7:$AL$7,0))</f>
        <v>32.83</v>
      </c>
      <c r="AF106" s="41">
        <f>INDEX('[1]End - Use Prices'!$C$6:$AL$89,MATCH($C106,'[1]End - Use Prices'!$A$6:$A$89,0)+MATCH($D106,'[1]End - Use Prices'!$B$9:$B$11,0)-1,MATCH(AF$1,'[1]End - Use Prices'!$C$7:$AL$7,0))</f>
        <v>32.92</v>
      </c>
      <c r="AG106" s="41">
        <f>INDEX('[1]End - Use Prices'!$C$6:$AL$89,MATCH($C106,'[1]End - Use Prices'!$A$6:$A$89,0)+MATCH($D106,'[1]End - Use Prices'!$B$9:$B$11,0)-1,MATCH(AG$1,'[1]End - Use Prices'!$C$7:$AL$7,0))</f>
        <v>33.6</v>
      </c>
      <c r="AH106" s="41">
        <f>INDEX('[1]End - Use Prices'!$C$6:$AL$89,MATCH($C106,'[1]End - Use Prices'!$A$6:$A$89,0)+MATCH($D106,'[1]End - Use Prices'!$B$9:$B$11,0)-1,MATCH(AH$1,'[1]End - Use Prices'!$C$7:$AL$7,0))</f>
        <v>34.979999999999997</v>
      </c>
      <c r="AI106" s="41">
        <f>INDEX('[1]End - Use Prices'!$C$6:$AL$89,MATCH($C106,'[1]End - Use Prices'!$A$6:$A$89,0)+MATCH($D106,'[1]End - Use Prices'!$B$9:$B$11,0)-1,MATCH(AI$1,'[1]End - Use Prices'!$C$7:$AL$7,0))</f>
        <v>37.61</v>
      </c>
      <c r="AJ106" s="41">
        <f>INDEX('[1]End - Use Prices'!$C$6:$AL$89,MATCH($C106,'[1]End - Use Prices'!$A$6:$A$89,0)+MATCH($D106,'[1]End - Use Prices'!$B$9:$B$11,0)-1,MATCH(AJ$1,'[1]End - Use Prices'!$C$7:$AL$7,0))</f>
        <v>37.65</v>
      </c>
      <c r="AK106" s="41">
        <f>INDEX('[1]End - Use Prices'!$C$6:$AL$89,MATCH($C106,'[1]End - Use Prices'!$A$6:$A$89,0)+MATCH($D106,'[1]End - Use Prices'!$B$9:$B$11,0)-1,MATCH(AK$1,'[1]End - Use Prices'!$C$7:$AL$7,0))</f>
        <v>38.03</v>
      </c>
      <c r="AL106" s="41">
        <f>INDEX('[1]End - Use Prices'!$C$6:$AL$89,MATCH($C106,'[1]End - Use Prices'!$A$6:$A$89,0)+MATCH($D106,'[1]End - Use Prices'!$B$9:$B$11,0)-1,MATCH(AL$1,'[1]End - Use Prices'!$C$7:$AL$7,0))</f>
        <v>38.380000000000003</v>
      </c>
      <c r="AM106" s="41">
        <f>INDEX('[1]End - Use Prices'!$C$6:$AL$89,MATCH($C106,'[1]End - Use Prices'!$A$6:$A$89,0)+MATCH($D106,'[1]End - Use Prices'!$B$9:$B$11,0)-1,MATCH(AM$1,'[1]End - Use Prices'!$C$7:$AL$7,0))</f>
        <v>38.72</v>
      </c>
      <c r="AN106" s="41">
        <f>INDEX('[1]End - Use Prices'!$C$6:$AL$89,MATCH($C106,'[1]End - Use Prices'!$A$6:$A$89,0)+MATCH($D106,'[1]End - Use Prices'!$B$9:$B$11,0)-1,MATCH(AN$1,'[1]End - Use Prices'!$C$7:$AL$7,0))</f>
        <v>39.04</v>
      </c>
      <c r="AO106" s="41">
        <f>INDEX('[1]End - Use Prices'!$C$6:$AL$89,MATCH($C106,'[1]End - Use Prices'!$A$6:$A$89,0)+MATCH($D106,'[1]End - Use Prices'!$B$9:$B$11,0)-1,MATCH(AO$1,'[1]End - Use Prices'!$C$7:$AL$7,0))</f>
        <v>39.36</v>
      </c>
      <c r="AP106" s="41">
        <f>INDEX('[1]End - Use Prices'!$C$6:$AL$89,MATCH($C106,'[1]End - Use Prices'!$A$6:$A$89,0)+MATCH($D106,'[1]End - Use Prices'!$B$9:$B$11,0)-1,MATCH(AP$1,'[1]End - Use Prices'!$C$7:$AL$7,0))</f>
        <v>39.69</v>
      </c>
      <c r="AQ106" s="41">
        <f>INDEX('[1]End - Use Prices'!$C$6:$AL$89,MATCH($C106,'[1]End - Use Prices'!$A$6:$A$89,0)+MATCH($D106,'[1]End - Use Prices'!$B$9:$B$11,0)-1,MATCH(AQ$1,'[1]End - Use Prices'!$C$7:$AL$7,0))</f>
        <v>40.020000000000003</v>
      </c>
      <c r="AR106" s="41">
        <f>INDEX('[1]End - Use Prices'!$C$6:$AL$89,MATCH($C106,'[1]End - Use Prices'!$A$6:$A$89,0)+MATCH($D106,'[1]End - Use Prices'!$B$9:$B$11,0)-1,MATCH(AR$1,'[1]End - Use Prices'!$C$7:$AL$7,0))</f>
        <v>40.39</v>
      </c>
      <c r="AS106" s="41">
        <f>INDEX('[1]End - Use Prices'!$C$6:$AL$89,MATCH($C106,'[1]End - Use Prices'!$A$6:$A$89,0)+MATCH($D106,'[1]End - Use Prices'!$B$9:$B$11,0)-1,MATCH(AS$1,'[1]End - Use Prices'!$C$7:$AL$7,0))</f>
        <v>40.74</v>
      </c>
      <c r="AT106" s="41">
        <f>INDEX('[1]End - Use Prices'!$C$6:$AL$89,MATCH($C106,'[1]End - Use Prices'!$A$6:$A$89,0)+MATCH($D106,'[1]End - Use Prices'!$B$9:$B$11,0)-1,MATCH(AT$1,'[1]End - Use Prices'!$C$7:$AL$7,0))</f>
        <v>41.1</v>
      </c>
      <c r="AU106" s="41">
        <f>INDEX('[1]End - Use Prices'!$C$6:$AL$89,MATCH($C106,'[1]End - Use Prices'!$A$6:$A$89,0)+MATCH($D106,'[1]End - Use Prices'!$B$9:$B$11,0)-1,MATCH(AU$1,'[1]End - Use Prices'!$C$7:$AL$7,0))</f>
        <v>41.49</v>
      </c>
      <c r="AV106" s="41">
        <f>INDEX('[1]End - Use Prices'!$C$6:$AL$89,MATCH($C106,'[1]End - Use Prices'!$A$6:$A$89,0)+MATCH($D106,'[1]End - Use Prices'!$B$9:$B$11,0)-1,MATCH(AV$1,'[1]End - Use Prices'!$C$7:$AL$7,0))</f>
        <v>41.88</v>
      </c>
      <c r="AW106" s="41">
        <f>INDEX('[1]End - Use Prices'!$C$6:$AL$89,MATCH($C106,'[1]End - Use Prices'!$A$6:$A$89,0)+MATCH($D106,'[1]End - Use Prices'!$B$9:$B$11,0)-1,MATCH(AW$1,'[1]End - Use Prices'!$C$7:$AL$7,0))</f>
        <v>42.26</v>
      </c>
      <c r="AX106" s="41">
        <f>INDEX('[1]End - Use Prices'!$C$6:$AL$89,MATCH($C106,'[1]End - Use Prices'!$A$6:$A$89,0)+MATCH($D106,'[1]End - Use Prices'!$B$9:$B$11,0)-1,MATCH(AX$1,'[1]End - Use Prices'!$C$7:$AL$7,0))</f>
        <v>42.62</v>
      </c>
      <c r="AY106" s="41">
        <f>INDEX('[1]End - Use Prices'!$C$6:$AL$89,MATCH($C106,'[1]End - Use Prices'!$A$6:$A$89,0)+MATCH($D106,'[1]End - Use Prices'!$B$9:$B$11,0)-1,MATCH(AY$1,'[1]End - Use Prices'!$C$7:$AL$7,0))</f>
        <v>42.97</v>
      </c>
      <c r="AZ106" s="41">
        <f>INDEX('[1]End - Use Prices'!$C$6:$AL$89,MATCH($C106,'[1]End - Use Prices'!$A$6:$A$89,0)+MATCH($D106,'[1]End - Use Prices'!$B$9:$B$11,0)-1,MATCH(AZ$1,'[1]End - Use Prices'!$C$7:$AL$7,0))</f>
        <v>43.31</v>
      </c>
      <c r="BA106" s="41">
        <f>INDEX('[1]End - Use Prices'!$C$6:$AL$89,MATCH($C106,'[1]End - Use Prices'!$A$6:$A$89,0)+MATCH($D106,'[1]End - Use Prices'!$B$9:$B$11,0)-1,MATCH(BA$1,'[1]End - Use Prices'!$C$7:$AL$7,0))</f>
        <v>43.65</v>
      </c>
      <c r="BB106" s="41">
        <f>INDEX('[1]End - Use Prices'!$C$6:$AL$89,MATCH($C106,'[1]End - Use Prices'!$A$6:$A$89,0)+MATCH($D106,'[1]End - Use Prices'!$B$9:$B$11,0)-1,MATCH(BB$1,'[1]End - Use Prices'!$C$7:$AL$7,0))</f>
        <v>43.98</v>
      </c>
      <c r="BC106" s="41">
        <f>INDEX('[1]End - Use Prices'!$C$6:$AL$89,MATCH($C106,'[1]End - Use Prices'!$A$6:$A$89,0)+MATCH($D106,'[1]End - Use Prices'!$B$9:$B$11,0)-1,MATCH(BC$1,'[1]End - Use Prices'!$C$7:$AL$7,0))</f>
        <v>44.31</v>
      </c>
      <c r="BD106" s="41">
        <f>INDEX('[1]End - Use Prices'!$C$6:$AL$89,MATCH($C106,'[1]End - Use Prices'!$A$6:$A$89,0)+MATCH($D106,'[1]End - Use Prices'!$B$9:$B$11,0)-1,MATCH(BD$1,'[1]End - Use Prices'!$C$7:$AL$7,0))</f>
        <v>44.63</v>
      </c>
      <c r="BE106" s="41">
        <f>INDEX('[1]End - Use Prices'!$C$6:$AL$89,MATCH($C106,'[1]End - Use Prices'!$A$6:$A$89,0)+MATCH($D106,'[1]End - Use Prices'!$B$9:$B$11,0)-1,MATCH(BE$1,'[1]End - Use Prices'!$C$7:$AL$7,0))</f>
        <v>44.95</v>
      </c>
      <c r="BF106" s="41">
        <f>INDEX('[1]End - Use Prices'!$C$6:$AL$89,MATCH($C106,'[1]End - Use Prices'!$A$6:$A$89,0)+MATCH($D106,'[1]End - Use Prices'!$B$9:$B$11,0)-1,MATCH(BF$1,'[1]End - Use Prices'!$C$7:$AL$7,0))</f>
        <v>45.27</v>
      </c>
      <c r="BG106" s="41">
        <f>INDEX('[1]End - Use Prices'!$C$6:$AL$89,MATCH($C106,'[1]End - Use Prices'!$A$6:$A$89,0)+MATCH($D106,'[1]End - Use Prices'!$B$9:$B$11,0)-1,MATCH(BG$1,'[1]End - Use Prices'!$C$7:$AL$7,0))</f>
        <v>45.58</v>
      </c>
      <c r="BR106" s="39"/>
      <c r="BS106" s="39"/>
      <c r="BT106" s="39"/>
      <c r="BU106" s="39"/>
      <c r="BV106" s="39"/>
      <c r="BW106" s="39"/>
      <c r="BX106" s="39"/>
      <c r="BY106" s="39"/>
      <c r="BZ106" s="39"/>
      <c r="CA106" s="39"/>
    </row>
    <row r="107" spans="1:79" x14ac:dyDescent="0.25">
      <c r="A107" s="5"/>
      <c r="B107" s="3"/>
      <c r="C107" s="25" t="s">
        <v>87</v>
      </c>
      <c r="D107" s="25" t="s">
        <v>2</v>
      </c>
      <c r="E107" s="25" t="s">
        <v>313</v>
      </c>
      <c r="F107" s="74" t="s">
        <v>310</v>
      </c>
      <c r="G107" s="54">
        <f t="shared" si="100"/>
        <v>34.03</v>
      </c>
      <c r="H107" s="34">
        <f t="shared" si="101"/>
        <v>34.03</v>
      </c>
      <c r="I107" s="34">
        <f t="shared" si="101"/>
        <v>38.9</v>
      </c>
      <c r="J107" s="34">
        <f t="shared" si="101"/>
        <v>39.4</v>
      </c>
      <c r="K107" s="34">
        <f t="shared" si="101"/>
        <v>45.24</v>
      </c>
      <c r="L107" s="34">
        <f t="shared" si="101"/>
        <v>48</v>
      </c>
      <c r="M107" s="34">
        <f t="shared" si="101"/>
        <v>50.03</v>
      </c>
      <c r="N107" s="34">
        <f t="shared" si="101"/>
        <v>52.14</v>
      </c>
      <c r="O107" s="34">
        <f t="shared" si="101"/>
        <v>55.17</v>
      </c>
      <c r="P107" s="54">
        <f t="shared" ref="P107:Q107" si="103">O107</f>
        <v>55.17</v>
      </c>
      <c r="Q107" s="54">
        <f t="shared" si="103"/>
        <v>55.17</v>
      </c>
      <c r="R107" s="38"/>
      <c r="X107" s="41">
        <f>INDEX('[1]End - Use Prices'!$C$6:$AL$89,MATCH($C107,'[1]End - Use Prices'!$A$6:$A$89,0)+MATCH($D107,'[1]End - Use Prices'!$B$9:$B$11,0)-1,MATCH(X$1,'[1]End - Use Prices'!$C$7:$AL$7,0))</f>
        <v>34.03</v>
      </c>
      <c r="Y107" s="41">
        <f>INDEX('[1]End - Use Prices'!$C$6:$AL$89,MATCH($C107,'[1]End - Use Prices'!$A$6:$A$89,0)+MATCH($D107,'[1]End - Use Prices'!$B$9:$B$11,0)-1,MATCH(Y$1,'[1]End - Use Prices'!$C$7:$AL$7,0))</f>
        <v>39.85</v>
      </c>
      <c r="Z107" s="41">
        <f>INDEX('[1]End - Use Prices'!$C$6:$AL$89,MATCH($C107,'[1]End - Use Prices'!$A$6:$A$89,0)+MATCH($D107,'[1]End - Use Prices'!$B$9:$B$11,0)-1,MATCH(Z$1,'[1]End - Use Prices'!$C$7:$AL$7,0))</f>
        <v>39.83</v>
      </c>
      <c r="AA107" s="41">
        <f>INDEX('[1]End - Use Prices'!$C$6:$AL$89,MATCH($C107,'[1]End - Use Prices'!$A$6:$A$89,0)+MATCH($D107,'[1]End - Use Prices'!$B$9:$B$11,0)-1,MATCH(AA$1,'[1]End - Use Prices'!$C$7:$AL$7,0))</f>
        <v>37.99</v>
      </c>
      <c r="AB107" s="41">
        <f>INDEX('[1]End - Use Prices'!$C$6:$AL$89,MATCH($C107,'[1]End - Use Prices'!$A$6:$A$89,0)+MATCH($D107,'[1]End - Use Prices'!$B$9:$B$11,0)-1,MATCH(AB$1,'[1]End - Use Prices'!$C$7:$AL$7,0))</f>
        <v>41.07</v>
      </c>
      <c r="AC107" s="41">
        <f>INDEX('[1]End - Use Prices'!$C$6:$AL$89,MATCH($C107,'[1]End - Use Prices'!$A$6:$A$89,0)+MATCH($D107,'[1]End - Use Prices'!$B$9:$B$11,0)-1,MATCH(AC$1,'[1]End - Use Prices'!$C$7:$AL$7,0))</f>
        <v>38.9</v>
      </c>
      <c r="AD107" s="41">
        <f>INDEX('[1]End - Use Prices'!$C$6:$AL$89,MATCH($C107,'[1]End - Use Prices'!$A$6:$A$89,0)+MATCH($D107,'[1]End - Use Prices'!$B$9:$B$11,0)-1,MATCH(AD$1,'[1]End - Use Prices'!$C$7:$AL$7,0))</f>
        <v>38.54</v>
      </c>
      <c r="AE107" s="41">
        <f>INDEX('[1]End - Use Prices'!$C$6:$AL$89,MATCH($C107,'[1]End - Use Prices'!$A$6:$A$89,0)+MATCH($D107,'[1]End - Use Prices'!$B$9:$B$11,0)-1,MATCH(AE$1,'[1]End - Use Prices'!$C$7:$AL$7,0))</f>
        <v>40.909999999999997</v>
      </c>
      <c r="AF107" s="41">
        <f>INDEX('[1]End - Use Prices'!$C$6:$AL$89,MATCH($C107,'[1]End - Use Prices'!$A$6:$A$89,0)+MATCH($D107,'[1]End - Use Prices'!$B$9:$B$11,0)-1,MATCH(AF$1,'[1]End - Use Prices'!$C$7:$AL$7,0))</f>
        <v>39.76</v>
      </c>
      <c r="AG107" s="41">
        <f>INDEX('[1]End - Use Prices'!$C$6:$AL$89,MATCH($C107,'[1]End - Use Prices'!$A$6:$A$89,0)+MATCH($D107,'[1]End - Use Prices'!$B$9:$B$11,0)-1,MATCH(AG$1,'[1]End - Use Prices'!$C$7:$AL$7,0))</f>
        <v>38.340000000000003</v>
      </c>
      <c r="AH107" s="41">
        <f>INDEX('[1]End - Use Prices'!$C$6:$AL$89,MATCH($C107,'[1]End - Use Prices'!$A$6:$A$89,0)+MATCH($D107,'[1]End - Use Prices'!$B$9:$B$11,0)-1,MATCH(AH$1,'[1]End - Use Prices'!$C$7:$AL$7,0))</f>
        <v>39.4</v>
      </c>
      <c r="AI107" s="41">
        <f>INDEX('[1]End - Use Prices'!$C$6:$AL$89,MATCH($C107,'[1]End - Use Prices'!$A$6:$A$89,0)+MATCH($D107,'[1]End - Use Prices'!$B$9:$B$11,0)-1,MATCH(AI$1,'[1]End - Use Prices'!$C$7:$AL$7,0))</f>
        <v>40.49</v>
      </c>
      <c r="AJ107" s="41">
        <f>INDEX('[1]End - Use Prices'!$C$6:$AL$89,MATCH($C107,'[1]End - Use Prices'!$A$6:$A$89,0)+MATCH($D107,'[1]End - Use Prices'!$B$9:$B$11,0)-1,MATCH(AJ$1,'[1]End - Use Prices'!$C$7:$AL$7,0))</f>
        <v>42.88</v>
      </c>
      <c r="AK107" s="41">
        <f>INDEX('[1]End - Use Prices'!$C$6:$AL$89,MATCH($C107,'[1]End - Use Prices'!$A$6:$A$89,0)+MATCH($D107,'[1]End - Use Prices'!$B$9:$B$11,0)-1,MATCH(AK$1,'[1]End - Use Prices'!$C$7:$AL$7,0))</f>
        <v>43.74</v>
      </c>
      <c r="AL107" s="41">
        <f>INDEX('[1]End - Use Prices'!$C$6:$AL$89,MATCH($C107,'[1]End - Use Prices'!$A$6:$A$89,0)+MATCH($D107,'[1]End - Use Prices'!$B$9:$B$11,0)-1,MATCH(AL$1,'[1]End - Use Prices'!$C$7:$AL$7,0))</f>
        <v>44.52</v>
      </c>
      <c r="AM107" s="41">
        <f>INDEX('[1]End - Use Prices'!$C$6:$AL$89,MATCH($C107,'[1]End - Use Prices'!$A$6:$A$89,0)+MATCH($D107,'[1]End - Use Prices'!$B$9:$B$11,0)-1,MATCH(AM$1,'[1]End - Use Prices'!$C$7:$AL$7,0))</f>
        <v>45.24</v>
      </c>
      <c r="AN107" s="41">
        <f>INDEX('[1]End - Use Prices'!$C$6:$AL$89,MATCH($C107,'[1]End - Use Prices'!$A$6:$A$89,0)+MATCH($D107,'[1]End - Use Prices'!$B$9:$B$11,0)-1,MATCH(AN$1,'[1]End - Use Prices'!$C$7:$AL$7,0))</f>
        <v>45.89</v>
      </c>
      <c r="AO107" s="41">
        <f>INDEX('[1]End - Use Prices'!$C$6:$AL$89,MATCH($C107,'[1]End - Use Prices'!$A$6:$A$89,0)+MATCH($D107,'[1]End - Use Prices'!$B$9:$B$11,0)-1,MATCH(AO$1,'[1]End - Use Prices'!$C$7:$AL$7,0))</f>
        <v>46.48</v>
      </c>
      <c r="AP107" s="41">
        <f>INDEX('[1]End - Use Prices'!$C$6:$AL$89,MATCH($C107,'[1]End - Use Prices'!$A$6:$A$89,0)+MATCH($D107,'[1]End - Use Prices'!$B$9:$B$11,0)-1,MATCH(AP$1,'[1]End - Use Prices'!$C$7:$AL$7,0))</f>
        <v>47.03</v>
      </c>
      <c r="AQ107" s="41">
        <f>INDEX('[1]End - Use Prices'!$C$6:$AL$89,MATCH($C107,'[1]End - Use Prices'!$A$6:$A$89,0)+MATCH($D107,'[1]End - Use Prices'!$B$9:$B$11,0)-1,MATCH(AQ$1,'[1]End - Use Prices'!$C$7:$AL$7,0))</f>
        <v>47.53</v>
      </c>
      <c r="AR107" s="41">
        <f>INDEX('[1]End - Use Prices'!$C$6:$AL$89,MATCH($C107,'[1]End - Use Prices'!$A$6:$A$89,0)+MATCH($D107,'[1]End - Use Prices'!$B$9:$B$11,0)-1,MATCH(AR$1,'[1]End - Use Prices'!$C$7:$AL$7,0))</f>
        <v>48</v>
      </c>
      <c r="AS107" s="41">
        <f>INDEX('[1]End - Use Prices'!$C$6:$AL$89,MATCH($C107,'[1]End - Use Prices'!$A$6:$A$89,0)+MATCH($D107,'[1]End - Use Prices'!$B$9:$B$11,0)-1,MATCH(AS$1,'[1]End - Use Prices'!$C$7:$AL$7,0))</f>
        <v>48.44</v>
      </c>
      <c r="AT107" s="41">
        <f>INDEX('[1]End - Use Prices'!$C$6:$AL$89,MATCH($C107,'[1]End - Use Prices'!$A$6:$A$89,0)+MATCH($D107,'[1]End - Use Prices'!$B$9:$B$11,0)-1,MATCH(AT$1,'[1]End - Use Prices'!$C$7:$AL$7,0))</f>
        <v>48.85</v>
      </c>
      <c r="AU107" s="41">
        <f>INDEX('[1]End - Use Prices'!$C$6:$AL$89,MATCH($C107,'[1]End - Use Prices'!$A$6:$A$89,0)+MATCH($D107,'[1]End - Use Prices'!$B$9:$B$11,0)-1,MATCH(AU$1,'[1]End - Use Prices'!$C$7:$AL$7,0))</f>
        <v>49.25</v>
      </c>
      <c r="AV107" s="41">
        <f>INDEX('[1]End - Use Prices'!$C$6:$AL$89,MATCH($C107,'[1]End - Use Prices'!$A$6:$A$89,0)+MATCH($D107,'[1]End - Use Prices'!$B$9:$B$11,0)-1,MATCH(AV$1,'[1]End - Use Prices'!$C$7:$AL$7,0))</f>
        <v>49.64</v>
      </c>
      <c r="AW107" s="41">
        <f>INDEX('[1]End - Use Prices'!$C$6:$AL$89,MATCH($C107,'[1]End - Use Prices'!$A$6:$A$89,0)+MATCH($D107,'[1]End - Use Prices'!$B$9:$B$11,0)-1,MATCH(AW$1,'[1]End - Use Prices'!$C$7:$AL$7,0))</f>
        <v>50.03</v>
      </c>
      <c r="AX107" s="41">
        <f>INDEX('[1]End - Use Prices'!$C$6:$AL$89,MATCH($C107,'[1]End - Use Prices'!$A$6:$A$89,0)+MATCH($D107,'[1]End - Use Prices'!$B$9:$B$11,0)-1,MATCH(AX$1,'[1]End - Use Prices'!$C$7:$AL$7,0))</f>
        <v>50.42</v>
      </c>
      <c r="AY107" s="41">
        <f>INDEX('[1]End - Use Prices'!$C$6:$AL$89,MATCH($C107,'[1]End - Use Prices'!$A$6:$A$89,0)+MATCH($D107,'[1]End - Use Prices'!$B$9:$B$11,0)-1,MATCH(AY$1,'[1]End - Use Prices'!$C$7:$AL$7,0))</f>
        <v>50.82</v>
      </c>
      <c r="AZ107" s="41">
        <f>INDEX('[1]End - Use Prices'!$C$6:$AL$89,MATCH($C107,'[1]End - Use Prices'!$A$6:$A$89,0)+MATCH($D107,'[1]End - Use Prices'!$B$9:$B$11,0)-1,MATCH(AZ$1,'[1]End - Use Prices'!$C$7:$AL$7,0))</f>
        <v>51.23</v>
      </c>
      <c r="BA107" s="41">
        <f>INDEX('[1]End - Use Prices'!$C$6:$AL$89,MATCH($C107,'[1]End - Use Prices'!$A$6:$A$89,0)+MATCH($D107,'[1]End - Use Prices'!$B$9:$B$11,0)-1,MATCH(BA$1,'[1]End - Use Prices'!$C$7:$AL$7,0))</f>
        <v>51.67</v>
      </c>
      <c r="BB107" s="41">
        <f>INDEX('[1]End - Use Prices'!$C$6:$AL$89,MATCH($C107,'[1]End - Use Prices'!$A$6:$A$89,0)+MATCH($D107,'[1]End - Use Prices'!$B$9:$B$11,0)-1,MATCH(BB$1,'[1]End - Use Prices'!$C$7:$AL$7,0))</f>
        <v>52.14</v>
      </c>
      <c r="BC107" s="41">
        <f>INDEX('[1]End - Use Prices'!$C$6:$AL$89,MATCH($C107,'[1]End - Use Prices'!$A$6:$A$89,0)+MATCH($D107,'[1]End - Use Prices'!$B$9:$B$11,0)-1,MATCH(BC$1,'[1]End - Use Prices'!$C$7:$AL$7,0))</f>
        <v>52.65</v>
      </c>
      <c r="BD107" s="41">
        <f>INDEX('[1]End - Use Prices'!$C$6:$AL$89,MATCH($C107,'[1]End - Use Prices'!$A$6:$A$89,0)+MATCH($D107,'[1]End - Use Prices'!$B$9:$B$11,0)-1,MATCH(BD$1,'[1]End - Use Prices'!$C$7:$AL$7,0))</f>
        <v>53.2</v>
      </c>
      <c r="BE107" s="41">
        <f>INDEX('[1]End - Use Prices'!$C$6:$AL$89,MATCH($C107,'[1]End - Use Prices'!$A$6:$A$89,0)+MATCH($D107,'[1]End - Use Prices'!$B$9:$B$11,0)-1,MATCH(BE$1,'[1]End - Use Prices'!$C$7:$AL$7,0))</f>
        <v>53.8</v>
      </c>
      <c r="BF107" s="41">
        <f>INDEX('[1]End - Use Prices'!$C$6:$AL$89,MATCH($C107,'[1]End - Use Prices'!$A$6:$A$89,0)+MATCH($D107,'[1]End - Use Prices'!$B$9:$B$11,0)-1,MATCH(BF$1,'[1]End - Use Prices'!$C$7:$AL$7,0))</f>
        <v>54.45</v>
      </c>
      <c r="BG107" s="41">
        <f>INDEX('[1]End - Use Prices'!$C$6:$AL$89,MATCH($C107,'[1]End - Use Prices'!$A$6:$A$89,0)+MATCH($D107,'[1]End - Use Prices'!$B$9:$B$11,0)-1,MATCH(BG$1,'[1]End - Use Prices'!$C$7:$AL$7,0))</f>
        <v>55.17</v>
      </c>
      <c r="BR107" s="39"/>
      <c r="BS107" s="39"/>
      <c r="BT107" s="39"/>
      <c r="BU107" s="39"/>
      <c r="BV107" s="39"/>
      <c r="BW107" s="39"/>
      <c r="BX107" s="39"/>
      <c r="BY107" s="39"/>
      <c r="BZ107" s="39"/>
      <c r="CA107" s="39"/>
    </row>
    <row r="108" spans="1:79" x14ac:dyDescent="0.25">
      <c r="A108" s="5"/>
      <c r="B108" s="3"/>
      <c r="C108" s="25" t="s">
        <v>88</v>
      </c>
      <c r="D108" s="25" t="s">
        <v>2</v>
      </c>
      <c r="E108" s="25" t="s">
        <v>313</v>
      </c>
      <c r="F108" s="74" t="s">
        <v>310</v>
      </c>
      <c r="G108" s="54">
        <f t="shared" si="100"/>
        <v>41.51</v>
      </c>
      <c r="H108" s="34">
        <f t="shared" si="101"/>
        <v>41.51</v>
      </c>
      <c r="I108" s="34">
        <f t="shared" si="101"/>
        <v>50.51</v>
      </c>
      <c r="J108" s="34">
        <f t="shared" si="101"/>
        <v>53.64</v>
      </c>
      <c r="K108" s="34">
        <f t="shared" si="101"/>
        <v>55.52</v>
      </c>
      <c r="L108" s="34">
        <f t="shared" si="101"/>
        <v>56.42</v>
      </c>
      <c r="M108" s="34">
        <f t="shared" si="101"/>
        <v>57.35</v>
      </c>
      <c r="N108" s="34">
        <f t="shared" si="101"/>
        <v>58.28</v>
      </c>
      <c r="O108" s="34">
        <f t="shared" si="101"/>
        <v>59.23</v>
      </c>
      <c r="P108" s="54">
        <f t="shared" ref="P108:Q108" si="104">O108</f>
        <v>59.23</v>
      </c>
      <c r="Q108" s="54">
        <f t="shared" si="104"/>
        <v>59.23</v>
      </c>
      <c r="R108" s="38"/>
      <c r="X108" s="41">
        <f>INDEX('[1]End - Use Prices'!$C$6:$AL$89,MATCH($C108,'[1]End - Use Prices'!$A$6:$A$89,0)+MATCH($D108,'[1]End - Use Prices'!$B$9:$B$11,0)-1,MATCH(X$1,'[1]End - Use Prices'!$C$7:$AL$7,0))</f>
        <v>41.51</v>
      </c>
      <c r="Y108" s="41">
        <f>INDEX('[1]End - Use Prices'!$C$6:$AL$89,MATCH($C108,'[1]End - Use Prices'!$A$6:$A$89,0)+MATCH($D108,'[1]End - Use Prices'!$B$9:$B$11,0)-1,MATCH(Y$1,'[1]End - Use Prices'!$C$7:$AL$7,0))</f>
        <v>42.42</v>
      </c>
      <c r="Z108" s="41">
        <f>INDEX('[1]End - Use Prices'!$C$6:$AL$89,MATCH($C108,'[1]End - Use Prices'!$A$6:$A$89,0)+MATCH($D108,'[1]End - Use Prices'!$B$9:$B$11,0)-1,MATCH(Z$1,'[1]End - Use Prices'!$C$7:$AL$7,0))</f>
        <v>44.58</v>
      </c>
      <c r="AA108" s="41">
        <f>INDEX('[1]End - Use Prices'!$C$6:$AL$89,MATCH($C108,'[1]End - Use Prices'!$A$6:$A$89,0)+MATCH($D108,'[1]End - Use Prices'!$B$9:$B$11,0)-1,MATCH(AA$1,'[1]End - Use Prices'!$C$7:$AL$7,0))</f>
        <v>46.56</v>
      </c>
      <c r="AB108" s="41">
        <f>INDEX('[1]End - Use Prices'!$C$6:$AL$89,MATCH($C108,'[1]End - Use Prices'!$A$6:$A$89,0)+MATCH($D108,'[1]End - Use Prices'!$B$9:$B$11,0)-1,MATCH(AB$1,'[1]End - Use Prices'!$C$7:$AL$7,0))</f>
        <v>55.63</v>
      </c>
      <c r="AC108" s="41">
        <f>INDEX('[1]End - Use Prices'!$C$6:$AL$89,MATCH($C108,'[1]End - Use Prices'!$A$6:$A$89,0)+MATCH($D108,'[1]End - Use Prices'!$B$9:$B$11,0)-1,MATCH(AC$1,'[1]End - Use Prices'!$C$7:$AL$7,0))</f>
        <v>50.51</v>
      </c>
      <c r="AD108" s="41">
        <f>INDEX('[1]End - Use Prices'!$C$6:$AL$89,MATCH($C108,'[1]End - Use Prices'!$A$6:$A$89,0)+MATCH($D108,'[1]End - Use Prices'!$B$9:$B$11,0)-1,MATCH(AD$1,'[1]End - Use Prices'!$C$7:$AL$7,0))</f>
        <v>43.95</v>
      </c>
      <c r="AE108" s="41">
        <f>INDEX('[1]End - Use Prices'!$C$6:$AL$89,MATCH($C108,'[1]End - Use Prices'!$A$6:$A$89,0)+MATCH($D108,'[1]End - Use Prices'!$B$9:$B$11,0)-1,MATCH(AE$1,'[1]End - Use Prices'!$C$7:$AL$7,0))</f>
        <v>43.43</v>
      </c>
      <c r="AF108" s="41">
        <f>INDEX('[1]End - Use Prices'!$C$6:$AL$89,MATCH($C108,'[1]End - Use Prices'!$A$6:$A$89,0)+MATCH($D108,'[1]End - Use Prices'!$B$9:$B$11,0)-1,MATCH(AF$1,'[1]End - Use Prices'!$C$7:$AL$7,0))</f>
        <v>50.61</v>
      </c>
      <c r="AG108" s="41">
        <f>INDEX('[1]End - Use Prices'!$C$6:$AL$89,MATCH($C108,'[1]End - Use Prices'!$A$6:$A$89,0)+MATCH($D108,'[1]End - Use Prices'!$B$9:$B$11,0)-1,MATCH(AG$1,'[1]End - Use Prices'!$C$7:$AL$7,0))</f>
        <v>51.93</v>
      </c>
      <c r="AH108" s="41">
        <f>INDEX('[1]End - Use Prices'!$C$6:$AL$89,MATCH($C108,'[1]End - Use Prices'!$A$6:$A$89,0)+MATCH($D108,'[1]End - Use Prices'!$B$9:$B$11,0)-1,MATCH(AH$1,'[1]End - Use Prices'!$C$7:$AL$7,0))</f>
        <v>53.64</v>
      </c>
      <c r="AI108" s="41">
        <f>INDEX('[1]End - Use Prices'!$C$6:$AL$89,MATCH($C108,'[1]End - Use Prices'!$A$6:$A$89,0)+MATCH($D108,'[1]End - Use Prices'!$B$9:$B$11,0)-1,MATCH(AI$1,'[1]End - Use Prices'!$C$7:$AL$7,0))</f>
        <v>54.8</v>
      </c>
      <c r="AJ108" s="41">
        <f>INDEX('[1]End - Use Prices'!$C$6:$AL$89,MATCH($C108,'[1]End - Use Prices'!$A$6:$A$89,0)+MATCH($D108,'[1]End - Use Prices'!$B$9:$B$11,0)-1,MATCH(AJ$1,'[1]End - Use Prices'!$C$7:$AL$7,0))</f>
        <v>54.98</v>
      </c>
      <c r="AK108" s="41">
        <f>INDEX('[1]End - Use Prices'!$C$6:$AL$89,MATCH($C108,'[1]End - Use Prices'!$A$6:$A$89,0)+MATCH($D108,'[1]End - Use Prices'!$B$9:$B$11,0)-1,MATCH(AK$1,'[1]End - Use Prices'!$C$7:$AL$7,0))</f>
        <v>55.16</v>
      </c>
      <c r="AL108" s="41">
        <f>INDEX('[1]End - Use Prices'!$C$6:$AL$89,MATCH($C108,'[1]End - Use Prices'!$A$6:$A$89,0)+MATCH($D108,'[1]End - Use Prices'!$B$9:$B$11,0)-1,MATCH(AL$1,'[1]End - Use Prices'!$C$7:$AL$7,0))</f>
        <v>55.34</v>
      </c>
      <c r="AM108" s="41">
        <f>INDEX('[1]End - Use Prices'!$C$6:$AL$89,MATCH($C108,'[1]End - Use Prices'!$A$6:$A$89,0)+MATCH($D108,'[1]End - Use Prices'!$B$9:$B$11,0)-1,MATCH(AM$1,'[1]End - Use Prices'!$C$7:$AL$7,0))</f>
        <v>55.52</v>
      </c>
      <c r="AN108" s="41">
        <f>INDEX('[1]End - Use Prices'!$C$6:$AL$89,MATCH($C108,'[1]End - Use Prices'!$A$6:$A$89,0)+MATCH($D108,'[1]End - Use Prices'!$B$9:$B$11,0)-1,MATCH(AN$1,'[1]End - Use Prices'!$C$7:$AL$7,0))</f>
        <v>55.7</v>
      </c>
      <c r="AO108" s="41">
        <f>INDEX('[1]End - Use Prices'!$C$6:$AL$89,MATCH($C108,'[1]End - Use Prices'!$A$6:$A$89,0)+MATCH($D108,'[1]End - Use Prices'!$B$9:$B$11,0)-1,MATCH(AO$1,'[1]End - Use Prices'!$C$7:$AL$7,0))</f>
        <v>55.88</v>
      </c>
      <c r="AP108" s="41">
        <f>INDEX('[1]End - Use Prices'!$C$6:$AL$89,MATCH($C108,'[1]End - Use Prices'!$A$6:$A$89,0)+MATCH($D108,'[1]End - Use Prices'!$B$9:$B$11,0)-1,MATCH(AP$1,'[1]End - Use Prices'!$C$7:$AL$7,0))</f>
        <v>56.06</v>
      </c>
      <c r="AQ108" s="41">
        <f>INDEX('[1]End - Use Prices'!$C$6:$AL$89,MATCH($C108,'[1]End - Use Prices'!$A$6:$A$89,0)+MATCH($D108,'[1]End - Use Prices'!$B$9:$B$11,0)-1,MATCH(AQ$1,'[1]End - Use Prices'!$C$7:$AL$7,0))</f>
        <v>56.24</v>
      </c>
      <c r="AR108" s="41">
        <f>INDEX('[1]End - Use Prices'!$C$6:$AL$89,MATCH($C108,'[1]End - Use Prices'!$A$6:$A$89,0)+MATCH($D108,'[1]End - Use Prices'!$B$9:$B$11,0)-1,MATCH(AR$1,'[1]End - Use Prices'!$C$7:$AL$7,0))</f>
        <v>56.42</v>
      </c>
      <c r="AS108" s="41">
        <f>INDEX('[1]End - Use Prices'!$C$6:$AL$89,MATCH($C108,'[1]End - Use Prices'!$A$6:$A$89,0)+MATCH($D108,'[1]End - Use Prices'!$B$9:$B$11,0)-1,MATCH(AS$1,'[1]End - Use Prices'!$C$7:$AL$7,0))</f>
        <v>56.61</v>
      </c>
      <c r="AT108" s="41">
        <f>INDEX('[1]End - Use Prices'!$C$6:$AL$89,MATCH($C108,'[1]End - Use Prices'!$A$6:$A$89,0)+MATCH($D108,'[1]End - Use Prices'!$B$9:$B$11,0)-1,MATCH(AT$1,'[1]End - Use Prices'!$C$7:$AL$7,0))</f>
        <v>56.79</v>
      </c>
      <c r="AU108" s="41">
        <f>INDEX('[1]End - Use Prices'!$C$6:$AL$89,MATCH($C108,'[1]End - Use Prices'!$A$6:$A$89,0)+MATCH($D108,'[1]End - Use Prices'!$B$9:$B$11,0)-1,MATCH(AU$1,'[1]End - Use Prices'!$C$7:$AL$7,0))</f>
        <v>56.97</v>
      </c>
      <c r="AV108" s="41">
        <f>INDEX('[1]End - Use Prices'!$C$6:$AL$89,MATCH($C108,'[1]End - Use Prices'!$A$6:$A$89,0)+MATCH($D108,'[1]End - Use Prices'!$B$9:$B$11,0)-1,MATCH(AV$1,'[1]End - Use Prices'!$C$7:$AL$7,0))</f>
        <v>57.16</v>
      </c>
      <c r="AW108" s="41">
        <f>INDEX('[1]End - Use Prices'!$C$6:$AL$89,MATCH($C108,'[1]End - Use Prices'!$A$6:$A$89,0)+MATCH($D108,'[1]End - Use Prices'!$B$9:$B$11,0)-1,MATCH(AW$1,'[1]End - Use Prices'!$C$7:$AL$7,0))</f>
        <v>57.35</v>
      </c>
      <c r="AX108" s="41">
        <f>INDEX('[1]End - Use Prices'!$C$6:$AL$89,MATCH($C108,'[1]End - Use Prices'!$A$6:$A$89,0)+MATCH($D108,'[1]End - Use Prices'!$B$9:$B$11,0)-1,MATCH(AX$1,'[1]End - Use Prices'!$C$7:$AL$7,0))</f>
        <v>57.53</v>
      </c>
      <c r="AY108" s="41">
        <f>INDEX('[1]End - Use Prices'!$C$6:$AL$89,MATCH($C108,'[1]End - Use Prices'!$A$6:$A$89,0)+MATCH($D108,'[1]End - Use Prices'!$B$9:$B$11,0)-1,MATCH(AY$1,'[1]End - Use Prices'!$C$7:$AL$7,0))</f>
        <v>57.72</v>
      </c>
      <c r="AZ108" s="41">
        <f>INDEX('[1]End - Use Prices'!$C$6:$AL$89,MATCH($C108,'[1]End - Use Prices'!$A$6:$A$89,0)+MATCH($D108,'[1]End - Use Prices'!$B$9:$B$11,0)-1,MATCH(AZ$1,'[1]End - Use Prices'!$C$7:$AL$7,0))</f>
        <v>57.91</v>
      </c>
      <c r="BA108" s="41">
        <f>INDEX('[1]End - Use Prices'!$C$6:$AL$89,MATCH($C108,'[1]End - Use Prices'!$A$6:$A$89,0)+MATCH($D108,'[1]End - Use Prices'!$B$9:$B$11,0)-1,MATCH(BA$1,'[1]End - Use Prices'!$C$7:$AL$7,0))</f>
        <v>58.09</v>
      </c>
      <c r="BB108" s="41">
        <f>INDEX('[1]End - Use Prices'!$C$6:$AL$89,MATCH($C108,'[1]End - Use Prices'!$A$6:$A$89,0)+MATCH($D108,'[1]End - Use Prices'!$B$9:$B$11,0)-1,MATCH(BB$1,'[1]End - Use Prices'!$C$7:$AL$7,0))</f>
        <v>58.28</v>
      </c>
      <c r="BC108" s="41">
        <f>INDEX('[1]End - Use Prices'!$C$6:$AL$89,MATCH($C108,'[1]End - Use Prices'!$A$6:$A$89,0)+MATCH($D108,'[1]End - Use Prices'!$B$9:$B$11,0)-1,MATCH(BC$1,'[1]End - Use Prices'!$C$7:$AL$7,0))</f>
        <v>58.47</v>
      </c>
      <c r="BD108" s="41">
        <f>INDEX('[1]End - Use Prices'!$C$6:$AL$89,MATCH($C108,'[1]End - Use Prices'!$A$6:$A$89,0)+MATCH($D108,'[1]End - Use Prices'!$B$9:$B$11,0)-1,MATCH(BD$1,'[1]End - Use Prices'!$C$7:$AL$7,0))</f>
        <v>58.66</v>
      </c>
      <c r="BE108" s="41">
        <f>INDEX('[1]End - Use Prices'!$C$6:$AL$89,MATCH($C108,'[1]End - Use Prices'!$A$6:$A$89,0)+MATCH($D108,'[1]End - Use Prices'!$B$9:$B$11,0)-1,MATCH(BE$1,'[1]End - Use Prices'!$C$7:$AL$7,0))</f>
        <v>58.85</v>
      </c>
      <c r="BF108" s="41">
        <f>INDEX('[1]End - Use Prices'!$C$6:$AL$89,MATCH($C108,'[1]End - Use Prices'!$A$6:$A$89,0)+MATCH($D108,'[1]End - Use Prices'!$B$9:$B$11,0)-1,MATCH(BF$1,'[1]End - Use Prices'!$C$7:$AL$7,0))</f>
        <v>59.04</v>
      </c>
      <c r="BG108" s="41">
        <f>INDEX('[1]End - Use Prices'!$C$6:$AL$89,MATCH($C108,'[1]End - Use Prices'!$A$6:$A$89,0)+MATCH($D108,'[1]End - Use Prices'!$B$9:$B$11,0)-1,MATCH(BG$1,'[1]End - Use Prices'!$C$7:$AL$7,0))</f>
        <v>59.23</v>
      </c>
      <c r="BR108" s="39"/>
      <c r="BS108" s="39"/>
      <c r="BT108" s="39"/>
      <c r="BU108" s="39"/>
      <c r="BV108" s="39"/>
      <c r="BW108" s="39"/>
      <c r="BX108" s="39"/>
      <c r="BY108" s="39"/>
      <c r="BZ108" s="39"/>
      <c r="CA108" s="39"/>
    </row>
    <row r="109" spans="1:79" x14ac:dyDescent="0.25">
      <c r="A109" s="5"/>
      <c r="B109" s="3"/>
      <c r="C109" s="25" t="s">
        <v>89</v>
      </c>
      <c r="D109" s="25" t="s">
        <v>2</v>
      </c>
      <c r="E109" s="25" t="s">
        <v>313</v>
      </c>
      <c r="F109" s="74" t="s">
        <v>310</v>
      </c>
      <c r="G109" s="54">
        <f t="shared" si="100"/>
        <v>37.270000000000003</v>
      </c>
      <c r="H109" s="34">
        <f t="shared" si="101"/>
        <v>37.270000000000003</v>
      </c>
      <c r="I109" s="34">
        <f t="shared" si="101"/>
        <v>40.32</v>
      </c>
      <c r="J109" s="34">
        <f t="shared" si="101"/>
        <v>46.71</v>
      </c>
      <c r="K109" s="34">
        <f t="shared" si="101"/>
        <v>49.31</v>
      </c>
      <c r="L109" s="34">
        <f t="shared" si="101"/>
        <v>53.15</v>
      </c>
      <c r="M109" s="34">
        <f t="shared" si="101"/>
        <v>56.07</v>
      </c>
      <c r="N109" s="34">
        <f t="shared" si="101"/>
        <v>57.94</v>
      </c>
      <c r="O109" s="34">
        <f t="shared" si="101"/>
        <v>58.62</v>
      </c>
      <c r="P109" s="54">
        <f t="shared" ref="P109:Q109" si="105">O109</f>
        <v>58.62</v>
      </c>
      <c r="Q109" s="54">
        <f t="shared" si="105"/>
        <v>58.62</v>
      </c>
      <c r="R109" s="38"/>
      <c r="X109" s="41">
        <f>INDEX('[1]End - Use Prices'!$C$6:$AL$89,MATCH($C109,'[1]End - Use Prices'!$A$6:$A$89,0)+MATCH($D109,'[1]End - Use Prices'!$B$9:$B$11,0)-1,MATCH(X$1,'[1]End - Use Prices'!$C$7:$AL$7,0))</f>
        <v>37.270000000000003</v>
      </c>
      <c r="Y109" s="41">
        <f>INDEX('[1]End - Use Prices'!$C$6:$AL$89,MATCH($C109,'[1]End - Use Prices'!$A$6:$A$89,0)+MATCH($D109,'[1]End - Use Prices'!$B$9:$B$11,0)-1,MATCH(Y$1,'[1]End - Use Prices'!$C$7:$AL$7,0))</f>
        <v>41.5</v>
      </c>
      <c r="Z109" s="41">
        <f>INDEX('[1]End - Use Prices'!$C$6:$AL$89,MATCH($C109,'[1]End - Use Prices'!$A$6:$A$89,0)+MATCH($D109,'[1]End - Use Prices'!$B$9:$B$11,0)-1,MATCH(Z$1,'[1]End - Use Prices'!$C$7:$AL$7,0))</f>
        <v>38.799999999999997</v>
      </c>
      <c r="AA109" s="41">
        <f>INDEX('[1]End - Use Prices'!$C$6:$AL$89,MATCH($C109,'[1]End - Use Prices'!$A$6:$A$89,0)+MATCH($D109,'[1]End - Use Prices'!$B$9:$B$11,0)-1,MATCH(AA$1,'[1]End - Use Prices'!$C$7:$AL$7,0))</f>
        <v>36.950000000000003</v>
      </c>
      <c r="AB109" s="41">
        <f>INDEX('[1]End - Use Prices'!$C$6:$AL$89,MATCH($C109,'[1]End - Use Prices'!$A$6:$A$89,0)+MATCH($D109,'[1]End - Use Prices'!$B$9:$B$11,0)-1,MATCH(AB$1,'[1]End - Use Prices'!$C$7:$AL$7,0))</f>
        <v>44.6</v>
      </c>
      <c r="AC109" s="41">
        <f>INDEX('[1]End - Use Prices'!$C$6:$AL$89,MATCH($C109,'[1]End - Use Prices'!$A$6:$A$89,0)+MATCH($D109,'[1]End - Use Prices'!$B$9:$B$11,0)-1,MATCH(AC$1,'[1]End - Use Prices'!$C$7:$AL$7,0))</f>
        <v>40.32</v>
      </c>
      <c r="AD109" s="41">
        <f>INDEX('[1]End - Use Prices'!$C$6:$AL$89,MATCH($C109,'[1]End - Use Prices'!$A$6:$A$89,0)+MATCH($D109,'[1]End - Use Prices'!$B$9:$B$11,0)-1,MATCH(AD$1,'[1]End - Use Prices'!$C$7:$AL$7,0))</f>
        <v>41.27</v>
      </c>
      <c r="AE109" s="41">
        <f>INDEX('[1]End - Use Prices'!$C$6:$AL$89,MATCH($C109,'[1]End - Use Prices'!$A$6:$A$89,0)+MATCH($D109,'[1]End - Use Prices'!$B$9:$B$11,0)-1,MATCH(AE$1,'[1]End - Use Prices'!$C$7:$AL$7,0))</f>
        <v>44.94</v>
      </c>
      <c r="AF109" s="41">
        <f>INDEX('[1]End - Use Prices'!$C$6:$AL$89,MATCH($C109,'[1]End - Use Prices'!$A$6:$A$89,0)+MATCH($D109,'[1]End - Use Prices'!$B$9:$B$11,0)-1,MATCH(AF$1,'[1]End - Use Prices'!$C$7:$AL$7,0))</f>
        <v>45.5</v>
      </c>
      <c r="AG109" s="41">
        <f>INDEX('[1]End - Use Prices'!$C$6:$AL$89,MATCH($C109,'[1]End - Use Prices'!$A$6:$A$89,0)+MATCH($D109,'[1]End - Use Prices'!$B$9:$B$11,0)-1,MATCH(AG$1,'[1]End - Use Prices'!$C$7:$AL$7,0))</f>
        <v>46.34</v>
      </c>
      <c r="AH109" s="41">
        <f>INDEX('[1]End - Use Prices'!$C$6:$AL$89,MATCH($C109,'[1]End - Use Prices'!$A$6:$A$89,0)+MATCH($D109,'[1]End - Use Prices'!$B$9:$B$11,0)-1,MATCH(AH$1,'[1]End - Use Prices'!$C$7:$AL$7,0))</f>
        <v>46.71</v>
      </c>
      <c r="AI109" s="41">
        <f>INDEX('[1]End - Use Prices'!$C$6:$AL$89,MATCH($C109,'[1]End - Use Prices'!$A$6:$A$89,0)+MATCH($D109,'[1]End - Use Prices'!$B$9:$B$11,0)-1,MATCH(AI$1,'[1]End - Use Prices'!$C$7:$AL$7,0))</f>
        <v>46.01</v>
      </c>
      <c r="AJ109" s="41">
        <f>INDEX('[1]End - Use Prices'!$C$6:$AL$89,MATCH($C109,'[1]End - Use Prices'!$A$6:$A$89,0)+MATCH($D109,'[1]End - Use Prices'!$B$9:$B$11,0)-1,MATCH(AJ$1,'[1]End - Use Prices'!$C$7:$AL$7,0))</f>
        <v>46.61</v>
      </c>
      <c r="AK109" s="41">
        <f>INDEX('[1]End - Use Prices'!$C$6:$AL$89,MATCH($C109,'[1]End - Use Prices'!$A$6:$A$89,0)+MATCH($D109,'[1]End - Use Prices'!$B$9:$B$11,0)-1,MATCH(AK$1,'[1]End - Use Prices'!$C$7:$AL$7,0))</f>
        <v>47.54</v>
      </c>
      <c r="AL109" s="41">
        <f>INDEX('[1]End - Use Prices'!$C$6:$AL$89,MATCH($C109,'[1]End - Use Prices'!$A$6:$A$89,0)+MATCH($D109,'[1]End - Use Prices'!$B$9:$B$11,0)-1,MATCH(AL$1,'[1]End - Use Prices'!$C$7:$AL$7,0))</f>
        <v>48.44</v>
      </c>
      <c r="AM109" s="41">
        <f>INDEX('[1]End - Use Prices'!$C$6:$AL$89,MATCH($C109,'[1]End - Use Prices'!$A$6:$A$89,0)+MATCH($D109,'[1]End - Use Prices'!$B$9:$B$11,0)-1,MATCH(AM$1,'[1]End - Use Prices'!$C$7:$AL$7,0))</f>
        <v>49.31</v>
      </c>
      <c r="AN109" s="41">
        <f>INDEX('[1]End - Use Prices'!$C$6:$AL$89,MATCH($C109,'[1]End - Use Prices'!$A$6:$A$89,0)+MATCH($D109,'[1]End - Use Prices'!$B$9:$B$11,0)-1,MATCH(AN$1,'[1]End - Use Prices'!$C$7:$AL$7,0))</f>
        <v>50.14</v>
      </c>
      <c r="AO109" s="41">
        <f>INDEX('[1]End - Use Prices'!$C$6:$AL$89,MATCH($C109,'[1]End - Use Prices'!$A$6:$A$89,0)+MATCH($D109,'[1]End - Use Prices'!$B$9:$B$11,0)-1,MATCH(AO$1,'[1]End - Use Prices'!$C$7:$AL$7,0))</f>
        <v>50.94</v>
      </c>
      <c r="AP109" s="41">
        <f>INDEX('[1]End - Use Prices'!$C$6:$AL$89,MATCH($C109,'[1]End - Use Prices'!$A$6:$A$89,0)+MATCH($D109,'[1]End - Use Prices'!$B$9:$B$11,0)-1,MATCH(AP$1,'[1]End - Use Prices'!$C$7:$AL$7,0))</f>
        <v>51.71</v>
      </c>
      <c r="AQ109" s="41">
        <f>INDEX('[1]End - Use Prices'!$C$6:$AL$89,MATCH($C109,'[1]End - Use Prices'!$A$6:$A$89,0)+MATCH($D109,'[1]End - Use Prices'!$B$9:$B$11,0)-1,MATCH(AQ$1,'[1]End - Use Prices'!$C$7:$AL$7,0))</f>
        <v>52.45</v>
      </c>
      <c r="AR109" s="41">
        <f>INDEX('[1]End - Use Prices'!$C$6:$AL$89,MATCH($C109,'[1]End - Use Prices'!$A$6:$A$89,0)+MATCH($D109,'[1]End - Use Prices'!$B$9:$B$11,0)-1,MATCH(AR$1,'[1]End - Use Prices'!$C$7:$AL$7,0))</f>
        <v>53.15</v>
      </c>
      <c r="AS109" s="41">
        <f>INDEX('[1]End - Use Prices'!$C$6:$AL$89,MATCH($C109,'[1]End - Use Prices'!$A$6:$A$89,0)+MATCH($D109,'[1]End - Use Prices'!$B$9:$B$11,0)-1,MATCH(AS$1,'[1]End - Use Prices'!$C$7:$AL$7,0))</f>
        <v>53.81</v>
      </c>
      <c r="AT109" s="41">
        <f>INDEX('[1]End - Use Prices'!$C$6:$AL$89,MATCH($C109,'[1]End - Use Prices'!$A$6:$A$89,0)+MATCH($D109,'[1]End - Use Prices'!$B$9:$B$11,0)-1,MATCH(AT$1,'[1]End - Use Prices'!$C$7:$AL$7,0))</f>
        <v>54.43</v>
      </c>
      <c r="AU109" s="41">
        <f>INDEX('[1]End - Use Prices'!$C$6:$AL$89,MATCH($C109,'[1]End - Use Prices'!$A$6:$A$89,0)+MATCH($D109,'[1]End - Use Prices'!$B$9:$B$11,0)-1,MATCH(AU$1,'[1]End - Use Prices'!$C$7:$AL$7,0))</f>
        <v>55.02</v>
      </c>
      <c r="AV109" s="41">
        <f>INDEX('[1]End - Use Prices'!$C$6:$AL$89,MATCH($C109,'[1]End - Use Prices'!$A$6:$A$89,0)+MATCH($D109,'[1]End - Use Prices'!$B$9:$B$11,0)-1,MATCH(AV$1,'[1]End - Use Prices'!$C$7:$AL$7,0))</f>
        <v>55.56</v>
      </c>
      <c r="AW109" s="41">
        <f>INDEX('[1]End - Use Prices'!$C$6:$AL$89,MATCH($C109,'[1]End - Use Prices'!$A$6:$A$89,0)+MATCH($D109,'[1]End - Use Prices'!$B$9:$B$11,0)-1,MATCH(AW$1,'[1]End - Use Prices'!$C$7:$AL$7,0))</f>
        <v>56.07</v>
      </c>
      <c r="AX109" s="41">
        <f>INDEX('[1]End - Use Prices'!$C$6:$AL$89,MATCH($C109,'[1]End - Use Prices'!$A$6:$A$89,0)+MATCH($D109,'[1]End - Use Prices'!$B$9:$B$11,0)-1,MATCH(AX$1,'[1]End - Use Prices'!$C$7:$AL$7,0))</f>
        <v>56.53</v>
      </c>
      <c r="AY109" s="41">
        <f>INDEX('[1]End - Use Prices'!$C$6:$AL$89,MATCH($C109,'[1]End - Use Prices'!$A$6:$A$89,0)+MATCH($D109,'[1]End - Use Prices'!$B$9:$B$11,0)-1,MATCH(AY$1,'[1]End - Use Prices'!$C$7:$AL$7,0))</f>
        <v>56.95</v>
      </c>
      <c r="AZ109" s="41">
        <f>INDEX('[1]End - Use Prices'!$C$6:$AL$89,MATCH($C109,'[1]End - Use Prices'!$A$6:$A$89,0)+MATCH($D109,'[1]End - Use Prices'!$B$9:$B$11,0)-1,MATCH(AZ$1,'[1]End - Use Prices'!$C$7:$AL$7,0))</f>
        <v>57.32</v>
      </c>
      <c r="BA109" s="41">
        <f>INDEX('[1]End - Use Prices'!$C$6:$AL$89,MATCH($C109,'[1]End - Use Prices'!$A$6:$A$89,0)+MATCH($D109,'[1]End - Use Prices'!$B$9:$B$11,0)-1,MATCH(BA$1,'[1]End - Use Prices'!$C$7:$AL$7,0))</f>
        <v>57.65</v>
      </c>
      <c r="BB109" s="41">
        <f>INDEX('[1]End - Use Prices'!$C$6:$AL$89,MATCH($C109,'[1]End - Use Prices'!$A$6:$A$89,0)+MATCH($D109,'[1]End - Use Prices'!$B$9:$B$11,0)-1,MATCH(BB$1,'[1]End - Use Prices'!$C$7:$AL$7,0))</f>
        <v>57.94</v>
      </c>
      <c r="BC109" s="41">
        <f>INDEX('[1]End - Use Prices'!$C$6:$AL$89,MATCH($C109,'[1]End - Use Prices'!$A$6:$A$89,0)+MATCH($D109,'[1]End - Use Prices'!$B$9:$B$11,0)-1,MATCH(BC$1,'[1]End - Use Prices'!$C$7:$AL$7,0))</f>
        <v>58.17</v>
      </c>
      <c r="BD109" s="41">
        <f>INDEX('[1]End - Use Prices'!$C$6:$AL$89,MATCH($C109,'[1]End - Use Prices'!$A$6:$A$89,0)+MATCH($D109,'[1]End - Use Prices'!$B$9:$B$11,0)-1,MATCH(BD$1,'[1]End - Use Prices'!$C$7:$AL$7,0))</f>
        <v>58.36</v>
      </c>
      <c r="BE109" s="41">
        <f>INDEX('[1]End - Use Prices'!$C$6:$AL$89,MATCH($C109,'[1]End - Use Prices'!$A$6:$A$89,0)+MATCH($D109,'[1]End - Use Prices'!$B$9:$B$11,0)-1,MATCH(BE$1,'[1]End - Use Prices'!$C$7:$AL$7,0))</f>
        <v>58.5</v>
      </c>
      <c r="BF109" s="41">
        <f>INDEX('[1]End - Use Prices'!$C$6:$AL$89,MATCH($C109,'[1]End - Use Prices'!$A$6:$A$89,0)+MATCH($D109,'[1]End - Use Prices'!$B$9:$B$11,0)-1,MATCH(BF$1,'[1]End - Use Prices'!$C$7:$AL$7,0))</f>
        <v>58.59</v>
      </c>
      <c r="BG109" s="41">
        <f>INDEX('[1]End - Use Prices'!$C$6:$AL$89,MATCH($C109,'[1]End - Use Prices'!$A$6:$A$89,0)+MATCH($D109,'[1]End - Use Prices'!$B$9:$B$11,0)-1,MATCH(BG$1,'[1]End - Use Prices'!$C$7:$AL$7,0))</f>
        <v>58.62</v>
      </c>
      <c r="BR109" s="39"/>
      <c r="BS109" s="39"/>
      <c r="BT109" s="39"/>
      <c r="BU109" s="39"/>
      <c r="BV109" s="39"/>
      <c r="BW109" s="39"/>
      <c r="BX109" s="39"/>
      <c r="BY109" s="39"/>
      <c r="BZ109" s="39"/>
      <c r="CA109" s="39"/>
    </row>
    <row r="110" spans="1:79" x14ac:dyDescent="0.25">
      <c r="A110" s="5"/>
      <c r="B110" s="3"/>
      <c r="C110" s="25" t="s">
        <v>90</v>
      </c>
      <c r="D110" s="25" t="s">
        <v>2</v>
      </c>
      <c r="E110" s="25" t="s">
        <v>313</v>
      </c>
      <c r="F110" s="74" t="s">
        <v>310</v>
      </c>
      <c r="G110" s="54">
        <f t="shared" si="100"/>
        <v>35.630000000000003</v>
      </c>
      <c r="H110" s="34">
        <f t="shared" si="101"/>
        <v>35.630000000000003</v>
      </c>
      <c r="I110" s="34">
        <f t="shared" si="101"/>
        <v>42.27</v>
      </c>
      <c r="J110" s="34">
        <f t="shared" si="101"/>
        <v>41.52</v>
      </c>
      <c r="K110" s="34">
        <f t="shared" si="101"/>
        <v>44.47</v>
      </c>
      <c r="L110" s="34">
        <f t="shared" si="101"/>
        <v>47.37</v>
      </c>
      <c r="M110" s="34">
        <f t="shared" si="101"/>
        <v>50.45</v>
      </c>
      <c r="N110" s="34">
        <f t="shared" si="101"/>
        <v>53.74</v>
      </c>
      <c r="O110" s="34">
        <f t="shared" si="101"/>
        <v>57.24</v>
      </c>
      <c r="P110" s="54">
        <f t="shared" ref="P110:Q110" si="106">O110</f>
        <v>57.24</v>
      </c>
      <c r="Q110" s="54">
        <f t="shared" si="106"/>
        <v>57.24</v>
      </c>
      <c r="R110" s="38"/>
      <c r="X110" s="41">
        <f>INDEX('[1]End - Use Prices'!$C$6:$AL$89,MATCH($C110,'[1]End - Use Prices'!$A$6:$A$89,0)+MATCH($D110,'[1]End - Use Prices'!$B$9:$B$11,0)-1,MATCH(X$1,'[1]End - Use Prices'!$C$7:$AL$7,0))</f>
        <v>35.630000000000003</v>
      </c>
      <c r="Y110" s="41">
        <f>INDEX('[1]End - Use Prices'!$C$6:$AL$89,MATCH($C110,'[1]End - Use Prices'!$A$6:$A$89,0)+MATCH($D110,'[1]End - Use Prices'!$B$9:$B$11,0)-1,MATCH(Y$1,'[1]End - Use Prices'!$C$7:$AL$7,0))</f>
        <v>40.94</v>
      </c>
      <c r="Z110" s="41">
        <f>INDEX('[1]End - Use Prices'!$C$6:$AL$89,MATCH($C110,'[1]End - Use Prices'!$A$6:$A$89,0)+MATCH($D110,'[1]End - Use Prices'!$B$9:$B$11,0)-1,MATCH(Z$1,'[1]End - Use Prices'!$C$7:$AL$7,0))</f>
        <v>42.23</v>
      </c>
      <c r="AA110" s="41">
        <f>INDEX('[1]End - Use Prices'!$C$6:$AL$89,MATCH($C110,'[1]End - Use Prices'!$A$6:$A$89,0)+MATCH($D110,'[1]End - Use Prices'!$B$9:$B$11,0)-1,MATCH(AA$1,'[1]End - Use Prices'!$C$7:$AL$7,0))</f>
        <v>41.92</v>
      </c>
      <c r="AB110" s="41">
        <f>INDEX('[1]End - Use Prices'!$C$6:$AL$89,MATCH($C110,'[1]End - Use Prices'!$A$6:$A$89,0)+MATCH($D110,'[1]End - Use Prices'!$B$9:$B$11,0)-1,MATCH(AB$1,'[1]End - Use Prices'!$C$7:$AL$7,0))</f>
        <v>43.47</v>
      </c>
      <c r="AC110" s="41">
        <f>INDEX('[1]End - Use Prices'!$C$6:$AL$89,MATCH($C110,'[1]End - Use Prices'!$A$6:$A$89,0)+MATCH($D110,'[1]End - Use Prices'!$B$9:$B$11,0)-1,MATCH(AC$1,'[1]End - Use Prices'!$C$7:$AL$7,0))</f>
        <v>42.27</v>
      </c>
      <c r="AD110" s="41">
        <f>INDEX('[1]End - Use Prices'!$C$6:$AL$89,MATCH($C110,'[1]End - Use Prices'!$A$6:$A$89,0)+MATCH($D110,'[1]End - Use Prices'!$B$9:$B$11,0)-1,MATCH(AD$1,'[1]End - Use Prices'!$C$7:$AL$7,0))</f>
        <v>41.5</v>
      </c>
      <c r="AE110" s="41">
        <f>INDEX('[1]End - Use Prices'!$C$6:$AL$89,MATCH($C110,'[1]End - Use Prices'!$A$6:$A$89,0)+MATCH($D110,'[1]End - Use Prices'!$B$9:$B$11,0)-1,MATCH(AE$1,'[1]End - Use Prices'!$C$7:$AL$7,0))</f>
        <v>41</v>
      </c>
      <c r="AF110" s="41">
        <f>INDEX('[1]End - Use Prices'!$C$6:$AL$89,MATCH($C110,'[1]End - Use Prices'!$A$6:$A$89,0)+MATCH($D110,'[1]End - Use Prices'!$B$9:$B$11,0)-1,MATCH(AF$1,'[1]End - Use Prices'!$C$7:$AL$7,0))</f>
        <v>40.340000000000003</v>
      </c>
      <c r="AG110" s="41">
        <f>INDEX('[1]End - Use Prices'!$C$6:$AL$89,MATCH($C110,'[1]End - Use Prices'!$A$6:$A$89,0)+MATCH($D110,'[1]End - Use Prices'!$B$9:$B$11,0)-1,MATCH(AG$1,'[1]End - Use Prices'!$C$7:$AL$7,0))</f>
        <v>40.39</v>
      </c>
      <c r="AH110" s="41">
        <f>INDEX('[1]End - Use Prices'!$C$6:$AL$89,MATCH($C110,'[1]End - Use Prices'!$A$6:$A$89,0)+MATCH($D110,'[1]End - Use Prices'!$B$9:$B$11,0)-1,MATCH(AH$1,'[1]End - Use Prices'!$C$7:$AL$7,0))</f>
        <v>41.52</v>
      </c>
      <c r="AI110" s="41">
        <f>INDEX('[1]End - Use Prices'!$C$6:$AL$89,MATCH($C110,'[1]End - Use Prices'!$A$6:$A$89,0)+MATCH($D110,'[1]End - Use Prices'!$B$9:$B$11,0)-1,MATCH(AI$1,'[1]End - Use Prices'!$C$7:$AL$7,0))</f>
        <v>42.28</v>
      </c>
      <c r="AJ110" s="41">
        <f>INDEX('[1]End - Use Prices'!$C$6:$AL$89,MATCH($C110,'[1]End - Use Prices'!$A$6:$A$89,0)+MATCH($D110,'[1]End - Use Prices'!$B$9:$B$11,0)-1,MATCH(AJ$1,'[1]End - Use Prices'!$C$7:$AL$7,0))</f>
        <v>42.82</v>
      </c>
      <c r="AK110" s="41">
        <f>INDEX('[1]End - Use Prices'!$C$6:$AL$89,MATCH($C110,'[1]End - Use Prices'!$A$6:$A$89,0)+MATCH($D110,'[1]End - Use Prices'!$B$9:$B$11,0)-1,MATCH(AK$1,'[1]End - Use Prices'!$C$7:$AL$7,0))</f>
        <v>43.37</v>
      </c>
      <c r="AL110" s="41">
        <f>INDEX('[1]End - Use Prices'!$C$6:$AL$89,MATCH($C110,'[1]End - Use Prices'!$A$6:$A$89,0)+MATCH($D110,'[1]End - Use Prices'!$B$9:$B$11,0)-1,MATCH(AL$1,'[1]End - Use Prices'!$C$7:$AL$7,0))</f>
        <v>43.92</v>
      </c>
      <c r="AM110" s="41">
        <f>INDEX('[1]End - Use Prices'!$C$6:$AL$89,MATCH($C110,'[1]End - Use Prices'!$A$6:$A$89,0)+MATCH($D110,'[1]End - Use Prices'!$B$9:$B$11,0)-1,MATCH(AM$1,'[1]End - Use Prices'!$C$7:$AL$7,0))</f>
        <v>44.47</v>
      </c>
      <c r="AN110" s="41">
        <f>INDEX('[1]End - Use Prices'!$C$6:$AL$89,MATCH($C110,'[1]End - Use Prices'!$A$6:$A$89,0)+MATCH($D110,'[1]End - Use Prices'!$B$9:$B$11,0)-1,MATCH(AN$1,'[1]End - Use Prices'!$C$7:$AL$7,0))</f>
        <v>45.04</v>
      </c>
      <c r="AO110" s="41">
        <f>INDEX('[1]End - Use Prices'!$C$6:$AL$89,MATCH($C110,'[1]End - Use Prices'!$A$6:$A$89,0)+MATCH($D110,'[1]End - Use Prices'!$B$9:$B$11,0)-1,MATCH(AO$1,'[1]End - Use Prices'!$C$7:$AL$7,0))</f>
        <v>45.61</v>
      </c>
      <c r="AP110" s="41">
        <f>INDEX('[1]End - Use Prices'!$C$6:$AL$89,MATCH($C110,'[1]End - Use Prices'!$A$6:$A$89,0)+MATCH($D110,'[1]End - Use Prices'!$B$9:$B$11,0)-1,MATCH(AP$1,'[1]End - Use Prices'!$C$7:$AL$7,0))</f>
        <v>46.19</v>
      </c>
      <c r="AQ110" s="41">
        <f>INDEX('[1]End - Use Prices'!$C$6:$AL$89,MATCH($C110,'[1]End - Use Prices'!$A$6:$A$89,0)+MATCH($D110,'[1]End - Use Prices'!$B$9:$B$11,0)-1,MATCH(AQ$1,'[1]End - Use Prices'!$C$7:$AL$7,0))</f>
        <v>46.78</v>
      </c>
      <c r="AR110" s="41">
        <f>INDEX('[1]End - Use Prices'!$C$6:$AL$89,MATCH($C110,'[1]End - Use Prices'!$A$6:$A$89,0)+MATCH($D110,'[1]End - Use Prices'!$B$9:$B$11,0)-1,MATCH(AR$1,'[1]End - Use Prices'!$C$7:$AL$7,0))</f>
        <v>47.37</v>
      </c>
      <c r="AS110" s="41">
        <f>INDEX('[1]End - Use Prices'!$C$6:$AL$89,MATCH($C110,'[1]End - Use Prices'!$A$6:$A$89,0)+MATCH($D110,'[1]End - Use Prices'!$B$9:$B$11,0)-1,MATCH(AS$1,'[1]End - Use Prices'!$C$7:$AL$7,0))</f>
        <v>47.97</v>
      </c>
      <c r="AT110" s="41">
        <f>INDEX('[1]End - Use Prices'!$C$6:$AL$89,MATCH($C110,'[1]End - Use Prices'!$A$6:$A$89,0)+MATCH($D110,'[1]End - Use Prices'!$B$9:$B$11,0)-1,MATCH(AT$1,'[1]End - Use Prices'!$C$7:$AL$7,0))</f>
        <v>48.58</v>
      </c>
      <c r="AU110" s="41">
        <f>INDEX('[1]End - Use Prices'!$C$6:$AL$89,MATCH($C110,'[1]End - Use Prices'!$A$6:$A$89,0)+MATCH($D110,'[1]End - Use Prices'!$B$9:$B$11,0)-1,MATCH(AU$1,'[1]End - Use Prices'!$C$7:$AL$7,0))</f>
        <v>49.2</v>
      </c>
      <c r="AV110" s="41">
        <f>INDEX('[1]End - Use Prices'!$C$6:$AL$89,MATCH($C110,'[1]End - Use Prices'!$A$6:$A$89,0)+MATCH($D110,'[1]End - Use Prices'!$B$9:$B$11,0)-1,MATCH(AV$1,'[1]End - Use Prices'!$C$7:$AL$7,0))</f>
        <v>49.82</v>
      </c>
      <c r="AW110" s="41">
        <f>INDEX('[1]End - Use Prices'!$C$6:$AL$89,MATCH($C110,'[1]End - Use Prices'!$A$6:$A$89,0)+MATCH($D110,'[1]End - Use Prices'!$B$9:$B$11,0)-1,MATCH(AW$1,'[1]End - Use Prices'!$C$7:$AL$7,0))</f>
        <v>50.45</v>
      </c>
      <c r="AX110" s="41">
        <f>INDEX('[1]End - Use Prices'!$C$6:$AL$89,MATCH($C110,'[1]End - Use Prices'!$A$6:$A$89,0)+MATCH($D110,'[1]End - Use Prices'!$B$9:$B$11,0)-1,MATCH(AX$1,'[1]End - Use Prices'!$C$7:$AL$7,0))</f>
        <v>51.09</v>
      </c>
      <c r="AY110" s="41">
        <f>INDEX('[1]End - Use Prices'!$C$6:$AL$89,MATCH($C110,'[1]End - Use Prices'!$A$6:$A$89,0)+MATCH($D110,'[1]End - Use Prices'!$B$9:$B$11,0)-1,MATCH(AY$1,'[1]End - Use Prices'!$C$7:$AL$7,0))</f>
        <v>51.74</v>
      </c>
      <c r="AZ110" s="41">
        <f>INDEX('[1]End - Use Prices'!$C$6:$AL$89,MATCH($C110,'[1]End - Use Prices'!$A$6:$A$89,0)+MATCH($D110,'[1]End - Use Prices'!$B$9:$B$11,0)-1,MATCH(AZ$1,'[1]End - Use Prices'!$C$7:$AL$7,0))</f>
        <v>52.4</v>
      </c>
      <c r="BA110" s="41">
        <f>INDEX('[1]End - Use Prices'!$C$6:$AL$89,MATCH($C110,'[1]End - Use Prices'!$A$6:$A$89,0)+MATCH($D110,'[1]End - Use Prices'!$B$9:$B$11,0)-1,MATCH(BA$1,'[1]End - Use Prices'!$C$7:$AL$7,0))</f>
        <v>53.07</v>
      </c>
      <c r="BB110" s="41">
        <f>INDEX('[1]End - Use Prices'!$C$6:$AL$89,MATCH($C110,'[1]End - Use Prices'!$A$6:$A$89,0)+MATCH($D110,'[1]End - Use Prices'!$B$9:$B$11,0)-1,MATCH(BB$1,'[1]End - Use Prices'!$C$7:$AL$7,0))</f>
        <v>53.74</v>
      </c>
      <c r="BC110" s="41">
        <f>INDEX('[1]End - Use Prices'!$C$6:$AL$89,MATCH($C110,'[1]End - Use Prices'!$A$6:$A$89,0)+MATCH($D110,'[1]End - Use Prices'!$B$9:$B$11,0)-1,MATCH(BC$1,'[1]End - Use Prices'!$C$7:$AL$7,0))</f>
        <v>54.42</v>
      </c>
      <c r="BD110" s="41">
        <f>INDEX('[1]End - Use Prices'!$C$6:$AL$89,MATCH($C110,'[1]End - Use Prices'!$A$6:$A$89,0)+MATCH($D110,'[1]End - Use Prices'!$B$9:$B$11,0)-1,MATCH(BD$1,'[1]End - Use Prices'!$C$7:$AL$7,0))</f>
        <v>55.11</v>
      </c>
      <c r="BE110" s="41">
        <f>INDEX('[1]End - Use Prices'!$C$6:$AL$89,MATCH($C110,'[1]End - Use Prices'!$A$6:$A$89,0)+MATCH($D110,'[1]End - Use Prices'!$B$9:$B$11,0)-1,MATCH(BE$1,'[1]End - Use Prices'!$C$7:$AL$7,0))</f>
        <v>55.81</v>
      </c>
      <c r="BF110" s="41">
        <f>INDEX('[1]End - Use Prices'!$C$6:$AL$89,MATCH($C110,'[1]End - Use Prices'!$A$6:$A$89,0)+MATCH($D110,'[1]End - Use Prices'!$B$9:$B$11,0)-1,MATCH(BF$1,'[1]End - Use Prices'!$C$7:$AL$7,0))</f>
        <v>56.52</v>
      </c>
      <c r="BG110" s="41">
        <f>INDEX('[1]End - Use Prices'!$C$6:$AL$89,MATCH($C110,'[1]End - Use Prices'!$A$6:$A$89,0)+MATCH($D110,'[1]End - Use Prices'!$B$9:$B$11,0)-1,MATCH(BG$1,'[1]End - Use Prices'!$C$7:$AL$7,0))</f>
        <v>57.24</v>
      </c>
      <c r="BR110" s="39"/>
      <c r="BS110" s="39"/>
      <c r="BT110" s="39"/>
      <c r="BU110" s="39"/>
      <c r="BV110" s="39"/>
      <c r="BW110" s="39"/>
      <c r="BX110" s="39"/>
      <c r="BY110" s="39"/>
      <c r="BZ110" s="39"/>
      <c r="CA110" s="39"/>
    </row>
    <row r="111" spans="1:79" x14ac:dyDescent="0.25">
      <c r="A111" s="5"/>
      <c r="B111" s="3"/>
      <c r="C111" s="25" t="s">
        <v>91</v>
      </c>
      <c r="D111" s="25" t="s">
        <v>2</v>
      </c>
      <c r="E111" s="25" t="s">
        <v>313</v>
      </c>
      <c r="F111" s="74" t="s">
        <v>310</v>
      </c>
      <c r="G111" s="54">
        <f t="shared" si="100"/>
        <v>23.05</v>
      </c>
      <c r="H111" s="34">
        <f t="shared" si="101"/>
        <v>23.05</v>
      </c>
      <c r="I111" s="34">
        <f t="shared" si="101"/>
        <v>24.86</v>
      </c>
      <c r="J111" s="34">
        <f t="shared" si="101"/>
        <v>25.13</v>
      </c>
      <c r="K111" s="34">
        <f t="shared" si="101"/>
        <v>26.11</v>
      </c>
      <c r="L111" s="34">
        <f t="shared" si="101"/>
        <v>27.44</v>
      </c>
      <c r="M111" s="34">
        <f t="shared" si="101"/>
        <v>28.84</v>
      </c>
      <c r="N111" s="34">
        <f t="shared" si="101"/>
        <v>30.3</v>
      </c>
      <c r="O111" s="34">
        <f t="shared" si="101"/>
        <v>31.84</v>
      </c>
      <c r="P111" s="54">
        <f t="shared" ref="P111:Q111" si="107">O111</f>
        <v>31.84</v>
      </c>
      <c r="Q111" s="54">
        <f t="shared" si="107"/>
        <v>31.84</v>
      </c>
      <c r="R111" s="38"/>
      <c r="X111" s="41">
        <f>INDEX('[1]End - Use Prices'!$C$6:$AL$89,MATCH($C111,'[1]End - Use Prices'!$A$6:$A$89,0)+MATCH($D111,'[1]End - Use Prices'!$B$9:$B$11,0)-1,MATCH(X$1,'[1]End - Use Prices'!$C$7:$AL$7,0))</f>
        <v>23.05</v>
      </c>
      <c r="Y111" s="41">
        <f>INDEX('[1]End - Use Prices'!$C$6:$AL$89,MATCH($C111,'[1]End - Use Prices'!$A$6:$A$89,0)+MATCH($D111,'[1]End - Use Prices'!$B$9:$B$11,0)-1,MATCH(Y$1,'[1]End - Use Prices'!$C$7:$AL$7,0))</f>
        <v>26.62</v>
      </c>
      <c r="Z111" s="41">
        <f>INDEX('[1]End - Use Prices'!$C$6:$AL$89,MATCH($C111,'[1]End - Use Prices'!$A$6:$A$89,0)+MATCH($D111,'[1]End - Use Prices'!$B$9:$B$11,0)-1,MATCH(Z$1,'[1]End - Use Prices'!$C$7:$AL$7,0))</f>
        <v>25.75</v>
      </c>
      <c r="AA111" s="41">
        <f>INDEX('[1]End - Use Prices'!$C$6:$AL$89,MATCH($C111,'[1]End - Use Prices'!$A$6:$A$89,0)+MATCH($D111,'[1]End - Use Prices'!$B$9:$B$11,0)-1,MATCH(AA$1,'[1]End - Use Prices'!$C$7:$AL$7,0))</f>
        <v>24.75</v>
      </c>
      <c r="AB111" s="41">
        <f>INDEX('[1]End - Use Prices'!$C$6:$AL$89,MATCH($C111,'[1]End - Use Prices'!$A$6:$A$89,0)+MATCH($D111,'[1]End - Use Prices'!$B$9:$B$11,0)-1,MATCH(AB$1,'[1]End - Use Prices'!$C$7:$AL$7,0))</f>
        <v>25.57</v>
      </c>
      <c r="AC111" s="41">
        <f>INDEX('[1]End - Use Prices'!$C$6:$AL$89,MATCH($C111,'[1]End - Use Prices'!$A$6:$A$89,0)+MATCH($D111,'[1]End - Use Prices'!$B$9:$B$11,0)-1,MATCH(AC$1,'[1]End - Use Prices'!$C$7:$AL$7,0))</f>
        <v>24.86</v>
      </c>
      <c r="AD111" s="41">
        <f>INDEX('[1]End - Use Prices'!$C$6:$AL$89,MATCH($C111,'[1]End - Use Prices'!$A$6:$A$89,0)+MATCH($D111,'[1]End - Use Prices'!$B$9:$B$11,0)-1,MATCH(AD$1,'[1]End - Use Prices'!$C$7:$AL$7,0))</f>
        <v>24.33</v>
      </c>
      <c r="AE111" s="41">
        <f>INDEX('[1]End - Use Prices'!$C$6:$AL$89,MATCH($C111,'[1]End - Use Prices'!$A$6:$A$89,0)+MATCH($D111,'[1]End - Use Prices'!$B$9:$B$11,0)-1,MATCH(AE$1,'[1]End - Use Prices'!$C$7:$AL$7,0))</f>
        <v>24.26</v>
      </c>
      <c r="AF111" s="41">
        <f>INDEX('[1]End - Use Prices'!$C$6:$AL$89,MATCH($C111,'[1]End - Use Prices'!$A$6:$A$89,0)+MATCH($D111,'[1]End - Use Prices'!$B$9:$B$11,0)-1,MATCH(AF$1,'[1]End - Use Prices'!$C$7:$AL$7,0))</f>
        <v>24.24</v>
      </c>
      <c r="AG111" s="41">
        <f>INDEX('[1]End - Use Prices'!$C$6:$AL$89,MATCH($C111,'[1]End - Use Prices'!$A$6:$A$89,0)+MATCH($D111,'[1]End - Use Prices'!$B$9:$B$11,0)-1,MATCH(AG$1,'[1]End - Use Prices'!$C$7:$AL$7,0))</f>
        <v>24.48</v>
      </c>
      <c r="AH111" s="41">
        <f>INDEX('[1]End - Use Prices'!$C$6:$AL$89,MATCH($C111,'[1]End - Use Prices'!$A$6:$A$89,0)+MATCH($D111,'[1]End - Use Prices'!$B$9:$B$11,0)-1,MATCH(AH$1,'[1]End - Use Prices'!$C$7:$AL$7,0))</f>
        <v>25.13</v>
      </c>
      <c r="AI111" s="41">
        <f>INDEX('[1]End - Use Prices'!$C$6:$AL$89,MATCH($C111,'[1]End - Use Prices'!$A$6:$A$89,0)+MATCH($D111,'[1]End - Use Prices'!$B$9:$B$11,0)-1,MATCH(AI$1,'[1]End - Use Prices'!$C$7:$AL$7,0))</f>
        <v>25.1</v>
      </c>
      <c r="AJ111" s="41">
        <f>INDEX('[1]End - Use Prices'!$C$6:$AL$89,MATCH($C111,'[1]End - Use Prices'!$A$6:$A$89,0)+MATCH($D111,'[1]End - Use Prices'!$B$9:$B$11,0)-1,MATCH(AJ$1,'[1]End - Use Prices'!$C$7:$AL$7,0))</f>
        <v>25.35</v>
      </c>
      <c r="AK111" s="41">
        <f>INDEX('[1]End - Use Prices'!$C$6:$AL$89,MATCH($C111,'[1]End - Use Prices'!$A$6:$A$89,0)+MATCH($D111,'[1]End - Use Prices'!$B$9:$B$11,0)-1,MATCH(AK$1,'[1]End - Use Prices'!$C$7:$AL$7,0))</f>
        <v>25.6</v>
      </c>
      <c r="AL111" s="41">
        <f>INDEX('[1]End - Use Prices'!$C$6:$AL$89,MATCH($C111,'[1]End - Use Prices'!$A$6:$A$89,0)+MATCH($D111,'[1]End - Use Prices'!$B$9:$B$11,0)-1,MATCH(AL$1,'[1]End - Use Prices'!$C$7:$AL$7,0))</f>
        <v>25.86</v>
      </c>
      <c r="AM111" s="41">
        <f>INDEX('[1]End - Use Prices'!$C$6:$AL$89,MATCH($C111,'[1]End - Use Prices'!$A$6:$A$89,0)+MATCH($D111,'[1]End - Use Prices'!$B$9:$B$11,0)-1,MATCH(AM$1,'[1]End - Use Prices'!$C$7:$AL$7,0))</f>
        <v>26.11</v>
      </c>
      <c r="AN111" s="41">
        <f>INDEX('[1]End - Use Prices'!$C$6:$AL$89,MATCH($C111,'[1]End - Use Prices'!$A$6:$A$89,0)+MATCH($D111,'[1]End - Use Prices'!$B$9:$B$11,0)-1,MATCH(AN$1,'[1]End - Use Prices'!$C$7:$AL$7,0))</f>
        <v>26.37</v>
      </c>
      <c r="AO111" s="41">
        <f>INDEX('[1]End - Use Prices'!$C$6:$AL$89,MATCH($C111,'[1]End - Use Prices'!$A$6:$A$89,0)+MATCH($D111,'[1]End - Use Prices'!$B$9:$B$11,0)-1,MATCH(AO$1,'[1]End - Use Prices'!$C$7:$AL$7,0))</f>
        <v>26.64</v>
      </c>
      <c r="AP111" s="41">
        <f>INDEX('[1]End - Use Prices'!$C$6:$AL$89,MATCH($C111,'[1]End - Use Prices'!$A$6:$A$89,0)+MATCH($D111,'[1]End - Use Prices'!$B$9:$B$11,0)-1,MATCH(AP$1,'[1]End - Use Prices'!$C$7:$AL$7,0))</f>
        <v>26.9</v>
      </c>
      <c r="AQ111" s="41">
        <f>INDEX('[1]End - Use Prices'!$C$6:$AL$89,MATCH($C111,'[1]End - Use Prices'!$A$6:$A$89,0)+MATCH($D111,'[1]End - Use Prices'!$B$9:$B$11,0)-1,MATCH(AQ$1,'[1]End - Use Prices'!$C$7:$AL$7,0))</f>
        <v>27.17</v>
      </c>
      <c r="AR111" s="41">
        <f>INDEX('[1]End - Use Prices'!$C$6:$AL$89,MATCH($C111,'[1]End - Use Prices'!$A$6:$A$89,0)+MATCH($D111,'[1]End - Use Prices'!$B$9:$B$11,0)-1,MATCH(AR$1,'[1]End - Use Prices'!$C$7:$AL$7,0))</f>
        <v>27.44</v>
      </c>
      <c r="AS111" s="41">
        <f>INDEX('[1]End - Use Prices'!$C$6:$AL$89,MATCH($C111,'[1]End - Use Prices'!$A$6:$A$89,0)+MATCH($D111,'[1]End - Use Prices'!$B$9:$B$11,0)-1,MATCH(AS$1,'[1]End - Use Prices'!$C$7:$AL$7,0))</f>
        <v>27.72</v>
      </c>
      <c r="AT111" s="41">
        <f>INDEX('[1]End - Use Prices'!$C$6:$AL$89,MATCH($C111,'[1]End - Use Prices'!$A$6:$A$89,0)+MATCH($D111,'[1]End - Use Prices'!$B$9:$B$11,0)-1,MATCH(AT$1,'[1]End - Use Prices'!$C$7:$AL$7,0))</f>
        <v>27.99</v>
      </c>
      <c r="AU111" s="41">
        <f>INDEX('[1]End - Use Prices'!$C$6:$AL$89,MATCH($C111,'[1]End - Use Prices'!$A$6:$A$89,0)+MATCH($D111,'[1]End - Use Prices'!$B$9:$B$11,0)-1,MATCH(AU$1,'[1]End - Use Prices'!$C$7:$AL$7,0))</f>
        <v>28.27</v>
      </c>
      <c r="AV111" s="41">
        <f>INDEX('[1]End - Use Prices'!$C$6:$AL$89,MATCH($C111,'[1]End - Use Prices'!$A$6:$A$89,0)+MATCH($D111,'[1]End - Use Prices'!$B$9:$B$11,0)-1,MATCH(AV$1,'[1]End - Use Prices'!$C$7:$AL$7,0))</f>
        <v>28.55</v>
      </c>
      <c r="AW111" s="41">
        <f>INDEX('[1]End - Use Prices'!$C$6:$AL$89,MATCH($C111,'[1]End - Use Prices'!$A$6:$A$89,0)+MATCH($D111,'[1]End - Use Prices'!$B$9:$B$11,0)-1,MATCH(AW$1,'[1]End - Use Prices'!$C$7:$AL$7,0))</f>
        <v>28.84</v>
      </c>
      <c r="AX111" s="41">
        <f>INDEX('[1]End - Use Prices'!$C$6:$AL$89,MATCH($C111,'[1]End - Use Prices'!$A$6:$A$89,0)+MATCH($D111,'[1]End - Use Prices'!$B$9:$B$11,0)-1,MATCH(AX$1,'[1]End - Use Prices'!$C$7:$AL$7,0))</f>
        <v>29.12</v>
      </c>
      <c r="AY111" s="41">
        <f>INDEX('[1]End - Use Prices'!$C$6:$AL$89,MATCH($C111,'[1]End - Use Prices'!$A$6:$A$89,0)+MATCH($D111,'[1]End - Use Prices'!$B$9:$B$11,0)-1,MATCH(AY$1,'[1]End - Use Prices'!$C$7:$AL$7,0))</f>
        <v>29.41</v>
      </c>
      <c r="AZ111" s="41">
        <f>INDEX('[1]End - Use Prices'!$C$6:$AL$89,MATCH($C111,'[1]End - Use Prices'!$A$6:$A$89,0)+MATCH($D111,'[1]End - Use Prices'!$B$9:$B$11,0)-1,MATCH(AZ$1,'[1]End - Use Prices'!$C$7:$AL$7,0))</f>
        <v>29.71</v>
      </c>
      <c r="BA111" s="41">
        <f>INDEX('[1]End - Use Prices'!$C$6:$AL$89,MATCH($C111,'[1]End - Use Prices'!$A$6:$A$89,0)+MATCH($D111,'[1]End - Use Prices'!$B$9:$B$11,0)-1,MATCH(BA$1,'[1]End - Use Prices'!$C$7:$AL$7,0))</f>
        <v>30</v>
      </c>
      <c r="BB111" s="41">
        <f>INDEX('[1]End - Use Prices'!$C$6:$AL$89,MATCH($C111,'[1]End - Use Prices'!$A$6:$A$89,0)+MATCH($D111,'[1]End - Use Prices'!$B$9:$B$11,0)-1,MATCH(BB$1,'[1]End - Use Prices'!$C$7:$AL$7,0))</f>
        <v>30.3</v>
      </c>
      <c r="BC111" s="41">
        <f>INDEX('[1]End - Use Prices'!$C$6:$AL$89,MATCH($C111,'[1]End - Use Prices'!$A$6:$A$89,0)+MATCH($D111,'[1]End - Use Prices'!$B$9:$B$11,0)-1,MATCH(BC$1,'[1]End - Use Prices'!$C$7:$AL$7,0))</f>
        <v>30.6</v>
      </c>
      <c r="BD111" s="41">
        <f>INDEX('[1]End - Use Prices'!$C$6:$AL$89,MATCH($C111,'[1]End - Use Prices'!$A$6:$A$89,0)+MATCH($D111,'[1]End - Use Prices'!$B$9:$B$11,0)-1,MATCH(BD$1,'[1]End - Use Prices'!$C$7:$AL$7,0))</f>
        <v>30.91</v>
      </c>
      <c r="BE111" s="41">
        <f>INDEX('[1]End - Use Prices'!$C$6:$AL$89,MATCH($C111,'[1]End - Use Prices'!$A$6:$A$89,0)+MATCH($D111,'[1]End - Use Prices'!$B$9:$B$11,0)-1,MATCH(BE$1,'[1]End - Use Prices'!$C$7:$AL$7,0))</f>
        <v>31.22</v>
      </c>
      <c r="BF111" s="41">
        <f>INDEX('[1]End - Use Prices'!$C$6:$AL$89,MATCH($C111,'[1]End - Use Prices'!$A$6:$A$89,0)+MATCH($D111,'[1]End - Use Prices'!$B$9:$B$11,0)-1,MATCH(BF$1,'[1]End - Use Prices'!$C$7:$AL$7,0))</f>
        <v>31.53</v>
      </c>
      <c r="BG111" s="41">
        <f>INDEX('[1]End - Use Prices'!$C$6:$AL$89,MATCH($C111,'[1]End - Use Prices'!$A$6:$A$89,0)+MATCH($D111,'[1]End - Use Prices'!$B$9:$B$11,0)-1,MATCH(BG$1,'[1]End - Use Prices'!$C$7:$AL$7,0))</f>
        <v>31.84</v>
      </c>
      <c r="BR111" s="39"/>
      <c r="BS111" s="39"/>
      <c r="BT111" s="39"/>
      <c r="BU111" s="39"/>
      <c r="BV111" s="39"/>
      <c r="BW111" s="39"/>
      <c r="BX111" s="39"/>
      <c r="BY111" s="39"/>
      <c r="BZ111" s="39"/>
      <c r="CA111" s="39"/>
    </row>
    <row r="112" spans="1:79" x14ac:dyDescent="0.25">
      <c r="A112" s="5"/>
      <c r="B112" s="3"/>
      <c r="C112" s="25" t="s">
        <v>92</v>
      </c>
      <c r="D112" s="25" t="s">
        <v>2</v>
      </c>
      <c r="E112" s="25" t="s">
        <v>313</v>
      </c>
      <c r="F112" s="74" t="s">
        <v>310</v>
      </c>
      <c r="G112" s="54">
        <f t="shared" si="100"/>
        <v>36.92</v>
      </c>
      <c r="H112" s="34">
        <f t="shared" si="101"/>
        <v>36.92</v>
      </c>
      <c r="I112" s="34">
        <f t="shared" si="101"/>
        <v>39.14</v>
      </c>
      <c r="J112" s="34">
        <f t="shared" si="101"/>
        <v>48.73</v>
      </c>
      <c r="K112" s="34">
        <f t="shared" si="101"/>
        <v>60.89</v>
      </c>
      <c r="L112" s="34">
        <f t="shared" si="101"/>
        <v>63.81</v>
      </c>
      <c r="M112" s="34">
        <f t="shared" si="101"/>
        <v>66.47</v>
      </c>
      <c r="N112" s="34">
        <f t="shared" si="101"/>
        <v>69.05</v>
      </c>
      <c r="O112" s="34">
        <f t="shared" si="101"/>
        <v>71.69</v>
      </c>
      <c r="P112" s="54">
        <f t="shared" ref="P112:Q112" si="108">O112</f>
        <v>71.69</v>
      </c>
      <c r="Q112" s="54">
        <f t="shared" si="108"/>
        <v>71.69</v>
      </c>
      <c r="R112" s="38"/>
      <c r="X112" s="41">
        <f>INDEX('[1]End - Use Prices'!$C$6:$AL$89,MATCH($C112,'[1]End - Use Prices'!$A$6:$A$89,0)+MATCH($D112,'[1]End - Use Prices'!$B$9:$B$11,0)-1,MATCH(X$1,'[1]End - Use Prices'!$C$7:$AL$7,0))</f>
        <v>36.92</v>
      </c>
      <c r="Y112" s="41">
        <f>INDEX('[1]End - Use Prices'!$C$6:$AL$89,MATCH($C112,'[1]End - Use Prices'!$A$6:$A$89,0)+MATCH($D112,'[1]End - Use Prices'!$B$9:$B$11,0)-1,MATCH(Y$1,'[1]End - Use Prices'!$C$7:$AL$7,0))</f>
        <v>40.86</v>
      </c>
      <c r="Z112" s="41">
        <f>INDEX('[1]End - Use Prices'!$C$6:$AL$89,MATCH($C112,'[1]End - Use Prices'!$A$6:$A$89,0)+MATCH($D112,'[1]End - Use Prices'!$B$9:$B$11,0)-1,MATCH(Z$1,'[1]End - Use Prices'!$C$7:$AL$7,0))</f>
        <v>40.64</v>
      </c>
      <c r="AA112" s="41">
        <f>INDEX('[1]End - Use Prices'!$C$6:$AL$89,MATCH($C112,'[1]End - Use Prices'!$A$6:$A$89,0)+MATCH($D112,'[1]End - Use Prices'!$B$9:$B$11,0)-1,MATCH(AA$1,'[1]End - Use Prices'!$C$7:$AL$7,0))</f>
        <v>37.31</v>
      </c>
      <c r="AB112" s="41">
        <f>INDEX('[1]End - Use Prices'!$C$6:$AL$89,MATCH($C112,'[1]End - Use Prices'!$A$6:$A$89,0)+MATCH($D112,'[1]End - Use Prices'!$B$9:$B$11,0)-1,MATCH(AB$1,'[1]End - Use Prices'!$C$7:$AL$7,0))</f>
        <v>39.53</v>
      </c>
      <c r="AC112" s="41">
        <f>INDEX('[1]End - Use Prices'!$C$6:$AL$89,MATCH($C112,'[1]End - Use Prices'!$A$6:$A$89,0)+MATCH($D112,'[1]End - Use Prices'!$B$9:$B$11,0)-1,MATCH(AC$1,'[1]End - Use Prices'!$C$7:$AL$7,0))</f>
        <v>39.14</v>
      </c>
      <c r="AD112" s="41">
        <f>INDEX('[1]End - Use Prices'!$C$6:$AL$89,MATCH($C112,'[1]End - Use Prices'!$A$6:$A$89,0)+MATCH($D112,'[1]End - Use Prices'!$B$9:$B$11,0)-1,MATCH(AD$1,'[1]End - Use Prices'!$C$7:$AL$7,0))</f>
        <v>40.4</v>
      </c>
      <c r="AE112" s="41">
        <f>INDEX('[1]End - Use Prices'!$C$6:$AL$89,MATCH($C112,'[1]End - Use Prices'!$A$6:$A$89,0)+MATCH($D112,'[1]End - Use Prices'!$B$9:$B$11,0)-1,MATCH(AE$1,'[1]End - Use Prices'!$C$7:$AL$7,0))</f>
        <v>42.06</v>
      </c>
      <c r="AF112" s="41">
        <f>INDEX('[1]End - Use Prices'!$C$6:$AL$89,MATCH($C112,'[1]End - Use Prices'!$A$6:$A$89,0)+MATCH($D112,'[1]End - Use Prices'!$B$9:$B$11,0)-1,MATCH(AF$1,'[1]End - Use Prices'!$C$7:$AL$7,0))</f>
        <v>42.96</v>
      </c>
      <c r="AG112" s="41">
        <f>INDEX('[1]End - Use Prices'!$C$6:$AL$89,MATCH($C112,'[1]End - Use Prices'!$A$6:$A$89,0)+MATCH($D112,'[1]End - Use Prices'!$B$9:$B$11,0)-1,MATCH(AG$1,'[1]End - Use Prices'!$C$7:$AL$7,0))</f>
        <v>46.39</v>
      </c>
      <c r="AH112" s="41">
        <f>INDEX('[1]End - Use Prices'!$C$6:$AL$89,MATCH($C112,'[1]End - Use Prices'!$A$6:$A$89,0)+MATCH($D112,'[1]End - Use Prices'!$B$9:$B$11,0)-1,MATCH(AH$1,'[1]End - Use Prices'!$C$7:$AL$7,0))</f>
        <v>48.73</v>
      </c>
      <c r="AI112" s="41">
        <f>INDEX('[1]End - Use Prices'!$C$6:$AL$89,MATCH($C112,'[1]End - Use Prices'!$A$6:$A$89,0)+MATCH($D112,'[1]End - Use Prices'!$B$9:$B$11,0)-1,MATCH(AI$1,'[1]End - Use Prices'!$C$7:$AL$7,0))</f>
        <v>58.38</v>
      </c>
      <c r="AJ112" s="41">
        <f>INDEX('[1]End - Use Prices'!$C$6:$AL$89,MATCH($C112,'[1]End - Use Prices'!$A$6:$A$89,0)+MATCH($D112,'[1]End - Use Prices'!$B$9:$B$11,0)-1,MATCH(AJ$1,'[1]End - Use Prices'!$C$7:$AL$7,0))</f>
        <v>58.96</v>
      </c>
      <c r="AK112" s="41">
        <f>INDEX('[1]End - Use Prices'!$C$6:$AL$89,MATCH($C112,'[1]End - Use Prices'!$A$6:$A$89,0)+MATCH($D112,'[1]End - Use Prices'!$B$9:$B$11,0)-1,MATCH(AK$1,'[1]End - Use Prices'!$C$7:$AL$7,0))</f>
        <v>59.62</v>
      </c>
      <c r="AL112" s="41">
        <f>INDEX('[1]End - Use Prices'!$C$6:$AL$89,MATCH($C112,'[1]End - Use Prices'!$A$6:$A$89,0)+MATCH($D112,'[1]End - Use Prices'!$B$9:$B$11,0)-1,MATCH(AL$1,'[1]End - Use Prices'!$C$7:$AL$7,0))</f>
        <v>60.27</v>
      </c>
      <c r="AM112" s="41">
        <f>INDEX('[1]End - Use Prices'!$C$6:$AL$89,MATCH($C112,'[1]End - Use Prices'!$A$6:$A$89,0)+MATCH($D112,'[1]End - Use Prices'!$B$9:$B$11,0)-1,MATCH(AM$1,'[1]End - Use Prices'!$C$7:$AL$7,0))</f>
        <v>60.89</v>
      </c>
      <c r="AN112" s="41">
        <f>INDEX('[1]End - Use Prices'!$C$6:$AL$89,MATCH($C112,'[1]End - Use Prices'!$A$6:$A$89,0)+MATCH($D112,'[1]End - Use Prices'!$B$9:$B$11,0)-1,MATCH(AN$1,'[1]End - Use Prices'!$C$7:$AL$7,0))</f>
        <v>61.51</v>
      </c>
      <c r="AO112" s="41">
        <f>INDEX('[1]End - Use Prices'!$C$6:$AL$89,MATCH($C112,'[1]End - Use Prices'!$A$6:$A$89,0)+MATCH($D112,'[1]End - Use Prices'!$B$9:$B$11,0)-1,MATCH(AO$1,'[1]End - Use Prices'!$C$7:$AL$7,0))</f>
        <v>62.1</v>
      </c>
      <c r="AP112" s="41">
        <f>INDEX('[1]End - Use Prices'!$C$6:$AL$89,MATCH($C112,'[1]End - Use Prices'!$A$6:$A$89,0)+MATCH($D112,'[1]End - Use Prices'!$B$9:$B$11,0)-1,MATCH(AP$1,'[1]End - Use Prices'!$C$7:$AL$7,0))</f>
        <v>62.68</v>
      </c>
      <c r="AQ112" s="41">
        <f>INDEX('[1]End - Use Prices'!$C$6:$AL$89,MATCH($C112,'[1]End - Use Prices'!$A$6:$A$89,0)+MATCH($D112,'[1]End - Use Prices'!$B$9:$B$11,0)-1,MATCH(AQ$1,'[1]End - Use Prices'!$C$7:$AL$7,0))</f>
        <v>63.25</v>
      </c>
      <c r="AR112" s="41">
        <f>INDEX('[1]End - Use Prices'!$C$6:$AL$89,MATCH($C112,'[1]End - Use Prices'!$A$6:$A$89,0)+MATCH($D112,'[1]End - Use Prices'!$B$9:$B$11,0)-1,MATCH(AR$1,'[1]End - Use Prices'!$C$7:$AL$7,0))</f>
        <v>63.81</v>
      </c>
      <c r="AS112" s="41">
        <f>INDEX('[1]End - Use Prices'!$C$6:$AL$89,MATCH($C112,'[1]End - Use Prices'!$A$6:$A$89,0)+MATCH($D112,'[1]End - Use Prices'!$B$9:$B$11,0)-1,MATCH(AS$1,'[1]End - Use Prices'!$C$7:$AL$7,0))</f>
        <v>64.36</v>
      </c>
      <c r="AT112" s="41">
        <f>INDEX('[1]End - Use Prices'!$C$6:$AL$89,MATCH($C112,'[1]End - Use Prices'!$A$6:$A$89,0)+MATCH($D112,'[1]End - Use Prices'!$B$9:$B$11,0)-1,MATCH(AT$1,'[1]End - Use Prices'!$C$7:$AL$7,0))</f>
        <v>64.900000000000006</v>
      </c>
      <c r="AU112" s="41">
        <f>INDEX('[1]End - Use Prices'!$C$6:$AL$89,MATCH($C112,'[1]End - Use Prices'!$A$6:$A$89,0)+MATCH($D112,'[1]End - Use Prices'!$B$9:$B$11,0)-1,MATCH(AU$1,'[1]End - Use Prices'!$C$7:$AL$7,0))</f>
        <v>65.430000000000007</v>
      </c>
      <c r="AV112" s="41">
        <f>INDEX('[1]End - Use Prices'!$C$6:$AL$89,MATCH($C112,'[1]End - Use Prices'!$A$6:$A$89,0)+MATCH($D112,'[1]End - Use Prices'!$B$9:$B$11,0)-1,MATCH(AV$1,'[1]End - Use Prices'!$C$7:$AL$7,0))</f>
        <v>65.95</v>
      </c>
      <c r="AW112" s="41">
        <f>INDEX('[1]End - Use Prices'!$C$6:$AL$89,MATCH($C112,'[1]End - Use Prices'!$A$6:$A$89,0)+MATCH($D112,'[1]End - Use Prices'!$B$9:$B$11,0)-1,MATCH(AW$1,'[1]End - Use Prices'!$C$7:$AL$7,0))</f>
        <v>66.47</v>
      </c>
      <c r="AX112" s="41">
        <f>INDEX('[1]End - Use Prices'!$C$6:$AL$89,MATCH($C112,'[1]End - Use Prices'!$A$6:$A$89,0)+MATCH($D112,'[1]End - Use Prices'!$B$9:$B$11,0)-1,MATCH(AX$1,'[1]End - Use Prices'!$C$7:$AL$7,0))</f>
        <v>66.989999999999995</v>
      </c>
      <c r="AY112" s="41">
        <f>INDEX('[1]End - Use Prices'!$C$6:$AL$89,MATCH($C112,'[1]End - Use Prices'!$A$6:$A$89,0)+MATCH($D112,'[1]End - Use Prices'!$B$9:$B$11,0)-1,MATCH(AY$1,'[1]End - Use Prices'!$C$7:$AL$7,0))</f>
        <v>67.510000000000005</v>
      </c>
      <c r="AZ112" s="41">
        <f>INDEX('[1]End - Use Prices'!$C$6:$AL$89,MATCH($C112,'[1]End - Use Prices'!$A$6:$A$89,0)+MATCH($D112,'[1]End - Use Prices'!$B$9:$B$11,0)-1,MATCH(AZ$1,'[1]End - Use Prices'!$C$7:$AL$7,0))</f>
        <v>68.02</v>
      </c>
      <c r="BA112" s="41">
        <f>INDEX('[1]End - Use Prices'!$C$6:$AL$89,MATCH($C112,'[1]End - Use Prices'!$A$6:$A$89,0)+MATCH($D112,'[1]End - Use Prices'!$B$9:$B$11,0)-1,MATCH(BA$1,'[1]End - Use Prices'!$C$7:$AL$7,0))</f>
        <v>68.53</v>
      </c>
      <c r="BB112" s="41">
        <f>INDEX('[1]End - Use Prices'!$C$6:$AL$89,MATCH($C112,'[1]End - Use Prices'!$A$6:$A$89,0)+MATCH($D112,'[1]End - Use Prices'!$B$9:$B$11,0)-1,MATCH(BB$1,'[1]End - Use Prices'!$C$7:$AL$7,0))</f>
        <v>69.05</v>
      </c>
      <c r="BC112" s="41">
        <f>INDEX('[1]End - Use Prices'!$C$6:$AL$89,MATCH($C112,'[1]End - Use Prices'!$A$6:$A$89,0)+MATCH($D112,'[1]End - Use Prices'!$B$9:$B$11,0)-1,MATCH(BC$1,'[1]End - Use Prices'!$C$7:$AL$7,0))</f>
        <v>69.569999999999993</v>
      </c>
      <c r="BD112" s="41">
        <f>INDEX('[1]End - Use Prices'!$C$6:$AL$89,MATCH($C112,'[1]End - Use Prices'!$A$6:$A$89,0)+MATCH($D112,'[1]End - Use Prices'!$B$9:$B$11,0)-1,MATCH(BD$1,'[1]End - Use Prices'!$C$7:$AL$7,0))</f>
        <v>70.09</v>
      </c>
      <c r="BE112" s="41">
        <f>INDEX('[1]End - Use Prices'!$C$6:$AL$89,MATCH($C112,'[1]End - Use Prices'!$A$6:$A$89,0)+MATCH($D112,'[1]End - Use Prices'!$B$9:$B$11,0)-1,MATCH(BE$1,'[1]End - Use Prices'!$C$7:$AL$7,0))</f>
        <v>70.62</v>
      </c>
      <c r="BF112" s="41">
        <f>INDEX('[1]End - Use Prices'!$C$6:$AL$89,MATCH($C112,'[1]End - Use Prices'!$A$6:$A$89,0)+MATCH($D112,'[1]End - Use Prices'!$B$9:$B$11,0)-1,MATCH(BF$1,'[1]End - Use Prices'!$C$7:$AL$7,0))</f>
        <v>71.150000000000006</v>
      </c>
      <c r="BG112" s="41">
        <f>INDEX('[1]End - Use Prices'!$C$6:$AL$89,MATCH($C112,'[1]End - Use Prices'!$A$6:$A$89,0)+MATCH($D112,'[1]End - Use Prices'!$B$9:$B$11,0)-1,MATCH(BG$1,'[1]End - Use Prices'!$C$7:$AL$7,0))</f>
        <v>71.69</v>
      </c>
      <c r="BR112" s="39"/>
      <c r="BS112" s="39"/>
      <c r="BT112" s="39"/>
      <c r="BU112" s="39"/>
      <c r="BV112" s="39"/>
      <c r="BW112" s="39"/>
      <c r="BX112" s="39"/>
      <c r="BY112" s="39"/>
      <c r="BZ112" s="39"/>
      <c r="CA112" s="39"/>
    </row>
    <row r="113" spans="1:79" x14ac:dyDescent="0.25">
      <c r="A113" s="5"/>
      <c r="B113" s="3"/>
      <c r="C113" s="25" t="s">
        <v>93</v>
      </c>
      <c r="D113" s="25" t="s">
        <v>2</v>
      </c>
      <c r="E113" s="25" t="s">
        <v>313</v>
      </c>
      <c r="F113" s="74" t="s">
        <v>310</v>
      </c>
      <c r="G113" s="54">
        <f t="shared" si="100"/>
        <v>23.08</v>
      </c>
      <c r="H113" s="34">
        <f t="shared" si="101"/>
        <v>23.08</v>
      </c>
      <c r="I113" s="34">
        <f t="shared" si="101"/>
        <v>24.17</v>
      </c>
      <c r="J113" s="34">
        <f t="shared" si="101"/>
        <v>26.03</v>
      </c>
      <c r="K113" s="34">
        <f t="shared" si="101"/>
        <v>28.24</v>
      </c>
      <c r="L113" s="34">
        <f t="shared" si="101"/>
        <v>29.99</v>
      </c>
      <c r="M113" s="34">
        <f t="shared" si="101"/>
        <v>31.58</v>
      </c>
      <c r="N113" s="34">
        <f t="shared" si="101"/>
        <v>32.82</v>
      </c>
      <c r="O113" s="34">
        <f t="shared" si="101"/>
        <v>33.51</v>
      </c>
      <c r="P113" s="54">
        <f t="shared" ref="P113:Q113" si="109">O113</f>
        <v>33.51</v>
      </c>
      <c r="Q113" s="54">
        <f t="shared" si="109"/>
        <v>33.51</v>
      </c>
      <c r="R113" s="38"/>
      <c r="X113" s="41">
        <f>INDEX('[1]End - Use Prices'!$C$6:$AL$89,MATCH($C113,'[1]End - Use Prices'!$A$6:$A$89,0)+MATCH($D113,'[1]End - Use Prices'!$B$9:$B$11,0)-1,MATCH(X$1,'[1]End - Use Prices'!$C$7:$AL$7,0))</f>
        <v>23.08</v>
      </c>
      <c r="Y113" s="41">
        <f>INDEX('[1]End - Use Prices'!$C$6:$AL$89,MATCH($C113,'[1]End - Use Prices'!$A$6:$A$89,0)+MATCH($D113,'[1]End - Use Prices'!$B$9:$B$11,0)-1,MATCH(Y$1,'[1]End - Use Prices'!$C$7:$AL$7,0))</f>
        <v>23.95</v>
      </c>
      <c r="Z113" s="41">
        <f>INDEX('[1]End - Use Prices'!$C$6:$AL$89,MATCH($C113,'[1]End - Use Prices'!$A$6:$A$89,0)+MATCH($D113,'[1]End - Use Prices'!$B$9:$B$11,0)-1,MATCH(Z$1,'[1]End - Use Prices'!$C$7:$AL$7,0))</f>
        <v>23.39</v>
      </c>
      <c r="AA113" s="41">
        <f>INDEX('[1]End - Use Prices'!$C$6:$AL$89,MATCH($C113,'[1]End - Use Prices'!$A$6:$A$89,0)+MATCH($D113,'[1]End - Use Prices'!$B$9:$B$11,0)-1,MATCH(AA$1,'[1]End - Use Prices'!$C$7:$AL$7,0))</f>
        <v>22.1</v>
      </c>
      <c r="AB113" s="41">
        <f>INDEX('[1]End - Use Prices'!$C$6:$AL$89,MATCH($C113,'[1]End - Use Prices'!$A$6:$A$89,0)+MATCH($D113,'[1]End - Use Prices'!$B$9:$B$11,0)-1,MATCH(AB$1,'[1]End - Use Prices'!$C$7:$AL$7,0))</f>
        <v>24.37</v>
      </c>
      <c r="AC113" s="41">
        <f>INDEX('[1]End - Use Prices'!$C$6:$AL$89,MATCH($C113,'[1]End - Use Prices'!$A$6:$A$89,0)+MATCH($D113,'[1]End - Use Prices'!$B$9:$B$11,0)-1,MATCH(AC$1,'[1]End - Use Prices'!$C$7:$AL$7,0))</f>
        <v>24.17</v>
      </c>
      <c r="AD113" s="41">
        <f>INDEX('[1]End - Use Prices'!$C$6:$AL$89,MATCH($C113,'[1]End - Use Prices'!$A$6:$A$89,0)+MATCH($D113,'[1]End - Use Prices'!$B$9:$B$11,0)-1,MATCH(AD$1,'[1]End - Use Prices'!$C$7:$AL$7,0))</f>
        <v>24.13</v>
      </c>
      <c r="AE113" s="41">
        <f>INDEX('[1]End - Use Prices'!$C$6:$AL$89,MATCH($C113,'[1]End - Use Prices'!$A$6:$A$89,0)+MATCH($D113,'[1]End - Use Prices'!$B$9:$B$11,0)-1,MATCH(AE$1,'[1]End - Use Prices'!$C$7:$AL$7,0))</f>
        <v>24.35</v>
      </c>
      <c r="AF113" s="41">
        <f>INDEX('[1]End - Use Prices'!$C$6:$AL$89,MATCH($C113,'[1]End - Use Prices'!$A$6:$A$89,0)+MATCH($D113,'[1]End - Use Prices'!$B$9:$B$11,0)-1,MATCH(AF$1,'[1]End - Use Prices'!$C$7:$AL$7,0))</f>
        <v>24.49</v>
      </c>
      <c r="AG113" s="41">
        <f>INDEX('[1]End - Use Prices'!$C$6:$AL$89,MATCH($C113,'[1]End - Use Prices'!$A$6:$A$89,0)+MATCH($D113,'[1]End - Use Prices'!$B$9:$B$11,0)-1,MATCH(AG$1,'[1]End - Use Prices'!$C$7:$AL$7,0))</f>
        <v>25.11</v>
      </c>
      <c r="AH113" s="41">
        <f>INDEX('[1]End - Use Prices'!$C$6:$AL$89,MATCH($C113,'[1]End - Use Prices'!$A$6:$A$89,0)+MATCH($D113,'[1]End - Use Prices'!$B$9:$B$11,0)-1,MATCH(AH$1,'[1]End - Use Prices'!$C$7:$AL$7,0))</f>
        <v>26.03</v>
      </c>
      <c r="AI113" s="41">
        <f>INDEX('[1]End - Use Prices'!$C$6:$AL$89,MATCH($C113,'[1]End - Use Prices'!$A$6:$A$89,0)+MATCH($D113,'[1]End - Use Prices'!$B$9:$B$11,0)-1,MATCH(AI$1,'[1]End - Use Prices'!$C$7:$AL$7,0))</f>
        <v>26.89</v>
      </c>
      <c r="AJ113" s="41">
        <f>INDEX('[1]End - Use Prices'!$C$6:$AL$89,MATCH($C113,'[1]End - Use Prices'!$A$6:$A$89,0)+MATCH($D113,'[1]End - Use Prices'!$B$9:$B$11,0)-1,MATCH(AJ$1,'[1]End - Use Prices'!$C$7:$AL$7,0))</f>
        <v>27.19</v>
      </c>
      <c r="AK113" s="41">
        <f>INDEX('[1]End - Use Prices'!$C$6:$AL$89,MATCH($C113,'[1]End - Use Prices'!$A$6:$A$89,0)+MATCH($D113,'[1]End - Use Prices'!$B$9:$B$11,0)-1,MATCH(AK$1,'[1]End - Use Prices'!$C$7:$AL$7,0))</f>
        <v>27.53</v>
      </c>
      <c r="AL113" s="41">
        <f>INDEX('[1]End - Use Prices'!$C$6:$AL$89,MATCH($C113,'[1]End - Use Prices'!$A$6:$A$89,0)+MATCH($D113,'[1]End - Use Prices'!$B$9:$B$11,0)-1,MATCH(AL$1,'[1]End - Use Prices'!$C$7:$AL$7,0))</f>
        <v>27.88</v>
      </c>
      <c r="AM113" s="41">
        <f>INDEX('[1]End - Use Prices'!$C$6:$AL$89,MATCH($C113,'[1]End - Use Prices'!$A$6:$A$89,0)+MATCH($D113,'[1]End - Use Prices'!$B$9:$B$11,0)-1,MATCH(AM$1,'[1]End - Use Prices'!$C$7:$AL$7,0))</f>
        <v>28.24</v>
      </c>
      <c r="AN113" s="41">
        <f>INDEX('[1]End - Use Prices'!$C$6:$AL$89,MATCH($C113,'[1]End - Use Prices'!$A$6:$A$89,0)+MATCH($D113,'[1]End - Use Prices'!$B$9:$B$11,0)-1,MATCH(AN$1,'[1]End - Use Prices'!$C$7:$AL$7,0))</f>
        <v>28.59</v>
      </c>
      <c r="AO113" s="41">
        <f>INDEX('[1]End - Use Prices'!$C$6:$AL$89,MATCH($C113,'[1]End - Use Prices'!$A$6:$A$89,0)+MATCH($D113,'[1]End - Use Prices'!$B$9:$B$11,0)-1,MATCH(AO$1,'[1]End - Use Prices'!$C$7:$AL$7,0))</f>
        <v>28.94</v>
      </c>
      <c r="AP113" s="41">
        <f>INDEX('[1]End - Use Prices'!$C$6:$AL$89,MATCH($C113,'[1]End - Use Prices'!$A$6:$A$89,0)+MATCH($D113,'[1]End - Use Prices'!$B$9:$B$11,0)-1,MATCH(AP$1,'[1]End - Use Prices'!$C$7:$AL$7,0))</f>
        <v>29.29</v>
      </c>
      <c r="AQ113" s="41">
        <f>INDEX('[1]End - Use Prices'!$C$6:$AL$89,MATCH($C113,'[1]End - Use Prices'!$A$6:$A$89,0)+MATCH($D113,'[1]End - Use Prices'!$B$9:$B$11,0)-1,MATCH(AQ$1,'[1]End - Use Prices'!$C$7:$AL$7,0))</f>
        <v>29.64</v>
      </c>
      <c r="AR113" s="41">
        <f>INDEX('[1]End - Use Prices'!$C$6:$AL$89,MATCH($C113,'[1]End - Use Prices'!$A$6:$A$89,0)+MATCH($D113,'[1]End - Use Prices'!$B$9:$B$11,0)-1,MATCH(AR$1,'[1]End - Use Prices'!$C$7:$AL$7,0))</f>
        <v>29.99</v>
      </c>
      <c r="AS113" s="41">
        <f>INDEX('[1]End - Use Prices'!$C$6:$AL$89,MATCH($C113,'[1]End - Use Prices'!$A$6:$A$89,0)+MATCH($D113,'[1]End - Use Prices'!$B$9:$B$11,0)-1,MATCH(AS$1,'[1]End - Use Prices'!$C$7:$AL$7,0))</f>
        <v>30.32</v>
      </c>
      <c r="AT113" s="41">
        <f>INDEX('[1]End - Use Prices'!$C$6:$AL$89,MATCH($C113,'[1]End - Use Prices'!$A$6:$A$89,0)+MATCH($D113,'[1]End - Use Prices'!$B$9:$B$11,0)-1,MATCH(AT$1,'[1]End - Use Prices'!$C$7:$AL$7,0))</f>
        <v>30.65</v>
      </c>
      <c r="AU113" s="41">
        <f>INDEX('[1]End - Use Prices'!$C$6:$AL$89,MATCH($C113,'[1]End - Use Prices'!$A$6:$A$89,0)+MATCH($D113,'[1]End - Use Prices'!$B$9:$B$11,0)-1,MATCH(AU$1,'[1]End - Use Prices'!$C$7:$AL$7,0))</f>
        <v>30.97</v>
      </c>
      <c r="AV113" s="41">
        <f>INDEX('[1]End - Use Prices'!$C$6:$AL$89,MATCH($C113,'[1]End - Use Prices'!$A$6:$A$89,0)+MATCH($D113,'[1]End - Use Prices'!$B$9:$B$11,0)-1,MATCH(AV$1,'[1]End - Use Prices'!$C$7:$AL$7,0))</f>
        <v>31.28</v>
      </c>
      <c r="AW113" s="41">
        <f>INDEX('[1]End - Use Prices'!$C$6:$AL$89,MATCH($C113,'[1]End - Use Prices'!$A$6:$A$89,0)+MATCH($D113,'[1]End - Use Prices'!$B$9:$B$11,0)-1,MATCH(AW$1,'[1]End - Use Prices'!$C$7:$AL$7,0))</f>
        <v>31.58</v>
      </c>
      <c r="AX113" s="41">
        <f>INDEX('[1]End - Use Prices'!$C$6:$AL$89,MATCH($C113,'[1]End - Use Prices'!$A$6:$A$89,0)+MATCH($D113,'[1]End - Use Prices'!$B$9:$B$11,0)-1,MATCH(AX$1,'[1]End - Use Prices'!$C$7:$AL$7,0))</f>
        <v>31.86</v>
      </c>
      <c r="AY113" s="41">
        <f>INDEX('[1]End - Use Prices'!$C$6:$AL$89,MATCH($C113,'[1]End - Use Prices'!$A$6:$A$89,0)+MATCH($D113,'[1]End - Use Prices'!$B$9:$B$11,0)-1,MATCH(AY$1,'[1]End - Use Prices'!$C$7:$AL$7,0))</f>
        <v>32.130000000000003</v>
      </c>
      <c r="AZ113" s="41">
        <f>INDEX('[1]End - Use Prices'!$C$6:$AL$89,MATCH($C113,'[1]End - Use Prices'!$A$6:$A$89,0)+MATCH($D113,'[1]End - Use Prices'!$B$9:$B$11,0)-1,MATCH(AZ$1,'[1]End - Use Prices'!$C$7:$AL$7,0))</f>
        <v>32.380000000000003</v>
      </c>
      <c r="BA113" s="41">
        <f>INDEX('[1]End - Use Prices'!$C$6:$AL$89,MATCH($C113,'[1]End - Use Prices'!$A$6:$A$89,0)+MATCH($D113,'[1]End - Use Prices'!$B$9:$B$11,0)-1,MATCH(BA$1,'[1]End - Use Prices'!$C$7:$AL$7,0))</f>
        <v>32.61</v>
      </c>
      <c r="BB113" s="41">
        <f>INDEX('[1]End - Use Prices'!$C$6:$AL$89,MATCH($C113,'[1]End - Use Prices'!$A$6:$A$89,0)+MATCH($D113,'[1]End - Use Prices'!$B$9:$B$11,0)-1,MATCH(BB$1,'[1]End - Use Prices'!$C$7:$AL$7,0))</f>
        <v>32.82</v>
      </c>
      <c r="BC113" s="41">
        <f>INDEX('[1]End - Use Prices'!$C$6:$AL$89,MATCH($C113,'[1]End - Use Prices'!$A$6:$A$89,0)+MATCH($D113,'[1]End - Use Prices'!$B$9:$B$11,0)-1,MATCH(BC$1,'[1]End - Use Prices'!$C$7:$AL$7,0))</f>
        <v>33.01</v>
      </c>
      <c r="BD113" s="41">
        <f>INDEX('[1]End - Use Prices'!$C$6:$AL$89,MATCH($C113,'[1]End - Use Prices'!$A$6:$A$89,0)+MATCH($D113,'[1]End - Use Prices'!$B$9:$B$11,0)-1,MATCH(BD$1,'[1]End - Use Prices'!$C$7:$AL$7,0))</f>
        <v>33.17</v>
      </c>
      <c r="BE113" s="41">
        <f>INDEX('[1]End - Use Prices'!$C$6:$AL$89,MATCH($C113,'[1]End - Use Prices'!$A$6:$A$89,0)+MATCH($D113,'[1]End - Use Prices'!$B$9:$B$11,0)-1,MATCH(BE$1,'[1]End - Use Prices'!$C$7:$AL$7,0))</f>
        <v>33.31</v>
      </c>
      <c r="BF113" s="41">
        <f>INDEX('[1]End - Use Prices'!$C$6:$AL$89,MATCH($C113,'[1]End - Use Prices'!$A$6:$A$89,0)+MATCH($D113,'[1]End - Use Prices'!$B$9:$B$11,0)-1,MATCH(BF$1,'[1]End - Use Prices'!$C$7:$AL$7,0))</f>
        <v>33.43</v>
      </c>
      <c r="BG113" s="41">
        <f>INDEX('[1]End - Use Prices'!$C$6:$AL$89,MATCH($C113,'[1]End - Use Prices'!$A$6:$A$89,0)+MATCH($D113,'[1]End - Use Prices'!$B$9:$B$11,0)-1,MATCH(BG$1,'[1]End - Use Prices'!$C$7:$AL$7,0))</f>
        <v>33.51</v>
      </c>
      <c r="BR113" s="39"/>
      <c r="BS113" s="39"/>
      <c r="BT113" s="39"/>
      <c r="BU113" s="39"/>
      <c r="BV113" s="39"/>
      <c r="BW113" s="39"/>
      <c r="BX113" s="39"/>
      <c r="BY113" s="39"/>
      <c r="BZ113" s="39"/>
      <c r="CA113" s="39"/>
    </row>
    <row r="114" spans="1:79" x14ac:dyDescent="0.25">
      <c r="A114" s="5"/>
      <c r="B114" s="3"/>
      <c r="C114" s="25" t="s">
        <v>94</v>
      </c>
      <c r="D114" s="25" t="s">
        <v>2</v>
      </c>
      <c r="E114" s="25" t="s">
        <v>313</v>
      </c>
      <c r="F114" s="74" t="s">
        <v>310</v>
      </c>
      <c r="G114" s="54">
        <f t="shared" si="100"/>
        <v>36.07</v>
      </c>
      <c r="H114" s="34">
        <f t="shared" si="101"/>
        <v>36.07</v>
      </c>
      <c r="I114" s="34">
        <f t="shared" si="101"/>
        <v>42.93</v>
      </c>
      <c r="J114" s="34">
        <f t="shared" si="101"/>
        <v>48.06</v>
      </c>
      <c r="K114" s="34">
        <f t="shared" si="101"/>
        <v>51.84</v>
      </c>
      <c r="L114" s="34">
        <f t="shared" si="101"/>
        <v>54.59</v>
      </c>
      <c r="M114" s="34">
        <f t="shared" si="101"/>
        <v>56.35</v>
      </c>
      <c r="N114" s="34">
        <f t="shared" si="101"/>
        <v>57.81</v>
      </c>
      <c r="O114" s="34">
        <f t="shared" si="101"/>
        <v>59.66</v>
      </c>
      <c r="P114" s="54">
        <f t="shared" ref="P114:Q114" si="110">O114</f>
        <v>59.66</v>
      </c>
      <c r="Q114" s="54">
        <f t="shared" si="110"/>
        <v>59.66</v>
      </c>
      <c r="R114" s="38"/>
      <c r="X114" s="41">
        <f>INDEX('[1]End - Use Prices'!$C$6:$AL$89,MATCH($C114,'[1]End - Use Prices'!$A$6:$A$89,0)+MATCH($D114,'[1]End - Use Prices'!$B$9:$B$11,0)-1,MATCH(X$1,'[1]End - Use Prices'!$C$7:$AL$7,0))</f>
        <v>36.07</v>
      </c>
      <c r="Y114" s="41">
        <f>INDEX('[1]End - Use Prices'!$C$6:$AL$89,MATCH($C114,'[1]End - Use Prices'!$A$6:$A$89,0)+MATCH($D114,'[1]End - Use Prices'!$B$9:$B$11,0)-1,MATCH(Y$1,'[1]End - Use Prices'!$C$7:$AL$7,0))</f>
        <v>42.3</v>
      </c>
      <c r="Z114" s="41">
        <f>INDEX('[1]End - Use Prices'!$C$6:$AL$89,MATCH($C114,'[1]End - Use Prices'!$A$6:$A$89,0)+MATCH($D114,'[1]End - Use Prices'!$B$9:$B$11,0)-1,MATCH(Z$1,'[1]End - Use Prices'!$C$7:$AL$7,0))</f>
        <v>41.68</v>
      </c>
      <c r="AA114" s="41">
        <f>INDEX('[1]End - Use Prices'!$C$6:$AL$89,MATCH($C114,'[1]End - Use Prices'!$A$6:$A$89,0)+MATCH($D114,'[1]End - Use Prices'!$B$9:$B$11,0)-1,MATCH(AA$1,'[1]End - Use Prices'!$C$7:$AL$7,0))</f>
        <v>39.369999999999997</v>
      </c>
      <c r="AB114" s="41">
        <f>INDEX('[1]End - Use Prices'!$C$6:$AL$89,MATCH($C114,'[1]End - Use Prices'!$A$6:$A$89,0)+MATCH($D114,'[1]End - Use Prices'!$B$9:$B$11,0)-1,MATCH(AB$1,'[1]End - Use Prices'!$C$7:$AL$7,0))</f>
        <v>40.299999999999997</v>
      </c>
      <c r="AC114" s="41">
        <f>INDEX('[1]End - Use Prices'!$C$6:$AL$89,MATCH($C114,'[1]End - Use Prices'!$A$6:$A$89,0)+MATCH($D114,'[1]End - Use Prices'!$B$9:$B$11,0)-1,MATCH(AC$1,'[1]End - Use Prices'!$C$7:$AL$7,0))</f>
        <v>42.93</v>
      </c>
      <c r="AD114" s="41">
        <f>INDEX('[1]End - Use Prices'!$C$6:$AL$89,MATCH($C114,'[1]End - Use Prices'!$A$6:$A$89,0)+MATCH($D114,'[1]End - Use Prices'!$B$9:$B$11,0)-1,MATCH(AD$1,'[1]End - Use Prices'!$C$7:$AL$7,0))</f>
        <v>43.6</v>
      </c>
      <c r="AE114" s="41">
        <f>INDEX('[1]End - Use Prices'!$C$6:$AL$89,MATCH($C114,'[1]End - Use Prices'!$A$6:$A$89,0)+MATCH($D114,'[1]End - Use Prices'!$B$9:$B$11,0)-1,MATCH(AE$1,'[1]End - Use Prices'!$C$7:$AL$7,0))</f>
        <v>43.08</v>
      </c>
      <c r="AF114" s="41">
        <f>INDEX('[1]End - Use Prices'!$C$6:$AL$89,MATCH($C114,'[1]End - Use Prices'!$A$6:$A$89,0)+MATCH($D114,'[1]End - Use Prices'!$B$9:$B$11,0)-1,MATCH(AF$1,'[1]End - Use Prices'!$C$7:$AL$7,0))</f>
        <v>44.44</v>
      </c>
      <c r="AG114" s="41">
        <f>INDEX('[1]End - Use Prices'!$C$6:$AL$89,MATCH($C114,'[1]End - Use Prices'!$A$6:$A$89,0)+MATCH($D114,'[1]End - Use Prices'!$B$9:$B$11,0)-1,MATCH(AG$1,'[1]End - Use Prices'!$C$7:$AL$7,0))</f>
        <v>46.3</v>
      </c>
      <c r="AH114" s="41">
        <f>INDEX('[1]End - Use Prices'!$C$6:$AL$89,MATCH($C114,'[1]End - Use Prices'!$A$6:$A$89,0)+MATCH($D114,'[1]End - Use Prices'!$B$9:$B$11,0)-1,MATCH(AH$1,'[1]End - Use Prices'!$C$7:$AL$7,0))</f>
        <v>48.06</v>
      </c>
      <c r="AI114" s="41">
        <f>INDEX('[1]End - Use Prices'!$C$6:$AL$89,MATCH($C114,'[1]End - Use Prices'!$A$6:$A$89,0)+MATCH($D114,'[1]End - Use Prices'!$B$9:$B$11,0)-1,MATCH(AI$1,'[1]End - Use Prices'!$C$7:$AL$7,0))</f>
        <v>48.66</v>
      </c>
      <c r="AJ114" s="41">
        <f>INDEX('[1]End - Use Prices'!$C$6:$AL$89,MATCH($C114,'[1]End - Use Prices'!$A$6:$A$89,0)+MATCH($D114,'[1]End - Use Prices'!$B$9:$B$11,0)-1,MATCH(AJ$1,'[1]End - Use Prices'!$C$7:$AL$7,0))</f>
        <v>49.42</v>
      </c>
      <c r="AK114" s="41">
        <f>INDEX('[1]End - Use Prices'!$C$6:$AL$89,MATCH($C114,'[1]End - Use Prices'!$A$6:$A$89,0)+MATCH($D114,'[1]End - Use Prices'!$B$9:$B$11,0)-1,MATCH(AK$1,'[1]End - Use Prices'!$C$7:$AL$7,0))</f>
        <v>50.31</v>
      </c>
      <c r="AL114" s="41">
        <f>INDEX('[1]End - Use Prices'!$C$6:$AL$89,MATCH($C114,'[1]End - Use Prices'!$A$6:$A$89,0)+MATCH($D114,'[1]End - Use Prices'!$B$9:$B$11,0)-1,MATCH(AL$1,'[1]End - Use Prices'!$C$7:$AL$7,0))</f>
        <v>51.11</v>
      </c>
      <c r="AM114" s="41">
        <f>INDEX('[1]End - Use Prices'!$C$6:$AL$89,MATCH($C114,'[1]End - Use Prices'!$A$6:$A$89,0)+MATCH($D114,'[1]End - Use Prices'!$B$9:$B$11,0)-1,MATCH(AM$1,'[1]End - Use Prices'!$C$7:$AL$7,0))</f>
        <v>51.84</v>
      </c>
      <c r="AN114" s="41">
        <f>INDEX('[1]End - Use Prices'!$C$6:$AL$89,MATCH($C114,'[1]End - Use Prices'!$A$6:$A$89,0)+MATCH($D114,'[1]End - Use Prices'!$B$9:$B$11,0)-1,MATCH(AN$1,'[1]End - Use Prices'!$C$7:$AL$7,0))</f>
        <v>52.5</v>
      </c>
      <c r="AO114" s="41">
        <f>INDEX('[1]End - Use Prices'!$C$6:$AL$89,MATCH($C114,'[1]End - Use Prices'!$A$6:$A$89,0)+MATCH($D114,'[1]End - Use Prices'!$B$9:$B$11,0)-1,MATCH(AO$1,'[1]End - Use Prices'!$C$7:$AL$7,0))</f>
        <v>53.11</v>
      </c>
      <c r="AP114" s="41">
        <f>INDEX('[1]End - Use Prices'!$C$6:$AL$89,MATCH($C114,'[1]End - Use Prices'!$A$6:$A$89,0)+MATCH($D114,'[1]End - Use Prices'!$B$9:$B$11,0)-1,MATCH(AP$1,'[1]End - Use Prices'!$C$7:$AL$7,0))</f>
        <v>53.65</v>
      </c>
      <c r="AQ114" s="41">
        <f>INDEX('[1]End - Use Prices'!$C$6:$AL$89,MATCH($C114,'[1]End - Use Prices'!$A$6:$A$89,0)+MATCH($D114,'[1]End - Use Prices'!$B$9:$B$11,0)-1,MATCH(AQ$1,'[1]End - Use Prices'!$C$7:$AL$7,0))</f>
        <v>54.15</v>
      </c>
      <c r="AR114" s="41">
        <f>INDEX('[1]End - Use Prices'!$C$6:$AL$89,MATCH($C114,'[1]End - Use Prices'!$A$6:$A$89,0)+MATCH($D114,'[1]End - Use Prices'!$B$9:$B$11,0)-1,MATCH(AR$1,'[1]End - Use Prices'!$C$7:$AL$7,0))</f>
        <v>54.59</v>
      </c>
      <c r="AS114" s="41">
        <f>INDEX('[1]End - Use Prices'!$C$6:$AL$89,MATCH($C114,'[1]End - Use Prices'!$A$6:$A$89,0)+MATCH($D114,'[1]End - Use Prices'!$B$9:$B$11,0)-1,MATCH(AS$1,'[1]End - Use Prices'!$C$7:$AL$7,0))</f>
        <v>55</v>
      </c>
      <c r="AT114" s="41">
        <f>INDEX('[1]End - Use Prices'!$C$6:$AL$89,MATCH($C114,'[1]End - Use Prices'!$A$6:$A$89,0)+MATCH($D114,'[1]End - Use Prices'!$B$9:$B$11,0)-1,MATCH(AT$1,'[1]End - Use Prices'!$C$7:$AL$7,0))</f>
        <v>55.38</v>
      </c>
      <c r="AU114" s="41">
        <f>INDEX('[1]End - Use Prices'!$C$6:$AL$89,MATCH($C114,'[1]End - Use Prices'!$A$6:$A$89,0)+MATCH($D114,'[1]End - Use Prices'!$B$9:$B$11,0)-1,MATCH(AU$1,'[1]End - Use Prices'!$C$7:$AL$7,0))</f>
        <v>55.73</v>
      </c>
      <c r="AV114" s="41">
        <f>INDEX('[1]End - Use Prices'!$C$6:$AL$89,MATCH($C114,'[1]End - Use Prices'!$A$6:$A$89,0)+MATCH($D114,'[1]End - Use Prices'!$B$9:$B$11,0)-1,MATCH(AV$1,'[1]End - Use Prices'!$C$7:$AL$7,0))</f>
        <v>56.05</v>
      </c>
      <c r="AW114" s="41">
        <f>INDEX('[1]End - Use Prices'!$C$6:$AL$89,MATCH($C114,'[1]End - Use Prices'!$A$6:$A$89,0)+MATCH($D114,'[1]End - Use Prices'!$B$9:$B$11,0)-1,MATCH(AW$1,'[1]End - Use Prices'!$C$7:$AL$7,0))</f>
        <v>56.35</v>
      </c>
      <c r="AX114" s="41">
        <f>INDEX('[1]End - Use Prices'!$C$6:$AL$89,MATCH($C114,'[1]End - Use Prices'!$A$6:$A$89,0)+MATCH($D114,'[1]End - Use Prices'!$B$9:$B$11,0)-1,MATCH(AX$1,'[1]End - Use Prices'!$C$7:$AL$7,0))</f>
        <v>56.65</v>
      </c>
      <c r="AY114" s="41">
        <f>INDEX('[1]End - Use Prices'!$C$6:$AL$89,MATCH($C114,'[1]End - Use Prices'!$A$6:$A$89,0)+MATCH($D114,'[1]End - Use Prices'!$B$9:$B$11,0)-1,MATCH(AY$1,'[1]End - Use Prices'!$C$7:$AL$7,0))</f>
        <v>56.93</v>
      </c>
      <c r="AZ114" s="41">
        <f>INDEX('[1]End - Use Prices'!$C$6:$AL$89,MATCH($C114,'[1]End - Use Prices'!$A$6:$A$89,0)+MATCH($D114,'[1]End - Use Prices'!$B$9:$B$11,0)-1,MATCH(AZ$1,'[1]End - Use Prices'!$C$7:$AL$7,0))</f>
        <v>57.22</v>
      </c>
      <c r="BA114" s="41">
        <f>INDEX('[1]End - Use Prices'!$C$6:$AL$89,MATCH($C114,'[1]End - Use Prices'!$A$6:$A$89,0)+MATCH($D114,'[1]End - Use Prices'!$B$9:$B$11,0)-1,MATCH(BA$1,'[1]End - Use Prices'!$C$7:$AL$7,0))</f>
        <v>57.51</v>
      </c>
      <c r="BB114" s="41">
        <f>INDEX('[1]End - Use Prices'!$C$6:$AL$89,MATCH($C114,'[1]End - Use Prices'!$A$6:$A$89,0)+MATCH($D114,'[1]End - Use Prices'!$B$9:$B$11,0)-1,MATCH(BB$1,'[1]End - Use Prices'!$C$7:$AL$7,0))</f>
        <v>57.81</v>
      </c>
      <c r="BC114" s="41">
        <f>INDEX('[1]End - Use Prices'!$C$6:$AL$89,MATCH($C114,'[1]End - Use Prices'!$A$6:$A$89,0)+MATCH($D114,'[1]End - Use Prices'!$B$9:$B$11,0)-1,MATCH(BC$1,'[1]End - Use Prices'!$C$7:$AL$7,0))</f>
        <v>58.13</v>
      </c>
      <c r="BD114" s="41">
        <f>INDEX('[1]End - Use Prices'!$C$6:$AL$89,MATCH($C114,'[1]End - Use Prices'!$A$6:$A$89,0)+MATCH($D114,'[1]End - Use Prices'!$B$9:$B$11,0)-1,MATCH(BD$1,'[1]End - Use Prices'!$C$7:$AL$7,0))</f>
        <v>58.47</v>
      </c>
      <c r="BE114" s="41">
        <f>INDEX('[1]End - Use Prices'!$C$6:$AL$89,MATCH($C114,'[1]End - Use Prices'!$A$6:$A$89,0)+MATCH($D114,'[1]End - Use Prices'!$B$9:$B$11,0)-1,MATCH(BE$1,'[1]End - Use Prices'!$C$7:$AL$7,0))</f>
        <v>58.83</v>
      </c>
      <c r="BF114" s="41">
        <f>INDEX('[1]End - Use Prices'!$C$6:$AL$89,MATCH($C114,'[1]End - Use Prices'!$A$6:$A$89,0)+MATCH($D114,'[1]End - Use Prices'!$B$9:$B$11,0)-1,MATCH(BF$1,'[1]End - Use Prices'!$C$7:$AL$7,0))</f>
        <v>59.23</v>
      </c>
      <c r="BG114" s="41">
        <f>INDEX('[1]End - Use Prices'!$C$6:$AL$89,MATCH($C114,'[1]End - Use Prices'!$A$6:$A$89,0)+MATCH($D114,'[1]End - Use Prices'!$B$9:$B$11,0)-1,MATCH(BG$1,'[1]End - Use Prices'!$C$7:$AL$7,0))</f>
        <v>59.66</v>
      </c>
      <c r="BR114" s="39"/>
      <c r="BS114" s="39"/>
      <c r="BT114" s="39"/>
      <c r="BU114" s="39"/>
      <c r="BV114" s="39"/>
      <c r="BW114" s="39"/>
      <c r="BX114" s="39"/>
      <c r="BY114" s="39"/>
      <c r="BZ114" s="39"/>
      <c r="CA114" s="39"/>
    </row>
    <row r="115" spans="1:79" x14ac:dyDescent="0.25">
      <c r="A115" s="5"/>
      <c r="B115" s="3"/>
      <c r="C115" s="25" t="s">
        <v>5</v>
      </c>
      <c r="D115" s="25" t="s">
        <v>2</v>
      </c>
      <c r="E115" s="25" t="s">
        <v>313</v>
      </c>
      <c r="F115" s="74" t="s">
        <v>310</v>
      </c>
      <c r="G115" s="54">
        <f t="shared" si="100"/>
        <v>30.07</v>
      </c>
      <c r="H115" s="34">
        <f t="shared" si="101"/>
        <v>30.07</v>
      </c>
      <c r="I115" s="34">
        <f t="shared" si="101"/>
        <v>31.25</v>
      </c>
      <c r="J115" s="34">
        <f t="shared" si="101"/>
        <v>33.81</v>
      </c>
      <c r="K115" s="34">
        <f t="shared" si="101"/>
        <v>32.520000000000003</v>
      </c>
      <c r="L115" s="34">
        <f t="shared" si="101"/>
        <v>35.47</v>
      </c>
      <c r="M115" s="34">
        <f t="shared" si="101"/>
        <v>37.57</v>
      </c>
      <c r="N115" s="34">
        <f t="shared" si="101"/>
        <v>38.39</v>
      </c>
      <c r="O115" s="34">
        <f t="shared" si="101"/>
        <v>37.54</v>
      </c>
      <c r="P115" s="54">
        <f t="shared" ref="P115:Q115" si="111">O115</f>
        <v>37.54</v>
      </c>
      <c r="Q115" s="54">
        <f t="shared" si="111"/>
        <v>37.54</v>
      </c>
      <c r="R115" s="38"/>
      <c r="X115" s="41">
        <f>INDEX('[1]End - Use Prices'!$C$6:$AL$89,MATCH($C115,'[1]End - Use Prices'!$A$6:$A$89,0)+MATCH($D115,'[1]End - Use Prices'!$B$9:$B$11,0)-1,MATCH(X$1,'[1]End - Use Prices'!$C$7:$AL$7,0))</f>
        <v>30.07</v>
      </c>
      <c r="Y115" s="41">
        <f>INDEX('[1]End - Use Prices'!$C$6:$AL$89,MATCH($C115,'[1]End - Use Prices'!$A$6:$A$89,0)+MATCH($D115,'[1]End - Use Prices'!$B$9:$B$11,0)-1,MATCH(Y$1,'[1]End - Use Prices'!$C$7:$AL$7,0))</f>
        <v>35.659999999999997</v>
      </c>
      <c r="Z115" s="41">
        <f>INDEX('[1]End - Use Prices'!$C$6:$AL$89,MATCH($C115,'[1]End - Use Prices'!$A$6:$A$89,0)+MATCH($D115,'[1]End - Use Prices'!$B$9:$B$11,0)-1,MATCH(Z$1,'[1]End - Use Prices'!$C$7:$AL$7,0))</f>
        <v>38.57</v>
      </c>
      <c r="AA115" s="41">
        <f>INDEX('[1]End - Use Prices'!$C$6:$AL$89,MATCH($C115,'[1]End - Use Prices'!$A$6:$A$89,0)+MATCH($D115,'[1]End - Use Prices'!$B$9:$B$11,0)-1,MATCH(AA$1,'[1]End - Use Prices'!$C$7:$AL$7,0))</f>
        <v>42.28</v>
      </c>
      <c r="AB115" s="41">
        <f>INDEX('[1]End - Use Prices'!$C$6:$AL$89,MATCH($C115,'[1]End - Use Prices'!$A$6:$A$89,0)+MATCH($D115,'[1]End - Use Prices'!$B$9:$B$11,0)-1,MATCH(AB$1,'[1]End - Use Prices'!$C$7:$AL$7,0))</f>
        <v>36.1</v>
      </c>
      <c r="AC115" s="41">
        <f>INDEX('[1]End - Use Prices'!$C$6:$AL$89,MATCH($C115,'[1]End - Use Prices'!$A$6:$A$89,0)+MATCH($D115,'[1]End - Use Prices'!$B$9:$B$11,0)-1,MATCH(AC$1,'[1]End - Use Prices'!$C$7:$AL$7,0))</f>
        <v>31.25</v>
      </c>
      <c r="AD115" s="41">
        <f>INDEX('[1]End - Use Prices'!$C$6:$AL$89,MATCH($C115,'[1]End - Use Prices'!$A$6:$A$89,0)+MATCH($D115,'[1]End - Use Prices'!$B$9:$B$11,0)-1,MATCH(AD$1,'[1]End - Use Prices'!$C$7:$AL$7,0))</f>
        <v>51.38</v>
      </c>
      <c r="AE115" s="41">
        <f>INDEX('[1]End - Use Prices'!$C$6:$AL$89,MATCH($C115,'[1]End - Use Prices'!$A$6:$A$89,0)+MATCH($D115,'[1]End - Use Prices'!$B$9:$B$11,0)-1,MATCH(AE$1,'[1]End - Use Prices'!$C$7:$AL$7,0))</f>
        <v>40.17</v>
      </c>
      <c r="AF115" s="41">
        <f>INDEX('[1]End - Use Prices'!$C$6:$AL$89,MATCH($C115,'[1]End - Use Prices'!$A$6:$A$89,0)+MATCH($D115,'[1]End - Use Prices'!$B$9:$B$11,0)-1,MATCH(AF$1,'[1]End - Use Prices'!$C$7:$AL$7,0))</f>
        <v>42.35</v>
      </c>
      <c r="AG115" s="41">
        <f>INDEX('[1]End - Use Prices'!$C$6:$AL$89,MATCH($C115,'[1]End - Use Prices'!$A$6:$A$89,0)+MATCH($D115,'[1]End - Use Prices'!$B$9:$B$11,0)-1,MATCH(AG$1,'[1]End - Use Prices'!$C$7:$AL$7,0))</f>
        <v>36.65</v>
      </c>
      <c r="AH115" s="41">
        <f>INDEX('[1]End - Use Prices'!$C$6:$AL$89,MATCH($C115,'[1]End - Use Prices'!$A$6:$A$89,0)+MATCH($D115,'[1]End - Use Prices'!$B$9:$B$11,0)-1,MATCH(AH$1,'[1]End - Use Prices'!$C$7:$AL$7,0))</f>
        <v>33.81</v>
      </c>
      <c r="AI115" s="41">
        <f>INDEX('[1]End - Use Prices'!$C$6:$AL$89,MATCH($C115,'[1]End - Use Prices'!$A$6:$A$89,0)+MATCH($D115,'[1]End - Use Prices'!$B$9:$B$11,0)-1,MATCH(AI$1,'[1]End - Use Prices'!$C$7:$AL$7,0))</f>
        <v>30.08</v>
      </c>
      <c r="AJ115" s="41">
        <f>INDEX('[1]End - Use Prices'!$C$6:$AL$89,MATCH($C115,'[1]End - Use Prices'!$A$6:$A$89,0)+MATCH($D115,'[1]End - Use Prices'!$B$9:$B$11,0)-1,MATCH(AJ$1,'[1]End - Use Prices'!$C$7:$AL$7,0))</f>
        <v>30.5</v>
      </c>
      <c r="AK115" s="41">
        <f>INDEX('[1]End - Use Prices'!$C$6:$AL$89,MATCH($C115,'[1]End - Use Prices'!$A$6:$A$89,0)+MATCH($D115,'[1]End - Use Prices'!$B$9:$B$11,0)-1,MATCH(AK$1,'[1]End - Use Prices'!$C$7:$AL$7,0))</f>
        <v>31.18</v>
      </c>
      <c r="AL115" s="41">
        <f>INDEX('[1]End - Use Prices'!$C$6:$AL$89,MATCH($C115,'[1]End - Use Prices'!$A$6:$A$89,0)+MATCH($D115,'[1]End - Use Prices'!$B$9:$B$11,0)-1,MATCH(AL$1,'[1]End - Use Prices'!$C$7:$AL$7,0))</f>
        <v>31.86</v>
      </c>
      <c r="AM115" s="41">
        <f>INDEX('[1]End - Use Prices'!$C$6:$AL$89,MATCH($C115,'[1]End - Use Prices'!$A$6:$A$89,0)+MATCH($D115,'[1]End - Use Prices'!$B$9:$B$11,0)-1,MATCH(AM$1,'[1]End - Use Prices'!$C$7:$AL$7,0))</f>
        <v>32.520000000000003</v>
      </c>
      <c r="AN115" s="41">
        <f>INDEX('[1]End - Use Prices'!$C$6:$AL$89,MATCH($C115,'[1]End - Use Prices'!$A$6:$A$89,0)+MATCH($D115,'[1]End - Use Prices'!$B$9:$B$11,0)-1,MATCH(AN$1,'[1]End - Use Prices'!$C$7:$AL$7,0))</f>
        <v>33.159999999999997</v>
      </c>
      <c r="AO115" s="41">
        <f>INDEX('[1]End - Use Prices'!$C$6:$AL$89,MATCH($C115,'[1]End - Use Prices'!$A$6:$A$89,0)+MATCH($D115,'[1]End - Use Prices'!$B$9:$B$11,0)-1,MATCH(AO$1,'[1]End - Use Prices'!$C$7:$AL$7,0))</f>
        <v>33.78</v>
      </c>
      <c r="AP115" s="41">
        <f>INDEX('[1]End - Use Prices'!$C$6:$AL$89,MATCH($C115,'[1]End - Use Prices'!$A$6:$A$89,0)+MATCH($D115,'[1]End - Use Prices'!$B$9:$B$11,0)-1,MATCH(AP$1,'[1]End - Use Prices'!$C$7:$AL$7,0))</f>
        <v>34.369999999999997</v>
      </c>
      <c r="AQ115" s="41">
        <f>INDEX('[1]End - Use Prices'!$C$6:$AL$89,MATCH($C115,'[1]End - Use Prices'!$A$6:$A$89,0)+MATCH($D115,'[1]End - Use Prices'!$B$9:$B$11,0)-1,MATCH(AQ$1,'[1]End - Use Prices'!$C$7:$AL$7,0))</f>
        <v>34.94</v>
      </c>
      <c r="AR115" s="41">
        <f>INDEX('[1]End - Use Prices'!$C$6:$AL$89,MATCH($C115,'[1]End - Use Prices'!$A$6:$A$89,0)+MATCH($D115,'[1]End - Use Prices'!$B$9:$B$11,0)-1,MATCH(AR$1,'[1]End - Use Prices'!$C$7:$AL$7,0))</f>
        <v>35.47</v>
      </c>
      <c r="AS115" s="41">
        <f>INDEX('[1]End - Use Prices'!$C$6:$AL$89,MATCH($C115,'[1]End - Use Prices'!$A$6:$A$89,0)+MATCH($D115,'[1]End - Use Prices'!$B$9:$B$11,0)-1,MATCH(AS$1,'[1]End - Use Prices'!$C$7:$AL$7,0))</f>
        <v>35.97</v>
      </c>
      <c r="AT115" s="41">
        <f>INDEX('[1]End - Use Prices'!$C$6:$AL$89,MATCH($C115,'[1]End - Use Prices'!$A$6:$A$89,0)+MATCH($D115,'[1]End - Use Prices'!$B$9:$B$11,0)-1,MATCH(AT$1,'[1]End - Use Prices'!$C$7:$AL$7,0))</f>
        <v>36.44</v>
      </c>
      <c r="AU115" s="41">
        <f>INDEX('[1]End - Use Prices'!$C$6:$AL$89,MATCH($C115,'[1]End - Use Prices'!$A$6:$A$89,0)+MATCH($D115,'[1]End - Use Prices'!$B$9:$B$11,0)-1,MATCH(AU$1,'[1]End - Use Prices'!$C$7:$AL$7,0))</f>
        <v>36.86</v>
      </c>
      <c r="AV115" s="41">
        <f>INDEX('[1]End - Use Prices'!$C$6:$AL$89,MATCH($C115,'[1]End - Use Prices'!$A$6:$A$89,0)+MATCH($D115,'[1]End - Use Prices'!$B$9:$B$11,0)-1,MATCH(AV$1,'[1]End - Use Prices'!$C$7:$AL$7,0))</f>
        <v>37.24</v>
      </c>
      <c r="AW115" s="41">
        <f>INDEX('[1]End - Use Prices'!$C$6:$AL$89,MATCH($C115,'[1]End - Use Prices'!$A$6:$A$89,0)+MATCH($D115,'[1]End - Use Prices'!$B$9:$B$11,0)-1,MATCH(AW$1,'[1]End - Use Prices'!$C$7:$AL$7,0))</f>
        <v>37.57</v>
      </c>
      <c r="AX115" s="41">
        <f>INDEX('[1]End - Use Prices'!$C$6:$AL$89,MATCH($C115,'[1]End - Use Prices'!$A$6:$A$89,0)+MATCH($D115,'[1]End - Use Prices'!$B$9:$B$11,0)-1,MATCH(AX$1,'[1]End - Use Prices'!$C$7:$AL$7,0))</f>
        <v>37.85</v>
      </c>
      <c r="AY115" s="41">
        <f>INDEX('[1]End - Use Prices'!$C$6:$AL$89,MATCH($C115,'[1]End - Use Prices'!$A$6:$A$89,0)+MATCH($D115,'[1]End - Use Prices'!$B$9:$B$11,0)-1,MATCH(AY$1,'[1]End - Use Prices'!$C$7:$AL$7,0))</f>
        <v>38.07</v>
      </c>
      <c r="AZ115" s="41">
        <f>INDEX('[1]End - Use Prices'!$C$6:$AL$89,MATCH($C115,'[1]End - Use Prices'!$A$6:$A$89,0)+MATCH($D115,'[1]End - Use Prices'!$B$9:$B$11,0)-1,MATCH(AZ$1,'[1]End - Use Prices'!$C$7:$AL$7,0))</f>
        <v>38.24</v>
      </c>
      <c r="BA115" s="41">
        <f>INDEX('[1]End - Use Prices'!$C$6:$AL$89,MATCH($C115,'[1]End - Use Prices'!$A$6:$A$89,0)+MATCH($D115,'[1]End - Use Prices'!$B$9:$B$11,0)-1,MATCH(BA$1,'[1]End - Use Prices'!$C$7:$AL$7,0))</f>
        <v>38.35</v>
      </c>
      <c r="BB115" s="41">
        <f>INDEX('[1]End - Use Prices'!$C$6:$AL$89,MATCH($C115,'[1]End - Use Prices'!$A$6:$A$89,0)+MATCH($D115,'[1]End - Use Prices'!$B$9:$B$11,0)-1,MATCH(BB$1,'[1]End - Use Prices'!$C$7:$AL$7,0))</f>
        <v>38.39</v>
      </c>
      <c r="BC115" s="41">
        <f>INDEX('[1]End - Use Prices'!$C$6:$AL$89,MATCH($C115,'[1]End - Use Prices'!$A$6:$A$89,0)+MATCH($D115,'[1]End - Use Prices'!$B$9:$B$11,0)-1,MATCH(BC$1,'[1]End - Use Prices'!$C$7:$AL$7,0))</f>
        <v>38.369999999999997</v>
      </c>
      <c r="BD115" s="41">
        <f>INDEX('[1]End - Use Prices'!$C$6:$AL$89,MATCH($C115,'[1]End - Use Prices'!$A$6:$A$89,0)+MATCH($D115,'[1]End - Use Prices'!$B$9:$B$11,0)-1,MATCH(BD$1,'[1]End - Use Prices'!$C$7:$AL$7,0))</f>
        <v>38.270000000000003</v>
      </c>
      <c r="BE115" s="41">
        <f>INDEX('[1]End - Use Prices'!$C$6:$AL$89,MATCH($C115,'[1]End - Use Prices'!$A$6:$A$89,0)+MATCH($D115,'[1]End - Use Prices'!$B$9:$B$11,0)-1,MATCH(BE$1,'[1]End - Use Prices'!$C$7:$AL$7,0))</f>
        <v>38.11</v>
      </c>
      <c r="BF115" s="41">
        <f>INDEX('[1]End - Use Prices'!$C$6:$AL$89,MATCH($C115,'[1]End - Use Prices'!$A$6:$A$89,0)+MATCH($D115,'[1]End - Use Prices'!$B$9:$B$11,0)-1,MATCH(BF$1,'[1]End - Use Prices'!$C$7:$AL$7,0))</f>
        <v>37.86</v>
      </c>
      <c r="BG115" s="41">
        <f>INDEX('[1]End - Use Prices'!$C$6:$AL$89,MATCH($C115,'[1]End - Use Prices'!$A$6:$A$89,0)+MATCH($D115,'[1]End - Use Prices'!$B$9:$B$11,0)-1,MATCH(BG$1,'[1]End - Use Prices'!$C$7:$AL$7,0))</f>
        <v>37.54</v>
      </c>
      <c r="BR115" s="39"/>
      <c r="BS115" s="39"/>
      <c r="BT115" s="39"/>
      <c r="BU115" s="39"/>
      <c r="BV115" s="39"/>
      <c r="BW115" s="39"/>
      <c r="BX115" s="39"/>
      <c r="BY115" s="39"/>
      <c r="BZ115" s="39"/>
      <c r="CA115" s="39"/>
    </row>
    <row r="116" spans="1:79" x14ac:dyDescent="0.25">
      <c r="A116" s="5"/>
      <c r="B116" s="3"/>
      <c r="C116" s="25" t="s">
        <v>61</v>
      </c>
      <c r="D116" s="25" t="s">
        <v>2</v>
      </c>
      <c r="E116" s="25" t="s">
        <v>313</v>
      </c>
      <c r="F116" s="74" t="s">
        <v>310</v>
      </c>
      <c r="G116" s="54">
        <f t="shared" si="100"/>
        <v>22.24</v>
      </c>
      <c r="H116" s="34">
        <f t="shared" si="101"/>
        <v>22.24</v>
      </c>
      <c r="I116" s="34">
        <f t="shared" si="101"/>
        <v>25.9</v>
      </c>
      <c r="J116" s="34">
        <f t="shared" si="101"/>
        <v>30.53</v>
      </c>
      <c r="K116" s="34">
        <f t="shared" si="101"/>
        <v>31.99</v>
      </c>
      <c r="L116" s="34">
        <f t="shared" si="101"/>
        <v>32.61</v>
      </c>
      <c r="M116" s="34">
        <f t="shared" si="101"/>
        <v>33.25</v>
      </c>
      <c r="N116" s="34">
        <f t="shared" si="101"/>
        <v>33.76</v>
      </c>
      <c r="O116" s="34">
        <f t="shared" si="101"/>
        <v>34</v>
      </c>
      <c r="P116" s="54">
        <f t="shared" ref="P116:Q116" si="112">O116</f>
        <v>34</v>
      </c>
      <c r="Q116" s="54">
        <f t="shared" si="112"/>
        <v>34</v>
      </c>
      <c r="R116" s="38"/>
      <c r="X116" s="41">
        <f>INDEX('[1]End - Use Prices'!$C$6:$AL$89,MATCH($C116,'[1]End - Use Prices'!$A$6:$A$89,0)+MATCH($D116,'[1]End - Use Prices'!$B$9:$B$11,0)-1,MATCH(X$1,'[1]End - Use Prices'!$C$7:$AL$7,0))</f>
        <v>22.24</v>
      </c>
      <c r="Y116" s="41">
        <f>INDEX('[1]End - Use Prices'!$C$6:$AL$89,MATCH($C116,'[1]End - Use Prices'!$A$6:$A$89,0)+MATCH($D116,'[1]End - Use Prices'!$B$9:$B$11,0)-1,MATCH(Y$1,'[1]End - Use Prices'!$C$7:$AL$7,0))</f>
        <v>23.07</v>
      </c>
      <c r="Z116" s="41">
        <f>INDEX('[1]End - Use Prices'!$C$6:$AL$89,MATCH($C116,'[1]End - Use Prices'!$A$6:$A$89,0)+MATCH($D116,'[1]End - Use Prices'!$B$9:$B$11,0)-1,MATCH(Z$1,'[1]End - Use Prices'!$C$7:$AL$7,0))</f>
        <v>22.79</v>
      </c>
      <c r="AA116" s="41">
        <f>INDEX('[1]End - Use Prices'!$C$6:$AL$89,MATCH($C116,'[1]End - Use Prices'!$A$6:$A$89,0)+MATCH($D116,'[1]End - Use Prices'!$B$9:$B$11,0)-1,MATCH(AA$1,'[1]End - Use Prices'!$C$7:$AL$7,0))</f>
        <v>22.61</v>
      </c>
      <c r="AB116" s="41">
        <f>INDEX('[1]End - Use Prices'!$C$6:$AL$89,MATCH($C116,'[1]End - Use Prices'!$A$6:$A$89,0)+MATCH($D116,'[1]End - Use Prices'!$B$9:$B$11,0)-1,MATCH(AB$1,'[1]End - Use Prices'!$C$7:$AL$7,0))</f>
        <v>23.66</v>
      </c>
      <c r="AC116" s="41">
        <f>INDEX('[1]End - Use Prices'!$C$6:$AL$89,MATCH($C116,'[1]End - Use Prices'!$A$6:$A$89,0)+MATCH($D116,'[1]End - Use Prices'!$B$9:$B$11,0)-1,MATCH(AC$1,'[1]End - Use Prices'!$C$7:$AL$7,0))</f>
        <v>25.9</v>
      </c>
      <c r="AD116" s="41">
        <f>INDEX('[1]End - Use Prices'!$C$6:$AL$89,MATCH($C116,'[1]End - Use Prices'!$A$6:$A$89,0)+MATCH($D116,'[1]End - Use Prices'!$B$9:$B$11,0)-1,MATCH(AD$1,'[1]End - Use Prices'!$C$7:$AL$7,0))</f>
        <v>25.46</v>
      </c>
      <c r="AE116" s="41">
        <f>INDEX('[1]End - Use Prices'!$C$6:$AL$89,MATCH($C116,'[1]End - Use Prices'!$A$6:$A$89,0)+MATCH($D116,'[1]End - Use Prices'!$B$9:$B$11,0)-1,MATCH(AE$1,'[1]End - Use Prices'!$C$7:$AL$7,0))</f>
        <v>28.65</v>
      </c>
      <c r="AF116" s="41">
        <f>INDEX('[1]End - Use Prices'!$C$6:$AL$89,MATCH($C116,'[1]End - Use Prices'!$A$6:$A$89,0)+MATCH($D116,'[1]End - Use Prices'!$B$9:$B$11,0)-1,MATCH(AF$1,'[1]End - Use Prices'!$C$7:$AL$7,0))</f>
        <v>27.24</v>
      </c>
      <c r="AG116" s="41">
        <f>INDEX('[1]End - Use Prices'!$C$6:$AL$89,MATCH($C116,'[1]End - Use Prices'!$A$6:$A$89,0)+MATCH($D116,'[1]End - Use Prices'!$B$9:$B$11,0)-1,MATCH(AG$1,'[1]End - Use Prices'!$C$7:$AL$7,0))</f>
        <v>28.61</v>
      </c>
      <c r="AH116" s="41">
        <f>INDEX('[1]End - Use Prices'!$C$6:$AL$89,MATCH($C116,'[1]End - Use Prices'!$A$6:$A$89,0)+MATCH($D116,'[1]End - Use Prices'!$B$9:$B$11,0)-1,MATCH(AH$1,'[1]End - Use Prices'!$C$7:$AL$7,0))</f>
        <v>30.53</v>
      </c>
      <c r="AI116" s="41">
        <f>INDEX('[1]End - Use Prices'!$C$6:$AL$89,MATCH($C116,'[1]End - Use Prices'!$A$6:$A$89,0)+MATCH($D116,'[1]End - Use Prices'!$B$9:$B$11,0)-1,MATCH(AI$1,'[1]End - Use Prices'!$C$7:$AL$7,0))</f>
        <v>31.55</v>
      </c>
      <c r="AJ116" s="41">
        <f>INDEX('[1]End - Use Prices'!$C$6:$AL$89,MATCH($C116,'[1]End - Use Prices'!$A$6:$A$89,0)+MATCH($D116,'[1]End - Use Prices'!$B$9:$B$11,0)-1,MATCH(AJ$1,'[1]End - Use Prices'!$C$7:$AL$7,0))</f>
        <v>31.68</v>
      </c>
      <c r="AK116" s="41">
        <f>INDEX('[1]End - Use Prices'!$C$6:$AL$89,MATCH($C116,'[1]End - Use Prices'!$A$6:$A$89,0)+MATCH($D116,'[1]End - Use Prices'!$B$9:$B$11,0)-1,MATCH(AK$1,'[1]End - Use Prices'!$C$7:$AL$7,0))</f>
        <v>31.78</v>
      </c>
      <c r="AL116" s="41">
        <f>INDEX('[1]End - Use Prices'!$C$6:$AL$89,MATCH($C116,'[1]End - Use Prices'!$A$6:$A$89,0)+MATCH($D116,'[1]End - Use Prices'!$B$9:$B$11,0)-1,MATCH(AL$1,'[1]End - Use Prices'!$C$7:$AL$7,0))</f>
        <v>31.88</v>
      </c>
      <c r="AM116" s="41">
        <f>INDEX('[1]End - Use Prices'!$C$6:$AL$89,MATCH($C116,'[1]End - Use Prices'!$A$6:$A$89,0)+MATCH($D116,'[1]End - Use Prices'!$B$9:$B$11,0)-1,MATCH(AM$1,'[1]End - Use Prices'!$C$7:$AL$7,0))</f>
        <v>31.99</v>
      </c>
      <c r="AN116" s="41">
        <f>INDEX('[1]End - Use Prices'!$C$6:$AL$89,MATCH($C116,'[1]End - Use Prices'!$A$6:$A$89,0)+MATCH($D116,'[1]End - Use Prices'!$B$9:$B$11,0)-1,MATCH(AN$1,'[1]End - Use Prices'!$C$7:$AL$7,0))</f>
        <v>32.1</v>
      </c>
      <c r="AO116" s="41">
        <f>INDEX('[1]End - Use Prices'!$C$6:$AL$89,MATCH($C116,'[1]End - Use Prices'!$A$6:$A$89,0)+MATCH($D116,'[1]End - Use Prices'!$B$9:$B$11,0)-1,MATCH(AO$1,'[1]End - Use Prices'!$C$7:$AL$7,0))</f>
        <v>32.229999999999997</v>
      </c>
      <c r="AP116" s="41">
        <f>INDEX('[1]End - Use Prices'!$C$6:$AL$89,MATCH($C116,'[1]End - Use Prices'!$A$6:$A$89,0)+MATCH($D116,'[1]End - Use Prices'!$B$9:$B$11,0)-1,MATCH(AP$1,'[1]End - Use Prices'!$C$7:$AL$7,0))</f>
        <v>32.35</v>
      </c>
      <c r="AQ116" s="41">
        <f>INDEX('[1]End - Use Prices'!$C$6:$AL$89,MATCH($C116,'[1]End - Use Prices'!$A$6:$A$89,0)+MATCH($D116,'[1]End - Use Prices'!$B$9:$B$11,0)-1,MATCH(AQ$1,'[1]End - Use Prices'!$C$7:$AL$7,0))</f>
        <v>32.479999999999997</v>
      </c>
      <c r="AR116" s="41">
        <f>INDEX('[1]End - Use Prices'!$C$6:$AL$89,MATCH($C116,'[1]End - Use Prices'!$A$6:$A$89,0)+MATCH($D116,'[1]End - Use Prices'!$B$9:$B$11,0)-1,MATCH(AR$1,'[1]End - Use Prices'!$C$7:$AL$7,0))</f>
        <v>32.61</v>
      </c>
      <c r="AS116" s="41">
        <f>INDEX('[1]End - Use Prices'!$C$6:$AL$89,MATCH($C116,'[1]End - Use Prices'!$A$6:$A$89,0)+MATCH($D116,'[1]End - Use Prices'!$B$9:$B$11,0)-1,MATCH(AS$1,'[1]End - Use Prices'!$C$7:$AL$7,0))</f>
        <v>32.74</v>
      </c>
      <c r="AT116" s="41">
        <f>INDEX('[1]End - Use Prices'!$C$6:$AL$89,MATCH($C116,'[1]End - Use Prices'!$A$6:$A$89,0)+MATCH($D116,'[1]End - Use Prices'!$B$9:$B$11,0)-1,MATCH(AT$1,'[1]End - Use Prices'!$C$7:$AL$7,0))</f>
        <v>32.869999999999997</v>
      </c>
      <c r="AU116" s="41">
        <f>INDEX('[1]End - Use Prices'!$C$6:$AL$89,MATCH($C116,'[1]End - Use Prices'!$A$6:$A$89,0)+MATCH($D116,'[1]End - Use Prices'!$B$9:$B$11,0)-1,MATCH(AU$1,'[1]End - Use Prices'!$C$7:$AL$7,0))</f>
        <v>33</v>
      </c>
      <c r="AV116" s="41">
        <f>INDEX('[1]End - Use Prices'!$C$6:$AL$89,MATCH($C116,'[1]End - Use Prices'!$A$6:$A$89,0)+MATCH($D116,'[1]End - Use Prices'!$B$9:$B$11,0)-1,MATCH(AV$1,'[1]End - Use Prices'!$C$7:$AL$7,0))</f>
        <v>33.130000000000003</v>
      </c>
      <c r="AW116" s="41">
        <f>INDEX('[1]End - Use Prices'!$C$6:$AL$89,MATCH($C116,'[1]End - Use Prices'!$A$6:$A$89,0)+MATCH($D116,'[1]End - Use Prices'!$B$9:$B$11,0)-1,MATCH(AW$1,'[1]End - Use Prices'!$C$7:$AL$7,0))</f>
        <v>33.25</v>
      </c>
      <c r="AX116" s="41">
        <f>INDEX('[1]End - Use Prices'!$C$6:$AL$89,MATCH($C116,'[1]End - Use Prices'!$A$6:$A$89,0)+MATCH($D116,'[1]End - Use Prices'!$B$9:$B$11,0)-1,MATCH(AX$1,'[1]End - Use Prices'!$C$7:$AL$7,0))</f>
        <v>33.369999999999997</v>
      </c>
      <c r="AY116" s="41">
        <f>INDEX('[1]End - Use Prices'!$C$6:$AL$89,MATCH($C116,'[1]End - Use Prices'!$A$6:$A$89,0)+MATCH($D116,'[1]End - Use Prices'!$B$9:$B$11,0)-1,MATCH(AY$1,'[1]End - Use Prices'!$C$7:$AL$7,0))</f>
        <v>33.479999999999997</v>
      </c>
      <c r="AZ116" s="41">
        <f>INDEX('[1]End - Use Prices'!$C$6:$AL$89,MATCH($C116,'[1]End - Use Prices'!$A$6:$A$89,0)+MATCH($D116,'[1]End - Use Prices'!$B$9:$B$11,0)-1,MATCH(AZ$1,'[1]End - Use Prices'!$C$7:$AL$7,0))</f>
        <v>33.58</v>
      </c>
      <c r="BA116" s="41">
        <f>INDEX('[1]End - Use Prices'!$C$6:$AL$89,MATCH($C116,'[1]End - Use Prices'!$A$6:$A$89,0)+MATCH($D116,'[1]End - Use Prices'!$B$9:$B$11,0)-1,MATCH(BA$1,'[1]End - Use Prices'!$C$7:$AL$7,0))</f>
        <v>33.68</v>
      </c>
      <c r="BB116" s="41">
        <f>INDEX('[1]End - Use Prices'!$C$6:$AL$89,MATCH($C116,'[1]End - Use Prices'!$A$6:$A$89,0)+MATCH($D116,'[1]End - Use Prices'!$B$9:$B$11,0)-1,MATCH(BB$1,'[1]End - Use Prices'!$C$7:$AL$7,0))</f>
        <v>33.76</v>
      </c>
      <c r="BC116" s="41">
        <f>INDEX('[1]End - Use Prices'!$C$6:$AL$89,MATCH($C116,'[1]End - Use Prices'!$A$6:$A$89,0)+MATCH($D116,'[1]End - Use Prices'!$B$9:$B$11,0)-1,MATCH(BC$1,'[1]End - Use Prices'!$C$7:$AL$7,0))</f>
        <v>33.840000000000003</v>
      </c>
      <c r="BD116" s="41">
        <f>INDEX('[1]End - Use Prices'!$C$6:$AL$89,MATCH($C116,'[1]End - Use Prices'!$A$6:$A$89,0)+MATCH($D116,'[1]End - Use Prices'!$B$9:$B$11,0)-1,MATCH(BD$1,'[1]End - Use Prices'!$C$7:$AL$7,0))</f>
        <v>33.9</v>
      </c>
      <c r="BE116" s="41">
        <f>INDEX('[1]End - Use Prices'!$C$6:$AL$89,MATCH($C116,'[1]End - Use Prices'!$A$6:$A$89,0)+MATCH($D116,'[1]End - Use Prices'!$B$9:$B$11,0)-1,MATCH(BE$1,'[1]End - Use Prices'!$C$7:$AL$7,0))</f>
        <v>33.950000000000003</v>
      </c>
      <c r="BF116" s="41">
        <f>INDEX('[1]End - Use Prices'!$C$6:$AL$89,MATCH($C116,'[1]End - Use Prices'!$A$6:$A$89,0)+MATCH($D116,'[1]End - Use Prices'!$B$9:$B$11,0)-1,MATCH(BF$1,'[1]End - Use Prices'!$C$7:$AL$7,0))</f>
        <v>33.979999999999997</v>
      </c>
      <c r="BG116" s="41">
        <f>INDEX('[1]End - Use Prices'!$C$6:$AL$89,MATCH($C116,'[1]End - Use Prices'!$A$6:$A$89,0)+MATCH($D116,'[1]End - Use Prices'!$B$9:$B$11,0)-1,MATCH(BG$1,'[1]End - Use Prices'!$C$7:$AL$7,0))</f>
        <v>34</v>
      </c>
      <c r="BR116" s="39"/>
      <c r="BS116" s="39"/>
      <c r="BT116" s="39"/>
      <c r="BU116" s="39"/>
      <c r="BV116" s="39"/>
      <c r="BW116" s="39"/>
      <c r="BX116" s="39"/>
      <c r="BY116" s="39"/>
      <c r="BZ116" s="39"/>
      <c r="CA116" s="39"/>
    </row>
    <row r="117" spans="1:79" x14ac:dyDescent="0.25">
      <c r="A117" s="5"/>
      <c r="B117" s="3"/>
      <c r="C117" s="25" t="s">
        <v>95</v>
      </c>
      <c r="D117" s="25" t="s">
        <v>2</v>
      </c>
      <c r="E117" s="25" t="s">
        <v>313</v>
      </c>
      <c r="F117" s="74" t="s">
        <v>310</v>
      </c>
      <c r="G117" s="54">
        <f t="shared" si="100"/>
        <v>33.479999999999997</v>
      </c>
      <c r="H117" s="34">
        <f t="shared" si="101"/>
        <v>33.479999999999997</v>
      </c>
      <c r="I117" s="34">
        <f t="shared" si="101"/>
        <v>37.69</v>
      </c>
      <c r="J117" s="34">
        <f t="shared" si="101"/>
        <v>47.73</v>
      </c>
      <c r="K117" s="34">
        <f t="shared" si="101"/>
        <v>48.18</v>
      </c>
      <c r="L117" s="34">
        <f t="shared" si="101"/>
        <v>49.04</v>
      </c>
      <c r="M117" s="34">
        <f t="shared" si="101"/>
        <v>49.97</v>
      </c>
      <c r="N117" s="34">
        <f t="shared" si="101"/>
        <v>50.92</v>
      </c>
      <c r="O117" s="34">
        <f t="shared" si="101"/>
        <v>51.85</v>
      </c>
      <c r="P117" s="54">
        <f t="shared" ref="P117:Q117" si="113">O117</f>
        <v>51.85</v>
      </c>
      <c r="Q117" s="54">
        <f t="shared" si="113"/>
        <v>51.85</v>
      </c>
      <c r="R117" s="38"/>
      <c r="X117" s="41">
        <f>INDEX('[1]End - Use Prices'!$C$6:$AL$89,MATCH($C117,'[1]End - Use Prices'!$A$6:$A$89,0)+MATCH($D117,'[1]End - Use Prices'!$B$9:$B$11,0)-1,MATCH(X$1,'[1]End - Use Prices'!$C$7:$AL$7,0))</f>
        <v>33.479999999999997</v>
      </c>
      <c r="Y117" s="41">
        <f>INDEX('[1]End - Use Prices'!$C$6:$AL$89,MATCH($C117,'[1]End - Use Prices'!$A$6:$A$89,0)+MATCH($D117,'[1]End - Use Prices'!$B$9:$B$11,0)-1,MATCH(Y$1,'[1]End - Use Prices'!$C$7:$AL$7,0))</f>
        <v>34.72</v>
      </c>
      <c r="Z117" s="41">
        <f>INDEX('[1]End - Use Prices'!$C$6:$AL$89,MATCH($C117,'[1]End - Use Prices'!$A$6:$A$89,0)+MATCH($D117,'[1]End - Use Prices'!$B$9:$B$11,0)-1,MATCH(Z$1,'[1]End - Use Prices'!$C$7:$AL$7,0))</f>
        <v>34.299999999999997</v>
      </c>
      <c r="AA117" s="41">
        <f>INDEX('[1]End - Use Prices'!$C$6:$AL$89,MATCH($C117,'[1]End - Use Prices'!$A$6:$A$89,0)+MATCH($D117,'[1]End - Use Prices'!$B$9:$B$11,0)-1,MATCH(AA$1,'[1]End - Use Prices'!$C$7:$AL$7,0))</f>
        <v>34</v>
      </c>
      <c r="AB117" s="41">
        <f>INDEX('[1]End - Use Prices'!$C$6:$AL$89,MATCH($C117,'[1]End - Use Prices'!$A$6:$A$89,0)+MATCH($D117,'[1]End - Use Prices'!$B$9:$B$11,0)-1,MATCH(AB$1,'[1]End - Use Prices'!$C$7:$AL$7,0))</f>
        <v>35.590000000000003</v>
      </c>
      <c r="AC117" s="41">
        <f>INDEX('[1]End - Use Prices'!$C$6:$AL$89,MATCH($C117,'[1]End - Use Prices'!$A$6:$A$89,0)+MATCH($D117,'[1]End - Use Prices'!$B$9:$B$11,0)-1,MATCH(AC$1,'[1]End - Use Prices'!$C$7:$AL$7,0))</f>
        <v>37.69</v>
      </c>
      <c r="AD117" s="41">
        <f>INDEX('[1]End - Use Prices'!$C$6:$AL$89,MATCH($C117,'[1]End - Use Prices'!$A$6:$A$89,0)+MATCH($D117,'[1]End - Use Prices'!$B$9:$B$11,0)-1,MATCH(AD$1,'[1]End - Use Prices'!$C$7:$AL$7,0))</f>
        <v>35.89</v>
      </c>
      <c r="AE117" s="41">
        <f>INDEX('[1]End - Use Prices'!$C$6:$AL$89,MATCH($C117,'[1]End - Use Prices'!$A$6:$A$89,0)+MATCH($D117,'[1]End - Use Prices'!$B$9:$B$11,0)-1,MATCH(AE$1,'[1]End - Use Prices'!$C$7:$AL$7,0))</f>
        <v>40.39</v>
      </c>
      <c r="AF117" s="41">
        <f>INDEX('[1]End - Use Prices'!$C$6:$AL$89,MATCH($C117,'[1]End - Use Prices'!$A$6:$A$89,0)+MATCH($D117,'[1]End - Use Prices'!$B$9:$B$11,0)-1,MATCH(AF$1,'[1]End - Use Prices'!$C$7:$AL$7,0))</f>
        <v>40.28</v>
      </c>
      <c r="AG117" s="41">
        <f>INDEX('[1]End - Use Prices'!$C$6:$AL$89,MATCH($C117,'[1]End - Use Prices'!$A$6:$A$89,0)+MATCH($D117,'[1]End - Use Prices'!$B$9:$B$11,0)-1,MATCH(AG$1,'[1]End - Use Prices'!$C$7:$AL$7,0))</f>
        <v>47.35</v>
      </c>
      <c r="AH117" s="41">
        <f>INDEX('[1]End - Use Prices'!$C$6:$AL$89,MATCH($C117,'[1]End - Use Prices'!$A$6:$A$89,0)+MATCH($D117,'[1]End - Use Prices'!$B$9:$B$11,0)-1,MATCH(AH$1,'[1]End - Use Prices'!$C$7:$AL$7,0))</f>
        <v>47.73</v>
      </c>
      <c r="AI117" s="41">
        <f>INDEX('[1]End - Use Prices'!$C$6:$AL$89,MATCH($C117,'[1]End - Use Prices'!$A$6:$A$89,0)+MATCH($D117,'[1]End - Use Prices'!$B$9:$B$11,0)-1,MATCH(AI$1,'[1]End - Use Prices'!$C$7:$AL$7,0))</f>
        <v>47.43</v>
      </c>
      <c r="AJ117" s="41">
        <f>INDEX('[1]End - Use Prices'!$C$6:$AL$89,MATCH($C117,'[1]End - Use Prices'!$A$6:$A$89,0)+MATCH($D117,'[1]End - Use Prices'!$B$9:$B$11,0)-1,MATCH(AJ$1,'[1]End - Use Prices'!$C$7:$AL$7,0))</f>
        <v>47.71</v>
      </c>
      <c r="AK117" s="41">
        <f>INDEX('[1]End - Use Prices'!$C$6:$AL$89,MATCH($C117,'[1]End - Use Prices'!$A$6:$A$89,0)+MATCH($D117,'[1]End - Use Prices'!$B$9:$B$11,0)-1,MATCH(AK$1,'[1]End - Use Prices'!$C$7:$AL$7,0))</f>
        <v>47.86</v>
      </c>
      <c r="AL117" s="41">
        <f>INDEX('[1]End - Use Prices'!$C$6:$AL$89,MATCH($C117,'[1]End - Use Prices'!$A$6:$A$89,0)+MATCH($D117,'[1]End - Use Prices'!$B$9:$B$11,0)-1,MATCH(AL$1,'[1]End - Use Prices'!$C$7:$AL$7,0))</f>
        <v>48.02</v>
      </c>
      <c r="AM117" s="41">
        <f>INDEX('[1]End - Use Prices'!$C$6:$AL$89,MATCH($C117,'[1]End - Use Prices'!$A$6:$A$89,0)+MATCH($D117,'[1]End - Use Prices'!$B$9:$B$11,0)-1,MATCH(AM$1,'[1]End - Use Prices'!$C$7:$AL$7,0))</f>
        <v>48.18</v>
      </c>
      <c r="AN117" s="41">
        <f>INDEX('[1]End - Use Prices'!$C$6:$AL$89,MATCH($C117,'[1]End - Use Prices'!$A$6:$A$89,0)+MATCH($D117,'[1]End - Use Prices'!$B$9:$B$11,0)-1,MATCH(AN$1,'[1]End - Use Prices'!$C$7:$AL$7,0))</f>
        <v>48.35</v>
      </c>
      <c r="AO117" s="41">
        <f>INDEX('[1]End - Use Prices'!$C$6:$AL$89,MATCH($C117,'[1]End - Use Prices'!$A$6:$A$89,0)+MATCH($D117,'[1]End - Use Prices'!$B$9:$B$11,0)-1,MATCH(AO$1,'[1]End - Use Prices'!$C$7:$AL$7,0))</f>
        <v>48.52</v>
      </c>
      <c r="AP117" s="41">
        <f>INDEX('[1]End - Use Prices'!$C$6:$AL$89,MATCH($C117,'[1]End - Use Prices'!$A$6:$A$89,0)+MATCH($D117,'[1]End - Use Prices'!$B$9:$B$11,0)-1,MATCH(AP$1,'[1]End - Use Prices'!$C$7:$AL$7,0))</f>
        <v>48.69</v>
      </c>
      <c r="AQ117" s="41">
        <f>INDEX('[1]End - Use Prices'!$C$6:$AL$89,MATCH($C117,'[1]End - Use Prices'!$A$6:$A$89,0)+MATCH($D117,'[1]End - Use Prices'!$B$9:$B$11,0)-1,MATCH(AQ$1,'[1]End - Use Prices'!$C$7:$AL$7,0))</f>
        <v>48.86</v>
      </c>
      <c r="AR117" s="41">
        <f>INDEX('[1]End - Use Prices'!$C$6:$AL$89,MATCH($C117,'[1]End - Use Prices'!$A$6:$A$89,0)+MATCH($D117,'[1]End - Use Prices'!$B$9:$B$11,0)-1,MATCH(AR$1,'[1]End - Use Prices'!$C$7:$AL$7,0))</f>
        <v>49.04</v>
      </c>
      <c r="AS117" s="41">
        <f>INDEX('[1]End - Use Prices'!$C$6:$AL$89,MATCH($C117,'[1]End - Use Prices'!$A$6:$A$89,0)+MATCH($D117,'[1]End - Use Prices'!$B$9:$B$11,0)-1,MATCH(AS$1,'[1]End - Use Prices'!$C$7:$AL$7,0))</f>
        <v>49.22</v>
      </c>
      <c r="AT117" s="41">
        <f>INDEX('[1]End - Use Prices'!$C$6:$AL$89,MATCH($C117,'[1]End - Use Prices'!$A$6:$A$89,0)+MATCH($D117,'[1]End - Use Prices'!$B$9:$B$11,0)-1,MATCH(AT$1,'[1]End - Use Prices'!$C$7:$AL$7,0))</f>
        <v>49.41</v>
      </c>
      <c r="AU117" s="41">
        <f>INDEX('[1]End - Use Prices'!$C$6:$AL$89,MATCH($C117,'[1]End - Use Prices'!$A$6:$A$89,0)+MATCH($D117,'[1]End - Use Prices'!$B$9:$B$11,0)-1,MATCH(AU$1,'[1]End - Use Prices'!$C$7:$AL$7,0))</f>
        <v>49.59</v>
      </c>
      <c r="AV117" s="41">
        <f>INDEX('[1]End - Use Prices'!$C$6:$AL$89,MATCH($C117,'[1]End - Use Prices'!$A$6:$A$89,0)+MATCH($D117,'[1]End - Use Prices'!$B$9:$B$11,0)-1,MATCH(AV$1,'[1]End - Use Prices'!$C$7:$AL$7,0))</f>
        <v>49.78</v>
      </c>
      <c r="AW117" s="41">
        <f>INDEX('[1]End - Use Prices'!$C$6:$AL$89,MATCH($C117,'[1]End - Use Prices'!$A$6:$A$89,0)+MATCH($D117,'[1]End - Use Prices'!$B$9:$B$11,0)-1,MATCH(AW$1,'[1]End - Use Prices'!$C$7:$AL$7,0))</f>
        <v>49.97</v>
      </c>
      <c r="AX117" s="41">
        <f>INDEX('[1]End - Use Prices'!$C$6:$AL$89,MATCH($C117,'[1]End - Use Prices'!$A$6:$A$89,0)+MATCH($D117,'[1]End - Use Prices'!$B$9:$B$11,0)-1,MATCH(AX$1,'[1]End - Use Prices'!$C$7:$AL$7,0))</f>
        <v>50.16</v>
      </c>
      <c r="AY117" s="41">
        <f>INDEX('[1]End - Use Prices'!$C$6:$AL$89,MATCH($C117,'[1]End - Use Prices'!$A$6:$A$89,0)+MATCH($D117,'[1]End - Use Prices'!$B$9:$B$11,0)-1,MATCH(AY$1,'[1]End - Use Prices'!$C$7:$AL$7,0))</f>
        <v>50.35</v>
      </c>
      <c r="AZ117" s="41">
        <f>INDEX('[1]End - Use Prices'!$C$6:$AL$89,MATCH($C117,'[1]End - Use Prices'!$A$6:$A$89,0)+MATCH($D117,'[1]End - Use Prices'!$B$9:$B$11,0)-1,MATCH(AZ$1,'[1]End - Use Prices'!$C$7:$AL$7,0))</f>
        <v>50.54</v>
      </c>
      <c r="BA117" s="41">
        <f>INDEX('[1]End - Use Prices'!$C$6:$AL$89,MATCH($C117,'[1]End - Use Prices'!$A$6:$A$89,0)+MATCH($D117,'[1]End - Use Prices'!$B$9:$B$11,0)-1,MATCH(BA$1,'[1]End - Use Prices'!$C$7:$AL$7,0))</f>
        <v>50.73</v>
      </c>
      <c r="BB117" s="41">
        <f>INDEX('[1]End - Use Prices'!$C$6:$AL$89,MATCH($C117,'[1]End - Use Prices'!$A$6:$A$89,0)+MATCH($D117,'[1]End - Use Prices'!$B$9:$B$11,0)-1,MATCH(BB$1,'[1]End - Use Prices'!$C$7:$AL$7,0))</f>
        <v>50.92</v>
      </c>
      <c r="BC117" s="41">
        <f>INDEX('[1]End - Use Prices'!$C$6:$AL$89,MATCH($C117,'[1]End - Use Prices'!$A$6:$A$89,0)+MATCH($D117,'[1]End - Use Prices'!$B$9:$B$11,0)-1,MATCH(BC$1,'[1]End - Use Prices'!$C$7:$AL$7,0))</f>
        <v>51.11</v>
      </c>
      <c r="BD117" s="41">
        <f>INDEX('[1]End - Use Prices'!$C$6:$AL$89,MATCH($C117,'[1]End - Use Prices'!$A$6:$A$89,0)+MATCH($D117,'[1]End - Use Prices'!$B$9:$B$11,0)-1,MATCH(BD$1,'[1]End - Use Prices'!$C$7:$AL$7,0))</f>
        <v>51.3</v>
      </c>
      <c r="BE117" s="41">
        <f>INDEX('[1]End - Use Prices'!$C$6:$AL$89,MATCH($C117,'[1]End - Use Prices'!$A$6:$A$89,0)+MATCH($D117,'[1]End - Use Prices'!$B$9:$B$11,0)-1,MATCH(BE$1,'[1]End - Use Prices'!$C$7:$AL$7,0))</f>
        <v>51.48</v>
      </c>
      <c r="BF117" s="41">
        <f>INDEX('[1]End - Use Prices'!$C$6:$AL$89,MATCH($C117,'[1]End - Use Prices'!$A$6:$A$89,0)+MATCH($D117,'[1]End - Use Prices'!$B$9:$B$11,0)-1,MATCH(BF$1,'[1]End - Use Prices'!$C$7:$AL$7,0))</f>
        <v>51.67</v>
      </c>
      <c r="BG117" s="41">
        <f>INDEX('[1]End - Use Prices'!$C$6:$AL$89,MATCH($C117,'[1]End - Use Prices'!$A$6:$A$89,0)+MATCH($D117,'[1]End - Use Prices'!$B$9:$B$11,0)-1,MATCH(BG$1,'[1]End - Use Prices'!$C$7:$AL$7,0))</f>
        <v>51.85</v>
      </c>
      <c r="BR117" s="39"/>
      <c r="BS117" s="39"/>
      <c r="BT117" s="39"/>
      <c r="BU117" s="39"/>
      <c r="BV117" s="39"/>
      <c r="BW117" s="39"/>
      <c r="BX117" s="39"/>
      <c r="BY117" s="39"/>
      <c r="BZ117" s="39"/>
      <c r="CA117" s="39"/>
    </row>
    <row r="118" spans="1:79" x14ac:dyDescent="0.25">
      <c r="A118" s="5"/>
      <c r="B118" s="3"/>
      <c r="C118" s="25" t="s">
        <v>97</v>
      </c>
      <c r="D118" s="25" t="s">
        <v>2</v>
      </c>
      <c r="E118" s="25" t="s">
        <v>313</v>
      </c>
      <c r="F118" s="74" t="s">
        <v>310</v>
      </c>
      <c r="G118" s="54">
        <f t="shared" si="100"/>
        <v>80.930000000000007</v>
      </c>
      <c r="H118" s="34">
        <f t="shared" si="101"/>
        <v>80.930000000000007</v>
      </c>
      <c r="I118" s="34">
        <f t="shared" si="101"/>
        <v>89.34</v>
      </c>
      <c r="J118" s="34">
        <f t="shared" si="101"/>
        <v>95.28</v>
      </c>
      <c r="K118" s="34">
        <f t="shared" si="101"/>
        <v>96.87</v>
      </c>
      <c r="L118" s="34">
        <f t="shared" si="101"/>
        <v>98.86</v>
      </c>
      <c r="M118" s="34">
        <f t="shared" si="101"/>
        <v>100.71</v>
      </c>
      <c r="N118" s="34">
        <f t="shared" si="101"/>
        <v>102.6</v>
      </c>
      <c r="O118" s="34">
        <f t="shared" si="101"/>
        <v>104.69</v>
      </c>
      <c r="P118" s="54">
        <f t="shared" ref="P118:Q118" si="114">O118</f>
        <v>104.69</v>
      </c>
      <c r="Q118" s="54">
        <f t="shared" si="114"/>
        <v>104.69</v>
      </c>
      <c r="R118" s="38"/>
      <c r="X118" s="41">
        <f>INDEX('[1]End - Use Prices'!$C$6:$AL$89,MATCH($C118,'[1]End - Use Prices'!$A$6:$A$89,0)+MATCH($D118,'[1]End - Use Prices'!$B$9:$B$11,0)-1,MATCH(X$1,'[1]End - Use Prices'!$C$7:$AL$7,0))</f>
        <v>80.930000000000007</v>
      </c>
      <c r="Y118" s="41">
        <f>INDEX('[1]End - Use Prices'!$C$6:$AL$89,MATCH($C118,'[1]End - Use Prices'!$A$6:$A$89,0)+MATCH($D118,'[1]End - Use Prices'!$B$9:$B$11,0)-1,MATCH(Y$1,'[1]End - Use Prices'!$C$7:$AL$7,0))</f>
        <v>83.41</v>
      </c>
      <c r="Z118" s="41">
        <f>INDEX('[1]End - Use Prices'!$C$6:$AL$89,MATCH($C118,'[1]End - Use Prices'!$A$6:$A$89,0)+MATCH($D118,'[1]End - Use Prices'!$B$9:$B$11,0)-1,MATCH(Z$1,'[1]End - Use Prices'!$C$7:$AL$7,0))</f>
        <v>82.56</v>
      </c>
      <c r="AA118" s="41">
        <f>INDEX('[1]End - Use Prices'!$C$6:$AL$89,MATCH($C118,'[1]End - Use Prices'!$A$6:$A$89,0)+MATCH($D118,'[1]End - Use Prices'!$B$9:$B$11,0)-1,MATCH(AA$1,'[1]End - Use Prices'!$C$7:$AL$7,0))</f>
        <v>81.98</v>
      </c>
      <c r="AB118" s="41">
        <f>INDEX('[1]End - Use Prices'!$C$6:$AL$89,MATCH($C118,'[1]End - Use Prices'!$A$6:$A$89,0)+MATCH($D118,'[1]End - Use Prices'!$B$9:$B$11,0)-1,MATCH(AB$1,'[1]End - Use Prices'!$C$7:$AL$7,0))</f>
        <v>85.14</v>
      </c>
      <c r="AC118" s="41">
        <f>INDEX('[1]End - Use Prices'!$C$6:$AL$89,MATCH($C118,'[1]End - Use Prices'!$A$6:$A$89,0)+MATCH($D118,'[1]End - Use Prices'!$B$9:$B$11,0)-1,MATCH(AC$1,'[1]End - Use Prices'!$C$7:$AL$7,0))</f>
        <v>89.34</v>
      </c>
      <c r="AD118" s="41">
        <f>INDEX('[1]End - Use Prices'!$C$6:$AL$89,MATCH($C118,'[1]End - Use Prices'!$A$6:$A$89,0)+MATCH($D118,'[1]End - Use Prices'!$B$9:$B$11,0)-1,MATCH(AD$1,'[1]End - Use Prices'!$C$7:$AL$7,0))</f>
        <v>85.75</v>
      </c>
      <c r="AE118" s="41">
        <f>INDEX('[1]End - Use Prices'!$C$6:$AL$89,MATCH($C118,'[1]End - Use Prices'!$A$6:$A$89,0)+MATCH($D118,'[1]End - Use Prices'!$B$9:$B$11,0)-1,MATCH(AE$1,'[1]End - Use Prices'!$C$7:$AL$7,0))</f>
        <v>94.73</v>
      </c>
      <c r="AF118" s="41">
        <f>INDEX('[1]End - Use Prices'!$C$6:$AL$89,MATCH($C118,'[1]End - Use Prices'!$A$6:$A$89,0)+MATCH($D118,'[1]End - Use Prices'!$B$9:$B$11,0)-1,MATCH(AF$1,'[1]End - Use Prices'!$C$7:$AL$7,0))</f>
        <v>94.52</v>
      </c>
      <c r="AG118" s="41">
        <f>INDEX('[1]End - Use Prices'!$C$6:$AL$89,MATCH($C118,'[1]End - Use Prices'!$A$6:$A$89,0)+MATCH($D118,'[1]End - Use Prices'!$B$9:$B$11,0)-1,MATCH(AG$1,'[1]End - Use Prices'!$C$7:$AL$7,0))</f>
        <v>94.52</v>
      </c>
      <c r="AH118" s="41">
        <f>INDEX('[1]End - Use Prices'!$C$6:$AL$89,MATCH($C118,'[1]End - Use Prices'!$A$6:$A$89,0)+MATCH($D118,'[1]End - Use Prices'!$B$9:$B$11,0)-1,MATCH(AH$1,'[1]End - Use Prices'!$C$7:$AL$7,0))</f>
        <v>95.28</v>
      </c>
      <c r="AI118" s="41">
        <f>INDEX('[1]End - Use Prices'!$C$6:$AL$89,MATCH($C118,'[1]End - Use Prices'!$A$6:$A$89,0)+MATCH($D118,'[1]End - Use Prices'!$B$9:$B$11,0)-1,MATCH(AI$1,'[1]End - Use Prices'!$C$7:$AL$7,0))</f>
        <v>94.69</v>
      </c>
      <c r="AJ118" s="41">
        <f>INDEX('[1]End - Use Prices'!$C$6:$AL$89,MATCH($C118,'[1]End - Use Prices'!$A$6:$A$89,0)+MATCH($D118,'[1]End - Use Prices'!$B$9:$B$11,0)-1,MATCH(AJ$1,'[1]End - Use Prices'!$C$7:$AL$7,0))</f>
        <v>95.56</v>
      </c>
      <c r="AK118" s="41">
        <f>INDEX('[1]End - Use Prices'!$C$6:$AL$89,MATCH($C118,'[1]End - Use Prices'!$A$6:$A$89,0)+MATCH($D118,'[1]End - Use Prices'!$B$9:$B$11,0)-1,MATCH(AK$1,'[1]End - Use Prices'!$C$7:$AL$7,0))</f>
        <v>96.01</v>
      </c>
      <c r="AL118" s="41">
        <f>INDEX('[1]End - Use Prices'!$C$6:$AL$89,MATCH($C118,'[1]End - Use Prices'!$A$6:$A$89,0)+MATCH($D118,'[1]End - Use Prices'!$B$9:$B$11,0)-1,MATCH(AL$1,'[1]End - Use Prices'!$C$7:$AL$7,0))</f>
        <v>96.45</v>
      </c>
      <c r="AM118" s="41">
        <f>INDEX('[1]End - Use Prices'!$C$6:$AL$89,MATCH($C118,'[1]End - Use Prices'!$A$6:$A$89,0)+MATCH($D118,'[1]End - Use Prices'!$B$9:$B$11,0)-1,MATCH(AM$1,'[1]End - Use Prices'!$C$7:$AL$7,0))</f>
        <v>96.87</v>
      </c>
      <c r="AN118" s="41">
        <f>INDEX('[1]End - Use Prices'!$C$6:$AL$89,MATCH($C118,'[1]End - Use Prices'!$A$6:$A$89,0)+MATCH($D118,'[1]End - Use Prices'!$B$9:$B$11,0)-1,MATCH(AN$1,'[1]End - Use Prices'!$C$7:$AL$7,0))</f>
        <v>97.29</v>
      </c>
      <c r="AO118" s="41">
        <f>INDEX('[1]End - Use Prices'!$C$6:$AL$89,MATCH($C118,'[1]End - Use Prices'!$A$6:$A$89,0)+MATCH($D118,'[1]End - Use Prices'!$B$9:$B$11,0)-1,MATCH(AO$1,'[1]End - Use Prices'!$C$7:$AL$7,0))</f>
        <v>97.69</v>
      </c>
      <c r="AP118" s="41">
        <f>INDEX('[1]End - Use Prices'!$C$6:$AL$89,MATCH($C118,'[1]End - Use Prices'!$A$6:$A$89,0)+MATCH($D118,'[1]End - Use Prices'!$B$9:$B$11,0)-1,MATCH(AP$1,'[1]End - Use Prices'!$C$7:$AL$7,0))</f>
        <v>98.09</v>
      </c>
      <c r="AQ118" s="41">
        <f>INDEX('[1]End - Use Prices'!$C$6:$AL$89,MATCH($C118,'[1]End - Use Prices'!$A$6:$A$89,0)+MATCH($D118,'[1]End - Use Prices'!$B$9:$B$11,0)-1,MATCH(AQ$1,'[1]End - Use Prices'!$C$7:$AL$7,0))</f>
        <v>98.48</v>
      </c>
      <c r="AR118" s="41">
        <f>INDEX('[1]End - Use Prices'!$C$6:$AL$89,MATCH($C118,'[1]End - Use Prices'!$A$6:$A$89,0)+MATCH($D118,'[1]End - Use Prices'!$B$9:$B$11,0)-1,MATCH(AR$1,'[1]End - Use Prices'!$C$7:$AL$7,0))</f>
        <v>98.86</v>
      </c>
      <c r="AS118" s="41">
        <f>INDEX('[1]End - Use Prices'!$C$6:$AL$89,MATCH($C118,'[1]End - Use Prices'!$A$6:$A$89,0)+MATCH($D118,'[1]End - Use Prices'!$B$9:$B$11,0)-1,MATCH(AS$1,'[1]End - Use Prices'!$C$7:$AL$7,0))</f>
        <v>99.23</v>
      </c>
      <c r="AT118" s="41">
        <f>INDEX('[1]End - Use Prices'!$C$6:$AL$89,MATCH($C118,'[1]End - Use Prices'!$A$6:$A$89,0)+MATCH($D118,'[1]End - Use Prices'!$B$9:$B$11,0)-1,MATCH(AT$1,'[1]End - Use Prices'!$C$7:$AL$7,0))</f>
        <v>99.6</v>
      </c>
      <c r="AU118" s="41">
        <f>INDEX('[1]End - Use Prices'!$C$6:$AL$89,MATCH($C118,'[1]End - Use Prices'!$A$6:$A$89,0)+MATCH($D118,'[1]End - Use Prices'!$B$9:$B$11,0)-1,MATCH(AU$1,'[1]End - Use Prices'!$C$7:$AL$7,0))</f>
        <v>99.97</v>
      </c>
      <c r="AV118" s="41">
        <f>INDEX('[1]End - Use Prices'!$C$6:$AL$89,MATCH($C118,'[1]End - Use Prices'!$A$6:$A$89,0)+MATCH($D118,'[1]End - Use Prices'!$B$9:$B$11,0)-1,MATCH(AV$1,'[1]End - Use Prices'!$C$7:$AL$7,0))</f>
        <v>100.34</v>
      </c>
      <c r="AW118" s="41">
        <f>INDEX('[1]End - Use Prices'!$C$6:$AL$89,MATCH($C118,'[1]End - Use Prices'!$A$6:$A$89,0)+MATCH($D118,'[1]End - Use Prices'!$B$9:$B$11,0)-1,MATCH(AW$1,'[1]End - Use Prices'!$C$7:$AL$7,0))</f>
        <v>100.71</v>
      </c>
      <c r="AX118" s="41">
        <f>INDEX('[1]End - Use Prices'!$C$6:$AL$89,MATCH($C118,'[1]End - Use Prices'!$A$6:$A$89,0)+MATCH($D118,'[1]End - Use Prices'!$B$9:$B$11,0)-1,MATCH(AX$1,'[1]End - Use Prices'!$C$7:$AL$7,0))</f>
        <v>101.08</v>
      </c>
      <c r="AY118" s="41">
        <f>INDEX('[1]End - Use Prices'!$C$6:$AL$89,MATCH($C118,'[1]End - Use Prices'!$A$6:$A$89,0)+MATCH($D118,'[1]End - Use Prices'!$B$9:$B$11,0)-1,MATCH(AY$1,'[1]End - Use Prices'!$C$7:$AL$7,0))</f>
        <v>101.45</v>
      </c>
      <c r="AZ118" s="41">
        <f>INDEX('[1]End - Use Prices'!$C$6:$AL$89,MATCH($C118,'[1]End - Use Prices'!$A$6:$A$89,0)+MATCH($D118,'[1]End - Use Prices'!$B$9:$B$11,0)-1,MATCH(AZ$1,'[1]End - Use Prices'!$C$7:$AL$7,0))</f>
        <v>101.83</v>
      </c>
      <c r="BA118" s="41">
        <f>INDEX('[1]End - Use Prices'!$C$6:$AL$89,MATCH($C118,'[1]End - Use Prices'!$A$6:$A$89,0)+MATCH($D118,'[1]End - Use Prices'!$B$9:$B$11,0)-1,MATCH(BA$1,'[1]End - Use Prices'!$C$7:$AL$7,0))</f>
        <v>102.21</v>
      </c>
      <c r="BB118" s="41">
        <f>INDEX('[1]End - Use Prices'!$C$6:$AL$89,MATCH($C118,'[1]End - Use Prices'!$A$6:$A$89,0)+MATCH($D118,'[1]End - Use Prices'!$B$9:$B$11,0)-1,MATCH(BB$1,'[1]End - Use Prices'!$C$7:$AL$7,0))</f>
        <v>102.6</v>
      </c>
      <c r="BC118" s="41">
        <f>INDEX('[1]End - Use Prices'!$C$6:$AL$89,MATCH($C118,'[1]End - Use Prices'!$A$6:$A$89,0)+MATCH($D118,'[1]End - Use Prices'!$B$9:$B$11,0)-1,MATCH(BC$1,'[1]End - Use Prices'!$C$7:$AL$7,0))</f>
        <v>103</v>
      </c>
      <c r="BD118" s="41">
        <f>INDEX('[1]End - Use Prices'!$C$6:$AL$89,MATCH($C118,'[1]End - Use Prices'!$A$6:$A$89,0)+MATCH($D118,'[1]End - Use Prices'!$B$9:$B$11,0)-1,MATCH(BD$1,'[1]End - Use Prices'!$C$7:$AL$7,0))</f>
        <v>103.4</v>
      </c>
      <c r="BE118" s="41">
        <f>INDEX('[1]End - Use Prices'!$C$6:$AL$89,MATCH($C118,'[1]End - Use Prices'!$A$6:$A$89,0)+MATCH($D118,'[1]End - Use Prices'!$B$9:$B$11,0)-1,MATCH(BE$1,'[1]End - Use Prices'!$C$7:$AL$7,0))</f>
        <v>103.82</v>
      </c>
      <c r="BF118" s="41">
        <f>INDEX('[1]End - Use Prices'!$C$6:$AL$89,MATCH($C118,'[1]End - Use Prices'!$A$6:$A$89,0)+MATCH($D118,'[1]End - Use Prices'!$B$9:$B$11,0)-1,MATCH(BF$1,'[1]End - Use Prices'!$C$7:$AL$7,0))</f>
        <v>104.25</v>
      </c>
      <c r="BG118" s="41">
        <f>INDEX('[1]End - Use Prices'!$C$6:$AL$89,MATCH($C118,'[1]End - Use Prices'!$A$6:$A$89,0)+MATCH($D118,'[1]End - Use Prices'!$B$9:$B$11,0)-1,MATCH(BG$1,'[1]End - Use Prices'!$C$7:$AL$7,0))</f>
        <v>104.69</v>
      </c>
      <c r="BR118" s="39"/>
      <c r="BS118" s="39"/>
      <c r="BT118" s="39"/>
      <c r="BU118" s="39"/>
      <c r="BV118" s="39"/>
      <c r="BW118" s="39"/>
      <c r="BX118" s="39"/>
      <c r="BY118" s="39"/>
      <c r="BZ118" s="39"/>
      <c r="CA118" s="39"/>
    </row>
    <row r="119" spans="1:79" x14ac:dyDescent="0.25">
      <c r="A119" s="5"/>
      <c r="B119" s="3"/>
      <c r="C119" s="25" t="s">
        <v>96</v>
      </c>
      <c r="D119" s="25" t="s">
        <v>2</v>
      </c>
      <c r="E119" s="25" t="s">
        <v>313</v>
      </c>
      <c r="F119" s="74" t="s">
        <v>310</v>
      </c>
      <c r="G119" s="54">
        <f t="shared" si="100"/>
        <v>83.79</v>
      </c>
      <c r="H119" s="34">
        <f t="shared" si="101"/>
        <v>83.79</v>
      </c>
      <c r="I119" s="34">
        <f t="shared" si="101"/>
        <v>92.5</v>
      </c>
      <c r="J119" s="34">
        <f t="shared" si="101"/>
        <v>98.65</v>
      </c>
      <c r="K119" s="34">
        <f t="shared" si="101"/>
        <v>99.14</v>
      </c>
      <c r="L119" s="34">
        <f t="shared" si="101"/>
        <v>99.31</v>
      </c>
      <c r="M119" s="34">
        <f t="shared" si="101"/>
        <v>99.23</v>
      </c>
      <c r="N119" s="34">
        <f t="shared" si="101"/>
        <v>99.15</v>
      </c>
      <c r="O119" s="34">
        <f t="shared" si="101"/>
        <v>99.32</v>
      </c>
      <c r="P119" s="54">
        <f t="shared" ref="P119:Q119" si="115">O119</f>
        <v>99.32</v>
      </c>
      <c r="Q119" s="54">
        <f t="shared" si="115"/>
        <v>99.32</v>
      </c>
      <c r="R119" s="38"/>
      <c r="X119" s="41">
        <f>INDEX('[1]End - Use Prices'!$C$6:$AL$89,MATCH($C119,'[1]End - Use Prices'!$A$6:$A$89,0)+MATCH($D119,'[1]End - Use Prices'!$B$9:$B$11,0)-1,MATCH(X$1,'[1]End - Use Prices'!$C$7:$AL$7,0))</f>
        <v>83.79</v>
      </c>
      <c r="Y119" s="41">
        <f>INDEX('[1]End - Use Prices'!$C$6:$AL$89,MATCH($C119,'[1]End - Use Prices'!$A$6:$A$89,0)+MATCH($D119,'[1]End - Use Prices'!$B$9:$B$11,0)-1,MATCH(Y$1,'[1]End - Use Prices'!$C$7:$AL$7,0))</f>
        <v>86.36</v>
      </c>
      <c r="Z119" s="41">
        <f>INDEX('[1]End - Use Prices'!$C$6:$AL$89,MATCH($C119,'[1]End - Use Prices'!$A$6:$A$89,0)+MATCH($D119,'[1]End - Use Prices'!$B$9:$B$11,0)-1,MATCH(Z$1,'[1]End - Use Prices'!$C$7:$AL$7,0))</f>
        <v>85.49</v>
      </c>
      <c r="AA119" s="41">
        <f>INDEX('[1]End - Use Prices'!$C$6:$AL$89,MATCH($C119,'[1]End - Use Prices'!$A$6:$A$89,0)+MATCH($D119,'[1]End - Use Prices'!$B$9:$B$11,0)-1,MATCH(AA$1,'[1]End - Use Prices'!$C$7:$AL$7,0))</f>
        <v>84.88</v>
      </c>
      <c r="AB119" s="41">
        <f>INDEX('[1]End - Use Prices'!$C$6:$AL$89,MATCH($C119,'[1]End - Use Prices'!$A$6:$A$89,0)+MATCH($D119,'[1]End - Use Prices'!$B$9:$B$11,0)-1,MATCH(AB$1,'[1]End - Use Prices'!$C$7:$AL$7,0))</f>
        <v>88.16</v>
      </c>
      <c r="AC119" s="41">
        <f>INDEX('[1]End - Use Prices'!$C$6:$AL$89,MATCH($C119,'[1]End - Use Prices'!$A$6:$A$89,0)+MATCH($D119,'[1]End - Use Prices'!$B$9:$B$11,0)-1,MATCH(AC$1,'[1]End - Use Prices'!$C$7:$AL$7,0))</f>
        <v>92.5</v>
      </c>
      <c r="AD119" s="41">
        <f>INDEX('[1]End - Use Prices'!$C$6:$AL$89,MATCH($C119,'[1]End - Use Prices'!$A$6:$A$89,0)+MATCH($D119,'[1]End - Use Prices'!$B$9:$B$11,0)-1,MATCH(AD$1,'[1]End - Use Prices'!$C$7:$AL$7,0))</f>
        <v>88.79</v>
      </c>
      <c r="AE119" s="41">
        <f>INDEX('[1]End - Use Prices'!$C$6:$AL$89,MATCH($C119,'[1]End - Use Prices'!$A$6:$A$89,0)+MATCH($D119,'[1]End - Use Prices'!$B$9:$B$11,0)-1,MATCH(AE$1,'[1]End - Use Prices'!$C$7:$AL$7,0))</f>
        <v>98.09</v>
      </c>
      <c r="AF119" s="41">
        <f>INDEX('[1]End - Use Prices'!$C$6:$AL$89,MATCH($C119,'[1]End - Use Prices'!$A$6:$A$89,0)+MATCH($D119,'[1]End - Use Prices'!$B$9:$B$11,0)-1,MATCH(AF$1,'[1]End - Use Prices'!$C$7:$AL$7,0))</f>
        <v>97.87</v>
      </c>
      <c r="AG119" s="41">
        <f>INDEX('[1]End - Use Prices'!$C$6:$AL$89,MATCH($C119,'[1]End - Use Prices'!$A$6:$A$89,0)+MATCH($D119,'[1]End - Use Prices'!$B$9:$B$11,0)-1,MATCH(AG$1,'[1]End - Use Prices'!$C$7:$AL$7,0))</f>
        <v>97.87</v>
      </c>
      <c r="AH119" s="41">
        <f>INDEX('[1]End - Use Prices'!$C$6:$AL$89,MATCH($C119,'[1]End - Use Prices'!$A$6:$A$89,0)+MATCH($D119,'[1]End - Use Prices'!$B$9:$B$11,0)-1,MATCH(AH$1,'[1]End - Use Prices'!$C$7:$AL$7,0))</f>
        <v>98.65</v>
      </c>
      <c r="AI119" s="41">
        <f>INDEX('[1]End - Use Prices'!$C$6:$AL$89,MATCH($C119,'[1]End - Use Prices'!$A$6:$A$89,0)+MATCH($D119,'[1]End - Use Prices'!$B$9:$B$11,0)-1,MATCH(AI$1,'[1]End - Use Prices'!$C$7:$AL$7,0))</f>
        <v>98.04</v>
      </c>
      <c r="AJ119" s="41">
        <f>INDEX('[1]End - Use Prices'!$C$6:$AL$89,MATCH($C119,'[1]End - Use Prices'!$A$6:$A$89,0)+MATCH($D119,'[1]End - Use Prices'!$B$9:$B$11,0)-1,MATCH(AJ$1,'[1]End - Use Prices'!$C$7:$AL$7,0))</f>
        <v>98.81</v>
      </c>
      <c r="AK119" s="41">
        <f>INDEX('[1]End - Use Prices'!$C$6:$AL$89,MATCH($C119,'[1]End - Use Prices'!$A$6:$A$89,0)+MATCH($D119,'[1]End - Use Prices'!$B$9:$B$11,0)-1,MATCH(AK$1,'[1]End - Use Prices'!$C$7:$AL$7,0))</f>
        <v>98.94</v>
      </c>
      <c r="AL119" s="41">
        <f>INDEX('[1]End - Use Prices'!$C$6:$AL$89,MATCH($C119,'[1]End - Use Prices'!$A$6:$A$89,0)+MATCH($D119,'[1]End - Use Prices'!$B$9:$B$11,0)-1,MATCH(AL$1,'[1]End - Use Prices'!$C$7:$AL$7,0))</f>
        <v>99.05</v>
      </c>
      <c r="AM119" s="41">
        <f>INDEX('[1]End - Use Prices'!$C$6:$AL$89,MATCH($C119,'[1]End - Use Prices'!$A$6:$A$89,0)+MATCH($D119,'[1]End - Use Prices'!$B$9:$B$11,0)-1,MATCH(AM$1,'[1]End - Use Prices'!$C$7:$AL$7,0))</f>
        <v>99.14</v>
      </c>
      <c r="AN119" s="41">
        <f>INDEX('[1]End - Use Prices'!$C$6:$AL$89,MATCH($C119,'[1]End - Use Prices'!$A$6:$A$89,0)+MATCH($D119,'[1]End - Use Prices'!$B$9:$B$11,0)-1,MATCH(AN$1,'[1]End - Use Prices'!$C$7:$AL$7,0))</f>
        <v>99.2</v>
      </c>
      <c r="AO119" s="41">
        <f>INDEX('[1]End - Use Prices'!$C$6:$AL$89,MATCH($C119,'[1]End - Use Prices'!$A$6:$A$89,0)+MATCH($D119,'[1]End - Use Prices'!$B$9:$B$11,0)-1,MATCH(AO$1,'[1]End - Use Prices'!$C$7:$AL$7,0))</f>
        <v>99.25</v>
      </c>
      <c r="AP119" s="41">
        <f>INDEX('[1]End - Use Prices'!$C$6:$AL$89,MATCH($C119,'[1]End - Use Prices'!$A$6:$A$89,0)+MATCH($D119,'[1]End - Use Prices'!$B$9:$B$11,0)-1,MATCH(AP$1,'[1]End - Use Prices'!$C$7:$AL$7,0))</f>
        <v>99.28</v>
      </c>
      <c r="AQ119" s="41">
        <f>INDEX('[1]End - Use Prices'!$C$6:$AL$89,MATCH($C119,'[1]End - Use Prices'!$A$6:$A$89,0)+MATCH($D119,'[1]End - Use Prices'!$B$9:$B$11,0)-1,MATCH(AQ$1,'[1]End - Use Prices'!$C$7:$AL$7,0))</f>
        <v>99.3</v>
      </c>
      <c r="AR119" s="41">
        <f>INDEX('[1]End - Use Prices'!$C$6:$AL$89,MATCH($C119,'[1]End - Use Prices'!$A$6:$A$89,0)+MATCH($D119,'[1]End - Use Prices'!$B$9:$B$11,0)-1,MATCH(AR$1,'[1]End - Use Prices'!$C$7:$AL$7,0))</f>
        <v>99.31</v>
      </c>
      <c r="AS119" s="41">
        <f>INDEX('[1]End - Use Prices'!$C$6:$AL$89,MATCH($C119,'[1]End - Use Prices'!$A$6:$A$89,0)+MATCH($D119,'[1]End - Use Prices'!$B$9:$B$11,0)-1,MATCH(AS$1,'[1]End - Use Prices'!$C$7:$AL$7,0))</f>
        <v>99.3</v>
      </c>
      <c r="AT119" s="41">
        <f>INDEX('[1]End - Use Prices'!$C$6:$AL$89,MATCH($C119,'[1]End - Use Prices'!$A$6:$A$89,0)+MATCH($D119,'[1]End - Use Prices'!$B$9:$B$11,0)-1,MATCH(AT$1,'[1]End - Use Prices'!$C$7:$AL$7,0))</f>
        <v>99.29</v>
      </c>
      <c r="AU119" s="41">
        <f>INDEX('[1]End - Use Prices'!$C$6:$AL$89,MATCH($C119,'[1]End - Use Prices'!$A$6:$A$89,0)+MATCH($D119,'[1]End - Use Prices'!$B$9:$B$11,0)-1,MATCH(AU$1,'[1]End - Use Prices'!$C$7:$AL$7,0))</f>
        <v>99.27</v>
      </c>
      <c r="AV119" s="41">
        <f>INDEX('[1]End - Use Prices'!$C$6:$AL$89,MATCH($C119,'[1]End - Use Prices'!$A$6:$A$89,0)+MATCH($D119,'[1]End - Use Prices'!$B$9:$B$11,0)-1,MATCH(AV$1,'[1]End - Use Prices'!$C$7:$AL$7,0))</f>
        <v>99.25</v>
      </c>
      <c r="AW119" s="41">
        <f>INDEX('[1]End - Use Prices'!$C$6:$AL$89,MATCH($C119,'[1]End - Use Prices'!$A$6:$A$89,0)+MATCH($D119,'[1]End - Use Prices'!$B$9:$B$11,0)-1,MATCH(AW$1,'[1]End - Use Prices'!$C$7:$AL$7,0))</f>
        <v>99.23</v>
      </c>
      <c r="AX119" s="41">
        <f>INDEX('[1]End - Use Prices'!$C$6:$AL$89,MATCH($C119,'[1]End - Use Prices'!$A$6:$A$89,0)+MATCH($D119,'[1]End - Use Prices'!$B$9:$B$11,0)-1,MATCH(AX$1,'[1]End - Use Prices'!$C$7:$AL$7,0))</f>
        <v>99.2</v>
      </c>
      <c r="AY119" s="41">
        <f>INDEX('[1]End - Use Prices'!$C$6:$AL$89,MATCH($C119,'[1]End - Use Prices'!$A$6:$A$89,0)+MATCH($D119,'[1]End - Use Prices'!$B$9:$B$11,0)-1,MATCH(AY$1,'[1]End - Use Prices'!$C$7:$AL$7,0))</f>
        <v>99.18</v>
      </c>
      <c r="AZ119" s="41">
        <f>INDEX('[1]End - Use Prices'!$C$6:$AL$89,MATCH($C119,'[1]End - Use Prices'!$A$6:$A$89,0)+MATCH($D119,'[1]End - Use Prices'!$B$9:$B$11,0)-1,MATCH(AZ$1,'[1]End - Use Prices'!$C$7:$AL$7,0))</f>
        <v>99.16</v>
      </c>
      <c r="BA119" s="41">
        <f>INDEX('[1]End - Use Prices'!$C$6:$AL$89,MATCH($C119,'[1]End - Use Prices'!$A$6:$A$89,0)+MATCH($D119,'[1]End - Use Prices'!$B$9:$B$11,0)-1,MATCH(BA$1,'[1]End - Use Prices'!$C$7:$AL$7,0))</f>
        <v>99.15</v>
      </c>
      <c r="BB119" s="41">
        <f>INDEX('[1]End - Use Prices'!$C$6:$AL$89,MATCH($C119,'[1]End - Use Prices'!$A$6:$A$89,0)+MATCH($D119,'[1]End - Use Prices'!$B$9:$B$11,0)-1,MATCH(BB$1,'[1]End - Use Prices'!$C$7:$AL$7,0))</f>
        <v>99.15</v>
      </c>
      <c r="BC119" s="41">
        <f>INDEX('[1]End - Use Prices'!$C$6:$AL$89,MATCH($C119,'[1]End - Use Prices'!$A$6:$A$89,0)+MATCH($D119,'[1]End - Use Prices'!$B$9:$B$11,0)-1,MATCH(BC$1,'[1]End - Use Prices'!$C$7:$AL$7,0))</f>
        <v>99.15</v>
      </c>
      <c r="BD119" s="41">
        <f>INDEX('[1]End - Use Prices'!$C$6:$AL$89,MATCH($C119,'[1]End - Use Prices'!$A$6:$A$89,0)+MATCH($D119,'[1]End - Use Prices'!$B$9:$B$11,0)-1,MATCH(BD$1,'[1]End - Use Prices'!$C$7:$AL$7,0))</f>
        <v>99.17</v>
      </c>
      <c r="BE119" s="41">
        <f>INDEX('[1]End - Use Prices'!$C$6:$AL$89,MATCH($C119,'[1]End - Use Prices'!$A$6:$A$89,0)+MATCH($D119,'[1]End - Use Prices'!$B$9:$B$11,0)-1,MATCH(BE$1,'[1]End - Use Prices'!$C$7:$AL$7,0))</f>
        <v>99.2</v>
      </c>
      <c r="BF119" s="41">
        <f>INDEX('[1]End - Use Prices'!$C$6:$AL$89,MATCH($C119,'[1]End - Use Prices'!$A$6:$A$89,0)+MATCH($D119,'[1]End - Use Prices'!$B$9:$B$11,0)-1,MATCH(BF$1,'[1]End - Use Prices'!$C$7:$AL$7,0))</f>
        <v>99.25</v>
      </c>
      <c r="BG119" s="41">
        <f>INDEX('[1]End - Use Prices'!$C$6:$AL$89,MATCH($C119,'[1]End - Use Prices'!$A$6:$A$89,0)+MATCH($D119,'[1]End - Use Prices'!$B$9:$B$11,0)-1,MATCH(BG$1,'[1]End - Use Prices'!$C$7:$AL$7,0))</f>
        <v>99.32</v>
      </c>
      <c r="BR119" s="39"/>
      <c r="BS119" s="39"/>
      <c r="BT119" s="39"/>
      <c r="BU119" s="39"/>
      <c r="BV119" s="39"/>
      <c r="BW119" s="39"/>
      <c r="BX119" s="39"/>
      <c r="BY119" s="39"/>
      <c r="BZ119" s="39"/>
      <c r="CA119" s="39"/>
    </row>
    <row r="120" spans="1:79" x14ac:dyDescent="0.25">
      <c r="A120" s="5"/>
      <c r="B120" s="3"/>
      <c r="C120" s="25" t="s">
        <v>48</v>
      </c>
      <c r="D120" s="25" t="s">
        <v>14</v>
      </c>
      <c r="E120" s="25" t="s">
        <v>313</v>
      </c>
      <c r="F120" s="74" t="s">
        <v>310</v>
      </c>
      <c r="G120" s="54">
        <f t="shared" si="100"/>
        <v>15.81</v>
      </c>
      <c r="H120" s="34">
        <f t="shared" si="101"/>
        <v>15.81</v>
      </c>
      <c r="I120" s="34">
        <f t="shared" si="101"/>
        <v>12.69</v>
      </c>
      <c r="J120" s="34">
        <f t="shared" si="101"/>
        <v>10.65</v>
      </c>
      <c r="K120" s="34">
        <f t="shared" si="101"/>
        <v>9.67</v>
      </c>
      <c r="L120" s="34">
        <f t="shared" si="101"/>
        <v>10.64</v>
      </c>
      <c r="M120" s="34">
        <f t="shared" si="101"/>
        <v>11.02</v>
      </c>
      <c r="N120" s="34">
        <f t="shared" si="101"/>
        <v>11.37</v>
      </c>
      <c r="O120" s="34">
        <f t="shared" si="101"/>
        <v>11.44</v>
      </c>
      <c r="P120" s="54">
        <f t="shared" ref="P120:Q120" si="116">O120</f>
        <v>11.44</v>
      </c>
      <c r="Q120" s="54">
        <f t="shared" si="116"/>
        <v>11.44</v>
      </c>
      <c r="R120" s="38"/>
      <c r="X120" s="41">
        <f>INDEX('[1]End - Use Prices'!$C$6:$AL$89,MATCH($C120,'[1]End - Use Prices'!$A$6:$A$89,0)+MATCH($D120,'[1]End - Use Prices'!$B$9:$B$11,0)-1,MATCH(X$1,'[1]End - Use Prices'!$C$7:$AL$7,0))</f>
        <v>15.81</v>
      </c>
      <c r="Y120" s="41">
        <f>INDEX('[1]End - Use Prices'!$C$6:$AL$89,MATCH($C120,'[1]End - Use Prices'!$A$6:$A$89,0)+MATCH($D120,'[1]End - Use Prices'!$B$9:$B$11,0)-1,MATCH(Y$1,'[1]End - Use Prices'!$C$7:$AL$7,0))</f>
        <v>16.04</v>
      </c>
      <c r="Z120" s="41">
        <f>INDEX('[1]End - Use Prices'!$C$6:$AL$89,MATCH($C120,'[1]End - Use Prices'!$A$6:$A$89,0)+MATCH($D120,'[1]End - Use Prices'!$B$9:$B$11,0)-1,MATCH(Z$1,'[1]End - Use Prices'!$C$7:$AL$7,0))</f>
        <v>14.76</v>
      </c>
      <c r="AA120" s="41">
        <f>INDEX('[1]End - Use Prices'!$C$6:$AL$89,MATCH($C120,'[1]End - Use Prices'!$A$6:$A$89,0)+MATCH($D120,'[1]End - Use Prices'!$B$9:$B$11,0)-1,MATCH(AA$1,'[1]End - Use Prices'!$C$7:$AL$7,0))</f>
        <v>14.82</v>
      </c>
      <c r="AB120" s="41">
        <f>INDEX('[1]End - Use Prices'!$C$6:$AL$89,MATCH($C120,'[1]End - Use Prices'!$A$6:$A$89,0)+MATCH($D120,'[1]End - Use Prices'!$B$9:$B$11,0)-1,MATCH(AB$1,'[1]End - Use Prices'!$C$7:$AL$7,0))</f>
        <v>12.89</v>
      </c>
      <c r="AC120" s="41">
        <f>INDEX('[1]End - Use Prices'!$C$6:$AL$89,MATCH($C120,'[1]End - Use Prices'!$A$6:$A$89,0)+MATCH($D120,'[1]End - Use Prices'!$B$9:$B$11,0)-1,MATCH(AC$1,'[1]End - Use Prices'!$C$7:$AL$7,0))</f>
        <v>12.69</v>
      </c>
      <c r="AD120" s="41">
        <f>INDEX('[1]End - Use Prices'!$C$6:$AL$89,MATCH($C120,'[1]End - Use Prices'!$A$6:$A$89,0)+MATCH($D120,'[1]End - Use Prices'!$B$9:$B$11,0)-1,MATCH(AD$1,'[1]End - Use Prices'!$C$7:$AL$7,0))</f>
        <v>11.75</v>
      </c>
      <c r="AE120" s="41">
        <f>INDEX('[1]End - Use Prices'!$C$6:$AL$89,MATCH($C120,'[1]End - Use Prices'!$A$6:$A$89,0)+MATCH($D120,'[1]End - Use Prices'!$B$9:$B$11,0)-1,MATCH(AE$1,'[1]End - Use Prices'!$C$7:$AL$7,0))</f>
        <v>10.82</v>
      </c>
      <c r="AF120" s="41">
        <f>INDEX('[1]End - Use Prices'!$C$6:$AL$89,MATCH($C120,'[1]End - Use Prices'!$A$6:$A$89,0)+MATCH($D120,'[1]End - Use Prices'!$B$9:$B$11,0)-1,MATCH(AF$1,'[1]End - Use Prices'!$C$7:$AL$7,0))</f>
        <v>10.77</v>
      </c>
      <c r="AG120" s="41">
        <f>INDEX('[1]End - Use Prices'!$C$6:$AL$89,MATCH($C120,'[1]End - Use Prices'!$A$6:$A$89,0)+MATCH($D120,'[1]End - Use Prices'!$B$9:$B$11,0)-1,MATCH(AG$1,'[1]End - Use Prices'!$C$7:$AL$7,0))</f>
        <v>11.71</v>
      </c>
      <c r="AH120" s="41">
        <f>INDEX('[1]End - Use Prices'!$C$6:$AL$89,MATCH($C120,'[1]End - Use Prices'!$A$6:$A$89,0)+MATCH($D120,'[1]End - Use Prices'!$B$9:$B$11,0)-1,MATCH(AH$1,'[1]End - Use Prices'!$C$7:$AL$7,0))</f>
        <v>10.65</v>
      </c>
      <c r="AI120" s="41">
        <f>INDEX('[1]End - Use Prices'!$C$6:$AL$89,MATCH($C120,'[1]End - Use Prices'!$A$6:$A$89,0)+MATCH($D120,'[1]End - Use Prices'!$B$9:$B$11,0)-1,MATCH(AI$1,'[1]End - Use Prices'!$C$7:$AL$7,0))</f>
        <v>8.93</v>
      </c>
      <c r="AJ120" s="41">
        <f>INDEX('[1]End - Use Prices'!$C$6:$AL$89,MATCH($C120,'[1]End - Use Prices'!$A$6:$A$89,0)+MATCH($D120,'[1]End - Use Prices'!$B$9:$B$11,0)-1,MATCH(AJ$1,'[1]End - Use Prices'!$C$7:$AL$7,0))</f>
        <v>10.82</v>
      </c>
      <c r="AK120" s="41">
        <f>INDEX('[1]End - Use Prices'!$C$6:$AL$89,MATCH($C120,'[1]End - Use Prices'!$A$6:$A$89,0)+MATCH($D120,'[1]End - Use Prices'!$B$9:$B$11,0)-1,MATCH(AK$1,'[1]End - Use Prices'!$C$7:$AL$7,0))</f>
        <v>9.86</v>
      </c>
      <c r="AL120" s="41">
        <f>INDEX('[1]End - Use Prices'!$C$6:$AL$89,MATCH($C120,'[1]End - Use Prices'!$A$6:$A$89,0)+MATCH($D120,'[1]End - Use Prices'!$B$9:$B$11,0)-1,MATCH(AL$1,'[1]End - Use Prices'!$C$7:$AL$7,0))</f>
        <v>9.5299999999999994</v>
      </c>
      <c r="AM120" s="41">
        <f>INDEX('[1]End - Use Prices'!$C$6:$AL$89,MATCH($C120,'[1]End - Use Prices'!$A$6:$A$89,0)+MATCH($D120,'[1]End - Use Prices'!$B$9:$B$11,0)-1,MATCH(AM$1,'[1]End - Use Prices'!$C$7:$AL$7,0))</f>
        <v>9.67</v>
      </c>
      <c r="AN120" s="41">
        <f>INDEX('[1]End - Use Prices'!$C$6:$AL$89,MATCH($C120,'[1]End - Use Prices'!$A$6:$A$89,0)+MATCH($D120,'[1]End - Use Prices'!$B$9:$B$11,0)-1,MATCH(AN$1,'[1]End - Use Prices'!$C$7:$AL$7,0))</f>
        <v>9.8699999999999992</v>
      </c>
      <c r="AO120" s="41">
        <f>INDEX('[1]End - Use Prices'!$C$6:$AL$89,MATCH($C120,'[1]End - Use Prices'!$A$6:$A$89,0)+MATCH($D120,'[1]End - Use Prices'!$B$9:$B$11,0)-1,MATCH(AO$1,'[1]End - Use Prices'!$C$7:$AL$7,0))</f>
        <v>10.19</v>
      </c>
      <c r="AP120" s="41">
        <f>INDEX('[1]End - Use Prices'!$C$6:$AL$89,MATCH($C120,'[1]End - Use Prices'!$A$6:$A$89,0)+MATCH($D120,'[1]End - Use Prices'!$B$9:$B$11,0)-1,MATCH(AP$1,'[1]End - Use Prices'!$C$7:$AL$7,0))</f>
        <v>10.44</v>
      </c>
      <c r="AQ120" s="41">
        <f>INDEX('[1]End - Use Prices'!$C$6:$AL$89,MATCH($C120,'[1]End - Use Prices'!$A$6:$A$89,0)+MATCH($D120,'[1]End - Use Prices'!$B$9:$B$11,0)-1,MATCH(AQ$1,'[1]End - Use Prices'!$C$7:$AL$7,0))</f>
        <v>10.53</v>
      </c>
      <c r="AR120" s="41">
        <f>INDEX('[1]End - Use Prices'!$C$6:$AL$89,MATCH($C120,'[1]End - Use Prices'!$A$6:$A$89,0)+MATCH($D120,'[1]End - Use Prices'!$B$9:$B$11,0)-1,MATCH(AR$1,'[1]End - Use Prices'!$C$7:$AL$7,0))</f>
        <v>10.64</v>
      </c>
      <c r="AS120" s="41">
        <f>INDEX('[1]End - Use Prices'!$C$6:$AL$89,MATCH($C120,'[1]End - Use Prices'!$A$6:$A$89,0)+MATCH($D120,'[1]End - Use Prices'!$B$9:$B$11,0)-1,MATCH(AS$1,'[1]End - Use Prices'!$C$7:$AL$7,0))</f>
        <v>10.82</v>
      </c>
      <c r="AT120" s="41">
        <f>INDEX('[1]End - Use Prices'!$C$6:$AL$89,MATCH($C120,'[1]End - Use Prices'!$A$6:$A$89,0)+MATCH($D120,'[1]End - Use Prices'!$B$9:$B$11,0)-1,MATCH(AT$1,'[1]End - Use Prices'!$C$7:$AL$7,0))</f>
        <v>10.85</v>
      </c>
      <c r="AU120" s="41">
        <f>INDEX('[1]End - Use Prices'!$C$6:$AL$89,MATCH($C120,'[1]End - Use Prices'!$A$6:$A$89,0)+MATCH($D120,'[1]End - Use Prices'!$B$9:$B$11,0)-1,MATCH(AU$1,'[1]End - Use Prices'!$C$7:$AL$7,0))</f>
        <v>10.9</v>
      </c>
      <c r="AV120" s="41">
        <f>INDEX('[1]End - Use Prices'!$C$6:$AL$89,MATCH($C120,'[1]End - Use Prices'!$A$6:$A$89,0)+MATCH($D120,'[1]End - Use Prices'!$B$9:$B$11,0)-1,MATCH(AV$1,'[1]End - Use Prices'!$C$7:$AL$7,0))</f>
        <v>10.96</v>
      </c>
      <c r="AW120" s="41">
        <f>INDEX('[1]End - Use Prices'!$C$6:$AL$89,MATCH($C120,'[1]End - Use Prices'!$A$6:$A$89,0)+MATCH($D120,'[1]End - Use Prices'!$B$9:$B$11,0)-1,MATCH(AW$1,'[1]End - Use Prices'!$C$7:$AL$7,0))</f>
        <v>11.02</v>
      </c>
      <c r="AX120" s="41">
        <f>INDEX('[1]End - Use Prices'!$C$6:$AL$89,MATCH($C120,'[1]End - Use Prices'!$A$6:$A$89,0)+MATCH($D120,'[1]End - Use Prices'!$B$9:$B$11,0)-1,MATCH(AX$1,'[1]End - Use Prices'!$C$7:$AL$7,0))</f>
        <v>11.09</v>
      </c>
      <c r="AY120" s="41">
        <f>INDEX('[1]End - Use Prices'!$C$6:$AL$89,MATCH($C120,'[1]End - Use Prices'!$A$6:$A$89,0)+MATCH($D120,'[1]End - Use Prices'!$B$9:$B$11,0)-1,MATCH(AY$1,'[1]End - Use Prices'!$C$7:$AL$7,0))</f>
        <v>11.18</v>
      </c>
      <c r="AZ120" s="41">
        <f>INDEX('[1]End - Use Prices'!$C$6:$AL$89,MATCH($C120,'[1]End - Use Prices'!$A$6:$A$89,0)+MATCH($D120,'[1]End - Use Prices'!$B$9:$B$11,0)-1,MATCH(AZ$1,'[1]End - Use Prices'!$C$7:$AL$7,0))</f>
        <v>11.28</v>
      </c>
      <c r="BA120" s="41">
        <f>INDEX('[1]End - Use Prices'!$C$6:$AL$89,MATCH($C120,'[1]End - Use Prices'!$A$6:$A$89,0)+MATCH($D120,'[1]End - Use Prices'!$B$9:$B$11,0)-1,MATCH(BA$1,'[1]End - Use Prices'!$C$7:$AL$7,0))</f>
        <v>11.33</v>
      </c>
      <c r="BB120" s="41">
        <f>INDEX('[1]End - Use Prices'!$C$6:$AL$89,MATCH($C120,'[1]End - Use Prices'!$A$6:$A$89,0)+MATCH($D120,'[1]End - Use Prices'!$B$9:$B$11,0)-1,MATCH(BB$1,'[1]End - Use Prices'!$C$7:$AL$7,0))</f>
        <v>11.37</v>
      </c>
      <c r="BC120" s="41">
        <f>INDEX('[1]End - Use Prices'!$C$6:$AL$89,MATCH($C120,'[1]End - Use Prices'!$A$6:$A$89,0)+MATCH($D120,'[1]End - Use Prices'!$B$9:$B$11,0)-1,MATCH(BC$1,'[1]End - Use Prices'!$C$7:$AL$7,0))</f>
        <v>11.41</v>
      </c>
      <c r="BD120" s="41">
        <f>INDEX('[1]End - Use Prices'!$C$6:$AL$89,MATCH($C120,'[1]End - Use Prices'!$A$6:$A$89,0)+MATCH($D120,'[1]End - Use Prices'!$B$9:$B$11,0)-1,MATCH(BD$1,'[1]End - Use Prices'!$C$7:$AL$7,0))</f>
        <v>11.43</v>
      </c>
      <c r="BE120" s="41">
        <f>INDEX('[1]End - Use Prices'!$C$6:$AL$89,MATCH($C120,'[1]End - Use Prices'!$A$6:$A$89,0)+MATCH($D120,'[1]End - Use Prices'!$B$9:$B$11,0)-1,MATCH(BE$1,'[1]End - Use Prices'!$C$7:$AL$7,0))</f>
        <v>11.43</v>
      </c>
      <c r="BF120" s="41">
        <f>INDEX('[1]End - Use Prices'!$C$6:$AL$89,MATCH($C120,'[1]End - Use Prices'!$A$6:$A$89,0)+MATCH($D120,'[1]End - Use Prices'!$B$9:$B$11,0)-1,MATCH(BF$1,'[1]End - Use Prices'!$C$7:$AL$7,0))</f>
        <v>11.44</v>
      </c>
      <c r="BG120" s="41">
        <f>INDEX('[1]End - Use Prices'!$C$6:$AL$89,MATCH($C120,'[1]End - Use Prices'!$A$6:$A$89,0)+MATCH($D120,'[1]End - Use Prices'!$B$9:$B$11,0)-1,MATCH(BG$1,'[1]End - Use Prices'!$C$7:$AL$7,0))</f>
        <v>11.44</v>
      </c>
      <c r="BR120" s="39"/>
      <c r="BS120" s="39"/>
      <c r="BT120" s="39"/>
      <c r="BU120" s="39"/>
      <c r="BV120" s="39"/>
      <c r="BW120" s="39"/>
      <c r="BX120" s="39"/>
      <c r="BY120" s="39"/>
      <c r="BZ120" s="39"/>
      <c r="CA120" s="39"/>
    </row>
    <row r="121" spans="1:79" x14ac:dyDescent="0.25">
      <c r="A121" s="5"/>
      <c r="B121" s="3"/>
      <c r="C121" s="25" t="s">
        <v>87</v>
      </c>
      <c r="D121" s="25" t="s">
        <v>14</v>
      </c>
      <c r="E121" s="25" t="s">
        <v>313</v>
      </c>
      <c r="F121" s="74" t="s">
        <v>310</v>
      </c>
      <c r="G121" s="54">
        <f t="shared" si="100"/>
        <v>18.899999999999999</v>
      </c>
      <c r="H121" s="34">
        <f t="shared" si="101"/>
        <v>18.899999999999999</v>
      </c>
      <c r="I121" s="34">
        <f t="shared" si="101"/>
        <v>20.09</v>
      </c>
      <c r="J121" s="34">
        <f t="shared" si="101"/>
        <v>13.86</v>
      </c>
      <c r="K121" s="34">
        <f t="shared" si="101"/>
        <v>10.91</v>
      </c>
      <c r="L121" s="34">
        <f t="shared" si="101"/>
        <v>11.38</v>
      </c>
      <c r="M121" s="34">
        <f t="shared" si="101"/>
        <v>11.9</v>
      </c>
      <c r="N121" s="34">
        <f t="shared" si="101"/>
        <v>12.45</v>
      </c>
      <c r="O121" s="34">
        <f t="shared" si="101"/>
        <v>12.67</v>
      </c>
      <c r="P121" s="54">
        <f t="shared" ref="P121:Q121" si="117">O121</f>
        <v>12.67</v>
      </c>
      <c r="Q121" s="54">
        <f t="shared" si="117"/>
        <v>12.67</v>
      </c>
      <c r="R121" s="38"/>
      <c r="X121" s="41">
        <f>INDEX('[1]End - Use Prices'!$C$6:$AL$89,MATCH($C121,'[1]End - Use Prices'!$A$6:$A$89,0)+MATCH($D121,'[1]End - Use Prices'!$B$9:$B$11,0)-1,MATCH(X$1,'[1]End - Use Prices'!$C$7:$AL$7,0))</f>
        <v>18.899999999999999</v>
      </c>
      <c r="Y121" s="41">
        <f>INDEX('[1]End - Use Prices'!$C$6:$AL$89,MATCH($C121,'[1]End - Use Prices'!$A$6:$A$89,0)+MATCH($D121,'[1]End - Use Prices'!$B$9:$B$11,0)-1,MATCH(Y$1,'[1]End - Use Prices'!$C$7:$AL$7,0))</f>
        <v>18.940000000000001</v>
      </c>
      <c r="Z121" s="41">
        <f>INDEX('[1]End - Use Prices'!$C$6:$AL$89,MATCH($C121,'[1]End - Use Prices'!$A$6:$A$89,0)+MATCH($D121,'[1]End - Use Prices'!$B$9:$B$11,0)-1,MATCH(Z$1,'[1]End - Use Prices'!$C$7:$AL$7,0))</f>
        <v>11.86</v>
      </c>
      <c r="AA121" s="41">
        <f>INDEX('[1]End - Use Prices'!$C$6:$AL$89,MATCH($C121,'[1]End - Use Prices'!$A$6:$A$89,0)+MATCH($D121,'[1]End - Use Prices'!$B$9:$B$11,0)-1,MATCH(AA$1,'[1]End - Use Prices'!$C$7:$AL$7,0))</f>
        <v>14.01</v>
      </c>
      <c r="AB121" s="41">
        <f>INDEX('[1]End - Use Prices'!$C$6:$AL$89,MATCH($C121,'[1]End - Use Prices'!$A$6:$A$89,0)+MATCH($D121,'[1]End - Use Prices'!$B$9:$B$11,0)-1,MATCH(AB$1,'[1]End - Use Prices'!$C$7:$AL$7,0))</f>
        <v>14.6</v>
      </c>
      <c r="AC121" s="41">
        <f>INDEX('[1]End - Use Prices'!$C$6:$AL$89,MATCH($C121,'[1]End - Use Prices'!$A$6:$A$89,0)+MATCH($D121,'[1]End - Use Prices'!$B$9:$B$11,0)-1,MATCH(AC$1,'[1]End - Use Prices'!$C$7:$AL$7,0))</f>
        <v>20.09</v>
      </c>
      <c r="AD121" s="41">
        <f>INDEX('[1]End - Use Prices'!$C$6:$AL$89,MATCH($C121,'[1]End - Use Prices'!$A$6:$A$89,0)+MATCH($D121,'[1]End - Use Prices'!$B$9:$B$11,0)-1,MATCH(AD$1,'[1]End - Use Prices'!$C$7:$AL$7,0))</f>
        <v>17.2</v>
      </c>
      <c r="AE121" s="41">
        <f>INDEX('[1]End - Use Prices'!$C$6:$AL$89,MATCH($C121,'[1]End - Use Prices'!$A$6:$A$89,0)+MATCH($D121,'[1]End - Use Prices'!$B$9:$B$11,0)-1,MATCH(AE$1,'[1]End - Use Prices'!$C$7:$AL$7,0))</f>
        <v>17.59</v>
      </c>
      <c r="AF121" s="41">
        <f>INDEX('[1]End - Use Prices'!$C$6:$AL$89,MATCH($C121,'[1]End - Use Prices'!$A$6:$A$89,0)+MATCH($D121,'[1]End - Use Prices'!$B$9:$B$11,0)-1,MATCH(AF$1,'[1]End - Use Prices'!$C$7:$AL$7,0))</f>
        <v>18.75</v>
      </c>
      <c r="AG121" s="41">
        <f>INDEX('[1]End - Use Prices'!$C$6:$AL$89,MATCH($C121,'[1]End - Use Prices'!$A$6:$A$89,0)+MATCH($D121,'[1]End - Use Prices'!$B$9:$B$11,0)-1,MATCH(AG$1,'[1]End - Use Prices'!$C$7:$AL$7,0))</f>
        <v>18.48</v>
      </c>
      <c r="AH121" s="41">
        <f>INDEX('[1]End - Use Prices'!$C$6:$AL$89,MATCH($C121,'[1]End - Use Prices'!$A$6:$A$89,0)+MATCH($D121,'[1]End - Use Prices'!$B$9:$B$11,0)-1,MATCH(AH$1,'[1]End - Use Prices'!$C$7:$AL$7,0))</f>
        <v>13.86</v>
      </c>
      <c r="AI121" s="41">
        <f>INDEX('[1]End - Use Prices'!$C$6:$AL$89,MATCH($C121,'[1]End - Use Prices'!$A$6:$A$89,0)+MATCH($D121,'[1]End - Use Prices'!$B$9:$B$11,0)-1,MATCH(AI$1,'[1]End - Use Prices'!$C$7:$AL$7,0))</f>
        <v>9.4700000000000006</v>
      </c>
      <c r="AJ121" s="41">
        <f>INDEX('[1]End - Use Prices'!$C$6:$AL$89,MATCH($C121,'[1]End - Use Prices'!$A$6:$A$89,0)+MATCH($D121,'[1]End - Use Prices'!$B$9:$B$11,0)-1,MATCH(AJ$1,'[1]End - Use Prices'!$C$7:$AL$7,0))</f>
        <v>10.75</v>
      </c>
      <c r="AK121" s="41">
        <f>INDEX('[1]End - Use Prices'!$C$6:$AL$89,MATCH($C121,'[1]End - Use Prices'!$A$6:$A$89,0)+MATCH($D121,'[1]End - Use Prices'!$B$9:$B$11,0)-1,MATCH(AK$1,'[1]End - Use Prices'!$C$7:$AL$7,0))</f>
        <v>10.63</v>
      </c>
      <c r="AL121" s="41">
        <f>INDEX('[1]End - Use Prices'!$C$6:$AL$89,MATCH($C121,'[1]End - Use Prices'!$A$6:$A$89,0)+MATCH($D121,'[1]End - Use Prices'!$B$9:$B$11,0)-1,MATCH(AL$1,'[1]End - Use Prices'!$C$7:$AL$7,0))</f>
        <v>10.61</v>
      </c>
      <c r="AM121" s="41">
        <f>INDEX('[1]End - Use Prices'!$C$6:$AL$89,MATCH($C121,'[1]End - Use Prices'!$A$6:$A$89,0)+MATCH($D121,'[1]End - Use Prices'!$B$9:$B$11,0)-1,MATCH(AM$1,'[1]End - Use Prices'!$C$7:$AL$7,0))</f>
        <v>10.91</v>
      </c>
      <c r="AN121" s="41">
        <f>INDEX('[1]End - Use Prices'!$C$6:$AL$89,MATCH($C121,'[1]End - Use Prices'!$A$6:$A$89,0)+MATCH($D121,'[1]End - Use Prices'!$B$9:$B$11,0)-1,MATCH(AN$1,'[1]End - Use Prices'!$C$7:$AL$7,0))</f>
        <v>11.07</v>
      </c>
      <c r="AO121" s="41">
        <f>INDEX('[1]End - Use Prices'!$C$6:$AL$89,MATCH($C121,'[1]End - Use Prices'!$A$6:$A$89,0)+MATCH($D121,'[1]End - Use Prices'!$B$9:$B$11,0)-1,MATCH(AO$1,'[1]End - Use Prices'!$C$7:$AL$7,0))</f>
        <v>11.22</v>
      </c>
      <c r="AP121" s="41">
        <f>INDEX('[1]End - Use Prices'!$C$6:$AL$89,MATCH($C121,'[1]End - Use Prices'!$A$6:$A$89,0)+MATCH($D121,'[1]End - Use Prices'!$B$9:$B$11,0)-1,MATCH(AP$1,'[1]End - Use Prices'!$C$7:$AL$7,0))</f>
        <v>11.35</v>
      </c>
      <c r="AQ121" s="41">
        <f>INDEX('[1]End - Use Prices'!$C$6:$AL$89,MATCH($C121,'[1]End - Use Prices'!$A$6:$A$89,0)+MATCH($D121,'[1]End - Use Prices'!$B$9:$B$11,0)-1,MATCH(AQ$1,'[1]End - Use Prices'!$C$7:$AL$7,0))</f>
        <v>11.35</v>
      </c>
      <c r="AR121" s="41">
        <f>INDEX('[1]End - Use Prices'!$C$6:$AL$89,MATCH($C121,'[1]End - Use Prices'!$A$6:$A$89,0)+MATCH($D121,'[1]End - Use Prices'!$B$9:$B$11,0)-1,MATCH(AR$1,'[1]End - Use Prices'!$C$7:$AL$7,0))</f>
        <v>11.38</v>
      </c>
      <c r="AS121" s="41">
        <f>INDEX('[1]End - Use Prices'!$C$6:$AL$89,MATCH($C121,'[1]End - Use Prices'!$A$6:$A$89,0)+MATCH($D121,'[1]End - Use Prices'!$B$9:$B$11,0)-1,MATCH(AS$1,'[1]End - Use Prices'!$C$7:$AL$7,0))</f>
        <v>11.48</v>
      </c>
      <c r="AT121" s="41">
        <f>INDEX('[1]End - Use Prices'!$C$6:$AL$89,MATCH($C121,'[1]End - Use Prices'!$A$6:$A$89,0)+MATCH($D121,'[1]End - Use Prices'!$B$9:$B$11,0)-1,MATCH(AT$1,'[1]End - Use Prices'!$C$7:$AL$7,0))</f>
        <v>11.57</v>
      </c>
      <c r="AU121" s="41">
        <f>INDEX('[1]End - Use Prices'!$C$6:$AL$89,MATCH($C121,'[1]End - Use Prices'!$A$6:$A$89,0)+MATCH($D121,'[1]End - Use Prices'!$B$9:$B$11,0)-1,MATCH(AU$1,'[1]End - Use Prices'!$C$7:$AL$7,0))</f>
        <v>11.67</v>
      </c>
      <c r="AV121" s="41">
        <f>INDEX('[1]End - Use Prices'!$C$6:$AL$89,MATCH($C121,'[1]End - Use Prices'!$A$6:$A$89,0)+MATCH($D121,'[1]End - Use Prices'!$B$9:$B$11,0)-1,MATCH(AV$1,'[1]End - Use Prices'!$C$7:$AL$7,0))</f>
        <v>11.79</v>
      </c>
      <c r="AW121" s="41">
        <f>INDEX('[1]End - Use Prices'!$C$6:$AL$89,MATCH($C121,'[1]End - Use Prices'!$A$6:$A$89,0)+MATCH($D121,'[1]End - Use Prices'!$B$9:$B$11,0)-1,MATCH(AW$1,'[1]End - Use Prices'!$C$7:$AL$7,0))</f>
        <v>11.9</v>
      </c>
      <c r="AX121" s="41">
        <f>INDEX('[1]End - Use Prices'!$C$6:$AL$89,MATCH($C121,'[1]End - Use Prices'!$A$6:$A$89,0)+MATCH($D121,'[1]End - Use Prices'!$B$9:$B$11,0)-1,MATCH(AX$1,'[1]End - Use Prices'!$C$7:$AL$7,0))</f>
        <v>12.02</v>
      </c>
      <c r="AY121" s="41">
        <f>INDEX('[1]End - Use Prices'!$C$6:$AL$89,MATCH($C121,'[1]End - Use Prices'!$A$6:$A$89,0)+MATCH($D121,'[1]End - Use Prices'!$B$9:$B$11,0)-1,MATCH(AY$1,'[1]End - Use Prices'!$C$7:$AL$7,0))</f>
        <v>12.15</v>
      </c>
      <c r="AZ121" s="41">
        <f>INDEX('[1]End - Use Prices'!$C$6:$AL$89,MATCH($C121,'[1]End - Use Prices'!$A$6:$A$89,0)+MATCH($D121,'[1]End - Use Prices'!$B$9:$B$11,0)-1,MATCH(AZ$1,'[1]End - Use Prices'!$C$7:$AL$7,0))</f>
        <v>12.3</v>
      </c>
      <c r="BA121" s="41">
        <f>INDEX('[1]End - Use Prices'!$C$6:$AL$89,MATCH($C121,'[1]End - Use Prices'!$A$6:$A$89,0)+MATCH($D121,'[1]End - Use Prices'!$B$9:$B$11,0)-1,MATCH(BA$1,'[1]End - Use Prices'!$C$7:$AL$7,0))</f>
        <v>12.38</v>
      </c>
      <c r="BB121" s="41">
        <f>INDEX('[1]End - Use Prices'!$C$6:$AL$89,MATCH($C121,'[1]End - Use Prices'!$A$6:$A$89,0)+MATCH($D121,'[1]End - Use Prices'!$B$9:$B$11,0)-1,MATCH(BB$1,'[1]End - Use Prices'!$C$7:$AL$7,0))</f>
        <v>12.45</v>
      </c>
      <c r="BC121" s="41">
        <f>INDEX('[1]End - Use Prices'!$C$6:$AL$89,MATCH($C121,'[1]End - Use Prices'!$A$6:$A$89,0)+MATCH($D121,'[1]End - Use Prices'!$B$9:$B$11,0)-1,MATCH(BC$1,'[1]End - Use Prices'!$C$7:$AL$7,0))</f>
        <v>12.52</v>
      </c>
      <c r="BD121" s="41">
        <f>INDEX('[1]End - Use Prices'!$C$6:$AL$89,MATCH($C121,'[1]End - Use Prices'!$A$6:$A$89,0)+MATCH($D121,'[1]End - Use Prices'!$B$9:$B$11,0)-1,MATCH(BD$1,'[1]End - Use Prices'!$C$7:$AL$7,0))</f>
        <v>12.57</v>
      </c>
      <c r="BE121" s="41">
        <f>INDEX('[1]End - Use Prices'!$C$6:$AL$89,MATCH($C121,'[1]End - Use Prices'!$A$6:$A$89,0)+MATCH($D121,'[1]End - Use Prices'!$B$9:$B$11,0)-1,MATCH(BE$1,'[1]End - Use Prices'!$C$7:$AL$7,0))</f>
        <v>12.6</v>
      </c>
      <c r="BF121" s="41">
        <f>INDEX('[1]End - Use Prices'!$C$6:$AL$89,MATCH($C121,'[1]End - Use Prices'!$A$6:$A$89,0)+MATCH($D121,'[1]End - Use Prices'!$B$9:$B$11,0)-1,MATCH(BF$1,'[1]End - Use Prices'!$C$7:$AL$7,0))</f>
        <v>12.64</v>
      </c>
      <c r="BG121" s="41">
        <f>INDEX('[1]End - Use Prices'!$C$6:$AL$89,MATCH($C121,'[1]End - Use Prices'!$A$6:$A$89,0)+MATCH($D121,'[1]End - Use Prices'!$B$9:$B$11,0)-1,MATCH(BG$1,'[1]End - Use Prices'!$C$7:$AL$7,0))</f>
        <v>12.67</v>
      </c>
      <c r="BR121" s="39"/>
      <c r="BS121" s="39"/>
      <c r="BT121" s="39"/>
      <c r="BU121" s="39"/>
      <c r="BV121" s="39"/>
      <c r="BW121" s="39"/>
      <c r="BX121" s="39"/>
      <c r="BY121" s="39"/>
      <c r="BZ121" s="39"/>
      <c r="CA121" s="39"/>
    </row>
    <row r="122" spans="1:79" x14ac:dyDescent="0.25">
      <c r="A122" s="5"/>
      <c r="B122" s="3"/>
      <c r="C122" s="25" t="s">
        <v>88</v>
      </c>
      <c r="D122" s="25" t="s">
        <v>14</v>
      </c>
      <c r="E122" s="25" t="s">
        <v>313</v>
      </c>
      <c r="F122" s="74" t="s">
        <v>310</v>
      </c>
      <c r="G122" s="54">
        <f t="shared" si="100"/>
        <v>18.899999999999999</v>
      </c>
      <c r="H122" s="34">
        <f t="shared" ref="H122:O137" si="118">INDEX($S122:$CA122,MATCH(H$1,$S$1:$CA$1,0))</f>
        <v>18.899999999999999</v>
      </c>
      <c r="I122" s="34">
        <f t="shared" si="118"/>
        <v>20.09</v>
      </c>
      <c r="J122" s="34">
        <f t="shared" si="118"/>
        <v>10.53</v>
      </c>
      <c r="K122" s="34">
        <f t="shared" si="118"/>
        <v>10.91</v>
      </c>
      <c r="L122" s="34">
        <f t="shared" si="118"/>
        <v>11.38</v>
      </c>
      <c r="M122" s="34">
        <f t="shared" si="118"/>
        <v>11.9</v>
      </c>
      <c r="N122" s="34">
        <f t="shared" si="118"/>
        <v>12.45</v>
      </c>
      <c r="O122" s="34">
        <f t="shared" si="118"/>
        <v>12.67</v>
      </c>
      <c r="P122" s="54">
        <f t="shared" ref="P122:Q122" si="119">O122</f>
        <v>12.67</v>
      </c>
      <c r="Q122" s="54">
        <f t="shared" si="119"/>
        <v>12.67</v>
      </c>
      <c r="R122" s="38"/>
      <c r="X122" s="41">
        <f>INDEX('[1]End - Use Prices'!$C$6:$AL$89,MATCH($C122,'[1]End - Use Prices'!$A$6:$A$89,0)+MATCH($D122,'[1]End - Use Prices'!$B$9:$B$11,0)-1,MATCH(X$1,'[1]End - Use Prices'!$C$7:$AL$7,0))</f>
        <v>18.899999999999999</v>
      </c>
      <c r="Y122" s="41">
        <f>INDEX('[1]End - Use Prices'!$C$6:$AL$89,MATCH($C122,'[1]End - Use Prices'!$A$6:$A$89,0)+MATCH($D122,'[1]End - Use Prices'!$B$9:$B$11,0)-1,MATCH(Y$1,'[1]End - Use Prices'!$C$7:$AL$7,0))</f>
        <v>18.940000000000001</v>
      </c>
      <c r="Z122" s="41">
        <f>INDEX('[1]End - Use Prices'!$C$6:$AL$89,MATCH($C122,'[1]End - Use Prices'!$A$6:$A$89,0)+MATCH($D122,'[1]End - Use Prices'!$B$9:$B$11,0)-1,MATCH(Z$1,'[1]End - Use Prices'!$C$7:$AL$7,0))</f>
        <v>11.86</v>
      </c>
      <c r="AA122" s="41">
        <f>INDEX('[1]End - Use Prices'!$C$6:$AL$89,MATCH($C122,'[1]End - Use Prices'!$A$6:$A$89,0)+MATCH($D122,'[1]End - Use Prices'!$B$9:$B$11,0)-1,MATCH(AA$1,'[1]End - Use Prices'!$C$7:$AL$7,0))</f>
        <v>14.01</v>
      </c>
      <c r="AB122" s="41">
        <f>INDEX('[1]End - Use Prices'!$C$6:$AL$89,MATCH($C122,'[1]End - Use Prices'!$A$6:$A$89,0)+MATCH($D122,'[1]End - Use Prices'!$B$9:$B$11,0)-1,MATCH(AB$1,'[1]End - Use Prices'!$C$7:$AL$7,0))</f>
        <v>14.6</v>
      </c>
      <c r="AC122" s="41">
        <f>INDEX('[1]End - Use Prices'!$C$6:$AL$89,MATCH($C122,'[1]End - Use Prices'!$A$6:$A$89,0)+MATCH($D122,'[1]End - Use Prices'!$B$9:$B$11,0)-1,MATCH(AC$1,'[1]End - Use Prices'!$C$7:$AL$7,0))</f>
        <v>20.09</v>
      </c>
      <c r="AD122" s="41">
        <f>INDEX('[1]End - Use Prices'!$C$6:$AL$89,MATCH($C122,'[1]End - Use Prices'!$A$6:$A$89,0)+MATCH($D122,'[1]End - Use Prices'!$B$9:$B$11,0)-1,MATCH(AD$1,'[1]End - Use Prices'!$C$7:$AL$7,0))</f>
        <v>17.2</v>
      </c>
      <c r="AE122" s="41">
        <f>INDEX('[1]End - Use Prices'!$C$6:$AL$89,MATCH($C122,'[1]End - Use Prices'!$A$6:$A$89,0)+MATCH($D122,'[1]End - Use Prices'!$B$9:$B$11,0)-1,MATCH(AE$1,'[1]End - Use Prices'!$C$7:$AL$7,0))</f>
        <v>17.59</v>
      </c>
      <c r="AF122" s="41">
        <f>INDEX('[1]End - Use Prices'!$C$6:$AL$89,MATCH($C122,'[1]End - Use Prices'!$A$6:$A$89,0)+MATCH($D122,'[1]End - Use Prices'!$B$9:$B$11,0)-1,MATCH(AF$1,'[1]End - Use Prices'!$C$7:$AL$7,0))</f>
        <v>18.38</v>
      </c>
      <c r="AG122" s="41">
        <f>INDEX('[1]End - Use Prices'!$C$6:$AL$89,MATCH($C122,'[1]End - Use Prices'!$A$6:$A$89,0)+MATCH($D122,'[1]End - Use Prices'!$B$9:$B$11,0)-1,MATCH(AG$1,'[1]End - Use Prices'!$C$7:$AL$7,0))</f>
        <v>18.48</v>
      </c>
      <c r="AH122" s="41">
        <f>INDEX('[1]End - Use Prices'!$C$6:$AL$89,MATCH($C122,'[1]End - Use Prices'!$A$6:$A$89,0)+MATCH($D122,'[1]End - Use Prices'!$B$9:$B$11,0)-1,MATCH(AH$1,'[1]End - Use Prices'!$C$7:$AL$7,0))</f>
        <v>10.53</v>
      </c>
      <c r="AI122" s="41">
        <f>INDEX('[1]End - Use Prices'!$C$6:$AL$89,MATCH($C122,'[1]End - Use Prices'!$A$6:$A$89,0)+MATCH($D122,'[1]End - Use Prices'!$B$9:$B$11,0)-1,MATCH(AI$1,'[1]End - Use Prices'!$C$7:$AL$7,0))</f>
        <v>9.49</v>
      </c>
      <c r="AJ122" s="41">
        <f>INDEX('[1]End - Use Prices'!$C$6:$AL$89,MATCH($C122,'[1]End - Use Prices'!$A$6:$A$89,0)+MATCH($D122,'[1]End - Use Prices'!$B$9:$B$11,0)-1,MATCH(AJ$1,'[1]End - Use Prices'!$C$7:$AL$7,0))</f>
        <v>10.75</v>
      </c>
      <c r="AK122" s="41">
        <f>INDEX('[1]End - Use Prices'!$C$6:$AL$89,MATCH($C122,'[1]End - Use Prices'!$A$6:$A$89,0)+MATCH($D122,'[1]End - Use Prices'!$B$9:$B$11,0)-1,MATCH(AK$1,'[1]End - Use Prices'!$C$7:$AL$7,0))</f>
        <v>10.63</v>
      </c>
      <c r="AL122" s="41">
        <f>INDEX('[1]End - Use Prices'!$C$6:$AL$89,MATCH($C122,'[1]End - Use Prices'!$A$6:$A$89,0)+MATCH($D122,'[1]End - Use Prices'!$B$9:$B$11,0)-1,MATCH(AL$1,'[1]End - Use Prices'!$C$7:$AL$7,0))</f>
        <v>10.61</v>
      </c>
      <c r="AM122" s="41">
        <f>INDEX('[1]End - Use Prices'!$C$6:$AL$89,MATCH($C122,'[1]End - Use Prices'!$A$6:$A$89,0)+MATCH($D122,'[1]End - Use Prices'!$B$9:$B$11,0)-1,MATCH(AM$1,'[1]End - Use Prices'!$C$7:$AL$7,0))</f>
        <v>10.91</v>
      </c>
      <c r="AN122" s="41">
        <f>INDEX('[1]End - Use Prices'!$C$6:$AL$89,MATCH($C122,'[1]End - Use Prices'!$A$6:$A$89,0)+MATCH($D122,'[1]End - Use Prices'!$B$9:$B$11,0)-1,MATCH(AN$1,'[1]End - Use Prices'!$C$7:$AL$7,0))</f>
        <v>11.07</v>
      </c>
      <c r="AO122" s="41">
        <f>INDEX('[1]End - Use Prices'!$C$6:$AL$89,MATCH($C122,'[1]End - Use Prices'!$A$6:$A$89,0)+MATCH($D122,'[1]End - Use Prices'!$B$9:$B$11,0)-1,MATCH(AO$1,'[1]End - Use Prices'!$C$7:$AL$7,0))</f>
        <v>11.22</v>
      </c>
      <c r="AP122" s="41">
        <f>INDEX('[1]End - Use Prices'!$C$6:$AL$89,MATCH($C122,'[1]End - Use Prices'!$A$6:$A$89,0)+MATCH($D122,'[1]End - Use Prices'!$B$9:$B$11,0)-1,MATCH(AP$1,'[1]End - Use Prices'!$C$7:$AL$7,0))</f>
        <v>11.35</v>
      </c>
      <c r="AQ122" s="41">
        <f>INDEX('[1]End - Use Prices'!$C$6:$AL$89,MATCH($C122,'[1]End - Use Prices'!$A$6:$A$89,0)+MATCH($D122,'[1]End - Use Prices'!$B$9:$B$11,0)-1,MATCH(AQ$1,'[1]End - Use Prices'!$C$7:$AL$7,0))</f>
        <v>11.35</v>
      </c>
      <c r="AR122" s="41">
        <f>INDEX('[1]End - Use Prices'!$C$6:$AL$89,MATCH($C122,'[1]End - Use Prices'!$A$6:$A$89,0)+MATCH($D122,'[1]End - Use Prices'!$B$9:$B$11,0)-1,MATCH(AR$1,'[1]End - Use Prices'!$C$7:$AL$7,0))</f>
        <v>11.38</v>
      </c>
      <c r="AS122" s="41">
        <f>INDEX('[1]End - Use Prices'!$C$6:$AL$89,MATCH($C122,'[1]End - Use Prices'!$A$6:$A$89,0)+MATCH($D122,'[1]End - Use Prices'!$B$9:$B$11,0)-1,MATCH(AS$1,'[1]End - Use Prices'!$C$7:$AL$7,0))</f>
        <v>11.48</v>
      </c>
      <c r="AT122" s="41">
        <f>INDEX('[1]End - Use Prices'!$C$6:$AL$89,MATCH($C122,'[1]End - Use Prices'!$A$6:$A$89,0)+MATCH($D122,'[1]End - Use Prices'!$B$9:$B$11,0)-1,MATCH(AT$1,'[1]End - Use Prices'!$C$7:$AL$7,0))</f>
        <v>11.57</v>
      </c>
      <c r="AU122" s="41">
        <f>INDEX('[1]End - Use Prices'!$C$6:$AL$89,MATCH($C122,'[1]End - Use Prices'!$A$6:$A$89,0)+MATCH($D122,'[1]End - Use Prices'!$B$9:$B$11,0)-1,MATCH(AU$1,'[1]End - Use Prices'!$C$7:$AL$7,0))</f>
        <v>11.67</v>
      </c>
      <c r="AV122" s="41">
        <f>INDEX('[1]End - Use Prices'!$C$6:$AL$89,MATCH($C122,'[1]End - Use Prices'!$A$6:$A$89,0)+MATCH($D122,'[1]End - Use Prices'!$B$9:$B$11,0)-1,MATCH(AV$1,'[1]End - Use Prices'!$C$7:$AL$7,0))</f>
        <v>11.79</v>
      </c>
      <c r="AW122" s="41">
        <f>INDEX('[1]End - Use Prices'!$C$6:$AL$89,MATCH($C122,'[1]End - Use Prices'!$A$6:$A$89,0)+MATCH($D122,'[1]End - Use Prices'!$B$9:$B$11,0)-1,MATCH(AW$1,'[1]End - Use Prices'!$C$7:$AL$7,0))</f>
        <v>11.9</v>
      </c>
      <c r="AX122" s="41">
        <f>INDEX('[1]End - Use Prices'!$C$6:$AL$89,MATCH($C122,'[1]End - Use Prices'!$A$6:$A$89,0)+MATCH($D122,'[1]End - Use Prices'!$B$9:$B$11,0)-1,MATCH(AX$1,'[1]End - Use Prices'!$C$7:$AL$7,0))</f>
        <v>12.02</v>
      </c>
      <c r="AY122" s="41">
        <f>INDEX('[1]End - Use Prices'!$C$6:$AL$89,MATCH($C122,'[1]End - Use Prices'!$A$6:$A$89,0)+MATCH($D122,'[1]End - Use Prices'!$B$9:$B$11,0)-1,MATCH(AY$1,'[1]End - Use Prices'!$C$7:$AL$7,0))</f>
        <v>12.15</v>
      </c>
      <c r="AZ122" s="41">
        <f>INDEX('[1]End - Use Prices'!$C$6:$AL$89,MATCH($C122,'[1]End - Use Prices'!$A$6:$A$89,0)+MATCH($D122,'[1]End - Use Prices'!$B$9:$B$11,0)-1,MATCH(AZ$1,'[1]End - Use Prices'!$C$7:$AL$7,0))</f>
        <v>12.3</v>
      </c>
      <c r="BA122" s="41">
        <f>INDEX('[1]End - Use Prices'!$C$6:$AL$89,MATCH($C122,'[1]End - Use Prices'!$A$6:$A$89,0)+MATCH($D122,'[1]End - Use Prices'!$B$9:$B$11,0)-1,MATCH(BA$1,'[1]End - Use Prices'!$C$7:$AL$7,0))</f>
        <v>12.38</v>
      </c>
      <c r="BB122" s="41">
        <f>INDEX('[1]End - Use Prices'!$C$6:$AL$89,MATCH($C122,'[1]End - Use Prices'!$A$6:$A$89,0)+MATCH($D122,'[1]End - Use Prices'!$B$9:$B$11,0)-1,MATCH(BB$1,'[1]End - Use Prices'!$C$7:$AL$7,0))</f>
        <v>12.45</v>
      </c>
      <c r="BC122" s="41">
        <f>INDEX('[1]End - Use Prices'!$C$6:$AL$89,MATCH($C122,'[1]End - Use Prices'!$A$6:$A$89,0)+MATCH($D122,'[1]End - Use Prices'!$B$9:$B$11,0)-1,MATCH(BC$1,'[1]End - Use Prices'!$C$7:$AL$7,0))</f>
        <v>12.52</v>
      </c>
      <c r="BD122" s="41">
        <f>INDEX('[1]End - Use Prices'!$C$6:$AL$89,MATCH($C122,'[1]End - Use Prices'!$A$6:$A$89,0)+MATCH($D122,'[1]End - Use Prices'!$B$9:$B$11,0)-1,MATCH(BD$1,'[1]End - Use Prices'!$C$7:$AL$7,0))</f>
        <v>12.57</v>
      </c>
      <c r="BE122" s="41">
        <f>INDEX('[1]End - Use Prices'!$C$6:$AL$89,MATCH($C122,'[1]End - Use Prices'!$A$6:$A$89,0)+MATCH($D122,'[1]End - Use Prices'!$B$9:$B$11,0)-1,MATCH(BE$1,'[1]End - Use Prices'!$C$7:$AL$7,0))</f>
        <v>12.6</v>
      </c>
      <c r="BF122" s="41">
        <f>INDEX('[1]End - Use Prices'!$C$6:$AL$89,MATCH($C122,'[1]End - Use Prices'!$A$6:$A$89,0)+MATCH($D122,'[1]End - Use Prices'!$B$9:$B$11,0)-1,MATCH(BF$1,'[1]End - Use Prices'!$C$7:$AL$7,0))</f>
        <v>12.64</v>
      </c>
      <c r="BG122" s="41">
        <f>INDEX('[1]End - Use Prices'!$C$6:$AL$89,MATCH($C122,'[1]End - Use Prices'!$A$6:$A$89,0)+MATCH($D122,'[1]End - Use Prices'!$B$9:$B$11,0)-1,MATCH(BG$1,'[1]End - Use Prices'!$C$7:$AL$7,0))</f>
        <v>12.67</v>
      </c>
      <c r="BR122" s="39"/>
      <c r="BS122" s="39"/>
      <c r="BT122" s="39"/>
      <c r="BU122" s="39"/>
      <c r="BV122" s="39"/>
      <c r="BW122" s="39"/>
      <c r="BX122" s="39"/>
      <c r="BY122" s="39"/>
      <c r="BZ122" s="39"/>
      <c r="CA122" s="39"/>
    </row>
    <row r="123" spans="1:79" x14ac:dyDescent="0.25">
      <c r="A123" s="5"/>
      <c r="B123" s="3"/>
      <c r="C123" s="25" t="s">
        <v>89</v>
      </c>
      <c r="D123" s="25" t="s">
        <v>14</v>
      </c>
      <c r="E123" s="25" t="s">
        <v>313</v>
      </c>
      <c r="F123" s="74" t="s">
        <v>310</v>
      </c>
      <c r="G123" s="54">
        <f t="shared" si="100"/>
        <v>48.47</v>
      </c>
      <c r="H123" s="34">
        <f t="shared" si="118"/>
        <v>48.47</v>
      </c>
      <c r="I123" s="34">
        <f t="shared" si="118"/>
        <v>36.06</v>
      </c>
      <c r="J123" s="34">
        <f t="shared" si="118"/>
        <v>30.99</v>
      </c>
      <c r="K123" s="34">
        <f t="shared" si="118"/>
        <v>25.99</v>
      </c>
      <c r="L123" s="34">
        <f t="shared" si="118"/>
        <v>26.97</v>
      </c>
      <c r="M123" s="34">
        <f t="shared" si="118"/>
        <v>27.22</v>
      </c>
      <c r="N123" s="34">
        <f t="shared" si="118"/>
        <v>27.55</v>
      </c>
      <c r="O123" s="34">
        <f t="shared" si="118"/>
        <v>27.62</v>
      </c>
      <c r="P123" s="54">
        <f t="shared" ref="P123:Q123" si="120">O123</f>
        <v>27.62</v>
      </c>
      <c r="Q123" s="54">
        <f t="shared" si="120"/>
        <v>27.62</v>
      </c>
      <c r="R123" s="38"/>
      <c r="X123" s="41">
        <f>INDEX('[1]End - Use Prices'!$C$6:$AL$89,MATCH($C123,'[1]End - Use Prices'!$A$6:$A$89,0)+MATCH($D123,'[1]End - Use Prices'!$B$9:$B$11,0)-1,MATCH(X$1,'[1]End - Use Prices'!$C$7:$AL$7,0))</f>
        <v>48.47</v>
      </c>
      <c r="Y123" s="41">
        <f>INDEX('[1]End - Use Prices'!$C$6:$AL$89,MATCH($C123,'[1]End - Use Prices'!$A$6:$A$89,0)+MATCH($D123,'[1]End - Use Prices'!$B$9:$B$11,0)-1,MATCH(Y$1,'[1]End - Use Prices'!$C$7:$AL$7,0))</f>
        <v>44.05</v>
      </c>
      <c r="Z123" s="41">
        <f>INDEX('[1]End - Use Prices'!$C$6:$AL$89,MATCH($C123,'[1]End - Use Prices'!$A$6:$A$89,0)+MATCH($D123,'[1]End - Use Prices'!$B$9:$B$11,0)-1,MATCH(Z$1,'[1]End - Use Prices'!$C$7:$AL$7,0))</f>
        <v>40.97</v>
      </c>
      <c r="AA123" s="41">
        <f>INDEX('[1]End - Use Prices'!$C$6:$AL$89,MATCH($C123,'[1]End - Use Prices'!$A$6:$A$89,0)+MATCH($D123,'[1]End - Use Prices'!$B$9:$B$11,0)-1,MATCH(AA$1,'[1]End - Use Prices'!$C$7:$AL$7,0))</f>
        <v>39.74</v>
      </c>
      <c r="AB123" s="41">
        <f>INDEX('[1]End - Use Prices'!$C$6:$AL$89,MATCH($C123,'[1]End - Use Prices'!$A$6:$A$89,0)+MATCH($D123,'[1]End - Use Prices'!$B$9:$B$11,0)-1,MATCH(AB$1,'[1]End - Use Prices'!$C$7:$AL$7,0))</f>
        <v>38.31</v>
      </c>
      <c r="AC123" s="41">
        <f>INDEX('[1]End - Use Prices'!$C$6:$AL$89,MATCH($C123,'[1]End - Use Prices'!$A$6:$A$89,0)+MATCH($D123,'[1]End - Use Prices'!$B$9:$B$11,0)-1,MATCH(AC$1,'[1]End - Use Prices'!$C$7:$AL$7,0))</f>
        <v>36.06</v>
      </c>
      <c r="AD123" s="41">
        <f>INDEX('[1]End - Use Prices'!$C$6:$AL$89,MATCH($C123,'[1]End - Use Prices'!$A$6:$A$89,0)+MATCH($D123,'[1]End - Use Prices'!$B$9:$B$11,0)-1,MATCH(AD$1,'[1]End - Use Prices'!$C$7:$AL$7,0))</f>
        <v>33.869999999999997</v>
      </c>
      <c r="AE123" s="41">
        <f>INDEX('[1]End - Use Prices'!$C$6:$AL$89,MATCH($C123,'[1]End - Use Prices'!$A$6:$A$89,0)+MATCH($D123,'[1]End - Use Prices'!$B$9:$B$11,0)-1,MATCH(AE$1,'[1]End - Use Prices'!$C$7:$AL$7,0))</f>
        <v>32.549999999999997</v>
      </c>
      <c r="AF123" s="41">
        <f>INDEX('[1]End - Use Prices'!$C$6:$AL$89,MATCH($C123,'[1]End - Use Prices'!$A$6:$A$89,0)+MATCH($D123,'[1]End - Use Prices'!$B$9:$B$11,0)-1,MATCH(AF$1,'[1]End - Use Prices'!$C$7:$AL$7,0))</f>
        <v>25.3</v>
      </c>
      <c r="AG123" s="41">
        <f>INDEX('[1]End - Use Prices'!$C$6:$AL$89,MATCH($C123,'[1]End - Use Prices'!$A$6:$A$89,0)+MATCH($D123,'[1]End - Use Prices'!$B$9:$B$11,0)-1,MATCH(AG$1,'[1]End - Use Prices'!$C$7:$AL$7,0))</f>
        <v>26.06</v>
      </c>
      <c r="AH123" s="41">
        <f>INDEX('[1]End - Use Prices'!$C$6:$AL$89,MATCH($C123,'[1]End - Use Prices'!$A$6:$A$89,0)+MATCH($D123,'[1]End - Use Prices'!$B$9:$B$11,0)-1,MATCH(AH$1,'[1]End - Use Prices'!$C$7:$AL$7,0))</f>
        <v>30.99</v>
      </c>
      <c r="AI123" s="41">
        <f>INDEX('[1]End - Use Prices'!$C$6:$AL$89,MATCH($C123,'[1]End - Use Prices'!$A$6:$A$89,0)+MATCH($D123,'[1]End - Use Prices'!$B$9:$B$11,0)-1,MATCH(AI$1,'[1]End - Use Prices'!$C$7:$AL$7,0))</f>
        <v>27.98</v>
      </c>
      <c r="AJ123" s="41">
        <f>INDEX('[1]End - Use Prices'!$C$6:$AL$89,MATCH($C123,'[1]End - Use Prices'!$A$6:$A$89,0)+MATCH($D123,'[1]End - Use Prices'!$B$9:$B$11,0)-1,MATCH(AJ$1,'[1]End - Use Prices'!$C$7:$AL$7,0))</f>
        <v>25.3</v>
      </c>
      <c r="AK123" s="41">
        <f>INDEX('[1]End - Use Prices'!$C$6:$AL$89,MATCH($C123,'[1]End - Use Prices'!$A$6:$A$89,0)+MATCH($D123,'[1]End - Use Prices'!$B$9:$B$11,0)-1,MATCH(AK$1,'[1]End - Use Prices'!$C$7:$AL$7,0))</f>
        <v>25.21</v>
      </c>
      <c r="AL123" s="41">
        <f>INDEX('[1]End - Use Prices'!$C$6:$AL$89,MATCH($C123,'[1]End - Use Prices'!$A$6:$A$89,0)+MATCH($D123,'[1]End - Use Prices'!$B$9:$B$11,0)-1,MATCH(AL$1,'[1]End - Use Prices'!$C$7:$AL$7,0))</f>
        <v>25.2</v>
      </c>
      <c r="AM123" s="41">
        <f>INDEX('[1]End - Use Prices'!$C$6:$AL$89,MATCH($C123,'[1]End - Use Prices'!$A$6:$A$89,0)+MATCH($D123,'[1]End - Use Prices'!$B$9:$B$11,0)-1,MATCH(AM$1,'[1]End - Use Prices'!$C$7:$AL$7,0))</f>
        <v>25.99</v>
      </c>
      <c r="AN123" s="41">
        <f>INDEX('[1]End - Use Prices'!$C$6:$AL$89,MATCH($C123,'[1]End - Use Prices'!$A$6:$A$89,0)+MATCH($D123,'[1]End - Use Prices'!$B$9:$B$11,0)-1,MATCH(AN$1,'[1]End - Use Prices'!$C$7:$AL$7,0))</f>
        <v>26.36</v>
      </c>
      <c r="AO123" s="41">
        <f>INDEX('[1]End - Use Prices'!$C$6:$AL$89,MATCH($C123,'[1]End - Use Prices'!$A$6:$A$89,0)+MATCH($D123,'[1]End - Use Prices'!$B$9:$B$11,0)-1,MATCH(AO$1,'[1]End - Use Prices'!$C$7:$AL$7,0))</f>
        <v>26.71</v>
      </c>
      <c r="AP123" s="41">
        <f>INDEX('[1]End - Use Prices'!$C$6:$AL$89,MATCH($C123,'[1]End - Use Prices'!$A$6:$A$89,0)+MATCH($D123,'[1]End - Use Prices'!$B$9:$B$11,0)-1,MATCH(AP$1,'[1]End - Use Prices'!$C$7:$AL$7,0))</f>
        <v>27.03</v>
      </c>
      <c r="AQ123" s="41">
        <f>INDEX('[1]End - Use Prices'!$C$6:$AL$89,MATCH($C123,'[1]End - Use Prices'!$A$6:$A$89,0)+MATCH($D123,'[1]End - Use Prices'!$B$9:$B$11,0)-1,MATCH(AQ$1,'[1]End - Use Prices'!$C$7:$AL$7,0))</f>
        <v>26.98</v>
      </c>
      <c r="AR123" s="41">
        <f>INDEX('[1]End - Use Prices'!$C$6:$AL$89,MATCH($C123,'[1]End - Use Prices'!$A$6:$A$89,0)+MATCH($D123,'[1]End - Use Prices'!$B$9:$B$11,0)-1,MATCH(AR$1,'[1]End - Use Prices'!$C$7:$AL$7,0))</f>
        <v>26.97</v>
      </c>
      <c r="AS123" s="41">
        <f>INDEX('[1]End - Use Prices'!$C$6:$AL$89,MATCH($C123,'[1]End - Use Prices'!$A$6:$A$89,0)+MATCH($D123,'[1]End - Use Prices'!$B$9:$B$11,0)-1,MATCH(AS$1,'[1]End - Use Prices'!$C$7:$AL$7,0))</f>
        <v>27.01</v>
      </c>
      <c r="AT123" s="41">
        <f>INDEX('[1]End - Use Prices'!$C$6:$AL$89,MATCH($C123,'[1]End - Use Prices'!$A$6:$A$89,0)+MATCH($D123,'[1]End - Use Prices'!$B$9:$B$11,0)-1,MATCH(AT$1,'[1]End - Use Prices'!$C$7:$AL$7,0))</f>
        <v>27.04</v>
      </c>
      <c r="AU123" s="41">
        <f>INDEX('[1]End - Use Prices'!$C$6:$AL$89,MATCH($C123,'[1]End - Use Prices'!$A$6:$A$89,0)+MATCH($D123,'[1]End - Use Prices'!$B$9:$B$11,0)-1,MATCH(AU$1,'[1]End - Use Prices'!$C$7:$AL$7,0))</f>
        <v>27.1</v>
      </c>
      <c r="AV123" s="41">
        <f>INDEX('[1]End - Use Prices'!$C$6:$AL$89,MATCH($C123,'[1]End - Use Prices'!$A$6:$A$89,0)+MATCH($D123,'[1]End - Use Prices'!$B$9:$B$11,0)-1,MATCH(AV$1,'[1]End - Use Prices'!$C$7:$AL$7,0))</f>
        <v>27.16</v>
      </c>
      <c r="AW123" s="41">
        <f>INDEX('[1]End - Use Prices'!$C$6:$AL$89,MATCH($C123,'[1]End - Use Prices'!$A$6:$A$89,0)+MATCH($D123,'[1]End - Use Prices'!$B$9:$B$11,0)-1,MATCH(AW$1,'[1]End - Use Prices'!$C$7:$AL$7,0))</f>
        <v>27.22</v>
      </c>
      <c r="AX123" s="41">
        <f>INDEX('[1]End - Use Prices'!$C$6:$AL$89,MATCH($C123,'[1]End - Use Prices'!$A$6:$A$89,0)+MATCH($D123,'[1]End - Use Prices'!$B$9:$B$11,0)-1,MATCH(AX$1,'[1]End - Use Prices'!$C$7:$AL$7,0))</f>
        <v>27.29</v>
      </c>
      <c r="AY123" s="41">
        <f>INDEX('[1]End - Use Prices'!$C$6:$AL$89,MATCH($C123,'[1]End - Use Prices'!$A$6:$A$89,0)+MATCH($D123,'[1]End - Use Prices'!$B$9:$B$11,0)-1,MATCH(AY$1,'[1]End - Use Prices'!$C$7:$AL$7,0))</f>
        <v>27.37</v>
      </c>
      <c r="AZ123" s="41">
        <f>INDEX('[1]End - Use Prices'!$C$6:$AL$89,MATCH($C123,'[1]End - Use Prices'!$A$6:$A$89,0)+MATCH($D123,'[1]End - Use Prices'!$B$9:$B$11,0)-1,MATCH(AZ$1,'[1]End - Use Prices'!$C$7:$AL$7,0))</f>
        <v>27.46</v>
      </c>
      <c r="BA123" s="41">
        <f>INDEX('[1]End - Use Prices'!$C$6:$AL$89,MATCH($C123,'[1]End - Use Prices'!$A$6:$A$89,0)+MATCH($D123,'[1]End - Use Prices'!$B$9:$B$11,0)-1,MATCH(BA$1,'[1]End - Use Prices'!$C$7:$AL$7,0))</f>
        <v>27.51</v>
      </c>
      <c r="BB123" s="41">
        <f>INDEX('[1]End - Use Prices'!$C$6:$AL$89,MATCH($C123,'[1]End - Use Prices'!$A$6:$A$89,0)+MATCH($D123,'[1]End - Use Prices'!$B$9:$B$11,0)-1,MATCH(BB$1,'[1]End - Use Prices'!$C$7:$AL$7,0))</f>
        <v>27.55</v>
      </c>
      <c r="BC123" s="41">
        <f>INDEX('[1]End - Use Prices'!$C$6:$AL$89,MATCH($C123,'[1]End - Use Prices'!$A$6:$A$89,0)+MATCH($D123,'[1]End - Use Prices'!$B$9:$B$11,0)-1,MATCH(BC$1,'[1]End - Use Prices'!$C$7:$AL$7,0))</f>
        <v>27.58</v>
      </c>
      <c r="BD123" s="41">
        <f>INDEX('[1]End - Use Prices'!$C$6:$AL$89,MATCH($C123,'[1]End - Use Prices'!$A$6:$A$89,0)+MATCH($D123,'[1]End - Use Prices'!$B$9:$B$11,0)-1,MATCH(BD$1,'[1]End - Use Prices'!$C$7:$AL$7,0))</f>
        <v>27.6</v>
      </c>
      <c r="BE123" s="41">
        <f>INDEX('[1]End - Use Prices'!$C$6:$AL$89,MATCH($C123,'[1]End - Use Prices'!$A$6:$A$89,0)+MATCH($D123,'[1]End - Use Prices'!$B$9:$B$11,0)-1,MATCH(BE$1,'[1]End - Use Prices'!$C$7:$AL$7,0))</f>
        <v>27.61</v>
      </c>
      <c r="BF123" s="41">
        <f>INDEX('[1]End - Use Prices'!$C$6:$AL$89,MATCH($C123,'[1]End - Use Prices'!$A$6:$A$89,0)+MATCH($D123,'[1]End - Use Prices'!$B$9:$B$11,0)-1,MATCH(BF$1,'[1]End - Use Prices'!$C$7:$AL$7,0))</f>
        <v>27.62</v>
      </c>
      <c r="BG123" s="41">
        <f>INDEX('[1]End - Use Prices'!$C$6:$AL$89,MATCH($C123,'[1]End - Use Prices'!$A$6:$A$89,0)+MATCH($D123,'[1]End - Use Prices'!$B$9:$B$11,0)-1,MATCH(BG$1,'[1]End - Use Prices'!$C$7:$AL$7,0))</f>
        <v>27.62</v>
      </c>
      <c r="BR123" s="39"/>
      <c r="BS123" s="39"/>
      <c r="BT123" s="39"/>
      <c r="BU123" s="39"/>
      <c r="BV123" s="39"/>
      <c r="BW123" s="39"/>
      <c r="BX123" s="39"/>
      <c r="BY123" s="39"/>
      <c r="BZ123" s="39"/>
      <c r="CA123" s="39"/>
    </row>
    <row r="124" spans="1:79" x14ac:dyDescent="0.25">
      <c r="A124" s="5"/>
      <c r="B124" s="3"/>
      <c r="C124" s="25" t="s">
        <v>90</v>
      </c>
      <c r="D124" s="25" t="s">
        <v>14</v>
      </c>
      <c r="E124" s="25" t="s">
        <v>313</v>
      </c>
      <c r="F124" s="74" t="s">
        <v>310</v>
      </c>
      <c r="G124" s="54">
        <f t="shared" si="100"/>
        <v>18.899999999999999</v>
      </c>
      <c r="H124" s="34">
        <f t="shared" si="118"/>
        <v>18.899999999999999</v>
      </c>
      <c r="I124" s="34">
        <f t="shared" si="118"/>
        <v>20.09</v>
      </c>
      <c r="J124" s="34">
        <f t="shared" si="118"/>
        <v>13.86</v>
      </c>
      <c r="K124" s="34">
        <f t="shared" si="118"/>
        <v>11.56</v>
      </c>
      <c r="L124" s="34">
        <f t="shared" si="118"/>
        <v>12.76</v>
      </c>
      <c r="M124" s="34">
        <f t="shared" si="118"/>
        <v>13.11</v>
      </c>
      <c r="N124" s="34">
        <f t="shared" si="118"/>
        <v>13.55</v>
      </c>
      <c r="O124" s="34">
        <f t="shared" si="118"/>
        <v>13.67</v>
      </c>
      <c r="P124" s="54">
        <f t="shared" ref="P124:Q124" si="121">O124</f>
        <v>13.67</v>
      </c>
      <c r="Q124" s="54">
        <f t="shared" si="121"/>
        <v>13.67</v>
      </c>
      <c r="R124" s="38"/>
      <c r="X124" s="41">
        <f>INDEX('[1]End - Use Prices'!$C$6:$AL$89,MATCH($C124,'[1]End - Use Prices'!$A$6:$A$89,0)+MATCH($D124,'[1]End - Use Prices'!$B$9:$B$11,0)-1,MATCH(X$1,'[1]End - Use Prices'!$C$7:$AL$7,0))</f>
        <v>18.899999999999999</v>
      </c>
      <c r="Y124" s="41">
        <f>INDEX('[1]End - Use Prices'!$C$6:$AL$89,MATCH($C124,'[1]End - Use Prices'!$A$6:$A$89,0)+MATCH($D124,'[1]End - Use Prices'!$B$9:$B$11,0)-1,MATCH(Y$1,'[1]End - Use Prices'!$C$7:$AL$7,0))</f>
        <v>18.940000000000001</v>
      </c>
      <c r="Z124" s="41">
        <f>INDEX('[1]End - Use Prices'!$C$6:$AL$89,MATCH($C124,'[1]End - Use Prices'!$A$6:$A$89,0)+MATCH($D124,'[1]End - Use Prices'!$B$9:$B$11,0)-1,MATCH(Z$1,'[1]End - Use Prices'!$C$7:$AL$7,0))</f>
        <v>11.86</v>
      </c>
      <c r="AA124" s="41">
        <f>INDEX('[1]End - Use Prices'!$C$6:$AL$89,MATCH($C124,'[1]End - Use Prices'!$A$6:$A$89,0)+MATCH($D124,'[1]End - Use Prices'!$B$9:$B$11,0)-1,MATCH(AA$1,'[1]End - Use Prices'!$C$7:$AL$7,0))</f>
        <v>14.01</v>
      </c>
      <c r="AB124" s="41">
        <f>INDEX('[1]End - Use Prices'!$C$6:$AL$89,MATCH($C124,'[1]End - Use Prices'!$A$6:$A$89,0)+MATCH($D124,'[1]End - Use Prices'!$B$9:$B$11,0)-1,MATCH(AB$1,'[1]End - Use Prices'!$C$7:$AL$7,0))</f>
        <v>14.6</v>
      </c>
      <c r="AC124" s="41">
        <f>INDEX('[1]End - Use Prices'!$C$6:$AL$89,MATCH($C124,'[1]End - Use Prices'!$A$6:$A$89,0)+MATCH($D124,'[1]End - Use Prices'!$B$9:$B$11,0)-1,MATCH(AC$1,'[1]End - Use Prices'!$C$7:$AL$7,0))</f>
        <v>20.09</v>
      </c>
      <c r="AD124" s="41">
        <f>INDEX('[1]End - Use Prices'!$C$6:$AL$89,MATCH($C124,'[1]End - Use Prices'!$A$6:$A$89,0)+MATCH($D124,'[1]End - Use Prices'!$B$9:$B$11,0)-1,MATCH(AD$1,'[1]End - Use Prices'!$C$7:$AL$7,0))</f>
        <v>17.2</v>
      </c>
      <c r="AE124" s="41">
        <f>INDEX('[1]End - Use Prices'!$C$6:$AL$89,MATCH($C124,'[1]End - Use Prices'!$A$6:$A$89,0)+MATCH($D124,'[1]End - Use Prices'!$B$9:$B$11,0)-1,MATCH(AE$1,'[1]End - Use Prices'!$C$7:$AL$7,0))</f>
        <v>17.59</v>
      </c>
      <c r="AF124" s="41">
        <f>INDEX('[1]End - Use Prices'!$C$6:$AL$89,MATCH($C124,'[1]End - Use Prices'!$A$6:$A$89,0)+MATCH($D124,'[1]End - Use Prices'!$B$9:$B$11,0)-1,MATCH(AF$1,'[1]End - Use Prices'!$C$7:$AL$7,0))</f>
        <v>18.75</v>
      </c>
      <c r="AG124" s="41">
        <f>INDEX('[1]End - Use Prices'!$C$6:$AL$89,MATCH($C124,'[1]End - Use Prices'!$A$6:$A$89,0)+MATCH($D124,'[1]End - Use Prices'!$B$9:$B$11,0)-1,MATCH(AG$1,'[1]End - Use Prices'!$C$7:$AL$7,0))</f>
        <v>18.48</v>
      </c>
      <c r="AH124" s="41">
        <f>INDEX('[1]End - Use Prices'!$C$6:$AL$89,MATCH($C124,'[1]End - Use Prices'!$A$6:$A$89,0)+MATCH($D124,'[1]End - Use Prices'!$B$9:$B$11,0)-1,MATCH(AH$1,'[1]End - Use Prices'!$C$7:$AL$7,0))</f>
        <v>13.86</v>
      </c>
      <c r="AI124" s="41">
        <f>INDEX('[1]End - Use Prices'!$C$6:$AL$89,MATCH($C124,'[1]End - Use Prices'!$A$6:$A$89,0)+MATCH($D124,'[1]End - Use Prices'!$B$9:$B$11,0)-1,MATCH(AI$1,'[1]End - Use Prices'!$C$7:$AL$7,0))</f>
        <v>9.4700000000000006</v>
      </c>
      <c r="AJ124" s="41">
        <f>INDEX('[1]End - Use Prices'!$C$6:$AL$89,MATCH($C124,'[1]End - Use Prices'!$A$6:$A$89,0)+MATCH($D124,'[1]End - Use Prices'!$B$9:$B$11,0)-1,MATCH(AJ$1,'[1]End - Use Prices'!$C$7:$AL$7,0))</f>
        <v>10.75</v>
      </c>
      <c r="AK124" s="41">
        <f>INDEX('[1]End - Use Prices'!$C$6:$AL$89,MATCH($C124,'[1]End - Use Prices'!$A$6:$A$89,0)+MATCH($D124,'[1]End - Use Prices'!$B$9:$B$11,0)-1,MATCH(AK$1,'[1]End - Use Prices'!$C$7:$AL$7,0))</f>
        <v>10.63</v>
      </c>
      <c r="AL124" s="41">
        <f>INDEX('[1]End - Use Prices'!$C$6:$AL$89,MATCH($C124,'[1]End - Use Prices'!$A$6:$A$89,0)+MATCH($D124,'[1]End - Use Prices'!$B$9:$B$11,0)-1,MATCH(AL$1,'[1]End - Use Prices'!$C$7:$AL$7,0))</f>
        <v>10.61</v>
      </c>
      <c r="AM124" s="41">
        <f>INDEX('[1]End - Use Prices'!$C$6:$AL$89,MATCH($C124,'[1]End - Use Prices'!$A$6:$A$89,0)+MATCH($D124,'[1]End - Use Prices'!$B$9:$B$11,0)-1,MATCH(AM$1,'[1]End - Use Prices'!$C$7:$AL$7,0))</f>
        <v>11.56</v>
      </c>
      <c r="AN124" s="41">
        <f>INDEX('[1]End - Use Prices'!$C$6:$AL$89,MATCH($C124,'[1]End - Use Prices'!$A$6:$A$89,0)+MATCH($D124,'[1]End - Use Prices'!$B$9:$B$11,0)-1,MATCH(AN$1,'[1]End - Use Prices'!$C$7:$AL$7,0))</f>
        <v>12.01</v>
      </c>
      <c r="AO124" s="41">
        <f>INDEX('[1]End - Use Prices'!$C$6:$AL$89,MATCH($C124,'[1]End - Use Prices'!$A$6:$A$89,0)+MATCH($D124,'[1]End - Use Prices'!$B$9:$B$11,0)-1,MATCH(AO$1,'[1]End - Use Prices'!$C$7:$AL$7,0))</f>
        <v>12.44</v>
      </c>
      <c r="AP124" s="41">
        <f>INDEX('[1]End - Use Prices'!$C$6:$AL$89,MATCH($C124,'[1]End - Use Prices'!$A$6:$A$89,0)+MATCH($D124,'[1]End - Use Prices'!$B$9:$B$11,0)-1,MATCH(AP$1,'[1]End - Use Prices'!$C$7:$AL$7,0))</f>
        <v>12.83</v>
      </c>
      <c r="AQ124" s="41">
        <f>INDEX('[1]End - Use Prices'!$C$6:$AL$89,MATCH($C124,'[1]End - Use Prices'!$A$6:$A$89,0)+MATCH($D124,'[1]End - Use Prices'!$B$9:$B$11,0)-1,MATCH(AQ$1,'[1]End - Use Prices'!$C$7:$AL$7,0))</f>
        <v>12.77</v>
      </c>
      <c r="AR124" s="41">
        <f>INDEX('[1]End - Use Prices'!$C$6:$AL$89,MATCH($C124,'[1]End - Use Prices'!$A$6:$A$89,0)+MATCH($D124,'[1]End - Use Prices'!$B$9:$B$11,0)-1,MATCH(AR$1,'[1]End - Use Prices'!$C$7:$AL$7,0))</f>
        <v>12.76</v>
      </c>
      <c r="AS124" s="41">
        <f>INDEX('[1]End - Use Prices'!$C$6:$AL$89,MATCH($C124,'[1]End - Use Prices'!$A$6:$A$89,0)+MATCH($D124,'[1]End - Use Prices'!$B$9:$B$11,0)-1,MATCH(AS$1,'[1]End - Use Prices'!$C$7:$AL$7,0))</f>
        <v>12.82</v>
      </c>
      <c r="AT124" s="41">
        <f>INDEX('[1]End - Use Prices'!$C$6:$AL$89,MATCH($C124,'[1]End - Use Prices'!$A$6:$A$89,0)+MATCH($D124,'[1]End - Use Prices'!$B$9:$B$11,0)-1,MATCH(AT$1,'[1]End - Use Prices'!$C$7:$AL$7,0))</f>
        <v>12.87</v>
      </c>
      <c r="AU124" s="41">
        <f>INDEX('[1]End - Use Prices'!$C$6:$AL$89,MATCH($C124,'[1]End - Use Prices'!$A$6:$A$89,0)+MATCH($D124,'[1]End - Use Prices'!$B$9:$B$11,0)-1,MATCH(AU$1,'[1]End - Use Prices'!$C$7:$AL$7,0))</f>
        <v>12.94</v>
      </c>
      <c r="AV124" s="41">
        <f>INDEX('[1]End - Use Prices'!$C$6:$AL$89,MATCH($C124,'[1]End - Use Prices'!$A$6:$A$89,0)+MATCH($D124,'[1]End - Use Prices'!$B$9:$B$11,0)-1,MATCH(AV$1,'[1]End - Use Prices'!$C$7:$AL$7,0))</f>
        <v>13.03</v>
      </c>
      <c r="AW124" s="41">
        <f>INDEX('[1]End - Use Prices'!$C$6:$AL$89,MATCH($C124,'[1]End - Use Prices'!$A$6:$A$89,0)+MATCH($D124,'[1]End - Use Prices'!$B$9:$B$11,0)-1,MATCH(AW$1,'[1]End - Use Prices'!$C$7:$AL$7,0))</f>
        <v>13.11</v>
      </c>
      <c r="AX124" s="41">
        <f>INDEX('[1]End - Use Prices'!$C$6:$AL$89,MATCH($C124,'[1]End - Use Prices'!$A$6:$A$89,0)+MATCH($D124,'[1]End - Use Prices'!$B$9:$B$11,0)-1,MATCH(AX$1,'[1]End - Use Prices'!$C$7:$AL$7,0))</f>
        <v>13.21</v>
      </c>
      <c r="AY124" s="41">
        <f>INDEX('[1]End - Use Prices'!$C$6:$AL$89,MATCH($C124,'[1]End - Use Prices'!$A$6:$A$89,0)+MATCH($D124,'[1]End - Use Prices'!$B$9:$B$11,0)-1,MATCH(AY$1,'[1]End - Use Prices'!$C$7:$AL$7,0))</f>
        <v>13.32</v>
      </c>
      <c r="AZ124" s="41">
        <f>INDEX('[1]End - Use Prices'!$C$6:$AL$89,MATCH($C124,'[1]End - Use Prices'!$A$6:$A$89,0)+MATCH($D124,'[1]End - Use Prices'!$B$9:$B$11,0)-1,MATCH(AZ$1,'[1]End - Use Prices'!$C$7:$AL$7,0))</f>
        <v>13.44</v>
      </c>
      <c r="BA124" s="41">
        <f>INDEX('[1]End - Use Prices'!$C$6:$AL$89,MATCH($C124,'[1]End - Use Prices'!$A$6:$A$89,0)+MATCH($D124,'[1]End - Use Prices'!$B$9:$B$11,0)-1,MATCH(BA$1,'[1]End - Use Prices'!$C$7:$AL$7,0))</f>
        <v>13.5</v>
      </c>
      <c r="BB124" s="41">
        <f>INDEX('[1]End - Use Prices'!$C$6:$AL$89,MATCH($C124,'[1]End - Use Prices'!$A$6:$A$89,0)+MATCH($D124,'[1]End - Use Prices'!$B$9:$B$11,0)-1,MATCH(BB$1,'[1]End - Use Prices'!$C$7:$AL$7,0))</f>
        <v>13.55</v>
      </c>
      <c r="BC124" s="41">
        <f>INDEX('[1]End - Use Prices'!$C$6:$AL$89,MATCH($C124,'[1]End - Use Prices'!$A$6:$A$89,0)+MATCH($D124,'[1]End - Use Prices'!$B$9:$B$11,0)-1,MATCH(BC$1,'[1]End - Use Prices'!$C$7:$AL$7,0))</f>
        <v>13.6</v>
      </c>
      <c r="BD124" s="41">
        <f>INDEX('[1]End - Use Prices'!$C$6:$AL$89,MATCH($C124,'[1]End - Use Prices'!$A$6:$A$89,0)+MATCH($D124,'[1]End - Use Prices'!$B$9:$B$11,0)-1,MATCH(BD$1,'[1]End - Use Prices'!$C$7:$AL$7,0))</f>
        <v>13.63</v>
      </c>
      <c r="BE124" s="41">
        <f>INDEX('[1]End - Use Prices'!$C$6:$AL$89,MATCH($C124,'[1]End - Use Prices'!$A$6:$A$89,0)+MATCH($D124,'[1]End - Use Prices'!$B$9:$B$11,0)-1,MATCH(BE$1,'[1]End - Use Prices'!$C$7:$AL$7,0))</f>
        <v>13.64</v>
      </c>
      <c r="BF124" s="41">
        <f>INDEX('[1]End - Use Prices'!$C$6:$AL$89,MATCH($C124,'[1]End - Use Prices'!$A$6:$A$89,0)+MATCH($D124,'[1]End - Use Prices'!$B$9:$B$11,0)-1,MATCH(BF$1,'[1]End - Use Prices'!$C$7:$AL$7,0))</f>
        <v>13.66</v>
      </c>
      <c r="BG124" s="41">
        <f>INDEX('[1]End - Use Prices'!$C$6:$AL$89,MATCH($C124,'[1]End - Use Prices'!$A$6:$A$89,0)+MATCH($D124,'[1]End - Use Prices'!$B$9:$B$11,0)-1,MATCH(BG$1,'[1]End - Use Prices'!$C$7:$AL$7,0))</f>
        <v>13.67</v>
      </c>
      <c r="BR124" s="39"/>
      <c r="BS124" s="39"/>
      <c r="BT124" s="39"/>
      <c r="BU124" s="39"/>
      <c r="BV124" s="39"/>
      <c r="BW124" s="39"/>
      <c r="BX124" s="39"/>
      <c r="BY124" s="39"/>
      <c r="BZ124" s="39"/>
      <c r="CA124" s="39"/>
    </row>
    <row r="125" spans="1:79" x14ac:dyDescent="0.25">
      <c r="A125" s="5"/>
      <c r="B125" s="3"/>
      <c r="C125" s="25" t="s">
        <v>91</v>
      </c>
      <c r="D125" s="25" t="s">
        <v>14</v>
      </c>
      <c r="E125" s="25" t="s">
        <v>313</v>
      </c>
      <c r="F125" s="74" t="s">
        <v>310</v>
      </c>
      <c r="G125" s="54">
        <f t="shared" si="100"/>
        <v>20.32</v>
      </c>
      <c r="H125" s="34">
        <f t="shared" si="118"/>
        <v>20.32</v>
      </c>
      <c r="I125" s="34">
        <f t="shared" si="118"/>
        <v>18.399999999999999</v>
      </c>
      <c r="J125" s="34">
        <f t="shared" si="118"/>
        <v>15.95</v>
      </c>
      <c r="K125" s="34">
        <f t="shared" si="118"/>
        <v>15</v>
      </c>
      <c r="L125" s="34">
        <f t="shared" si="118"/>
        <v>16.07</v>
      </c>
      <c r="M125" s="34">
        <f t="shared" si="118"/>
        <v>16.5</v>
      </c>
      <c r="N125" s="34">
        <f t="shared" si="118"/>
        <v>16.809999999999999</v>
      </c>
      <c r="O125" s="34">
        <f t="shared" si="118"/>
        <v>16.809999999999999</v>
      </c>
      <c r="P125" s="54">
        <f t="shared" ref="P125:Q125" si="122">O125</f>
        <v>16.809999999999999</v>
      </c>
      <c r="Q125" s="54">
        <f t="shared" si="122"/>
        <v>16.809999999999999</v>
      </c>
      <c r="R125" s="38"/>
      <c r="X125" s="41">
        <f>INDEX('[1]End - Use Prices'!$C$6:$AL$89,MATCH($C125,'[1]End - Use Prices'!$A$6:$A$89,0)+MATCH($D125,'[1]End - Use Prices'!$B$9:$B$11,0)-1,MATCH(X$1,'[1]End - Use Prices'!$C$7:$AL$7,0))</f>
        <v>20.32</v>
      </c>
      <c r="Y125" s="41">
        <f>INDEX('[1]End - Use Prices'!$C$6:$AL$89,MATCH($C125,'[1]End - Use Prices'!$A$6:$A$89,0)+MATCH($D125,'[1]End - Use Prices'!$B$9:$B$11,0)-1,MATCH(Y$1,'[1]End - Use Prices'!$C$7:$AL$7,0))</f>
        <v>20.36</v>
      </c>
      <c r="Z125" s="41">
        <f>INDEX('[1]End - Use Prices'!$C$6:$AL$89,MATCH($C125,'[1]End - Use Prices'!$A$6:$A$89,0)+MATCH($D125,'[1]End - Use Prices'!$B$9:$B$11,0)-1,MATCH(Z$1,'[1]End - Use Prices'!$C$7:$AL$7,0))</f>
        <v>19</v>
      </c>
      <c r="AA125" s="41">
        <f>INDEX('[1]End - Use Prices'!$C$6:$AL$89,MATCH($C125,'[1]End - Use Prices'!$A$6:$A$89,0)+MATCH($D125,'[1]End - Use Prices'!$B$9:$B$11,0)-1,MATCH(AA$1,'[1]End - Use Prices'!$C$7:$AL$7,0))</f>
        <v>19.5</v>
      </c>
      <c r="AB125" s="41">
        <f>INDEX('[1]End - Use Prices'!$C$6:$AL$89,MATCH($C125,'[1]End - Use Prices'!$A$6:$A$89,0)+MATCH($D125,'[1]End - Use Prices'!$B$9:$B$11,0)-1,MATCH(AB$1,'[1]End - Use Prices'!$C$7:$AL$7,0))</f>
        <v>18.579999999999998</v>
      </c>
      <c r="AC125" s="41">
        <f>INDEX('[1]End - Use Prices'!$C$6:$AL$89,MATCH($C125,'[1]End - Use Prices'!$A$6:$A$89,0)+MATCH($D125,'[1]End - Use Prices'!$B$9:$B$11,0)-1,MATCH(AC$1,'[1]End - Use Prices'!$C$7:$AL$7,0))</f>
        <v>18.399999999999999</v>
      </c>
      <c r="AD125" s="41">
        <f>INDEX('[1]End - Use Prices'!$C$6:$AL$89,MATCH($C125,'[1]End - Use Prices'!$A$6:$A$89,0)+MATCH($D125,'[1]End - Use Prices'!$B$9:$B$11,0)-1,MATCH(AD$1,'[1]End - Use Prices'!$C$7:$AL$7,0))</f>
        <v>17.54</v>
      </c>
      <c r="AE125" s="41">
        <f>INDEX('[1]End - Use Prices'!$C$6:$AL$89,MATCH($C125,'[1]End - Use Prices'!$A$6:$A$89,0)+MATCH($D125,'[1]End - Use Prices'!$B$9:$B$11,0)-1,MATCH(AE$1,'[1]End - Use Prices'!$C$7:$AL$7,0))</f>
        <v>17.05</v>
      </c>
      <c r="AF125" s="41">
        <f>INDEX('[1]End - Use Prices'!$C$6:$AL$89,MATCH($C125,'[1]End - Use Prices'!$A$6:$A$89,0)+MATCH($D125,'[1]End - Use Prices'!$B$9:$B$11,0)-1,MATCH(AF$1,'[1]End - Use Prices'!$C$7:$AL$7,0))</f>
        <v>15.49</v>
      </c>
      <c r="AG125" s="41">
        <f>INDEX('[1]End - Use Prices'!$C$6:$AL$89,MATCH($C125,'[1]End - Use Prices'!$A$6:$A$89,0)+MATCH($D125,'[1]End - Use Prices'!$B$9:$B$11,0)-1,MATCH(AG$1,'[1]End - Use Prices'!$C$7:$AL$7,0))</f>
        <v>16.84</v>
      </c>
      <c r="AH125" s="41">
        <f>INDEX('[1]End - Use Prices'!$C$6:$AL$89,MATCH($C125,'[1]End - Use Prices'!$A$6:$A$89,0)+MATCH($D125,'[1]End - Use Prices'!$B$9:$B$11,0)-1,MATCH(AH$1,'[1]End - Use Prices'!$C$7:$AL$7,0))</f>
        <v>15.95</v>
      </c>
      <c r="AI125" s="41">
        <f>INDEX('[1]End - Use Prices'!$C$6:$AL$89,MATCH($C125,'[1]End - Use Prices'!$A$6:$A$89,0)+MATCH($D125,'[1]End - Use Prices'!$B$9:$B$11,0)-1,MATCH(AI$1,'[1]End - Use Prices'!$C$7:$AL$7,0))</f>
        <v>14.86</v>
      </c>
      <c r="AJ125" s="41">
        <f>INDEX('[1]End - Use Prices'!$C$6:$AL$89,MATCH($C125,'[1]End - Use Prices'!$A$6:$A$89,0)+MATCH($D125,'[1]End - Use Prices'!$B$9:$B$11,0)-1,MATCH(AJ$1,'[1]End - Use Prices'!$C$7:$AL$7,0))</f>
        <v>15.15</v>
      </c>
      <c r="AK125" s="41">
        <f>INDEX('[1]End - Use Prices'!$C$6:$AL$89,MATCH($C125,'[1]End - Use Prices'!$A$6:$A$89,0)+MATCH($D125,'[1]End - Use Prices'!$B$9:$B$11,0)-1,MATCH(AK$1,'[1]End - Use Prices'!$C$7:$AL$7,0))</f>
        <v>15</v>
      </c>
      <c r="AL125" s="41">
        <f>INDEX('[1]End - Use Prices'!$C$6:$AL$89,MATCH($C125,'[1]End - Use Prices'!$A$6:$A$89,0)+MATCH($D125,'[1]End - Use Prices'!$B$9:$B$11,0)-1,MATCH(AL$1,'[1]End - Use Prices'!$C$7:$AL$7,0))</f>
        <v>14.94</v>
      </c>
      <c r="AM125" s="41">
        <f>INDEX('[1]End - Use Prices'!$C$6:$AL$89,MATCH($C125,'[1]End - Use Prices'!$A$6:$A$89,0)+MATCH($D125,'[1]End - Use Prices'!$B$9:$B$11,0)-1,MATCH(AM$1,'[1]End - Use Prices'!$C$7:$AL$7,0))</f>
        <v>15</v>
      </c>
      <c r="AN125" s="41">
        <f>INDEX('[1]End - Use Prices'!$C$6:$AL$89,MATCH($C125,'[1]End - Use Prices'!$A$6:$A$89,0)+MATCH($D125,'[1]End - Use Prices'!$B$9:$B$11,0)-1,MATCH(AN$1,'[1]End - Use Prices'!$C$7:$AL$7,0))</f>
        <v>15.24</v>
      </c>
      <c r="AO125" s="41">
        <f>INDEX('[1]End - Use Prices'!$C$6:$AL$89,MATCH($C125,'[1]End - Use Prices'!$A$6:$A$89,0)+MATCH($D125,'[1]End - Use Prices'!$B$9:$B$11,0)-1,MATCH(AO$1,'[1]End - Use Prices'!$C$7:$AL$7,0))</f>
        <v>15.47</v>
      </c>
      <c r="AP125" s="41">
        <f>INDEX('[1]End - Use Prices'!$C$6:$AL$89,MATCH($C125,'[1]End - Use Prices'!$A$6:$A$89,0)+MATCH($D125,'[1]End - Use Prices'!$B$9:$B$11,0)-1,MATCH(AP$1,'[1]End - Use Prices'!$C$7:$AL$7,0))</f>
        <v>15.66</v>
      </c>
      <c r="AQ125" s="41">
        <f>INDEX('[1]End - Use Prices'!$C$6:$AL$89,MATCH($C125,'[1]End - Use Prices'!$A$6:$A$89,0)+MATCH($D125,'[1]End - Use Prices'!$B$9:$B$11,0)-1,MATCH(AQ$1,'[1]End - Use Prices'!$C$7:$AL$7,0))</f>
        <v>15.86</v>
      </c>
      <c r="AR125" s="41">
        <f>INDEX('[1]End - Use Prices'!$C$6:$AL$89,MATCH($C125,'[1]End - Use Prices'!$A$6:$A$89,0)+MATCH($D125,'[1]End - Use Prices'!$B$9:$B$11,0)-1,MATCH(AR$1,'[1]End - Use Prices'!$C$7:$AL$7,0))</f>
        <v>16.07</v>
      </c>
      <c r="AS125" s="41">
        <f>INDEX('[1]End - Use Prices'!$C$6:$AL$89,MATCH($C125,'[1]End - Use Prices'!$A$6:$A$89,0)+MATCH($D125,'[1]End - Use Prices'!$B$9:$B$11,0)-1,MATCH(AS$1,'[1]End - Use Prices'!$C$7:$AL$7,0))</f>
        <v>16.350000000000001</v>
      </c>
      <c r="AT125" s="41">
        <f>INDEX('[1]End - Use Prices'!$C$6:$AL$89,MATCH($C125,'[1]End - Use Prices'!$A$6:$A$89,0)+MATCH($D125,'[1]End - Use Prices'!$B$9:$B$11,0)-1,MATCH(AT$1,'[1]End - Use Prices'!$C$7:$AL$7,0))</f>
        <v>16.36</v>
      </c>
      <c r="AU125" s="41">
        <f>INDEX('[1]End - Use Prices'!$C$6:$AL$89,MATCH($C125,'[1]End - Use Prices'!$A$6:$A$89,0)+MATCH($D125,'[1]End - Use Prices'!$B$9:$B$11,0)-1,MATCH(AU$1,'[1]End - Use Prices'!$C$7:$AL$7,0))</f>
        <v>16.399999999999999</v>
      </c>
      <c r="AV125" s="41">
        <f>INDEX('[1]End - Use Prices'!$C$6:$AL$89,MATCH($C125,'[1]End - Use Prices'!$A$6:$A$89,0)+MATCH($D125,'[1]End - Use Prices'!$B$9:$B$11,0)-1,MATCH(AV$1,'[1]End - Use Prices'!$C$7:$AL$7,0))</f>
        <v>16.45</v>
      </c>
      <c r="AW125" s="41">
        <f>INDEX('[1]End - Use Prices'!$C$6:$AL$89,MATCH($C125,'[1]End - Use Prices'!$A$6:$A$89,0)+MATCH($D125,'[1]End - Use Prices'!$B$9:$B$11,0)-1,MATCH(AW$1,'[1]End - Use Prices'!$C$7:$AL$7,0))</f>
        <v>16.5</v>
      </c>
      <c r="AX125" s="41">
        <f>INDEX('[1]End - Use Prices'!$C$6:$AL$89,MATCH($C125,'[1]End - Use Prices'!$A$6:$A$89,0)+MATCH($D125,'[1]End - Use Prices'!$B$9:$B$11,0)-1,MATCH(AX$1,'[1]End - Use Prices'!$C$7:$AL$7,0))</f>
        <v>16.57</v>
      </c>
      <c r="AY125" s="41">
        <f>INDEX('[1]End - Use Prices'!$C$6:$AL$89,MATCH($C125,'[1]End - Use Prices'!$A$6:$A$89,0)+MATCH($D125,'[1]End - Use Prices'!$B$9:$B$11,0)-1,MATCH(AY$1,'[1]End - Use Prices'!$C$7:$AL$7,0))</f>
        <v>16.649999999999999</v>
      </c>
      <c r="AZ125" s="41">
        <f>INDEX('[1]End - Use Prices'!$C$6:$AL$89,MATCH($C125,'[1]End - Use Prices'!$A$6:$A$89,0)+MATCH($D125,'[1]End - Use Prices'!$B$9:$B$11,0)-1,MATCH(AZ$1,'[1]End - Use Prices'!$C$7:$AL$7,0))</f>
        <v>16.739999999999998</v>
      </c>
      <c r="BA125" s="41">
        <f>INDEX('[1]End - Use Prices'!$C$6:$AL$89,MATCH($C125,'[1]End - Use Prices'!$A$6:$A$89,0)+MATCH($D125,'[1]End - Use Prices'!$B$9:$B$11,0)-1,MATCH(BA$1,'[1]End - Use Prices'!$C$7:$AL$7,0))</f>
        <v>16.77</v>
      </c>
      <c r="BB125" s="41">
        <f>INDEX('[1]End - Use Prices'!$C$6:$AL$89,MATCH($C125,'[1]End - Use Prices'!$A$6:$A$89,0)+MATCH($D125,'[1]End - Use Prices'!$B$9:$B$11,0)-1,MATCH(BB$1,'[1]End - Use Prices'!$C$7:$AL$7,0))</f>
        <v>16.809999999999999</v>
      </c>
      <c r="BC125" s="41">
        <f>INDEX('[1]End - Use Prices'!$C$6:$AL$89,MATCH($C125,'[1]End - Use Prices'!$A$6:$A$89,0)+MATCH($D125,'[1]End - Use Prices'!$B$9:$B$11,0)-1,MATCH(BC$1,'[1]End - Use Prices'!$C$7:$AL$7,0))</f>
        <v>16.829999999999998</v>
      </c>
      <c r="BD125" s="41">
        <f>INDEX('[1]End - Use Prices'!$C$6:$AL$89,MATCH($C125,'[1]End - Use Prices'!$A$6:$A$89,0)+MATCH($D125,'[1]End - Use Prices'!$B$9:$B$11,0)-1,MATCH(BD$1,'[1]End - Use Prices'!$C$7:$AL$7,0))</f>
        <v>16.829999999999998</v>
      </c>
      <c r="BE125" s="41">
        <f>INDEX('[1]End - Use Prices'!$C$6:$AL$89,MATCH($C125,'[1]End - Use Prices'!$A$6:$A$89,0)+MATCH($D125,'[1]End - Use Prices'!$B$9:$B$11,0)-1,MATCH(BE$1,'[1]End - Use Prices'!$C$7:$AL$7,0))</f>
        <v>16.829999999999998</v>
      </c>
      <c r="BF125" s="41">
        <f>INDEX('[1]End - Use Prices'!$C$6:$AL$89,MATCH($C125,'[1]End - Use Prices'!$A$6:$A$89,0)+MATCH($D125,'[1]End - Use Prices'!$B$9:$B$11,0)-1,MATCH(BF$1,'[1]End - Use Prices'!$C$7:$AL$7,0))</f>
        <v>16.82</v>
      </c>
      <c r="BG125" s="41">
        <f>INDEX('[1]End - Use Prices'!$C$6:$AL$89,MATCH($C125,'[1]End - Use Prices'!$A$6:$A$89,0)+MATCH($D125,'[1]End - Use Prices'!$B$9:$B$11,0)-1,MATCH(BG$1,'[1]End - Use Prices'!$C$7:$AL$7,0))</f>
        <v>16.809999999999999</v>
      </c>
      <c r="BR125" s="39"/>
      <c r="BS125" s="39"/>
      <c r="BT125" s="39"/>
      <c r="BU125" s="39"/>
      <c r="BV125" s="39"/>
      <c r="BW125" s="39"/>
      <c r="BX125" s="39"/>
      <c r="BY125" s="39"/>
      <c r="BZ125" s="39"/>
      <c r="CA125" s="39"/>
    </row>
    <row r="126" spans="1:79" x14ac:dyDescent="0.25">
      <c r="A126" s="5"/>
      <c r="B126" s="3"/>
      <c r="C126" s="25" t="s">
        <v>92</v>
      </c>
      <c r="D126" s="25" t="s">
        <v>14</v>
      </c>
      <c r="E126" s="25" t="s">
        <v>313</v>
      </c>
      <c r="F126" s="74" t="s">
        <v>310</v>
      </c>
      <c r="G126" s="54">
        <f t="shared" si="100"/>
        <v>16.739999999999998</v>
      </c>
      <c r="H126" s="34">
        <f t="shared" si="118"/>
        <v>16.739999999999998</v>
      </c>
      <c r="I126" s="34">
        <f t="shared" si="118"/>
        <v>13.57</v>
      </c>
      <c r="J126" s="34">
        <f t="shared" si="118"/>
        <v>12.15</v>
      </c>
      <c r="K126" s="34">
        <f t="shared" si="118"/>
        <v>10.119999999999999</v>
      </c>
      <c r="L126" s="34">
        <f t="shared" si="118"/>
        <v>11.4</v>
      </c>
      <c r="M126" s="34">
        <f t="shared" si="118"/>
        <v>11.98</v>
      </c>
      <c r="N126" s="34">
        <f t="shared" si="118"/>
        <v>12.4</v>
      </c>
      <c r="O126" s="34">
        <f t="shared" si="118"/>
        <v>12.52</v>
      </c>
      <c r="P126" s="54">
        <f t="shared" ref="P126:Q126" si="123">O126</f>
        <v>12.52</v>
      </c>
      <c r="Q126" s="54">
        <f t="shared" si="123"/>
        <v>12.52</v>
      </c>
      <c r="R126" s="38"/>
      <c r="X126" s="41">
        <f>INDEX('[1]End - Use Prices'!$C$6:$AL$89,MATCH($C126,'[1]End - Use Prices'!$A$6:$A$89,0)+MATCH($D126,'[1]End - Use Prices'!$B$9:$B$11,0)-1,MATCH(X$1,'[1]End - Use Prices'!$C$7:$AL$7,0))</f>
        <v>16.739999999999998</v>
      </c>
      <c r="Y126" s="41">
        <f>INDEX('[1]End - Use Prices'!$C$6:$AL$89,MATCH($C126,'[1]End - Use Prices'!$A$6:$A$89,0)+MATCH($D126,'[1]End - Use Prices'!$B$9:$B$11,0)-1,MATCH(Y$1,'[1]End - Use Prices'!$C$7:$AL$7,0))</f>
        <v>17.82</v>
      </c>
      <c r="Z126" s="41">
        <f>INDEX('[1]End - Use Prices'!$C$6:$AL$89,MATCH($C126,'[1]End - Use Prices'!$A$6:$A$89,0)+MATCH($D126,'[1]End - Use Prices'!$B$9:$B$11,0)-1,MATCH(Z$1,'[1]End - Use Prices'!$C$7:$AL$7,0))</f>
        <v>16.100000000000001</v>
      </c>
      <c r="AA126" s="41">
        <f>INDEX('[1]End - Use Prices'!$C$6:$AL$89,MATCH($C126,'[1]End - Use Prices'!$A$6:$A$89,0)+MATCH($D126,'[1]End - Use Prices'!$B$9:$B$11,0)-1,MATCH(AA$1,'[1]End - Use Prices'!$C$7:$AL$7,0))</f>
        <v>16.25</v>
      </c>
      <c r="AB126" s="41">
        <f>INDEX('[1]End - Use Prices'!$C$6:$AL$89,MATCH($C126,'[1]End - Use Prices'!$A$6:$A$89,0)+MATCH($D126,'[1]End - Use Prices'!$B$9:$B$11,0)-1,MATCH(AB$1,'[1]End - Use Prices'!$C$7:$AL$7,0))</f>
        <v>13.76</v>
      </c>
      <c r="AC126" s="41">
        <f>INDEX('[1]End - Use Prices'!$C$6:$AL$89,MATCH($C126,'[1]End - Use Prices'!$A$6:$A$89,0)+MATCH($D126,'[1]End - Use Prices'!$B$9:$B$11,0)-1,MATCH(AC$1,'[1]End - Use Prices'!$C$7:$AL$7,0))</f>
        <v>13.57</v>
      </c>
      <c r="AD126" s="41">
        <f>INDEX('[1]End - Use Prices'!$C$6:$AL$89,MATCH($C126,'[1]End - Use Prices'!$A$6:$A$89,0)+MATCH($D126,'[1]End - Use Prices'!$B$9:$B$11,0)-1,MATCH(AD$1,'[1]End - Use Prices'!$C$7:$AL$7,0))</f>
        <v>11.83</v>
      </c>
      <c r="AE126" s="41">
        <f>INDEX('[1]End - Use Prices'!$C$6:$AL$89,MATCH($C126,'[1]End - Use Prices'!$A$6:$A$89,0)+MATCH($D126,'[1]End - Use Prices'!$B$9:$B$11,0)-1,MATCH(AE$1,'[1]End - Use Prices'!$C$7:$AL$7,0))</f>
        <v>11.22</v>
      </c>
      <c r="AF126" s="41">
        <f>INDEX('[1]End - Use Prices'!$C$6:$AL$89,MATCH($C126,'[1]End - Use Prices'!$A$6:$A$89,0)+MATCH($D126,'[1]End - Use Prices'!$B$9:$B$11,0)-1,MATCH(AF$1,'[1]End - Use Prices'!$C$7:$AL$7,0))</f>
        <v>11.17</v>
      </c>
      <c r="AG126" s="41">
        <f>INDEX('[1]End - Use Prices'!$C$6:$AL$89,MATCH($C126,'[1]End - Use Prices'!$A$6:$A$89,0)+MATCH($D126,'[1]End - Use Prices'!$B$9:$B$11,0)-1,MATCH(AG$1,'[1]End - Use Prices'!$C$7:$AL$7,0))</f>
        <v>12.03</v>
      </c>
      <c r="AH126" s="41">
        <f>INDEX('[1]End - Use Prices'!$C$6:$AL$89,MATCH($C126,'[1]End - Use Prices'!$A$6:$A$89,0)+MATCH($D126,'[1]End - Use Prices'!$B$9:$B$11,0)-1,MATCH(AH$1,'[1]End - Use Prices'!$C$7:$AL$7,0))</f>
        <v>12.15</v>
      </c>
      <c r="AI126" s="41">
        <f>INDEX('[1]End - Use Prices'!$C$6:$AL$89,MATCH($C126,'[1]End - Use Prices'!$A$6:$A$89,0)+MATCH($D126,'[1]End - Use Prices'!$B$9:$B$11,0)-1,MATCH(AI$1,'[1]End - Use Prices'!$C$7:$AL$7,0))</f>
        <v>9.42</v>
      </c>
      <c r="AJ126" s="41">
        <f>INDEX('[1]End - Use Prices'!$C$6:$AL$89,MATCH($C126,'[1]End - Use Prices'!$A$6:$A$89,0)+MATCH($D126,'[1]End - Use Prices'!$B$9:$B$11,0)-1,MATCH(AJ$1,'[1]End - Use Prices'!$C$7:$AL$7,0))</f>
        <v>13.49</v>
      </c>
      <c r="AK126" s="41">
        <f>INDEX('[1]End - Use Prices'!$C$6:$AL$89,MATCH($C126,'[1]End - Use Prices'!$A$6:$A$89,0)+MATCH($D126,'[1]End - Use Prices'!$B$9:$B$11,0)-1,MATCH(AK$1,'[1]End - Use Prices'!$C$7:$AL$7,0))</f>
        <v>10.95</v>
      </c>
      <c r="AL126" s="41">
        <f>INDEX('[1]End - Use Prices'!$C$6:$AL$89,MATCH($C126,'[1]End - Use Prices'!$A$6:$A$89,0)+MATCH($D126,'[1]End - Use Prices'!$B$9:$B$11,0)-1,MATCH(AL$1,'[1]End - Use Prices'!$C$7:$AL$7,0))</f>
        <v>10.029999999999999</v>
      </c>
      <c r="AM126" s="41">
        <f>INDEX('[1]End - Use Prices'!$C$6:$AL$89,MATCH($C126,'[1]End - Use Prices'!$A$6:$A$89,0)+MATCH($D126,'[1]End - Use Prices'!$B$9:$B$11,0)-1,MATCH(AM$1,'[1]End - Use Prices'!$C$7:$AL$7,0))</f>
        <v>10.119999999999999</v>
      </c>
      <c r="AN126" s="41">
        <f>INDEX('[1]End - Use Prices'!$C$6:$AL$89,MATCH($C126,'[1]End - Use Prices'!$A$6:$A$89,0)+MATCH($D126,'[1]End - Use Prices'!$B$9:$B$11,0)-1,MATCH(AN$1,'[1]End - Use Prices'!$C$7:$AL$7,0))</f>
        <v>10.4</v>
      </c>
      <c r="AO126" s="41">
        <f>INDEX('[1]End - Use Prices'!$C$6:$AL$89,MATCH($C126,'[1]End - Use Prices'!$A$6:$A$89,0)+MATCH($D126,'[1]End - Use Prices'!$B$9:$B$11,0)-1,MATCH(AO$1,'[1]End - Use Prices'!$C$7:$AL$7,0))</f>
        <v>10.68</v>
      </c>
      <c r="AP126" s="41">
        <f>INDEX('[1]End - Use Prices'!$C$6:$AL$89,MATCH($C126,'[1]End - Use Prices'!$A$6:$A$89,0)+MATCH($D126,'[1]End - Use Prices'!$B$9:$B$11,0)-1,MATCH(AP$1,'[1]End - Use Prices'!$C$7:$AL$7,0))</f>
        <v>10.91</v>
      </c>
      <c r="AQ126" s="41">
        <f>INDEX('[1]End - Use Prices'!$C$6:$AL$89,MATCH($C126,'[1]End - Use Prices'!$A$6:$A$89,0)+MATCH($D126,'[1]End - Use Prices'!$B$9:$B$11,0)-1,MATCH(AQ$1,'[1]End - Use Prices'!$C$7:$AL$7,0))</f>
        <v>11.15</v>
      </c>
      <c r="AR126" s="41">
        <f>INDEX('[1]End - Use Prices'!$C$6:$AL$89,MATCH($C126,'[1]End - Use Prices'!$A$6:$A$89,0)+MATCH($D126,'[1]End - Use Prices'!$B$9:$B$11,0)-1,MATCH(AR$1,'[1]End - Use Prices'!$C$7:$AL$7,0))</f>
        <v>11.4</v>
      </c>
      <c r="AS126" s="41">
        <f>INDEX('[1]End - Use Prices'!$C$6:$AL$89,MATCH($C126,'[1]End - Use Prices'!$A$6:$A$89,0)+MATCH($D126,'[1]End - Use Prices'!$B$9:$B$11,0)-1,MATCH(AS$1,'[1]End - Use Prices'!$C$7:$AL$7,0))</f>
        <v>11.72</v>
      </c>
      <c r="AT126" s="41">
        <f>INDEX('[1]End - Use Prices'!$C$6:$AL$89,MATCH($C126,'[1]End - Use Prices'!$A$6:$A$89,0)+MATCH($D126,'[1]End - Use Prices'!$B$9:$B$11,0)-1,MATCH(AT$1,'[1]End - Use Prices'!$C$7:$AL$7,0))</f>
        <v>11.76</v>
      </c>
      <c r="AU126" s="41">
        <f>INDEX('[1]End - Use Prices'!$C$6:$AL$89,MATCH($C126,'[1]End - Use Prices'!$A$6:$A$89,0)+MATCH($D126,'[1]End - Use Prices'!$B$9:$B$11,0)-1,MATCH(AU$1,'[1]End - Use Prices'!$C$7:$AL$7,0))</f>
        <v>11.83</v>
      </c>
      <c r="AV126" s="41">
        <f>INDEX('[1]End - Use Prices'!$C$6:$AL$89,MATCH($C126,'[1]End - Use Prices'!$A$6:$A$89,0)+MATCH($D126,'[1]End - Use Prices'!$B$9:$B$11,0)-1,MATCH(AV$1,'[1]End - Use Prices'!$C$7:$AL$7,0))</f>
        <v>11.91</v>
      </c>
      <c r="AW126" s="41">
        <f>INDEX('[1]End - Use Prices'!$C$6:$AL$89,MATCH($C126,'[1]End - Use Prices'!$A$6:$A$89,0)+MATCH($D126,'[1]End - Use Prices'!$B$9:$B$11,0)-1,MATCH(AW$1,'[1]End - Use Prices'!$C$7:$AL$7,0))</f>
        <v>11.98</v>
      </c>
      <c r="AX126" s="41">
        <f>INDEX('[1]End - Use Prices'!$C$6:$AL$89,MATCH($C126,'[1]End - Use Prices'!$A$6:$A$89,0)+MATCH($D126,'[1]End - Use Prices'!$B$9:$B$11,0)-1,MATCH(AX$1,'[1]End - Use Prices'!$C$7:$AL$7,0))</f>
        <v>12.07</v>
      </c>
      <c r="AY126" s="41">
        <f>INDEX('[1]End - Use Prices'!$C$6:$AL$89,MATCH($C126,'[1]End - Use Prices'!$A$6:$A$89,0)+MATCH($D126,'[1]End - Use Prices'!$B$9:$B$11,0)-1,MATCH(AY$1,'[1]End - Use Prices'!$C$7:$AL$7,0))</f>
        <v>12.18</v>
      </c>
      <c r="AZ126" s="41">
        <f>INDEX('[1]End - Use Prices'!$C$6:$AL$89,MATCH($C126,'[1]End - Use Prices'!$A$6:$A$89,0)+MATCH($D126,'[1]End - Use Prices'!$B$9:$B$11,0)-1,MATCH(AZ$1,'[1]End - Use Prices'!$C$7:$AL$7,0))</f>
        <v>12.29</v>
      </c>
      <c r="BA126" s="41">
        <f>INDEX('[1]End - Use Prices'!$C$6:$AL$89,MATCH($C126,'[1]End - Use Prices'!$A$6:$A$89,0)+MATCH($D126,'[1]End - Use Prices'!$B$9:$B$11,0)-1,MATCH(BA$1,'[1]End - Use Prices'!$C$7:$AL$7,0))</f>
        <v>12.35</v>
      </c>
      <c r="BB126" s="41">
        <f>INDEX('[1]End - Use Prices'!$C$6:$AL$89,MATCH($C126,'[1]End - Use Prices'!$A$6:$A$89,0)+MATCH($D126,'[1]End - Use Prices'!$B$9:$B$11,0)-1,MATCH(BB$1,'[1]End - Use Prices'!$C$7:$AL$7,0))</f>
        <v>12.4</v>
      </c>
      <c r="BC126" s="41">
        <f>INDEX('[1]End - Use Prices'!$C$6:$AL$89,MATCH($C126,'[1]End - Use Prices'!$A$6:$A$89,0)+MATCH($D126,'[1]End - Use Prices'!$B$9:$B$11,0)-1,MATCH(BC$1,'[1]End - Use Prices'!$C$7:$AL$7,0))</f>
        <v>12.45</v>
      </c>
      <c r="BD126" s="41">
        <f>INDEX('[1]End - Use Prices'!$C$6:$AL$89,MATCH($C126,'[1]End - Use Prices'!$A$6:$A$89,0)+MATCH($D126,'[1]End - Use Prices'!$B$9:$B$11,0)-1,MATCH(BD$1,'[1]End - Use Prices'!$C$7:$AL$7,0))</f>
        <v>12.48</v>
      </c>
      <c r="BE126" s="41">
        <f>INDEX('[1]End - Use Prices'!$C$6:$AL$89,MATCH($C126,'[1]End - Use Prices'!$A$6:$A$89,0)+MATCH($D126,'[1]End - Use Prices'!$B$9:$B$11,0)-1,MATCH(BE$1,'[1]End - Use Prices'!$C$7:$AL$7,0))</f>
        <v>12.49</v>
      </c>
      <c r="BF126" s="41">
        <f>INDEX('[1]End - Use Prices'!$C$6:$AL$89,MATCH($C126,'[1]End - Use Prices'!$A$6:$A$89,0)+MATCH($D126,'[1]End - Use Prices'!$B$9:$B$11,0)-1,MATCH(BF$1,'[1]End - Use Prices'!$C$7:$AL$7,0))</f>
        <v>12.51</v>
      </c>
      <c r="BG126" s="41">
        <f>INDEX('[1]End - Use Prices'!$C$6:$AL$89,MATCH($C126,'[1]End - Use Prices'!$A$6:$A$89,0)+MATCH($D126,'[1]End - Use Prices'!$B$9:$B$11,0)-1,MATCH(BG$1,'[1]End - Use Prices'!$C$7:$AL$7,0))</f>
        <v>12.52</v>
      </c>
      <c r="BR126" s="39"/>
      <c r="BS126" s="39"/>
      <c r="BT126" s="39"/>
      <c r="BU126" s="39"/>
      <c r="BV126" s="39"/>
      <c r="BW126" s="39"/>
      <c r="BX126" s="39"/>
      <c r="BY126" s="39"/>
      <c r="BZ126" s="39"/>
      <c r="CA126" s="39"/>
    </row>
    <row r="127" spans="1:79" x14ac:dyDescent="0.25">
      <c r="A127" s="5"/>
      <c r="B127" s="3"/>
      <c r="C127" s="25" t="s">
        <v>93</v>
      </c>
      <c r="D127" s="25" t="s">
        <v>14</v>
      </c>
      <c r="E127" s="25" t="s">
        <v>313</v>
      </c>
      <c r="F127" s="74" t="s">
        <v>310</v>
      </c>
      <c r="G127" s="54">
        <f t="shared" si="100"/>
        <v>16.21</v>
      </c>
      <c r="H127" s="34">
        <f t="shared" si="118"/>
        <v>16.21</v>
      </c>
      <c r="I127" s="34">
        <f t="shared" si="118"/>
        <v>11.7</v>
      </c>
      <c r="J127" s="34">
        <f t="shared" si="118"/>
        <v>11.47</v>
      </c>
      <c r="K127" s="34">
        <f t="shared" si="118"/>
        <v>10.53</v>
      </c>
      <c r="L127" s="34">
        <f t="shared" si="118"/>
        <v>11.81</v>
      </c>
      <c r="M127" s="34">
        <f t="shared" si="118"/>
        <v>12.43</v>
      </c>
      <c r="N127" s="34">
        <f t="shared" si="118"/>
        <v>13.03</v>
      </c>
      <c r="O127" s="34">
        <f t="shared" si="118"/>
        <v>13.31</v>
      </c>
      <c r="P127" s="54">
        <f t="shared" ref="P127:Q127" si="124">O127</f>
        <v>13.31</v>
      </c>
      <c r="Q127" s="54">
        <f t="shared" si="124"/>
        <v>13.31</v>
      </c>
      <c r="R127" s="38"/>
      <c r="X127" s="41">
        <f>INDEX('[1]End - Use Prices'!$C$6:$AL$89,MATCH($C127,'[1]End - Use Prices'!$A$6:$A$89,0)+MATCH($D127,'[1]End - Use Prices'!$B$9:$B$11,0)-1,MATCH(X$1,'[1]End - Use Prices'!$C$7:$AL$7,0))</f>
        <v>16.21</v>
      </c>
      <c r="Y127" s="41">
        <f>INDEX('[1]End - Use Prices'!$C$6:$AL$89,MATCH($C127,'[1]End - Use Prices'!$A$6:$A$89,0)+MATCH($D127,'[1]End - Use Prices'!$B$9:$B$11,0)-1,MATCH(Y$1,'[1]End - Use Prices'!$C$7:$AL$7,0))</f>
        <v>15.41</v>
      </c>
      <c r="Z127" s="41">
        <f>INDEX('[1]End - Use Prices'!$C$6:$AL$89,MATCH($C127,'[1]End - Use Prices'!$A$6:$A$89,0)+MATCH($D127,'[1]End - Use Prices'!$B$9:$B$11,0)-1,MATCH(Z$1,'[1]End - Use Prices'!$C$7:$AL$7,0))</f>
        <v>14.81</v>
      </c>
      <c r="AA127" s="41">
        <f>INDEX('[1]End - Use Prices'!$C$6:$AL$89,MATCH($C127,'[1]End - Use Prices'!$A$6:$A$89,0)+MATCH($D127,'[1]End - Use Prices'!$B$9:$B$11,0)-1,MATCH(AA$1,'[1]End - Use Prices'!$C$7:$AL$7,0))</f>
        <v>14.53</v>
      </c>
      <c r="AB127" s="41">
        <f>INDEX('[1]End - Use Prices'!$C$6:$AL$89,MATCH($C127,'[1]End - Use Prices'!$A$6:$A$89,0)+MATCH($D127,'[1]End - Use Prices'!$B$9:$B$11,0)-1,MATCH(AB$1,'[1]End - Use Prices'!$C$7:$AL$7,0))</f>
        <v>14.23</v>
      </c>
      <c r="AC127" s="41">
        <f>INDEX('[1]End - Use Prices'!$C$6:$AL$89,MATCH($C127,'[1]End - Use Prices'!$A$6:$A$89,0)+MATCH($D127,'[1]End - Use Prices'!$B$9:$B$11,0)-1,MATCH(AC$1,'[1]End - Use Prices'!$C$7:$AL$7,0))</f>
        <v>11.7</v>
      </c>
      <c r="AD127" s="41">
        <f>INDEX('[1]End - Use Prices'!$C$6:$AL$89,MATCH($C127,'[1]End - Use Prices'!$A$6:$A$89,0)+MATCH($D127,'[1]End - Use Prices'!$B$9:$B$11,0)-1,MATCH(AD$1,'[1]End - Use Prices'!$C$7:$AL$7,0))</f>
        <v>11.6</v>
      </c>
      <c r="AE127" s="41">
        <f>INDEX('[1]End - Use Prices'!$C$6:$AL$89,MATCH($C127,'[1]End - Use Prices'!$A$6:$A$89,0)+MATCH($D127,'[1]End - Use Prices'!$B$9:$B$11,0)-1,MATCH(AE$1,'[1]End - Use Prices'!$C$7:$AL$7,0))</f>
        <v>10.07</v>
      </c>
      <c r="AF127" s="41">
        <f>INDEX('[1]End - Use Prices'!$C$6:$AL$89,MATCH($C127,'[1]End - Use Prices'!$A$6:$A$89,0)+MATCH($D127,'[1]End - Use Prices'!$B$9:$B$11,0)-1,MATCH(AF$1,'[1]End - Use Prices'!$C$7:$AL$7,0))</f>
        <v>10.41</v>
      </c>
      <c r="AG127" s="41">
        <f>INDEX('[1]End - Use Prices'!$C$6:$AL$89,MATCH($C127,'[1]End - Use Prices'!$A$6:$A$89,0)+MATCH($D127,'[1]End - Use Prices'!$B$9:$B$11,0)-1,MATCH(AG$1,'[1]End - Use Prices'!$C$7:$AL$7,0))</f>
        <v>10.98</v>
      </c>
      <c r="AH127" s="41">
        <f>INDEX('[1]End - Use Prices'!$C$6:$AL$89,MATCH($C127,'[1]End - Use Prices'!$A$6:$A$89,0)+MATCH($D127,'[1]End - Use Prices'!$B$9:$B$11,0)-1,MATCH(AH$1,'[1]End - Use Prices'!$C$7:$AL$7,0))</f>
        <v>11.47</v>
      </c>
      <c r="AI127" s="41">
        <f>INDEX('[1]End - Use Prices'!$C$6:$AL$89,MATCH($C127,'[1]End - Use Prices'!$A$6:$A$89,0)+MATCH($D127,'[1]End - Use Prices'!$B$9:$B$11,0)-1,MATCH(AI$1,'[1]End - Use Prices'!$C$7:$AL$7,0))</f>
        <v>9.65</v>
      </c>
      <c r="AJ127" s="41">
        <f>INDEX('[1]End - Use Prices'!$C$6:$AL$89,MATCH($C127,'[1]End - Use Prices'!$A$6:$A$89,0)+MATCH($D127,'[1]End - Use Prices'!$B$9:$B$11,0)-1,MATCH(AJ$1,'[1]End - Use Prices'!$C$7:$AL$7,0))</f>
        <v>9.7100000000000009</v>
      </c>
      <c r="AK127" s="41">
        <f>INDEX('[1]End - Use Prices'!$C$6:$AL$89,MATCH($C127,'[1]End - Use Prices'!$A$6:$A$89,0)+MATCH($D127,'[1]End - Use Prices'!$B$9:$B$11,0)-1,MATCH(AK$1,'[1]End - Use Prices'!$C$7:$AL$7,0))</f>
        <v>9.6300000000000008</v>
      </c>
      <c r="AL127" s="41">
        <f>INDEX('[1]End - Use Prices'!$C$6:$AL$89,MATCH($C127,'[1]End - Use Prices'!$A$6:$A$89,0)+MATCH($D127,'[1]End - Use Prices'!$B$9:$B$11,0)-1,MATCH(AL$1,'[1]End - Use Prices'!$C$7:$AL$7,0))</f>
        <v>9.6199999999999992</v>
      </c>
      <c r="AM127" s="41">
        <f>INDEX('[1]End - Use Prices'!$C$6:$AL$89,MATCH($C127,'[1]End - Use Prices'!$A$6:$A$89,0)+MATCH($D127,'[1]End - Use Prices'!$B$9:$B$11,0)-1,MATCH(AM$1,'[1]End - Use Prices'!$C$7:$AL$7,0))</f>
        <v>10.53</v>
      </c>
      <c r="AN127" s="41">
        <f>INDEX('[1]End - Use Prices'!$C$6:$AL$89,MATCH($C127,'[1]End - Use Prices'!$A$6:$A$89,0)+MATCH($D127,'[1]End - Use Prices'!$B$9:$B$11,0)-1,MATCH(AN$1,'[1]End - Use Prices'!$C$7:$AL$7,0))</f>
        <v>10.96</v>
      </c>
      <c r="AO127" s="41">
        <f>INDEX('[1]End - Use Prices'!$C$6:$AL$89,MATCH($C127,'[1]End - Use Prices'!$A$6:$A$89,0)+MATCH($D127,'[1]End - Use Prices'!$B$9:$B$11,0)-1,MATCH(AO$1,'[1]End - Use Prices'!$C$7:$AL$7,0))</f>
        <v>11.37</v>
      </c>
      <c r="AP127" s="41">
        <f>INDEX('[1]End - Use Prices'!$C$6:$AL$89,MATCH($C127,'[1]End - Use Prices'!$A$6:$A$89,0)+MATCH($D127,'[1]End - Use Prices'!$B$9:$B$11,0)-1,MATCH(AP$1,'[1]End - Use Prices'!$C$7:$AL$7,0))</f>
        <v>11.74</v>
      </c>
      <c r="AQ127" s="41">
        <f>INDEX('[1]End - Use Prices'!$C$6:$AL$89,MATCH($C127,'[1]End - Use Prices'!$A$6:$A$89,0)+MATCH($D127,'[1]End - Use Prices'!$B$9:$B$11,0)-1,MATCH(AQ$1,'[1]End - Use Prices'!$C$7:$AL$7,0))</f>
        <v>11.76</v>
      </c>
      <c r="AR127" s="41">
        <f>INDEX('[1]End - Use Prices'!$C$6:$AL$89,MATCH($C127,'[1]End - Use Prices'!$A$6:$A$89,0)+MATCH($D127,'[1]End - Use Prices'!$B$9:$B$11,0)-1,MATCH(AR$1,'[1]End - Use Prices'!$C$7:$AL$7,0))</f>
        <v>11.81</v>
      </c>
      <c r="AS127" s="41">
        <f>INDEX('[1]End - Use Prices'!$C$6:$AL$89,MATCH($C127,'[1]End - Use Prices'!$A$6:$A$89,0)+MATCH($D127,'[1]End - Use Prices'!$B$9:$B$11,0)-1,MATCH(AS$1,'[1]End - Use Prices'!$C$7:$AL$7,0))</f>
        <v>11.93</v>
      </c>
      <c r="AT127" s="41">
        <f>INDEX('[1]End - Use Prices'!$C$6:$AL$89,MATCH($C127,'[1]End - Use Prices'!$A$6:$A$89,0)+MATCH($D127,'[1]End - Use Prices'!$B$9:$B$11,0)-1,MATCH(AT$1,'[1]End - Use Prices'!$C$7:$AL$7,0))</f>
        <v>12.04</v>
      </c>
      <c r="AU127" s="41">
        <f>INDEX('[1]End - Use Prices'!$C$6:$AL$89,MATCH($C127,'[1]End - Use Prices'!$A$6:$A$89,0)+MATCH($D127,'[1]End - Use Prices'!$B$9:$B$11,0)-1,MATCH(AU$1,'[1]End - Use Prices'!$C$7:$AL$7,0))</f>
        <v>12.16</v>
      </c>
      <c r="AV127" s="41">
        <f>INDEX('[1]End - Use Prices'!$C$6:$AL$89,MATCH($C127,'[1]End - Use Prices'!$A$6:$A$89,0)+MATCH($D127,'[1]End - Use Prices'!$B$9:$B$11,0)-1,MATCH(AV$1,'[1]End - Use Prices'!$C$7:$AL$7,0))</f>
        <v>12.3</v>
      </c>
      <c r="AW127" s="41">
        <f>INDEX('[1]End - Use Prices'!$C$6:$AL$89,MATCH($C127,'[1]End - Use Prices'!$A$6:$A$89,0)+MATCH($D127,'[1]End - Use Prices'!$B$9:$B$11,0)-1,MATCH(AW$1,'[1]End - Use Prices'!$C$7:$AL$7,0))</f>
        <v>12.43</v>
      </c>
      <c r="AX127" s="41">
        <f>INDEX('[1]End - Use Prices'!$C$6:$AL$89,MATCH($C127,'[1]End - Use Prices'!$A$6:$A$89,0)+MATCH($D127,'[1]End - Use Prices'!$B$9:$B$11,0)-1,MATCH(AX$1,'[1]End - Use Prices'!$C$7:$AL$7,0))</f>
        <v>12.56</v>
      </c>
      <c r="AY127" s="41">
        <f>INDEX('[1]End - Use Prices'!$C$6:$AL$89,MATCH($C127,'[1]End - Use Prices'!$A$6:$A$89,0)+MATCH($D127,'[1]End - Use Prices'!$B$9:$B$11,0)-1,MATCH(AY$1,'[1]End - Use Prices'!$C$7:$AL$7,0))</f>
        <v>12.7</v>
      </c>
      <c r="AZ127" s="41">
        <f>INDEX('[1]End - Use Prices'!$C$6:$AL$89,MATCH($C127,'[1]End - Use Prices'!$A$6:$A$89,0)+MATCH($D127,'[1]End - Use Prices'!$B$9:$B$11,0)-1,MATCH(AZ$1,'[1]End - Use Prices'!$C$7:$AL$7,0))</f>
        <v>12.86</v>
      </c>
      <c r="BA127" s="41">
        <f>INDEX('[1]End - Use Prices'!$C$6:$AL$89,MATCH($C127,'[1]End - Use Prices'!$A$6:$A$89,0)+MATCH($D127,'[1]End - Use Prices'!$B$9:$B$11,0)-1,MATCH(BA$1,'[1]End - Use Prices'!$C$7:$AL$7,0))</f>
        <v>12.95</v>
      </c>
      <c r="BB127" s="41">
        <f>INDEX('[1]End - Use Prices'!$C$6:$AL$89,MATCH($C127,'[1]End - Use Prices'!$A$6:$A$89,0)+MATCH($D127,'[1]End - Use Prices'!$B$9:$B$11,0)-1,MATCH(BB$1,'[1]End - Use Prices'!$C$7:$AL$7,0))</f>
        <v>13.03</v>
      </c>
      <c r="BC127" s="41">
        <f>INDEX('[1]End - Use Prices'!$C$6:$AL$89,MATCH($C127,'[1]End - Use Prices'!$A$6:$A$89,0)+MATCH($D127,'[1]End - Use Prices'!$B$9:$B$11,0)-1,MATCH(BC$1,'[1]End - Use Prices'!$C$7:$AL$7,0))</f>
        <v>13.11</v>
      </c>
      <c r="BD127" s="41">
        <f>INDEX('[1]End - Use Prices'!$C$6:$AL$89,MATCH($C127,'[1]End - Use Prices'!$A$6:$A$89,0)+MATCH($D127,'[1]End - Use Prices'!$B$9:$B$11,0)-1,MATCH(BD$1,'[1]End - Use Prices'!$C$7:$AL$7,0))</f>
        <v>13.17</v>
      </c>
      <c r="BE127" s="41">
        <f>INDEX('[1]End - Use Prices'!$C$6:$AL$89,MATCH($C127,'[1]End - Use Prices'!$A$6:$A$89,0)+MATCH($D127,'[1]End - Use Prices'!$B$9:$B$11,0)-1,MATCH(BE$1,'[1]End - Use Prices'!$C$7:$AL$7,0))</f>
        <v>13.22</v>
      </c>
      <c r="BF127" s="41">
        <f>INDEX('[1]End - Use Prices'!$C$6:$AL$89,MATCH($C127,'[1]End - Use Prices'!$A$6:$A$89,0)+MATCH($D127,'[1]End - Use Prices'!$B$9:$B$11,0)-1,MATCH(BF$1,'[1]End - Use Prices'!$C$7:$AL$7,0))</f>
        <v>13.27</v>
      </c>
      <c r="BG127" s="41">
        <f>INDEX('[1]End - Use Prices'!$C$6:$AL$89,MATCH($C127,'[1]End - Use Prices'!$A$6:$A$89,0)+MATCH($D127,'[1]End - Use Prices'!$B$9:$B$11,0)-1,MATCH(BG$1,'[1]End - Use Prices'!$C$7:$AL$7,0))</f>
        <v>13.31</v>
      </c>
      <c r="BR127" s="39"/>
      <c r="BS127" s="39"/>
      <c r="BT127" s="39"/>
      <c r="BU127" s="39"/>
      <c r="BV127" s="39"/>
      <c r="BW127" s="39"/>
      <c r="BX127" s="39"/>
      <c r="BY127" s="39"/>
      <c r="BZ127" s="39"/>
      <c r="CA127" s="39"/>
    </row>
    <row r="128" spans="1:79" x14ac:dyDescent="0.25">
      <c r="A128" s="5"/>
      <c r="B128" s="3"/>
      <c r="C128" s="25" t="s">
        <v>94</v>
      </c>
      <c r="D128" s="25" t="s">
        <v>14</v>
      </c>
      <c r="E128" s="25" t="s">
        <v>313</v>
      </c>
      <c r="F128" s="74" t="s">
        <v>310</v>
      </c>
      <c r="G128" s="54">
        <f t="shared" si="100"/>
        <v>14.11</v>
      </c>
      <c r="H128" s="34">
        <f t="shared" si="118"/>
        <v>14.11</v>
      </c>
      <c r="I128" s="34">
        <f t="shared" si="118"/>
        <v>12.28</v>
      </c>
      <c r="J128" s="34">
        <f t="shared" si="118"/>
        <v>11.81</v>
      </c>
      <c r="K128" s="34">
        <f t="shared" si="118"/>
        <v>8.3000000000000007</v>
      </c>
      <c r="L128" s="34">
        <f t="shared" si="118"/>
        <v>9.42</v>
      </c>
      <c r="M128" s="34">
        <f t="shared" si="118"/>
        <v>9.6199999999999992</v>
      </c>
      <c r="N128" s="34">
        <f t="shared" si="118"/>
        <v>9.9</v>
      </c>
      <c r="O128" s="34">
        <f t="shared" si="118"/>
        <v>9.9499999999999993</v>
      </c>
      <c r="P128" s="54">
        <f t="shared" ref="P128:Q128" si="125">O128</f>
        <v>9.9499999999999993</v>
      </c>
      <c r="Q128" s="54">
        <f t="shared" si="125"/>
        <v>9.9499999999999993</v>
      </c>
      <c r="R128" s="38"/>
      <c r="X128" s="41">
        <f>INDEX('[1]End - Use Prices'!$C$6:$AL$89,MATCH($C128,'[1]End - Use Prices'!$A$6:$A$89,0)+MATCH($D128,'[1]End - Use Prices'!$B$9:$B$11,0)-1,MATCH(X$1,'[1]End - Use Prices'!$C$7:$AL$7,0))</f>
        <v>14.11</v>
      </c>
      <c r="Y128" s="41">
        <f>INDEX('[1]End - Use Prices'!$C$6:$AL$89,MATCH($C128,'[1]End - Use Prices'!$A$6:$A$89,0)+MATCH($D128,'[1]End - Use Prices'!$B$9:$B$11,0)-1,MATCH(Y$1,'[1]End - Use Prices'!$C$7:$AL$7,0))</f>
        <v>13.96</v>
      </c>
      <c r="Z128" s="41">
        <f>INDEX('[1]End - Use Prices'!$C$6:$AL$89,MATCH($C128,'[1]End - Use Prices'!$A$6:$A$89,0)+MATCH($D128,'[1]End - Use Prices'!$B$9:$B$11,0)-1,MATCH(Z$1,'[1]End - Use Prices'!$C$7:$AL$7,0))</f>
        <v>13.58</v>
      </c>
      <c r="AA128" s="41">
        <f>INDEX('[1]End - Use Prices'!$C$6:$AL$89,MATCH($C128,'[1]End - Use Prices'!$A$6:$A$89,0)+MATCH($D128,'[1]End - Use Prices'!$B$9:$B$11,0)-1,MATCH(AA$1,'[1]End - Use Prices'!$C$7:$AL$7,0))</f>
        <v>12.3</v>
      </c>
      <c r="AB128" s="41">
        <f>INDEX('[1]End - Use Prices'!$C$6:$AL$89,MATCH($C128,'[1]End - Use Prices'!$A$6:$A$89,0)+MATCH($D128,'[1]End - Use Prices'!$B$9:$B$11,0)-1,MATCH(AB$1,'[1]End - Use Prices'!$C$7:$AL$7,0))</f>
        <v>14.1</v>
      </c>
      <c r="AC128" s="41">
        <f>INDEX('[1]End - Use Prices'!$C$6:$AL$89,MATCH($C128,'[1]End - Use Prices'!$A$6:$A$89,0)+MATCH($D128,'[1]End - Use Prices'!$B$9:$B$11,0)-1,MATCH(AC$1,'[1]End - Use Prices'!$C$7:$AL$7,0))</f>
        <v>12.28</v>
      </c>
      <c r="AD128" s="41">
        <f>INDEX('[1]End - Use Prices'!$C$6:$AL$89,MATCH($C128,'[1]End - Use Prices'!$A$6:$A$89,0)+MATCH($D128,'[1]End - Use Prices'!$B$9:$B$11,0)-1,MATCH(AD$1,'[1]End - Use Prices'!$C$7:$AL$7,0))</f>
        <v>11.25</v>
      </c>
      <c r="AE128" s="41">
        <f>INDEX('[1]End - Use Prices'!$C$6:$AL$89,MATCH($C128,'[1]End - Use Prices'!$A$6:$A$89,0)+MATCH($D128,'[1]End - Use Prices'!$B$9:$B$11,0)-1,MATCH(AE$1,'[1]End - Use Prices'!$C$7:$AL$7,0))</f>
        <v>10.93</v>
      </c>
      <c r="AF128" s="41">
        <f>INDEX('[1]End - Use Prices'!$C$6:$AL$89,MATCH($C128,'[1]End - Use Prices'!$A$6:$A$89,0)+MATCH($D128,'[1]End - Use Prices'!$B$9:$B$11,0)-1,MATCH(AF$1,'[1]End - Use Prices'!$C$7:$AL$7,0))</f>
        <v>10.61</v>
      </c>
      <c r="AG128" s="41">
        <f>INDEX('[1]End - Use Prices'!$C$6:$AL$89,MATCH($C128,'[1]End - Use Prices'!$A$6:$A$89,0)+MATCH($D128,'[1]End - Use Prices'!$B$9:$B$11,0)-1,MATCH(AG$1,'[1]End - Use Prices'!$C$7:$AL$7,0))</f>
        <v>9.19</v>
      </c>
      <c r="AH128" s="41">
        <f>INDEX('[1]End - Use Prices'!$C$6:$AL$89,MATCH($C128,'[1]End - Use Prices'!$A$6:$A$89,0)+MATCH($D128,'[1]End - Use Prices'!$B$9:$B$11,0)-1,MATCH(AH$1,'[1]End - Use Prices'!$C$7:$AL$7,0))</f>
        <v>11.81</v>
      </c>
      <c r="AI128" s="41">
        <f>INDEX('[1]End - Use Prices'!$C$6:$AL$89,MATCH($C128,'[1]End - Use Prices'!$A$6:$A$89,0)+MATCH($D128,'[1]End - Use Prices'!$B$9:$B$11,0)-1,MATCH(AI$1,'[1]End - Use Prices'!$C$7:$AL$7,0))</f>
        <v>8.8000000000000007</v>
      </c>
      <c r="AJ128" s="41">
        <f>INDEX('[1]End - Use Prices'!$C$6:$AL$89,MATCH($C128,'[1]End - Use Prices'!$A$6:$A$89,0)+MATCH($D128,'[1]End - Use Prices'!$B$9:$B$11,0)-1,MATCH(AJ$1,'[1]End - Use Prices'!$C$7:$AL$7,0))</f>
        <v>7.48</v>
      </c>
      <c r="AK128" s="41">
        <f>INDEX('[1]End - Use Prices'!$C$6:$AL$89,MATCH($C128,'[1]End - Use Prices'!$A$6:$A$89,0)+MATCH($D128,'[1]End - Use Prices'!$B$9:$B$11,0)-1,MATCH(AK$1,'[1]End - Use Prices'!$C$7:$AL$7,0))</f>
        <v>7.4</v>
      </c>
      <c r="AL128" s="41">
        <f>INDEX('[1]End - Use Prices'!$C$6:$AL$89,MATCH($C128,'[1]End - Use Prices'!$A$6:$A$89,0)+MATCH($D128,'[1]End - Use Prices'!$B$9:$B$11,0)-1,MATCH(AL$1,'[1]End - Use Prices'!$C$7:$AL$7,0))</f>
        <v>7.39</v>
      </c>
      <c r="AM128" s="41">
        <f>INDEX('[1]End - Use Prices'!$C$6:$AL$89,MATCH($C128,'[1]End - Use Prices'!$A$6:$A$89,0)+MATCH($D128,'[1]End - Use Prices'!$B$9:$B$11,0)-1,MATCH(AM$1,'[1]End - Use Prices'!$C$7:$AL$7,0))</f>
        <v>8.3000000000000007</v>
      </c>
      <c r="AN128" s="41">
        <f>INDEX('[1]End - Use Prices'!$C$6:$AL$89,MATCH($C128,'[1]End - Use Prices'!$A$6:$A$89,0)+MATCH($D128,'[1]End - Use Prices'!$B$9:$B$11,0)-1,MATCH(AN$1,'[1]End - Use Prices'!$C$7:$AL$7,0))</f>
        <v>8.73</v>
      </c>
      <c r="AO128" s="41">
        <f>INDEX('[1]End - Use Prices'!$C$6:$AL$89,MATCH($C128,'[1]End - Use Prices'!$A$6:$A$89,0)+MATCH($D128,'[1]End - Use Prices'!$B$9:$B$11,0)-1,MATCH(AO$1,'[1]End - Use Prices'!$C$7:$AL$7,0))</f>
        <v>9.14</v>
      </c>
      <c r="AP128" s="41">
        <f>INDEX('[1]End - Use Prices'!$C$6:$AL$89,MATCH($C128,'[1]End - Use Prices'!$A$6:$A$89,0)+MATCH($D128,'[1]End - Use Prices'!$B$9:$B$11,0)-1,MATCH(AP$1,'[1]End - Use Prices'!$C$7:$AL$7,0))</f>
        <v>9.51</v>
      </c>
      <c r="AQ128" s="41">
        <f>INDEX('[1]End - Use Prices'!$C$6:$AL$89,MATCH($C128,'[1]End - Use Prices'!$A$6:$A$89,0)+MATCH($D128,'[1]End - Use Prices'!$B$9:$B$11,0)-1,MATCH(AQ$1,'[1]End - Use Prices'!$C$7:$AL$7,0))</f>
        <v>9.4499999999999993</v>
      </c>
      <c r="AR128" s="41">
        <f>INDEX('[1]End - Use Prices'!$C$6:$AL$89,MATCH($C128,'[1]End - Use Prices'!$A$6:$A$89,0)+MATCH($D128,'[1]End - Use Prices'!$B$9:$B$11,0)-1,MATCH(AR$1,'[1]End - Use Prices'!$C$7:$AL$7,0))</f>
        <v>9.42</v>
      </c>
      <c r="AS128" s="41">
        <f>INDEX('[1]End - Use Prices'!$C$6:$AL$89,MATCH($C128,'[1]End - Use Prices'!$A$6:$A$89,0)+MATCH($D128,'[1]End - Use Prices'!$B$9:$B$11,0)-1,MATCH(AS$1,'[1]End - Use Prices'!$C$7:$AL$7,0))</f>
        <v>9.4600000000000009</v>
      </c>
      <c r="AT128" s="41">
        <f>INDEX('[1]End - Use Prices'!$C$6:$AL$89,MATCH($C128,'[1]End - Use Prices'!$A$6:$A$89,0)+MATCH($D128,'[1]End - Use Prices'!$B$9:$B$11,0)-1,MATCH(AT$1,'[1]End - Use Prices'!$C$7:$AL$7,0))</f>
        <v>9.48</v>
      </c>
      <c r="AU128" s="41">
        <f>INDEX('[1]End - Use Prices'!$C$6:$AL$89,MATCH($C128,'[1]End - Use Prices'!$A$6:$A$89,0)+MATCH($D128,'[1]End - Use Prices'!$B$9:$B$11,0)-1,MATCH(AU$1,'[1]End - Use Prices'!$C$7:$AL$7,0))</f>
        <v>9.52</v>
      </c>
      <c r="AV128" s="41">
        <f>INDEX('[1]End - Use Prices'!$C$6:$AL$89,MATCH($C128,'[1]End - Use Prices'!$A$6:$A$89,0)+MATCH($D128,'[1]End - Use Prices'!$B$9:$B$11,0)-1,MATCH(AV$1,'[1]End - Use Prices'!$C$7:$AL$7,0))</f>
        <v>9.57</v>
      </c>
      <c r="AW128" s="41">
        <f>INDEX('[1]End - Use Prices'!$C$6:$AL$89,MATCH($C128,'[1]End - Use Prices'!$A$6:$A$89,0)+MATCH($D128,'[1]End - Use Prices'!$B$9:$B$11,0)-1,MATCH(AW$1,'[1]End - Use Prices'!$C$7:$AL$7,0))</f>
        <v>9.6199999999999992</v>
      </c>
      <c r="AX128" s="41">
        <f>INDEX('[1]End - Use Prices'!$C$6:$AL$89,MATCH($C128,'[1]End - Use Prices'!$A$6:$A$89,0)+MATCH($D128,'[1]End - Use Prices'!$B$9:$B$11,0)-1,MATCH(AX$1,'[1]End - Use Prices'!$C$7:$AL$7,0))</f>
        <v>9.68</v>
      </c>
      <c r="AY128" s="41">
        <f>INDEX('[1]End - Use Prices'!$C$6:$AL$89,MATCH($C128,'[1]End - Use Prices'!$A$6:$A$89,0)+MATCH($D128,'[1]End - Use Prices'!$B$9:$B$11,0)-1,MATCH(AY$1,'[1]End - Use Prices'!$C$7:$AL$7,0))</f>
        <v>9.75</v>
      </c>
      <c r="AZ128" s="41">
        <f>INDEX('[1]End - Use Prices'!$C$6:$AL$89,MATCH($C128,'[1]End - Use Prices'!$A$6:$A$89,0)+MATCH($D128,'[1]End - Use Prices'!$B$9:$B$11,0)-1,MATCH(AZ$1,'[1]End - Use Prices'!$C$7:$AL$7,0))</f>
        <v>9.83</v>
      </c>
      <c r="BA128" s="41">
        <f>INDEX('[1]End - Use Prices'!$C$6:$AL$89,MATCH($C128,'[1]End - Use Prices'!$A$6:$A$89,0)+MATCH($D128,'[1]End - Use Prices'!$B$9:$B$11,0)-1,MATCH(BA$1,'[1]End - Use Prices'!$C$7:$AL$7,0))</f>
        <v>9.8699999999999992</v>
      </c>
      <c r="BB128" s="41">
        <f>INDEX('[1]End - Use Prices'!$C$6:$AL$89,MATCH($C128,'[1]End - Use Prices'!$A$6:$A$89,0)+MATCH($D128,'[1]End - Use Prices'!$B$9:$B$11,0)-1,MATCH(BB$1,'[1]End - Use Prices'!$C$7:$AL$7,0))</f>
        <v>9.9</v>
      </c>
      <c r="BC128" s="41">
        <f>INDEX('[1]End - Use Prices'!$C$6:$AL$89,MATCH($C128,'[1]End - Use Prices'!$A$6:$A$89,0)+MATCH($D128,'[1]End - Use Prices'!$B$9:$B$11,0)-1,MATCH(BC$1,'[1]End - Use Prices'!$C$7:$AL$7,0))</f>
        <v>9.93</v>
      </c>
      <c r="BD128" s="41">
        <f>INDEX('[1]End - Use Prices'!$C$6:$AL$89,MATCH($C128,'[1]End - Use Prices'!$A$6:$A$89,0)+MATCH($D128,'[1]End - Use Prices'!$B$9:$B$11,0)-1,MATCH(BD$1,'[1]End - Use Prices'!$C$7:$AL$7,0))</f>
        <v>9.94</v>
      </c>
      <c r="BE128" s="41">
        <f>INDEX('[1]End - Use Prices'!$C$6:$AL$89,MATCH($C128,'[1]End - Use Prices'!$A$6:$A$89,0)+MATCH($D128,'[1]End - Use Prices'!$B$9:$B$11,0)-1,MATCH(BE$1,'[1]End - Use Prices'!$C$7:$AL$7,0))</f>
        <v>9.94</v>
      </c>
      <c r="BF128" s="41">
        <f>INDEX('[1]End - Use Prices'!$C$6:$AL$89,MATCH($C128,'[1]End - Use Prices'!$A$6:$A$89,0)+MATCH($D128,'[1]End - Use Prices'!$B$9:$B$11,0)-1,MATCH(BF$1,'[1]End - Use Prices'!$C$7:$AL$7,0))</f>
        <v>9.9499999999999993</v>
      </c>
      <c r="BG128" s="41">
        <f>INDEX('[1]End - Use Prices'!$C$6:$AL$89,MATCH($C128,'[1]End - Use Prices'!$A$6:$A$89,0)+MATCH($D128,'[1]End - Use Prices'!$B$9:$B$11,0)-1,MATCH(BG$1,'[1]End - Use Prices'!$C$7:$AL$7,0))</f>
        <v>9.9499999999999993</v>
      </c>
      <c r="BR128" s="39"/>
      <c r="BS128" s="39"/>
      <c r="BT128" s="39"/>
      <c r="BU128" s="39"/>
      <c r="BV128" s="39"/>
      <c r="BW128" s="39"/>
      <c r="BX128" s="39"/>
      <c r="BY128" s="39"/>
      <c r="BZ128" s="39"/>
      <c r="CA128" s="39"/>
    </row>
    <row r="129" spans="1:79" x14ac:dyDescent="0.25">
      <c r="A129" s="5"/>
      <c r="B129" s="3"/>
      <c r="C129" s="25" t="s">
        <v>5</v>
      </c>
      <c r="D129" s="25" t="s">
        <v>14</v>
      </c>
      <c r="E129" s="25" t="s">
        <v>313</v>
      </c>
      <c r="F129" s="74" t="s">
        <v>310</v>
      </c>
      <c r="G129" s="54">
        <f t="shared" si="100"/>
        <v>12.98</v>
      </c>
      <c r="H129" s="34">
        <f t="shared" si="118"/>
        <v>12.98</v>
      </c>
      <c r="I129" s="34">
        <f t="shared" si="118"/>
        <v>7.97</v>
      </c>
      <c r="J129" s="34">
        <f t="shared" si="118"/>
        <v>3.36</v>
      </c>
      <c r="K129" s="34">
        <f t="shared" si="118"/>
        <v>6.42</v>
      </c>
      <c r="L129" s="34">
        <f t="shared" si="118"/>
        <v>7.15</v>
      </c>
      <c r="M129" s="34">
        <f t="shared" si="118"/>
        <v>7.33</v>
      </c>
      <c r="N129" s="34">
        <f t="shared" si="118"/>
        <v>7.6</v>
      </c>
      <c r="O129" s="34">
        <f t="shared" si="118"/>
        <v>7.63</v>
      </c>
      <c r="P129" s="54">
        <f t="shared" ref="P129:Q129" si="126">O129</f>
        <v>7.63</v>
      </c>
      <c r="Q129" s="54">
        <f t="shared" si="126"/>
        <v>7.63</v>
      </c>
      <c r="R129" s="38"/>
      <c r="X129" s="41">
        <f>INDEX('[1]End - Use Prices'!$C$6:$AL$89,MATCH($C129,'[1]End - Use Prices'!$A$6:$A$89,0)+MATCH($D129,'[1]End - Use Prices'!$B$9:$B$11,0)-1,MATCH(X$1,'[1]End - Use Prices'!$C$7:$AL$7,0))</f>
        <v>12.98</v>
      </c>
      <c r="Y129" s="41">
        <f>INDEX('[1]End - Use Prices'!$C$6:$AL$89,MATCH($C129,'[1]End - Use Prices'!$A$6:$A$89,0)+MATCH($D129,'[1]End - Use Prices'!$B$9:$B$11,0)-1,MATCH(Y$1,'[1]End - Use Prices'!$C$7:$AL$7,0))</f>
        <v>11.76</v>
      </c>
      <c r="Z129" s="41">
        <f>INDEX('[1]End - Use Prices'!$C$6:$AL$89,MATCH($C129,'[1]End - Use Prices'!$A$6:$A$89,0)+MATCH($D129,'[1]End - Use Prices'!$B$9:$B$11,0)-1,MATCH(Z$1,'[1]End - Use Prices'!$C$7:$AL$7,0))</f>
        <v>10.95</v>
      </c>
      <c r="AA129" s="41">
        <f>INDEX('[1]End - Use Prices'!$C$6:$AL$89,MATCH($C129,'[1]End - Use Prices'!$A$6:$A$89,0)+MATCH($D129,'[1]End - Use Prices'!$B$9:$B$11,0)-1,MATCH(AA$1,'[1]End - Use Prices'!$C$7:$AL$7,0))</f>
        <v>11.03</v>
      </c>
      <c r="AB129" s="41">
        <f>INDEX('[1]End - Use Prices'!$C$6:$AL$89,MATCH($C129,'[1]End - Use Prices'!$A$6:$A$89,0)+MATCH($D129,'[1]End - Use Prices'!$B$9:$B$11,0)-1,MATCH(AB$1,'[1]End - Use Prices'!$C$7:$AL$7,0))</f>
        <v>7.77</v>
      </c>
      <c r="AC129" s="41">
        <f>INDEX('[1]End - Use Prices'!$C$6:$AL$89,MATCH($C129,'[1]End - Use Prices'!$A$6:$A$89,0)+MATCH($D129,'[1]End - Use Prices'!$B$9:$B$11,0)-1,MATCH(AC$1,'[1]End - Use Prices'!$C$7:$AL$7,0))</f>
        <v>7.97</v>
      </c>
      <c r="AD129" s="41">
        <f>INDEX('[1]End - Use Prices'!$C$6:$AL$89,MATCH($C129,'[1]End - Use Prices'!$A$6:$A$89,0)+MATCH($D129,'[1]End - Use Prices'!$B$9:$B$11,0)-1,MATCH(AD$1,'[1]End - Use Prices'!$C$7:$AL$7,0))</f>
        <v>8.15</v>
      </c>
      <c r="AE129" s="41">
        <f>INDEX('[1]End - Use Prices'!$C$6:$AL$89,MATCH($C129,'[1]End - Use Prices'!$A$6:$A$89,0)+MATCH($D129,'[1]End - Use Prices'!$B$9:$B$11,0)-1,MATCH(AE$1,'[1]End - Use Prices'!$C$7:$AL$7,0))</f>
        <v>6.63</v>
      </c>
      <c r="AF129" s="41">
        <f>INDEX('[1]End - Use Prices'!$C$6:$AL$89,MATCH($C129,'[1]End - Use Prices'!$A$6:$A$89,0)+MATCH($D129,'[1]End - Use Prices'!$B$9:$B$11,0)-1,MATCH(AF$1,'[1]End - Use Prices'!$C$7:$AL$7,0))</f>
        <v>6.93</v>
      </c>
      <c r="AG129" s="41">
        <f>INDEX('[1]End - Use Prices'!$C$6:$AL$89,MATCH($C129,'[1]End - Use Prices'!$A$6:$A$89,0)+MATCH($D129,'[1]End - Use Prices'!$B$9:$B$11,0)-1,MATCH(AG$1,'[1]End - Use Prices'!$C$7:$AL$7,0))</f>
        <v>8.5399999999999991</v>
      </c>
      <c r="AH129" s="41">
        <f>INDEX('[1]End - Use Prices'!$C$6:$AL$89,MATCH($C129,'[1]End - Use Prices'!$A$6:$A$89,0)+MATCH($D129,'[1]End - Use Prices'!$B$9:$B$11,0)-1,MATCH(AH$1,'[1]End - Use Prices'!$C$7:$AL$7,0))</f>
        <v>3.36</v>
      </c>
      <c r="AI129" s="41">
        <f>INDEX('[1]End - Use Prices'!$C$6:$AL$89,MATCH($C129,'[1]End - Use Prices'!$A$6:$A$89,0)+MATCH($D129,'[1]End - Use Prices'!$B$9:$B$11,0)-1,MATCH(AI$1,'[1]End - Use Prices'!$C$7:$AL$7,0))</f>
        <v>5.3</v>
      </c>
      <c r="AJ129" s="41">
        <f>INDEX('[1]End - Use Prices'!$C$6:$AL$89,MATCH($C129,'[1]End - Use Prices'!$A$6:$A$89,0)+MATCH($D129,'[1]End - Use Prices'!$B$9:$B$11,0)-1,MATCH(AJ$1,'[1]End - Use Prices'!$C$7:$AL$7,0))</f>
        <v>4.5599999999999996</v>
      </c>
      <c r="AK129" s="41">
        <f>INDEX('[1]End - Use Prices'!$C$6:$AL$89,MATCH($C129,'[1]End - Use Prices'!$A$6:$A$89,0)+MATCH($D129,'[1]End - Use Prices'!$B$9:$B$11,0)-1,MATCH(AK$1,'[1]End - Use Prices'!$C$7:$AL$7,0))</f>
        <v>5.99</v>
      </c>
      <c r="AL129" s="41">
        <f>INDEX('[1]End - Use Prices'!$C$6:$AL$89,MATCH($C129,'[1]End - Use Prices'!$A$6:$A$89,0)+MATCH($D129,'[1]End - Use Prices'!$B$9:$B$11,0)-1,MATCH(AL$1,'[1]End - Use Prices'!$C$7:$AL$7,0))</f>
        <v>6.47</v>
      </c>
      <c r="AM129" s="41">
        <f>INDEX('[1]End - Use Prices'!$C$6:$AL$89,MATCH($C129,'[1]End - Use Prices'!$A$6:$A$89,0)+MATCH($D129,'[1]End - Use Prices'!$B$9:$B$11,0)-1,MATCH(AM$1,'[1]End - Use Prices'!$C$7:$AL$7,0))</f>
        <v>6.42</v>
      </c>
      <c r="AN129" s="41">
        <f>INDEX('[1]End - Use Prices'!$C$6:$AL$89,MATCH($C129,'[1]End - Use Prices'!$A$6:$A$89,0)+MATCH($D129,'[1]End - Use Prices'!$B$9:$B$11,0)-1,MATCH(AN$1,'[1]End - Use Prices'!$C$7:$AL$7,0))</f>
        <v>6.38</v>
      </c>
      <c r="AO129" s="41">
        <f>INDEX('[1]End - Use Prices'!$C$6:$AL$89,MATCH($C129,'[1]End - Use Prices'!$A$6:$A$89,0)+MATCH($D129,'[1]End - Use Prices'!$B$9:$B$11,0)-1,MATCH(AO$1,'[1]End - Use Prices'!$C$7:$AL$7,0))</f>
        <v>6.84</v>
      </c>
      <c r="AP129" s="41">
        <f>INDEX('[1]End - Use Prices'!$C$6:$AL$89,MATCH($C129,'[1]End - Use Prices'!$A$6:$A$89,0)+MATCH($D129,'[1]End - Use Prices'!$B$9:$B$11,0)-1,MATCH(AP$1,'[1]End - Use Prices'!$C$7:$AL$7,0))</f>
        <v>7.25</v>
      </c>
      <c r="AQ129" s="41">
        <f>INDEX('[1]End - Use Prices'!$C$6:$AL$89,MATCH($C129,'[1]End - Use Prices'!$A$6:$A$89,0)+MATCH($D129,'[1]End - Use Prices'!$B$9:$B$11,0)-1,MATCH(AQ$1,'[1]End - Use Prices'!$C$7:$AL$7,0))</f>
        <v>7.19</v>
      </c>
      <c r="AR129" s="41">
        <f>INDEX('[1]End - Use Prices'!$C$6:$AL$89,MATCH($C129,'[1]End - Use Prices'!$A$6:$A$89,0)+MATCH($D129,'[1]End - Use Prices'!$B$9:$B$11,0)-1,MATCH(AR$1,'[1]End - Use Prices'!$C$7:$AL$7,0))</f>
        <v>7.15</v>
      </c>
      <c r="AS129" s="41">
        <f>INDEX('[1]End - Use Prices'!$C$6:$AL$89,MATCH($C129,'[1]End - Use Prices'!$A$6:$A$89,0)+MATCH($D129,'[1]End - Use Prices'!$B$9:$B$11,0)-1,MATCH(AS$1,'[1]End - Use Prices'!$C$7:$AL$7,0))</f>
        <v>7.18</v>
      </c>
      <c r="AT129" s="41">
        <f>INDEX('[1]End - Use Prices'!$C$6:$AL$89,MATCH($C129,'[1]End - Use Prices'!$A$6:$A$89,0)+MATCH($D129,'[1]End - Use Prices'!$B$9:$B$11,0)-1,MATCH(AT$1,'[1]End - Use Prices'!$C$7:$AL$7,0))</f>
        <v>7.2</v>
      </c>
      <c r="AU129" s="41">
        <f>INDEX('[1]End - Use Prices'!$C$6:$AL$89,MATCH($C129,'[1]End - Use Prices'!$A$6:$A$89,0)+MATCH($D129,'[1]End - Use Prices'!$B$9:$B$11,0)-1,MATCH(AU$1,'[1]End - Use Prices'!$C$7:$AL$7,0))</f>
        <v>7.23</v>
      </c>
      <c r="AV129" s="41">
        <f>INDEX('[1]End - Use Prices'!$C$6:$AL$89,MATCH($C129,'[1]End - Use Prices'!$A$6:$A$89,0)+MATCH($D129,'[1]End - Use Prices'!$B$9:$B$11,0)-1,MATCH(AV$1,'[1]End - Use Prices'!$C$7:$AL$7,0))</f>
        <v>7.28</v>
      </c>
      <c r="AW129" s="41">
        <f>INDEX('[1]End - Use Prices'!$C$6:$AL$89,MATCH($C129,'[1]End - Use Prices'!$A$6:$A$89,0)+MATCH($D129,'[1]End - Use Prices'!$B$9:$B$11,0)-1,MATCH(AW$1,'[1]End - Use Prices'!$C$7:$AL$7,0))</f>
        <v>7.33</v>
      </c>
      <c r="AX129" s="41">
        <f>INDEX('[1]End - Use Prices'!$C$6:$AL$89,MATCH($C129,'[1]End - Use Prices'!$A$6:$A$89,0)+MATCH($D129,'[1]End - Use Prices'!$B$9:$B$11,0)-1,MATCH(AX$1,'[1]End - Use Prices'!$C$7:$AL$7,0))</f>
        <v>7.38</v>
      </c>
      <c r="AY129" s="41">
        <f>INDEX('[1]End - Use Prices'!$C$6:$AL$89,MATCH($C129,'[1]End - Use Prices'!$A$6:$A$89,0)+MATCH($D129,'[1]End - Use Prices'!$B$9:$B$11,0)-1,MATCH(AY$1,'[1]End - Use Prices'!$C$7:$AL$7,0))</f>
        <v>7.45</v>
      </c>
      <c r="AZ129" s="41">
        <f>INDEX('[1]End - Use Prices'!$C$6:$AL$89,MATCH($C129,'[1]End - Use Prices'!$A$6:$A$89,0)+MATCH($D129,'[1]End - Use Prices'!$B$9:$B$11,0)-1,MATCH(AZ$1,'[1]End - Use Prices'!$C$7:$AL$7,0))</f>
        <v>7.53</v>
      </c>
      <c r="BA129" s="41">
        <f>INDEX('[1]End - Use Prices'!$C$6:$AL$89,MATCH($C129,'[1]End - Use Prices'!$A$6:$A$89,0)+MATCH($D129,'[1]End - Use Prices'!$B$9:$B$11,0)-1,MATCH(BA$1,'[1]End - Use Prices'!$C$7:$AL$7,0))</f>
        <v>7.57</v>
      </c>
      <c r="BB129" s="41">
        <f>INDEX('[1]End - Use Prices'!$C$6:$AL$89,MATCH($C129,'[1]End - Use Prices'!$A$6:$A$89,0)+MATCH($D129,'[1]End - Use Prices'!$B$9:$B$11,0)-1,MATCH(BB$1,'[1]End - Use Prices'!$C$7:$AL$7,0))</f>
        <v>7.6</v>
      </c>
      <c r="BC129" s="41">
        <f>INDEX('[1]End - Use Prices'!$C$6:$AL$89,MATCH($C129,'[1]End - Use Prices'!$A$6:$A$89,0)+MATCH($D129,'[1]End - Use Prices'!$B$9:$B$11,0)-1,MATCH(BC$1,'[1]End - Use Prices'!$C$7:$AL$7,0))</f>
        <v>7.62</v>
      </c>
      <c r="BD129" s="41">
        <f>INDEX('[1]End - Use Prices'!$C$6:$AL$89,MATCH($C129,'[1]End - Use Prices'!$A$6:$A$89,0)+MATCH($D129,'[1]End - Use Prices'!$B$9:$B$11,0)-1,MATCH(BD$1,'[1]End - Use Prices'!$C$7:$AL$7,0))</f>
        <v>7.63</v>
      </c>
      <c r="BE129" s="41">
        <f>INDEX('[1]End - Use Prices'!$C$6:$AL$89,MATCH($C129,'[1]End - Use Prices'!$A$6:$A$89,0)+MATCH($D129,'[1]End - Use Prices'!$B$9:$B$11,0)-1,MATCH(BE$1,'[1]End - Use Prices'!$C$7:$AL$7,0))</f>
        <v>7.63</v>
      </c>
      <c r="BF129" s="41">
        <f>INDEX('[1]End - Use Prices'!$C$6:$AL$89,MATCH($C129,'[1]End - Use Prices'!$A$6:$A$89,0)+MATCH($D129,'[1]End - Use Prices'!$B$9:$B$11,0)-1,MATCH(BF$1,'[1]End - Use Prices'!$C$7:$AL$7,0))</f>
        <v>7.63</v>
      </c>
      <c r="BG129" s="41">
        <f>INDEX('[1]End - Use Prices'!$C$6:$AL$89,MATCH($C129,'[1]End - Use Prices'!$A$6:$A$89,0)+MATCH($D129,'[1]End - Use Prices'!$B$9:$B$11,0)-1,MATCH(BG$1,'[1]End - Use Prices'!$C$7:$AL$7,0))</f>
        <v>7.63</v>
      </c>
      <c r="BR129" s="39"/>
      <c r="BS129" s="39"/>
      <c r="BT129" s="39"/>
      <c r="BU129" s="39"/>
      <c r="BV129" s="39"/>
      <c r="BW129" s="39"/>
      <c r="BX129" s="39"/>
      <c r="BY129" s="39"/>
      <c r="BZ129" s="39"/>
      <c r="CA129" s="39"/>
    </row>
    <row r="130" spans="1:79" x14ac:dyDescent="0.25">
      <c r="A130" s="5"/>
      <c r="B130" s="3"/>
      <c r="C130" s="25" t="s">
        <v>61</v>
      </c>
      <c r="D130" s="25" t="s">
        <v>14</v>
      </c>
      <c r="E130" s="25" t="s">
        <v>313</v>
      </c>
      <c r="F130" s="74" t="s">
        <v>310</v>
      </c>
      <c r="G130" s="54">
        <f t="shared" si="100"/>
        <v>15.71</v>
      </c>
      <c r="H130" s="34">
        <f t="shared" si="118"/>
        <v>15.71</v>
      </c>
      <c r="I130" s="34">
        <f t="shared" si="118"/>
        <v>17.63</v>
      </c>
      <c r="J130" s="34">
        <f t="shared" si="118"/>
        <v>15.79</v>
      </c>
      <c r="K130" s="34">
        <f t="shared" si="118"/>
        <v>13.09</v>
      </c>
      <c r="L130" s="34">
        <f t="shared" si="118"/>
        <v>13.24</v>
      </c>
      <c r="M130" s="34">
        <f t="shared" si="118"/>
        <v>13.33</v>
      </c>
      <c r="N130" s="34">
        <f t="shared" si="118"/>
        <v>13.56</v>
      </c>
      <c r="O130" s="34">
        <f t="shared" si="118"/>
        <v>13.49</v>
      </c>
      <c r="P130" s="54">
        <f t="shared" ref="P130:Q130" si="127">O130</f>
        <v>13.49</v>
      </c>
      <c r="Q130" s="54">
        <f t="shared" si="127"/>
        <v>13.49</v>
      </c>
      <c r="R130" s="38"/>
      <c r="X130" s="41">
        <f>INDEX('[1]End - Use Prices'!$C$6:$AL$89,MATCH($C130,'[1]End - Use Prices'!$A$6:$A$89,0)+MATCH($D130,'[1]End - Use Prices'!$B$9:$B$11,0)-1,MATCH(X$1,'[1]End - Use Prices'!$C$7:$AL$7,0))</f>
        <v>15.71</v>
      </c>
      <c r="Y130" s="41">
        <f>INDEX('[1]End - Use Prices'!$C$6:$AL$89,MATCH($C130,'[1]End - Use Prices'!$A$6:$A$89,0)+MATCH($D130,'[1]End - Use Prices'!$B$9:$B$11,0)-1,MATCH(Y$1,'[1]End - Use Prices'!$C$7:$AL$7,0))</f>
        <v>16.100000000000001</v>
      </c>
      <c r="Z130" s="41">
        <f>INDEX('[1]End - Use Prices'!$C$6:$AL$89,MATCH($C130,'[1]End - Use Prices'!$A$6:$A$89,0)+MATCH($D130,'[1]End - Use Prices'!$B$9:$B$11,0)-1,MATCH(Z$1,'[1]End - Use Prices'!$C$7:$AL$7,0))</f>
        <v>15.95</v>
      </c>
      <c r="AA130" s="41">
        <f>INDEX('[1]End - Use Prices'!$C$6:$AL$89,MATCH($C130,'[1]End - Use Prices'!$A$6:$A$89,0)+MATCH($D130,'[1]End - Use Prices'!$B$9:$B$11,0)-1,MATCH(AA$1,'[1]End - Use Prices'!$C$7:$AL$7,0))</f>
        <v>15.79</v>
      </c>
      <c r="AB130" s="41">
        <f>INDEX('[1]End - Use Prices'!$C$6:$AL$89,MATCH($C130,'[1]End - Use Prices'!$A$6:$A$89,0)+MATCH($D130,'[1]End - Use Prices'!$B$9:$B$11,0)-1,MATCH(AB$1,'[1]End - Use Prices'!$C$7:$AL$7,0))</f>
        <v>16.8</v>
      </c>
      <c r="AC130" s="41">
        <f>INDEX('[1]End - Use Prices'!$C$6:$AL$89,MATCH($C130,'[1]End - Use Prices'!$A$6:$A$89,0)+MATCH($D130,'[1]End - Use Prices'!$B$9:$B$11,0)-1,MATCH(AC$1,'[1]End - Use Prices'!$C$7:$AL$7,0))</f>
        <v>17.63</v>
      </c>
      <c r="AD130" s="41">
        <f>INDEX('[1]End - Use Prices'!$C$6:$AL$89,MATCH($C130,'[1]End - Use Prices'!$A$6:$A$89,0)+MATCH($D130,'[1]End - Use Prices'!$B$9:$B$11,0)-1,MATCH(AD$1,'[1]End - Use Prices'!$C$7:$AL$7,0))</f>
        <v>17.100000000000001</v>
      </c>
      <c r="AE130" s="41">
        <f>INDEX('[1]End - Use Prices'!$C$6:$AL$89,MATCH($C130,'[1]End - Use Prices'!$A$6:$A$89,0)+MATCH($D130,'[1]End - Use Prices'!$B$9:$B$11,0)-1,MATCH(AE$1,'[1]End - Use Prices'!$C$7:$AL$7,0))</f>
        <v>16.28</v>
      </c>
      <c r="AF130" s="41">
        <f>INDEX('[1]End - Use Prices'!$C$6:$AL$89,MATCH($C130,'[1]End - Use Prices'!$A$6:$A$89,0)+MATCH($D130,'[1]End - Use Prices'!$B$9:$B$11,0)-1,MATCH(AF$1,'[1]End - Use Prices'!$C$7:$AL$7,0))</f>
        <v>15.65</v>
      </c>
      <c r="AG130" s="41">
        <f>INDEX('[1]End - Use Prices'!$C$6:$AL$89,MATCH($C130,'[1]End - Use Prices'!$A$6:$A$89,0)+MATCH($D130,'[1]End - Use Prices'!$B$9:$B$11,0)-1,MATCH(AG$1,'[1]End - Use Prices'!$C$7:$AL$7,0))</f>
        <v>16.579999999999998</v>
      </c>
      <c r="AH130" s="41">
        <f>INDEX('[1]End - Use Prices'!$C$6:$AL$89,MATCH($C130,'[1]End - Use Prices'!$A$6:$A$89,0)+MATCH($D130,'[1]End - Use Prices'!$B$9:$B$11,0)-1,MATCH(AH$1,'[1]End - Use Prices'!$C$7:$AL$7,0))</f>
        <v>15.79</v>
      </c>
      <c r="AI130" s="41">
        <f>INDEX('[1]End - Use Prices'!$C$6:$AL$89,MATCH($C130,'[1]End - Use Prices'!$A$6:$A$89,0)+MATCH($D130,'[1]End - Use Prices'!$B$9:$B$11,0)-1,MATCH(AI$1,'[1]End - Use Prices'!$C$7:$AL$7,0))</f>
        <v>12.09</v>
      </c>
      <c r="AJ130" s="41">
        <f>INDEX('[1]End - Use Prices'!$C$6:$AL$89,MATCH($C130,'[1]End - Use Prices'!$A$6:$A$89,0)+MATCH($D130,'[1]End - Use Prices'!$B$9:$B$11,0)-1,MATCH(AJ$1,'[1]End - Use Prices'!$C$7:$AL$7,0))</f>
        <v>12.97</v>
      </c>
      <c r="AK130" s="41">
        <f>INDEX('[1]End - Use Prices'!$C$6:$AL$89,MATCH($C130,'[1]End - Use Prices'!$A$6:$A$89,0)+MATCH($D130,'[1]End - Use Prices'!$B$9:$B$11,0)-1,MATCH(AK$1,'[1]End - Use Prices'!$C$7:$AL$7,0))</f>
        <v>12.73</v>
      </c>
      <c r="AL130" s="41">
        <f>INDEX('[1]End - Use Prices'!$C$6:$AL$89,MATCH($C130,'[1]End - Use Prices'!$A$6:$A$89,0)+MATCH($D130,'[1]End - Use Prices'!$B$9:$B$11,0)-1,MATCH(AL$1,'[1]End - Use Prices'!$C$7:$AL$7,0))</f>
        <v>12.86</v>
      </c>
      <c r="AM130" s="41">
        <f>INDEX('[1]End - Use Prices'!$C$6:$AL$89,MATCH($C130,'[1]End - Use Prices'!$A$6:$A$89,0)+MATCH($D130,'[1]End - Use Prices'!$B$9:$B$11,0)-1,MATCH(AM$1,'[1]End - Use Prices'!$C$7:$AL$7,0))</f>
        <v>13.09</v>
      </c>
      <c r="AN130" s="41">
        <f>INDEX('[1]End - Use Prices'!$C$6:$AL$89,MATCH($C130,'[1]End - Use Prices'!$A$6:$A$89,0)+MATCH($D130,'[1]End - Use Prices'!$B$9:$B$11,0)-1,MATCH(AN$1,'[1]End - Use Prices'!$C$7:$AL$7,0))</f>
        <v>13.29</v>
      </c>
      <c r="AO130" s="41">
        <f>INDEX('[1]End - Use Prices'!$C$6:$AL$89,MATCH($C130,'[1]End - Use Prices'!$A$6:$A$89,0)+MATCH($D130,'[1]End - Use Prices'!$B$9:$B$11,0)-1,MATCH(AO$1,'[1]End - Use Prices'!$C$7:$AL$7,0))</f>
        <v>13.49</v>
      </c>
      <c r="AP130" s="41">
        <f>INDEX('[1]End - Use Prices'!$C$6:$AL$89,MATCH($C130,'[1]End - Use Prices'!$A$6:$A$89,0)+MATCH($D130,'[1]End - Use Prices'!$B$9:$B$11,0)-1,MATCH(AP$1,'[1]End - Use Prices'!$C$7:$AL$7,0))</f>
        <v>13.43</v>
      </c>
      <c r="AQ130" s="41">
        <f>INDEX('[1]End - Use Prices'!$C$6:$AL$89,MATCH($C130,'[1]End - Use Prices'!$A$6:$A$89,0)+MATCH($D130,'[1]End - Use Prices'!$B$9:$B$11,0)-1,MATCH(AQ$1,'[1]End - Use Prices'!$C$7:$AL$7,0))</f>
        <v>13.32</v>
      </c>
      <c r="AR130" s="41">
        <f>INDEX('[1]End - Use Prices'!$C$6:$AL$89,MATCH($C130,'[1]End - Use Prices'!$A$6:$A$89,0)+MATCH($D130,'[1]End - Use Prices'!$B$9:$B$11,0)-1,MATCH(AR$1,'[1]End - Use Prices'!$C$7:$AL$7,0))</f>
        <v>13.24</v>
      </c>
      <c r="AS130" s="41">
        <f>INDEX('[1]End - Use Prices'!$C$6:$AL$89,MATCH($C130,'[1]End - Use Prices'!$A$6:$A$89,0)+MATCH($D130,'[1]End - Use Prices'!$B$9:$B$11,0)-1,MATCH(AS$1,'[1]End - Use Prices'!$C$7:$AL$7,0))</f>
        <v>13.25</v>
      </c>
      <c r="AT130" s="41">
        <f>INDEX('[1]End - Use Prices'!$C$6:$AL$89,MATCH($C130,'[1]End - Use Prices'!$A$6:$A$89,0)+MATCH($D130,'[1]End - Use Prices'!$B$9:$B$11,0)-1,MATCH(AT$1,'[1]End - Use Prices'!$C$7:$AL$7,0))</f>
        <v>13.24</v>
      </c>
      <c r="AU130" s="41">
        <f>INDEX('[1]End - Use Prices'!$C$6:$AL$89,MATCH($C130,'[1]End - Use Prices'!$A$6:$A$89,0)+MATCH($D130,'[1]End - Use Prices'!$B$9:$B$11,0)-1,MATCH(AU$1,'[1]End - Use Prices'!$C$7:$AL$7,0))</f>
        <v>13.26</v>
      </c>
      <c r="AV130" s="41">
        <f>INDEX('[1]End - Use Prices'!$C$6:$AL$89,MATCH($C130,'[1]End - Use Prices'!$A$6:$A$89,0)+MATCH($D130,'[1]End - Use Prices'!$B$9:$B$11,0)-1,MATCH(AV$1,'[1]End - Use Prices'!$C$7:$AL$7,0))</f>
        <v>13.3</v>
      </c>
      <c r="AW130" s="41">
        <f>INDEX('[1]End - Use Prices'!$C$6:$AL$89,MATCH($C130,'[1]End - Use Prices'!$A$6:$A$89,0)+MATCH($D130,'[1]End - Use Prices'!$B$9:$B$11,0)-1,MATCH(AW$1,'[1]End - Use Prices'!$C$7:$AL$7,0))</f>
        <v>13.33</v>
      </c>
      <c r="AX130" s="41">
        <f>INDEX('[1]End - Use Prices'!$C$6:$AL$89,MATCH($C130,'[1]End - Use Prices'!$A$6:$A$89,0)+MATCH($D130,'[1]End - Use Prices'!$B$9:$B$11,0)-1,MATCH(AX$1,'[1]End - Use Prices'!$C$7:$AL$7,0))</f>
        <v>13.38</v>
      </c>
      <c r="AY130" s="41">
        <f>INDEX('[1]End - Use Prices'!$C$6:$AL$89,MATCH($C130,'[1]End - Use Prices'!$A$6:$A$89,0)+MATCH($D130,'[1]End - Use Prices'!$B$9:$B$11,0)-1,MATCH(AY$1,'[1]End - Use Prices'!$C$7:$AL$7,0))</f>
        <v>13.44</v>
      </c>
      <c r="AZ130" s="41">
        <f>INDEX('[1]End - Use Prices'!$C$6:$AL$89,MATCH($C130,'[1]End - Use Prices'!$A$6:$A$89,0)+MATCH($D130,'[1]End - Use Prices'!$B$9:$B$11,0)-1,MATCH(AZ$1,'[1]End - Use Prices'!$C$7:$AL$7,0))</f>
        <v>13.51</v>
      </c>
      <c r="BA130" s="41">
        <f>INDEX('[1]End - Use Prices'!$C$6:$AL$89,MATCH($C130,'[1]End - Use Prices'!$A$6:$A$89,0)+MATCH($D130,'[1]End - Use Prices'!$B$9:$B$11,0)-1,MATCH(BA$1,'[1]End - Use Prices'!$C$7:$AL$7,0))</f>
        <v>13.54</v>
      </c>
      <c r="BB130" s="41">
        <f>INDEX('[1]End - Use Prices'!$C$6:$AL$89,MATCH($C130,'[1]End - Use Prices'!$A$6:$A$89,0)+MATCH($D130,'[1]End - Use Prices'!$B$9:$B$11,0)-1,MATCH(BB$1,'[1]End - Use Prices'!$C$7:$AL$7,0))</f>
        <v>13.56</v>
      </c>
      <c r="BC130" s="41">
        <f>INDEX('[1]End - Use Prices'!$C$6:$AL$89,MATCH($C130,'[1]End - Use Prices'!$A$6:$A$89,0)+MATCH($D130,'[1]End - Use Prices'!$B$9:$B$11,0)-1,MATCH(BC$1,'[1]End - Use Prices'!$C$7:$AL$7,0))</f>
        <v>13.57</v>
      </c>
      <c r="BD130" s="41">
        <f>INDEX('[1]End - Use Prices'!$C$6:$AL$89,MATCH($C130,'[1]End - Use Prices'!$A$6:$A$89,0)+MATCH($D130,'[1]End - Use Prices'!$B$9:$B$11,0)-1,MATCH(BD$1,'[1]End - Use Prices'!$C$7:$AL$7,0))</f>
        <v>13.56</v>
      </c>
      <c r="BE130" s="41">
        <f>INDEX('[1]End - Use Prices'!$C$6:$AL$89,MATCH($C130,'[1]End - Use Prices'!$A$6:$A$89,0)+MATCH($D130,'[1]End - Use Prices'!$B$9:$B$11,0)-1,MATCH(BE$1,'[1]End - Use Prices'!$C$7:$AL$7,0))</f>
        <v>13.54</v>
      </c>
      <c r="BF130" s="41">
        <f>INDEX('[1]End - Use Prices'!$C$6:$AL$89,MATCH($C130,'[1]End - Use Prices'!$A$6:$A$89,0)+MATCH($D130,'[1]End - Use Prices'!$B$9:$B$11,0)-1,MATCH(BF$1,'[1]End - Use Prices'!$C$7:$AL$7,0))</f>
        <v>13.52</v>
      </c>
      <c r="BG130" s="41">
        <f>INDEX('[1]End - Use Prices'!$C$6:$AL$89,MATCH($C130,'[1]End - Use Prices'!$A$6:$A$89,0)+MATCH($D130,'[1]End - Use Prices'!$B$9:$B$11,0)-1,MATCH(BG$1,'[1]End - Use Prices'!$C$7:$AL$7,0))</f>
        <v>13.49</v>
      </c>
      <c r="BR130" s="39"/>
      <c r="BS130" s="39"/>
      <c r="BT130" s="39"/>
      <c r="BU130" s="39"/>
      <c r="BV130" s="39"/>
      <c r="BW130" s="39"/>
      <c r="BX130" s="39"/>
      <c r="BY130" s="39"/>
      <c r="BZ130" s="39"/>
      <c r="CA130" s="39"/>
    </row>
    <row r="131" spans="1:79" x14ac:dyDescent="0.25">
      <c r="A131" s="5"/>
      <c r="B131" s="3"/>
      <c r="C131" s="25" t="s">
        <v>95</v>
      </c>
      <c r="D131" s="25" t="s">
        <v>14</v>
      </c>
      <c r="E131" s="25" t="s">
        <v>313</v>
      </c>
      <c r="F131" s="74" t="s">
        <v>310</v>
      </c>
      <c r="G131" s="54">
        <f t="shared" si="100"/>
        <v>15.71</v>
      </c>
      <c r="H131" s="34">
        <f t="shared" si="118"/>
        <v>15.71</v>
      </c>
      <c r="I131" s="34">
        <f t="shared" si="118"/>
        <v>14.92</v>
      </c>
      <c r="J131" s="34">
        <f t="shared" si="118"/>
        <v>12.25</v>
      </c>
      <c r="K131" s="34">
        <f t="shared" si="118"/>
        <v>9.07</v>
      </c>
      <c r="L131" s="34">
        <f t="shared" si="118"/>
        <v>9.5</v>
      </c>
      <c r="M131" s="34">
        <f t="shared" si="118"/>
        <v>9.94</v>
      </c>
      <c r="N131" s="34">
        <f t="shared" si="118"/>
        <v>10.41</v>
      </c>
      <c r="O131" s="34">
        <f t="shared" si="118"/>
        <v>10.59</v>
      </c>
      <c r="P131" s="54">
        <f t="shared" ref="P131:Q131" si="128">O131</f>
        <v>10.59</v>
      </c>
      <c r="Q131" s="54">
        <f t="shared" si="128"/>
        <v>10.59</v>
      </c>
      <c r="R131" s="38"/>
      <c r="X131" s="41">
        <f>INDEX('[1]End - Use Prices'!$C$6:$AL$89,MATCH($C131,'[1]End - Use Prices'!$A$6:$A$89,0)+MATCH($D131,'[1]End - Use Prices'!$B$9:$B$11,0)-1,MATCH(X$1,'[1]End - Use Prices'!$C$7:$AL$7,0))</f>
        <v>15.71</v>
      </c>
      <c r="Y131" s="41">
        <f>INDEX('[1]End - Use Prices'!$C$6:$AL$89,MATCH($C131,'[1]End - Use Prices'!$A$6:$A$89,0)+MATCH($D131,'[1]End - Use Prices'!$B$9:$B$11,0)-1,MATCH(Y$1,'[1]End - Use Prices'!$C$7:$AL$7,0))</f>
        <v>16.100000000000001</v>
      </c>
      <c r="Z131" s="41">
        <f>INDEX('[1]End - Use Prices'!$C$6:$AL$89,MATCH($C131,'[1]End - Use Prices'!$A$6:$A$89,0)+MATCH($D131,'[1]End - Use Prices'!$B$9:$B$11,0)-1,MATCH(Z$1,'[1]End - Use Prices'!$C$7:$AL$7,0))</f>
        <v>15.74</v>
      </c>
      <c r="AA131" s="41">
        <f>INDEX('[1]End - Use Prices'!$C$6:$AL$89,MATCH($C131,'[1]End - Use Prices'!$A$6:$A$89,0)+MATCH($D131,'[1]End - Use Prices'!$B$9:$B$11,0)-1,MATCH(AA$1,'[1]End - Use Prices'!$C$7:$AL$7,0))</f>
        <v>15.46</v>
      </c>
      <c r="AB131" s="41">
        <f>INDEX('[1]End - Use Prices'!$C$6:$AL$89,MATCH($C131,'[1]End - Use Prices'!$A$6:$A$89,0)+MATCH($D131,'[1]End - Use Prices'!$B$9:$B$11,0)-1,MATCH(AB$1,'[1]End - Use Prices'!$C$7:$AL$7,0))</f>
        <v>15.41</v>
      </c>
      <c r="AC131" s="41">
        <f>INDEX('[1]End - Use Prices'!$C$6:$AL$89,MATCH($C131,'[1]End - Use Prices'!$A$6:$A$89,0)+MATCH($D131,'[1]End - Use Prices'!$B$9:$B$11,0)-1,MATCH(AC$1,'[1]End - Use Prices'!$C$7:$AL$7,0))</f>
        <v>14.92</v>
      </c>
      <c r="AD131" s="41">
        <f>INDEX('[1]End - Use Prices'!$C$6:$AL$89,MATCH($C131,'[1]End - Use Prices'!$A$6:$A$89,0)+MATCH($D131,'[1]End - Use Prices'!$B$9:$B$11,0)-1,MATCH(AD$1,'[1]End - Use Prices'!$C$7:$AL$7,0))</f>
        <v>13.77</v>
      </c>
      <c r="AE131" s="41">
        <f>INDEX('[1]End - Use Prices'!$C$6:$AL$89,MATCH($C131,'[1]End - Use Prices'!$A$6:$A$89,0)+MATCH($D131,'[1]End - Use Prices'!$B$9:$B$11,0)-1,MATCH(AE$1,'[1]End - Use Prices'!$C$7:$AL$7,0))</f>
        <v>12.54</v>
      </c>
      <c r="AF131" s="41">
        <f>INDEX('[1]End - Use Prices'!$C$6:$AL$89,MATCH($C131,'[1]End - Use Prices'!$A$6:$A$89,0)+MATCH($D131,'[1]End - Use Prices'!$B$9:$B$11,0)-1,MATCH(AF$1,'[1]End - Use Prices'!$C$7:$AL$7,0))</f>
        <v>12.18</v>
      </c>
      <c r="AG131" s="41">
        <f>INDEX('[1]End - Use Prices'!$C$6:$AL$89,MATCH($C131,'[1]End - Use Prices'!$A$6:$A$89,0)+MATCH($D131,'[1]End - Use Prices'!$B$9:$B$11,0)-1,MATCH(AG$1,'[1]End - Use Prices'!$C$7:$AL$7,0))</f>
        <v>13.28</v>
      </c>
      <c r="AH131" s="41">
        <f>INDEX('[1]End - Use Prices'!$C$6:$AL$89,MATCH($C131,'[1]End - Use Prices'!$A$6:$A$89,0)+MATCH($D131,'[1]End - Use Prices'!$B$9:$B$11,0)-1,MATCH(AH$1,'[1]End - Use Prices'!$C$7:$AL$7,0))</f>
        <v>12.25</v>
      </c>
      <c r="AI131" s="41">
        <f>INDEX('[1]End - Use Prices'!$C$6:$AL$89,MATCH($C131,'[1]End - Use Prices'!$A$6:$A$89,0)+MATCH($D131,'[1]End - Use Prices'!$B$9:$B$11,0)-1,MATCH(AI$1,'[1]End - Use Prices'!$C$7:$AL$7,0))</f>
        <v>8.43</v>
      </c>
      <c r="AJ131" s="41">
        <f>INDEX('[1]End - Use Prices'!$C$6:$AL$89,MATCH($C131,'[1]End - Use Prices'!$A$6:$A$89,0)+MATCH($D131,'[1]End - Use Prices'!$B$9:$B$11,0)-1,MATCH(AJ$1,'[1]End - Use Prices'!$C$7:$AL$7,0))</f>
        <v>8.91</v>
      </c>
      <c r="AK131" s="41">
        <f>INDEX('[1]End - Use Prices'!$C$6:$AL$89,MATCH($C131,'[1]End - Use Prices'!$A$6:$A$89,0)+MATCH($D131,'[1]End - Use Prices'!$B$9:$B$11,0)-1,MATCH(AK$1,'[1]End - Use Prices'!$C$7:$AL$7,0))</f>
        <v>8.81</v>
      </c>
      <c r="AL131" s="41">
        <f>INDEX('[1]End - Use Prices'!$C$6:$AL$89,MATCH($C131,'[1]End - Use Prices'!$A$6:$A$89,0)+MATCH($D131,'[1]End - Use Prices'!$B$9:$B$11,0)-1,MATCH(AL$1,'[1]End - Use Prices'!$C$7:$AL$7,0))</f>
        <v>8.7899999999999991</v>
      </c>
      <c r="AM131" s="41">
        <f>INDEX('[1]End - Use Prices'!$C$6:$AL$89,MATCH($C131,'[1]End - Use Prices'!$A$6:$A$89,0)+MATCH($D131,'[1]End - Use Prices'!$B$9:$B$11,0)-1,MATCH(AM$1,'[1]End - Use Prices'!$C$7:$AL$7,0))</f>
        <v>9.07</v>
      </c>
      <c r="AN131" s="41">
        <f>INDEX('[1]End - Use Prices'!$C$6:$AL$89,MATCH($C131,'[1]End - Use Prices'!$A$6:$A$89,0)+MATCH($D131,'[1]End - Use Prices'!$B$9:$B$11,0)-1,MATCH(AN$1,'[1]End - Use Prices'!$C$7:$AL$7,0))</f>
        <v>9.2200000000000006</v>
      </c>
      <c r="AO131" s="41">
        <f>INDEX('[1]End - Use Prices'!$C$6:$AL$89,MATCH($C131,'[1]End - Use Prices'!$A$6:$A$89,0)+MATCH($D131,'[1]End - Use Prices'!$B$9:$B$11,0)-1,MATCH(AO$1,'[1]End - Use Prices'!$C$7:$AL$7,0))</f>
        <v>9.36</v>
      </c>
      <c r="AP131" s="41">
        <f>INDEX('[1]End - Use Prices'!$C$6:$AL$89,MATCH($C131,'[1]End - Use Prices'!$A$6:$A$89,0)+MATCH($D131,'[1]End - Use Prices'!$B$9:$B$11,0)-1,MATCH(AP$1,'[1]End - Use Prices'!$C$7:$AL$7,0))</f>
        <v>9.48</v>
      </c>
      <c r="AQ131" s="41">
        <f>INDEX('[1]End - Use Prices'!$C$6:$AL$89,MATCH($C131,'[1]End - Use Prices'!$A$6:$A$89,0)+MATCH($D131,'[1]End - Use Prices'!$B$9:$B$11,0)-1,MATCH(AQ$1,'[1]End - Use Prices'!$C$7:$AL$7,0))</f>
        <v>9.48</v>
      </c>
      <c r="AR131" s="41">
        <f>INDEX('[1]End - Use Prices'!$C$6:$AL$89,MATCH($C131,'[1]End - Use Prices'!$A$6:$A$89,0)+MATCH($D131,'[1]End - Use Prices'!$B$9:$B$11,0)-1,MATCH(AR$1,'[1]End - Use Prices'!$C$7:$AL$7,0))</f>
        <v>9.5</v>
      </c>
      <c r="AS131" s="41">
        <f>INDEX('[1]End - Use Prices'!$C$6:$AL$89,MATCH($C131,'[1]End - Use Prices'!$A$6:$A$89,0)+MATCH($D131,'[1]End - Use Prices'!$B$9:$B$11,0)-1,MATCH(AS$1,'[1]End - Use Prices'!$C$7:$AL$7,0))</f>
        <v>9.58</v>
      </c>
      <c r="AT131" s="41">
        <f>INDEX('[1]End - Use Prices'!$C$6:$AL$89,MATCH($C131,'[1]End - Use Prices'!$A$6:$A$89,0)+MATCH($D131,'[1]End - Use Prices'!$B$9:$B$11,0)-1,MATCH(AT$1,'[1]End - Use Prices'!$C$7:$AL$7,0))</f>
        <v>9.66</v>
      </c>
      <c r="AU131" s="41">
        <f>INDEX('[1]End - Use Prices'!$C$6:$AL$89,MATCH($C131,'[1]End - Use Prices'!$A$6:$A$89,0)+MATCH($D131,'[1]End - Use Prices'!$B$9:$B$11,0)-1,MATCH(AU$1,'[1]End - Use Prices'!$C$7:$AL$7,0))</f>
        <v>9.75</v>
      </c>
      <c r="AV131" s="41">
        <f>INDEX('[1]End - Use Prices'!$C$6:$AL$89,MATCH($C131,'[1]End - Use Prices'!$A$6:$A$89,0)+MATCH($D131,'[1]End - Use Prices'!$B$9:$B$11,0)-1,MATCH(AV$1,'[1]End - Use Prices'!$C$7:$AL$7,0))</f>
        <v>9.85</v>
      </c>
      <c r="AW131" s="41">
        <f>INDEX('[1]End - Use Prices'!$C$6:$AL$89,MATCH($C131,'[1]End - Use Prices'!$A$6:$A$89,0)+MATCH($D131,'[1]End - Use Prices'!$B$9:$B$11,0)-1,MATCH(AW$1,'[1]End - Use Prices'!$C$7:$AL$7,0))</f>
        <v>9.94</v>
      </c>
      <c r="AX131" s="41">
        <f>INDEX('[1]End - Use Prices'!$C$6:$AL$89,MATCH($C131,'[1]End - Use Prices'!$A$6:$A$89,0)+MATCH($D131,'[1]End - Use Prices'!$B$9:$B$11,0)-1,MATCH(AX$1,'[1]End - Use Prices'!$C$7:$AL$7,0))</f>
        <v>10.039999999999999</v>
      </c>
      <c r="AY131" s="41">
        <f>INDEX('[1]End - Use Prices'!$C$6:$AL$89,MATCH($C131,'[1]End - Use Prices'!$A$6:$A$89,0)+MATCH($D131,'[1]End - Use Prices'!$B$9:$B$11,0)-1,MATCH(AY$1,'[1]End - Use Prices'!$C$7:$AL$7,0))</f>
        <v>10.16</v>
      </c>
      <c r="AZ131" s="41">
        <f>INDEX('[1]End - Use Prices'!$C$6:$AL$89,MATCH($C131,'[1]End - Use Prices'!$A$6:$A$89,0)+MATCH($D131,'[1]End - Use Prices'!$B$9:$B$11,0)-1,MATCH(AZ$1,'[1]End - Use Prices'!$C$7:$AL$7,0))</f>
        <v>10.28</v>
      </c>
      <c r="BA131" s="41">
        <f>INDEX('[1]End - Use Prices'!$C$6:$AL$89,MATCH($C131,'[1]End - Use Prices'!$A$6:$A$89,0)+MATCH($D131,'[1]End - Use Prices'!$B$9:$B$11,0)-1,MATCH(BA$1,'[1]End - Use Prices'!$C$7:$AL$7,0))</f>
        <v>10.34</v>
      </c>
      <c r="BB131" s="41">
        <f>INDEX('[1]End - Use Prices'!$C$6:$AL$89,MATCH($C131,'[1]End - Use Prices'!$A$6:$A$89,0)+MATCH($D131,'[1]End - Use Prices'!$B$9:$B$11,0)-1,MATCH(BB$1,'[1]End - Use Prices'!$C$7:$AL$7,0))</f>
        <v>10.41</v>
      </c>
      <c r="BC131" s="41">
        <f>INDEX('[1]End - Use Prices'!$C$6:$AL$89,MATCH($C131,'[1]End - Use Prices'!$A$6:$A$89,0)+MATCH($D131,'[1]End - Use Prices'!$B$9:$B$11,0)-1,MATCH(BC$1,'[1]End - Use Prices'!$C$7:$AL$7,0))</f>
        <v>10.46</v>
      </c>
      <c r="BD131" s="41">
        <f>INDEX('[1]End - Use Prices'!$C$6:$AL$89,MATCH($C131,'[1]End - Use Prices'!$A$6:$A$89,0)+MATCH($D131,'[1]End - Use Prices'!$B$9:$B$11,0)-1,MATCH(BD$1,'[1]End - Use Prices'!$C$7:$AL$7,0))</f>
        <v>10.5</v>
      </c>
      <c r="BE131" s="41">
        <f>INDEX('[1]End - Use Prices'!$C$6:$AL$89,MATCH($C131,'[1]End - Use Prices'!$A$6:$A$89,0)+MATCH($D131,'[1]End - Use Prices'!$B$9:$B$11,0)-1,MATCH(BE$1,'[1]End - Use Prices'!$C$7:$AL$7,0))</f>
        <v>10.54</v>
      </c>
      <c r="BF131" s="41">
        <f>INDEX('[1]End - Use Prices'!$C$6:$AL$89,MATCH($C131,'[1]End - Use Prices'!$A$6:$A$89,0)+MATCH($D131,'[1]End - Use Prices'!$B$9:$B$11,0)-1,MATCH(BF$1,'[1]End - Use Prices'!$C$7:$AL$7,0))</f>
        <v>10.57</v>
      </c>
      <c r="BG131" s="41">
        <f>INDEX('[1]End - Use Prices'!$C$6:$AL$89,MATCH($C131,'[1]End - Use Prices'!$A$6:$A$89,0)+MATCH($D131,'[1]End - Use Prices'!$B$9:$B$11,0)-1,MATCH(BG$1,'[1]End - Use Prices'!$C$7:$AL$7,0))</f>
        <v>10.59</v>
      </c>
      <c r="BR131" s="39"/>
      <c r="BS131" s="39"/>
      <c r="BT131" s="39"/>
      <c r="BU131" s="39"/>
      <c r="BV131" s="39"/>
      <c r="BW131" s="39"/>
      <c r="BX131" s="39"/>
      <c r="BY131" s="39"/>
      <c r="BZ131" s="39"/>
      <c r="CA131" s="39"/>
    </row>
    <row r="132" spans="1:79" x14ac:dyDescent="0.25">
      <c r="A132" s="5"/>
      <c r="B132" s="3"/>
      <c r="C132" s="25" t="s">
        <v>97</v>
      </c>
      <c r="D132" s="25" t="s">
        <v>14</v>
      </c>
      <c r="E132" s="25" t="s">
        <v>313</v>
      </c>
      <c r="F132" s="74" t="s">
        <v>310</v>
      </c>
      <c r="G132" s="54">
        <f t="shared" si="100"/>
        <v>32.04</v>
      </c>
      <c r="H132" s="34">
        <f t="shared" si="118"/>
        <v>32.04</v>
      </c>
      <c r="I132" s="34">
        <f t="shared" si="118"/>
        <v>30.65</v>
      </c>
      <c r="J132" s="34">
        <f t="shared" si="118"/>
        <v>39.43</v>
      </c>
      <c r="K132" s="34">
        <f t="shared" si="118"/>
        <v>41.09</v>
      </c>
      <c r="L132" s="34">
        <f t="shared" si="118"/>
        <v>42.93</v>
      </c>
      <c r="M132" s="34">
        <f t="shared" si="118"/>
        <v>43.05</v>
      </c>
      <c r="N132" s="34">
        <f t="shared" si="118"/>
        <v>43.31</v>
      </c>
      <c r="O132" s="34">
        <f t="shared" si="118"/>
        <v>43.29</v>
      </c>
      <c r="P132" s="54">
        <f t="shared" ref="P132:Q132" si="129">O132</f>
        <v>43.29</v>
      </c>
      <c r="Q132" s="54">
        <f t="shared" si="129"/>
        <v>43.29</v>
      </c>
      <c r="R132" s="38"/>
      <c r="X132" s="41">
        <f>INDEX('[1]End - Use Prices'!$C$6:$AL$89,MATCH($C132,'[1]End - Use Prices'!$A$6:$A$89,0)+MATCH($D132,'[1]End - Use Prices'!$B$9:$B$11,0)-1,MATCH(X$1,'[1]End - Use Prices'!$C$7:$AL$7,0))</f>
        <v>32.04</v>
      </c>
      <c r="Y132" s="41">
        <f>INDEX('[1]End - Use Prices'!$C$6:$AL$89,MATCH($C132,'[1]End - Use Prices'!$A$6:$A$89,0)+MATCH($D132,'[1]End - Use Prices'!$B$9:$B$11,0)-1,MATCH(Y$1,'[1]End - Use Prices'!$C$7:$AL$7,0))</f>
        <v>31.25</v>
      </c>
      <c r="Z132" s="41">
        <f>INDEX('[1]End - Use Prices'!$C$6:$AL$89,MATCH($C132,'[1]End - Use Prices'!$A$6:$A$89,0)+MATCH($D132,'[1]End - Use Prices'!$B$9:$B$11,0)-1,MATCH(Z$1,'[1]End - Use Prices'!$C$7:$AL$7,0))</f>
        <v>32.020000000000003</v>
      </c>
      <c r="AA132" s="41">
        <f>INDEX('[1]End - Use Prices'!$C$6:$AL$89,MATCH($C132,'[1]End - Use Prices'!$A$6:$A$89,0)+MATCH($D132,'[1]End - Use Prices'!$B$9:$B$11,0)-1,MATCH(AA$1,'[1]End - Use Prices'!$C$7:$AL$7,0))</f>
        <v>31.29</v>
      </c>
      <c r="AB132" s="41">
        <f>INDEX('[1]End - Use Prices'!$C$6:$AL$89,MATCH($C132,'[1]End - Use Prices'!$A$6:$A$89,0)+MATCH($D132,'[1]End - Use Prices'!$B$9:$B$11,0)-1,MATCH(AB$1,'[1]End - Use Prices'!$C$7:$AL$7,0))</f>
        <v>30.74</v>
      </c>
      <c r="AC132" s="41">
        <f>INDEX('[1]End - Use Prices'!$C$6:$AL$89,MATCH($C132,'[1]End - Use Prices'!$A$6:$A$89,0)+MATCH($D132,'[1]End - Use Prices'!$B$9:$B$11,0)-1,MATCH(AC$1,'[1]End - Use Prices'!$C$7:$AL$7,0))</f>
        <v>30.65</v>
      </c>
      <c r="AD132" s="41">
        <f>INDEX('[1]End - Use Prices'!$C$6:$AL$89,MATCH($C132,'[1]End - Use Prices'!$A$6:$A$89,0)+MATCH($D132,'[1]End - Use Prices'!$B$9:$B$11,0)-1,MATCH(AD$1,'[1]End - Use Prices'!$C$7:$AL$7,0))</f>
        <v>29.66</v>
      </c>
      <c r="AE132" s="41">
        <f>INDEX('[1]End - Use Prices'!$C$6:$AL$89,MATCH($C132,'[1]End - Use Prices'!$A$6:$A$89,0)+MATCH($D132,'[1]End - Use Prices'!$B$9:$B$11,0)-1,MATCH(AE$1,'[1]End - Use Prices'!$C$7:$AL$7,0))</f>
        <v>33.369999999999997</v>
      </c>
      <c r="AF132" s="41">
        <f>INDEX('[1]End - Use Prices'!$C$6:$AL$89,MATCH($C132,'[1]End - Use Prices'!$A$6:$A$89,0)+MATCH($D132,'[1]End - Use Prices'!$B$9:$B$11,0)-1,MATCH(AF$1,'[1]End - Use Prices'!$C$7:$AL$7,0))</f>
        <v>33.28</v>
      </c>
      <c r="AG132" s="41">
        <f>INDEX('[1]End - Use Prices'!$C$6:$AL$89,MATCH($C132,'[1]End - Use Prices'!$A$6:$A$89,0)+MATCH($D132,'[1]End - Use Prices'!$B$9:$B$11,0)-1,MATCH(AG$1,'[1]End - Use Prices'!$C$7:$AL$7,0))</f>
        <v>39.119999999999997</v>
      </c>
      <c r="AH132" s="41">
        <f>INDEX('[1]End - Use Prices'!$C$6:$AL$89,MATCH($C132,'[1]End - Use Prices'!$A$6:$A$89,0)+MATCH($D132,'[1]End - Use Prices'!$B$9:$B$11,0)-1,MATCH(AH$1,'[1]End - Use Prices'!$C$7:$AL$7,0))</f>
        <v>39.43</v>
      </c>
      <c r="AI132" s="41">
        <f>INDEX('[1]End - Use Prices'!$C$6:$AL$89,MATCH($C132,'[1]End - Use Prices'!$A$6:$A$89,0)+MATCH($D132,'[1]End - Use Prices'!$B$9:$B$11,0)-1,MATCH(AI$1,'[1]End - Use Prices'!$C$7:$AL$7,0))</f>
        <v>39.19</v>
      </c>
      <c r="AJ132" s="41">
        <f>INDEX('[1]End - Use Prices'!$C$6:$AL$89,MATCH($C132,'[1]End - Use Prices'!$A$6:$A$89,0)+MATCH($D132,'[1]End - Use Prices'!$B$9:$B$11,0)-1,MATCH(AJ$1,'[1]End - Use Prices'!$C$7:$AL$7,0))</f>
        <v>39.659999999999997</v>
      </c>
      <c r="AK132" s="41">
        <f>INDEX('[1]End - Use Prices'!$C$6:$AL$89,MATCH($C132,'[1]End - Use Prices'!$A$6:$A$89,0)+MATCH($D132,'[1]End - Use Prices'!$B$9:$B$11,0)-1,MATCH(AK$1,'[1]End - Use Prices'!$C$7:$AL$7,0))</f>
        <v>39.57</v>
      </c>
      <c r="AL132" s="41">
        <f>INDEX('[1]End - Use Prices'!$C$6:$AL$89,MATCH($C132,'[1]End - Use Prices'!$A$6:$A$89,0)+MATCH($D132,'[1]End - Use Prices'!$B$9:$B$11,0)-1,MATCH(AL$1,'[1]End - Use Prices'!$C$7:$AL$7,0))</f>
        <v>39.549999999999997</v>
      </c>
      <c r="AM132" s="41">
        <f>INDEX('[1]End - Use Prices'!$C$6:$AL$89,MATCH($C132,'[1]End - Use Prices'!$A$6:$A$89,0)+MATCH($D132,'[1]End - Use Prices'!$B$9:$B$11,0)-1,MATCH(AM$1,'[1]End - Use Prices'!$C$7:$AL$7,0))</f>
        <v>41.09</v>
      </c>
      <c r="AN132" s="41">
        <f>INDEX('[1]End - Use Prices'!$C$6:$AL$89,MATCH($C132,'[1]End - Use Prices'!$A$6:$A$89,0)+MATCH($D132,'[1]End - Use Prices'!$B$9:$B$11,0)-1,MATCH(AN$1,'[1]End - Use Prices'!$C$7:$AL$7,0))</f>
        <v>41.81</v>
      </c>
      <c r="AO132" s="41">
        <f>INDEX('[1]End - Use Prices'!$C$6:$AL$89,MATCH($C132,'[1]End - Use Prices'!$A$6:$A$89,0)+MATCH($D132,'[1]End - Use Prices'!$B$9:$B$11,0)-1,MATCH(AO$1,'[1]End - Use Prices'!$C$7:$AL$7,0))</f>
        <v>42.49</v>
      </c>
      <c r="AP132" s="41">
        <f>INDEX('[1]End - Use Prices'!$C$6:$AL$89,MATCH($C132,'[1]End - Use Prices'!$A$6:$A$89,0)+MATCH($D132,'[1]End - Use Prices'!$B$9:$B$11,0)-1,MATCH(AP$1,'[1]End - Use Prices'!$C$7:$AL$7,0))</f>
        <v>43.1</v>
      </c>
      <c r="AQ132" s="41">
        <f>INDEX('[1]End - Use Prices'!$C$6:$AL$89,MATCH($C132,'[1]End - Use Prices'!$A$6:$A$89,0)+MATCH($D132,'[1]End - Use Prices'!$B$9:$B$11,0)-1,MATCH(AQ$1,'[1]End - Use Prices'!$C$7:$AL$7,0))</f>
        <v>43</v>
      </c>
      <c r="AR132" s="41">
        <f>INDEX('[1]End - Use Prices'!$C$6:$AL$89,MATCH($C132,'[1]End - Use Prices'!$A$6:$A$89,0)+MATCH($D132,'[1]End - Use Prices'!$B$9:$B$11,0)-1,MATCH(AR$1,'[1]End - Use Prices'!$C$7:$AL$7,0))</f>
        <v>42.93</v>
      </c>
      <c r="AS132" s="41">
        <f>INDEX('[1]End - Use Prices'!$C$6:$AL$89,MATCH($C132,'[1]End - Use Prices'!$A$6:$A$89,0)+MATCH($D132,'[1]End - Use Prices'!$B$9:$B$11,0)-1,MATCH(AS$1,'[1]End - Use Prices'!$C$7:$AL$7,0))</f>
        <v>42.95</v>
      </c>
      <c r="AT132" s="41">
        <f>INDEX('[1]End - Use Prices'!$C$6:$AL$89,MATCH($C132,'[1]End - Use Prices'!$A$6:$A$89,0)+MATCH($D132,'[1]End - Use Prices'!$B$9:$B$11,0)-1,MATCH(AT$1,'[1]End - Use Prices'!$C$7:$AL$7,0))</f>
        <v>42.95</v>
      </c>
      <c r="AU132" s="41">
        <f>INDEX('[1]End - Use Prices'!$C$6:$AL$89,MATCH($C132,'[1]End - Use Prices'!$A$6:$A$89,0)+MATCH($D132,'[1]End - Use Prices'!$B$9:$B$11,0)-1,MATCH(AU$1,'[1]End - Use Prices'!$C$7:$AL$7,0))</f>
        <v>42.97</v>
      </c>
      <c r="AV132" s="41">
        <f>INDEX('[1]End - Use Prices'!$C$6:$AL$89,MATCH($C132,'[1]End - Use Prices'!$A$6:$A$89,0)+MATCH($D132,'[1]End - Use Prices'!$B$9:$B$11,0)-1,MATCH(AV$1,'[1]End - Use Prices'!$C$7:$AL$7,0))</f>
        <v>43.01</v>
      </c>
      <c r="AW132" s="41">
        <f>INDEX('[1]End - Use Prices'!$C$6:$AL$89,MATCH($C132,'[1]End - Use Prices'!$A$6:$A$89,0)+MATCH($D132,'[1]End - Use Prices'!$B$9:$B$11,0)-1,MATCH(AW$1,'[1]End - Use Prices'!$C$7:$AL$7,0))</f>
        <v>43.05</v>
      </c>
      <c r="AX132" s="41">
        <f>INDEX('[1]End - Use Prices'!$C$6:$AL$89,MATCH($C132,'[1]End - Use Prices'!$A$6:$A$89,0)+MATCH($D132,'[1]End - Use Prices'!$B$9:$B$11,0)-1,MATCH(AX$1,'[1]End - Use Prices'!$C$7:$AL$7,0))</f>
        <v>43.1</v>
      </c>
      <c r="AY132" s="41">
        <f>INDEX('[1]End - Use Prices'!$C$6:$AL$89,MATCH($C132,'[1]End - Use Prices'!$A$6:$A$89,0)+MATCH($D132,'[1]End - Use Prices'!$B$9:$B$11,0)-1,MATCH(AY$1,'[1]End - Use Prices'!$C$7:$AL$7,0))</f>
        <v>43.17</v>
      </c>
      <c r="AZ132" s="41">
        <f>INDEX('[1]End - Use Prices'!$C$6:$AL$89,MATCH($C132,'[1]End - Use Prices'!$A$6:$A$89,0)+MATCH($D132,'[1]End - Use Prices'!$B$9:$B$11,0)-1,MATCH(AZ$1,'[1]End - Use Prices'!$C$7:$AL$7,0))</f>
        <v>43.25</v>
      </c>
      <c r="BA132" s="41">
        <f>INDEX('[1]End - Use Prices'!$C$6:$AL$89,MATCH($C132,'[1]End - Use Prices'!$A$6:$A$89,0)+MATCH($D132,'[1]End - Use Prices'!$B$9:$B$11,0)-1,MATCH(BA$1,'[1]End - Use Prices'!$C$7:$AL$7,0))</f>
        <v>43.28</v>
      </c>
      <c r="BB132" s="41">
        <f>INDEX('[1]End - Use Prices'!$C$6:$AL$89,MATCH($C132,'[1]End - Use Prices'!$A$6:$A$89,0)+MATCH($D132,'[1]End - Use Prices'!$B$9:$B$11,0)-1,MATCH(BB$1,'[1]End - Use Prices'!$C$7:$AL$7,0))</f>
        <v>43.31</v>
      </c>
      <c r="BC132" s="41">
        <f>INDEX('[1]End - Use Prices'!$C$6:$AL$89,MATCH($C132,'[1]End - Use Prices'!$A$6:$A$89,0)+MATCH($D132,'[1]End - Use Prices'!$B$9:$B$11,0)-1,MATCH(BC$1,'[1]End - Use Prices'!$C$7:$AL$7,0))</f>
        <v>43.33</v>
      </c>
      <c r="BD132" s="41">
        <f>INDEX('[1]End - Use Prices'!$C$6:$AL$89,MATCH($C132,'[1]End - Use Prices'!$A$6:$A$89,0)+MATCH($D132,'[1]End - Use Prices'!$B$9:$B$11,0)-1,MATCH(BD$1,'[1]End - Use Prices'!$C$7:$AL$7,0))</f>
        <v>43.33</v>
      </c>
      <c r="BE132" s="41">
        <f>INDEX('[1]End - Use Prices'!$C$6:$AL$89,MATCH($C132,'[1]End - Use Prices'!$A$6:$A$89,0)+MATCH($D132,'[1]End - Use Prices'!$B$9:$B$11,0)-1,MATCH(BE$1,'[1]End - Use Prices'!$C$7:$AL$7,0))</f>
        <v>43.31</v>
      </c>
      <c r="BF132" s="41">
        <f>INDEX('[1]End - Use Prices'!$C$6:$AL$89,MATCH($C132,'[1]End - Use Prices'!$A$6:$A$89,0)+MATCH($D132,'[1]End - Use Prices'!$B$9:$B$11,0)-1,MATCH(BF$1,'[1]End - Use Prices'!$C$7:$AL$7,0))</f>
        <v>43.3</v>
      </c>
      <c r="BG132" s="41">
        <f>INDEX('[1]End - Use Prices'!$C$6:$AL$89,MATCH($C132,'[1]End - Use Prices'!$A$6:$A$89,0)+MATCH($D132,'[1]End - Use Prices'!$B$9:$B$11,0)-1,MATCH(BG$1,'[1]End - Use Prices'!$C$7:$AL$7,0))</f>
        <v>43.29</v>
      </c>
      <c r="BR132" s="39"/>
      <c r="BS132" s="39"/>
      <c r="BT132" s="39"/>
      <c r="BU132" s="39"/>
      <c r="BV132" s="39"/>
      <c r="BW132" s="39"/>
      <c r="BX132" s="39"/>
      <c r="BY132" s="39"/>
      <c r="BZ132" s="39"/>
      <c r="CA132" s="39"/>
    </row>
    <row r="133" spans="1:79" x14ac:dyDescent="0.25">
      <c r="A133" s="5"/>
      <c r="B133" s="3"/>
      <c r="C133" s="25" t="s">
        <v>96</v>
      </c>
      <c r="D133" s="25" t="s">
        <v>14</v>
      </c>
      <c r="E133" s="25" t="s">
        <v>313</v>
      </c>
      <c r="F133" s="74" t="s">
        <v>310</v>
      </c>
      <c r="G133" s="54">
        <f t="shared" si="100"/>
        <v>15.71</v>
      </c>
      <c r="H133" s="34">
        <f t="shared" si="118"/>
        <v>15.71</v>
      </c>
      <c r="I133" s="34">
        <f t="shared" si="118"/>
        <v>14.92</v>
      </c>
      <c r="J133" s="34">
        <f t="shared" si="118"/>
        <v>12.25</v>
      </c>
      <c r="K133" s="34">
        <f t="shared" si="118"/>
        <v>9.07</v>
      </c>
      <c r="L133" s="34">
        <f t="shared" si="118"/>
        <v>9.5</v>
      </c>
      <c r="M133" s="34">
        <f t="shared" si="118"/>
        <v>9.94</v>
      </c>
      <c r="N133" s="34">
        <f t="shared" si="118"/>
        <v>10.41</v>
      </c>
      <c r="O133" s="34">
        <f t="shared" si="118"/>
        <v>10.59</v>
      </c>
      <c r="P133" s="54">
        <f t="shared" ref="P133:Q133" si="130">O133</f>
        <v>10.59</v>
      </c>
      <c r="Q133" s="54">
        <f t="shared" si="130"/>
        <v>10.59</v>
      </c>
      <c r="R133" s="38"/>
      <c r="X133" s="41">
        <f>INDEX('[1]End - Use Prices'!$C$6:$AL$89,MATCH($C133,'[1]End - Use Prices'!$A$6:$A$89,0)+MATCH($D133,'[1]End - Use Prices'!$B$9:$B$11,0)-1,MATCH(X$1,'[1]End - Use Prices'!$C$7:$AL$7,0))</f>
        <v>15.71</v>
      </c>
      <c r="Y133" s="41">
        <f>INDEX('[1]End - Use Prices'!$C$6:$AL$89,MATCH($C133,'[1]End - Use Prices'!$A$6:$A$89,0)+MATCH($D133,'[1]End - Use Prices'!$B$9:$B$11,0)-1,MATCH(Y$1,'[1]End - Use Prices'!$C$7:$AL$7,0))</f>
        <v>16.100000000000001</v>
      </c>
      <c r="Z133" s="41">
        <f>INDEX('[1]End - Use Prices'!$C$6:$AL$89,MATCH($C133,'[1]End - Use Prices'!$A$6:$A$89,0)+MATCH($D133,'[1]End - Use Prices'!$B$9:$B$11,0)-1,MATCH(Z$1,'[1]End - Use Prices'!$C$7:$AL$7,0))</f>
        <v>15.74</v>
      </c>
      <c r="AA133" s="41">
        <f>INDEX('[1]End - Use Prices'!$C$6:$AL$89,MATCH($C133,'[1]End - Use Prices'!$A$6:$A$89,0)+MATCH($D133,'[1]End - Use Prices'!$B$9:$B$11,0)-1,MATCH(AA$1,'[1]End - Use Prices'!$C$7:$AL$7,0))</f>
        <v>15.46</v>
      </c>
      <c r="AB133" s="41">
        <f>INDEX('[1]End - Use Prices'!$C$6:$AL$89,MATCH($C133,'[1]End - Use Prices'!$A$6:$A$89,0)+MATCH($D133,'[1]End - Use Prices'!$B$9:$B$11,0)-1,MATCH(AB$1,'[1]End - Use Prices'!$C$7:$AL$7,0))</f>
        <v>15.41</v>
      </c>
      <c r="AC133" s="41">
        <f>INDEX('[1]End - Use Prices'!$C$6:$AL$89,MATCH($C133,'[1]End - Use Prices'!$A$6:$A$89,0)+MATCH($D133,'[1]End - Use Prices'!$B$9:$B$11,0)-1,MATCH(AC$1,'[1]End - Use Prices'!$C$7:$AL$7,0))</f>
        <v>14.92</v>
      </c>
      <c r="AD133" s="41">
        <f>INDEX('[1]End - Use Prices'!$C$6:$AL$89,MATCH($C133,'[1]End - Use Prices'!$A$6:$A$89,0)+MATCH($D133,'[1]End - Use Prices'!$B$9:$B$11,0)-1,MATCH(AD$1,'[1]End - Use Prices'!$C$7:$AL$7,0))</f>
        <v>13.77</v>
      </c>
      <c r="AE133" s="41">
        <f>INDEX('[1]End - Use Prices'!$C$6:$AL$89,MATCH($C133,'[1]End - Use Prices'!$A$6:$A$89,0)+MATCH($D133,'[1]End - Use Prices'!$B$9:$B$11,0)-1,MATCH(AE$1,'[1]End - Use Prices'!$C$7:$AL$7,0))</f>
        <v>12.54</v>
      </c>
      <c r="AF133" s="41">
        <f>INDEX('[1]End - Use Prices'!$C$6:$AL$89,MATCH($C133,'[1]End - Use Prices'!$A$6:$A$89,0)+MATCH($D133,'[1]End - Use Prices'!$B$9:$B$11,0)-1,MATCH(AF$1,'[1]End - Use Prices'!$C$7:$AL$7,0))</f>
        <v>12.18</v>
      </c>
      <c r="AG133" s="41">
        <f>INDEX('[1]End - Use Prices'!$C$6:$AL$89,MATCH($C133,'[1]End - Use Prices'!$A$6:$A$89,0)+MATCH($D133,'[1]End - Use Prices'!$B$9:$B$11,0)-1,MATCH(AG$1,'[1]End - Use Prices'!$C$7:$AL$7,0))</f>
        <v>13.28</v>
      </c>
      <c r="AH133" s="41">
        <f>INDEX('[1]End - Use Prices'!$C$6:$AL$89,MATCH($C133,'[1]End - Use Prices'!$A$6:$A$89,0)+MATCH($D133,'[1]End - Use Prices'!$B$9:$B$11,0)-1,MATCH(AH$1,'[1]End - Use Prices'!$C$7:$AL$7,0))</f>
        <v>12.25</v>
      </c>
      <c r="AI133" s="41">
        <f>INDEX('[1]End - Use Prices'!$C$6:$AL$89,MATCH($C133,'[1]End - Use Prices'!$A$6:$A$89,0)+MATCH($D133,'[1]End - Use Prices'!$B$9:$B$11,0)-1,MATCH(AI$1,'[1]End - Use Prices'!$C$7:$AL$7,0))</f>
        <v>8.43</v>
      </c>
      <c r="AJ133" s="41">
        <f>INDEX('[1]End - Use Prices'!$C$6:$AL$89,MATCH($C133,'[1]End - Use Prices'!$A$6:$A$89,0)+MATCH($D133,'[1]End - Use Prices'!$B$9:$B$11,0)-1,MATCH(AJ$1,'[1]End - Use Prices'!$C$7:$AL$7,0))</f>
        <v>8.91</v>
      </c>
      <c r="AK133" s="41">
        <f>INDEX('[1]End - Use Prices'!$C$6:$AL$89,MATCH($C133,'[1]End - Use Prices'!$A$6:$A$89,0)+MATCH($D133,'[1]End - Use Prices'!$B$9:$B$11,0)-1,MATCH(AK$1,'[1]End - Use Prices'!$C$7:$AL$7,0))</f>
        <v>8.81</v>
      </c>
      <c r="AL133" s="41">
        <f>INDEX('[1]End - Use Prices'!$C$6:$AL$89,MATCH($C133,'[1]End - Use Prices'!$A$6:$A$89,0)+MATCH($D133,'[1]End - Use Prices'!$B$9:$B$11,0)-1,MATCH(AL$1,'[1]End - Use Prices'!$C$7:$AL$7,0))</f>
        <v>8.7899999999999991</v>
      </c>
      <c r="AM133" s="41">
        <f>INDEX('[1]End - Use Prices'!$C$6:$AL$89,MATCH($C133,'[1]End - Use Prices'!$A$6:$A$89,0)+MATCH($D133,'[1]End - Use Prices'!$B$9:$B$11,0)-1,MATCH(AM$1,'[1]End - Use Prices'!$C$7:$AL$7,0))</f>
        <v>9.07</v>
      </c>
      <c r="AN133" s="41">
        <f>INDEX('[1]End - Use Prices'!$C$6:$AL$89,MATCH($C133,'[1]End - Use Prices'!$A$6:$A$89,0)+MATCH($D133,'[1]End - Use Prices'!$B$9:$B$11,0)-1,MATCH(AN$1,'[1]End - Use Prices'!$C$7:$AL$7,0))</f>
        <v>9.2200000000000006</v>
      </c>
      <c r="AO133" s="41">
        <f>INDEX('[1]End - Use Prices'!$C$6:$AL$89,MATCH($C133,'[1]End - Use Prices'!$A$6:$A$89,0)+MATCH($D133,'[1]End - Use Prices'!$B$9:$B$11,0)-1,MATCH(AO$1,'[1]End - Use Prices'!$C$7:$AL$7,0))</f>
        <v>9.36</v>
      </c>
      <c r="AP133" s="41">
        <f>INDEX('[1]End - Use Prices'!$C$6:$AL$89,MATCH($C133,'[1]End - Use Prices'!$A$6:$A$89,0)+MATCH($D133,'[1]End - Use Prices'!$B$9:$B$11,0)-1,MATCH(AP$1,'[1]End - Use Prices'!$C$7:$AL$7,0))</f>
        <v>9.48</v>
      </c>
      <c r="AQ133" s="41">
        <f>INDEX('[1]End - Use Prices'!$C$6:$AL$89,MATCH($C133,'[1]End - Use Prices'!$A$6:$A$89,0)+MATCH($D133,'[1]End - Use Prices'!$B$9:$B$11,0)-1,MATCH(AQ$1,'[1]End - Use Prices'!$C$7:$AL$7,0))</f>
        <v>9.48</v>
      </c>
      <c r="AR133" s="41">
        <f>INDEX('[1]End - Use Prices'!$C$6:$AL$89,MATCH($C133,'[1]End - Use Prices'!$A$6:$A$89,0)+MATCH($D133,'[1]End - Use Prices'!$B$9:$B$11,0)-1,MATCH(AR$1,'[1]End - Use Prices'!$C$7:$AL$7,0))</f>
        <v>9.5</v>
      </c>
      <c r="AS133" s="41">
        <f>INDEX('[1]End - Use Prices'!$C$6:$AL$89,MATCH($C133,'[1]End - Use Prices'!$A$6:$A$89,0)+MATCH($D133,'[1]End - Use Prices'!$B$9:$B$11,0)-1,MATCH(AS$1,'[1]End - Use Prices'!$C$7:$AL$7,0))</f>
        <v>9.58</v>
      </c>
      <c r="AT133" s="41">
        <f>INDEX('[1]End - Use Prices'!$C$6:$AL$89,MATCH($C133,'[1]End - Use Prices'!$A$6:$A$89,0)+MATCH($D133,'[1]End - Use Prices'!$B$9:$B$11,0)-1,MATCH(AT$1,'[1]End - Use Prices'!$C$7:$AL$7,0))</f>
        <v>9.66</v>
      </c>
      <c r="AU133" s="41">
        <f>INDEX('[1]End - Use Prices'!$C$6:$AL$89,MATCH($C133,'[1]End - Use Prices'!$A$6:$A$89,0)+MATCH($D133,'[1]End - Use Prices'!$B$9:$B$11,0)-1,MATCH(AU$1,'[1]End - Use Prices'!$C$7:$AL$7,0))</f>
        <v>9.75</v>
      </c>
      <c r="AV133" s="41">
        <f>INDEX('[1]End - Use Prices'!$C$6:$AL$89,MATCH($C133,'[1]End - Use Prices'!$A$6:$A$89,0)+MATCH($D133,'[1]End - Use Prices'!$B$9:$B$11,0)-1,MATCH(AV$1,'[1]End - Use Prices'!$C$7:$AL$7,0))</f>
        <v>9.85</v>
      </c>
      <c r="AW133" s="41">
        <f>INDEX('[1]End - Use Prices'!$C$6:$AL$89,MATCH($C133,'[1]End - Use Prices'!$A$6:$A$89,0)+MATCH($D133,'[1]End - Use Prices'!$B$9:$B$11,0)-1,MATCH(AW$1,'[1]End - Use Prices'!$C$7:$AL$7,0))</f>
        <v>9.94</v>
      </c>
      <c r="AX133" s="41">
        <f>INDEX('[1]End - Use Prices'!$C$6:$AL$89,MATCH($C133,'[1]End - Use Prices'!$A$6:$A$89,0)+MATCH($D133,'[1]End - Use Prices'!$B$9:$B$11,0)-1,MATCH(AX$1,'[1]End - Use Prices'!$C$7:$AL$7,0))</f>
        <v>10.039999999999999</v>
      </c>
      <c r="AY133" s="41">
        <f>INDEX('[1]End - Use Prices'!$C$6:$AL$89,MATCH($C133,'[1]End - Use Prices'!$A$6:$A$89,0)+MATCH($D133,'[1]End - Use Prices'!$B$9:$B$11,0)-1,MATCH(AY$1,'[1]End - Use Prices'!$C$7:$AL$7,0))</f>
        <v>10.16</v>
      </c>
      <c r="AZ133" s="41">
        <f>INDEX('[1]End - Use Prices'!$C$6:$AL$89,MATCH($C133,'[1]End - Use Prices'!$A$6:$A$89,0)+MATCH($D133,'[1]End - Use Prices'!$B$9:$B$11,0)-1,MATCH(AZ$1,'[1]End - Use Prices'!$C$7:$AL$7,0))</f>
        <v>10.28</v>
      </c>
      <c r="BA133" s="41">
        <f>INDEX('[1]End - Use Prices'!$C$6:$AL$89,MATCH($C133,'[1]End - Use Prices'!$A$6:$A$89,0)+MATCH($D133,'[1]End - Use Prices'!$B$9:$B$11,0)-1,MATCH(BA$1,'[1]End - Use Prices'!$C$7:$AL$7,0))</f>
        <v>10.34</v>
      </c>
      <c r="BB133" s="41">
        <f>INDEX('[1]End - Use Prices'!$C$6:$AL$89,MATCH($C133,'[1]End - Use Prices'!$A$6:$A$89,0)+MATCH($D133,'[1]End - Use Prices'!$B$9:$B$11,0)-1,MATCH(BB$1,'[1]End - Use Prices'!$C$7:$AL$7,0))</f>
        <v>10.41</v>
      </c>
      <c r="BC133" s="41">
        <f>INDEX('[1]End - Use Prices'!$C$6:$AL$89,MATCH($C133,'[1]End - Use Prices'!$A$6:$A$89,0)+MATCH($D133,'[1]End - Use Prices'!$B$9:$B$11,0)-1,MATCH(BC$1,'[1]End - Use Prices'!$C$7:$AL$7,0))</f>
        <v>10.46</v>
      </c>
      <c r="BD133" s="41">
        <f>INDEX('[1]End - Use Prices'!$C$6:$AL$89,MATCH($C133,'[1]End - Use Prices'!$A$6:$A$89,0)+MATCH($D133,'[1]End - Use Prices'!$B$9:$B$11,0)-1,MATCH(BD$1,'[1]End - Use Prices'!$C$7:$AL$7,0))</f>
        <v>10.5</v>
      </c>
      <c r="BE133" s="41">
        <f>INDEX('[1]End - Use Prices'!$C$6:$AL$89,MATCH($C133,'[1]End - Use Prices'!$A$6:$A$89,0)+MATCH($D133,'[1]End - Use Prices'!$B$9:$B$11,0)-1,MATCH(BE$1,'[1]End - Use Prices'!$C$7:$AL$7,0))</f>
        <v>10.54</v>
      </c>
      <c r="BF133" s="41">
        <f>INDEX('[1]End - Use Prices'!$C$6:$AL$89,MATCH($C133,'[1]End - Use Prices'!$A$6:$A$89,0)+MATCH($D133,'[1]End - Use Prices'!$B$9:$B$11,0)-1,MATCH(BF$1,'[1]End - Use Prices'!$C$7:$AL$7,0))</f>
        <v>10.57</v>
      </c>
      <c r="BG133" s="41">
        <f>INDEX('[1]End - Use Prices'!$C$6:$AL$89,MATCH($C133,'[1]End - Use Prices'!$A$6:$A$89,0)+MATCH($D133,'[1]End - Use Prices'!$B$9:$B$11,0)-1,MATCH(BG$1,'[1]End - Use Prices'!$C$7:$AL$7,0))</f>
        <v>10.59</v>
      </c>
      <c r="BR133" s="39"/>
      <c r="BS133" s="39"/>
      <c r="BT133" s="39"/>
      <c r="BU133" s="39"/>
      <c r="BV133" s="39"/>
      <c r="BW133" s="39"/>
      <c r="BX133" s="39"/>
      <c r="BY133" s="39"/>
      <c r="BZ133" s="39"/>
      <c r="CA133" s="39"/>
    </row>
    <row r="134" spans="1:79" x14ac:dyDescent="0.25">
      <c r="A134" s="5"/>
      <c r="B134" s="3"/>
      <c r="C134" s="25" t="s">
        <v>48</v>
      </c>
      <c r="D134" s="25" t="s">
        <v>311</v>
      </c>
      <c r="E134" s="25" t="s">
        <v>313</v>
      </c>
      <c r="F134" s="74" t="s">
        <v>310</v>
      </c>
      <c r="G134" s="54">
        <f t="shared" si="100"/>
        <v>25.71</v>
      </c>
      <c r="H134" s="34">
        <f t="shared" si="118"/>
        <v>25.71</v>
      </c>
      <c r="I134" s="34">
        <f t="shared" si="118"/>
        <v>26.91</v>
      </c>
      <c r="J134" s="34">
        <f t="shared" si="118"/>
        <v>28.23</v>
      </c>
      <c r="K134" s="34">
        <f t="shared" si="118"/>
        <v>38.950000000000003</v>
      </c>
      <c r="L134" s="34">
        <f t="shared" si="118"/>
        <v>34.25</v>
      </c>
      <c r="M134" s="34">
        <f t="shared" si="118"/>
        <v>33.67</v>
      </c>
      <c r="N134" s="34">
        <f t="shared" si="118"/>
        <v>33.49</v>
      </c>
      <c r="O134" s="34">
        <f t="shared" si="118"/>
        <v>33.18</v>
      </c>
      <c r="P134" s="54">
        <f t="shared" ref="P134:Q134" si="131">O134</f>
        <v>33.18</v>
      </c>
      <c r="Q134" s="54">
        <f t="shared" si="131"/>
        <v>33.18</v>
      </c>
      <c r="R134" s="38"/>
      <c r="X134" s="41">
        <f>INDEX('[1]End - Use Prices'!$C$6:$AL$89,MATCH($C134,'[1]End - Use Prices'!$A$6:$A$89,0)+MATCH($D134,'[1]End - Use Prices'!$B$9:$B$11,0)-1,MATCH(X$1,'[1]End - Use Prices'!$C$7:$AL$7,0))</f>
        <v>25.71</v>
      </c>
      <c r="Y134" s="41">
        <f>INDEX('[1]End - Use Prices'!$C$6:$AL$89,MATCH($C134,'[1]End - Use Prices'!$A$6:$A$89,0)+MATCH($D134,'[1]End - Use Prices'!$B$9:$B$11,0)-1,MATCH(Y$1,'[1]End - Use Prices'!$C$7:$AL$7,0))</f>
        <v>26.31</v>
      </c>
      <c r="Z134" s="41">
        <f>INDEX('[1]End - Use Prices'!$C$6:$AL$89,MATCH($C134,'[1]End - Use Prices'!$A$6:$A$89,0)+MATCH($D134,'[1]End - Use Prices'!$B$9:$B$11,0)-1,MATCH(Z$1,'[1]End - Use Prices'!$C$7:$AL$7,0))</f>
        <v>26.43</v>
      </c>
      <c r="AA134" s="41">
        <f>INDEX('[1]End - Use Prices'!$C$6:$AL$89,MATCH($C134,'[1]End - Use Prices'!$A$6:$A$89,0)+MATCH($D134,'[1]End - Use Prices'!$B$9:$B$11,0)-1,MATCH(AA$1,'[1]End - Use Prices'!$C$7:$AL$7,0))</f>
        <v>33.200000000000003</v>
      </c>
      <c r="AB134" s="41">
        <f>INDEX('[1]End - Use Prices'!$C$6:$AL$89,MATCH($C134,'[1]End - Use Prices'!$A$6:$A$89,0)+MATCH($D134,'[1]End - Use Prices'!$B$9:$B$11,0)-1,MATCH(AB$1,'[1]End - Use Prices'!$C$7:$AL$7,0))</f>
        <v>23.79</v>
      </c>
      <c r="AC134" s="41">
        <f>INDEX('[1]End - Use Prices'!$C$6:$AL$89,MATCH($C134,'[1]End - Use Prices'!$A$6:$A$89,0)+MATCH($D134,'[1]End - Use Prices'!$B$9:$B$11,0)-1,MATCH(AC$1,'[1]End - Use Prices'!$C$7:$AL$7,0))</f>
        <v>26.91</v>
      </c>
      <c r="AD134" s="41">
        <f>INDEX('[1]End - Use Prices'!$C$6:$AL$89,MATCH($C134,'[1]End - Use Prices'!$A$6:$A$89,0)+MATCH($D134,'[1]End - Use Prices'!$B$9:$B$11,0)-1,MATCH(AD$1,'[1]End - Use Prices'!$C$7:$AL$7,0))</f>
        <v>32.58</v>
      </c>
      <c r="AE134" s="41">
        <f>INDEX('[1]End - Use Prices'!$C$6:$AL$89,MATCH($C134,'[1]End - Use Prices'!$A$6:$A$89,0)+MATCH($D134,'[1]End - Use Prices'!$B$9:$B$11,0)-1,MATCH(AE$1,'[1]End - Use Prices'!$C$7:$AL$7,0))</f>
        <v>33.74</v>
      </c>
      <c r="AF134" s="41">
        <f>INDEX('[1]End - Use Prices'!$C$6:$AL$89,MATCH($C134,'[1]End - Use Prices'!$A$6:$A$89,0)+MATCH($D134,'[1]End - Use Prices'!$B$9:$B$11,0)-1,MATCH(AF$1,'[1]End - Use Prices'!$C$7:$AL$7,0))</f>
        <v>33.31</v>
      </c>
      <c r="AG134" s="41">
        <f>INDEX('[1]End - Use Prices'!$C$6:$AL$89,MATCH($C134,'[1]End - Use Prices'!$A$6:$A$89,0)+MATCH($D134,'[1]End - Use Prices'!$B$9:$B$11,0)-1,MATCH(AG$1,'[1]End - Use Prices'!$C$7:$AL$7,0))</f>
        <v>34.46</v>
      </c>
      <c r="AH134" s="41">
        <f>INDEX('[1]End - Use Prices'!$C$6:$AL$89,MATCH($C134,'[1]End - Use Prices'!$A$6:$A$89,0)+MATCH($D134,'[1]End - Use Prices'!$B$9:$B$11,0)-1,MATCH(AH$1,'[1]End - Use Prices'!$C$7:$AL$7,0))</f>
        <v>28.23</v>
      </c>
      <c r="AI134" s="41">
        <f>INDEX('[1]End - Use Prices'!$C$6:$AL$89,MATCH($C134,'[1]End - Use Prices'!$A$6:$A$89,0)+MATCH($D134,'[1]End - Use Prices'!$B$9:$B$11,0)-1,MATCH(AI$1,'[1]End - Use Prices'!$C$7:$AL$7,0))</f>
        <v>24.61</v>
      </c>
      <c r="AJ134" s="41">
        <f>INDEX('[1]End - Use Prices'!$C$6:$AL$89,MATCH($C134,'[1]End - Use Prices'!$A$6:$A$89,0)+MATCH($D134,'[1]End - Use Prices'!$B$9:$B$11,0)-1,MATCH(AJ$1,'[1]End - Use Prices'!$C$7:$AL$7,0))</f>
        <v>27.26</v>
      </c>
      <c r="AK134" s="41">
        <f>INDEX('[1]End - Use Prices'!$C$6:$AL$89,MATCH($C134,'[1]End - Use Prices'!$A$6:$A$89,0)+MATCH($D134,'[1]End - Use Prices'!$B$9:$B$11,0)-1,MATCH(AK$1,'[1]End - Use Prices'!$C$7:$AL$7,0))</f>
        <v>31.59</v>
      </c>
      <c r="AL134" s="41">
        <f>INDEX('[1]End - Use Prices'!$C$6:$AL$89,MATCH($C134,'[1]End - Use Prices'!$A$6:$A$89,0)+MATCH($D134,'[1]End - Use Prices'!$B$9:$B$11,0)-1,MATCH(AL$1,'[1]End - Use Prices'!$C$7:$AL$7,0))</f>
        <v>35.08</v>
      </c>
      <c r="AM134" s="41">
        <f>INDEX('[1]End - Use Prices'!$C$6:$AL$89,MATCH($C134,'[1]End - Use Prices'!$A$6:$A$89,0)+MATCH($D134,'[1]End - Use Prices'!$B$9:$B$11,0)-1,MATCH(AM$1,'[1]End - Use Prices'!$C$7:$AL$7,0))</f>
        <v>38.950000000000003</v>
      </c>
      <c r="AN134" s="41">
        <f>INDEX('[1]End - Use Prices'!$C$6:$AL$89,MATCH($C134,'[1]End - Use Prices'!$A$6:$A$89,0)+MATCH($D134,'[1]End - Use Prices'!$B$9:$B$11,0)-1,MATCH(AN$1,'[1]End - Use Prices'!$C$7:$AL$7,0))</f>
        <v>36.01</v>
      </c>
      <c r="AO134" s="41">
        <f>INDEX('[1]End - Use Prices'!$C$6:$AL$89,MATCH($C134,'[1]End - Use Prices'!$A$6:$A$89,0)+MATCH($D134,'[1]End - Use Prices'!$B$9:$B$11,0)-1,MATCH(AO$1,'[1]End - Use Prices'!$C$7:$AL$7,0))</f>
        <v>34.17</v>
      </c>
      <c r="AP134" s="41">
        <f>INDEX('[1]End - Use Prices'!$C$6:$AL$89,MATCH($C134,'[1]End - Use Prices'!$A$6:$A$89,0)+MATCH($D134,'[1]End - Use Prices'!$B$9:$B$11,0)-1,MATCH(AP$1,'[1]End - Use Prices'!$C$7:$AL$7,0))</f>
        <v>34.06</v>
      </c>
      <c r="AQ134" s="41">
        <f>INDEX('[1]End - Use Prices'!$C$6:$AL$89,MATCH($C134,'[1]End - Use Prices'!$A$6:$A$89,0)+MATCH($D134,'[1]End - Use Prices'!$B$9:$B$11,0)-1,MATCH(AQ$1,'[1]End - Use Prices'!$C$7:$AL$7,0))</f>
        <v>34.04</v>
      </c>
      <c r="AR134" s="41">
        <f>INDEX('[1]End - Use Prices'!$C$6:$AL$89,MATCH($C134,'[1]End - Use Prices'!$A$6:$A$89,0)+MATCH($D134,'[1]End - Use Prices'!$B$9:$B$11,0)-1,MATCH(AR$1,'[1]End - Use Prices'!$C$7:$AL$7,0))</f>
        <v>34.25</v>
      </c>
      <c r="AS134" s="41">
        <f>INDEX('[1]End - Use Prices'!$C$6:$AL$89,MATCH($C134,'[1]End - Use Prices'!$A$6:$A$89,0)+MATCH($D134,'[1]End - Use Prices'!$B$9:$B$11,0)-1,MATCH(AS$1,'[1]End - Use Prices'!$C$7:$AL$7,0))</f>
        <v>34.39</v>
      </c>
      <c r="AT134" s="41">
        <f>INDEX('[1]End - Use Prices'!$C$6:$AL$89,MATCH($C134,'[1]End - Use Prices'!$A$6:$A$89,0)+MATCH($D134,'[1]End - Use Prices'!$B$9:$B$11,0)-1,MATCH(AT$1,'[1]End - Use Prices'!$C$7:$AL$7,0))</f>
        <v>34.22</v>
      </c>
      <c r="AU134" s="41">
        <f>INDEX('[1]End - Use Prices'!$C$6:$AL$89,MATCH($C134,'[1]End - Use Prices'!$A$6:$A$89,0)+MATCH($D134,'[1]End - Use Prices'!$B$9:$B$11,0)-1,MATCH(AU$1,'[1]End - Use Prices'!$C$7:$AL$7,0))</f>
        <v>34.020000000000003</v>
      </c>
      <c r="AV134" s="41">
        <f>INDEX('[1]End - Use Prices'!$C$6:$AL$89,MATCH($C134,'[1]End - Use Prices'!$A$6:$A$89,0)+MATCH($D134,'[1]End - Use Prices'!$B$9:$B$11,0)-1,MATCH(AV$1,'[1]End - Use Prices'!$C$7:$AL$7,0))</f>
        <v>33.840000000000003</v>
      </c>
      <c r="AW134" s="41">
        <f>INDEX('[1]End - Use Prices'!$C$6:$AL$89,MATCH($C134,'[1]End - Use Prices'!$A$6:$A$89,0)+MATCH($D134,'[1]End - Use Prices'!$B$9:$B$11,0)-1,MATCH(AW$1,'[1]End - Use Prices'!$C$7:$AL$7,0))</f>
        <v>33.67</v>
      </c>
      <c r="AX134" s="41">
        <f>INDEX('[1]End - Use Prices'!$C$6:$AL$89,MATCH($C134,'[1]End - Use Prices'!$A$6:$A$89,0)+MATCH($D134,'[1]End - Use Prices'!$B$9:$B$11,0)-1,MATCH(AX$1,'[1]End - Use Prices'!$C$7:$AL$7,0))</f>
        <v>33.58</v>
      </c>
      <c r="AY134" s="41">
        <f>INDEX('[1]End - Use Prices'!$C$6:$AL$89,MATCH($C134,'[1]End - Use Prices'!$A$6:$A$89,0)+MATCH($D134,'[1]End - Use Prices'!$B$9:$B$11,0)-1,MATCH(AY$1,'[1]End - Use Prices'!$C$7:$AL$7,0))</f>
        <v>33.51</v>
      </c>
      <c r="AZ134" s="41">
        <f>INDEX('[1]End - Use Prices'!$C$6:$AL$89,MATCH($C134,'[1]End - Use Prices'!$A$6:$A$89,0)+MATCH($D134,'[1]End - Use Prices'!$B$9:$B$11,0)-1,MATCH(AZ$1,'[1]End - Use Prices'!$C$7:$AL$7,0))</f>
        <v>33.49</v>
      </c>
      <c r="BA134" s="41">
        <f>INDEX('[1]End - Use Prices'!$C$6:$AL$89,MATCH($C134,'[1]End - Use Prices'!$A$6:$A$89,0)+MATCH($D134,'[1]End - Use Prices'!$B$9:$B$11,0)-1,MATCH(BA$1,'[1]End - Use Prices'!$C$7:$AL$7,0))</f>
        <v>33.5</v>
      </c>
      <c r="BB134" s="41">
        <f>INDEX('[1]End - Use Prices'!$C$6:$AL$89,MATCH($C134,'[1]End - Use Prices'!$A$6:$A$89,0)+MATCH($D134,'[1]End - Use Prices'!$B$9:$B$11,0)-1,MATCH(BB$1,'[1]End - Use Prices'!$C$7:$AL$7,0))</f>
        <v>33.49</v>
      </c>
      <c r="BC134" s="41">
        <f>INDEX('[1]End - Use Prices'!$C$6:$AL$89,MATCH($C134,'[1]End - Use Prices'!$A$6:$A$89,0)+MATCH($D134,'[1]End - Use Prices'!$B$9:$B$11,0)-1,MATCH(BC$1,'[1]End - Use Prices'!$C$7:$AL$7,0))</f>
        <v>33.46</v>
      </c>
      <c r="BD134" s="41">
        <f>INDEX('[1]End - Use Prices'!$C$6:$AL$89,MATCH($C134,'[1]End - Use Prices'!$A$6:$A$89,0)+MATCH($D134,'[1]End - Use Prices'!$B$9:$B$11,0)-1,MATCH(BD$1,'[1]End - Use Prices'!$C$7:$AL$7,0))</f>
        <v>33.42</v>
      </c>
      <c r="BE134" s="41">
        <f>INDEX('[1]End - Use Prices'!$C$6:$AL$89,MATCH($C134,'[1]End - Use Prices'!$A$6:$A$89,0)+MATCH($D134,'[1]End - Use Prices'!$B$9:$B$11,0)-1,MATCH(BE$1,'[1]End - Use Prices'!$C$7:$AL$7,0))</f>
        <v>33.340000000000003</v>
      </c>
      <c r="BF134" s="41">
        <f>INDEX('[1]End - Use Prices'!$C$6:$AL$89,MATCH($C134,'[1]End - Use Prices'!$A$6:$A$89,0)+MATCH($D134,'[1]End - Use Prices'!$B$9:$B$11,0)-1,MATCH(BF$1,'[1]End - Use Prices'!$C$7:$AL$7,0))</f>
        <v>33.270000000000003</v>
      </c>
      <c r="BG134" s="41">
        <f>INDEX('[1]End - Use Prices'!$C$6:$AL$89,MATCH($C134,'[1]End - Use Prices'!$A$6:$A$89,0)+MATCH($D134,'[1]End - Use Prices'!$B$9:$B$11,0)-1,MATCH(BG$1,'[1]End - Use Prices'!$C$7:$AL$7,0))</f>
        <v>33.18</v>
      </c>
      <c r="BR134" s="39"/>
      <c r="BS134" s="39"/>
      <c r="BT134" s="39"/>
      <c r="BU134" s="39"/>
      <c r="BV134" s="39"/>
      <c r="BW134" s="39"/>
      <c r="BX134" s="39"/>
      <c r="BY134" s="39"/>
      <c r="BZ134" s="39"/>
      <c r="CA134" s="39"/>
    </row>
    <row r="135" spans="1:79" x14ac:dyDescent="0.25">
      <c r="A135" s="5"/>
      <c r="B135" s="3"/>
      <c r="C135" s="25" t="s">
        <v>87</v>
      </c>
      <c r="D135" s="25" t="s">
        <v>311</v>
      </c>
      <c r="E135" s="25" t="s">
        <v>313</v>
      </c>
      <c r="F135" s="74" t="s">
        <v>310</v>
      </c>
      <c r="G135" s="54">
        <f t="shared" si="100"/>
        <v>25.86</v>
      </c>
      <c r="H135" s="34">
        <f t="shared" si="118"/>
        <v>25.86</v>
      </c>
      <c r="I135" s="34">
        <f t="shared" si="118"/>
        <v>26.25</v>
      </c>
      <c r="J135" s="34">
        <f t="shared" si="118"/>
        <v>22.78</v>
      </c>
      <c r="K135" s="34">
        <f t="shared" si="118"/>
        <v>35.65</v>
      </c>
      <c r="L135" s="34">
        <f t="shared" si="118"/>
        <v>31.1</v>
      </c>
      <c r="M135" s="34">
        <f t="shared" si="118"/>
        <v>30.26</v>
      </c>
      <c r="N135" s="34">
        <f t="shared" si="118"/>
        <v>30.03</v>
      </c>
      <c r="O135" s="34">
        <f t="shared" si="118"/>
        <v>29.65</v>
      </c>
      <c r="P135" s="54">
        <f t="shared" ref="P135:Q135" si="132">O135</f>
        <v>29.65</v>
      </c>
      <c r="Q135" s="54">
        <f t="shared" si="132"/>
        <v>29.65</v>
      </c>
      <c r="R135" s="38"/>
      <c r="X135" s="41">
        <f>INDEX('[1]End - Use Prices'!$C$6:$AL$89,MATCH($C135,'[1]End - Use Prices'!$A$6:$A$89,0)+MATCH($D135,'[1]End - Use Prices'!$B$9:$B$11,0)-1,MATCH(X$1,'[1]End - Use Prices'!$C$7:$AL$7,0))</f>
        <v>25.86</v>
      </c>
      <c r="Y135" s="41">
        <f>INDEX('[1]End - Use Prices'!$C$6:$AL$89,MATCH($C135,'[1]End - Use Prices'!$A$6:$A$89,0)+MATCH($D135,'[1]End - Use Prices'!$B$9:$B$11,0)-1,MATCH(Y$1,'[1]End - Use Prices'!$C$7:$AL$7,0))</f>
        <v>27.18</v>
      </c>
      <c r="Z135" s="41">
        <f>INDEX('[1]End - Use Prices'!$C$6:$AL$89,MATCH($C135,'[1]End - Use Prices'!$A$6:$A$89,0)+MATCH($D135,'[1]End - Use Prices'!$B$9:$B$11,0)-1,MATCH(Z$1,'[1]End - Use Prices'!$C$7:$AL$7,0))</f>
        <v>27.19</v>
      </c>
      <c r="AA135" s="41">
        <f>INDEX('[1]End - Use Prices'!$C$6:$AL$89,MATCH($C135,'[1]End - Use Prices'!$A$6:$A$89,0)+MATCH($D135,'[1]End - Use Prices'!$B$9:$B$11,0)-1,MATCH(AA$1,'[1]End - Use Prices'!$C$7:$AL$7,0))</f>
        <v>32.65</v>
      </c>
      <c r="AB135" s="41">
        <f>INDEX('[1]End - Use Prices'!$C$6:$AL$89,MATCH($C135,'[1]End - Use Prices'!$A$6:$A$89,0)+MATCH($D135,'[1]End - Use Prices'!$B$9:$B$11,0)-1,MATCH(AB$1,'[1]End - Use Prices'!$C$7:$AL$7,0))</f>
        <v>22.7</v>
      </c>
      <c r="AC135" s="41">
        <f>INDEX('[1]End - Use Prices'!$C$6:$AL$89,MATCH($C135,'[1]End - Use Prices'!$A$6:$A$89,0)+MATCH($D135,'[1]End - Use Prices'!$B$9:$B$11,0)-1,MATCH(AC$1,'[1]End - Use Prices'!$C$7:$AL$7,0))</f>
        <v>26.25</v>
      </c>
      <c r="AD135" s="41">
        <f>INDEX('[1]End - Use Prices'!$C$6:$AL$89,MATCH($C135,'[1]End - Use Prices'!$A$6:$A$89,0)+MATCH($D135,'[1]End - Use Prices'!$B$9:$B$11,0)-1,MATCH(AD$1,'[1]End - Use Prices'!$C$7:$AL$7,0))</f>
        <v>31.74</v>
      </c>
      <c r="AE135" s="41">
        <f>INDEX('[1]End - Use Prices'!$C$6:$AL$89,MATCH($C135,'[1]End - Use Prices'!$A$6:$A$89,0)+MATCH($D135,'[1]End - Use Prices'!$B$9:$B$11,0)-1,MATCH(AE$1,'[1]End - Use Prices'!$C$7:$AL$7,0))</f>
        <v>32.58</v>
      </c>
      <c r="AF135" s="41">
        <f>INDEX('[1]End - Use Prices'!$C$6:$AL$89,MATCH($C135,'[1]End - Use Prices'!$A$6:$A$89,0)+MATCH($D135,'[1]End - Use Prices'!$B$9:$B$11,0)-1,MATCH(AF$1,'[1]End - Use Prices'!$C$7:$AL$7,0))</f>
        <v>29.61</v>
      </c>
      <c r="AG135" s="41">
        <f>INDEX('[1]End - Use Prices'!$C$6:$AL$89,MATCH($C135,'[1]End - Use Prices'!$A$6:$A$89,0)+MATCH($D135,'[1]End - Use Prices'!$B$9:$B$11,0)-1,MATCH(AG$1,'[1]End - Use Prices'!$C$7:$AL$7,0))</f>
        <v>29.41</v>
      </c>
      <c r="AH135" s="41">
        <f>INDEX('[1]End - Use Prices'!$C$6:$AL$89,MATCH($C135,'[1]End - Use Prices'!$A$6:$A$89,0)+MATCH($D135,'[1]End - Use Prices'!$B$9:$B$11,0)-1,MATCH(AH$1,'[1]End - Use Prices'!$C$7:$AL$7,0))</f>
        <v>22.78</v>
      </c>
      <c r="AI135" s="41">
        <f>INDEX('[1]End - Use Prices'!$C$6:$AL$89,MATCH($C135,'[1]End - Use Prices'!$A$6:$A$89,0)+MATCH($D135,'[1]End - Use Prices'!$B$9:$B$11,0)-1,MATCH(AI$1,'[1]End - Use Prices'!$C$7:$AL$7,0))</f>
        <v>21.05</v>
      </c>
      <c r="AJ135" s="41">
        <f>INDEX('[1]End - Use Prices'!$C$6:$AL$89,MATCH($C135,'[1]End - Use Prices'!$A$6:$A$89,0)+MATCH($D135,'[1]End - Use Prices'!$B$9:$B$11,0)-1,MATCH(AJ$1,'[1]End - Use Prices'!$C$7:$AL$7,0))</f>
        <v>24</v>
      </c>
      <c r="AK135" s="41">
        <f>INDEX('[1]End - Use Prices'!$C$6:$AL$89,MATCH($C135,'[1]End - Use Prices'!$A$6:$A$89,0)+MATCH($D135,'[1]End - Use Prices'!$B$9:$B$11,0)-1,MATCH(AK$1,'[1]End - Use Prices'!$C$7:$AL$7,0))</f>
        <v>27.31</v>
      </c>
      <c r="AL135" s="41">
        <f>INDEX('[1]End - Use Prices'!$C$6:$AL$89,MATCH($C135,'[1]End - Use Prices'!$A$6:$A$89,0)+MATCH($D135,'[1]End - Use Prices'!$B$9:$B$11,0)-1,MATCH(AL$1,'[1]End - Use Prices'!$C$7:$AL$7,0))</f>
        <v>30.69</v>
      </c>
      <c r="AM135" s="41">
        <f>INDEX('[1]End - Use Prices'!$C$6:$AL$89,MATCH($C135,'[1]End - Use Prices'!$A$6:$A$89,0)+MATCH($D135,'[1]End - Use Prices'!$B$9:$B$11,0)-1,MATCH(AM$1,'[1]End - Use Prices'!$C$7:$AL$7,0))</f>
        <v>35.65</v>
      </c>
      <c r="AN135" s="41">
        <f>INDEX('[1]End - Use Prices'!$C$6:$AL$89,MATCH($C135,'[1]End - Use Prices'!$A$6:$A$89,0)+MATCH($D135,'[1]End - Use Prices'!$B$9:$B$11,0)-1,MATCH(AN$1,'[1]End - Use Prices'!$C$7:$AL$7,0))</f>
        <v>32.92</v>
      </c>
      <c r="AO135" s="41">
        <f>INDEX('[1]End - Use Prices'!$C$6:$AL$89,MATCH($C135,'[1]End - Use Prices'!$A$6:$A$89,0)+MATCH($D135,'[1]End - Use Prices'!$B$9:$B$11,0)-1,MATCH(AO$1,'[1]End - Use Prices'!$C$7:$AL$7,0))</f>
        <v>31.27</v>
      </c>
      <c r="AP135" s="41">
        <f>INDEX('[1]End - Use Prices'!$C$6:$AL$89,MATCH($C135,'[1]End - Use Prices'!$A$6:$A$89,0)+MATCH($D135,'[1]End - Use Prices'!$B$9:$B$11,0)-1,MATCH(AP$1,'[1]End - Use Prices'!$C$7:$AL$7,0))</f>
        <v>31.4</v>
      </c>
      <c r="AQ135" s="41">
        <f>INDEX('[1]End - Use Prices'!$C$6:$AL$89,MATCH($C135,'[1]End - Use Prices'!$A$6:$A$89,0)+MATCH($D135,'[1]End - Use Prices'!$B$9:$B$11,0)-1,MATCH(AQ$1,'[1]End - Use Prices'!$C$7:$AL$7,0))</f>
        <v>31.13</v>
      </c>
      <c r="AR135" s="41">
        <f>INDEX('[1]End - Use Prices'!$C$6:$AL$89,MATCH($C135,'[1]End - Use Prices'!$A$6:$A$89,0)+MATCH($D135,'[1]End - Use Prices'!$B$9:$B$11,0)-1,MATCH(AR$1,'[1]End - Use Prices'!$C$7:$AL$7,0))</f>
        <v>31.1</v>
      </c>
      <c r="AS135" s="41">
        <f>INDEX('[1]End - Use Prices'!$C$6:$AL$89,MATCH($C135,'[1]End - Use Prices'!$A$6:$A$89,0)+MATCH($D135,'[1]End - Use Prices'!$B$9:$B$11,0)-1,MATCH(AS$1,'[1]End - Use Prices'!$C$7:$AL$7,0))</f>
        <v>31.02</v>
      </c>
      <c r="AT135" s="41">
        <f>INDEX('[1]End - Use Prices'!$C$6:$AL$89,MATCH($C135,'[1]End - Use Prices'!$A$6:$A$89,0)+MATCH($D135,'[1]End - Use Prices'!$B$9:$B$11,0)-1,MATCH(AT$1,'[1]End - Use Prices'!$C$7:$AL$7,0))</f>
        <v>30.85</v>
      </c>
      <c r="AU135" s="41">
        <f>INDEX('[1]End - Use Prices'!$C$6:$AL$89,MATCH($C135,'[1]End - Use Prices'!$A$6:$A$89,0)+MATCH($D135,'[1]End - Use Prices'!$B$9:$B$11,0)-1,MATCH(AU$1,'[1]End - Use Prices'!$C$7:$AL$7,0))</f>
        <v>30.63</v>
      </c>
      <c r="AV135" s="41">
        <f>INDEX('[1]End - Use Prices'!$C$6:$AL$89,MATCH($C135,'[1]End - Use Prices'!$A$6:$A$89,0)+MATCH($D135,'[1]End - Use Prices'!$B$9:$B$11,0)-1,MATCH(AV$1,'[1]End - Use Prices'!$C$7:$AL$7,0))</f>
        <v>30.45</v>
      </c>
      <c r="AW135" s="41">
        <f>INDEX('[1]End - Use Prices'!$C$6:$AL$89,MATCH($C135,'[1]End - Use Prices'!$A$6:$A$89,0)+MATCH($D135,'[1]End - Use Prices'!$B$9:$B$11,0)-1,MATCH(AW$1,'[1]End - Use Prices'!$C$7:$AL$7,0))</f>
        <v>30.26</v>
      </c>
      <c r="AX135" s="41">
        <f>INDEX('[1]End - Use Prices'!$C$6:$AL$89,MATCH($C135,'[1]End - Use Prices'!$A$6:$A$89,0)+MATCH($D135,'[1]End - Use Prices'!$B$9:$B$11,0)-1,MATCH(AX$1,'[1]End - Use Prices'!$C$7:$AL$7,0))</f>
        <v>30.15</v>
      </c>
      <c r="AY135" s="41">
        <f>INDEX('[1]End - Use Prices'!$C$6:$AL$89,MATCH($C135,'[1]End - Use Prices'!$A$6:$A$89,0)+MATCH($D135,'[1]End - Use Prices'!$B$9:$B$11,0)-1,MATCH(AY$1,'[1]End - Use Prices'!$C$7:$AL$7,0))</f>
        <v>30.08</v>
      </c>
      <c r="AZ135" s="41">
        <f>INDEX('[1]End - Use Prices'!$C$6:$AL$89,MATCH($C135,'[1]End - Use Prices'!$A$6:$A$89,0)+MATCH($D135,'[1]End - Use Prices'!$B$9:$B$11,0)-1,MATCH(AZ$1,'[1]End - Use Prices'!$C$7:$AL$7,0))</f>
        <v>30.05</v>
      </c>
      <c r="BA135" s="41">
        <f>INDEX('[1]End - Use Prices'!$C$6:$AL$89,MATCH($C135,'[1]End - Use Prices'!$A$6:$A$89,0)+MATCH($D135,'[1]End - Use Prices'!$B$9:$B$11,0)-1,MATCH(BA$1,'[1]End - Use Prices'!$C$7:$AL$7,0))</f>
        <v>30.05</v>
      </c>
      <c r="BB135" s="41">
        <f>INDEX('[1]End - Use Prices'!$C$6:$AL$89,MATCH($C135,'[1]End - Use Prices'!$A$6:$A$89,0)+MATCH($D135,'[1]End - Use Prices'!$B$9:$B$11,0)-1,MATCH(BB$1,'[1]End - Use Prices'!$C$7:$AL$7,0))</f>
        <v>30.03</v>
      </c>
      <c r="BC135" s="41">
        <f>INDEX('[1]End - Use Prices'!$C$6:$AL$89,MATCH($C135,'[1]End - Use Prices'!$A$6:$A$89,0)+MATCH($D135,'[1]End - Use Prices'!$B$9:$B$11,0)-1,MATCH(BC$1,'[1]End - Use Prices'!$C$7:$AL$7,0))</f>
        <v>29.99</v>
      </c>
      <c r="BD135" s="41">
        <f>INDEX('[1]End - Use Prices'!$C$6:$AL$89,MATCH($C135,'[1]End - Use Prices'!$A$6:$A$89,0)+MATCH($D135,'[1]End - Use Prices'!$B$9:$B$11,0)-1,MATCH(BD$1,'[1]End - Use Prices'!$C$7:$AL$7,0))</f>
        <v>29.93</v>
      </c>
      <c r="BE135" s="41">
        <f>INDEX('[1]End - Use Prices'!$C$6:$AL$89,MATCH($C135,'[1]End - Use Prices'!$A$6:$A$89,0)+MATCH($D135,'[1]End - Use Prices'!$B$9:$B$11,0)-1,MATCH(BE$1,'[1]End - Use Prices'!$C$7:$AL$7,0))</f>
        <v>29.84</v>
      </c>
      <c r="BF135" s="41">
        <f>INDEX('[1]End - Use Prices'!$C$6:$AL$89,MATCH($C135,'[1]End - Use Prices'!$A$6:$A$89,0)+MATCH($D135,'[1]End - Use Prices'!$B$9:$B$11,0)-1,MATCH(BF$1,'[1]End - Use Prices'!$C$7:$AL$7,0))</f>
        <v>29.75</v>
      </c>
      <c r="BG135" s="41">
        <f>INDEX('[1]End - Use Prices'!$C$6:$AL$89,MATCH($C135,'[1]End - Use Prices'!$A$6:$A$89,0)+MATCH($D135,'[1]End - Use Prices'!$B$9:$B$11,0)-1,MATCH(BG$1,'[1]End - Use Prices'!$C$7:$AL$7,0))</f>
        <v>29.65</v>
      </c>
      <c r="BR135" s="39"/>
      <c r="BS135" s="39"/>
      <c r="BT135" s="39"/>
      <c r="BU135" s="39"/>
      <c r="BV135" s="39"/>
      <c r="BW135" s="39"/>
      <c r="BX135" s="39"/>
      <c r="BY135" s="39"/>
      <c r="BZ135" s="39"/>
      <c r="CA135" s="39"/>
    </row>
    <row r="136" spans="1:79" x14ac:dyDescent="0.25">
      <c r="A136" s="5"/>
      <c r="B136" s="3"/>
      <c r="C136" s="25" t="s">
        <v>88</v>
      </c>
      <c r="D136" s="25" t="s">
        <v>311</v>
      </c>
      <c r="E136" s="25" t="s">
        <v>313</v>
      </c>
      <c r="F136" s="74" t="s">
        <v>310</v>
      </c>
      <c r="G136" s="54">
        <f t="shared" si="100"/>
        <v>24.29</v>
      </c>
      <c r="H136" s="34">
        <f t="shared" si="118"/>
        <v>24.29</v>
      </c>
      <c r="I136" s="34">
        <f t="shared" si="118"/>
        <v>24.71</v>
      </c>
      <c r="J136" s="34">
        <f t="shared" si="118"/>
        <v>24.09</v>
      </c>
      <c r="K136" s="34">
        <f t="shared" si="118"/>
        <v>34.39</v>
      </c>
      <c r="L136" s="34">
        <f t="shared" si="118"/>
        <v>30.37</v>
      </c>
      <c r="M136" s="34">
        <f t="shared" si="118"/>
        <v>29.56</v>
      </c>
      <c r="N136" s="34">
        <f t="shared" si="118"/>
        <v>29.32</v>
      </c>
      <c r="O136" s="34">
        <f t="shared" si="118"/>
        <v>28.95</v>
      </c>
      <c r="P136" s="54">
        <f t="shared" ref="P136:Q136" si="133">O136</f>
        <v>28.95</v>
      </c>
      <c r="Q136" s="54">
        <f t="shared" si="133"/>
        <v>28.95</v>
      </c>
      <c r="R136" s="38"/>
      <c r="X136" s="41">
        <f>INDEX('[1]End - Use Prices'!$C$6:$AL$89,MATCH($C136,'[1]End - Use Prices'!$A$6:$A$89,0)+MATCH($D136,'[1]End - Use Prices'!$B$9:$B$11,0)-1,MATCH(X$1,'[1]End - Use Prices'!$C$7:$AL$7,0))</f>
        <v>24.29</v>
      </c>
      <c r="Y136" s="41">
        <f>INDEX('[1]End - Use Prices'!$C$6:$AL$89,MATCH($C136,'[1]End - Use Prices'!$A$6:$A$89,0)+MATCH($D136,'[1]End - Use Prices'!$B$9:$B$11,0)-1,MATCH(Y$1,'[1]End - Use Prices'!$C$7:$AL$7,0))</f>
        <v>24.86</v>
      </c>
      <c r="Z136" s="41">
        <f>INDEX('[1]End - Use Prices'!$C$6:$AL$89,MATCH($C136,'[1]End - Use Prices'!$A$6:$A$89,0)+MATCH($D136,'[1]End - Use Prices'!$B$9:$B$11,0)-1,MATCH(Z$1,'[1]End - Use Prices'!$C$7:$AL$7,0))</f>
        <v>24.61</v>
      </c>
      <c r="AA136" s="41">
        <f>INDEX('[1]End - Use Prices'!$C$6:$AL$89,MATCH($C136,'[1]End - Use Prices'!$A$6:$A$89,0)+MATCH($D136,'[1]End - Use Prices'!$B$9:$B$11,0)-1,MATCH(AA$1,'[1]End - Use Prices'!$C$7:$AL$7,0))</f>
        <v>30.51</v>
      </c>
      <c r="AB136" s="41">
        <f>INDEX('[1]End - Use Prices'!$C$6:$AL$89,MATCH($C136,'[1]End - Use Prices'!$A$6:$A$89,0)+MATCH($D136,'[1]End - Use Prices'!$B$9:$B$11,0)-1,MATCH(AB$1,'[1]End - Use Prices'!$C$7:$AL$7,0))</f>
        <v>21.93</v>
      </c>
      <c r="AC136" s="41">
        <f>INDEX('[1]End - Use Prices'!$C$6:$AL$89,MATCH($C136,'[1]End - Use Prices'!$A$6:$A$89,0)+MATCH($D136,'[1]End - Use Prices'!$B$9:$B$11,0)-1,MATCH(AC$1,'[1]End - Use Prices'!$C$7:$AL$7,0))</f>
        <v>24.71</v>
      </c>
      <c r="AD136" s="41">
        <f>INDEX('[1]End - Use Prices'!$C$6:$AL$89,MATCH($C136,'[1]End - Use Prices'!$A$6:$A$89,0)+MATCH($D136,'[1]End - Use Prices'!$B$9:$B$11,0)-1,MATCH(AD$1,'[1]End - Use Prices'!$C$7:$AL$7,0))</f>
        <v>30.18</v>
      </c>
      <c r="AE136" s="41">
        <f>INDEX('[1]End - Use Prices'!$C$6:$AL$89,MATCH($C136,'[1]End - Use Prices'!$A$6:$A$89,0)+MATCH($D136,'[1]End - Use Prices'!$B$9:$B$11,0)-1,MATCH(AE$1,'[1]End - Use Prices'!$C$7:$AL$7,0))</f>
        <v>31.33</v>
      </c>
      <c r="AF136" s="41">
        <f>INDEX('[1]End - Use Prices'!$C$6:$AL$89,MATCH($C136,'[1]End - Use Prices'!$A$6:$A$89,0)+MATCH($D136,'[1]End - Use Prices'!$B$9:$B$11,0)-1,MATCH(AF$1,'[1]End - Use Prices'!$C$7:$AL$7,0))</f>
        <v>30.91</v>
      </c>
      <c r="AG136" s="41">
        <f>INDEX('[1]End - Use Prices'!$C$6:$AL$89,MATCH($C136,'[1]End - Use Prices'!$A$6:$A$89,0)+MATCH($D136,'[1]End - Use Prices'!$B$9:$B$11,0)-1,MATCH(AG$1,'[1]End - Use Prices'!$C$7:$AL$7,0))</f>
        <v>31</v>
      </c>
      <c r="AH136" s="41">
        <f>INDEX('[1]End - Use Prices'!$C$6:$AL$89,MATCH($C136,'[1]End - Use Prices'!$A$6:$A$89,0)+MATCH($D136,'[1]End - Use Prices'!$B$9:$B$11,0)-1,MATCH(AH$1,'[1]End - Use Prices'!$C$7:$AL$7,0))</f>
        <v>24.09</v>
      </c>
      <c r="AI136" s="41">
        <f>INDEX('[1]End - Use Prices'!$C$6:$AL$89,MATCH($C136,'[1]End - Use Prices'!$A$6:$A$89,0)+MATCH($D136,'[1]End - Use Prices'!$B$9:$B$11,0)-1,MATCH(AI$1,'[1]End - Use Prices'!$C$7:$AL$7,0))</f>
        <v>20.85</v>
      </c>
      <c r="AJ136" s="41">
        <f>INDEX('[1]End - Use Prices'!$C$6:$AL$89,MATCH($C136,'[1]End - Use Prices'!$A$6:$A$89,0)+MATCH($D136,'[1]End - Use Prices'!$B$9:$B$11,0)-1,MATCH(AJ$1,'[1]End - Use Prices'!$C$7:$AL$7,0))</f>
        <v>22.06</v>
      </c>
      <c r="AK136" s="41">
        <f>INDEX('[1]End - Use Prices'!$C$6:$AL$89,MATCH($C136,'[1]End - Use Prices'!$A$6:$A$89,0)+MATCH($D136,'[1]End - Use Prices'!$B$9:$B$11,0)-1,MATCH(AK$1,'[1]End - Use Prices'!$C$7:$AL$7,0))</f>
        <v>26.58</v>
      </c>
      <c r="AL136" s="41">
        <f>INDEX('[1]End - Use Prices'!$C$6:$AL$89,MATCH($C136,'[1]End - Use Prices'!$A$6:$A$89,0)+MATCH($D136,'[1]End - Use Prices'!$B$9:$B$11,0)-1,MATCH(AL$1,'[1]End - Use Prices'!$C$7:$AL$7,0))</f>
        <v>29.7</v>
      </c>
      <c r="AM136" s="41">
        <f>INDEX('[1]End - Use Prices'!$C$6:$AL$89,MATCH($C136,'[1]End - Use Prices'!$A$6:$A$89,0)+MATCH($D136,'[1]End - Use Prices'!$B$9:$B$11,0)-1,MATCH(AM$1,'[1]End - Use Prices'!$C$7:$AL$7,0))</f>
        <v>34.39</v>
      </c>
      <c r="AN136" s="41">
        <f>INDEX('[1]End - Use Prices'!$C$6:$AL$89,MATCH($C136,'[1]End - Use Prices'!$A$6:$A$89,0)+MATCH($D136,'[1]End - Use Prices'!$B$9:$B$11,0)-1,MATCH(AN$1,'[1]End - Use Prices'!$C$7:$AL$7,0))</f>
        <v>31.95</v>
      </c>
      <c r="AO136" s="41">
        <f>INDEX('[1]End - Use Prices'!$C$6:$AL$89,MATCH($C136,'[1]End - Use Prices'!$A$6:$A$89,0)+MATCH($D136,'[1]End - Use Prices'!$B$9:$B$11,0)-1,MATCH(AO$1,'[1]End - Use Prices'!$C$7:$AL$7,0))</f>
        <v>30.49</v>
      </c>
      <c r="AP136" s="41">
        <f>INDEX('[1]End - Use Prices'!$C$6:$AL$89,MATCH($C136,'[1]End - Use Prices'!$A$6:$A$89,0)+MATCH($D136,'[1]End - Use Prices'!$B$9:$B$11,0)-1,MATCH(AP$1,'[1]End - Use Prices'!$C$7:$AL$7,0))</f>
        <v>30.66</v>
      </c>
      <c r="AQ136" s="41">
        <f>INDEX('[1]End - Use Prices'!$C$6:$AL$89,MATCH($C136,'[1]End - Use Prices'!$A$6:$A$89,0)+MATCH($D136,'[1]End - Use Prices'!$B$9:$B$11,0)-1,MATCH(AQ$1,'[1]End - Use Prices'!$C$7:$AL$7,0))</f>
        <v>30.4</v>
      </c>
      <c r="AR136" s="41">
        <f>INDEX('[1]End - Use Prices'!$C$6:$AL$89,MATCH($C136,'[1]End - Use Prices'!$A$6:$A$89,0)+MATCH($D136,'[1]End - Use Prices'!$B$9:$B$11,0)-1,MATCH(AR$1,'[1]End - Use Prices'!$C$7:$AL$7,0))</f>
        <v>30.37</v>
      </c>
      <c r="AS136" s="41">
        <f>INDEX('[1]End - Use Prices'!$C$6:$AL$89,MATCH($C136,'[1]End - Use Prices'!$A$6:$A$89,0)+MATCH($D136,'[1]End - Use Prices'!$B$9:$B$11,0)-1,MATCH(AS$1,'[1]End - Use Prices'!$C$7:$AL$7,0))</f>
        <v>30.29</v>
      </c>
      <c r="AT136" s="41">
        <f>INDEX('[1]End - Use Prices'!$C$6:$AL$89,MATCH($C136,'[1]End - Use Prices'!$A$6:$A$89,0)+MATCH($D136,'[1]End - Use Prices'!$B$9:$B$11,0)-1,MATCH(AT$1,'[1]End - Use Prices'!$C$7:$AL$7,0))</f>
        <v>30.12</v>
      </c>
      <c r="AU136" s="41">
        <f>INDEX('[1]End - Use Prices'!$C$6:$AL$89,MATCH($C136,'[1]End - Use Prices'!$A$6:$A$89,0)+MATCH($D136,'[1]End - Use Prices'!$B$9:$B$11,0)-1,MATCH(AU$1,'[1]End - Use Prices'!$C$7:$AL$7,0))</f>
        <v>29.91</v>
      </c>
      <c r="AV136" s="41">
        <f>INDEX('[1]End - Use Prices'!$C$6:$AL$89,MATCH($C136,'[1]End - Use Prices'!$A$6:$A$89,0)+MATCH($D136,'[1]End - Use Prices'!$B$9:$B$11,0)-1,MATCH(AV$1,'[1]End - Use Prices'!$C$7:$AL$7,0))</f>
        <v>29.74</v>
      </c>
      <c r="AW136" s="41">
        <f>INDEX('[1]End - Use Prices'!$C$6:$AL$89,MATCH($C136,'[1]End - Use Prices'!$A$6:$A$89,0)+MATCH($D136,'[1]End - Use Prices'!$B$9:$B$11,0)-1,MATCH(AW$1,'[1]End - Use Prices'!$C$7:$AL$7,0))</f>
        <v>29.56</v>
      </c>
      <c r="AX136" s="41">
        <f>INDEX('[1]End - Use Prices'!$C$6:$AL$89,MATCH($C136,'[1]End - Use Prices'!$A$6:$A$89,0)+MATCH($D136,'[1]End - Use Prices'!$B$9:$B$11,0)-1,MATCH(AX$1,'[1]End - Use Prices'!$C$7:$AL$7,0))</f>
        <v>29.46</v>
      </c>
      <c r="AY136" s="41">
        <f>INDEX('[1]End - Use Prices'!$C$6:$AL$89,MATCH($C136,'[1]End - Use Prices'!$A$6:$A$89,0)+MATCH($D136,'[1]End - Use Prices'!$B$9:$B$11,0)-1,MATCH(AY$1,'[1]End - Use Prices'!$C$7:$AL$7,0))</f>
        <v>29.39</v>
      </c>
      <c r="AZ136" s="41">
        <f>INDEX('[1]End - Use Prices'!$C$6:$AL$89,MATCH($C136,'[1]End - Use Prices'!$A$6:$A$89,0)+MATCH($D136,'[1]End - Use Prices'!$B$9:$B$11,0)-1,MATCH(AZ$1,'[1]End - Use Prices'!$C$7:$AL$7,0))</f>
        <v>29.35</v>
      </c>
      <c r="BA136" s="41">
        <f>INDEX('[1]End - Use Prices'!$C$6:$AL$89,MATCH($C136,'[1]End - Use Prices'!$A$6:$A$89,0)+MATCH($D136,'[1]End - Use Prices'!$B$9:$B$11,0)-1,MATCH(BA$1,'[1]End - Use Prices'!$C$7:$AL$7,0))</f>
        <v>29.35</v>
      </c>
      <c r="BB136" s="41">
        <f>INDEX('[1]End - Use Prices'!$C$6:$AL$89,MATCH($C136,'[1]End - Use Prices'!$A$6:$A$89,0)+MATCH($D136,'[1]End - Use Prices'!$B$9:$B$11,0)-1,MATCH(BB$1,'[1]End - Use Prices'!$C$7:$AL$7,0))</f>
        <v>29.32</v>
      </c>
      <c r="BC136" s="41">
        <f>INDEX('[1]End - Use Prices'!$C$6:$AL$89,MATCH($C136,'[1]End - Use Prices'!$A$6:$A$89,0)+MATCH($D136,'[1]End - Use Prices'!$B$9:$B$11,0)-1,MATCH(BC$1,'[1]End - Use Prices'!$C$7:$AL$7,0))</f>
        <v>29.28</v>
      </c>
      <c r="BD136" s="41">
        <f>INDEX('[1]End - Use Prices'!$C$6:$AL$89,MATCH($C136,'[1]End - Use Prices'!$A$6:$A$89,0)+MATCH($D136,'[1]End - Use Prices'!$B$9:$B$11,0)-1,MATCH(BD$1,'[1]End - Use Prices'!$C$7:$AL$7,0))</f>
        <v>29.23</v>
      </c>
      <c r="BE136" s="41">
        <f>INDEX('[1]End - Use Prices'!$C$6:$AL$89,MATCH($C136,'[1]End - Use Prices'!$A$6:$A$89,0)+MATCH($D136,'[1]End - Use Prices'!$B$9:$B$11,0)-1,MATCH(BE$1,'[1]End - Use Prices'!$C$7:$AL$7,0))</f>
        <v>29.14</v>
      </c>
      <c r="BF136" s="41">
        <f>INDEX('[1]End - Use Prices'!$C$6:$AL$89,MATCH($C136,'[1]End - Use Prices'!$A$6:$A$89,0)+MATCH($D136,'[1]End - Use Prices'!$B$9:$B$11,0)-1,MATCH(BF$1,'[1]End - Use Prices'!$C$7:$AL$7,0))</f>
        <v>29.05</v>
      </c>
      <c r="BG136" s="41">
        <f>INDEX('[1]End - Use Prices'!$C$6:$AL$89,MATCH($C136,'[1]End - Use Prices'!$A$6:$A$89,0)+MATCH($D136,'[1]End - Use Prices'!$B$9:$B$11,0)-1,MATCH(BG$1,'[1]End - Use Prices'!$C$7:$AL$7,0))</f>
        <v>28.95</v>
      </c>
      <c r="BR136" s="39"/>
      <c r="BS136" s="39"/>
      <c r="BT136" s="39"/>
      <c r="BU136" s="39"/>
      <c r="BV136" s="39"/>
      <c r="BW136" s="39"/>
      <c r="BX136" s="39"/>
      <c r="BY136" s="39"/>
      <c r="BZ136" s="39"/>
      <c r="CA136" s="39"/>
    </row>
    <row r="137" spans="1:79" x14ac:dyDescent="0.25">
      <c r="A137" s="5"/>
      <c r="B137" s="3"/>
      <c r="C137" s="25" t="s">
        <v>89</v>
      </c>
      <c r="D137" s="25" t="s">
        <v>311</v>
      </c>
      <c r="E137" s="25" t="s">
        <v>313</v>
      </c>
      <c r="F137" s="74" t="s">
        <v>310</v>
      </c>
      <c r="G137" s="54">
        <f t="shared" si="100"/>
        <v>27.52</v>
      </c>
      <c r="H137" s="34">
        <f t="shared" si="118"/>
        <v>27.52</v>
      </c>
      <c r="I137" s="34">
        <f t="shared" si="118"/>
        <v>25.32</v>
      </c>
      <c r="J137" s="34">
        <f t="shared" si="118"/>
        <v>27.46</v>
      </c>
      <c r="K137" s="34">
        <f t="shared" si="118"/>
        <v>37.450000000000003</v>
      </c>
      <c r="L137" s="34">
        <f t="shared" si="118"/>
        <v>33.42</v>
      </c>
      <c r="M137" s="34">
        <f t="shared" si="118"/>
        <v>32.61</v>
      </c>
      <c r="N137" s="34">
        <f t="shared" si="118"/>
        <v>32.369999999999997</v>
      </c>
      <c r="O137" s="34">
        <f t="shared" si="118"/>
        <v>32</v>
      </c>
      <c r="P137" s="54">
        <f t="shared" ref="P137:Q137" si="134">O137</f>
        <v>32</v>
      </c>
      <c r="Q137" s="54">
        <f t="shared" si="134"/>
        <v>32</v>
      </c>
      <c r="R137" s="38"/>
      <c r="X137" s="41">
        <f>INDEX('[1]End - Use Prices'!$C$6:$AL$89,MATCH($C137,'[1]End - Use Prices'!$A$6:$A$89,0)+MATCH($D137,'[1]End - Use Prices'!$B$9:$B$11,0)-1,MATCH(X$1,'[1]End - Use Prices'!$C$7:$AL$7,0))</f>
        <v>27.52</v>
      </c>
      <c r="Y137" s="41">
        <f>INDEX('[1]End - Use Prices'!$C$6:$AL$89,MATCH($C137,'[1]End - Use Prices'!$A$6:$A$89,0)+MATCH($D137,'[1]End - Use Prices'!$B$9:$B$11,0)-1,MATCH(Y$1,'[1]End - Use Prices'!$C$7:$AL$7,0))</f>
        <v>28.18</v>
      </c>
      <c r="Z137" s="41">
        <f>INDEX('[1]End - Use Prices'!$C$6:$AL$89,MATCH($C137,'[1]End - Use Prices'!$A$6:$A$89,0)+MATCH($D137,'[1]End - Use Prices'!$B$9:$B$11,0)-1,MATCH(Z$1,'[1]End - Use Prices'!$C$7:$AL$7,0))</f>
        <v>26.07</v>
      </c>
      <c r="AA137" s="41">
        <f>INDEX('[1]End - Use Prices'!$C$6:$AL$89,MATCH($C137,'[1]End - Use Prices'!$A$6:$A$89,0)+MATCH($D137,'[1]End - Use Prices'!$B$9:$B$11,0)-1,MATCH(AA$1,'[1]End - Use Prices'!$C$7:$AL$7,0))</f>
        <v>31.72</v>
      </c>
      <c r="AB137" s="41">
        <f>INDEX('[1]End - Use Prices'!$C$6:$AL$89,MATCH($C137,'[1]End - Use Prices'!$A$6:$A$89,0)+MATCH($D137,'[1]End - Use Prices'!$B$9:$B$11,0)-1,MATCH(AB$1,'[1]End - Use Prices'!$C$7:$AL$7,0))</f>
        <v>22.7</v>
      </c>
      <c r="AC137" s="41">
        <f>INDEX('[1]End - Use Prices'!$C$6:$AL$89,MATCH($C137,'[1]End - Use Prices'!$A$6:$A$89,0)+MATCH($D137,'[1]End - Use Prices'!$B$9:$B$11,0)-1,MATCH(AC$1,'[1]End - Use Prices'!$C$7:$AL$7,0))</f>
        <v>25.32</v>
      </c>
      <c r="AD137" s="41">
        <f>INDEX('[1]End - Use Prices'!$C$6:$AL$89,MATCH($C137,'[1]End - Use Prices'!$A$6:$A$89,0)+MATCH($D137,'[1]End - Use Prices'!$B$9:$B$11,0)-1,MATCH(AD$1,'[1]End - Use Prices'!$C$7:$AL$7,0))</f>
        <v>30.73</v>
      </c>
      <c r="AE137" s="41">
        <f>INDEX('[1]End - Use Prices'!$C$6:$AL$89,MATCH($C137,'[1]End - Use Prices'!$A$6:$A$89,0)+MATCH($D137,'[1]End - Use Prices'!$B$9:$B$11,0)-1,MATCH(AE$1,'[1]End - Use Prices'!$C$7:$AL$7,0))</f>
        <v>31.88</v>
      </c>
      <c r="AF137" s="41">
        <f>INDEX('[1]End - Use Prices'!$C$6:$AL$89,MATCH($C137,'[1]End - Use Prices'!$A$6:$A$89,0)+MATCH($D137,'[1]End - Use Prices'!$B$9:$B$11,0)-1,MATCH(AF$1,'[1]End - Use Prices'!$C$7:$AL$7,0))</f>
        <v>31.97</v>
      </c>
      <c r="AG137" s="41">
        <f>INDEX('[1]End - Use Prices'!$C$6:$AL$89,MATCH($C137,'[1]End - Use Prices'!$A$6:$A$89,0)+MATCH($D137,'[1]End - Use Prices'!$B$9:$B$11,0)-1,MATCH(AG$1,'[1]End - Use Prices'!$C$7:$AL$7,0))</f>
        <v>34.450000000000003</v>
      </c>
      <c r="AH137" s="41">
        <f>INDEX('[1]End - Use Prices'!$C$6:$AL$89,MATCH($C137,'[1]End - Use Prices'!$A$6:$A$89,0)+MATCH($D137,'[1]End - Use Prices'!$B$9:$B$11,0)-1,MATCH(AH$1,'[1]End - Use Prices'!$C$7:$AL$7,0))</f>
        <v>27.46</v>
      </c>
      <c r="AI137" s="41">
        <f>INDEX('[1]End - Use Prices'!$C$6:$AL$89,MATCH($C137,'[1]End - Use Prices'!$A$6:$A$89,0)+MATCH($D137,'[1]End - Use Prices'!$B$9:$B$11,0)-1,MATCH(AI$1,'[1]End - Use Prices'!$C$7:$AL$7,0))</f>
        <v>23.92</v>
      </c>
      <c r="AJ137" s="41">
        <f>INDEX('[1]End - Use Prices'!$C$6:$AL$89,MATCH($C137,'[1]End - Use Prices'!$A$6:$A$89,0)+MATCH($D137,'[1]End - Use Prices'!$B$9:$B$11,0)-1,MATCH(AJ$1,'[1]End - Use Prices'!$C$7:$AL$7,0))</f>
        <v>25.38</v>
      </c>
      <c r="AK137" s="41">
        <f>INDEX('[1]End - Use Prices'!$C$6:$AL$89,MATCH($C137,'[1]End - Use Prices'!$A$6:$A$89,0)+MATCH($D137,'[1]End - Use Prices'!$B$9:$B$11,0)-1,MATCH(AK$1,'[1]End - Use Prices'!$C$7:$AL$7,0))</f>
        <v>29.63</v>
      </c>
      <c r="AL137" s="41">
        <f>INDEX('[1]End - Use Prices'!$C$6:$AL$89,MATCH($C137,'[1]End - Use Prices'!$A$6:$A$89,0)+MATCH($D137,'[1]End - Use Prices'!$B$9:$B$11,0)-1,MATCH(AL$1,'[1]End - Use Prices'!$C$7:$AL$7,0))</f>
        <v>32.75</v>
      </c>
      <c r="AM137" s="41">
        <f>INDEX('[1]End - Use Prices'!$C$6:$AL$89,MATCH($C137,'[1]End - Use Prices'!$A$6:$A$89,0)+MATCH($D137,'[1]End - Use Prices'!$B$9:$B$11,0)-1,MATCH(AM$1,'[1]End - Use Prices'!$C$7:$AL$7,0))</f>
        <v>37.450000000000003</v>
      </c>
      <c r="AN137" s="41">
        <f>INDEX('[1]End - Use Prices'!$C$6:$AL$89,MATCH($C137,'[1]End - Use Prices'!$A$6:$A$89,0)+MATCH($D137,'[1]End - Use Prices'!$B$9:$B$11,0)-1,MATCH(AN$1,'[1]End - Use Prices'!$C$7:$AL$7,0))</f>
        <v>35</v>
      </c>
      <c r="AO137" s="41">
        <f>INDEX('[1]End - Use Prices'!$C$6:$AL$89,MATCH($C137,'[1]End - Use Prices'!$A$6:$A$89,0)+MATCH($D137,'[1]End - Use Prices'!$B$9:$B$11,0)-1,MATCH(AO$1,'[1]End - Use Prices'!$C$7:$AL$7,0))</f>
        <v>33.549999999999997</v>
      </c>
      <c r="AP137" s="41">
        <f>INDEX('[1]End - Use Prices'!$C$6:$AL$89,MATCH($C137,'[1]End - Use Prices'!$A$6:$A$89,0)+MATCH($D137,'[1]End - Use Prices'!$B$9:$B$11,0)-1,MATCH(AP$1,'[1]End - Use Prices'!$C$7:$AL$7,0))</f>
        <v>33.72</v>
      </c>
      <c r="AQ137" s="41">
        <f>INDEX('[1]End - Use Prices'!$C$6:$AL$89,MATCH($C137,'[1]End - Use Prices'!$A$6:$A$89,0)+MATCH($D137,'[1]End - Use Prices'!$B$9:$B$11,0)-1,MATCH(AQ$1,'[1]End - Use Prices'!$C$7:$AL$7,0))</f>
        <v>33.450000000000003</v>
      </c>
      <c r="AR137" s="41">
        <f>INDEX('[1]End - Use Prices'!$C$6:$AL$89,MATCH($C137,'[1]End - Use Prices'!$A$6:$A$89,0)+MATCH($D137,'[1]End - Use Prices'!$B$9:$B$11,0)-1,MATCH(AR$1,'[1]End - Use Prices'!$C$7:$AL$7,0))</f>
        <v>33.42</v>
      </c>
      <c r="AS137" s="41">
        <f>INDEX('[1]End - Use Prices'!$C$6:$AL$89,MATCH($C137,'[1]End - Use Prices'!$A$6:$A$89,0)+MATCH($D137,'[1]End - Use Prices'!$B$9:$B$11,0)-1,MATCH(AS$1,'[1]End - Use Prices'!$C$7:$AL$7,0))</f>
        <v>33.340000000000003</v>
      </c>
      <c r="AT137" s="41">
        <f>INDEX('[1]End - Use Prices'!$C$6:$AL$89,MATCH($C137,'[1]End - Use Prices'!$A$6:$A$89,0)+MATCH($D137,'[1]End - Use Prices'!$B$9:$B$11,0)-1,MATCH(AT$1,'[1]End - Use Prices'!$C$7:$AL$7,0))</f>
        <v>33.17</v>
      </c>
      <c r="AU137" s="41">
        <f>INDEX('[1]End - Use Prices'!$C$6:$AL$89,MATCH($C137,'[1]End - Use Prices'!$A$6:$A$89,0)+MATCH($D137,'[1]End - Use Prices'!$B$9:$B$11,0)-1,MATCH(AU$1,'[1]End - Use Prices'!$C$7:$AL$7,0))</f>
        <v>32.96</v>
      </c>
      <c r="AV137" s="41">
        <f>INDEX('[1]End - Use Prices'!$C$6:$AL$89,MATCH($C137,'[1]End - Use Prices'!$A$6:$A$89,0)+MATCH($D137,'[1]End - Use Prices'!$B$9:$B$11,0)-1,MATCH(AV$1,'[1]End - Use Prices'!$C$7:$AL$7,0))</f>
        <v>32.79</v>
      </c>
      <c r="AW137" s="41">
        <f>INDEX('[1]End - Use Prices'!$C$6:$AL$89,MATCH($C137,'[1]End - Use Prices'!$A$6:$A$89,0)+MATCH($D137,'[1]End - Use Prices'!$B$9:$B$11,0)-1,MATCH(AW$1,'[1]End - Use Prices'!$C$7:$AL$7,0))</f>
        <v>32.61</v>
      </c>
      <c r="AX137" s="41">
        <f>INDEX('[1]End - Use Prices'!$C$6:$AL$89,MATCH($C137,'[1]End - Use Prices'!$A$6:$A$89,0)+MATCH($D137,'[1]End - Use Prices'!$B$9:$B$11,0)-1,MATCH(AX$1,'[1]End - Use Prices'!$C$7:$AL$7,0))</f>
        <v>32.51</v>
      </c>
      <c r="AY137" s="41">
        <f>INDEX('[1]End - Use Prices'!$C$6:$AL$89,MATCH($C137,'[1]End - Use Prices'!$A$6:$A$89,0)+MATCH($D137,'[1]End - Use Prices'!$B$9:$B$11,0)-1,MATCH(AY$1,'[1]End - Use Prices'!$C$7:$AL$7,0))</f>
        <v>32.44</v>
      </c>
      <c r="AZ137" s="41">
        <f>INDEX('[1]End - Use Prices'!$C$6:$AL$89,MATCH($C137,'[1]End - Use Prices'!$A$6:$A$89,0)+MATCH($D137,'[1]End - Use Prices'!$B$9:$B$11,0)-1,MATCH(AZ$1,'[1]End - Use Prices'!$C$7:$AL$7,0))</f>
        <v>32.4</v>
      </c>
      <c r="BA137" s="41">
        <f>INDEX('[1]End - Use Prices'!$C$6:$AL$89,MATCH($C137,'[1]End - Use Prices'!$A$6:$A$89,0)+MATCH($D137,'[1]End - Use Prices'!$B$9:$B$11,0)-1,MATCH(BA$1,'[1]End - Use Prices'!$C$7:$AL$7,0))</f>
        <v>32.4</v>
      </c>
      <c r="BB137" s="41">
        <f>INDEX('[1]End - Use Prices'!$C$6:$AL$89,MATCH($C137,'[1]End - Use Prices'!$A$6:$A$89,0)+MATCH($D137,'[1]End - Use Prices'!$B$9:$B$11,0)-1,MATCH(BB$1,'[1]End - Use Prices'!$C$7:$AL$7,0))</f>
        <v>32.369999999999997</v>
      </c>
      <c r="BC137" s="41">
        <f>INDEX('[1]End - Use Prices'!$C$6:$AL$89,MATCH($C137,'[1]End - Use Prices'!$A$6:$A$89,0)+MATCH($D137,'[1]End - Use Prices'!$B$9:$B$11,0)-1,MATCH(BC$1,'[1]End - Use Prices'!$C$7:$AL$7,0))</f>
        <v>32.33</v>
      </c>
      <c r="BD137" s="41">
        <f>INDEX('[1]End - Use Prices'!$C$6:$AL$89,MATCH($C137,'[1]End - Use Prices'!$A$6:$A$89,0)+MATCH($D137,'[1]End - Use Prices'!$B$9:$B$11,0)-1,MATCH(BD$1,'[1]End - Use Prices'!$C$7:$AL$7,0))</f>
        <v>32.28</v>
      </c>
      <c r="BE137" s="41">
        <f>INDEX('[1]End - Use Prices'!$C$6:$AL$89,MATCH($C137,'[1]End - Use Prices'!$A$6:$A$89,0)+MATCH($D137,'[1]End - Use Prices'!$B$9:$B$11,0)-1,MATCH(BE$1,'[1]End - Use Prices'!$C$7:$AL$7,0))</f>
        <v>32.19</v>
      </c>
      <c r="BF137" s="41">
        <f>INDEX('[1]End - Use Prices'!$C$6:$AL$89,MATCH($C137,'[1]End - Use Prices'!$A$6:$A$89,0)+MATCH($D137,'[1]End - Use Prices'!$B$9:$B$11,0)-1,MATCH(BF$1,'[1]End - Use Prices'!$C$7:$AL$7,0))</f>
        <v>32.1</v>
      </c>
      <c r="BG137" s="41">
        <f>INDEX('[1]End - Use Prices'!$C$6:$AL$89,MATCH($C137,'[1]End - Use Prices'!$A$6:$A$89,0)+MATCH($D137,'[1]End - Use Prices'!$B$9:$B$11,0)-1,MATCH(BG$1,'[1]End - Use Prices'!$C$7:$AL$7,0))</f>
        <v>32</v>
      </c>
      <c r="BR137" s="39"/>
      <c r="BS137" s="39"/>
      <c r="BT137" s="39"/>
      <c r="BU137" s="39"/>
      <c r="BV137" s="39"/>
      <c r="BW137" s="39"/>
      <c r="BX137" s="39"/>
      <c r="BY137" s="39"/>
      <c r="BZ137" s="39"/>
      <c r="CA137" s="39"/>
    </row>
    <row r="138" spans="1:79" x14ac:dyDescent="0.25">
      <c r="A138" s="5"/>
      <c r="B138" s="3"/>
      <c r="C138" s="25" t="s">
        <v>90</v>
      </c>
      <c r="D138" s="25" t="s">
        <v>311</v>
      </c>
      <c r="E138" s="25" t="s">
        <v>313</v>
      </c>
      <c r="F138" s="74" t="s">
        <v>310</v>
      </c>
      <c r="G138" s="54">
        <f t="shared" si="100"/>
        <v>27.36</v>
      </c>
      <c r="H138" s="34">
        <f t="shared" ref="H138:O147" si="135">INDEX($S138:$CA138,MATCH(H$1,$S$1:$CA$1,0))</f>
        <v>27.36</v>
      </c>
      <c r="I138" s="34">
        <f t="shared" si="135"/>
        <v>27.36</v>
      </c>
      <c r="J138" s="34">
        <f t="shared" si="135"/>
        <v>28.05</v>
      </c>
      <c r="K138" s="34">
        <f t="shared" si="135"/>
        <v>38.97</v>
      </c>
      <c r="L138" s="34">
        <f t="shared" si="135"/>
        <v>34.42</v>
      </c>
      <c r="M138" s="34">
        <f t="shared" si="135"/>
        <v>33.590000000000003</v>
      </c>
      <c r="N138" s="34">
        <f t="shared" si="135"/>
        <v>33.35</v>
      </c>
      <c r="O138" s="34">
        <f t="shared" si="135"/>
        <v>32.97</v>
      </c>
      <c r="P138" s="54">
        <f t="shared" ref="P138:Q138" si="136">O138</f>
        <v>32.97</v>
      </c>
      <c r="Q138" s="54">
        <f t="shared" si="136"/>
        <v>32.97</v>
      </c>
      <c r="R138" s="38"/>
      <c r="X138" s="41">
        <f>INDEX('[1]End - Use Prices'!$C$6:$AL$89,MATCH($C138,'[1]End - Use Prices'!$A$6:$A$89,0)+MATCH($D138,'[1]End - Use Prices'!$B$9:$B$11,0)-1,MATCH(X$1,'[1]End - Use Prices'!$C$7:$AL$7,0))</f>
        <v>27.36</v>
      </c>
      <c r="Y138" s="41">
        <f>INDEX('[1]End - Use Prices'!$C$6:$AL$89,MATCH($C138,'[1]End - Use Prices'!$A$6:$A$89,0)+MATCH($D138,'[1]End - Use Prices'!$B$9:$B$11,0)-1,MATCH(Y$1,'[1]End - Use Prices'!$C$7:$AL$7,0))</f>
        <v>27.14</v>
      </c>
      <c r="Z138" s="41">
        <f>INDEX('[1]End - Use Prices'!$C$6:$AL$89,MATCH($C138,'[1]End - Use Prices'!$A$6:$A$89,0)+MATCH($D138,'[1]End - Use Prices'!$B$9:$B$11,0)-1,MATCH(Z$1,'[1]End - Use Prices'!$C$7:$AL$7,0))</f>
        <v>27.83</v>
      </c>
      <c r="AA138" s="41">
        <f>INDEX('[1]End - Use Prices'!$C$6:$AL$89,MATCH($C138,'[1]End - Use Prices'!$A$6:$A$89,0)+MATCH($D138,'[1]End - Use Prices'!$B$9:$B$11,0)-1,MATCH(AA$1,'[1]End - Use Prices'!$C$7:$AL$7,0))</f>
        <v>34.340000000000003</v>
      </c>
      <c r="AB138" s="41">
        <f>INDEX('[1]End - Use Prices'!$C$6:$AL$89,MATCH($C138,'[1]End - Use Prices'!$A$6:$A$89,0)+MATCH($D138,'[1]End - Use Prices'!$B$9:$B$11,0)-1,MATCH(AB$1,'[1]End - Use Prices'!$C$7:$AL$7,0))</f>
        <v>24.16</v>
      </c>
      <c r="AC138" s="41">
        <f>INDEX('[1]End - Use Prices'!$C$6:$AL$89,MATCH($C138,'[1]End - Use Prices'!$A$6:$A$89,0)+MATCH($D138,'[1]End - Use Prices'!$B$9:$B$11,0)-1,MATCH(AC$1,'[1]End - Use Prices'!$C$7:$AL$7,0))</f>
        <v>27.36</v>
      </c>
      <c r="AD138" s="41">
        <f>INDEX('[1]End - Use Prices'!$C$6:$AL$89,MATCH($C138,'[1]End - Use Prices'!$A$6:$A$89,0)+MATCH($D138,'[1]End - Use Prices'!$B$9:$B$11,0)-1,MATCH(AD$1,'[1]End - Use Prices'!$C$7:$AL$7,0))</f>
        <v>32.19</v>
      </c>
      <c r="AE138" s="41">
        <f>INDEX('[1]End - Use Prices'!$C$6:$AL$89,MATCH($C138,'[1]End - Use Prices'!$A$6:$A$89,0)+MATCH($D138,'[1]End - Use Prices'!$B$9:$B$11,0)-1,MATCH(AE$1,'[1]End - Use Prices'!$C$7:$AL$7,0))</f>
        <v>33.76</v>
      </c>
      <c r="AF138" s="41">
        <f>INDEX('[1]End - Use Prices'!$C$6:$AL$89,MATCH($C138,'[1]End - Use Prices'!$A$6:$A$89,0)+MATCH($D138,'[1]End - Use Prices'!$B$9:$B$11,0)-1,MATCH(AF$1,'[1]End - Use Prices'!$C$7:$AL$7,0))</f>
        <v>32.590000000000003</v>
      </c>
      <c r="AG138" s="41">
        <f>INDEX('[1]End - Use Prices'!$C$6:$AL$89,MATCH($C138,'[1]End - Use Prices'!$A$6:$A$89,0)+MATCH($D138,'[1]End - Use Prices'!$B$9:$B$11,0)-1,MATCH(AG$1,'[1]End - Use Prices'!$C$7:$AL$7,0))</f>
        <v>34.17</v>
      </c>
      <c r="AH138" s="41">
        <f>INDEX('[1]End - Use Prices'!$C$6:$AL$89,MATCH($C138,'[1]End - Use Prices'!$A$6:$A$89,0)+MATCH($D138,'[1]End - Use Prices'!$B$9:$B$11,0)-1,MATCH(AH$1,'[1]End - Use Prices'!$C$7:$AL$7,0))</f>
        <v>28.05</v>
      </c>
      <c r="AI138" s="41">
        <f>INDEX('[1]End - Use Prices'!$C$6:$AL$89,MATCH($C138,'[1]End - Use Prices'!$A$6:$A$89,0)+MATCH($D138,'[1]End - Use Prices'!$B$9:$B$11,0)-1,MATCH(AI$1,'[1]End - Use Prices'!$C$7:$AL$7,0))</f>
        <v>24.4</v>
      </c>
      <c r="AJ138" s="41">
        <f>INDEX('[1]End - Use Prices'!$C$6:$AL$89,MATCH($C138,'[1]End - Use Prices'!$A$6:$A$89,0)+MATCH($D138,'[1]End - Use Prices'!$B$9:$B$11,0)-1,MATCH(AJ$1,'[1]End - Use Prices'!$C$7:$AL$7,0))</f>
        <v>26.95</v>
      </c>
      <c r="AK138" s="41">
        <f>INDEX('[1]End - Use Prices'!$C$6:$AL$89,MATCH($C138,'[1]End - Use Prices'!$A$6:$A$89,0)+MATCH($D138,'[1]End - Use Prices'!$B$9:$B$11,0)-1,MATCH(AK$1,'[1]End - Use Prices'!$C$7:$AL$7,0))</f>
        <v>30.62</v>
      </c>
      <c r="AL138" s="41">
        <f>INDEX('[1]End - Use Prices'!$C$6:$AL$89,MATCH($C138,'[1]End - Use Prices'!$A$6:$A$89,0)+MATCH($D138,'[1]End - Use Prices'!$B$9:$B$11,0)-1,MATCH(AL$1,'[1]End - Use Prices'!$C$7:$AL$7,0))</f>
        <v>34.01</v>
      </c>
      <c r="AM138" s="41">
        <f>INDEX('[1]End - Use Prices'!$C$6:$AL$89,MATCH($C138,'[1]End - Use Prices'!$A$6:$A$89,0)+MATCH($D138,'[1]End - Use Prices'!$B$9:$B$11,0)-1,MATCH(AM$1,'[1]End - Use Prices'!$C$7:$AL$7,0))</f>
        <v>38.97</v>
      </c>
      <c r="AN138" s="41">
        <f>INDEX('[1]End - Use Prices'!$C$6:$AL$89,MATCH($C138,'[1]End - Use Prices'!$A$6:$A$89,0)+MATCH($D138,'[1]End - Use Prices'!$B$9:$B$11,0)-1,MATCH(AN$1,'[1]End - Use Prices'!$C$7:$AL$7,0))</f>
        <v>36.24</v>
      </c>
      <c r="AO138" s="41">
        <f>INDEX('[1]End - Use Prices'!$C$6:$AL$89,MATCH($C138,'[1]End - Use Prices'!$A$6:$A$89,0)+MATCH($D138,'[1]End - Use Prices'!$B$9:$B$11,0)-1,MATCH(AO$1,'[1]End - Use Prices'!$C$7:$AL$7,0))</f>
        <v>34.6</v>
      </c>
      <c r="AP138" s="41">
        <f>INDEX('[1]End - Use Prices'!$C$6:$AL$89,MATCH($C138,'[1]End - Use Prices'!$A$6:$A$89,0)+MATCH($D138,'[1]End - Use Prices'!$B$9:$B$11,0)-1,MATCH(AP$1,'[1]End - Use Prices'!$C$7:$AL$7,0))</f>
        <v>34.72</v>
      </c>
      <c r="AQ138" s="41">
        <f>INDEX('[1]End - Use Prices'!$C$6:$AL$89,MATCH($C138,'[1]End - Use Prices'!$A$6:$A$89,0)+MATCH($D138,'[1]End - Use Prices'!$B$9:$B$11,0)-1,MATCH(AQ$1,'[1]End - Use Prices'!$C$7:$AL$7,0))</f>
        <v>34.450000000000003</v>
      </c>
      <c r="AR138" s="41">
        <f>INDEX('[1]End - Use Prices'!$C$6:$AL$89,MATCH($C138,'[1]End - Use Prices'!$A$6:$A$89,0)+MATCH($D138,'[1]End - Use Prices'!$B$9:$B$11,0)-1,MATCH(AR$1,'[1]End - Use Prices'!$C$7:$AL$7,0))</f>
        <v>34.42</v>
      </c>
      <c r="AS138" s="41">
        <f>INDEX('[1]End - Use Prices'!$C$6:$AL$89,MATCH($C138,'[1]End - Use Prices'!$A$6:$A$89,0)+MATCH($D138,'[1]End - Use Prices'!$B$9:$B$11,0)-1,MATCH(AS$1,'[1]End - Use Prices'!$C$7:$AL$7,0))</f>
        <v>34.35</v>
      </c>
      <c r="AT138" s="41">
        <f>INDEX('[1]End - Use Prices'!$C$6:$AL$89,MATCH($C138,'[1]End - Use Prices'!$A$6:$A$89,0)+MATCH($D138,'[1]End - Use Prices'!$B$9:$B$11,0)-1,MATCH(AT$1,'[1]End - Use Prices'!$C$7:$AL$7,0))</f>
        <v>34.17</v>
      </c>
      <c r="AU138" s="41">
        <f>INDEX('[1]End - Use Prices'!$C$6:$AL$89,MATCH($C138,'[1]End - Use Prices'!$A$6:$A$89,0)+MATCH($D138,'[1]End - Use Prices'!$B$9:$B$11,0)-1,MATCH(AU$1,'[1]End - Use Prices'!$C$7:$AL$7,0))</f>
        <v>33.950000000000003</v>
      </c>
      <c r="AV138" s="41">
        <f>INDEX('[1]End - Use Prices'!$C$6:$AL$89,MATCH($C138,'[1]End - Use Prices'!$A$6:$A$89,0)+MATCH($D138,'[1]End - Use Prices'!$B$9:$B$11,0)-1,MATCH(AV$1,'[1]End - Use Prices'!$C$7:$AL$7,0))</f>
        <v>33.770000000000003</v>
      </c>
      <c r="AW138" s="41">
        <f>INDEX('[1]End - Use Prices'!$C$6:$AL$89,MATCH($C138,'[1]End - Use Prices'!$A$6:$A$89,0)+MATCH($D138,'[1]End - Use Prices'!$B$9:$B$11,0)-1,MATCH(AW$1,'[1]End - Use Prices'!$C$7:$AL$7,0))</f>
        <v>33.590000000000003</v>
      </c>
      <c r="AX138" s="41">
        <f>INDEX('[1]End - Use Prices'!$C$6:$AL$89,MATCH($C138,'[1]End - Use Prices'!$A$6:$A$89,0)+MATCH($D138,'[1]End - Use Prices'!$B$9:$B$11,0)-1,MATCH(AX$1,'[1]End - Use Prices'!$C$7:$AL$7,0))</f>
        <v>33.479999999999997</v>
      </c>
      <c r="AY138" s="41">
        <f>INDEX('[1]End - Use Prices'!$C$6:$AL$89,MATCH($C138,'[1]End - Use Prices'!$A$6:$A$89,0)+MATCH($D138,'[1]End - Use Prices'!$B$9:$B$11,0)-1,MATCH(AY$1,'[1]End - Use Prices'!$C$7:$AL$7,0))</f>
        <v>33.409999999999997</v>
      </c>
      <c r="AZ138" s="41">
        <f>INDEX('[1]End - Use Prices'!$C$6:$AL$89,MATCH($C138,'[1]End - Use Prices'!$A$6:$A$89,0)+MATCH($D138,'[1]End - Use Prices'!$B$9:$B$11,0)-1,MATCH(AZ$1,'[1]End - Use Prices'!$C$7:$AL$7,0))</f>
        <v>33.369999999999997</v>
      </c>
      <c r="BA138" s="41">
        <f>INDEX('[1]End - Use Prices'!$C$6:$AL$89,MATCH($C138,'[1]End - Use Prices'!$A$6:$A$89,0)+MATCH($D138,'[1]End - Use Prices'!$B$9:$B$11,0)-1,MATCH(BA$1,'[1]End - Use Prices'!$C$7:$AL$7,0))</f>
        <v>33.369999999999997</v>
      </c>
      <c r="BB138" s="41">
        <f>INDEX('[1]End - Use Prices'!$C$6:$AL$89,MATCH($C138,'[1]End - Use Prices'!$A$6:$A$89,0)+MATCH($D138,'[1]End - Use Prices'!$B$9:$B$11,0)-1,MATCH(BB$1,'[1]End - Use Prices'!$C$7:$AL$7,0))</f>
        <v>33.35</v>
      </c>
      <c r="BC138" s="41">
        <f>INDEX('[1]End - Use Prices'!$C$6:$AL$89,MATCH($C138,'[1]End - Use Prices'!$A$6:$A$89,0)+MATCH($D138,'[1]End - Use Prices'!$B$9:$B$11,0)-1,MATCH(BC$1,'[1]End - Use Prices'!$C$7:$AL$7,0))</f>
        <v>33.31</v>
      </c>
      <c r="BD138" s="41">
        <f>INDEX('[1]End - Use Prices'!$C$6:$AL$89,MATCH($C138,'[1]End - Use Prices'!$A$6:$A$89,0)+MATCH($D138,'[1]End - Use Prices'!$B$9:$B$11,0)-1,MATCH(BD$1,'[1]End - Use Prices'!$C$7:$AL$7,0))</f>
        <v>33.25</v>
      </c>
      <c r="BE138" s="41">
        <f>INDEX('[1]End - Use Prices'!$C$6:$AL$89,MATCH($C138,'[1]End - Use Prices'!$A$6:$A$89,0)+MATCH($D138,'[1]End - Use Prices'!$B$9:$B$11,0)-1,MATCH(BE$1,'[1]End - Use Prices'!$C$7:$AL$7,0))</f>
        <v>33.159999999999997</v>
      </c>
      <c r="BF138" s="41">
        <f>INDEX('[1]End - Use Prices'!$C$6:$AL$89,MATCH($C138,'[1]End - Use Prices'!$A$6:$A$89,0)+MATCH($D138,'[1]End - Use Prices'!$B$9:$B$11,0)-1,MATCH(BF$1,'[1]End - Use Prices'!$C$7:$AL$7,0))</f>
        <v>33.07</v>
      </c>
      <c r="BG138" s="41">
        <f>INDEX('[1]End - Use Prices'!$C$6:$AL$89,MATCH($C138,'[1]End - Use Prices'!$A$6:$A$89,0)+MATCH($D138,'[1]End - Use Prices'!$B$9:$B$11,0)-1,MATCH(BG$1,'[1]End - Use Prices'!$C$7:$AL$7,0))</f>
        <v>32.97</v>
      </c>
      <c r="BR138" s="39"/>
      <c r="BS138" s="39"/>
      <c r="BT138" s="39"/>
      <c r="BU138" s="39"/>
      <c r="BV138" s="39"/>
      <c r="BW138" s="39"/>
      <c r="BX138" s="39"/>
      <c r="BY138" s="39"/>
      <c r="BZ138" s="39"/>
      <c r="CA138" s="39"/>
    </row>
    <row r="139" spans="1:79" x14ac:dyDescent="0.25">
      <c r="A139" s="5"/>
      <c r="B139" s="3"/>
      <c r="C139" s="25" t="s">
        <v>91</v>
      </c>
      <c r="D139" s="25" t="s">
        <v>311</v>
      </c>
      <c r="E139" s="25" t="s">
        <v>313</v>
      </c>
      <c r="F139" s="74" t="s">
        <v>310</v>
      </c>
      <c r="G139" s="54">
        <f t="shared" si="100"/>
        <v>24.67</v>
      </c>
      <c r="H139" s="34">
        <f t="shared" si="135"/>
        <v>24.67</v>
      </c>
      <c r="I139" s="34">
        <f t="shared" si="135"/>
        <v>26.1</v>
      </c>
      <c r="J139" s="34">
        <f t="shared" si="135"/>
        <v>27.54</v>
      </c>
      <c r="K139" s="34">
        <f t="shared" si="135"/>
        <v>38.03</v>
      </c>
      <c r="L139" s="34">
        <f t="shared" si="135"/>
        <v>32.78</v>
      </c>
      <c r="M139" s="34">
        <f t="shared" si="135"/>
        <v>32.11</v>
      </c>
      <c r="N139" s="34">
        <f t="shared" si="135"/>
        <v>31.7</v>
      </c>
      <c r="O139" s="34">
        <f t="shared" si="135"/>
        <v>31.16</v>
      </c>
      <c r="P139" s="54">
        <f t="shared" ref="P139:Q139" si="137">O139</f>
        <v>31.16</v>
      </c>
      <c r="Q139" s="54">
        <f t="shared" si="137"/>
        <v>31.16</v>
      </c>
      <c r="R139" s="38"/>
      <c r="X139" s="41">
        <f>INDEX('[1]End - Use Prices'!$C$6:$AL$89,MATCH($C139,'[1]End - Use Prices'!$A$6:$A$89,0)+MATCH($D139,'[1]End - Use Prices'!$B$9:$B$11,0)-1,MATCH(X$1,'[1]End - Use Prices'!$C$7:$AL$7,0))</f>
        <v>24.67</v>
      </c>
      <c r="Y139" s="41">
        <f>INDEX('[1]End - Use Prices'!$C$6:$AL$89,MATCH($C139,'[1]End - Use Prices'!$A$6:$A$89,0)+MATCH($D139,'[1]End - Use Prices'!$B$9:$B$11,0)-1,MATCH(Y$1,'[1]End - Use Prices'!$C$7:$AL$7,0))</f>
        <v>25.2</v>
      </c>
      <c r="Z139" s="41">
        <f>INDEX('[1]End - Use Prices'!$C$6:$AL$89,MATCH($C139,'[1]End - Use Prices'!$A$6:$A$89,0)+MATCH($D139,'[1]End - Use Prices'!$B$9:$B$11,0)-1,MATCH(Z$1,'[1]End - Use Prices'!$C$7:$AL$7,0))</f>
        <v>25.43</v>
      </c>
      <c r="AA139" s="41">
        <f>INDEX('[1]End - Use Prices'!$C$6:$AL$89,MATCH($C139,'[1]End - Use Prices'!$A$6:$A$89,0)+MATCH($D139,'[1]End - Use Prices'!$B$9:$B$11,0)-1,MATCH(AA$1,'[1]End - Use Prices'!$C$7:$AL$7,0))</f>
        <v>33.47</v>
      </c>
      <c r="AB139" s="41">
        <f>INDEX('[1]End - Use Prices'!$C$6:$AL$89,MATCH($C139,'[1]End - Use Prices'!$A$6:$A$89,0)+MATCH($D139,'[1]End - Use Prices'!$B$9:$B$11,0)-1,MATCH(AB$1,'[1]End - Use Prices'!$C$7:$AL$7,0))</f>
        <v>23.22</v>
      </c>
      <c r="AC139" s="41">
        <f>INDEX('[1]End - Use Prices'!$C$6:$AL$89,MATCH($C139,'[1]End - Use Prices'!$A$6:$A$89,0)+MATCH($D139,'[1]End - Use Prices'!$B$9:$B$11,0)-1,MATCH(AC$1,'[1]End - Use Prices'!$C$7:$AL$7,0))</f>
        <v>26.1</v>
      </c>
      <c r="AD139" s="41">
        <f>INDEX('[1]End - Use Prices'!$C$6:$AL$89,MATCH($C139,'[1]End - Use Prices'!$A$6:$A$89,0)+MATCH($D139,'[1]End - Use Prices'!$B$9:$B$11,0)-1,MATCH(AD$1,'[1]End - Use Prices'!$C$7:$AL$7,0))</f>
        <v>32.090000000000003</v>
      </c>
      <c r="AE139" s="41">
        <f>INDEX('[1]End - Use Prices'!$C$6:$AL$89,MATCH($C139,'[1]End - Use Prices'!$A$6:$A$89,0)+MATCH($D139,'[1]End - Use Prices'!$B$9:$B$11,0)-1,MATCH(AE$1,'[1]End - Use Prices'!$C$7:$AL$7,0))</f>
        <v>33.770000000000003</v>
      </c>
      <c r="AF139" s="41">
        <f>INDEX('[1]End - Use Prices'!$C$6:$AL$89,MATCH($C139,'[1]End - Use Prices'!$A$6:$A$89,0)+MATCH($D139,'[1]End - Use Prices'!$B$9:$B$11,0)-1,MATCH(AF$1,'[1]End - Use Prices'!$C$7:$AL$7,0))</f>
        <v>33.130000000000003</v>
      </c>
      <c r="AG139" s="41">
        <f>INDEX('[1]End - Use Prices'!$C$6:$AL$89,MATCH($C139,'[1]End - Use Prices'!$A$6:$A$89,0)+MATCH($D139,'[1]End - Use Prices'!$B$9:$B$11,0)-1,MATCH(AG$1,'[1]End - Use Prices'!$C$7:$AL$7,0))</f>
        <v>33.630000000000003</v>
      </c>
      <c r="AH139" s="41">
        <f>INDEX('[1]End - Use Prices'!$C$6:$AL$89,MATCH($C139,'[1]End - Use Prices'!$A$6:$A$89,0)+MATCH($D139,'[1]End - Use Prices'!$B$9:$B$11,0)-1,MATCH(AH$1,'[1]End - Use Prices'!$C$7:$AL$7,0))</f>
        <v>27.54</v>
      </c>
      <c r="AI139" s="41">
        <f>INDEX('[1]End - Use Prices'!$C$6:$AL$89,MATCH($C139,'[1]End - Use Prices'!$A$6:$A$89,0)+MATCH($D139,'[1]End - Use Prices'!$B$9:$B$11,0)-1,MATCH(AI$1,'[1]End - Use Prices'!$C$7:$AL$7,0))</f>
        <v>23.58</v>
      </c>
      <c r="AJ139" s="41">
        <f>INDEX('[1]End - Use Prices'!$C$6:$AL$89,MATCH($C139,'[1]End - Use Prices'!$A$6:$A$89,0)+MATCH($D139,'[1]End - Use Prices'!$B$9:$B$11,0)-1,MATCH(AJ$1,'[1]End - Use Prices'!$C$7:$AL$7,0))</f>
        <v>25.75</v>
      </c>
      <c r="AK139" s="41">
        <f>INDEX('[1]End - Use Prices'!$C$6:$AL$89,MATCH($C139,'[1]End - Use Prices'!$A$6:$A$89,0)+MATCH($D139,'[1]End - Use Prices'!$B$9:$B$11,0)-1,MATCH(AK$1,'[1]End - Use Prices'!$C$7:$AL$7,0))</f>
        <v>30.37</v>
      </c>
      <c r="AL139" s="41">
        <f>INDEX('[1]End - Use Prices'!$C$6:$AL$89,MATCH($C139,'[1]End - Use Prices'!$A$6:$A$89,0)+MATCH($D139,'[1]End - Use Prices'!$B$9:$B$11,0)-1,MATCH(AL$1,'[1]End - Use Prices'!$C$7:$AL$7,0))</f>
        <v>34.700000000000003</v>
      </c>
      <c r="AM139" s="41">
        <f>INDEX('[1]End - Use Prices'!$C$6:$AL$89,MATCH($C139,'[1]End - Use Prices'!$A$6:$A$89,0)+MATCH($D139,'[1]End - Use Prices'!$B$9:$B$11,0)-1,MATCH(AM$1,'[1]End - Use Prices'!$C$7:$AL$7,0))</f>
        <v>38.03</v>
      </c>
      <c r="AN139" s="41">
        <f>INDEX('[1]End - Use Prices'!$C$6:$AL$89,MATCH($C139,'[1]End - Use Prices'!$A$6:$A$89,0)+MATCH($D139,'[1]End - Use Prices'!$B$9:$B$11,0)-1,MATCH(AN$1,'[1]End - Use Prices'!$C$7:$AL$7,0))</f>
        <v>34.799999999999997</v>
      </c>
      <c r="AO139" s="41">
        <f>INDEX('[1]End - Use Prices'!$C$6:$AL$89,MATCH($C139,'[1]End - Use Prices'!$A$6:$A$89,0)+MATCH($D139,'[1]End - Use Prices'!$B$9:$B$11,0)-1,MATCH(AO$1,'[1]End - Use Prices'!$C$7:$AL$7,0))</f>
        <v>32.68</v>
      </c>
      <c r="AP139" s="41">
        <f>INDEX('[1]End - Use Prices'!$C$6:$AL$89,MATCH($C139,'[1]End - Use Prices'!$A$6:$A$89,0)+MATCH($D139,'[1]End - Use Prices'!$B$9:$B$11,0)-1,MATCH(AP$1,'[1]End - Use Prices'!$C$7:$AL$7,0))</f>
        <v>32.369999999999997</v>
      </c>
      <c r="AQ139" s="41">
        <f>INDEX('[1]End - Use Prices'!$C$6:$AL$89,MATCH($C139,'[1]End - Use Prices'!$A$6:$A$89,0)+MATCH($D139,'[1]End - Use Prices'!$B$9:$B$11,0)-1,MATCH(AQ$1,'[1]End - Use Prices'!$C$7:$AL$7,0))</f>
        <v>32.47</v>
      </c>
      <c r="AR139" s="41">
        <f>INDEX('[1]End - Use Prices'!$C$6:$AL$89,MATCH($C139,'[1]End - Use Prices'!$A$6:$A$89,0)+MATCH($D139,'[1]End - Use Prices'!$B$9:$B$11,0)-1,MATCH(AR$1,'[1]End - Use Prices'!$C$7:$AL$7,0))</f>
        <v>32.78</v>
      </c>
      <c r="AS139" s="41">
        <f>INDEX('[1]End - Use Prices'!$C$6:$AL$89,MATCH($C139,'[1]End - Use Prices'!$A$6:$A$89,0)+MATCH($D139,'[1]End - Use Prices'!$B$9:$B$11,0)-1,MATCH(AS$1,'[1]End - Use Prices'!$C$7:$AL$7,0))</f>
        <v>33.03</v>
      </c>
      <c r="AT139" s="41">
        <f>INDEX('[1]End - Use Prices'!$C$6:$AL$89,MATCH($C139,'[1]End - Use Prices'!$A$6:$A$89,0)+MATCH($D139,'[1]End - Use Prices'!$B$9:$B$11,0)-1,MATCH(AT$1,'[1]End - Use Prices'!$C$7:$AL$7,0))</f>
        <v>32.81</v>
      </c>
      <c r="AU139" s="41">
        <f>INDEX('[1]End - Use Prices'!$C$6:$AL$89,MATCH($C139,'[1]End - Use Prices'!$A$6:$A$89,0)+MATCH($D139,'[1]End - Use Prices'!$B$9:$B$11,0)-1,MATCH(AU$1,'[1]End - Use Prices'!$C$7:$AL$7,0))</f>
        <v>32.549999999999997</v>
      </c>
      <c r="AV139" s="41">
        <f>INDEX('[1]End - Use Prices'!$C$6:$AL$89,MATCH($C139,'[1]End - Use Prices'!$A$6:$A$89,0)+MATCH($D139,'[1]End - Use Prices'!$B$9:$B$11,0)-1,MATCH(AV$1,'[1]End - Use Prices'!$C$7:$AL$7,0))</f>
        <v>32.33</v>
      </c>
      <c r="AW139" s="41">
        <f>INDEX('[1]End - Use Prices'!$C$6:$AL$89,MATCH($C139,'[1]End - Use Prices'!$A$6:$A$89,0)+MATCH($D139,'[1]End - Use Prices'!$B$9:$B$11,0)-1,MATCH(AW$1,'[1]End - Use Prices'!$C$7:$AL$7,0))</f>
        <v>32.11</v>
      </c>
      <c r="AX139" s="41">
        <f>INDEX('[1]End - Use Prices'!$C$6:$AL$89,MATCH($C139,'[1]End - Use Prices'!$A$6:$A$89,0)+MATCH($D139,'[1]End - Use Prices'!$B$9:$B$11,0)-1,MATCH(AX$1,'[1]End - Use Prices'!$C$7:$AL$7,0))</f>
        <v>31.96</v>
      </c>
      <c r="AY139" s="41">
        <f>INDEX('[1]End - Use Prices'!$C$6:$AL$89,MATCH($C139,'[1]End - Use Prices'!$A$6:$A$89,0)+MATCH($D139,'[1]End - Use Prices'!$B$9:$B$11,0)-1,MATCH(AY$1,'[1]End - Use Prices'!$C$7:$AL$7,0))</f>
        <v>31.85</v>
      </c>
      <c r="AZ139" s="41">
        <f>INDEX('[1]End - Use Prices'!$C$6:$AL$89,MATCH($C139,'[1]End - Use Prices'!$A$6:$A$89,0)+MATCH($D139,'[1]End - Use Prices'!$B$9:$B$11,0)-1,MATCH(AZ$1,'[1]End - Use Prices'!$C$7:$AL$7,0))</f>
        <v>31.79</v>
      </c>
      <c r="BA139" s="41">
        <f>INDEX('[1]End - Use Prices'!$C$6:$AL$89,MATCH($C139,'[1]End - Use Prices'!$A$6:$A$89,0)+MATCH($D139,'[1]End - Use Prices'!$B$9:$B$11,0)-1,MATCH(BA$1,'[1]End - Use Prices'!$C$7:$AL$7,0))</f>
        <v>31.75</v>
      </c>
      <c r="BB139" s="41">
        <f>INDEX('[1]End - Use Prices'!$C$6:$AL$89,MATCH($C139,'[1]End - Use Prices'!$A$6:$A$89,0)+MATCH($D139,'[1]End - Use Prices'!$B$9:$B$11,0)-1,MATCH(BB$1,'[1]End - Use Prices'!$C$7:$AL$7,0))</f>
        <v>31.7</v>
      </c>
      <c r="BC139" s="41">
        <f>INDEX('[1]End - Use Prices'!$C$6:$AL$89,MATCH($C139,'[1]End - Use Prices'!$A$6:$A$89,0)+MATCH($D139,'[1]End - Use Prices'!$B$9:$B$11,0)-1,MATCH(BC$1,'[1]End - Use Prices'!$C$7:$AL$7,0))</f>
        <v>31.63</v>
      </c>
      <c r="BD139" s="41">
        <f>INDEX('[1]End - Use Prices'!$C$6:$AL$89,MATCH($C139,'[1]End - Use Prices'!$A$6:$A$89,0)+MATCH($D139,'[1]End - Use Prices'!$B$9:$B$11,0)-1,MATCH(BD$1,'[1]End - Use Prices'!$C$7:$AL$7,0))</f>
        <v>31.54</v>
      </c>
      <c r="BE139" s="41">
        <f>INDEX('[1]End - Use Prices'!$C$6:$AL$89,MATCH($C139,'[1]End - Use Prices'!$A$6:$A$89,0)+MATCH($D139,'[1]End - Use Prices'!$B$9:$B$11,0)-1,MATCH(BE$1,'[1]End - Use Prices'!$C$7:$AL$7,0))</f>
        <v>31.42</v>
      </c>
      <c r="BF139" s="41">
        <f>INDEX('[1]End - Use Prices'!$C$6:$AL$89,MATCH($C139,'[1]End - Use Prices'!$A$6:$A$89,0)+MATCH($D139,'[1]End - Use Prices'!$B$9:$B$11,0)-1,MATCH(BF$1,'[1]End - Use Prices'!$C$7:$AL$7,0))</f>
        <v>31.3</v>
      </c>
      <c r="BG139" s="41">
        <f>INDEX('[1]End - Use Prices'!$C$6:$AL$89,MATCH($C139,'[1]End - Use Prices'!$A$6:$A$89,0)+MATCH($D139,'[1]End - Use Prices'!$B$9:$B$11,0)-1,MATCH(BG$1,'[1]End - Use Prices'!$C$7:$AL$7,0))</f>
        <v>31.16</v>
      </c>
      <c r="BR139" s="39"/>
      <c r="BS139" s="39"/>
      <c r="BT139" s="39"/>
      <c r="BU139" s="39"/>
      <c r="BV139" s="39"/>
      <c r="BW139" s="39"/>
      <c r="BX139" s="39"/>
      <c r="BY139" s="39"/>
      <c r="BZ139" s="39"/>
      <c r="CA139" s="39"/>
    </row>
    <row r="140" spans="1:79" x14ac:dyDescent="0.25">
      <c r="A140" s="5"/>
      <c r="B140" s="3"/>
      <c r="C140" s="25" t="s">
        <v>92</v>
      </c>
      <c r="D140" s="25" t="s">
        <v>311</v>
      </c>
      <c r="E140" s="25" t="s">
        <v>313</v>
      </c>
      <c r="F140" s="74" t="s">
        <v>310</v>
      </c>
      <c r="G140" s="54">
        <f t="shared" si="100"/>
        <v>25.66</v>
      </c>
      <c r="H140" s="34">
        <f t="shared" si="135"/>
        <v>25.66</v>
      </c>
      <c r="I140" s="34">
        <f t="shared" si="135"/>
        <v>28.54</v>
      </c>
      <c r="J140" s="34">
        <f t="shared" si="135"/>
        <v>30.91</v>
      </c>
      <c r="K140" s="34">
        <f t="shared" si="135"/>
        <v>41.65</v>
      </c>
      <c r="L140" s="34">
        <f t="shared" si="135"/>
        <v>36.79</v>
      </c>
      <c r="M140" s="34">
        <f t="shared" si="135"/>
        <v>36.32</v>
      </c>
      <c r="N140" s="34">
        <f t="shared" si="135"/>
        <v>36.090000000000003</v>
      </c>
      <c r="O140" s="34">
        <f t="shared" si="135"/>
        <v>35.71</v>
      </c>
      <c r="P140" s="54">
        <f t="shared" ref="P140:Q140" si="138">O140</f>
        <v>35.71</v>
      </c>
      <c r="Q140" s="54">
        <f t="shared" si="138"/>
        <v>35.71</v>
      </c>
      <c r="R140" s="38"/>
      <c r="X140" s="41">
        <f>INDEX('[1]End - Use Prices'!$C$6:$AL$89,MATCH($C140,'[1]End - Use Prices'!$A$6:$A$89,0)+MATCH($D140,'[1]End - Use Prices'!$B$9:$B$11,0)-1,MATCH(X$1,'[1]End - Use Prices'!$C$7:$AL$7,0))</f>
        <v>25.66</v>
      </c>
      <c r="Y140" s="41">
        <f>INDEX('[1]End - Use Prices'!$C$6:$AL$89,MATCH($C140,'[1]End - Use Prices'!$A$6:$A$89,0)+MATCH($D140,'[1]End - Use Prices'!$B$9:$B$11,0)-1,MATCH(Y$1,'[1]End - Use Prices'!$C$7:$AL$7,0))</f>
        <v>26.36</v>
      </c>
      <c r="Z140" s="41">
        <f>INDEX('[1]End - Use Prices'!$C$6:$AL$89,MATCH($C140,'[1]End - Use Prices'!$A$6:$A$89,0)+MATCH($D140,'[1]End - Use Prices'!$B$9:$B$11,0)-1,MATCH(Z$1,'[1]End - Use Prices'!$C$7:$AL$7,0))</f>
        <v>27.18</v>
      </c>
      <c r="AA140" s="41">
        <f>INDEX('[1]End - Use Prices'!$C$6:$AL$89,MATCH($C140,'[1]End - Use Prices'!$A$6:$A$89,0)+MATCH($D140,'[1]End - Use Prices'!$B$9:$B$11,0)-1,MATCH(AA$1,'[1]End - Use Prices'!$C$7:$AL$7,0))</f>
        <v>33.630000000000003</v>
      </c>
      <c r="AB140" s="41">
        <f>INDEX('[1]End - Use Prices'!$C$6:$AL$89,MATCH($C140,'[1]End - Use Prices'!$A$6:$A$89,0)+MATCH($D140,'[1]End - Use Prices'!$B$9:$B$11,0)-1,MATCH(AB$1,'[1]End - Use Prices'!$C$7:$AL$7,0))</f>
        <v>25.05</v>
      </c>
      <c r="AC140" s="41">
        <f>INDEX('[1]End - Use Prices'!$C$6:$AL$89,MATCH($C140,'[1]End - Use Prices'!$A$6:$A$89,0)+MATCH($D140,'[1]End - Use Prices'!$B$9:$B$11,0)-1,MATCH(AC$1,'[1]End - Use Prices'!$C$7:$AL$7,0))</f>
        <v>28.54</v>
      </c>
      <c r="AD140" s="41">
        <f>INDEX('[1]End - Use Prices'!$C$6:$AL$89,MATCH($C140,'[1]End - Use Prices'!$A$6:$A$89,0)+MATCH($D140,'[1]End - Use Prices'!$B$9:$B$11,0)-1,MATCH(AD$1,'[1]End - Use Prices'!$C$7:$AL$7,0))</f>
        <v>35.020000000000003</v>
      </c>
      <c r="AE140" s="41">
        <f>INDEX('[1]End - Use Prices'!$C$6:$AL$89,MATCH($C140,'[1]End - Use Prices'!$A$6:$A$89,0)+MATCH($D140,'[1]End - Use Prices'!$B$9:$B$11,0)-1,MATCH(AE$1,'[1]End - Use Prices'!$C$7:$AL$7,0))</f>
        <v>35.61</v>
      </c>
      <c r="AF140" s="41">
        <f>INDEX('[1]End - Use Prices'!$C$6:$AL$89,MATCH($C140,'[1]End - Use Prices'!$A$6:$A$89,0)+MATCH($D140,'[1]End - Use Prices'!$B$9:$B$11,0)-1,MATCH(AF$1,'[1]End - Use Prices'!$C$7:$AL$7,0))</f>
        <v>35.47</v>
      </c>
      <c r="AG140" s="41">
        <f>INDEX('[1]End - Use Prices'!$C$6:$AL$89,MATCH($C140,'[1]End - Use Prices'!$A$6:$A$89,0)+MATCH($D140,'[1]End - Use Prices'!$B$9:$B$11,0)-1,MATCH(AG$1,'[1]End - Use Prices'!$C$7:$AL$7,0))</f>
        <v>36.5</v>
      </c>
      <c r="AH140" s="41">
        <f>INDEX('[1]End - Use Prices'!$C$6:$AL$89,MATCH($C140,'[1]End - Use Prices'!$A$6:$A$89,0)+MATCH($D140,'[1]End - Use Prices'!$B$9:$B$11,0)-1,MATCH(AH$1,'[1]End - Use Prices'!$C$7:$AL$7,0))</f>
        <v>30.91</v>
      </c>
      <c r="AI140" s="41">
        <f>INDEX('[1]End - Use Prices'!$C$6:$AL$89,MATCH($C140,'[1]End - Use Prices'!$A$6:$A$89,0)+MATCH($D140,'[1]End - Use Prices'!$B$9:$B$11,0)-1,MATCH(AI$1,'[1]End - Use Prices'!$C$7:$AL$7,0))</f>
        <v>27.23</v>
      </c>
      <c r="AJ140" s="41">
        <f>INDEX('[1]End - Use Prices'!$C$6:$AL$89,MATCH($C140,'[1]End - Use Prices'!$A$6:$A$89,0)+MATCH($D140,'[1]End - Use Prices'!$B$9:$B$11,0)-1,MATCH(AJ$1,'[1]End - Use Prices'!$C$7:$AL$7,0))</f>
        <v>31.23</v>
      </c>
      <c r="AK140" s="41">
        <f>INDEX('[1]End - Use Prices'!$C$6:$AL$89,MATCH($C140,'[1]End - Use Prices'!$A$6:$A$89,0)+MATCH($D140,'[1]End - Use Prices'!$B$9:$B$11,0)-1,MATCH(AK$1,'[1]End - Use Prices'!$C$7:$AL$7,0))</f>
        <v>35.57</v>
      </c>
      <c r="AL140" s="41">
        <f>INDEX('[1]End - Use Prices'!$C$6:$AL$89,MATCH($C140,'[1]End - Use Prices'!$A$6:$A$89,0)+MATCH($D140,'[1]End - Use Prices'!$B$9:$B$11,0)-1,MATCH(AL$1,'[1]End - Use Prices'!$C$7:$AL$7,0))</f>
        <v>38.32</v>
      </c>
      <c r="AM140" s="41">
        <f>INDEX('[1]End - Use Prices'!$C$6:$AL$89,MATCH($C140,'[1]End - Use Prices'!$A$6:$A$89,0)+MATCH($D140,'[1]End - Use Prices'!$B$9:$B$11,0)-1,MATCH(AM$1,'[1]End - Use Prices'!$C$7:$AL$7,0))</f>
        <v>41.65</v>
      </c>
      <c r="AN140" s="41">
        <f>INDEX('[1]End - Use Prices'!$C$6:$AL$89,MATCH($C140,'[1]End - Use Prices'!$A$6:$A$89,0)+MATCH($D140,'[1]End - Use Prices'!$B$9:$B$11,0)-1,MATCH(AN$1,'[1]End - Use Prices'!$C$7:$AL$7,0))</f>
        <v>38.53</v>
      </c>
      <c r="AO140" s="41">
        <f>INDEX('[1]End - Use Prices'!$C$6:$AL$89,MATCH($C140,'[1]End - Use Prices'!$A$6:$A$89,0)+MATCH($D140,'[1]End - Use Prices'!$B$9:$B$11,0)-1,MATCH(AO$1,'[1]End - Use Prices'!$C$7:$AL$7,0))</f>
        <v>36.51</v>
      </c>
      <c r="AP140" s="41">
        <f>INDEX('[1]End - Use Prices'!$C$6:$AL$89,MATCH($C140,'[1]End - Use Prices'!$A$6:$A$89,0)+MATCH($D140,'[1]End - Use Prices'!$B$9:$B$11,0)-1,MATCH(AP$1,'[1]End - Use Prices'!$C$7:$AL$7,0))</f>
        <v>36.270000000000003</v>
      </c>
      <c r="AQ140" s="41">
        <f>INDEX('[1]End - Use Prices'!$C$6:$AL$89,MATCH($C140,'[1]End - Use Prices'!$A$6:$A$89,0)+MATCH($D140,'[1]End - Use Prices'!$B$9:$B$11,0)-1,MATCH(AQ$1,'[1]End - Use Prices'!$C$7:$AL$7,0))</f>
        <v>36.42</v>
      </c>
      <c r="AR140" s="41">
        <f>INDEX('[1]End - Use Prices'!$C$6:$AL$89,MATCH($C140,'[1]End - Use Prices'!$A$6:$A$89,0)+MATCH($D140,'[1]End - Use Prices'!$B$9:$B$11,0)-1,MATCH(AR$1,'[1]End - Use Prices'!$C$7:$AL$7,0))</f>
        <v>36.79</v>
      </c>
      <c r="AS140" s="41">
        <f>INDEX('[1]End - Use Prices'!$C$6:$AL$89,MATCH($C140,'[1]End - Use Prices'!$A$6:$A$89,0)+MATCH($D140,'[1]End - Use Prices'!$B$9:$B$11,0)-1,MATCH(AS$1,'[1]End - Use Prices'!$C$7:$AL$7,0))</f>
        <v>37.08</v>
      </c>
      <c r="AT140" s="41">
        <f>INDEX('[1]End - Use Prices'!$C$6:$AL$89,MATCH($C140,'[1]End - Use Prices'!$A$6:$A$89,0)+MATCH($D140,'[1]End - Use Prices'!$B$9:$B$11,0)-1,MATCH(AT$1,'[1]End - Use Prices'!$C$7:$AL$7,0))</f>
        <v>36.909999999999997</v>
      </c>
      <c r="AU140" s="41">
        <f>INDEX('[1]End - Use Prices'!$C$6:$AL$89,MATCH($C140,'[1]End - Use Prices'!$A$6:$A$89,0)+MATCH($D140,'[1]End - Use Prices'!$B$9:$B$11,0)-1,MATCH(AU$1,'[1]End - Use Prices'!$C$7:$AL$7,0))</f>
        <v>36.69</v>
      </c>
      <c r="AV140" s="41">
        <f>INDEX('[1]End - Use Prices'!$C$6:$AL$89,MATCH($C140,'[1]End - Use Prices'!$A$6:$A$89,0)+MATCH($D140,'[1]End - Use Prices'!$B$9:$B$11,0)-1,MATCH(AV$1,'[1]End - Use Prices'!$C$7:$AL$7,0))</f>
        <v>36.51</v>
      </c>
      <c r="AW140" s="41">
        <f>INDEX('[1]End - Use Prices'!$C$6:$AL$89,MATCH($C140,'[1]End - Use Prices'!$A$6:$A$89,0)+MATCH($D140,'[1]End - Use Prices'!$B$9:$B$11,0)-1,MATCH(AW$1,'[1]End - Use Prices'!$C$7:$AL$7,0))</f>
        <v>36.32</v>
      </c>
      <c r="AX140" s="41">
        <f>INDEX('[1]End - Use Prices'!$C$6:$AL$89,MATCH($C140,'[1]End - Use Prices'!$A$6:$A$89,0)+MATCH($D140,'[1]End - Use Prices'!$B$9:$B$11,0)-1,MATCH(AX$1,'[1]End - Use Prices'!$C$7:$AL$7,0))</f>
        <v>36.22</v>
      </c>
      <c r="AY140" s="41">
        <f>INDEX('[1]End - Use Prices'!$C$6:$AL$89,MATCH($C140,'[1]End - Use Prices'!$A$6:$A$89,0)+MATCH($D140,'[1]End - Use Prices'!$B$9:$B$11,0)-1,MATCH(AY$1,'[1]End - Use Prices'!$C$7:$AL$7,0))</f>
        <v>36.14</v>
      </c>
      <c r="AZ140" s="41">
        <f>INDEX('[1]End - Use Prices'!$C$6:$AL$89,MATCH($C140,'[1]End - Use Prices'!$A$6:$A$89,0)+MATCH($D140,'[1]End - Use Prices'!$B$9:$B$11,0)-1,MATCH(AZ$1,'[1]End - Use Prices'!$C$7:$AL$7,0))</f>
        <v>36.11</v>
      </c>
      <c r="BA140" s="41">
        <f>INDEX('[1]End - Use Prices'!$C$6:$AL$89,MATCH($C140,'[1]End - Use Prices'!$A$6:$A$89,0)+MATCH($D140,'[1]End - Use Prices'!$B$9:$B$11,0)-1,MATCH(BA$1,'[1]End - Use Prices'!$C$7:$AL$7,0))</f>
        <v>36.11</v>
      </c>
      <c r="BB140" s="41">
        <f>INDEX('[1]End - Use Prices'!$C$6:$AL$89,MATCH($C140,'[1]End - Use Prices'!$A$6:$A$89,0)+MATCH($D140,'[1]End - Use Prices'!$B$9:$B$11,0)-1,MATCH(BB$1,'[1]End - Use Prices'!$C$7:$AL$7,0))</f>
        <v>36.090000000000003</v>
      </c>
      <c r="BC140" s="41">
        <f>INDEX('[1]End - Use Prices'!$C$6:$AL$89,MATCH($C140,'[1]End - Use Prices'!$A$6:$A$89,0)+MATCH($D140,'[1]End - Use Prices'!$B$9:$B$11,0)-1,MATCH(BC$1,'[1]End - Use Prices'!$C$7:$AL$7,0))</f>
        <v>36.049999999999997</v>
      </c>
      <c r="BD140" s="41">
        <f>INDEX('[1]End - Use Prices'!$C$6:$AL$89,MATCH($C140,'[1]End - Use Prices'!$A$6:$A$89,0)+MATCH($D140,'[1]End - Use Prices'!$B$9:$B$11,0)-1,MATCH(BD$1,'[1]End - Use Prices'!$C$7:$AL$7,0))</f>
        <v>35.99</v>
      </c>
      <c r="BE140" s="41">
        <f>INDEX('[1]End - Use Prices'!$C$6:$AL$89,MATCH($C140,'[1]End - Use Prices'!$A$6:$A$89,0)+MATCH($D140,'[1]End - Use Prices'!$B$9:$B$11,0)-1,MATCH(BE$1,'[1]End - Use Prices'!$C$7:$AL$7,0))</f>
        <v>35.9</v>
      </c>
      <c r="BF140" s="41">
        <f>INDEX('[1]End - Use Prices'!$C$6:$AL$89,MATCH($C140,'[1]End - Use Prices'!$A$6:$A$89,0)+MATCH($D140,'[1]End - Use Prices'!$B$9:$B$11,0)-1,MATCH(BF$1,'[1]End - Use Prices'!$C$7:$AL$7,0))</f>
        <v>35.81</v>
      </c>
      <c r="BG140" s="41">
        <f>INDEX('[1]End - Use Prices'!$C$6:$AL$89,MATCH($C140,'[1]End - Use Prices'!$A$6:$A$89,0)+MATCH($D140,'[1]End - Use Prices'!$B$9:$B$11,0)-1,MATCH(BG$1,'[1]End - Use Prices'!$C$7:$AL$7,0))</f>
        <v>35.71</v>
      </c>
      <c r="BR140" s="39"/>
      <c r="BS140" s="39"/>
      <c r="BT140" s="39"/>
      <c r="BU140" s="39"/>
      <c r="BV140" s="39"/>
      <c r="BW140" s="39"/>
      <c r="BX140" s="39"/>
      <c r="BY140" s="39"/>
      <c r="BZ140" s="39"/>
      <c r="CA140" s="39"/>
    </row>
    <row r="141" spans="1:79" x14ac:dyDescent="0.25">
      <c r="A141" s="5"/>
      <c r="B141" s="3"/>
      <c r="C141" s="25" t="s">
        <v>93</v>
      </c>
      <c r="D141" s="25" t="s">
        <v>311</v>
      </c>
      <c r="E141" s="25" t="s">
        <v>313</v>
      </c>
      <c r="F141" s="74" t="s">
        <v>310</v>
      </c>
      <c r="G141" s="54">
        <f t="shared" si="100"/>
        <v>26.86</v>
      </c>
      <c r="H141" s="34">
        <f t="shared" si="135"/>
        <v>26.86</v>
      </c>
      <c r="I141" s="34">
        <f t="shared" si="135"/>
        <v>28.11</v>
      </c>
      <c r="J141" s="34">
        <f t="shared" si="135"/>
        <v>26.82</v>
      </c>
      <c r="K141" s="34">
        <f t="shared" si="135"/>
        <v>36.65</v>
      </c>
      <c r="L141" s="34">
        <f t="shared" si="135"/>
        <v>30.13</v>
      </c>
      <c r="M141" s="34">
        <f t="shared" si="135"/>
        <v>29.7</v>
      </c>
      <c r="N141" s="34">
        <f t="shared" si="135"/>
        <v>29.69</v>
      </c>
      <c r="O141" s="34">
        <f t="shared" si="135"/>
        <v>29.56</v>
      </c>
      <c r="P141" s="54">
        <f t="shared" ref="P141:Q141" si="139">O141</f>
        <v>29.56</v>
      </c>
      <c r="Q141" s="54">
        <f t="shared" si="139"/>
        <v>29.56</v>
      </c>
      <c r="R141" s="38"/>
      <c r="X141" s="41">
        <f>INDEX('[1]End - Use Prices'!$C$6:$AL$89,MATCH($C141,'[1]End - Use Prices'!$A$6:$A$89,0)+MATCH($D141,'[1]End - Use Prices'!$B$9:$B$11,0)-1,MATCH(X$1,'[1]End - Use Prices'!$C$7:$AL$7,0))</f>
        <v>26.86</v>
      </c>
      <c r="Y141" s="41">
        <f>INDEX('[1]End - Use Prices'!$C$6:$AL$89,MATCH($C141,'[1]End - Use Prices'!$A$6:$A$89,0)+MATCH($D141,'[1]End - Use Prices'!$B$9:$B$11,0)-1,MATCH(Y$1,'[1]End - Use Prices'!$C$7:$AL$7,0))</f>
        <v>26.92</v>
      </c>
      <c r="Z141" s="41">
        <f>INDEX('[1]End - Use Prices'!$C$6:$AL$89,MATCH($C141,'[1]End - Use Prices'!$A$6:$A$89,0)+MATCH($D141,'[1]End - Use Prices'!$B$9:$B$11,0)-1,MATCH(Z$1,'[1]End - Use Prices'!$C$7:$AL$7,0))</f>
        <v>28.39</v>
      </c>
      <c r="AA141" s="41">
        <f>INDEX('[1]End - Use Prices'!$C$6:$AL$89,MATCH($C141,'[1]End - Use Prices'!$A$6:$A$89,0)+MATCH($D141,'[1]End - Use Prices'!$B$9:$B$11,0)-1,MATCH(AA$1,'[1]End - Use Prices'!$C$7:$AL$7,0))</f>
        <v>34.549999999999997</v>
      </c>
      <c r="AB141" s="41">
        <f>INDEX('[1]End - Use Prices'!$C$6:$AL$89,MATCH($C141,'[1]End - Use Prices'!$A$6:$A$89,0)+MATCH($D141,'[1]End - Use Prices'!$B$9:$B$11,0)-1,MATCH(AB$1,'[1]End - Use Prices'!$C$7:$AL$7,0))</f>
        <v>25.26</v>
      </c>
      <c r="AC141" s="41">
        <f>INDEX('[1]End - Use Prices'!$C$6:$AL$89,MATCH($C141,'[1]End - Use Prices'!$A$6:$A$89,0)+MATCH($D141,'[1]End - Use Prices'!$B$9:$B$11,0)-1,MATCH(AC$1,'[1]End - Use Prices'!$C$7:$AL$7,0))</f>
        <v>28.11</v>
      </c>
      <c r="AD141" s="41">
        <f>INDEX('[1]End - Use Prices'!$C$6:$AL$89,MATCH($C141,'[1]End - Use Prices'!$A$6:$A$89,0)+MATCH($D141,'[1]End - Use Prices'!$B$9:$B$11,0)-1,MATCH(AD$1,'[1]End - Use Prices'!$C$7:$AL$7,0))</f>
        <v>32.72</v>
      </c>
      <c r="AE141" s="41">
        <f>INDEX('[1]End - Use Prices'!$C$6:$AL$89,MATCH($C141,'[1]End - Use Prices'!$A$6:$A$89,0)+MATCH($D141,'[1]End - Use Prices'!$B$9:$B$11,0)-1,MATCH(AE$1,'[1]End - Use Prices'!$C$7:$AL$7,0))</f>
        <v>32.950000000000003</v>
      </c>
      <c r="AF141" s="41">
        <f>INDEX('[1]End - Use Prices'!$C$6:$AL$89,MATCH($C141,'[1]End - Use Prices'!$A$6:$A$89,0)+MATCH($D141,'[1]End - Use Prices'!$B$9:$B$11,0)-1,MATCH(AF$1,'[1]End - Use Prices'!$C$7:$AL$7,0))</f>
        <v>33.5</v>
      </c>
      <c r="AG141" s="41">
        <f>INDEX('[1]End - Use Prices'!$C$6:$AL$89,MATCH($C141,'[1]End - Use Prices'!$A$6:$A$89,0)+MATCH($D141,'[1]End - Use Prices'!$B$9:$B$11,0)-1,MATCH(AG$1,'[1]End - Use Prices'!$C$7:$AL$7,0))</f>
        <v>34.840000000000003</v>
      </c>
      <c r="AH141" s="41">
        <f>INDEX('[1]End - Use Prices'!$C$6:$AL$89,MATCH($C141,'[1]End - Use Prices'!$A$6:$A$89,0)+MATCH($D141,'[1]End - Use Prices'!$B$9:$B$11,0)-1,MATCH(AH$1,'[1]End - Use Prices'!$C$7:$AL$7,0))</f>
        <v>26.82</v>
      </c>
      <c r="AI141" s="41">
        <f>INDEX('[1]End - Use Prices'!$C$6:$AL$89,MATCH($C141,'[1]End - Use Prices'!$A$6:$A$89,0)+MATCH($D141,'[1]End - Use Prices'!$B$9:$B$11,0)-1,MATCH(AI$1,'[1]End - Use Prices'!$C$7:$AL$7,0))</f>
        <v>24</v>
      </c>
      <c r="AJ141" s="41">
        <f>INDEX('[1]End - Use Prices'!$C$6:$AL$89,MATCH($C141,'[1]End - Use Prices'!$A$6:$A$89,0)+MATCH($D141,'[1]End - Use Prices'!$B$9:$B$11,0)-1,MATCH(AJ$1,'[1]End - Use Prices'!$C$7:$AL$7,0))</f>
        <v>26.23</v>
      </c>
      <c r="AK141" s="41">
        <f>INDEX('[1]End - Use Prices'!$C$6:$AL$89,MATCH($C141,'[1]End - Use Prices'!$A$6:$A$89,0)+MATCH($D141,'[1]End - Use Prices'!$B$9:$B$11,0)-1,MATCH(AK$1,'[1]End - Use Prices'!$C$7:$AL$7,0))</f>
        <v>30.14</v>
      </c>
      <c r="AL141" s="41">
        <f>INDEX('[1]End - Use Prices'!$C$6:$AL$89,MATCH($C141,'[1]End - Use Prices'!$A$6:$A$89,0)+MATCH($D141,'[1]End - Use Prices'!$B$9:$B$11,0)-1,MATCH(AL$1,'[1]End - Use Prices'!$C$7:$AL$7,0))</f>
        <v>33.479999999999997</v>
      </c>
      <c r="AM141" s="41">
        <f>INDEX('[1]End - Use Prices'!$C$6:$AL$89,MATCH($C141,'[1]End - Use Prices'!$A$6:$A$89,0)+MATCH($D141,'[1]End - Use Prices'!$B$9:$B$11,0)-1,MATCH(AM$1,'[1]End - Use Prices'!$C$7:$AL$7,0))</f>
        <v>36.65</v>
      </c>
      <c r="AN141" s="41">
        <f>INDEX('[1]End - Use Prices'!$C$6:$AL$89,MATCH($C141,'[1]End - Use Prices'!$A$6:$A$89,0)+MATCH($D141,'[1]End - Use Prices'!$B$9:$B$11,0)-1,MATCH(AN$1,'[1]End - Use Prices'!$C$7:$AL$7,0))</f>
        <v>33.15</v>
      </c>
      <c r="AO141" s="41">
        <f>INDEX('[1]End - Use Prices'!$C$6:$AL$89,MATCH($C141,'[1]End - Use Prices'!$A$6:$A$89,0)+MATCH($D141,'[1]End - Use Prices'!$B$9:$B$11,0)-1,MATCH(AO$1,'[1]End - Use Prices'!$C$7:$AL$7,0))</f>
        <v>30.77</v>
      </c>
      <c r="AP141" s="41">
        <f>INDEX('[1]End - Use Prices'!$C$6:$AL$89,MATCH($C141,'[1]End - Use Prices'!$A$6:$A$89,0)+MATCH($D141,'[1]End - Use Prices'!$B$9:$B$11,0)-1,MATCH(AP$1,'[1]End - Use Prices'!$C$7:$AL$7,0))</f>
        <v>30.2</v>
      </c>
      <c r="AQ141" s="41">
        <f>INDEX('[1]End - Use Prices'!$C$6:$AL$89,MATCH($C141,'[1]End - Use Prices'!$A$6:$A$89,0)+MATCH($D141,'[1]End - Use Prices'!$B$9:$B$11,0)-1,MATCH(AQ$1,'[1]End - Use Prices'!$C$7:$AL$7,0))</f>
        <v>30.06</v>
      </c>
      <c r="AR141" s="41">
        <f>INDEX('[1]End - Use Prices'!$C$6:$AL$89,MATCH($C141,'[1]End - Use Prices'!$A$6:$A$89,0)+MATCH($D141,'[1]End - Use Prices'!$B$9:$B$11,0)-1,MATCH(AR$1,'[1]End - Use Prices'!$C$7:$AL$7,0))</f>
        <v>30.13</v>
      </c>
      <c r="AS141" s="41">
        <f>INDEX('[1]End - Use Prices'!$C$6:$AL$89,MATCH($C141,'[1]End - Use Prices'!$A$6:$A$89,0)+MATCH($D141,'[1]End - Use Prices'!$B$9:$B$11,0)-1,MATCH(AS$1,'[1]End - Use Prices'!$C$7:$AL$7,0))</f>
        <v>30.14</v>
      </c>
      <c r="AT141" s="41">
        <f>INDEX('[1]End - Use Prices'!$C$6:$AL$89,MATCH($C141,'[1]End - Use Prices'!$A$6:$A$89,0)+MATCH($D141,'[1]End - Use Prices'!$B$9:$B$11,0)-1,MATCH(AT$1,'[1]End - Use Prices'!$C$7:$AL$7,0))</f>
        <v>30.06</v>
      </c>
      <c r="AU141" s="41">
        <f>INDEX('[1]End - Use Prices'!$C$6:$AL$89,MATCH($C141,'[1]End - Use Prices'!$A$6:$A$89,0)+MATCH($D141,'[1]End - Use Prices'!$B$9:$B$11,0)-1,MATCH(AU$1,'[1]End - Use Prices'!$C$7:$AL$7,0))</f>
        <v>29.92</v>
      </c>
      <c r="AV141" s="41">
        <f>INDEX('[1]End - Use Prices'!$C$6:$AL$89,MATCH($C141,'[1]End - Use Prices'!$A$6:$A$89,0)+MATCH($D141,'[1]End - Use Prices'!$B$9:$B$11,0)-1,MATCH(AV$1,'[1]End - Use Prices'!$C$7:$AL$7,0))</f>
        <v>29.81</v>
      </c>
      <c r="AW141" s="41">
        <f>INDEX('[1]End - Use Prices'!$C$6:$AL$89,MATCH($C141,'[1]End - Use Prices'!$A$6:$A$89,0)+MATCH($D141,'[1]End - Use Prices'!$B$9:$B$11,0)-1,MATCH(AW$1,'[1]End - Use Prices'!$C$7:$AL$7,0))</f>
        <v>29.7</v>
      </c>
      <c r="AX141" s="41">
        <f>INDEX('[1]End - Use Prices'!$C$6:$AL$89,MATCH($C141,'[1]End - Use Prices'!$A$6:$A$89,0)+MATCH($D141,'[1]End - Use Prices'!$B$9:$B$11,0)-1,MATCH(AX$1,'[1]End - Use Prices'!$C$7:$AL$7,0))</f>
        <v>29.64</v>
      </c>
      <c r="AY141" s="41">
        <f>INDEX('[1]End - Use Prices'!$C$6:$AL$89,MATCH($C141,'[1]End - Use Prices'!$A$6:$A$89,0)+MATCH($D141,'[1]End - Use Prices'!$B$9:$B$11,0)-1,MATCH(AY$1,'[1]End - Use Prices'!$C$7:$AL$7,0))</f>
        <v>29.62</v>
      </c>
      <c r="AZ141" s="41">
        <f>INDEX('[1]End - Use Prices'!$C$6:$AL$89,MATCH($C141,'[1]End - Use Prices'!$A$6:$A$89,0)+MATCH($D141,'[1]End - Use Prices'!$B$9:$B$11,0)-1,MATCH(AZ$1,'[1]End - Use Prices'!$C$7:$AL$7,0))</f>
        <v>29.64</v>
      </c>
      <c r="BA141" s="41">
        <f>INDEX('[1]End - Use Prices'!$C$6:$AL$89,MATCH($C141,'[1]End - Use Prices'!$A$6:$A$89,0)+MATCH($D141,'[1]End - Use Prices'!$B$9:$B$11,0)-1,MATCH(BA$1,'[1]End - Use Prices'!$C$7:$AL$7,0))</f>
        <v>29.67</v>
      </c>
      <c r="BB141" s="41">
        <f>INDEX('[1]End - Use Prices'!$C$6:$AL$89,MATCH($C141,'[1]End - Use Prices'!$A$6:$A$89,0)+MATCH($D141,'[1]End - Use Prices'!$B$9:$B$11,0)-1,MATCH(BB$1,'[1]End - Use Prices'!$C$7:$AL$7,0))</f>
        <v>29.69</v>
      </c>
      <c r="BC141" s="41">
        <f>INDEX('[1]End - Use Prices'!$C$6:$AL$89,MATCH($C141,'[1]End - Use Prices'!$A$6:$A$89,0)+MATCH($D141,'[1]End - Use Prices'!$B$9:$B$11,0)-1,MATCH(BC$1,'[1]End - Use Prices'!$C$7:$AL$7,0))</f>
        <v>29.7</v>
      </c>
      <c r="BD141" s="41">
        <f>INDEX('[1]End - Use Prices'!$C$6:$AL$89,MATCH($C141,'[1]End - Use Prices'!$A$6:$A$89,0)+MATCH($D141,'[1]End - Use Prices'!$B$9:$B$11,0)-1,MATCH(BD$1,'[1]End - Use Prices'!$C$7:$AL$7,0))</f>
        <v>29.69</v>
      </c>
      <c r="BE141" s="41">
        <f>INDEX('[1]End - Use Prices'!$C$6:$AL$89,MATCH($C141,'[1]End - Use Prices'!$A$6:$A$89,0)+MATCH($D141,'[1]End - Use Prices'!$B$9:$B$11,0)-1,MATCH(BE$1,'[1]End - Use Prices'!$C$7:$AL$7,0))</f>
        <v>29.65</v>
      </c>
      <c r="BF141" s="41">
        <f>INDEX('[1]End - Use Prices'!$C$6:$AL$89,MATCH($C141,'[1]End - Use Prices'!$A$6:$A$89,0)+MATCH($D141,'[1]End - Use Prices'!$B$9:$B$11,0)-1,MATCH(BF$1,'[1]End - Use Prices'!$C$7:$AL$7,0))</f>
        <v>29.61</v>
      </c>
      <c r="BG141" s="41">
        <f>INDEX('[1]End - Use Prices'!$C$6:$AL$89,MATCH($C141,'[1]End - Use Prices'!$A$6:$A$89,0)+MATCH($D141,'[1]End - Use Prices'!$B$9:$B$11,0)-1,MATCH(BG$1,'[1]End - Use Prices'!$C$7:$AL$7,0))</f>
        <v>29.56</v>
      </c>
      <c r="BR141" s="39"/>
      <c r="BS141" s="39"/>
      <c r="BT141" s="39"/>
      <c r="BU141" s="39"/>
      <c r="BV141" s="39"/>
      <c r="BW141" s="39"/>
      <c r="BX141" s="39"/>
      <c r="BY141" s="39"/>
      <c r="BZ141" s="39"/>
      <c r="CA141" s="39"/>
    </row>
    <row r="142" spans="1:79" x14ac:dyDescent="0.25">
      <c r="A142" s="5"/>
      <c r="B142" s="3"/>
      <c r="C142" s="25" t="s">
        <v>94</v>
      </c>
      <c r="D142" s="25" t="s">
        <v>311</v>
      </c>
      <c r="E142" s="25" t="s">
        <v>313</v>
      </c>
      <c r="F142" s="74" t="s">
        <v>310</v>
      </c>
      <c r="G142" s="54">
        <f t="shared" si="100"/>
        <v>26.98</v>
      </c>
      <c r="H142" s="34">
        <f t="shared" si="135"/>
        <v>26.98</v>
      </c>
      <c r="I142" s="34">
        <f t="shared" si="135"/>
        <v>26.99</v>
      </c>
      <c r="J142" s="34">
        <f t="shared" si="135"/>
        <v>26.82</v>
      </c>
      <c r="K142" s="34">
        <f t="shared" si="135"/>
        <v>37.92</v>
      </c>
      <c r="L142" s="34">
        <f t="shared" si="135"/>
        <v>33.53</v>
      </c>
      <c r="M142" s="34">
        <f t="shared" si="135"/>
        <v>32.72</v>
      </c>
      <c r="N142" s="34">
        <f t="shared" si="135"/>
        <v>32.49</v>
      </c>
      <c r="O142" s="34">
        <f t="shared" si="135"/>
        <v>32.130000000000003</v>
      </c>
      <c r="P142" s="54">
        <f t="shared" ref="P142:Q142" si="140">O142</f>
        <v>32.130000000000003</v>
      </c>
      <c r="Q142" s="54">
        <f t="shared" si="140"/>
        <v>32.130000000000003</v>
      </c>
      <c r="R142" s="38"/>
      <c r="X142" s="41">
        <f>INDEX('[1]End - Use Prices'!$C$6:$AL$89,MATCH($C142,'[1]End - Use Prices'!$A$6:$A$89,0)+MATCH($D142,'[1]End - Use Prices'!$B$9:$B$11,0)-1,MATCH(X$1,'[1]End - Use Prices'!$C$7:$AL$7,0))</f>
        <v>26.98</v>
      </c>
      <c r="Y142" s="41">
        <f>INDEX('[1]End - Use Prices'!$C$6:$AL$89,MATCH($C142,'[1]End - Use Prices'!$A$6:$A$89,0)+MATCH($D142,'[1]End - Use Prices'!$B$9:$B$11,0)-1,MATCH(Y$1,'[1]End - Use Prices'!$C$7:$AL$7,0))</f>
        <v>26.48</v>
      </c>
      <c r="Z142" s="41">
        <f>INDEX('[1]End - Use Prices'!$C$6:$AL$89,MATCH($C142,'[1]End - Use Prices'!$A$6:$A$89,0)+MATCH($D142,'[1]End - Use Prices'!$B$9:$B$11,0)-1,MATCH(Z$1,'[1]End - Use Prices'!$C$7:$AL$7,0))</f>
        <v>28.47</v>
      </c>
      <c r="AA142" s="41">
        <f>INDEX('[1]End - Use Prices'!$C$6:$AL$89,MATCH($C142,'[1]End - Use Prices'!$A$6:$A$89,0)+MATCH($D142,'[1]End - Use Prices'!$B$9:$B$11,0)-1,MATCH(AA$1,'[1]End - Use Prices'!$C$7:$AL$7,0))</f>
        <v>34.4</v>
      </c>
      <c r="AB142" s="41">
        <f>INDEX('[1]End - Use Prices'!$C$6:$AL$89,MATCH($C142,'[1]End - Use Prices'!$A$6:$A$89,0)+MATCH($D142,'[1]End - Use Prices'!$B$9:$B$11,0)-1,MATCH(AB$1,'[1]End - Use Prices'!$C$7:$AL$7,0))</f>
        <v>24.36</v>
      </c>
      <c r="AC142" s="41">
        <f>INDEX('[1]End - Use Prices'!$C$6:$AL$89,MATCH($C142,'[1]End - Use Prices'!$A$6:$A$89,0)+MATCH($D142,'[1]End - Use Prices'!$B$9:$B$11,0)-1,MATCH(AC$1,'[1]End - Use Prices'!$C$7:$AL$7,0))</f>
        <v>26.99</v>
      </c>
      <c r="AD142" s="41">
        <f>INDEX('[1]End - Use Prices'!$C$6:$AL$89,MATCH($C142,'[1]End - Use Prices'!$A$6:$A$89,0)+MATCH($D142,'[1]End - Use Prices'!$B$9:$B$11,0)-1,MATCH(AD$1,'[1]End - Use Prices'!$C$7:$AL$7,0))</f>
        <v>32.65</v>
      </c>
      <c r="AE142" s="41">
        <f>INDEX('[1]End - Use Prices'!$C$6:$AL$89,MATCH($C142,'[1]End - Use Prices'!$A$6:$A$89,0)+MATCH($D142,'[1]End - Use Prices'!$B$9:$B$11,0)-1,MATCH(AE$1,'[1]End - Use Prices'!$C$7:$AL$7,0))</f>
        <v>31.57</v>
      </c>
      <c r="AF142" s="41">
        <f>INDEX('[1]End - Use Prices'!$C$6:$AL$89,MATCH($C142,'[1]End - Use Prices'!$A$6:$A$89,0)+MATCH($D142,'[1]End - Use Prices'!$B$9:$B$11,0)-1,MATCH(AF$1,'[1]End - Use Prices'!$C$7:$AL$7,0))</f>
        <v>32.36</v>
      </c>
      <c r="AG142" s="41">
        <f>INDEX('[1]End - Use Prices'!$C$6:$AL$89,MATCH($C142,'[1]End - Use Prices'!$A$6:$A$89,0)+MATCH($D142,'[1]End - Use Prices'!$B$9:$B$11,0)-1,MATCH(AG$1,'[1]End - Use Prices'!$C$7:$AL$7,0))</f>
        <v>35.340000000000003</v>
      </c>
      <c r="AH142" s="41">
        <f>INDEX('[1]End - Use Prices'!$C$6:$AL$89,MATCH($C142,'[1]End - Use Prices'!$A$6:$A$89,0)+MATCH($D142,'[1]End - Use Prices'!$B$9:$B$11,0)-1,MATCH(AH$1,'[1]End - Use Prices'!$C$7:$AL$7,0))</f>
        <v>26.82</v>
      </c>
      <c r="AI142" s="41">
        <f>INDEX('[1]End - Use Prices'!$C$6:$AL$89,MATCH($C142,'[1]End - Use Prices'!$A$6:$A$89,0)+MATCH($D142,'[1]End - Use Prices'!$B$9:$B$11,0)-1,MATCH(AI$1,'[1]End - Use Prices'!$C$7:$AL$7,0))</f>
        <v>24.02</v>
      </c>
      <c r="AJ142" s="41">
        <f>INDEX('[1]End - Use Prices'!$C$6:$AL$89,MATCH($C142,'[1]End - Use Prices'!$A$6:$A$89,0)+MATCH($D142,'[1]End - Use Prices'!$B$9:$B$11,0)-1,MATCH(AJ$1,'[1]End - Use Prices'!$C$7:$AL$7,0))</f>
        <v>26.27</v>
      </c>
      <c r="AK142" s="41">
        <f>INDEX('[1]End - Use Prices'!$C$6:$AL$89,MATCH($C142,'[1]End - Use Prices'!$A$6:$A$89,0)+MATCH($D142,'[1]End - Use Prices'!$B$9:$B$11,0)-1,MATCH(AK$1,'[1]End - Use Prices'!$C$7:$AL$7,0))</f>
        <v>29.87</v>
      </c>
      <c r="AL142" s="41">
        <f>INDEX('[1]End - Use Prices'!$C$6:$AL$89,MATCH($C142,'[1]End - Use Prices'!$A$6:$A$89,0)+MATCH($D142,'[1]End - Use Prices'!$B$9:$B$11,0)-1,MATCH(AL$1,'[1]End - Use Prices'!$C$7:$AL$7,0))</f>
        <v>33.14</v>
      </c>
      <c r="AM142" s="41">
        <f>INDEX('[1]End - Use Prices'!$C$6:$AL$89,MATCH($C142,'[1]End - Use Prices'!$A$6:$A$89,0)+MATCH($D142,'[1]End - Use Prices'!$B$9:$B$11,0)-1,MATCH(AM$1,'[1]End - Use Prices'!$C$7:$AL$7,0))</f>
        <v>37.92</v>
      </c>
      <c r="AN142" s="41">
        <f>INDEX('[1]End - Use Prices'!$C$6:$AL$89,MATCH($C142,'[1]End - Use Prices'!$A$6:$A$89,0)+MATCH($D142,'[1]End - Use Prices'!$B$9:$B$11,0)-1,MATCH(AN$1,'[1]End - Use Prices'!$C$7:$AL$7,0))</f>
        <v>35.28</v>
      </c>
      <c r="AO142" s="41">
        <f>INDEX('[1]End - Use Prices'!$C$6:$AL$89,MATCH($C142,'[1]End - Use Prices'!$A$6:$A$89,0)+MATCH($D142,'[1]End - Use Prices'!$B$9:$B$11,0)-1,MATCH(AO$1,'[1]End - Use Prices'!$C$7:$AL$7,0))</f>
        <v>33.700000000000003</v>
      </c>
      <c r="AP142" s="41">
        <f>INDEX('[1]End - Use Prices'!$C$6:$AL$89,MATCH($C142,'[1]End - Use Prices'!$A$6:$A$89,0)+MATCH($D142,'[1]End - Use Prices'!$B$9:$B$11,0)-1,MATCH(AP$1,'[1]End - Use Prices'!$C$7:$AL$7,0))</f>
        <v>33.82</v>
      </c>
      <c r="AQ142" s="41">
        <f>INDEX('[1]End - Use Prices'!$C$6:$AL$89,MATCH($C142,'[1]End - Use Prices'!$A$6:$A$89,0)+MATCH($D142,'[1]End - Use Prices'!$B$9:$B$11,0)-1,MATCH(AQ$1,'[1]End - Use Prices'!$C$7:$AL$7,0))</f>
        <v>33.549999999999997</v>
      </c>
      <c r="AR142" s="41">
        <f>INDEX('[1]End - Use Prices'!$C$6:$AL$89,MATCH($C142,'[1]End - Use Prices'!$A$6:$A$89,0)+MATCH($D142,'[1]End - Use Prices'!$B$9:$B$11,0)-1,MATCH(AR$1,'[1]End - Use Prices'!$C$7:$AL$7,0))</f>
        <v>33.53</v>
      </c>
      <c r="AS142" s="41">
        <f>INDEX('[1]End - Use Prices'!$C$6:$AL$89,MATCH($C142,'[1]End - Use Prices'!$A$6:$A$89,0)+MATCH($D142,'[1]End - Use Prices'!$B$9:$B$11,0)-1,MATCH(AS$1,'[1]End - Use Prices'!$C$7:$AL$7,0))</f>
        <v>33.46</v>
      </c>
      <c r="AT142" s="41">
        <f>INDEX('[1]End - Use Prices'!$C$6:$AL$89,MATCH($C142,'[1]End - Use Prices'!$A$6:$A$89,0)+MATCH($D142,'[1]End - Use Prices'!$B$9:$B$11,0)-1,MATCH(AT$1,'[1]End - Use Prices'!$C$7:$AL$7,0))</f>
        <v>33.29</v>
      </c>
      <c r="AU142" s="41">
        <f>INDEX('[1]End - Use Prices'!$C$6:$AL$89,MATCH($C142,'[1]End - Use Prices'!$A$6:$A$89,0)+MATCH($D142,'[1]End - Use Prices'!$B$9:$B$11,0)-1,MATCH(AU$1,'[1]End - Use Prices'!$C$7:$AL$7,0))</f>
        <v>33.07</v>
      </c>
      <c r="AV142" s="41">
        <f>INDEX('[1]End - Use Prices'!$C$6:$AL$89,MATCH($C142,'[1]End - Use Prices'!$A$6:$A$89,0)+MATCH($D142,'[1]End - Use Prices'!$B$9:$B$11,0)-1,MATCH(AV$1,'[1]End - Use Prices'!$C$7:$AL$7,0))</f>
        <v>32.9</v>
      </c>
      <c r="AW142" s="41">
        <f>INDEX('[1]End - Use Prices'!$C$6:$AL$89,MATCH($C142,'[1]End - Use Prices'!$A$6:$A$89,0)+MATCH($D142,'[1]End - Use Prices'!$B$9:$B$11,0)-1,MATCH(AW$1,'[1]End - Use Prices'!$C$7:$AL$7,0))</f>
        <v>32.72</v>
      </c>
      <c r="AX142" s="41">
        <f>INDEX('[1]End - Use Prices'!$C$6:$AL$89,MATCH($C142,'[1]End - Use Prices'!$A$6:$A$89,0)+MATCH($D142,'[1]End - Use Prices'!$B$9:$B$11,0)-1,MATCH(AX$1,'[1]End - Use Prices'!$C$7:$AL$7,0))</f>
        <v>32.619999999999997</v>
      </c>
      <c r="AY142" s="41">
        <f>INDEX('[1]End - Use Prices'!$C$6:$AL$89,MATCH($C142,'[1]End - Use Prices'!$A$6:$A$89,0)+MATCH($D142,'[1]End - Use Prices'!$B$9:$B$11,0)-1,MATCH(AY$1,'[1]End - Use Prices'!$C$7:$AL$7,0))</f>
        <v>32.549999999999997</v>
      </c>
      <c r="AZ142" s="41">
        <f>INDEX('[1]End - Use Prices'!$C$6:$AL$89,MATCH($C142,'[1]End - Use Prices'!$A$6:$A$89,0)+MATCH($D142,'[1]End - Use Prices'!$B$9:$B$11,0)-1,MATCH(AZ$1,'[1]End - Use Prices'!$C$7:$AL$7,0))</f>
        <v>32.520000000000003</v>
      </c>
      <c r="BA142" s="41">
        <f>INDEX('[1]End - Use Prices'!$C$6:$AL$89,MATCH($C142,'[1]End - Use Prices'!$A$6:$A$89,0)+MATCH($D142,'[1]End - Use Prices'!$B$9:$B$11,0)-1,MATCH(BA$1,'[1]End - Use Prices'!$C$7:$AL$7,0))</f>
        <v>32.51</v>
      </c>
      <c r="BB142" s="41">
        <f>INDEX('[1]End - Use Prices'!$C$6:$AL$89,MATCH($C142,'[1]End - Use Prices'!$A$6:$A$89,0)+MATCH($D142,'[1]End - Use Prices'!$B$9:$B$11,0)-1,MATCH(BB$1,'[1]End - Use Prices'!$C$7:$AL$7,0))</f>
        <v>32.49</v>
      </c>
      <c r="BC142" s="41">
        <f>INDEX('[1]End - Use Prices'!$C$6:$AL$89,MATCH($C142,'[1]End - Use Prices'!$A$6:$A$89,0)+MATCH($D142,'[1]End - Use Prices'!$B$9:$B$11,0)-1,MATCH(BC$1,'[1]End - Use Prices'!$C$7:$AL$7,0))</f>
        <v>32.450000000000003</v>
      </c>
      <c r="BD142" s="41">
        <f>INDEX('[1]End - Use Prices'!$C$6:$AL$89,MATCH($C142,'[1]End - Use Prices'!$A$6:$A$89,0)+MATCH($D142,'[1]End - Use Prices'!$B$9:$B$11,0)-1,MATCH(BD$1,'[1]End - Use Prices'!$C$7:$AL$7,0))</f>
        <v>32.4</v>
      </c>
      <c r="BE142" s="41">
        <f>INDEX('[1]End - Use Prices'!$C$6:$AL$89,MATCH($C142,'[1]End - Use Prices'!$A$6:$A$89,0)+MATCH($D142,'[1]End - Use Prices'!$B$9:$B$11,0)-1,MATCH(BE$1,'[1]End - Use Prices'!$C$7:$AL$7,0))</f>
        <v>32.31</v>
      </c>
      <c r="BF142" s="41">
        <f>INDEX('[1]End - Use Prices'!$C$6:$AL$89,MATCH($C142,'[1]End - Use Prices'!$A$6:$A$89,0)+MATCH($D142,'[1]End - Use Prices'!$B$9:$B$11,0)-1,MATCH(BF$1,'[1]End - Use Prices'!$C$7:$AL$7,0))</f>
        <v>32.229999999999997</v>
      </c>
      <c r="BG142" s="41">
        <f>INDEX('[1]End - Use Prices'!$C$6:$AL$89,MATCH($C142,'[1]End - Use Prices'!$A$6:$A$89,0)+MATCH($D142,'[1]End - Use Prices'!$B$9:$B$11,0)-1,MATCH(BG$1,'[1]End - Use Prices'!$C$7:$AL$7,0))</f>
        <v>32.130000000000003</v>
      </c>
      <c r="BR142" s="39"/>
      <c r="BS142" s="39"/>
      <c r="BT142" s="39"/>
      <c r="BU142" s="39"/>
      <c r="BV142" s="39"/>
      <c r="BW142" s="39"/>
      <c r="BX142" s="39"/>
      <c r="BY142" s="39"/>
      <c r="BZ142" s="39"/>
      <c r="CA142" s="39"/>
    </row>
    <row r="143" spans="1:79" x14ac:dyDescent="0.25">
      <c r="A143" s="5"/>
      <c r="B143" s="3"/>
      <c r="C143" s="25" t="s">
        <v>5</v>
      </c>
      <c r="D143" s="25" t="s">
        <v>311</v>
      </c>
      <c r="E143" s="25" t="s">
        <v>313</v>
      </c>
      <c r="F143" s="74" t="s">
        <v>310</v>
      </c>
      <c r="G143" s="54">
        <f t="shared" si="100"/>
        <v>24.45</v>
      </c>
      <c r="H143" s="34">
        <f t="shared" si="135"/>
        <v>24.45</v>
      </c>
      <c r="I143" s="34">
        <f t="shared" si="135"/>
        <v>26.03</v>
      </c>
      <c r="J143" s="34">
        <f t="shared" si="135"/>
        <v>24.73</v>
      </c>
      <c r="K143" s="34">
        <f t="shared" si="135"/>
        <v>37.21</v>
      </c>
      <c r="L143" s="34">
        <f t="shared" si="135"/>
        <v>32.299999999999997</v>
      </c>
      <c r="M143" s="34">
        <f t="shared" si="135"/>
        <v>31.49</v>
      </c>
      <c r="N143" s="34">
        <f t="shared" si="135"/>
        <v>31.25</v>
      </c>
      <c r="O143" s="34">
        <f t="shared" si="135"/>
        <v>30.88</v>
      </c>
      <c r="P143" s="54">
        <f t="shared" ref="P143:Q143" si="141">O143</f>
        <v>30.88</v>
      </c>
      <c r="Q143" s="54">
        <f t="shared" si="141"/>
        <v>30.88</v>
      </c>
      <c r="R143" s="38"/>
      <c r="X143" s="41">
        <f>INDEX('[1]End - Use Prices'!$C$6:$AL$89,MATCH($C143,'[1]End - Use Prices'!$A$6:$A$89,0)+MATCH($D143,'[1]End - Use Prices'!$B$9:$B$11,0)-1,MATCH(X$1,'[1]End - Use Prices'!$C$7:$AL$7,0))</f>
        <v>24.45</v>
      </c>
      <c r="Y143" s="41">
        <f>INDEX('[1]End - Use Prices'!$C$6:$AL$89,MATCH($C143,'[1]End - Use Prices'!$A$6:$A$89,0)+MATCH($D143,'[1]End - Use Prices'!$B$9:$B$11,0)-1,MATCH(Y$1,'[1]End - Use Prices'!$C$7:$AL$7,0))</f>
        <v>25.51</v>
      </c>
      <c r="Z143" s="41">
        <f>INDEX('[1]End - Use Prices'!$C$6:$AL$89,MATCH($C143,'[1]End - Use Prices'!$A$6:$A$89,0)+MATCH($D143,'[1]End - Use Prices'!$B$9:$B$11,0)-1,MATCH(Z$1,'[1]End - Use Prices'!$C$7:$AL$7,0))</f>
        <v>26.83</v>
      </c>
      <c r="AA143" s="41">
        <f>INDEX('[1]End - Use Prices'!$C$6:$AL$89,MATCH($C143,'[1]End - Use Prices'!$A$6:$A$89,0)+MATCH($D143,'[1]End - Use Prices'!$B$9:$B$11,0)-1,MATCH(AA$1,'[1]End - Use Prices'!$C$7:$AL$7,0))</f>
        <v>31.95</v>
      </c>
      <c r="AB143" s="41">
        <f>INDEX('[1]End - Use Prices'!$C$6:$AL$89,MATCH($C143,'[1]End - Use Prices'!$A$6:$A$89,0)+MATCH($D143,'[1]End - Use Prices'!$B$9:$B$11,0)-1,MATCH(AB$1,'[1]End - Use Prices'!$C$7:$AL$7,0))</f>
        <v>23.37</v>
      </c>
      <c r="AC143" s="41">
        <f>INDEX('[1]End - Use Prices'!$C$6:$AL$89,MATCH($C143,'[1]End - Use Prices'!$A$6:$A$89,0)+MATCH($D143,'[1]End - Use Prices'!$B$9:$B$11,0)-1,MATCH(AC$1,'[1]End - Use Prices'!$C$7:$AL$7,0))</f>
        <v>26.03</v>
      </c>
      <c r="AD143" s="41">
        <f>INDEX('[1]End - Use Prices'!$C$6:$AL$89,MATCH($C143,'[1]End - Use Prices'!$A$6:$A$89,0)+MATCH($D143,'[1]End - Use Prices'!$B$9:$B$11,0)-1,MATCH(AD$1,'[1]End - Use Prices'!$C$7:$AL$7,0))</f>
        <v>27.78</v>
      </c>
      <c r="AE143" s="41">
        <f>INDEX('[1]End - Use Prices'!$C$6:$AL$89,MATCH($C143,'[1]End - Use Prices'!$A$6:$A$89,0)+MATCH($D143,'[1]End - Use Prices'!$B$9:$B$11,0)-1,MATCH(AE$1,'[1]End - Use Prices'!$C$7:$AL$7,0))</f>
        <v>29.65</v>
      </c>
      <c r="AF143" s="41">
        <f>INDEX('[1]End - Use Prices'!$C$6:$AL$89,MATCH($C143,'[1]End - Use Prices'!$A$6:$A$89,0)+MATCH($D143,'[1]End - Use Prices'!$B$9:$B$11,0)-1,MATCH(AF$1,'[1]End - Use Prices'!$C$7:$AL$7,0))</f>
        <v>27.25</v>
      </c>
      <c r="AG143" s="41">
        <f>INDEX('[1]End - Use Prices'!$C$6:$AL$89,MATCH($C143,'[1]End - Use Prices'!$A$6:$A$89,0)+MATCH($D143,'[1]End - Use Prices'!$B$9:$B$11,0)-1,MATCH(AG$1,'[1]End - Use Prices'!$C$7:$AL$7,0))</f>
        <v>32.840000000000003</v>
      </c>
      <c r="AH143" s="41">
        <f>INDEX('[1]End - Use Prices'!$C$6:$AL$89,MATCH($C143,'[1]End - Use Prices'!$A$6:$A$89,0)+MATCH($D143,'[1]End - Use Prices'!$B$9:$B$11,0)-1,MATCH(AH$1,'[1]End - Use Prices'!$C$7:$AL$7,0))</f>
        <v>24.73</v>
      </c>
      <c r="AI143" s="41">
        <f>INDEX('[1]End - Use Prices'!$C$6:$AL$89,MATCH($C143,'[1]End - Use Prices'!$A$6:$A$89,0)+MATCH($D143,'[1]End - Use Prices'!$B$9:$B$11,0)-1,MATCH(AI$1,'[1]End - Use Prices'!$C$7:$AL$7,0))</f>
        <v>22.55</v>
      </c>
      <c r="AJ143" s="41">
        <f>INDEX('[1]End - Use Prices'!$C$6:$AL$89,MATCH($C143,'[1]End - Use Prices'!$A$6:$A$89,0)+MATCH($D143,'[1]End - Use Prices'!$B$9:$B$11,0)-1,MATCH(AJ$1,'[1]End - Use Prices'!$C$7:$AL$7,0))</f>
        <v>24.52</v>
      </c>
      <c r="AK143" s="41">
        <f>INDEX('[1]End - Use Prices'!$C$6:$AL$89,MATCH($C143,'[1]End - Use Prices'!$A$6:$A$89,0)+MATCH($D143,'[1]End - Use Prices'!$B$9:$B$11,0)-1,MATCH(AK$1,'[1]End - Use Prices'!$C$7:$AL$7,0))</f>
        <v>30.35</v>
      </c>
      <c r="AL143" s="41">
        <f>INDEX('[1]End - Use Prices'!$C$6:$AL$89,MATCH($C143,'[1]End - Use Prices'!$A$6:$A$89,0)+MATCH($D143,'[1]End - Use Prices'!$B$9:$B$11,0)-1,MATCH(AL$1,'[1]End - Use Prices'!$C$7:$AL$7,0))</f>
        <v>34.29</v>
      </c>
      <c r="AM143" s="41">
        <f>INDEX('[1]End - Use Prices'!$C$6:$AL$89,MATCH($C143,'[1]End - Use Prices'!$A$6:$A$89,0)+MATCH($D143,'[1]End - Use Prices'!$B$9:$B$11,0)-1,MATCH(AM$1,'[1]End - Use Prices'!$C$7:$AL$7,0))</f>
        <v>37.21</v>
      </c>
      <c r="AN143" s="41">
        <f>INDEX('[1]End - Use Prices'!$C$6:$AL$89,MATCH($C143,'[1]End - Use Prices'!$A$6:$A$89,0)+MATCH($D143,'[1]End - Use Prices'!$B$9:$B$11,0)-1,MATCH(AN$1,'[1]End - Use Prices'!$C$7:$AL$7,0))</f>
        <v>33.880000000000003</v>
      </c>
      <c r="AO143" s="41">
        <f>INDEX('[1]End - Use Prices'!$C$6:$AL$89,MATCH($C143,'[1]End - Use Prices'!$A$6:$A$89,0)+MATCH($D143,'[1]End - Use Prices'!$B$9:$B$11,0)-1,MATCH(AO$1,'[1]End - Use Prices'!$C$7:$AL$7,0))</f>
        <v>32.43</v>
      </c>
      <c r="AP143" s="41">
        <f>INDEX('[1]End - Use Prices'!$C$6:$AL$89,MATCH($C143,'[1]End - Use Prices'!$A$6:$A$89,0)+MATCH($D143,'[1]End - Use Prices'!$B$9:$B$11,0)-1,MATCH(AP$1,'[1]End - Use Prices'!$C$7:$AL$7,0))</f>
        <v>32.590000000000003</v>
      </c>
      <c r="AQ143" s="41">
        <f>INDEX('[1]End - Use Prices'!$C$6:$AL$89,MATCH($C143,'[1]End - Use Prices'!$A$6:$A$89,0)+MATCH($D143,'[1]End - Use Prices'!$B$9:$B$11,0)-1,MATCH(AQ$1,'[1]End - Use Prices'!$C$7:$AL$7,0))</f>
        <v>32.33</v>
      </c>
      <c r="AR143" s="41">
        <f>INDEX('[1]End - Use Prices'!$C$6:$AL$89,MATCH($C143,'[1]End - Use Prices'!$A$6:$A$89,0)+MATCH($D143,'[1]End - Use Prices'!$B$9:$B$11,0)-1,MATCH(AR$1,'[1]End - Use Prices'!$C$7:$AL$7,0))</f>
        <v>32.299999999999997</v>
      </c>
      <c r="AS143" s="41">
        <f>INDEX('[1]End - Use Prices'!$C$6:$AL$89,MATCH($C143,'[1]End - Use Prices'!$A$6:$A$89,0)+MATCH($D143,'[1]End - Use Prices'!$B$9:$B$11,0)-1,MATCH(AS$1,'[1]End - Use Prices'!$C$7:$AL$7,0))</f>
        <v>32.22</v>
      </c>
      <c r="AT143" s="41">
        <f>INDEX('[1]End - Use Prices'!$C$6:$AL$89,MATCH($C143,'[1]End - Use Prices'!$A$6:$A$89,0)+MATCH($D143,'[1]End - Use Prices'!$B$9:$B$11,0)-1,MATCH(AT$1,'[1]End - Use Prices'!$C$7:$AL$7,0))</f>
        <v>32.049999999999997</v>
      </c>
      <c r="AU143" s="41">
        <f>INDEX('[1]End - Use Prices'!$C$6:$AL$89,MATCH($C143,'[1]End - Use Prices'!$A$6:$A$89,0)+MATCH($D143,'[1]End - Use Prices'!$B$9:$B$11,0)-1,MATCH(AU$1,'[1]End - Use Prices'!$C$7:$AL$7,0))</f>
        <v>31.84</v>
      </c>
      <c r="AV143" s="41">
        <f>INDEX('[1]End - Use Prices'!$C$6:$AL$89,MATCH($C143,'[1]End - Use Prices'!$A$6:$A$89,0)+MATCH($D143,'[1]End - Use Prices'!$B$9:$B$11,0)-1,MATCH(AV$1,'[1]End - Use Prices'!$C$7:$AL$7,0))</f>
        <v>31.67</v>
      </c>
      <c r="AW143" s="41">
        <f>INDEX('[1]End - Use Prices'!$C$6:$AL$89,MATCH($C143,'[1]End - Use Prices'!$A$6:$A$89,0)+MATCH($D143,'[1]End - Use Prices'!$B$9:$B$11,0)-1,MATCH(AW$1,'[1]End - Use Prices'!$C$7:$AL$7,0))</f>
        <v>31.49</v>
      </c>
      <c r="AX143" s="41">
        <f>INDEX('[1]End - Use Prices'!$C$6:$AL$89,MATCH($C143,'[1]End - Use Prices'!$A$6:$A$89,0)+MATCH($D143,'[1]End - Use Prices'!$B$9:$B$11,0)-1,MATCH(AX$1,'[1]End - Use Prices'!$C$7:$AL$7,0))</f>
        <v>31.39</v>
      </c>
      <c r="AY143" s="41">
        <f>INDEX('[1]End - Use Prices'!$C$6:$AL$89,MATCH($C143,'[1]End - Use Prices'!$A$6:$A$89,0)+MATCH($D143,'[1]End - Use Prices'!$B$9:$B$11,0)-1,MATCH(AY$1,'[1]End - Use Prices'!$C$7:$AL$7,0))</f>
        <v>31.32</v>
      </c>
      <c r="AZ143" s="41">
        <f>INDEX('[1]End - Use Prices'!$C$6:$AL$89,MATCH($C143,'[1]End - Use Prices'!$A$6:$A$89,0)+MATCH($D143,'[1]End - Use Prices'!$B$9:$B$11,0)-1,MATCH(AZ$1,'[1]End - Use Prices'!$C$7:$AL$7,0))</f>
        <v>31.28</v>
      </c>
      <c r="BA143" s="41">
        <f>INDEX('[1]End - Use Prices'!$C$6:$AL$89,MATCH($C143,'[1]End - Use Prices'!$A$6:$A$89,0)+MATCH($D143,'[1]End - Use Prices'!$B$9:$B$11,0)-1,MATCH(BA$1,'[1]End - Use Prices'!$C$7:$AL$7,0))</f>
        <v>31.27</v>
      </c>
      <c r="BB143" s="41">
        <f>INDEX('[1]End - Use Prices'!$C$6:$AL$89,MATCH($C143,'[1]End - Use Prices'!$A$6:$A$89,0)+MATCH($D143,'[1]End - Use Prices'!$B$9:$B$11,0)-1,MATCH(BB$1,'[1]End - Use Prices'!$C$7:$AL$7,0))</f>
        <v>31.25</v>
      </c>
      <c r="BC143" s="41">
        <f>INDEX('[1]End - Use Prices'!$C$6:$AL$89,MATCH($C143,'[1]End - Use Prices'!$A$6:$A$89,0)+MATCH($D143,'[1]End - Use Prices'!$B$9:$B$11,0)-1,MATCH(BC$1,'[1]End - Use Prices'!$C$7:$AL$7,0))</f>
        <v>31.21</v>
      </c>
      <c r="BD143" s="41">
        <f>INDEX('[1]End - Use Prices'!$C$6:$AL$89,MATCH($C143,'[1]End - Use Prices'!$A$6:$A$89,0)+MATCH($D143,'[1]End - Use Prices'!$B$9:$B$11,0)-1,MATCH(BD$1,'[1]End - Use Prices'!$C$7:$AL$7,0))</f>
        <v>31.15</v>
      </c>
      <c r="BE143" s="41">
        <f>INDEX('[1]End - Use Prices'!$C$6:$AL$89,MATCH($C143,'[1]End - Use Prices'!$A$6:$A$89,0)+MATCH($D143,'[1]End - Use Prices'!$B$9:$B$11,0)-1,MATCH(BE$1,'[1]End - Use Prices'!$C$7:$AL$7,0))</f>
        <v>31.06</v>
      </c>
      <c r="BF143" s="41">
        <f>INDEX('[1]End - Use Prices'!$C$6:$AL$89,MATCH($C143,'[1]End - Use Prices'!$A$6:$A$89,0)+MATCH($D143,'[1]End - Use Prices'!$B$9:$B$11,0)-1,MATCH(BF$1,'[1]End - Use Prices'!$C$7:$AL$7,0))</f>
        <v>30.98</v>
      </c>
      <c r="BG143" s="41">
        <f>INDEX('[1]End - Use Prices'!$C$6:$AL$89,MATCH($C143,'[1]End - Use Prices'!$A$6:$A$89,0)+MATCH($D143,'[1]End - Use Prices'!$B$9:$B$11,0)-1,MATCH(BG$1,'[1]End - Use Prices'!$C$7:$AL$7,0))</f>
        <v>30.88</v>
      </c>
      <c r="BR143" s="39"/>
      <c r="BS143" s="39"/>
      <c r="BT143" s="39"/>
      <c r="BU143" s="39"/>
      <c r="BV143" s="39"/>
      <c r="BW143" s="39"/>
      <c r="BX143" s="39"/>
      <c r="BY143" s="39"/>
      <c r="BZ143" s="39"/>
      <c r="CA143" s="39"/>
    </row>
    <row r="144" spans="1:79" x14ac:dyDescent="0.25">
      <c r="A144" s="5"/>
      <c r="B144" s="3"/>
      <c r="C144" s="25" t="s">
        <v>61</v>
      </c>
      <c r="D144" s="25" t="s">
        <v>311</v>
      </c>
      <c r="E144" s="25" t="s">
        <v>313</v>
      </c>
      <c r="F144" s="74" t="s">
        <v>310</v>
      </c>
      <c r="G144" s="54">
        <f t="shared" si="100"/>
        <v>28.98</v>
      </c>
      <c r="H144" s="34">
        <f t="shared" si="135"/>
        <v>28.98</v>
      </c>
      <c r="I144" s="34">
        <f t="shared" si="135"/>
        <v>29.71</v>
      </c>
      <c r="J144" s="34">
        <f t="shared" si="135"/>
        <v>29.49</v>
      </c>
      <c r="K144" s="34">
        <f t="shared" si="135"/>
        <v>41.92</v>
      </c>
      <c r="L144" s="34">
        <f t="shared" si="135"/>
        <v>36</v>
      </c>
      <c r="M144" s="34">
        <f t="shared" si="135"/>
        <v>35.03</v>
      </c>
      <c r="N144" s="34">
        <f t="shared" si="135"/>
        <v>34.64</v>
      </c>
      <c r="O144" s="34">
        <f t="shared" si="135"/>
        <v>34.14</v>
      </c>
      <c r="P144" s="54">
        <f t="shared" ref="P144:Q144" si="142">O144</f>
        <v>34.14</v>
      </c>
      <c r="Q144" s="54">
        <f t="shared" si="142"/>
        <v>34.14</v>
      </c>
      <c r="R144" s="38"/>
      <c r="X144" s="41">
        <f>INDEX('[1]End - Use Prices'!$C$6:$AL$89,MATCH($C144,'[1]End - Use Prices'!$A$6:$A$89,0)+MATCH($D144,'[1]End - Use Prices'!$B$9:$B$11,0)-1,MATCH(X$1,'[1]End - Use Prices'!$C$7:$AL$7,0))</f>
        <v>28.98</v>
      </c>
      <c r="Y144" s="41">
        <f>INDEX('[1]End - Use Prices'!$C$6:$AL$89,MATCH($C144,'[1]End - Use Prices'!$A$6:$A$89,0)+MATCH($D144,'[1]End - Use Prices'!$B$9:$B$11,0)-1,MATCH(Y$1,'[1]End - Use Prices'!$C$7:$AL$7,0))</f>
        <v>28.54</v>
      </c>
      <c r="Z144" s="41">
        <f>INDEX('[1]End - Use Prices'!$C$6:$AL$89,MATCH($C144,'[1]End - Use Prices'!$A$6:$A$89,0)+MATCH($D144,'[1]End - Use Prices'!$B$9:$B$11,0)-1,MATCH(Z$1,'[1]End - Use Prices'!$C$7:$AL$7,0))</f>
        <v>29.02</v>
      </c>
      <c r="AA144" s="41">
        <f>INDEX('[1]End - Use Prices'!$C$6:$AL$89,MATCH($C144,'[1]End - Use Prices'!$A$6:$A$89,0)+MATCH($D144,'[1]End - Use Prices'!$B$9:$B$11,0)-1,MATCH(AA$1,'[1]End - Use Prices'!$C$7:$AL$7,0))</f>
        <v>34.479999999999997</v>
      </c>
      <c r="AB144" s="41">
        <f>INDEX('[1]End - Use Prices'!$C$6:$AL$89,MATCH($C144,'[1]End - Use Prices'!$A$6:$A$89,0)+MATCH($D144,'[1]End - Use Prices'!$B$9:$B$11,0)-1,MATCH(AB$1,'[1]End - Use Prices'!$C$7:$AL$7,0))</f>
        <v>25.41</v>
      </c>
      <c r="AC144" s="41">
        <f>INDEX('[1]End - Use Prices'!$C$6:$AL$89,MATCH($C144,'[1]End - Use Prices'!$A$6:$A$89,0)+MATCH($D144,'[1]End - Use Prices'!$B$9:$B$11,0)-1,MATCH(AC$1,'[1]End - Use Prices'!$C$7:$AL$7,0))</f>
        <v>29.71</v>
      </c>
      <c r="AD144" s="41">
        <f>INDEX('[1]End - Use Prices'!$C$6:$AL$89,MATCH($C144,'[1]End - Use Prices'!$A$6:$A$89,0)+MATCH($D144,'[1]End - Use Prices'!$B$9:$B$11,0)-1,MATCH(AD$1,'[1]End - Use Prices'!$C$7:$AL$7,0))</f>
        <v>34.4</v>
      </c>
      <c r="AE144" s="41">
        <f>INDEX('[1]End - Use Prices'!$C$6:$AL$89,MATCH($C144,'[1]End - Use Prices'!$A$6:$A$89,0)+MATCH($D144,'[1]End - Use Prices'!$B$9:$B$11,0)-1,MATCH(AE$1,'[1]End - Use Prices'!$C$7:$AL$7,0))</f>
        <v>35.71</v>
      </c>
      <c r="AF144" s="41">
        <f>INDEX('[1]End - Use Prices'!$C$6:$AL$89,MATCH($C144,'[1]End - Use Prices'!$A$6:$A$89,0)+MATCH($D144,'[1]End - Use Prices'!$B$9:$B$11,0)-1,MATCH(AF$1,'[1]End - Use Prices'!$C$7:$AL$7,0))</f>
        <v>35.47</v>
      </c>
      <c r="AG144" s="41">
        <f>INDEX('[1]End - Use Prices'!$C$6:$AL$89,MATCH($C144,'[1]End - Use Prices'!$A$6:$A$89,0)+MATCH($D144,'[1]End - Use Prices'!$B$9:$B$11,0)-1,MATCH(AG$1,'[1]End - Use Prices'!$C$7:$AL$7,0))</f>
        <v>35.78</v>
      </c>
      <c r="AH144" s="41">
        <f>INDEX('[1]End - Use Prices'!$C$6:$AL$89,MATCH($C144,'[1]End - Use Prices'!$A$6:$A$89,0)+MATCH($D144,'[1]End - Use Prices'!$B$9:$B$11,0)-1,MATCH(AH$1,'[1]End - Use Prices'!$C$7:$AL$7,0))</f>
        <v>29.49</v>
      </c>
      <c r="AI144" s="41">
        <f>INDEX('[1]End - Use Prices'!$C$6:$AL$89,MATCH($C144,'[1]End - Use Prices'!$A$6:$A$89,0)+MATCH($D144,'[1]End - Use Prices'!$B$9:$B$11,0)-1,MATCH(AI$1,'[1]End - Use Prices'!$C$7:$AL$7,0))</f>
        <v>26.92</v>
      </c>
      <c r="AJ144" s="41">
        <f>INDEX('[1]End - Use Prices'!$C$6:$AL$89,MATCH($C144,'[1]End - Use Prices'!$A$6:$A$89,0)+MATCH($D144,'[1]End - Use Prices'!$B$9:$B$11,0)-1,MATCH(AJ$1,'[1]End - Use Prices'!$C$7:$AL$7,0))</f>
        <v>29.45</v>
      </c>
      <c r="AK144" s="41">
        <f>INDEX('[1]End - Use Prices'!$C$6:$AL$89,MATCH($C144,'[1]End - Use Prices'!$A$6:$A$89,0)+MATCH($D144,'[1]End - Use Prices'!$B$9:$B$11,0)-1,MATCH(AK$1,'[1]End - Use Prices'!$C$7:$AL$7,0))</f>
        <v>33.119999999999997</v>
      </c>
      <c r="AL144" s="41">
        <f>INDEX('[1]End - Use Prices'!$C$6:$AL$89,MATCH($C144,'[1]End - Use Prices'!$A$6:$A$89,0)+MATCH($D144,'[1]End - Use Prices'!$B$9:$B$11,0)-1,MATCH(AL$1,'[1]End - Use Prices'!$C$7:$AL$7,0))</f>
        <v>38.61</v>
      </c>
      <c r="AM144" s="41">
        <f>INDEX('[1]End - Use Prices'!$C$6:$AL$89,MATCH($C144,'[1]End - Use Prices'!$A$6:$A$89,0)+MATCH($D144,'[1]End - Use Prices'!$B$9:$B$11,0)-1,MATCH(AM$1,'[1]End - Use Prices'!$C$7:$AL$7,0))</f>
        <v>41.92</v>
      </c>
      <c r="AN144" s="41">
        <f>INDEX('[1]End - Use Prices'!$C$6:$AL$89,MATCH($C144,'[1]End - Use Prices'!$A$6:$A$89,0)+MATCH($D144,'[1]End - Use Prices'!$B$9:$B$11,0)-1,MATCH(AN$1,'[1]End - Use Prices'!$C$7:$AL$7,0))</f>
        <v>38.94</v>
      </c>
      <c r="AO144" s="41">
        <f>INDEX('[1]End - Use Prices'!$C$6:$AL$89,MATCH($C144,'[1]End - Use Prices'!$A$6:$A$89,0)+MATCH($D144,'[1]End - Use Prices'!$B$9:$B$11,0)-1,MATCH(AO$1,'[1]End - Use Prices'!$C$7:$AL$7,0))</f>
        <v>36.979999999999997</v>
      </c>
      <c r="AP144" s="41">
        <f>INDEX('[1]End - Use Prices'!$C$6:$AL$89,MATCH($C144,'[1]End - Use Prices'!$A$6:$A$89,0)+MATCH($D144,'[1]End - Use Prices'!$B$9:$B$11,0)-1,MATCH(AP$1,'[1]End - Use Prices'!$C$7:$AL$7,0))</f>
        <v>36.39</v>
      </c>
      <c r="AQ144" s="41">
        <f>INDEX('[1]End - Use Prices'!$C$6:$AL$89,MATCH($C144,'[1]End - Use Prices'!$A$6:$A$89,0)+MATCH($D144,'[1]End - Use Prices'!$B$9:$B$11,0)-1,MATCH(AQ$1,'[1]End - Use Prices'!$C$7:$AL$7,0))</f>
        <v>36.08</v>
      </c>
      <c r="AR144" s="41">
        <f>INDEX('[1]End - Use Prices'!$C$6:$AL$89,MATCH($C144,'[1]End - Use Prices'!$A$6:$A$89,0)+MATCH($D144,'[1]End - Use Prices'!$B$9:$B$11,0)-1,MATCH(AR$1,'[1]End - Use Prices'!$C$7:$AL$7,0))</f>
        <v>36</v>
      </c>
      <c r="AS144" s="41">
        <f>INDEX('[1]End - Use Prices'!$C$6:$AL$89,MATCH($C144,'[1]End - Use Prices'!$A$6:$A$89,0)+MATCH($D144,'[1]End - Use Prices'!$B$9:$B$11,0)-1,MATCH(AS$1,'[1]End - Use Prices'!$C$7:$AL$7,0))</f>
        <v>35.89</v>
      </c>
      <c r="AT144" s="41">
        <f>INDEX('[1]End - Use Prices'!$C$6:$AL$89,MATCH($C144,'[1]End - Use Prices'!$A$6:$A$89,0)+MATCH($D144,'[1]End - Use Prices'!$B$9:$B$11,0)-1,MATCH(AT$1,'[1]End - Use Prices'!$C$7:$AL$7,0))</f>
        <v>35.68</v>
      </c>
      <c r="AU144" s="41">
        <f>INDEX('[1]End - Use Prices'!$C$6:$AL$89,MATCH($C144,'[1]End - Use Prices'!$A$6:$A$89,0)+MATCH($D144,'[1]End - Use Prices'!$B$9:$B$11,0)-1,MATCH(AU$1,'[1]End - Use Prices'!$C$7:$AL$7,0))</f>
        <v>35.44</v>
      </c>
      <c r="AV144" s="41">
        <f>INDEX('[1]End - Use Prices'!$C$6:$AL$89,MATCH($C144,'[1]End - Use Prices'!$A$6:$A$89,0)+MATCH($D144,'[1]End - Use Prices'!$B$9:$B$11,0)-1,MATCH(AV$1,'[1]End - Use Prices'!$C$7:$AL$7,0))</f>
        <v>35.229999999999997</v>
      </c>
      <c r="AW144" s="41">
        <f>INDEX('[1]End - Use Prices'!$C$6:$AL$89,MATCH($C144,'[1]End - Use Prices'!$A$6:$A$89,0)+MATCH($D144,'[1]End - Use Prices'!$B$9:$B$11,0)-1,MATCH(AW$1,'[1]End - Use Prices'!$C$7:$AL$7,0))</f>
        <v>35.03</v>
      </c>
      <c r="AX144" s="41">
        <f>INDEX('[1]End - Use Prices'!$C$6:$AL$89,MATCH($C144,'[1]End - Use Prices'!$A$6:$A$89,0)+MATCH($D144,'[1]End - Use Prices'!$B$9:$B$11,0)-1,MATCH(AX$1,'[1]End - Use Prices'!$C$7:$AL$7,0))</f>
        <v>34.89</v>
      </c>
      <c r="AY144" s="41">
        <f>INDEX('[1]End - Use Prices'!$C$6:$AL$89,MATCH($C144,'[1]End - Use Prices'!$A$6:$A$89,0)+MATCH($D144,'[1]End - Use Prices'!$B$9:$B$11,0)-1,MATCH(AY$1,'[1]End - Use Prices'!$C$7:$AL$7,0))</f>
        <v>34.79</v>
      </c>
      <c r="AZ144" s="41">
        <f>INDEX('[1]End - Use Prices'!$C$6:$AL$89,MATCH($C144,'[1]End - Use Prices'!$A$6:$A$89,0)+MATCH($D144,'[1]End - Use Prices'!$B$9:$B$11,0)-1,MATCH(AZ$1,'[1]End - Use Prices'!$C$7:$AL$7,0))</f>
        <v>34.729999999999997</v>
      </c>
      <c r="BA144" s="41">
        <f>INDEX('[1]End - Use Prices'!$C$6:$AL$89,MATCH($C144,'[1]End - Use Prices'!$A$6:$A$89,0)+MATCH($D144,'[1]End - Use Prices'!$B$9:$B$11,0)-1,MATCH(BA$1,'[1]End - Use Prices'!$C$7:$AL$7,0))</f>
        <v>34.69</v>
      </c>
      <c r="BB144" s="41">
        <f>INDEX('[1]End - Use Prices'!$C$6:$AL$89,MATCH($C144,'[1]End - Use Prices'!$A$6:$A$89,0)+MATCH($D144,'[1]End - Use Prices'!$B$9:$B$11,0)-1,MATCH(BB$1,'[1]End - Use Prices'!$C$7:$AL$7,0))</f>
        <v>34.64</v>
      </c>
      <c r="BC144" s="41">
        <f>INDEX('[1]End - Use Prices'!$C$6:$AL$89,MATCH($C144,'[1]End - Use Prices'!$A$6:$A$89,0)+MATCH($D144,'[1]End - Use Prices'!$B$9:$B$11,0)-1,MATCH(BC$1,'[1]End - Use Prices'!$C$7:$AL$7,0))</f>
        <v>34.58</v>
      </c>
      <c r="BD144" s="41">
        <f>INDEX('[1]End - Use Prices'!$C$6:$AL$89,MATCH($C144,'[1]End - Use Prices'!$A$6:$A$89,0)+MATCH($D144,'[1]End - Use Prices'!$B$9:$B$11,0)-1,MATCH(BD$1,'[1]End - Use Prices'!$C$7:$AL$7,0))</f>
        <v>34.49</v>
      </c>
      <c r="BE144" s="41">
        <f>INDEX('[1]End - Use Prices'!$C$6:$AL$89,MATCH($C144,'[1]End - Use Prices'!$A$6:$A$89,0)+MATCH($D144,'[1]End - Use Prices'!$B$9:$B$11,0)-1,MATCH(BE$1,'[1]End - Use Prices'!$C$7:$AL$7,0))</f>
        <v>34.380000000000003</v>
      </c>
      <c r="BF144" s="41">
        <f>INDEX('[1]End - Use Prices'!$C$6:$AL$89,MATCH($C144,'[1]End - Use Prices'!$A$6:$A$89,0)+MATCH($D144,'[1]End - Use Prices'!$B$9:$B$11,0)-1,MATCH(BF$1,'[1]End - Use Prices'!$C$7:$AL$7,0))</f>
        <v>34.270000000000003</v>
      </c>
      <c r="BG144" s="41">
        <f>INDEX('[1]End - Use Prices'!$C$6:$AL$89,MATCH($C144,'[1]End - Use Prices'!$A$6:$A$89,0)+MATCH($D144,'[1]End - Use Prices'!$B$9:$B$11,0)-1,MATCH(BG$1,'[1]End - Use Prices'!$C$7:$AL$7,0))</f>
        <v>34.14</v>
      </c>
      <c r="BR144" s="39"/>
      <c r="BS144" s="39"/>
      <c r="BT144" s="39"/>
      <c r="BU144" s="39"/>
      <c r="BV144" s="39"/>
      <c r="BW144" s="39"/>
      <c r="BX144" s="39"/>
      <c r="BY144" s="39"/>
      <c r="BZ144" s="39"/>
      <c r="CA144" s="39"/>
    </row>
    <row r="145" spans="1:79" x14ac:dyDescent="0.25">
      <c r="A145" s="5"/>
      <c r="B145" s="3"/>
      <c r="C145" s="25" t="s">
        <v>95</v>
      </c>
      <c r="D145" s="25" t="s">
        <v>311</v>
      </c>
      <c r="E145" s="25" t="s">
        <v>313</v>
      </c>
      <c r="F145" s="74" t="s">
        <v>310</v>
      </c>
      <c r="G145" s="54">
        <f t="shared" si="100"/>
        <v>29.08</v>
      </c>
      <c r="H145" s="34">
        <f t="shared" si="135"/>
        <v>29.08</v>
      </c>
      <c r="I145" s="34">
        <f t="shared" si="135"/>
        <v>31.56</v>
      </c>
      <c r="J145" s="34">
        <f t="shared" si="135"/>
        <v>29.89</v>
      </c>
      <c r="K145" s="34">
        <f t="shared" si="135"/>
        <v>37.340000000000003</v>
      </c>
      <c r="L145" s="34">
        <f t="shared" si="135"/>
        <v>32.57</v>
      </c>
      <c r="M145" s="34">
        <f t="shared" si="135"/>
        <v>32.04</v>
      </c>
      <c r="N145" s="34">
        <f t="shared" si="135"/>
        <v>32.03</v>
      </c>
      <c r="O145" s="34">
        <f t="shared" si="135"/>
        <v>31.87</v>
      </c>
      <c r="P145" s="54">
        <f t="shared" ref="P145:Q145" si="143">O145</f>
        <v>31.87</v>
      </c>
      <c r="Q145" s="54">
        <f t="shared" si="143"/>
        <v>31.87</v>
      </c>
      <c r="R145" s="38"/>
      <c r="X145" s="41">
        <f>INDEX('[1]End - Use Prices'!$C$6:$AL$89,MATCH($C145,'[1]End - Use Prices'!$A$6:$A$89,0)+MATCH($D145,'[1]End - Use Prices'!$B$9:$B$11,0)-1,MATCH(X$1,'[1]End - Use Prices'!$C$7:$AL$7,0))</f>
        <v>29.08</v>
      </c>
      <c r="Y145" s="41">
        <f>INDEX('[1]End - Use Prices'!$C$6:$AL$89,MATCH($C145,'[1]End - Use Prices'!$A$6:$A$89,0)+MATCH($D145,'[1]End - Use Prices'!$B$9:$B$11,0)-1,MATCH(Y$1,'[1]End - Use Prices'!$C$7:$AL$7,0))</f>
        <v>30.15</v>
      </c>
      <c r="Z145" s="41">
        <f>INDEX('[1]End - Use Prices'!$C$6:$AL$89,MATCH($C145,'[1]End - Use Prices'!$A$6:$A$89,0)+MATCH($D145,'[1]End - Use Prices'!$B$9:$B$11,0)-1,MATCH(Z$1,'[1]End - Use Prices'!$C$7:$AL$7,0))</f>
        <v>31.73</v>
      </c>
      <c r="AA145" s="41">
        <f>INDEX('[1]End - Use Prices'!$C$6:$AL$89,MATCH($C145,'[1]End - Use Prices'!$A$6:$A$89,0)+MATCH($D145,'[1]End - Use Prices'!$B$9:$B$11,0)-1,MATCH(AA$1,'[1]End - Use Prices'!$C$7:$AL$7,0))</f>
        <v>37.46</v>
      </c>
      <c r="AB145" s="41">
        <f>INDEX('[1]End - Use Prices'!$C$6:$AL$89,MATCH($C145,'[1]End - Use Prices'!$A$6:$A$89,0)+MATCH($D145,'[1]End - Use Prices'!$B$9:$B$11,0)-1,MATCH(AB$1,'[1]End - Use Prices'!$C$7:$AL$7,0))</f>
        <v>28.89</v>
      </c>
      <c r="AC145" s="41">
        <f>INDEX('[1]End - Use Prices'!$C$6:$AL$89,MATCH($C145,'[1]End - Use Prices'!$A$6:$A$89,0)+MATCH($D145,'[1]End - Use Prices'!$B$9:$B$11,0)-1,MATCH(AC$1,'[1]End - Use Prices'!$C$7:$AL$7,0))</f>
        <v>31.56</v>
      </c>
      <c r="AD145" s="41">
        <f>INDEX('[1]End - Use Prices'!$C$6:$AL$89,MATCH($C145,'[1]End - Use Prices'!$A$6:$A$89,0)+MATCH($D145,'[1]End - Use Prices'!$B$9:$B$11,0)-1,MATCH(AD$1,'[1]End - Use Prices'!$C$7:$AL$7,0))</f>
        <v>36.9</v>
      </c>
      <c r="AE145" s="41">
        <f>INDEX('[1]End - Use Prices'!$C$6:$AL$89,MATCH($C145,'[1]End - Use Prices'!$A$6:$A$89,0)+MATCH($D145,'[1]End - Use Prices'!$B$9:$B$11,0)-1,MATCH(AE$1,'[1]End - Use Prices'!$C$7:$AL$7,0))</f>
        <v>38.08</v>
      </c>
      <c r="AF145" s="41">
        <f>INDEX('[1]End - Use Prices'!$C$6:$AL$89,MATCH($C145,'[1]End - Use Prices'!$A$6:$A$89,0)+MATCH($D145,'[1]End - Use Prices'!$B$9:$B$11,0)-1,MATCH(AF$1,'[1]End - Use Prices'!$C$7:$AL$7,0))</f>
        <v>36.86</v>
      </c>
      <c r="AG145" s="41">
        <f>INDEX('[1]End - Use Prices'!$C$6:$AL$89,MATCH($C145,'[1]End - Use Prices'!$A$6:$A$89,0)+MATCH($D145,'[1]End - Use Prices'!$B$9:$B$11,0)-1,MATCH(AG$1,'[1]End - Use Prices'!$C$7:$AL$7,0))</f>
        <v>37.01</v>
      </c>
      <c r="AH145" s="41">
        <f>INDEX('[1]End - Use Prices'!$C$6:$AL$89,MATCH($C145,'[1]End - Use Prices'!$A$6:$A$89,0)+MATCH($D145,'[1]End - Use Prices'!$B$9:$B$11,0)-1,MATCH(AH$1,'[1]End - Use Prices'!$C$7:$AL$7,0))</f>
        <v>29.89</v>
      </c>
      <c r="AI145" s="41">
        <f>INDEX('[1]End - Use Prices'!$C$6:$AL$89,MATCH($C145,'[1]End - Use Prices'!$A$6:$A$89,0)+MATCH($D145,'[1]End - Use Prices'!$B$9:$B$11,0)-1,MATCH(AI$1,'[1]End - Use Prices'!$C$7:$AL$7,0))</f>
        <v>25.86</v>
      </c>
      <c r="AJ145" s="41">
        <f>INDEX('[1]End - Use Prices'!$C$6:$AL$89,MATCH($C145,'[1]End - Use Prices'!$A$6:$A$89,0)+MATCH($D145,'[1]End - Use Prices'!$B$9:$B$11,0)-1,MATCH(AJ$1,'[1]End - Use Prices'!$C$7:$AL$7,0))</f>
        <v>27.9</v>
      </c>
      <c r="AK145" s="41">
        <f>INDEX('[1]End - Use Prices'!$C$6:$AL$89,MATCH($C145,'[1]End - Use Prices'!$A$6:$A$89,0)+MATCH($D145,'[1]End - Use Prices'!$B$9:$B$11,0)-1,MATCH(AK$1,'[1]End - Use Prices'!$C$7:$AL$7,0))</f>
        <v>31.56</v>
      </c>
      <c r="AL145" s="41">
        <f>INDEX('[1]End - Use Prices'!$C$6:$AL$89,MATCH($C145,'[1]End - Use Prices'!$A$6:$A$89,0)+MATCH($D145,'[1]End - Use Prices'!$B$9:$B$11,0)-1,MATCH(AL$1,'[1]End - Use Prices'!$C$7:$AL$7,0))</f>
        <v>33.29</v>
      </c>
      <c r="AM145" s="41">
        <f>INDEX('[1]End - Use Prices'!$C$6:$AL$89,MATCH($C145,'[1]End - Use Prices'!$A$6:$A$89,0)+MATCH($D145,'[1]End - Use Prices'!$B$9:$B$11,0)-1,MATCH(AM$1,'[1]End - Use Prices'!$C$7:$AL$7,0))</f>
        <v>37.340000000000003</v>
      </c>
      <c r="AN145" s="41">
        <f>INDEX('[1]End - Use Prices'!$C$6:$AL$89,MATCH($C145,'[1]End - Use Prices'!$A$6:$A$89,0)+MATCH($D145,'[1]End - Use Prices'!$B$9:$B$11,0)-1,MATCH(AN$1,'[1]End - Use Prices'!$C$7:$AL$7,0))</f>
        <v>34.270000000000003</v>
      </c>
      <c r="AO145" s="41">
        <f>INDEX('[1]End - Use Prices'!$C$6:$AL$89,MATCH($C145,'[1]End - Use Prices'!$A$6:$A$89,0)+MATCH($D145,'[1]End - Use Prices'!$B$9:$B$11,0)-1,MATCH(AO$1,'[1]End - Use Prices'!$C$7:$AL$7,0))</f>
        <v>32.229999999999997</v>
      </c>
      <c r="AP145" s="41">
        <f>INDEX('[1]End - Use Prices'!$C$6:$AL$89,MATCH($C145,'[1]End - Use Prices'!$A$6:$A$89,0)+MATCH($D145,'[1]End - Use Prices'!$B$9:$B$11,0)-1,MATCH(AP$1,'[1]End - Use Prices'!$C$7:$AL$7,0))</f>
        <v>32.729999999999997</v>
      </c>
      <c r="AQ145" s="41">
        <f>INDEX('[1]End - Use Prices'!$C$6:$AL$89,MATCH($C145,'[1]End - Use Prices'!$A$6:$A$89,0)+MATCH($D145,'[1]End - Use Prices'!$B$9:$B$11,0)-1,MATCH(AQ$1,'[1]End - Use Prices'!$C$7:$AL$7,0))</f>
        <v>32.54</v>
      </c>
      <c r="AR145" s="41">
        <f>INDEX('[1]End - Use Prices'!$C$6:$AL$89,MATCH($C145,'[1]End - Use Prices'!$A$6:$A$89,0)+MATCH($D145,'[1]End - Use Prices'!$B$9:$B$11,0)-1,MATCH(AR$1,'[1]End - Use Prices'!$C$7:$AL$7,0))</f>
        <v>32.57</v>
      </c>
      <c r="AS145" s="41">
        <f>INDEX('[1]End - Use Prices'!$C$6:$AL$89,MATCH($C145,'[1]End - Use Prices'!$A$6:$A$89,0)+MATCH($D145,'[1]End - Use Prices'!$B$9:$B$11,0)-1,MATCH(AS$1,'[1]End - Use Prices'!$C$7:$AL$7,0))</f>
        <v>32.56</v>
      </c>
      <c r="AT145" s="41">
        <f>INDEX('[1]End - Use Prices'!$C$6:$AL$89,MATCH($C145,'[1]End - Use Prices'!$A$6:$A$89,0)+MATCH($D145,'[1]End - Use Prices'!$B$9:$B$11,0)-1,MATCH(AT$1,'[1]End - Use Prices'!$C$7:$AL$7,0))</f>
        <v>32.44</v>
      </c>
      <c r="AU145" s="41">
        <f>INDEX('[1]End - Use Prices'!$C$6:$AL$89,MATCH($C145,'[1]End - Use Prices'!$A$6:$A$89,0)+MATCH($D145,'[1]End - Use Prices'!$B$9:$B$11,0)-1,MATCH(AU$1,'[1]End - Use Prices'!$C$7:$AL$7,0))</f>
        <v>32.29</v>
      </c>
      <c r="AV145" s="41">
        <f>INDEX('[1]End - Use Prices'!$C$6:$AL$89,MATCH($C145,'[1]End - Use Prices'!$A$6:$A$89,0)+MATCH($D145,'[1]End - Use Prices'!$B$9:$B$11,0)-1,MATCH(AV$1,'[1]End - Use Prices'!$C$7:$AL$7,0))</f>
        <v>32.17</v>
      </c>
      <c r="AW145" s="41">
        <f>INDEX('[1]End - Use Prices'!$C$6:$AL$89,MATCH($C145,'[1]End - Use Prices'!$A$6:$A$89,0)+MATCH($D145,'[1]End - Use Prices'!$B$9:$B$11,0)-1,MATCH(AW$1,'[1]End - Use Prices'!$C$7:$AL$7,0))</f>
        <v>32.04</v>
      </c>
      <c r="AX145" s="41">
        <f>INDEX('[1]End - Use Prices'!$C$6:$AL$89,MATCH($C145,'[1]End - Use Prices'!$A$6:$A$89,0)+MATCH($D145,'[1]End - Use Prices'!$B$9:$B$11,0)-1,MATCH(AX$1,'[1]End - Use Prices'!$C$7:$AL$7,0))</f>
        <v>31.98</v>
      </c>
      <c r="AY145" s="41">
        <f>INDEX('[1]End - Use Prices'!$C$6:$AL$89,MATCH($C145,'[1]End - Use Prices'!$A$6:$A$89,0)+MATCH($D145,'[1]End - Use Prices'!$B$9:$B$11,0)-1,MATCH(AY$1,'[1]End - Use Prices'!$C$7:$AL$7,0))</f>
        <v>31.96</v>
      </c>
      <c r="AZ145" s="41">
        <f>INDEX('[1]End - Use Prices'!$C$6:$AL$89,MATCH($C145,'[1]End - Use Prices'!$A$6:$A$89,0)+MATCH($D145,'[1]End - Use Prices'!$B$9:$B$11,0)-1,MATCH(AZ$1,'[1]End - Use Prices'!$C$7:$AL$7,0))</f>
        <v>31.97</v>
      </c>
      <c r="BA145" s="41">
        <f>INDEX('[1]End - Use Prices'!$C$6:$AL$89,MATCH($C145,'[1]End - Use Prices'!$A$6:$A$89,0)+MATCH($D145,'[1]End - Use Prices'!$B$9:$B$11,0)-1,MATCH(BA$1,'[1]End - Use Prices'!$C$7:$AL$7,0))</f>
        <v>32.01</v>
      </c>
      <c r="BB145" s="41">
        <f>INDEX('[1]End - Use Prices'!$C$6:$AL$89,MATCH($C145,'[1]End - Use Prices'!$A$6:$A$89,0)+MATCH($D145,'[1]End - Use Prices'!$B$9:$B$11,0)-1,MATCH(BB$1,'[1]End - Use Prices'!$C$7:$AL$7,0))</f>
        <v>32.03</v>
      </c>
      <c r="BC145" s="41">
        <f>INDEX('[1]End - Use Prices'!$C$6:$AL$89,MATCH($C145,'[1]End - Use Prices'!$A$6:$A$89,0)+MATCH($D145,'[1]End - Use Prices'!$B$9:$B$11,0)-1,MATCH(BC$1,'[1]End - Use Prices'!$C$7:$AL$7,0))</f>
        <v>32.03</v>
      </c>
      <c r="BD145" s="41">
        <f>INDEX('[1]End - Use Prices'!$C$6:$AL$89,MATCH($C145,'[1]End - Use Prices'!$A$6:$A$89,0)+MATCH($D145,'[1]End - Use Prices'!$B$9:$B$11,0)-1,MATCH(BD$1,'[1]End - Use Prices'!$C$7:$AL$7,0))</f>
        <v>32.020000000000003</v>
      </c>
      <c r="BE145" s="41">
        <f>INDEX('[1]End - Use Prices'!$C$6:$AL$89,MATCH($C145,'[1]End - Use Prices'!$A$6:$A$89,0)+MATCH($D145,'[1]End - Use Prices'!$B$9:$B$11,0)-1,MATCH(BE$1,'[1]End - Use Prices'!$C$7:$AL$7,0))</f>
        <v>31.97</v>
      </c>
      <c r="BF145" s="41">
        <f>INDEX('[1]End - Use Prices'!$C$6:$AL$89,MATCH($C145,'[1]End - Use Prices'!$A$6:$A$89,0)+MATCH($D145,'[1]End - Use Prices'!$B$9:$B$11,0)-1,MATCH(BF$1,'[1]End - Use Prices'!$C$7:$AL$7,0))</f>
        <v>31.93</v>
      </c>
      <c r="BG145" s="41">
        <f>INDEX('[1]End - Use Prices'!$C$6:$AL$89,MATCH($C145,'[1]End - Use Prices'!$A$6:$A$89,0)+MATCH($D145,'[1]End - Use Prices'!$B$9:$B$11,0)-1,MATCH(BG$1,'[1]End - Use Prices'!$C$7:$AL$7,0))</f>
        <v>31.87</v>
      </c>
      <c r="BR145" s="39"/>
      <c r="BS145" s="39"/>
      <c r="BT145" s="39"/>
      <c r="BU145" s="39"/>
      <c r="BV145" s="39"/>
      <c r="BW145" s="39"/>
      <c r="BX145" s="39"/>
      <c r="BY145" s="39"/>
      <c r="BZ145" s="39"/>
      <c r="CA145" s="39"/>
    </row>
    <row r="146" spans="1:79" x14ac:dyDescent="0.25">
      <c r="A146" s="5"/>
      <c r="B146" s="3"/>
      <c r="C146" s="25" t="s">
        <v>97</v>
      </c>
      <c r="D146" s="25" t="s">
        <v>311</v>
      </c>
      <c r="E146" s="25" t="s">
        <v>313</v>
      </c>
      <c r="F146" s="74" t="s">
        <v>310</v>
      </c>
      <c r="G146" s="54">
        <f t="shared" si="100"/>
        <v>26.74</v>
      </c>
      <c r="H146" s="34">
        <f t="shared" si="135"/>
        <v>26.74</v>
      </c>
      <c r="I146" s="34">
        <f t="shared" si="135"/>
        <v>28.81</v>
      </c>
      <c r="J146" s="34">
        <f t="shared" si="135"/>
        <v>28.29</v>
      </c>
      <c r="K146" s="34">
        <f t="shared" si="135"/>
        <v>36.4</v>
      </c>
      <c r="L146" s="34">
        <f t="shared" si="135"/>
        <v>31.63</v>
      </c>
      <c r="M146" s="34">
        <f t="shared" si="135"/>
        <v>31.1</v>
      </c>
      <c r="N146" s="34">
        <f t="shared" si="135"/>
        <v>31.09</v>
      </c>
      <c r="O146" s="34">
        <f t="shared" si="135"/>
        <v>30.93</v>
      </c>
      <c r="P146" s="54">
        <f t="shared" ref="P146:Q146" si="144">O146</f>
        <v>30.93</v>
      </c>
      <c r="Q146" s="54">
        <f t="shared" si="144"/>
        <v>30.93</v>
      </c>
      <c r="R146" s="38"/>
      <c r="X146" s="41">
        <f>INDEX('[1]End - Use Prices'!$C$6:$AL$89,MATCH($C146,'[1]End - Use Prices'!$A$6:$A$89,0)+MATCH($D146,'[1]End - Use Prices'!$B$9:$B$11,0)-1,MATCH(X$1,'[1]End - Use Prices'!$C$7:$AL$7,0))</f>
        <v>26.74</v>
      </c>
      <c r="Y146" s="41">
        <f>INDEX('[1]End - Use Prices'!$C$6:$AL$89,MATCH($C146,'[1]End - Use Prices'!$A$6:$A$89,0)+MATCH($D146,'[1]End - Use Prices'!$B$9:$B$11,0)-1,MATCH(Y$1,'[1]End - Use Prices'!$C$7:$AL$7,0))</f>
        <v>27.19</v>
      </c>
      <c r="Z146" s="41">
        <f>INDEX('[1]End - Use Prices'!$C$6:$AL$89,MATCH($C146,'[1]End - Use Prices'!$A$6:$A$89,0)+MATCH($D146,'[1]End - Use Prices'!$B$9:$B$11,0)-1,MATCH(Z$1,'[1]End - Use Prices'!$C$7:$AL$7,0))</f>
        <v>29.89</v>
      </c>
      <c r="AA146" s="41">
        <f>INDEX('[1]End - Use Prices'!$C$6:$AL$89,MATCH($C146,'[1]End - Use Prices'!$A$6:$A$89,0)+MATCH($D146,'[1]End - Use Prices'!$B$9:$B$11,0)-1,MATCH(AA$1,'[1]End - Use Prices'!$C$7:$AL$7,0))</f>
        <v>36.56</v>
      </c>
      <c r="AB146" s="41">
        <f>INDEX('[1]End - Use Prices'!$C$6:$AL$89,MATCH($C146,'[1]End - Use Prices'!$A$6:$A$89,0)+MATCH($D146,'[1]End - Use Prices'!$B$9:$B$11,0)-1,MATCH(AB$1,'[1]End - Use Prices'!$C$7:$AL$7,0))</f>
        <v>26.59</v>
      </c>
      <c r="AC146" s="41">
        <f>INDEX('[1]End - Use Prices'!$C$6:$AL$89,MATCH($C146,'[1]End - Use Prices'!$A$6:$A$89,0)+MATCH($D146,'[1]End - Use Prices'!$B$9:$B$11,0)-1,MATCH(AC$1,'[1]End - Use Prices'!$C$7:$AL$7,0))</f>
        <v>28.81</v>
      </c>
      <c r="AD146" s="41">
        <f>INDEX('[1]End - Use Prices'!$C$6:$AL$89,MATCH($C146,'[1]End - Use Prices'!$A$6:$A$89,0)+MATCH($D146,'[1]End - Use Prices'!$B$9:$B$11,0)-1,MATCH(AD$1,'[1]End - Use Prices'!$C$7:$AL$7,0))</f>
        <v>34.630000000000003</v>
      </c>
      <c r="AE146" s="41">
        <f>INDEX('[1]End - Use Prices'!$C$6:$AL$89,MATCH($C146,'[1]End - Use Prices'!$A$6:$A$89,0)+MATCH($D146,'[1]End - Use Prices'!$B$9:$B$11,0)-1,MATCH(AE$1,'[1]End - Use Prices'!$C$7:$AL$7,0))</f>
        <v>34.79</v>
      </c>
      <c r="AF146" s="41">
        <f>INDEX('[1]End - Use Prices'!$C$6:$AL$89,MATCH($C146,'[1]End - Use Prices'!$A$6:$A$89,0)+MATCH($D146,'[1]End - Use Prices'!$B$9:$B$11,0)-1,MATCH(AF$1,'[1]End - Use Prices'!$C$7:$AL$7,0))</f>
        <v>33.89</v>
      </c>
      <c r="AG146" s="41">
        <f>INDEX('[1]End - Use Prices'!$C$6:$AL$89,MATCH($C146,'[1]End - Use Prices'!$A$6:$A$89,0)+MATCH($D146,'[1]End - Use Prices'!$B$9:$B$11,0)-1,MATCH(AG$1,'[1]End - Use Prices'!$C$7:$AL$7,0))</f>
        <v>36.409999999999997</v>
      </c>
      <c r="AH146" s="41">
        <f>INDEX('[1]End - Use Prices'!$C$6:$AL$89,MATCH($C146,'[1]End - Use Prices'!$A$6:$A$89,0)+MATCH($D146,'[1]End - Use Prices'!$B$9:$B$11,0)-1,MATCH(AH$1,'[1]End - Use Prices'!$C$7:$AL$7,0))</f>
        <v>28.29</v>
      </c>
      <c r="AI146" s="41">
        <f>INDEX('[1]End - Use Prices'!$C$6:$AL$89,MATCH($C146,'[1]End - Use Prices'!$A$6:$A$89,0)+MATCH($D146,'[1]End - Use Prices'!$B$9:$B$11,0)-1,MATCH(AI$1,'[1]End - Use Prices'!$C$7:$AL$7,0))</f>
        <v>24.92</v>
      </c>
      <c r="AJ146" s="41">
        <f>INDEX('[1]End - Use Prices'!$C$6:$AL$89,MATCH($C146,'[1]End - Use Prices'!$A$6:$A$89,0)+MATCH($D146,'[1]End - Use Prices'!$B$9:$B$11,0)-1,MATCH(AJ$1,'[1]End - Use Prices'!$C$7:$AL$7,0))</f>
        <v>27.54</v>
      </c>
      <c r="AK146" s="41">
        <f>INDEX('[1]End - Use Prices'!$C$6:$AL$89,MATCH($C146,'[1]End - Use Prices'!$A$6:$A$89,0)+MATCH($D146,'[1]End - Use Prices'!$B$9:$B$11,0)-1,MATCH(AK$1,'[1]End - Use Prices'!$C$7:$AL$7,0))</f>
        <v>30.62</v>
      </c>
      <c r="AL146" s="41">
        <f>INDEX('[1]End - Use Prices'!$C$6:$AL$89,MATCH($C146,'[1]End - Use Prices'!$A$6:$A$89,0)+MATCH($D146,'[1]End - Use Prices'!$B$9:$B$11,0)-1,MATCH(AL$1,'[1]End - Use Prices'!$C$7:$AL$7,0))</f>
        <v>32.35</v>
      </c>
      <c r="AM146" s="41">
        <f>INDEX('[1]End - Use Prices'!$C$6:$AL$89,MATCH($C146,'[1]End - Use Prices'!$A$6:$A$89,0)+MATCH($D146,'[1]End - Use Prices'!$B$9:$B$11,0)-1,MATCH(AM$1,'[1]End - Use Prices'!$C$7:$AL$7,0))</f>
        <v>36.4</v>
      </c>
      <c r="AN146" s="41">
        <f>INDEX('[1]End - Use Prices'!$C$6:$AL$89,MATCH($C146,'[1]End - Use Prices'!$A$6:$A$89,0)+MATCH($D146,'[1]End - Use Prices'!$B$9:$B$11,0)-1,MATCH(AN$1,'[1]End - Use Prices'!$C$7:$AL$7,0))</f>
        <v>33.33</v>
      </c>
      <c r="AO146" s="41">
        <f>INDEX('[1]End - Use Prices'!$C$6:$AL$89,MATCH($C146,'[1]End - Use Prices'!$A$6:$A$89,0)+MATCH($D146,'[1]End - Use Prices'!$B$9:$B$11,0)-1,MATCH(AO$1,'[1]End - Use Prices'!$C$7:$AL$7,0))</f>
        <v>31.29</v>
      </c>
      <c r="AP146" s="41">
        <f>INDEX('[1]End - Use Prices'!$C$6:$AL$89,MATCH($C146,'[1]End - Use Prices'!$A$6:$A$89,0)+MATCH($D146,'[1]End - Use Prices'!$B$9:$B$11,0)-1,MATCH(AP$1,'[1]End - Use Prices'!$C$7:$AL$7,0))</f>
        <v>31.79</v>
      </c>
      <c r="AQ146" s="41">
        <f>INDEX('[1]End - Use Prices'!$C$6:$AL$89,MATCH($C146,'[1]End - Use Prices'!$A$6:$A$89,0)+MATCH($D146,'[1]End - Use Prices'!$B$9:$B$11,0)-1,MATCH(AQ$1,'[1]End - Use Prices'!$C$7:$AL$7,0))</f>
        <v>31.61</v>
      </c>
      <c r="AR146" s="41">
        <f>INDEX('[1]End - Use Prices'!$C$6:$AL$89,MATCH($C146,'[1]End - Use Prices'!$A$6:$A$89,0)+MATCH($D146,'[1]End - Use Prices'!$B$9:$B$11,0)-1,MATCH(AR$1,'[1]End - Use Prices'!$C$7:$AL$7,0))</f>
        <v>31.63</v>
      </c>
      <c r="AS146" s="41">
        <f>INDEX('[1]End - Use Prices'!$C$6:$AL$89,MATCH($C146,'[1]End - Use Prices'!$A$6:$A$89,0)+MATCH($D146,'[1]End - Use Prices'!$B$9:$B$11,0)-1,MATCH(AS$1,'[1]End - Use Prices'!$C$7:$AL$7,0))</f>
        <v>31.62</v>
      </c>
      <c r="AT146" s="41">
        <f>INDEX('[1]End - Use Prices'!$C$6:$AL$89,MATCH($C146,'[1]End - Use Prices'!$A$6:$A$89,0)+MATCH($D146,'[1]End - Use Prices'!$B$9:$B$11,0)-1,MATCH(AT$1,'[1]End - Use Prices'!$C$7:$AL$7,0))</f>
        <v>31.5</v>
      </c>
      <c r="AU146" s="41">
        <f>INDEX('[1]End - Use Prices'!$C$6:$AL$89,MATCH($C146,'[1]End - Use Prices'!$A$6:$A$89,0)+MATCH($D146,'[1]End - Use Prices'!$B$9:$B$11,0)-1,MATCH(AU$1,'[1]End - Use Prices'!$C$7:$AL$7,0))</f>
        <v>31.35</v>
      </c>
      <c r="AV146" s="41">
        <f>INDEX('[1]End - Use Prices'!$C$6:$AL$89,MATCH($C146,'[1]End - Use Prices'!$A$6:$A$89,0)+MATCH($D146,'[1]End - Use Prices'!$B$9:$B$11,0)-1,MATCH(AV$1,'[1]End - Use Prices'!$C$7:$AL$7,0))</f>
        <v>31.23</v>
      </c>
      <c r="AW146" s="41">
        <f>INDEX('[1]End - Use Prices'!$C$6:$AL$89,MATCH($C146,'[1]End - Use Prices'!$A$6:$A$89,0)+MATCH($D146,'[1]End - Use Prices'!$B$9:$B$11,0)-1,MATCH(AW$1,'[1]End - Use Prices'!$C$7:$AL$7,0))</f>
        <v>31.1</v>
      </c>
      <c r="AX146" s="41">
        <f>INDEX('[1]End - Use Prices'!$C$6:$AL$89,MATCH($C146,'[1]End - Use Prices'!$A$6:$A$89,0)+MATCH($D146,'[1]End - Use Prices'!$B$9:$B$11,0)-1,MATCH(AX$1,'[1]End - Use Prices'!$C$7:$AL$7,0))</f>
        <v>31.05</v>
      </c>
      <c r="AY146" s="41">
        <f>INDEX('[1]End - Use Prices'!$C$6:$AL$89,MATCH($C146,'[1]End - Use Prices'!$A$6:$A$89,0)+MATCH($D146,'[1]End - Use Prices'!$B$9:$B$11,0)-1,MATCH(AY$1,'[1]End - Use Prices'!$C$7:$AL$7,0))</f>
        <v>31.02</v>
      </c>
      <c r="AZ146" s="41">
        <f>INDEX('[1]End - Use Prices'!$C$6:$AL$89,MATCH($C146,'[1]End - Use Prices'!$A$6:$A$89,0)+MATCH($D146,'[1]End - Use Prices'!$B$9:$B$11,0)-1,MATCH(AZ$1,'[1]End - Use Prices'!$C$7:$AL$7,0))</f>
        <v>31.03</v>
      </c>
      <c r="BA146" s="41">
        <f>INDEX('[1]End - Use Prices'!$C$6:$AL$89,MATCH($C146,'[1]End - Use Prices'!$A$6:$A$89,0)+MATCH($D146,'[1]End - Use Prices'!$B$9:$B$11,0)-1,MATCH(BA$1,'[1]End - Use Prices'!$C$7:$AL$7,0))</f>
        <v>31.07</v>
      </c>
      <c r="BB146" s="41">
        <f>INDEX('[1]End - Use Prices'!$C$6:$AL$89,MATCH($C146,'[1]End - Use Prices'!$A$6:$A$89,0)+MATCH($D146,'[1]End - Use Prices'!$B$9:$B$11,0)-1,MATCH(BB$1,'[1]End - Use Prices'!$C$7:$AL$7,0))</f>
        <v>31.09</v>
      </c>
      <c r="BC146" s="41">
        <f>INDEX('[1]End - Use Prices'!$C$6:$AL$89,MATCH($C146,'[1]End - Use Prices'!$A$6:$A$89,0)+MATCH($D146,'[1]End - Use Prices'!$B$9:$B$11,0)-1,MATCH(BC$1,'[1]End - Use Prices'!$C$7:$AL$7,0))</f>
        <v>31.09</v>
      </c>
      <c r="BD146" s="41">
        <f>INDEX('[1]End - Use Prices'!$C$6:$AL$89,MATCH($C146,'[1]End - Use Prices'!$A$6:$A$89,0)+MATCH($D146,'[1]End - Use Prices'!$B$9:$B$11,0)-1,MATCH(BD$1,'[1]End - Use Prices'!$C$7:$AL$7,0))</f>
        <v>31.08</v>
      </c>
      <c r="BE146" s="41">
        <f>INDEX('[1]End - Use Prices'!$C$6:$AL$89,MATCH($C146,'[1]End - Use Prices'!$A$6:$A$89,0)+MATCH($D146,'[1]End - Use Prices'!$B$9:$B$11,0)-1,MATCH(BE$1,'[1]End - Use Prices'!$C$7:$AL$7,0))</f>
        <v>31.03</v>
      </c>
      <c r="BF146" s="41">
        <f>INDEX('[1]End - Use Prices'!$C$6:$AL$89,MATCH($C146,'[1]End - Use Prices'!$A$6:$A$89,0)+MATCH($D146,'[1]End - Use Prices'!$B$9:$B$11,0)-1,MATCH(BF$1,'[1]End - Use Prices'!$C$7:$AL$7,0))</f>
        <v>30.99</v>
      </c>
      <c r="BG146" s="41">
        <f>INDEX('[1]End - Use Prices'!$C$6:$AL$89,MATCH($C146,'[1]End - Use Prices'!$A$6:$A$89,0)+MATCH($D146,'[1]End - Use Prices'!$B$9:$B$11,0)-1,MATCH(BG$1,'[1]End - Use Prices'!$C$7:$AL$7,0))</f>
        <v>30.93</v>
      </c>
      <c r="BR146" s="39"/>
      <c r="BS146" s="39"/>
      <c r="BT146" s="39"/>
      <c r="BU146" s="39"/>
      <c r="BV146" s="39"/>
      <c r="BW146" s="39"/>
      <c r="BX146" s="39"/>
      <c r="BY146" s="39"/>
      <c r="BZ146" s="39"/>
      <c r="CA146" s="39"/>
    </row>
    <row r="147" spans="1:79" x14ac:dyDescent="0.25">
      <c r="A147" s="5"/>
      <c r="B147" s="3"/>
      <c r="C147" s="25" t="s">
        <v>96</v>
      </c>
      <c r="D147" s="25" t="s">
        <v>311</v>
      </c>
      <c r="E147" s="25" t="s">
        <v>313</v>
      </c>
      <c r="F147" s="74" t="s">
        <v>310</v>
      </c>
      <c r="G147" s="54">
        <f t="shared" si="100"/>
        <v>26.74</v>
      </c>
      <c r="H147" s="34">
        <f t="shared" si="135"/>
        <v>26.74</v>
      </c>
      <c r="I147" s="34">
        <f t="shared" si="135"/>
        <v>28.81</v>
      </c>
      <c r="J147" s="34">
        <f t="shared" si="135"/>
        <v>28.29</v>
      </c>
      <c r="K147" s="34">
        <f t="shared" si="135"/>
        <v>36.33</v>
      </c>
      <c r="L147" s="34">
        <f t="shared" si="135"/>
        <v>31.48</v>
      </c>
      <c r="M147" s="34">
        <f t="shared" si="135"/>
        <v>30.97</v>
      </c>
      <c r="N147" s="34">
        <f t="shared" si="135"/>
        <v>30.96</v>
      </c>
      <c r="O147" s="34">
        <f t="shared" si="135"/>
        <v>30.82</v>
      </c>
      <c r="P147" s="54">
        <f t="shared" ref="P147:Q147" si="145">O147</f>
        <v>30.82</v>
      </c>
      <c r="Q147" s="54">
        <f t="shared" si="145"/>
        <v>30.82</v>
      </c>
      <c r="R147" s="38"/>
      <c r="X147" s="41">
        <f>INDEX('[1]End - Use Prices'!$C$6:$AL$89,MATCH($C147,'[1]End - Use Prices'!$A$6:$A$89,0)+MATCH($D147,'[1]End - Use Prices'!$B$9:$B$11,0)-1,MATCH(X$1,'[1]End - Use Prices'!$C$7:$AL$7,0))</f>
        <v>26.74</v>
      </c>
      <c r="Y147" s="41">
        <f>INDEX('[1]End - Use Prices'!$C$6:$AL$89,MATCH($C147,'[1]End - Use Prices'!$A$6:$A$89,0)+MATCH($D147,'[1]End - Use Prices'!$B$9:$B$11,0)-1,MATCH(Y$1,'[1]End - Use Prices'!$C$7:$AL$7,0))</f>
        <v>27.19</v>
      </c>
      <c r="Z147" s="41">
        <f>INDEX('[1]End - Use Prices'!$C$6:$AL$89,MATCH($C147,'[1]End - Use Prices'!$A$6:$A$89,0)+MATCH($D147,'[1]End - Use Prices'!$B$9:$B$11,0)-1,MATCH(Z$1,'[1]End - Use Prices'!$C$7:$AL$7,0))</f>
        <v>29.89</v>
      </c>
      <c r="AA147" s="41">
        <f>INDEX('[1]End - Use Prices'!$C$6:$AL$89,MATCH($C147,'[1]End - Use Prices'!$A$6:$A$89,0)+MATCH($D147,'[1]End - Use Prices'!$B$9:$B$11,0)-1,MATCH(AA$1,'[1]End - Use Prices'!$C$7:$AL$7,0))</f>
        <v>36.56</v>
      </c>
      <c r="AB147" s="41">
        <f>INDEX('[1]End - Use Prices'!$C$6:$AL$89,MATCH($C147,'[1]End - Use Prices'!$A$6:$A$89,0)+MATCH($D147,'[1]End - Use Prices'!$B$9:$B$11,0)-1,MATCH(AB$1,'[1]End - Use Prices'!$C$7:$AL$7,0))</f>
        <v>26.59</v>
      </c>
      <c r="AC147" s="41">
        <f>INDEX('[1]End - Use Prices'!$C$6:$AL$89,MATCH($C147,'[1]End - Use Prices'!$A$6:$A$89,0)+MATCH($D147,'[1]End - Use Prices'!$B$9:$B$11,0)-1,MATCH(AC$1,'[1]End - Use Prices'!$C$7:$AL$7,0))</f>
        <v>28.81</v>
      </c>
      <c r="AD147" s="41">
        <f>INDEX('[1]End - Use Prices'!$C$6:$AL$89,MATCH($C147,'[1]End - Use Prices'!$A$6:$A$89,0)+MATCH($D147,'[1]End - Use Prices'!$B$9:$B$11,0)-1,MATCH(AD$1,'[1]End - Use Prices'!$C$7:$AL$7,0))</f>
        <v>34.630000000000003</v>
      </c>
      <c r="AE147" s="41">
        <f>INDEX('[1]End - Use Prices'!$C$6:$AL$89,MATCH($C147,'[1]End - Use Prices'!$A$6:$A$89,0)+MATCH($D147,'[1]End - Use Prices'!$B$9:$B$11,0)-1,MATCH(AE$1,'[1]End - Use Prices'!$C$7:$AL$7,0))</f>
        <v>34.79</v>
      </c>
      <c r="AF147" s="41">
        <f>INDEX('[1]End - Use Prices'!$C$6:$AL$89,MATCH($C147,'[1]End - Use Prices'!$A$6:$A$89,0)+MATCH($D147,'[1]End - Use Prices'!$B$9:$B$11,0)-1,MATCH(AF$1,'[1]End - Use Prices'!$C$7:$AL$7,0))</f>
        <v>33.89</v>
      </c>
      <c r="AG147" s="41">
        <f>INDEX('[1]End - Use Prices'!$C$6:$AL$89,MATCH($C147,'[1]End - Use Prices'!$A$6:$A$89,0)+MATCH($D147,'[1]End - Use Prices'!$B$9:$B$11,0)-1,MATCH(AG$1,'[1]End - Use Prices'!$C$7:$AL$7,0))</f>
        <v>36.409999999999997</v>
      </c>
      <c r="AH147" s="41">
        <f>INDEX('[1]End - Use Prices'!$C$6:$AL$89,MATCH($C147,'[1]End - Use Prices'!$A$6:$A$89,0)+MATCH($D147,'[1]End - Use Prices'!$B$9:$B$11,0)-1,MATCH(AH$1,'[1]End - Use Prices'!$C$7:$AL$7,0))</f>
        <v>28.29</v>
      </c>
      <c r="AI147" s="41">
        <f>INDEX('[1]End - Use Prices'!$C$6:$AL$89,MATCH($C147,'[1]End - Use Prices'!$A$6:$A$89,0)+MATCH($D147,'[1]End - Use Prices'!$B$9:$B$11,0)-1,MATCH(AI$1,'[1]End - Use Prices'!$C$7:$AL$7,0))</f>
        <v>24.92</v>
      </c>
      <c r="AJ147" s="41">
        <f>INDEX('[1]End - Use Prices'!$C$6:$AL$89,MATCH($C147,'[1]End - Use Prices'!$A$6:$A$89,0)+MATCH($D147,'[1]End - Use Prices'!$B$9:$B$11,0)-1,MATCH(AJ$1,'[1]End - Use Prices'!$C$7:$AL$7,0))</f>
        <v>27.54</v>
      </c>
      <c r="AK147" s="41">
        <f>INDEX('[1]End - Use Prices'!$C$6:$AL$89,MATCH($C147,'[1]End - Use Prices'!$A$6:$A$89,0)+MATCH($D147,'[1]End - Use Prices'!$B$9:$B$11,0)-1,MATCH(AK$1,'[1]End - Use Prices'!$C$7:$AL$7,0))</f>
        <v>30.62</v>
      </c>
      <c r="AL147" s="41">
        <f>INDEX('[1]End - Use Prices'!$C$6:$AL$89,MATCH($C147,'[1]End - Use Prices'!$A$6:$A$89,0)+MATCH($D147,'[1]End - Use Prices'!$B$9:$B$11,0)-1,MATCH(AL$1,'[1]End - Use Prices'!$C$7:$AL$7,0))</f>
        <v>32.35</v>
      </c>
      <c r="AM147" s="41">
        <f>INDEX('[1]End - Use Prices'!$C$6:$AL$89,MATCH($C147,'[1]End - Use Prices'!$A$6:$A$89,0)+MATCH($D147,'[1]End - Use Prices'!$B$9:$B$11,0)-1,MATCH(AM$1,'[1]End - Use Prices'!$C$7:$AL$7,0))</f>
        <v>36.33</v>
      </c>
      <c r="AN147" s="41">
        <f>INDEX('[1]End - Use Prices'!$C$6:$AL$89,MATCH($C147,'[1]End - Use Prices'!$A$6:$A$89,0)+MATCH($D147,'[1]End - Use Prices'!$B$9:$B$11,0)-1,MATCH(AN$1,'[1]End - Use Prices'!$C$7:$AL$7,0))</f>
        <v>33.229999999999997</v>
      </c>
      <c r="AO147" s="41">
        <f>INDEX('[1]End - Use Prices'!$C$6:$AL$89,MATCH($C147,'[1]End - Use Prices'!$A$6:$A$89,0)+MATCH($D147,'[1]End - Use Prices'!$B$9:$B$11,0)-1,MATCH(AO$1,'[1]End - Use Prices'!$C$7:$AL$7,0))</f>
        <v>31.15</v>
      </c>
      <c r="AP147" s="41">
        <f>INDEX('[1]End - Use Prices'!$C$6:$AL$89,MATCH($C147,'[1]End - Use Prices'!$A$6:$A$89,0)+MATCH($D147,'[1]End - Use Prices'!$B$9:$B$11,0)-1,MATCH(AP$1,'[1]End - Use Prices'!$C$7:$AL$7,0))</f>
        <v>31.62</v>
      </c>
      <c r="AQ147" s="41">
        <f>INDEX('[1]End - Use Prices'!$C$6:$AL$89,MATCH($C147,'[1]End - Use Prices'!$A$6:$A$89,0)+MATCH($D147,'[1]End - Use Prices'!$B$9:$B$11,0)-1,MATCH(AQ$1,'[1]End - Use Prices'!$C$7:$AL$7,0))</f>
        <v>31.44</v>
      </c>
      <c r="AR147" s="41">
        <f>INDEX('[1]End - Use Prices'!$C$6:$AL$89,MATCH($C147,'[1]End - Use Prices'!$A$6:$A$89,0)+MATCH($D147,'[1]End - Use Prices'!$B$9:$B$11,0)-1,MATCH(AR$1,'[1]End - Use Prices'!$C$7:$AL$7,0))</f>
        <v>31.48</v>
      </c>
      <c r="AS147" s="41">
        <f>INDEX('[1]End - Use Prices'!$C$6:$AL$89,MATCH($C147,'[1]End - Use Prices'!$A$6:$A$89,0)+MATCH($D147,'[1]End - Use Prices'!$B$9:$B$11,0)-1,MATCH(AS$1,'[1]End - Use Prices'!$C$7:$AL$7,0))</f>
        <v>31.46</v>
      </c>
      <c r="AT147" s="41">
        <f>INDEX('[1]End - Use Prices'!$C$6:$AL$89,MATCH($C147,'[1]End - Use Prices'!$A$6:$A$89,0)+MATCH($D147,'[1]End - Use Prices'!$B$9:$B$11,0)-1,MATCH(AT$1,'[1]End - Use Prices'!$C$7:$AL$7,0))</f>
        <v>31.36</v>
      </c>
      <c r="AU147" s="41">
        <f>INDEX('[1]End - Use Prices'!$C$6:$AL$89,MATCH($C147,'[1]End - Use Prices'!$A$6:$A$89,0)+MATCH($D147,'[1]End - Use Prices'!$B$9:$B$11,0)-1,MATCH(AU$1,'[1]End - Use Prices'!$C$7:$AL$7,0))</f>
        <v>31.2</v>
      </c>
      <c r="AV147" s="41">
        <f>INDEX('[1]End - Use Prices'!$C$6:$AL$89,MATCH($C147,'[1]End - Use Prices'!$A$6:$A$89,0)+MATCH($D147,'[1]End - Use Prices'!$B$9:$B$11,0)-1,MATCH(AV$1,'[1]End - Use Prices'!$C$7:$AL$7,0))</f>
        <v>31.09</v>
      </c>
      <c r="AW147" s="41">
        <f>INDEX('[1]End - Use Prices'!$C$6:$AL$89,MATCH($C147,'[1]End - Use Prices'!$A$6:$A$89,0)+MATCH($D147,'[1]End - Use Prices'!$B$9:$B$11,0)-1,MATCH(AW$1,'[1]End - Use Prices'!$C$7:$AL$7,0))</f>
        <v>30.97</v>
      </c>
      <c r="AX147" s="41">
        <f>INDEX('[1]End - Use Prices'!$C$6:$AL$89,MATCH($C147,'[1]End - Use Prices'!$A$6:$A$89,0)+MATCH($D147,'[1]End - Use Prices'!$B$9:$B$11,0)-1,MATCH(AX$1,'[1]End - Use Prices'!$C$7:$AL$7,0))</f>
        <v>30.91</v>
      </c>
      <c r="AY147" s="41">
        <f>INDEX('[1]End - Use Prices'!$C$6:$AL$89,MATCH($C147,'[1]End - Use Prices'!$A$6:$A$89,0)+MATCH($D147,'[1]End - Use Prices'!$B$9:$B$11,0)-1,MATCH(AY$1,'[1]End - Use Prices'!$C$7:$AL$7,0))</f>
        <v>30.89</v>
      </c>
      <c r="AZ147" s="41">
        <f>INDEX('[1]End - Use Prices'!$C$6:$AL$89,MATCH($C147,'[1]End - Use Prices'!$A$6:$A$89,0)+MATCH($D147,'[1]End - Use Prices'!$B$9:$B$11,0)-1,MATCH(AZ$1,'[1]End - Use Prices'!$C$7:$AL$7,0))</f>
        <v>30.9</v>
      </c>
      <c r="BA147" s="41">
        <f>INDEX('[1]End - Use Prices'!$C$6:$AL$89,MATCH($C147,'[1]End - Use Prices'!$A$6:$A$89,0)+MATCH($D147,'[1]End - Use Prices'!$B$9:$B$11,0)-1,MATCH(BA$1,'[1]End - Use Prices'!$C$7:$AL$7,0))</f>
        <v>30.94</v>
      </c>
      <c r="BB147" s="41">
        <f>INDEX('[1]End - Use Prices'!$C$6:$AL$89,MATCH($C147,'[1]End - Use Prices'!$A$6:$A$89,0)+MATCH($D147,'[1]End - Use Prices'!$B$9:$B$11,0)-1,MATCH(BB$1,'[1]End - Use Prices'!$C$7:$AL$7,0))</f>
        <v>30.96</v>
      </c>
      <c r="BC147" s="41">
        <f>INDEX('[1]End - Use Prices'!$C$6:$AL$89,MATCH($C147,'[1]End - Use Prices'!$A$6:$A$89,0)+MATCH($D147,'[1]End - Use Prices'!$B$9:$B$11,0)-1,MATCH(BC$1,'[1]End - Use Prices'!$C$7:$AL$7,0))</f>
        <v>30.97</v>
      </c>
      <c r="BD147" s="41">
        <f>INDEX('[1]End - Use Prices'!$C$6:$AL$89,MATCH($C147,'[1]End - Use Prices'!$A$6:$A$89,0)+MATCH($D147,'[1]End - Use Prices'!$B$9:$B$11,0)-1,MATCH(BD$1,'[1]End - Use Prices'!$C$7:$AL$7,0))</f>
        <v>30.96</v>
      </c>
      <c r="BE147" s="41">
        <f>INDEX('[1]End - Use Prices'!$C$6:$AL$89,MATCH($C147,'[1]End - Use Prices'!$A$6:$A$89,0)+MATCH($D147,'[1]End - Use Prices'!$B$9:$B$11,0)-1,MATCH(BE$1,'[1]End - Use Prices'!$C$7:$AL$7,0))</f>
        <v>30.91</v>
      </c>
      <c r="BF147" s="41">
        <f>INDEX('[1]End - Use Prices'!$C$6:$AL$89,MATCH($C147,'[1]End - Use Prices'!$A$6:$A$89,0)+MATCH($D147,'[1]End - Use Prices'!$B$9:$B$11,0)-1,MATCH(BF$1,'[1]End - Use Prices'!$C$7:$AL$7,0))</f>
        <v>30.87</v>
      </c>
      <c r="BG147" s="41">
        <f>INDEX('[1]End - Use Prices'!$C$6:$AL$89,MATCH($C147,'[1]End - Use Prices'!$A$6:$A$89,0)+MATCH($D147,'[1]End - Use Prices'!$B$9:$B$11,0)-1,MATCH(BG$1,'[1]End - Use Prices'!$C$7:$AL$7,0))</f>
        <v>30.82</v>
      </c>
      <c r="BR147" s="39"/>
      <c r="BS147" s="39"/>
      <c r="BT147" s="39"/>
      <c r="BU147" s="39"/>
      <c r="BV147" s="39"/>
      <c r="BW147" s="39"/>
      <c r="BX147" s="39"/>
      <c r="BY147" s="39"/>
      <c r="BZ147" s="39"/>
      <c r="CA147" s="39"/>
    </row>
    <row r="148" spans="1:79" s="39" customFormat="1" x14ac:dyDescent="0.25">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x14ac:dyDescent="0.25">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x14ac:dyDescent="0.25">
      <c r="A150" s="5"/>
      <c r="B150" s="71" t="s">
        <v>333</v>
      </c>
      <c r="C150" s="25" t="s">
        <v>48</v>
      </c>
      <c r="D150" s="25" t="s">
        <v>2</v>
      </c>
      <c r="E150" s="25" t="s">
        <v>313</v>
      </c>
      <c r="F150" s="74" t="s">
        <v>310</v>
      </c>
      <c r="G150" s="54">
        <f t="shared" ref="G150:G191" si="146">H150</f>
        <v>28.95</v>
      </c>
      <c r="H150" s="34">
        <f t="shared" ref="H150:O165" si="147">INDEX($S150:$CA150,MATCH(H$1,$S$1:$CA$1,0))</f>
        <v>28.95</v>
      </c>
      <c r="I150" s="34">
        <f t="shared" si="147"/>
        <v>31.32</v>
      </c>
      <c r="J150" s="34">
        <f t="shared" si="147"/>
        <v>34.979999999999997</v>
      </c>
      <c r="K150" s="34">
        <f t="shared" si="147"/>
        <v>38.72</v>
      </c>
      <c r="L150" s="34">
        <f t="shared" si="147"/>
        <v>40.39</v>
      </c>
      <c r="M150" s="34">
        <f t="shared" si="147"/>
        <v>42.26</v>
      </c>
      <c r="N150" s="34">
        <f t="shared" si="147"/>
        <v>43.98</v>
      </c>
      <c r="O150" s="34">
        <f t="shared" si="147"/>
        <v>45.58</v>
      </c>
      <c r="P150" s="54">
        <f t="shared" ref="P150:Q150" si="148">O150</f>
        <v>45.58</v>
      </c>
      <c r="Q150" s="54">
        <f t="shared" si="148"/>
        <v>45.58</v>
      </c>
      <c r="R150" s="38"/>
      <c r="X150" s="41">
        <f>INDEX('[1]End - Use Prices'!$C$6:$AL$89,MATCH($C150,'[1]End - Use Prices'!$A$6:$A$89,0)+MATCH($D150,'[1]End - Use Prices'!$B$9:$B$11,0)-1,MATCH(X$1,'[1]End - Use Prices'!$C$7:$AL$7,0))</f>
        <v>28.95</v>
      </c>
      <c r="Y150" s="41">
        <f>INDEX('[1]End - Use Prices'!$C$6:$AL$89,MATCH($C150,'[1]End - Use Prices'!$A$6:$A$89,0)+MATCH($D150,'[1]End - Use Prices'!$B$9:$B$11,0)-1,MATCH(Y$1,'[1]End - Use Prices'!$C$7:$AL$7,0))</f>
        <v>32.35</v>
      </c>
      <c r="Z150" s="41">
        <f>INDEX('[1]End - Use Prices'!$C$6:$AL$89,MATCH($C150,'[1]End - Use Prices'!$A$6:$A$89,0)+MATCH($D150,'[1]End - Use Prices'!$B$9:$B$11,0)-1,MATCH(Z$1,'[1]End - Use Prices'!$C$7:$AL$7,0))</f>
        <v>31.56</v>
      </c>
      <c r="AA150" s="41">
        <f>INDEX('[1]End - Use Prices'!$C$6:$AL$89,MATCH($C150,'[1]End - Use Prices'!$A$6:$A$89,0)+MATCH($D150,'[1]End - Use Prices'!$B$9:$B$11,0)-1,MATCH(AA$1,'[1]End - Use Prices'!$C$7:$AL$7,0))</f>
        <v>30.57</v>
      </c>
      <c r="AB150" s="41">
        <f>INDEX('[1]End - Use Prices'!$C$6:$AL$89,MATCH($C150,'[1]End - Use Prices'!$A$6:$A$89,0)+MATCH($D150,'[1]End - Use Prices'!$B$9:$B$11,0)-1,MATCH(AB$1,'[1]End - Use Prices'!$C$7:$AL$7,0))</f>
        <v>31.64</v>
      </c>
      <c r="AC150" s="41">
        <f>INDEX('[1]End - Use Prices'!$C$6:$AL$89,MATCH($C150,'[1]End - Use Prices'!$A$6:$A$89,0)+MATCH($D150,'[1]End - Use Prices'!$B$9:$B$11,0)-1,MATCH(AC$1,'[1]End - Use Prices'!$C$7:$AL$7,0))</f>
        <v>31.32</v>
      </c>
      <c r="AD150" s="41">
        <f>INDEX('[1]End - Use Prices'!$C$6:$AL$89,MATCH($C150,'[1]End - Use Prices'!$A$6:$A$89,0)+MATCH($D150,'[1]End - Use Prices'!$B$9:$B$11,0)-1,MATCH(AD$1,'[1]End - Use Prices'!$C$7:$AL$7,0))</f>
        <v>32.659999999999997</v>
      </c>
      <c r="AE150" s="41">
        <f>INDEX('[1]End - Use Prices'!$C$6:$AL$89,MATCH($C150,'[1]End - Use Prices'!$A$6:$A$89,0)+MATCH($D150,'[1]End - Use Prices'!$B$9:$B$11,0)-1,MATCH(AE$1,'[1]End - Use Prices'!$C$7:$AL$7,0))</f>
        <v>32.83</v>
      </c>
      <c r="AF150" s="41">
        <f>INDEX('[1]End - Use Prices'!$C$6:$AL$89,MATCH($C150,'[1]End - Use Prices'!$A$6:$A$89,0)+MATCH($D150,'[1]End - Use Prices'!$B$9:$B$11,0)-1,MATCH(AF$1,'[1]End - Use Prices'!$C$7:$AL$7,0))</f>
        <v>32.92</v>
      </c>
      <c r="AG150" s="41">
        <f>INDEX('[1]End - Use Prices'!$C$6:$AL$89,MATCH($C150,'[1]End - Use Prices'!$A$6:$A$89,0)+MATCH($D150,'[1]End - Use Prices'!$B$9:$B$11,0)-1,MATCH(AG$1,'[1]End - Use Prices'!$C$7:$AL$7,0))</f>
        <v>33.6</v>
      </c>
      <c r="AH150" s="41">
        <f>INDEX('[1]End - Use Prices'!$C$6:$AL$89,MATCH($C150,'[1]End - Use Prices'!$A$6:$A$89,0)+MATCH($D150,'[1]End - Use Prices'!$B$9:$B$11,0)-1,MATCH(AH$1,'[1]End - Use Prices'!$C$7:$AL$7,0))</f>
        <v>34.979999999999997</v>
      </c>
      <c r="AI150" s="41">
        <f>INDEX('[1]End - Use Prices'!$C$6:$AL$89,MATCH($C150,'[1]End - Use Prices'!$A$6:$A$89,0)+MATCH($D150,'[1]End - Use Prices'!$B$9:$B$11,0)-1,MATCH(AI$1,'[1]End - Use Prices'!$C$7:$AL$7,0))</f>
        <v>37.61</v>
      </c>
      <c r="AJ150" s="41">
        <f>INDEX('[1]End - Use Prices'!$C$6:$AL$89,MATCH($C150,'[1]End - Use Prices'!$A$6:$A$89,0)+MATCH($D150,'[1]End - Use Prices'!$B$9:$B$11,0)-1,MATCH(AJ$1,'[1]End - Use Prices'!$C$7:$AL$7,0))</f>
        <v>37.65</v>
      </c>
      <c r="AK150" s="41">
        <f>INDEX('[1]End - Use Prices'!$C$6:$AL$89,MATCH($C150,'[1]End - Use Prices'!$A$6:$A$89,0)+MATCH($D150,'[1]End - Use Prices'!$B$9:$B$11,0)-1,MATCH(AK$1,'[1]End - Use Prices'!$C$7:$AL$7,0))</f>
        <v>38.03</v>
      </c>
      <c r="AL150" s="41">
        <f>INDEX('[1]End - Use Prices'!$C$6:$AL$89,MATCH($C150,'[1]End - Use Prices'!$A$6:$A$89,0)+MATCH($D150,'[1]End - Use Prices'!$B$9:$B$11,0)-1,MATCH(AL$1,'[1]End - Use Prices'!$C$7:$AL$7,0))</f>
        <v>38.380000000000003</v>
      </c>
      <c r="AM150" s="41">
        <f>INDEX('[1]End - Use Prices'!$C$6:$AL$89,MATCH($C150,'[1]End - Use Prices'!$A$6:$A$89,0)+MATCH($D150,'[1]End - Use Prices'!$B$9:$B$11,0)-1,MATCH(AM$1,'[1]End - Use Prices'!$C$7:$AL$7,0))</f>
        <v>38.72</v>
      </c>
      <c r="AN150" s="41">
        <f>INDEX('[1]End - Use Prices'!$C$6:$AL$89,MATCH($C150,'[1]End - Use Prices'!$A$6:$A$89,0)+MATCH($D150,'[1]End - Use Prices'!$B$9:$B$11,0)-1,MATCH(AN$1,'[1]End - Use Prices'!$C$7:$AL$7,0))</f>
        <v>39.04</v>
      </c>
      <c r="AO150" s="41">
        <f>INDEX('[1]End - Use Prices'!$C$6:$AL$89,MATCH($C150,'[1]End - Use Prices'!$A$6:$A$89,0)+MATCH($D150,'[1]End - Use Prices'!$B$9:$B$11,0)-1,MATCH(AO$1,'[1]End - Use Prices'!$C$7:$AL$7,0))</f>
        <v>39.36</v>
      </c>
      <c r="AP150" s="41">
        <f>INDEX('[1]End - Use Prices'!$C$6:$AL$89,MATCH($C150,'[1]End - Use Prices'!$A$6:$A$89,0)+MATCH($D150,'[1]End - Use Prices'!$B$9:$B$11,0)-1,MATCH(AP$1,'[1]End - Use Prices'!$C$7:$AL$7,0))</f>
        <v>39.69</v>
      </c>
      <c r="AQ150" s="41">
        <f>INDEX('[1]End - Use Prices'!$C$6:$AL$89,MATCH($C150,'[1]End - Use Prices'!$A$6:$A$89,0)+MATCH($D150,'[1]End - Use Prices'!$B$9:$B$11,0)-1,MATCH(AQ$1,'[1]End - Use Prices'!$C$7:$AL$7,0))</f>
        <v>40.020000000000003</v>
      </c>
      <c r="AR150" s="41">
        <f>INDEX('[1]End - Use Prices'!$C$6:$AL$89,MATCH($C150,'[1]End - Use Prices'!$A$6:$A$89,0)+MATCH($D150,'[1]End - Use Prices'!$B$9:$B$11,0)-1,MATCH(AR$1,'[1]End - Use Prices'!$C$7:$AL$7,0))</f>
        <v>40.39</v>
      </c>
      <c r="AS150" s="41">
        <f>INDEX('[1]End - Use Prices'!$C$6:$AL$89,MATCH($C150,'[1]End - Use Prices'!$A$6:$A$89,0)+MATCH($D150,'[1]End - Use Prices'!$B$9:$B$11,0)-1,MATCH(AS$1,'[1]End - Use Prices'!$C$7:$AL$7,0))</f>
        <v>40.74</v>
      </c>
      <c r="AT150" s="41">
        <f>INDEX('[1]End - Use Prices'!$C$6:$AL$89,MATCH($C150,'[1]End - Use Prices'!$A$6:$A$89,0)+MATCH($D150,'[1]End - Use Prices'!$B$9:$B$11,0)-1,MATCH(AT$1,'[1]End - Use Prices'!$C$7:$AL$7,0))</f>
        <v>41.1</v>
      </c>
      <c r="AU150" s="41">
        <f>INDEX('[1]End - Use Prices'!$C$6:$AL$89,MATCH($C150,'[1]End - Use Prices'!$A$6:$A$89,0)+MATCH($D150,'[1]End - Use Prices'!$B$9:$B$11,0)-1,MATCH(AU$1,'[1]End - Use Prices'!$C$7:$AL$7,0))</f>
        <v>41.49</v>
      </c>
      <c r="AV150" s="41">
        <f>INDEX('[1]End - Use Prices'!$C$6:$AL$89,MATCH($C150,'[1]End - Use Prices'!$A$6:$A$89,0)+MATCH($D150,'[1]End - Use Prices'!$B$9:$B$11,0)-1,MATCH(AV$1,'[1]End - Use Prices'!$C$7:$AL$7,0))</f>
        <v>41.88</v>
      </c>
      <c r="AW150" s="41">
        <f>INDEX('[1]End - Use Prices'!$C$6:$AL$89,MATCH($C150,'[1]End - Use Prices'!$A$6:$A$89,0)+MATCH($D150,'[1]End - Use Prices'!$B$9:$B$11,0)-1,MATCH(AW$1,'[1]End - Use Prices'!$C$7:$AL$7,0))</f>
        <v>42.26</v>
      </c>
      <c r="AX150" s="41">
        <f>INDEX('[1]End - Use Prices'!$C$6:$AL$89,MATCH($C150,'[1]End - Use Prices'!$A$6:$A$89,0)+MATCH($D150,'[1]End - Use Prices'!$B$9:$B$11,0)-1,MATCH(AX$1,'[1]End - Use Prices'!$C$7:$AL$7,0))</f>
        <v>42.62</v>
      </c>
      <c r="AY150" s="41">
        <f>INDEX('[1]End - Use Prices'!$C$6:$AL$89,MATCH($C150,'[1]End - Use Prices'!$A$6:$A$89,0)+MATCH($D150,'[1]End - Use Prices'!$B$9:$B$11,0)-1,MATCH(AY$1,'[1]End - Use Prices'!$C$7:$AL$7,0))</f>
        <v>42.97</v>
      </c>
      <c r="AZ150" s="41">
        <f>INDEX('[1]End - Use Prices'!$C$6:$AL$89,MATCH($C150,'[1]End - Use Prices'!$A$6:$A$89,0)+MATCH($D150,'[1]End - Use Prices'!$B$9:$B$11,0)-1,MATCH(AZ$1,'[1]End - Use Prices'!$C$7:$AL$7,0))</f>
        <v>43.31</v>
      </c>
      <c r="BA150" s="41">
        <f>INDEX('[1]End - Use Prices'!$C$6:$AL$89,MATCH($C150,'[1]End - Use Prices'!$A$6:$A$89,0)+MATCH($D150,'[1]End - Use Prices'!$B$9:$B$11,0)-1,MATCH(BA$1,'[1]End - Use Prices'!$C$7:$AL$7,0))</f>
        <v>43.65</v>
      </c>
      <c r="BB150" s="41">
        <f>INDEX('[1]End - Use Prices'!$C$6:$AL$89,MATCH($C150,'[1]End - Use Prices'!$A$6:$A$89,0)+MATCH($D150,'[1]End - Use Prices'!$B$9:$B$11,0)-1,MATCH(BB$1,'[1]End - Use Prices'!$C$7:$AL$7,0))</f>
        <v>43.98</v>
      </c>
      <c r="BC150" s="41">
        <f>INDEX('[1]End - Use Prices'!$C$6:$AL$89,MATCH($C150,'[1]End - Use Prices'!$A$6:$A$89,0)+MATCH($D150,'[1]End - Use Prices'!$B$9:$B$11,0)-1,MATCH(BC$1,'[1]End - Use Prices'!$C$7:$AL$7,0))</f>
        <v>44.31</v>
      </c>
      <c r="BD150" s="41">
        <f>INDEX('[1]End - Use Prices'!$C$6:$AL$89,MATCH($C150,'[1]End - Use Prices'!$A$6:$A$89,0)+MATCH($D150,'[1]End - Use Prices'!$B$9:$B$11,0)-1,MATCH(BD$1,'[1]End - Use Prices'!$C$7:$AL$7,0))</f>
        <v>44.63</v>
      </c>
      <c r="BE150" s="41">
        <f>INDEX('[1]End - Use Prices'!$C$6:$AL$89,MATCH($C150,'[1]End - Use Prices'!$A$6:$A$89,0)+MATCH($D150,'[1]End - Use Prices'!$B$9:$B$11,0)-1,MATCH(BE$1,'[1]End - Use Prices'!$C$7:$AL$7,0))</f>
        <v>44.95</v>
      </c>
      <c r="BF150" s="41">
        <f>INDEX('[1]End - Use Prices'!$C$6:$AL$89,MATCH($C150,'[1]End - Use Prices'!$A$6:$A$89,0)+MATCH($D150,'[1]End - Use Prices'!$B$9:$B$11,0)-1,MATCH(BF$1,'[1]End - Use Prices'!$C$7:$AL$7,0))</f>
        <v>45.27</v>
      </c>
      <c r="BG150" s="41">
        <f>INDEX('[1]End - Use Prices'!$C$6:$AL$89,MATCH($C150,'[1]End - Use Prices'!$A$6:$A$89,0)+MATCH($D150,'[1]End - Use Prices'!$B$9:$B$11,0)-1,MATCH(BG$1,'[1]End - Use Prices'!$C$7:$AL$7,0))</f>
        <v>45.58</v>
      </c>
      <c r="BR150" s="39"/>
      <c r="BS150" s="39"/>
      <c r="BT150" s="39"/>
      <c r="BU150" s="39"/>
      <c r="BV150" s="39"/>
      <c r="BW150" s="39"/>
      <c r="BX150" s="39"/>
      <c r="BY150" s="39"/>
      <c r="BZ150" s="39"/>
      <c r="CA150" s="39"/>
    </row>
    <row r="151" spans="1:79" x14ac:dyDescent="0.25">
      <c r="A151" s="5"/>
      <c r="B151" s="3"/>
      <c r="C151" s="25" t="s">
        <v>87</v>
      </c>
      <c r="D151" s="25" t="s">
        <v>2</v>
      </c>
      <c r="E151" s="25" t="s">
        <v>313</v>
      </c>
      <c r="F151" s="74" t="s">
        <v>310</v>
      </c>
      <c r="G151" s="54">
        <f t="shared" si="146"/>
        <v>34.03</v>
      </c>
      <c r="H151" s="34">
        <f t="shared" si="147"/>
        <v>34.03</v>
      </c>
      <c r="I151" s="34">
        <f t="shared" si="147"/>
        <v>38.9</v>
      </c>
      <c r="J151" s="34">
        <f t="shared" si="147"/>
        <v>39.4</v>
      </c>
      <c r="K151" s="34">
        <f t="shared" si="147"/>
        <v>45.24</v>
      </c>
      <c r="L151" s="34">
        <f t="shared" si="147"/>
        <v>48</v>
      </c>
      <c r="M151" s="34">
        <f t="shared" si="147"/>
        <v>50.03</v>
      </c>
      <c r="N151" s="34">
        <f t="shared" si="147"/>
        <v>52.14</v>
      </c>
      <c r="O151" s="34">
        <f t="shared" si="147"/>
        <v>55.17</v>
      </c>
      <c r="P151" s="54">
        <f t="shared" ref="P151:Q151" si="149">O151</f>
        <v>55.17</v>
      </c>
      <c r="Q151" s="54">
        <f t="shared" si="149"/>
        <v>55.17</v>
      </c>
      <c r="R151" s="38"/>
      <c r="X151" s="41">
        <f>INDEX('[1]End - Use Prices'!$C$6:$AL$89,MATCH($C151,'[1]End - Use Prices'!$A$6:$A$89,0)+MATCH($D151,'[1]End - Use Prices'!$B$9:$B$11,0)-1,MATCH(X$1,'[1]End - Use Prices'!$C$7:$AL$7,0))</f>
        <v>34.03</v>
      </c>
      <c r="Y151" s="41">
        <f>INDEX('[1]End - Use Prices'!$C$6:$AL$89,MATCH($C151,'[1]End - Use Prices'!$A$6:$A$89,0)+MATCH($D151,'[1]End - Use Prices'!$B$9:$B$11,0)-1,MATCH(Y$1,'[1]End - Use Prices'!$C$7:$AL$7,0))</f>
        <v>39.85</v>
      </c>
      <c r="Z151" s="41">
        <f>INDEX('[1]End - Use Prices'!$C$6:$AL$89,MATCH($C151,'[1]End - Use Prices'!$A$6:$A$89,0)+MATCH($D151,'[1]End - Use Prices'!$B$9:$B$11,0)-1,MATCH(Z$1,'[1]End - Use Prices'!$C$7:$AL$7,0))</f>
        <v>39.83</v>
      </c>
      <c r="AA151" s="41">
        <f>INDEX('[1]End - Use Prices'!$C$6:$AL$89,MATCH($C151,'[1]End - Use Prices'!$A$6:$A$89,0)+MATCH($D151,'[1]End - Use Prices'!$B$9:$B$11,0)-1,MATCH(AA$1,'[1]End - Use Prices'!$C$7:$AL$7,0))</f>
        <v>37.99</v>
      </c>
      <c r="AB151" s="41">
        <f>INDEX('[1]End - Use Prices'!$C$6:$AL$89,MATCH($C151,'[1]End - Use Prices'!$A$6:$A$89,0)+MATCH($D151,'[1]End - Use Prices'!$B$9:$B$11,0)-1,MATCH(AB$1,'[1]End - Use Prices'!$C$7:$AL$7,0))</f>
        <v>41.07</v>
      </c>
      <c r="AC151" s="41">
        <f>INDEX('[1]End - Use Prices'!$C$6:$AL$89,MATCH($C151,'[1]End - Use Prices'!$A$6:$A$89,0)+MATCH($D151,'[1]End - Use Prices'!$B$9:$B$11,0)-1,MATCH(AC$1,'[1]End - Use Prices'!$C$7:$AL$7,0))</f>
        <v>38.9</v>
      </c>
      <c r="AD151" s="41">
        <f>INDEX('[1]End - Use Prices'!$C$6:$AL$89,MATCH($C151,'[1]End - Use Prices'!$A$6:$A$89,0)+MATCH($D151,'[1]End - Use Prices'!$B$9:$B$11,0)-1,MATCH(AD$1,'[1]End - Use Prices'!$C$7:$AL$7,0))</f>
        <v>38.54</v>
      </c>
      <c r="AE151" s="41">
        <f>INDEX('[1]End - Use Prices'!$C$6:$AL$89,MATCH($C151,'[1]End - Use Prices'!$A$6:$A$89,0)+MATCH($D151,'[1]End - Use Prices'!$B$9:$B$11,0)-1,MATCH(AE$1,'[1]End - Use Prices'!$C$7:$AL$7,0))</f>
        <v>40.909999999999997</v>
      </c>
      <c r="AF151" s="41">
        <f>INDEX('[1]End - Use Prices'!$C$6:$AL$89,MATCH($C151,'[1]End - Use Prices'!$A$6:$A$89,0)+MATCH($D151,'[1]End - Use Prices'!$B$9:$B$11,0)-1,MATCH(AF$1,'[1]End - Use Prices'!$C$7:$AL$7,0))</f>
        <v>39.76</v>
      </c>
      <c r="AG151" s="41">
        <f>INDEX('[1]End - Use Prices'!$C$6:$AL$89,MATCH($C151,'[1]End - Use Prices'!$A$6:$A$89,0)+MATCH($D151,'[1]End - Use Prices'!$B$9:$B$11,0)-1,MATCH(AG$1,'[1]End - Use Prices'!$C$7:$AL$7,0))</f>
        <v>38.340000000000003</v>
      </c>
      <c r="AH151" s="41">
        <f>INDEX('[1]End - Use Prices'!$C$6:$AL$89,MATCH($C151,'[1]End - Use Prices'!$A$6:$A$89,0)+MATCH($D151,'[1]End - Use Prices'!$B$9:$B$11,0)-1,MATCH(AH$1,'[1]End - Use Prices'!$C$7:$AL$7,0))</f>
        <v>39.4</v>
      </c>
      <c r="AI151" s="41">
        <f>INDEX('[1]End - Use Prices'!$C$6:$AL$89,MATCH($C151,'[1]End - Use Prices'!$A$6:$A$89,0)+MATCH($D151,'[1]End - Use Prices'!$B$9:$B$11,0)-1,MATCH(AI$1,'[1]End - Use Prices'!$C$7:$AL$7,0))</f>
        <v>40.49</v>
      </c>
      <c r="AJ151" s="41">
        <f>INDEX('[1]End - Use Prices'!$C$6:$AL$89,MATCH($C151,'[1]End - Use Prices'!$A$6:$A$89,0)+MATCH($D151,'[1]End - Use Prices'!$B$9:$B$11,0)-1,MATCH(AJ$1,'[1]End - Use Prices'!$C$7:$AL$7,0))</f>
        <v>42.88</v>
      </c>
      <c r="AK151" s="41">
        <f>INDEX('[1]End - Use Prices'!$C$6:$AL$89,MATCH($C151,'[1]End - Use Prices'!$A$6:$A$89,0)+MATCH($D151,'[1]End - Use Prices'!$B$9:$B$11,0)-1,MATCH(AK$1,'[1]End - Use Prices'!$C$7:$AL$7,0))</f>
        <v>43.74</v>
      </c>
      <c r="AL151" s="41">
        <f>INDEX('[1]End - Use Prices'!$C$6:$AL$89,MATCH($C151,'[1]End - Use Prices'!$A$6:$A$89,0)+MATCH($D151,'[1]End - Use Prices'!$B$9:$B$11,0)-1,MATCH(AL$1,'[1]End - Use Prices'!$C$7:$AL$7,0))</f>
        <v>44.52</v>
      </c>
      <c r="AM151" s="41">
        <f>INDEX('[1]End - Use Prices'!$C$6:$AL$89,MATCH($C151,'[1]End - Use Prices'!$A$6:$A$89,0)+MATCH($D151,'[1]End - Use Prices'!$B$9:$B$11,0)-1,MATCH(AM$1,'[1]End - Use Prices'!$C$7:$AL$7,0))</f>
        <v>45.24</v>
      </c>
      <c r="AN151" s="41">
        <f>INDEX('[1]End - Use Prices'!$C$6:$AL$89,MATCH($C151,'[1]End - Use Prices'!$A$6:$A$89,0)+MATCH($D151,'[1]End - Use Prices'!$B$9:$B$11,0)-1,MATCH(AN$1,'[1]End - Use Prices'!$C$7:$AL$7,0))</f>
        <v>45.89</v>
      </c>
      <c r="AO151" s="41">
        <f>INDEX('[1]End - Use Prices'!$C$6:$AL$89,MATCH($C151,'[1]End - Use Prices'!$A$6:$A$89,0)+MATCH($D151,'[1]End - Use Prices'!$B$9:$B$11,0)-1,MATCH(AO$1,'[1]End - Use Prices'!$C$7:$AL$7,0))</f>
        <v>46.48</v>
      </c>
      <c r="AP151" s="41">
        <f>INDEX('[1]End - Use Prices'!$C$6:$AL$89,MATCH($C151,'[1]End - Use Prices'!$A$6:$A$89,0)+MATCH($D151,'[1]End - Use Prices'!$B$9:$B$11,0)-1,MATCH(AP$1,'[1]End - Use Prices'!$C$7:$AL$7,0))</f>
        <v>47.03</v>
      </c>
      <c r="AQ151" s="41">
        <f>INDEX('[1]End - Use Prices'!$C$6:$AL$89,MATCH($C151,'[1]End - Use Prices'!$A$6:$A$89,0)+MATCH($D151,'[1]End - Use Prices'!$B$9:$B$11,0)-1,MATCH(AQ$1,'[1]End - Use Prices'!$C$7:$AL$7,0))</f>
        <v>47.53</v>
      </c>
      <c r="AR151" s="41">
        <f>INDEX('[1]End - Use Prices'!$C$6:$AL$89,MATCH($C151,'[1]End - Use Prices'!$A$6:$A$89,0)+MATCH($D151,'[1]End - Use Prices'!$B$9:$B$11,0)-1,MATCH(AR$1,'[1]End - Use Prices'!$C$7:$AL$7,0))</f>
        <v>48</v>
      </c>
      <c r="AS151" s="41">
        <f>INDEX('[1]End - Use Prices'!$C$6:$AL$89,MATCH($C151,'[1]End - Use Prices'!$A$6:$A$89,0)+MATCH($D151,'[1]End - Use Prices'!$B$9:$B$11,0)-1,MATCH(AS$1,'[1]End - Use Prices'!$C$7:$AL$7,0))</f>
        <v>48.44</v>
      </c>
      <c r="AT151" s="41">
        <f>INDEX('[1]End - Use Prices'!$C$6:$AL$89,MATCH($C151,'[1]End - Use Prices'!$A$6:$A$89,0)+MATCH($D151,'[1]End - Use Prices'!$B$9:$B$11,0)-1,MATCH(AT$1,'[1]End - Use Prices'!$C$7:$AL$7,0))</f>
        <v>48.85</v>
      </c>
      <c r="AU151" s="41">
        <f>INDEX('[1]End - Use Prices'!$C$6:$AL$89,MATCH($C151,'[1]End - Use Prices'!$A$6:$A$89,0)+MATCH($D151,'[1]End - Use Prices'!$B$9:$B$11,0)-1,MATCH(AU$1,'[1]End - Use Prices'!$C$7:$AL$7,0))</f>
        <v>49.25</v>
      </c>
      <c r="AV151" s="41">
        <f>INDEX('[1]End - Use Prices'!$C$6:$AL$89,MATCH($C151,'[1]End - Use Prices'!$A$6:$A$89,0)+MATCH($D151,'[1]End - Use Prices'!$B$9:$B$11,0)-1,MATCH(AV$1,'[1]End - Use Prices'!$C$7:$AL$7,0))</f>
        <v>49.64</v>
      </c>
      <c r="AW151" s="41">
        <f>INDEX('[1]End - Use Prices'!$C$6:$AL$89,MATCH($C151,'[1]End - Use Prices'!$A$6:$A$89,0)+MATCH($D151,'[1]End - Use Prices'!$B$9:$B$11,0)-1,MATCH(AW$1,'[1]End - Use Prices'!$C$7:$AL$7,0))</f>
        <v>50.03</v>
      </c>
      <c r="AX151" s="41">
        <f>INDEX('[1]End - Use Prices'!$C$6:$AL$89,MATCH($C151,'[1]End - Use Prices'!$A$6:$A$89,0)+MATCH($D151,'[1]End - Use Prices'!$B$9:$B$11,0)-1,MATCH(AX$1,'[1]End - Use Prices'!$C$7:$AL$7,0))</f>
        <v>50.42</v>
      </c>
      <c r="AY151" s="41">
        <f>INDEX('[1]End - Use Prices'!$C$6:$AL$89,MATCH($C151,'[1]End - Use Prices'!$A$6:$A$89,0)+MATCH($D151,'[1]End - Use Prices'!$B$9:$B$11,0)-1,MATCH(AY$1,'[1]End - Use Prices'!$C$7:$AL$7,0))</f>
        <v>50.82</v>
      </c>
      <c r="AZ151" s="41">
        <f>INDEX('[1]End - Use Prices'!$C$6:$AL$89,MATCH($C151,'[1]End - Use Prices'!$A$6:$A$89,0)+MATCH($D151,'[1]End - Use Prices'!$B$9:$B$11,0)-1,MATCH(AZ$1,'[1]End - Use Prices'!$C$7:$AL$7,0))</f>
        <v>51.23</v>
      </c>
      <c r="BA151" s="41">
        <f>INDEX('[1]End - Use Prices'!$C$6:$AL$89,MATCH($C151,'[1]End - Use Prices'!$A$6:$A$89,0)+MATCH($D151,'[1]End - Use Prices'!$B$9:$B$11,0)-1,MATCH(BA$1,'[1]End - Use Prices'!$C$7:$AL$7,0))</f>
        <v>51.67</v>
      </c>
      <c r="BB151" s="41">
        <f>INDEX('[1]End - Use Prices'!$C$6:$AL$89,MATCH($C151,'[1]End - Use Prices'!$A$6:$A$89,0)+MATCH($D151,'[1]End - Use Prices'!$B$9:$B$11,0)-1,MATCH(BB$1,'[1]End - Use Prices'!$C$7:$AL$7,0))</f>
        <v>52.14</v>
      </c>
      <c r="BC151" s="41">
        <f>INDEX('[1]End - Use Prices'!$C$6:$AL$89,MATCH($C151,'[1]End - Use Prices'!$A$6:$A$89,0)+MATCH($D151,'[1]End - Use Prices'!$B$9:$B$11,0)-1,MATCH(BC$1,'[1]End - Use Prices'!$C$7:$AL$7,0))</f>
        <v>52.65</v>
      </c>
      <c r="BD151" s="41">
        <f>INDEX('[1]End - Use Prices'!$C$6:$AL$89,MATCH($C151,'[1]End - Use Prices'!$A$6:$A$89,0)+MATCH($D151,'[1]End - Use Prices'!$B$9:$B$11,0)-1,MATCH(BD$1,'[1]End - Use Prices'!$C$7:$AL$7,0))</f>
        <v>53.2</v>
      </c>
      <c r="BE151" s="41">
        <f>INDEX('[1]End - Use Prices'!$C$6:$AL$89,MATCH($C151,'[1]End - Use Prices'!$A$6:$A$89,0)+MATCH($D151,'[1]End - Use Prices'!$B$9:$B$11,0)-1,MATCH(BE$1,'[1]End - Use Prices'!$C$7:$AL$7,0))</f>
        <v>53.8</v>
      </c>
      <c r="BF151" s="41">
        <f>INDEX('[1]End - Use Prices'!$C$6:$AL$89,MATCH($C151,'[1]End - Use Prices'!$A$6:$A$89,0)+MATCH($D151,'[1]End - Use Prices'!$B$9:$B$11,0)-1,MATCH(BF$1,'[1]End - Use Prices'!$C$7:$AL$7,0))</f>
        <v>54.45</v>
      </c>
      <c r="BG151" s="41">
        <f>INDEX('[1]End - Use Prices'!$C$6:$AL$89,MATCH($C151,'[1]End - Use Prices'!$A$6:$A$89,0)+MATCH($D151,'[1]End - Use Prices'!$B$9:$B$11,0)-1,MATCH(BG$1,'[1]End - Use Prices'!$C$7:$AL$7,0))</f>
        <v>55.17</v>
      </c>
      <c r="BR151" s="39"/>
      <c r="BS151" s="39"/>
      <c r="BT151" s="39"/>
      <c r="BU151" s="39"/>
      <c r="BV151" s="39"/>
      <c r="BW151" s="39"/>
      <c r="BX151" s="39"/>
      <c r="BY151" s="39"/>
      <c r="BZ151" s="39"/>
      <c r="CA151" s="39"/>
    </row>
    <row r="152" spans="1:79" x14ac:dyDescent="0.25">
      <c r="A152" s="5"/>
      <c r="B152" s="3"/>
      <c r="C152" s="25" t="s">
        <v>88</v>
      </c>
      <c r="D152" s="25" t="s">
        <v>2</v>
      </c>
      <c r="E152" s="25" t="s">
        <v>313</v>
      </c>
      <c r="F152" s="74" t="s">
        <v>310</v>
      </c>
      <c r="G152" s="54">
        <f t="shared" si="146"/>
        <v>41.51</v>
      </c>
      <c r="H152" s="34">
        <f t="shared" si="147"/>
        <v>41.51</v>
      </c>
      <c r="I152" s="34">
        <f t="shared" si="147"/>
        <v>50.51</v>
      </c>
      <c r="J152" s="34">
        <f t="shared" si="147"/>
        <v>53.64</v>
      </c>
      <c r="K152" s="34">
        <f t="shared" si="147"/>
        <v>55.52</v>
      </c>
      <c r="L152" s="34">
        <f t="shared" si="147"/>
        <v>56.42</v>
      </c>
      <c r="M152" s="34">
        <f t="shared" si="147"/>
        <v>57.35</v>
      </c>
      <c r="N152" s="34">
        <f t="shared" si="147"/>
        <v>58.28</v>
      </c>
      <c r="O152" s="34">
        <f t="shared" si="147"/>
        <v>59.23</v>
      </c>
      <c r="P152" s="54">
        <f t="shared" ref="P152:Q152" si="150">O152</f>
        <v>59.23</v>
      </c>
      <c r="Q152" s="54">
        <f t="shared" si="150"/>
        <v>59.23</v>
      </c>
      <c r="R152" s="38"/>
      <c r="X152" s="41">
        <f>INDEX('[1]End - Use Prices'!$C$6:$AL$89,MATCH($C152,'[1]End - Use Prices'!$A$6:$A$89,0)+MATCH($D152,'[1]End - Use Prices'!$B$9:$B$11,0)-1,MATCH(X$1,'[1]End - Use Prices'!$C$7:$AL$7,0))</f>
        <v>41.51</v>
      </c>
      <c r="Y152" s="41">
        <f>INDEX('[1]End - Use Prices'!$C$6:$AL$89,MATCH($C152,'[1]End - Use Prices'!$A$6:$A$89,0)+MATCH($D152,'[1]End - Use Prices'!$B$9:$B$11,0)-1,MATCH(Y$1,'[1]End - Use Prices'!$C$7:$AL$7,0))</f>
        <v>42.42</v>
      </c>
      <c r="Z152" s="41">
        <f>INDEX('[1]End - Use Prices'!$C$6:$AL$89,MATCH($C152,'[1]End - Use Prices'!$A$6:$A$89,0)+MATCH($D152,'[1]End - Use Prices'!$B$9:$B$11,0)-1,MATCH(Z$1,'[1]End - Use Prices'!$C$7:$AL$7,0))</f>
        <v>44.58</v>
      </c>
      <c r="AA152" s="41">
        <f>INDEX('[1]End - Use Prices'!$C$6:$AL$89,MATCH($C152,'[1]End - Use Prices'!$A$6:$A$89,0)+MATCH($D152,'[1]End - Use Prices'!$B$9:$B$11,0)-1,MATCH(AA$1,'[1]End - Use Prices'!$C$7:$AL$7,0))</f>
        <v>46.56</v>
      </c>
      <c r="AB152" s="41">
        <f>INDEX('[1]End - Use Prices'!$C$6:$AL$89,MATCH($C152,'[1]End - Use Prices'!$A$6:$A$89,0)+MATCH($D152,'[1]End - Use Prices'!$B$9:$B$11,0)-1,MATCH(AB$1,'[1]End - Use Prices'!$C$7:$AL$7,0))</f>
        <v>55.63</v>
      </c>
      <c r="AC152" s="41">
        <f>INDEX('[1]End - Use Prices'!$C$6:$AL$89,MATCH($C152,'[1]End - Use Prices'!$A$6:$A$89,0)+MATCH($D152,'[1]End - Use Prices'!$B$9:$B$11,0)-1,MATCH(AC$1,'[1]End - Use Prices'!$C$7:$AL$7,0))</f>
        <v>50.51</v>
      </c>
      <c r="AD152" s="41">
        <f>INDEX('[1]End - Use Prices'!$C$6:$AL$89,MATCH($C152,'[1]End - Use Prices'!$A$6:$A$89,0)+MATCH($D152,'[1]End - Use Prices'!$B$9:$B$11,0)-1,MATCH(AD$1,'[1]End - Use Prices'!$C$7:$AL$7,0))</f>
        <v>43.95</v>
      </c>
      <c r="AE152" s="41">
        <f>INDEX('[1]End - Use Prices'!$C$6:$AL$89,MATCH($C152,'[1]End - Use Prices'!$A$6:$A$89,0)+MATCH($D152,'[1]End - Use Prices'!$B$9:$B$11,0)-1,MATCH(AE$1,'[1]End - Use Prices'!$C$7:$AL$7,0))</f>
        <v>43.43</v>
      </c>
      <c r="AF152" s="41">
        <f>INDEX('[1]End - Use Prices'!$C$6:$AL$89,MATCH($C152,'[1]End - Use Prices'!$A$6:$A$89,0)+MATCH($D152,'[1]End - Use Prices'!$B$9:$B$11,0)-1,MATCH(AF$1,'[1]End - Use Prices'!$C$7:$AL$7,0))</f>
        <v>50.61</v>
      </c>
      <c r="AG152" s="41">
        <f>INDEX('[1]End - Use Prices'!$C$6:$AL$89,MATCH($C152,'[1]End - Use Prices'!$A$6:$A$89,0)+MATCH($D152,'[1]End - Use Prices'!$B$9:$B$11,0)-1,MATCH(AG$1,'[1]End - Use Prices'!$C$7:$AL$7,0))</f>
        <v>51.93</v>
      </c>
      <c r="AH152" s="41">
        <f>INDEX('[1]End - Use Prices'!$C$6:$AL$89,MATCH($C152,'[1]End - Use Prices'!$A$6:$A$89,0)+MATCH($D152,'[1]End - Use Prices'!$B$9:$B$11,0)-1,MATCH(AH$1,'[1]End - Use Prices'!$C$7:$AL$7,0))</f>
        <v>53.64</v>
      </c>
      <c r="AI152" s="41">
        <f>INDEX('[1]End - Use Prices'!$C$6:$AL$89,MATCH($C152,'[1]End - Use Prices'!$A$6:$A$89,0)+MATCH($D152,'[1]End - Use Prices'!$B$9:$B$11,0)-1,MATCH(AI$1,'[1]End - Use Prices'!$C$7:$AL$7,0))</f>
        <v>54.8</v>
      </c>
      <c r="AJ152" s="41">
        <f>INDEX('[1]End - Use Prices'!$C$6:$AL$89,MATCH($C152,'[1]End - Use Prices'!$A$6:$A$89,0)+MATCH($D152,'[1]End - Use Prices'!$B$9:$B$11,0)-1,MATCH(AJ$1,'[1]End - Use Prices'!$C$7:$AL$7,0))</f>
        <v>54.98</v>
      </c>
      <c r="AK152" s="41">
        <f>INDEX('[1]End - Use Prices'!$C$6:$AL$89,MATCH($C152,'[1]End - Use Prices'!$A$6:$A$89,0)+MATCH($D152,'[1]End - Use Prices'!$B$9:$B$11,0)-1,MATCH(AK$1,'[1]End - Use Prices'!$C$7:$AL$7,0))</f>
        <v>55.16</v>
      </c>
      <c r="AL152" s="41">
        <f>INDEX('[1]End - Use Prices'!$C$6:$AL$89,MATCH($C152,'[1]End - Use Prices'!$A$6:$A$89,0)+MATCH($D152,'[1]End - Use Prices'!$B$9:$B$11,0)-1,MATCH(AL$1,'[1]End - Use Prices'!$C$7:$AL$7,0))</f>
        <v>55.34</v>
      </c>
      <c r="AM152" s="41">
        <f>INDEX('[1]End - Use Prices'!$C$6:$AL$89,MATCH($C152,'[1]End - Use Prices'!$A$6:$A$89,0)+MATCH($D152,'[1]End - Use Prices'!$B$9:$B$11,0)-1,MATCH(AM$1,'[1]End - Use Prices'!$C$7:$AL$7,0))</f>
        <v>55.52</v>
      </c>
      <c r="AN152" s="41">
        <f>INDEX('[1]End - Use Prices'!$C$6:$AL$89,MATCH($C152,'[1]End - Use Prices'!$A$6:$A$89,0)+MATCH($D152,'[1]End - Use Prices'!$B$9:$B$11,0)-1,MATCH(AN$1,'[1]End - Use Prices'!$C$7:$AL$7,0))</f>
        <v>55.7</v>
      </c>
      <c r="AO152" s="41">
        <f>INDEX('[1]End - Use Prices'!$C$6:$AL$89,MATCH($C152,'[1]End - Use Prices'!$A$6:$A$89,0)+MATCH($D152,'[1]End - Use Prices'!$B$9:$B$11,0)-1,MATCH(AO$1,'[1]End - Use Prices'!$C$7:$AL$7,0))</f>
        <v>55.88</v>
      </c>
      <c r="AP152" s="41">
        <f>INDEX('[1]End - Use Prices'!$C$6:$AL$89,MATCH($C152,'[1]End - Use Prices'!$A$6:$A$89,0)+MATCH($D152,'[1]End - Use Prices'!$B$9:$B$11,0)-1,MATCH(AP$1,'[1]End - Use Prices'!$C$7:$AL$7,0))</f>
        <v>56.06</v>
      </c>
      <c r="AQ152" s="41">
        <f>INDEX('[1]End - Use Prices'!$C$6:$AL$89,MATCH($C152,'[1]End - Use Prices'!$A$6:$A$89,0)+MATCH($D152,'[1]End - Use Prices'!$B$9:$B$11,0)-1,MATCH(AQ$1,'[1]End - Use Prices'!$C$7:$AL$7,0))</f>
        <v>56.24</v>
      </c>
      <c r="AR152" s="41">
        <f>INDEX('[1]End - Use Prices'!$C$6:$AL$89,MATCH($C152,'[1]End - Use Prices'!$A$6:$A$89,0)+MATCH($D152,'[1]End - Use Prices'!$B$9:$B$11,0)-1,MATCH(AR$1,'[1]End - Use Prices'!$C$7:$AL$7,0))</f>
        <v>56.42</v>
      </c>
      <c r="AS152" s="41">
        <f>INDEX('[1]End - Use Prices'!$C$6:$AL$89,MATCH($C152,'[1]End - Use Prices'!$A$6:$A$89,0)+MATCH($D152,'[1]End - Use Prices'!$B$9:$B$11,0)-1,MATCH(AS$1,'[1]End - Use Prices'!$C$7:$AL$7,0))</f>
        <v>56.61</v>
      </c>
      <c r="AT152" s="41">
        <f>INDEX('[1]End - Use Prices'!$C$6:$AL$89,MATCH($C152,'[1]End - Use Prices'!$A$6:$A$89,0)+MATCH($D152,'[1]End - Use Prices'!$B$9:$B$11,0)-1,MATCH(AT$1,'[1]End - Use Prices'!$C$7:$AL$7,0))</f>
        <v>56.79</v>
      </c>
      <c r="AU152" s="41">
        <f>INDEX('[1]End - Use Prices'!$C$6:$AL$89,MATCH($C152,'[1]End - Use Prices'!$A$6:$A$89,0)+MATCH($D152,'[1]End - Use Prices'!$B$9:$B$11,0)-1,MATCH(AU$1,'[1]End - Use Prices'!$C$7:$AL$7,0))</f>
        <v>56.97</v>
      </c>
      <c r="AV152" s="41">
        <f>INDEX('[1]End - Use Prices'!$C$6:$AL$89,MATCH($C152,'[1]End - Use Prices'!$A$6:$A$89,0)+MATCH($D152,'[1]End - Use Prices'!$B$9:$B$11,0)-1,MATCH(AV$1,'[1]End - Use Prices'!$C$7:$AL$7,0))</f>
        <v>57.16</v>
      </c>
      <c r="AW152" s="41">
        <f>INDEX('[1]End - Use Prices'!$C$6:$AL$89,MATCH($C152,'[1]End - Use Prices'!$A$6:$A$89,0)+MATCH($D152,'[1]End - Use Prices'!$B$9:$B$11,0)-1,MATCH(AW$1,'[1]End - Use Prices'!$C$7:$AL$7,0))</f>
        <v>57.35</v>
      </c>
      <c r="AX152" s="41">
        <f>INDEX('[1]End - Use Prices'!$C$6:$AL$89,MATCH($C152,'[1]End - Use Prices'!$A$6:$A$89,0)+MATCH($D152,'[1]End - Use Prices'!$B$9:$B$11,0)-1,MATCH(AX$1,'[1]End - Use Prices'!$C$7:$AL$7,0))</f>
        <v>57.53</v>
      </c>
      <c r="AY152" s="41">
        <f>INDEX('[1]End - Use Prices'!$C$6:$AL$89,MATCH($C152,'[1]End - Use Prices'!$A$6:$A$89,0)+MATCH($D152,'[1]End - Use Prices'!$B$9:$B$11,0)-1,MATCH(AY$1,'[1]End - Use Prices'!$C$7:$AL$7,0))</f>
        <v>57.72</v>
      </c>
      <c r="AZ152" s="41">
        <f>INDEX('[1]End - Use Prices'!$C$6:$AL$89,MATCH($C152,'[1]End - Use Prices'!$A$6:$A$89,0)+MATCH($D152,'[1]End - Use Prices'!$B$9:$B$11,0)-1,MATCH(AZ$1,'[1]End - Use Prices'!$C$7:$AL$7,0))</f>
        <v>57.91</v>
      </c>
      <c r="BA152" s="41">
        <f>INDEX('[1]End - Use Prices'!$C$6:$AL$89,MATCH($C152,'[1]End - Use Prices'!$A$6:$A$89,0)+MATCH($D152,'[1]End - Use Prices'!$B$9:$B$11,0)-1,MATCH(BA$1,'[1]End - Use Prices'!$C$7:$AL$7,0))</f>
        <v>58.09</v>
      </c>
      <c r="BB152" s="41">
        <f>INDEX('[1]End - Use Prices'!$C$6:$AL$89,MATCH($C152,'[1]End - Use Prices'!$A$6:$A$89,0)+MATCH($D152,'[1]End - Use Prices'!$B$9:$B$11,0)-1,MATCH(BB$1,'[1]End - Use Prices'!$C$7:$AL$7,0))</f>
        <v>58.28</v>
      </c>
      <c r="BC152" s="41">
        <f>INDEX('[1]End - Use Prices'!$C$6:$AL$89,MATCH($C152,'[1]End - Use Prices'!$A$6:$A$89,0)+MATCH($D152,'[1]End - Use Prices'!$B$9:$B$11,0)-1,MATCH(BC$1,'[1]End - Use Prices'!$C$7:$AL$7,0))</f>
        <v>58.47</v>
      </c>
      <c r="BD152" s="41">
        <f>INDEX('[1]End - Use Prices'!$C$6:$AL$89,MATCH($C152,'[1]End - Use Prices'!$A$6:$A$89,0)+MATCH($D152,'[1]End - Use Prices'!$B$9:$B$11,0)-1,MATCH(BD$1,'[1]End - Use Prices'!$C$7:$AL$7,0))</f>
        <v>58.66</v>
      </c>
      <c r="BE152" s="41">
        <f>INDEX('[1]End - Use Prices'!$C$6:$AL$89,MATCH($C152,'[1]End - Use Prices'!$A$6:$A$89,0)+MATCH($D152,'[1]End - Use Prices'!$B$9:$B$11,0)-1,MATCH(BE$1,'[1]End - Use Prices'!$C$7:$AL$7,0))</f>
        <v>58.85</v>
      </c>
      <c r="BF152" s="41">
        <f>INDEX('[1]End - Use Prices'!$C$6:$AL$89,MATCH($C152,'[1]End - Use Prices'!$A$6:$A$89,0)+MATCH($D152,'[1]End - Use Prices'!$B$9:$B$11,0)-1,MATCH(BF$1,'[1]End - Use Prices'!$C$7:$AL$7,0))</f>
        <v>59.04</v>
      </c>
      <c r="BG152" s="41">
        <f>INDEX('[1]End - Use Prices'!$C$6:$AL$89,MATCH($C152,'[1]End - Use Prices'!$A$6:$A$89,0)+MATCH($D152,'[1]End - Use Prices'!$B$9:$B$11,0)-1,MATCH(BG$1,'[1]End - Use Prices'!$C$7:$AL$7,0))</f>
        <v>59.23</v>
      </c>
      <c r="BR152" s="39"/>
      <c r="BS152" s="39"/>
      <c r="BT152" s="39"/>
      <c r="BU152" s="39"/>
      <c r="BV152" s="39"/>
      <c r="BW152" s="39"/>
      <c r="BX152" s="39"/>
      <c r="BY152" s="39"/>
      <c r="BZ152" s="39"/>
      <c r="CA152" s="39"/>
    </row>
    <row r="153" spans="1:79" x14ac:dyDescent="0.25">
      <c r="A153" s="5"/>
      <c r="B153" s="3"/>
      <c r="C153" s="25" t="s">
        <v>89</v>
      </c>
      <c r="D153" s="25" t="s">
        <v>2</v>
      </c>
      <c r="E153" s="25" t="s">
        <v>313</v>
      </c>
      <c r="F153" s="74" t="s">
        <v>310</v>
      </c>
      <c r="G153" s="54">
        <f t="shared" si="146"/>
        <v>37.270000000000003</v>
      </c>
      <c r="H153" s="34">
        <f t="shared" si="147"/>
        <v>37.270000000000003</v>
      </c>
      <c r="I153" s="34">
        <f t="shared" si="147"/>
        <v>40.32</v>
      </c>
      <c r="J153" s="34">
        <f t="shared" si="147"/>
        <v>46.71</v>
      </c>
      <c r="K153" s="34">
        <f t="shared" si="147"/>
        <v>49.31</v>
      </c>
      <c r="L153" s="34">
        <f t="shared" si="147"/>
        <v>53.15</v>
      </c>
      <c r="M153" s="34">
        <f t="shared" si="147"/>
        <v>56.07</v>
      </c>
      <c r="N153" s="34">
        <f t="shared" si="147"/>
        <v>57.94</v>
      </c>
      <c r="O153" s="34">
        <f t="shared" si="147"/>
        <v>58.62</v>
      </c>
      <c r="P153" s="54">
        <f t="shared" ref="P153:Q153" si="151">O153</f>
        <v>58.62</v>
      </c>
      <c r="Q153" s="54">
        <f t="shared" si="151"/>
        <v>58.62</v>
      </c>
      <c r="R153" s="38"/>
      <c r="X153" s="41">
        <f>INDEX('[1]End - Use Prices'!$C$6:$AL$89,MATCH($C153,'[1]End - Use Prices'!$A$6:$A$89,0)+MATCH($D153,'[1]End - Use Prices'!$B$9:$B$11,0)-1,MATCH(X$1,'[1]End - Use Prices'!$C$7:$AL$7,0))</f>
        <v>37.270000000000003</v>
      </c>
      <c r="Y153" s="41">
        <f>INDEX('[1]End - Use Prices'!$C$6:$AL$89,MATCH($C153,'[1]End - Use Prices'!$A$6:$A$89,0)+MATCH($D153,'[1]End - Use Prices'!$B$9:$B$11,0)-1,MATCH(Y$1,'[1]End - Use Prices'!$C$7:$AL$7,0))</f>
        <v>41.5</v>
      </c>
      <c r="Z153" s="41">
        <f>INDEX('[1]End - Use Prices'!$C$6:$AL$89,MATCH($C153,'[1]End - Use Prices'!$A$6:$A$89,0)+MATCH($D153,'[1]End - Use Prices'!$B$9:$B$11,0)-1,MATCH(Z$1,'[1]End - Use Prices'!$C$7:$AL$7,0))</f>
        <v>38.799999999999997</v>
      </c>
      <c r="AA153" s="41">
        <f>INDEX('[1]End - Use Prices'!$C$6:$AL$89,MATCH($C153,'[1]End - Use Prices'!$A$6:$A$89,0)+MATCH($D153,'[1]End - Use Prices'!$B$9:$B$11,0)-1,MATCH(AA$1,'[1]End - Use Prices'!$C$7:$AL$7,0))</f>
        <v>36.950000000000003</v>
      </c>
      <c r="AB153" s="41">
        <f>INDEX('[1]End - Use Prices'!$C$6:$AL$89,MATCH($C153,'[1]End - Use Prices'!$A$6:$A$89,0)+MATCH($D153,'[1]End - Use Prices'!$B$9:$B$11,0)-1,MATCH(AB$1,'[1]End - Use Prices'!$C$7:$AL$7,0))</f>
        <v>44.6</v>
      </c>
      <c r="AC153" s="41">
        <f>INDEX('[1]End - Use Prices'!$C$6:$AL$89,MATCH($C153,'[1]End - Use Prices'!$A$6:$A$89,0)+MATCH($D153,'[1]End - Use Prices'!$B$9:$B$11,0)-1,MATCH(AC$1,'[1]End - Use Prices'!$C$7:$AL$7,0))</f>
        <v>40.32</v>
      </c>
      <c r="AD153" s="41">
        <f>INDEX('[1]End - Use Prices'!$C$6:$AL$89,MATCH($C153,'[1]End - Use Prices'!$A$6:$A$89,0)+MATCH($D153,'[1]End - Use Prices'!$B$9:$B$11,0)-1,MATCH(AD$1,'[1]End - Use Prices'!$C$7:$AL$7,0))</f>
        <v>41.27</v>
      </c>
      <c r="AE153" s="41">
        <f>INDEX('[1]End - Use Prices'!$C$6:$AL$89,MATCH($C153,'[1]End - Use Prices'!$A$6:$A$89,0)+MATCH($D153,'[1]End - Use Prices'!$B$9:$B$11,0)-1,MATCH(AE$1,'[1]End - Use Prices'!$C$7:$AL$7,0))</f>
        <v>44.94</v>
      </c>
      <c r="AF153" s="41">
        <f>INDEX('[1]End - Use Prices'!$C$6:$AL$89,MATCH($C153,'[1]End - Use Prices'!$A$6:$A$89,0)+MATCH($D153,'[1]End - Use Prices'!$B$9:$B$11,0)-1,MATCH(AF$1,'[1]End - Use Prices'!$C$7:$AL$7,0))</f>
        <v>45.5</v>
      </c>
      <c r="AG153" s="41">
        <f>INDEX('[1]End - Use Prices'!$C$6:$AL$89,MATCH($C153,'[1]End - Use Prices'!$A$6:$A$89,0)+MATCH($D153,'[1]End - Use Prices'!$B$9:$B$11,0)-1,MATCH(AG$1,'[1]End - Use Prices'!$C$7:$AL$7,0))</f>
        <v>46.34</v>
      </c>
      <c r="AH153" s="41">
        <f>INDEX('[1]End - Use Prices'!$C$6:$AL$89,MATCH($C153,'[1]End - Use Prices'!$A$6:$A$89,0)+MATCH($D153,'[1]End - Use Prices'!$B$9:$B$11,0)-1,MATCH(AH$1,'[1]End - Use Prices'!$C$7:$AL$7,0))</f>
        <v>46.71</v>
      </c>
      <c r="AI153" s="41">
        <f>INDEX('[1]End - Use Prices'!$C$6:$AL$89,MATCH($C153,'[1]End - Use Prices'!$A$6:$A$89,0)+MATCH($D153,'[1]End - Use Prices'!$B$9:$B$11,0)-1,MATCH(AI$1,'[1]End - Use Prices'!$C$7:$AL$7,0))</f>
        <v>46.01</v>
      </c>
      <c r="AJ153" s="41">
        <f>INDEX('[1]End - Use Prices'!$C$6:$AL$89,MATCH($C153,'[1]End - Use Prices'!$A$6:$A$89,0)+MATCH($D153,'[1]End - Use Prices'!$B$9:$B$11,0)-1,MATCH(AJ$1,'[1]End - Use Prices'!$C$7:$AL$7,0))</f>
        <v>46.61</v>
      </c>
      <c r="AK153" s="41">
        <f>INDEX('[1]End - Use Prices'!$C$6:$AL$89,MATCH($C153,'[1]End - Use Prices'!$A$6:$A$89,0)+MATCH($D153,'[1]End - Use Prices'!$B$9:$B$11,0)-1,MATCH(AK$1,'[1]End - Use Prices'!$C$7:$AL$7,0))</f>
        <v>47.54</v>
      </c>
      <c r="AL153" s="41">
        <f>INDEX('[1]End - Use Prices'!$C$6:$AL$89,MATCH($C153,'[1]End - Use Prices'!$A$6:$A$89,0)+MATCH($D153,'[1]End - Use Prices'!$B$9:$B$11,0)-1,MATCH(AL$1,'[1]End - Use Prices'!$C$7:$AL$7,0))</f>
        <v>48.44</v>
      </c>
      <c r="AM153" s="41">
        <f>INDEX('[1]End - Use Prices'!$C$6:$AL$89,MATCH($C153,'[1]End - Use Prices'!$A$6:$A$89,0)+MATCH($D153,'[1]End - Use Prices'!$B$9:$B$11,0)-1,MATCH(AM$1,'[1]End - Use Prices'!$C$7:$AL$7,0))</f>
        <v>49.31</v>
      </c>
      <c r="AN153" s="41">
        <f>INDEX('[1]End - Use Prices'!$C$6:$AL$89,MATCH($C153,'[1]End - Use Prices'!$A$6:$A$89,0)+MATCH($D153,'[1]End - Use Prices'!$B$9:$B$11,0)-1,MATCH(AN$1,'[1]End - Use Prices'!$C$7:$AL$7,0))</f>
        <v>50.14</v>
      </c>
      <c r="AO153" s="41">
        <f>INDEX('[1]End - Use Prices'!$C$6:$AL$89,MATCH($C153,'[1]End - Use Prices'!$A$6:$A$89,0)+MATCH($D153,'[1]End - Use Prices'!$B$9:$B$11,0)-1,MATCH(AO$1,'[1]End - Use Prices'!$C$7:$AL$7,0))</f>
        <v>50.94</v>
      </c>
      <c r="AP153" s="41">
        <f>INDEX('[1]End - Use Prices'!$C$6:$AL$89,MATCH($C153,'[1]End - Use Prices'!$A$6:$A$89,0)+MATCH($D153,'[1]End - Use Prices'!$B$9:$B$11,0)-1,MATCH(AP$1,'[1]End - Use Prices'!$C$7:$AL$7,0))</f>
        <v>51.71</v>
      </c>
      <c r="AQ153" s="41">
        <f>INDEX('[1]End - Use Prices'!$C$6:$AL$89,MATCH($C153,'[1]End - Use Prices'!$A$6:$A$89,0)+MATCH($D153,'[1]End - Use Prices'!$B$9:$B$11,0)-1,MATCH(AQ$1,'[1]End - Use Prices'!$C$7:$AL$7,0))</f>
        <v>52.45</v>
      </c>
      <c r="AR153" s="41">
        <f>INDEX('[1]End - Use Prices'!$C$6:$AL$89,MATCH($C153,'[1]End - Use Prices'!$A$6:$A$89,0)+MATCH($D153,'[1]End - Use Prices'!$B$9:$B$11,0)-1,MATCH(AR$1,'[1]End - Use Prices'!$C$7:$AL$7,0))</f>
        <v>53.15</v>
      </c>
      <c r="AS153" s="41">
        <f>INDEX('[1]End - Use Prices'!$C$6:$AL$89,MATCH($C153,'[1]End - Use Prices'!$A$6:$A$89,0)+MATCH($D153,'[1]End - Use Prices'!$B$9:$B$11,0)-1,MATCH(AS$1,'[1]End - Use Prices'!$C$7:$AL$7,0))</f>
        <v>53.81</v>
      </c>
      <c r="AT153" s="41">
        <f>INDEX('[1]End - Use Prices'!$C$6:$AL$89,MATCH($C153,'[1]End - Use Prices'!$A$6:$A$89,0)+MATCH($D153,'[1]End - Use Prices'!$B$9:$B$11,0)-1,MATCH(AT$1,'[1]End - Use Prices'!$C$7:$AL$7,0))</f>
        <v>54.43</v>
      </c>
      <c r="AU153" s="41">
        <f>INDEX('[1]End - Use Prices'!$C$6:$AL$89,MATCH($C153,'[1]End - Use Prices'!$A$6:$A$89,0)+MATCH($D153,'[1]End - Use Prices'!$B$9:$B$11,0)-1,MATCH(AU$1,'[1]End - Use Prices'!$C$7:$AL$7,0))</f>
        <v>55.02</v>
      </c>
      <c r="AV153" s="41">
        <f>INDEX('[1]End - Use Prices'!$C$6:$AL$89,MATCH($C153,'[1]End - Use Prices'!$A$6:$A$89,0)+MATCH($D153,'[1]End - Use Prices'!$B$9:$B$11,0)-1,MATCH(AV$1,'[1]End - Use Prices'!$C$7:$AL$7,0))</f>
        <v>55.56</v>
      </c>
      <c r="AW153" s="41">
        <f>INDEX('[1]End - Use Prices'!$C$6:$AL$89,MATCH($C153,'[1]End - Use Prices'!$A$6:$A$89,0)+MATCH($D153,'[1]End - Use Prices'!$B$9:$B$11,0)-1,MATCH(AW$1,'[1]End - Use Prices'!$C$7:$AL$7,0))</f>
        <v>56.07</v>
      </c>
      <c r="AX153" s="41">
        <f>INDEX('[1]End - Use Prices'!$C$6:$AL$89,MATCH($C153,'[1]End - Use Prices'!$A$6:$A$89,0)+MATCH($D153,'[1]End - Use Prices'!$B$9:$B$11,0)-1,MATCH(AX$1,'[1]End - Use Prices'!$C$7:$AL$7,0))</f>
        <v>56.53</v>
      </c>
      <c r="AY153" s="41">
        <f>INDEX('[1]End - Use Prices'!$C$6:$AL$89,MATCH($C153,'[1]End - Use Prices'!$A$6:$A$89,0)+MATCH($D153,'[1]End - Use Prices'!$B$9:$B$11,0)-1,MATCH(AY$1,'[1]End - Use Prices'!$C$7:$AL$7,0))</f>
        <v>56.95</v>
      </c>
      <c r="AZ153" s="41">
        <f>INDEX('[1]End - Use Prices'!$C$6:$AL$89,MATCH($C153,'[1]End - Use Prices'!$A$6:$A$89,0)+MATCH($D153,'[1]End - Use Prices'!$B$9:$B$11,0)-1,MATCH(AZ$1,'[1]End - Use Prices'!$C$7:$AL$7,0))</f>
        <v>57.32</v>
      </c>
      <c r="BA153" s="41">
        <f>INDEX('[1]End - Use Prices'!$C$6:$AL$89,MATCH($C153,'[1]End - Use Prices'!$A$6:$A$89,0)+MATCH($D153,'[1]End - Use Prices'!$B$9:$B$11,0)-1,MATCH(BA$1,'[1]End - Use Prices'!$C$7:$AL$7,0))</f>
        <v>57.65</v>
      </c>
      <c r="BB153" s="41">
        <f>INDEX('[1]End - Use Prices'!$C$6:$AL$89,MATCH($C153,'[1]End - Use Prices'!$A$6:$A$89,0)+MATCH($D153,'[1]End - Use Prices'!$B$9:$B$11,0)-1,MATCH(BB$1,'[1]End - Use Prices'!$C$7:$AL$7,0))</f>
        <v>57.94</v>
      </c>
      <c r="BC153" s="41">
        <f>INDEX('[1]End - Use Prices'!$C$6:$AL$89,MATCH($C153,'[1]End - Use Prices'!$A$6:$A$89,0)+MATCH($D153,'[1]End - Use Prices'!$B$9:$B$11,0)-1,MATCH(BC$1,'[1]End - Use Prices'!$C$7:$AL$7,0))</f>
        <v>58.17</v>
      </c>
      <c r="BD153" s="41">
        <f>INDEX('[1]End - Use Prices'!$C$6:$AL$89,MATCH($C153,'[1]End - Use Prices'!$A$6:$A$89,0)+MATCH($D153,'[1]End - Use Prices'!$B$9:$B$11,0)-1,MATCH(BD$1,'[1]End - Use Prices'!$C$7:$AL$7,0))</f>
        <v>58.36</v>
      </c>
      <c r="BE153" s="41">
        <f>INDEX('[1]End - Use Prices'!$C$6:$AL$89,MATCH($C153,'[1]End - Use Prices'!$A$6:$A$89,0)+MATCH($D153,'[1]End - Use Prices'!$B$9:$B$11,0)-1,MATCH(BE$1,'[1]End - Use Prices'!$C$7:$AL$7,0))</f>
        <v>58.5</v>
      </c>
      <c r="BF153" s="41">
        <f>INDEX('[1]End - Use Prices'!$C$6:$AL$89,MATCH($C153,'[1]End - Use Prices'!$A$6:$A$89,0)+MATCH($D153,'[1]End - Use Prices'!$B$9:$B$11,0)-1,MATCH(BF$1,'[1]End - Use Prices'!$C$7:$AL$7,0))</f>
        <v>58.59</v>
      </c>
      <c r="BG153" s="41">
        <f>INDEX('[1]End - Use Prices'!$C$6:$AL$89,MATCH($C153,'[1]End - Use Prices'!$A$6:$A$89,0)+MATCH($D153,'[1]End - Use Prices'!$B$9:$B$11,0)-1,MATCH(BG$1,'[1]End - Use Prices'!$C$7:$AL$7,0))</f>
        <v>58.62</v>
      </c>
      <c r="BR153" s="39"/>
      <c r="BS153" s="39"/>
      <c r="BT153" s="39"/>
      <c r="BU153" s="39"/>
      <c r="BV153" s="39"/>
      <c r="BW153" s="39"/>
      <c r="BX153" s="39"/>
      <c r="BY153" s="39"/>
      <c r="BZ153" s="39"/>
      <c r="CA153" s="39"/>
    </row>
    <row r="154" spans="1:79" x14ac:dyDescent="0.25">
      <c r="A154" s="5"/>
      <c r="B154" s="3"/>
      <c r="C154" s="25" t="s">
        <v>90</v>
      </c>
      <c r="D154" s="25" t="s">
        <v>2</v>
      </c>
      <c r="E154" s="25" t="s">
        <v>313</v>
      </c>
      <c r="F154" s="74" t="s">
        <v>310</v>
      </c>
      <c r="G154" s="54">
        <f t="shared" si="146"/>
        <v>35.630000000000003</v>
      </c>
      <c r="H154" s="34">
        <f t="shared" si="147"/>
        <v>35.630000000000003</v>
      </c>
      <c r="I154" s="34">
        <f t="shared" si="147"/>
        <v>42.27</v>
      </c>
      <c r="J154" s="34">
        <f t="shared" si="147"/>
        <v>41.52</v>
      </c>
      <c r="K154" s="34">
        <f t="shared" si="147"/>
        <v>44.47</v>
      </c>
      <c r="L154" s="34">
        <f t="shared" si="147"/>
        <v>47.37</v>
      </c>
      <c r="M154" s="34">
        <f t="shared" si="147"/>
        <v>50.45</v>
      </c>
      <c r="N154" s="34">
        <f t="shared" si="147"/>
        <v>53.74</v>
      </c>
      <c r="O154" s="34">
        <f t="shared" si="147"/>
        <v>57.24</v>
      </c>
      <c r="P154" s="54">
        <f t="shared" ref="P154:Q154" si="152">O154</f>
        <v>57.24</v>
      </c>
      <c r="Q154" s="54">
        <f t="shared" si="152"/>
        <v>57.24</v>
      </c>
      <c r="R154" s="38"/>
      <c r="X154" s="41">
        <f>INDEX('[1]End - Use Prices'!$C$6:$AL$89,MATCH($C154,'[1]End - Use Prices'!$A$6:$A$89,0)+MATCH($D154,'[1]End - Use Prices'!$B$9:$B$11,0)-1,MATCH(X$1,'[1]End - Use Prices'!$C$7:$AL$7,0))</f>
        <v>35.630000000000003</v>
      </c>
      <c r="Y154" s="41">
        <f>INDEX('[1]End - Use Prices'!$C$6:$AL$89,MATCH($C154,'[1]End - Use Prices'!$A$6:$A$89,0)+MATCH($D154,'[1]End - Use Prices'!$B$9:$B$11,0)-1,MATCH(Y$1,'[1]End - Use Prices'!$C$7:$AL$7,0))</f>
        <v>40.94</v>
      </c>
      <c r="Z154" s="41">
        <f>INDEX('[1]End - Use Prices'!$C$6:$AL$89,MATCH($C154,'[1]End - Use Prices'!$A$6:$A$89,0)+MATCH($D154,'[1]End - Use Prices'!$B$9:$B$11,0)-1,MATCH(Z$1,'[1]End - Use Prices'!$C$7:$AL$7,0))</f>
        <v>42.23</v>
      </c>
      <c r="AA154" s="41">
        <f>INDEX('[1]End - Use Prices'!$C$6:$AL$89,MATCH($C154,'[1]End - Use Prices'!$A$6:$A$89,0)+MATCH($D154,'[1]End - Use Prices'!$B$9:$B$11,0)-1,MATCH(AA$1,'[1]End - Use Prices'!$C$7:$AL$7,0))</f>
        <v>41.92</v>
      </c>
      <c r="AB154" s="41">
        <f>INDEX('[1]End - Use Prices'!$C$6:$AL$89,MATCH($C154,'[1]End - Use Prices'!$A$6:$A$89,0)+MATCH($D154,'[1]End - Use Prices'!$B$9:$B$11,0)-1,MATCH(AB$1,'[1]End - Use Prices'!$C$7:$AL$7,0))</f>
        <v>43.47</v>
      </c>
      <c r="AC154" s="41">
        <f>INDEX('[1]End - Use Prices'!$C$6:$AL$89,MATCH($C154,'[1]End - Use Prices'!$A$6:$A$89,0)+MATCH($D154,'[1]End - Use Prices'!$B$9:$B$11,0)-1,MATCH(AC$1,'[1]End - Use Prices'!$C$7:$AL$7,0))</f>
        <v>42.27</v>
      </c>
      <c r="AD154" s="41">
        <f>INDEX('[1]End - Use Prices'!$C$6:$AL$89,MATCH($C154,'[1]End - Use Prices'!$A$6:$A$89,0)+MATCH($D154,'[1]End - Use Prices'!$B$9:$B$11,0)-1,MATCH(AD$1,'[1]End - Use Prices'!$C$7:$AL$7,0))</f>
        <v>41.5</v>
      </c>
      <c r="AE154" s="41">
        <f>INDEX('[1]End - Use Prices'!$C$6:$AL$89,MATCH($C154,'[1]End - Use Prices'!$A$6:$A$89,0)+MATCH($D154,'[1]End - Use Prices'!$B$9:$B$11,0)-1,MATCH(AE$1,'[1]End - Use Prices'!$C$7:$AL$7,0))</f>
        <v>41</v>
      </c>
      <c r="AF154" s="41">
        <f>INDEX('[1]End - Use Prices'!$C$6:$AL$89,MATCH($C154,'[1]End - Use Prices'!$A$6:$A$89,0)+MATCH($D154,'[1]End - Use Prices'!$B$9:$B$11,0)-1,MATCH(AF$1,'[1]End - Use Prices'!$C$7:$AL$7,0))</f>
        <v>40.340000000000003</v>
      </c>
      <c r="AG154" s="41">
        <f>INDEX('[1]End - Use Prices'!$C$6:$AL$89,MATCH($C154,'[1]End - Use Prices'!$A$6:$A$89,0)+MATCH($D154,'[1]End - Use Prices'!$B$9:$B$11,0)-1,MATCH(AG$1,'[1]End - Use Prices'!$C$7:$AL$7,0))</f>
        <v>40.39</v>
      </c>
      <c r="AH154" s="41">
        <f>INDEX('[1]End - Use Prices'!$C$6:$AL$89,MATCH($C154,'[1]End - Use Prices'!$A$6:$A$89,0)+MATCH($D154,'[1]End - Use Prices'!$B$9:$B$11,0)-1,MATCH(AH$1,'[1]End - Use Prices'!$C$7:$AL$7,0))</f>
        <v>41.52</v>
      </c>
      <c r="AI154" s="41">
        <f>INDEX('[1]End - Use Prices'!$C$6:$AL$89,MATCH($C154,'[1]End - Use Prices'!$A$6:$A$89,0)+MATCH($D154,'[1]End - Use Prices'!$B$9:$B$11,0)-1,MATCH(AI$1,'[1]End - Use Prices'!$C$7:$AL$7,0))</f>
        <v>42.28</v>
      </c>
      <c r="AJ154" s="41">
        <f>INDEX('[1]End - Use Prices'!$C$6:$AL$89,MATCH($C154,'[1]End - Use Prices'!$A$6:$A$89,0)+MATCH($D154,'[1]End - Use Prices'!$B$9:$B$11,0)-1,MATCH(AJ$1,'[1]End - Use Prices'!$C$7:$AL$7,0))</f>
        <v>42.82</v>
      </c>
      <c r="AK154" s="41">
        <f>INDEX('[1]End - Use Prices'!$C$6:$AL$89,MATCH($C154,'[1]End - Use Prices'!$A$6:$A$89,0)+MATCH($D154,'[1]End - Use Prices'!$B$9:$B$11,0)-1,MATCH(AK$1,'[1]End - Use Prices'!$C$7:$AL$7,0))</f>
        <v>43.37</v>
      </c>
      <c r="AL154" s="41">
        <f>INDEX('[1]End - Use Prices'!$C$6:$AL$89,MATCH($C154,'[1]End - Use Prices'!$A$6:$A$89,0)+MATCH($D154,'[1]End - Use Prices'!$B$9:$B$11,0)-1,MATCH(AL$1,'[1]End - Use Prices'!$C$7:$AL$7,0))</f>
        <v>43.92</v>
      </c>
      <c r="AM154" s="41">
        <f>INDEX('[1]End - Use Prices'!$C$6:$AL$89,MATCH($C154,'[1]End - Use Prices'!$A$6:$A$89,0)+MATCH($D154,'[1]End - Use Prices'!$B$9:$B$11,0)-1,MATCH(AM$1,'[1]End - Use Prices'!$C$7:$AL$7,0))</f>
        <v>44.47</v>
      </c>
      <c r="AN154" s="41">
        <f>INDEX('[1]End - Use Prices'!$C$6:$AL$89,MATCH($C154,'[1]End - Use Prices'!$A$6:$A$89,0)+MATCH($D154,'[1]End - Use Prices'!$B$9:$B$11,0)-1,MATCH(AN$1,'[1]End - Use Prices'!$C$7:$AL$7,0))</f>
        <v>45.04</v>
      </c>
      <c r="AO154" s="41">
        <f>INDEX('[1]End - Use Prices'!$C$6:$AL$89,MATCH($C154,'[1]End - Use Prices'!$A$6:$A$89,0)+MATCH($D154,'[1]End - Use Prices'!$B$9:$B$11,0)-1,MATCH(AO$1,'[1]End - Use Prices'!$C$7:$AL$7,0))</f>
        <v>45.61</v>
      </c>
      <c r="AP154" s="41">
        <f>INDEX('[1]End - Use Prices'!$C$6:$AL$89,MATCH($C154,'[1]End - Use Prices'!$A$6:$A$89,0)+MATCH($D154,'[1]End - Use Prices'!$B$9:$B$11,0)-1,MATCH(AP$1,'[1]End - Use Prices'!$C$7:$AL$7,0))</f>
        <v>46.19</v>
      </c>
      <c r="AQ154" s="41">
        <f>INDEX('[1]End - Use Prices'!$C$6:$AL$89,MATCH($C154,'[1]End - Use Prices'!$A$6:$A$89,0)+MATCH($D154,'[1]End - Use Prices'!$B$9:$B$11,0)-1,MATCH(AQ$1,'[1]End - Use Prices'!$C$7:$AL$7,0))</f>
        <v>46.78</v>
      </c>
      <c r="AR154" s="41">
        <f>INDEX('[1]End - Use Prices'!$C$6:$AL$89,MATCH($C154,'[1]End - Use Prices'!$A$6:$A$89,0)+MATCH($D154,'[1]End - Use Prices'!$B$9:$B$11,0)-1,MATCH(AR$1,'[1]End - Use Prices'!$C$7:$AL$7,0))</f>
        <v>47.37</v>
      </c>
      <c r="AS154" s="41">
        <f>INDEX('[1]End - Use Prices'!$C$6:$AL$89,MATCH($C154,'[1]End - Use Prices'!$A$6:$A$89,0)+MATCH($D154,'[1]End - Use Prices'!$B$9:$B$11,0)-1,MATCH(AS$1,'[1]End - Use Prices'!$C$7:$AL$7,0))</f>
        <v>47.97</v>
      </c>
      <c r="AT154" s="41">
        <f>INDEX('[1]End - Use Prices'!$C$6:$AL$89,MATCH($C154,'[1]End - Use Prices'!$A$6:$A$89,0)+MATCH($D154,'[1]End - Use Prices'!$B$9:$B$11,0)-1,MATCH(AT$1,'[1]End - Use Prices'!$C$7:$AL$7,0))</f>
        <v>48.58</v>
      </c>
      <c r="AU154" s="41">
        <f>INDEX('[1]End - Use Prices'!$C$6:$AL$89,MATCH($C154,'[1]End - Use Prices'!$A$6:$A$89,0)+MATCH($D154,'[1]End - Use Prices'!$B$9:$B$11,0)-1,MATCH(AU$1,'[1]End - Use Prices'!$C$7:$AL$7,0))</f>
        <v>49.2</v>
      </c>
      <c r="AV154" s="41">
        <f>INDEX('[1]End - Use Prices'!$C$6:$AL$89,MATCH($C154,'[1]End - Use Prices'!$A$6:$A$89,0)+MATCH($D154,'[1]End - Use Prices'!$B$9:$B$11,0)-1,MATCH(AV$1,'[1]End - Use Prices'!$C$7:$AL$7,0))</f>
        <v>49.82</v>
      </c>
      <c r="AW154" s="41">
        <f>INDEX('[1]End - Use Prices'!$C$6:$AL$89,MATCH($C154,'[1]End - Use Prices'!$A$6:$A$89,0)+MATCH($D154,'[1]End - Use Prices'!$B$9:$B$11,0)-1,MATCH(AW$1,'[1]End - Use Prices'!$C$7:$AL$7,0))</f>
        <v>50.45</v>
      </c>
      <c r="AX154" s="41">
        <f>INDEX('[1]End - Use Prices'!$C$6:$AL$89,MATCH($C154,'[1]End - Use Prices'!$A$6:$A$89,0)+MATCH($D154,'[1]End - Use Prices'!$B$9:$B$11,0)-1,MATCH(AX$1,'[1]End - Use Prices'!$C$7:$AL$7,0))</f>
        <v>51.09</v>
      </c>
      <c r="AY154" s="41">
        <f>INDEX('[1]End - Use Prices'!$C$6:$AL$89,MATCH($C154,'[1]End - Use Prices'!$A$6:$A$89,0)+MATCH($D154,'[1]End - Use Prices'!$B$9:$B$11,0)-1,MATCH(AY$1,'[1]End - Use Prices'!$C$7:$AL$7,0))</f>
        <v>51.74</v>
      </c>
      <c r="AZ154" s="41">
        <f>INDEX('[1]End - Use Prices'!$C$6:$AL$89,MATCH($C154,'[1]End - Use Prices'!$A$6:$A$89,0)+MATCH($D154,'[1]End - Use Prices'!$B$9:$B$11,0)-1,MATCH(AZ$1,'[1]End - Use Prices'!$C$7:$AL$7,0))</f>
        <v>52.4</v>
      </c>
      <c r="BA154" s="41">
        <f>INDEX('[1]End - Use Prices'!$C$6:$AL$89,MATCH($C154,'[1]End - Use Prices'!$A$6:$A$89,0)+MATCH($D154,'[1]End - Use Prices'!$B$9:$B$11,0)-1,MATCH(BA$1,'[1]End - Use Prices'!$C$7:$AL$7,0))</f>
        <v>53.07</v>
      </c>
      <c r="BB154" s="41">
        <f>INDEX('[1]End - Use Prices'!$C$6:$AL$89,MATCH($C154,'[1]End - Use Prices'!$A$6:$A$89,0)+MATCH($D154,'[1]End - Use Prices'!$B$9:$B$11,0)-1,MATCH(BB$1,'[1]End - Use Prices'!$C$7:$AL$7,0))</f>
        <v>53.74</v>
      </c>
      <c r="BC154" s="41">
        <f>INDEX('[1]End - Use Prices'!$C$6:$AL$89,MATCH($C154,'[1]End - Use Prices'!$A$6:$A$89,0)+MATCH($D154,'[1]End - Use Prices'!$B$9:$B$11,0)-1,MATCH(BC$1,'[1]End - Use Prices'!$C$7:$AL$7,0))</f>
        <v>54.42</v>
      </c>
      <c r="BD154" s="41">
        <f>INDEX('[1]End - Use Prices'!$C$6:$AL$89,MATCH($C154,'[1]End - Use Prices'!$A$6:$A$89,0)+MATCH($D154,'[1]End - Use Prices'!$B$9:$B$11,0)-1,MATCH(BD$1,'[1]End - Use Prices'!$C$7:$AL$7,0))</f>
        <v>55.11</v>
      </c>
      <c r="BE154" s="41">
        <f>INDEX('[1]End - Use Prices'!$C$6:$AL$89,MATCH($C154,'[1]End - Use Prices'!$A$6:$A$89,0)+MATCH($D154,'[1]End - Use Prices'!$B$9:$B$11,0)-1,MATCH(BE$1,'[1]End - Use Prices'!$C$7:$AL$7,0))</f>
        <v>55.81</v>
      </c>
      <c r="BF154" s="41">
        <f>INDEX('[1]End - Use Prices'!$C$6:$AL$89,MATCH($C154,'[1]End - Use Prices'!$A$6:$A$89,0)+MATCH($D154,'[1]End - Use Prices'!$B$9:$B$11,0)-1,MATCH(BF$1,'[1]End - Use Prices'!$C$7:$AL$7,0))</f>
        <v>56.52</v>
      </c>
      <c r="BG154" s="41">
        <f>INDEX('[1]End - Use Prices'!$C$6:$AL$89,MATCH($C154,'[1]End - Use Prices'!$A$6:$A$89,0)+MATCH($D154,'[1]End - Use Prices'!$B$9:$B$11,0)-1,MATCH(BG$1,'[1]End - Use Prices'!$C$7:$AL$7,0))</f>
        <v>57.24</v>
      </c>
      <c r="BR154" s="39"/>
      <c r="BS154" s="39"/>
      <c r="BT154" s="39"/>
      <c r="BU154" s="39"/>
      <c r="BV154" s="39"/>
      <c r="BW154" s="39"/>
      <c r="BX154" s="39"/>
      <c r="BY154" s="39"/>
      <c r="BZ154" s="39"/>
      <c r="CA154" s="39"/>
    </row>
    <row r="155" spans="1:79" x14ac:dyDescent="0.25">
      <c r="A155" s="5"/>
      <c r="B155" s="3"/>
      <c r="C155" s="25" t="s">
        <v>91</v>
      </c>
      <c r="D155" s="25" t="s">
        <v>2</v>
      </c>
      <c r="E155" s="25" t="s">
        <v>313</v>
      </c>
      <c r="F155" s="74" t="s">
        <v>310</v>
      </c>
      <c r="G155" s="54">
        <f t="shared" si="146"/>
        <v>23.05</v>
      </c>
      <c r="H155" s="34">
        <f t="shared" si="147"/>
        <v>23.05</v>
      </c>
      <c r="I155" s="34">
        <f t="shared" si="147"/>
        <v>24.86</v>
      </c>
      <c r="J155" s="34">
        <f t="shared" si="147"/>
        <v>25.13</v>
      </c>
      <c r="K155" s="34">
        <f t="shared" si="147"/>
        <v>26.11</v>
      </c>
      <c r="L155" s="34">
        <f t="shared" si="147"/>
        <v>27.44</v>
      </c>
      <c r="M155" s="34">
        <f t="shared" si="147"/>
        <v>28.84</v>
      </c>
      <c r="N155" s="34">
        <f t="shared" si="147"/>
        <v>30.3</v>
      </c>
      <c r="O155" s="34">
        <f t="shared" si="147"/>
        <v>31.84</v>
      </c>
      <c r="P155" s="54">
        <f t="shared" ref="P155:Q155" si="153">O155</f>
        <v>31.84</v>
      </c>
      <c r="Q155" s="54">
        <f t="shared" si="153"/>
        <v>31.84</v>
      </c>
      <c r="R155" s="38"/>
      <c r="X155" s="41">
        <f>INDEX('[1]End - Use Prices'!$C$6:$AL$89,MATCH($C155,'[1]End - Use Prices'!$A$6:$A$89,0)+MATCH($D155,'[1]End - Use Prices'!$B$9:$B$11,0)-1,MATCH(X$1,'[1]End - Use Prices'!$C$7:$AL$7,0))</f>
        <v>23.05</v>
      </c>
      <c r="Y155" s="41">
        <f>INDEX('[1]End - Use Prices'!$C$6:$AL$89,MATCH($C155,'[1]End - Use Prices'!$A$6:$A$89,0)+MATCH($D155,'[1]End - Use Prices'!$B$9:$B$11,0)-1,MATCH(Y$1,'[1]End - Use Prices'!$C$7:$AL$7,0))</f>
        <v>26.62</v>
      </c>
      <c r="Z155" s="41">
        <f>INDEX('[1]End - Use Prices'!$C$6:$AL$89,MATCH($C155,'[1]End - Use Prices'!$A$6:$A$89,0)+MATCH($D155,'[1]End - Use Prices'!$B$9:$B$11,0)-1,MATCH(Z$1,'[1]End - Use Prices'!$C$7:$AL$7,0))</f>
        <v>25.75</v>
      </c>
      <c r="AA155" s="41">
        <f>INDEX('[1]End - Use Prices'!$C$6:$AL$89,MATCH($C155,'[1]End - Use Prices'!$A$6:$A$89,0)+MATCH($D155,'[1]End - Use Prices'!$B$9:$B$11,0)-1,MATCH(AA$1,'[1]End - Use Prices'!$C$7:$AL$7,0))</f>
        <v>24.75</v>
      </c>
      <c r="AB155" s="41">
        <f>INDEX('[1]End - Use Prices'!$C$6:$AL$89,MATCH($C155,'[1]End - Use Prices'!$A$6:$A$89,0)+MATCH($D155,'[1]End - Use Prices'!$B$9:$B$11,0)-1,MATCH(AB$1,'[1]End - Use Prices'!$C$7:$AL$7,0))</f>
        <v>25.57</v>
      </c>
      <c r="AC155" s="41">
        <f>INDEX('[1]End - Use Prices'!$C$6:$AL$89,MATCH($C155,'[1]End - Use Prices'!$A$6:$A$89,0)+MATCH($D155,'[1]End - Use Prices'!$B$9:$B$11,0)-1,MATCH(AC$1,'[1]End - Use Prices'!$C$7:$AL$7,0))</f>
        <v>24.86</v>
      </c>
      <c r="AD155" s="41">
        <f>INDEX('[1]End - Use Prices'!$C$6:$AL$89,MATCH($C155,'[1]End - Use Prices'!$A$6:$A$89,0)+MATCH($D155,'[1]End - Use Prices'!$B$9:$B$11,0)-1,MATCH(AD$1,'[1]End - Use Prices'!$C$7:$AL$7,0))</f>
        <v>24.33</v>
      </c>
      <c r="AE155" s="41">
        <f>INDEX('[1]End - Use Prices'!$C$6:$AL$89,MATCH($C155,'[1]End - Use Prices'!$A$6:$A$89,0)+MATCH($D155,'[1]End - Use Prices'!$B$9:$B$11,0)-1,MATCH(AE$1,'[1]End - Use Prices'!$C$7:$AL$7,0))</f>
        <v>24.26</v>
      </c>
      <c r="AF155" s="41">
        <f>INDEX('[1]End - Use Prices'!$C$6:$AL$89,MATCH($C155,'[1]End - Use Prices'!$A$6:$A$89,0)+MATCH($D155,'[1]End - Use Prices'!$B$9:$B$11,0)-1,MATCH(AF$1,'[1]End - Use Prices'!$C$7:$AL$7,0))</f>
        <v>24.24</v>
      </c>
      <c r="AG155" s="41">
        <f>INDEX('[1]End - Use Prices'!$C$6:$AL$89,MATCH($C155,'[1]End - Use Prices'!$A$6:$A$89,0)+MATCH($D155,'[1]End - Use Prices'!$B$9:$B$11,0)-1,MATCH(AG$1,'[1]End - Use Prices'!$C$7:$AL$7,0))</f>
        <v>24.48</v>
      </c>
      <c r="AH155" s="41">
        <f>INDEX('[1]End - Use Prices'!$C$6:$AL$89,MATCH($C155,'[1]End - Use Prices'!$A$6:$A$89,0)+MATCH($D155,'[1]End - Use Prices'!$B$9:$B$11,0)-1,MATCH(AH$1,'[1]End - Use Prices'!$C$7:$AL$7,0))</f>
        <v>25.13</v>
      </c>
      <c r="AI155" s="41">
        <f>INDEX('[1]End - Use Prices'!$C$6:$AL$89,MATCH($C155,'[1]End - Use Prices'!$A$6:$A$89,0)+MATCH($D155,'[1]End - Use Prices'!$B$9:$B$11,0)-1,MATCH(AI$1,'[1]End - Use Prices'!$C$7:$AL$7,0))</f>
        <v>25.1</v>
      </c>
      <c r="AJ155" s="41">
        <f>INDEX('[1]End - Use Prices'!$C$6:$AL$89,MATCH($C155,'[1]End - Use Prices'!$A$6:$A$89,0)+MATCH($D155,'[1]End - Use Prices'!$B$9:$B$11,0)-1,MATCH(AJ$1,'[1]End - Use Prices'!$C$7:$AL$7,0))</f>
        <v>25.35</v>
      </c>
      <c r="AK155" s="41">
        <f>INDEX('[1]End - Use Prices'!$C$6:$AL$89,MATCH($C155,'[1]End - Use Prices'!$A$6:$A$89,0)+MATCH($D155,'[1]End - Use Prices'!$B$9:$B$11,0)-1,MATCH(AK$1,'[1]End - Use Prices'!$C$7:$AL$7,0))</f>
        <v>25.6</v>
      </c>
      <c r="AL155" s="41">
        <f>INDEX('[1]End - Use Prices'!$C$6:$AL$89,MATCH($C155,'[1]End - Use Prices'!$A$6:$A$89,0)+MATCH($D155,'[1]End - Use Prices'!$B$9:$B$11,0)-1,MATCH(AL$1,'[1]End - Use Prices'!$C$7:$AL$7,0))</f>
        <v>25.86</v>
      </c>
      <c r="AM155" s="41">
        <f>INDEX('[1]End - Use Prices'!$C$6:$AL$89,MATCH($C155,'[1]End - Use Prices'!$A$6:$A$89,0)+MATCH($D155,'[1]End - Use Prices'!$B$9:$B$11,0)-1,MATCH(AM$1,'[1]End - Use Prices'!$C$7:$AL$7,0))</f>
        <v>26.11</v>
      </c>
      <c r="AN155" s="41">
        <f>INDEX('[1]End - Use Prices'!$C$6:$AL$89,MATCH($C155,'[1]End - Use Prices'!$A$6:$A$89,0)+MATCH($D155,'[1]End - Use Prices'!$B$9:$B$11,0)-1,MATCH(AN$1,'[1]End - Use Prices'!$C$7:$AL$7,0))</f>
        <v>26.37</v>
      </c>
      <c r="AO155" s="41">
        <f>INDEX('[1]End - Use Prices'!$C$6:$AL$89,MATCH($C155,'[1]End - Use Prices'!$A$6:$A$89,0)+MATCH($D155,'[1]End - Use Prices'!$B$9:$B$11,0)-1,MATCH(AO$1,'[1]End - Use Prices'!$C$7:$AL$7,0))</f>
        <v>26.64</v>
      </c>
      <c r="AP155" s="41">
        <f>INDEX('[1]End - Use Prices'!$C$6:$AL$89,MATCH($C155,'[1]End - Use Prices'!$A$6:$A$89,0)+MATCH($D155,'[1]End - Use Prices'!$B$9:$B$11,0)-1,MATCH(AP$1,'[1]End - Use Prices'!$C$7:$AL$7,0))</f>
        <v>26.9</v>
      </c>
      <c r="AQ155" s="41">
        <f>INDEX('[1]End - Use Prices'!$C$6:$AL$89,MATCH($C155,'[1]End - Use Prices'!$A$6:$A$89,0)+MATCH($D155,'[1]End - Use Prices'!$B$9:$B$11,0)-1,MATCH(AQ$1,'[1]End - Use Prices'!$C$7:$AL$7,0))</f>
        <v>27.17</v>
      </c>
      <c r="AR155" s="41">
        <f>INDEX('[1]End - Use Prices'!$C$6:$AL$89,MATCH($C155,'[1]End - Use Prices'!$A$6:$A$89,0)+MATCH($D155,'[1]End - Use Prices'!$B$9:$B$11,0)-1,MATCH(AR$1,'[1]End - Use Prices'!$C$7:$AL$7,0))</f>
        <v>27.44</v>
      </c>
      <c r="AS155" s="41">
        <f>INDEX('[1]End - Use Prices'!$C$6:$AL$89,MATCH($C155,'[1]End - Use Prices'!$A$6:$A$89,0)+MATCH($D155,'[1]End - Use Prices'!$B$9:$B$11,0)-1,MATCH(AS$1,'[1]End - Use Prices'!$C$7:$AL$7,0))</f>
        <v>27.72</v>
      </c>
      <c r="AT155" s="41">
        <f>INDEX('[1]End - Use Prices'!$C$6:$AL$89,MATCH($C155,'[1]End - Use Prices'!$A$6:$A$89,0)+MATCH($D155,'[1]End - Use Prices'!$B$9:$B$11,0)-1,MATCH(AT$1,'[1]End - Use Prices'!$C$7:$AL$7,0))</f>
        <v>27.99</v>
      </c>
      <c r="AU155" s="41">
        <f>INDEX('[1]End - Use Prices'!$C$6:$AL$89,MATCH($C155,'[1]End - Use Prices'!$A$6:$A$89,0)+MATCH($D155,'[1]End - Use Prices'!$B$9:$B$11,0)-1,MATCH(AU$1,'[1]End - Use Prices'!$C$7:$AL$7,0))</f>
        <v>28.27</v>
      </c>
      <c r="AV155" s="41">
        <f>INDEX('[1]End - Use Prices'!$C$6:$AL$89,MATCH($C155,'[1]End - Use Prices'!$A$6:$A$89,0)+MATCH($D155,'[1]End - Use Prices'!$B$9:$B$11,0)-1,MATCH(AV$1,'[1]End - Use Prices'!$C$7:$AL$7,0))</f>
        <v>28.55</v>
      </c>
      <c r="AW155" s="41">
        <f>INDEX('[1]End - Use Prices'!$C$6:$AL$89,MATCH($C155,'[1]End - Use Prices'!$A$6:$A$89,0)+MATCH($D155,'[1]End - Use Prices'!$B$9:$B$11,0)-1,MATCH(AW$1,'[1]End - Use Prices'!$C$7:$AL$7,0))</f>
        <v>28.84</v>
      </c>
      <c r="AX155" s="41">
        <f>INDEX('[1]End - Use Prices'!$C$6:$AL$89,MATCH($C155,'[1]End - Use Prices'!$A$6:$A$89,0)+MATCH($D155,'[1]End - Use Prices'!$B$9:$B$11,0)-1,MATCH(AX$1,'[1]End - Use Prices'!$C$7:$AL$7,0))</f>
        <v>29.12</v>
      </c>
      <c r="AY155" s="41">
        <f>INDEX('[1]End - Use Prices'!$C$6:$AL$89,MATCH($C155,'[1]End - Use Prices'!$A$6:$A$89,0)+MATCH($D155,'[1]End - Use Prices'!$B$9:$B$11,0)-1,MATCH(AY$1,'[1]End - Use Prices'!$C$7:$AL$7,0))</f>
        <v>29.41</v>
      </c>
      <c r="AZ155" s="41">
        <f>INDEX('[1]End - Use Prices'!$C$6:$AL$89,MATCH($C155,'[1]End - Use Prices'!$A$6:$A$89,0)+MATCH($D155,'[1]End - Use Prices'!$B$9:$B$11,0)-1,MATCH(AZ$1,'[1]End - Use Prices'!$C$7:$AL$7,0))</f>
        <v>29.71</v>
      </c>
      <c r="BA155" s="41">
        <f>INDEX('[1]End - Use Prices'!$C$6:$AL$89,MATCH($C155,'[1]End - Use Prices'!$A$6:$A$89,0)+MATCH($D155,'[1]End - Use Prices'!$B$9:$B$11,0)-1,MATCH(BA$1,'[1]End - Use Prices'!$C$7:$AL$7,0))</f>
        <v>30</v>
      </c>
      <c r="BB155" s="41">
        <f>INDEX('[1]End - Use Prices'!$C$6:$AL$89,MATCH($C155,'[1]End - Use Prices'!$A$6:$A$89,0)+MATCH($D155,'[1]End - Use Prices'!$B$9:$B$11,0)-1,MATCH(BB$1,'[1]End - Use Prices'!$C$7:$AL$7,0))</f>
        <v>30.3</v>
      </c>
      <c r="BC155" s="41">
        <f>INDEX('[1]End - Use Prices'!$C$6:$AL$89,MATCH($C155,'[1]End - Use Prices'!$A$6:$A$89,0)+MATCH($D155,'[1]End - Use Prices'!$B$9:$B$11,0)-1,MATCH(BC$1,'[1]End - Use Prices'!$C$7:$AL$7,0))</f>
        <v>30.6</v>
      </c>
      <c r="BD155" s="41">
        <f>INDEX('[1]End - Use Prices'!$C$6:$AL$89,MATCH($C155,'[1]End - Use Prices'!$A$6:$A$89,0)+MATCH($D155,'[1]End - Use Prices'!$B$9:$B$11,0)-1,MATCH(BD$1,'[1]End - Use Prices'!$C$7:$AL$7,0))</f>
        <v>30.91</v>
      </c>
      <c r="BE155" s="41">
        <f>INDEX('[1]End - Use Prices'!$C$6:$AL$89,MATCH($C155,'[1]End - Use Prices'!$A$6:$A$89,0)+MATCH($D155,'[1]End - Use Prices'!$B$9:$B$11,0)-1,MATCH(BE$1,'[1]End - Use Prices'!$C$7:$AL$7,0))</f>
        <v>31.22</v>
      </c>
      <c r="BF155" s="41">
        <f>INDEX('[1]End - Use Prices'!$C$6:$AL$89,MATCH($C155,'[1]End - Use Prices'!$A$6:$A$89,0)+MATCH($D155,'[1]End - Use Prices'!$B$9:$B$11,0)-1,MATCH(BF$1,'[1]End - Use Prices'!$C$7:$AL$7,0))</f>
        <v>31.53</v>
      </c>
      <c r="BG155" s="41">
        <f>INDEX('[1]End - Use Prices'!$C$6:$AL$89,MATCH($C155,'[1]End - Use Prices'!$A$6:$A$89,0)+MATCH($D155,'[1]End - Use Prices'!$B$9:$B$11,0)-1,MATCH(BG$1,'[1]End - Use Prices'!$C$7:$AL$7,0))</f>
        <v>31.84</v>
      </c>
      <c r="BR155" s="39"/>
      <c r="BS155" s="39"/>
      <c r="BT155" s="39"/>
      <c r="BU155" s="39"/>
      <c r="BV155" s="39"/>
      <c r="BW155" s="39"/>
      <c r="BX155" s="39"/>
      <c r="BY155" s="39"/>
      <c r="BZ155" s="39"/>
      <c r="CA155" s="39"/>
    </row>
    <row r="156" spans="1:79" x14ac:dyDescent="0.25">
      <c r="A156" s="5"/>
      <c r="B156" s="3"/>
      <c r="C156" s="25" t="s">
        <v>92</v>
      </c>
      <c r="D156" s="25" t="s">
        <v>2</v>
      </c>
      <c r="E156" s="25" t="s">
        <v>313</v>
      </c>
      <c r="F156" s="74" t="s">
        <v>310</v>
      </c>
      <c r="G156" s="54">
        <f t="shared" si="146"/>
        <v>36.92</v>
      </c>
      <c r="H156" s="34">
        <f t="shared" si="147"/>
        <v>36.92</v>
      </c>
      <c r="I156" s="34">
        <f t="shared" si="147"/>
        <v>39.14</v>
      </c>
      <c r="J156" s="34">
        <f t="shared" si="147"/>
        <v>48.73</v>
      </c>
      <c r="K156" s="34">
        <f t="shared" si="147"/>
        <v>60.89</v>
      </c>
      <c r="L156" s="34">
        <f t="shared" si="147"/>
        <v>63.81</v>
      </c>
      <c r="M156" s="34">
        <f t="shared" si="147"/>
        <v>66.47</v>
      </c>
      <c r="N156" s="34">
        <f t="shared" si="147"/>
        <v>69.05</v>
      </c>
      <c r="O156" s="34">
        <f t="shared" si="147"/>
        <v>71.69</v>
      </c>
      <c r="P156" s="54">
        <f t="shared" ref="P156:Q156" si="154">O156</f>
        <v>71.69</v>
      </c>
      <c r="Q156" s="54">
        <f t="shared" si="154"/>
        <v>71.69</v>
      </c>
      <c r="R156" s="38"/>
      <c r="X156" s="41">
        <f>INDEX('[1]End - Use Prices'!$C$6:$AL$89,MATCH($C156,'[1]End - Use Prices'!$A$6:$A$89,0)+MATCH($D156,'[1]End - Use Prices'!$B$9:$B$11,0)-1,MATCH(X$1,'[1]End - Use Prices'!$C$7:$AL$7,0))</f>
        <v>36.92</v>
      </c>
      <c r="Y156" s="41">
        <f>INDEX('[1]End - Use Prices'!$C$6:$AL$89,MATCH($C156,'[1]End - Use Prices'!$A$6:$A$89,0)+MATCH($D156,'[1]End - Use Prices'!$B$9:$B$11,0)-1,MATCH(Y$1,'[1]End - Use Prices'!$C$7:$AL$7,0))</f>
        <v>40.86</v>
      </c>
      <c r="Z156" s="41">
        <f>INDEX('[1]End - Use Prices'!$C$6:$AL$89,MATCH($C156,'[1]End - Use Prices'!$A$6:$A$89,0)+MATCH($D156,'[1]End - Use Prices'!$B$9:$B$11,0)-1,MATCH(Z$1,'[1]End - Use Prices'!$C$7:$AL$7,0))</f>
        <v>40.64</v>
      </c>
      <c r="AA156" s="41">
        <f>INDEX('[1]End - Use Prices'!$C$6:$AL$89,MATCH($C156,'[1]End - Use Prices'!$A$6:$A$89,0)+MATCH($D156,'[1]End - Use Prices'!$B$9:$B$11,0)-1,MATCH(AA$1,'[1]End - Use Prices'!$C$7:$AL$7,0))</f>
        <v>37.31</v>
      </c>
      <c r="AB156" s="41">
        <f>INDEX('[1]End - Use Prices'!$C$6:$AL$89,MATCH($C156,'[1]End - Use Prices'!$A$6:$A$89,0)+MATCH($D156,'[1]End - Use Prices'!$B$9:$B$11,0)-1,MATCH(AB$1,'[1]End - Use Prices'!$C$7:$AL$7,0))</f>
        <v>39.53</v>
      </c>
      <c r="AC156" s="41">
        <f>INDEX('[1]End - Use Prices'!$C$6:$AL$89,MATCH($C156,'[1]End - Use Prices'!$A$6:$A$89,0)+MATCH($D156,'[1]End - Use Prices'!$B$9:$B$11,0)-1,MATCH(AC$1,'[1]End - Use Prices'!$C$7:$AL$7,0))</f>
        <v>39.14</v>
      </c>
      <c r="AD156" s="41">
        <f>INDEX('[1]End - Use Prices'!$C$6:$AL$89,MATCH($C156,'[1]End - Use Prices'!$A$6:$A$89,0)+MATCH($D156,'[1]End - Use Prices'!$B$9:$B$11,0)-1,MATCH(AD$1,'[1]End - Use Prices'!$C$7:$AL$7,0))</f>
        <v>40.4</v>
      </c>
      <c r="AE156" s="41">
        <f>INDEX('[1]End - Use Prices'!$C$6:$AL$89,MATCH($C156,'[1]End - Use Prices'!$A$6:$A$89,0)+MATCH($D156,'[1]End - Use Prices'!$B$9:$B$11,0)-1,MATCH(AE$1,'[1]End - Use Prices'!$C$7:$AL$7,0))</f>
        <v>42.06</v>
      </c>
      <c r="AF156" s="41">
        <f>INDEX('[1]End - Use Prices'!$C$6:$AL$89,MATCH($C156,'[1]End - Use Prices'!$A$6:$A$89,0)+MATCH($D156,'[1]End - Use Prices'!$B$9:$B$11,0)-1,MATCH(AF$1,'[1]End - Use Prices'!$C$7:$AL$7,0))</f>
        <v>42.96</v>
      </c>
      <c r="AG156" s="41">
        <f>INDEX('[1]End - Use Prices'!$C$6:$AL$89,MATCH($C156,'[1]End - Use Prices'!$A$6:$A$89,0)+MATCH($D156,'[1]End - Use Prices'!$B$9:$B$11,0)-1,MATCH(AG$1,'[1]End - Use Prices'!$C$7:$AL$7,0))</f>
        <v>46.39</v>
      </c>
      <c r="AH156" s="41">
        <f>INDEX('[1]End - Use Prices'!$C$6:$AL$89,MATCH($C156,'[1]End - Use Prices'!$A$6:$A$89,0)+MATCH($D156,'[1]End - Use Prices'!$B$9:$B$11,0)-1,MATCH(AH$1,'[1]End - Use Prices'!$C$7:$AL$7,0))</f>
        <v>48.73</v>
      </c>
      <c r="AI156" s="41">
        <f>INDEX('[1]End - Use Prices'!$C$6:$AL$89,MATCH($C156,'[1]End - Use Prices'!$A$6:$A$89,0)+MATCH($D156,'[1]End - Use Prices'!$B$9:$B$11,0)-1,MATCH(AI$1,'[1]End - Use Prices'!$C$7:$AL$7,0))</f>
        <v>58.38</v>
      </c>
      <c r="AJ156" s="41">
        <f>INDEX('[1]End - Use Prices'!$C$6:$AL$89,MATCH($C156,'[1]End - Use Prices'!$A$6:$A$89,0)+MATCH($D156,'[1]End - Use Prices'!$B$9:$B$11,0)-1,MATCH(AJ$1,'[1]End - Use Prices'!$C$7:$AL$7,0))</f>
        <v>58.96</v>
      </c>
      <c r="AK156" s="41">
        <f>INDEX('[1]End - Use Prices'!$C$6:$AL$89,MATCH($C156,'[1]End - Use Prices'!$A$6:$A$89,0)+MATCH($D156,'[1]End - Use Prices'!$B$9:$B$11,0)-1,MATCH(AK$1,'[1]End - Use Prices'!$C$7:$AL$7,0))</f>
        <v>59.62</v>
      </c>
      <c r="AL156" s="41">
        <f>INDEX('[1]End - Use Prices'!$C$6:$AL$89,MATCH($C156,'[1]End - Use Prices'!$A$6:$A$89,0)+MATCH($D156,'[1]End - Use Prices'!$B$9:$B$11,0)-1,MATCH(AL$1,'[1]End - Use Prices'!$C$7:$AL$7,0))</f>
        <v>60.27</v>
      </c>
      <c r="AM156" s="41">
        <f>INDEX('[1]End - Use Prices'!$C$6:$AL$89,MATCH($C156,'[1]End - Use Prices'!$A$6:$A$89,0)+MATCH($D156,'[1]End - Use Prices'!$B$9:$B$11,0)-1,MATCH(AM$1,'[1]End - Use Prices'!$C$7:$AL$7,0))</f>
        <v>60.89</v>
      </c>
      <c r="AN156" s="41">
        <f>INDEX('[1]End - Use Prices'!$C$6:$AL$89,MATCH($C156,'[1]End - Use Prices'!$A$6:$A$89,0)+MATCH($D156,'[1]End - Use Prices'!$B$9:$B$11,0)-1,MATCH(AN$1,'[1]End - Use Prices'!$C$7:$AL$7,0))</f>
        <v>61.51</v>
      </c>
      <c r="AO156" s="41">
        <f>INDEX('[1]End - Use Prices'!$C$6:$AL$89,MATCH($C156,'[1]End - Use Prices'!$A$6:$A$89,0)+MATCH($D156,'[1]End - Use Prices'!$B$9:$B$11,0)-1,MATCH(AO$1,'[1]End - Use Prices'!$C$7:$AL$7,0))</f>
        <v>62.1</v>
      </c>
      <c r="AP156" s="41">
        <f>INDEX('[1]End - Use Prices'!$C$6:$AL$89,MATCH($C156,'[1]End - Use Prices'!$A$6:$A$89,0)+MATCH($D156,'[1]End - Use Prices'!$B$9:$B$11,0)-1,MATCH(AP$1,'[1]End - Use Prices'!$C$7:$AL$7,0))</f>
        <v>62.68</v>
      </c>
      <c r="AQ156" s="41">
        <f>INDEX('[1]End - Use Prices'!$C$6:$AL$89,MATCH($C156,'[1]End - Use Prices'!$A$6:$A$89,0)+MATCH($D156,'[1]End - Use Prices'!$B$9:$B$11,0)-1,MATCH(AQ$1,'[1]End - Use Prices'!$C$7:$AL$7,0))</f>
        <v>63.25</v>
      </c>
      <c r="AR156" s="41">
        <f>INDEX('[1]End - Use Prices'!$C$6:$AL$89,MATCH($C156,'[1]End - Use Prices'!$A$6:$A$89,0)+MATCH($D156,'[1]End - Use Prices'!$B$9:$B$11,0)-1,MATCH(AR$1,'[1]End - Use Prices'!$C$7:$AL$7,0))</f>
        <v>63.81</v>
      </c>
      <c r="AS156" s="41">
        <f>INDEX('[1]End - Use Prices'!$C$6:$AL$89,MATCH($C156,'[1]End - Use Prices'!$A$6:$A$89,0)+MATCH($D156,'[1]End - Use Prices'!$B$9:$B$11,0)-1,MATCH(AS$1,'[1]End - Use Prices'!$C$7:$AL$7,0))</f>
        <v>64.36</v>
      </c>
      <c r="AT156" s="41">
        <f>INDEX('[1]End - Use Prices'!$C$6:$AL$89,MATCH($C156,'[1]End - Use Prices'!$A$6:$A$89,0)+MATCH($D156,'[1]End - Use Prices'!$B$9:$B$11,0)-1,MATCH(AT$1,'[1]End - Use Prices'!$C$7:$AL$7,0))</f>
        <v>64.900000000000006</v>
      </c>
      <c r="AU156" s="41">
        <f>INDEX('[1]End - Use Prices'!$C$6:$AL$89,MATCH($C156,'[1]End - Use Prices'!$A$6:$A$89,0)+MATCH($D156,'[1]End - Use Prices'!$B$9:$B$11,0)-1,MATCH(AU$1,'[1]End - Use Prices'!$C$7:$AL$7,0))</f>
        <v>65.430000000000007</v>
      </c>
      <c r="AV156" s="41">
        <f>INDEX('[1]End - Use Prices'!$C$6:$AL$89,MATCH($C156,'[1]End - Use Prices'!$A$6:$A$89,0)+MATCH($D156,'[1]End - Use Prices'!$B$9:$B$11,0)-1,MATCH(AV$1,'[1]End - Use Prices'!$C$7:$AL$7,0))</f>
        <v>65.95</v>
      </c>
      <c r="AW156" s="41">
        <f>INDEX('[1]End - Use Prices'!$C$6:$AL$89,MATCH($C156,'[1]End - Use Prices'!$A$6:$A$89,0)+MATCH($D156,'[1]End - Use Prices'!$B$9:$B$11,0)-1,MATCH(AW$1,'[1]End - Use Prices'!$C$7:$AL$7,0))</f>
        <v>66.47</v>
      </c>
      <c r="AX156" s="41">
        <f>INDEX('[1]End - Use Prices'!$C$6:$AL$89,MATCH($C156,'[1]End - Use Prices'!$A$6:$A$89,0)+MATCH($D156,'[1]End - Use Prices'!$B$9:$B$11,0)-1,MATCH(AX$1,'[1]End - Use Prices'!$C$7:$AL$7,0))</f>
        <v>66.989999999999995</v>
      </c>
      <c r="AY156" s="41">
        <f>INDEX('[1]End - Use Prices'!$C$6:$AL$89,MATCH($C156,'[1]End - Use Prices'!$A$6:$A$89,0)+MATCH($D156,'[1]End - Use Prices'!$B$9:$B$11,0)-1,MATCH(AY$1,'[1]End - Use Prices'!$C$7:$AL$7,0))</f>
        <v>67.510000000000005</v>
      </c>
      <c r="AZ156" s="41">
        <f>INDEX('[1]End - Use Prices'!$C$6:$AL$89,MATCH($C156,'[1]End - Use Prices'!$A$6:$A$89,0)+MATCH($D156,'[1]End - Use Prices'!$B$9:$B$11,0)-1,MATCH(AZ$1,'[1]End - Use Prices'!$C$7:$AL$7,0))</f>
        <v>68.02</v>
      </c>
      <c r="BA156" s="41">
        <f>INDEX('[1]End - Use Prices'!$C$6:$AL$89,MATCH($C156,'[1]End - Use Prices'!$A$6:$A$89,0)+MATCH($D156,'[1]End - Use Prices'!$B$9:$B$11,0)-1,MATCH(BA$1,'[1]End - Use Prices'!$C$7:$AL$7,0))</f>
        <v>68.53</v>
      </c>
      <c r="BB156" s="41">
        <f>INDEX('[1]End - Use Prices'!$C$6:$AL$89,MATCH($C156,'[1]End - Use Prices'!$A$6:$A$89,0)+MATCH($D156,'[1]End - Use Prices'!$B$9:$B$11,0)-1,MATCH(BB$1,'[1]End - Use Prices'!$C$7:$AL$7,0))</f>
        <v>69.05</v>
      </c>
      <c r="BC156" s="41">
        <f>INDEX('[1]End - Use Prices'!$C$6:$AL$89,MATCH($C156,'[1]End - Use Prices'!$A$6:$A$89,0)+MATCH($D156,'[1]End - Use Prices'!$B$9:$B$11,0)-1,MATCH(BC$1,'[1]End - Use Prices'!$C$7:$AL$7,0))</f>
        <v>69.569999999999993</v>
      </c>
      <c r="BD156" s="41">
        <f>INDEX('[1]End - Use Prices'!$C$6:$AL$89,MATCH($C156,'[1]End - Use Prices'!$A$6:$A$89,0)+MATCH($D156,'[1]End - Use Prices'!$B$9:$B$11,0)-1,MATCH(BD$1,'[1]End - Use Prices'!$C$7:$AL$7,0))</f>
        <v>70.09</v>
      </c>
      <c r="BE156" s="41">
        <f>INDEX('[1]End - Use Prices'!$C$6:$AL$89,MATCH($C156,'[1]End - Use Prices'!$A$6:$A$89,0)+MATCH($D156,'[1]End - Use Prices'!$B$9:$B$11,0)-1,MATCH(BE$1,'[1]End - Use Prices'!$C$7:$AL$7,0))</f>
        <v>70.62</v>
      </c>
      <c r="BF156" s="41">
        <f>INDEX('[1]End - Use Prices'!$C$6:$AL$89,MATCH($C156,'[1]End - Use Prices'!$A$6:$A$89,0)+MATCH($D156,'[1]End - Use Prices'!$B$9:$B$11,0)-1,MATCH(BF$1,'[1]End - Use Prices'!$C$7:$AL$7,0))</f>
        <v>71.150000000000006</v>
      </c>
      <c r="BG156" s="41">
        <f>INDEX('[1]End - Use Prices'!$C$6:$AL$89,MATCH($C156,'[1]End - Use Prices'!$A$6:$A$89,0)+MATCH($D156,'[1]End - Use Prices'!$B$9:$B$11,0)-1,MATCH(BG$1,'[1]End - Use Prices'!$C$7:$AL$7,0))</f>
        <v>71.69</v>
      </c>
      <c r="BR156" s="39"/>
      <c r="BS156" s="39"/>
      <c r="BT156" s="39"/>
      <c r="BU156" s="39"/>
      <c r="BV156" s="39"/>
      <c r="BW156" s="39"/>
      <c r="BX156" s="39"/>
      <c r="BY156" s="39"/>
      <c r="BZ156" s="39"/>
      <c r="CA156" s="39"/>
    </row>
    <row r="157" spans="1:79" x14ac:dyDescent="0.25">
      <c r="A157" s="5"/>
      <c r="B157" s="3"/>
      <c r="C157" s="25" t="s">
        <v>93</v>
      </c>
      <c r="D157" s="25" t="s">
        <v>2</v>
      </c>
      <c r="E157" s="25" t="s">
        <v>313</v>
      </c>
      <c r="F157" s="74" t="s">
        <v>310</v>
      </c>
      <c r="G157" s="54">
        <f t="shared" si="146"/>
        <v>23.08</v>
      </c>
      <c r="H157" s="34">
        <f t="shared" si="147"/>
        <v>23.08</v>
      </c>
      <c r="I157" s="34">
        <f t="shared" si="147"/>
        <v>24.17</v>
      </c>
      <c r="J157" s="34">
        <f t="shared" si="147"/>
        <v>26.03</v>
      </c>
      <c r="K157" s="34">
        <f t="shared" si="147"/>
        <v>28.24</v>
      </c>
      <c r="L157" s="34">
        <f t="shared" si="147"/>
        <v>29.99</v>
      </c>
      <c r="M157" s="34">
        <f t="shared" si="147"/>
        <v>31.58</v>
      </c>
      <c r="N157" s="34">
        <f t="shared" si="147"/>
        <v>32.82</v>
      </c>
      <c r="O157" s="34">
        <f t="shared" si="147"/>
        <v>33.51</v>
      </c>
      <c r="P157" s="54">
        <f t="shared" ref="P157:Q157" si="155">O157</f>
        <v>33.51</v>
      </c>
      <c r="Q157" s="54">
        <f t="shared" si="155"/>
        <v>33.51</v>
      </c>
      <c r="R157" s="38"/>
      <c r="X157" s="41">
        <f>INDEX('[1]End - Use Prices'!$C$6:$AL$89,MATCH($C157,'[1]End - Use Prices'!$A$6:$A$89,0)+MATCH($D157,'[1]End - Use Prices'!$B$9:$B$11,0)-1,MATCH(X$1,'[1]End - Use Prices'!$C$7:$AL$7,0))</f>
        <v>23.08</v>
      </c>
      <c r="Y157" s="41">
        <f>INDEX('[1]End - Use Prices'!$C$6:$AL$89,MATCH($C157,'[1]End - Use Prices'!$A$6:$A$89,0)+MATCH($D157,'[1]End - Use Prices'!$B$9:$B$11,0)-1,MATCH(Y$1,'[1]End - Use Prices'!$C$7:$AL$7,0))</f>
        <v>23.95</v>
      </c>
      <c r="Z157" s="41">
        <f>INDEX('[1]End - Use Prices'!$C$6:$AL$89,MATCH($C157,'[1]End - Use Prices'!$A$6:$A$89,0)+MATCH($D157,'[1]End - Use Prices'!$B$9:$B$11,0)-1,MATCH(Z$1,'[1]End - Use Prices'!$C$7:$AL$7,0))</f>
        <v>23.39</v>
      </c>
      <c r="AA157" s="41">
        <f>INDEX('[1]End - Use Prices'!$C$6:$AL$89,MATCH($C157,'[1]End - Use Prices'!$A$6:$A$89,0)+MATCH($D157,'[1]End - Use Prices'!$B$9:$B$11,0)-1,MATCH(AA$1,'[1]End - Use Prices'!$C$7:$AL$7,0))</f>
        <v>22.1</v>
      </c>
      <c r="AB157" s="41">
        <f>INDEX('[1]End - Use Prices'!$C$6:$AL$89,MATCH($C157,'[1]End - Use Prices'!$A$6:$A$89,0)+MATCH($D157,'[1]End - Use Prices'!$B$9:$B$11,0)-1,MATCH(AB$1,'[1]End - Use Prices'!$C$7:$AL$7,0))</f>
        <v>24.37</v>
      </c>
      <c r="AC157" s="41">
        <f>INDEX('[1]End - Use Prices'!$C$6:$AL$89,MATCH($C157,'[1]End - Use Prices'!$A$6:$A$89,0)+MATCH($D157,'[1]End - Use Prices'!$B$9:$B$11,0)-1,MATCH(AC$1,'[1]End - Use Prices'!$C$7:$AL$7,0))</f>
        <v>24.17</v>
      </c>
      <c r="AD157" s="41">
        <f>INDEX('[1]End - Use Prices'!$C$6:$AL$89,MATCH($C157,'[1]End - Use Prices'!$A$6:$A$89,0)+MATCH($D157,'[1]End - Use Prices'!$B$9:$B$11,0)-1,MATCH(AD$1,'[1]End - Use Prices'!$C$7:$AL$7,0))</f>
        <v>24.13</v>
      </c>
      <c r="AE157" s="41">
        <f>INDEX('[1]End - Use Prices'!$C$6:$AL$89,MATCH($C157,'[1]End - Use Prices'!$A$6:$A$89,0)+MATCH($D157,'[1]End - Use Prices'!$B$9:$B$11,0)-1,MATCH(AE$1,'[1]End - Use Prices'!$C$7:$AL$7,0))</f>
        <v>24.35</v>
      </c>
      <c r="AF157" s="41">
        <f>INDEX('[1]End - Use Prices'!$C$6:$AL$89,MATCH($C157,'[1]End - Use Prices'!$A$6:$A$89,0)+MATCH($D157,'[1]End - Use Prices'!$B$9:$B$11,0)-1,MATCH(AF$1,'[1]End - Use Prices'!$C$7:$AL$7,0))</f>
        <v>24.49</v>
      </c>
      <c r="AG157" s="41">
        <f>INDEX('[1]End - Use Prices'!$C$6:$AL$89,MATCH($C157,'[1]End - Use Prices'!$A$6:$A$89,0)+MATCH($D157,'[1]End - Use Prices'!$B$9:$B$11,0)-1,MATCH(AG$1,'[1]End - Use Prices'!$C$7:$AL$7,0))</f>
        <v>25.11</v>
      </c>
      <c r="AH157" s="41">
        <f>INDEX('[1]End - Use Prices'!$C$6:$AL$89,MATCH($C157,'[1]End - Use Prices'!$A$6:$A$89,0)+MATCH($D157,'[1]End - Use Prices'!$B$9:$B$11,0)-1,MATCH(AH$1,'[1]End - Use Prices'!$C$7:$AL$7,0))</f>
        <v>26.03</v>
      </c>
      <c r="AI157" s="41">
        <f>INDEX('[1]End - Use Prices'!$C$6:$AL$89,MATCH($C157,'[1]End - Use Prices'!$A$6:$A$89,0)+MATCH($D157,'[1]End - Use Prices'!$B$9:$B$11,0)-1,MATCH(AI$1,'[1]End - Use Prices'!$C$7:$AL$7,0))</f>
        <v>26.89</v>
      </c>
      <c r="AJ157" s="41">
        <f>INDEX('[1]End - Use Prices'!$C$6:$AL$89,MATCH($C157,'[1]End - Use Prices'!$A$6:$A$89,0)+MATCH($D157,'[1]End - Use Prices'!$B$9:$B$11,0)-1,MATCH(AJ$1,'[1]End - Use Prices'!$C$7:$AL$7,0))</f>
        <v>27.19</v>
      </c>
      <c r="AK157" s="41">
        <f>INDEX('[1]End - Use Prices'!$C$6:$AL$89,MATCH($C157,'[1]End - Use Prices'!$A$6:$A$89,0)+MATCH($D157,'[1]End - Use Prices'!$B$9:$B$11,0)-1,MATCH(AK$1,'[1]End - Use Prices'!$C$7:$AL$7,0))</f>
        <v>27.53</v>
      </c>
      <c r="AL157" s="41">
        <f>INDEX('[1]End - Use Prices'!$C$6:$AL$89,MATCH($C157,'[1]End - Use Prices'!$A$6:$A$89,0)+MATCH($D157,'[1]End - Use Prices'!$B$9:$B$11,0)-1,MATCH(AL$1,'[1]End - Use Prices'!$C$7:$AL$7,0))</f>
        <v>27.88</v>
      </c>
      <c r="AM157" s="41">
        <f>INDEX('[1]End - Use Prices'!$C$6:$AL$89,MATCH($C157,'[1]End - Use Prices'!$A$6:$A$89,0)+MATCH($D157,'[1]End - Use Prices'!$B$9:$B$11,0)-1,MATCH(AM$1,'[1]End - Use Prices'!$C$7:$AL$7,0))</f>
        <v>28.24</v>
      </c>
      <c r="AN157" s="41">
        <f>INDEX('[1]End - Use Prices'!$C$6:$AL$89,MATCH($C157,'[1]End - Use Prices'!$A$6:$A$89,0)+MATCH($D157,'[1]End - Use Prices'!$B$9:$B$11,0)-1,MATCH(AN$1,'[1]End - Use Prices'!$C$7:$AL$7,0))</f>
        <v>28.59</v>
      </c>
      <c r="AO157" s="41">
        <f>INDEX('[1]End - Use Prices'!$C$6:$AL$89,MATCH($C157,'[1]End - Use Prices'!$A$6:$A$89,0)+MATCH($D157,'[1]End - Use Prices'!$B$9:$B$11,0)-1,MATCH(AO$1,'[1]End - Use Prices'!$C$7:$AL$7,0))</f>
        <v>28.94</v>
      </c>
      <c r="AP157" s="41">
        <f>INDEX('[1]End - Use Prices'!$C$6:$AL$89,MATCH($C157,'[1]End - Use Prices'!$A$6:$A$89,0)+MATCH($D157,'[1]End - Use Prices'!$B$9:$B$11,0)-1,MATCH(AP$1,'[1]End - Use Prices'!$C$7:$AL$7,0))</f>
        <v>29.29</v>
      </c>
      <c r="AQ157" s="41">
        <f>INDEX('[1]End - Use Prices'!$C$6:$AL$89,MATCH($C157,'[1]End - Use Prices'!$A$6:$A$89,0)+MATCH($D157,'[1]End - Use Prices'!$B$9:$B$11,0)-1,MATCH(AQ$1,'[1]End - Use Prices'!$C$7:$AL$7,0))</f>
        <v>29.64</v>
      </c>
      <c r="AR157" s="41">
        <f>INDEX('[1]End - Use Prices'!$C$6:$AL$89,MATCH($C157,'[1]End - Use Prices'!$A$6:$A$89,0)+MATCH($D157,'[1]End - Use Prices'!$B$9:$B$11,0)-1,MATCH(AR$1,'[1]End - Use Prices'!$C$7:$AL$7,0))</f>
        <v>29.99</v>
      </c>
      <c r="AS157" s="41">
        <f>INDEX('[1]End - Use Prices'!$C$6:$AL$89,MATCH($C157,'[1]End - Use Prices'!$A$6:$A$89,0)+MATCH($D157,'[1]End - Use Prices'!$B$9:$B$11,0)-1,MATCH(AS$1,'[1]End - Use Prices'!$C$7:$AL$7,0))</f>
        <v>30.32</v>
      </c>
      <c r="AT157" s="41">
        <f>INDEX('[1]End - Use Prices'!$C$6:$AL$89,MATCH($C157,'[1]End - Use Prices'!$A$6:$A$89,0)+MATCH($D157,'[1]End - Use Prices'!$B$9:$B$11,0)-1,MATCH(AT$1,'[1]End - Use Prices'!$C$7:$AL$7,0))</f>
        <v>30.65</v>
      </c>
      <c r="AU157" s="41">
        <f>INDEX('[1]End - Use Prices'!$C$6:$AL$89,MATCH($C157,'[1]End - Use Prices'!$A$6:$A$89,0)+MATCH($D157,'[1]End - Use Prices'!$B$9:$B$11,0)-1,MATCH(AU$1,'[1]End - Use Prices'!$C$7:$AL$7,0))</f>
        <v>30.97</v>
      </c>
      <c r="AV157" s="41">
        <f>INDEX('[1]End - Use Prices'!$C$6:$AL$89,MATCH($C157,'[1]End - Use Prices'!$A$6:$A$89,0)+MATCH($D157,'[1]End - Use Prices'!$B$9:$B$11,0)-1,MATCH(AV$1,'[1]End - Use Prices'!$C$7:$AL$7,0))</f>
        <v>31.28</v>
      </c>
      <c r="AW157" s="41">
        <f>INDEX('[1]End - Use Prices'!$C$6:$AL$89,MATCH($C157,'[1]End - Use Prices'!$A$6:$A$89,0)+MATCH($D157,'[1]End - Use Prices'!$B$9:$B$11,0)-1,MATCH(AW$1,'[1]End - Use Prices'!$C$7:$AL$7,0))</f>
        <v>31.58</v>
      </c>
      <c r="AX157" s="41">
        <f>INDEX('[1]End - Use Prices'!$C$6:$AL$89,MATCH($C157,'[1]End - Use Prices'!$A$6:$A$89,0)+MATCH($D157,'[1]End - Use Prices'!$B$9:$B$11,0)-1,MATCH(AX$1,'[1]End - Use Prices'!$C$7:$AL$7,0))</f>
        <v>31.86</v>
      </c>
      <c r="AY157" s="41">
        <f>INDEX('[1]End - Use Prices'!$C$6:$AL$89,MATCH($C157,'[1]End - Use Prices'!$A$6:$A$89,0)+MATCH($D157,'[1]End - Use Prices'!$B$9:$B$11,0)-1,MATCH(AY$1,'[1]End - Use Prices'!$C$7:$AL$7,0))</f>
        <v>32.130000000000003</v>
      </c>
      <c r="AZ157" s="41">
        <f>INDEX('[1]End - Use Prices'!$C$6:$AL$89,MATCH($C157,'[1]End - Use Prices'!$A$6:$A$89,0)+MATCH($D157,'[1]End - Use Prices'!$B$9:$B$11,0)-1,MATCH(AZ$1,'[1]End - Use Prices'!$C$7:$AL$7,0))</f>
        <v>32.380000000000003</v>
      </c>
      <c r="BA157" s="41">
        <f>INDEX('[1]End - Use Prices'!$C$6:$AL$89,MATCH($C157,'[1]End - Use Prices'!$A$6:$A$89,0)+MATCH($D157,'[1]End - Use Prices'!$B$9:$B$11,0)-1,MATCH(BA$1,'[1]End - Use Prices'!$C$7:$AL$7,0))</f>
        <v>32.61</v>
      </c>
      <c r="BB157" s="41">
        <f>INDEX('[1]End - Use Prices'!$C$6:$AL$89,MATCH($C157,'[1]End - Use Prices'!$A$6:$A$89,0)+MATCH($D157,'[1]End - Use Prices'!$B$9:$B$11,0)-1,MATCH(BB$1,'[1]End - Use Prices'!$C$7:$AL$7,0))</f>
        <v>32.82</v>
      </c>
      <c r="BC157" s="41">
        <f>INDEX('[1]End - Use Prices'!$C$6:$AL$89,MATCH($C157,'[1]End - Use Prices'!$A$6:$A$89,0)+MATCH($D157,'[1]End - Use Prices'!$B$9:$B$11,0)-1,MATCH(BC$1,'[1]End - Use Prices'!$C$7:$AL$7,0))</f>
        <v>33.01</v>
      </c>
      <c r="BD157" s="41">
        <f>INDEX('[1]End - Use Prices'!$C$6:$AL$89,MATCH($C157,'[1]End - Use Prices'!$A$6:$A$89,0)+MATCH($D157,'[1]End - Use Prices'!$B$9:$B$11,0)-1,MATCH(BD$1,'[1]End - Use Prices'!$C$7:$AL$7,0))</f>
        <v>33.17</v>
      </c>
      <c r="BE157" s="41">
        <f>INDEX('[1]End - Use Prices'!$C$6:$AL$89,MATCH($C157,'[1]End - Use Prices'!$A$6:$A$89,0)+MATCH($D157,'[1]End - Use Prices'!$B$9:$B$11,0)-1,MATCH(BE$1,'[1]End - Use Prices'!$C$7:$AL$7,0))</f>
        <v>33.31</v>
      </c>
      <c r="BF157" s="41">
        <f>INDEX('[1]End - Use Prices'!$C$6:$AL$89,MATCH($C157,'[1]End - Use Prices'!$A$6:$A$89,0)+MATCH($D157,'[1]End - Use Prices'!$B$9:$B$11,0)-1,MATCH(BF$1,'[1]End - Use Prices'!$C$7:$AL$7,0))</f>
        <v>33.43</v>
      </c>
      <c r="BG157" s="41">
        <f>INDEX('[1]End - Use Prices'!$C$6:$AL$89,MATCH($C157,'[1]End - Use Prices'!$A$6:$A$89,0)+MATCH($D157,'[1]End - Use Prices'!$B$9:$B$11,0)-1,MATCH(BG$1,'[1]End - Use Prices'!$C$7:$AL$7,0))</f>
        <v>33.51</v>
      </c>
      <c r="BR157" s="39"/>
      <c r="BS157" s="39"/>
      <c r="BT157" s="39"/>
      <c r="BU157" s="39"/>
      <c r="BV157" s="39"/>
      <c r="BW157" s="39"/>
      <c r="BX157" s="39"/>
      <c r="BY157" s="39"/>
      <c r="BZ157" s="39"/>
      <c r="CA157" s="39"/>
    </row>
    <row r="158" spans="1:79" x14ac:dyDescent="0.25">
      <c r="A158" s="5"/>
      <c r="B158" s="3"/>
      <c r="C158" s="25" t="s">
        <v>94</v>
      </c>
      <c r="D158" s="25" t="s">
        <v>2</v>
      </c>
      <c r="E158" s="25" t="s">
        <v>313</v>
      </c>
      <c r="F158" s="74" t="s">
        <v>310</v>
      </c>
      <c r="G158" s="54">
        <f t="shared" si="146"/>
        <v>36.07</v>
      </c>
      <c r="H158" s="34">
        <f t="shared" si="147"/>
        <v>36.07</v>
      </c>
      <c r="I158" s="34">
        <f t="shared" si="147"/>
        <v>42.93</v>
      </c>
      <c r="J158" s="34">
        <f t="shared" si="147"/>
        <v>48.06</v>
      </c>
      <c r="K158" s="34">
        <f t="shared" si="147"/>
        <v>51.84</v>
      </c>
      <c r="L158" s="34">
        <f t="shared" si="147"/>
        <v>54.59</v>
      </c>
      <c r="M158" s="34">
        <f t="shared" si="147"/>
        <v>56.35</v>
      </c>
      <c r="N158" s="34">
        <f t="shared" si="147"/>
        <v>57.81</v>
      </c>
      <c r="O158" s="34">
        <f t="shared" si="147"/>
        <v>59.66</v>
      </c>
      <c r="P158" s="54">
        <f t="shared" ref="P158:Q158" si="156">O158</f>
        <v>59.66</v>
      </c>
      <c r="Q158" s="54">
        <f t="shared" si="156"/>
        <v>59.66</v>
      </c>
      <c r="R158" s="38"/>
      <c r="X158" s="41">
        <f>INDEX('[1]End - Use Prices'!$C$6:$AL$89,MATCH($C158,'[1]End - Use Prices'!$A$6:$A$89,0)+MATCH($D158,'[1]End - Use Prices'!$B$9:$B$11,0)-1,MATCH(X$1,'[1]End - Use Prices'!$C$7:$AL$7,0))</f>
        <v>36.07</v>
      </c>
      <c r="Y158" s="41">
        <f>INDEX('[1]End - Use Prices'!$C$6:$AL$89,MATCH($C158,'[1]End - Use Prices'!$A$6:$A$89,0)+MATCH($D158,'[1]End - Use Prices'!$B$9:$B$11,0)-1,MATCH(Y$1,'[1]End - Use Prices'!$C$7:$AL$7,0))</f>
        <v>42.3</v>
      </c>
      <c r="Z158" s="41">
        <f>INDEX('[1]End - Use Prices'!$C$6:$AL$89,MATCH($C158,'[1]End - Use Prices'!$A$6:$A$89,0)+MATCH($D158,'[1]End - Use Prices'!$B$9:$B$11,0)-1,MATCH(Z$1,'[1]End - Use Prices'!$C$7:$AL$7,0))</f>
        <v>41.68</v>
      </c>
      <c r="AA158" s="41">
        <f>INDEX('[1]End - Use Prices'!$C$6:$AL$89,MATCH($C158,'[1]End - Use Prices'!$A$6:$A$89,0)+MATCH($D158,'[1]End - Use Prices'!$B$9:$B$11,0)-1,MATCH(AA$1,'[1]End - Use Prices'!$C$7:$AL$7,0))</f>
        <v>39.369999999999997</v>
      </c>
      <c r="AB158" s="41">
        <f>INDEX('[1]End - Use Prices'!$C$6:$AL$89,MATCH($C158,'[1]End - Use Prices'!$A$6:$A$89,0)+MATCH($D158,'[1]End - Use Prices'!$B$9:$B$11,0)-1,MATCH(AB$1,'[1]End - Use Prices'!$C$7:$AL$7,0))</f>
        <v>40.299999999999997</v>
      </c>
      <c r="AC158" s="41">
        <f>INDEX('[1]End - Use Prices'!$C$6:$AL$89,MATCH($C158,'[1]End - Use Prices'!$A$6:$A$89,0)+MATCH($D158,'[1]End - Use Prices'!$B$9:$B$11,0)-1,MATCH(AC$1,'[1]End - Use Prices'!$C$7:$AL$7,0))</f>
        <v>42.93</v>
      </c>
      <c r="AD158" s="41">
        <f>INDEX('[1]End - Use Prices'!$C$6:$AL$89,MATCH($C158,'[1]End - Use Prices'!$A$6:$A$89,0)+MATCH($D158,'[1]End - Use Prices'!$B$9:$B$11,0)-1,MATCH(AD$1,'[1]End - Use Prices'!$C$7:$AL$7,0))</f>
        <v>43.6</v>
      </c>
      <c r="AE158" s="41">
        <f>INDEX('[1]End - Use Prices'!$C$6:$AL$89,MATCH($C158,'[1]End - Use Prices'!$A$6:$A$89,0)+MATCH($D158,'[1]End - Use Prices'!$B$9:$B$11,0)-1,MATCH(AE$1,'[1]End - Use Prices'!$C$7:$AL$7,0))</f>
        <v>43.08</v>
      </c>
      <c r="AF158" s="41">
        <f>INDEX('[1]End - Use Prices'!$C$6:$AL$89,MATCH($C158,'[1]End - Use Prices'!$A$6:$A$89,0)+MATCH($D158,'[1]End - Use Prices'!$B$9:$B$11,0)-1,MATCH(AF$1,'[1]End - Use Prices'!$C$7:$AL$7,0))</f>
        <v>44.44</v>
      </c>
      <c r="AG158" s="41">
        <f>INDEX('[1]End - Use Prices'!$C$6:$AL$89,MATCH($C158,'[1]End - Use Prices'!$A$6:$A$89,0)+MATCH($D158,'[1]End - Use Prices'!$B$9:$B$11,0)-1,MATCH(AG$1,'[1]End - Use Prices'!$C$7:$AL$7,0))</f>
        <v>46.3</v>
      </c>
      <c r="AH158" s="41">
        <f>INDEX('[1]End - Use Prices'!$C$6:$AL$89,MATCH($C158,'[1]End - Use Prices'!$A$6:$A$89,0)+MATCH($D158,'[1]End - Use Prices'!$B$9:$B$11,0)-1,MATCH(AH$1,'[1]End - Use Prices'!$C$7:$AL$7,0))</f>
        <v>48.06</v>
      </c>
      <c r="AI158" s="41">
        <f>INDEX('[1]End - Use Prices'!$C$6:$AL$89,MATCH($C158,'[1]End - Use Prices'!$A$6:$A$89,0)+MATCH($D158,'[1]End - Use Prices'!$B$9:$B$11,0)-1,MATCH(AI$1,'[1]End - Use Prices'!$C$7:$AL$7,0))</f>
        <v>48.66</v>
      </c>
      <c r="AJ158" s="41">
        <f>INDEX('[1]End - Use Prices'!$C$6:$AL$89,MATCH($C158,'[1]End - Use Prices'!$A$6:$A$89,0)+MATCH($D158,'[1]End - Use Prices'!$B$9:$B$11,0)-1,MATCH(AJ$1,'[1]End - Use Prices'!$C$7:$AL$7,0))</f>
        <v>49.42</v>
      </c>
      <c r="AK158" s="41">
        <f>INDEX('[1]End - Use Prices'!$C$6:$AL$89,MATCH($C158,'[1]End - Use Prices'!$A$6:$A$89,0)+MATCH($D158,'[1]End - Use Prices'!$B$9:$B$11,0)-1,MATCH(AK$1,'[1]End - Use Prices'!$C$7:$AL$7,0))</f>
        <v>50.31</v>
      </c>
      <c r="AL158" s="41">
        <f>INDEX('[1]End - Use Prices'!$C$6:$AL$89,MATCH($C158,'[1]End - Use Prices'!$A$6:$A$89,0)+MATCH($D158,'[1]End - Use Prices'!$B$9:$B$11,0)-1,MATCH(AL$1,'[1]End - Use Prices'!$C$7:$AL$7,0))</f>
        <v>51.11</v>
      </c>
      <c r="AM158" s="41">
        <f>INDEX('[1]End - Use Prices'!$C$6:$AL$89,MATCH($C158,'[1]End - Use Prices'!$A$6:$A$89,0)+MATCH($D158,'[1]End - Use Prices'!$B$9:$B$11,0)-1,MATCH(AM$1,'[1]End - Use Prices'!$C$7:$AL$7,0))</f>
        <v>51.84</v>
      </c>
      <c r="AN158" s="41">
        <f>INDEX('[1]End - Use Prices'!$C$6:$AL$89,MATCH($C158,'[1]End - Use Prices'!$A$6:$A$89,0)+MATCH($D158,'[1]End - Use Prices'!$B$9:$B$11,0)-1,MATCH(AN$1,'[1]End - Use Prices'!$C$7:$AL$7,0))</f>
        <v>52.5</v>
      </c>
      <c r="AO158" s="41">
        <f>INDEX('[1]End - Use Prices'!$C$6:$AL$89,MATCH($C158,'[1]End - Use Prices'!$A$6:$A$89,0)+MATCH($D158,'[1]End - Use Prices'!$B$9:$B$11,0)-1,MATCH(AO$1,'[1]End - Use Prices'!$C$7:$AL$7,0))</f>
        <v>53.11</v>
      </c>
      <c r="AP158" s="41">
        <f>INDEX('[1]End - Use Prices'!$C$6:$AL$89,MATCH($C158,'[1]End - Use Prices'!$A$6:$A$89,0)+MATCH($D158,'[1]End - Use Prices'!$B$9:$B$11,0)-1,MATCH(AP$1,'[1]End - Use Prices'!$C$7:$AL$7,0))</f>
        <v>53.65</v>
      </c>
      <c r="AQ158" s="41">
        <f>INDEX('[1]End - Use Prices'!$C$6:$AL$89,MATCH($C158,'[1]End - Use Prices'!$A$6:$A$89,0)+MATCH($D158,'[1]End - Use Prices'!$B$9:$B$11,0)-1,MATCH(AQ$1,'[1]End - Use Prices'!$C$7:$AL$7,0))</f>
        <v>54.15</v>
      </c>
      <c r="AR158" s="41">
        <f>INDEX('[1]End - Use Prices'!$C$6:$AL$89,MATCH($C158,'[1]End - Use Prices'!$A$6:$A$89,0)+MATCH($D158,'[1]End - Use Prices'!$B$9:$B$11,0)-1,MATCH(AR$1,'[1]End - Use Prices'!$C$7:$AL$7,0))</f>
        <v>54.59</v>
      </c>
      <c r="AS158" s="41">
        <f>INDEX('[1]End - Use Prices'!$C$6:$AL$89,MATCH($C158,'[1]End - Use Prices'!$A$6:$A$89,0)+MATCH($D158,'[1]End - Use Prices'!$B$9:$B$11,0)-1,MATCH(AS$1,'[1]End - Use Prices'!$C$7:$AL$7,0))</f>
        <v>55</v>
      </c>
      <c r="AT158" s="41">
        <f>INDEX('[1]End - Use Prices'!$C$6:$AL$89,MATCH($C158,'[1]End - Use Prices'!$A$6:$A$89,0)+MATCH($D158,'[1]End - Use Prices'!$B$9:$B$11,0)-1,MATCH(AT$1,'[1]End - Use Prices'!$C$7:$AL$7,0))</f>
        <v>55.38</v>
      </c>
      <c r="AU158" s="41">
        <f>INDEX('[1]End - Use Prices'!$C$6:$AL$89,MATCH($C158,'[1]End - Use Prices'!$A$6:$A$89,0)+MATCH($D158,'[1]End - Use Prices'!$B$9:$B$11,0)-1,MATCH(AU$1,'[1]End - Use Prices'!$C$7:$AL$7,0))</f>
        <v>55.73</v>
      </c>
      <c r="AV158" s="41">
        <f>INDEX('[1]End - Use Prices'!$C$6:$AL$89,MATCH($C158,'[1]End - Use Prices'!$A$6:$A$89,0)+MATCH($D158,'[1]End - Use Prices'!$B$9:$B$11,0)-1,MATCH(AV$1,'[1]End - Use Prices'!$C$7:$AL$7,0))</f>
        <v>56.05</v>
      </c>
      <c r="AW158" s="41">
        <f>INDEX('[1]End - Use Prices'!$C$6:$AL$89,MATCH($C158,'[1]End - Use Prices'!$A$6:$A$89,0)+MATCH($D158,'[1]End - Use Prices'!$B$9:$B$11,0)-1,MATCH(AW$1,'[1]End - Use Prices'!$C$7:$AL$7,0))</f>
        <v>56.35</v>
      </c>
      <c r="AX158" s="41">
        <f>INDEX('[1]End - Use Prices'!$C$6:$AL$89,MATCH($C158,'[1]End - Use Prices'!$A$6:$A$89,0)+MATCH($D158,'[1]End - Use Prices'!$B$9:$B$11,0)-1,MATCH(AX$1,'[1]End - Use Prices'!$C$7:$AL$7,0))</f>
        <v>56.65</v>
      </c>
      <c r="AY158" s="41">
        <f>INDEX('[1]End - Use Prices'!$C$6:$AL$89,MATCH($C158,'[1]End - Use Prices'!$A$6:$A$89,0)+MATCH($D158,'[1]End - Use Prices'!$B$9:$B$11,0)-1,MATCH(AY$1,'[1]End - Use Prices'!$C$7:$AL$7,0))</f>
        <v>56.93</v>
      </c>
      <c r="AZ158" s="41">
        <f>INDEX('[1]End - Use Prices'!$C$6:$AL$89,MATCH($C158,'[1]End - Use Prices'!$A$6:$A$89,0)+MATCH($D158,'[1]End - Use Prices'!$B$9:$B$11,0)-1,MATCH(AZ$1,'[1]End - Use Prices'!$C$7:$AL$7,0))</f>
        <v>57.22</v>
      </c>
      <c r="BA158" s="41">
        <f>INDEX('[1]End - Use Prices'!$C$6:$AL$89,MATCH($C158,'[1]End - Use Prices'!$A$6:$A$89,0)+MATCH($D158,'[1]End - Use Prices'!$B$9:$B$11,0)-1,MATCH(BA$1,'[1]End - Use Prices'!$C$7:$AL$7,0))</f>
        <v>57.51</v>
      </c>
      <c r="BB158" s="41">
        <f>INDEX('[1]End - Use Prices'!$C$6:$AL$89,MATCH($C158,'[1]End - Use Prices'!$A$6:$A$89,0)+MATCH($D158,'[1]End - Use Prices'!$B$9:$B$11,0)-1,MATCH(BB$1,'[1]End - Use Prices'!$C$7:$AL$7,0))</f>
        <v>57.81</v>
      </c>
      <c r="BC158" s="41">
        <f>INDEX('[1]End - Use Prices'!$C$6:$AL$89,MATCH($C158,'[1]End - Use Prices'!$A$6:$A$89,0)+MATCH($D158,'[1]End - Use Prices'!$B$9:$B$11,0)-1,MATCH(BC$1,'[1]End - Use Prices'!$C$7:$AL$7,0))</f>
        <v>58.13</v>
      </c>
      <c r="BD158" s="41">
        <f>INDEX('[1]End - Use Prices'!$C$6:$AL$89,MATCH($C158,'[1]End - Use Prices'!$A$6:$A$89,0)+MATCH($D158,'[1]End - Use Prices'!$B$9:$B$11,0)-1,MATCH(BD$1,'[1]End - Use Prices'!$C$7:$AL$7,0))</f>
        <v>58.47</v>
      </c>
      <c r="BE158" s="41">
        <f>INDEX('[1]End - Use Prices'!$C$6:$AL$89,MATCH($C158,'[1]End - Use Prices'!$A$6:$A$89,0)+MATCH($D158,'[1]End - Use Prices'!$B$9:$B$11,0)-1,MATCH(BE$1,'[1]End - Use Prices'!$C$7:$AL$7,0))</f>
        <v>58.83</v>
      </c>
      <c r="BF158" s="41">
        <f>INDEX('[1]End - Use Prices'!$C$6:$AL$89,MATCH($C158,'[1]End - Use Prices'!$A$6:$A$89,0)+MATCH($D158,'[1]End - Use Prices'!$B$9:$B$11,0)-1,MATCH(BF$1,'[1]End - Use Prices'!$C$7:$AL$7,0))</f>
        <v>59.23</v>
      </c>
      <c r="BG158" s="41">
        <f>INDEX('[1]End - Use Prices'!$C$6:$AL$89,MATCH($C158,'[1]End - Use Prices'!$A$6:$A$89,0)+MATCH($D158,'[1]End - Use Prices'!$B$9:$B$11,0)-1,MATCH(BG$1,'[1]End - Use Prices'!$C$7:$AL$7,0))</f>
        <v>59.66</v>
      </c>
      <c r="BR158" s="39"/>
      <c r="BS158" s="39"/>
      <c r="BT158" s="39"/>
      <c r="BU158" s="39"/>
      <c r="BV158" s="39"/>
      <c r="BW158" s="39"/>
      <c r="BX158" s="39"/>
      <c r="BY158" s="39"/>
      <c r="BZ158" s="39"/>
      <c r="CA158" s="39"/>
    </row>
    <row r="159" spans="1:79" x14ac:dyDescent="0.25">
      <c r="A159" s="5"/>
      <c r="B159" s="3"/>
      <c r="C159" s="25" t="s">
        <v>5</v>
      </c>
      <c r="D159" s="25" t="s">
        <v>2</v>
      </c>
      <c r="E159" s="25" t="s">
        <v>313</v>
      </c>
      <c r="F159" s="74" t="s">
        <v>310</v>
      </c>
      <c r="G159" s="54">
        <f t="shared" si="146"/>
        <v>30.07</v>
      </c>
      <c r="H159" s="34">
        <f t="shared" si="147"/>
        <v>30.07</v>
      </c>
      <c r="I159" s="34">
        <f t="shared" si="147"/>
        <v>31.25</v>
      </c>
      <c r="J159" s="34">
        <f t="shared" si="147"/>
        <v>33.81</v>
      </c>
      <c r="K159" s="34">
        <f t="shared" si="147"/>
        <v>32.520000000000003</v>
      </c>
      <c r="L159" s="34">
        <f t="shared" si="147"/>
        <v>35.47</v>
      </c>
      <c r="M159" s="34">
        <f t="shared" si="147"/>
        <v>37.57</v>
      </c>
      <c r="N159" s="34">
        <f t="shared" si="147"/>
        <v>38.39</v>
      </c>
      <c r="O159" s="34">
        <f t="shared" si="147"/>
        <v>37.54</v>
      </c>
      <c r="P159" s="54">
        <f t="shared" ref="P159:Q159" si="157">O159</f>
        <v>37.54</v>
      </c>
      <c r="Q159" s="54">
        <f t="shared" si="157"/>
        <v>37.54</v>
      </c>
      <c r="R159" s="38"/>
      <c r="X159" s="41">
        <f>INDEX('[1]End - Use Prices'!$C$6:$AL$89,MATCH($C159,'[1]End - Use Prices'!$A$6:$A$89,0)+MATCH($D159,'[1]End - Use Prices'!$B$9:$B$11,0)-1,MATCH(X$1,'[1]End - Use Prices'!$C$7:$AL$7,0))</f>
        <v>30.07</v>
      </c>
      <c r="Y159" s="41">
        <f>INDEX('[1]End - Use Prices'!$C$6:$AL$89,MATCH($C159,'[1]End - Use Prices'!$A$6:$A$89,0)+MATCH($D159,'[1]End - Use Prices'!$B$9:$B$11,0)-1,MATCH(Y$1,'[1]End - Use Prices'!$C$7:$AL$7,0))</f>
        <v>35.659999999999997</v>
      </c>
      <c r="Z159" s="41">
        <f>INDEX('[1]End - Use Prices'!$C$6:$AL$89,MATCH($C159,'[1]End - Use Prices'!$A$6:$A$89,0)+MATCH($D159,'[1]End - Use Prices'!$B$9:$B$11,0)-1,MATCH(Z$1,'[1]End - Use Prices'!$C$7:$AL$7,0))</f>
        <v>38.57</v>
      </c>
      <c r="AA159" s="41">
        <f>INDEX('[1]End - Use Prices'!$C$6:$AL$89,MATCH($C159,'[1]End - Use Prices'!$A$6:$A$89,0)+MATCH($D159,'[1]End - Use Prices'!$B$9:$B$11,0)-1,MATCH(AA$1,'[1]End - Use Prices'!$C$7:$AL$7,0))</f>
        <v>42.28</v>
      </c>
      <c r="AB159" s="41">
        <f>INDEX('[1]End - Use Prices'!$C$6:$AL$89,MATCH($C159,'[1]End - Use Prices'!$A$6:$A$89,0)+MATCH($D159,'[1]End - Use Prices'!$B$9:$B$11,0)-1,MATCH(AB$1,'[1]End - Use Prices'!$C$7:$AL$7,0))</f>
        <v>36.1</v>
      </c>
      <c r="AC159" s="41">
        <f>INDEX('[1]End - Use Prices'!$C$6:$AL$89,MATCH($C159,'[1]End - Use Prices'!$A$6:$A$89,0)+MATCH($D159,'[1]End - Use Prices'!$B$9:$B$11,0)-1,MATCH(AC$1,'[1]End - Use Prices'!$C$7:$AL$7,0))</f>
        <v>31.25</v>
      </c>
      <c r="AD159" s="41">
        <f>INDEX('[1]End - Use Prices'!$C$6:$AL$89,MATCH($C159,'[1]End - Use Prices'!$A$6:$A$89,0)+MATCH($D159,'[1]End - Use Prices'!$B$9:$B$11,0)-1,MATCH(AD$1,'[1]End - Use Prices'!$C$7:$AL$7,0))</f>
        <v>51.38</v>
      </c>
      <c r="AE159" s="41">
        <f>INDEX('[1]End - Use Prices'!$C$6:$AL$89,MATCH($C159,'[1]End - Use Prices'!$A$6:$A$89,0)+MATCH($D159,'[1]End - Use Prices'!$B$9:$B$11,0)-1,MATCH(AE$1,'[1]End - Use Prices'!$C$7:$AL$7,0))</f>
        <v>40.17</v>
      </c>
      <c r="AF159" s="41">
        <f>INDEX('[1]End - Use Prices'!$C$6:$AL$89,MATCH($C159,'[1]End - Use Prices'!$A$6:$A$89,0)+MATCH($D159,'[1]End - Use Prices'!$B$9:$B$11,0)-1,MATCH(AF$1,'[1]End - Use Prices'!$C$7:$AL$7,0))</f>
        <v>42.35</v>
      </c>
      <c r="AG159" s="41">
        <f>INDEX('[1]End - Use Prices'!$C$6:$AL$89,MATCH($C159,'[1]End - Use Prices'!$A$6:$A$89,0)+MATCH($D159,'[1]End - Use Prices'!$B$9:$B$11,0)-1,MATCH(AG$1,'[1]End - Use Prices'!$C$7:$AL$7,0))</f>
        <v>36.65</v>
      </c>
      <c r="AH159" s="41">
        <f>INDEX('[1]End - Use Prices'!$C$6:$AL$89,MATCH($C159,'[1]End - Use Prices'!$A$6:$A$89,0)+MATCH($D159,'[1]End - Use Prices'!$B$9:$B$11,0)-1,MATCH(AH$1,'[1]End - Use Prices'!$C$7:$AL$7,0))</f>
        <v>33.81</v>
      </c>
      <c r="AI159" s="41">
        <f>INDEX('[1]End - Use Prices'!$C$6:$AL$89,MATCH($C159,'[1]End - Use Prices'!$A$6:$A$89,0)+MATCH($D159,'[1]End - Use Prices'!$B$9:$B$11,0)-1,MATCH(AI$1,'[1]End - Use Prices'!$C$7:$AL$7,0))</f>
        <v>30.08</v>
      </c>
      <c r="AJ159" s="41">
        <f>INDEX('[1]End - Use Prices'!$C$6:$AL$89,MATCH($C159,'[1]End - Use Prices'!$A$6:$A$89,0)+MATCH($D159,'[1]End - Use Prices'!$B$9:$B$11,0)-1,MATCH(AJ$1,'[1]End - Use Prices'!$C$7:$AL$7,0))</f>
        <v>30.5</v>
      </c>
      <c r="AK159" s="41">
        <f>INDEX('[1]End - Use Prices'!$C$6:$AL$89,MATCH($C159,'[1]End - Use Prices'!$A$6:$A$89,0)+MATCH($D159,'[1]End - Use Prices'!$B$9:$B$11,0)-1,MATCH(AK$1,'[1]End - Use Prices'!$C$7:$AL$7,0))</f>
        <v>31.18</v>
      </c>
      <c r="AL159" s="41">
        <f>INDEX('[1]End - Use Prices'!$C$6:$AL$89,MATCH($C159,'[1]End - Use Prices'!$A$6:$A$89,0)+MATCH($D159,'[1]End - Use Prices'!$B$9:$B$11,0)-1,MATCH(AL$1,'[1]End - Use Prices'!$C$7:$AL$7,0))</f>
        <v>31.86</v>
      </c>
      <c r="AM159" s="41">
        <f>INDEX('[1]End - Use Prices'!$C$6:$AL$89,MATCH($C159,'[1]End - Use Prices'!$A$6:$A$89,0)+MATCH($D159,'[1]End - Use Prices'!$B$9:$B$11,0)-1,MATCH(AM$1,'[1]End - Use Prices'!$C$7:$AL$7,0))</f>
        <v>32.520000000000003</v>
      </c>
      <c r="AN159" s="41">
        <f>INDEX('[1]End - Use Prices'!$C$6:$AL$89,MATCH($C159,'[1]End - Use Prices'!$A$6:$A$89,0)+MATCH($D159,'[1]End - Use Prices'!$B$9:$B$11,0)-1,MATCH(AN$1,'[1]End - Use Prices'!$C$7:$AL$7,0))</f>
        <v>33.159999999999997</v>
      </c>
      <c r="AO159" s="41">
        <f>INDEX('[1]End - Use Prices'!$C$6:$AL$89,MATCH($C159,'[1]End - Use Prices'!$A$6:$A$89,0)+MATCH($D159,'[1]End - Use Prices'!$B$9:$B$11,0)-1,MATCH(AO$1,'[1]End - Use Prices'!$C$7:$AL$7,0))</f>
        <v>33.78</v>
      </c>
      <c r="AP159" s="41">
        <f>INDEX('[1]End - Use Prices'!$C$6:$AL$89,MATCH($C159,'[1]End - Use Prices'!$A$6:$A$89,0)+MATCH($D159,'[1]End - Use Prices'!$B$9:$B$11,0)-1,MATCH(AP$1,'[1]End - Use Prices'!$C$7:$AL$7,0))</f>
        <v>34.369999999999997</v>
      </c>
      <c r="AQ159" s="41">
        <f>INDEX('[1]End - Use Prices'!$C$6:$AL$89,MATCH($C159,'[1]End - Use Prices'!$A$6:$A$89,0)+MATCH($D159,'[1]End - Use Prices'!$B$9:$B$11,0)-1,MATCH(AQ$1,'[1]End - Use Prices'!$C$7:$AL$7,0))</f>
        <v>34.94</v>
      </c>
      <c r="AR159" s="41">
        <f>INDEX('[1]End - Use Prices'!$C$6:$AL$89,MATCH($C159,'[1]End - Use Prices'!$A$6:$A$89,0)+MATCH($D159,'[1]End - Use Prices'!$B$9:$B$11,0)-1,MATCH(AR$1,'[1]End - Use Prices'!$C$7:$AL$7,0))</f>
        <v>35.47</v>
      </c>
      <c r="AS159" s="41">
        <f>INDEX('[1]End - Use Prices'!$C$6:$AL$89,MATCH($C159,'[1]End - Use Prices'!$A$6:$A$89,0)+MATCH($D159,'[1]End - Use Prices'!$B$9:$B$11,0)-1,MATCH(AS$1,'[1]End - Use Prices'!$C$7:$AL$7,0))</f>
        <v>35.97</v>
      </c>
      <c r="AT159" s="41">
        <f>INDEX('[1]End - Use Prices'!$C$6:$AL$89,MATCH($C159,'[1]End - Use Prices'!$A$6:$A$89,0)+MATCH($D159,'[1]End - Use Prices'!$B$9:$B$11,0)-1,MATCH(AT$1,'[1]End - Use Prices'!$C$7:$AL$7,0))</f>
        <v>36.44</v>
      </c>
      <c r="AU159" s="41">
        <f>INDEX('[1]End - Use Prices'!$C$6:$AL$89,MATCH($C159,'[1]End - Use Prices'!$A$6:$A$89,0)+MATCH($D159,'[1]End - Use Prices'!$B$9:$B$11,0)-1,MATCH(AU$1,'[1]End - Use Prices'!$C$7:$AL$7,0))</f>
        <v>36.86</v>
      </c>
      <c r="AV159" s="41">
        <f>INDEX('[1]End - Use Prices'!$C$6:$AL$89,MATCH($C159,'[1]End - Use Prices'!$A$6:$A$89,0)+MATCH($D159,'[1]End - Use Prices'!$B$9:$B$11,0)-1,MATCH(AV$1,'[1]End - Use Prices'!$C$7:$AL$7,0))</f>
        <v>37.24</v>
      </c>
      <c r="AW159" s="41">
        <f>INDEX('[1]End - Use Prices'!$C$6:$AL$89,MATCH($C159,'[1]End - Use Prices'!$A$6:$A$89,0)+MATCH($D159,'[1]End - Use Prices'!$B$9:$B$11,0)-1,MATCH(AW$1,'[1]End - Use Prices'!$C$7:$AL$7,0))</f>
        <v>37.57</v>
      </c>
      <c r="AX159" s="41">
        <f>INDEX('[1]End - Use Prices'!$C$6:$AL$89,MATCH($C159,'[1]End - Use Prices'!$A$6:$A$89,0)+MATCH($D159,'[1]End - Use Prices'!$B$9:$B$11,0)-1,MATCH(AX$1,'[1]End - Use Prices'!$C$7:$AL$7,0))</f>
        <v>37.85</v>
      </c>
      <c r="AY159" s="41">
        <f>INDEX('[1]End - Use Prices'!$C$6:$AL$89,MATCH($C159,'[1]End - Use Prices'!$A$6:$A$89,0)+MATCH($D159,'[1]End - Use Prices'!$B$9:$B$11,0)-1,MATCH(AY$1,'[1]End - Use Prices'!$C$7:$AL$7,0))</f>
        <v>38.07</v>
      </c>
      <c r="AZ159" s="41">
        <f>INDEX('[1]End - Use Prices'!$C$6:$AL$89,MATCH($C159,'[1]End - Use Prices'!$A$6:$A$89,0)+MATCH($D159,'[1]End - Use Prices'!$B$9:$B$11,0)-1,MATCH(AZ$1,'[1]End - Use Prices'!$C$7:$AL$7,0))</f>
        <v>38.24</v>
      </c>
      <c r="BA159" s="41">
        <f>INDEX('[1]End - Use Prices'!$C$6:$AL$89,MATCH($C159,'[1]End - Use Prices'!$A$6:$A$89,0)+MATCH($D159,'[1]End - Use Prices'!$B$9:$B$11,0)-1,MATCH(BA$1,'[1]End - Use Prices'!$C$7:$AL$7,0))</f>
        <v>38.35</v>
      </c>
      <c r="BB159" s="41">
        <f>INDEX('[1]End - Use Prices'!$C$6:$AL$89,MATCH($C159,'[1]End - Use Prices'!$A$6:$A$89,0)+MATCH($D159,'[1]End - Use Prices'!$B$9:$B$11,0)-1,MATCH(BB$1,'[1]End - Use Prices'!$C$7:$AL$7,0))</f>
        <v>38.39</v>
      </c>
      <c r="BC159" s="41">
        <f>INDEX('[1]End - Use Prices'!$C$6:$AL$89,MATCH($C159,'[1]End - Use Prices'!$A$6:$A$89,0)+MATCH($D159,'[1]End - Use Prices'!$B$9:$B$11,0)-1,MATCH(BC$1,'[1]End - Use Prices'!$C$7:$AL$7,0))</f>
        <v>38.369999999999997</v>
      </c>
      <c r="BD159" s="41">
        <f>INDEX('[1]End - Use Prices'!$C$6:$AL$89,MATCH($C159,'[1]End - Use Prices'!$A$6:$A$89,0)+MATCH($D159,'[1]End - Use Prices'!$B$9:$B$11,0)-1,MATCH(BD$1,'[1]End - Use Prices'!$C$7:$AL$7,0))</f>
        <v>38.270000000000003</v>
      </c>
      <c r="BE159" s="41">
        <f>INDEX('[1]End - Use Prices'!$C$6:$AL$89,MATCH($C159,'[1]End - Use Prices'!$A$6:$A$89,0)+MATCH($D159,'[1]End - Use Prices'!$B$9:$B$11,0)-1,MATCH(BE$1,'[1]End - Use Prices'!$C$7:$AL$7,0))</f>
        <v>38.11</v>
      </c>
      <c r="BF159" s="41">
        <f>INDEX('[1]End - Use Prices'!$C$6:$AL$89,MATCH($C159,'[1]End - Use Prices'!$A$6:$A$89,0)+MATCH($D159,'[1]End - Use Prices'!$B$9:$B$11,0)-1,MATCH(BF$1,'[1]End - Use Prices'!$C$7:$AL$7,0))</f>
        <v>37.86</v>
      </c>
      <c r="BG159" s="41">
        <f>INDEX('[1]End - Use Prices'!$C$6:$AL$89,MATCH($C159,'[1]End - Use Prices'!$A$6:$A$89,0)+MATCH($D159,'[1]End - Use Prices'!$B$9:$B$11,0)-1,MATCH(BG$1,'[1]End - Use Prices'!$C$7:$AL$7,0))</f>
        <v>37.54</v>
      </c>
      <c r="BR159" s="39"/>
      <c r="BS159" s="39"/>
      <c r="BT159" s="39"/>
      <c r="BU159" s="39"/>
      <c r="BV159" s="39"/>
      <c r="BW159" s="39"/>
      <c r="BX159" s="39"/>
      <c r="BY159" s="39"/>
      <c r="BZ159" s="39"/>
      <c r="CA159" s="39"/>
    </row>
    <row r="160" spans="1:79" x14ac:dyDescent="0.25">
      <c r="A160" s="5"/>
      <c r="B160" s="3"/>
      <c r="C160" s="25" t="s">
        <v>61</v>
      </c>
      <c r="D160" s="25" t="s">
        <v>2</v>
      </c>
      <c r="E160" s="25" t="s">
        <v>313</v>
      </c>
      <c r="F160" s="74" t="s">
        <v>310</v>
      </c>
      <c r="G160" s="54">
        <f t="shared" si="146"/>
        <v>22.24</v>
      </c>
      <c r="H160" s="34">
        <f t="shared" si="147"/>
        <v>22.24</v>
      </c>
      <c r="I160" s="34">
        <f t="shared" si="147"/>
        <v>25.9</v>
      </c>
      <c r="J160" s="34">
        <f t="shared" si="147"/>
        <v>30.53</v>
      </c>
      <c r="K160" s="34">
        <f t="shared" si="147"/>
        <v>31.99</v>
      </c>
      <c r="L160" s="34">
        <f t="shared" si="147"/>
        <v>32.61</v>
      </c>
      <c r="M160" s="34">
        <f t="shared" si="147"/>
        <v>33.25</v>
      </c>
      <c r="N160" s="34">
        <f t="shared" si="147"/>
        <v>33.76</v>
      </c>
      <c r="O160" s="34">
        <f t="shared" si="147"/>
        <v>34</v>
      </c>
      <c r="P160" s="54">
        <f t="shared" ref="P160:Q160" si="158">O160</f>
        <v>34</v>
      </c>
      <c r="Q160" s="54">
        <f t="shared" si="158"/>
        <v>34</v>
      </c>
      <c r="R160" s="38"/>
      <c r="X160" s="41">
        <f>INDEX('[1]End - Use Prices'!$C$6:$AL$89,MATCH($C160,'[1]End - Use Prices'!$A$6:$A$89,0)+MATCH($D160,'[1]End - Use Prices'!$B$9:$B$11,0)-1,MATCH(X$1,'[1]End - Use Prices'!$C$7:$AL$7,0))</f>
        <v>22.24</v>
      </c>
      <c r="Y160" s="41">
        <f>INDEX('[1]End - Use Prices'!$C$6:$AL$89,MATCH($C160,'[1]End - Use Prices'!$A$6:$A$89,0)+MATCH($D160,'[1]End - Use Prices'!$B$9:$B$11,0)-1,MATCH(Y$1,'[1]End - Use Prices'!$C$7:$AL$7,0))</f>
        <v>23.07</v>
      </c>
      <c r="Z160" s="41">
        <f>INDEX('[1]End - Use Prices'!$C$6:$AL$89,MATCH($C160,'[1]End - Use Prices'!$A$6:$A$89,0)+MATCH($D160,'[1]End - Use Prices'!$B$9:$B$11,0)-1,MATCH(Z$1,'[1]End - Use Prices'!$C$7:$AL$7,0))</f>
        <v>22.79</v>
      </c>
      <c r="AA160" s="41">
        <f>INDEX('[1]End - Use Prices'!$C$6:$AL$89,MATCH($C160,'[1]End - Use Prices'!$A$6:$A$89,0)+MATCH($D160,'[1]End - Use Prices'!$B$9:$B$11,0)-1,MATCH(AA$1,'[1]End - Use Prices'!$C$7:$AL$7,0))</f>
        <v>22.61</v>
      </c>
      <c r="AB160" s="41">
        <f>INDEX('[1]End - Use Prices'!$C$6:$AL$89,MATCH($C160,'[1]End - Use Prices'!$A$6:$A$89,0)+MATCH($D160,'[1]End - Use Prices'!$B$9:$B$11,0)-1,MATCH(AB$1,'[1]End - Use Prices'!$C$7:$AL$7,0))</f>
        <v>23.66</v>
      </c>
      <c r="AC160" s="41">
        <f>INDEX('[1]End - Use Prices'!$C$6:$AL$89,MATCH($C160,'[1]End - Use Prices'!$A$6:$A$89,0)+MATCH($D160,'[1]End - Use Prices'!$B$9:$B$11,0)-1,MATCH(AC$1,'[1]End - Use Prices'!$C$7:$AL$7,0))</f>
        <v>25.9</v>
      </c>
      <c r="AD160" s="41">
        <f>INDEX('[1]End - Use Prices'!$C$6:$AL$89,MATCH($C160,'[1]End - Use Prices'!$A$6:$A$89,0)+MATCH($D160,'[1]End - Use Prices'!$B$9:$B$11,0)-1,MATCH(AD$1,'[1]End - Use Prices'!$C$7:$AL$7,0))</f>
        <v>25.46</v>
      </c>
      <c r="AE160" s="41">
        <f>INDEX('[1]End - Use Prices'!$C$6:$AL$89,MATCH($C160,'[1]End - Use Prices'!$A$6:$A$89,0)+MATCH($D160,'[1]End - Use Prices'!$B$9:$B$11,0)-1,MATCH(AE$1,'[1]End - Use Prices'!$C$7:$AL$7,0))</f>
        <v>28.65</v>
      </c>
      <c r="AF160" s="41">
        <f>INDEX('[1]End - Use Prices'!$C$6:$AL$89,MATCH($C160,'[1]End - Use Prices'!$A$6:$A$89,0)+MATCH($D160,'[1]End - Use Prices'!$B$9:$B$11,0)-1,MATCH(AF$1,'[1]End - Use Prices'!$C$7:$AL$7,0))</f>
        <v>27.24</v>
      </c>
      <c r="AG160" s="41">
        <f>INDEX('[1]End - Use Prices'!$C$6:$AL$89,MATCH($C160,'[1]End - Use Prices'!$A$6:$A$89,0)+MATCH($D160,'[1]End - Use Prices'!$B$9:$B$11,0)-1,MATCH(AG$1,'[1]End - Use Prices'!$C$7:$AL$7,0))</f>
        <v>28.61</v>
      </c>
      <c r="AH160" s="41">
        <f>INDEX('[1]End - Use Prices'!$C$6:$AL$89,MATCH($C160,'[1]End - Use Prices'!$A$6:$A$89,0)+MATCH($D160,'[1]End - Use Prices'!$B$9:$B$11,0)-1,MATCH(AH$1,'[1]End - Use Prices'!$C$7:$AL$7,0))</f>
        <v>30.53</v>
      </c>
      <c r="AI160" s="41">
        <f>INDEX('[1]End - Use Prices'!$C$6:$AL$89,MATCH($C160,'[1]End - Use Prices'!$A$6:$A$89,0)+MATCH($D160,'[1]End - Use Prices'!$B$9:$B$11,0)-1,MATCH(AI$1,'[1]End - Use Prices'!$C$7:$AL$7,0))</f>
        <v>31.55</v>
      </c>
      <c r="AJ160" s="41">
        <f>INDEX('[1]End - Use Prices'!$C$6:$AL$89,MATCH($C160,'[1]End - Use Prices'!$A$6:$A$89,0)+MATCH($D160,'[1]End - Use Prices'!$B$9:$B$11,0)-1,MATCH(AJ$1,'[1]End - Use Prices'!$C$7:$AL$7,0))</f>
        <v>31.68</v>
      </c>
      <c r="AK160" s="41">
        <f>INDEX('[1]End - Use Prices'!$C$6:$AL$89,MATCH($C160,'[1]End - Use Prices'!$A$6:$A$89,0)+MATCH($D160,'[1]End - Use Prices'!$B$9:$B$11,0)-1,MATCH(AK$1,'[1]End - Use Prices'!$C$7:$AL$7,0))</f>
        <v>31.78</v>
      </c>
      <c r="AL160" s="41">
        <f>INDEX('[1]End - Use Prices'!$C$6:$AL$89,MATCH($C160,'[1]End - Use Prices'!$A$6:$A$89,0)+MATCH($D160,'[1]End - Use Prices'!$B$9:$B$11,0)-1,MATCH(AL$1,'[1]End - Use Prices'!$C$7:$AL$7,0))</f>
        <v>31.88</v>
      </c>
      <c r="AM160" s="41">
        <f>INDEX('[1]End - Use Prices'!$C$6:$AL$89,MATCH($C160,'[1]End - Use Prices'!$A$6:$A$89,0)+MATCH($D160,'[1]End - Use Prices'!$B$9:$B$11,0)-1,MATCH(AM$1,'[1]End - Use Prices'!$C$7:$AL$7,0))</f>
        <v>31.99</v>
      </c>
      <c r="AN160" s="41">
        <f>INDEX('[1]End - Use Prices'!$C$6:$AL$89,MATCH($C160,'[1]End - Use Prices'!$A$6:$A$89,0)+MATCH($D160,'[1]End - Use Prices'!$B$9:$B$11,0)-1,MATCH(AN$1,'[1]End - Use Prices'!$C$7:$AL$7,0))</f>
        <v>32.1</v>
      </c>
      <c r="AO160" s="41">
        <f>INDEX('[1]End - Use Prices'!$C$6:$AL$89,MATCH($C160,'[1]End - Use Prices'!$A$6:$A$89,0)+MATCH($D160,'[1]End - Use Prices'!$B$9:$B$11,0)-1,MATCH(AO$1,'[1]End - Use Prices'!$C$7:$AL$7,0))</f>
        <v>32.229999999999997</v>
      </c>
      <c r="AP160" s="41">
        <f>INDEX('[1]End - Use Prices'!$C$6:$AL$89,MATCH($C160,'[1]End - Use Prices'!$A$6:$A$89,0)+MATCH($D160,'[1]End - Use Prices'!$B$9:$B$11,0)-1,MATCH(AP$1,'[1]End - Use Prices'!$C$7:$AL$7,0))</f>
        <v>32.35</v>
      </c>
      <c r="AQ160" s="41">
        <f>INDEX('[1]End - Use Prices'!$C$6:$AL$89,MATCH($C160,'[1]End - Use Prices'!$A$6:$A$89,0)+MATCH($D160,'[1]End - Use Prices'!$B$9:$B$11,0)-1,MATCH(AQ$1,'[1]End - Use Prices'!$C$7:$AL$7,0))</f>
        <v>32.479999999999997</v>
      </c>
      <c r="AR160" s="41">
        <f>INDEX('[1]End - Use Prices'!$C$6:$AL$89,MATCH($C160,'[1]End - Use Prices'!$A$6:$A$89,0)+MATCH($D160,'[1]End - Use Prices'!$B$9:$B$11,0)-1,MATCH(AR$1,'[1]End - Use Prices'!$C$7:$AL$7,0))</f>
        <v>32.61</v>
      </c>
      <c r="AS160" s="41">
        <f>INDEX('[1]End - Use Prices'!$C$6:$AL$89,MATCH($C160,'[1]End - Use Prices'!$A$6:$A$89,0)+MATCH($D160,'[1]End - Use Prices'!$B$9:$B$11,0)-1,MATCH(AS$1,'[1]End - Use Prices'!$C$7:$AL$7,0))</f>
        <v>32.74</v>
      </c>
      <c r="AT160" s="41">
        <f>INDEX('[1]End - Use Prices'!$C$6:$AL$89,MATCH($C160,'[1]End - Use Prices'!$A$6:$A$89,0)+MATCH($D160,'[1]End - Use Prices'!$B$9:$B$11,0)-1,MATCH(AT$1,'[1]End - Use Prices'!$C$7:$AL$7,0))</f>
        <v>32.869999999999997</v>
      </c>
      <c r="AU160" s="41">
        <f>INDEX('[1]End - Use Prices'!$C$6:$AL$89,MATCH($C160,'[1]End - Use Prices'!$A$6:$A$89,0)+MATCH($D160,'[1]End - Use Prices'!$B$9:$B$11,0)-1,MATCH(AU$1,'[1]End - Use Prices'!$C$7:$AL$7,0))</f>
        <v>33</v>
      </c>
      <c r="AV160" s="41">
        <f>INDEX('[1]End - Use Prices'!$C$6:$AL$89,MATCH($C160,'[1]End - Use Prices'!$A$6:$A$89,0)+MATCH($D160,'[1]End - Use Prices'!$B$9:$B$11,0)-1,MATCH(AV$1,'[1]End - Use Prices'!$C$7:$AL$7,0))</f>
        <v>33.130000000000003</v>
      </c>
      <c r="AW160" s="41">
        <f>INDEX('[1]End - Use Prices'!$C$6:$AL$89,MATCH($C160,'[1]End - Use Prices'!$A$6:$A$89,0)+MATCH($D160,'[1]End - Use Prices'!$B$9:$B$11,0)-1,MATCH(AW$1,'[1]End - Use Prices'!$C$7:$AL$7,0))</f>
        <v>33.25</v>
      </c>
      <c r="AX160" s="41">
        <f>INDEX('[1]End - Use Prices'!$C$6:$AL$89,MATCH($C160,'[1]End - Use Prices'!$A$6:$A$89,0)+MATCH($D160,'[1]End - Use Prices'!$B$9:$B$11,0)-1,MATCH(AX$1,'[1]End - Use Prices'!$C$7:$AL$7,0))</f>
        <v>33.369999999999997</v>
      </c>
      <c r="AY160" s="41">
        <f>INDEX('[1]End - Use Prices'!$C$6:$AL$89,MATCH($C160,'[1]End - Use Prices'!$A$6:$A$89,0)+MATCH($D160,'[1]End - Use Prices'!$B$9:$B$11,0)-1,MATCH(AY$1,'[1]End - Use Prices'!$C$7:$AL$7,0))</f>
        <v>33.479999999999997</v>
      </c>
      <c r="AZ160" s="41">
        <f>INDEX('[1]End - Use Prices'!$C$6:$AL$89,MATCH($C160,'[1]End - Use Prices'!$A$6:$A$89,0)+MATCH($D160,'[1]End - Use Prices'!$B$9:$B$11,0)-1,MATCH(AZ$1,'[1]End - Use Prices'!$C$7:$AL$7,0))</f>
        <v>33.58</v>
      </c>
      <c r="BA160" s="41">
        <f>INDEX('[1]End - Use Prices'!$C$6:$AL$89,MATCH($C160,'[1]End - Use Prices'!$A$6:$A$89,0)+MATCH($D160,'[1]End - Use Prices'!$B$9:$B$11,0)-1,MATCH(BA$1,'[1]End - Use Prices'!$C$7:$AL$7,0))</f>
        <v>33.68</v>
      </c>
      <c r="BB160" s="41">
        <f>INDEX('[1]End - Use Prices'!$C$6:$AL$89,MATCH($C160,'[1]End - Use Prices'!$A$6:$A$89,0)+MATCH($D160,'[1]End - Use Prices'!$B$9:$B$11,0)-1,MATCH(BB$1,'[1]End - Use Prices'!$C$7:$AL$7,0))</f>
        <v>33.76</v>
      </c>
      <c r="BC160" s="41">
        <f>INDEX('[1]End - Use Prices'!$C$6:$AL$89,MATCH($C160,'[1]End - Use Prices'!$A$6:$A$89,0)+MATCH($D160,'[1]End - Use Prices'!$B$9:$B$11,0)-1,MATCH(BC$1,'[1]End - Use Prices'!$C$7:$AL$7,0))</f>
        <v>33.840000000000003</v>
      </c>
      <c r="BD160" s="41">
        <f>INDEX('[1]End - Use Prices'!$C$6:$AL$89,MATCH($C160,'[1]End - Use Prices'!$A$6:$A$89,0)+MATCH($D160,'[1]End - Use Prices'!$B$9:$B$11,0)-1,MATCH(BD$1,'[1]End - Use Prices'!$C$7:$AL$7,0))</f>
        <v>33.9</v>
      </c>
      <c r="BE160" s="41">
        <f>INDEX('[1]End - Use Prices'!$C$6:$AL$89,MATCH($C160,'[1]End - Use Prices'!$A$6:$A$89,0)+MATCH($D160,'[1]End - Use Prices'!$B$9:$B$11,0)-1,MATCH(BE$1,'[1]End - Use Prices'!$C$7:$AL$7,0))</f>
        <v>33.950000000000003</v>
      </c>
      <c r="BF160" s="41">
        <f>INDEX('[1]End - Use Prices'!$C$6:$AL$89,MATCH($C160,'[1]End - Use Prices'!$A$6:$A$89,0)+MATCH($D160,'[1]End - Use Prices'!$B$9:$B$11,0)-1,MATCH(BF$1,'[1]End - Use Prices'!$C$7:$AL$7,0))</f>
        <v>33.979999999999997</v>
      </c>
      <c r="BG160" s="41">
        <f>INDEX('[1]End - Use Prices'!$C$6:$AL$89,MATCH($C160,'[1]End - Use Prices'!$A$6:$A$89,0)+MATCH($D160,'[1]End - Use Prices'!$B$9:$B$11,0)-1,MATCH(BG$1,'[1]End - Use Prices'!$C$7:$AL$7,0))</f>
        <v>34</v>
      </c>
      <c r="BR160" s="39"/>
      <c r="BS160" s="39"/>
      <c r="BT160" s="39"/>
      <c r="BU160" s="39"/>
      <c r="BV160" s="39"/>
      <c r="BW160" s="39"/>
      <c r="BX160" s="39"/>
      <c r="BY160" s="39"/>
      <c r="BZ160" s="39"/>
      <c r="CA160" s="39"/>
    </row>
    <row r="161" spans="1:79" x14ac:dyDescent="0.25">
      <c r="A161" s="5"/>
      <c r="B161" s="3"/>
      <c r="C161" s="25" t="s">
        <v>95</v>
      </c>
      <c r="D161" s="25" t="s">
        <v>2</v>
      </c>
      <c r="E161" s="25" t="s">
        <v>313</v>
      </c>
      <c r="F161" s="74" t="s">
        <v>310</v>
      </c>
      <c r="G161" s="54">
        <f t="shared" si="146"/>
        <v>33.479999999999997</v>
      </c>
      <c r="H161" s="34">
        <f t="shared" si="147"/>
        <v>33.479999999999997</v>
      </c>
      <c r="I161" s="34">
        <f t="shared" si="147"/>
        <v>37.69</v>
      </c>
      <c r="J161" s="34">
        <f t="shared" si="147"/>
        <v>47.73</v>
      </c>
      <c r="K161" s="34">
        <f t="shared" si="147"/>
        <v>48.18</v>
      </c>
      <c r="L161" s="34">
        <f t="shared" si="147"/>
        <v>49.04</v>
      </c>
      <c r="M161" s="34">
        <f t="shared" si="147"/>
        <v>49.97</v>
      </c>
      <c r="N161" s="34">
        <f t="shared" si="147"/>
        <v>50.92</v>
      </c>
      <c r="O161" s="34">
        <f t="shared" si="147"/>
        <v>51.85</v>
      </c>
      <c r="P161" s="54">
        <f t="shared" ref="P161:Q161" si="159">O161</f>
        <v>51.85</v>
      </c>
      <c r="Q161" s="54">
        <f t="shared" si="159"/>
        <v>51.85</v>
      </c>
      <c r="R161" s="38"/>
      <c r="X161" s="41">
        <f>INDEX('[1]End - Use Prices'!$C$6:$AL$89,MATCH($C161,'[1]End - Use Prices'!$A$6:$A$89,0)+MATCH($D161,'[1]End - Use Prices'!$B$9:$B$11,0)-1,MATCH(X$1,'[1]End - Use Prices'!$C$7:$AL$7,0))</f>
        <v>33.479999999999997</v>
      </c>
      <c r="Y161" s="41">
        <f>INDEX('[1]End - Use Prices'!$C$6:$AL$89,MATCH($C161,'[1]End - Use Prices'!$A$6:$A$89,0)+MATCH($D161,'[1]End - Use Prices'!$B$9:$B$11,0)-1,MATCH(Y$1,'[1]End - Use Prices'!$C$7:$AL$7,0))</f>
        <v>34.72</v>
      </c>
      <c r="Z161" s="41">
        <f>INDEX('[1]End - Use Prices'!$C$6:$AL$89,MATCH($C161,'[1]End - Use Prices'!$A$6:$A$89,0)+MATCH($D161,'[1]End - Use Prices'!$B$9:$B$11,0)-1,MATCH(Z$1,'[1]End - Use Prices'!$C$7:$AL$7,0))</f>
        <v>34.299999999999997</v>
      </c>
      <c r="AA161" s="41">
        <f>INDEX('[1]End - Use Prices'!$C$6:$AL$89,MATCH($C161,'[1]End - Use Prices'!$A$6:$A$89,0)+MATCH($D161,'[1]End - Use Prices'!$B$9:$B$11,0)-1,MATCH(AA$1,'[1]End - Use Prices'!$C$7:$AL$7,0))</f>
        <v>34</v>
      </c>
      <c r="AB161" s="41">
        <f>INDEX('[1]End - Use Prices'!$C$6:$AL$89,MATCH($C161,'[1]End - Use Prices'!$A$6:$A$89,0)+MATCH($D161,'[1]End - Use Prices'!$B$9:$B$11,0)-1,MATCH(AB$1,'[1]End - Use Prices'!$C$7:$AL$7,0))</f>
        <v>35.590000000000003</v>
      </c>
      <c r="AC161" s="41">
        <f>INDEX('[1]End - Use Prices'!$C$6:$AL$89,MATCH($C161,'[1]End - Use Prices'!$A$6:$A$89,0)+MATCH($D161,'[1]End - Use Prices'!$B$9:$B$11,0)-1,MATCH(AC$1,'[1]End - Use Prices'!$C$7:$AL$7,0))</f>
        <v>37.69</v>
      </c>
      <c r="AD161" s="41">
        <f>INDEX('[1]End - Use Prices'!$C$6:$AL$89,MATCH($C161,'[1]End - Use Prices'!$A$6:$A$89,0)+MATCH($D161,'[1]End - Use Prices'!$B$9:$B$11,0)-1,MATCH(AD$1,'[1]End - Use Prices'!$C$7:$AL$7,0))</f>
        <v>35.89</v>
      </c>
      <c r="AE161" s="41">
        <f>INDEX('[1]End - Use Prices'!$C$6:$AL$89,MATCH($C161,'[1]End - Use Prices'!$A$6:$A$89,0)+MATCH($D161,'[1]End - Use Prices'!$B$9:$B$11,0)-1,MATCH(AE$1,'[1]End - Use Prices'!$C$7:$AL$7,0))</f>
        <v>40.39</v>
      </c>
      <c r="AF161" s="41">
        <f>INDEX('[1]End - Use Prices'!$C$6:$AL$89,MATCH($C161,'[1]End - Use Prices'!$A$6:$A$89,0)+MATCH($D161,'[1]End - Use Prices'!$B$9:$B$11,0)-1,MATCH(AF$1,'[1]End - Use Prices'!$C$7:$AL$7,0))</f>
        <v>40.28</v>
      </c>
      <c r="AG161" s="41">
        <f>INDEX('[1]End - Use Prices'!$C$6:$AL$89,MATCH($C161,'[1]End - Use Prices'!$A$6:$A$89,0)+MATCH($D161,'[1]End - Use Prices'!$B$9:$B$11,0)-1,MATCH(AG$1,'[1]End - Use Prices'!$C$7:$AL$7,0))</f>
        <v>47.35</v>
      </c>
      <c r="AH161" s="41">
        <f>INDEX('[1]End - Use Prices'!$C$6:$AL$89,MATCH($C161,'[1]End - Use Prices'!$A$6:$A$89,0)+MATCH($D161,'[1]End - Use Prices'!$B$9:$B$11,0)-1,MATCH(AH$1,'[1]End - Use Prices'!$C$7:$AL$7,0))</f>
        <v>47.73</v>
      </c>
      <c r="AI161" s="41">
        <f>INDEX('[1]End - Use Prices'!$C$6:$AL$89,MATCH($C161,'[1]End - Use Prices'!$A$6:$A$89,0)+MATCH($D161,'[1]End - Use Prices'!$B$9:$B$11,0)-1,MATCH(AI$1,'[1]End - Use Prices'!$C$7:$AL$7,0))</f>
        <v>47.43</v>
      </c>
      <c r="AJ161" s="41">
        <f>INDEX('[1]End - Use Prices'!$C$6:$AL$89,MATCH($C161,'[1]End - Use Prices'!$A$6:$A$89,0)+MATCH($D161,'[1]End - Use Prices'!$B$9:$B$11,0)-1,MATCH(AJ$1,'[1]End - Use Prices'!$C$7:$AL$7,0))</f>
        <v>47.71</v>
      </c>
      <c r="AK161" s="41">
        <f>INDEX('[1]End - Use Prices'!$C$6:$AL$89,MATCH($C161,'[1]End - Use Prices'!$A$6:$A$89,0)+MATCH($D161,'[1]End - Use Prices'!$B$9:$B$11,0)-1,MATCH(AK$1,'[1]End - Use Prices'!$C$7:$AL$7,0))</f>
        <v>47.86</v>
      </c>
      <c r="AL161" s="41">
        <f>INDEX('[1]End - Use Prices'!$C$6:$AL$89,MATCH($C161,'[1]End - Use Prices'!$A$6:$A$89,0)+MATCH($D161,'[1]End - Use Prices'!$B$9:$B$11,0)-1,MATCH(AL$1,'[1]End - Use Prices'!$C$7:$AL$7,0))</f>
        <v>48.02</v>
      </c>
      <c r="AM161" s="41">
        <f>INDEX('[1]End - Use Prices'!$C$6:$AL$89,MATCH($C161,'[1]End - Use Prices'!$A$6:$A$89,0)+MATCH($D161,'[1]End - Use Prices'!$B$9:$B$11,0)-1,MATCH(AM$1,'[1]End - Use Prices'!$C$7:$AL$7,0))</f>
        <v>48.18</v>
      </c>
      <c r="AN161" s="41">
        <f>INDEX('[1]End - Use Prices'!$C$6:$AL$89,MATCH($C161,'[1]End - Use Prices'!$A$6:$A$89,0)+MATCH($D161,'[1]End - Use Prices'!$B$9:$B$11,0)-1,MATCH(AN$1,'[1]End - Use Prices'!$C$7:$AL$7,0))</f>
        <v>48.35</v>
      </c>
      <c r="AO161" s="41">
        <f>INDEX('[1]End - Use Prices'!$C$6:$AL$89,MATCH($C161,'[1]End - Use Prices'!$A$6:$A$89,0)+MATCH($D161,'[1]End - Use Prices'!$B$9:$B$11,0)-1,MATCH(AO$1,'[1]End - Use Prices'!$C$7:$AL$7,0))</f>
        <v>48.52</v>
      </c>
      <c r="AP161" s="41">
        <f>INDEX('[1]End - Use Prices'!$C$6:$AL$89,MATCH($C161,'[1]End - Use Prices'!$A$6:$A$89,0)+MATCH($D161,'[1]End - Use Prices'!$B$9:$B$11,0)-1,MATCH(AP$1,'[1]End - Use Prices'!$C$7:$AL$7,0))</f>
        <v>48.69</v>
      </c>
      <c r="AQ161" s="41">
        <f>INDEX('[1]End - Use Prices'!$C$6:$AL$89,MATCH($C161,'[1]End - Use Prices'!$A$6:$A$89,0)+MATCH($D161,'[1]End - Use Prices'!$B$9:$B$11,0)-1,MATCH(AQ$1,'[1]End - Use Prices'!$C$7:$AL$7,0))</f>
        <v>48.86</v>
      </c>
      <c r="AR161" s="41">
        <f>INDEX('[1]End - Use Prices'!$C$6:$AL$89,MATCH($C161,'[1]End - Use Prices'!$A$6:$A$89,0)+MATCH($D161,'[1]End - Use Prices'!$B$9:$B$11,0)-1,MATCH(AR$1,'[1]End - Use Prices'!$C$7:$AL$7,0))</f>
        <v>49.04</v>
      </c>
      <c r="AS161" s="41">
        <f>INDEX('[1]End - Use Prices'!$C$6:$AL$89,MATCH($C161,'[1]End - Use Prices'!$A$6:$A$89,0)+MATCH($D161,'[1]End - Use Prices'!$B$9:$B$11,0)-1,MATCH(AS$1,'[1]End - Use Prices'!$C$7:$AL$7,0))</f>
        <v>49.22</v>
      </c>
      <c r="AT161" s="41">
        <f>INDEX('[1]End - Use Prices'!$C$6:$AL$89,MATCH($C161,'[1]End - Use Prices'!$A$6:$A$89,0)+MATCH($D161,'[1]End - Use Prices'!$B$9:$B$11,0)-1,MATCH(AT$1,'[1]End - Use Prices'!$C$7:$AL$7,0))</f>
        <v>49.41</v>
      </c>
      <c r="AU161" s="41">
        <f>INDEX('[1]End - Use Prices'!$C$6:$AL$89,MATCH($C161,'[1]End - Use Prices'!$A$6:$A$89,0)+MATCH($D161,'[1]End - Use Prices'!$B$9:$B$11,0)-1,MATCH(AU$1,'[1]End - Use Prices'!$C$7:$AL$7,0))</f>
        <v>49.59</v>
      </c>
      <c r="AV161" s="41">
        <f>INDEX('[1]End - Use Prices'!$C$6:$AL$89,MATCH($C161,'[1]End - Use Prices'!$A$6:$A$89,0)+MATCH($D161,'[1]End - Use Prices'!$B$9:$B$11,0)-1,MATCH(AV$1,'[1]End - Use Prices'!$C$7:$AL$7,0))</f>
        <v>49.78</v>
      </c>
      <c r="AW161" s="41">
        <f>INDEX('[1]End - Use Prices'!$C$6:$AL$89,MATCH($C161,'[1]End - Use Prices'!$A$6:$A$89,0)+MATCH($D161,'[1]End - Use Prices'!$B$9:$B$11,0)-1,MATCH(AW$1,'[1]End - Use Prices'!$C$7:$AL$7,0))</f>
        <v>49.97</v>
      </c>
      <c r="AX161" s="41">
        <f>INDEX('[1]End - Use Prices'!$C$6:$AL$89,MATCH($C161,'[1]End - Use Prices'!$A$6:$A$89,0)+MATCH($D161,'[1]End - Use Prices'!$B$9:$B$11,0)-1,MATCH(AX$1,'[1]End - Use Prices'!$C$7:$AL$7,0))</f>
        <v>50.16</v>
      </c>
      <c r="AY161" s="41">
        <f>INDEX('[1]End - Use Prices'!$C$6:$AL$89,MATCH($C161,'[1]End - Use Prices'!$A$6:$A$89,0)+MATCH($D161,'[1]End - Use Prices'!$B$9:$B$11,0)-1,MATCH(AY$1,'[1]End - Use Prices'!$C$7:$AL$7,0))</f>
        <v>50.35</v>
      </c>
      <c r="AZ161" s="41">
        <f>INDEX('[1]End - Use Prices'!$C$6:$AL$89,MATCH($C161,'[1]End - Use Prices'!$A$6:$A$89,0)+MATCH($D161,'[1]End - Use Prices'!$B$9:$B$11,0)-1,MATCH(AZ$1,'[1]End - Use Prices'!$C$7:$AL$7,0))</f>
        <v>50.54</v>
      </c>
      <c r="BA161" s="41">
        <f>INDEX('[1]End - Use Prices'!$C$6:$AL$89,MATCH($C161,'[1]End - Use Prices'!$A$6:$A$89,0)+MATCH($D161,'[1]End - Use Prices'!$B$9:$B$11,0)-1,MATCH(BA$1,'[1]End - Use Prices'!$C$7:$AL$7,0))</f>
        <v>50.73</v>
      </c>
      <c r="BB161" s="41">
        <f>INDEX('[1]End - Use Prices'!$C$6:$AL$89,MATCH($C161,'[1]End - Use Prices'!$A$6:$A$89,0)+MATCH($D161,'[1]End - Use Prices'!$B$9:$B$11,0)-1,MATCH(BB$1,'[1]End - Use Prices'!$C$7:$AL$7,0))</f>
        <v>50.92</v>
      </c>
      <c r="BC161" s="41">
        <f>INDEX('[1]End - Use Prices'!$C$6:$AL$89,MATCH($C161,'[1]End - Use Prices'!$A$6:$A$89,0)+MATCH($D161,'[1]End - Use Prices'!$B$9:$B$11,0)-1,MATCH(BC$1,'[1]End - Use Prices'!$C$7:$AL$7,0))</f>
        <v>51.11</v>
      </c>
      <c r="BD161" s="41">
        <f>INDEX('[1]End - Use Prices'!$C$6:$AL$89,MATCH($C161,'[1]End - Use Prices'!$A$6:$A$89,0)+MATCH($D161,'[1]End - Use Prices'!$B$9:$B$11,0)-1,MATCH(BD$1,'[1]End - Use Prices'!$C$7:$AL$7,0))</f>
        <v>51.3</v>
      </c>
      <c r="BE161" s="41">
        <f>INDEX('[1]End - Use Prices'!$C$6:$AL$89,MATCH($C161,'[1]End - Use Prices'!$A$6:$A$89,0)+MATCH($D161,'[1]End - Use Prices'!$B$9:$B$11,0)-1,MATCH(BE$1,'[1]End - Use Prices'!$C$7:$AL$7,0))</f>
        <v>51.48</v>
      </c>
      <c r="BF161" s="41">
        <f>INDEX('[1]End - Use Prices'!$C$6:$AL$89,MATCH($C161,'[1]End - Use Prices'!$A$6:$A$89,0)+MATCH($D161,'[1]End - Use Prices'!$B$9:$B$11,0)-1,MATCH(BF$1,'[1]End - Use Prices'!$C$7:$AL$7,0))</f>
        <v>51.67</v>
      </c>
      <c r="BG161" s="41">
        <f>INDEX('[1]End - Use Prices'!$C$6:$AL$89,MATCH($C161,'[1]End - Use Prices'!$A$6:$A$89,0)+MATCH($D161,'[1]End - Use Prices'!$B$9:$B$11,0)-1,MATCH(BG$1,'[1]End - Use Prices'!$C$7:$AL$7,0))</f>
        <v>51.85</v>
      </c>
      <c r="BR161" s="39"/>
      <c r="BS161" s="39"/>
      <c r="BT161" s="39"/>
      <c r="BU161" s="39"/>
      <c r="BV161" s="39"/>
      <c r="BW161" s="39"/>
      <c r="BX161" s="39"/>
      <c r="BY161" s="39"/>
      <c r="BZ161" s="39"/>
      <c r="CA161" s="39"/>
    </row>
    <row r="162" spans="1:79" x14ac:dyDescent="0.25">
      <c r="A162" s="5"/>
      <c r="B162" s="3"/>
      <c r="C162" s="25" t="s">
        <v>97</v>
      </c>
      <c r="D162" s="25" t="s">
        <v>2</v>
      </c>
      <c r="E162" s="25" t="s">
        <v>313</v>
      </c>
      <c r="F162" s="74" t="s">
        <v>310</v>
      </c>
      <c r="G162" s="54">
        <f t="shared" si="146"/>
        <v>80.930000000000007</v>
      </c>
      <c r="H162" s="34">
        <f t="shared" si="147"/>
        <v>80.930000000000007</v>
      </c>
      <c r="I162" s="34">
        <f t="shared" si="147"/>
        <v>89.34</v>
      </c>
      <c r="J162" s="34">
        <f t="shared" si="147"/>
        <v>95.28</v>
      </c>
      <c r="K162" s="34">
        <f t="shared" si="147"/>
        <v>96.87</v>
      </c>
      <c r="L162" s="34">
        <f t="shared" si="147"/>
        <v>98.86</v>
      </c>
      <c r="M162" s="34">
        <f t="shared" si="147"/>
        <v>100.71</v>
      </c>
      <c r="N162" s="34">
        <f t="shared" si="147"/>
        <v>102.6</v>
      </c>
      <c r="O162" s="34">
        <f t="shared" si="147"/>
        <v>104.69</v>
      </c>
      <c r="P162" s="54">
        <f t="shared" ref="P162:Q162" si="160">O162</f>
        <v>104.69</v>
      </c>
      <c r="Q162" s="54">
        <f t="shared" si="160"/>
        <v>104.69</v>
      </c>
      <c r="R162" s="38"/>
      <c r="X162" s="41">
        <f>INDEX('[1]End - Use Prices'!$C$6:$AL$89,MATCH($C162,'[1]End - Use Prices'!$A$6:$A$89,0)+MATCH($D162,'[1]End - Use Prices'!$B$9:$B$11,0)-1,MATCH(X$1,'[1]End - Use Prices'!$C$7:$AL$7,0))</f>
        <v>80.930000000000007</v>
      </c>
      <c r="Y162" s="41">
        <f>INDEX('[1]End - Use Prices'!$C$6:$AL$89,MATCH($C162,'[1]End - Use Prices'!$A$6:$A$89,0)+MATCH($D162,'[1]End - Use Prices'!$B$9:$B$11,0)-1,MATCH(Y$1,'[1]End - Use Prices'!$C$7:$AL$7,0))</f>
        <v>83.41</v>
      </c>
      <c r="Z162" s="41">
        <f>INDEX('[1]End - Use Prices'!$C$6:$AL$89,MATCH($C162,'[1]End - Use Prices'!$A$6:$A$89,0)+MATCH($D162,'[1]End - Use Prices'!$B$9:$B$11,0)-1,MATCH(Z$1,'[1]End - Use Prices'!$C$7:$AL$7,0))</f>
        <v>82.56</v>
      </c>
      <c r="AA162" s="41">
        <f>INDEX('[1]End - Use Prices'!$C$6:$AL$89,MATCH($C162,'[1]End - Use Prices'!$A$6:$A$89,0)+MATCH($D162,'[1]End - Use Prices'!$B$9:$B$11,0)-1,MATCH(AA$1,'[1]End - Use Prices'!$C$7:$AL$7,0))</f>
        <v>81.98</v>
      </c>
      <c r="AB162" s="41">
        <f>INDEX('[1]End - Use Prices'!$C$6:$AL$89,MATCH($C162,'[1]End - Use Prices'!$A$6:$A$89,0)+MATCH($D162,'[1]End - Use Prices'!$B$9:$B$11,0)-1,MATCH(AB$1,'[1]End - Use Prices'!$C$7:$AL$7,0))</f>
        <v>85.14</v>
      </c>
      <c r="AC162" s="41">
        <f>INDEX('[1]End - Use Prices'!$C$6:$AL$89,MATCH($C162,'[1]End - Use Prices'!$A$6:$A$89,0)+MATCH($D162,'[1]End - Use Prices'!$B$9:$B$11,0)-1,MATCH(AC$1,'[1]End - Use Prices'!$C$7:$AL$7,0))</f>
        <v>89.34</v>
      </c>
      <c r="AD162" s="41">
        <f>INDEX('[1]End - Use Prices'!$C$6:$AL$89,MATCH($C162,'[1]End - Use Prices'!$A$6:$A$89,0)+MATCH($D162,'[1]End - Use Prices'!$B$9:$B$11,0)-1,MATCH(AD$1,'[1]End - Use Prices'!$C$7:$AL$7,0))</f>
        <v>85.75</v>
      </c>
      <c r="AE162" s="41">
        <f>INDEX('[1]End - Use Prices'!$C$6:$AL$89,MATCH($C162,'[1]End - Use Prices'!$A$6:$A$89,0)+MATCH($D162,'[1]End - Use Prices'!$B$9:$B$11,0)-1,MATCH(AE$1,'[1]End - Use Prices'!$C$7:$AL$7,0))</f>
        <v>94.73</v>
      </c>
      <c r="AF162" s="41">
        <f>INDEX('[1]End - Use Prices'!$C$6:$AL$89,MATCH($C162,'[1]End - Use Prices'!$A$6:$A$89,0)+MATCH($D162,'[1]End - Use Prices'!$B$9:$B$11,0)-1,MATCH(AF$1,'[1]End - Use Prices'!$C$7:$AL$7,0))</f>
        <v>94.52</v>
      </c>
      <c r="AG162" s="41">
        <f>INDEX('[1]End - Use Prices'!$C$6:$AL$89,MATCH($C162,'[1]End - Use Prices'!$A$6:$A$89,0)+MATCH($D162,'[1]End - Use Prices'!$B$9:$B$11,0)-1,MATCH(AG$1,'[1]End - Use Prices'!$C$7:$AL$7,0))</f>
        <v>94.52</v>
      </c>
      <c r="AH162" s="41">
        <f>INDEX('[1]End - Use Prices'!$C$6:$AL$89,MATCH($C162,'[1]End - Use Prices'!$A$6:$A$89,0)+MATCH($D162,'[1]End - Use Prices'!$B$9:$B$11,0)-1,MATCH(AH$1,'[1]End - Use Prices'!$C$7:$AL$7,0))</f>
        <v>95.28</v>
      </c>
      <c r="AI162" s="41">
        <f>INDEX('[1]End - Use Prices'!$C$6:$AL$89,MATCH($C162,'[1]End - Use Prices'!$A$6:$A$89,0)+MATCH($D162,'[1]End - Use Prices'!$B$9:$B$11,0)-1,MATCH(AI$1,'[1]End - Use Prices'!$C$7:$AL$7,0))</f>
        <v>94.69</v>
      </c>
      <c r="AJ162" s="41">
        <f>INDEX('[1]End - Use Prices'!$C$6:$AL$89,MATCH($C162,'[1]End - Use Prices'!$A$6:$A$89,0)+MATCH($D162,'[1]End - Use Prices'!$B$9:$B$11,0)-1,MATCH(AJ$1,'[1]End - Use Prices'!$C$7:$AL$7,0))</f>
        <v>95.56</v>
      </c>
      <c r="AK162" s="41">
        <f>INDEX('[1]End - Use Prices'!$C$6:$AL$89,MATCH($C162,'[1]End - Use Prices'!$A$6:$A$89,0)+MATCH($D162,'[1]End - Use Prices'!$B$9:$B$11,0)-1,MATCH(AK$1,'[1]End - Use Prices'!$C$7:$AL$7,0))</f>
        <v>96.01</v>
      </c>
      <c r="AL162" s="41">
        <f>INDEX('[1]End - Use Prices'!$C$6:$AL$89,MATCH($C162,'[1]End - Use Prices'!$A$6:$A$89,0)+MATCH($D162,'[1]End - Use Prices'!$B$9:$B$11,0)-1,MATCH(AL$1,'[1]End - Use Prices'!$C$7:$AL$7,0))</f>
        <v>96.45</v>
      </c>
      <c r="AM162" s="41">
        <f>INDEX('[1]End - Use Prices'!$C$6:$AL$89,MATCH($C162,'[1]End - Use Prices'!$A$6:$A$89,0)+MATCH($D162,'[1]End - Use Prices'!$B$9:$B$11,0)-1,MATCH(AM$1,'[1]End - Use Prices'!$C$7:$AL$7,0))</f>
        <v>96.87</v>
      </c>
      <c r="AN162" s="41">
        <f>INDEX('[1]End - Use Prices'!$C$6:$AL$89,MATCH($C162,'[1]End - Use Prices'!$A$6:$A$89,0)+MATCH($D162,'[1]End - Use Prices'!$B$9:$B$11,0)-1,MATCH(AN$1,'[1]End - Use Prices'!$C$7:$AL$7,0))</f>
        <v>97.29</v>
      </c>
      <c r="AO162" s="41">
        <f>INDEX('[1]End - Use Prices'!$C$6:$AL$89,MATCH($C162,'[1]End - Use Prices'!$A$6:$A$89,0)+MATCH($D162,'[1]End - Use Prices'!$B$9:$B$11,0)-1,MATCH(AO$1,'[1]End - Use Prices'!$C$7:$AL$7,0))</f>
        <v>97.69</v>
      </c>
      <c r="AP162" s="41">
        <f>INDEX('[1]End - Use Prices'!$C$6:$AL$89,MATCH($C162,'[1]End - Use Prices'!$A$6:$A$89,0)+MATCH($D162,'[1]End - Use Prices'!$B$9:$B$11,0)-1,MATCH(AP$1,'[1]End - Use Prices'!$C$7:$AL$7,0))</f>
        <v>98.09</v>
      </c>
      <c r="AQ162" s="41">
        <f>INDEX('[1]End - Use Prices'!$C$6:$AL$89,MATCH($C162,'[1]End - Use Prices'!$A$6:$A$89,0)+MATCH($D162,'[1]End - Use Prices'!$B$9:$B$11,0)-1,MATCH(AQ$1,'[1]End - Use Prices'!$C$7:$AL$7,0))</f>
        <v>98.48</v>
      </c>
      <c r="AR162" s="41">
        <f>INDEX('[1]End - Use Prices'!$C$6:$AL$89,MATCH($C162,'[1]End - Use Prices'!$A$6:$A$89,0)+MATCH($D162,'[1]End - Use Prices'!$B$9:$B$11,0)-1,MATCH(AR$1,'[1]End - Use Prices'!$C$7:$AL$7,0))</f>
        <v>98.86</v>
      </c>
      <c r="AS162" s="41">
        <f>INDEX('[1]End - Use Prices'!$C$6:$AL$89,MATCH($C162,'[1]End - Use Prices'!$A$6:$A$89,0)+MATCH($D162,'[1]End - Use Prices'!$B$9:$B$11,0)-1,MATCH(AS$1,'[1]End - Use Prices'!$C$7:$AL$7,0))</f>
        <v>99.23</v>
      </c>
      <c r="AT162" s="41">
        <f>INDEX('[1]End - Use Prices'!$C$6:$AL$89,MATCH($C162,'[1]End - Use Prices'!$A$6:$A$89,0)+MATCH($D162,'[1]End - Use Prices'!$B$9:$B$11,0)-1,MATCH(AT$1,'[1]End - Use Prices'!$C$7:$AL$7,0))</f>
        <v>99.6</v>
      </c>
      <c r="AU162" s="41">
        <f>INDEX('[1]End - Use Prices'!$C$6:$AL$89,MATCH($C162,'[1]End - Use Prices'!$A$6:$A$89,0)+MATCH($D162,'[1]End - Use Prices'!$B$9:$B$11,0)-1,MATCH(AU$1,'[1]End - Use Prices'!$C$7:$AL$7,0))</f>
        <v>99.97</v>
      </c>
      <c r="AV162" s="41">
        <f>INDEX('[1]End - Use Prices'!$C$6:$AL$89,MATCH($C162,'[1]End - Use Prices'!$A$6:$A$89,0)+MATCH($D162,'[1]End - Use Prices'!$B$9:$B$11,0)-1,MATCH(AV$1,'[1]End - Use Prices'!$C$7:$AL$7,0))</f>
        <v>100.34</v>
      </c>
      <c r="AW162" s="41">
        <f>INDEX('[1]End - Use Prices'!$C$6:$AL$89,MATCH($C162,'[1]End - Use Prices'!$A$6:$A$89,0)+MATCH($D162,'[1]End - Use Prices'!$B$9:$B$11,0)-1,MATCH(AW$1,'[1]End - Use Prices'!$C$7:$AL$7,0))</f>
        <v>100.71</v>
      </c>
      <c r="AX162" s="41">
        <f>INDEX('[1]End - Use Prices'!$C$6:$AL$89,MATCH($C162,'[1]End - Use Prices'!$A$6:$A$89,0)+MATCH($D162,'[1]End - Use Prices'!$B$9:$B$11,0)-1,MATCH(AX$1,'[1]End - Use Prices'!$C$7:$AL$7,0))</f>
        <v>101.08</v>
      </c>
      <c r="AY162" s="41">
        <f>INDEX('[1]End - Use Prices'!$C$6:$AL$89,MATCH($C162,'[1]End - Use Prices'!$A$6:$A$89,0)+MATCH($D162,'[1]End - Use Prices'!$B$9:$B$11,0)-1,MATCH(AY$1,'[1]End - Use Prices'!$C$7:$AL$7,0))</f>
        <v>101.45</v>
      </c>
      <c r="AZ162" s="41">
        <f>INDEX('[1]End - Use Prices'!$C$6:$AL$89,MATCH($C162,'[1]End - Use Prices'!$A$6:$A$89,0)+MATCH($D162,'[1]End - Use Prices'!$B$9:$B$11,0)-1,MATCH(AZ$1,'[1]End - Use Prices'!$C$7:$AL$7,0))</f>
        <v>101.83</v>
      </c>
      <c r="BA162" s="41">
        <f>INDEX('[1]End - Use Prices'!$C$6:$AL$89,MATCH($C162,'[1]End - Use Prices'!$A$6:$A$89,0)+MATCH($D162,'[1]End - Use Prices'!$B$9:$B$11,0)-1,MATCH(BA$1,'[1]End - Use Prices'!$C$7:$AL$7,0))</f>
        <v>102.21</v>
      </c>
      <c r="BB162" s="41">
        <f>INDEX('[1]End - Use Prices'!$C$6:$AL$89,MATCH($C162,'[1]End - Use Prices'!$A$6:$A$89,0)+MATCH($D162,'[1]End - Use Prices'!$B$9:$B$11,0)-1,MATCH(BB$1,'[1]End - Use Prices'!$C$7:$AL$7,0))</f>
        <v>102.6</v>
      </c>
      <c r="BC162" s="41">
        <f>INDEX('[1]End - Use Prices'!$C$6:$AL$89,MATCH($C162,'[1]End - Use Prices'!$A$6:$A$89,0)+MATCH($D162,'[1]End - Use Prices'!$B$9:$B$11,0)-1,MATCH(BC$1,'[1]End - Use Prices'!$C$7:$AL$7,0))</f>
        <v>103</v>
      </c>
      <c r="BD162" s="41">
        <f>INDEX('[1]End - Use Prices'!$C$6:$AL$89,MATCH($C162,'[1]End - Use Prices'!$A$6:$A$89,0)+MATCH($D162,'[1]End - Use Prices'!$B$9:$B$11,0)-1,MATCH(BD$1,'[1]End - Use Prices'!$C$7:$AL$7,0))</f>
        <v>103.4</v>
      </c>
      <c r="BE162" s="41">
        <f>INDEX('[1]End - Use Prices'!$C$6:$AL$89,MATCH($C162,'[1]End - Use Prices'!$A$6:$A$89,0)+MATCH($D162,'[1]End - Use Prices'!$B$9:$B$11,0)-1,MATCH(BE$1,'[1]End - Use Prices'!$C$7:$AL$7,0))</f>
        <v>103.82</v>
      </c>
      <c r="BF162" s="41">
        <f>INDEX('[1]End - Use Prices'!$C$6:$AL$89,MATCH($C162,'[1]End - Use Prices'!$A$6:$A$89,0)+MATCH($D162,'[1]End - Use Prices'!$B$9:$B$11,0)-1,MATCH(BF$1,'[1]End - Use Prices'!$C$7:$AL$7,0))</f>
        <v>104.25</v>
      </c>
      <c r="BG162" s="41">
        <f>INDEX('[1]End - Use Prices'!$C$6:$AL$89,MATCH($C162,'[1]End - Use Prices'!$A$6:$A$89,0)+MATCH($D162,'[1]End - Use Prices'!$B$9:$B$11,0)-1,MATCH(BG$1,'[1]End - Use Prices'!$C$7:$AL$7,0))</f>
        <v>104.69</v>
      </c>
      <c r="BR162" s="39"/>
      <c r="BS162" s="39"/>
      <c r="BT162" s="39"/>
      <c r="BU162" s="39"/>
      <c r="BV162" s="39"/>
      <c r="BW162" s="39"/>
      <c r="BX162" s="39"/>
      <c r="BY162" s="39"/>
      <c r="BZ162" s="39"/>
      <c r="CA162" s="39"/>
    </row>
    <row r="163" spans="1:79" x14ac:dyDescent="0.25">
      <c r="A163" s="5"/>
      <c r="B163" s="3"/>
      <c r="C163" s="25" t="s">
        <v>96</v>
      </c>
      <c r="D163" s="25" t="s">
        <v>2</v>
      </c>
      <c r="E163" s="25" t="s">
        <v>313</v>
      </c>
      <c r="F163" s="74" t="s">
        <v>310</v>
      </c>
      <c r="G163" s="54">
        <f t="shared" si="146"/>
        <v>83.79</v>
      </c>
      <c r="H163" s="34">
        <f t="shared" si="147"/>
        <v>83.79</v>
      </c>
      <c r="I163" s="34">
        <f t="shared" si="147"/>
        <v>92.5</v>
      </c>
      <c r="J163" s="34">
        <f t="shared" si="147"/>
        <v>98.65</v>
      </c>
      <c r="K163" s="34">
        <f t="shared" si="147"/>
        <v>99.14</v>
      </c>
      <c r="L163" s="34">
        <f t="shared" si="147"/>
        <v>99.31</v>
      </c>
      <c r="M163" s="34">
        <f t="shared" si="147"/>
        <v>99.23</v>
      </c>
      <c r="N163" s="34">
        <f t="shared" si="147"/>
        <v>99.15</v>
      </c>
      <c r="O163" s="34">
        <f t="shared" si="147"/>
        <v>99.32</v>
      </c>
      <c r="P163" s="54">
        <f t="shared" ref="P163:Q163" si="161">O163</f>
        <v>99.32</v>
      </c>
      <c r="Q163" s="54">
        <f t="shared" si="161"/>
        <v>99.32</v>
      </c>
      <c r="R163" s="38"/>
      <c r="X163" s="41">
        <f>INDEX('[1]End - Use Prices'!$C$6:$AL$89,MATCH($C163,'[1]End - Use Prices'!$A$6:$A$89,0)+MATCH($D163,'[1]End - Use Prices'!$B$9:$B$11,0)-1,MATCH(X$1,'[1]End - Use Prices'!$C$7:$AL$7,0))</f>
        <v>83.79</v>
      </c>
      <c r="Y163" s="41">
        <f>INDEX('[1]End - Use Prices'!$C$6:$AL$89,MATCH($C163,'[1]End - Use Prices'!$A$6:$A$89,0)+MATCH($D163,'[1]End - Use Prices'!$B$9:$B$11,0)-1,MATCH(Y$1,'[1]End - Use Prices'!$C$7:$AL$7,0))</f>
        <v>86.36</v>
      </c>
      <c r="Z163" s="41">
        <f>INDEX('[1]End - Use Prices'!$C$6:$AL$89,MATCH($C163,'[1]End - Use Prices'!$A$6:$A$89,0)+MATCH($D163,'[1]End - Use Prices'!$B$9:$B$11,0)-1,MATCH(Z$1,'[1]End - Use Prices'!$C$7:$AL$7,0))</f>
        <v>85.49</v>
      </c>
      <c r="AA163" s="41">
        <f>INDEX('[1]End - Use Prices'!$C$6:$AL$89,MATCH($C163,'[1]End - Use Prices'!$A$6:$A$89,0)+MATCH($D163,'[1]End - Use Prices'!$B$9:$B$11,0)-1,MATCH(AA$1,'[1]End - Use Prices'!$C$7:$AL$7,0))</f>
        <v>84.88</v>
      </c>
      <c r="AB163" s="41">
        <f>INDEX('[1]End - Use Prices'!$C$6:$AL$89,MATCH($C163,'[1]End - Use Prices'!$A$6:$A$89,0)+MATCH($D163,'[1]End - Use Prices'!$B$9:$B$11,0)-1,MATCH(AB$1,'[1]End - Use Prices'!$C$7:$AL$7,0))</f>
        <v>88.16</v>
      </c>
      <c r="AC163" s="41">
        <f>INDEX('[1]End - Use Prices'!$C$6:$AL$89,MATCH($C163,'[1]End - Use Prices'!$A$6:$A$89,0)+MATCH($D163,'[1]End - Use Prices'!$B$9:$B$11,0)-1,MATCH(AC$1,'[1]End - Use Prices'!$C$7:$AL$7,0))</f>
        <v>92.5</v>
      </c>
      <c r="AD163" s="41">
        <f>INDEX('[1]End - Use Prices'!$C$6:$AL$89,MATCH($C163,'[1]End - Use Prices'!$A$6:$A$89,0)+MATCH($D163,'[1]End - Use Prices'!$B$9:$B$11,0)-1,MATCH(AD$1,'[1]End - Use Prices'!$C$7:$AL$7,0))</f>
        <v>88.79</v>
      </c>
      <c r="AE163" s="41">
        <f>INDEX('[1]End - Use Prices'!$C$6:$AL$89,MATCH($C163,'[1]End - Use Prices'!$A$6:$A$89,0)+MATCH($D163,'[1]End - Use Prices'!$B$9:$B$11,0)-1,MATCH(AE$1,'[1]End - Use Prices'!$C$7:$AL$7,0))</f>
        <v>98.09</v>
      </c>
      <c r="AF163" s="41">
        <f>INDEX('[1]End - Use Prices'!$C$6:$AL$89,MATCH($C163,'[1]End - Use Prices'!$A$6:$A$89,0)+MATCH($D163,'[1]End - Use Prices'!$B$9:$B$11,0)-1,MATCH(AF$1,'[1]End - Use Prices'!$C$7:$AL$7,0))</f>
        <v>97.87</v>
      </c>
      <c r="AG163" s="41">
        <f>INDEX('[1]End - Use Prices'!$C$6:$AL$89,MATCH($C163,'[1]End - Use Prices'!$A$6:$A$89,0)+MATCH($D163,'[1]End - Use Prices'!$B$9:$B$11,0)-1,MATCH(AG$1,'[1]End - Use Prices'!$C$7:$AL$7,0))</f>
        <v>97.87</v>
      </c>
      <c r="AH163" s="41">
        <f>INDEX('[1]End - Use Prices'!$C$6:$AL$89,MATCH($C163,'[1]End - Use Prices'!$A$6:$A$89,0)+MATCH($D163,'[1]End - Use Prices'!$B$9:$B$11,0)-1,MATCH(AH$1,'[1]End - Use Prices'!$C$7:$AL$7,0))</f>
        <v>98.65</v>
      </c>
      <c r="AI163" s="41">
        <f>INDEX('[1]End - Use Prices'!$C$6:$AL$89,MATCH($C163,'[1]End - Use Prices'!$A$6:$A$89,0)+MATCH($D163,'[1]End - Use Prices'!$B$9:$B$11,0)-1,MATCH(AI$1,'[1]End - Use Prices'!$C$7:$AL$7,0))</f>
        <v>98.04</v>
      </c>
      <c r="AJ163" s="41">
        <f>INDEX('[1]End - Use Prices'!$C$6:$AL$89,MATCH($C163,'[1]End - Use Prices'!$A$6:$A$89,0)+MATCH($D163,'[1]End - Use Prices'!$B$9:$B$11,0)-1,MATCH(AJ$1,'[1]End - Use Prices'!$C$7:$AL$7,0))</f>
        <v>98.81</v>
      </c>
      <c r="AK163" s="41">
        <f>INDEX('[1]End - Use Prices'!$C$6:$AL$89,MATCH($C163,'[1]End - Use Prices'!$A$6:$A$89,0)+MATCH($D163,'[1]End - Use Prices'!$B$9:$B$11,0)-1,MATCH(AK$1,'[1]End - Use Prices'!$C$7:$AL$7,0))</f>
        <v>98.94</v>
      </c>
      <c r="AL163" s="41">
        <f>INDEX('[1]End - Use Prices'!$C$6:$AL$89,MATCH($C163,'[1]End - Use Prices'!$A$6:$A$89,0)+MATCH($D163,'[1]End - Use Prices'!$B$9:$B$11,0)-1,MATCH(AL$1,'[1]End - Use Prices'!$C$7:$AL$7,0))</f>
        <v>99.05</v>
      </c>
      <c r="AM163" s="41">
        <f>INDEX('[1]End - Use Prices'!$C$6:$AL$89,MATCH($C163,'[1]End - Use Prices'!$A$6:$A$89,0)+MATCH($D163,'[1]End - Use Prices'!$B$9:$B$11,0)-1,MATCH(AM$1,'[1]End - Use Prices'!$C$7:$AL$7,0))</f>
        <v>99.14</v>
      </c>
      <c r="AN163" s="41">
        <f>INDEX('[1]End - Use Prices'!$C$6:$AL$89,MATCH($C163,'[1]End - Use Prices'!$A$6:$A$89,0)+MATCH($D163,'[1]End - Use Prices'!$B$9:$B$11,0)-1,MATCH(AN$1,'[1]End - Use Prices'!$C$7:$AL$7,0))</f>
        <v>99.2</v>
      </c>
      <c r="AO163" s="41">
        <f>INDEX('[1]End - Use Prices'!$C$6:$AL$89,MATCH($C163,'[1]End - Use Prices'!$A$6:$A$89,0)+MATCH($D163,'[1]End - Use Prices'!$B$9:$B$11,0)-1,MATCH(AO$1,'[1]End - Use Prices'!$C$7:$AL$7,0))</f>
        <v>99.25</v>
      </c>
      <c r="AP163" s="41">
        <f>INDEX('[1]End - Use Prices'!$C$6:$AL$89,MATCH($C163,'[1]End - Use Prices'!$A$6:$A$89,0)+MATCH($D163,'[1]End - Use Prices'!$B$9:$B$11,0)-1,MATCH(AP$1,'[1]End - Use Prices'!$C$7:$AL$7,0))</f>
        <v>99.28</v>
      </c>
      <c r="AQ163" s="41">
        <f>INDEX('[1]End - Use Prices'!$C$6:$AL$89,MATCH($C163,'[1]End - Use Prices'!$A$6:$A$89,0)+MATCH($D163,'[1]End - Use Prices'!$B$9:$B$11,0)-1,MATCH(AQ$1,'[1]End - Use Prices'!$C$7:$AL$7,0))</f>
        <v>99.3</v>
      </c>
      <c r="AR163" s="41">
        <f>INDEX('[1]End - Use Prices'!$C$6:$AL$89,MATCH($C163,'[1]End - Use Prices'!$A$6:$A$89,0)+MATCH($D163,'[1]End - Use Prices'!$B$9:$B$11,0)-1,MATCH(AR$1,'[1]End - Use Prices'!$C$7:$AL$7,0))</f>
        <v>99.31</v>
      </c>
      <c r="AS163" s="41">
        <f>INDEX('[1]End - Use Prices'!$C$6:$AL$89,MATCH($C163,'[1]End - Use Prices'!$A$6:$A$89,0)+MATCH($D163,'[1]End - Use Prices'!$B$9:$B$11,0)-1,MATCH(AS$1,'[1]End - Use Prices'!$C$7:$AL$7,0))</f>
        <v>99.3</v>
      </c>
      <c r="AT163" s="41">
        <f>INDEX('[1]End - Use Prices'!$C$6:$AL$89,MATCH($C163,'[1]End - Use Prices'!$A$6:$A$89,0)+MATCH($D163,'[1]End - Use Prices'!$B$9:$B$11,0)-1,MATCH(AT$1,'[1]End - Use Prices'!$C$7:$AL$7,0))</f>
        <v>99.29</v>
      </c>
      <c r="AU163" s="41">
        <f>INDEX('[1]End - Use Prices'!$C$6:$AL$89,MATCH($C163,'[1]End - Use Prices'!$A$6:$A$89,0)+MATCH($D163,'[1]End - Use Prices'!$B$9:$B$11,0)-1,MATCH(AU$1,'[1]End - Use Prices'!$C$7:$AL$7,0))</f>
        <v>99.27</v>
      </c>
      <c r="AV163" s="41">
        <f>INDEX('[1]End - Use Prices'!$C$6:$AL$89,MATCH($C163,'[1]End - Use Prices'!$A$6:$A$89,0)+MATCH($D163,'[1]End - Use Prices'!$B$9:$B$11,0)-1,MATCH(AV$1,'[1]End - Use Prices'!$C$7:$AL$7,0))</f>
        <v>99.25</v>
      </c>
      <c r="AW163" s="41">
        <f>INDEX('[1]End - Use Prices'!$C$6:$AL$89,MATCH($C163,'[1]End - Use Prices'!$A$6:$A$89,0)+MATCH($D163,'[1]End - Use Prices'!$B$9:$B$11,0)-1,MATCH(AW$1,'[1]End - Use Prices'!$C$7:$AL$7,0))</f>
        <v>99.23</v>
      </c>
      <c r="AX163" s="41">
        <f>INDEX('[1]End - Use Prices'!$C$6:$AL$89,MATCH($C163,'[1]End - Use Prices'!$A$6:$A$89,0)+MATCH($D163,'[1]End - Use Prices'!$B$9:$B$11,0)-1,MATCH(AX$1,'[1]End - Use Prices'!$C$7:$AL$7,0))</f>
        <v>99.2</v>
      </c>
      <c r="AY163" s="41">
        <f>INDEX('[1]End - Use Prices'!$C$6:$AL$89,MATCH($C163,'[1]End - Use Prices'!$A$6:$A$89,0)+MATCH($D163,'[1]End - Use Prices'!$B$9:$B$11,0)-1,MATCH(AY$1,'[1]End - Use Prices'!$C$7:$AL$7,0))</f>
        <v>99.18</v>
      </c>
      <c r="AZ163" s="41">
        <f>INDEX('[1]End - Use Prices'!$C$6:$AL$89,MATCH($C163,'[1]End - Use Prices'!$A$6:$A$89,0)+MATCH($D163,'[1]End - Use Prices'!$B$9:$B$11,0)-1,MATCH(AZ$1,'[1]End - Use Prices'!$C$7:$AL$7,0))</f>
        <v>99.16</v>
      </c>
      <c r="BA163" s="41">
        <f>INDEX('[1]End - Use Prices'!$C$6:$AL$89,MATCH($C163,'[1]End - Use Prices'!$A$6:$A$89,0)+MATCH($D163,'[1]End - Use Prices'!$B$9:$B$11,0)-1,MATCH(BA$1,'[1]End - Use Prices'!$C$7:$AL$7,0))</f>
        <v>99.15</v>
      </c>
      <c r="BB163" s="41">
        <f>INDEX('[1]End - Use Prices'!$C$6:$AL$89,MATCH($C163,'[1]End - Use Prices'!$A$6:$A$89,0)+MATCH($D163,'[1]End - Use Prices'!$B$9:$B$11,0)-1,MATCH(BB$1,'[1]End - Use Prices'!$C$7:$AL$7,0))</f>
        <v>99.15</v>
      </c>
      <c r="BC163" s="41">
        <f>INDEX('[1]End - Use Prices'!$C$6:$AL$89,MATCH($C163,'[1]End - Use Prices'!$A$6:$A$89,0)+MATCH($D163,'[1]End - Use Prices'!$B$9:$B$11,0)-1,MATCH(BC$1,'[1]End - Use Prices'!$C$7:$AL$7,0))</f>
        <v>99.15</v>
      </c>
      <c r="BD163" s="41">
        <f>INDEX('[1]End - Use Prices'!$C$6:$AL$89,MATCH($C163,'[1]End - Use Prices'!$A$6:$A$89,0)+MATCH($D163,'[1]End - Use Prices'!$B$9:$B$11,0)-1,MATCH(BD$1,'[1]End - Use Prices'!$C$7:$AL$7,0))</f>
        <v>99.17</v>
      </c>
      <c r="BE163" s="41">
        <f>INDEX('[1]End - Use Prices'!$C$6:$AL$89,MATCH($C163,'[1]End - Use Prices'!$A$6:$A$89,0)+MATCH($D163,'[1]End - Use Prices'!$B$9:$B$11,0)-1,MATCH(BE$1,'[1]End - Use Prices'!$C$7:$AL$7,0))</f>
        <v>99.2</v>
      </c>
      <c r="BF163" s="41">
        <f>INDEX('[1]End - Use Prices'!$C$6:$AL$89,MATCH($C163,'[1]End - Use Prices'!$A$6:$A$89,0)+MATCH($D163,'[1]End - Use Prices'!$B$9:$B$11,0)-1,MATCH(BF$1,'[1]End - Use Prices'!$C$7:$AL$7,0))</f>
        <v>99.25</v>
      </c>
      <c r="BG163" s="41">
        <f>INDEX('[1]End - Use Prices'!$C$6:$AL$89,MATCH($C163,'[1]End - Use Prices'!$A$6:$A$89,0)+MATCH($D163,'[1]End - Use Prices'!$B$9:$B$11,0)-1,MATCH(BG$1,'[1]End - Use Prices'!$C$7:$AL$7,0))</f>
        <v>99.32</v>
      </c>
      <c r="BR163" s="39"/>
      <c r="BS163" s="39"/>
      <c r="BT163" s="39"/>
      <c r="BU163" s="39"/>
      <c r="BV163" s="39"/>
      <c r="BW163" s="39"/>
      <c r="BX163" s="39"/>
      <c r="BY163" s="39"/>
      <c r="BZ163" s="39"/>
      <c r="CA163" s="39"/>
    </row>
    <row r="164" spans="1:79" x14ac:dyDescent="0.25">
      <c r="A164" s="5"/>
      <c r="B164" s="3"/>
      <c r="C164" s="25" t="s">
        <v>48</v>
      </c>
      <c r="D164" s="25" t="s">
        <v>14</v>
      </c>
      <c r="E164" s="25" t="s">
        <v>313</v>
      </c>
      <c r="F164" s="74" t="s">
        <v>310</v>
      </c>
      <c r="G164" s="54">
        <f t="shared" si="146"/>
        <v>15.81</v>
      </c>
      <c r="H164" s="34">
        <f t="shared" si="147"/>
        <v>15.81</v>
      </c>
      <c r="I164" s="34">
        <f t="shared" si="147"/>
        <v>12.69</v>
      </c>
      <c r="J164" s="34">
        <f t="shared" si="147"/>
        <v>10.65</v>
      </c>
      <c r="K164" s="34">
        <f t="shared" si="147"/>
        <v>9.67</v>
      </c>
      <c r="L164" s="34">
        <f t="shared" si="147"/>
        <v>10.64</v>
      </c>
      <c r="M164" s="34">
        <f t="shared" si="147"/>
        <v>11.02</v>
      </c>
      <c r="N164" s="34">
        <f t="shared" si="147"/>
        <v>11.37</v>
      </c>
      <c r="O164" s="34">
        <f t="shared" si="147"/>
        <v>11.44</v>
      </c>
      <c r="P164" s="54">
        <f t="shared" ref="P164:Q164" si="162">O164</f>
        <v>11.44</v>
      </c>
      <c r="Q164" s="54">
        <f t="shared" si="162"/>
        <v>11.44</v>
      </c>
      <c r="R164" s="38"/>
      <c r="X164" s="41">
        <f>INDEX('[1]End - Use Prices'!$C$6:$AL$89,MATCH($C164,'[1]End - Use Prices'!$A$6:$A$89,0)+MATCH($D164,'[1]End - Use Prices'!$B$9:$B$11,0)-1,MATCH(X$1,'[1]End - Use Prices'!$C$7:$AL$7,0))</f>
        <v>15.81</v>
      </c>
      <c r="Y164" s="41">
        <f>INDEX('[1]End - Use Prices'!$C$6:$AL$89,MATCH($C164,'[1]End - Use Prices'!$A$6:$A$89,0)+MATCH($D164,'[1]End - Use Prices'!$B$9:$B$11,0)-1,MATCH(Y$1,'[1]End - Use Prices'!$C$7:$AL$7,0))</f>
        <v>16.04</v>
      </c>
      <c r="Z164" s="41">
        <f>INDEX('[1]End - Use Prices'!$C$6:$AL$89,MATCH($C164,'[1]End - Use Prices'!$A$6:$A$89,0)+MATCH($D164,'[1]End - Use Prices'!$B$9:$B$11,0)-1,MATCH(Z$1,'[1]End - Use Prices'!$C$7:$AL$7,0))</f>
        <v>14.76</v>
      </c>
      <c r="AA164" s="41">
        <f>INDEX('[1]End - Use Prices'!$C$6:$AL$89,MATCH($C164,'[1]End - Use Prices'!$A$6:$A$89,0)+MATCH($D164,'[1]End - Use Prices'!$B$9:$B$11,0)-1,MATCH(AA$1,'[1]End - Use Prices'!$C$7:$AL$7,0))</f>
        <v>14.82</v>
      </c>
      <c r="AB164" s="41">
        <f>INDEX('[1]End - Use Prices'!$C$6:$AL$89,MATCH($C164,'[1]End - Use Prices'!$A$6:$A$89,0)+MATCH($D164,'[1]End - Use Prices'!$B$9:$B$11,0)-1,MATCH(AB$1,'[1]End - Use Prices'!$C$7:$AL$7,0))</f>
        <v>12.89</v>
      </c>
      <c r="AC164" s="41">
        <f>INDEX('[1]End - Use Prices'!$C$6:$AL$89,MATCH($C164,'[1]End - Use Prices'!$A$6:$A$89,0)+MATCH($D164,'[1]End - Use Prices'!$B$9:$B$11,0)-1,MATCH(AC$1,'[1]End - Use Prices'!$C$7:$AL$7,0))</f>
        <v>12.69</v>
      </c>
      <c r="AD164" s="41">
        <f>INDEX('[1]End - Use Prices'!$C$6:$AL$89,MATCH($C164,'[1]End - Use Prices'!$A$6:$A$89,0)+MATCH($D164,'[1]End - Use Prices'!$B$9:$B$11,0)-1,MATCH(AD$1,'[1]End - Use Prices'!$C$7:$AL$7,0))</f>
        <v>11.75</v>
      </c>
      <c r="AE164" s="41">
        <f>INDEX('[1]End - Use Prices'!$C$6:$AL$89,MATCH($C164,'[1]End - Use Prices'!$A$6:$A$89,0)+MATCH($D164,'[1]End - Use Prices'!$B$9:$B$11,0)-1,MATCH(AE$1,'[1]End - Use Prices'!$C$7:$AL$7,0))</f>
        <v>10.82</v>
      </c>
      <c r="AF164" s="41">
        <f>INDEX('[1]End - Use Prices'!$C$6:$AL$89,MATCH($C164,'[1]End - Use Prices'!$A$6:$A$89,0)+MATCH($D164,'[1]End - Use Prices'!$B$9:$B$11,0)-1,MATCH(AF$1,'[1]End - Use Prices'!$C$7:$AL$7,0))</f>
        <v>10.77</v>
      </c>
      <c r="AG164" s="41">
        <f>INDEX('[1]End - Use Prices'!$C$6:$AL$89,MATCH($C164,'[1]End - Use Prices'!$A$6:$A$89,0)+MATCH($D164,'[1]End - Use Prices'!$B$9:$B$11,0)-1,MATCH(AG$1,'[1]End - Use Prices'!$C$7:$AL$7,0))</f>
        <v>11.71</v>
      </c>
      <c r="AH164" s="41">
        <f>INDEX('[1]End - Use Prices'!$C$6:$AL$89,MATCH($C164,'[1]End - Use Prices'!$A$6:$A$89,0)+MATCH($D164,'[1]End - Use Prices'!$B$9:$B$11,0)-1,MATCH(AH$1,'[1]End - Use Prices'!$C$7:$AL$7,0))</f>
        <v>10.65</v>
      </c>
      <c r="AI164" s="41">
        <f>INDEX('[1]End - Use Prices'!$C$6:$AL$89,MATCH($C164,'[1]End - Use Prices'!$A$6:$A$89,0)+MATCH($D164,'[1]End - Use Prices'!$B$9:$B$11,0)-1,MATCH(AI$1,'[1]End - Use Prices'!$C$7:$AL$7,0))</f>
        <v>8.93</v>
      </c>
      <c r="AJ164" s="41">
        <f>INDEX('[1]End - Use Prices'!$C$6:$AL$89,MATCH($C164,'[1]End - Use Prices'!$A$6:$A$89,0)+MATCH($D164,'[1]End - Use Prices'!$B$9:$B$11,0)-1,MATCH(AJ$1,'[1]End - Use Prices'!$C$7:$AL$7,0))</f>
        <v>10.82</v>
      </c>
      <c r="AK164" s="41">
        <f>INDEX('[1]End - Use Prices'!$C$6:$AL$89,MATCH($C164,'[1]End - Use Prices'!$A$6:$A$89,0)+MATCH($D164,'[1]End - Use Prices'!$B$9:$B$11,0)-1,MATCH(AK$1,'[1]End - Use Prices'!$C$7:$AL$7,0))</f>
        <v>9.86</v>
      </c>
      <c r="AL164" s="41">
        <f>INDEX('[1]End - Use Prices'!$C$6:$AL$89,MATCH($C164,'[1]End - Use Prices'!$A$6:$A$89,0)+MATCH($D164,'[1]End - Use Prices'!$B$9:$B$11,0)-1,MATCH(AL$1,'[1]End - Use Prices'!$C$7:$AL$7,0))</f>
        <v>9.5299999999999994</v>
      </c>
      <c r="AM164" s="41">
        <f>INDEX('[1]End - Use Prices'!$C$6:$AL$89,MATCH($C164,'[1]End - Use Prices'!$A$6:$A$89,0)+MATCH($D164,'[1]End - Use Prices'!$B$9:$B$11,0)-1,MATCH(AM$1,'[1]End - Use Prices'!$C$7:$AL$7,0))</f>
        <v>9.67</v>
      </c>
      <c r="AN164" s="41">
        <f>INDEX('[1]End - Use Prices'!$C$6:$AL$89,MATCH($C164,'[1]End - Use Prices'!$A$6:$A$89,0)+MATCH($D164,'[1]End - Use Prices'!$B$9:$B$11,0)-1,MATCH(AN$1,'[1]End - Use Prices'!$C$7:$AL$7,0))</f>
        <v>9.8699999999999992</v>
      </c>
      <c r="AO164" s="41">
        <f>INDEX('[1]End - Use Prices'!$C$6:$AL$89,MATCH($C164,'[1]End - Use Prices'!$A$6:$A$89,0)+MATCH($D164,'[1]End - Use Prices'!$B$9:$B$11,0)-1,MATCH(AO$1,'[1]End - Use Prices'!$C$7:$AL$7,0))</f>
        <v>10.19</v>
      </c>
      <c r="AP164" s="41">
        <f>INDEX('[1]End - Use Prices'!$C$6:$AL$89,MATCH($C164,'[1]End - Use Prices'!$A$6:$A$89,0)+MATCH($D164,'[1]End - Use Prices'!$B$9:$B$11,0)-1,MATCH(AP$1,'[1]End - Use Prices'!$C$7:$AL$7,0))</f>
        <v>10.44</v>
      </c>
      <c r="AQ164" s="41">
        <f>INDEX('[1]End - Use Prices'!$C$6:$AL$89,MATCH($C164,'[1]End - Use Prices'!$A$6:$A$89,0)+MATCH($D164,'[1]End - Use Prices'!$B$9:$B$11,0)-1,MATCH(AQ$1,'[1]End - Use Prices'!$C$7:$AL$7,0))</f>
        <v>10.53</v>
      </c>
      <c r="AR164" s="41">
        <f>INDEX('[1]End - Use Prices'!$C$6:$AL$89,MATCH($C164,'[1]End - Use Prices'!$A$6:$A$89,0)+MATCH($D164,'[1]End - Use Prices'!$B$9:$B$11,0)-1,MATCH(AR$1,'[1]End - Use Prices'!$C$7:$AL$7,0))</f>
        <v>10.64</v>
      </c>
      <c r="AS164" s="41">
        <f>INDEX('[1]End - Use Prices'!$C$6:$AL$89,MATCH($C164,'[1]End - Use Prices'!$A$6:$A$89,0)+MATCH($D164,'[1]End - Use Prices'!$B$9:$B$11,0)-1,MATCH(AS$1,'[1]End - Use Prices'!$C$7:$AL$7,0))</f>
        <v>10.82</v>
      </c>
      <c r="AT164" s="41">
        <f>INDEX('[1]End - Use Prices'!$C$6:$AL$89,MATCH($C164,'[1]End - Use Prices'!$A$6:$A$89,0)+MATCH($D164,'[1]End - Use Prices'!$B$9:$B$11,0)-1,MATCH(AT$1,'[1]End - Use Prices'!$C$7:$AL$7,0))</f>
        <v>10.85</v>
      </c>
      <c r="AU164" s="41">
        <f>INDEX('[1]End - Use Prices'!$C$6:$AL$89,MATCH($C164,'[1]End - Use Prices'!$A$6:$A$89,0)+MATCH($D164,'[1]End - Use Prices'!$B$9:$B$11,0)-1,MATCH(AU$1,'[1]End - Use Prices'!$C$7:$AL$7,0))</f>
        <v>10.9</v>
      </c>
      <c r="AV164" s="41">
        <f>INDEX('[1]End - Use Prices'!$C$6:$AL$89,MATCH($C164,'[1]End - Use Prices'!$A$6:$A$89,0)+MATCH($D164,'[1]End - Use Prices'!$B$9:$B$11,0)-1,MATCH(AV$1,'[1]End - Use Prices'!$C$7:$AL$7,0))</f>
        <v>10.96</v>
      </c>
      <c r="AW164" s="41">
        <f>INDEX('[1]End - Use Prices'!$C$6:$AL$89,MATCH($C164,'[1]End - Use Prices'!$A$6:$A$89,0)+MATCH($D164,'[1]End - Use Prices'!$B$9:$B$11,0)-1,MATCH(AW$1,'[1]End - Use Prices'!$C$7:$AL$7,0))</f>
        <v>11.02</v>
      </c>
      <c r="AX164" s="41">
        <f>INDEX('[1]End - Use Prices'!$C$6:$AL$89,MATCH($C164,'[1]End - Use Prices'!$A$6:$A$89,0)+MATCH($D164,'[1]End - Use Prices'!$B$9:$B$11,0)-1,MATCH(AX$1,'[1]End - Use Prices'!$C$7:$AL$7,0))</f>
        <v>11.09</v>
      </c>
      <c r="AY164" s="41">
        <f>INDEX('[1]End - Use Prices'!$C$6:$AL$89,MATCH($C164,'[1]End - Use Prices'!$A$6:$A$89,0)+MATCH($D164,'[1]End - Use Prices'!$B$9:$B$11,0)-1,MATCH(AY$1,'[1]End - Use Prices'!$C$7:$AL$7,0))</f>
        <v>11.18</v>
      </c>
      <c r="AZ164" s="41">
        <f>INDEX('[1]End - Use Prices'!$C$6:$AL$89,MATCH($C164,'[1]End - Use Prices'!$A$6:$A$89,0)+MATCH($D164,'[1]End - Use Prices'!$B$9:$B$11,0)-1,MATCH(AZ$1,'[1]End - Use Prices'!$C$7:$AL$7,0))</f>
        <v>11.28</v>
      </c>
      <c r="BA164" s="41">
        <f>INDEX('[1]End - Use Prices'!$C$6:$AL$89,MATCH($C164,'[1]End - Use Prices'!$A$6:$A$89,0)+MATCH($D164,'[1]End - Use Prices'!$B$9:$B$11,0)-1,MATCH(BA$1,'[1]End - Use Prices'!$C$7:$AL$7,0))</f>
        <v>11.33</v>
      </c>
      <c r="BB164" s="41">
        <f>INDEX('[1]End - Use Prices'!$C$6:$AL$89,MATCH($C164,'[1]End - Use Prices'!$A$6:$A$89,0)+MATCH($D164,'[1]End - Use Prices'!$B$9:$B$11,0)-1,MATCH(BB$1,'[1]End - Use Prices'!$C$7:$AL$7,0))</f>
        <v>11.37</v>
      </c>
      <c r="BC164" s="41">
        <f>INDEX('[1]End - Use Prices'!$C$6:$AL$89,MATCH($C164,'[1]End - Use Prices'!$A$6:$A$89,0)+MATCH($D164,'[1]End - Use Prices'!$B$9:$B$11,0)-1,MATCH(BC$1,'[1]End - Use Prices'!$C$7:$AL$7,0))</f>
        <v>11.41</v>
      </c>
      <c r="BD164" s="41">
        <f>INDEX('[1]End - Use Prices'!$C$6:$AL$89,MATCH($C164,'[1]End - Use Prices'!$A$6:$A$89,0)+MATCH($D164,'[1]End - Use Prices'!$B$9:$B$11,0)-1,MATCH(BD$1,'[1]End - Use Prices'!$C$7:$AL$7,0))</f>
        <v>11.43</v>
      </c>
      <c r="BE164" s="41">
        <f>INDEX('[1]End - Use Prices'!$C$6:$AL$89,MATCH($C164,'[1]End - Use Prices'!$A$6:$A$89,0)+MATCH($D164,'[1]End - Use Prices'!$B$9:$B$11,0)-1,MATCH(BE$1,'[1]End - Use Prices'!$C$7:$AL$7,0))</f>
        <v>11.43</v>
      </c>
      <c r="BF164" s="41">
        <f>INDEX('[1]End - Use Prices'!$C$6:$AL$89,MATCH($C164,'[1]End - Use Prices'!$A$6:$A$89,0)+MATCH($D164,'[1]End - Use Prices'!$B$9:$B$11,0)-1,MATCH(BF$1,'[1]End - Use Prices'!$C$7:$AL$7,0))</f>
        <v>11.44</v>
      </c>
      <c r="BG164" s="41">
        <f>INDEX('[1]End - Use Prices'!$C$6:$AL$89,MATCH($C164,'[1]End - Use Prices'!$A$6:$A$89,0)+MATCH($D164,'[1]End - Use Prices'!$B$9:$B$11,0)-1,MATCH(BG$1,'[1]End - Use Prices'!$C$7:$AL$7,0))</f>
        <v>11.44</v>
      </c>
      <c r="BR164" s="39"/>
      <c r="BS164" s="39"/>
      <c r="BT164" s="39"/>
      <c r="BU164" s="39"/>
      <c r="BV164" s="39"/>
      <c r="BW164" s="39"/>
      <c r="BX164" s="39"/>
      <c r="BY164" s="39"/>
      <c r="BZ164" s="39"/>
      <c r="CA164" s="39"/>
    </row>
    <row r="165" spans="1:79" x14ac:dyDescent="0.25">
      <c r="A165" s="5"/>
      <c r="B165" s="3"/>
      <c r="C165" s="25" t="s">
        <v>87</v>
      </c>
      <c r="D165" s="25" t="s">
        <v>14</v>
      </c>
      <c r="E165" s="25" t="s">
        <v>313</v>
      </c>
      <c r="F165" s="74" t="s">
        <v>310</v>
      </c>
      <c r="G165" s="54">
        <f t="shared" si="146"/>
        <v>18.899999999999999</v>
      </c>
      <c r="H165" s="34">
        <f t="shared" si="147"/>
        <v>18.899999999999999</v>
      </c>
      <c r="I165" s="34">
        <f t="shared" si="147"/>
        <v>20.09</v>
      </c>
      <c r="J165" s="34">
        <f t="shared" si="147"/>
        <v>13.86</v>
      </c>
      <c r="K165" s="34">
        <f t="shared" si="147"/>
        <v>10.91</v>
      </c>
      <c r="L165" s="34">
        <f t="shared" si="147"/>
        <v>11.38</v>
      </c>
      <c r="M165" s="34">
        <f t="shared" si="147"/>
        <v>11.9</v>
      </c>
      <c r="N165" s="34">
        <f t="shared" si="147"/>
        <v>12.45</v>
      </c>
      <c r="O165" s="34">
        <f t="shared" si="147"/>
        <v>12.67</v>
      </c>
      <c r="P165" s="54">
        <f t="shared" ref="P165:Q165" si="163">O165</f>
        <v>12.67</v>
      </c>
      <c r="Q165" s="54">
        <f t="shared" si="163"/>
        <v>12.67</v>
      </c>
      <c r="R165" s="38"/>
      <c r="X165" s="41">
        <f>INDEX('[1]End - Use Prices'!$C$6:$AL$89,MATCH($C165,'[1]End - Use Prices'!$A$6:$A$89,0)+MATCH($D165,'[1]End - Use Prices'!$B$9:$B$11,0)-1,MATCH(X$1,'[1]End - Use Prices'!$C$7:$AL$7,0))</f>
        <v>18.899999999999999</v>
      </c>
      <c r="Y165" s="41">
        <f>INDEX('[1]End - Use Prices'!$C$6:$AL$89,MATCH($C165,'[1]End - Use Prices'!$A$6:$A$89,0)+MATCH($D165,'[1]End - Use Prices'!$B$9:$B$11,0)-1,MATCH(Y$1,'[1]End - Use Prices'!$C$7:$AL$7,0))</f>
        <v>18.940000000000001</v>
      </c>
      <c r="Z165" s="41">
        <f>INDEX('[1]End - Use Prices'!$C$6:$AL$89,MATCH($C165,'[1]End - Use Prices'!$A$6:$A$89,0)+MATCH($D165,'[1]End - Use Prices'!$B$9:$B$11,0)-1,MATCH(Z$1,'[1]End - Use Prices'!$C$7:$AL$7,0))</f>
        <v>11.86</v>
      </c>
      <c r="AA165" s="41">
        <f>INDEX('[1]End - Use Prices'!$C$6:$AL$89,MATCH($C165,'[1]End - Use Prices'!$A$6:$A$89,0)+MATCH($D165,'[1]End - Use Prices'!$B$9:$B$11,0)-1,MATCH(AA$1,'[1]End - Use Prices'!$C$7:$AL$7,0))</f>
        <v>14.01</v>
      </c>
      <c r="AB165" s="41">
        <f>INDEX('[1]End - Use Prices'!$C$6:$AL$89,MATCH($C165,'[1]End - Use Prices'!$A$6:$A$89,0)+MATCH($D165,'[1]End - Use Prices'!$B$9:$B$11,0)-1,MATCH(AB$1,'[1]End - Use Prices'!$C$7:$AL$7,0))</f>
        <v>14.6</v>
      </c>
      <c r="AC165" s="41">
        <f>INDEX('[1]End - Use Prices'!$C$6:$AL$89,MATCH($C165,'[1]End - Use Prices'!$A$6:$A$89,0)+MATCH($D165,'[1]End - Use Prices'!$B$9:$B$11,0)-1,MATCH(AC$1,'[1]End - Use Prices'!$C$7:$AL$7,0))</f>
        <v>20.09</v>
      </c>
      <c r="AD165" s="41">
        <f>INDEX('[1]End - Use Prices'!$C$6:$AL$89,MATCH($C165,'[1]End - Use Prices'!$A$6:$A$89,0)+MATCH($D165,'[1]End - Use Prices'!$B$9:$B$11,0)-1,MATCH(AD$1,'[1]End - Use Prices'!$C$7:$AL$7,0))</f>
        <v>17.2</v>
      </c>
      <c r="AE165" s="41">
        <f>INDEX('[1]End - Use Prices'!$C$6:$AL$89,MATCH($C165,'[1]End - Use Prices'!$A$6:$A$89,0)+MATCH($D165,'[1]End - Use Prices'!$B$9:$B$11,0)-1,MATCH(AE$1,'[1]End - Use Prices'!$C$7:$AL$7,0))</f>
        <v>17.59</v>
      </c>
      <c r="AF165" s="41">
        <f>INDEX('[1]End - Use Prices'!$C$6:$AL$89,MATCH($C165,'[1]End - Use Prices'!$A$6:$A$89,0)+MATCH($D165,'[1]End - Use Prices'!$B$9:$B$11,0)-1,MATCH(AF$1,'[1]End - Use Prices'!$C$7:$AL$7,0))</f>
        <v>18.75</v>
      </c>
      <c r="AG165" s="41">
        <f>INDEX('[1]End - Use Prices'!$C$6:$AL$89,MATCH($C165,'[1]End - Use Prices'!$A$6:$A$89,0)+MATCH($D165,'[1]End - Use Prices'!$B$9:$B$11,0)-1,MATCH(AG$1,'[1]End - Use Prices'!$C$7:$AL$7,0))</f>
        <v>18.48</v>
      </c>
      <c r="AH165" s="41">
        <f>INDEX('[1]End - Use Prices'!$C$6:$AL$89,MATCH($C165,'[1]End - Use Prices'!$A$6:$A$89,0)+MATCH($D165,'[1]End - Use Prices'!$B$9:$B$11,0)-1,MATCH(AH$1,'[1]End - Use Prices'!$C$7:$AL$7,0))</f>
        <v>13.86</v>
      </c>
      <c r="AI165" s="41">
        <f>INDEX('[1]End - Use Prices'!$C$6:$AL$89,MATCH($C165,'[1]End - Use Prices'!$A$6:$A$89,0)+MATCH($D165,'[1]End - Use Prices'!$B$9:$B$11,0)-1,MATCH(AI$1,'[1]End - Use Prices'!$C$7:$AL$7,0))</f>
        <v>9.4700000000000006</v>
      </c>
      <c r="AJ165" s="41">
        <f>INDEX('[1]End - Use Prices'!$C$6:$AL$89,MATCH($C165,'[1]End - Use Prices'!$A$6:$A$89,0)+MATCH($D165,'[1]End - Use Prices'!$B$9:$B$11,0)-1,MATCH(AJ$1,'[1]End - Use Prices'!$C$7:$AL$7,0))</f>
        <v>10.75</v>
      </c>
      <c r="AK165" s="41">
        <f>INDEX('[1]End - Use Prices'!$C$6:$AL$89,MATCH($C165,'[1]End - Use Prices'!$A$6:$A$89,0)+MATCH($D165,'[1]End - Use Prices'!$B$9:$B$11,0)-1,MATCH(AK$1,'[1]End - Use Prices'!$C$7:$AL$7,0))</f>
        <v>10.63</v>
      </c>
      <c r="AL165" s="41">
        <f>INDEX('[1]End - Use Prices'!$C$6:$AL$89,MATCH($C165,'[1]End - Use Prices'!$A$6:$A$89,0)+MATCH($D165,'[1]End - Use Prices'!$B$9:$B$11,0)-1,MATCH(AL$1,'[1]End - Use Prices'!$C$7:$AL$7,0))</f>
        <v>10.61</v>
      </c>
      <c r="AM165" s="41">
        <f>INDEX('[1]End - Use Prices'!$C$6:$AL$89,MATCH($C165,'[1]End - Use Prices'!$A$6:$A$89,0)+MATCH($D165,'[1]End - Use Prices'!$B$9:$B$11,0)-1,MATCH(AM$1,'[1]End - Use Prices'!$C$7:$AL$7,0))</f>
        <v>10.91</v>
      </c>
      <c r="AN165" s="41">
        <f>INDEX('[1]End - Use Prices'!$C$6:$AL$89,MATCH($C165,'[1]End - Use Prices'!$A$6:$A$89,0)+MATCH($D165,'[1]End - Use Prices'!$B$9:$B$11,0)-1,MATCH(AN$1,'[1]End - Use Prices'!$C$7:$AL$7,0))</f>
        <v>11.07</v>
      </c>
      <c r="AO165" s="41">
        <f>INDEX('[1]End - Use Prices'!$C$6:$AL$89,MATCH($C165,'[1]End - Use Prices'!$A$6:$A$89,0)+MATCH($D165,'[1]End - Use Prices'!$B$9:$B$11,0)-1,MATCH(AO$1,'[1]End - Use Prices'!$C$7:$AL$7,0))</f>
        <v>11.22</v>
      </c>
      <c r="AP165" s="41">
        <f>INDEX('[1]End - Use Prices'!$C$6:$AL$89,MATCH($C165,'[1]End - Use Prices'!$A$6:$A$89,0)+MATCH($D165,'[1]End - Use Prices'!$B$9:$B$11,0)-1,MATCH(AP$1,'[1]End - Use Prices'!$C$7:$AL$7,0))</f>
        <v>11.35</v>
      </c>
      <c r="AQ165" s="41">
        <f>INDEX('[1]End - Use Prices'!$C$6:$AL$89,MATCH($C165,'[1]End - Use Prices'!$A$6:$A$89,0)+MATCH($D165,'[1]End - Use Prices'!$B$9:$B$11,0)-1,MATCH(AQ$1,'[1]End - Use Prices'!$C$7:$AL$7,0))</f>
        <v>11.35</v>
      </c>
      <c r="AR165" s="41">
        <f>INDEX('[1]End - Use Prices'!$C$6:$AL$89,MATCH($C165,'[1]End - Use Prices'!$A$6:$A$89,0)+MATCH($D165,'[1]End - Use Prices'!$B$9:$B$11,0)-1,MATCH(AR$1,'[1]End - Use Prices'!$C$7:$AL$7,0))</f>
        <v>11.38</v>
      </c>
      <c r="AS165" s="41">
        <f>INDEX('[1]End - Use Prices'!$C$6:$AL$89,MATCH($C165,'[1]End - Use Prices'!$A$6:$A$89,0)+MATCH($D165,'[1]End - Use Prices'!$B$9:$B$11,0)-1,MATCH(AS$1,'[1]End - Use Prices'!$C$7:$AL$7,0))</f>
        <v>11.48</v>
      </c>
      <c r="AT165" s="41">
        <f>INDEX('[1]End - Use Prices'!$C$6:$AL$89,MATCH($C165,'[1]End - Use Prices'!$A$6:$A$89,0)+MATCH($D165,'[1]End - Use Prices'!$B$9:$B$11,0)-1,MATCH(AT$1,'[1]End - Use Prices'!$C$7:$AL$7,0))</f>
        <v>11.57</v>
      </c>
      <c r="AU165" s="41">
        <f>INDEX('[1]End - Use Prices'!$C$6:$AL$89,MATCH($C165,'[1]End - Use Prices'!$A$6:$A$89,0)+MATCH($D165,'[1]End - Use Prices'!$B$9:$B$11,0)-1,MATCH(AU$1,'[1]End - Use Prices'!$C$7:$AL$7,0))</f>
        <v>11.67</v>
      </c>
      <c r="AV165" s="41">
        <f>INDEX('[1]End - Use Prices'!$C$6:$AL$89,MATCH($C165,'[1]End - Use Prices'!$A$6:$A$89,0)+MATCH($D165,'[1]End - Use Prices'!$B$9:$B$11,0)-1,MATCH(AV$1,'[1]End - Use Prices'!$C$7:$AL$7,0))</f>
        <v>11.79</v>
      </c>
      <c r="AW165" s="41">
        <f>INDEX('[1]End - Use Prices'!$C$6:$AL$89,MATCH($C165,'[1]End - Use Prices'!$A$6:$A$89,0)+MATCH($D165,'[1]End - Use Prices'!$B$9:$B$11,0)-1,MATCH(AW$1,'[1]End - Use Prices'!$C$7:$AL$7,0))</f>
        <v>11.9</v>
      </c>
      <c r="AX165" s="41">
        <f>INDEX('[1]End - Use Prices'!$C$6:$AL$89,MATCH($C165,'[1]End - Use Prices'!$A$6:$A$89,0)+MATCH($D165,'[1]End - Use Prices'!$B$9:$B$11,0)-1,MATCH(AX$1,'[1]End - Use Prices'!$C$7:$AL$7,0))</f>
        <v>12.02</v>
      </c>
      <c r="AY165" s="41">
        <f>INDEX('[1]End - Use Prices'!$C$6:$AL$89,MATCH($C165,'[1]End - Use Prices'!$A$6:$A$89,0)+MATCH($D165,'[1]End - Use Prices'!$B$9:$B$11,0)-1,MATCH(AY$1,'[1]End - Use Prices'!$C$7:$AL$7,0))</f>
        <v>12.15</v>
      </c>
      <c r="AZ165" s="41">
        <f>INDEX('[1]End - Use Prices'!$C$6:$AL$89,MATCH($C165,'[1]End - Use Prices'!$A$6:$A$89,0)+MATCH($D165,'[1]End - Use Prices'!$B$9:$B$11,0)-1,MATCH(AZ$1,'[1]End - Use Prices'!$C$7:$AL$7,0))</f>
        <v>12.3</v>
      </c>
      <c r="BA165" s="41">
        <f>INDEX('[1]End - Use Prices'!$C$6:$AL$89,MATCH($C165,'[1]End - Use Prices'!$A$6:$A$89,0)+MATCH($D165,'[1]End - Use Prices'!$B$9:$B$11,0)-1,MATCH(BA$1,'[1]End - Use Prices'!$C$7:$AL$7,0))</f>
        <v>12.38</v>
      </c>
      <c r="BB165" s="41">
        <f>INDEX('[1]End - Use Prices'!$C$6:$AL$89,MATCH($C165,'[1]End - Use Prices'!$A$6:$A$89,0)+MATCH($D165,'[1]End - Use Prices'!$B$9:$B$11,0)-1,MATCH(BB$1,'[1]End - Use Prices'!$C$7:$AL$7,0))</f>
        <v>12.45</v>
      </c>
      <c r="BC165" s="41">
        <f>INDEX('[1]End - Use Prices'!$C$6:$AL$89,MATCH($C165,'[1]End - Use Prices'!$A$6:$A$89,0)+MATCH($D165,'[1]End - Use Prices'!$B$9:$B$11,0)-1,MATCH(BC$1,'[1]End - Use Prices'!$C$7:$AL$7,0))</f>
        <v>12.52</v>
      </c>
      <c r="BD165" s="41">
        <f>INDEX('[1]End - Use Prices'!$C$6:$AL$89,MATCH($C165,'[1]End - Use Prices'!$A$6:$A$89,0)+MATCH($D165,'[1]End - Use Prices'!$B$9:$B$11,0)-1,MATCH(BD$1,'[1]End - Use Prices'!$C$7:$AL$7,0))</f>
        <v>12.57</v>
      </c>
      <c r="BE165" s="41">
        <f>INDEX('[1]End - Use Prices'!$C$6:$AL$89,MATCH($C165,'[1]End - Use Prices'!$A$6:$A$89,0)+MATCH($D165,'[1]End - Use Prices'!$B$9:$B$11,0)-1,MATCH(BE$1,'[1]End - Use Prices'!$C$7:$AL$7,0))</f>
        <v>12.6</v>
      </c>
      <c r="BF165" s="41">
        <f>INDEX('[1]End - Use Prices'!$C$6:$AL$89,MATCH($C165,'[1]End - Use Prices'!$A$6:$A$89,0)+MATCH($D165,'[1]End - Use Prices'!$B$9:$B$11,0)-1,MATCH(BF$1,'[1]End - Use Prices'!$C$7:$AL$7,0))</f>
        <v>12.64</v>
      </c>
      <c r="BG165" s="41">
        <f>INDEX('[1]End - Use Prices'!$C$6:$AL$89,MATCH($C165,'[1]End - Use Prices'!$A$6:$A$89,0)+MATCH($D165,'[1]End - Use Prices'!$B$9:$B$11,0)-1,MATCH(BG$1,'[1]End - Use Prices'!$C$7:$AL$7,0))</f>
        <v>12.67</v>
      </c>
      <c r="BR165" s="39"/>
      <c r="BS165" s="39"/>
      <c r="BT165" s="39"/>
      <c r="BU165" s="39"/>
      <c r="BV165" s="39"/>
      <c r="BW165" s="39"/>
      <c r="BX165" s="39"/>
      <c r="BY165" s="39"/>
      <c r="BZ165" s="39"/>
      <c r="CA165" s="39"/>
    </row>
    <row r="166" spans="1:79" x14ac:dyDescent="0.25">
      <c r="A166" s="5"/>
      <c r="B166" s="3"/>
      <c r="C166" s="25" t="s">
        <v>88</v>
      </c>
      <c r="D166" s="25" t="s">
        <v>14</v>
      </c>
      <c r="E166" s="25" t="s">
        <v>313</v>
      </c>
      <c r="F166" s="74" t="s">
        <v>310</v>
      </c>
      <c r="G166" s="54">
        <f t="shared" si="146"/>
        <v>18.899999999999999</v>
      </c>
      <c r="H166" s="34">
        <f t="shared" ref="H166:O181" si="164">INDEX($S166:$CA166,MATCH(H$1,$S$1:$CA$1,0))</f>
        <v>18.899999999999999</v>
      </c>
      <c r="I166" s="34">
        <f t="shared" si="164"/>
        <v>20.09</v>
      </c>
      <c r="J166" s="34">
        <f t="shared" si="164"/>
        <v>10.53</v>
      </c>
      <c r="K166" s="34">
        <f t="shared" si="164"/>
        <v>10.91</v>
      </c>
      <c r="L166" s="34">
        <f t="shared" si="164"/>
        <v>11.38</v>
      </c>
      <c r="M166" s="34">
        <f t="shared" si="164"/>
        <v>11.9</v>
      </c>
      <c r="N166" s="34">
        <f t="shared" si="164"/>
        <v>12.45</v>
      </c>
      <c r="O166" s="34">
        <f t="shared" si="164"/>
        <v>12.67</v>
      </c>
      <c r="P166" s="54">
        <f t="shared" ref="P166:Q166" si="165">O166</f>
        <v>12.67</v>
      </c>
      <c r="Q166" s="54">
        <f t="shared" si="165"/>
        <v>12.67</v>
      </c>
      <c r="R166" s="38"/>
      <c r="X166" s="41">
        <f>INDEX('[1]End - Use Prices'!$C$6:$AL$89,MATCH($C166,'[1]End - Use Prices'!$A$6:$A$89,0)+MATCH($D166,'[1]End - Use Prices'!$B$9:$B$11,0)-1,MATCH(X$1,'[1]End - Use Prices'!$C$7:$AL$7,0))</f>
        <v>18.899999999999999</v>
      </c>
      <c r="Y166" s="41">
        <f>INDEX('[1]End - Use Prices'!$C$6:$AL$89,MATCH($C166,'[1]End - Use Prices'!$A$6:$A$89,0)+MATCH($D166,'[1]End - Use Prices'!$B$9:$B$11,0)-1,MATCH(Y$1,'[1]End - Use Prices'!$C$7:$AL$7,0))</f>
        <v>18.940000000000001</v>
      </c>
      <c r="Z166" s="41">
        <f>INDEX('[1]End - Use Prices'!$C$6:$AL$89,MATCH($C166,'[1]End - Use Prices'!$A$6:$A$89,0)+MATCH($D166,'[1]End - Use Prices'!$B$9:$B$11,0)-1,MATCH(Z$1,'[1]End - Use Prices'!$C$7:$AL$7,0))</f>
        <v>11.86</v>
      </c>
      <c r="AA166" s="41">
        <f>INDEX('[1]End - Use Prices'!$C$6:$AL$89,MATCH($C166,'[1]End - Use Prices'!$A$6:$A$89,0)+MATCH($D166,'[1]End - Use Prices'!$B$9:$B$11,0)-1,MATCH(AA$1,'[1]End - Use Prices'!$C$7:$AL$7,0))</f>
        <v>14.01</v>
      </c>
      <c r="AB166" s="41">
        <f>INDEX('[1]End - Use Prices'!$C$6:$AL$89,MATCH($C166,'[1]End - Use Prices'!$A$6:$A$89,0)+MATCH($D166,'[1]End - Use Prices'!$B$9:$B$11,0)-1,MATCH(AB$1,'[1]End - Use Prices'!$C$7:$AL$7,0))</f>
        <v>14.6</v>
      </c>
      <c r="AC166" s="41">
        <f>INDEX('[1]End - Use Prices'!$C$6:$AL$89,MATCH($C166,'[1]End - Use Prices'!$A$6:$A$89,0)+MATCH($D166,'[1]End - Use Prices'!$B$9:$B$11,0)-1,MATCH(AC$1,'[1]End - Use Prices'!$C$7:$AL$7,0))</f>
        <v>20.09</v>
      </c>
      <c r="AD166" s="41">
        <f>INDEX('[1]End - Use Prices'!$C$6:$AL$89,MATCH($C166,'[1]End - Use Prices'!$A$6:$A$89,0)+MATCH($D166,'[1]End - Use Prices'!$B$9:$B$11,0)-1,MATCH(AD$1,'[1]End - Use Prices'!$C$7:$AL$7,0))</f>
        <v>17.2</v>
      </c>
      <c r="AE166" s="41">
        <f>INDEX('[1]End - Use Prices'!$C$6:$AL$89,MATCH($C166,'[1]End - Use Prices'!$A$6:$A$89,0)+MATCH($D166,'[1]End - Use Prices'!$B$9:$B$11,0)-1,MATCH(AE$1,'[1]End - Use Prices'!$C$7:$AL$7,0))</f>
        <v>17.59</v>
      </c>
      <c r="AF166" s="41">
        <f>INDEX('[1]End - Use Prices'!$C$6:$AL$89,MATCH($C166,'[1]End - Use Prices'!$A$6:$A$89,0)+MATCH($D166,'[1]End - Use Prices'!$B$9:$B$11,0)-1,MATCH(AF$1,'[1]End - Use Prices'!$C$7:$AL$7,0))</f>
        <v>18.38</v>
      </c>
      <c r="AG166" s="41">
        <f>INDEX('[1]End - Use Prices'!$C$6:$AL$89,MATCH($C166,'[1]End - Use Prices'!$A$6:$A$89,0)+MATCH($D166,'[1]End - Use Prices'!$B$9:$B$11,0)-1,MATCH(AG$1,'[1]End - Use Prices'!$C$7:$AL$7,0))</f>
        <v>18.48</v>
      </c>
      <c r="AH166" s="41">
        <f>INDEX('[1]End - Use Prices'!$C$6:$AL$89,MATCH($C166,'[1]End - Use Prices'!$A$6:$A$89,0)+MATCH($D166,'[1]End - Use Prices'!$B$9:$B$11,0)-1,MATCH(AH$1,'[1]End - Use Prices'!$C$7:$AL$7,0))</f>
        <v>10.53</v>
      </c>
      <c r="AI166" s="41">
        <f>INDEX('[1]End - Use Prices'!$C$6:$AL$89,MATCH($C166,'[1]End - Use Prices'!$A$6:$A$89,0)+MATCH($D166,'[1]End - Use Prices'!$B$9:$B$11,0)-1,MATCH(AI$1,'[1]End - Use Prices'!$C$7:$AL$7,0))</f>
        <v>9.49</v>
      </c>
      <c r="AJ166" s="41">
        <f>INDEX('[1]End - Use Prices'!$C$6:$AL$89,MATCH($C166,'[1]End - Use Prices'!$A$6:$A$89,0)+MATCH($D166,'[1]End - Use Prices'!$B$9:$B$11,0)-1,MATCH(AJ$1,'[1]End - Use Prices'!$C$7:$AL$7,0))</f>
        <v>10.75</v>
      </c>
      <c r="AK166" s="41">
        <f>INDEX('[1]End - Use Prices'!$C$6:$AL$89,MATCH($C166,'[1]End - Use Prices'!$A$6:$A$89,0)+MATCH($D166,'[1]End - Use Prices'!$B$9:$B$11,0)-1,MATCH(AK$1,'[1]End - Use Prices'!$C$7:$AL$7,0))</f>
        <v>10.63</v>
      </c>
      <c r="AL166" s="41">
        <f>INDEX('[1]End - Use Prices'!$C$6:$AL$89,MATCH($C166,'[1]End - Use Prices'!$A$6:$A$89,0)+MATCH($D166,'[1]End - Use Prices'!$B$9:$B$11,0)-1,MATCH(AL$1,'[1]End - Use Prices'!$C$7:$AL$7,0))</f>
        <v>10.61</v>
      </c>
      <c r="AM166" s="41">
        <f>INDEX('[1]End - Use Prices'!$C$6:$AL$89,MATCH($C166,'[1]End - Use Prices'!$A$6:$A$89,0)+MATCH($D166,'[1]End - Use Prices'!$B$9:$B$11,0)-1,MATCH(AM$1,'[1]End - Use Prices'!$C$7:$AL$7,0))</f>
        <v>10.91</v>
      </c>
      <c r="AN166" s="41">
        <f>INDEX('[1]End - Use Prices'!$C$6:$AL$89,MATCH($C166,'[1]End - Use Prices'!$A$6:$A$89,0)+MATCH($D166,'[1]End - Use Prices'!$B$9:$B$11,0)-1,MATCH(AN$1,'[1]End - Use Prices'!$C$7:$AL$7,0))</f>
        <v>11.07</v>
      </c>
      <c r="AO166" s="41">
        <f>INDEX('[1]End - Use Prices'!$C$6:$AL$89,MATCH($C166,'[1]End - Use Prices'!$A$6:$A$89,0)+MATCH($D166,'[1]End - Use Prices'!$B$9:$B$11,0)-1,MATCH(AO$1,'[1]End - Use Prices'!$C$7:$AL$7,0))</f>
        <v>11.22</v>
      </c>
      <c r="AP166" s="41">
        <f>INDEX('[1]End - Use Prices'!$C$6:$AL$89,MATCH($C166,'[1]End - Use Prices'!$A$6:$A$89,0)+MATCH($D166,'[1]End - Use Prices'!$B$9:$B$11,0)-1,MATCH(AP$1,'[1]End - Use Prices'!$C$7:$AL$7,0))</f>
        <v>11.35</v>
      </c>
      <c r="AQ166" s="41">
        <f>INDEX('[1]End - Use Prices'!$C$6:$AL$89,MATCH($C166,'[1]End - Use Prices'!$A$6:$A$89,0)+MATCH($D166,'[1]End - Use Prices'!$B$9:$B$11,0)-1,MATCH(AQ$1,'[1]End - Use Prices'!$C$7:$AL$7,0))</f>
        <v>11.35</v>
      </c>
      <c r="AR166" s="41">
        <f>INDEX('[1]End - Use Prices'!$C$6:$AL$89,MATCH($C166,'[1]End - Use Prices'!$A$6:$A$89,0)+MATCH($D166,'[1]End - Use Prices'!$B$9:$B$11,0)-1,MATCH(AR$1,'[1]End - Use Prices'!$C$7:$AL$7,0))</f>
        <v>11.38</v>
      </c>
      <c r="AS166" s="41">
        <f>INDEX('[1]End - Use Prices'!$C$6:$AL$89,MATCH($C166,'[1]End - Use Prices'!$A$6:$A$89,0)+MATCH($D166,'[1]End - Use Prices'!$B$9:$B$11,0)-1,MATCH(AS$1,'[1]End - Use Prices'!$C$7:$AL$7,0))</f>
        <v>11.48</v>
      </c>
      <c r="AT166" s="41">
        <f>INDEX('[1]End - Use Prices'!$C$6:$AL$89,MATCH($C166,'[1]End - Use Prices'!$A$6:$A$89,0)+MATCH($D166,'[1]End - Use Prices'!$B$9:$B$11,0)-1,MATCH(AT$1,'[1]End - Use Prices'!$C$7:$AL$7,0))</f>
        <v>11.57</v>
      </c>
      <c r="AU166" s="41">
        <f>INDEX('[1]End - Use Prices'!$C$6:$AL$89,MATCH($C166,'[1]End - Use Prices'!$A$6:$A$89,0)+MATCH($D166,'[1]End - Use Prices'!$B$9:$B$11,0)-1,MATCH(AU$1,'[1]End - Use Prices'!$C$7:$AL$7,0))</f>
        <v>11.67</v>
      </c>
      <c r="AV166" s="41">
        <f>INDEX('[1]End - Use Prices'!$C$6:$AL$89,MATCH($C166,'[1]End - Use Prices'!$A$6:$A$89,0)+MATCH($D166,'[1]End - Use Prices'!$B$9:$B$11,0)-1,MATCH(AV$1,'[1]End - Use Prices'!$C$7:$AL$7,0))</f>
        <v>11.79</v>
      </c>
      <c r="AW166" s="41">
        <f>INDEX('[1]End - Use Prices'!$C$6:$AL$89,MATCH($C166,'[1]End - Use Prices'!$A$6:$A$89,0)+MATCH($D166,'[1]End - Use Prices'!$B$9:$B$11,0)-1,MATCH(AW$1,'[1]End - Use Prices'!$C$7:$AL$7,0))</f>
        <v>11.9</v>
      </c>
      <c r="AX166" s="41">
        <f>INDEX('[1]End - Use Prices'!$C$6:$AL$89,MATCH($C166,'[1]End - Use Prices'!$A$6:$A$89,0)+MATCH($D166,'[1]End - Use Prices'!$B$9:$B$11,0)-1,MATCH(AX$1,'[1]End - Use Prices'!$C$7:$AL$7,0))</f>
        <v>12.02</v>
      </c>
      <c r="AY166" s="41">
        <f>INDEX('[1]End - Use Prices'!$C$6:$AL$89,MATCH($C166,'[1]End - Use Prices'!$A$6:$A$89,0)+MATCH($D166,'[1]End - Use Prices'!$B$9:$B$11,0)-1,MATCH(AY$1,'[1]End - Use Prices'!$C$7:$AL$7,0))</f>
        <v>12.15</v>
      </c>
      <c r="AZ166" s="41">
        <f>INDEX('[1]End - Use Prices'!$C$6:$AL$89,MATCH($C166,'[1]End - Use Prices'!$A$6:$A$89,0)+MATCH($D166,'[1]End - Use Prices'!$B$9:$B$11,0)-1,MATCH(AZ$1,'[1]End - Use Prices'!$C$7:$AL$7,0))</f>
        <v>12.3</v>
      </c>
      <c r="BA166" s="41">
        <f>INDEX('[1]End - Use Prices'!$C$6:$AL$89,MATCH($C166,'[1]End - Use Prices'!$A$6:$A$89,0)+MATCH($D166,'[1]End - Use Prices'!$B$9:$B$11,0)-1,MATCH(BA$1,'[1]End - Use Prices'!$C$7:$AL$7,0))</f>
        <v>12.38</v>
      </c>
      <c r="BB166" s="41">
        <f>INDEX('[1]End - Use Prices'!$C$6:$AL$89,MATCH($C166,'[1]End - Use Prices'!$A$6:$A$89,0)+MATCH($D166,'[1]End - Use Prices'!$B$9:$B$11,0)-1,MATCH(BB$1,'[1]End - Use Prices'!$C$7:$AL$7,0))</f>
        <v>12.45</v>
      </c>
      <c r="BC166" s="41">
        <f>INDEX('[1]End - Use Prices'!$C$6:$AL$89,MATCH($C166,'[1]End - Use Prices'!$A$6:$A$89,0)+MATCH($D166,'[1]End - Use Prices'!$B$9:$B$11,0)-1,MATCH(BC$1,'[1]End - Use Prices'!$C$7:$AL$7,0))</f>
        <v>12.52</v>
      </c>
      <c r="BD166" s="41">
        <f>INDEX('[1]End - Use Prices'!$C$6:$AL$89,MATCH($C166,'[1]End - Use Prices'!$A$6:$A$89,0)+MATCH($D166,'[1]End - Use Prices'!$B$9:$B$11,0)-1,MATCH(BD$1,'[1]End - Use Prices'!$C$7:$AL$7,0))</f>
        <v>12.57</v>
      </c>
      <c r="BE166" s="41">
        <f>INDEX('[1]End - Use Prices'!$C$6:$AL$89,MATCH($C166,'[1]End - Use Prices'!$A$6:$A$89,0)+MATCH($D166,'[1]End - Use Prices'!$B$9:$B$11,0)-1,MATCH(BE$1,'[1]End - Use Prices'!$C$7:$AL$7,0))</f>
        <v>12.6</v>
      </c>
      <c r="BF166" s="41">
        <f>INDEX('[1]End - Use Prices'!$C$6:$AL$89,MATCH($C166,'[1]End - Use Prices'!$A$6:$A$89,0)+MATCH($D166,'[1]End - Use Prices'!$B$9:$B$11,0)-1,MATCH(BF$1,'[1]End - Use Prices'!$C$7:$AL$7,0))</f>
        <v>12.64</v>
      </c>
      <c r="BG166" s="41">
        <f>INDEX('[1]End - Use Prices'!$C$6:$AL$89,MATCH($C166,'[1]End - Use Prices'!$A$6:$A$89,0)+MATCH($D166,'[1]End - Use Prices'!$B$9:$B$11,0)-1,MATCH(BG$1,'[1]End - Use Prices'!$C$7:$AL$7,0))</f>
        <v>12.67</v>
      </c>
      <c r="BR166" s="39"/>
      <c r="BS166" s="39"/>
      <c r="BT166" s="39"/>
      <c r="BU166" s="39"/>
      <c r="BV166" s="39"/>
      <c r="BW166" s="39"/>
      <c r="BX166" s="39"/>
      <c r="BY166" s="39"/>
      <c r="BZ166" s="39"/>
      <c r="CA166" s="39"/>
    </row>
    <row r="167" spans="1:79" x14ac:dyDescent="0.25">
      <c r="A167" s="5"/>
      <c r="B167" s="3"/>
      <c r="C167" s="25" t="s">
        <v>89</v>
      </c>
      <c r="D167" s="25" t="s">
        <v>14</v>
      </c>
      <c r="E167" s="25" t="s">
        <v>313</v>
      </c>
      <c r="F167" s="74" t="s">
        <v>310</v>
      </c>
      <c r="G167" s="54">
        <f t="shared" si="146"/>
        <v>48.47</v>
      </c>
      <c r="H167" s="34">
        <f t="shared" si="164"/>
        <v>48.47</v>
      </c>
      <c r="I167" s="34">
        <f t="shared" si="164"/>
        <v>36.06</v>
      </c>
      <c r="J167" s="34">
        <f t="shared" si="164"/>
        <v>30.99</v>
      </c>
      <c r="K167" s="34">
        <f t="shared" si="164"/>
        <v>25.99</v>
      </c>
      <c r="L167" s="34">
        <f t="shared" si="164"/>
        <v>26.97</v>
      </c>
      <c r="M167" s="34">
        <f t="shared" si="164"/>
        <v>27.22</v>
      </c>
      <c r="N167" s="34">
        <f t="shared" si="164"/>
        <v>27.55</v>
      </c>
      <c r="O167" s="34">
        <f t="shared" si="164"/>
        <v>27.62</v>
      </c>
      <c r="P167" s="54">
        <f t="shared" ref="P167:Q167" si="166">O167</f>
        <v>27.62</v>
      </c>
      <c r="Q167" s="54">
        <f t="shared" si="166"/>
        <v>27.62</v>
      </c>
      <c r="R167" s="38"/>
      <c r="X167" s="41">
        <f>INDEX('[1]End - Use Prices'!$C$6:$AL$89,MATCH($C167,'[1]End - Use Prices'!$A$6:$A$89,0)+MATCH($D167,'[1]End - Use Prices'!$B$9:$B$11,0)-1,MATCH(X$1,'[1]End - Use Prices'!$C$7:$AL$7,0))</f>
        <v>48.47</v>
      </c>
      <c r="Y167" s="41">
        <f>INDEX('[1]End - Use Prices'!$C$6:$AL$89,MATCH($C167,'[1]End - Use Prices'!$A$6:$A$89,0)+MATCH($D167,'[1]End - Use Prices'!$B$9:$B$11,0)-1,MATCH(Y$1,'[1]End - Use Prices'!$C$7:$AL$7,0))</f>
        <v>44.05</v>
      </c>
      <c r="Z167" s="41">
        <f>INDEX('[1]End - Use Prices'!$C$6:$AL$89,MATCH($C167,'[1]End - Use Prices'!$A$6:$A$89,0)+MATCH($D167,'[1]End - Use Prices'!$B$9:$B$11,0)-1,MATCH(Z$1,'[1]End - Use Prices'!$C$7:$AL$7,0))</f>
        <v>40.97</v>
      </c>
      <c r="AA167" s="41">
        <f>INDEX('[1]End - Use Prices'!$C$6:$AL$89,MATCH($C167,'[1]End - Use Prices'!$A$6:$A$89,0)+MATCH($D167,'[1]End - Use Prices'!$B$9:$B$11,0)-1,MATCH(AA$1,'[1]End - Use Prices'!$C$7:$AL$7,0))</f>
        <v>39.74</v>
      </c>
      <c r="AB167" s="41">
        <f>INDEX('[1]End - Use Prices'!$C$6:$AL$89,MATCH($C167,'[1]End - Use Prices'!$A$6:$A$89,0)+MATCH($D167,'[1]End - Use Prices'!$B$9:$B$11,0)-1,MATCH(AB$1,'[1]End - Use Prices'!$C$7:$AL$7,0))</f>
        <v>38.31</v>
      </c>
      <c r="AC167" s="41">
        <f>INDEX('[1]End - Use Prices'!$C$6:$AL$89,MATCH($C167,'[1]End - Use Prices'!$A$6:$A$89,0)+MATCH($D167,'[1]End - Use Prices'!$B$9:$B$11,0)-1,MATCH(AC$1,'[1]End - Use Prices'!$C$7:$AL$7,0))</f>
        <v>36.06</v>
      </c>
      <c r="AD167" s="41">
        <f>INDEX('[1]End - Use Prices'!$C$6:$AL$89,MATCH($C167,'[1]End - Use Prices'!$A$6:$A$89,0)+MATCH($D167,'[1]End - Use Prices'!$B$9:$B$11,0)-1,MATCH(AD$1,'[1]End - Use Prices'!$C$7:$AL$7,0))</f>
        <v>33.869999999999997</v>
      </c>
      <c r="AE167" s="41">
        <f>INDEX('[1]End - Use Prices'!$C$6:$AL$89,MATCH($C167,'[1]End - Use Prices'!$A$6:$A$89,0)+MATCH($D167,'[1]End - Use Prices'!$B$9:$B$11,0)-1,MATCH(AE$1,'[1]End - Use Prices'!$C$7:$AL$7,0))</f>
        <v>32.549999999999997</v>
      </c>
      <c r="AF167" s="41">
        <f>INDEX('[1]End - Use Prices'!$C$6:$AL$89,MATCH($C167,'[1]End - Use Prices'!$A$6:$A$89,0)+MATCH($D167,'[1]End - Use Prices'!$B$9:$B$11,0)-1,MATCH(AF$1,'[1]End - Use Prices'!$C$7:$AL$7,0))</f>
        <v>25.3</v>
      </c>
      <c r="AG167" s="41">
        <f>INDEX('[1]End - Use Prices'!$C$6:$AL$89,MATCH($C167,'[1]End - Use Prices'!$A$6:$A$89,0)+MATCH($D167,'[1]End - Use Prices'!$B$9:$B$11,0)-1,MATCH(AG$1,'[1]End - Use Prices'!$C$7:$AL$7,0))</f>
        <v>26.06</v>
      </c>
      <c r="AH167" s="41">
        <f>INDEX('[1]End - Use Prices'!$C$6:$AL$89,MATCH($C167,'[1]End - Use Prices'!$A$6:$A$89,0)+MATCH($D167,'[1]End - Use Prices'!$B$9:$B$11,0)-1,MATCH(AH$1,'[1]End - Use Prices'!$C$7:$AL$7,0))</f>
        <v>30.99</v>
      </c>
      <c r="AI167" s="41">
        <f>INDEX('[1]End - Use Prices'!$C$6:$AL$89,MATCH($C167,'[1]End - Use Prices'!$A$6:$A$89,0)+MATCH($D167,'[1]End - Use Prices'!$B$9:$B$11,0)-1,MATCH(AI$1,'[1]End - Use Prices'!$C$7:$AL$7,0))</f>
        <v>27.98</v>
      </c>
      <c r="AJ167" s="41">
        <f>INDEX('[1]End - Use Prices'!$C$6:$AL$89,MATCH($C167,'[1]End - Use Prices'!$A$6:$A$89,0)+MATCH($D167,'[1]End - Use Prices'!$B$9:$B$11,0)-1,MATCH(AJ$1,'[1]End - Use Prices'!$C$7:$AL$7,0))</f>
        <v>25.3</v>
      </c>
      <c r="AK167" s="41">
        <f>INDEX('[1]End - Use Prices'!$C$6:$AL$89,MATCH($C167,'[1]End - Use Prices'!$A$6:$A$89,0)+MATCH($D167,'[1]End - Use Prices'!$B$9:$B$11,0)-1,MATCH(AK$1,'[1]End - Use Prices'!$C$7:$AL$7,0))</f>
        <v>25.21</v>
      </c>
      <c r="AL167" s="41">
        <f>INDEX('[1]End - Use Prices'!$C$6:$AL$89,MATCH($C167,'[1]End - Use Prices'!$A$6:$A$89,0)+MATCH($D167,'[1]End - Use Prices'!$B$9:$B$11,0)-1,MATCH(AL$1,'[1]End - Use Prices'!$C$7:$AL$7,0))</f>
        <v>25.2</v>
      </c>
      <c r="AM167" s="41">
        <f>INDEX('[1]End - Use Prices'!$C$6:$AL$89,MATCH($C167,'[1]End - Use Prices'!$A$6:$A$89,0)+MATCH($D167,'[1]End - Use Prices'!$B$9:$B$11,0)-1,MATCH(AM$1,'[1]End - Use Prices'!$C$7:$AL$7,0))</f>
        <v>25.99</v>
      </c>
      <c r="AN167" s="41">
        <f>INDEX('[1]End - Use Prices'!$C$6:$AL$89,MATCH($C167,'[1]End - Use Prices'!$A$6:$A$89,0)+MATCH($D167,'[1]End - Use Prices'!$B$9:$B$11,0)-1,MATCH(AN$1,'[1]End - Use Prices'!$C$7:$AL$7,0))</f>
        <v>26.36</v>
      </c>
      <c r="AO167" s="41">
        <f>INDEX('[1]End - Use Prices'!$C$6:$AL$89,MATCH($C167,'[1]End - Use Prices'!$A$6:$A$89,0)+MATCH($D167,'[1]End - Use Prices'!$B$9:$B$11,0)-1,MATCH(AO$1,'[1]End - Use Prices'!$C$7:$AL$7,0))</f>
        <v>26.71</v>
      </c>
      <c r="AP167" s="41">
        <f>INDEX('[1]End - Use Prices'!$C$6:$AL$89,MATCH($C167,'[1]End - Use Prices'!$A$6:$A$89,0)+MATCH($D167,'[1]End - Use Prices'!$B$9:$B$11,0)-1,MATCH(AP$1,'[1]End - Use Prices'!$C$7:$AL$7,0))</f>
        <v>27.03</v>
      </c>
      <c r="AQ167" s="41">
        <f>INDEX('[1]End - Use Prices'!$C$6:$AL$89,MATCH($C167,'[1]End - Use Prices'!$A$6:$A$89,0)+MATCH($D167,'[1]End - Use Prices'!$B$9:$B$11,0)-1,MATCH(AQ$1,'[1]End - Use Prices'!$C$7:$AL$7,0))</f>
        <v>26.98</v>
      </c>
      <c r="AR167" s="41">
        <f>INDEX('[1]End - Use Prices'!$C$6:$AL$89,MATCH($C167,'[1]End - Use Prices'!$A$6:$A$89,0)+MATCH($D167,'[1]End - Use Prices'!$B$9:$B$11,0)-1,MATCH(AR$1,'[1]End - Use Prices'!$C$7:$AL$7,0))</f>
        <v>26.97</v>
      </c>
      <c r="AS167" s="41">
        <f>INDEX('[1]End - Use Prices'!$C$6:$AL$89,MATCH($C167,'[1]End - Use Prices'!$A$6:$A$89,0)+MATCH($D167,'[1]End - Use Prices'!$B$9:$B$11,0)-1,MATCH(AS$1,'[1]End - Use Prices'!$C$7:$AL$7,0))</f>
        <v>27.01</v>
      </c>
      <c r="AT167" s="41">
        <f>INDEX('[1]End - Use Prices'!$C$6:$AL$89,MATCH($C167,'[1]End - Use Prices'!$A$6:$A$89,0)+MATCH($D167,'[1]End - Use Prices'!$B$9:$B$11,0)-1,MATCH(AT$1,'[1]End - Use Prices'!$C$7:$AL$7,0))</f>
        <v>27.04</v>
      </c>
      <c r="AU167" s="41">
        <f>INDEX('[1]End - Use Prices'!$C$6:$AL$89,MATCH($C167,'[1]End - Use Prices'!$A$6:$A$89,0)+MATCH($D167,'[1]End - Use Prices'!$B$9:$B$11,0)-1,MATCH(AU$1,'[1]End - Use Prices'!$C$7:$AL$7,0))</f>
        <v>27.1</v>
      </c>
      <c r="AV167" s="41">
        <f>INDEX('[1]End - Use Prices'!$C$6:$AL$89,MATCH($C167,'[1]End - Use Prices'!$A$6:$A$89,0)+MATCH($D167,'[1]End - Use Prices'!$B$9:$B$11,0)-1,MATCH(AV$1,'[1]End - Use Prices'!$C$7:$AL$7,0))</f>
        <v>27.16</v>
      </c>
      <c r="AW167" s="41">
        <f>INDEX('[1]End - Use Prices'!$C$6:$AL$89,MATCH($C167,'[1]End - Use Prices'!$A$6:$A$89,0)+MATCH($D167,'[1]End - Use Prices'!$B$9:$B$11,0)-1,MATCH(AW$1,'[1]End - Use Prices'!$C$7:$AL$7,0))</f>
        <v>27.22</v>
      </c>
      <c r="AX167" s="41">
        <f>INDEX('[1]End - Use Prices'!$C$6:$AL$89,MATCH($C167,'[1]End - Use Prices'!$A$6:$A$89,0)+MATCH($D167,'[1]End - Use Prices'!$B$9:$B$11,0)-1,MATCH(AX$1,'[1]End - Use Prices'!$C$7:$AL$7,0))</f>
        <v>27.29</v>
      </c>
      <c r="AY167" s="41">
        <f>INDEX('[1]End - Use Prices'!$C$6:$AL$89,MATCH($C167,'[1]End - Use Prices'!$A$6:$A$89,0)+MATCH($D167,'[1]End - Use Prices'!$B$9:$B$11,0)-1,MATCH(AY$1,'[1]End - Use Prices'!$C$7:$AL$7,0))</f>
        <v>27.37</v>
      </c>
      <c r="AZ167" s="41">
        <f>INDEX('[1]End - Use Prices'!$C$6:$AL$89,MATCH($C167,'[1]End - Use Prices'!$A$6:$A$89,0)+MATCH($D167,'[1]End - Use Prices'!$B$9:$B$11,0)-1,MATCH(AZ$1,'[1]End - Use Prices'!$C$7:$AL$7,0))</f>
        <v>27.46</v>
      </c>
      <c r="BA167" s="41">
        <f>INDEX('[1]End - Use Prices'!$C$6:$AL$89,MATCH($C167,'[1]End - Use Prices'!$A$6:$A$89,0)+MATCH($D167,'[1]End - Use Prices'!$B$9:$B$11,0)-1,MATCH(BA$1,'[1]End - Use Prices'!$C$7:$AL$7,0))</f>
        <v>27.51</v>
      </c>
      <c r="BB167" s="41">
        <f>INDEX('[1]End - Use Prices'!$C$6:$AL$89,MATCH($C167,'[1]End - Use Prices'!$A$6:$A$89,0)+MATCH($D167,'[1]End - Use Prices'!$B$9:$B$11,0)-1,MATCH(BB$1,'[1]End - Use Prices'!$C$7:$AL$7,0))</f>
        <v>27.55</v>
      </c>
      <c r="BC167" s="41">
        <f>INDEX('[1]End - Use Prices'!$C$6:$AL$89,MATCH($C167,'[1]End - Use Prices'!$A$6:$A$89,0)+MATCH($D167,'[1]End - Use Prices'!$B$9:$B$11,0)-1,MATCH(BC$1,'[1]End - Use Prices'!$C$7:$AL$7,0))</f>
        <v>27.58</v>
      </c>
      <c r="BD167" s="41">
        <f>INDEX('[1]End - Use Prices'!$C$6:$AL$89,MATCH($C167,'[1]End - Use Prices'!$A$6:$A$89,0)+MATCH($D167,'[1]End - Use Prices'!$B$9:$B$11,0)-1,MATCH(BD$1,'[1]End - Use Prices'!$C$7:$AL$7,0))</f>
        <v>27.6</v>
      </c>
      <c r="BE167" s="41">
        <f>INDEX('[1]End - Use Prices'!$C$6:$AL$89,MATCH($C167,'[1]End - Use Prices'!$A$6:$A$89,0)+MATCH($D167,'[1]End - Use Prices'!$B$9:$B$11,0)-1,MATCH(BE$1,'[1]End - Use Prices'!$C$7:$AL$7,0))</f>
        <v>27.61</v>
      </c>
      <c r="BF167" s="41">
        <f>INDEX('[1]End - Use Prices'!$C$6:$AL$89,MATCH($C167,'[1]End - Use Prices'!$A$6:$A$89,0)+MATCH($D167,'[1]End - Use Prices'!$B$9:$B$11,0)-1,MATCH(BF$1,'[1]End - Use Prices'!$C$7:$AL$7,0))</f>
        <v>27.62</v>
      </c>
      <c r="BG167" s="41">
        <f>INDEX('[1]End - Use Prices'!$C$6:$AL$89,MATCH($C167,'[1]End - Use Prices'!$A$6:$A$89,0)+MATCH($D167,'[1]End - Use Prices'!$B$9:$B$11,0)-1,MATCH(BG$1,'[1]End - Use Prices'!$C$7:$AL$7,0))</f>
        <v>27.62</v>
      </c>
      <c r="BR167" s="39"/>
      <c r="BS167" s="39"/>
      <c r="BT167" s="39"/>
      <c r="BU167" s="39"/>
      <c r="BV167" s="39"/>
      <c r="BW167" s="39"/>
      <c r="BX167" s="39"/>
      <c r="BY167" s="39"/>
      <c r="BZ167" s="39"/>
      <c r="CA167" s="39"/>
    </row>
    <row r="168" spans="1:79" x14ac:dyDescent="0.25">
      <c r="A168" s="5"/>
      <c r="B168" s="3"/>
      <c r="C168" s="25" t="s">
        <v>90</v>
      </c>
      <c r="D168" s="25" t="s">
        <v>14</v>
      </c>
      <c r="E168" s="25" t="s">
        <v>313</v>
      </c>
      <c r="F168" s="74" t="s">
        <v>310</v>
      </c>
      <c r="G168" s="54">
        <f t="shared" si="146"/>
        <v>18.899999999999999</v>
      </c>
      <c r="H168" s="34">
        <f t="shared" si="164"/>
        <v>18.899999999999999</v>
      </c>
      <c r="I168" s="34">
        <f t="shared" si="164"/>
        <v>20.09</v>
      </c>
      <c r="J168" s="34">
        <f t="shared" si="164"/>
        <v>13.86</v>
      </c>
      <c r="K168" s="34">
        <f t="shared" si="164"/>
        <v>11.56</v>
      </c>
      <c r="L168" s="34">
        <f t="shared" si="164"/>
        <v>12.76</v>
      </c>
      <c r="M168" s="34">
        <f t="shared" si="164"/>
        <v>13.11</v>
      </c>
      <c r="N168" s="34">
        <f t="shared" si="164"/>
        <v>13.55</v>
      </c>
      <c r="O168" s="34">
        <f t="shared" si="164"/>
        <v>13.67</v>
      </c>
      <c r="P168" s="54">
        <f t="shared" ref="P168:Q168" si="167">O168</f>
        <v>13.67</v>
      </c>
      <c r="Q168" s="54">
        <f t="shared" si="167"/>
        <v>13.67</v>
      </c>
      <c r="R168" s="38"/>
      <c r="X168" s="41">
        <f>INDEX('[1]End - Use Prices'!$C$6:$AL$89,MATCH($C168,'[1]End - Use Prices'!$A$6:$A$89,0)+MATCH($D168,'[1]End - Use Prices'!$B$9:$B$11,0)-1,MATCH(X$1,'[1]End - Use Prices'!$C$7:$AL$7,0))</f>
        <v>18.899999999999999</v>
      </c>
      <c r="Y168" s="41">
        <f>INDEX('[1]End - Use Prices'!$C$6:$AL$89,MATCH($C168,'[1]End - Use Prices'!$A$6:$A$89,0)+MATCH($D168,'[1]End - Use Prices'!$B$9:$B$11,0)-1,MATCH(Y$1,'[1]End - Use Prices'!$C$7:$AL$7,0))</f>
        <v>18.940000000000001</v>
      </c>
      <c r="Z168" s="41">
        <f>INDEX('[1]End - Use Prices'!$C$6:$AL$89,MATCH($C168,'[1]End - Use Prices'!$A$6:$A$89,0)+MATCH($D168,'[1]End - Use Prices'!$B$9:$B$11,0)-1,MATCH(Z$1,'[1]End - Use Prices'!$C$7:$AL$7,0))</f>
        <v>11.86</v>
      </c>
      <c r="AA168" s="41">
        <f>INDEX('[1]End - Use Prices'!$C$6:$AL$89,MATCH($C168,'[1]End - Use Prices'!$A$6:$A$89,0)+MATCH($D168,'[1]End - Use Prices'!$B$9:$B$11,0)-1,MATCH(AA$1,'[1]End - Use Prices'!$C$7:$AL$7,0))</f>
        <v>14.01</v>
      </c>
      <c r="AB168" s="41">
        <f>INDEX('[1]End - Use Prices'!$C$6:$AL$89,MATCH($C168,'[1]End - Use Prices'!$A$6:$A$89,0)+MATCH($D168,'[1]End - Use Prices'!$B$9:$B$11,0)-1,MATCH(AB$1,'[1]End - Use Prices'!$C$7:$AL$7,0))</f>
        <v>14.6</v>
      </c>
      <c r="AC168" s="41">
        <f>INDEX('[1]End - Use Prices'!$C$6:$AL$89,MATCH($C168,'[1]End - Use Prices'!$A$6:$A$89,0)+MATCH($D168,'[1]End - Use Prices'!$B$9:$B$11,0)-1,MATCH(AC$1,'[1]End - Use Prices'!$C$7:$AL$7,0))</f>
        <v>20.09</v>
      </c>
      <c r="AD168" s="41">
        <f>INDEX('[1]End - Use Prices'!$C$6:$AL$89,MATCH($C168,'[1]End - Use Prices'!$A$6:$A$89,0)+MATCH($D168,'[1]End - Use Prices'!$B$9:$B$11,0)-1,MATCH(AD$1,'[1]End - Use Prices'!$C$7:$AL$7,0))</f>
        <v>17.2</v>
      </c>
      <c r="AE168" s="41">
        <f>INDEX('[1]End - Use Prices'!$C$6:$AL$89,MATCH($C168,'[1]End - Use Prices'!$A$6:$A$89,0)+MATCH($D168,'[1]End - Use Prices'!$B$9:$B$11,0)-1,MATCH(AE$1,'[1]End - Use Prices'!$C$7:$AL$7,0))</f>
        <v>17.59</v>
      </c>
      <c r="AF168" s="41">
        <f>INDEX('[1]End - Use Prices'!$C$6:$AL$89,MATCH($C168,'[1]End - Use Prices'!$A$6:$A$89,0)+MATCH($D168,'[1]End - Use Prices'!$B$9:$B$11,0)-1,MATCH(AF$1,'[1]End - Use Prices'!$C$7:$AL$7,0))</f>
        <v>18.75</v>
      </c>
      <c r="AG168" s="41">
        <f>INDEX('[1]End - Use Prices'!$C$6:$AL$89,MATCH($C168,'[1]End - Use Prices'!$A$6:$A$89,0)+MATCH($D168,'[1]End - Use Prices'!$B$9:$B$11,0)-1,MATCH(AG$1,'[1]End - Use Prices'!$C$7:$AL$7,0))</f>
        <v>18.48</v>
      </c>
      <c r="AH168" s="41">
        <f>INDEX('[1]End - Use Prices'!$C$6:$AL$89,MATCH($C168,'[1]End - Use Prices'!$A$6:$A$89,0)+MATCH($D168,'[1]End - Use Prices'!$B$9:$B$11,0)-1,MATCH(AH$1,'[1]End - Use Prices'!$C$7:$AL$7,0))</f>
        <v>13.86</v>
      </c>
      <c r="AI168" s="41">
        <f>INDEX('[1]End - Use Prices'!$C$6:$AL$89,MATCH($C168,'[1]End - Use Prices'!$A$6:$A$89,0)+MATCH($D168,'[1]End - Use Prices'!$B$9:$B$11,0)-1,MATCH(AI$1,'[1]End - Use Prices'!$C$7:$AL$7,0))</f>
        <v>9.4700000000000006</v>
      </c>
      <c r="AJ168" s="41">
        <f>INDEX('[1]End - Use Prices'!$C$6:$AL$89,MATCH($C168,'[1]End - Use Prices'!$A$6:$A$89,0)+MATCH($D168,'[1]End - Use Prices'!$B$9:$B$11,0)-1,MATCH(AJ$1,'[1]End - Use Prices'!$C$7:$AL$7,0))</f>
        <v>10.75</v>
      </c>
      <c r="AK168" s="41">
        <f>INDEX('[1]End - Use Prices'!$C$6:$AL$89,MATCH($C168,'[1]End - Use Prices'!$A$6:$A$89,0)+MATCH($D168,'[1]End - Use Prices'!$B$9:$B$11,0)-1,MATCH(AK$1,'[1]End - Use Prices'!$C$7:$AL$7,0))</f>
        <v>10.63</v>
      </c>
      <c r="AL168" s="41">
        <f>INDEX('[1]End - Use Prices'!$C$6:$AL$89,MATCH($C168,'[1]End - Use Prices'!$A$6:$A$89,0)+MATCH($D168,'[1]End - Use Prices'!$B$9:$B$11,0)-1,MATCH(AL$1,'[1]End - Use Prices'!$C$7:$AL$7,0))</f>
        <v>10.61</v>
      </c>
      <c r="AM168" s="41">
        <f>INDEX('[1]End - Use Prices'!$C$6:$AL$89,MATCH($C168,'[1]End - Use Prices'!$A$6:$A$89,0)+MATCH($D168,'[1]End - Use Prices'!$B$9:$B$11,0)-1,MATCH(AM$1,'[1]End - Use Prices'!$C$7:$AL$7,0))</f>
        <v>11.56</v>
      </c>
      <c r="AN168" s="41">
        <f>INDEX('[1]End - Use Prices'!$C$6:$AL$89,MATCH($C168,'[1]End - Use Prices'!$A$6:$A$89,0)+MATCH($D168,'[1]End - Use Prices'!$B$9:$B$11,0)-1,MATCH(AN$1,'[1]End - Use Prices'!$C$7:$AL$7,0))</f>
        <v>12.01</v>
      </c>
      <c r="AO168" s="41">
        <f>INDEX('[1]End - Use Prices'!$C$6:$AL$89,MATCH($C168,'[1]End - Use Prices'!$A$6:$A$89,0)+MATCH($D168,'[1]End - Use Prices'!$B$9:$B$11,0)-1,MATCH(AO$1,'[1]End - Use Prices'!$C$7:$AL$7,0))</f>
        <v>12.44</v>
      </c>
      <c r="AP168" s="41">
        <f>INDEX('[1]End - Use Prices'!$C$6:$AL$89,MATCH($C168,'[1]End - Use Prices'!$A$6:$A$89,0)+MATCH($D168,'[1]End - Use Prices'!$B$9:$B$11,0)-1,MATCH(AP$1,'[1]End - Use Prices'!$C$7:$AL$7,0))</f>
        <v>12.83</v>
      </c>
      <c r="AQ168" s="41">
        <f>INDEX('[1]End - Use Prices'!$C$6:$AL$89,MATCH($C168,'[1]End - Use Prices'!$A$6:$A$89,0)+MATCH($D168,'[1]End - Use Prices'!$B$9:$B$11,0)-1,MATCH(AQ$1,'[1]End - Use Prices'!$C$7:$AL$7,0))</f>
        <v>12.77</v>
      </c>
      <c r="AR168" s="41">
        <f>INDEX('[1]End - Use Prices'!$C$6:$AL$89,MATCH($C168,'[1]End - Use Prices'!$A$6:$A$89,0)+MATCH($D168,'[1]End - Use Prices'!$B$9:$B$11,0)-1,MATCH(AR$1,'[1]End - Use Prices'!$C$7:$AL$7,0))</f>
        <v>12.76</v>
      </c>
      <c r="AS168" s="41">
        <f>INDEX('[1]End - Use Prices'!$C$6:$AL$89,MATCH($C168,'[1]End - Use Prices'!$A$6:$A$89,0)+MATCH($D168,'[1]End - Use Prices'!$B$9:$B$11,0)-1,MATCH(AS$1,'[1]End - Use Prices'!$C$7:$AL$7,0))</f>
        <v>12.82</v>
      </c>
      <c r="AT168" s="41">
        <f>INDEX('[1]End - Use Prices'!$C$6:$AL$89,MATCH($C168,'[1]End - Use Prices'!$A$6:$A$89,0)+MATCH($D168,'[1]End - Use Prices'!$B$9:$B$11,0)-1,MATCH(AT$1,'[1]End - Use Prices'!$C$7:$AL$7,0))</f>
        <v>12.87</v>
      </c>
      <c r="AU168" s="41">
        <f>INDEX('[1]End - Use Prices'!$C$6:$AL$89,MATCH($C168,'[1]End - Use Prices'!$A$6:$A$89,0)+MATCH($D168,'[1]End - Use Prices'!$B$9:$B$11,0)-1,MATCH(AU$1,'[1]End - Use Prices'!$C$7:$AL$7,0))</f>
        <v>12.94</v>
      </c>
      <c r="AV168" s="41">
        <f>INDEX('[1]End - Use Prices'!$C$6:$AL$89,MATCH($C168,'[1]End - Use Prices'!$A$6:$A$89,0)+MATCH($D168,'[1]End - Use Prices'!$B$9:$B$11,0)-1,MATCH(AV$1,'[1]End - Use Prices'!$C$7:$AL$7,0))</f>
        <v>13.03</v>
      </c>
      <c r="AW168" s="41">
        <f>INDEX('[1]End - Use Prices'!$C$6:$AL$89,MATCH($C168,'[1]End - Use Prices'!$A$6:$A$89,0)+MATCH($D168,'[1]End - Use Prices'!$B$9:$B$11,0)-1,MATCH(AW$1,'[1]End - Use Prices'!$C$7:$AL$7,0))</f>
        <v>13.11</v>
      </c>
      <c r="AX168" s="41">
        <f>INDEX('[1]End - Use Prices'!$C$6:$AL$89,MATCH($C168,'[1]End - Use Prices'!$A$6:$A$89,0)+MATCH($D168,'[1]End - Use Prices'!$B$9:$B$11,0)-1,MATCH(AX$1,'[1]End - Use Prices'!$C$7:$AL$7,0))</f>
        <v>13.21</v>
      </c>
      <c r="AY168" s="41">
        <f>INDEX('[1]End - Use Prices'!$C$6:$AL$89,MATCH($C168,'[1]End - Use Prices'!$A$6:$A$89,0)+MATCH($D168,'[1]End - Use Prices'!$B$9:$B$11,0)-1,MATCH(AY$1,'[1]End - Use Prices'!$C$7:$AL$7,0))</f>
        <v>13.32</v>
      </c>
      <c r="AZ168" s="41">
        <f>INDEX('[1]End - Use Prices'!$C$6:$AL$89,MATCH($C168,'[1]End - Use Prices'!$A$6:$A$89,0)+MATCH($D168,'[1]End - Use Prices'!$B$9:$B$11,0)-1,MATCH(AZ$1,'[1]End - Use Prices'!$C$7:$AL$7,0))</f>
        <v>13.44</v>
      </c>
      <c r="BA168" s="41">
        <f>INDEX('[1]End - Use Prices'!$C$6:$AL$89,MATCH($C168,'[1]End - Use Prices'!$A$6:$A$89,0)+MATCH($D168,'[1]End - Use Prices'!$B$9:$B$11,0)-1,MATCH(BA$1,'[1]End - Use Prices'!$C$7:$AL$7,0))</f>
        <v>13.5</v>
      </c>
      <c r="BB168" s="41">
        <f>INDEX('[1]End - Use Prices'!$C$6:$AL$89,MATCH($C168,'[1]End - Use Prices'!$A$6:$A$89,0)+MATCH($D168,'[1]End - Use Prices'!$B$9:$B$11,0)-1,MATCH(BB$1,'[1]End - Use Prices'!$C$7:$AL$7,0))</f>
        <v>13.55</v>
      </c>
      <c r="BC168" s="41">
        <f>INDEX('[1]End - Use Prices'!$C$6:$AL$89,MATCH($C168,'[1]End - Use Prices'!$A$6:$A$89,0)+MATCH($D168,'[1]End - Use Prices'!$B$9:$B$11,0)-1,MATCH(BC$1,'[1]End - Use Prices'!$C$7:$AL$7,0))</f>
        <v>13.6</v>
      </c>
      <c r="BD168" s="41">
        <f>INDEX('[1]End - Use Prices'!$C$6:$AL$89,MATCH($C168,'[1]End - Use Prices'!$A$6:$A$89,0)+MATCH($D168,'[1]End - Use Prices'!$B$9:$B$11,0)-1,MATCH(BD$1,'[1]End - Use Prices'!$C$7:$AL$7,0))</f>
        <v>13.63</v>
      </c>
      <c r="BE168" s="41">
        <f>INDEX('[1]End - Use Prices'!$C$6:$AL$89,MATCH($C168,'[1]End - Use Prices'!$A$6:$A$89,0)+MATCH($D168,'[1]End - Use Prices'!$B$9:$B$11,0)-1,MATCH(BE$1,'[1]End - Use Prices'!$C$7:$AL$7,0))</f>
        <v>13.64</v>
      </c>
      <c r="BF168" s="41">
        <f>INDEX('[1]End - Use Prices'!$C$6:$AL$89,MATCH($C168,'[1]End - Use Prices'!$A$6:$A$89,0)+MATCH($D168,'[1]End - Use Prices'!$B$9:$B$11,0)-1,MATCH(BF$1,'[1]End - Use Prices'!$C$7:$AL$7,0))</f>
        <v>13.66</v>
      </c>
      <c r="BG168" s="41">
        <f>INDEX('[1]End - Use Prices'!$C$6:$AL$89,MATCH($C168,'[1]End - Use Prices'!$A$6:$A$89,0)+MATCH($D168,'[1]End - Use Prices'!$B$9:$B$11,0)-1,MATCH(BG$1,'[1]End - Use Prices'!$C$7:$AL$7,0))</f>
        <v>13.67</v>
      </c>
      <c r="BR168" s="39"/>
      <c r="BS168" s="39"/>
      <c r="BT168" s="39"/>
      <c r="BU168" s="39"/>
      <c r="BV168" s="39"/>
      <c r="BW168" s="39"/>
      <c r="BX168" s="39"/>
      <c r="BY168" s="39"/>
      <c r="BZ168" s="39"/>
      <c r="CA168" s="39"/>
    </row>
    <row r="169" spans="1:79" x14ac:dyDescent="0.25">
      <c r="A169" s="5"/>
      <c r="B169" s="3"/>
      <c r="C169" s="25" t="s">
        <v>91</v>
      </c>
      <c r="D169" s="25" t="s">
        <v>14</v>
      </c>
      <c r="E169" s="25" t="s">
        <v>313</v>
      </c>
      <c r="F169" s="74" t="s">
        <v>310</v>
      </c>
      <c r="G169" s="54">
        <f t="shared" si="146"/>
        <v>20.32</v>
      </c>
      <c r="H169" s="34">
        <f t="shared" si="164"/>
        <v>20.32</v>
      </c>
      <c r="I169" s="34">
        <f t="shared" si="164"/>
        <v>18.399999999999999</v>
      </c>
      <c r="J169" s="34">
        <f t="shared" si="164"/>
        <v>15.95</v>
      </c>
      <c r="K169" s="34">
        <f t="shared" si="164"/>
        <v>15</v>
      </c>
      <c r="L169" s="34">
        <f t="shared" si="164"/>
        <v>16.07</v>
      </c>
      <c r="M169" s="34">
        <f t="shared" si="164"/>
        <v>16.5</v>
      </c>
      <c r="N169" s="34">
        <f t="shared" si="164"/>
        <v>16.809999999999999</v>
      </c>
      <c r="O169" s="34">
        <f t="shared" si="164"/>
        <v>16.809999999999999</v>
      </c>
      <c r="P169" s="54">
        <f t="shared" ref="P169:Q169" si="168">O169</f>
        <v>16.809999999999999</v>
      </c>
      <c r="Q169" s="54">
        <f t="shared" si="168"/>
        <v>16.809999999999999</v>
      </c>
      <c r="R169" s="38"/>
      <c r="X169" s="41">
        <f>INDEX('[1]End - Use Prices'!$C$6:$AL$89,MATCH($C169,'[1]End - Use Prices'!$A$6:$A$89,0)+MATCH($D169,'[1]End - Use Prices'!$B$9:$B$11,0)-1,MATCH(X$1,'[1]End - Use Prices'!$C$7:$AL$7,0))</f>
        <v>20.32</v>
      </c>
      <c r="Y169" s="41">
        <f>INDEX('[1]End - Use Prices'!$C$6:$AL$89,MATCH($C169,'[1]End - Use Prices'!$A$6:$A$89,0)+MATCH($D169,'[1]End - Use Prices'!$B$9:$B$11,0)-1,MATCH(Y$1,'[1]End - Use Prices'!$C$7:$AL$7,0))</f>
        <v>20.36</v>
      </c>
      <c r="Z169" s="41">
        <f>INDEX('[1]End - Use Prices'!$C$6:$AL$89,MATCH($C169,'[1]End - Use Prices'!$A$6:$A$89,0)+MATCH($D169,'[1]End - Use Prices'!$B$9:$B$11,0)-1,MATCH(Z$1,'[1]End - Use Prices'!$C$7:$AL$7,0))</f>
        <v>19</v>
      </c>
      <c r="AA169" s="41">
        <f>INDEX('[1]End - Use Prices'!$C$6:$AL$89,MATCH($C169,'[1]End - Use Prices'!$A$6:$A$89,0)+MATCH($D169,'[1]End - Use Prices'!$B$9:$B$11,0)-1,MATCH(AA$1,'[1]End - Use Prices'!$C$7:$AL$7,0))</f>
        <v>19.5</v>
      </c>
      <c r="AB169" s="41">
        <f>INDEX('[1]End - Use Prices'!$C$6:$AL$89,MATCH($C169,'[1]End - Use Prices'!$A$6:$A$89,0)+MATCH($D169,'[1]End - Use Prices'!$B$9:$B$11,0)-1,MATCH(AB$1,'[1]End - Use Prices'!$C$7:$AL$7,0))</f>
        <v>18.579999999999998</v>
      </c>
      <c r="AC169" s="41">
        <f>INDEX('[1]End - Use Prices'!$C$6:$AL$89,MATCH($C169,'[1]End - Use Prices'!$A$6:$A$89,0)+MATCH($D169,'[1]End - Use Prices'!$B$9:$B$11,0)-1,MATCH(AC$1,'[1]End - Use Prices'!$C$7:$AL$7,0))</f>
        <v>18.399999999999999</v>
      </c>
      <c r="AD169" s="41">
        <f>INDEX('[1]End - Use Prices'!$C$6:$AL$89,MATCH($C169,'[1]End - Use Prices'!$A$6:$A$89,0)+MATCH($D169,'[1]End - Use Prices'!$B$9:$B$11,0)-1,MATCH(AD$1,'[1]End - Use Prices'!$C$7:$AL$7,0))</f>
        <v>17.54</v>
      </c>
      <c r="AE169" s="41">
        <f>INDEX('[1]End - Use Prices'!$C$6:$AL$89,MATCH($C169,'[1]End - Use Prices'!$A$6:$A$89,0)+MATCH($D169,'[1]End - Use Prices'!$B$9:$B$11,0)-1,MATCH(AE$1,'[1]End - Use Prices'!$C$7:$AL$7,0))</f>
        <v>17.05</v>
      </c>
      <c r="AF169" s="41">
        <f>INDEX('[1]End - Use Prices'!$C$6:$AL$89,MATCH($C169,'[1]End - Use Prices'!$A$6:$A$89,0)+MATCH($D169,'[1]End - Use Prices'!$B$9:$B$11,0)-1,MATCH(AF$1,'[1]End - Use Prices'!$C$7:$AL$7,0))</f>
        <v>15.49</v>
      </c>
      <c r="AG169" s="41">
        <f>INDEX('[1]End - Use Prices'!$C$6:$AL$89,MATCH($C169,'[1]End - Use Prices'!$A$6:$A$89,0)+MATCH($D169,'[1]End - Use Prices'!$B$9:$B$11,0)-1,MATCH(AG$1,'[1]End - Use Prices'!$C$7:$AL$7,0))</f>
        <v>16.84</v>
      </c>
      <c r="AH169" s="41">
        <f>INDEX('[1]End - Use Prices'!$C$6:$AL$89,MATCH($C169,'[1]End - Use Prices'!$A$6:$A$89,0)+MATCH($D169,'[1]End - Use Prices'!$B$9:$B$11,0)-1,MATCH(AH$1,'[1]End - Use Prices'!$C$7:$AL$7,0))</f>
        <v>15.95</v>
      </c>
      <c r="AI169" s="41">
        <f>INDEX('[1]End - Use Prices'!$C$6:$AL$89,MATCH($C169,'[1]End - Use Prices'!$A$6:$A$89,0)+MATCH($D169,'[1]End - Use Prices'!$B$9:$B$11,0)-1,MATCH(AI$1,'[1]End - Use Prices'!$C$7:$AL$7,0))</f>
        <v>14.86</v>
      </c>
      <c r="AJ169" s="41">
        <f>INDEX('[1]End - Use Prices'!$C$6:$AL$89,MATCH($C169,'[1]End - Use Prices'!$A$6:$A$89,0)+MATCH($D169,'[1]End - Use Prices'!$B$9:$B$11,0)-1,MATCH(AJ$1,'[1]End - Use Prices'!$C$7:$AL$7,0))</f>
        <v>15.15</v>
      </c>
      <c r="AK169" s="41">
        <f>INDEX('[1]End - Use Prices'!$C$6:$AL$89,MATCH($C169,'[1]End - Use Prices'!$A$6:$A$89,0)+MATCH($D169,'[1]End - Use Prices'!$B$9:$B$11,0)-1,MATCH(AK$1,'[1]End - Use Prices'!$C$7:$AL$7,0))</f>
        <v>15</v>
      </c>
      <c r="AL169" s="41">
        <f>INDEX('[1]End - Use Prices'!$C$6:$AL$89,MATCH($C169,'[1]End - Use Prices'!$A$6:$A$89,0)+MATCH($D169,'[1]End - Use Prices'!$B$9:$B$11,0)-1,MATCH(AL$1,'[1]End - Use Prices'!$C$7:$AL$7,0))</f>
        <v>14.94</v>
      </c>
      <c r="AM169" s="41">
        <f>INDEX('[1]End - Use Prices'!$C$6:$AL$89,MATCH($C169,'[1]End - Use Prices'!$A$6:$A$89,0)+MATCH($D169,'[1]End - Use Prices'!$B$9:$B$11,0)-1,MATCH(AM$1,'[1]End - Use Prices'!$C$7:$AL$7,0))</f>
        <v>15</v>
      </c>
      <c r="AN169" s="41">
        <f>INDEX('[1]End - Use Prices'!$C$6:$AL$89,MATCH($C169,'[1]End - Use Prices'!$A$6:$A$89,0)+MATCH($D169,'[1]End - Use Prices'!$B$9:$B$11,0)-1,MATCH(AN$1,'[1]End - Use Prices'!$C$7:$AL$7,0))</f>
        <v>15.24</v>
      </c>
      <c r="AO169" s="41">
        <f>INDEX('[1]End - Use Prices'!$C$6:$AL$89,MATCH($C169,'[1]End - Use Prices'!$A$6:$A$89,0)+MATCH($D169,'[1]End - Use Prices'!$B$9:$B$11,0)-1,MATCH(AO$1,'[1]End - Use Prices'!$C$7:$AL$7,0))</f>
        <v>15.47</v>
      </c>
      <c r="AP169" s="41">
        <f>INDEX('[1]End - Use Prices'!$C$6:$AL$89,MATCH($C169,'[1]End - Use Prices'!$A$6:$A$89,0)+MATCH($D169,'[1]End - Use Prices'!$B$9:$B$11,0)-1,MATCH(AP$1,'[1]End - Use Prices'!$C$7:$AL$7,0))</f>
        <v>15.66</v>
      </c>
      <c r="AQ169" s="41">
        <f>INDEX('[1]End - Use Prices'!$C$6:$AL$89,MATCH($C169,'[1]End - Use Prices'!$A$6:$A$89,0)+MATCH($D169,'[1]End - Use Prices'!$B$9:$B$11,0)-1,MATCH(AQ$1,'[1]End - Use Prices'!$C$7:$AL$7,0))</f>
        <v>15.86</v>
      </c>
      <c r="AR169" s="41">
        <f>INDEX('[1]End - Use Prices'!$C$6:$AL$89,MATCH($C169,'[1]End - Use Prices'!$A$6:$A$89,0)+MATCH($D169,'[1]End - Use Prices'!$B$9:$B$11,0)-1,MATCH(AR$1,'[1]End - Use Prices'!$C$7:$AL$7,0))</f>
        <v>16.07</v>
      </c>
      <c r="AS169" s="41">
        <f>INDEX('[1]End - Use Prices'!$C$6:$AL$89,MATCH($C169,'[1]End - Use Prices'!$A$6:$A$89,0)+MATCH($D169,'[1]End - Use Prices'!$B$9:$B$11,0)-1,MATCH(AS$1,'[1]End - Use Prices'!$C$7:$AL$7,0))</f>
        <v>16.350000000000001</v>
      </c>
      <c r="AT169" s="41">
        <f>INDEX('[1]End - Use Prices'!$C$6:$AL$89,MATCH($C169,'[1]End - Use Prices'!$A$6:$A$89,0)+MATCH($D169,'[1]End - Use Prices'!$B$9:$B$11,0)-1,MATCH(AT$1,'[1]End - Use Prices'!$C$7:$AL$7,0))</f>
        <v>16.36</v>
      </c>
      <c r="AU169" s="41">
        <f>INDEX('[1]End - Use Prices'!$C$6:$AL$89,MATCH($C169,'[1]End - Use Prices'!$A$6:$A$89,0)+MATCH($D169,'[1]End - Use Prices'!$B$9:$B$11,0)-1,MATCH(AU$1,'[1]End - Use Prices'!$C$7:$AL$7,0))</f>
        <v>16.399999999999999</v>
      </c>
      <c r="AV169" s="41">
        <f>INDEX('[1]End - Use Prices'!$C$6:$AL$89,MATCH($C169,'[1]End - Use Prices'!$A$6:$A$89,0)+MATCH($D169,'[1]End - Use Prices'!$B$9:$B$11,0)-1,MATCH(AV$1,'[1]End - Use Prices'!$C$7:$AL$7,0))</f>
        <v>16.45</v>
      </c>
      <c r="AW169" s="41">
        <f>INDEX('[1]End - Use Prices'!$C$6:$AL$89,MATCH($C169,'[1]End - Use Prices'!$A$6:$A$89,0)+MATCH($D169,'[1]End - Use Prices'!$B$9:$B$11,0)-1,MATCH(AW$1,'[1]End - Use Prices'!$C$7:$AL$7,0))</f>
        <v>16.5</v>
      </c>
      <c r="AX169" s="41">
        <f>INDEX('[1]End - Use Prices'!$C$6:$AL$89,MATCH($C169,'[1]End - Use Prices'!$A$6:$A$89,0)+MATCH($D169,'[1]End - Use Prices'!$B$9:$B$11,0)-1,MATCH(AX$1,'[1]End - Use Prices'!$C$7:$AL$7,0))</f>
        <v>16.57</v>
      </c>
      <c r="AY169" s="41">
        <f>INDEX('[1]End - Use Prices'!$C$6:$AL$89,MATCH($C169,'[1]End - Use Prices'!$A$6:$A$89,0)+MATCH($D169,'[1]End - Use Prices'!$B$9:$B$11,0)-1,MATCH(AY$1,'[1]End - Use Prices'!$C$7:$AL$7,0))</f>
        <v>16.649999999999999</v>
      </c>
      <c r="AZ169" s="41">
        <f>INDEX('[1]End - Use Prices'!$C$6:$AL$89,MATCH($C169,'[1]End - Use Prices'!$A$6:$A$89,0)+MATCH($D169,'[1]End - Use Prices'!$B$9:$B$11,0)-1,MATCH(AZ$1,'[1]End - Use Prices'!$C$7:$AL$7,0))</f>
        <v>16.739999999999998</v>
      </c>
      <c r="BA169" s="41">
        <f>INDEX('[1]End - Use Prices'!$C$6:$AL$89,MATCH($C169,'[1]End - Use Prices'!$A$6:$A$89,0)+MATCH($D169,'[1]End - Use Prices'!$B$9:$B$11,0)-1,MATCH(BA$1,'[1]End - Use Prices'!$C$7:$AL$7,0))</f>
        <v>16.77</v>
      </c>
      <c r="BB169" s="41">
        <f>INDEX('[1]End - Use Prices'!$C$6:$AL$89,MATCH($C169,'[1]End - Use Prices'!$A$6:$A$89,0)+MATCH($D169,'[1]End - Use Prices'!$B$9:$B$11,0)-1,MATCH(BB$1,'[1]End - Use Prices'!$C$7:$AL$7,0))</f>
        <v>16.809999999999999</v>
      </c>
      <c r="BC169" s="41">
        <f>INDEX('[1]End - Use Prices'!$C$6:$AL$89,MATCH($C169,'[1]End - Use Prices'!$A$6:$A$89,0)+MATCH($D169,'[1]End - Use Prices'!$B$9:$B$11,0)-1,MATCH(BC$1,'[1]End - Use Prices'!$C$7:$AL$7,0))</f>
        <v>16.829999999999998</v>
      </c>
      <c r="BD169" s="41">
        <f>INDEX('[1]End - Use Prices'!$C$6:$AL$89,MATCH($C169,'[1]End - Use Prices'!$A$6:$A$89,0)+MATCH($D169,'[1]End - Use Prices'!$B$9:$B$11,0)-1,MATCH(BD$1,'[1]End - Use Prices'!$C$7:$AL$7,0))</f>
        <v>16.829999999999998</v>
      </c>
      <c r="BE169" s="41">
        <f>INDEX('[1]End - Use Prices'!$C$6:$AL$89,MATCH($C169,'[1]End - Use Prices'!$A$6:$A$89,0)+MATCH($D169,'[1]End - Use Prices'!$B$9:$B$11,0)-1,MATCH(BE$1,'[1]End - Use Prices'!$C$7:$AL$7,0))</f>
        <v>16.829999999999998</v>
      </c>
      <c r="BF169" s="41">
        <f>INDEX('[1]End - Use Prices'!$C$6:$AL$89,MATCH($C169,'[1]End - Use Prices'!$A$6:$A$89,0)+MATCH($D169,'[1]End - Use Prices'!$B$9:$B$11,0)-1,MATCH(BF$1,'[1]End - Use Prices'!$C$7:$AL$7,0))</f>
        <v>16.82</v>
      </c>
      <c r="BG169" s="41">
        <f>INDEX('[1]End - Use Prices'!$C$6:$AL$89,MATCH($C169,'[1]End - Use Prices'!$A$6:$A$89,0)+MATCH($D169,'[1]End - Use Prices'!$B$9:$B$11,0)-1,MATCH(BG$1,'[1]End - Use Prices'!$C$7:$AL$7,0))</f>
        <v>16.809999999999999</v>
      </c>
      <c r="BR169" s="39"/>
      <c r="BS169" s="39"/>
      <c r="BT169" s="39"/>
      <c r="BU169" s="39"/>
      <c r="BV169" s="39"/>
      <c r="BW169" s="39"/>
      <c r="BX169" s="39"/>
      <c r="BY169" s="39"/>
      <c r="BZ169" s="39"/>
      <c r="CA169" s="39"/>
    </row>
    <row r="170" spans="1:79" x14ac:dyDescent="0.25">
      <c r="A170" s="5"/>
      <c r="B170" s="3"/>
      <c r="C170" s="25" t="s">
        <v>92</v>
      </c>
      <c r="D170" s="25" t="s">
        <v>14</v>
      </c>
      <c r="E170" s="25" t="s">
        <v>313</v>
      </c>
      <c r="F170" s="74" t="s">
        <v>310</v>
      </c>
      <c r="G170" s="54">
        <f t="shared" si="146"/>
        <v>16.739999999999998</v>
      </c>
      <c r="H170" s="34">
        <f t="shared" si="164"/>
        <v>16.739999999999998</v>
      </c>
      <c r="I170" s="34">
        <f t="shared" si="164"/>
        <v>13.57</v>
      </c>
      <c r="J170" s="34">
        <f t="shared" si="164"/>
        <v>12.15</v>
      </c>
      <c r="K170" s="34">
        <f t="shared" si="164"/>
        <v>10.119999999999999</v>
      </c>
      <c r="L170" s="34">
        <f t="shared" si="164"/>
        <v>11.4</v>
      </c>
      <c r="M170" s="34">
        <f t="shared" si="164"/>
        <v>11.98</v>
      </c>
      <c r="N170" s="34">
        <f t="shared" si="164"/>
        <v>12.4</v>
      </c>
      <c r="O170" s="34">
        <f t="shared" si="164"/>
        <v>12.52</v>
      </c>
      <c r="P170" s="54">
        <f t="shared" ref="P170:Q170" si="169">O170</f>
        <v>12.52</v>
      </c>
      <c r="Q170" s="54">
        <f t="shared" si="169"/>
        <v>12.52</v>
      </c>
      <c r="R170" s="38"/>
      <c r="X170" s="41">
        <f>INDEX('[1]End - Use Prices'!$C$6:$AL$89,MATCH($C170,'[1]End - Use Prices'!$A$6:$A$89,0)+MATCH($D170,'[1]End - Use Prices'!$B$9:$B$11,0)-1,MATCH(X$1,'[1]End - Use Prices'!$C$7:$AL$7,0))</f>
        <v>16.739999999999998</v>
      </c>
      <c r="Y170" s="41">
        <f>INDEX('[1]End - Use Prices'!$C$6:$AL$89,MATCH($C170,'[1]End - Use Prices'!$A$6:$A$89,0)+MATCH($D170,'[1]End - Use Prices'!$B$9:$B$11,0)-1,MATCH(Y$1,'[1]End - Use Prices'!$C$7:$AL$7,0))</f>
        <v>17.82</v>
      </c>
      <c r="Z170" s="41">
        <f>INDEX('[1]End - Use Prices'!$C$6:$AL$89,MATCH($C170,'[1]End - Use Prices'!$A$6:$A$89,0)+MATCH($D170,'[1]End - Use Prices'!$B$9:$B$11,0)-1,MATCH(Z$1,'[1]End - Use Prices'!$C$7:$AL$7,0))</f>
        <v>16.100000000000001</v>
      </c>
      <c r="AA170" s="41">
        <f>INDEX('[1]End - Use Prices'!$C$6:$AL$89,MATCH($C170,'[1]End - Use Prices'!$A$6:$A$89,0)+MATCH($D170,'[1]End - Use Prices'!$B$9:$B$11,0)-1,MATCH(AA$1,'[1]End - Use Prices'!$C$7:$AL$7,0))</f>
        <v>16.25</v>
      </c>
      <c r="AB170" s="41">
        <f>INDEX('[1]End - Use Prices'!$C$6:$AL$89,MATCH($C170,'[1]End - Use Prices'!$A$6:$A$89,0)+MATCH($D170,'[1]End - Use Prices'!$B$9:$B$11,0)-1,MATCH(AB$1,'[1]End - Use Prices'!$C$7:$AL$7,0))</f>
        <v>13.76</v>
      </c>
      <c r="AC170" s="41">
        <f>INDEX('[1]End - Use Prices'!$C$6:$AL$89,MATCH($C170,'[1]End - Use Prices'!$A$6:$A$89,0)+MATCH($D170,'[1]End - Use Prices'!$B$9:$B$11,0)-1,MATCH(AC$1,'[1]End - Use Prices'!$C$7:$AL$7,0))</f>
        <v>13.57</v>
      </c>
      <c r="AD170" s="41">
        <f>INDEX('[1]End - Use Prices'!$C$6:$AL$89,MATCH($C170,'[1]End - Use Prices'!$A$6:$A$89,0)+MATCH($D170,'[1]End - Use Prices'!$B$9:$B$11,0)-1,MATCH(AD$1,'[1]End - Use Prices'!$C$7:$AL$7,0))</f>
        <v>11.83</v>
      </c>
      <c r="AE170" s="41">
        <f>INDEX('[1]End - Use Prices'!$C$6:$AL$89,MATCH($C170,'[1]End - Use Prices'!$A$6:$A$89,0)+MATCH($D170,'[1]End - Use Prices'!$B$9:$B$11,0)-1,MATCH(AE$1,'[1]End - Use Prices'!$C$7:$AL$7,0))</f>
        <v>11.22</v>
      </c>
      <c r="AF170" s="41">
        <f>INDEX('[1]End - Use Prices'!$C$6:$AL$89,MATCH($C170,'[1]End - Use Prices'!$A$6:$A$89,0)+MATCH($D170,'[1]End - Use Prices'!$B$9:$B$11,0)-1,MATCH(AF$1,'[1]End - Use Prices'!$C$7:$AL$7,0))</f>
        <v>11.17</v>
      </c>
      <c r="AG170" s="41">
        <f>INDEX('[1]End - Use Prices'!$C$6:$AL$89,MATCH($C170,'[1]End - Use Prices'!$A$6:$A$89,0)+MATCH($D170,'[1]End - Use Prices'!$B$9:$B$11,0)-1,MATCH(AG$1,'[1]End - Use Prices'!$C$7:$AL$7,0))</f>
        <v>12.03</v>
      </c>
      <c r="AH170" s="41">
        <f>INDEX('[1]End - Use Prices'!$C$6:$AL$89,MATCH($C170,'[1]End - Use Prices'!$A$6:$A$89,0)+MATCH($D170,'[1]End - Use Prices'!$B$9:$B$11,0)-1,MATCH(AH$1,'[1]End - Use Prices'!$C$7:$AL$7,0))</f>
        <v>12.15</v>
      </c>
      <c r="AI170" s="41">
        <f>INDEX('[1]End - Use Prices'!$C$6:$AL$89,MATCH($C170,'[1]End - Use Prices'!$A$6:$A$89,0)+MATCH($D170,'[1]End - Use Prices'!$B$9:$B$11,0)-1,MATCH(AI$1,'[1]End - Use Prices'!$C$7:$AL$7,0))</f>
        <v>9.42</v>
      </c>
      <c r="AJ170" s="41">
        <f>INDEX('[1]End - Use Prices'!$C$6:$AL$89,MATCH($C170,'[1]End - Use Prices'!$A$6:$A$89,0)+MATCH($D170,'[1]End - Use Prices'!$B$9:$B$11,0)-1,MATCH(AJ$1,'[1]End - Use Prices'!$C$7:$AL$7,0))</f>
        <v>13.49</v>
      </c>
      <c r="AK170" s="41">
        <f>INDEX('[1]End - Use Prices'!$C$6:$AL$89,MATCH($C170,'[1]End - Use Prices'!$A$6:$A$89,0)+MATCH($D170,'[1]End - Use Prices'!$B$9:$B$11,0)-1,MATCH(AK$1,'[1]End - Use Prices'!$C$7:$AL$7,0))</f>
        <v>10.95</v>
      </c>
      <c r="AL170" s="41">
        <f>INDEX('[1]End - Use Prices'!$C$6:$AL$89,MATCH($C170,'[1]End - Use Prices'!$A$6:$A$89,0)+MATCH($D170,'[1]End - Use Prices'!$B$9:$B$11,0)-1,MATCH(AL$1,'[1]End - Use Prices'!$C$7:$AL$7,0))</f>
        <v>10.029999999999999</v>
      </c>
      <c r="AM170" s="41">
        <f>INDEX('[1]End - Use Prices'!$C$6:$AL$89,MATCH($C170,'[1]End - Use Prices'!$A$6:$A$89,0)+MATCH($D170,'[1]End - Use Prices'!$B$9:$B$11,0)-1,MATCH(AM$1,'[1]End - Use Prices'!$C$7:$AL$7,0))</f>
        <v>10.119999999999999</v>
      </c>
      <c r="AN170" s="41">
        <f>INDEX('[1]End - Use Prices'!$C$6:$AL$89,MATCH($C170,'[1]End - Use Prices'!$A$6:$A$89,0)+MATCH($D170,'[1]End - Use Prices'!$B$9:$B$11,0)-1,MATCH(AN$1,'[1]End - Use Prices'!$C$7:$AL$7,0))</f>
        <v>10.4</v>
      </c>
      <c r="AO170" s="41">
        <f>INDEX('[1]End - Use Prices'!$C$6:$AL$89,MATCH($C170,'[1]End - Use Prices'!$A$6:$A$89,0)+MATCH($D170,'[1]End - Use Prices'!$B$9:$B$11,0)-1,MATCH(AO$1,'[1]End - Use Prices'!$C$7:$AL$7,0))</f>
        <v>10.68</v>
      </c>
      <c r="AP170" s="41">
        <f>INDEX('[1]End - Use Prices'!$C$6:$AL$89,MATCH($C170,'[1]End - Use Prices'!$A$6:$A$89,0)+MATCH($D170,'[1]End - Use Prices'!$B$9:$B$11,0)-1,MATCH(AP$1,'[1]End - Use Prices'!$C$7:$AL$7,0))</f>
        <v>10.91</v>
      </c>
      <c r="AQ170" s="41">
        <f>INDEX('[1]End - Use Prices'!$C$6:$AL$89,MATCH($C170,'[1]End - Use Prices'!$A$6:$A$89,0)+MATCH($D170,'[1]End - Use Prices'!$B$9:$B$11,0)-1,MATCH(AQ$1,'[1]End - Use Prices'!$C$7:$AL$7,0))</f>
        <v>11.15</v>
      </c>
      <c r="AR170" s="41">
        <f>INDEX('[1]End - Use Prices'!$C$6:$AL$89,MATCH($C170,'[1]End - Use Prices'!$A$6:$A$89,0)+MATCH($D170,'[1]End - Use Prices'!$B$9:$B$11,0)-1,MATCH(AR$1,'[1]End - Use Prices'!$C$7:$AL$7,0))</f>
        <v>11.4</v>
      </c>
      <c r="AS170" s="41">
        <f>INDEX('[1]End - Use Prices'!$C$6:$AL$89,MATCH($C170,'[1]End - Use Prices'!$A$6:$A$89,0)+MATCH($D170,'[1]End - Use Prices'!$B$9:$B$11,0)-1,MATCH(AS$1,'[1]End - Use Prices'!$C$7:$AL$7,0))</f>
        <v>11.72</v>
      </c>
      <c r="AT170" s="41">
        <f>INDEX('[1]End - Use Prices'!$C$6:$AL$89,MATCH($C170,'[1]End - Use Prices'!$A$6:$A$89,0)+MATCH($D170,'[1]End - Use Prices'!$B$9:$B$11,0)-1,MATCH(AT$1,'[1]End - Use Prices'!$C$7:$AL$7,0))</f>
        <v>11.76</v>
      </c>
      <c r="AU170" s="41">
        <f>INDEX('[1]End - Use Prices'!$C$6:$AL$89,MATCH($C170,'[1]End - Use Prices'!$A$6:$A$89,0)+MATCH($D170,'[1]End - Use Prices'!$B$9:$B$11,0)-1,MATCH(AU$1,'[1]End - Use Prices'!$C$7:$AL$7,0))</f>
        <v>11.83</v>
      </c>
      <c r="AV170" s="41">
        <f>INDEX('[1]End - Use Prices'!$C$6:$AL$89,MATCH($C170,'[1]End - Use Prices'!$A$6:$A$89,0)+MATCH($D170,'[1]End - Use Prices'!$B$9:$B$11,0)-1,MATCH(AV$1,'[1]End - Use Prices'!$C$7:$AL$7,0))</f>
        <v>11.91</v>
      </c>
      <c r="AW170" s="41">
        <f>INDEX('[1]End - Use Prices'!$C$6:$AL$89,MATCH($C170,'[1]End - Use Prices'!$A$6:$A$89,0)+MATCH($D170,'[1]End - Use Prices'!$B$9:$B$11,0)-1,MATCH(AW$1,'[1]End - Use Prices'!$C$7:$AL$7,0))</f>
        <v>11.98</v>
      </c>
      <c r="AX170" s="41">
        <f>INDEX('[1]End - Use Prices'!$C$6:$AL$89,MATCH($C170,'[1]End - Use Prices'!$A$6:$A$89,0)+MATCH($D170,'[1]End - Use Prices'!$B$9:$B$11,0)-1,MATCH(AX$1,'[1]End - Use Prices'!$C$7:$AL$7,0))</f>
        <v>12.07</v>
      </c>
      <c r="AY170" s="41">
        <f>INDEX('[1]End - Use Prices'!$C$6:$AL$89,MATCH($C170,'[1]End - Use Prices'!$A$6:$A$89,0)+MATCH($D170,'[1]End - Use Prices'!$B$9:$B$11,0)-1,MATCH(AY$1,'[1]End - Use Prices'!$C$7:$AL$7,0))</f>
        <v>12.18</v>
      </c>
      <c r="AZ170" s="41">
        <f>INDEX('[1]End - Use Prices'!$C$6:$AL$89,MATCH($C170,'[1]End - Use Prices'!$A$6:$A$89,0)+MATCH($D170,'[1]End - Use Prices'!$B$9:$B$11,0)-1,MATCH(AZ$1,'[1]End - Use Prices'!$C$7:$AL$7,0))</f>
        <v>12.29</v>
      </c>
      <c r="BA170" s="41">
        <f>INDEX('[1]End - Use Prices'!$C$6:$AL$89,MATCH($C170,'[1]End - Use Prices'!$A$6:$A$89,0)+MATCH($D170,'[1]End - Use Prices'!$B$9:$B$11,0)-1,MATCH(BA$1,'[1]End - Use Prices'!$C$7:$AL$7,0))</f>
        <v>12.35</v>
      </c>
      <c r="BB170" s="41">
        <f>INDEX('[1]End - Use Prices'!$C$6:$AL$89,MATCH($C170,'[1]End - Use Prices'!$A$6:$A$89,0)+MATCH($D170,'[1]End - Use Prices'!$B$9:$B$11,0)-1,MATCH(BB$1,'[1]End - Use Prices'!$C$7:$AL$7,0))</f>
        <v>12.4</v>
      </c>
      <c r="BC170" s="41">
        <f>INDEX('[1]End - Use Prices'!$C$6:$AL$89,MATCH($C170,'[1]End - Use Prices'!$A$6:$A$89,0)+MATCH($D170,'[1]End - Use Prices'!$B$9:$B$11,0)-1,MATCH(BC$1,'[1]End - Use Prices'!$C$7:$AL$7,0))</f>
        <v>12.45</v>
      </c>
      <c r="BD170" s="41">
        <f>INDEX('[1]End - Use Prices'!$C$6:$AL$89,MATCH($C170,'[1]End - Use Prices'!$A$6:$A$89,0)+MATCH($D170,'[1]End - Use Prices'!$B$9:$B$11,0)-1,MATCH(BD$1,'[1]End - Use Prices'!$C$7:$AL$7,0))</f>
        <v>12.48</v>
      </c>
      <c r="BE170" s="41">
        <f>INDEX('[1]End - Use Prices'!$C$6:$AL$89,MATCH($C170,'[1]End - Use Prices'!$A$6:$A$89,0)+MATCH($D170,'[1]End - Use Prices'!$B$9:$B$11,0)-1,MATCH(BE$1,'[1]End - Use Prices'!$C$7:$AL$7,0))</f>
        <v>12.49</v>
      </c>
      <c r="BF170" s="41">
        <f>INDEX('[1]End - Use Prices'!$C$6:$AL$89,MATCH($C170,'[1]End - Use Prices'!$A$6:$A$89,0)+MATCH($D170,'[1]End - Use Prices'!$B$9:$B$11,0)-1,MATCH(BF$1,'[1]End - Use Prices'!$C$7:$AL$7,0))</f>
        <v>12.51</v>
      </c>
      <c r="BG170" s="41">
        <f>INDEX('[1]End - Use Prices'!$C$6:$AL$89,MATCH($C170,'[1]End - Use Prices'!$A$6:$A$89,0)+MATCH($D170,'[1]End - Use Prices'!$B$9:$B$11,0)-1,MATCH(BG$1,'[1]End - Use Prices'!$C$7:$AL$7,0))</f>
        <v>12.52</v>
      </c>
      <c r="BR170" s="39"/>
      <c r="BS170" s="39"/>
      <c r="BT170" s="39"/>
      <c r="BU170" s="39"/>
      <c r="BV170" s="39"/>
      <c r="BW170" s="39"/>
      <c r="BX170" s="39"/>
      <c r="BY170" s="39"/>
      <c r="BZ170" s="39"/>
      <c r="CA170" s="39"/>
    </row>
    <row r="171" spans="1:79" x14ac:dyDescent="0.25">
      <c r="A171" s="5"/>
      <c r="B171" s="3"/>
      <c r="C171" s="25" t="s">
        <v>93</v>
      </c>
      <c r="D171" s="25" t="s">
        <v>14</v>
      </c>
      <c r="E171" s="25" t="s">
        <v>313</v>
      </c>
      <c r="F171" s="74" t="s">
        <v>310</v>
      </c>
      <c r="G171" s="54">
        <f t="shared" si="146"/>
        <v>16.21</v>
      </c>
      <c r="H171" s="34">
        <f t="shared" si="164"/>
        <v>16.21</v>
      </c>
      <c r="I171" s="34">
        <f t="shared" si="164"/>
        <v>11.7</v>
      </c>
      <c r="J171" s="34">
        <f t="shared" si="164"/>
        <v>11.47</v>
      </c>
      <c r="K171" s="34">
        <f t="shared" si="164"/>
        <v>10.53</v>
      </c>
      <c r="L171" s="34">
        <f t="shared" si="164"/>
        <v>11.81</v>
      </c>
      <c r="M171" s="34">
        <f t="shared" si="164"/>
        <v>12.43</v>
      </c>
      <c r="N171" s="34">
        <f t="shared" si="164"/>
        <v>13.03</v>
      </c>
      <c r="O171" s="34">
        <f t="shared" si="164"/>
        <v>13.31</v>
      </c>
      <c r="P171" s="54">
        <f t="shared" ref="P171:Q171" si="170">O171</f>
        <v>13.31</v>
      </c>
      <c r="Q171" s="54">
        <f t="shared" si="170"/>
        <v>13.31</v>
      </c>
      <c r="R171" s="38"/>
      <c r="X171" s="41">
        <f>INDEX('[1]End - Use Prices'!$C$6:$AL$89,MATCH($C171,'[1]End - Use Prices'!$A$6:$A$89,0)+MATCH($D171,'[1]End - Use Prices'!$B$9:$B$11,0)-1,MATCH(X$1,'[1]End - Use Prices'!$C$7:$AL$7,0))</f>
        <v>16.21</v>
      </c>
      <c r="Y171" s="41">
        <f>INDEX('[1]End - Use Prices'!$C$6:$AL$89,MATCH($C171,'[1]End - Use Prices'!$A$6:$A$89,0)+MATCH($D171,'[1]End - Use Prices'!$B$9:$B$11,0)-1,MATCH(Y$1,'[1]End - Use Prices'!$C$7:$AL$7,0))</f>
        <v>15.41</v>
      </c>
      <c r="Z171" s="41">
        <f>INDEX('[1]End - Use Prices'!$C$6:$AL$89,MATCH($C171,'[1]End - Use Prices'!$A$6:$A$89,0)+MATCH($D171,'[1]End - Use Prices'!$B$9:$B$11,0)-1,MATCH(Z$1,'[1]End - Use Prices'!$C$7:$AL$7,0))</f>
        <v>14.81</v>
      </c>
      <c r="AA171" s="41">
        <f>INDEX('[1]End - Use Prices'!$C$6:$AL$89,MATCH($C171,'[1]End - Use Prices'!$A$6:$A$89,0)+MATCH($D171,'[1]End - Use Prices'!$B$9:$B$11,0)-1,MATCH(AA$1,'[1]End - Use Prices'!$C$7:$AL$7,0))</f>
        <v>14.53</v>
      </c>
      <c r="AB171" s="41">
        <f>INDEX('[1]End - Use Prices'!$C$6:$AL$89,MATCH($C171,'[1]End - Use Prices'!$A$6:$A$89,0)+MATCH($D171,'[1]End - Use Prices'!$B$9:$B$11,0)-1,MATCH(AB$1,'[1]End - Use Prices'!$C$7:$AL$7,0))</f>
        <v>14.23</v>
      </c>
      <c r="AC171" s="41">
        <f>INDEX('[1]End - Use Prices'!$C$6:$AL$89,MATCH($C171,'[1]End - Use Prices'!$A$6:$A$89,0)+MATCH($D171,'[1]End - Use Prices'!$B$9:$B$11,0)-1,MATCH(AC$1,'[1]End - Use Prices'!$C$7:$AL$7,0))</f>
        <v>11.7</v>
      </c>
      <c r="AD171" s="41">
        <f>INDEX('[1]End - Use Prices'!$C$6:$AL$89,MATCH($C171,'[1]End - Use Prices'!$A$6:$A$89,0)+MATCH($D171,'[1]End - Use Prices'!$B$9:$B$11,0)-1,MATCH(AD$1,'[1]End - Use Prices'!$C$7:$AL$7,0))</f>
        <v>11.6</v>
      </c>
      <c r="AE171" s="41">
        <f>INDEX('[1]End - Use Prices'!$C$6:$AL$89,MATCH($C171,'[1]End - Use Prices'!$A$6:$A$89,0)+MATCH($D171,'[1]End - Use Prices'!$B$9:$B$11,0)-1,MATCH(AE$1,'[1]End - Use Prices'!$C$7:$AL$7,0))</f>
        <v>10.07</v>
      </c>
      <c r="AF171" s="41">
        <f>INDEX('[1]End - Use Prices'!$C$6:$AL$89,MATCH($C171,'[1]End - Use Prices'!$A$6:$A$89,0)+MATCH($D171,'[1]End - Use Prices'!$B$9:$B$11,0)-1,MATCH(AF$1,'[1]End - Use Prices'!$C$7:$AL$7,0))</f>
        <v>10.41</v>
      </c>
      <c r="AG171" s="41">
        <f>INDEX('[1]End - Use Prices'!$C$6:$AL$89,MATCH($C171,'[1]End - Use Prices'!$A$6:$A$89,0)+MATCH($D171,'[1]End - Use Prices'!$B$9:$B$11,0)-1,MATCH(AG$1,'[1]End - Use Prices'!$C$7:$AL$7,0))</f>
        <v>10.98</v>
      </c>
      <c r="AH171" s="41">
        <f>INDEX('[1]End - Use Prices'!$C$6:$AL$89,MATCH($C171,'[1]End - Use Prices'!$A$6:$A$89,0)+MATCH($D171,'[1]End - Use Prices'!$B$9:$B$11,0)-1,MATCH(AH$1,'[1]End - Use Prices'!$C$7:$AL$7,0))</f>
        <v>11.47</v>
      </c>
      <c r="AI171" s="41">
        <f>INDEX('[1]End - Use Prices'!$C$6:$AL$89,MATCH($C171,'[1]End - Use Prices'!$A$6:$A$89,0)+MATCH($D171,'[1]End - Use Prices'!$B$9:$B$11,0)-1,MATCH(AI$1,'[1]End - Use Prices'!$C$7:$AL$7,0))</f>
        <v>9.65</v>
      </c>
      <c r="AJ171" s="41">
        <f>INDEX('[1]End - Use Prices'!$C$6:$AL$89,MATCH($C171,'[1]End - Use Prices'!$A$6:$A$89,0)+MATCH($D171,'[1]End - Use Prices'!$B$9:$B$11,0)-1,MATCH(AJ$1,'[1]End - Use Prices'!$C$7:$AL$7,0))</f>
        <v>9.7100000000000009</v>
      </c>
      <c r="AK171" s="41">
        <f>INDEX('[1]End - Use Prices'!$C$6:$AL$89,MATCH($C171,'[1]End - Use Prices'!$A$6:$A$89,0)+MATCH($D171,'[1]End - Use Prices'!$B$9:$B$11,0)-1,MATCH(AK$1,'[1]End - Use Prices'!$C$7:$AL$7,0))</f>
        <v>9.6300000000000008</v>
      </c>
      <c r="AL171" s="41">
        <f>INDEX('[1]End - Use Prices'!$C$6:$AL$89,MATCH($C171,'[1]End - Use Prices'!$A$6:$A$89,0)+MATCH($D171,'[1]End - Use Prices'!$B$9:$B$11,0)-1,MATCH(AL$1,'[1]End - Use Prices'!$C$7:$AL$7,0))</f>
        <v>9.6199999999999992</v>
      </c>
      <c r="AM171" s="41">
        <f>INDEX('[1]End - Use Prices'!$C$6:$AL$89,MATCH($C171,'[1]End - Use Prices'!$A$6:$A$89,0)+MATCH($D171,'[1]End - Use Prices'!$B$9:$B$11,0)-1,MATCH(AM$1,'[1]End - Use Prices'!$C$7:$AL$7,0))</f>
        <v>10.53</v>
      </c>
      <c r="AN171" s="41">
        <f>INDEX('[1]End - Use Prices'!$C$6:$AL$89,MATCH($C171,'[1]End - Use Prices'!$A$6:$A$89,0)+MATCH($D171,'[1]End - Use Prices'!$B$9:$B$11,0)-1,MATCH(AN$1,'[1]End - Use Prices'!$C$7:$AL$7,0))</f>
        <v>10.96</v>
      </c>
      <c r="AO171" s="41">
        <f>INDEX('[1]End - Use Prices'!$C$6:$AL$89,MATCH($C171,'[1]End - Use Prices'!$A$6:$A$89,0)+MATCH($D171,'[1]End - Use Prices'!$B$9:$B$11,0)-1,MATCH(AO$1,'[1]End - Use Prices'!$C$7:$AL$7,0))</f>
        <v>11.37</v>
      </c>
      <c r="AP171" s="41">
        <f>INDEX('[1]End - Use Prices'!$C$6:$AL$89,MATCH($C171,'[1]End - Use Prices'!$A$6:$A$89,0)+MATCH($D171,'[1]End - Use Prices'!$B$9:$B$11,0)-1,MATCH(AP$1,'[1]End - Use Prices'!$C$7:$AL$7,0))</f>
        <v>11.74</v>
      </c>
      <c r="AQ171" s="41">
        <f>INDEX('[1]End - Use Prices'!$C$6:$AL$89,MATCH($C171,'[1]End - Use Prices'!$A$6:$A$89,0)+MATCH($D171,'[1]End - Use Prices'!$B$9:$B$11,0)-1,MATCH(AQ$1,'[1]End - Use Prices'!$C$7:$AL$7,0))</f>
        <v>11.76</v>
      </c>
      <c r="AR171" s="41">
        <f>INDEX('[1]End - Use Prices'!$C$6:$AL$89,MATCH($C171,'[1]End - Use Prices'!$A$6:$A$89,0)+MATCH($D171,'[1]End - Use Prices'!$B$9:$B$11,0)-1,MATCH(AR$1,'[1]End - Use Prices'!$C$7:$AL$7,0))</f>
        <v>11.81</v>
      </c>
      <c r="AS171" s="41">
        <f>INDEX('[1]End - Use Prices'!$C$6:$AL$89,MATCH($C171,'[1]End - Use Prices'!$A$6:$A$89,0)+MATCH($D171,'[1]End - Use Prices'!$B$9:$B$11,0)-1,MATCH(AS$1,'[1]End - Use Prices'!$C$7:$AL$7,0))</f>
        <v>11.93</v>
      </c>
      <c r="AT171" s="41">
        <f>INDEX('[1]End - Use Prices'!$C$6:$AL$89,MATCH($C171,'[1]End - Use Prices'!$A$6:$A$89,0)+MATCH($D171,'[1]End - Use Prices'!$B$9:$B$11,0)-1,MATCH(AT$1,'[1]End - Use Prices'!$C$7:$AL$7,0))</f>
        <v>12.04</v>
      </c>
      <c r="AU171" s="41">
        <f>INDEX('[1]End - Use Prices'!$C$6:$AL$89,MATCH($C171,'[1]End - Use Prices'!$A$6:$A$89,0)+MATCH($D171,'[1]End - Use Prices'!$B$9:$B$11,0)-1,MATCH(AU$1,'[1]End - Use Prices'!$C$7:$AL$7,0))</f>
        <v>12.16</v>
      </c>
      <c r="AV171" s="41">
        <f>INDEX('[1]End - Use Prices'!$C$6:$AL$89,MATCH($C171,'[1]End - Use Prices'!$A$6:$A$89,0)+MATCH($D171,'[1]End - Use Prices'!$B$9:$B$11,0)-1,MATCH(AV$1,'[1]End - Use Prices'!$C$7:$AL$7,0))</f>
        <v>12.3</v>
      </c>
      <c r="AW171" s="41">
        <f>INDEX('[1]End - Use Prices'!$C$6:$AL$89,MATCH($C171,'[1]End - Use Prices'!$A$6:$A$89,0)+MATCH($D171,'[1]End - Use Prices'!$B$9:$B$11,0)-1,MATCH(AW$1,'[1]End - Use Prices'!$C$7:$AL$7,0))</f>
        <v>12.43</v>
      </c>
      <c r="AX171" s="41">
        <f>INDEX('[1]End - Use Prices'!$C$6:$AL$89,MATCH($C171,'[1]End - Use Prices'!$A$6:$A$89,0)+MATCH($D171,'[1]End - Use Prices'!$B$9:$B$11,0)-1,MATCH(AX$1,'[1]End - Use Prices'!$C$7:$AL$7,0))</f>
        <v>12.56</v>
      </c>
      <c r="AY171" s="41">
        <f>INDEX('[1]End - Use Prices'!$C$6:$AL$89,MATCH($C171,'[1]End - Use Prices'!$A$6:$A$89,0)+MATCH($D171,'[1]End - Use Prices'!$B$9:$B$11,0)-1,MATCH(AY$1,'[1]End - Use Prices'!$C$7:$AL$7,0))</f>
        <v>12.7</v>
      </c>
      <c r="AZ171" s="41">
        <f>INDEX('[1]End - Use Prices'!$C$6:$AL$89,MATCH($C171,'[1]End - Use Prices'!$A$6:$A$89,0)+MATCH($D171,'[1]End - Use Prices'!$B$9:$B$11,0)-1,MATCH(AZ$1,'[1]End - Use Prices'!$C$7:$AL$7,0))</f>
        <v>12.86</v>
      </c>
      <c r="BA171" s="41">
        <f>INDEX('[1]End - Use Prices'!$C$6:$AL$89,MATCH($C171,'[1]End - Use Prices'!$A$6:$A$89,0)+MATCH($D171,'[1]End - Use Prices'!$B$9:$B$11,0)-1,MATCH(BA$1,'[1]End - Use Prices'!$C$7:$AL$7,0))</f>
        <v>12.95</v>
      </c>
      <c r="BB171" s="41">
        <f>INDEX('[1]End - Use Prices'!$C$6:$AL$89,MATCH($C171,'[1]End - Use Prices'!$A$6:$A$89,0)+MATCH($D171,'[1]End - Use Prices'!$B$9:$B$11,0)-1,MATCH(BB$1,'[1]End - Use Prices'!$C$7:$AL$7,0))</f>
        <v>13.03</v>
      </c>
      <c r="BC171" s="41">
        <f>INDEX('[1]End - Use Prices'!$C$6:$AL$89,MATCH($C171,'[1]End - Use Prices'!$A$6:$A$89,0)+MATCH($D171,'[1]End - Use Prices'!$B$9:$B$11,0)-1,MATCH(BC$1,'[1]End - Use Prices'!$C$7:$AL$7,0))</f>
        <v>13.11</v>
      </c>
      <c r="BD171" s="41">
        <f>INDEX('[1]End - Use Prices'!$C$6:$AL$89,MATCH($C171,'[1]End - Use Prices'!$A$6:$A$89,0)+MATCH($D171,'[1]End - Use Prices'!$B$9:$B$11,0)-1,MATCH(BD$1,'[1]End - Use Prices'!$C$7:$AL$7,0))</f>
        <v>13.17</v>
      </c>
      <c r="BE171" s="41">
        <f>INDEX('[1]End - Use Prices'!$C$6:$AL$89,MATCH($C171,'[1]End - Use Prices'!$A$6:$A$89,0)+MATCH($D171,'[1]End - Use Prices'!$B$9:$B$11,0)-1,MATCH(BE$1,'[1]End - Use Prices'!$C$7:$AL$7,0))</f>
        <v>13.22</v>
      </c>
      <c r="BF171" s="41">
        <f>INDEX('[1]End - Use Prices'!$C$6:$AL$89,MATCH($C171,'[1]End - Use Prices'!$A$6:$A$89,0)+MATCH($D171,'[1]End - Use Prices'!$B$9:$B$11,0)-1,MATCH(BF$1,'[1]End - Use Prices'!$C$7:$AL$7,0))</f>
        <v>13.27</v>
      </c>
      <c r="BG171" s="41">
        <f>INDEX('[1]End - Use Prices'!$C$6:$AL$89,MATCH($C171,'[1]End - Use Prices'!$A$6:$A$89,0)+MATCH($D171,'[1]End - Use Prices'!$B$9:$B$11,0)-1,MATCH(BG$1,'[1]End - Use Prices'!$C$7:$AL$7,0))</f>
        <v>13.31</v>
      </c>
      <c r="BR171" s="39"/>
      <c r="BS171" s="39"/>
      <c r="BT171" s="39"/>
      <c r="BU171" s="39"/>
      <c r="BV171" s="39"/>
      <c r="BW171" s="39"/>
      <c r="BX171" s="39"/>
      <c r="BY171" s="39"/>
      <c r="BZ171" s="39"/>
      <c r="CA171" s="39"/>
    </row>
    <row r="172" spans="1:79" x14ac:dyDescent="0.25">
      <c r="A172" s="5"/>
      <c r="B172" s="3"/>
      <c r="C172" s="25" t="s">
        <v>94</v>
      </c>
      <c r="D172" s="25" t="s">
        <v>14</v>
      </c>
      <c r="E172" s="25" t="s">
        <v>313</v>
      </c>
      <c r="F172" s="74" t="s">
        <v>310</v>
      </c>
      <c r="G172" s="54">
        <f t="shared" si="146"/>
        <v>14.11</v>
      </c>
      <c r="H172" s="34">
        <f t="shared" si="164"/>
        <v>14.11</v>
      </c>
      <c r="I172" s="34">
        <f t="shared" si="164"/>
        <v>12.28</v>
      </c>
      <c r="J172" s="34">
        <f t="shared" si="164"/>
        <v>11.81</v>
      </c>
      <c r="K172" s="34">
        <f t="shared" si="164"/>
        <v>8.3000000000000007</v>
      </c>
      <c r="L172" s="34">
        <f t="shared" si="164"/>
        <v>9.42</v>
      </c>
      <c r="M172" s="34">
        <f t="shared" si="164"/>
        <v>9.6199999999999992</v>
      </c>
      <c r="N172" s="34">
        <f t="shared" si="164"/>
        <v>9.9</v>
      </c>
      <c r="O172" s="34">
        <f t="shared" si="164"/>
        <v>9.9499999999999993</v>
      </c>
      <c r="P172" s="54">
        <f t="shared" ref="P172:Q172" si="171">O172</f>
        <v>9.9499999999999993</v>
      </c>
      <c r="Q172" s="54">
        <f t="shared" si="171"/>
        <v>9.9499999999999993</v>
      </c>
      <c r="R172" s="38"/>
      <c r="X172" s="41">
        <f>INDEX('[1]End - Use Prices'!$C$6:$AL$89,MATCH($C172,'[1]End - Use Prices'!$A$6:$A$89,0)+MATCH($D172,'[1]End - Use Prices'!$B$9:$B$11,0)-1,MATCH(X$1,'[1]End - Use Prices'!$C$7:$AL$7,0))</f>
        <v>14.11</v>
      </c>
      <c r="Y172" s="41">
        <f>INDEX('[1]End - Use Prices'!$C$6:$AL$89,MATCH($C172,'[1]End - Use Prices'!$A$6:$A$89,0)+MATCH($D172,'[1]End - Use Prices'!$B$9:$B$11,0)-1,MATCH(Y$1,'[1]End - Use Prices'!$C$7:$AL$7,0))</f>
        <v>13.96</v>
      </c>
      <c r="Z172" s="41">
        <f>INDEX('[1]End - Use Prices'!$C$6:$AL$89,MATCH($C172,'[1]End - Use Prices'!$A$6:$A$89,0)+MATCH($D172,'[1]End - Use Prices'!$B$9:$B$11,0)-1,MATCH(Z$1,'[1]End - Use Prices'!$C$7:$AL$7,0))</f>
        <v>13.58</v>
      </c>
      <c r="AA172" s="41">
        <f>INDEX('[1]End - Use Prices'!$C$6:$AL$89,MATCH($C172,'[1]End - Use Prices'!$A$6:$A$89,0)+MATCH($D172,'[1]End - Use Prices'!$B$9:$B$11,0)-1,MATCH(AA$1,'[1]End - Use Prices'!$C$7:$AL$7,0))</f>
        <v>12.3</v>
      </c>
      <c r="AB172" s="41">
        <f>INDEX('[1]End - Use Prices'!$C$6:$AL$89,MATCH($C172,'[1]End - Use Prices'!$A$6:$A$89,0)+MATCH($D172,'[1]End - Use Prices'!$B$9:$B$11,0)-1,MATCH(AB$1,'[1]End - Use Prices'!$C$7:$AL$7,0))</f>
        <v>14.1</v>
      </c>
      <c r="AC172" s="41">
        <f>INDEX('[1]End - Use Prices'!$C$6:$AL$89,MATCH($C172,'[1]End - Use Prices'!$A$6:$A$89,0)+MATCH($D172,'[1]End - Use Prices'!$B$9:$B$11,0)-1,MATCH(AC$1,'[1]End - Use Prices'!$C$7:$AL$7,0))</f>
        <v>12.28</v>
      </c>
      <c r="AD172" s="41">
        <f>INDEX('[1]End - Use Prices'!$C$6:$AL$89,MATCH($C172,'[1]End - Use Prices'!$A$6:$A$89,0)+MATCH($D172,'[1]End - Use Prices'!$B$9:$B$11,0)-1,MATCH(AD$1,'[1]End - Use Prices'!$C$7:$AL$7,0))</f>
        <v>11.25</v>
      </c>
      <c r="AE172" s="41">
        <f>INDEX('[1]End - Use Prices'!$C$6:$AL$89,MATCH($C172,'[1]End - Use Prices'!$A$6:$A$89,0)+MATCH($D172,'[1]End - Use Prices'!$B$9:$B$11,0)-1,MATCH(AE$1,'[1]End - Use Prices'!$C$7:$AL$7,0))</f>
        <v>10.93</v>
      </c>
      <c r="AF172" s="41">
        <f>INDEX('[1]End - Use Prices'!$C$6:$AL$89,MATCH($C172,'[1]End - Use Prices'!$A$6:$A$89,0)+MATCH($D172,'[1]End - Use Prices'!$B$9:$B$11,0)-1,MATCH(AF$1,'[1]End - Use Prices'!$C$7:$AL$7,0))</f>
        <v>10.61</v>
      </c>
      <c r="AG172" s="41">
        <f>INDEX('[1]End - Use Prices'!$C$6:$AL$89,MATCH($C172,'[1]End - Use Prices'!$A$6:$A$89,0)+MATCH($D172,'[1]End - Use Prices'!$B$9:$B$11,0)-1,MATCH(AG$1,'[1]End - Use Prices'!$C$7:$AL$7,0))</f>
        <v>9.19</v>
      </c>
      <c r="AH172" s="41">
        <f>INDEX('[1]End - Use Prices'!$C$6:$AL$89,MATCH($C172,'[1]End - Use Prices'!$A$6:$A$89,0)+MATCH($D172,'[1]End - Use Prices'!$B$9:$B$11,0)-1,MATCH(AH$1,'[1]End - Use Prices'!$C$7:$AL$7,0))</f>
        <v>11.81</v>
      </c>
      <c r="AI172" s="41">
        <f>INDEX('[1]End - Use Prices'!$C$6:$AL$89,MATCH($C172,'[1]End - Use Prices'!$A$6:$A$89,0)+MATCH($D172,'[1]End - Use Prices'!$B$9:$B$11,0)-1,MATCH(AI$1,'[1]End - Use Prices'!$C$7:$AL$7,0))</f>
        <v>8.8000000000000007</v>
      </c>
      <c r="AJ172" s="41">
        <f>INDEX('[1]End - Use Prices'!$C$6:$AL$89,MATCH($C172,'[1]End - Use Prices'!$A$6:$A$89,0)+MATCH($D172,'[1]End - Use Prices'!$B$9:$B$11,0)-1,MATCH(AJ$1,'[1]End - Use Prices'!$C$7:$AL$7,0))</f>
        <v>7.48</v>
      </c>
      <c r="AK172" s="41">
        <f>INDEX('[1]End - Use Prices'!$C$6:$AL$89,MATCH($C172,'[1]End - Use Prices'!$A$6:$A$89,0)+MATCH($D172,'[1]End - Use Prices'!$B$9:$B$11,0)-1,MATCH(AK$1,'[1]End - Use Prices'!$C$7:$AL$7,0))</f>
        <v>7.4</v>
      </c>
      <c r="AL172" s="41">
        <f>INDEX('[1]End - Use Prices'!$C$6:$AL$89,MATCH($C172,'[1]End - Use Prices'!$A$6:$A$89,0)+MATCH($D172,'[1]End - Use Prices'!$B$9:$B$11,0)-1,MATCH(AL$1,'[1]End - Use Prices'!$C$7:$AL$7,0))</f>
        <v>7.39</v>
      </c>
      <c r="AM172" s="41">
        <f>INDEX('[1]End - Use Prices'!$C$6:$AL$89,MATCH($C172,'[1]End - Use Prices'!$A$6:$A$89,0)+MATCH($D172,'[1]End - Use Prices'!$B$9:$B$11,0)-1,MATCH(AM$1,'[1]End - Use Prices'!$C$7:$AL$7,0))</f>
        <v>8.3000000000000007</v>
      </c>
      <c r="AN172" s="41">
        <f>INDEX('[1]End - Use Prices'!$C$6:$AL$89,MATCH($C172,'[1]End - Use Prices'!$A$6:$A$89,0)+MATCH($D172,'[1]End - Use Prices'!$B$9:$B$11,0)-1,MATCH(AN$1,'[1]End - Use Prices'!$C$7:$AL$7,0))</f>
        <v>8.73</v>
      </c>
      <c r="AO172" s="41">
        <f>INDEX('[1]End - Use Prices'!$C$6:$AL$89,MATCH($C172,'[1]End - Use Prices'!$A$6:$A$89,0)+MATCH($D172,'[1]End - Use Prices'!$B$9:$B$11,0)-1,MATCH(AO$1,'[1]End - Use Prices'!$C$7:$AL$7,0))</f>
        <v>9.14</v>
      </c>
      <c r="AP172" s="41">
        <f>INDEX('[1]End - Use Prices'!$C$6:$AL$89,MATCH($C172,'[1]End - Use Prices'!$A$6:$A$89,0)+MATCH($D172,'[1]End - Use Prices'!$B$9:$B$11,0)-1,MATCH(AP$1,'[1]End - Use Prices'!$C$7:$AL$7,0))</f>
        <v>9.51</v>
      </c>
      <c r="AQ172" s="41">
        <f>INDEX('[1]End - Use Prices'!$C$6:$AL$89,MATCH($C172,'[1]End - Use Prices'!$A$6:$A$89,0)+MATCH($D172,'[1]End - Use Prices'!$B$9:$B$11,0)-1,MATCH(AQ$1,'[1]End - Use Prices'!$C$7:$AL$7,0))</f>
        <v>9.4499999999999993</v>
      </c>
      <c r="AR172" s="41">
        <f>INDEX('[1]End - Use Prices'!$C$6:$AL$89,MATCH($C172,'[1]End - Use Prices'!$A$6:$A$89,0)+MATCH($D172,'[1]End - Use Prices'!$B$9:$B$11,0)-1,MATCH(AR$1,'[1]End - Use Prices'!$C$7:$AL$7,0))</f>
        <v>9.42</v>
      </c>
      <c r="AS172" s="41">
        <f>INDEX('[1]End - Use Prices'!$C$6:$AL$89,MATCH($C172,'[1]End - Use Prices'!$A$6:$A$89,0)+MATCH($D172,'[1]End - Use Prices'!$B$9:$B$11,0)-1,MATCH(AS$1,'[1]End - Use Prices'!$C$7:$AL$7,0))</f>
        <v>9.4600000000000009</v>
      </c>
      <c r="AT172" s="41">
        <f>INDEX('[1]End - Use Prices'!$C$6:$AL$89,MATCH($C172,'[1]End - Use Prices'!$A$6:$A$89,0)+MATCH($D172,'[1]End - Use Prices'!$B$9:$B$11,0)-1,MATCH(AT$1,'[1]End - Use Prices'!$C$7:$AL$7,0))</f>
        <v>9.48</v>
      </c>
      <c r="AU172" s="41">
        <f>INDEX('[1]End - Use Prices'!$C$6:$AL$89,MATCH($C172,'[1]End - Use Prices'!$A$6:$A$89,0)+MATCH($D172,'[1]End - Use Prices'!$B$9:$B$11,0)-1,MATCH(AU$1,'[1]End - Use Prices'!$C$7:$AL$7,0))</f>
        <v>9.52</v>
      </c>
      <c r="AV172" s="41">
        <f>INDEX('[1]End - Use Prices'!$C$6:$AL$89,MATCH($C172,'[1]End - Use Prices'!$A$6:$A$89,0)+MATCH($D172,'[1]End - Use Prices'!$B$9:$B$11,0)-1,MATCH(AV$1,'[1]End - Use Prices'!$C$7:$AL$7,0))</f>
        <v>9.57</v>
      </c>
      <c r="AW172" s="41">
        <f>INDEX('[1]End - Use Prices'!$C$6:$AL$89,MATCH($C172,'[1]End - Use Prices'!$A$6:$A$89,0)+MATCH($D172,'[1]End - Use Prices'!$B$9:$B$11,0)-1,MATCH(AW$1,'[1]End - Use Prices'!$C$7:$AL$7,0))</f>
        <v>9.6199999999999992</v>
      </c>
      <c r="AX172" s="41">
        <f>INDEX('[1]End - Use Prices'!$C$6:$AL$89,MATCH($C172,'[1]End - Use Prices'!$A$6:$A$89,0)+MATCH($D172,'[1]End - Use Prices'!$B$9:$B$11,0)-1,MATCH(AX$1,'[1]End - Use Prices'!$C$7:$AL$7,0))</f>
        <v>9.68</v>
      </c>
      <c r="AY172" s="41">
        <f>INDEX('[1]End - Use Prices'!$C$6:$AL$89,MATCH($C172,'[1]End - Use Prices'!$A$6:$A$89,0)+MATCH($D172,'[1]End - Use Prices'!$B$9:$B$11,0)-1,MATCH(AY$1,'[1]End - Use Prices'!$C$7:$AL$7,0))</f>
        <v>9.75</v>
      </c>
      <c r="AZ172" s="41">
        <f>INDEX('[1]End - Use Prices'!$C$6:$AL$89,MATCH($C172,'[1]End - Use Prices'!$A$6:$A$89,0)+MATCH($D172,'[1]End - Use Prices'!$B$9:$B$11,0)-1,MATCH(AZ$1,'[1]End - Use Prices'!$C$7:$AL$7,0))</f>
        <v>9.83</v>
      </c>
      <c r="BA172" s="41">
        <f>INDEX('[1]End - Use Prices'!$C$6:$AL$89,MATCH($C172,'[1]End - Use Prices'!$A$6:$A$89,0)+MATCH($D172,'[1]End - Use Prices'!$B$9:$B$11,0)-1,MATCH(BA$1,'[1]End - Use Prices'!$C$7:$AL$7,0))</f>
        <v>9.8699999999999992</v>
      </c>
      <c r="BB172" s="41">
        <f>INDEX('[1]End - Use Prices'!$C$6:$AL$89,MATCH($C172,'[1]End - Use Prices'!$A$6:$A$89,0)+MATCH($D172,'[1]End - Use Prices'!$B$9:$B$11,0)-1,MATCH(BB$1,'[1]End - Use Prices'!$C$7:$AL$7,0))</f>
        <v>9.9</v>
      </c>
      <c r="BC172" s="41">
        <f>INDEX('[1]End - Use Prices'!$C$6:$AL$89,MATCH($C172,'[1]End - Use Prices'!$A$6:$A$89,0)+MATCH($D172,'[1]End - Use Prices'!$B$9:$B$11,0)-1,MATCH(BC$1,'[1]End - Use Prices'!$C$7:$AL$7,0))</f>
        <v>9.93</v>
      </c>
      <c r="BD172" s="41">
        <f>INDEX('[1]End - Use Prices'!$C$6:$AL$89,MATCH($C172,'[1]End - Use Prices'!$A$6:$A$89,0)+MATCH($D172,'[1]End - Use Prices'!$B$9:$B$11,0)-1,MATCH(BD$1,'[1]End - Use Prices'!$C$7:$AL$7,0))</f>
        <v>9.94</v>
      </c>
      <c r="BE172" s="41">
        <f>INDEX('[1]End - Use Prices'!$C$6:$AL$89,MATCH($C172,'[1]End - Use Prices'!$A$6:$A$89,0)+MATCH($D172,'[1]End - Use Prices'!$B$9:$B$11,0)-1,MATCH(BE$1,'[1]End - Use Prices'!$C$7:$AL$7,0))</f>
        <v>9.94</v>
      </c>
      <c r="BF172" s="41">
        <f>INDEX('[1]End - Use Prices'!$C$6:$AL$89,MATCH($C172,'[1]End - Use Prices'!$A$6:$A$89,0)+MATCH($D172,'[1]End - Use Prices'!$B$9:$B$11,0)-1,MATCH(BF$1,'[1]End - Use Prices'!$C$7:$AL$7,0))</f>
        <v>9.9499999999999993</v>
      </c>
      <c r="BG172" s="41">
        <f>INDEX('[1]End - Use Prices'!$C$6:$AL$89,MATCH($C172,'[1]End - Use Prices'!$A$6:$A$89,0)+MATCH($D172,'[1]End - Use Prices'!$B$9:$B$11,0)-1,MATCH(BG$1,'[1]End - Use Prices'!$C$7:$AL$7,0))</f>
        <v>9.9499999999999993</v>
      </c>
      <c r="BR172" s="39"/>
      <c r="BS172" s="39"/>
      <c r="BT172" s="39"/>
      <c r="BU172" s="39"/>
      <c r="BV172" s="39"/>
      <c r="BW172" s="39"/>
      <c r="BX172" s="39"/>
      <c r="BY172" s="39"/>
      <c r="BZ172" s="39"/>
      <c r="CA172" s="39"/>
    </row>
    <row r="173" spans="1:79" x14ac:dyDescent="0.25">
      <c r="A173" s="5"/>
      <c r="B173" s="3"/>
      <c r="C173" s="25" t="s">
        <v>5</v>
      </c>
      <c r="D173" s="25" t="s">
        <v>14</v>
      </c>
      <c r="E173" s="25" t="s">
        <v>313</v>
      </c>
      <c r="F173" s="74" t="s">
        <v>310</v>
      </c>
      <c r="G173" s="54">
        <f t="shared" si="146"/>
        <v>12.98</v>
      </c>
      <c r="H173" s="34">
        <f t="shared" si="164"/>
        <v>12.98</v>
      </c>
      <c r="I173" s="34">
        <f t="shared" si="164"/>
        <v>7.97</v>
      </c>
      <c r="J173" s="34">
        <f t="shared" si="164"/>
        <v>3.36</v>
      </c>
      <c r="K173" s="34">
        <f t="shared" si="164"/>
        <v>6.42</v>
      </c>
      <c r="L173" s="34">
        <f t="shared" si="164"/>
        <v>7.15</v>
      </c>
      <c r="M173" s="34">
        <f t="shared" si="164"/>
        <v>7.33</v>
      </c>
      <c r="N173" s="34">
        <f t="shared" si="164"/>
        <v>7.6</v>
      </c>
      <c r="O173" s="34">
        <f t="shared" si="164"/>
        <v>7.63</v>
      </c>
      <c r="P173" s="54">
        <f t="shared" ref="P173:Q173" si="172">O173</f>
        <v>7.63</v>
      </c>
      <c r="Q173" s="54">
        <f t="shared" si="172"/>
        <v>7.63</v>
      </c>
      <c r="R173" s="38"/>
      <c r="X173" s="41">
        <f>INDEX('[1]End - Use Prices'!$C$6:$AL$89,MATCH($C173,'[1]End - Use Prices'!$A$6:$A$89,0)+MATCH($D173,'[1]End - Use Prices'!$B$9:$B$11,0)-1,MATCH(X$1,'[1]End - Use Prices'!$C$7:$AL$7,0))</f>
        <v>12.98</v>
      </c>
      <c r="Y173" s="41">
        <f>INDEX('[1]End - Use Prices'!$C$6:$AL$89,MATCH($C173,'[1]End - Use Prices'!$A$6:$A$89,0)+MATCH($D173,'[1]End - Use Prices'!$B$9:$B$11,0)-1,MATCH(Y$1,'[1]End - Use Prices'!$C$7:$AL$7,0))</f>
        <v>11.76</v>
      </c>
      <c r="Z173" s="41">
        <f>INDEX('[1]End - Use Prices'!$C$6:$AL$89,MATCH($C173,'[1]End - Use Prices'!$A$6:$A$89,0)+MATCH($D173,'[1]End - Use Prices'!$B$9:$B$11,0)-1,MATCH(Z$1,'[1]End - Use Prices'!$C$7:$AL$7,0))</f>
        <v>10.95</v>
      </c>
      <c r="AA173" s="41">
        <f>INDEX('[1]End - Use Prices'!$C$6:$AL$89,MATCH($C173,'[1]End - Use Prices'!$A$6:$A$89,0)+MATCH($D173,'[1]End - Use Prices'!$B$9:$B$11,0)-1,MATCH(AA$1,'[1]End - Use Prices'!$C$7:$AL$7,0))</f>
        <v>11.03</v>
      </c>
      <c r="AB173" s="41">
        <f>INDEX('[1]End - Use Prices'!$C$6:$AL$89,MATCH($C173,'[1]End - Use Prices'!$A$6:$A$89,0)+MATCH($D173,'[1]End - Use Prices'!$B$9:$B$11,0)-1,MATCH(AB$1,'[1]End - Use Prices'!$C$7:$AL$7,0))</f>
        <v>7.77</v>
      </c>
      <c r="AC173" s="41">
        <f>INDEX('[1]End - Use Prices'!$C$6:$AL$89,MATCH($C173,'[1]End - Use Prices'!$A$6:$A$89,0)+MATCH($D173,'[1]End - Use Prices'!$B$9:$B$11,0)-1,MATCH(AC$1,'[1]End - Use Prices'!$C$7:$AL$7,0))</f>
        <v>7.97</v>
      </c>
      <c r="AD173" s="41">
        <f>INDEX('[1]End - Use Prices'!$C$6:$AL$89,MATCH($C173,'[1]End - Use Prices'!$A$6:$A$89,0)+MATCH($D173,'[1]End - Use Prices'!$B$9:$B$11,0)-1,MATCH(AD$1,'[1]End - Use Prices'!$C$7:$AL$7,0))</f>
        <v>8.15</v>
      </c>
      <c r="AE173" s="41">
        <f>INDEX('[1]End - Use Prices'!$C$6:$AL$89,MATCH($C173,'[1]End - Use Prices'!$A$6:$A$89,0)+MATCH($D173,'[1]End - Use Prices'!$B$9:$B$11,0)-1,MATCH(AE$1,'[1]End - Use Prices'!$C$7:$AL$7,0))</f>
        <v>6.63</v>
      </c>
      <c r="AF173" s="41">
        <f>INDEX('[1]End - Use Prices'!$C$6:$AL$89,MATCH($C173,'[1]End - Use Prices'!$A$6:$A$89,0)+MATCH($D173,'[1]End - Use Prices'!$B$9:$B$11,0)-1,MATCH(AF$1,'[1]End - Use Prices'!$C$7:$AL$7,0))</f>
        <v>6.93</v>
      </c>
      <c r="AG173" s="41">
        <f>INDEX('[1]End - Use Prices'!$C$6:$AL$89,MATCH($C173,'[1]End - Use Prices'!$A$6:$A$89,0)+MATCH($D173,'[1]End - Use Prices'!$B$9:$B$11,0)-1,MATCH(AG$1,'[1]End - Use Prices'!$C$7:$AL$7,0))</f>
        <v>8.5399999999999991</v>
      </c>
      <c r="AH173" s="41">
        <f>INDEX('[1]End - Use Prices'!$C$6:$AL$89,MATCH($C173,'[1]End - Use Prices'!$A$6:$A$89,0)+MATCH($D173,'[1]End - Use Prices'!$B$9:$B$11,0)-1,MATCH(AH$1,'[1]End - Use Prices'!$C$7:$AL$7,0))</f>
        <v>3.36</v>
      </c>
      <c r="AI173" s="41">
        <f>INDEX('[1]End - Use Prices'!$C$6:$AL$89,MATCH($C173,'[1]End - Use Prices'!$A$6:$A$89,0)+MATCH($D173,'[1]End - Use Prices'!$B$9:$B$11,0)-1,MATCH(AI$1,'[1]End - Use Prices'!$C$7:$AL$7,0))</f>
        <v>5.3</v>
      </c>
      <c r="AJ173" s="41">
        <f>INDEX('[1]End - Use Prices'!$C$6:$AL$89,MATCH($C173,'[1]End - Use Prices'!$A$6:$A$89,0)+MATCH($D173,'[1]End - Use Prices'!$B$9:$B$11,0)-1,MATCH(AJ$1,'[1]End - Use Prices'!$C$7:$AL$7,0))</f>
        <v>4.5599999999999996</v>
      </c>
      <c r="AK173" s="41">
        <f>INDEX('[1]End - Use Prices'!$C$6:$AL$89,MATCH($C173,'[1]End - Use Prices'!$A$6:$A$89,0)+MATCH($D173,'[1]End - Use Prices'!$B$9:$B$11,0)-1,MATCH(AK$1,'[1]End - Use Prices'!$C$7:$AL$7,0))</f>
        <v>5.99</v>
      </c>
      <c r="AL173" s="41">
        <f>INDEX('[1]End - Use Prices'!$C$6:$AL$89,MATCH($C173,'[1]End - Use Prices'!$A$6:$A$89,0)+MATCH($D173,'[1]End - Use Prices'!$B$9:$B$11,0)-1,MATCH(AL$1,'[1]End - Use Prices'!$C$7:$AL$7,0))</f>
        <v>6.47</v>
      </c>
      <c r="AM173" s="41">
        <f>INDEX('[1]End - Use Prices'!$C$6:$AL$89,MATCH($C173,'[1]End - Use Prices'!$A$6:$A$89,0)+MATCH($D173,'[1]End - Use Prices'!$B$9:$B$11,0)-1,MATCH(AM$1,'[1]End - Use Prices'!$C$7:$AL$7,0))</f>
        <v>6.42</v>
      </c>
      <c r="AN173" s="41">
        <f>INDEX('[1]End - Use Prices'!$C$6:$AL$89,MATCH($C173,'[1]End - Use Prices'!$A$6:$A$89,0)+MATCH($D173,'[1]End - Use Prices'!$B$9:$B$11,0)-1,MATCH(AN$1,'[1]End - Use Prices'!$C$7:$AL$7,0))</f>
        <v>6.38</v>
      </c>
      <c r="AO173" s="41">
        <f>INDEX('[1]End - Use Prices'!$C$6:$AL$89,MATCH($C173,'[1]End - Use Prices'!$A$6:$A$89,0)+MATCH($D173,'[1]End - Use Prices'!$B$9:$B$11,0)-1,MATCH(AO$1,'[1]End - Use Prices'!$C$7:$AL$7,0))</f>
        <v>6.84</v>
      </c>
      <c r="AP173" s="41">
        <f>INDEX('[1]End - Use Prices'!$C$6:$AL$89,MATCH($C173,'[1]End - Use Prices'!$A$6:$A$89,0)+MATCH($D173,'[1]End - Use Prices'!$B$9:$B$11,0)-1,MATCH(AP$1,'[1]End - Use Prices'!$C$7:$AL$7,0))</f>
        <v>7.25</v>
      </c>
      <c r="AQ173" s="41">
        <f>INDEX('[1]End - Use Prices'!$C$6:$AL$89,MATCH($C173,'[1]End - Use Prices'!$A$6:$A$89,0)+MATCH($D173,'[1]End - Use Prices'!$B$9:$B$11,0)-1,MATCH(AQ$1,'[1]End - Use Prices'!$C$7:$AL$7,0))</f>
        <v>7.19</v>
      </c>
      <c r="AR173" s="41">
        <f>INDEX('[1]End - Use Prices'!$C$6:$AL$89,MATCH($C173,'[1]End - Use Prices'!$A$6:$A$89,0)+MATCH($D173,'[1]End - Use Prices'!$B$9:$B$11,0)-1,MATCH(AR$1,'[1]End - Use Prices'!$C$7:$AL$7,0))</f>
        <v>7.15</v>
      </c>
      <c r="AS173" s="41">
        <f>INDEX('[1]End - Use Prices'!$C$6:$AL$89,MATCH($C173,'[1]End - Use Prices'!$A$6:$A$89,0)+MATCH($D173,'[1]End - Use Prices'!$B$9:$B$11,0)-1,MATCH(AS$1,'[1]End - Use Prices'!$C$7:$AL$7,0))</f>
        <v>7.18</v>
      </c>
      <c r="AT173" s="41">
        <f>INDEX('[1]End - Use Prices'!$C$6:$AL$89,MATCH($C173,'[1]End - Use Prices'!$A$6:$A$89,0)+MATCH($D173,'[1]End - Use Prices'!$B$9:$B$11,0)-1,MATCH(AT$1,'[1]End - Use Prices'!$C$7:$AL$7,0))</f>
        <v>7.2</v>
      </c>
      <c r="AU173" s="41">
        <f>INDEX('[1]End - Use Prices'!$C$6:$AL$89,MATCH($C173,'[1]End - Use Prices'!$A$6:$A$89,0)+MATCH($D173,'[1]End - Use Prices'!$B$9:$B$11,0)-1,MATCH(AU$1,'[1]End - Use Prices'!$C$7:$AL$7,0))</f>
        <v>7.23</v>
      </c>
      <c r="AV173" s="41">
        <f>INDEX('[1]End - Use Prices'!$C$6:$AL$89,MATCH($C173,'[1]End - Use Prices'!$A$6:$A$89,0)+MATCH($D173,'[1]End - Use Prices'!$B$9:$B$11,0)-1,MATCH(AV$1,'[1]End - Use Prices'!$C$7:$AL$7,0))</f>
        <v>7.28</v>
      </c>
      <c r="AW173" s="41">
        <f>INDEX('[1]End - Use Prices'!$C$6:$AL$89,MATCH($C173,'[1]End - Use Prices'!$A$6:$A$89,0)+MATCH($D173,'[1]End - Use Prices'!$B$9:$B$11,0)-1,MATCH(AW$1,'[1]End - Use Prices'!$C$7:$AL$7,0))</f>
        <v>7.33</v>
      </c>
      <c r="AX173" s="41">
        <f>INDEX('[1]End - Use Prices'!$C$6:$AL$89,MATCH($C173,'[1]End - Use Prices'!$A$6:$A$89,0)+MATCH($D173,'[1]End - Use Prices'!$B$9:$B$11,0)-1,MATCH(AX$1,'[1]End - Use Prices'!$C$7:$AL$7,0))</f>
        <v>7.38</v>
      </c>
      <c r="AY173" s="41">
        <f>INDEX('[1]End - Use Prices'!$C$6:$AL$89,MATCH($C173,'[1]End - Use Prices'!$A$6:$A$89,0)+MATCH($D173,'[1]End - Use Prices'!$B$9:$B$11,0)-1,MATCH(AY$1,'[1]End - Use Prices'!$C$7:$AL$7,0))</f>
        <v>7.45</v>
      </c>
      <c r="AZ173" s="41">
        <f>INDEX('[1]End - Use Prices'!$C$6:$AL$89,MATCH($C173,'[1]End - Use Prices'!$A$6:$A$89,0)+MATCH($D173,'[1]End - Use Prices'!$B$9:$B$11,0)-1,MATCH(AZ$1,'[1]End - Use Prices'!$C$7:$AL$7,0))</f>
        <v>7.53</v>
      </c>
      <c r="BA173" s="41">
        <f>INDEX('[1]End - Use Prices'!$C$6:$AL$89,MATCH($C173,'[1]End - Use Prices'!$A$6:$A$89,0)+MATCH($D173,'[1]End - Use Prices'!$B$9:$B$11,0)-1,MATCH(BA$1,'[1]End - Use Prices'!$C$7:$AL$7,0))</f>
        <v>7.57</v>
      </c>
      <c r="BB173" s="41">
        <f>INDEX('[1]End - Use Prices'!$C$6:$AL$89,MATCH($C173,'[1]End - Use Prices'!$A$6:$A$89,0)+MATCH($D173,'[1]End - Use Prices'!$B$9:$B$11,0)-1,MATCH(BB$1,'[1]End - Use Prices'!$C$7:$AL$7,0))</f>
        <v>7.6</v>
      </c>
      <c r="BC173" s="41">
        <f>INDEX('[1]End - Use Prices'!$C$6:$AL$89,MATCH($C173,'[1]End - Use Prices'!$A$6:$A$89,0)+MATCH($D173,'[1]End - Use Prices'!$B$9:$B$11,0)-1,MATCH(BC$1,'[1]End - Use Prices'!$C$7:$AL$7,0))</f>
        <v>7.62</v>
      </c>
      <c r="BD173" s="41">
        <f>INDEX('[1]End - Use Prices'!$C$6:$AL$89,MATCH($C173,'[1]End - Use Prices'!$A$6:$A$89,0)+MATCH($D173,'[1]End - Use Prices'!$B$9:$B$11,0)-1,MATCH(BD$1,'[1]End - Use Prices'!$C$7:$AL$7,0))</f>
        <v>7.63</v>
      </c>
      <c r="BE173" s="41">
        <f>INDEX('[1]End - Use Prices'!$C$6:$AL$89,MATCH($C173,'[1]End - Use Prices'!$A$6:$A$89,0)+MATCH($D173,'[1]End - Use Prices'!$B$9:$B$11,0)-1,MATCH(BE$1,'[1]End - Use Prices'!$C$7:$AL$7,0))</f>
        <v>7.63</v>
      </c>
      <c r="BF173" s="41">
        <f>INDEX('[1]End - Use Prices'!$C$6:$AL$89,MATCH($C173,'[1]End - Use Prices'!$A$6:$A$89,0)+MATCH($D173,'[1]End - Use Prices'!$B$9:$B$11,0)-1,MATCH(BF$1,'[1]End - Use Prices'!$C$7:$AL$7,0))</f>
        <v>7.63</v>
      </c>
      <c r="BG173" s="41">
        <f>INDEX('[1]End - Use Prices'!$C$6:$AL$89,MATCH($C173,'[1]End - Use Prices'!$A$6:$A$89,0)+MATCH($D173,'[1]End - Use Prices'!$B$9:$B$11,0)-1,MATCH(BG$1,'[1]End - Use Prices'!$C$7:$AL$7,0))</f>
        <v>7.63</v>
      </c>
      <c r="BR173" s="39"/>
      <c r="BS173" s="39"/>
      <c r="BT173" s="39"/>
      <c r="BU173" s="39"/>
      <c r="BV173" s="39"/>
      <c r="BW173" s="39"/>
      <c r="BX173" s="39"/>
      <c r="BY173" s="39"/>
      <c r="BZ173" s="39"/>
      <c r="CA173" s="39"/>
    </row>
    <row r="174" spans="1:79" x14ac:dyDescent="0.25">
      <c r="A174" s="5"/>
      <c r="B174" s="3"/>
      <c r="C174" s="25" t="s">
        <v>61</v>
      </c>
      <c r="D174" s="25" t="s">
        <v>14</v>
      </c>
      <c r="E174" s="25" t="s">
        <v>313</v>
      </c>
      <c r="F174" s="74" t="s">
        <v>310</v>
      </c>
      <c r="G174" s="54">
        <f t="shared" si="146"/>
        <v>15.71</v>
      </c>
      <c r="H174" s="34">
        <f t="shared" si="164"/>
        <v>15.71</v>
      </c>
      <c r="I174" s="34">
        <f t="shared" si="164"/>
        <v>17.63</v>
      </c>
      <c r="J174" s="34">
        <f t="shared" si="164"/>
        <v>15.79</v>
      </c>
      <c r="K174" s="34">
        <f t="shared" si="164"/>
        <v>13.09</v>
      </c>
      <c r="L174" s="34">
        <f t="shared" si="164"/>
        <v>13.24</v>
      </c>
      <c r="M174" s="34">
        <f t="shared" si="164"/>
        <v>13.33</v>
      </c>
      <c r="N174" s="34">
        <f t="shared" si="164"/>
        <v>13.56</v>
      </c>
      <c r="O174" s="34">
        <f t="shared" si="164"/>
        <v>13.49</v>
      </c>
      <c r="P174" s="54">
        <f t="shared" ref="P174:Q174" si="173">O174</f>
        <v>13.49</v>
      </c>
      <c r="Q174" s="54">
        <f t="shared" si="173"/>
        <v>13.49</v>
      </c>
      <c r="R174" s="38"/>
      <c r="X174" s="41">
        <f>INDEX('[1]End - Use Prices'!$C$6:$AL$89,MATCH($C174,'[1]End - Use Prices'!$A$6:$A$89,0)+MATCH($D174,'[1]End - Use Prices'!$B$9:$B$11,0)-1,MATCH(X$1,'[1]End - Use Prices'!$C$7:$AL$7,0))</f>
        <v>15.71</v>
      </c>
      <c r="Y174" s="41">
        <f>INDEX('[1]End - Use Prices'!$C$6:$AL$89,MATCH($C174,'[1]End - Use Prices'!$A$6:$A$89,0)+MATCH($D174,'[1]End - Use Prices'!$B$9:$B$11,0)-1,MATCH(Y$1,'[1]End - Use Prices'!$C$7:$AL$7,0))</f>
        <v>16.100000000000001</v>
      </c>
      <c r="Z174" s="41">
        <f>INDEX('[1]End - Use Prices'!$C$6:$AL$89,MATCH($C174,'[1]End - Use Prices'!$A$6:$A$89,0)+MATCH($D174,'[1]End - Use Prices'!$B$9:$B$11,0)-1,MATCH(Z$1,'[1]End - Use Prices'!$C$7:$AL$7,0))</f>
        <v>15.95</v>
      </c>
      <c r="AA174" s="41">
        <f>INDEX('[1]End - Use Prices'!$C$6:$AL$89,MATCH($C174,'[1]End - Use Prices'!$A$6:$A$89,0)+MATCH($D174,'[1]End - Use Prices'!$B$9:$B$11,0)-1,MATCH(AA$1,'[1]End - Use Prices'!$C$7:$AL$7,0))</f>
        <v>15.79</v>
      </c>
      <c r="AB174" s="41">
        <f>INDEX('[1]End - Use Prices'!$C$6:$AL$89,MATCH($C174,'[1]End - Use Prices'!$A$6:$A$89,0)+MATCH($D174,'[1]End - Use Prices'!$B$9:$B$11,0)-1,MATCH(AB$1,'[1]End - Use Prices'!$C$7:$AL$7,0))</f>
        <v>16.8</v>
      </c>
      <c r="AC174" s="41">
        <f>INDEX('[1]End - Use Prices'!$C$6:$AL$89,MATCH($C174,'[1]End - Use Prices'!$A$6:$A$89,0)+MATCH($D174,'[1]End - Use Prices'!$B$9:$B$11,0)-1,MATCH(AC$1,'[1]End - Use Prices'!$C$7:$AL$7,0))</f>
        <v>17.63</v>
      </c>
      <c r="AD174" s="41">
        <f>INDEX('[1]End - Use Prices'!$C$6:$AL$89,MATCH($C174,'[1]End - Use Prices'!$A$6:$A$89,0)+MATCH($D174,'[1]End - Use Prices'!$B$9:$B$11,0)-1,MATCH(AD$1,'[1]End - Use Prices'!$C$7:$AL$7,0))</f>
        <v>17.100000000000001</v>
      </c>
      <c r="AE174" s="41">
        <f>INDEX('[1]End - Use Prices'!$C$6:$AL$89,MATCH($C174,'[1]End - Use Prices'!$A$6:$A$89,0)+MATCH($D174,'[1]End - Use Prices'!$B$9:$B$11,0)-1,MATCH(AE$1,'[1]End - Use Prices'!$C$7:$AL$7,0))</f>
        <v>16.28</v>
      </c>
      <c r="AF174" s="41">
        <f>INDEX('[1]End - Use Prices'!$C$6:$AL$89,MATCH($C174,'[1]End - Use Prices'!$A$6:$A$89,0)+MATCH($D174,'[1]End - Use Prices'!$B$9:$B$11,0)-1,MATCH(AF$1,'[1]End - Use Prices'!$C$7:$AL$7,0))</f>
        <v>15.65</v>
      </c>
      <c r="AG174" s="41">
        <f>INDEX('[1]End - Use Prices'!$C$6:$AL$89,MATCH($C174,'[1]End - Use Prices'!$A$6:$A$89,0)+MATCH($D174,'[1]End - Use Prices'!$B$9:$B$11,0)-1,MATCH(AG$1,'[1]End - Use Prices'!$C$7:$AL$7,0))</f>
        <v>16.579999999999998</v>
      </c>
      <c r="AH174" s="41">
        <f>INDEX('[1]End - Use Prices'!$C$6:$AL$89,MATCH($C174,'[1]End - Use Prices'!$A$6:$A$89,0)+MATCH($D174,'[1]End - Use Prices'!$B$9:$B$11,0)-1,MATCH(AH$1,'[1]End - Use Prices'!$C$7:$AL$7,0))</f>
        <v>15.79</v>
      </c>
      <c r="AI174" s="41">
        <f>INDEX('[1]End - Use Prices'!$C$6:$AL$89,MATCH($C174,'[1]End - Use Prices'!$A$6:$A$89,0)+MATCH($D174,'[1]End - Use Prices'!$B$9:$B$11,0)-1,MATCH(AI$1,'[1]End - Use Prices'!$C$7:$AL$7,0))</f>
        <v>12.09</v>
      </c>
      <c r="AJ174" s="41">
        <f>INDEX('[1]End - Use Prices'!$C$6:$AL$89,MATCH($C174,'[1]End - Use Prices'!$A$6:$A$89,0)+MATCH($D174,'[1]End - Use Prices'!$B$9:$B$11,0)-1,MATCH(AJ$1,'[1]End - Use Prices'!$C$7:$AL$7,0))</f>
        <v>12.97</v>
      </c>
      <c r="AK174" s="41">
        <f>INDEX('[1]End - Use Prices'!$C$6:$AL$89,MATCH($C174,'[1]End - Use Prices'!$A$6:$A$89,0)+MATCH($D174,'[1]End - Use Prices'!$B$9:$B$11,0)-1,MATCH(AK$1,'[1]End - Use Prices'!$C$7:$AL$7,0))</f>
        <v>12.73</v>
      </c>
      <c r="AL174" s="41">
        <f>INDEX('[1]End - Use Prices'!$C$6:$AL$89,MATCH($C174,'[1]End - Use Prices'!$A$6:$A$89,0)+MATCH($D174,'[1]End - Use Prices'!$B$9:$B$11,0)-1,MATCH(AL$1,'[1]End - Use Prices'!$C$7:$AL$7,0))</f>
        <v>12.86</v>
      </c>
      <c r="AM174" s="41">
        <f>INDEX('[1]End - Use Prices'!$C$6:$AL$89,MATCH($C174,'[1]End - Use Prices'!$A$6:$A$89,0)+MATCH($D174,'[1]End - Use Prices'!$B$9:$B$11,0)-1,MATCH(AM$1,'[1]End - Use Prices'!$C$7:$AL$7,0))</f>
        <v>13.09</v>
      </c>
      <c r="AN174" s="41">
        <f>INDEX('[1]End - Use Prices'!$C$6:$AL$89,MATCH($C174,'[1]End - Use Prices'!$A$6:$A$89,0)+MATCH($D174,'[1]End - Use Prices'!$B$9:$B$11,0)-1,MATCH(AN$1,'[1]End - Use Prices'!$C$7:$AL$7,0))</f>
        <v>13.29</v>
      </c>
      <c r="AO174" s="41">
        <f>INDEX('[1]End - Use Prices'!$C$6:$AL$89,MATCH($C174,'[1]End - Use Prices'!$A$6:$A$89,0)+MATCH($D174,'[1]End - Use Prices'!$B$9:$B$11,0)-1,MATCH(AO$1,'[1]End - Use Prices'!$C$7:$AL$7,0))</f>
        <v>13.49</v>
      </c>
      <c r="AP174" s="41">
        <f>INDEX('[1]End - Use Prices'!$C$6:$AL$89,MATCH($C174,'[1]End - Use Prices'!$A$6:$A$89,0)+MATCH($D174,'[1]End - Use Prices'!$B$9:$B$11,0)-1,MATCH(AP$1,'[1]End - Use Prices'!$C$7:$AL$7,0))</f>
        <v>13.43</v>
      </c>
      <c r="AQ174" s="41">
        <f>INDEX('[1]End - Use Prices'!$C$6:$AL$89,MATCH($C174,'[1]End - Use Prices'!$A$6:$A$89,0)+MATCH($D174,'[1]End - Use Prices'!$B$9:$B$11,0)-1,MATCH(AQ$1,'[1]End - Use Prices'!$C$7:$AL$7,0))</f>
        <v>13.32</v>
      </c>
      <c r="AR174" s="41">
        <f>INDEX('[1]End - Use Prices'!$C$6:$AL$89,MATCH($C174,'[1]End - Use Prices'!$A$6:$A$89,0)+MATCH($D174,'[1]End - Use Prices'!$B$9:$B$11,0)-1,MATCH(AR$1,'[1]End - Use Prices'!$C$7:$AL$7,0))</f>
        <v>13.24</v>
      </c>
      <c r="AS174" s="41">
        <f>INDEX('[1]End - Use Prices'!$C$6:$AL$89,MATCH($C174,'[1]End - Use Prices'!$A$6:$A$89,0)+MATCH($D174,'[1]End - Use Prices'!$B$9:$B$11,0)-1,MATCH(AS$1,'[1]End - Use Prices'!$C$7:$AL$7,0))</f>
        <v>13.25</v>
      </c>
      <c r="AT174" s="41">
        <f>INDEX('[1]End - Use Prices'!$C$6:$AL$89,MATCH($C174,'[1]End - Use Prices'!$A$6:$A$89,0)+MATCH($D174,'[1]End - Use Prices'!$B$9:$B$11,0)-1,MATCH(AT$1,'[1]End - Use Prices'!$C$7:$AL$7,0))</f>
        <v>13.24</v>
      </c>
      <c r="AU174" s="41">
        <f>INDEX('[1]End - Use Prices'!$C$6:$AL$89,MATCH($C174,'[1]End - Use Prices'!$A$6:$A$89,0)+MATCH($D174,'[1]End - Use Prices'!$B$9:$B$11,0)-1,MATCH(AU$1,'[1]End - Use Prices'!$C$7:$AL$7,0))</f>
        <v>13.26</v>
      </c>
      <c r="AV174" s="41">
        <f>INDEX('[1]End - Use Prices'!$C$6:$AL$89,MATCH($C174,'[1]End - Use Prices'!$A$6:$A$89,0)+MATCH($D174,'[1]End - Use Prices'!$B$9:$B$11,0)-1,MATCH(AV$1,'[1]End - Use Prices'!$C$7:$AL$7,0))</f>
        <v>13.3</v>
      </c>
      <c r="AW174" s="41">
        <f>INDEX('[1]End - Use Prices'!$C$6:$AL$89,MATCH($C174,'[1]End - Use Prices'!$A$6:$A$89,0)+MATCH($D174,'[1]End - Use Prices'!$B$9:$B$11,0)-1,MATCH(AW$1,'[1]End - Use Prices'!$C$7:$AL$7,0))</f>
        <v>13.33</v>
      </c>
      <c r="AX174" s="41">
        <f>INDEX('[1]End - Use Prices'!$C$6:$AL$89,MATCH($C174,'[1]End - Use Prices'!$A$6:$A$89,0)+MATCH($D174,'[1]End - Use Prices'!$B$9:$B$11,0)-1,MATCH(AX$1,'[1]End - Use Prices'!$C$7:$AL$7,0))</f>
        <v>13.38</v>
      </c>
      <c r="AY174" s="41">
        <f>INDEX('[1]End - Use Prices'!$C$6:$AL$89,MATCH($C174,'[1]End - Use Prices'!$A$6:$A$89,0)+MATCH($D174,'[1]End - Use Prices'!$B$9:$B$11,0)-1,MATCH(AY$1,'[1]End - Use Prices'!$C$7:$AL$7,0))</f>
        <v>13.44</v>
      </c>
      <c r="AZ174" s="41">
        <f>INDEX('[1]End - Use Prices'!$C$6:$AL$89,MATCH($C174,'[1]End - Use Prices'!$A$6:$A$89,0)+MATCH($D174,'[1]End - Use Prices'!$B$9:$B$11,0)-1,MATCH(AZ$1,'[1]End - Use Prices'!$C$7:$AL$7,0))</f>
        <v>13.51</v>
      </c>
      <c r="BA174" s="41">
        <f>INDEX('[1]End - Use Prices'!$C$6:$AL$89,MATCH($C174,'[1]End - Use Prices'!$A$6:$A$89,0)+MATCH($D174,'[1]End - Use Prices'!$B$9:$B$11,0)-1,MATCH(BA$1,'[1]End - Use Prices'!$C$7:$AL$7,0))</f>
        <v>13.54</v>
      </c>
      <c r="BB174" s="41">
        <f>INDEX('[1]End - Use Prices'!$C$6:$AL$89,MATCH($C174,'[1]End - Use Prices'!$A$6:$A$89,0)+MATCH($D174,'[1]End - Use Prices'!$B$9:$B$11,0)-1,MATCH(BB$1,'[1]End - Use Prices'!$C$7:$AL$7,0))</f>
        <v>13.56</v>
      </c>
      <c r="BC174" s="41">
        <f>INDEX('[1]End - Use Prices'!$C$6:$AL$89,MATCH($C174,'[1]End - Use Prices'!$A$6:$A$89,0)+MATCH($D174,'[1]End - Use Prices'!$B$9:$B$11,0)-1,MATCH(BC$1,'[1]End - Use Prices'!$C$7:$AL$7,0))</f>
        <v>13.57</v>
      </c>
      <c r="BD174" s="41">
        <f>INDEX('[1]End - Use Prices'!$C$6:$AL$89,MATCH($C174,'[1]End - Use Prices'!$A$6:$A$89,0)+MATCH($D174,'[1]End - Use Prices'!$B$9:$B$11,0)-1,MATCH(BD$1,'[1]End - Use Prices'!$C$7:$AL$7,0))</f>
        <v>13.56</v>
      </c>
      <c r="BE174" s="41">
        <f>INDEX('[1]End - Use Prices'!$C$6:$AL$89,MATCH($C174,'[1]End - Use Prices'!$A$6:$A$89,0)+MATCH($D174,'[1]End - Use Prices'!$B$9:$B$11,0)-1,MATCH(BE$1,'[1]End - Use Prices'!$C$7:$AL$7,0))</f>
        <v>13.54</v>
      </c>
      <c r="BF174" s="41">
        <f>INDEX('[1]End - Use Prices'!$C$6:$AL$89,MATCH($C174,'[1]End - Use Prices'!$A$6:$A$89,0)+MATCH($D174,'[1]End - Use Prices'!$B$9:$B$11,0)-1,MATCH(BF$1,'[1]End - Use Prices'!$C$7:$AL$7,0))</f>
        <v>13.52</v>
      </c>
      <c r="BG174" s="41">
        <f>INDEX('[1]End - Use Prices'!$C$6:$AL$89,MATCH($C174,'[1]End - Use Prices'!$A$6:$A$89,0)+MATCH($D174,'[1]End - Use Prices'!$B$9:$B$11,0)-1,MATCH(BG$1,'[1]End - Use Prices'!$C$7:$AL$7,0))</f>
        <v>13.49</v>
      </c>
      <c r="BR174" s="39"/>
      <c r="BS174" s="39"/>
      <c r="BT174" s="39"/>
      <c r="BU174" s="39"/>
      <c r="BV174" s="39"/>
      <c r="BW174" s="39"/>
      <c r="BX174" s="39"/>
      <c r="BY174" s="39"/>
      <c r="BZ174" s="39"/>
      <c r="CA174" s="39"/>
    </row>
    <row r="175" spans="1:79" x14ac:dyDescent="0.25">
      <c r="A175" s="5"/>
      <c r="B175" s="3"/>
      <c r="C175" s="25" t="s">
        <v>95</v>
      </c>
      <c r="D175" s="25" t="s">
        <v>14</v>
      </c>
      <c r="E175" s="25" t="s">
        <v>313</v>
      </c>
      <c r="F175" s="74" t="s">
        <v>310</v>
      </c>
      <c r="G175" s="54">
        <f t="shared" si="146"/>
        <v>15.71</v>
      </c>
      <c r="H175" s="34">
        <f t="shared" si="164"/>
        <v>15.71</v>
      </c>
      <c r="I175" s="34">
        <f t="shared" si="164"/>
        <v>14.92</v>
      </c>
      <c r="J175" s="34">
        <f t="shared" si="164"/>
        <v>12.25</v>
      </c>
      <c r="K175" s="34">
        <f t="shared" si="164"/>
        <v>9.07</v>
      </c>
      <c r="L175" s="34">
        <f t="shared" si="164"/>
        <v>9.5</v>
      </c>
      <c r="M175" s="34">
        <f t="shared" si="164"/>
        <v>9.94</v>
      </c>
      <c r="N175" s="34">
        <f t="shared" si="164"/>
        <v>10.41</v>
      </c>
      <c r="O175" s="34">
        <f t="shared" si="164"/>
        <v>10.59</v>
      </c>
      <c r="P175" s="54">
        <f t="shared" ref="P175:Q175" si="174">O175</f>
        <v>10.59</v>
      </c>
      <c r="Q175" s="54">
        <f t="shared" si="174"/>
        <v>10.59</v>
      </c>
      <c r="R175" s="38"/>
      <c r="X175" s="41">
        <f>INDEX('[1]End - Use Prices'!$C$6:$AL$89,MATCH($C175,'[1]End - Use Prices'!$A$6:$A$89,0)+MATCH($D175,'[1]End - Use Prices'!$B$9:$B$11,0)-1,MATCH(X$1,'[1]End - Use Prices'!$C$7:$AL$7,0))</f>
        <v>15.71</v>
      </c>
      <c r="Y175" s="41">
        <f>INDEX('[1]End - Use Prices'!$C$6:$AL$89,MATCH($C175,'[1]End - Use Prices'!$A$6:$A$89,0)+MATCH($D175,'[1]End - Use Prices'!$B$9:$B$11,0)-1,MATCH(Y$1,'[1]End - Use Prices'!$C$7:$AL$7,0))</f>
        <v>16.100000000000001</v>
      </c>
      <c r="Z175" s="41">
        <f>INDEX('[1]End - Use Prices'!$C$6:$AL$89,MATCH($C175,'[1]End - Use Prices'!$A$6:$A$89,0)+MATCH($D175,'[1]End - Use Prices'!$B$9:$B$11,0)-1,MATCH(Z$1,'[1]End - Use Prices'!$C$7:$AL$7,0))</f>
        <v>15.74</v>
      </c>
      <c r="AA175" s="41">
        <f>INDEX('[1]End - Use Prices'!$C$6:$AL$89,MATCH($C175,'[1]End - Use Prices'!$A$6:$A$89,0)+MATCH($D175,'[1]End - Use Prices'!$B$9:$B$11,0)-1,MATCH(AA$1,'[1]End - Use Prices'!$C$7:$AL$7,0))</f>
        <v>15.46</v>
      </c>
      <c r="AB175" s="41">
        <f>INDEX('[1]End - Use Prices'!$C$6:$AL$89,MATCH($C175,'[1]End - Use Prices'!$A$6:$A$89,0)+MATCH($D175,'[1]End - Use Prices'!$B$9:$B$11,0)-1,MATCH(AB$1,'[1]End - Use Prices'!$C$7:$AL$7,0))</f>
        <v>15.41</v>
      </c>
      <c r="AC175" s="41">
        <f>INDEX('[1]End - Use Prices'!$C$6:$AL$89,MATCH($C175,'[1]End - Use Prices'!$A$6:$A$89,0)+MATCH($D175,'[1]End - Use Prices'!$B$9:$B$11,0)-1,MATCH(AC$1,'[1]End - Use Prices'!$C$7:$AL$7,0))</f>
        <v>14.92</v>
      </c>
      <c r="AD175" s="41">
        <f>INDEX('[1]End - Use Prices'!$C$6:$AL$89,MATCH($C175,'[1]End - Use Prices'!$A$6:$A$89,0)+MATCH($D175,'[1]End - Use Prices'!$B$9:$B$11,0)-1,MATCH(AD$1,'[1]End - Use Prices'!$C$7:$AL$7,0))</f>
        <v>13.77</v>
      </c>
      <c r="AE175" s="41">
        <f>INDEX('[1]End - Use Prices'!$C$6:$AL$89,MATCH($C175,'[1]End - Use Prices'!$A$6:$A$89,0)+MATCH($D175,'[1]End - Use Prices'!$B$9:$B$11,0)-1,MATCH(AE$1,'[1]End - Use Prices'!$C$7:$AL$7,0))</f>
        <v>12.54</v>
      </c>
      <c r="AF175" s="41">
        <f>INDEX('[1]End - Use Prices'!$C$6:$AL$89,MATCH($C175,'[1]End - Use Prices'!$A$6:$A$89,0)+MATCH($D175,'[1]End - Use Prices'!$B$9:$B$11,0)-1,MATCH(AF$1,'[1]End - Use Prices'!$C$7:$AL$7,0))</f>
        <v>12.18</v>
      </c>
      <c r="AG175" s="41">
        <f>INDEX('[1]End - Use Prices'!$C$6:$AL$89,MATCH($C175,'[1]End - Use Prices'!$A$6:$A$89,0)+MATCH($D175,'[1]End - Use Prices'!$B$9:$B$11,0)-1,MATCH(AG$1,'[1]End - Use Prices'!$C$7:$AL$7,0))</f>
        <v>13.28</v>
      </c>
      <c r="AH175" s="41">
        <f>INDEX('[1]End - Use Prices'!$C$6:$AL$89,MATCH($C175,'[1]End - Use Prices'!$A$6:$A$89,0)+MATCH($D175,'[1]End - Use Prices'!$B$9:$B$11,0)-1,MATCH(AH$1,'[1]End - Use Prices'!$C$7:$AL$7,0))</f>
        <v>12.25</v>
      </c>
      <c r="AI175" s="41">
        <f>INDEX('[1]End - Use Prices'!$C$6:$AL$89,MATCH($C175,'[1]End - Use Prices'!$A$6:$A$89,0)+MATCH($D175,'[1]End - Use Prices'!$B$9:$B$11,0)-1,MATCH(AI$1,'[1]End - Use Prices'!$C$7:$AL$7,0))</f>
        <v>8.43</v>
      </c>
      <c r="AJ175" s="41">
        <f>INDEX('[1]End - Use Prices'!$C$6:$AL$89,MATCH($C175,'[1]End - Use Prices'!$A$6:$A$89,0)+MATCH($D175,'[1]End - Use Prices'!$B$9:$B$11,0)-1,MATCH(AJ$1,'[1]End - Use Prices'!$C$7:$AL$7,0))</f>
        <v>8.91</v>
      </c>
      <c r="AK175" s="41">
        <f>INDEX('[1]End - Use Prices'!$C$6:$AL$89,MATCH($C175,'[1]End - Use Prices'!$A$6:$A$89,0)+MATCH($D175,'[1]End - Use Prices'!$B$9:$B$11,0)-1,MATCH(AK$1,'[1]End - Use Prices'!$C$7:$AL$7,0))</f>
        <v>8.81</v>
      </c>
      <c r="AL175" s="41">
        <f>INDEX('[1]End - Use Prices'!$C$6:$AL$89,MATCH($C175,'[1]End - Use Prices'!$A$6:$A$89,0)+MATCH($D175,'[1]End - Use Prices'!$B$9:$B$11,0)-1,MATCH(AL$1,'[1]End - Use Prices'!$C$7:$AL$7,0))</f>
        <v>8.7899999999999991</v>
      </c>
      <c r="AM175" s="41">
        <f>INDEX('[1]End - Use Prices'!$C$6:$AL$89,MATCH($C175,'[1]End - Use Prices'!$A$6:$A$89,0)+MATCH($D175,'[1]End - Use Prices'!$B$9:$B$11,0)-1,MATCH(AM$1,'[1]End - Use Prices'!$C$7:$AL$7,0))</f>
        <v>9.07</v>
      </c>
      <c r="AN175" s="41">
        <f>INDEX('[1]End - Use Prices'!$C$6:$AL$89,MATCH($C175,'[1]End - Use Prices'!$A$6:$A$89,0)+MATCH($D175,'[1]End - Use Prices'!$B$9:$B$11,0)-1,MATCH(AN$1,'[1]End - Use Prices'!$C$7:$AL$7,0))</f>
        <v>9.2200000000000006</v>
      </c>
      <c r="AO175" s="41">
        <f>INDEX('[1]End - Use Prices'!$C$6:$AL$89,MATCH($C175,'[1]End - Use Prices'!$A$6:$A$89,0)+MATCH($D175,'[1]End - Use Prices'!$B$9:$B$11,0)-1,MATCH(AO$1,'[1]End - Use Prices'!$C$7:$AL$7,0))</f>
        <v>9.36</v>
      </c>
      <c r="AP175" s="41">
        <f>INDEX('[1]End - Use Prices'!$C$6:$AL$89,MATCH($C175,'[1]End - Use Prices'!$A$6:$A$89,0)+MATCH($D175,'[1]End - Use Prices'!$B$9:$B$11,0)-1,MATCH(AP$1,'[1]End - Use Prices'!$C$7:$AL$7,0))</f>
        <v>9.48</v>
      </c>
      <c r="AQ175" s="41">
        <f>INDEX('[1]End - Use Prices'!$C$6:$AL$89,MATCH($C175,'[1]End - Use Prices'!$A$6:$A$89,0)+MATCH($D175,'[1]End - Use Prices'!$B$9:$B$11,0)-1,MATCH(AQ$1,'[1]End - Use Prices'!$C$7:$AL$7,0))</f>
        <v>9.48</v>
      </c>
      <c r="AR175" s="41">
        <f>INDEX('[1]End - Use Prices'!$C$6:$AL$89,MATCH($C175,'[1]End - Use Prices'!$A$6:$A$89,0)+MATCH($D175,'[1]End - Use Prices'!$B$9:$B$11,0)-1,MATCH(AR$1,'[1]End - Use Prices'!$C$7:$AL$7,0))</f>
        <v>9.5</v>
      </c>
      <c r="AS175" s="41">
        <f>INDEX('[1]End - Use Prices'!$C$6:$AL$89,MATCH($C175,'[1]End - Use Prices'!$A$6:$A$89,0)+MATCH($D175,'[1]End - Use Prices'!$B$9:$B$11,0)-1,MATCH(AS$1,'[1]End - Use Prices'!$C$7:$AL$7,0))</f>
        <v>9.58</v>
      </c>
      <c r="AT175" s="41">
        <f>INDEX('[1]End - Use Prices'!$C$6:$AL$89,MATCH($C175,'[1]End - Use Prices'!$A$6:$A$89,0)+MATCH($D175,'[1]End - Use Prices'!$B$9:$B$11,0)-1,MATCH(AT$1,'[1]End - Use Prices'!$C$7:$AL$7,0))</f>
        <v>9.66</v>
      </c>
      <c r="AU175" s="41">
        <f>INDEX('[1]End - Use Prices'!$C$6:$AL$89,MATCH($C175,'[1]End - Use Prices'!$A$6:$A$89,0)+MATCH($D175,'[1]End - Use Prices'!$B$9:$B$11,0)-1,MATCH(AU$1,'[1]End - Use Prices'!$C$7:$AL$7,0))</f>
        <v>9.75</v>
      </c>
      <c r="AV175" s="41">
        <f>INDEX('[1]End - Use Prices'!$C$6:$AL$89,MATCH($C175,'[1]End - Use Prices'!$A$6:$A$89,0)+MATCH($D175,'[1]End - Use Prices'!$B$9:$B$11,0)-1,MATCH(AV$1,'[1]End - Use Prices'!$C$7:$AL$7,0))</f>
        <v>9.85</v>
      </c>
      <c r="AW175" s="41">
        <f>INDEX('[1]End - Use Prices'!$C$6:$AL$89,MATCH($C175,'[1]End - Use Prices'!$A$6:$A$89,0)+MATCH($D175,'[1]End - Use Prices'!$B$9:$B$11,0)-1,MATCH(AW$1,'[1]End - Use Prices'!$C$7:$AL$7,0))</f>
        <v>9.94</v>
      </c>
      <c r="AX175" s="41">
        <f>INDEX('[1]End - Use Prices'!$C$6:$AL$89,MATCH($C175,'[1]End - Use Prices'!$A$6:$A$89,0)+MATCH($D175,'[1]End - Use Prices'!$B$9:$B$11,0)-1,MATCH(AX$1,'[1]End - Use Prices'!$C$7:$AL$7,0))</f>
        <v>10.039999999999999</v>
      </c>
      <c r="AY175" s="41">
        <f>INDEX('[1]End - Use Prices'!$C$6:$AL$89,MATCH($C175,'[1]End - Use Prices'!$A$6:$A$89,0)+MATCH($D175,'[1]End - Use Prices'!$B$9:$B$11,0)-1,MATCH(AY$1,'[1]End - Use Prices'!$C$7:$AL$7,0))</f>
        <v>10.16</v>
      </c>
      <c r="AZ175" s="41">
        <f>INDEX('[1]End - Use Prices'!$C$6:$AL$89,MATCH($C175,'[1]End - Use Prices'!$A$6:$A$89,0)+MATCH($D175,'[1]End - Use Prices'!$B$9:$B$11,0)-1,MATCH(AZ$1,'[1]End - Use Prices'!$C$7:$AL$7,0))</f>
        <v>10.28</v>
      </c>
      <c r="BA175" s="41">
        <f>INDEX('[1]End - Use Prices'!$C$6:$AL$89,MATCH($C175,'[1]End - Use Prices'!$A$6:$A$89,0)+MATCH($D175,'[1]End - Use Prices'!$B$9:$B$11,0)-1,MATCH(BA$1,'[1]End - Use Prices'!$C$7:$AL$7,0))</f>
        <v>10.34</v>
      </c>
      <c r="BB175" s="41">
        <f>INDEX('[1]End - Use Prices'!$C$6:$AL$89,MATCH($C175,'[1]End - Use Prices'!$A$6:$A$89,0)+MATCH($D175,'[1]End - Use Prices'!$B$9:$B$11,0)-1,MATCH(BB$1,'[1]End - Use Prices'!$C$7:$AL$7,0))</f>
        <v>10.41</v>
      </c>
      <c r="BC175" s="41">
        <f>INDEX('[1]End - Use Prices'!$C$6:$AL$89,MATCH($C175,'[1]End - Use Prices'!$A$6:$A$89,0)+MATCH($D175,'[1]End - Use Prices'!$B$9:$B$11,0)-1,MATCH(BC$1,'[1]End - Use Prices'!$C$7:$AL$7,0))</f>
        <v>10.46</v>
      </c>
      <c r="BD175" s="41">
        <f>INDEX('[1]End - Use Prices'!$C$6:$AL$89,MATCH($C175,'[1]End - Use Prices'!$A$6:$A$89,0)+MATCH($D175,'[1]End - Use Prices'!$B$9:$B$11,0)-1,MATCH(BD$1,'[1]End - Use Prices'!$C$7:$AL$7,0))</f>
        <v>10.5</v>
      </c>
      <c r="BE175" s="41">
        <f>INDEX('[1]End - Use Prices'!$C$6:$AL$89,MATCH($C175,'[1]End - Use Prices'!$A$6:$A$89,0)+MATCH($D175,'[1]End - Use Prices'!$B$9:$B$11,0)-1,MATCH(BE$1,'[1]End - Use Prices'!$C$7:$AL$7,0))</f>
        <v>10.54</v>
      </c>
      <c r="BF175" s="41">
        <f>INDEX('[1]End - Use Prices'!$C$6:$AL$89,MATCH($C175,'[1]End - Use Prices'!$A$6:$A$89,0)+MATCH($D175,'[1]End - Use Prices'!$B$9:$B$11,0)-1,MATCH(BF$1,'[1]End - Use Prices'!$C$7:$AL$7,0))</f>
        <v>10.57</v>
      </c>
      <c r="BG175" s="41">
        <f>INDEX('[1]End - Use Prices'!$C$6:$AL$89,MATCH($C175,'[1]End - Use Prices'!$A$6:$A$89,0)+MATCH($D175,'[1]End - Use Prices'!$B$9:$B$11,0)-1,MATCH(BG$1,'[1]End - Use Prices'!$C$7:$AL$7,0))</f>
        <v>10.59</v>
      </c>
      <c r="BR175" s="39"/>
      <c r="BS175" s="39"/>
      <c r="BT175" s="39"/>
      <c r="BU175" s="39"/>
      <c r="BV175" s="39"/>
      <c r="BW175" s="39"/>
      <c r="BX175" s="39"/>
      <c r="BY175" s="39"/>
      <c r="BZ175" s="39"/>
      <c r="CA175" s="39"/>
    </row>
    <row r="176" spans="1:79" x14ac:dyDescent="0.25">
      <c r="A176" s="5"/>
      <c r="B176" s="3"/>
      <c r="C176" s="25" t="s">
        <v>97</v>
      </c>
      <c r="D176" s="25" t="s">
        <v>14</v>
      </c>
      <c r="E176" s="25" t="s">
        <v>313</v>
      </c>
      <c r="F176" s="74" t="s">
        <v>310</v>
      </c>
      <c r="G176" s="54">
        <f t="shared" si="146"/>
        <v>32.04</v>
      </c>
      <c r="H176" s="34">
        <f t="shared" si="164"/>
        <v>32.04</v>
      </c>
      <c r="I176" s="34">
        <f t="shared" si="164"/>
        <v>30.65</v>
      </c>
      <c r="J176" s="34">
        <f t="shared" si="164"/>
        <v>39.43</v>
      </c>
      <c r="K176" s="34">
        <f t="shared" si="164"/>
        <v>41.09</v>
      </c>
      <c r="L176" s="34">
        <f t="shared" si="164"/>
        <v>42.93</v>
      </c>
      <c r="M176" s="34">
        <f t="shared" si="164"/>
        <v>43.05</v>
      </c>
      <c r="N176" s="34">
        <f t="shared" si="164"/>
        <v>43.31</v>
      </c>
      <c r="O176" s="34">
        <f t="shared" si="164"/>
        <v>43.29</v>
      </c>
      <c r="P176" s="54">
        <f t="shared" ref="P176:Q176" si="175">O176</f>
        <v>43.29</v>
      </c>
      <c r="Q176" s="54">
        <f t="shared" si="175"/>
        <v>43.29</v>
      </c>
      <c r="R176" s="38"/>
      <c r="X176" s="41">
        <f>INDEX('[1]End - Use Prices'!$C$6:$AL$89,MATCH($C176,'[1]End - Use Prices'!$A$6:$A$89,0)+MATCH($D176,'[1]End - Use Prices'!$B$9:$B$11,0)-1,MATCH(X$1,'[1]End - Use Prices'!$C$7:$AL$7,0))</f>
        <v>32.04</v>
      </c>
      <c r="Y176" s="41">
        <f>INDEX('[1]End - Use Prices'!$C$6:$AL$89,MATCH($C176,'[1]End - Use Prices'!$A$6:$A$89,0)+MATCH($D176,'[1]End - Use Prices'!$B$9:$B$11,0)-1,MATCH(Y$1,'[1]End - Use Prices'!$C$7:$AL$7,0))</f>
        <v>31.25</v>
      </c>
      <c r="Z176" s="41">
        <f>INDEX('[1]End - Use Prices'!$C$6:$AL$89,MATCH($C176,'[1]End - Use Prices'!$A$6:$A$89,0)+MATCH($D176,'[1]End - Use Prices'!$B$9:$B$11,0)-1,MATCH(Z$1,'[1]End - Use Prices'!$C$7:$AL$7,0))</f>
        <v>32.020000000000003</v>
      </c>
      <c r="AA176" s="41">
        <f>INDEX('[1]End - Use Prices'!$C$6:$AL$89,MATCH($C176,'[1]End - Use Prices'!$A$6:$A$89,0)+MATCH($D176,'[1]End - Use Prices'!$B$9:$B$11,0)-1,MATCH(AA$1,'[1]End - Use Prices'!$C$7:$AL$7,0))</f>
        <v>31.29</v>
      </c>
      <c r="AB176" s="41">
        <f>INDEX('[1]End - Use Prices'!$C$6:$AL$89,MATCH($C176,'[1]End - Use Prices'!$A$6:$A$89,0)+MATCH($D176,'[1]End - Use Prices'!$B$9:$B$11,0)-1,MATCH(AB$1,'[1]End - Use Prices'!$C$7:$AL$7,0))</f>
        <v>30.74</v>
      </c>
      <c r="AC176" s="41">
        <f>INDEX('[1]End - Use Prices'!$C$6:$AL$89,MATCH($C176,'[1]End - Use Prices'!$A$6:$A$89,0)+MATCH($D176,'[1]End - Use Prices'!$B$9:$B$11,0)-1,MATCH(AC$1,'[1]End - Use Prices'!$C$7:$AL$7,0))</f>
        <v>30.65</v>
      </c>
      <c r="AD176" s="41">
        <f>INDEX('[1]End - Use Prices'!$C$6:$AL$89,MATCH($C176,'[1]End - Use Prices'!$A$6:$A$89,0)+MATCH($D176,'[1]End - Use Prices'!$B$9:$B$11,0)-1,MATCH(AD$1,'[1]End - Use Prices'!$C$7:$AL$7,0))</f>
        <v>29.66</v>
      </c>
      <c r="AE176" s="41">
        <f>INDEX('[1]End - Use Prices'!$C$6:$AL$89,MATCH($C176,'[1]End - Use Prices'!$A$6:$A$89,0)+MATCH($D176,'[1]End - Use Prices'!$B$9:$B$11,0)-1,MATCH(AE$1,'[1]End - Use Prices'!$C$7:$AL$7,0))</f>
        <v>33.369999999999997</v>
      </c>
      <c r="AF176" s="41">
        <f>INDEX('[1]End - Use Prices'!$C$6:$AL$89,MATCH($C176,'[1]End - Use Prices'!$A$6:$A$89,0)+MATCH($D176,'[1]End - Use Prices'!$B$9:$B$11,0)-1,MATCH(AF$1,'[1]End - Use Prices'!$C$7:$AL$7,0))</f>
        <v>33.28</v>
      </c>
      <c r="AG176" s="41">
        <f>INDEX('[1]End - Use Prices'!$C$6:$AL$89,MATCH($C176,'[1]End - Use Prices'!$A$6:$A$89,0)+MATCH($D176,'[1]End - Use Prices'!$B$9:$B$11,0)-1,MATCH(AG$1,'[1]End - Use Prices'!$C$7:$AL$7,0))</f>
        <v>39.119999999999997</v>
      </c>
      <c r="AH176" s="41">
        <f>INDEX('[1]End - Use Prices'!$C$6:$AL$89,MATCH($C176,'[1]End - Use Prices'!$A$6:$A$89,0)+MATCH($D176,'[1]End - Use Prices'!$B$9:$B$11,0)-1,MATCH(AH$1,'[1]End - Use Prices'!$C$7:$AL$7,0))</f>
        <v>39.43</v>
      </c>
      <c r="AI176" s="41">
        <f>INDEX('[1]End - Use Prices'!$C$6:$AL$89,MATCH($C176,'[1]End - Use Prices'!$A$6:$A$89,0)+MATCH($D176,'[1]End - Use Prices'!$B$9:$B$11,0)-1,MATCH(AI$1,'[1]End - Use Prices'!$C$7:$AL$7,0))</f>
        <v>39.19</v>
      </c>
      <c r="AJ176" s="41">
        <f>INDEX('[1]End - Use Prices'!$C$6:$AL$89,MATCH($C176,'[1]End - Use Prices'!$A$6:$A$89,0)+MATCH($D176,'[1]End - Use Prices'!$B$9:$B$11,0)-1,MATCH(AJ$1,'[1]End - Use Prices'!$C$7:$AL$7,0))</f>
        <v>39.659999999999997</v>
      </c>
      <c r="AK176" s="41">
        <f>INDEX('[1]End - Use Prices'!$C$6:$AL$89,MATCH($C176,'[1]End - Use Prices'!$A$6:$A$89,0)+MATCH($D176,'[1]End - Use Prices'!$B$9:$B$11,0)-1,MATCH(AK$1,'[1]End - Use Prices'!$C$7:$AL$7,0))</f>
        <v>39.57</v>
      </c>
      <c r="AL176" s="41">
        <f>INDEX('[1]End - Use Prices'!$C$6:$AL$89,MATCH($C176,'[1]End - Use Prices'!$A$6:$A$89,0)+MATCH($D176,'[1]End - Use Prices'!$B$9:$B$11,0)-1,MATCH(AL$1,'[1]End - Use Prices'!$C$7:$AL$7,0))</f>
        <v>39.549999999999997</v>
      </c>
      <c r="AM176" s="41">
        <f>INDEX('[1]End - Use Prices'!$C$6:$AL$89,MATCH($C176,'[1]End - Use Prices'!$A$6:$A$89,0)+MATCH($D176,'[1]End - Use Prices'!$B$9:$B$11,0)-1,MATCH(AM$1,'[1]End - Use Prices'!$C$7:$AL$7,0))</f>
        <v>41.09</v>
      </c>
      <c r="AN176" s="41">
        <f>INDEX('[1]End - Use Prices'!$C$6:$AL$89,MATCH($C176,'[1]End - Use Prices'!$A$6:$A$89,0)+MATCH($D176,'[1]End - Use Prices'!$B$9:$B$11,0)-1,MATCH(AN$1,'[1]End - Use Prices'!$C$7:$AL$7,0))</f>
        <v>41.81</v>
      </c>
      <c r="AO176" s="41">
        <f>INDEX('[1]End - Use Prices'!$C$6:$AL$89,MATCH($C176,'[1]End - Use Prices'!$A$6:$A$89,0)+MATCH($D176,'[1]End - Use Prices'!$B$9:$B$11,0)-1,MATCH(AO$1,'[1]End - Use Prices'!$C$7:$AL$7,0))</f>
        <v>42.49</v>
      </c>
      <c r="AP176" s="41">
        <f>INDEX('[1]End - Use Prices'!$C$6:$AL$89,MATCH($C176,'[1]End - Use Prices'!$A$6:$A$89,0)+MATCH($D176,'[1]End - Use Prices'!$B$9:$B$11,0)-1,MATCH(AP$1,'[1]End - Use Prices'!$C$7:$AL$7,0))</f>
        <v>43.1</v>
      </c>
      <c r="AQ176" s="41">
        <f>INDEX('[1]End - Use Prices'!$C$6:$AL$89,MATCH($C176,'[1]End - Use Prices'!$A$6:$A$89,0)+MATCH($D176,'[1]End - Use Prices'!$B$9:$B$11,0)-1,MATCH(AQ$1,'[1]End - Use Prices'!$C$7:$AL$7,0))</f>
        <v>43</v>
      </c>
      <c r="AR176" s="41">
        <f>INDEX('[1]End - Use Prices'!$C$6:$AL$89,MATCH($C176,'[1]End - Use Prices'!$A$6:$A$89,0)+MATCH($D176,'[1]End - Use Prices'!$B$9:$B$11,0)-1,MATCH(AR$1,'[1]End - Use Prices'!$C$7:$AL$7,0))</f>
        <v>42.93</v>
      </c>
      <c r="AS176" s="41">
        <f>INDEX('[1]End - Use Prices'!$C$6:$AL$89,MATCH($C176,'[1]End - Use Prices'!$A$6:$A$89,0)+MATCH($D176,'[1]End - Use Prices'!$B$9:$B$11,0)-1,MATCH(AS$1,'[1]End - Use Prices'!$C$7:$AL$7,0))</f>
        <v>42.95</v>
      </c>
      <c r="AT176" s="41">
        <f>INDEX('[1]End - Use Prices'!$C$6:$AL$89,MATCH($C176,'[1]End - Use Prices'!$A$6:$A$89,0)+MATCH($D176,'[1]End - Use Prices'!$B$9:$B$11,0)-1,MATCH(AT$1,'[1]End - Use Prices'!$C$7:$AL$7,0))</f>
        <v>42.95</v>
      </c>
      <c r="AU176" s="41">
        <f>INDEX('[1]End - Use Prices'!$C$6:$AL$89,MATCH($C176,'[1]End - Use Prices'!$A$6:$A$89,0)+MATCH($D176,'[1]End - Use Prices'!$B$9:$B$11,0)-1,MATCH(AU$1,'[1]End - Use Prices'!$C$7:$AL$7,0))</f>
        <v>42.97</v>
      </c>
      <c r="AV176" s="41">
        <f>INDEX('[1]End - Use Prices'!$C$6:$AL$89,MATCH($C176,'[1]End - Use Prices'!$A$6:$A$89,0)+MATCH($D176,'[1]End - Use Prices'!$B$9:$B$11,0)-1,MATCH(AV$1,'[1]End - Use Prices'!$C$7:$AL$7,0))</f>
        <v>43.01</v>
      </c>
      <c r="AW176" s="41">
        <f>INDEX('[1]End - Use Prices'!$C$6:$AL$89,MATCH($C176,'[1]End - Use Prices'!$A$6:$A$89,0)+MATCH($D176,'[1]End - Use Prices'!$B$9:$B$11,0)-1,MATCH(AW$1,'[1]End - Use Prices'!$C$7:$AL$7,0))</f>
        <v>43.05</v>
      </c>
      <c r="AX176" s="41">
        <f>INDEX('[1]End - Use Prices'!$C$6:$AL$89,MATCH($C176,'[1]End - Use Prices'!$A$6:$A$89,0)+MATCH($D176,'[1]End - Use Prices'!$B$9:$B$11,0)-1,MATCH(AX$1,'[1]End - Use Prices'!$C$7:$AL$7,0))</f>
        <v>43.1</v>
      </c>
      <c r="AY176" s="41">
        <f>INDEX('[1]End - Use Prices'!$C$6:$AL$89,MATCH($C176,'[1]End - Use Prices'!$A$6:$A$89,0)+MATCH($D176,'[1]End - Use Prices'!$B$9:$B$11,0)-1,MATCH(AY$1,'[1]End - Use Prices'!$C$7:$AL$7,0))</f>
        <v>43.17</v>
      </c>
      <c r="AZ176" s="41">
        <f>INDEX('[1]End - Use Prices'!$C$6:$AL$89,MATCH($C176,'[1]End - Use Prices'!$A$6:$A$89,0)+MATCH($D176,'[1]End - Use Prices'!$B$9:$B$11,0)-1,MATCH(AZ$1,'[1]End - Use Prices'!$C$7:$AL$7,0))</f>
        <v>43.25</v>
      </c>
      <c r="BA176" s="41">
        <f>INDEX('[1]End - Use Prices'!$C$6:$AL$89,MATCH($C176,'[1]End - Use Prices'!$A$6:$A$89,0)+MATCH($D176,'[1]End - Use Prices'!$B$9:$B$11,0)-1,MATCH(BA$1,'[1]End - Use Prices'!$C$7:$AL$7,0))</f>
        <v>43.28</v>
      </c>
      <c r="BB176" s="41">
        <f>INDEX('[1]End - Use Prices'!$C$6:$AL$89,MATCH($C176,'[1]End - Use Prices'!$A$6:$A$89,0)+MATCH($D176,'[1]End - Use Prices'!$B$9:$B$11,0)-1,MATCH(BB$1,'[1]End - Use Prices'!$C$7:$AL$7,0))</f>
        <v>43.31</v>
      </c>
      <c r="BC176" s="41">
        <f>INDEX('[1]End - Use Prices'!$C$6:$AL$89,MATCH($C176,'[1]End - Use Prices'!$A$6:$A$89,0)+MATCH($D176,'[1]End - Use Prices'!$B$9:$B$11,0)-1,MATCH(BC$1,'[1]End - Use Prices'!$C$7:$AL$7,0))</f>
        <v>43.33</v>
      </c>
      <c r="BD176" s="41">
        <f>INDEX('[1]End - Use Prices'!$C$6:$AL$89,MATCH($C176,'[1]End - Use Prices'!$A$6:$A$89,0)+MATCH($D176,'[1]End - Use Prices'!$B$9:$B$11,0)-1,MATCH(BD$1,'[1]End - Use Prices'!$C$7:$AL$7,0))</f>
        <v>43.33</v>
      </c>
      <c r="BE176" s="41">
        <f>INDEX('[1]End - Use Prices'!$C$6:$AL$89,MATCH($C176,'[1]End - Use Prices'!$A$6:$A$89,0)+MATCH($D176,'[1]End - Use Prices'!$B$9:$B$11,0)-1,MATCH(BE$1,'[1]End - Use Prices'!$C$7:$AL$7,0))</f>
        <v>43.31</v>
      </c>
      <c r="BF176" s="41">
        <f>INDEX('[1]End - Use Prices'!$C$6:$AL$89,MATCH($C176,'[1]End - Use Prices'!$A$6:$A$89,0)+MATCH($D176,'[1]End - Use Prices'!$B$9:$B$11,0)-1,MATCH(BF$1,'[1]End - Use Prices'!$C$7:$AL$7,0))</f>
        <v>43.3</v>
      </c>
      <c r="BG176" s="41">
        <f>INDEX('[1]End - Use Prices'!$C$6:$AL$89,MATCH($C176,'[1]End - Use Prices'!$A$6:$A$89,0)+MATCH($D176,'[1]End - Use Prices'!$B$9:$B$11,0)-1,MATCH(BG$1,'[1]End - Use Prices'!$C$7:$AL$7,0))</f>
        <v>43.29</v>
      </c>
      <c r="BR176" s="39"/>
      <c r="BS176" s="39"/>
      <c r="BT176" s="39"/>
      <c r="BU176" s="39"/>
      <c r="BV176" s="39"/>
      <c r="BW176" s="39"/>
      <c r="BX176" s="39"/>
      <c r="BY176" s="39"/>
      <c r="BZ176" s="39"/>
      <c r="CA176" s="39"/>
    </row>
    <row r="177" spans="1:79" x14ac:dyDescent="0.25">
      <c r="A177" s="5"/>
      <c r="B177" s="3"/>
      <c r="C177" s="25" t="s">
        <v>96</v>
      </c>
      <c r="D177" s="25" t="s">
        <v>14</v>
      </c>
      <c r="E177" s="25" t="s">
        <v>313</v>
      </c>
      <c r="F177" s="74" t="s">
        <v>310</v>
      </c>
      <c r="G177" s="54">
        <f t="shared" si="146"/>
        <v>15.71</v>
      </c>
      <c r="H177" s="34">
        <f t="shared" si="164"/>
        <v>15.71</v>
      </c>
      <c r="I177" s="34">
        <f t="shared" si="164"/>
        <v>14.92</v>
      </c>
      <c r="J177" s="34">
        <f t="shared" si="164"/>
        <v>12.25</v>
      </c>
      <c r="K177" s="34">
        <f t="shared" si="164"/>
        <v>9.07</v>
      </c>
      <c r="L177" s="34">
        <f t="shared" si="164"/>
        <v>9.5</v>
      </c>
      <c r="M177" s="34">
        <f t="shared" si="164"/>
        <v>9.94</v>
      </c>
      <c r="N177" s="34">
        <f t="shared" si="164"/>
        <v>10.41</v>
      </c>
      <c r="O177" s="34">
        <f t="shared" si="164"/>
        <v>10.59</v>
      </c>
      <c r="P177" s="54">
        <f t="shared" ref="P177:Q177" si="176">O177</f>
        <v>10.59</v>
      </c>
      <c r="Q177" s="54">
        <f t="shared" si="176"/>
        <v>10.59</v>
      </c>
      <c r="R177" s="38"/>
      <c r="X177" s="41">
        <f>INDEX('[1]End - Use Prices'!$C$6:$AL$89,MATCH($C177,'[1]End - Use Prices'!$A$6:$A$89,0)+MATCH($D177,'[1]End - Use Prices'!$B$9:$B$11,0)-1,MATCH(X$1,'[1]End - Use Prices'!$C$7:$AL$7,0))</f>
        <v>15.71</v>
      </c>
      <c r="Y177" s="41">
        <f>INDEX('[1]End - Use Prices'!$C$6:$AL$89,MATCH($C177,'[1]End - Use Prices'!$A$6:$A$89,0)+MATCH($D177,'[1]End - Use Prices'!$B$9:$B$11,0)-1,MATCH(Y$1,'[1]End - Use Prices'!$C$7:$AL$7,0))</f>
        <v>16.100000000000001</v>
      </c>
      <c r="Z177" s="41">
        <f>INDEX('[1]End - Use Prices'!$C$6:$AL$89,MATCH($C177,'[1]End - Use Prices'!$A$6:$A$89,0)+MATCH($D177,'[1]End - Use Prices'!$B$9:$B$11,0)-1,MATCH(Z$1,'[1]End - Use Prices'!$C$7:$AL$7,0))</f>
        <v>15.74</v>
      </c>
      <c r="AA177" s="41">
        <f>INDEX('[1]End - Use Prices'!$C$6:$AL$89,MATCH($C177,'[1]End - Use Prices'!$A$6:$A$89,0)+MATCH($D177,'[1]End - Use Prices'!$B$9:$B$11,0)-1,MATCH(AA$1,'[1]End - Use Prices'!$C$7:$AL$7,0))</f>
        <v>15.46</v>
      </c>
      <c r="AB177" s="41">
        <f>INDEX('[1]End - Use Prices'!$C$6:$AL$89,MATCH($C177,'[1]End - Use Prices'!$A$6:$A$89,0)+MATCH($D177,'[1]End - Use Prices'!$B$9:$B$11,0)-1,MATCH(AB$1,'[1]End - Use Prices'!$C$7:$AL$7,0))</f>
        <v>15.41</v>
      </c>
      <c r="AC177" s="41">
        <f>INDEX('[1]End - Use Prices'!$C$6:$AL$89,MATCH($C177,'[1]End - Use Prices'!$A$6:$A$89,0)+MATCH($D177,'[1]End - Use Prices'!$B$9:$B$11,0)-1,MATCH(AC$1,'[1]End - Use Prices'!$C$7:$AL$7,0))</f>
        <v>14.92</v>
      </c>
      <c r="AD177" s="41">
        <f>INDEX('[1]End - Use Prices'!$C$6:$AL$89,MATCH($C177,'[1]End - Use Prices'!$A$6:$A$89,0)+MATCH($D177,'[1]End - Use Prices'!$B$9:$B$11,0)-1,MATCH(AD$1,'[1]End - Use Prices'!$C$7:$AL$7,0))</f>
        <v>13.77</v>
      </c>
      <c r="AE177" s="41">
        <f>INDEX('[1]End - Use Prices'!$C$6:$AL$89,MATCH($C177,'[1]End - Use Prices'!$A$6:$A$89,0)+MATCH($D177,'[1]End - Use Prices'!$B$9:$B$11,0)-1,MATCH(AE$1,'[1]End - Use Prices'!$C$7:$AL$7,0))</f>
        <v>12.54</v>
      </c>
      <c r="AF177" s="41">
        <f>INDEX('[1]End - Use Prices'!$C$6:$AL$89,MATCH($C177,'[1]End - Use Prices'!$A$6:$A$89,0)+MATCH($D177,'[1]End - Use Prices'!$B$9:$B$11,0)-1,MATCH(AF$1,'[1]End - Use Prices'!$C$7:$AL$7,0))</f>
        <v>12.18</v>
      </c>
      <c r="AG177" s="41">
        <f>INDEX('[1]End - Use Prices'!$C$6:$AL$89,MATCH($C177,'[1]End - Use Prices'!$A$6:$A$89,0)+MATCH($D177,'[1]End - Use Prices'!$B$9:$B$11,0)-1,MATCH(AG$1,'[1]End - Use Prices'!$C$7:$AL$7,0))</f>
        <v>13.28</v>
      </c>
      <c r="AH177" s="41">
        <f>INDEX('[1]End - Use Prices'!$C$6:$AL$89,MATCH($C177,'[1]End - Use Prices'!$A$6:$A$89,0)+MATCH($D177,'[1]End - Use Prices'!$B$9:$B$11,0)-1,MATCH(AH$1,'[1]End - Use Prices'!$C$7:$AL$7,0))</f>
        <v>12.25</v>
      </c>
      <c r="AI177" s="41">
        <f>INDEX('[1]End - Use Prices'!$C$6:$AL$89,MATCH($C177,'[1]End - Use Prices'!$A$6:$A$89,0)+MATCH($D177,'[1]End - Use Prices'!$B$9:$B$11,0)-1,MATCH(AI$1,'[1]End - Use Prices'!$C$7:$AL$7,0))</f>
        <v>8.43</v>
      </c>
      <c r="AJ177" s="41">
        <f>INDEX('[1]End - Use Prices'!$C$6:$AL$89,MATCH($C177,'[1]End - Use Prices'!$A$6:$A$89,0)+MATCH($D177,'[1]End - Use Prices'!$B$9:$B$11,0)-1,MATCH(AJ$1,'[1]End - Use Prices'!$C$7:$AL$7,0))</f>
        <v>8.91</v>
      </c>
      <c r="AK177" s="41">
        <f>INDEX('[1]End - Use Prices'!$C$6:$AL$89,MATCH($C177,'[1]End - Use Prices'!$A$6:$A$89,0)+MATCH($D177,'[1]End - Use Prices'!$B$9:$B$11,0)-1,MATCH(AK$1,'[1]End - Use Prices'!$C$7:$AL$7,0))</f>
        <v>8.81</v>
      </c>
      <c r="AL177" s="41">
        <f>INDEX('[1]End - Use Prices'!$C$6:$AL$89,MATCH($C177,'[1]End - Use Prices'!$A$6:$A$89,0)+MATCH($D177,'[1]End - Use Prices'!$B$9:$B$11,0)-1,MATCH(AL$1,'[1]End - Use Prices'!$C$7:$AL$7,0))</f>
        <v>8.7899999999999991</v>
      </c>
      <c r="AM177" s="41">
        <f>INDEX('[1]End - Use Prices'!$C$6:$AL$89,MATCH($C177,'[1]End - Use Prices'!$A$6:$A$89,0)+MATCH($D177,'[1]End - Use Prices'!$B$9:$B$11,0)-1,MATCH(AM$1,'[1]End - Use Prices'!$C$7:$AL$7,0))</f>
        <v>9.07</v>
      </c>
      <c r="AN177" s="41">
        <f>INDEX('[1]End - Use Prices'!$C$6:$AL$89,MATCH($C177,'[1]End - Use Prices'!$A$6:$A$89,0)+MATCH($D177,'[1]End - Use Prices'!$B$9:$B$11,0)-1,MATCH(AN$1,'[1]End - Use Prices'!$C$7:$AL$7,0))</f>
        <v>9.2200000000000006</v>
      </c>
      <c r="AO177" s="41">
        <f>INDEX('[1]End - Use Prices'!$C$6:$AL$89,MATCH($C177,'[1]End - Use Prices'!$A$6:$A$89,0)+MATCH($D177,'[1]End - Use Prices'!$B$9:$B$11,0)-1,MATCH(AO$1,'[1]End - Use Prices'!$C$7:$AL$7,0))</f>
        <v>9.36</v>
      </c>
      <c r="AP177" s="41">
        <f>INDEX('[1]End - Use Prices'!$C$6:$AL$89,MATCH($C177,'[1]End - Use Prices'!$A$6:$A$89,0)+MATCH($D177,'[1]End - Use Prices'!$B$9:$B$11,0)-1,MATCH(AP$1,'[1]End - Use Prices'!$C$7:$AL$7,0))</f>
        <v>9.48</v>
      </c>
      <c r="AQ177" s="41">
        <f>INDEX('[1]End - Use Prices'!$C$6:$AL$89,MATCH($C177,'[1]End - Use Prices'!$A$6:$A$89,0)+MATCH($D177,'[1]End - Use Prices'!$B$9:$B$11,0)-1,MATCH(AQ$1,'[1]End - Use Prices'!$C$7:$AL$7,0))</f>
        <v>9.48</v>
      </c>
      <c r="AR177" s="41">
        <f>INDEX('[1]End - Use Prices'!$C$6:$AL$89,MATCH($C177,'[1]End - Use Prices'!$A$6:$A$89,0)+MATCH($D177,'[1]End - Use Prices'!$B$9:$B$11,0)-1,MATCH(AR$1,'[1]End - Use Prices'!$C$7:$AL$7,0))</f>
        <v>9.5</v>
      </c>
      <c r="AS177" s="41">
        <f>INDEX('[1]End - Use Prices'!$C$6:$AL$89,MATCH($C177,'[1]End - Use Prices'!$A$6:$A$89,0)+MATCH($D177,'[1]End - Use Prices'!$B$9:$B$11,0)-1,MATCH(AS$1,'[1]End - Use Prices'!$C$7:$AL$7,0))</f>
        <v>9.58</v>
      </c>
      <c r="AT177" s="41">
        <f>INDEX('[1]End - Use Prices'!$C$6:$AL$89,MATCH($C177,'[1]End - Use Prices'!$A$6:$A$89,0)+MATCH($D177,'[1]End - Use Prices'!$B$9:$B$11,0)-1,MATCH(AT$1,'[1]End - Use Prices'!$C$7:$AL$7,0))</f>
        <v>9.66</v>
      </c>
      <c r="AU177" s="41">
        <f>INDEX('[1]End - Use Prices'!$C$6:$AL$89,MATCH($C177,'[1]End - Use Prices'!$A$6:$A$89,0)+MATCH($D177,'[1]End - Use Prices'!$B$9:$B$11,0)-1,MATCH(AU$1,'[1]End - Use Prices'!$C$7:$AL$7,0))</f>
        <v>9.75</v>
      </c>
      <c r="AV177" s="41">
        <f>INDEX('[1]End - Use Prices'!$C$6:$AL$89,MATCH($C177,'[1]End - Use Prices'!$A$6:$A$89,0)+MATCH($D177,'[1]End - Use Prices'!$B$9:$B$11,0)-1,MATCH(AV$1,'[1]End - Use Prices'!$C$7:$AL$7,0))</f>
        <v>9.85</v>
      </c>
      <c r="AW177" s="41">
        <f>INDEX('[1]End - Use Prices'!$C$6:$AL$89,MATCH($C177,'[1]End - Use Prices'!$A$6:$A$89,0)+MATCH($D177,'[1]End - Use Prices'!$B$9:$B$11,0)-1,MATCH(AW$1,'[1]End - Use Prices'!$C$7:$AL$7,0))</f>
        <v>9.94</v>
      </c>
      <c r="AX177" s="41">
        <f>INDEX('[1]End - Use Prices'!$C$6:$AL$89,MATCH($C177,'[1]End - Use Prices'!$A$6:$A$89,0)+MATCH($D177,'[1]End - Use Prices'!$B$9:$B$11,0)-1,MATCH(AX$1,'[1]End - Use Prices'!$C$7:$AL$7,0))</f>
        <v>10.039999999999999</v>
      </c>
      <c r="AY177" s="41">
        <f>INDEX('[1]End - Use Prices'!$C$6:$AL$89,MATCH($C177,'[1]End - Use Prices'!$A$6:$A$89,0)+MATCH($D177,'[1]End - Use Prices'!$B$9:$B$11,0)-1,MATCH(AY$1,'[1]End - Use Prices'!$C$7:$AL$7,0))</f>
        <v>10.16</v>
      </c>
      <c r="AZ177" s="41">
        <f>INDEX('[1]End - Use Prices'!$C$6:$AL$89,MATCH($C177,'[1]End - Use Prices'!$A$6:$A$89,0)+MATCH($D177,'[1]End - Use Prices'!$B$9:$B$11,0)-1,MATCH(AZ$1,'[1]End - Use Prices'!$C$7:$AL$7,0))</f>
        <v>10.28</v>
      </c>
      <c r="BA177" s="41">
        <f>INDEX('[1]End - Use Prices'!$C$6:$AL$89,MATCH($C177,'[1]End - Use Prices'!$A$6:$A$89,0)+MATCH($D177,'[1]End - Use Prices'!$B$9:$B$11,0)-1,MATCH(BA$1,'[1]End - Use Prices'!$C$7:$AL$7,0))</f>
        <v>10.34</v>
      </c>
      <c r="BB177" s="41">
        <f>INDEX('[1]End - Use Prices'!$C$6:$AL$89,MATCH($C177,'[1]End - Use Prices'!$A$6:$A$89,0)+MATCH($D177,'[1]End - Use Prices'!$B$9:$B$11,0)-1,MATCH(BB$1,'[1]End - Use Prices'!$C$7:$AL$7,0))</f>
        <v>10.41</v>
      </c>
      <c r="BC177" s="41">
        <f>INDEX('[1]End - Use Prices'!$C$6:$AL$89,MATCH($C177,'[1]End - Use Prices'!$A$6:$A$89,0)+MATCH($D177,'[1]End - Use Prices'!$B$9:$B$11,0)-1,MATCH(BC$1,'[1]End - Use Prices'!$C$7:$AL$7,0))</f>
        <v>10.46</v>
      </c>
      <c r="BD177" s="41">
        <f>INDEX('[1]End - Use Prices'!$C$6:$AL$89,MATCH($C177,'[1]End - Use Prices'!$A$6:$A$89,0)+MATCH($D177,'[1]End - Use Prices'!$B$9:$B$11,0)-1,MATCH(BD$1,'[1]End - Use Prices'!$C$7:$AL$7,0))</f>
        <v>10.5</v>
      </c>
      <c r="BE177" s="41">
        <f>INDEX('[1]End - Use Prices'!$C$6:$AL$89,MATCH($C177,'[1]End - Use Prices'!$A$6:$A$89,0)+MATCH($D177,'[1]End - Use Prices'!$B$9:$B$11,0)-1,MATCH(BE$1,'[1]End - Use Prices'!$C$7:$AL$7,0))</f>
        <v>10.54</v>
      </c>
      <c r="BF177" s="41">
        <f>INDEX('[1]End - Use Prices'!$C$6:$AL$89,MATCH($C177,'[1]End - Use Prices'!$A$6:$A$89,0)+MATCH($D177,'[1]End - Use Prices'!$B$9:$B$11,0)-1,MATCH(BF$1,'[1]End - Use Prices'!$C$7:$AL$7,0))</f>
        <v>10.57</v>
      </c>
      <c r="BG177" s="41">
        <f>INDEX('[1]End - Use Prices'!$C$6:$AL$89,MATCH($C177,'[1]End - Use Prices'!$A$6:$A$89,0)+MATCH($D177,'[1]End - Use Prices'!$B$9:$B$11,0)-1,MATCH(BG$1,'[1]End - Use Prices'!$C$7:$AL$7,0))</f>
        <v>10.59</v>
      </c>
      <c r="BR177" s="39"/>
      <c r="BS177" s="39"/>
      <c r="BT177" s="39"/>
      <c r="BU177" s="39"/>
      <c r="BV177" s="39"/>
      <c r="BW177" s="39"/>
      <c r="BX177" s="39"/>
      <c r="BY177" s="39"/>
      <c r="BZ177" s="39"/>
      <c r="CA177" s="39"/>
    </row>
    <row r="178" spans="1:79" x14ac:dyDescent="0.25">
      <c r="A178" s="5"/>
      <c r="B178" s="3"/>
      <c r="C178" s="25" t="s">
        <v>48</v>
      </c>
      <c r="D178" s="25" t="s">
        <v>311</v>
      </c>
      <c r="E178" s="25" t="s">
        <v>313</v>
      </c>
      <c r="F178" s="74" t="s">
        <v>310</v>
      </c>
      <c r="G178" s="54">
        <f t="shared" si="146"/>
        <v>25.71</v>
      </c>
      <c r="H178" s="34">
        <f t="shared" si="164"/>
        <v>25.71</v>
      </c>
      <c r="I178" s="34">
        <f t="shared" si="164"/>
        <v>26.91</v>
      </c>
      <c r="J178" s="34">
        <f t="shared" si="164"/>
        <v>28.23</v>
      </c>
      <c r="K178" s="34">
        <f t="shared" si="164"/>
        <v>38.950000000000003</v>
      </c>
      <c r="L178" s="34">
        <f t="shared" si="164"/>
        <v>34.25</v>
      </c>
      <c r="M178" s="34">
        <f t="shared" si="164"/>
        <v>33.67</v>
      </c>
      <c r="N178" s="34">
        <f t="shared" si="164"/>
        <v>33.49</v>
      </c>
      <c r="O178" s="34">
        <f t="shared" si="164"/>
        <v>33.18</v>
      </c>
      <c r="P178" s="54">
        <f t="shared" ref="P178:Q178" si="177">O178</f>
        <v>33.18</v>
      </c>
      <c r="Q178" s="54">
        <f t="shared" si="177"/>
        <v>33.18</v>
      </c>
      <c r="R178" s="38"/>
      <c r="X178" s="41">
        <f>INDEX('[1]End - Use Prices'!$C$6:$AL$89,MATCH($C178,'[1]End - Use Prices'!$A$6:$A$89,0)+MATCH($D178,'[1]End - Use Prices'!$B$9:$B$11,0)-1,MATCH(X$1,'[1]End - Use Prices'!$C$7:$AL$7,0))</f>
        <v>25.71</v>
      </c>
      <c r="Y178" s="41">
        <f>INDEX('[1]End - Use Prices'!$C$6:$AL$89,MATCH($C178,'[1]End - Use Prices'!$A$6:$A$89,0)+MATCH($D178,'[1]End - Use Prices'!$B$9:$B$11,0)-1,MATCH(Y$1,'[1]End - Use Prices'!$C$7:$AL$7,0))</f>
        <v>26.31</v>
      </c>
      <c r="Z178" s="41">
        <f>INDEX('[1]End - Use Prices'!$C$6:$AL$89,MATCH($C178,'[1]End - Use Prices'!$A$6:$A$89,0)+MATCH($D178,'[1]End - Use Prices'!$B$9:$B$11,0)-1,MATCH(Z$1,'[1]End - Use Prices'!$C$7:$AL$7,0))</f>
        <v>26.43</v>
      </c>
      <c r="AA178" s="41">
        <f>INDEX('[1]End - Use Prices'!$C$6:$AL$89,MATCH($C178,'[1]End - Use Prices'!$A$6:$A$89,0)+MATCH($D178,'[1]End - Use Prices'!$B$9:$B$11,0)-1,MATCH(AA$1,'[1]End - Use Prices'!$C$7:$AL$7,0))</f>
        <v>33.200000000000003</v>
      </c>
      <c r="AB178" s="41">
        <f>INDEX('[1]End - Use Prices'!$C$6:$AL$89,MATCH($C178,'[1]End - Use Prices'!$A$6:$A$89,0)+MATCH($D178,'[1]End - Use Prices'!$B$9:$B$11,0)-1,MATCH(AB$1,'[1]End - Use Prices'!$C$7:$AL$7,0))</f>
        <v>23.79</v>
      </c>
      <c r="AC178" s="41">
        <f>INDEX('[1]End - Use Prices'!$C$6:$AL$89,MATCH($C178,'[1]End - Use Prices'!$A$6:$A$89,0)+MATCH($D178,'[1]End - Use Prices'!$B$9:$B$11,0)-1,MATCH(AC$1,'[1]End - Use Prices'!$C$7:$AL$7,0))</f>
        <v>26.91</v>
      </c>
      <c r="AD178" s="41">
        <f>INDEX('[1]End - Use Prices'!$C$6:$AL$89,MATCH($C178,'[1]End - Use Prices'!$A$6:$A$89,0)+MATCH($D178,'[1]End - Use Prices'!$B$9:$B$11,0)-1,MATCH(AD$1,'[1]End - Use Prices'!$C$7:$AL$7,0))</f>
        <v>32.58</v>
      </c>
      <c r="AE178" s="41">
        <f>INDEX('[1]End - Use Prices'!$C$6:$AL$89,MATCH($C178,'[1]End - Use Prices'!$A$6:$A$89,0)+MATCH($D178,'[1]End - Use Prices'!$B$9:$B$11,0)-1,MATCH(AE$1,'[1]End - Use Prices'!$C$7:$AL$7,0))</f>
        <v>33.74</v>
      </c>
      <c r="AF178" s="41">
        <f>INDEX('[1]End - Use Prices'!$C$6:$AL$89,MATCH($C178,'[1]End - Use Prices'!$A$6:$A$89,0)+MATCH($D178,'[1]End - Use Prices'!$B$9:$B$11,0)-1,MATCH(AF$1,'[1]End - Use Prices'!$C$7:$AL$7,0))</f>
        <v>33.31</v>
      </c>
      <c r="AG178" s="41">
        <f>INDEX('[1]End - Use Prices'!$C$6:$AL$89,MATCH($C178,'[1]End - Use Prices'!$A$6:$A$89,0)+MATCH($D178,'[1]End - Use Prices'!$B$9:$B$11,0)-1,MATCH(AG$1,'[1]End - Use Prices'!$C$7:$AL$7,0))</f>
        <v>34.46</v>
      </c>
      <c r="AH178" s="41">
        <f>INDEX('[1]End - Use Prices'!$C$6:$AL$89,MATCH($C178,'[1]End - Use Prices'!$A$6:$A$89,0)+MATCH($D178,'[1]End - Use Prices'!$B$9:$B$11,0)-1,MATCH(AH$1,'[1]End - Use Prices'!$C$7:$AL$7,0))</f>
        <v>28.23</v>
      </c>
      <c r="AI178" s="41">
        <f>INDEX('[1]End - Use Prices'!$C$6:$AL$89,MATCH($C178,'[1]End - Use Prices'!$A$6:$A$89,0)+MATCH($D178,'[1]End - Use Prices'!$B$9:$B$11,0)-1,MATCH(AI$1,'[1]End - Use Prices'!$C$7:$AL$7,0))</f>
        <v>24.61</v>
      </c>
      <c r="AJ178" s="41">
        <f>INDEX('[1]End - Use Prices'!$C$6:$AL$89,MATCH($C178,'[1]End - Use Prices'!$A$6:$A$89,0)+MATCH($D178,'[1]End - Use Prices'!$B$9:$B$11,0)-1,MATCH(AJ$1,'[1]End - Use Prices'!$C$7:$AL$7,0))</f>
        <v>27.26</v>
      </c>
      <c r="AK178" s="41">
        <f>INDEX('[1]End - Use Prices'!$C$6:$AL$89,MATCH($C178,'[1]End - Use Prices'!$A$6:$A$89,0)+MATCH($D178,'[1]End - Use Prices'!$B$9:$B$11,0)-1,MATCH(AK$1,'[1]End - Use Prices'!$C$7:$AL$7,0))</f>
        <v>31.59</v>
      </c>
      <c r="AL178" s="41">
        <f>INDEX('[1]End - Use Prices'!$C$6:$AL$89,MATCH($C178,'[1]End - Use Prices'!$A$6:$A$89,0)+MATCH($D178,'[1]End - Use Prices'!$B$9:$B$11,0)-1,MATCH(AL$1,'[1]End - Use Prices'!$C$7:$AL$7,0))</f>
        <v>35.08</v>
      </c>
      <c r="AM178" s="41">
        <f>INDEX('[1]End - Use Prices'!$C$6:$AL$89,MATCH($C178,'[1]End - Use Prices'!$A$6:$A$89,0)+MATCH($D178,'[1]End - Use Prices'!$B$9:$B$11,0)-1,MATCH(AM$1,'[1]End - Use Prices'!$C$7:$AL$7,0))</f>
        <v>38.950000000000003</v>
      </c>
      <c r="AN178" s="41">
        <f>INDEX('[1]End - Use Prices'!$C$6:$AL$89,MATCH($C178,'[1]End - Use Prices'!$A$6:$A$89,0)+MATCH($D178,'[1]End - Use Prices'!$B$9:$B$11,0)-1,MATCH(AN$1,'[1]End - Use Prices'!$C$7:$AL$7,0))</f>
        <v>36.01</v>
      </c>
      <c r="AO178" s="41">
        <f>INDEX('[1]End - Use Prices'!$C$6:$AL$89,MATCH($C178,'[1]End - Use Prices'!$A$6:$A$89,0)+MATCH($D178,'[1]End - Use Prices'!$B$9:$B$11,0)-1,MATCH(AO$1,'[1]End - Use Prices'!$C$7:$AL$7,0))</f>
        <v>34.17</v>
      </c>
      <c r="AP178" s="41">
        <f>INDEX('[1]End - Use Prices'!$C$6:$AL$89,MATCH($C178,'[1]End - Use Prices'!$A$6:$A$89,0)+MATCH($D178,'[1]End - Use Prices'!$B$9:$B$11,0)-1,MATCH(AP$1,'[1]End - Use Prices'!$C$7:$AL$7,0))</f>
        <v>34.06</v>
      </c>
      <c r="AQ178" s="41">
        <f>INDEX('[1]End - Use Prices'!$C$6:$AL$89,MATCH($C178,'[1]End - Use Prices'!$A$6:$A$89,0)+MATCH($D178,'[1]End - Use Prices'!$B$9:$B$11,0)-1,MATCH(AQ$1,'[1]End - Use Prices'!$C$7:$AL$7,0))</f>
        <v>34.04</v>
      </c>
      <c r="AR178" s="41">
        <f>INDEX('[1]End - Use Prices'!$C$6:$AL$89,MATCH($C178,'[1]End - Use Prices'!$A$6:$A$89,0)+MATCH($D178,'[1]End - Use Prices'!$B$9:$B$11,0)-1,MATCH(AR$1,'[1]End - Use Prices'!$C$7:$AL$7,0))</f>
        <v>34.25</v>
      </c>
      <c r="AS178" s="41">
        <f>INDEX('[1]End - Use Prices'!$C$6:$AL$89,MATCH($C178,'[1]End - Use Prices'!$A$6:$A$89,0)+MATCH($D178,'[1]End - Use Prices'!$B$9:$B$11,0)-1,MATCH(AS$1,'[1]End - Use Prices'!$C$7:$AL$7,0))</f>
        <v>34.39</v>
      </c>
      <c r="AT178" s="41">
        <f>INDEX('[1]End - Use Prices'!$C$6:$AL$89,MATCH($C178,'[1]End - Use Prices'!$A$6:$A$89,0)+MATCH($D178,'[1]End - Use Prices'!$B$9:$B$11,0)-1,MATCH(AT$1,'[1]End - Use Prices'!$C$7:$AL$7,0))</f>
        <v>34.22</v>
      </c>
      <c r="AU178" s="41">
        <f>INDEX('[1]End - Use Prices'!$C$6:$AL$89,MATCH($C178,'[1]End - Use Prices'!$A$6:$A$89,0)+MATCH($D178,'[1]End - Use Prices'!$B$9:$B$11,0)-1,MATCH(AU$1,'[1]End - Use Prices'!$C$7:$AL$7,0))</f>
        <v>34.020000000000003</v>
      </c>
      <c r="AV178" s="41">
        <f>INDEX('[1]End - Use Prices'!$C$6:$AL$89,MATCH($C178,'[1]End - Use Prices'!$A$6:$A$89,0)+MATCH($D178,'[1]End - Use Prices'!$B$9:$B$11,0)-1,MATCH(AV$1,'[1]End - Use Prices'!$C$7:$AL$7,0))</f>
        <v>33.840000000000003</v>
      </c>
      <c r="AW178" s="41">
        <f>INDEX('[1]End - Use Prices'!$C$6:$AL$89,MATCH($C178,'[1]End - Use Prices'!$A$6:$A$89,0)+MATCH($D178,'[1]End - Use Prices'!$B$9:$B$11,0)-1,MATCH(AW$1,'[1]End - Use Prices'!$C$7:$AL$7,0))</f>
        <v>33.67</v>
      </c>
      <c r="AX178" s="41">
        <f>INDEX('[1]End - Use Prices'!$C$6:$AL$89,MATCH($C178,'[1]End - Use Prices'!$A$6:$A$89,0)+MATCH($D178,'[1]End - Use Prices'!$B$9:$B$11,0)-1,MATCH(AX$1,'[1]End - Use Prices'!$C$7:$AL$7,0))</f>
        <v>33.58</v>
      </c>
      <c r="AY178" s="41">
        <f>INDEX('[1]End - Use Prices'!$C$6:$AL$89,MATCH($C178,'[1]End - Use Prices'!$A$6:$A$89,0)+MATCH($D178,'[1]End - Use Prices'!$B$9:$B$11,0)-1,MATCH(AY$1,'[1]End - Use Prices'!$C$7:$AL$7,0))</f>
        <v>33.51</v>
      </c>
      <c r="AZ178" s="41">
        <f>INDEX('[1]End - Use Prices'!$C$6:$AL$89,MATCH($C178,'[1]End - Use Prices'!$A$6:$A$89,0)+MATCH($D178,'[1]End - Use Prices'!$B$9:$B$11,0)-1,MATCH(AZ$1,'[1]End - Use Prices'!$C$7:$AL$7,0))</f>
        <v>33.49</v>
      </c>
      <c r="BA178" s="41">
        <f>INDEX('[1]End - Use Prices'!$C$6:$AL$89,MATCH($C178,'[1]End - Use Prices'!$A$6:$A$89,0)+MATCH($D178,'[1]End - Use Prices'!$B$9:$B$11,0)-1,MATCH(BA$1,'[1]End - Use Prices'!$C$7:$AL$7,0))</f>
        <v>33.5</v>
      </c>
      <c r="BB178" s="41">
        <f>INDEX('[1]End - Use Prices'!$C$6:$AL$89,MATCH($C178,'[1]End - Use Prices'!$A$6:$A$89,0)+MATCH($D178,'[1]End - Use Prices'!$B$9:$B$11,0)-1,MATCH(BB$1,'[1]End - Use Prices'!$C$7:$AL$7,0))</f>
        <v>33.49</v>
      </c>
      <c r="BC178" s="41">
        <f>INDEX('[1]End - Use Prices'!$C$6:$AL$89,MATCH($C178,'[1]End - Use Prices'!$A$6:$A$89,0)+MATCH($D178,'[1]End - Use Prices'!$B$9:$B$11,0)-1,MATCH(BC$1,'[1]End - Use Prices'!$C$7:$AL$7,0))</f>
        <v>33.46</v>
      </c>
      <c r="BD178" s="41">
        <f>INDEX('[1]End - Use Prices'!$C$6:$AL$89,MATCH($C178,'[1]End - Use Prices'!$A$6:$A$89,0)+MATCH($D178,'[1]End - Use Prices'!$B$9:$B$11,0)-1,MATCH(BD$1,'[1]End - Use Prices'!$C$7:$AL$7,0))</f>
        <v>33.42</v>
      </c>
      <c r="BE178" s="41">
        <f>INDEX('[1]End - Use Prices'!$C$6:$AL$89,MATCH($C178,'[1]End - Use Prices'!$A$6:$A$89,0)+MATCH($D178,'[1]End - Use Prices'!$B$9:$B$11,0)-1,MATCH(BE$1,'[1]End - Use Prices'!$C$7:$AL$7,0))</f>
        <v>33.340000000000003</v>
      </c>
      <c r="BF178" s="41">
        <f>INDEX('[1]End - Use Prices'!$C$6:$AL$89,MATCH($C178,'[1]End - Use Prices'!$A$6:$A$89,0)+MATCH($D178,'[1]End - Use Prices'!$B$9:$B$11,0)-1,MATCH(BF$1,'[1]End - Use Prices'!$C$7:$AL$7,0))</f>
        <v>33.270000000000003</v>
      </c>
      <c r="BG178" s="41">
        <f>INDEX('[1]End - Use Prices'!$C$6:$AL$89,MATCH($C178,'[1]End - Use Prices'!$A$6:$A$89,0)+MATCH($D178,'[1]End - Use Prices'!$B$9:$B$11,0)-1,MATCH(BG$1,'[1]End - Use Prices'!$C$7:$AL$7,0))</f>
        <v>33.18</v>
      </c>
      <c r="BR178" s="39"/>
      <c r="BS178" s="39"/>
      <c r="BT178" s="39"/>
      <c r="BU178" s="39"/>
      <c r="BV178" s="39"/>
      <c r="BW178" s="39"/>
      <c r="BX178" s="39"/>
      <c r="BY178" s="39"/>
      <c r="BZ178" s="39"/>
      <c r="CA178" s="39"/>
    </row>
    <row r="179" spans="1:79" x14ac:dyDescent="0.25">
      <c r="A179" s="5"/>
      <c r="B179" s="3"/>
      <c r="C179" s="25" t="s">
        <v>87</v>
      </c>
      <c r="D179" s="25" t="s">
        <v>311</v>
      </c>
      <c r="E179" s="25" t="s">
        <v>313</v>
      </c>
      <c r="F179" s="74" t="s">
        <v>310</v>
      </c>
      <c r="G179" s="54">
        <f t="shared" si="146"/>
        <v>25.86</v>
      </c>
      <c r="H179" s="34">
        <f t="shared" si="164"/>
        <v>25.86</v>
      </c>
      <c r="I179" s="34">
        <f t="shared" si="164"/>
        <v>26.25</v>
      </c>
      <c r="J179" s="34">
        <f t="shared" si="164"/>
        <v>22.78</v>
      </c>
      <c r="K179" s="34">
        <f t="shared" si="164"/>
        <v>35.65</v>
      </c>
      <c r="L179" s="34">
        <f t="shared" si="164"/>
        <v>31.1</v>
      </c>
      <c r="M179" s="34">
        <f t="shared" si="164"/>
        <v>30.26</v>
      </c>
      <c r="N179" s="34">
        <f t="shared" si="164"/>
        <v>30.03</v>
      </c>
      <c r="O179" s="34">
        <f t="shared" si="164"/>
        <v>29.65</v>
      </c>
      <c r="P179" s="54">
        <f t="shared" ref="P179:Q179" si="178">O179</f>
        <v>29.65</v>
      </c>
      <c r="Q179" s="54">
        <f t="shared" si="178"/>
        <v>29.65</v>
      </c>
      <c r="R179" s="38"/>
      <c r="X179" s="41">
        <f>INDEX('[1]End - Use Prices'!$C$6:$AL$89,MATCH($C179,'[1]End - Use Prices'!$A$6:$A$89,0)+MATCH($D179,'[1]End - Use Prices'!$B$9:$B$11,0)-1,MATCH(X$1,'[1]End - Use Prices'!$C$7:$AL$7,0))</f>
        <v>25.86</v>
      </c>
      <c r="Y179" s="41">
        <f>INDEX('[1]End - Use Prices'!$C$6:$AL$89,MATCH($C179,'[1]End - Use Prices'!$A$6:$A$89,0)+MATCH($D179,'[1]End - Use Prices'!$B$9:$B$11,0)-1,MATCH(Y$1,'[1]End - Use Prices'!$C$7:$AL$7,0))</f>
        <v>27.18</v>
      </c>
      <c r="Z179" s="41">
        <f>INDEX('[1]End - Use Prices'!$C$6:$AL$89,MATCH($C179,'[1]End - Use Prices'!$A$6:$A$89,0)+MATCH($D179,'[1]End - Use Prices'!$B$9:$B$11,0)-1,MATCH(Z$1,'[1]End - Use Prices'!$C$7:$AL$7,0))</f>
        <v>27.19</v>
      </c>
      <c r="AA179" s="41">
        <f>INDEX('[1]End - Use Prices'!$C$6:$AL$89,MATCH($C179,'[1]End - Use Prices'!$A$6:$A$89,0)+MATCH($D179,'[1]End - Use Prices'!$B$9:$B$11,0)-1,MATCH(AA$1,'[1]End - Use Prices'!$C$7:$AL$7,0))</f>
        <v>32.65</v>
      </c>
      <c r="AB179" s="41">
        <f>INDEX('[1]End - Use Prices'!$C$6:$AL$89,MATCH($C179,'[1]End - Use Prices'!$A$6:$A$89,0)+MATCH($D179,'[1]End - Use Prices'!$B$9:$B$11,0)-1,MATCH(AB$1,'[1]End - Use Prices'!$C$7:$AL$7,0))</f>
        <v>22.7</v>
      </c>
      <c r="AC179" s="41">
        <f>INDEX('[1]End - Use Prices'!$C$6:$AL$89,MATCH($C179,'[1]End - Use Prices'!$A$6:$A$89,0)+MATCH($D179,'[1]End - Use Prices'!$B$9:$B$11,0)-1,MATCH(AC$1,'[1]End - Use Prices'!$C$7:$AL$7,0))</f>
        <v>26.25</v>
      </c>
      <c r="AD179" s="41">
        <f>INDEX('[1]End - Use Prices'!$C$6:$AL$89,MATCH($C179,'[1]End - Use Prices'!$A$6:$A$89,0)+MATCH($D179,'[1]End - Use Prices'!$B$9:$B$11,0)-1,MATCH(AD$1,'[1]End - Use Prices'!$C$7:$AL$7,0))</f>
        <v>31.74</v>
      </c>
      <c r="AE179" s="41">
        <f>INDEX('[1]End - Use Prices'!$C$6:$AL$89,MATCH($C179,'[1]End - Use Prices'!$A$6:$A$89,0)+MATCH($D179,'[1]End - Use Prices'!$B$9:$B$11,0)-1,MATCH(AE$1,'[1]End - Use Prices'!$C$7:$AL$7,0))</f>
        <v>32.58</v>
      </c>
      <c r="AF179" s="41">
        <f>INDEX('[1]End - Use Prices'!$C$6:$AL$89,MATCH($C179,'[1]End - Use Prices'!$A$6:$A$89,0)+MATCH($D179,'[1]End - Use Prices'!$B$9:$B$11,0)-1,MATCH(AF$1,'[1]End - Use Prices'!$C$7:$AL$7,0))</f>
        <v>29.61</v>
      </c>
      <c r="AG179" s="41">
        <f>INDEX('[1]End - Use Prices'!$C$6:$AL$89,MATCH($C179,'[1]End - Use Prices'!$A$6:$A$89,0)+MATCH($D179,'[1]End - Use Prices'!$B$9:$B$11,0)-1,MATCH(AG$1,'[1]End - Use Prices'!$C$7:$AL$7,0))</f>
        <v>29.41</v>
      </c>
      <c r="AH179" s="41">
        <f>INDEX('[1]End - Use Prices'!$C$6:$AL$89,MATCH($C179,'[1]End - Use Prices'!$A$6:$A$89,0)+MATCH($D179,'[1]End - Use Prices'!$B$9:$B$11,0)-1,MATCH(AH$1,'[1]End - Use Prices'!$C$7:$AL$7,0))</f>
        <v>22.78</v>
      </c>
      <c r="AI179" s="41">
        <f>INDEX('[1]End - Use Prices'!$C$6:$AL$89,MATCH($C179,'[1]End - Use Prices'!$A$6:$A$89,0)+MATCH($D179,'[1]End - Use Prices'!$B$9:$B$11,0)-1,MATCH(AI$1,'[1]End - Use Prices'!$C$7:$AL$7,0))</f>
        <v>21.05</v>
      </c>
      <c r="AJ179" s="41">
        <f>INDEX('[1]End - Use Prices'!$C$6:$AL$89,MATCH($C179,'[1]End - Use Prices'!$A$6:$A$89,0)+MATCH($D179,'[1]End - Use Prices'!$B$9:$B$11,0)-1,MATCH(AJ$1,'[1]End - Use Prices'!$C$7:$AL$7,0))</f>
        <v>24</v>
      </c>
      <c r="AK179" s="41">
        <f>INDEX('[1]End - Use Prices'!$C$6:$AL$89,MATCH($C179,'[1]End - Use Prices'!$A$6:$A$89,0)+MATCH($D179,'[1]End - Use Prices'!$B$9:$B$11,0)-1,MATCH(AK$1,'[1]End - Use Prices'!$C$7:$AL$7,0))</f>
        <v>27.31</v>
      </c>
      <c r="AL179" s="41">
        <f>INDEX('[1]End - Use Prices'!$C$6:$AL$89,MATCH($C179,'[1]End - Use Prices'!$A$6:$A$89,0)+MATCH($D179,'[1]End - Use Prices'!$B$9:$B$11,0)-1,MATCH(AL$1,'[1]End - Use Prices'!$C$7:$AL$7,0))</f>
        <v>30.69</v>
      </c>
      <c r="AM179" s="41">
        <f>INDEX('[1]End - Use Prices'!$C$6:$AL$89,MATCH($C179,'[1]End - Use Prices'!$A$6:$A$89,0)+MATCH($D179,'[1]End - Use Prices'!$B$9:$B$11,0)-1,MATCH(AM$1,'[1]End - Use Prices'!$C$7:$AL$7,0))</f>
        <v>35.65</v>
      </c>
      <c r="AN179" s="41">
        <f>INDEX('[1]End - Use Prices'!$C$6:$AL$89,MATCH($C179,'[1]End - Use Prices'!$A$6:$A$89,0)+MATCH($D179,'[1]End - Use Prices'!$B$9:$B$11,0)-1,MATCH(AN$1,'[1]End - Use Prices'!$C$7:$AL$7,0))</f>
        <v>32.92</v>
      </c>
      <c r="AO179" s="41">
        <f>INDEX('[1]End - Use Prices'!$C$6:$AL$89,MATCH($C179,'[1]End - Use Prices'!$A$6:$A$89,0)+MATCH($D179,'[1]End - Use Prices'!$B$9:$B$11,0)-1,MATCH(AO$1,'[1]End - Use Prices'!$C$7:$AL$7,0))</f>
        <v>31.27</v>
      </c>
      <c r="AP179" s="41">
        <f>INDEX('[1]End - Use Prices'!$C$6:$AL$89,MATCH($C179,'[1]End - Use Prices'!$A$6:$A$89,0)+MATCH($D179,'[1]End - Use Prices'!$B$9:$B$11,0)-1,MATCH(AP$1,'[1]End - Use Prices'!$C$7:$AL$7,0))</f>
        <v>31.4</v>
      </c>
      <c r="AQ179" s="41">
        <f>INDEX('[1]End - Use Prices'!$C$6:$AL$89,MATCH($C179,'[1]End - Use Prices'!$A$6:$A$89,0)+MATCH($D179,'[1]End - Use Prices'!$B$9:$B$11,0)-1,MATCH(AQ$1,'[1]End - Use Prices'!$C$7:$AL$7,0))</f>
        <v>31.13</v>
      </c>
      <c r="AR179" s="41">
        <f>INDEX('[1]End - Use Prices'!$C$6:$AL$89,MATCH($C179,'[1]End - Use Prices'!$A$6:$A$89,0)+MATCH($D179,'[1]End - Use Prices'!$B$9:$B$11,0)-1,MATCH(AR$1,'[1]End - Use Prices'!$C$7:$AL$7,0))</f>
        <v>31.1</v>
      </c>
      <c r="AS179" s="41">
        <f>INDEX('[1]End - Use Prices'!$C$6:$AL$89,MATCH($C179,'[1]End - Use Prices'!$A$6:$A$89,0)+MATCH($D179,'[1]End - Use Prices'!$B$9:$B$11,0)-1,MATCH(AS$1,'[1]End - Use Prices'!$C$7:$AL$7,0))</f>
        <v>31.02</v>
      </c>
      <c r="AT179" s="41">
        <f>INDEX('[1]End - Use Prices'!$C$6:$AL$89,MATCH($C179,'[1]End - Use Prices'!$A$6:$A$89,0)+MATCH($D179,'[1]End - Use Prices'!$B$9:$B$11,0)-1,MATCH(AT$1,'[1]End - Use Prices'!$C$7:$AL$7,0))</f>
        <v>30.85</v>
      </c>
      <c r="AU179" s="41">
        <f>INDEX('[1]End - Use Prices'!$C$6:$AL$89,MATCH($C179,'[1]End - Use Prices'!$A$6:$A$89,0)+MATCH($D179,'[1]End - Use Prices'!$B$9:$B$11,0)-1,MATCH(AU$1,'[1]End - Use Prices'!$C$7:$AL$7,0))</f>
        <v>30.63</v>
      </c>
      <c r="AV179" s="41">
        <f>INDEX('[1]End - Use Prices'!$C$6:$AL$89,MATCH($C179,'[1]End - Use Prices'!$A$6:$A$89,0)+MATCH($D179,'[1]End - Use Prices'!$B$9:$B$11,0)-1,MATCH(AV$1,'[1]End - Use Prices'!$C$7:$AL$7,0))</f>
        <v>30.45</v>
      </c>
      <c r="AW179" s="41">
        <f>INDEX('[1]End - Use Prices'!$C$6:$AL$89,MATCH($C179,'[1]End - Use Prices'!$A$6:$A$89,0)+MATCH($D179,'[1]End - Use Prices'!$B$9:$B$11,0)-1,MATCH(AW$1,'[1]End - Use Prices'!$C$7:$AL$7,0))</f>
        <v>30.26</v>
      </c>
      <c r="AX179" s="41">
        <f>INDEX('[1]End - Use Prices'!$C$6:$AL$89,MATCH($C179,'[1]End - Use Prices'!$A$6:$A$89,0)+MATCH($D179,'[1]End - Use Prices'!$B$9:$B$11,0)-1,MATCH(AX$1,'[1]End - Use Prices'!$C$7:$AL$7,0))</f>
        <v>30.15</v>
      </c>
      <c r="AY179" s="41">
        <f>INDEX('[1]End - Use Prices'!$C$6:$AL$89,MATCH($C179,'[1]End - Use Prices'!$A$6:$A$89,0)+MATCH($D179,'[1]End - Use Prices'!$B$9:$B$11,0)-1,MATCH(AY$1,'[1]End - Use Prices'!$C$7:$AL$7,0))</f>
        <v>30.08</v>
      </c>
      <c r="AZ179" s="41">
        <f>INDEX('[1]End - Use Prices'!$C$6:$AL$89,MATCH($C179,'[1]End - Use Prices'!$A$6:$A$89,0)+MATCH($D179,'[1]End - Use Prices'!$B$9:$B$11,0)-1,MATCH(AZ$1,'[1]End - Use Prices'!$C$7:$AL$7,0))</f>
        <v>30.05</v>
      </c>
      <c r="BA179" s="41">
        <f>INDEX('[1]End - Use Prices'!$C$6:$AL$89,MATCH($C179,'[1]End - Use Prices'!$A$6:$A$89,0)+MATCH($D179,'[1]End - Use Prices'!$B$9:$B$11,0)-1,MATCH(BA$1,'[1]End - Use Prices'!$C$7:$AL$7,0))</f>
        <v>30.05</v>
      </c>
      <c r="BB179" s="41">
        <f>INDEX('[1]End - Use Prices'!$C$6:$AL$89,MATCH($C179,'[1]End - Use Prices'!$A$6:$A$89,0)+MATCH($D179,'[1]End - Use Prices'!$B$9:$B$11,0)-1,MATCH(BB$1,'[1]End - Use Prices'!$C$7:$AL$7,0))</f>
        <v>30.03</v>
      </c>
      <c r="BC179" s="41">
        <f>INDEX('[1]End - Use Prices'!$C$6:$AL$89,MATCH($C179,'[1]End - Use Prices'!$A$6:$A$89,0)+MATCH($D179,'[1]End - Use Prices'!$B$9:$B$11,0)-1,MATCH(BC$1,'[1]End - Use Prices'!$C$7:$AL$7,0))</f>
        <v>29.99</v>
      </c>
      <c r="BD179" s="41">
        <f>INDEX('[1]End - Use Prices'!$C$6:$AL$89,MATCH($C179,'[1]End - Use Prices'!$A$6:$A$89,0)+MATCH($D179,'[1]End - Use Prices'!$B$9:$B$11,0)-1,MATCH(BD$1,'[1]End - Use Prices'!$C$7:$AL$7,0))</f>
        <v>29.93</v>
      </c>
      <c r="BE179" s="41">
        <f>INDEX('[1]End - Use Prices'!$C$6:$AL$89,MATCH($C179,'[1]End - Use Prices'!$A$6:$A$89,0)+MATCH($D179,'[1]End - Use Prices'!$B$9:$B$11,0)-1,MATCH(BE$1,'[1]End - Use Prices'!$C$7:$AL$7,0))</f>
        <v>29.84</v>
      </c>
      <c r="BF179" s="41">
        <f>INDEX('[1]End - Use Prices'!$C$6:$AL$89,MATCH($C179,'[1]End - Use Prices'!$A$6:$A$89,0)+MATCH($D179,'[1]End - Use Prices'!$B$9:$B$11,0)-1,MATCH(BF$1,'[1]End - Use Prices'!$C$7:$AL$7,0))</f>
        <v>29.75</v>
      </c>
      <c r="BG179" s="41">
        <f>INDEX('[1]End - Use Prices'!$C$6:$AL$89,MATCH($C179,'[1]End - Use Prices'!$A$6:$A$89,0)+MATCH($D179,'[1]End - Use Prices'!$B$9:$B$11,0)-1,MATCH(BG$1,'[1]End - Use Prices'!$C$7:$AL$7,0))</f>
        <v>29.65</v>
      </c>
      <c r="BR179" s="39"/>
      <c r="BS179" s="39"/>
      <c r="BT179" s="39"/>
      <c r="BU179" s="39"/>
      <c r="BV179" s="39"/>
      <c r="BW179" s="39"/>
      <c r="BX179" s="39"/>
      <c r="BY179" s="39"/>
      <c r="BZ179" s="39"/>
      <c r="CA179" s="39"/>
    </row>
    <row r="180" spans="1:79" x14ac:dyDescent="0.25">
      <c r="A180" s="5"/>
      <c r="B180" s="3"/>
      <c r="C180" s="25" t="s">
        <v>88</v>
      </c>
      <c r="D180" s="25" t="s">
        <v>311</v>
      </c>
      <c r="E180" s="25" t="s">
        <v>313</v>
      </c>
      <c r="F180" s="74" t="s">
        <v>310</v>
      </c>
      <c r="G180" s="54">
        <f t="shared" si="146"/>
        <v>24.29</v>
      </c>
      <c r="H180" s="34">
        <f t="shared" si="164"/>
        <v>24.29</v>
      </c>
      <c r="I180" s="34">
        <f t="shared" si="164"/>
        <v>24.71</v>
      </c>
      <c r="J180" s="34">
        <f t="shared" si="164"/>
        <v>24.09</v>
      </c>
      <c r="K180" s="34">
        <f t="shared" si="164"/>
        <v>34.39</v>
      </c>
      <c r="L180" s="34">
        <f t="shared" si="164"/>
        <v>30.37</v>
      </c>
      <c r="M180" s="34">
        <f t="shared" si="164"/>
        <v>29.56</v>
      </c>
      <c r="N180" s="34">
        <f t="shared" si="164"/>
        <v>29.32</v>
      </c>
      <c r="O180" s="34">
        <f t="shared" si="164"/>
        <v>28.95</v>
      </c>
      <c r="P180" s="54">
        <f t="shared" ref="P180:Q180" si="179">O180</f>
        <v>28.95</v>
      </c>
      <c r="Q180" s="54">
        <f t="shared" si="179"/>
        <v>28.95</v>
      </c>
      <c r="R180" s="38"/>
      <c r="X180" s="41">
        <f>INDEX('[1]End - Use Prices'!$C$6:$AL$89,MATCH($C180,'[1]End - Use Prices'!$A$6:$A$89,0)+MATCH($D180,'[1]End - Use Prices'!$B$9:$B$11,0)-1,MATCH(X$1,'[1]End - Use Prices'!$C$7:$AL$7,0))</f>
        <v>24.29</v>
      </c>
      <c r="Y180" s="41">
        <f>INDEX('[1]End - Use Prices'!$C$6:$AL$89,MATCH($C180,'[1]End - Use Prices'!$A$6:$A$89,0)+MATCH($D180,'[1]End - Use Prices'!$B$9:$B$11,0)-1,MATCH(Y$1,'[1]End - Use Prices'!$C$7:$AL$7,0))</f>
        <v>24.86</v>
      </c>
      <c r="Z180" s="41">
        <f>INDEX('[1]End - Use Prices'!$C$6:$AL$89,MATCH($C180,'[1]End - Use Prices'!$A$6:$A$89,0)+MATCH($D180,'[1]End - Use Prices'!$B$9:$B$11,0)-1,MATCH(Z$1,'[1]End - Use Prices'!$C$7:$AL$7,0))</f>
        <v>24.61</v>
      </c>
      <c r="AA180" s="41">
        <f>INDEX('[1]End - Use Prices'!$C$6:$AL$89,MATCH($C180,'[1]End - Use Prices'!$A$6:$A$89,0)+MATCH($D180,'[1]End - Use Prices'!$B$9:$B$11,0)-1,MATCH(AA$1,'[1]End - Use Prices'!$C$7:$AL$7,0))</f>
        <v>30.51</v>
      </c>
      <c r="AB180" s="41">
        <f>INDEX('[1]End - Use Prices'!$C$6:$AL$89,MATCH($C180,'[1]End - Use Prices'!$A$6:$A$89,0)+MATCH($D180,'[1]End - Use Prices'!$B$9:$B$11,0)-1,MATCH(AB$1,'[1]End - Use Prices'!$C$7:$AL$7,0))</f>
        <v>21.93</v>
      </c>
      <c r="AC180" s="41">
        <f>INDEX('[1]End - Use Prices'!$C$6:$AL$89,MATCH($C180,'[1]End - Use Prices'!$A$6:$A$89,0)+MATCH($D180,'[1]End - Use Prices'!$B$9:$B$11,0)-1,MATCH(AC$1,'[1]End - Use Prices'!$C$7:$AL$7,0))</f>
        <v>24.71</v>
      </c>
      <c r="AD180" s="41">
        <f>INDEX('[1]End - Use Prices'!$C$6:$AL$89,MATCH($C180,'[1]End - Use Prices'!$A$6:$A$89,0)+MATCH($D180,'[1]End - Use Prices'!$B$9:$B$11,0)-1,MATCH(AD$1,'[1]End - Use Prices'!$C$7:$AL$7,0))</f>
        <v>30.18</v>
      </c>
      <c r="AE180" s="41">
        <f>INDEX('[1]End - Use Prices'!$C$6:$AL$89,MATCH($C180,'[1]End - Use Prices'!$A$6:$A$89,0)+MATCH($D180,'[1]End - Use Prices'!$B$9:$B$11,0)-1,MATCH(AE$1,'[1]End - Use Prices'!$C$7:$AL$7,0))</f>
        <v>31.33</v>
      </c>
      <c r="AF180" s="41">
        <f>INDEX('[1]End - Use Prices'!$C$6:$AL$89,MATCH($C180,'[1]End - Use Prices'!$A$6:$A$89,0)+MATCH($D180,'[1]End - Use Prices'!$B$9:$B$11,0)-1,MATCH(AF$1,'[1]End - Use Prices'!$C$7:$AL$7,0))</f>
        <v>30.91</v>
      </c>
      <c r="AG180" s="41">
        <f>INDEX('[1]End - Use Prices'!$C$6:$AL$89,MATCH($C180,'[1]End - Use Prices'!$A$6:$A$89,0)+MATCH($D180,'[1]End - Use Prices'!$B$9:$B$11,0)-1,MATCH(AG$1,'[1]End - Use Prices'!$C$7:$AL$7,0))</f>
        <v>31</v>
      </c>
      <c r="AH180" s="41">
        <f>INDEX('[1]End - Use Prices'!$C$6:$AL$89,MATCH($C180,'[1]End - Use Prices'!$A$6:$A$89,0)+MATCH($D180,'[1]End - Use Prices'!$B$9:$B$11,0)-1,MATCH(AH$1,'[1]End - Use Prices'!$C$7:$AL$7,0))</f>
        <v>24.09</v>
      </c>
      <c r="AI180" s="41">
        <f>INDEX('[1]End - Use Prices'!$C$6:$AL$89,MATCH($C180,'[1]End - Use Prices'!$A$6:$A$89,0)+MATCH($D180,'[1]End - Use Prices'!$B$9:$B$11,0)-1,MATCH(AI$1,'[1]End - Use Prices'!$C$7:$AL$7,0))</f>
        <v>20.85</v>
      </c>
      <c r="AJ180" s="41">
        <f>INDEX('[1]End - Use Prices'!$C$6:$AL$89,MATCH($C180,'[1]End - Use Prices'!$A$6:$A$89,0)+MATCH($D180,'[1]End - Use Prices'!$B$9:$B$11,0)-1,MATCH(AJ$1,'[1]End - Use Prices'!$C$7:$AL$7,0))</f>
        <v>22.06</v>
      </c>
      <c r="AK180" s="41">
        <f>INDEX('[1]End - Use Prices'!$C$6:$AL$89,MATCH($C180,'[1]End - Use Prices'!$A$6:$A$89,0)+MATCH($D180,'[1]End - Use Prices'!$B$9:$B$11,0)-1,MATCH(AK$1,'[1]End - Use Prices'!$C$7:$AL$7,0))</f>
        <v>26.58</v>
      </c>
      <c r="AL180" s="41">
        <f>INDEX('[1]End - Use Prices'!$C$6:$AL$89,MATCH($C180,'[1]End - Use Prices'!$A$6:$A$89,0)+MATCH($D180,'[1]End - Use Prices'!$B$9:$B$11,0)-1,MATCH(AL$1,'[1]End - Use Prices'!$C$7:$AL$7,0))</f>
        <v>29.7</v>
      </c>
      <c r="AM180" s="41">
        <f>INDEX('[1]End - Use Prices'!$C$6:$AL$89,MATCH($C180,'[1]End - Use Prices'!$A$6:$A$89,0)+MATCH($D180,'[1]End - Use Prices'!$B$9:$B$11,0)-1,MATCH(AM$1,'[1]End - Use Prices'!$C$7:$AL$7,0))</f>
        <v>34.39</v>
      </c>
      <c r="AN180" s="41">
        <f>INDEX('[1]End - Use Prices'!$C$6:$AL$89,MATCH($C180,'[1]End - Use Prices'!$A$6:$A$89,0)+MATCH($D180,'[1]End - Use Prices'!$B$9:$B$11,0)-1,MATCH(AN$1,'[1]End - Use Prices'!$C$7:$AL$7,0))</f>
        <v>31.95</v>
      </c>
      <c r="AO180" s="41">
        <f>INDEX('[1]End - Use Prices'!$C$6:$AL$89,MATCH($C180,'[1]End - Use Prices'!$A$6:$A$89,0)+MATCH($D180,'[1]End - Use Prices'!$B$9:$B$11,0)-1,MATCH(AO$1,'[1]End - Use Prices'!$C$7:$AL$7,0))</f>
        <v>30.49</v>
      </c>
      <c r="AP180" s="41">
        <f>INDEX('[1]End - Use Prices'!$C$6:$AL$89,MATCH($C180,'[1]End - Use Prices'!$A$6:$A$89,0)+MATCH($D180,'[1]End - Use Prices'!$B$9:$B$11,0)-1,MATCH(AP$1,'[1]End - Use Prices'!$C$7:$AL$7,0))</f>
        <v>30.66</v>
      </c>
      <c r="AQ180" s="41">
        <f>INDEX('[1]End - Use Prices'!$C$6:$AL$89,MATCH($C180,'[1]End - Use Prices'!$A$6:$A$89,0)+MATCH($D180,'[1]End - Use Prices'!$B$9:$B$11,0)-1,MATCH(AQ$1,'[1]End - Use Prices'!$C$7:$AL$7,0))</f>
        <v>30.4</v>
      </c>
      <c r="AR180" s="41">
        <f>INDEX('[1]End - Use Prices'!$C$6:$AL$89,MATCH($C180,'[1]End - Use Prices'!$A$6:$A$89,0)+MATCH($D180,'[1]End - Use Prices'!$B$9:$B$11,0)-1,MATCH(AR$1,'[1]End - Use Prices'!$C$7:$AL$7,0))</f>
        <v>30.37</v>
      </c>
      <c r="AS180" s="41">
        <f>INDEX('[1]End - Use Prices'!$C$6:$AL$89,MATCH($C180,'[1]End - Use Prices'!$A$6:$A$89,0)+MATCH($D180,'[1]End - Use Prices'!$B$9:$B$11,0)-1,MATCH(AS$1,'[1]End - Use Prices'!$C$7:$AL$7,0))</f>
        <v>30.29</v>
      </c>
      <c r="AT180" s="41">
        <f>INDEX('[1]End - Use Prices'!$C$6:$AL$89,MATCH($C180,'[1]End - Use Prices'!$A$6:$A$89,0)+MATCH($D180,'[1]End - Use Prices'!$B$9:$B$11,0)-1,MATCH(AT$1,'[1]End - Use Prices'!$C$7:$AL$7,0))</f>
        <v>30.12</v>
      </c>
      <c r="AU180" s="41">
        <f>INDEX('[1]End - Use Prices'!$C$6:$AL$89,MATCH($C180,'[1]End - Use Prices'!$A$6:$A$89,0)+MATCH($D180,'[1]End - Use Prices'!$B$9:$B$11,0)-1,MATCH(AU$1,'[1]End - Use Prices'!$C$7:$AL$7,0))</f>
        <v>29.91</v>
      </c>
      <c r="AV180" s="41">
        <f>INDEX('[1]End - Use Prices'!$C$6:$AL$89,MATCH($C180,'[1]End - Use Prices'!$A$6:$A$89,0)+MATCH($D180,'[1]End - Use Prices'!$B$9:$B$11,0)-1,MATCH(AV$1,'[1]End - Use Prices'!$C$7:$AL$7,0))</f>
        <v>29.74</v>
      </c>
      <c r="AW180" s="41">
        <f>INDEX('[1]End - Use Prices'!$C$6:$AL$89,MATCH($C180,'[1]End - Use Prices'!$A$6:$A$89,0)+MATCH($D180,'[1]End - Use Prices'!$B$9:$B$11,0)-1,MATCH(AW$1,'[1]End - Use Prices'!$C$7:$AL$7,0))</f>
        <v>29.56</v>
      </c>
      <c r="AX180" s="41">
        <f>INDEX('[1]End - Use Prices'!$C$6:$AL$89,MATCH($C180,'[1]End - Use Prices'!$A$6:$A$89,0)+MATCH($D180,'[1]End - Use Prices'!$B$9:$B$11,0)-1,MATCH(AX$1,'[1]End - Use Prices'!$C$7:$AL$7,0))</f>
        <v>29.46</v>
      </c>
      <c r="AY180" s="41">
        <f>INDEX('[1]End - Use Prices'!$C$6:$AL$89,MATCH($C180,'[1]End - Use Prices'!$A$6:$A$89,0)+MATCH($D180,'[1]End - Use Prices'!$B$9:$B$11,0)-1,MATCH(AY$1,'[1]End - Use Prices'!$C$7:$AL$7,0))</f>
        <v>29.39</v>
      </c>
      <c r="AZ180" s="41">
        <f>INDEX('[1]End - Use Prices'!$C$6:$AL$89,MATCH($C180,'[1]End - Use Prices'!$A$6:$A$89,0)+MATCH($D180,'[1]End - Use Prices'!$B$9:$B$11,0)-1,MATCH(AZ$1,'[1]End - Use Prices'!$C$7:$AL$7,0))</f>
        <v>29.35</v>
      </c>
      <c r="BA180" s="41">
        <f>INDEX('[1]End - Use Prices'!$C$6:$AL$89,MATCH($C180,'[1]End - Use Prices'!$A$6:$A$89,0)+MATCH($D180,'[1]End - Use Prices'!$B$9:$B$11,0)-1,MATCH(BA$1,'[1]End - Use Prices'!$C$7:$AL$7,0))</f>
        <v>29.35</v>
      </c>
      <c r="BB180" s="41">
        <f>INDEX('[1]End - Use Prices'!$C$6:$AL$89,MATCH($C180,'[1]End - Use Prices'!$A$6:$A$89,0)+MATCH($D180,'[1]End - Use Prices'!$B$9:$B$11,0)-1,MATCH(BB$1,'[1]End - Use Prices'!$C$7:$AL$7,0))</f>
        <v>29.32</v>
      </c>
      <c r="BC180" s="41">
        <f>INDEX('[1]End - Use Prices'!$C$6:$AL$89,MATCH($C180,'[1]End - Use Prices'!$A$6:$A$89,0)+MATCH($D180,'[1]End - Use Prices'!$B$9:$B$11,0)-1,MATCH(BC$1,'[1]End - Use Prices'!$C$7:$AL$7,0))</f>
        <v>29.28</v>
      </c>
      <c r="BD180" s="41">
        <f>INDEX('[1]End - Use Prices'!$C$6:$AL$89,MATCH($C180,'[1]End - Use Prices'!$A$6:$A$89,0)+MATCH($D180,'[1]End - Use Prices'!$B$9:$B$11,0)-1,MATCH(BD$1,'[1]End - Use Prices'!$C$7:$AL$7,0))</f>
        <v>29.23</v>
      </c>
      <c r="BE180" s="41">
        <f>INDEX('[1]End - Use Prices'!$C$6:$AL$89,MATCH($C180,'[1]End - Use Prices'!$A$6:$A$89,0)+MATCH($D180,'[1]End - Use Prices'!$B$9:$B$11,0)-1,MATCH(BE$1,'[1]End - Use Prices'!$C$7:$AL$7,0))</f>
        <v>29.14</v>
      </c>
      <c r="BF180" s="41">
        <f>INDEX('[1]End - Use Prices'!$C$6:$AL$89,MATCH($C180,'[1]End - Use Prices'!$A$6:$A$89,0)+MATCH($D180,'[1]End - Use Prices'!$B$9:$B$11,0)-1,MATCH(BF$1,'[1]End - Use Prices'!$C$7:$AL$7,0))</f>
        <v>29.05</v>
      </c>
      <c r="BG180" s="41">
        <f>INDEX('[1]End - Use Prices'!$C$6:$AL$89,MATCH($C180,'[1]End - Use Prices'!$A$6:$A$89,0)+MATCH($D180,'[1]End - Use Prices'!$B$9:$B$11,0)-1,MATCH(BG$1,'[1]End - Use Prices'!$C$7:$AL$7,0))</f>
        <v>28.95</v>
      </c>
      <c r="BR180" s="39"/>
      <c r="BS180" s="39"/>
      <c r="BT180" s="39"/>
      <c r="BU180" s="39"/>
      <c r="BV180" s="39"/>
      <c r="BW180" s="39"/>
      <c r="BX180" s="39"/>
      <c r="BY180" s="39"/>
      <c r="BZ180" s="39"/>
      <c r="CA180" s="39"/>
    </row>
    <row r="181" spans="1:79" x14ac:dyDescent="0.25">
      <c r="A181" s="5"/>
      <c r="B181" s="3"/>
      <c r="C181" s="25" t="s">
        <v>89</v>
      </c>
      <c r="D181" s="25" t="s">
        <v>311</v>
      </c>
      <c r="E181" s="25" t="s">
        <v>313</v>
      </c>
      <c r="F181" s="74" t="s">
        <v>310</v>
      </c>
      <c r="G181" s="54">
        <f t="shared" si="146"/>
        <v>27.52</v>
      </c>
      <c r="H181" s="34">
        <f t="shared" si="164"/>
        <v>27.52</v>
      </c>
      <c r="I181" s="34">
        <f t="shared" si="164"/>
        <v>25.32</v>
      </c>
      <c r="J181" s="34">
        <f t="shared" si="164"/>
        <v>27.46</v>
      </c>
      <c r="K181" s="34">
        <f t="shared" si="164"/>
        <v>37.450000000000003</v>
      </c>
      <c r="L181" s="34">
        <f t="shared" si="164"/>
        <v>33.42</v>
      </c>
      <c r="M181" s="34">
        <f t="shared" si="164"/>
        <v>32.61</v>
      </c>
      <c r="N181" s="34">
        <f t="shared" si="164"/>
        <v>32.369999999999997</v>
      </c>
      <c r="O181" s="34">
        <f t="shared" si="164"/>
        <v>32</v>
      </c>
      <c r="P181" s="54">
        <f t="shared" ref="P181:Q181" si="180">O181</f>
        <v>32</v>
      </c>
      <c r="Q181" s="54">
        <f t="shared" si="180"/>
        <v>32</v>
      </c>
      <c r="R181" s="38"/>
      <c r="X181" s="41">
        <f>INDEX('[1]End - Use Prices'!$C$6:$AL$89,MATCH($C181,'[1]End - Use Prices'!$A$6:$A$89,0)+MATCH($D181,'[1]End - Use Prices'!$B$9:$B$11,0)-1,MATCH(X$1,'[1]End - Use Prices'!$C$7:$AL$7,0))</f>
        <v>27.52</v>
      </c>
      <c r="Y181" s="41">
        <f>INDEX('[1]End - Use Prices'!$C$6:$AL$89,MATCH($C181,'[1]End - Use Prices'!$A$6:$A$89,0)+MATCH($D181,'[1]End - Use Prices'!$B$9:$B$11,0)-1,MATCH(Y$1,'[1]End - Use Prices'!$C$7:$AL$7,0))</f>
        <v>28.18</v>
      </c>
      <c r="Z181" s="41">
        <f>INDEX('[1]End - Use Prices'!$C$6:$AL$89,MATCH($C181,'[1]End - Use Prices'!$A$6:$A$89,0)+MATCH($D181,'[1]End - Use Prices'!$B$9:$B$11,0)-1,MATCH(Z$1,'[1]End - Use Prices'!$C$7:$AL$7,0))</f>
        <v>26.07</v>
      </c>
      <c r="AA181" s="41">
        <f>INDEX('[1]End - Use Prices'!$C$6:$AL$89,MATCH($C181,'[1]End - Use Prices'!$A$6:$A$89,0)+MATCH($D181,'[1]End - Use Prices'!$B$9:$B$11,0)-1,MATCH(AA$1,'[1]End - Use Prices'!$C$7:$AL$7,0))</f>
        <v>31.72</v>
      </c>
      <c r="AB181" s="41">
        <f>INDEX('[1]End - Use Prices'!$C$6:$AL$89,MATCH($C181,'[1]End - Use Prices'!$A$6:$A$89,0)+MATCH($D181,'[1]End - Use Prices'!$B$9:$B$11,0)-1,MATCH(AB$1,'[1]End - Use Prices'!$C$7:$AL$7,0))</f>
        <v>22.7</v>
      </c>
      <c r="AC181" s="41">
        <f>INDEX('[1]End - Use Prices'!$C$6:$AL$89,MATCH($C181,'[1]End - Use Prices'!$A$6:$A$89,0)+MATCH($D181,'[1]End - Use Prices'!$B$9:$B$11,0)-1,MATCH(AC$1,'[1]End - Use Prices'!$C$7:$AL$7,0))</f>
        <v>25.32</v>
      </c>
      <c r="AD181" s="41">
        <f>INDEX('[1]End - Use Prices'!$C$6:$AL$89,MATCH($C181,'[1]End - Use Prices'!$A$6:$A$89,0)+MATCH($D181,'[1]End - Use Prices'!$B$9:$B$11,0)-1,MATCH(AD$1,'[1]End - Use Prices'!$C$7:$AL$7,0))</f>
        <v>30.73</v>
      </c>
      <c r="AE181" s="41">
        <f>INDEX('[1]End - Use Prices'!$C$6:$AL$89,MATCH($C181,'[1]End - Use Prices'!$A$6:$A$89,0)+MATCH($D181,'[1]End - Use Prices'!$B$9:$B$11,0)-1,MATCH(AE$1,'[1]End - Use Prices'!$C$7:$AL$7,0))</f>
        <v>31.88</v>
      </c>
      <c r="AF181" s="41">
        <f>INDEX('[1]End - Use Prices'!$C$6:$AL$89,MATCH($C181,'[1]End - Use Prices'!$A$6:$A$89,0)+MATCH($D181,'[1]End - Use Prices'!$B$9:$B$11,0)-1,MATCH(AF$1,'[1]End - Use Prices'!$C$7:$AL$7,0))</f>
        <v>31.97</v>
      </c>
      <c r="AG181" s="41">
        <f>INDEX('[1]End - Use Prices'!$C$6:$AL$89,MATCH($C181,'[1]End - Use Prices'!$A$6:$A$89,0)+MATCH($D181,'[1]End - Use Prices'!$B$9:$B$11,0)-1,MATCH(AG$1,'[1]End - Use Prices'!$C$7:$AL$7,0))</f>
        <v>34.450000000000003</v>
      </c>
      <c r="AH181" s="41">
        <f>INDEX('[1]End - Use Prices'!$C$6:$AL$89,MATCH($C181,'[1]End - Use Prices'!$A$6:$A$89,0)+MATCH($D181,'[1]End - Use Prices'!$B$9:$B$11,0)-1,MATCH(AH$1,'[1]End - Use Prices'!$C$7:$AL$7,0))</f>
        <v>27.46</v>
      </c>
      <c r="AI181" s="41">
        <f>INDEX('[1]End - Use Prices'!$C$6:$AL$89,MATCH($C181,'[1]End - Use Prices'!$A$6:$A$89,0)+MATCH($D181,'[1]End - Use Prices'!$B$9:$B$11,0)-1,MATCH(AI$1,'[1]End - Use Prices'!$C$7:$AL$7,0))</f>
        <v>23.92</v>
      </c>
      <c r="AJ181" s="41">
        <f>INDEX('[1]End - Use Prices'!$C$6:$AL$89,MATCH($C181,'[1]End - Use Prices'!$A$6:$A$89,0)+MATCH($D181,'[1]End - Use Prices'!$B$9:$B$11,0)-1,MATCH(AJ$1,'[1]End - Use Prices'!$C$7:$AL$7,0))</f>
        <v>25.38</v>
      </c>
      <c r="AK181" s="41">
        <f>INDEX('[1]End - Use Prices'!$C$6:$AL$89,MATCH($C181,'[1]End - Use Prices'!$A$6:$A$89,0)+MATCH($D181,'[1]End - Use Prices'!$B$9:$B$11,0)-1,MATCH(AK$1,'[1]End - Use Prices'!$C$7:$AL$7,0))</f>
        <v>29.63</v>
      </c>
      <c r="AL181" s="41">
        <f>INDEX('[1]End - Use Prices'!$C$6:$AL$89,MATCH($C181,'[1]End - Use Prices'!$A$6:$A$89,0)+MATCH($D181,'[1]End - Use Prices'!$B$9:$B$11,0)-1,MATCH(AL$1,'[1]End - Use Prices'!$C$7:$AL$7,0))</f>
        <v>32.75</v>
      </c>
      <c r="AM181" s="41">
        <f>INDEX('[1]End - Use Prices'!$C$6:$AL$89,MATCH($C181,'[1]End - Use Prices'!$A$6:$A$89,0)+MATCH($D181,'[1]End - Use Prices'!$B$9:$B$11,0)-1,MATCH(AM$1,'[1]End - Use Prices'!$C$7:$AL$7,0))</f>
        <v>37.450000000000003</v>
      </c>
      <c r="AN181" s="41">
        <f>INDEX('[1]End - Use Prices'!$C$6:$AL$89,MATCH($C181,'[1]End - Use Prices'!$A$6:$A$89,0)+MATCH($D181,'[1]End - Use Prices'!$B$9:$B$11,0)-1,MATCH(AN$1,'[1]End - Use Prices'!$C$7:$AL$7,0))</f>
        <v>35</v>
      </c>
      <c r="AO181" s="41">
        <f>INDEX('[1]End - Use Prices'!$C$6:$AL$89,MATCH($C181,'[1]End - Use Prices'!$A$6:$A$89,0)+MATCH($D181,'[1]End - Use Prices'!$B$9:$B$11,0)-1,MATCH(AO$1,'[1]End - Use Prices'!$C$7:$AL$7,0))</f>
        <v>33.549999999999997</v>
      </c>
      <c r="AP181" s="41">
        <f>INDEX('[1]End - Use Prices'!$C$6:$AL$89,MATCH($C181,'[1]End - Use Prices'!$A$6:$A$89,0)+MATCH($D181,'[1]End - Use Prices'!$B$9:$B$11,0)-1,MATCH(AP$1,'[1]End - Use Prices'!$C$7:$AL$7,0))</f>
        <v>33.72</v>
      </c>
      <c r="AQ181" s="41">
        <f>INDEX('[1]End - Use Prices'!$C$6:$AL$89,MATCH($C181,'[1]End - Use Prices'!$A$6:$A$89,0)+MATCH($D181,'[1]End - Use Prices'!$B$9:$B$11,0)-1,MATCH(AQ$1,'[1]End - Use Prices'!$C$7:$AL$7,0))</f>
        <v>33.450000000000003</v>
      </c>
      <c r="AR181" s="41">
        <f>INDEX('[1]End - Use Prices'!$C$6:$AL$89,MATCH($C181,'[1]End - Use Prices'!$A$6:$A$89,0)+MATCH($D181,'[1]End - Use Prices'!$B$9:$B$11,0)-1,MATCH(AR$1,'[1]End - Use Prices'!$C$7:$AL$7,0))</f>
        <v>33.42</v>
      </c>
      <c r="AS181" s="41">
        <f>INDEX('[1]End - Use Prices'!$C$6:$AL$89,MATCH($C181,'[1]End - Use Prices'!$A$6:$A$89,0)+MATCH($D181,'[1]End - Use Prices'!$B$9:$B$11,0)-1,MATCH(AS$1,'[1]End - Use Prices'!$C$7:$AL$7,0))</f>
        <v>33.340000000000003</v>
      </c>
      <c r="AT181" s="41">
        <f>INDEX('[1]End - Use Prices'!$C$6:$AL$89,MATCH($C181,'[1]End - Use Prices'!$A$6:$A$89,0)+MATCH($D181,'[1]End - Use Prices'!$B$9:$B$11,0)-1,MATCH(AT$1,'[1]End - Use Prices'!$C$7:$AL$7,0))</f>
        <v>33.17</v>
      </c>
      <c r="AU181" s="41">
        <f>INDEX('[1]End - Use Prices'!$C$6:$AL$89,MATCH($C181,'[1]End - Use Prices'!$A$6:$A$89,0)+MATCH($D181,'[1]End - Use Prices'!$B$9:$B$11,0)-1,MATCH(AU$1,'[1]End - Use Prices'!$C$7:$AL$7,0))</f>
        <v>32.96</v>
      </c>
      <c r="AV181" s="41">
        <f>INDEX('[1]End - Use Prices'!$C$6:$AL$89,MATCH($C181,'[1]End - Use Prices'!$A$6:$A$89,0)+MATCH($D181,'[1]End - Use Prices'!$B$9:$B$11,0)-1,MATCH(AV$1,'[1]End - Use Prices'!$C$7:$AL$7,0))</f>
        <v>32.79</v>
      </c>
      <c r="AW181" s="41">
        <f>INDEX('[1]End - Use Prices'!$C$6:$AL$89,MATCH($C181,'[1]End - Use Prices'!$A$6:$A$89,0)+MATCH($D181,'[1]End - Use Prices'!$B$9:$B$11,0)-1,MATCH(AW$1,'[1]End - Use Prices'!$C$7:$AL$7,0))</f>
        <v>32.61</v>
      </c>
      <c r="AX181" s="41">
        <f>INDEX('[1]End - Use Prices'!$C$6:$AL$89,MATCH($C181,'[1]End - Use Prices'!$A$6:$A$89,0)+MATCH($D181,'[1]End - Use Prices'!$B$9:$B$11,0)-1,MATCH(AX$1,'[1]End - Use Prices'!$C$7:$AL$7,0))</f>
        <v>32.51</v>
      </c>
      <c r="AY181" s="41">
        <f>INDEX('[1]End - Use Prices'!$C$6:$AL$89,MATCH($C181,'[1]End - Use Prices'!$A$6:$A$89,0)+MATCH($D181,'[1]End - Use Prices'!$B$9:$B$11,0)-1,MATCH(AY$1,'[1]End - Use Prices'!$C$7:$AL$7,0))</f>
        <v>32.44</v>
      </c>
      <c r="AZ181" s="41">
        <f>INDEX('[1]End - Use Prices'!$C$6:$AL$89,MATCH($C181,'[1]End - Use Prices'!$A$6:$A$89,0)+MATCH($D181,'[1]End - Use Prices'!$B$9:$B$11,0)-1,MATCH(AZ$1,'[1]End - Use Prices'!$C$7:$AL$7,0))</f>
        <v>32.4</v>
      </c>
      <c r="BA181" s="41">
        <f>INDEX('[1]End - Use Prices'!$C$6:$AL$89,MATCH($C181,'[1]End - Use Prices'!$A$6:$A$89,0)+MATCH($D181,'[1]End - Use Prices'!$B$9:$B$11,0)-1,MATCH(BA$1,'[1]End - Use Prices'!$C$7:$AL$7,0))</f>
        <v>32.4</v>
      </c>
      <c r="BB181" s="41">
        <f>INDEX('[1]End - Use Prices'!$C$6:$AL$89,MATCH($C181,'[1]End - Use Prices'!$A$6:$A$89,0)+MATCH($D181,'[1]End - Use Prices'!$B$9:$B$11,0)-1,MATCH(BB$1,'[1]End - Use Prices'!$C$7:$AL$7,0))</f>
        <v>32.369999999999997</v>
      </c>
      <c r="BC181" s="41">
        <f>INDEX('[1]End - Use Prices'!$C$6:$AL$89,MATCH($C181,'[1]End - Use Prices'!$A$6:$A$89,0)+MATCH($D181,'[1]End - Use Prices'!$B$9:$B$11,0)-1,MATCH(BC$1,'[1]End - Use Prices'!$C$7:$AL$7,0))</f>
        <v>32.33</v>
      </c>
      <c r="BD181" s="41">
        <f>INDEX('[1]End - Use Prices'!$C$6:$AL$89,MATCH($C181,'[1]End - Use Prices'!$A$6:$A$89,0)+MATCH($D181,'[1]End - Use Prices'!$B$9:$B$11,0)-1,MATCH(BD$1,'[1]End - Use Prices'!$C$7:$AL$7,0))</f>
        <v>32.28</v>
      </c>
      <c r="BE181" s="41">
        <f>INDEX('[1]End - Use Prices'!$C$6:$AL$89,MATCH($C181,'[1]End - Use Prices'!$A$6:$A$89,0)+MATCH($D181,'[1]End - Use Prices'!$B$9:$B$11,0)-1,MATCH(BE$1,'[1]End - Use Prices'!$C$7:$AL$7,0))</f>
        <v>32.19</v>
      </c>
      <c r="BF181" s="41">
        <f>INDEX('[1]End - Use Prices'!$C$6:$AL$89,MATCH($C181,'[1]End - Use Prices'!$A$6:$A$89,0)+MATCH($D181,'[1]End - Use Prices'!$B$9:$B$11,0)-1,MATCH(BF$1,'[1]End - Use Prices'!$C$7:$AL$7,0))</f>
        <v>32.1</v>
      </c>
      <c r="BG181" s="41">
        <f>INDEX('[1]End - Use Prices'!$C$6:$AL$89,MATCH($C181,'[1]End - Use Prices'!$A$6:$A$89,0)+MATCH($D181,'[1]End - Use Prices'!$B$9:$B$11,0)-1,MATCH(BG$1,'[1]End - Use Prices'!$C$7:$AL$7,0))</f>
        <v>32</v>
      </c>
      <c r="BR181" s="39"/>
      <c r="BS181" s="39"/>
      <c r="BT181" s="39"/>
      <c r="BU181" s="39"/>
      <c r="BV181" s="39"/>
      <c r="BW181" s="39"/>
      <c r="BX181" s="39"/>
      <c r="BY181" s="39"/>
      <c r="BZ181" s="39"/>
      <c r="CA181" s="39"/>
    </row>
    <row r="182" spans="1:79" x14ac:dyDescent="0.25">
      <c r="A182" s="5"/>
      <c r="B182" s="3"/>
      <c r="C182" s="25" t="s">
        <v>90</v>
      </c>
      <c r="D182" s="25" t="s">
        <v>311</v>
      </c>
      <c r="E182" s="25" t="s">
        <v>313</v>
      </c>
      <c r="F182" s="74" t="s">
        <v>310</v>
      </c>
      <c r="G182" s="54">
        <f t="shared" si="146"/>
        <v>27.36</v>
      </c>
      <c r="H182" s="34">
        <f t="shared" ref="H182:O191" si="181">INDEX($S182:$CA182,MATCH(H$1,$S$1:$CA$1,0))</f>
        <v>27.36</v>
      </c>
      <c r="I182" s="34">
        <f t="shared" si="181"/>
        <v>27.36</v>
      </c>
      <c r="J182" s="34">
        <f t="shared" si="181"/>
        <v>28.05</v>
      </c>
      <c r="K182" s="34">
        <f t="shared" si="181"/>
        <v>38.97</v>
      </c>
      <c r="L182" s="34">
        <f t="shared" si="181"/>
        <v>34.42</v>
      </c>
      <c r="M182" s="34">
        <f t="shared" si="181"/>
        <v>33.590000000000003</v>
      </c>
      <c r="N182" s="34">
        <f t="shared" si="181"/>
        <v>33.35</v>
      </c>
      <c r="O182" s="34">
        <f t="shared" si="181"/>
        <v>32.97</v>
      </c>
      <c r="P182" s="54">
        <f t="shared" ref="P182:Q182" si="182">O182</f>
        <v>32.97</v>
      </c>
      <c r="Q182" s="54">
        <f t="shared" si="182"/>
        <v>32.97</v>
      </c>
      <c r="R182" s="38"/>
      <c r="X182" s="41">
        <f>INDEX('[1]End - Use Prices'!$C$6:$AL$89,MATCH($C182,'[1]End - Use Prices'!$A$6:$A$89,0)+MATCH($D182,'[1]End - Use Prices'!$B$9:$B$11,0)-1,MATCH(X$1,'[1]End - Use Prices'!$C$7:$AL$7,0))</f>
        <v>27.36</v>
      </c>
      <c r="Y182" s="41">
        <f>INDEX('[1]End - Use Prices'!$C$6:$AL$89,MATCH($C182,'[1]End - Use Prices'!$A$6:$A$89,0)+MATCH($D182,'[1]End - Use Prices'!$B$9:$B$11,0)-1,MATCH(Y$1,'[1]End - Use Prices'!$C$7:$AL$7,0))</f>
        <v>27.14</v>
      </c>
      <c r="Z182" s="41">
        <f>INDEX('[1]End - Use Prices'!$C$6:$AL$89,MATCH($C182,'[1]End - Use Prices'!$A$6:$A$89,0)+MATCH($D182,'[1]End - Use Prices'!$B$9:$B$11,0)-1,MATCH(Z$1,'[1]End - Use Prices'!$C$7:$AL$7,0))</f>
        <v>27.83</v>
      </c>
      <c r="AA182" s="41">
        <f>INDEX('[1]End - Use Prices'!$C$6:$AL$89,MATCH($C182,'[1]End - Use Prices'!$A$6:$A$89,0)+MATCH($D182,'[1]End - Use Prices'!$B$9:$B$11,0)-1,MATCH(AA$1,'[1]End - Use Prices'!$C$7:$AL$7,0))</f>
        <v>34.340000000000003</v>
      </c>
      <c r="AB182" s="41">
        <f>INDEX('[1]End - Use Prices'!$C$6:$AL$89,MATCH($C182,'[1]End - Use Prices'!$A$6:$A$89,0)+MATCH($D182,'[1]End - Use Prices'!$B$9:$B$11,0)-1,MATCH(AB$1,'[1]End - Use Prices'!$C$7:$AL$7,0))</f>
        <v>24.16</v>
      </c>
      <c r="AC182" s="41">
        <f>INDEX('[1]End - Use Prices'!$C$6:$AL$89,MATCH($C182,'[1]End - Use Prices'!$A$6:$A$89,0)+MATCH($D182,'[1]End - Use Prices'!$B$9:$B$11,0)-1,MATCH(AC$1,'[1]End - Use Prices'!$C$7:$AL$7,0))</f>
        <v>27.36</v>
      </c>
      <c r="AD182" s="41">
        <f>INDEX('[1]End - Use Prices'!$C$6:$AL$89,MATCH($C182,'[1]End - Use Prices'!$A$6:$A$89,0)+MATCH($D182,'[1]End - Use Prices'!$B$9:$B$11,0)-1,MATCH(AD$1,'[1]End - Use Prices'!$C$7:$AL$7,0))</f>
        <v>32.19</v>
      </c>
      <c r="AE182" s="41">
        <f>INDEX('[1]End - Use Prices'!$C$6:$AL$89,MATCH($C182,'[1]End - Use Prices'!$A$6:$A$89,0)+MATCH($D182,'[1]End - Use Prices'!$B$9:$B$11,0)-1,MATCH(AE$1,'[1]End - Use Prices'!$C$7:$AL$7,0))</f>
        <v>33.76</v>
      </c>
      <c r="AF182" s="41">
        <f>INDEX('[1]End - Use Prices'!$C$6:$AL$89,MATCH($C182,'[1]End - Use Prices'!$A$6:$A$89,0)+MATCH($D182,'[1]End - Use Prices'!$B$9:$B$11,0)-1,MATCH(AF$1,'[1]End - Use Prices'!$C$7:$AL$7,0))</f>
        <v>32.590000000000003</v>
      </c>
      <c r="AG182" s="41">
        <f>INDEX('[1]End - Use Prices'!$C$6:$AL$89,MATCH($C182,'[1]End - Use Prices'!$A$6:$A$89,0)+MATCH($D182,'[1]End - Use Prices'!$B$9:$B$11,0)-1,MATCH(AG$1,'[1]End - Use Prices'!$C$7:$AL$7,0))</f>
        <v>34.17</v>
      </c>
      <c r="AH182" s="41">
        <f>INDEX('[1]End - Use Prices'!$C$6:$AL$89,MATCH($C182,'[1]End - Use Prices'!$A$6:$A$89,0)+MATCH($D182,'[1]End - Use Prices'!$B$9:$B$11,0)-1,MATCH(AH$1,'[1]End - Use Prices'!$C$7:$AL$7,0))</f>
        <v>28.05</v>
      </c>
      <c r="AI182" s="41">
        <f>INDEX('[1]End - Use Prices'!$C$6:$AL$89,MATCH($C182,'[1]End - Use Prices'!$A$6:$A$89,0)+MATCH($D182,'[1]End - Use Prices'!$B$9:$B$11,0)-1,MATCH(AI$1,'[1]End - Use Prices'!$C$7:$AL$7,0))</f>
        <v>24.4</v>
      </c>
      <c r="AJ182" s="41">
        <f>INDEX('[1]End - Use Prices'!$C$6:$AL$89,MATCH($C182,'[1]End - Use Prices'!$A$6:$A$89,0)+MATCH($D182,'[1]End - Use Prices'!$B$9:$B$11,0)-1,MATCH(AJ$1,'[1]End - Use Prices'!$C$7:$AL$7,0))</f>
        <v>26.95</v>
      </c>
      <c r="AK182" s="41">
        <f>INDEX('[1]End - Use Prices'!$C$6:$AL$89,MATCH($C182,'[1]End - Use Prices'!$A$6:$A$89,0)+MATCH($D182,'[1]End - Use Prices'!$B$9:$B$11,0)-1,MATCH(AK$1,'[1]End - Use Prices'!$C$7:$AL$7,0))</f>
        <v>30.62</v>
      </c>
      <c r="AL182" s="41">
        <f>INDEX('[1]End - Use Prices'!$C$6:$AL$89,MATCH($C182,'[1]End - Use Prices'!$A$6:$A$89,0)+MATCH($D182,'[1]End - Use Prices'!$B$9:$B$11,0)-1,MATCH(AL$1,'[1]End - Use Prices'!$C$7:$AL$7,0))</f>
        <v>34.01</v>
      </c>
      <c r="AM182" s="41">
        <f>INDEX('[1]End - Use Prices'!$C$6:$AL$89,MATCH($C182,'[1]End - Use Prices'!$A$6:$A$89,0)+MATCH($D182,'[1]End - Use Prices'!$B$9:$B$11,0)-1,MATCH(AM$1,'[1]End - Use Prices'!$C$7:$AL$7,0))</f>
        <v>38.97</v>
      </c>
      <c r="AN182" s="41">
        <f>INDEX('[1]End - Use Prices'!$C$6:$AL$89,MATCH($C182,'[1]End - Use Prices'!$A$6:$A$89,0)+MATCH($D182,'[1]End - Use Prices'!$B$9:$B$11,0)-1,MATCH(AN$1,'[1]End - Use Prices'!$C$7:$AL$7,0))</f>
        <v>36.24</v>
      </c>
      <c r="AO182" s="41">
        <f>INDEX('[1]End - Use Prices'!$C$6:$AL$89,MATCH($C182,'[1]End - Use Prices'!$A$6:$A$89,0)+MATCH($D182,'[1]End - Use Prices'!$B$9:$B$11,0)-1,MATCH(AO$1,'[1]End - Use Prices'!$C$7:$AL$7,0))</f>
        <v>34.6</v>
      </c>
      <c r="AP182" s="41">
        <f>INDEX('[1]End - Use Prices'!$C$6:$AL$89,MATCH($C182,'[1]End - Use Prices'!$A$6:$A$89,0)+MATCH($D182,'[1]End - Use Prices'!$B$9:$B$11,0)-1,MATCH(AP$1,'[1]End - Use Prices'!$C$7:$AL$7,0))</f>
        <v>34.72</v>
      </c>
      <c r="AQ182" s="41">
        <f>INDEX('[1]End - Use Prices'!$C$6:$AL$89,MATCH($C182,'[1]End - Use Prices'!$A$6:$A$89,0)+MATCH($D182,'[1]End - Use Prices'!$B$9:$B$11,0)-1,MATCH(AQ$1,'[1]End - Use Prices'!$C$7:$AL$7,0))</f>
        <v>34.450000000000003</v>
      </c>
      <c r="AR182" s="41">
        <f>INDEX('[1]End - Use Prices'!$C$6:$AL$89,MATCH($C182,'[1]End - Use Prices'!$A$6:$A$89,0)+MATCH($D182,'[1]End - Use Prices'!$B$9:$B$11,0)-1,MATCH(AR$1,'[1]End - Use Prices'!$C$7:$AL$7,0))</f>
        <v>34.42</v>
      </c>
      <c r="AS182" s="41">
        <f>INDEX('[1]End - Use Prices'!$C$6:$AL$89,MATCH($C182,'[1]End - Use Prices'!$A$6:$A$89,0)+MATCH($D182,'[1]End - Use Prices'!$B$9:$B$11,0)-1,MATCH(AS$1,'[1]End - Use Prices'!$C$7:$AL$7,0))</f>
        <v>34.35</v>
      </c>
      <c r="AT182" s="41">
        <f>INDEX('[1]End - Use Prices'!$C$6:$AL$89,MATCH($C182,'[1]End - Use Prices'!$A$6:$A$89,0)+MATCH($D182,'[1]End - Use Prices'!$B$9:$B$11,0)-1,MATCH(AT$1,'[1]End - Use Prices'!$C$7:$AL$7,0))</f>
        <v>34.17</v>
      </c>
      <c r="AU182" s="41">
        <f>INDEX('[1]End - Use Prices'!$C$6:$AL$89,MATCH($C182,'[1]End - Use Prices'!$A$6:$A$89,0)+MATCH($D182,'[1]End - Use Prices'!$B$9:$B$11,0)-1,MATCH(AU$1,'[1]End - Use Prices'!$C$7:$AL$7,0))</f>
        <v>33.950000000000003</v>
      </c>
      <c r="AV182" s="41">
        <f>INDEX('[1]End - Use Prices'!$C$6:$AL$89,MATCH($C182,'[1]End - Use Prices'!$A$6:$A$89,0)+MATCH($D182,'[1]End - Use Prices'!$B$9:$B$11,0)-1,MATCH(AV$1,'[1]End - Use Prices'!$C$7:$AL$7,0))</f>
        <v>33.770000000000003</v>
      </c>
      <c r="AW182" s="41">
        <f>INDEX('[1]End - Use Prices'!$C$6:$AL$89,MATCH($C182,'[1]End - Use Prices'!$A$6:$A$89,0)+MATCH($D182,'[1]End - Use Prices'!$B$9:$B$11,0)-1,MATCH(AW$1,'[1]End - Use Prices'!$C$7:$AL$7,0))</f>
        <v>33.590000000000003</v>
      </c>
      <c r="AX182" s="41">
        <f>INDEX('[1]End - Use Prices'!$C$6:$AL$89,MATCH($C182,'[1]End - Use Prices'!$A$6:$A$89,0)+MATCH($D182,'[1]End - Use Prices'!$B$9:$B$11,0)-1,MATCH(AX$1,'[1]End - Use Prices'!$C$7:$AL$7,0))</f>
        <v>33.479999999999997</v>
      </c>
      <c r="AY182" s="41">
        <f>INDEX('[1]End - Use Prices'!$C$6:$AL$89,MATCH($C182,'[1]End - Use Prices'!$A$6:$A$89,0)+MATCH($D182,'[1]End - Use Prices'!$B$9:$B$11,0)-1,MATCH(AY$1,'[1]End - Use Prices'!$C$7:$AL$7,0))</f>
        <v>33.409999999999997</v>
      </c>
      <c r="AZ182" s="41">
        <f>INDEX('[1]End - Use Prices'!$C$6:$AL$89,MATCH($C182,'[1]End - Use Prices'!$A$6:$A$89,0)+MATCH($D182,'[1]End - Use Prices'!$B$9:$B$11,0)-1,MATCH(AZ$1,'[1]End - Use Prices'!$C$7:$AL$7,0))</f>
        <v>33.369999999999997</v>
      </c>
      <c r="BA182" s="41">
        <f>INDEX('[1]End - Use Prices'!$C$6:$AL$89,MATCH($C182,'[1]End - Use Prices'!$A$6:$A$89,0)+MATCH($D182,'[1]End - Use Prices'!$B$9:$B$11,0)-1,MATCH(BA$1,'[1]End - Use Prices'!$C$7:$AL$7,0))</f>
        <v>33.369999999999997</v>
      </c>
      <c r="BB182" s="41">
        <f>INDEX('[1]End - Use Prices'!$C$6:$AL$89,MATCH($C182,'[1]End - Use Prices'!$A$6:$A$89,0)+MATCH($D182,'[1]End - Use Prices'!$B$9:$B$11,0)-1,MATCH(BB$1,'[1]End - Use Prices'!$C$7:$AL$7,0))</f>
        <v>33.35</v>
      </c>
      <c r="BC182" s="41">
        <f>INDEX('[1]End - Use Prices'!$C$6:$AL$89,MATCH($C182,'[1]End - Use Prices'!$A$6:$A$89,0)+MATCH($D182,'[1]End - Use Prices'!$B$9:$B$11,0)-1,MATCH(BC$1,'[1]End - Use Prices'!$C$7:$AL$7,0))</f>
        <v>33.31</v>
      </c>
      <c r="BD182" s="41">
        <f>INDEX('[1]End - Use Prices'!$C$6:$AL$89,MATCH($C182,'[1]End - Use Prices'!$A$6:$A$89,0)+MATCH($D182,'[1]End - Use Prices'!$B$9:$B$11,0)-1,MATCH(BD$1,'[1]End - Use Prices'!$C$7:$AL$7,0))</f>
        <v>33.25</v>
      </c>
      <c r="BE182" s="41">
        <f>INDEX('[1]End - Use Prices'!$C$6:$AL$89,MATCH($C182,'[1]End - Use Prices'!$A$6:$A$89,0)+MATCH($D182,'[1]End - Use Prices'!$B$9:$B$11,0)-1,MATCH(BE$1,'[1]End - Use Prices'!$C$7:$AL$7,0))</f>
        <v>33.159999999999997</v>
      </c>
      <c r="BF182" s="41">
        <f>INDEX('[1]End - Use Prices'!$C$6:$AL$89,MATCH($C182,'[1]End - Use Prices'!$A$6:$A$89,0)+MATCH($D182,'[1]End - Use Prices'!$B$9:$B$11,0)-1,MATCH(BF$1,'[1]End - Use Prices'!$C$7:$AL$7,0))</f>
        <v>33.07</v>
      </c>
      <c r="BG182" s="41">
        <f>INDEX('[1]End - Use Prices'!$C$6:$AL$89,MATCH($C182,'[1]End - Use Prices'!$A$6:$A$89,0)+MATCH($D182,'[1]End - Use Prices'!$B$9:$B$11,0)-1,MATCH(BG$1,'[1]End - Use Prices'!$C$7:$AL$7,0))</f>
        <v>32.97</v>
      </c>
      <c r="BR182" s="39"/>
      <c r="BS182" s="39"/>
      <c r="BT182" s="39"/>
      <c r="BU182" s="39"/>
      <c r="BV182" s="39"/>
      <c r="BW182" s="39"/>
      <c r="BX182" s="39"/>
      <c r="BY182" s="39"/>
      <c r="BZ182" s="39"/>
      <c r="CA182" s="39"/>
    </row>
    <row r="183" spans="1:79" x14ac:dyDescent="0.25">
      <c r="A183" s="5"/>
      <c r="B183" s="3"/>
      <c r="C183" s="25" t="s">
        <v>91</v>
      </c>
      <c r="D183" s="25" t="s">
        <v>311</v>
      </c>
      <c r="E183" s="25" t="s">
        <v>313</v>
      </c>
      <c r="F183" s="74" t="s">
        <v>310</v>
      </c>
      <c r="G183" s="54">
        <f t="shared" si="146"/>
        <v>24.67</v>
      </c>
      <c r="H183" s="34">
        <f t="shared" si="181"/>
        <v>24.67</v>
      </c>
      <c r="I183" s="34">
        <f t="shared" si="181"/>
        <v>26.1</v>
      </c>
      <c r="J183" s="34">
        <f t="shared" si="181"/>
        <v>27.54</v>
      </c>
      <c r="K183" s="34">
        <f t="shared" si="181"/>
        <v>38.03</v>
      </c>
      <c r="L183" s="34">
        <f t="shared" si="181"/>
        <v>32.78</v>
      </c>
      <c r="M183" s="34">
        <f t="shared" si="181"/>
        <v>32.11</v>
      </c>
      <c r="N183" s="34">
        <f t="shared" si="181"/>
        <v>31.7</v>
      </c>
      <c r="O183" s="34">
        <f t="shared" si="181"/>
        <v>31.16</v>
      </c>
      <c r="P183" s="54">
        <f t="shared" ref="P183:Q183" si="183">O183</f>
        <v>31.16</v>
      </c>
      <c r="Q183" s="54">
        <f t="shared" si="183"/>
        <v>31.16</v>
      </c>
      <c r="R183" s="38"/>
      <c r="X183" s="41">
        <f>INDEX('[1]End - Use Prices'!$C$6:$AL$89,MATCH($C183,'[1]End - Use Prices'!$A$6:$A$89,0)+MATCH($D183,'[1]End - Use Prices'!$B$9:$B$11,0)-1,MATCH(X$1,'[1]End - Use Prices'!$C$7:$AL$7,0))</f>
        <v>24.67</v>
      </c>
      <c r="Y183" s="41">
        <f>INDEX('[1]End - Use Prices'!$C$6:$AL$89,MATCH($C183,'[1]End - Use Prices'!$A$6:$A$89,0)+MATCH($D183,'[1]End - Use Prices'!$B$9:$B$11,0)-1,MATCH(Y$1,'[1]End - Use Prices'!$C$7:$AL$7,0))</f>
        <v>25.2</v>
      </c>
      <c r="Z183" s="41">
        <f>INDEX('[1]End - Use Prices'!$C$6:$AL$89,MATCH($C183,'[1]End - Use Prices'!$A$6:$A$89,0)+MATCH($D183,'[1]End - Use Prices'!$B$9:$B$11,0)-1,MATCH(Z$1,'[1]End - Use Prices'!$C$7:$AL$7,0))</f>
        <v>25.43</v>
      </c>
      <c r="AA183" s="41">
        <f>INDEX('[1]End - Use Prices'!$C$6:$AL$89,MATCH($C183,'[1]End - Use Prices'!$A$6:$A$89,0)+MATCH($D183,'[1]End - Use Prices'!$B$9:$B$11,0)-1,MATCH(AA$1,'[1]End - Use Prices'!$C$7:$AL$7,0))</f>
        <v>33.47</v>
      </c>
      <c r="AB183" s="41">
        <f>INDEX('[1]End - Use Prices'!$C$6:$AL$89,MATCH($C183,'[1]End - Use Prices'!$A$6:$A$89,0)+MATCH($D183,'[1]End - Use Prices'!$B$9:$B$11,0)-1,MATCH(AB$1,'[1]End - Use Prices'!$C$7:$AL$7,0))</f>
        <v>23.22</v>
      </c>
      <c r="AC183" s="41">
        <f>INDEX('[1]End - Use Prices'!$C$6:$AL$89,MATCH($C183,'[1]End - Use Prices'!$A$6:$A$89,0)+MATCH($D183,'[1]End - Use Prices'!$B$9:$B$11,0)-1,MATCH(AC$1,'[1]End - Use Prices'!$C$7:$AL$7,0))</f>
        <v>26.1</v>
      </c>
      <c r="AD183" s="41">
        <f>INDEX('[1]End - Use Prices'!$C$6:$AL$89,MATCH($C183,'[1]End - Use Prices'!$A$6:$A$89,0)+MATCH($D183,'[1]End - Use Prices'!$B$9:$B$11,0)-1,MATCH(AD$1,'[1]End - Use Prices'!$C$7:$AL$7,0))</f>
        <v>32.090000000000003</v>
      </c>
      <c r="AE183" s="41">
        <f>INDEX('[1]End - Use Prices'!$C$6:$AL$89,MATCH($C183,'[1]End - Use Prices'!$A$6:$A$89,0)+MATCH($D183,'[1]End - Use Prices'!$B$9:$B$11,0)-1,MATCH(AE$1,'[1]End - Use Prices'!$C$7:$AL$7,0))</f>
        <v>33.770000000000003</v>
      </c>
      <c r="AF183" s="41">
        <f>INDEX('[1]End - Use Prices'!$C$6:$AL$89,MATCH($C183,'[1]End - Use Prices'!$A$6:$A$89,0)+MATCH($D183,'[1]End - Use Prices'!$B$9:$B$11,0)-1,MATCH(AF$1,'[1]End - Use Prices'!$C$7:$AL$7,0))</f>
        <v>33.130000000000003</v>
      </c>
      <c r="AG183" s="41">
        <f>INDEX('[1]End - Use Prices'!$C$6:$AL$89,MATCH($C183,'[1]End - Use Prices'!$A$6:$A$89,0)+MATCH($D183,'[1]End - Use Prices'!$B$9:$B$11,0)-1,MATCH(AG$1,'[1]End - Use Prices'!$C$7:$AL$7,0))</f>
        <v>33.630000000000003</v>
      </c>
      <c r="AH183" s="41">
        <f>INDEX('[1]End - Use Prices'!$C$6:$AL$89,MATCH($C183,'[1]End - Use Prices'!$A$6:$A$89,0)+MATCH($D183,'[1]End - Use Prices'!$B$9:$B$11,0)-1,MATCH(AH$1,'[1]End - Use Prices'!$C$7:$AL$7,0))</f>
        <v>27.54</v>
      </c>
      <c r="AI183" s="41">
        <f>INDEX('[1]End - Use Prices'!$C$6:$AL$89,MATCH($C183,'[1]End - Use Prices'!$A$6:$A$89,0)+MATCH($D183,'[1]End - Use Prices'!$B$9:$B$11,0)-1,MATCH(AI$1,'[1]End - Use Prices'!$C$7:$AL$7,0))</f>
        <v>23.58</v>
      </c>
      <c r="AJ183" s="41">
        <f>INDEX('[1]End - Use Prices'!$C$6:$AL$89,MATCH($C183,'[1]End - Use Prices'!$A$6:$A$89,0)+MATCH($D183,'[1]End - Use Prices'!$B$9:$B$11,0)-1,MATCH(AJ$1,'[1]End - Use Prices'!$C$7:$AL$7,0))</f>
        <v>25.75</v>
      </c>
      <c r="AK183" s="41">
        <f>INDEX('[1]End - Use Prices'!$C$6:$AL$89,MATCH($C183,'[1]End - Use Prices'!$A$6:$A$89,0)+MATCH($D183,'[1]End - Use Prices'!$B$9:$B$11,0)-1,MATCH(AK$1,'[1]End - Use Prices'!$C$7:$AL$7,0))</f>
        <v>30.37</v>
      </c>
      <c r="AL183" s="41">
        <f>INDEX('[1]End - Use Prices'!$C$6:$AL$89,MATCH($C183,'[1]End - Use Prices'!$A$6:$A$89,0)+MATCH($D183,'[1]End - Use Prices'!$B$9:$B$11,0)-1,MATCH(AL$1,'[1]End - Use Prices'!$C$7:$AL$7,0))</f>
        <v>34.700000000000003</v>
      </c>
      <c r="AM183" s="41">
        <f>INDEX('[1]End - Use Prices'!$C$6:$AL$89,MATCH($C183,'[1]End - Use Prices'!$A$6:$A$89,0)+MATCH($D183,'[1]End - Use Prices'!$B$9:$B$11,0)-1,MATCH(AM$1,'[1]End - Use Prices'!$C$7:$AL$7,0))</f>
        <v>38.03</v>
      </c>
      <c r="AN183" s="41">
        <f>INDEX('[1]End - Use Prices'!$C$6:$AL$89,MATCH($C183,'[1]End - Use Prices'!$A$6:$A$89,0)+MATCH($D183,'[1]End - Use Prices'!$B$9:$B$11,0)-1,MATCH(AN$1,'[1]End - Use Prices'!$C$7:$AL$7,0))</f>
        <v>34.799999999999997</v>
      </c>
      <c r="AO183" s="41">
        <f>INDEX('[1]End - Use Prices'!$C$6:$AL$89,MATCH($C183,'[1]End - Use Prices'!$A$6:$A$89,0)+MATCH($D183,'[1]End - Use Prices'!$B$9:$B$11,0)-1,MATCH(AO$1,'[1]End - Use Prices'!$C$7:$AL$7,0))</f>
        <v>32.68</v>
      </c>
      <c r="AP183" s="41">
        <f>INDEX('[1]End - Use Prices'!$C$6:$AL$89,MATCH($C183,'[1]End - Use Prices'!$A$6:$A$89,0)+MATCH($D183,'[1]End - Use Prices'!$B$9:$B$11,0)-1,MATCH(AP$1,'[1]End - Use Prices'!$C$7:$AL$7,0))</f>
        <v>32.369999999999997</v>
      </c>
      <c r="AQ183" s="41">
        <f>INDEX('[1]End - Use Prices'!$C$6:$AL$89,MATCH($C183,'[1]End - Use Prices'!$A$6:$A$89,0)+MATCH($D183,'[1]End - Use Prices'!$B$9:$B$11,0)-1,MATCH(AQ$1,'[1]End - Use Prices'!$C$7:$AL$7,0))</f>
        <v>32.47</v>
      </c>
      <c r="AR183" s="41">
        <f>INDEX('[1]End - Use Prices'!$C$6:$AL$89,MATCH($C183,'[1]End - Use Prices'!$A$6:$A$89,0)+MATCH($D183,'[1]End - Use Prices'!$B$9:$B$11,0)-1,MATCH(AR$1,'[1]End - Use Prices'!$C$7:$AL$7,0))</f>
        <v>32.78</v>
      </c>
      <c r="AS183" s="41">
        <f>INDEX('[1]End - Use Prices'!$C$6:$AL$89,MATCH($C183,'[1]End - Use Prices'!$A$6:$A$89,0)+MATCH($D183,'[1]End - Use Prices'!$B$9:$B$11,0)-1,MATCH(AS$1,'[1]End - Use Prices'!$C$7:$AL$7,0))</f>
        <v>33.03</v>
      </c>
      <c r="AT183" s="41">
        <f>INDEX('[1]End - Use Prices'!$C$6:$AL$89,MATCH($C183,'[1]End - Use Prices'!$A$6:$A$89,0)+MATCH($D183,'[1]End - Use Prices'!$B$9:$B$11,0)-1,MATCH(AT$1,'[1]End - Use Prices'!$C$7:$AL$7,0))</f>
        <v>32.81</v>
      </c>
      <c r="AU183" s="41">
        <f>INDEX('[1]End - Use Prices'!$C$6:$AL$89,MATCH($C183,'[1]End - Use Prices'!$A$6:$A$89,0)+MATCH($D183,'[1]End - Use Prices'!$B$9:$B$11,0)-1,MATCH(AU$1,'[1]End - Use Prices'!$C$7:$AL$7,0))</f>
        <v>32.549999999999997</v>
      </c>
      <c r="AV183" s="41">
        <f>INDEX('[1]End - Use Prices'!$C$6:$AL$89,MATCH($C183,'[1]End - Use Prices'!$A$6:$A$89,0)+MATCH($D183,'[1]End - Use Prices'!$B$9:$B$11,0)-1,MATCH(AV$1,'[1]End - Use Prices'!$C$7:$AL$7,0))</f>
        <v>32.33</v>
      </c>
      <c r="AW183" s="41">
        <f>INDEX('[1]End - Use Prices'!$C$6:$AL$89,MATCH($C183,'[1]End - Use Prices'!$A$6:$A$89,0)+MATCH($D183,'[1]End - Use Prices'!$B$9:$B$11,0)-1,MATCH(AW$1,'[1]End - Use Prices'!$C$7:$AL$7,0))</f>
        <v>32.11</v>
      </c>
      <c r="AX183" s="41">
        <f>INDEX('[1]End - Use Prices'!$C$6:$AL$89,MATCH($C183,'[1]End - Use Prices'!$A$6:$A$89,0)+MATCH($D183,'[1]End - Use Prices'!$B$9:$B$11,0)-1,MATCH(AX$1,'[1]End - Use Prices'!$C$7:$AL$7,0))</f>
        <v>31.96</v>
      </c>
      <c r="AY183" s="41">
        <f>INDEX('[1]End - Use Prices'!$C$6:$AL$89,MATCH($C183,'[1]End - Use Prices'!$A$6:$A$89,0)+MATCH($D183,'[1]End - Use Prices'!$B$9:$B$11,0)-1,MATCH(AY$1,'[1]End - Use Prices'!$C$7:$AL$7,0))</f>
        <v>31.85</v>
      </c>
      <c r="AZ183" s="41">
        <f>INDEX('[1]End - Use Prices'!$C$6:$AL$89,MATCH($C183,'[1]End - Use Prices'!$A$6:$A$89,0)+MATCH($D183,'[1]End - Use Prices'!$B$9:$B$11,0)-1,MATCH(AZ$1,'[1]End - Use Prices'!$C$7:$AL$7,0))</f>
        <v>31.79</v>
      </c>
      <c r="BA183" s="41">
        <f>INDEX('[1]End - Use Prices'!$C$6:$AL$89,MATCH($C183,'[1]End - Use Prices'!$A$6:$A$89,0)+MATCH($D183,'[1]End - Use Prices'!$B$9:$B$11,0)-1,MATCH(BA$1,'[1]End - Use Prices'!$C$7:$AL$7,0))</f>
        <v>31.75</v>
      </c>
      <c r="BB183" s="41">
        <f>INDEX('[1]End - Use Prices'!$C$6:$AL$89,MATCH($C183,'[1]End - Use Prices'!$A$6:$A$89,0)+MATCH($D183,'[1]End - Use Prices'!$B$9:$B$11,0)-1,MATCH(BB$1,'[1]End - Use Prices'!$C$7:$AL$7,0))</f>
        <v>31.7</v>
      </c>
      <c r="BC183" s="41">
        <f>INDEX('[1]End - Use Prices'!$C$6:$AL$89,MATCH($C183,'[1]End - Use Prices'!$A$6:$A$89,0)+MATCH($D183,'[1]End - Use Prices'!$B$9:$B$11,0)-1,MATCH(BC$1,'[1]End - Use Prices'!$C$7:$AL$7,0))</f>
        <v>31.63</v>
      </c>
      <c r="BD183" s="41">
        <f>INDEX('[1]End - Use Prices'!$C$6:$AL$89,MATCH($C183,'[1]End - Use Prices'!$A$6:$A$89,0)+MATCH($D183,'[1]End - Use Prices'!$B$9:$B$11,0)-1,MATCH(BD$1,'[1]End - Use Prices'!$C$7:$AL$7,0))</f>
        <v>31.54</v>
      </c>
      <c r="BE183" s="41">
        <f>INDEX('[1]End - Use Prices'!$C$6:$AL$89,MATCH($C183,'[1]End - Use Prices'!$A$6:$A$89,0)+MATCH($D183,'[1]End - Use Prices'!$B$9:$B$11,0)-1,MATCH(BE$1,'[1]End - Use Prices'!$C$7:$AL$7,0))</f>
        <v>31.42</v>
      </c>
      <c r="BF183" s="41">
        <f>INDEX('[1]End - Use Prices'!$C$6:$AL$89,MATCH($C183,'[1]End - Use Prices'!$A$6:$A$89,0)+MATCH($D183,'[1]End - Use Prices'!$B$9:$B$11,0)-1,MATCH(BF$1,'[1]End - Use Prices'!$C$7:$AL$7,0))</f>
        <v>31.3</v>
      </c>
      <c r="BG183" s="41">
        <f>INDEX('[1]End - Use Prices'!$C$6:$AL$89,MATCH($C183,'[1]End - Use Prices'!$A$6:$A$89,0)+MATCH($D183,'[1]End - Use Prices'!$B$9:$B$11,0)-1,MATCH(BG$1,'[1]End - Use Prices'!$C$7:$AL$7,0))</f>
        <v>31.16</v>
      </c>
      <c r="BR183" s="39"/>
      <c r="BS183" s="39"/>
      <c r="BT183" s="39"/>
      <c r="BU183" s="39"/>
      <c r="BV183" s="39"/>
      <c r="BW183" s="39"/>
      <c r="BX183" s="39"/>
      <c r="BY183" s="39"/>
      <c r="BZ183" s="39"/>
      <c r="CA183" s="39"/>
    </row>
    <row r="184" spans="1:79" x14ac:dyDescent="0.25">
      <c r="A184" s="5"/>
      <c r="B184" s="3"/>
      <c r="C184" s="25" t="s">
        <v>92</v>
      </c>
      <c r="D184" s="25" t="s">
        <v>311</v>
      </c>
      <c r="E184" s="25" t="s">
        <v>313</v>
      </c>
      <c r="F184" s="74" t="s">
        <v>310</v>
      </c>
      <c r="G184" s="54">
        <f t="shared" si="146"/>
        <v>25.66</v>
      </c>
      <c r="H184" s="34">
        <f t="shared" si="181"/>
        <v>25.66</v>
      </c>
      <c r="I184" s="34">
        <f t="shared" si="181"/>
        <v>28.54</v>
      </c>
      <c r="J184" s="34">
        <f t="shared" si="181"/>
        <v>30.91</v>
      </c>
      <c r="K184" s="34">
        <f t="shared" si="181"/>
        <v>41.65</v>
      </c>
      <c r="L184" s="34">
        <f t="shared" si="181"/>
        <v>36.79</v>
      </c>
      <c r="M184" s="34">
        <f t="shared" si="181"/>
        <v>36.32</v>
      </c>
      <c r="N184" s="34">
        <f t="shared" si="181"/>
        <v>36.090000000000003</v>
      </c>
      <c r="O184" s="34">
        <f t="shared" si="181"/>
        <v>35.71</v>
      </c>
      <c r="P184" s="54">
        <f t="shared" ref="P184:Q184" si="184">O184</f>
        <v>35.71</v>
      </c>
      <c r="Q184" s="54">
        <f t="shared" si="184"/>
        <v>35.71</v>
      </c>
      <c r="R184" s="38"/>
      <c r="X184" s="41">
        <f>INDEX('[1]End - Use Prices'!$C$6:$AL$89,MATCH($C184,'[1]End - Use Prices'!$A$6:$A$89,0)+MATCH($D184,'[1]End - Use Prices'!$B$9:$B$11,0)-1,MATCH(X$1,'[1]End - Use Prices'!$C$7:$AL$7,0))</f>
        <v>25.66</v>
      </c>
      <c r="Y184" s="41">
        <f>INDEX('[1]End - Use Prices'!$C$6:$AL$89,MATCH($C184,'[1]End - Use Prices'!$A$6:$A$89,0)+MATCH($D184,'[1]End - Use Prices'!$B$9:$B$11,0)-1,MATCH(Y$1,'[1]End - Use Prices'!$C$7:$AL$7,0))</f>
        <v>26.36</v>
      </c>
      <c r="Z184" s="41">
        <f>INDEX('[1]End - Use Prices'!$C$6:$AL$89,MATCH($C184,'[1]End - Use Prices'!$A$6:$A$89,0)+MATCH($D184,'[1]End - Use Prices'!$B$9:$B$11,0)-1,MATCH(Z$1,'[1]End - Use Prices'!$C$7:$AL$7,0))</f>
        <v>27.18</v>
      </c>
      <c r="AA184" s="41">
        <f>INDEX('[1]End - Use Prices'!$C$6:$AL$89,MATCH($C184,'[1]End - Use Prices'!$A$6:$A$89,0)+MATCH($D184,'[1]End - Use Prices'!$B$9:$B$11,0)-1,MATCH(AA$1,'[1]End - Use Prices'!$C$7:$AL$7,0))</f>
        <v>33.630000000000003</v>
      </c>
      <c r="AB184" s="41">
        <f>INDEX('[1]End - Use Prices'!$C$6:$AL$89,MATCH($C184,'[1]End - Use Prices'!$A$6:$A$89,0)+MATCH($D184,'[1]End - Use Prices'!$B$9:$B$11,0)-1,MATCH(AB$1,'[1]End - Use Prices'!$C$7:$AL$7,0))</f>
        <v>25.05</v>
      </c>
      <c r="AC184" s="41">
        <f>INDEX('[1]End - Use Prices'!$C$6:$AL$89,MATCH($C184,'[1]End - Use Prices'!$A$6:$A$89,0)+MATCH($D184,'[1]End - Use Prices'!$B$9:$B$11,0)-1,MATCH(AC$1,'[1]End - Use Prices'!$C$7:$AL$7,0))</f>
        <v>28.54</v>
      </c>
      <c r="AD184" s="41">
        <f>INDEX('[1]End - Use Prices'!$C$6:$AL$89,MATCH($C184,'[1]End - Use Prices'!$A$6:$A$89,0)+MATCH($D184,'[1]End - Use Prices'!$B$9:$B$11,0)-1,MATCH(AD$1,'[1]End - Use Prices'!$C$7:$AL$7,0))</f>
        <v>35.020000000000003</v>
      </c>
      <c r="AE184" s="41">
        <f>INDEX('[1]End - Use Prices'!$C$6:$AL$89,MATCH($C184,'[1]End - Use Prices'!$A$6:$A$89,0)+MATCH($D184,'[1]End - Use Prices'!$B$9:$B$11,0)-1,MATCH(AE$1,'[1]End - Use Prices'!$C$7:$AL$7,0))</f>
        <v>35.61</v>
      </c>
      <c r="AF184" s="41">
        <f>INDEX('[1]End - Use Prices'!$C$6:$AL$89,MATCH($C184,'[1]End - Use Prices'!$A$6:$A$89,0)+MATCH($D184,'[1]End - Use Prices'!$B$9:$B$11,0)-1,MATCH(AF$1,'[1]End - Use Prices'!$C$7:$AL$7,0))</f>
        <v>35.47</v>
      </c>
      <c r="AG184" s="41">
        <f>INDEX('[1]End - Use Prices'!$C$6:$AL$89,MATCH($C184,'[1]End - Use Prices'!$A$6:$A$89,0)+MATCH($D184,'[1]End - Use Prices'!$B$9:$B$11,0)-1,MATCH(AG$1,'[1]End - Use Prices'!$C$7:$AL$7,0))</f>
        <v>36.5</v>
      </c>
      <c r="AH184" s="41">
        <f>INDEX('[1]End - Use Prices'!$C$6:$AL$89,MATCH($C184,'[1]End - Use Prices'!$A$6:$A$89,0)+MATCH($D184,'[1]End - Use Prices'!$B$9:$B$11,0)-1,MATCH(AH$1,'[1]End - Use Prices'!$C$7:$AL$7,0))</f>
        <v>30.91</v>
      </c>
      <c r="AI184" s="41">
        <f>INDEX('[1]End - Use Prices'!$C$6:$AL$89,MATCH($C184,'[1]End - Use Prices'!$A$6:$A$89,0)+MATCH($D184,'[1]End - Use Prices'!$B$9:$B$11,0)-1,MATCH(AI$1,'[1]End - Use Prices'!$C$7:$AL$7,0))</f>
        <v>27.23</v>
      </c>
      <c r="AJ184" s="41">
        <f>INDEX('[1]End - Use Prices'!$C$6:$AL$89,MATCH($C184,'[1]End - Use Prices'!$A$6:$A$89,0)+MATCH($D184,'[1]End - Use Prices'!$B$9:$B$11,0)-1,MATCH(AJ$1,'[1]End - Use Prices'!$C$7:$AL$7,0))</f>
        <v>31.23</v>
      </c>
      <c r="AK184" s="41">
        <f>INDEX('[1]End - Use Prices'!$C$6:$AL$89,MATCH($C184,'[1]End - Use Prices'!$A$6:$A$89,0)+MATCH($D184,'[1]End - Use Prices'!$B$9:$B$11,0)-1,MATCH(AK$1,'[1]End - Use Prices'!$C$7:$AL$7,0))</f>
        <v>35.57</v>
      </c>
      <c r="AL184" s="41">
        <f>INDEX('[1]End - Use Prices'!$C$6:$AL$89,MATCH($C184,'[1]End - Use Prices'!$A$6:$A$89,0)+MATCH($D184,'[1]End - Use Prices'!$B$9:$B$11,0)-1,MATCH(AL$1,'[1]End - Use Prices'!$C$7:$AL$7,0))</f>
        <v>38.32</v>
      </c>
      <c r="AM184" s="41">
        <f>INDEX('[1]End - Use Prices'!$C$6:$AL$89,MATCH($C184,'[1]End - Use Prices'!$A$6:$A$89,0)+MATCH($D184,'[1]End - Use Prices'!$B$9:$B$11,0)-1,MATCH(AM$1,'[1]End - Use Prices'!$C$7:$AL$7,0))</f>
        <v>41.65</v>
      </c>
      <c r="AN184" s="41">
        <f>INDEX('[1]End - Use Prices'!$C$6:$AL$89,MATCH($C184,'[1]End - Use Prices'!$A$6:$A$89,0)+MATCH($D184,'[1]End - Use Prices'!$B$9:$B$11,0)-1,MATCH(AN$1,'[1]End - Use Prices'!$C$7:$AL$7,0))</f>
        <v>38.53</v>
      </c>
      <c r="AO184" s="41">
        <f>INDEX('[1]End - Use Prices'!$C$6:$AL$89,MATCH($C184,'[1]End - Use Prices'!$A$6:$A$89,0)+MATCH($D184,'[1]End - Use Prices'!$B$9:$B$11,0)-1,MATCH(AO$1,'[1]End - Use Prices'!$C$7:$AL$7,0))</f>
        <v>36.51</v>
      </c>
      <c r="AP184" s="41">
        <f>INDEX('[1]End - Use Prices'!$C$6:$AL$89,MATCH($C184,'[1]End - Use Prices'!$A$6:$A$89,0)+MATCH($D184,'[1]End - Use Prices'!$B$9:$B$11,0)-1,MATCH(AP$1,'[1]End - Use Prices'!$C$7:$AL$7,0))</f>
        <v>36.270000000000003</v>
      </c>
      <c r="AQ184" s="41">
        <f>INDEX('[1]End - Use Prices'!$C$6:$AL$89,MATCH($C184,'[1]End - Use Prices'!$A$6:$A$89,0)+MATCH($D184,'[1]End - Use Prices'!$B$9:$B$11,0)-1,MATCH(AQ$1,'[1]End - Use Prices'!$C$7:$AL$7,0))</f>
        <v>36.42</v>
      </c>
      <c r="AR184" s="41">
        <f>INDEX('[1]End - Use Prices'!$C$6:$AL$89,MATCH($C184,'[1]End - Use Prices'!$A$6:$A$89,0)+MATCH($D184,'[1]End - Use Prices'!$B$9:$B$11,0)-1,MATCH(AR$1,'[1]End - Use Prices'!$C$7:$AL$7,0))</f>
        <v>36.79</v>
      </c>
      <c r="AS184" s="41">
        <f>INDEX('[1]End - Use Prices'!$C$6:$AL$89,MATCH($C184,'[1]End - Use Prices'!$A$6:$A$89,0)+MATCH($D184,'[1]End - Use Prices'!$B$9:$B$11,0)-1,MATCH(AS$1,'[1]End - Use Prices'!$C$7:$AL$7,0))</f>
        <v>37.08</v>
      </c>
      <c r="AT184" s="41">
        <f>INDEX('[1]End - Use Prices'!$C$6:$AL$89,MATCH($C184,'[1]End - Use Prices'!$A$6:$A$89,0)+MATCH($D184,'[1]End - Use Prices'!$B$9:$B$11,0)-1,MATCH(AT$1,'[1]End - Use Prices'!$C$7:$AL$7,0))</f>
        <v>36.909999999999997</v>
      </c>
      <c r="AU184" s="41">
        <f>INDEX('[1]End - Use Prices'!$C$6:$AL$89,MATCH($C184,'[1]End - Use Prices'!$A$6:$A$89,0)+MATCH($D184,'[1]End - Use Prices'!$B$9:$B$11,0)-1,MATCH(AU$1,'[1]End - Use Prices'!$C$7:$AL$7,0))</f>
        <v>36.69</v>
      </c>
      <c r="AV184" s="41">
        <f>INDEX('[1]End - Use Prices'!$C$6:$AL$89,MATCH($C184,'[1]End - Use Prices'!$A$6:$A$89,0)+MATCH($D184,'[1]End - Use Prices'!$B$9:$B$11,0)-1,MATCH(AV$1,'[1]End - Use Prices'!$C$7:$AL$7,0))</f>
        <v>36.51</v>
      </c>
      <c r="AW184" s="41">
        <f>INDEX('[1]End - Use Prices'!$C$6:$AL$89,MATCH($C184,'[1]End - Use Prices'!$A$6:$A$89,0)+MATCH($D184,'[1]End - Use Prices'!$B$9:$B$11,0)-1,MATCH(AW$1,'[1]End - Use Prices'!$C$7:$AL$7,0))</f>
        <v>36.32</v>
      </c>
      <c r="AX184" s="41">
        <f>INDEX('[1]End - Use Prices'!$C$6:$AL$89,MATCH($C184,'[1]End - Use Prices'!$A$6:$A$89,0)+MATCH($D184,'[1]End - Use Prices'!$B$9:$B$11,0)-1,MATCH(AX$1,'[1]End - Use Prices'!$C$7:$AL$7,0))</f>
        <v>36.22</v>
      </c>
      <c r="AY184" s="41">
        <f>INDEX('[1]End - Use Prices'!$C$6:$AL$89,MATCH($C184,'[1]End - Use Prices'!$A$6:$A$89,0)+MATCH($D184,'[1]End - Use Prices'!$B$9:$B$11,0)-1,MATCH(AY$1,'[1]End - Use Prices'!$C$7:$AL$7,0))</f>
        <v>36.14</v>
      </c>
      <c r="AZ184" s="41">
        <f>INDEX('[1]End - Use Prices'!$C$6:$AL$89,MATCH($C184,'[1]End - Use Prices'!$A$6:$A$89,0)+MATCH($D184,'[1]End - Use Prices'!$B$9:$B$11,0)-1,MATCH(AZ$1,'[1]End - Use Prices'!$C$7:$AL$7,0))</f>
        <v>36.11</v>
      </c>
      <c r="BA184" s="41">
        <f>INDEX('[1]End - Use Prices'!$C$6:$AL$89,MATCH($C184,'[1]End - Use Prices'!$A$6:$A$89,0)+MATCH($D184,'[1]End - Use Prices'!$B$9:$B$11,0)-1,MATCH(BA$1,'[1]End - Use Prices'!$C$7:$AL$7,0))</f>
        <v>36.11</v>
      </c>
      <c r="BB184" s="41">
        <f>INDEX('[1]End - Use Prices'!$C$6:$AL$89,MATCH($C184,'[1]End - Use Prices'!$A$6:$A$89,0)+MATCH($D184,'[1]End - Use Prices'!$B$9:$B$11,0)-1,MATCH(BB$1,'[1]End - Use Prices'!$C$7:$AL$7,0))</f>
        <v>36.090000000000003</v>
      </c>
      <c r="BC184" s="41">
        <f>INDEX('[1]End - Use Prices'!$C$6:$AL$89,MATCH($C184,'[1]End - Use Prices'!$A$6:$A$89,0)+MATCH($D184,'[1]End - Use Prices'!$B$9:$B$11,0)-1,MATCH(BC$1,'[1]End - Use Prices'!$C$7:$AL$7,0))</f>
        <v>36.049999999999997</v>
      </c>
      <c r="BD184" s="41">
        <f>INDEX('[1]End - Use Prices'!$C$6:$AL$89,MATCH($C184,'[1]End - Use Prices'!$A$6:$A$89,0)+MATCH($D184,'[1]End - Use Prices'!$B$9:$B$11,0)-1,MATCH(BD$1,'[1]End - Use Prices'!$C$7:$AL$7,0))</f>
        <v>35.99</v>
      </c>
      <c r="BE184" s="41">
        <f>INDEX('[1]End - Use Prices'!$C$6:$AL$89,MATCH($C184,'[1]End - Use Prices'!$A$6:$A$89,0)+MATCH($D184,'[1]End - Use Prices'!$B$9:$B$11,0)-1,MATCH(BE$1,'[1]End - Use Prices'!$C$7:$AL$7,0))</f>
        <v>35.9</v>
      </c>
      <c r="BF184" s="41">
        <f>INDEX('[1]End - Use Prices'!$C$6:$AL$89,MATCH($C184,'[1]End - Use Prices'!$A$6:$A$89,0)+MATCH($D184,'[1]End - Use Prices'!$B$9:$B$11,0)-1,MATCH(BF$1,'[1]End - Use Prices'!$C$7:$AL$7,0))</f>
        <v>35.81</v>
      </c>
      <c r="BG184" s="41">
        <f>INDEX('[1]End - Use Prices'!$C$6:$AL$89,MATCH($C184,'[1]End - Use Prices'!$A$6:$A$89,0)+MATCH($D184,'[1]End - Use Prices'!$B$9:$B$11,0)-1,MATCH(BG$1,'[1]End - Use Prices'!$C$7:$AL$7,0))</f>
        <v>35.71</v>
      </c>
      <c r="BR184" s="39"/>
      <c r="BS184" s="39"/>
      <c r="BT184" s="39"/>
      <c r="BU184" s="39"/>
      <c r="BV184" s="39"/>
      <c r="BW184" s="39"/>
      <c r="BX184" s="39"/>
      <c r="BY184" s="39"/>
      <c r="BZ184" s="39"/>
      <c r="CA184" s="39"/>
    </row>
    <row r="185" spans="1:79" x14ac:dyDescent="0.25">
      <c r="A185" s="5"/>
      <c r="B185" s="3"/>
      <c r="C185" s="25" t="s">
        <v>93</v>
      </c>
      <c r="D185" s="25" t="s">
        <v>311</v>
      </c>
      <c r="E185" s="25" t="s">
        <v>313</v>
      </c>
      <c r="F185" s="74" t="s">
        <v>310</v>
      </c>
      <c r="G185" s="54">
        <f t="shared" si="146"/>
        <v>26.86</v>
      </c>
      <c r="H185" s="34">
        <f t="shared" si="181"/>
        <v>26.86</v>
      </c>
      <c r="I185" s="34">
        <f t="shared" si="181"/>
        <v>28.11</v>
      </c>
      <c r="J185" s="34">
        <f t="shared" si="181"/>
        <v>26.82</v>
      </c>
      <c r="K185" s="34">
        <f t="shared" si="181"/>
        <v>36.65</v>
      </c>
      <c r="L185" s="34">
        <f t="shared" si="181"/>
        <v>30.13</v>
      </c>
      <c r="M185" s="34">
        <f t="shared" si="181"/>
        <v>29.7</v>
      </c>
      <c r="N185" s="34">
        <f t="shared" si="181"/>
        <v>29.69</v>
      </c>
      <c r="O185" s="34">
        <f t="shared" si="181"/>
        <v>29.56</v>
      </c>
      <c r="P185" s="54">
        <f t="shared" ref="P185:Q185" si="185">O185</f>
        <v>29.56</v>
      </c>
      <c r="Q185" s="54">
        <f t="shared" si="185"/>
        <v>29.56</v>
      </c>
      <c r="R185" s="38"/>
      <c r="X185" s="41">
        <f>INDEX('[1]End - Use Prices'!$C$6:$AL$89,MATCH($C185,'[1]End - Use Prices'!$A$6:$A$89,0)+MATCH($D185,'[1]End - Use Prices'!$B$9:$B$11,0)-1,MATCH(X$1,'[1]End - Use Prices'!$C$7:$AL$7,0))</f>
        <v>26.86</v>
      </c>
      <c r="Y185" s="41">
        <f>INDEX('[1]End - Use Prices'!$C$6:$AL$89,MATCH($C185,'[1]End - Use Prices'!$A$6:$A$89,0)+MATCH($D185,'[1]End - Use Prices'!$B$9:$B$11,0)-1,MATCH(Y$1,'[1]End - Use Prices'!$C$7:$AL$7,0))</f>
        <v>26.92</v>
      </c>
      <c r="Z185" s="41">
        <f>INDEX('[1]End - Use Prices'!$C$6:$AL$89,MATCH($C185,'[1]End - Use Prices'!$A$6:$A$89,0)+MATCH($D185,'[1]End - Use Prices'!$B$9:$B$11,0)-1,MATCH(Z$1,'[1]End - Use Prices'!$C$7:$AL$7,0))</f>
        <v>28.39</v>
      </c>
      <c r="AA185" s="41">
        <f>INDEX('[1]End - Use Prices'!$C$6:$AL$89,MATCH($C185,'[1]End - Use Prices'!$A$6:$A$89,0)+MATCH($D185,'[1]End - Use Prices'!$B$9:$B$11,0)-1,MATCH(AA$1,'[1]End - Use Prices'!$C$7:$AL$7,0))</f>
        <v>34.549999999999997</v>
      </c>
      <c r="AB185" s="41">
        <f>INDEX('[1]End - Use Prices'!$C$6:$AL$89,MATCH($C185,'[1]End - Use Prices'!$A$6:$A$89,0)+MATCH($D185,'[1]End - Use Prices'!$B$9:$B$11,0)-1,MATCH(AB$1,'[1]End - Use Prices'!$C$7:$AL$7,0))</f>
        <v>25.26</v>
      </c>
      <c r="AC185" s="41">
        <f>INDEX('[1]End - Use Prices'!$C$6:$AL$89,MATCH($C185,'[1]End - Use Prices'!$A$6:$A$89,0)+MATCH($D185,'[1]End - Use Prices'!$B$9:$B$11,0)-1,MATCH(AC$1,'[1]End - Use Prices'!$C$7:$AL$7,0))</f>
        <v>28.11</v>
      </c>
      <c r="AD185" s="41">
        <f>INDEX('[1]End - Use Prices'!$C$6:$AL$89,MATCH($C185,'[1]End - Use Prices'!$A$6:$A$89,0)+MATCH($D185,'[1]End - Use Prices'!$B$9:$B$11,0)-1,MATCH(AD$1,'[1]End - Use Prices'!$C$7:$AL$7,0))</f>
        <v>32.72</v>
      </c>
      <c r="AE185" s="41">
        <f>INDEX('[1]End - Use Prices'!$C$6:$AL$89,MATCH($C185,'[1]End - Use Prices'!$A$6:$A$89,0)+MATCH($D185,'[1]End - Use Prices'!$B$9:$B$11,0)-1,MATCH(AE$1,'[1]End - Use Prices'!$C$7:$AL$7,0))</f>
        <v>32.950000000000003</v>
      </c>
      <c r="AF185" s="41">
        <f>INDEX('[1]End - Use Prices'!$C$6:$AL$89,MATCH($C185,'[1]End - Use Prices'!$A$6:$A$89,0)+MATCH($D185,'[1]End - Use Prices'!$B$9:$B$11,0)-1,MATCH(AF$1,'[1]End - Use Prices'!$C$7:$AL$7,0))</f>
        <v>33.5</v>
      </c>
      <c r="AG185" s="41">
        <f>INDEX('[1]End - Use Prices'!$C$6:$AL$89,MATCH($C185,'[1]End - Use Prices'!$A$6:$A$89,0)+MATCH($D185,'[1]End - Use Prices'!$B$9:$B$11,0)-1,MATCH(AG$1,'[1]End - Use Prices'!$C$7:$AL$7,0))</f>
        <v>34.840000000000003</v>
      </c>
      <c r="AH185" s="41">
        <f>INDEX('[1]End - Use Prices'!$C$6:$AL$89,MATCH($C185,'[1]End - Use Prices'!$A$6:$A$89,0)+MATCH($D185,'[1]End - Use Prices'!$B$9:$B$11,0)-1,MATCH(AH$1,'[1]End - Use Prices'!$C$7:$AL$7,0))</f>
        <v>26.82</v>
      </c>
      <c r="AI185" s="41">
        <f>INDEX('[1]End - Use Prices'!$C$6:$AL$89,MATCH($C185,'[1]End - Use Prices'!$A$6:$A$89,0)+MATCH($D185,'[1]End - Use Prices'!$B$9:$B$11,0)-1,MATCH(AI$1,'[1]End - Use Prices'!$C$7:$AL$7,0))</f>
        <v>24</v>
      </c>
      <c r="AJ185" s="41">
        <f>INDEX('[1]End - Use Prices'!$C$6:$AL$89,MATCH($C185,'[1]End - Use Prices'!$A$6:$A$89,0)+MATCH($D185,'[1]End - Use Prices'!$B$9:$B$11,0)-1,MATCH(AJ$1,'[1]End - Use Prices'!$C$7:$AL$7,0))</f>
        <v>26.23</v>
      </c>
      <c r="AK185" s="41">
        <f>INDEX('[1]End - Use Prices'!$C$6:$AL$89,MATCH($C185,'[1]End - Use Prices'!$A$6:$A$89,0)+MATCH($D185,'[1]End - Use Prices'!$B$9:$B$11,0)-1,MATCH(AK$1,'[1]End - Use Prices'!$C$7:$AL$7,0))</f>
        <v>30.14</v>
      </c>
      <c r="AL185" s="41">
        <f>INDEX('[1]End - Use Prices'!$C$6:$AL$89,MATCH($C185,'[1]End - Use Prices'!$A$6:$A$89,0)+MATCH($D185,'[1]End - Use Prices'!$B$9:$B$11,0)-1,MATCH(AL$1,'[1]End - Use Prices'!$C$7:$AL$7,0))</f>
        <v>33.479999999999997</v>
      </c>
      <c r="AM185" s="41">
        <f>INDEX('[1]End - Use Prices'!$C$6:$AL$89,MATCH($C185,'[1]End - Use Prices'!$A$6:$A$89,0)+MATCH($D185,'[1]End - Use Prices'!$B$9:$B$11,0)-1,MATCH(AM$1,'[1]End - Use Prices'!$C$7:$AL$7,0))</f>
        <v>36.65</v>
      </c>
      <c r="AN185" s="41">
        <f>INDEX('[1]End - Use Prices'!$C$6:$AL$89,MATCH($C185,'[1]End - Use Prices'!$A$6:$A$89,0)+MATCH($D185,'[1]End - Use Prices'!$B$9:$B$11,0)-1,MATCH(AN$1,'[1]End - Use Prices'!$C$7:$AL$7,0))</f>
        <v>33.15</v>
      </c>
      <c r="AO185" s="41">
        <f>INDEX('[1]End - Use Prices'!$C$6:$AL$89,MATCH($C185,'[1]End - Use Prices'!$A$6:$A$89,0)+MATCH($D185,'[1]End - Use Prices'!$B$9:$B$11,0)-1,MATCH(AO$1,'[1]End - Use Prices'!$C$7:$AL$7,0))</f>
        <v>30.77</v>
      </c>
      <c r="AP185" s="41">
        <f>INDEX('[1]End - Use Prices'!$C$6:$AL$89,MATCH($C185,'[1]End - Use Prices'!$A$6:$A$89,0)+MATCH($D185,'[1]End - Use Prices'!$B$9:$B$11,0)-1,MATCH(AP$1,'[1]End - Use Prices'!$C$7:$AL$7,0))</f>
        <v>30.2</v>
      </c>
      <c r="AQ185" s="41">
        <f>INDEX('[1]End - Use Prices'!$C$6:$AL$89,MATCH($C185,'[1]End - Use Prices'!$A$6:$A$89,0)+MATCH($D185,'[1]End - Use Prices'!$B$9:$B$11,0)-1,MATCH(AQ$1,'[1]End - Use Prices'!$C$7:$AL$7,0))</f>
        <v>30.06</v>
      </c>
      <c r="AR185" s="41">
        <f>INDEX('[1]End - Use Prices'!$C$6:$AL$89,MATCH($C185,'[1]End - Use Prices'!$A$6:$A$89,0)+MATCH($D185,'[1]End - Use Prices'!$B$9:$B$11,0)-1,MATCH(AR$1,'[1]End - Use Prices'!$C$7:$AL$7,0))</f>
        <v>30.13</v>
      </c>
      <c r="AS185" s="41">
        <f>INDEX('[1]End - Use Prices'!$C$6:$AL$89,MATCH($C185,'[1]End - Use Prices'!$A$6:$A$89,0)+MATCH($D185,'[1]End - Use Prices'!$B$9:$B$11,0)-1,MATCH(AS$1,'[1]End - Use Prices'!$C$7:$AL$7,0))</f>
        <v>30.14</v>
      </c>
      <c r="AT185" s="41">
        <f>INDEX('[1]End - Use Prices'!$C$6:$AL$89,MATCH($C185,'[1]End - Use Prices'!$A$6:$A$89,0)+MATCH($D185,'[1]End - Use Prices'!$B$9:$B$11,0)-1,MATCH(AT$1,'[1]End - Use Prices'!$C$7:$AL$7,0))</f>
        <v>30.06</v>
      </c>
      <c r="AU185" s="41">
        <f>INDEX('[1]End - Use Prices'!$C$6:$AL$89,MATCH($C185,'[1]End - Use Prices'!$A$6:$A$89,0)+MATCH($D185,'[1]End - Use Prices'!$B$9:$B$11,0)-1,MATCH(AU$1,'[1]End - Use Prices'!$C$7:$AL$7,0))</f>
        <v>29.92</v>
      </c>
      <c r="AV185" s="41">
        <f>INDEX('[1]End - Use Prices'!$C$6:$AL$89,MATCH($C185,'[1]End - Use Prices'!$A$6:$A$89,0)+MATCH($D185,'[1]End - Use Prices'!$B$9:$B$11,0)-1,MATCH(AV$1,'[1]End - Use Prices'!$C$7:$AL$7,0))</f>
        <v>29.81</v>
      </c>
      <c r="AW185" s="41">
        <f>INDEX('[1]End - Use Prices'!$C$6:$AL$89,MATCH($C185,'[1]End - Use Prices'!$A$6:$A$89,0)+MATCH($D185,'[1]End - Use Prices'!$B$9:$B$11,0)-1,MATCH(AW$1,'[1]End - Use Prices'!$C$7:$AL$7,0))</f>
        <v>29.7</v>
      </c>
      <c r="AX185" s="41">
        <f>INDEX('[1]End - Use Prices'!$C$6:$AL$89,MATCH($C185,'[1]End - Use Prices'!$A$6:$A$89,0)+MATCH($D185,'[1]End - Use Prices'!$B$9:$B$11,0)-1,MATCH(AX$1,'[1]End - Use Prices'!$C$7:$AL$7,0))</f>
        <v>29.64</v>
      </c>
      <c r="AY185" s="41">
        <f>INDEX('[1]End - Use Prices'!$C$6:$AL$89,MATCH($C185,'[1]End - Use Prices'!$A$6:$A$89,0)+MATCH($D185,'[1]End - Use Prices'!$B$9:$B$11,0)-1,MATCH(AY$1,'[1]End - Use Prices'!$C$7:$AL$7,0))</f>
        <v>29.62</v>
      </c>
      <c r="AZ185" s="41">
        <f>INDEX('[1]End - Use Prices'!$C$6:$AL$89,MATCH($C185,'[1]End - Use Prices'!$A$6:$A$89,0)+MATCH($D185,'[1]End - Use Prices'!$B$9:$B$11,0)-1,MATCH(AZ$1,'[1]End - Use Prices'!$C$7:$AL$7,0))</f>
        <v>29.64</v>
      </c>
      <c r="BA185" s="41">
        <f>INDEX('[1]End - Use Prices'!$C$6:$AL$89,MATCH($C185,'[1]End - Use Prices'!$A$6:$A$89,0)+MATCH($D185,'[1]End - Use Prices'!$B$9:$B$11,0)-1,MATCH(BA$1,'[1]End - Use Prices'!$C$7:$AL$7,0))</f>
        <v>29.67</v>
      </c>
      <c r="BB185" s="41">
        <f>INDEX('[1]End - Use Prices'!$C$6:$AL$89,MATCH($C185,'[1]End - Use Prices'!$A$6:$A$89,0)+MATCH($D185,'[1]End - Use Prices'!$B$9:$B$11,0)-1,MATCH(BB$1,'[1]End - Use Prices'!$C$7:$AL$7,0))</f>
        <v>29.69</v>
      </c>
      <c r="BC185" s="41">
        <f>INDEX('[1]End - Use Prices'!$C$6:$AL$89,MATCH($C185,'[1]End - Use Prices'!$A$6:$A$89,0)+MATCH($D185,'[1]End - Use Prices'!$B$9:$B$11,0)-1,MATCH(BC$1,'[1]End - Use Prices'!$C$7:$AL$7,0))</f>
        <v>29.7</v>
      </c>
      <c r="BD185" s="41">
        <f>INDEX('[1]End - Use Prices'!$C$6:$AL$89,MATCH($C185,'[1]End - Use Prices'!$A$6:$A$89,0)+MATCH($D185,'[1]End - Use Prices'!$B$9:$B$11,0)-1,MATCH(BD$1,'[1]End - Use Prices'!$C$7:$AL$7,0))</f>
        <v>29.69</v>
      </c>
      <c r="BE185" s="41">
        <f>INDEX('[1]End - Use Prices'!$C$6:$AL$89,MATCH($C185,'[1]End - Use Prices'!$A$6:$A$89,0)+MATCH($D185,'[1]End - Use Prices'!$B$9:$B$11,0)-1,MATCH(BE$1,'[1]End - Use Prices'!$C$7:$AL$7,0))</f>
        <v>29.65</v>
      </c>
      <c r="BF185" s="41">
        <f>INDEX('[1]End - Use Prices'!$C$6:$AL$89,MATCH($C185,'[1]End - Use Prices'!$A$6:$A$89,0)+MATCH($D185,'[1]End - Use Prices'!$B$9:$B$11,0)-1,MATCH(BF$1,'[1]End - Use Prices'!$C$7:$AL$7,0))</f>
        <v>29.61</v>
      </c>
      <c r="BG185" s="41">
        <f>INDEX('[1]End - Use Prices'!$C$6:$AL$89,MATCH($C185,'[1]End - Use Prices'!$A$6:$A$89,0)+MATCH($D185,'[1]End - Use Prices'!$B$9:$B$11,0)-1,MATCH(BG$1,'[1]End - Use Prices'!$C$7:$AL$7,0))</f>
        <v>29.56</v>
      </c>
      <c r="BR185" s="39"/>
      <c r="BS185" s="39"/>
      <c r="BT185" s="39"/>
      <c r="BU185" s="39"/>
      <c r="BV185" s="39"/>
      <c r="BW185" s="39"/>
      <c r="BX185" s="39"/>
      <c r="BY185" s="39"/>
      <c r="BZ185" s="39"/>
      <c r="CA185" s="39"/>
    </row>
    <row r="186" spans="1:79" x14ac:dyDescent="0.25">
      <c r="A186" s="5"/>
      <c r="B186" s="3"/>
      <c r="C186" s="25" t="s">
        <v>94</v>
      </c>
      <c r="D186" s="25" t="s">
        <v>311</v>
      </c>
      <c r="E186" s="25" t="s">
        <v>313</v>
      </c>
      <c r="F186" s="74" t="s">
        <v>310</v>
      </c>
      <c r="G186" s="54">
        <f t="shared" si="146"/>
        <v>26.98</v>
      </c>
      <c r="H186" s="34">
        <f t="shared" si="181"/>
        <v>26.98</v>
      </c>
      <c r="I186" s="34">
        <f t="shared" si="181"/>
        <v>26.99</v>
      </c>
      <c r="J186" s="34">
        <f t="shared" si="181"/>
        <v>26.82</v>
      </c>
      <c r="K186" s="34">
        <f t="shared" si="181"/>
        <v>37.92</v>
      </c>
      <c r="L186" s="34">
        <f t="shared" si="181"/>
        <v>33.53</v>
      </c>
      <c r="M186" s="34">
        <f t="shared" si="181"/>
        <v>32.72</v>
      </c>
      <c r="N186" s="34">
        <f t="shared" si="181"/>
        <v>32.49</v>
      </c>
      <c r="O186" s="34">
        <f t="shared" si="181"/>
        <v>32.130000000000003</v>
      </c>
      <c r="P186" s="54">
        <f t="shared" ref="P186:Q186" si="186">O186</f>
        <v>32.130000000000003</v>
      </c>
      <c r="Q186" s="54">
        <f t="shared" si="186"/>
        <v>32.130000000000003</v>
      </c>
      <c r="R186" s="38"/>
      <c r="X186" s="41">
        <f>INDEX('[1]End - Use Prices'!$C$6:$AL$89,MATCH($C186,'[1]End - Use Prices'!$A$6:$A$89,0)+MATCH($D186,'[1]End - Use Prices'!$B$9:$B$11,0)-1,MATCH(X$1,'[1]End - Use Prices'!$C$7:$AL$7,0))</f>
        <v>26.98</v>
      </c>
      <c r="Y186" s="41">
        <f>INDEX('[1]End - Use Prices'!$C$6:$AL$89,MATCH($C186,'[1]End - Use Prices'!$A$6:$A$89,0)+MATCH($D186,'[1]End - Use Prices'!$B$9:$B$11,0)-1,MATCH(Y$1,'[1]End - Use Prices'!$C$7:$AL$7,0))</f>
        <v>26.48</v>
      </c>
      <c r="Z186" s="41">
        <f>INDEX('[1]End - Use Prices'!$C$6:$AL$89,MATCH($C186,'[1]End - Use Prices'!$A$6:$A$89,0)+MATCH($D186,'[1]End - Use Prices'!$B$9:$B$11,0)-1,MATCH(Z$1,'[1]End - Use Prices'!$C$7:$AL$7,0))</f>
        <v>28.47</v>
      </c>
      <c r="AA186" s="41">
        <f>INDEX('[1]End - Use Prices'!$C$6:$AL$89,MATCH($C186,'[1]End - Use Prices'!$A$6:$A$89,0)+MATCH($D186,'[1]End - Use Prices'!$B$9:$B$11,0)-1,MATCH(AA$1,'[1]End - Use Prices'!$C$7:$AL$7,0))</f>
        <v>34.4</v>
      </c>
      <c r="AB186" s="41">
        <f>INDEX('[1]End - Use Prices'!$C$6:$AL$89,MATCH($C186,'[1]End - Use Prices'!$A$6:$A$89,0)+MATCH($D186,'[1]End - Use Prices'!$B$9:$B$11,0)-1,MATCH(AB$1,'[1]End - Use Prices'!$C$7:$AL$7,0))</f>
        <v>24.36</v>
      </c>
      <c r="AC186" s="41">
        <f>INDEX('[1]End - Use Prices'!$C$6:$AL$89,MATCH($C186,'[1]End - Use Prices'!$A$6:$A$89,0)+MATCH($D186,'[1]End - Use Prices'!$B$9:$B$11,0)-1,MATCH(AC$1,'[1]End - Use Prices'!$C$7:$AL$7,0))</f>
        <v>26.99</v>
      </c>
      <c r="AD186" s="41">
        <f>INDEX('[1]End - Use Prices'!$C$6:$AL$89,MATCH($C186,'[1]End - Use Prices'!$A$6:$A$89,0)+MATCH($D186,'[1]End - Use Prices'!$B$9:$B$11,0)-1,MATCH(AD$1,'[1]End - Use Prices'!$C$7:$AL$7,0))</f>
        <v>32.65</v>
      </c>
      <c r="AE186" s="41">
        <f>INDEX('[1]End - Use Prices'!$C$6:$AL$89,MATCH($C186,'[1]End - Use Prices'!$A$6:$A$89,0)+MATCH($D186,'[1]End - Use Prices'!$B$9:$B$11,0)-1,MATCH(AE$1,'[1]End - Use Prices'!$C$7:$AL$7,0))</f>
        <v>31.57</v>
      </c>
      <c r="AF186" s="41">
        <f>INDEX('[1]End - Use Prices'!$C$6:$AL$89,MATCH($C186,'[1]End - Use Prices'!$A$6:$A$89,0)+MATCH($D186,'[1]End - Use Prices'!$B$9:$B$11,0)-1,MATCH(AF$1,'[1]End - Use Prices'!$C$7:$AL$7,0))</f>
        <v>32.36</v>
      </c>
      <c r="AG186" s="41">
        <f>INDEX('[1]End - Use Prices'!$C$6:$AL$89,MATCH($C186,'[1]End - Use Prices'!$A$6:$A$89,0)+MATCH($D186,'[1]End - Use Prices'!$B$9:$B$11,0)-1,MATCH(AG$1,'[1]End - Use Prices'!$C$7:$AL$7,0))</f>
        <v>35.340000000000003</v>
      </c>
      <c r="AH186" s="41">
        <f>INDEX('[1]End - Use Prices'!$C$6:$AL$89,MATCH($C186,'[1]End - Use Prices'!$A$6:$A$89,0)+MATCH($D186,'[1]End - Use Prices'!$B$9:$B$11,0)-1,MATCH(AH$1,'[1]End - Use Prices'!$C$7:$AL$7,0))</f>
        <v>26.82</v>
      </c>
      <c r="AI186" s="41">
        <f>INDEX('[1]End - Use Prices'!$C$6:$AL$89,MATCH($C186,'[1]End - Use Prices'!$A$6:$A$89,0)+MATCH($D186,'[1]End - Use Prices'!$B$9:$B$11,0)-1,MATCH(AI$1,'[1]End - Use Prices'!$C$7:$AL$7,0))</f>
        <v>24.02</v>
      </c>
      <c r="AJ186" s="41">
        <f>INDEX('[1]End - Use Prices'!$C$6:$AL$89,MATCH($C186,'[1]End - Use Prices'!$A$6:$A$89,0)+MATCH($D186,'[1]End - Use Prices'!$B$9:$B$11,0)-1,MATCH(AJ$1,'[1]End - Use Prices'!$C$7:$AL$7,0))</f>
        <v>26.27</v>
      </c>
      <c r="AK186" s="41">
        <f>INDEX('[1]End - Use Prices'!$C$6:$AL$89,MATCH($C186,'[1]End - Use Prices'!$A$6:$A$89,0)+MATCH($D186,'[1]End - Use Prices'!$B$9:$B$11,0)-1,MATCH(AK$1,'[1]End - Use Prices'!$C$7:$AL$7,0))</f>
        <v>29.87</v>
      </c>
      <c r="AL186" s="41">
        <f>INDEX('[1]End - Use Prices'!$C$6:$AL$89,MATCH($C186,'[1]End - Use Prices'!$A$6:$A$89,0)+MATCH($D186,'[1]End - Use Prices'!$B$9:$B$11,0)-1,MATCH(AL$1,'[1]End - Use Prices'!$C$7:$AL$7,0))</f>
        <v>33.14</v>
      </c>
      <c r="AM186" s="41">
        <f>INDEX('[1]End - Use Prices'!$C$6:$AL$89,MATCH($C186,'[1]End - Use Prices'!$A$6:$A$89,0)+MATCH($D186,'[1]End - Use Prices'!$B$9:$B$11,0)-1,MATCH(AM$1,'[1]End - Use Prices'!$C$7:$AL$7,0))</f>
        <v>37.92</v>
      </c>
      <c r="AN186" s="41">
        <f>INDEX('[1]End - Use Prices'!$C$6:$AL$89,MATCH($C186,'[1]End - Use Prices'!$A$6:$A$89,0)+MATCH($D186,'[1]End - Use Prices'!$B$9:$B$11,0)-1,MATCH(AN$1,'[1]End - Use Prices'!$C$7:$AL$7,0))</f>
        <v>35.28</v>
      </c>
      <c r="AO186" s="41">
        <f>INDEX('[1]End - Use Prices'!$C$6:$AL$89,MATCH($C186,'[1]End - Use Prices'!$A$6:$A$89,0)+MATCH($D186,'[1]End - Use Prices'!$B$9:$B$11,0)-1,MATCH(AO$1,'[1]End - Use Prices'!$C$7:$AL$7,0))</f>
        <v>33.700000000000003</v>
      </c>
      <c r="AP186" s="41">
        <f>INDEX('[1]End - Use Prices'!$C$6:$AL$89,MATCH($C186,'[1]End - Use Prices'!$A$6:$A$89,0)+MATCH($D186,'[1]End - Use Prices'!$B$9:$B$11,0)-1,MATCH(AP$1,'[1]End - Use Prices'!$C$7:$AL$7,0))</f>
        <v>33.82</v>
      </c>
      <c r="AQ186" s="41">
        <f>INDEX('[1]End - Use Prices'!$C$6:$AL$89,MATCH($C186,'[1]End - Use Prices'!$A$6:$A$89,0)+MATCH($D186,'[1]End - Use Prices'!$B$9:$B$11,0)-1,MATCH(AQ$1,'[1]End - Use Prices'!$C$7:$AL$7,0))</f>
        <v>33.549999999999997</v>
      </c>
      <c r="AR186" s="41">
        <f>INDEX('[1]End - Use Prices'!$C$6:$AL$89,MATCH($C186,'[1]End - Use Prices'!$A$6:$A$89,0)+MATCH($D186,'[1]End - Use Prices'!$B$9:$B$11,0)-1,MATCH(AR$1,'[1]End - Use Prices'!$C$7:$AL$7,0))</f>
        <v>33.53</v>
      </c>
      <c r="AS186" s="41">
        <f>INDEX('[1]End - Use Prices'!$C$6:$AL$89,MATCH($C186,'[1]End - Use Prices'!$A$6:$A$89,0)+MATCH($D186,'[1]End - Use Prices'!$B$9:$B$11,0)-1,MATCH(AS$1,'[1]End - Use Prices'!$C$7:$AL$7,0))</f>
        <v>33.46</v>
      </c>
      <c r="AT186" s="41">
        <f>INDEX('[1]End - Use Prices'!$C$6:$AL$89,MATCH($C186,'[1]End - Use Prices'!$A$6:$A$89,0)+MATCH($D186,'[1]End - Use Prices'!$B$9:$B$11,0)-1,MATCH(AT$1,'[1]End - Use Prices'!$C$7:$AL$7,0))</f>
        <v>33.29</v>
      </c>
      <c r="AU186" s="41">
        <f>INDEX('[1]End - Use Prices'!$C$6:$AL$89,MATCH($C186,'[1]End - Use Prices'!$A$6:$A$89,0)+MATCH($D186,'[1]End - Use Prices'!$B$9:$B$11,0)-1,MATCH(AU$1,'[1]End - Use Prices'!$C$7:$AL$7,0))</f>
        <v>33.07</v>
      </c>
      <c r="AV186" s="41">
        <f>INDEX('[1]End - Use Prices'!$C$6:$AL$89,MATCH($C186,'[1]End - Use Prices'!$A$6:$A$89,0)+MATCH($D186,'[1]End - Use Prices'!$B$9:$B$11,0)-1,MATCH(AV$1,'[1]End - Use Prices'!$C$7:$AL$7,0))</f>
        <v>32.9</v>
      </c>
      <c r="AW186" s="41">
        <f>INDEX('[1]End - Use Prices'!$C$6:$AL$89,MATCH($C186,'[1]End - Use Prices'!$A$6:$A$89,0)+MATCH($D186,'[1]End - Use Prices'!$B$9:$B$11,0)-1,MATCH(AW$1,'[1]End - Use Prices'!$C$7:$AL$7,0))</f>
        <v>32.72</v>
      </c>
      <c r="AX186" s="41">
        <f>INDEX('[1]End - Use Prices'!$C$6:$AL$89,MATCH($C186,'[1]End - Use Prices'!$A$6:$A$89,0)+MATCH($D186,'[1]End - Use Prices'!$B$9:$B$11,0)-1,MATCH(AX$1,'[1]End - Use Prices'!$C$7:$AL$7,0))</f>
        <v>32.619999999999997</v>
      </c>
      <c r="AY186" s="41">
        <f>INDEX('[1]End - Use Prices'!$C$6:$AL$89,MATCH($C186,'[1]End - Use Prices'!$A$6:$A$89,0)+MATCH($D186,'[1]End - Use Prices'!$B$9:$B$11,0)-1,MATCH(AY$1,'[1]End - Use Prices'!$C$7:$AL$7,0))</f>
        <v>32.549999999999997</v>
      </c>
      <c r="AZ186" s="41">
        <f>INDEX('[1]End - Use Prices'!$C$6:$AL$89,MATCH($C186,'[1]End - Use Prices'!$A$6:$A$89,0)+MATCH($D186,'[1]End - Use Prices'!$B$9:$B$11,0)-1,MATCH(AZ$1,'[1]End - Use Prices'!$C$7:$AL$7,0))</f>
        <v>32.520000000000003</v>
      </c>
      <c r="BA186" s="41">
        <f>INDEX('[1]End - Use Prices'!$C$6:$AL$89,MATCH($C186,'[1]End - Use Prices'!$A$6:$A$89,0)+MATCH($D186,'[1]End - Use Prices'!$B$9:$B$11,0)-1,MATCH(BA$1,'[1]End - Use Prices'!$C$7:$AL$7,0))</f>
        <v>32.51</v>
      </c>
      <c r="BB186" s="41">
        <f>INDEX('[1]End - Use Prices'!$C$6:$AL$89,MATCH($C186,'[1]End - Use Prices'!$A$6:$A$89,0)+MATCH($D186,'[1]End - Use Prices'!$B$9:$B$11,0)-1,MATCH(BB$1,'[1]End - Use Prices'!$C$7:$AL$7,0))</f>
        <v>32.49</v>
      </c>
      <c r="BC186" s="41">
        <f>INDEX('[1]End - Use Prices'!$C$6:$AL$89,MATCH($C186,'[1]End - Use Prices'!$A$6:$A$89,0)+MATCH($D186,'[1]End - Use Prices'!$B$9:$B$11,0)-1,MATCH(BC$1,'[1]End - Use Prices'!$C$7:$AL$7,0))</f>
        <v>32.450000000000003</v>
      </c>
      <c r="BD186" s="41">
        <f>INDEX('[1]End - Use Prices'!$C$6:$AL$89,MATCH($C186,'[1]End - Use Prices'!$A$6:$A$89,0)+MATCH($D186,'[1]End - Use Prices'!$B$9:$B$11,0)-1,MATCH(BD$1,'[1]End - Use Prices'!$C$7:$AL$7,0))</f>
        <v>32.4</v>
      </c>
      <c r="BE186" s="41">
        <f>INDEX('[1]End - Use Prices'!$C$6:$AL$89,MATCH($C186,'[1]End - Use Prices'!$A$6:$A$89,0)+MATCH($D186,'[1]End - Use Prices'!$B$9:$B$11,0)-1,MATCH(BE$1,'[1]End - Use Prices'!$C$7:$AL$7,0))</f>
        <v>32.31</v>
      </c>
      <c r="BF186" s="41">
        <f>INDEX('[1]End - Use Prices'!$C$6:$AL$89,MATCH($C186,'[1]End - Use Prices'!$A$6:$A$89,0)+MATCH($D186,'[1]End - Use Prices'!$B$9:$B$11,0)-1,MATCH(BF$1,'[1]End - Use Prices'!$C$7:$AL$7,0))</f>
        <v>32.229999999999997</v>
      </c>
      <c r="BG186" s="41">
        <f>INDEX('[1]End - Use Prices'!$C$6:$AL$89,MATCH($C186,'[1]End - Use Prices'!$A$6:$A$89,0)+MATCH($D186,'[1]End - Use Prices'!$B$9:$B$11,0)-1,MATCH(BG$1,'[1]End - Use Prices'!$C$7:$AL$7,0))</f>
        <v>32.130000000000003</v>
      </c>
      <c r="BR186" s="39"/>
      <c r="BS186" s="39"/>
      <c r="BT186" s="39"/>
      <c r="BU186" s="39"/>
      <c r="BV186" s="39"/>
      <c r="BW186" s="39"/>
      <c r="BX186" s="39"/>
      <c r="BY186" s="39"/>
      <c r="BZ186" s="39"/>
      <c r="CA186" s="39"/>
    </row>
    <row r="187" spans="1:79" x14ac:dyDescent="0.25">
      <c r="A187" s="5"/>
      <c r="B187" s="3"/>
      <c r="C187" s="25" t="s">
        <v>5</v>
      </c>
      <c r="D187" s="25" t="s">
        <v>311</v>
      </c>
      <c r="E187" s="25" t="s">
        <v>313</v>
      </c>
      <c r="F187" s="74" t="s">
        <v>310</v>
      </c>
      <c r="G187" s="54">
        <f t="shared" si="146"/>
        <v>24.45</v>
      </c>
      <c r="H187" s="34">
        <f t="shared" si="181"/>
        <v>24.45</v>
      </c>
      <c r="I187" s="34">
        <f t="shared" si="181"/>
        <v>26.03</v>
      </c>
      <c r="J187" s="34">
        <f t="shared" si="181"/>
        <v>24.73</v>
      </c>
      <c r="K187" s="34">
        <f t="shared" si="181"/>
        <v>37.21</v>
      </c>
      <c r="L187" s="34">
        <f t="shared" si="181"/>
        <v>32.299999999999997</v>
      </c>
      <c r="M187" s="34">
        <f t="shared" si="181"/>
        <v>31.49</v>
      </c>
      <c r="N187" s="34">
        <f t="shared" si="181"/>
        <v>31.25</v>
      </c>
      <c r="O187" s="34">
        <f t="shared" si="181"/>
        <v>30.88</v>
      </c>
      <c r="P187" s="54">
        <f t="shared" ref="P187:Q187" si="187">O187</f>
        <v>30.88</v>
      </c>
      <c r="Q187" s="54">
        <f t="shared" si="187"/>
        <v>30.88</v>
      </c>
      <c r="R187" s="38"/>
      <c r="X187" s="41">
        <f>INDEX('[1]End - Use Prices'!$C$6:$AL$89,MATCH($C187,'[1]End - Use Prices'!$A$6:$A$89,0)+MATCH($D187,'[1]End - Use Prices'!$B$9:$B$11,0)-1,MATCH(X$1,'[1]End - Use Prices'!$C$7:$AL$7,0))</f>
        <v>24.45</v>
      </c>
      <c r="Y187" s="41">
        <f>INDEX('[1]End - Use Prices'!$C$6:$AL$89,MATCH($C187,'[1]End - Use Prices'!$A$6:$A$89,0)+MATCH($D187,'[1]End - Use Prices'!$B$9:$B$11,0)-1,MATCH(Y$1,'[1]End - Use Prices'!$C$7:$AL$7,0))</f>
        <v>25.51</v>
      </c>
      <c r="Z187" s="41">
        <f>INDEX('[1]End - Use Prices'!$C$6:$AL$89,MATCH($C187,'[1]End - Use Prices'!$A$6:$A$89,0)+MATCH($D187,'[1]End - Use Prices'!$B$9:$B$11,0)-1,MATCH(Z$1,'[1]End - Use Prices'!$C$7:$AL$7,0))</f>
        <v>26.83</v>
      </c>
      <c r="AA187" s="41">
        <f>INDEX('[1]End - Use Prices'!$C$6:$AL$89,MATCH($C187,'[1]End - Use Prices'!$A$6:$A$89,0)+MATCH($D187,'[1]End - Use Prices'!$B$9:$B$11,0)-1,MATCH(AA$1,'[1]End - Use Prices'!$C$7:$AL$7,0))</f>
        <v>31.95</v>
      </c>
      <c r="AB187" s="41">
        <f>INDEX('[1]End - Use Prices'!$C$6:$AL$89,MATCH($C187,'[1]End - Use Prices'!$A$6:$A$89,0)+MATCH($D187,'[1]End - Use Prices'!$B$9:$B$11,0)-1,MATCH(AB$1,'[1]End - Use Prices'!$C$7:$AL$7,0))</f>
        <v>23.37</v>
      </c>
      <c r="AC187" s="41">
        <f>INDEX('[1]End - Use Prices'!$C$6:$AL$89,MATCH($C187,'[1]End - Use Prices'!$A$6:$A$89,0)+MATCH($D187,'[1]End - Use Prices'!$B$9:$B$11,0)-1,MATCH(AC$1,'[1]End - Use Prices'!$C$7:$AL$7,0))</f>
        <v>26.03</v>
      </c>
      <c r="AD187" s="41">
        <f>INDEX('[1]End - Use Prices'!$C$6:$AL$89,MATCH($C187,'[1]End - Use Prices'!$A$6:$A$89,0)+MATCH($D187,'[1]End - Use Prices'!$B$9:$B$11,0)-1,MATCH(AD$1,'[1]End - Use Prices'!$C$7:$AL$7,0))</f>
        <v>27.78</v>
      </c>
      <c r="AE187" s="41">
        <f>INDEX('[1]End - Use Prices'!$C$6:$AL$89,MATCH($C187,'[1]End - Use Prices'!$A$6:$A$89,0)+MATCH($D187,'[1]End - Use Prices'!$B$9:$B$11,0)-1,MATCH(AE$1,'[1]End - Use Prices'!$C$7:$AL$7,0))</f>
        <v>29.65</v>
      </c>
      <c r="AF187" s="41">
        <f>INDEX('[1]End - Use Prices'!$C$6:$AL$89,MATCH($C187,'[1]End - Use Prices'!$A$6:$A$89,0)+MATCH($D187,'[1]End - Use Prices'!$B$9:$B$11,0)-1,MATCH(AF$1,'[1]End - Use Prices'!$C$7:$AL$7,0))</f>
        <v>27.25</v>
      </c>
      <c r="AG187" s="41">
        <f>INDEX('[1]End - Use Prices'!$C$6:$AL$89,MATCH($C187,'[1]End - Use Prices'!$A$6:$A$89,0)+MATCH($D187,'[1]End - Use Prices'!$B$9:$B$11,0)-1,MATCH(AG$1,'[1]End - Use Prices'!$C$7:$AL$7,0))</f>
        <v>32.840000000000003</v>
      </c>
      <c r="AH187" s="41">
        <f>INDEX('[1]End - Use Prices'!$C$6:$AL$89,MATCH($C187,'[1]End - Use Prices'!$A$6:$A$89,0)+MATCH($D187,'[1]End - Use Prices'!$B$9:$B$11,0)-1,MATCH(AH$1,'[1]End - Use Prices'!$C$7:$AL$7,0))</f>
        <v>24.73</v>
      </c>
      <c r="AI187" s="41">
        <f>INDEX('[1]End - Use Prices'!$C$6:$AL$89,MATCH($C187,'[1]End - Use Prices'!$A$6:$A$89,0)+MATCH($D187,'[1]End - Use Prices'!$B$9:$B$11,0)-1,MATCH(AI$1,'[1]End - Use Prices'!$C$7:$AL$7,0))</f>
        <v>22.55</v>
      </c>
      <c r="AJ187" s="41">
        <f>INDEX('[1]End - Use Prices'!$C$6:$AL$89,MATCH($C187,'[1]End - Use Prices'!$A$6:$A$89,0)+MATCH($D187,'[1]End - Use Prices'!$B$9:$B$11,0)-1,MATCH(AJ$1,'[1]End - Use Prices'!$C$7:$AL$7,0))</f>
        <v>24.52</v>
      </c>
      <c r="AK187" s="41">
        <f>INDEX('[1]End - Use Prices'!$C$6:$AL$89,MATCH($C187,'[1]End - Use Prices'!$A$6:$A$89,0)+MATCH($D187,'[1]End - Use Prices'!$B$9:$B$11,0)-1,MATCH(AK$1,'[1]End - Use Prices'!$C$7:$AL$7,0))</f>
        <v>30.35</v>
      </c>
      <c r="AL187" s="41">
        <f>INDEX('[1]End - Use Prices'!$C$6:$AL$89,MATCH($C187,'[1]End - Use Prices'!$A$6:$A$89,0)+MATCH($D187,'[1]End - Use Prices'!$B$9:$B$11,0)-1,MATCH(AL$1,'[1]End - Use Prices'!$C$7:$AL$7,0))</f>
        <v>34.29</v>
      </c>
      <c r="AM187" s="41">
        <f>INDEX('[1]End - Use Prices'!$C$6:$AL$89,MATCH($C187,'[1]End - Use Prices'!$A$6:$A$89,0)+MATCH($D187,'[1]End - Use Prices'!$B$9:$B$11,0)-1,MATCH(AM$1,'[1]End - Use Prices'!$C$7:$AL$7,0))</f>
        <v>37.21</v>
      </c>
      <c r="AN187" s="41">
        <f>INDEX('[1]End - Use Prices'!$C$6:$AL$89,MATCH($C187,'[1]End - Use Prices'!$A$6:$A$89,0)+MATCH($D187,'[1]End - Use Prices'!$B$9:$B$11,0)-1,MATCH(AN$1,'[1]End - Use Prices'!$C$7:$AL$7,0))</f>
        <v>33.880000000000003</v>
      </c>
      <c r="AO187" s="41">
        <f>INDEX('[1]End - Use Prices'!$C$6:$AL$89,MATCH($C187,'[1]End - Use Prices'!$A$6:$A$89,0)+MATCH($D187,'[1]End - Use Prices'!$B$9:$B$11,0)-1,MATCH(AO$1,'[1]End - Use Prices'!$C$7:$AL$7,0))</f>
        <v>32.43</v>
      </c>
      <c r="AP187" s="41">
        <f>INDEX('[1]End - Use Prices'!$C$6:$AL$89,MATCH($C187,'[1]End - Use Prices'!$A$6:$A$89,0)+MATCH($D187,'[1]End - Use Prices'!$B$9:$B$11,0)-1,MATCH(AP$1,'[1]End - Use Prices'!$C$7:$AL$7,0))</f>
        <v>32.590000000000003</v>
      </c>
      <c r="AQ187" s="41">
        <f>INDEX('[1]End - Use Prices'!$C$6:$AL$89,MATCH($C187,'[1]End - Use Prices'!$A$6:$A$89,0)+MATCH($D187,'[1]End - Use Prices'!$B$9:$B$11,0)-1,MATCH(AQ$1,'[1]End - Use Prices'!$C$7:$AL$7,0))</f>
        <v>32.33</v>
      </c>
      <c r="AR187" s="41">
        <f>INDEX('[1]End - Use Prices'!$C$6:$AL$89,MATCH($C187,'[1]End - Use Prices'!$A$6:$A$89,0)+MATCH($D187,'[1]End - Use Prices'!$B$9:$B$11,0)-1,MATCH(AR$1,'[1]End - Use Prices'!$C$7:$AL$7,0))</f>
        <v>32.299999999999997</v>
      </c>
      <c r="AS187" s="41">
        <f>INDEX('[1]End - Use Prices'!$C$6:$AL$89,MATCH($C187,'[1]End - Use Prices'!$A$6:$A$89,0)+MATCH($D187,'[1]End - Use Prices'!$B$9:$B$11,0)-1,MATCH(AS$1,'[1]End - Use Prices'!$C$7:$AL$7,0))</f>
        <v>32.22</v>
      </c>
      <c r="AT187" s="41">
        <f>INDEX('[1]End - Use Prices'!$C$6:$AL$89,MATCH($C187,'[1]End - Use Prices'!$A$6:$A$89,0)+MATCH($D187,'[1]End - Use Prices'!$B$9:$B$11,0)-1,MATCH(AT$1,'[1]End - Use Prices'!$C$7:$AL$7,0))</f>
        <v>32.049999999999997</v>
      </c>
      <c r="AU187" s="41">
        <f>INDEX('[1]End - Use Prices'!$C$6:$AL$89,MATCH($C187,'[1]End - Use Prices'!$A$6:$A$89,0)+MATCH($D187,'[1]End - Use Prices'!$B$9:$B$11,0)-1,MATCH(AU$1,'[1]End - Use Prices'!$C$7:$AL$7,0))</f>
        <v>31.84</v>
      </c>
      <c r="AV187" s="41">
        <f>INDEX('[1]End - Use Prices'!$C$6:$AL$89,MATCH($C187,'[1]End - Use Prices'!$A$6:$A$89,0)+MATCH($D187,'[1]End - Use Prices'!$B$9:$B$11,0)-1,MATCH(AV$1,'[1]End - Use Prices'!$C$7:$AL$7,0))</f>
        <v>31.67</v>
      </c>
      <c r="AW187" s="41">
        <f>INDEX('[1]End - Use Prices'!$C$6:$AL$89,MATCH($C187,'[1]End - Use Prices'!$A$6:$A$89,0)+MATCH($D187,'[1]End - Use Prices'!$B$9:$B$11,0)-1,MATCH(AW$1,'[1]End - Use Prices'!$C$7:$AL$7,0))</f>
        <v>31.49</v>
      </c>
      <c r="AX187" s="41">
        <f>INDEX('[1]End - Use Prices'!$C$6:$AL$89,MATCH($C187,'[1]End - Use Prices'!$A$6:$A$89,0)+MATCH($D187,'[1]End - Use Prices'!$B$9:$B$11,0)-1,MATCH(AX$1,'[1]End - Use Prices'!$C$7:$AL$7,0))</f>
        <v>31.39</v>
      </c>
      <c r="AY187" s="41">
        <f>INDEX('[1]End - Use Prices'!$C$6:$AL$89,MATCH($C187,'[1]End - Use Prices'!$A$6:$A$89,0)+MATCH($D187,'[1]End - Use Prices'!$B$9:$B$11,0)-1,MATCH(AY$1,'[1]End - Use Prices'!$C$7:$AL$7,0))</f>
        <v>31.32</v>
      </c>
      <c r="AZ187" s="41">
        <f>INDEX('[1]End - Use Prices'!$C$6:$AL$89,MATCH($C187,'[1]End - Use Prices'!$A$6:$A$89,0)+MATCH($D187,'[1]End - Use Prices'!$B$9:$B$11,0)-1,MATCH(AZ$1,'[1]End - Use Prices'!$C$7:$AL$7,0))</f>
        <v>31.28</v>
      </c>
      <c r="BA187" s="41">
        <f>INDEX('[1]End - Use Prices'!$C$6:$AL$89,MATCH($C187,'[1]End - Use Prices'!$A$6:$A$89,0)+MATCH($D187,'[1]End - Use Prices'!$B$9:$B$11,0)-1,MATCH(BA$1,'[1]End - Use Prices'!$C$7:$AL$7,0))</f>
        <v>31.27</v>
      </c>
      <c r="BB187" s="41">
        <f>INDEX('[1]End - Use Prices'!$C$6:$AL$89,MATCH($C187,'[1]End - Use Prices'!$A$6:$A$89,0)+MATCH($D187,'[1]End - Use Prices'!$B$9:$B$11,0)-1,MATCH(BB$1,'[1]End - Use Prices'!$C$7:$AL$7,0))</f>
        <v>31.25</v>
      </c>
      <c r="BC187" s="41">
        <f>INDEX('[1]End - Use Prices'!$C$6:$AL$89,MATCH($C187,'[1]End - Use Prices'!$A$6:$A$89,0)+MATCH($D187,'[1]End - Use Prices'!$B$9:$B$11,0)-1,MATCH(BC$1,'[1]End - Use Prices'!$C$7:$AL$7,0))</f>
        <v>31.21</v>
      </c>
      <c r="BD187" s="41">
        <f>INDEX('[1]End - Use Prices'!$C$6:$AL$89,MATCH($C187,'[1]End - Use Prices'!$A$6:$A$89,0)+MATCH($D187,'[1]End - Use Prices'!$B$9:$B$11,0)-1,MATCH(BD$1,'[1]End - Use Prices'!$C$7:$AL$7,0))</f>
        <v>31.15</v>
      </c>
      <c r="BE187" s="41">
        <f>INDEX('[1]End - Use Prices'!$C$6:$AL$89,MATCH($C187,'[1]End - Use Prices'!$A$6:$A$89,0)+MATCH($D187,'[1]End - Use Prices'!$B$9:$B$11,0)-1,MATCH(BE$1,'[1]End - Use Prices'!$C$7:$AL$7,0))</f>
        <v>31.06</v>
      </c>
      <c r="BF187" s="41">
        <f>INDEX('[1]End - Use Prices'!$C$6:$AL$89,MATCH($C187,'[1]End - Use Prices'!$A$6:$A$89,0)+MATCH($D187,'[1]End - Use Prices'!$B$9:$B$11,0)-1,MATCH(BF$1,'[1]End - Use Prices'!$C$7:$AL$7,0))</f>
        <v>30.98</v>
      </c>
      <c r="BG187" s="41">
        <f>INDEX('[1]End - Use Prices'!$C$6:$AL$89,MATCH($C187,'[1]End - Use Prices'!$A$6:$A$89,0)+MATCH($D187,'[1]End - Use Prices'!$B$9:$B$11,0)-1,MATCH(BG$1,'[1]End - Use Prices'!$C$7:$AL$7,0))</f>
        <v>30.88</v>
      </c>
      <c r="BR187" s="39"/>
      <c r="BS187" s="39"/>
      <c r="BT187" s="39"/>
      <c r="BU187" s="39"/>
      <c r="BV187" s="39"/>
      <c r="BW187" s="39"/>
      <c r="BX187" s="39"/>
      <c r="BY187" s="39"/>
      <c r="BZ187" s="39"/>
      <c r="CA187" s="39"/>
    </row>
    <row r="188" spans="1:79" x14ac:dyDescent="0.25">
      <c r="A188" s="5"/>
      <c r="B188" s="3"/>
      <c r="C188" s="25" t="s">
        <v>61</v>
      </c>
      <c r="D188" s="25" t="s">
        <v>311</v>
      </c>
      <c r="E188" s="25" t="s">
        <v>313</v>
      </c>
      <c r="F188" s="74" t="s">
        <v>310</v>
      </c>
      <c r="G188" s="54">
        <f t="shared" si="146"/>
        <v>28.98</v>
      </c>
      <c r="H188" s="34">
        <f t="shared" si="181"/>
        <v>28.98</v>
      </c>
      <c r="I188" s="34">
        <f t="shared" si="181"/>
        <v>29.71</v>
      </c>
      <c r="J188" s="34">
        <f t="shared" si="181"/>
        <v>29.49</v>
      </c>
      <c r="K188" s="34">
        <f t="shared" si="181"/>
        <v>41.92</v>
      </c>
      <c r="L188" s="34">
        <f t="shared" si="181"/>
        <v>36</v>
      </c>
      <c r="M188" s="34">
        <f t="shared" si="181"/>
        <v>35.03</v>
      </c>
      <c r="N188" s="34">
        <f t="shared" si="181"/>
        <v>34.64</v>
      </c>
      <c r="O188" s="34">
        <f t="shared" si="181"/>
        <v>34.14</v>
      </c>
      <c r="P188" s="54">
        <f t="shared" ref="P188:Q188" si="188">O188</f>
        <v>34.14</v>
      </c>
      <c r="Q188" s="54">
        <f t="shared" si="188"/>
        <v>34.14</v>
      </c>
      <c r="R188" s="38"/>
      <c r="X188" s="41">
        <f>INDEX('[1]End - Use Prices'!$C$6:$AL$89,MATCH($C188,'[1]End - Use Prices'!$A$6:$A$89,0)+MATCH($D188,'[1]End - Use Prices'!$B$9:$B$11,0)-1,MATCH(X$1,'[1]End - Use Prices'!$C$7:$AL$7,0))</f>
        <v>28.98</v>
      </c>
      <c r="Y188" s="41">
        <f>INDEX('[1]End - Use Prices'!$C$6:$AL$89,MATCH($C188,'[1]End - Use Prices'!$A$6:$A$89,0)+MATCH($D188,'[1]End - Use Prices'!$B$9:$B$11,0)-1,MATCH(Y$1,'[1]End - Use Prices'!$C$7:$AL$7,0))</f>
        <v>28.54</v>
      </c>
      <c r="Z188" s="41">
        <f>INDEX('[1]End - Use Prices'!$C$6:$AL$89,MATCH($C188,'[1]End - Use Prices'!$A$6:$A$89,0)+MATCH($D188,'[1]End - Use Prices'!$B$9:$B$11,0)-1,MATCH(Z$1,'[1]End - Use Prices'!$C$7:$AL$7,0))</f>
        <v>29.02</v>
      </c>
      <c r="AA188" s="41">
        <f>INDEX('[1]End - Use Prices'!$C$6:$AL$89,MATCH($C188,'[1]End - Use Prices'!$A$6:$A$89,0)+MATCH($D188,'[1]End - Use Prices'!$B$9:$B$11,0)-1,MATCH(AA$1,'[1]End - Use Prices'!$C$7:$AL$7,0))</f>
        <v>34.479999999999997</v>
      </c>
      <c r="AB188" s="41">
        <f>INDEX('[1]End - Use Prices'!$C$6:$AL$89,MATCH($C188,'[1]End - Use Prices'!$A$6:$A$89,0)+MATCH($D188,'[1]End - Use Prices'!$B$9:$B$11,0)-1,MATCH(AB$1,'[1]End - Use Prices'!$C$7:$AL$7,0))</f>
        <v>25.41</v>
      </c>
      <c r="AC188" s="41">
        <f>INDEX('[1]End - Use Prices'!$C$6:$AL$89,MATCH($C188,'[1]End - Use Prices'!$A$6:$A$89,0)+MATCH($D188,'[1]End - Use Prices'!$B$9:$B$11,0)-1,MATCH(AC$1,'[1]End - Use Prices'!$C$7:$AL$7,0))</f>
        <v>29.71</v>
      </c>
      <c r="AD188" s="41">
        <f>INDEX('[1]End - Use Prices'!$C$6:$AL$89,MATCH($C188,'[1]End - Use Prices'!$A$6:$A$89,0)+MATCH($D188,'[1]End - Use Prices'!$B$9:$B$11,0)-1,MATCH(AD$1,'[1]End - Use Prices'!$C$7:$AL$7,0))</f>
        <v>34.4</v>
      </c>
      <c r="AE188" s="41">
        <f>INDEX('[1]End - Use Prices'!$C$6:$AL$89,MATCH($C188,'[1]End - Use Prices'!$A$6:$A$89,0)+MATCH($D188,'[1]End - Use Prices'!$B$9:$B$11,0)-1,MATCH(AE$1,'[1]End - Use Prices'!$C$7:$AL$7,0))</f>
        <v>35.71</v>
      </c>
      <c r="AF188" s="41">
        <f>INDEX('[1]End - Use Prices'!$C$6:$AL$89,MATCH($C188,'[1]End - Use Prices'!$A$6:$A$89,0)+MATCH($D188,'[1]End - Use Prices'!$B$9:$B$11,0)-1,MATCH(AF$1,'[1]End - Use Prices'!$C$7:$AL$7,0))</f>
        <v>35.47</v>
      </c>
      <c r="AG188" s="41">
        <f>INDEX('[1]End - Use Prices'!$C$6:$AL$89,MATCH($C188,'[1]End - Use Prices'!$A$6:$A$89,0)+MATCH($D188,'[1]End - Use Prices'!$B$9:$B$11,0)-1,MATCH(AG$1,'[1]End - Use Prices'!$C$7:$AL$7,0))</f>
        <v>35.78</v>
      </c>
      <c r="AH188" s="41">
        <f>INDEX('[1]End - Use Prices'!$C$6:$AL$89,MATCH($C188,'[1]End - Use Prices'!$A$6:$A$89,0)+MATCH($D188,'[1]End - Use Prices'!$B$9:$B$11,0)-1,MATCH(AH$1,'[1]End - Use Prices'!$C$7:$AL$7,0))</f>
        <v>29.49</v>
      </c>
      <c r="AI188" s="41">
        <f>INDEX('[1]End - Use Prices'!$C$6:$AL$89,MATCH($C188,'[1]End - Use Prices'!$A$6:$A$89,0)+MATCH($D188,'[1]End - Use Prices'!$B$9:$B$11,0)-1,MATCH(AI$1,'[1]End - Use Prices'!$C$7:$AL$7,0))</f>
        <v>26.92</v>
      </c>
      <c r="AJ188" s="41">
        <f>INDEX('[1]End - Use Prices'!$C$6:$AL$89,MATCH($C188,'[1]End - Use Prices'!$A$6:$A$89,0)+MATCH($D188,'[1]End - Use Prices'!$B$9:$B$11,0)-1,MATCH(AJ$1,'[1]End - Use Prices'!$C$7:$AL$7,0))</f>
        <v>29.45</v>
      </c>
      <c r="AK188" s="41">
        <f>INDEX('[1]End - Use Prices'!$C$6:$AL$89,MATCH($C188,'[1]End - Use Prices'!$A$6:$A$89,0)+MATCH($D188,'[1]End - Use Prices'!$B$9:$B$11,0)-1,MATCH(AK$1,'[1]End - Use Prices'!$C$7:$AL$7,0))</f>
        <v>33.119999999999997</v>
      </c>
      <c r="AL188" s="41">
        <f>INDEX('[1]End - Use Prices'!$C$6:$AL$89,MATCH($C188,'[1]End - Use Prices'!$A$6:$A$89,0)+MATCH($D188,'[1]End - Use Prices'!$B$9:$B$11,0)-1,MATCH(AL$1,'[1]End - Use Prices'!$C$7:$AL$7,0))</f>
        <v>38.61</v>
      </c>
      <c r="AM188" s="41">
        <f>INDEX('[1]End - Use Prices'!$C$6:$AL$89,MATCH($C188,'[1]End - Use Prices'!$A$6:$A$89,0)+MATCH($D188,'[1]End - Use Prices'!$B$9:$B$11,0)-1,MATCH(AM$1,'[1]End - Use Prices'!$C$7:$AL$7,0))</f>
        <v>41.92</v>
      </c>
      <c r="AN188" s="41">
        <f>INDEX('[1]End - Use Prices'!$C$6:$AL$89,MATCH($C188,'[1]End - Use Prices'!$A$6:$A$89,0)+MATCH($D188,'[1]End - Use Prices'!$B$9:$B$11,0)-1,MATCH(AN$1,'[1]End - Use Prices'!$C$7:$AL$7,0))</f>
        <v>38.94</v>
      </c>
      <c r="AO188" s="41">
        <f>INDEX('[1]End - Use Prices'!$C$6:$AL$89,MATCH($C188,'[1]End - Use Prices'!$A$6:$A$89,0)+MATCH($D188,'[1]End - Use Prices'!$B$9:$B$11,0)-1,MATCH(AO$1,'[1]End - Use Prices'!$C$7:$AL$7,0))</f>
        <v>36.979999999999997</v>
      </c>
      <c r="AP188" s="41">
        <f>INDEX('[1]End - Use Prices'!$C$6:$AL$89,MATCH($C188,'[1]End - Use Prices'!$A$6:$A$89,0)+MATCH($D188,'[1]End - Use Prices'!$B$9:$B$11,0)-1,MATCH(AP$1,'[1]End - Use Prices'!$C$7:$AL$7,0))</f>
        <v>36.39</v>
      </c>
      <c r="AQ188" s="41">
        <f>INDEX('[1]End - Use Prices'!$C$6:$AL$89,MATCH($C188,'[1]End - Use Prices'!$A$6:$A$89,0)+MATCH($D188,'[1]End - Use Prices'!$B$9:$B$11,0)-1,MATCH(AQ$1,'[1]End - Use Prices'!$C$7:$AL$7,0))</f>
        <v>36.08</v>
      </c>
      <c r="AR188" s="41">
        <f>INDEX('[1]End - Use Prices'!$C$6:$AL$89,MATCH($C188,'[1]End - Use Prices'!$A$6:$A$89,0)+MATCH($D188,'[1]End - Use Prices'!$B$9:$B$11,0)-1,MATCH(AR$1,'[1]End - Use Prices'!$C$7:$AL$7,0))</f>
        <v>36</v>
      </c>
      <c r="AS188" s="41">
        <f>INDEX('[1]End - Use Prices'!$C$6:$AL$89,MATCH($C188,'[1]End - Use Prices'!$A$6:$A$89,0)+MATCH($D188,'[1]End - Use Prices'!$B$9:$B$11,0)-1,MATCH(AS$1,'[1]End - Use Prices'!$C$7:$AL$7,0))</f>
        <v>35.89</v>
      </c>
      <c r="AT188" s="41">
        <f>INDEX('[1]End - Use Prices'!$C$6:$AL$89,MATCH($C188,'[1]End - Use Prices'!$A$6:$A$89,0)+MATCH($D188,'[1]End - Use Prices'!$B$9:$B$11,0)-1,MATCH(AT$1,'[1]End - Use Prices'!$C$7:$AL$7,0))</f>
        <v>35.68</v>
      </c>
      <c r="AU188" s="41">
        <f>INDEX('[1]End - Use Prices'!$C$6:$AL$89,MATCH($C188,'[1]End - Use Prices'!$A$6:$A$89,0)+MATCH($D188,'[1]End - Use Prices'!$B$9:$B$11,0)-1,MATCH(AU$1,'[1]End - Use Prices'!$C$7:$AL$7,0))</f>
        <v>35.44</v>
      </c>
      <c r="AV188" s="41">
        <f>INDEX('[1]End - Use Prices'!$C$6:$AL$89,MATCH($C188,'[1]End - Use Prices'!$A$6:$A$89,0)+MATCH($D188,'[1]End - Use Prices'!$B$9:$B$11,0)-1,MATCH(AV$1,'[1]End - Use Prices'!$C$7:$AL$7,0))</f>
        <v>35.229999999999997</v>
      </c>
      <c r="AW188" s="41">
        <f>INDEX('[1]End - Use Prices'!$C$6:$AL$89,MATCH($C188,'[1]End - Use Prices'!$A$6:$A$89,0)+MATCH($D188,'[1]End - Use Prices'!$B$9:$B$11,0)-1,MATCH(AW$1,'[1]End - Use Prices'!$C$7:$AL$7,0))</f>
        <v>35.03</v>
      </c>
      <c r="AX188" s="41">
        <f>INDEX('[1]End - Use Prices'!$C$6:$AL$89,MATCH($C188,'[1]End - Use Prices'!$A$6:$A$89,0)+MATCH($D188,'[1]End - Use Prices'!$B$9:$B$11,0)-1,MATCH(AX$1,'[1]End - Use Prices'!$C$7:$AL$7,0))</f>
        <v>34.89</v>
      </c>
      <c r="AY188" s="41">
        <f>INDEX('[1]End - Use Prices'!$C$6:$AL$89,MATCH($C188,'[1]End - Use Prices'!$A$6:$A$89,0)+MATCH($D188,'[1]End - Use Prices'!$B$9:$B$11,0)-1,MATCH(AY$1,'[1]End - Use Prices'!$C$7:$AL$7,0))</f>
        <v>34.79</v>
      </c>
      <c r="AZ188" s="41">
        <f>INDEX('[1]End - Use Prices'!$C$6:$AL$89,MATCH($C188,'[1]End - Use Prices'!$A$6:$A$89,0)+MATCH($D188,'[1]End - Use Prices'!$B$9:$B$11,0)-1,MATCH(AZ$1,'[1]End - Use Prices'!$C$7:$AL$7,0))</f>
        <v>34.729999999999997</v>
      </c>
      <c r="BA188" s="41">
        <f>INDEX('[1]End - Use Prices'!$C$6:$AL$89,MATCH($C188,'[1]End - Use Prices'!$A$6:$A$89,0)+MATCH($D188,'[1]End - Use Prices'!$B$9:$B$11,0)-1,MATCH(BA$1,'[1]End - Use Prices'!$C$7:$AL$7,0))</f>
        <v>34.69</v>
      </c>
      <c r="BB188" s="41">
        <f>INDEX('[1]End - Use Prices'!$C$6:$AL$89,MATCH($C188,'[1]End - Use Prices'!$A$6:$A$89,0)+MATCH($D188,'[1]End - Use Prices'!$B$9:$B$11,0)-1,MATCH(BB$1,'[1]End - Use Prices'!$C$7:$AL$7,0))</f>
        <v>34.64</v>
      </c>
      <c r="BC188" s="41">
        <f>INDEX('[1]End - Use Prices'!$C$6:$AL$89,MATCH($C188,'[1]End - Use Prices'!$A$6:$A$89,0)+MATCH($D188,'[1]End - Use Prices'!$B$9:$B$11,0)-1,MATCH(BC$1,'[1]End - Use Prices'!$C$7:$AL$7,0))</f>
        <v>34.58</v>
      </c>
      <c r="BD188" s="41">
        <f>INDEX('[1]End - Use Prices'!$C$6:$AL$89,MATCH($C188,'[1]End - Use Prices'!$A$6:$A$89,0)+MATCH($D188,'[1]End - Use Prices'!$B$9:$B$11,0)-1,MATCH(BD$1,'[1]End - Use Prices'!$C$7:$AL$7,0))</f>
        <v>34.49</v>
      </c>
      <c r="BE188" s="41">
        <f>INDEX('[1]End - Use Prices'!$C$6:$AL$89,MATCH($C188,'[1]End - Use Prices'!$A$6:$A$89,0)+MATCH($D188,'[1]End - Use Prices'!$B$9:$B$11,0)-1,MATCH(BE$1,'[1]End - Use Prices'!$C$7:$AL$7,0))</f>
        <v>34.380000000000003</v>
      </c>
      <c r="BF188" s="41">
        <f>INDEX('[1]End - Use Prices'!$C$6:$AL$89,MATCH($C188,'[1]End - Use Prices'!$A$6:$A$89,0)+MATCH($D188,'[1]End - Use Prices'!$B$9:$B$11,0)-1,MATCH(BF$1,'[1]End - Use Prices'!$C$7:$AL$7,0))</f>
        <v>34.270000000000003</v>
      </c>
      <c r="BG188" s="41">
        <f>INDEX('[1]End - Use Prices'!$C$6:$AL$89,MATCH($C188,'[1]End - Use Prices'!$A$6:$A$89,0)+MATCH($D188,'[1]End - Use Prices'!$B$9:$B$11,0)-1,MATCH(BG$1,'[1]End - Use Prices'!$C$7:$AL$7,0))</f>
        <v>34.14</v>
      </c>
      <c r="BR188" s="39"/>
      <c r="BS188" s="39"/>
      <c r="BT188" s="39"/>
      <c r="BU188" s="39"/>
      <c r="BV188" s="39"/>
      <c r="BW188" s="39"/>
      <c r="BX188" s="39"/>
      <c r="BY188" s="39"/>
      <c r="BZ188" s="39"/>
      <c r="CA188" s="39"/>
    </row>
    <row r="189" spans="1:79" x14ac:dyDescent="0.25">
      <c r="A189" s="5"/>
      <c r="B189" s="3"/>
      <c r="C189" s="25" t="s">
        <v>95</v>
      </c>
      <c r="D189" s="25" t="s">
        <v>311</v>
      </c>
      <c r="E189" s="25" t="s">
        <v>313</v>
      </c>
      <c r="F189" s="74" t="s">
        <v>310</v>
      </c>
      <c r="G189" s="54">
        <f t="shared" si="146"/>
        <v>29.08</v>
      </c>
      <c r="H189" s="34">
        <f t="shared" si="181"/>
        <v>29.08</v>
      </c>
      <c r="I189" s="34">
        <f t="shared" si="181"/>
        <v>31.56</v>
      </c>
      <c r="J189" s="34">
        <f t="shared" si="181"/>
        <v>29.89</v>
      </c>
      <c r="K189" s="34">
        <f t="shared" si="181"/>
        <v>37.340000000000003</v>
      </c>
      <c r="L189" s="34">
        <f t="shared" si="181"/>
        <v>32.57</v>
      </c>
      <c r="M189" s="34">
        <f t="shared" si="181"/>
        <v>32.04</v>
      </c>
      <c r="N189" s="34">
        <f t="shared" si="181"/>
        <v>32.03</v>
      </c>
      <c r="O189" s="34">
        <f t="shared" si="181"/>
        <v>31.87</v>
      </c>
      <c r="P189" s="54">
        <f t="shared" ref="P189:Q189" si="189">O189</f>
        <v>31.87</v>
      </c>
      <c r="Q189" s="54">
        <f t="shared" si="189"/>
        <v>31.87</v>
      </c>
      <c r="R189" s="38"/>
      <c r="X189" s="41">
        <f>INDEX('[1]End - Use Prices'!$C$6:$AL$89,MATCH($C189,'[1]End - Use Prices'!$A$6:$A$89,0)+MATCH($D189,'[1]End - Use Prices'!$B$9:$B$11,0)-1,MATCH(X$1,'[1]End - Use Prices'!$C$7:$AL$7,0))</f>
        <v>29.08</v>
      </c>
      <c r="Y189" s="41">
        <f>INDEX('[1]End - Use Prices'!$C$6:$AL$89,MATCH($C189,'[1]End - Use Prices'!$A$6:$A$89,0)+MATCH($D189,'[1]End - Use Prices'!$B$9:$B$11,0)-1,MATCH(Y$1,'[1]End - Use Prices'!$C$7:$AL$7,0))</f>
        <v>30.15</v>
      </c>
      <c r="Z189" s="41">
        <f>INDEX('[1]End - Use Prices'!$C$6:$AL$89,MATCH($C189,'[1]End - Use Prices'!$A$6:$A$89,0)+MATCH($D189,'[1]End - Use Prices'!$B$9:$B$11,0)-1,MATCH(Z$1,'[1]End - Use Prices'!$C$7:$AL$7,0))</f>
        <v>31.73</v>
      </c>
      <c r="AA189" s="41">
        <f>INDEX('[1]End - Use Prices'!$C$6:$AL$89,MATCH($C189,'[1]End - Use Prices'!$A$6:$A$89,0)+MATCH($D189,'[1]End - Use Prices'!$B$9:$B$11,0)-1,MATCH(AA$1,'[1]End - Use Prices'!$C$7:$AL$7,0))</f>
        <v>37.46</v>
      </c>
      <c r="AB189" s="41">
        <f>INDEX('[1]End - Use Prices'!$C$6:$AL$89,MATCH($C189,'[1]End - Use Prices'!$A$6:$A$89,0)+MATCH($D189,'[1]End - Use Prices'!$B$9:$B$11,0)-1,MATCH(AB$1,'[1]End - Use Prices'!$C$7:$AL$7,0))</f>
        <v>28.89</v>
      </c>
      <c r="AC189" s="41">
        <f>INDEX('[1]End - Use Prices'!$C$6:$AL$89,MATCH($C189,'[1]End - Use Prices'!$A$6:$A$89,0)+MATCH($D189,'[1]End - Use Prices'!$B$9:$B$11,0)-1,MATCH(AC$1,'[1]End - Use Prices'!$C$7:$AL$7,0))</f>
        <v>31.56</v>
      </c>
      <c r="AD189" s="41">
        <f>INDEX('[1]End - Use Prices'!$C$6:$AL$89,MATCH($C189,'[1]End - Use Prices'!$A$6:$A$89,0)+MATCH($D189,'[1]End - Use Prices'!$B$9:$B$11,0)-1,MATCH(AD$1,'[1]End - Use Prices'!$C$7:$AL$7,0))</f>
        <v>36.9</v>
      </c>
      <c r="AE189" s="41">
        <f>INDEX('[1]End - Use Prices'!$C$6:$AL$89,MATCH($C189,'[1]End - Use Prices'!$A$6:$A$89,0)+MATCH($D189,'[1]End - Use Prices'!$B$9:$B$11,0)-1,MATCH(AE$1,'[1]End - Use Prices'!$C$7:$AL$7,0))</f>
        <v>38.08</v>
      </c>
      <c r="AF189" s="41">
        <f>INDEX('[1]End - Use Prices'!$C$6:$AL$89,MATCH($C189,'[1]End - Use Prices'!$A$6:$A$89,0)+MATCH($D189,'[1]End - Use Prices'!$B$9:$B$11,0)-1,MATCH(AF$1,'[1]End - Use Prices'!$C$7:$AL$7,0))</f>
        <v>36.86</v>
      </c>
      <c r="AG189" s="41">
        <f>INDEX('[1]End - Use Prices'!$C$6:$AL$89,MATCH($C189,'[1]End - Use Prices'!$A$6:$A$89,0)+MATCH($D189,'[1]End - Use Prices'!$B$9:$B$11,0)-1,MATCH(AG$1,'[1]End - Use Prices'!$C$7:$AL$7,0))</f>
        <v>37.01</v>
      </c>
      <c r="AH189" s="41">
        <f>INDEX('[1]End - Use Prices'!$C$6:$AL$89,MATCH($C189,'[1]End - Use Prices'!$A$6:$A$89,0)+MATCH($D189,'[1]End - Use Prices'!$B$9:$B$11,0)-1,MATCH(AH$1,'[1]End - Use Prices'!$C$7:$AL$7,0))</f>
        <v>29.89</v>
      </c>
      <c r="AI189" s="41">
        <f>INDEX('[1]End - Use Prices'!$C$6:$AL$89,MATCH($C189,'[1]End - Use Prices'!$A$6:$A$89,0)+MATCH($D189,'[1]End - Use Prices'!$B$9:$B$11,0)-1,MATCH(AI$1,'[1]End - Use Prices'!$C$7:$AL$7,0))</f>
        <v>25.86</v>
      </c>
      <c r="AJ189" s="41">
        <f>INDEX('[1]End - Use Prices'!$C$6:$AL$89,MATCH($C189,'[1]End - Use Prices'!$A$6:$A$89,0)+MATCH($D189,'[1]End - Use Prices'!$B$9:$B$11,0)-1,MATCH(AJ$1,'[1]End - Use Prices'!$C$7:$AL$7,0))</f>
        <v>27.9</v>
      </c>
      <c r="AK189" s="41">
        <f>INDEX('[1]End - Use Prices'!$C$6:$AL$89,MATCH($C189,'[1]End - Use Prices'!$A$6:$A$89,0)+MATCH($D189,'[1]End - Use Prices'!$B$9:$B$11,0)-1,MATCH(AK$1,'[1]End - Use Prices'!$C$7:$AL$7,0))</f>
        <v>31.56</v>
      </c>
      <c r="AL189" s="41">
        <f>INDEX('[1]End - Use Prices'!$C$6:$AL$89,MATCH($C189,'[1]End - Use Prices'!$A$6:$A$89,0)+MATCH($D189,'[1]End - Use Prices'!$B$9:$B$11,0)-1,MATCH(AL$1,'[1]End - Use Prices'!$C$7:$AL$7,0))</f>
        <v>33.29</v>
      </c>
      <c r="AM189" s="41">
        <f>INDEX('[1]End - Use Prices'!$C$6:$AL$89,MATCH($C189,'[1]End - Use Prices'!$A$6:$A$89,0)+MATCH($D189,'[1]End - Use Prices'!$B$9:$B$11,0)-1,MATCH(AM$1,'[1]End - Use Prices'!$C$7:$AL$7,0))</f>
        <v>37.340000000000003</v>
      </c>
      <c r="AN189" s="41">
        <f>INDEX('[1]End - Use Prices'!$C$6:$AL$89,MATCH($C189,'[1]End - Use Prices'!$A$6:$A$89,0)+MATCH($D189,'[1]End - Use Prices'!$B$9:$B$11,0)-1,MATCH(AN$1,'[1]End - Use Prices'!$C$7:$AL$7,0))</f>
        <v>34.270000000000003</v>
      </c>
      <c r="AO189" s="41">
        <f>INDEX('[1]End - Use Prices'!$C$6:$AL$89,MATCH($C189,'[1]End - Use Prices'!$A$6:$A$89,0)+MATCH($D189,'[1]End - Use Prices'!$B$9:$B$11,0)-1,MATCH(AO$1,'[1]End - Use Prices'!$C$7:$AL$7,0))</f>
        <v>32.229999999999997</v>
      </c>
      <c r="AP189" s="41">
        <f>INDEX('[1]End - Use Prices'!$C$6:$AL$89,MATCH($C189,'[1]End - Use Prices'!$A$6:$A$89,0)+MATCH($D189,'[1]End - Use Prices'!$B$9:$B$11,0)-1,MATCH(AP$1,'[1]End - Use Prices'!$C$7:$AL$7,0))</f>
        <v>32.729999999999997</v>
      </c>
      <c r="AQ189" s="41">
        <f>INDEX('[1]End - Use Prices'!$C$6:$AL$89,MATCH($C189,'[1]End - Use Prices'!$A$6:$A$89,0)+MATCH($D189,'[1]End - Use Prices'!$B$9:$B$11,0)-1,MATCH(AQ$1,'[1]End - Use Prices'!$C$7:$AL$7,0))</f>
        <v>32.54</v>
      </c>
      <c r="AR189" s="41">
        <f>INDEX('[1]End - Use Prices'!$C$6:$AL$89,MATCH($C189,'[1]End - Use Prices'!$A$6:$A$89,0)+MATCH($D189,'[1]End - Use Prices'!$B$9:$B$11,0)-1,MATCH(AR$1,'[1]End - Use Prices'!$C$7:$AL$7,0))</f>
        <v>32.57</v>
      </c>
      <c r="AS189" s="41">
        <f>INDEX('[1]End - Use Prices'!$C$6:$AL$89,MATCH($C189,'[1]End - Use Prices'!$A$6:$A$89,0)+MATCH($D189,'[1]End - Use Prices'!$B$9:$B$11,0)-1,MATCH(AS$1,'[1]End - Use Prices'!$C$7:$AL$7,0))</f>
        <v>32.56</v>
      </c>
      <c r="AT189" s="41">
        <f>INDEX('[1]End - Use Prices'!$C$6:$AL$89,MATCH($C189,'[1]End - Use Prices'!$A$6:$A$89,0)+MATCH($D189,'[1]End - Use Prices'!$B$9:$B$11,0)-1,MATCH(AT$1,'[1]End - Use Prices'!$C$7:$AL$7,0))</f>
        <v>32.44</v>
      </c>
      <c r="AU189" s="41">
        <f>INDEX('[1]End - Use Prices'!$C$6:$AL$89,MATCH($C189,'[1]End - Use Prices'!$A$6:$A$89,0)+MATCH($D189,'[1]End - Use Prices'!$B$9:$B$11,0)-1,MATCH(AU$1,'[1]End - Use Prices'!$C$7:$AL$7,0))</f>
        <v>32.29</v>
      </c>
      <c r="AV189" s="41">
        <f>INDEX('[1]End - Use Prices'!$C$6:$AL$89,MATCH($C189,'[1]End - Use Prices'!$A$6:$A$89,0)+MATCH($D189,'[1]End - Use Prices'!$B$9:$B$11,0)-1,MATCH(AV$1,'[1]End - Use Prices'!$C$7:$AL$7,0))</f>
        <v>32.17</v>
      </c>
      <c r="AW189" s="41">
        <f>INDEX('[1]End - Use Prices'!$C$6:$AL$89,MATCH($C189,'[1]End - Use Prices'!$A$6:$A$89,0)+MATCH($D189,'[1]End - Use Prices'!$B$9:$B$11,0)-1,MATCH(AW$1,'[1]End - Use Prices'!$C$7:$AL$7,0))</f>
        <v>32.04</v>
      </c>
      <c r="AX189" s="41">
        <f>INDEX('[1]End - Use Prices'!$C$6:$AL$89,MATCH($C189,'[1]End - Use Prices'!$A$6:$A$89,0)+MATCH($D189,'[1]End - Use Prices'!$B$9:$B$11,0)-1,MATCH(AX$1,'[1]End - Use Prices'!$C$7:$AL$7,0))</f>
        <v>31.98</v>
      </c>
      <c r="AY189" s="41">
        <f>INDEX('[1]End - Use Prices'!$C$6:$AL$89,MATCH($C189,'[1]End - Use Prices'!$A$6:$A$89,0)+MATCH($D189,'[1]End - Use Prices'!$B$9:$B$11,0)-1,MATCH(AY$1,'[1]End - Use Prices'!$C$7:$AL$7,0))</f>
        <v>31.96</v>
      </c>
      <c r="AZ189" s="41">
        <f>INDEX('[1]End - Use Prices'!$C$6:$AL$89,MATCH($C189,'[1]End - Use Prices'!$A$6:$A$89,0)+MATCH($D189,'[1]End - Use Prices'!$B$9:$B$11,0)-1,MATCH(AZ$1,'[1]End - Use Prices'!$C$7:$AL$7,0))</f>
        <v>31.97</v>
      </c>
      <c r="BA189" s="41">
        <f>INDEX('[1]End - Use Prices'!$C$6:$AL$89,MATCH($C189,'[1]End - Use Prices'!$A$6:$A$89,0)+MATCH($D189,'[1]End - Use Prices'!$B$9:$B$11,0)-1,MATCH(BA$1,'[1]End - Use Prices'!$C$7:$AL$7,0))</f>
        <v>32.01</v>
      </c>
      <c r="BB189" s="41">
        <f>INDEX('[1]End - Use Prices'!$C$6:$AL$89,MATCH($C189,'[1]End - Use Prices'!$A$6:$A$89,0)+MATCH($D189,'[1]End - Use Prices'!$B$9:$B$11,0)-1,MATCH(BB$1,'[1]End - Use Prices'!$C$7:$AL$7,0))</f>
        <v>32.03</v>
      </c>
      <c r="BC189" s="41">
        <f>INDEX('[1]End - Use Prices'!$C$6:$AL$89,MATCH($C189,'[1]End - Use Prices'!$A$6:$A$89,0)+MATCH($D189,'[1]End - Use Prices'!$B$9:$B$11,0)-1,MATCH(BC$1,'[1]End - Use Prices'!$C$7:$AL$7,0))</f>
        <v>32.03</v>
      </c>
      <c r="BD189" s="41">
        <f>INDEX('[1]End - Use Prices'!$C$6:$AL$89,MATCH($C189,'[1]End - Use Prices'!$A$6:$A$89,0)+MATCH($D189,'[1]End - Use Prices'!$B$9:$B$11,0)-1,MATCH(BD$1,'[1]End - Use Prices'!$C$7:$AL$7,0))</f>
        <v>32.020000000000003</v>
      </c>
      <c r="BE189" s="41">
        <f>INDEX('[1]End - Use Prices'!$C$6:$AL$89,MATCH($C189,'[1]End - Use Prices'!$A$6:$A$89,0)+MATCH($D189,'[1]End - Use Prices'!$B$9:$B$11,0)-1,MATCH(BE$1,'[1]End - Use Prices'!$C$7:$AL$7,0))</f>
        <v>31.97</v>
      </c>
      <c r="BF189" s="41">
        <f>INDEX('[1]End - Use Prices'!$C$6:$AL$89,MATCH($C189,'[1]End - Use Prices'!$A$6:$A$89,0)+MATCH($D189,'[1]End - Use Prices'!$B$9:$B$11,0)-1,MATCH(BF$1,'[1]End - Use Prices'!$C$7:$AL$7,0))</f>
        <v>31.93</v>
      </c>
      <c r="BG189" s="41">
        <f>INDEX('[1]End - Use Prices'!$C$6:$AL$89,MATCH($C189,'[1]End - Use Prices'!$A$6:$A$89,0)+MATCH($D189,'[1]End - Use Prices'!$B$9:$B$11,0)-1,MATCH(BG$1,'[1]End - Use Prices'!$C$7:$AL$7,0))</f>
        <v>31.87</v>
      </c>
      <c r="BR189" s="39"/>
      <c r="BS189" s="39"/>
      <c r="BT189" s="39"/>
      <c r="BU189" s="39"/>
      <c r="BV189" s="39"/>
      <c r="BW189" s="39"/>
      <c r="BX189" s="39"/>
      <c r="BY189" s="39"/>
      <c r="BZ189" s="39"/>
      <c r="CA189" s="39"/>
    </row>
    <row r="190" spans="1:79" x14ac:dyDescent="0.25">
      <c r="A190" s="5"/>
      <c r="B190" s="3"/>
      <c r="C190" s="25" t="s">
        <v>97</v>
      </c>
      <c r="D190" s="25" t="s">
        <v>311</v>
      </c>
      <c r="E190" s="25" t="s">
        <v>313</v>
      </c>
      <c r="F190" s="74" t="s">
        <v>310</v>
      </c>
      <c r="G190" s="54">
        <f t="shared" si="146"/>
        <v>26.74</v>
      </c>
      <c r="H190" s="34">
        <f t="shared" si="181"/>
        <v>26.74</v>
      </c>
      <c r="I190" s="34">
        <f t="shared" si="181"/>
        <v>28.81</v>
      </c>
      <c r="J190" s="34">
        <f t="shared" si="181"/>
        <v>28.29</v>
      </c>
      <c r="K190" s="34">
        <f t="shared" si="181"/>
        <v>36.4</v>
      </c>
      <c r="L190" s="34">
        <f t="shared" si="181"/>
        <v>31.63</v>
      </c>
      <c r="M190" s="34">
        <f t="shared" si="181"/>
        <v>31.1</v>
      </c>
      <c r="N190" s="34">
        <f t="shared" si="181"/>
        <v>31.09</v>
      </c>
      <c r="O190" s="34">
        <f t="shared" si="181"/>
        <v>30.93</v>
      </c>
      <c r="P190" s="54">
        <f t="shared" ref="P190:Q190" si="190">O190</f>
        <v>30.93</v>
      </c>
      <c r="Q190" s="54">
        <f t="shared" si="190"/>
        <v>30.93</v>
      </c>
      <c r="R190" s="38"/>
      <c r="X190" s="41">
        <f>INDEX('[1]End - Use Prices'!$C$6:$AL$89,MATCH($C190,'[1]End - Use Prices'!$A$6:$A$89,0)+MATCH($D190,'[1]End - Use Prices'!$B$9:$B$11,0)-1,MATCH(X$1,'[1]End - Use Prices'!$C$7:$AL$7,0))</f>
        <v>26.74</v>
      </c>
      <c r="Y190" s="41">
        <f>INDEX('[1]End - Use Prices'!$C$6:$AL$89,MATCH($C190,'[1]End - Use Prices'!$A$6:$A$89,0)+MATCH($D190,'[1]End - Use Prices'!$B$9:$B$11,0)-1,MATCH(Y$1,'[1]End - Use Prices'!$C$7:$AL$7,0))</f>
        <v>27.19</v>
      </c>
      <c r="Z190" s="41">
        <f>INDEX('[1]End - Use Prices'!$C$6:$AL$89,MATCH($C190,'[1]End - Use Prices'!$A$6:$A$89,0)+MATCH($D190,'[1]End - Use Prices'!$B$9:$B$11,0)-1,MATCH(Z$1,'[1]End - Use Prices'!$C$7:$AL$7,0))</f>
        <v>29.89</v>
      </c>
      <c r="AA190" s="41">
        <f>INDEX('[1]End - Use Prices'!$C$6:$AL$89,MATCH($C190,'[1]End - Use Prices'!$A$6:$A$89,0)+MATCH($D190,'[1]End - Use Prices'!$B$9:$B$11,0)-1,MATCH(AA$1,'[1]End - Use Prices'!$C$7:$AL$7,0))</f>
        <v>36.56</v>
      </c>
      <c r="AB190" s="41">
        <f>INDEX('[1]End - Use Prices'!$C$6:$AL$89,MATCH($C190,'[1]End - Use Prices'!$A$6:$A$89,0)+MATCH($D190,'[1]End - Use Prices'!$B$9:$B$11,0)-1,MATCH(AB$1,'[1]End - Use Prices'!$C$7:$AL$7,0))</f>
        <v>26.59</v>
      </c>
      <c r="AC190" s="41">
        <f>INDEX('[1]End - Use Prices'!$C$6:$AL$89,MATCH($C190,'[1]End - Use Prices'!$A$6:$A$89,0)+MATCH($D190,'[1]End - Use Prices'!$B$9:$B$11,0)-1,MATCH(AC$1,'[1]End - Use Prices'!$C$7:$AL$7,0))</f>
        <v>28.81</v>
      </c>
      <c r="AD190" s="41">
        <f>INDEX('[1]End - Use Prices'!$C$6:$AL$89,MATCH($C190,'[1]End - Use Prices'!$A$6:$A$89,0)+MATCH($D190,'[1]End - Use Prices'!$B$9:$B$11,0)-1,MATCH(AD$1,'[1]End - Use Prices'!$C$7:$AL$7,0))</f>
        <v>34.630000000000003</v>
      </c>
      <c r="AE190" s="41">
        <f>INDEX('[1]End - Use Prices'!$C$6:$AL$89,MATCH($C190,'[1]End - Use Prices'!$A$6:$A$89,0)+MATCH($D190,'[1]End - Use Prices'!$B$9:$B$11,0)-1,MATCH(AE$1,'[1]End - Use Prices'!$C$7:$AL$7,0))</f>
        <v>34.79</v>
      </c>
      <c r="AF190" s="41">
        <f>INDEX('[1]End - Use Prices'!$C$6:$AL$89,MATCH($C190,'[1]End - Use Prices'!$A$6:$A$89,0)+MATCH($D190,'[1]End - Use Prices'!$B$9:$B$11,0)-1,MATCH(AF$1,'[1]End - Use Prices'!$C$7:$AL$7,0))</f>
        <v>33.89</v>
      </c>
      <c r="AG190" s="41">
        <f>INDEX('[1]End - Use Prices'!$C$6:$AL$89,MATCH($C190,'[1]End - Use Prices'!$A$6:$A$89,0)+MATCH($D190,'[1]End - Use Prices'!$B$9:$B$11,0)-1,MATCH(AG$1,'[1]End - Use Prices'!$C$7:$AL$7,0))</f>
        <v>36.409999999999997</v>
      </c>
      <c r="AH190" s="41">
        <f>INDEX('[1]End - Use Prices'!$C$6:$AL$89,MATCH($C190,'[1]End - Use Prices'!$A$6:$A$89,0)+MATCH($D190,'[1]End - Use Prices'!$B$9:$B$11,0)-1,MATCH(AH$1,'[1]End - Use Prices'!$C$7:$AL$7,0))</f>
        <v>28.29</v>
      </c>
      <c r="AI190" s="41">
        <f>INDEX('[1]End - Use Prices'!$C$6:$AL$89,MATCH($C190,'[1]End - Use Prices'!$A$6:$A$89,0)+MATCH($D190,'[1]End - Use Prices'!$B$9:$B$11,0)-1,MATCH(AI$1,'[1]End - Use Prices'!$C$7:$AL$7,0))</f>
        <v>24.92</v>
      </c>
      <c r="AJ190" s="41">
        <f>INDEX('[1]End - Use Prices'!$C$6:$AL$89,MATCH($C190,'[1]End - Use Prices'!$A$6:$A$89,0)+MATCH($D190,'[1]End - Use Prices'!$B$9:$B$11,0)-1,MATCH(AJ$1,'[1]End - Use Prices'!$C$7:$AL$7,0))</f>
        <v>27.54</v>
      </c>
      <c r="AK190" s="41">
        <f>INDEX('[1]End - Use Prices'!$C$6:$AL$89,MATCH($C190,'[1]End - Use Prices'!$A$6:$A$89,0)+MATCH($D190,'[1]End - Use Prices'!$B$9:$B$11,0)-1,MATCH(AK$1,'[1]End - Use Prices'!$C$7:$AL$7,0))</f>
        <v>30.62</v>
      </c>
      <c r="AL190" s="41">
        <f>INDEX('[1]End - Use Prices'!$C$6:$AL$89,MATCH($C190,'[1]End - Use Prices'!$A$6:$A$89,0)+MATCH($D190,'[1]End - Use Prices'!$B$9:$B$11,0)-1,MATCH(AL$1,'[1]End - Use Prices'!$C$7:$AL$7,0))</f>
        <v>32.35</v>
      </c>
      <c r="AM190" s="41">
        <f>INDEX('[1]End - Use Prices'!$C$6:$AL$89,MATCH($C190,'[1]End - Use Prices'!$A$6:$A$89,0)+MATCH($D190,'[1]End - Use Prices'!$B$9:$B$11,0)-1,MATCH(AM$1,'[1]End - Use Prices'!$C$7:$AL$7,0))</f>
        <v>36.4</v>
      </c>
      <c r="AN190" s="41">
        <f>INDEX('[1]End - Use Prices'!$C$6:$AL$89,MATCH($C190,'[1]End - Use Prices'!$A$6:$A$89,0)+MATCH($D190,'[1]End - Use Prices'!$B$9:$B$11,0)-1,MATCH(AN$1,'[1]End - Use Prices'!$C$7:$AL$7,0))</f>
        <v>33.33</v>
      </c>
      <c r="AO190" s="41">
        <f>INDEX('[1]End - Use Prices'!$C$6:$AL$89,MATCH($C190,'[1]End - Use Prices'!$A$6:$A$89,0)+MATCH($D190,'[1]End - Use Prices'!$B$9:$B$11,0)-1,MATCH(AO$1,'[1]End - Use Prices'!$C$7:$AL$7,0))</f>
        <v>31.29</v>
      </c>
      <c r="AP190" s="41">
        <f>INDEX('[1]End - Use Prices'!$C$6:$AL$89,MATCH($C190,'[1]End - Use Prices'!$A$6:$A$89,0)+MATCH($D190,'[1]End - Use Prices'!$B$9:$B$11,0)-1,MATCH(AP$1,'[1]End - Use Prices'!$C$7:$AL$7,0))</f>
        <v>31.79</v>
      </c>
      <c r="AQ190" s="41">
        <f>INDEX('[1]End - Use Prices'!$C$6:$AL$89,MATCH($C190,'[1]End - Use Prices'!$A$6:$A$89,0)+MATCH($D190,'[1]End - Use Prices'!$B$9:$B$11,0)-1,MATCH(AQ$1,'[1]End - Use Prices'!$C$7:$AL$7,0))</f>
        <v>31.61</v>
      </c>
      <c r="AR190" s="41">
        <f>INDEX('[1]End - Use Prices'!$C$6:$AL$89,MATCH($C190,'[1]End - Use Prices'!$A$6:$A$89,0)+MATCH($D190,'[1]End - Use Prices'!$B$9:$B$11,0)-1,MATCH(AR$1,'[1]End - Use Prices'!$C$7:$AL$7,0))</f>
        <v>31.63</v>
      </c>
      <c r="AS190" s="41">
        <f>INDEX('[1]End - Use Prices'!$C$6:$AL$89,MATCH($C190,'[1]End - Use Prices'!$A$6:$A$89,0)+MATCH($D190,'[1]End - Use Prices'!$B$9:$B$11,0)-1,MATCH(AS$1,'[1]End - Use Prices'!$C$7:$AL$7,0))</f>
        <v>31.62</v>
      </c>
      <c r="AT190" s="41">
        <f>INDEX('[1]End - Use Prices'!$C$6:$AL$89,MATCH($C190,'[1]End - Use Prices'!$A$6:$A$89,0)+MATCH($D190,'[1]End - Use Prices'!$B$9:$B$11,0)-1,MATCH(AT$1,'[1]End - Use Prices'!$C$7:$AL$7,0))</f>
        <v>31.5</v>
      </c>
      <c r="AU190" s="41">
        <f>INDEX('[1]End - Use Prices'!$C$6:$AL$89,MATCH($C190,'[1]End - Use Prices'!$A$6:$A$89,0)+MATCH($D190,'[1]End - Use Prices'!$B$9:$B$11,0)-1,MATCH(AU$1,'[1]End - Use Prices'!$C$7:$AL$7,0))</f>
        <v>31.35</v>
      </c>
      <c r="AV190" s="41">
        <f>INDEX('[1]End - Use Prices'!$C$6:$AL$89,MATCH($C190,'[1]End - Use Prices'!$A$6:$A$89,0)+MATCH($D190,'[1]End - Use Prices'!$B$9:$B$11,0)-1,MATCH(AV$1,'[1]End - Use Prices'!$C$7:$AL$7,0))</f>
        <v>31.23</v>
      </c>
      <c r="AW190" s="41">
        <f>INDEX('[1]End - Use Prices'!$C$6:$AL$89,MATCH($C190,'[1]End - Use Prices'!$A$6:$A$89,0)+MATCH($D190,'[1]End - Use Prices'!$B$9:$B$11,0)-1,MATCH(AW$1,'[1]End - Use Prices'!$C$7:$AL$7,0))</f>
        <v>31.1</v>
      </c>
      <c r="AX190" s="41">
        <f>INDEX('[1]End - Use Prices'!$C$6:$AL$89,MATCH($C190,'[1]End - Use Prices'!$A$6:$A$89,0)+MATCH($D190,'[1]End - Use Prices'!$B$9:$B$11,0)-1,MATCH(AX$1,'[1]End - Use Prices'!$C$7:$AL$7,0))</f>
        <v>31.05</v>
      </c>
      <c r="AY190" s="41">
        <f>INDEX('[1]End - Use Prices'!$C$6:$AL$89,MATCH($C190,'[1]End - Use Prices'!$A$6:$A$89,0)+MATCH($D190,'[1]End - Use Prices'!$B$9:$B$11,0)-1,MATCH(AY$1,'[1]End - Use Prices'!$C$7:$AL$7,0))</f>
        <v>31.02</v>
      </c>
      <c r="AZ190" s="41">
        <f>INDEX('[1]End - Use Prices'!$C$6:$AL$89,MATCH($C190,'[1]End - Use Prices'!$A$6:$A$89,0)+MATCH($D190,'[1]End - Use Prices'!$B$9:$B$11,0)-1,MATCH(AZ$1,'[1]End - Use Prices'!$C$7:$AL$7,0))</f>
        <v>31.03</v>
      </c>
      <c r="BA190" s="41">
        <f>INDEX('[1]End - Use Prices'!$C$6:$AL$89,MATCH($C190,'[1]End - Use Prices'!$A$6:$A$89,0)+MATCH($D190,'[1]End - Use Prices'!$B$9:$B$11,0)-1,MATCH(BA$1,'[1]End - Use Prices'!$C$7:$AL$7,0))</f>
        <v>31.07</v>
      </c>
      <c r="BB190" s="41">
        <f>INDEX('[1]End - Use Prices'!$C$6:$AL$89,MATCH($C190,'[1]End - Use Prices'!$A$6:$A$89,0)+MATCH($D190,'[1]End - Use Prices'!$B$9:$B$11,0)-1,MATCH(BB$1,'[1]End - Use Prices'!$C$7:$AL$7,0))</f>
        <v>31.09</v>
      </c>
      <c r="BC190" s="41">
        <f>INDEX('[1]End - Use Prices'!$C$6:$AL$89,MATCH($C190,'[1]End - Use Prices'!$A$6:$A$89,0)+MATCH($D190,'[1]End - Use Prices'!$B$9:$B$11,0)-1,MATCH(BC$1,'[1]End - Use Prices'!$C$7:$AL$7,0))</f>
        <v>31.09</v>
      </c>
      <c r="BD190" s="41">
        <f>INDEX('[1]End - Use Prices'!$C$6:$AL$89,MATCH($C190,'[1]End - Use Prices'!$A$6:$A$89,0)+MATCH($D190,'[1]End - Use Prices'!$B$9:$B$11,0)-1,MATCH(BD$1,'[1]End - Use Prices'!$C$7:$AL$7,0))</f>
        <v>31.08</v>
      </c>
      <c r="BE190" s="41">
        <f>INDEX('[1]End - Use Prices'!$C$6:$AL$89,MATCH($C190,'[1]End - Use Prices'!$A$6:$A$89,0)+MATCH($D190,'[1]End - Use Prices'!$B$9:$B$11,0)-1,MATCH(BE$1,'[1]End - Use Prices'!$C$7:$AL$7,0))</f>
        <v>31.03</v>
      </c>
      <c r="BF190" s="41">
        <f>INDEX('[1]End - Use Prices'!$C$6:$AL$89,MATCH($C190,'[1]End - Use Prices'!$A$6:$A$89,0)+MATCH($D190,'[1]End - Use Prices'!$B$9:$B$11,0)-1,MATCH(BF$1,'[1]End - Use Prices'!$C$7:$AL$7,0))</f>
        <v>30.99</v>
      </c>
      <c r="BG190" s="41">
        <f>INDEX('[1]End - Use Prices'!$C$6:$AL$89,MATCH($C190,'[1]End - Use Prices'!$A$6:$A$89,0)+MATCH($D190,'[1]End - Use Prices'!$B$9:$B$11,0)-1,MATCH(BG$1,'[1]End - Use Prices'!$C$7:$AL$7,0))</f>
        <v>30.93</v>
      </c>
      <c r="BR190" s="39"/>
      <c r="BS190" s="39"/>
      <c r="BT190" s="39"/>
      <c r="BU190" s="39"/>
      <c r="BV190" s="39"/>
      <c r="BW190" s="39"/>
      <c r="BX190" s="39"/>
      <c r="BY190" s="39"/>
      <c r="BZ190" s="39"/>
      <c r="CA190" s="39"/>
    </row>
    <row r="191" spans="1:79" x14ac:dyDescent="0.25">
      <c r="A191" s="5"/>
      <c r="B191" s="3"/>
      <c r="C191" s="25" t="s">
        <v>96</v>
      </c>
      <c r="D191" s="25" t="s">
        <v>311</v>
      </c>
      <c r="E191" s="25" t="s">
        <v>313</v>
      </c>
      <c r="F191" s="74" t="s">
        <v>310</v>
      </c>
      <c r="G191" s="54">
        <f t="shared" si="146"/>
        <v>26.74</v>
      </c>
      <c r="H191" s="34">
        <f t="shared" si="181"/>
        <v>26.74</v>
      </c>
      <c r="I191" s="34">
        <f t="shared" si="181"/>
        <v>28.81</v>
      </c>
      <c r="J191" s="34">
        <f t="shared" si="181"/>
        <v>28.29</v>
      </c>
      <c r="K191" s="34">
        <f t="shared" si="181"/>
        <v>36.33</v>
      </c>
      <c r="L191" s="34">
        <f t="shared" si="181"/>
        <v>31.48</v>
      </c>
      <c r="M191" s="34">
        <f t="shared" si="181"/>
        <v>30.97</v>
      </c>
      <c r="N191" s="34">
        <f t="shared" si="181"/>
        <v>30.96</v>
      </c>
      <c r="O191" s="34">
        <f t="shared" si="181"/>
        <v>30.82</v>
      </c>
      <c r="P191" s="54">
        <f t="shared" ref="P191:Q191" si="191">O191</f>
        <v>30.82</v>
      </c>
      <c r="Q191" s="54">
        <f t="shared" si="191"/>
        <v>30.82</v>
      </c>
      <c r="R191" s="38"/>
      <c r="X191" s="41">
        <f>INDEX('[1]End - Use Prices'!$C$6:$AL$89,MATCH($C191,'[1]End - Use Prices'!$A$6:$A$89,0)+MATCH($D191,'[1]End - Use Prices'!$B$9:$B$11,0)-1,MATCH(X$1,'[1]End - Use Prices'!$C$7:$AL$7,0))</f>
        <v>26.74</v>
      </c>
      <c r="Y191" s="41">
        <f>INDEX('[1]End - Use Prices'!$C$6:$AL$89,MATCH($C191,'[1]End - Use Prices'!$A$6:$A$89,0)+MATCH($D191,'[1]End - Use Prices'!$B$9:$B$11,0)-1,MATCH(Y$1,'[1]End - Use Prices'!$C$7:$AL$7,0))</f>
        <v>27.19</v>
      </c>
      <c r="Z191" s="41">
        <f>INDEX('[1]End - Use Prices'!$C$6:$AL$89,MATCH($C191,'[1]End - Use Prices'!$A$6:$A$89,0)+MATCH($D191,'[1]End - Use Prices'!$B$9:$B$11,0)-1,MATCH(Z$1,'[1]End - Use Prices'!$C$7:$AL$7,0))</f>
        <v>29.89</v>
      </c>
      <c r="AA191" s="41">
        <f>INDEX('[1]End - Use Prices'!$C$6:$AL$89,MATCH($C191,'[1]End - Use Prices'!$A$6:$A$89,0)+MATCH($D191,'[1]End - Use Prices'!$B$9:$B$11,0)-1,MATCH(AA$1,'[1]End - Use Prices'!$C$7:$AL$7,0))</f>
        <v>36.56</v>
      </c>
      <c r="AB191" s="41">
        <f>INDEX('[1]End - Use Prices'!$C$6:$AL$89,MATCH($C191,'[1]End - Use Prices'!$A$6:$A$89,0)+MATCH($D191,'[1]End - Use Prices'!$B$9:$B$11,0)-1,MATCH(AB$1,'[1]End - Use Prices'!$C$7:$AL$7,0))</f>
        <v>26.59</v>
      </c>
      <c r="AC191" s="41">
        <f>INDEX('[1]End - Use Prices'!$C$6:$AL$89,MATCH($C191,'[1]End - Use Prices'!$A$6:$A$89,0)+MATCH($D191,'[1]End - Use Prices'!$B$9:$B$11,0)-1,MATCH(AC$1,'[1]End - Use Prices'!$C$7:$AL$7,0))</f>
        <v>28.81</v>
      </c>
      <c r="AD191" s="41">
        <f>INDEX('[1]End - Use Prices'!$C$6:$AL$89,MATCH($C191,'[1]End - Use Prices'!$A$6:$A$89,0)+MATCH($D191,'[1]End - Use Prices'!$B$9:$B$11,0)-1,MATCH(AD$1,'[1]End - Use Prices'!$C$7:$AL$7,0))</f>
        <v>34.630000000000003</v>
      </c>
      <c r="AE191" s="41">
        <f>INDEX('[1]End - Use Prices'!$C$6:$AL$89,MATCH($C191,'[1]End - Use Prices'!$A$6:$A$89,0)+MATCH($D191,'[1]End - Use Prices'!$B$9:$B$11,0)-1,MATCH(AE$1,'[1]End - Use Prices'!$C$7:$AL$7,0))</f>
        <v>34.79</v>
      </c>
      <c r="AF191" s="41">
        <f>INDEX('[1]End - Use Prices'!$C$6:$AL$89,MATCH($C191,'[1]End - Use Prices'!$A$6:$A$89,0)+MATCH($D191,'[1]End - Use Prices'!$B$9:$B$11,0)-1,MATCH(AF$1,'[1]End - Use Prices'!$C$7:$AL$7,0))</f>
        <v>33.89</v>
      </c>
      <c r="AG191" s="41">
        <f>INDEX('[1]End - Use Prices'!$C$6:$AL$89,MATCH($C191,'[1]End - Use Prices'!$A$6:$A$89,0)+MATCH($D191,'[1]End - Use Prices'!$B$9:$B$11,0)-1,MATCH(AG$1,'[1]End - Use Prices'!$C$7:$AL$7,0))</f>
        <v>36.409999999999997</v>
      </c>
      <c r="AH191" s="41">
        <f>INDEX('[1]End - Use Prices'!$C$6:$AL$89,MATCH($C191,'[1]End - Use Prices'!$A$6:$A$89,0)+MATCH($D191,'[1]End - Use Prices'!$B$9:$B$11,0)-1,MATCH(AH$1,'[1]End - Use Prices'!$C$7:$AL$7,0))</f>
        <v>28.29</v>
      </c>
      <c r="AI191" s="41">
        <f>INDEX('[1]End - Use Prices'!$C$6:$AL$89,MATCH($C191,'[1]End - Use Prices'!$A$6:$A$89,0)+MATCH($D191,'[1]End - Use Prices'!$B$9:$B$11,0)-1,MATCH(AI$1,'[1]End - Use Prices'!$C$7:$AL$7,0))</f>
        <v>24.92</v>
      </c>
      <c r="AJ191" s="41">
        <f>INDEX('[1]End - Use Prices'!$C$6:$AL$89,MATCH($C191,'[1]End - Use Prices'!$A$6:$A$89,0)+MATCH($D191,'[1]End - Use Prices'!$B$9:$B$11,0)-1,MATCH(AJ$1,'[1]End - Use Prices'!$C$7:$AL$7,0))</f>
        <v>27.54</v>
      </c>
      <c r="AK191" s="41">
        <f>INDEX('[1]End - Use Prices'!$C$6:$AL$89,MATCH($C191,'[1]End - Use Prices'!$A$6:$A$89,0)+MATCH($D191,'[1]End - Use Prices'!$B$9:$B$11,0)-1,MATCH(AK$1,'[1]End - Use Prices'!$C$7:$AL$7,0))</f>
        <v>30.62</v>
      </c>
      <c r="AL191" s="41">
        <f>INDEX('[1]End - Use Prices'!$C$6:$AL$89,MATCH($C191,'[1]End - Use Prices'!$A$6:$A$89,0)+MATCH($D191,'[1]End - Use Prices'!$B$9:$B$11,0)-1,MATCH(AL$1,'[1]End - Use Prices'!$C$7:$AL$7,0))</f>
        <v>32.35</v>
      </c>
      <c r="AM191" s="41">
        <f>INDEX('[1]End - Use Prices'!$C$6:$AL$89,MATCH($C191,'[1]End - Use Prices'!$A$6:$A$89,0)+MATCH($D191,'[1]End - Use Prices'!$B$9:$B$11,0)-1,MATCH(AM$1,'[1]End - Use Prices'!$C$7:$AL$7,0))</f>
        <v>36.33</v>
      </c>
      <c r="AN191" s="41">
        <f>INDEX('[1]End - Use Prices'!$C$6:$AL$89,MATCH($C191,'[1]End - Use Prices'!$A$6:$A$89,0)+MATCH($D191,'[1]End - Use Prices'!$B$9:$B$11,0)-1,MATCH(AN$1,'[1]End - Use Prices'!$C$7:$AL$7,0))</f>
        <v>33.229999999999997</v>
      </c>
      <c r="AO191" s="41">
        <f>INDEX('[1]End - Use Prices'!$C$6:$AL$89,MATCH($C191,'[1]End - Use Prices'!$A$6:$A$89,0)+MATCH($D191,'[1]End - Use Prices'!$B$9:$B$11,0)-1,MATCH(AO$1,'[1]End - Use Prices'!$C$7:$AL$7,0))</f>
        <v>31.15</v>
      </c>
      <c r="AP191" s="41">
        <f>INDEX('[1]End - Use Prices'!$C$6:$AL$89,MATCH($C191,'[1]End - Use Prices'!$A$6:$A$89,0)+MATCH($D191,'[1]End - Use Prices'!$B$9:$B$11,0)-1,MATCH(AP$1,'[1]End - Use Prices'!$C$7:$AL$7,0))</f>
        <v>31.62</v>
      </c>
      <c r="AQ191" s="41">
        <f>INDEX('[1]End - Use Prices'!$C$6:$AL$89,MATCH($C191,'[1]End - Use Prices'!$A$6:$A$89,0)+MATCH($D191,'[1]End - Use Prices'!$B$9:$B$11,0)-1,MATCH(AQ$1,'[1]End - Use Prices'!$C$7:$AL$7,0))</f>
        <v>31.44</v>
      </c>
      <c r="AR191" s="41">
        <f>INDEX('[1]End - Use Prices'!$C$6:$AL$89,MATCH($C191,'[1]End - Use Prices'!$A$6:$A$89,0)+MATCH($D191,'[1]End - Use Prices'!$B$9:$B$11,0)-1,MATCH(AR$1,'[1]End - Use Prices'!$C$7:$AL$7,0))</f>
        <v>31.48</v>
      </c>
      <c r="AS191" s="41">
        <f>INDEX('[1]End - Use Prices'!$C$6:$AL$89,MATCH($C191,'[1]End - Use Prices'!$A$6:$A$89,0)+MATCH($D191,'[1]End - Use Prices'!$B$9:$B$11,0)-1,MATCH(AS$1,'[1]End - Use Prices'!$C$7:$AL$7,0))</f>
        <v>31.46</v>
      </c>
      <c r="AT191" s="41">
        <f>INDEX('[1]End - Use Prices'!$C$6:$AL$89,MATCH($C191,'[1]End - Use Prices'!$A$6:$A$89,0)+MATCH($D191,'[1]End - Use Prices'!$B$9:$B$11,0)-1,MATCH(AT$1,'[1]End - Use Prices'!$C$7:$AL$7,0))</f>
        <v>31.36</v>
      </c>
      <c r="AU191" s="41">
        <f>INDEX('[1]End - Use Prices'!$C$6:$AL$89,MATCH($C191,'[1]End - Use Prices'!$A$6:$A$89,0)+MATCH($D191,'[1]End - Use Prices'!$B$9:$B$11,0)-1,MATCH(AU$1,'[1]End - Use Prices'!$C$7:$AL$7,0))</f>
        <v>31.2</v>
      </c>
      <c r="AV191" s="41">
        <f>INDEX('[1]End - Use Prices'!$C$6:$AL$89,MATCH($C191,'[1]End - Use Prices'!$A$6:$A$89,0)+MATCH($D191,'[1]End - Use Prices'!$B$9:$B$11,0)-1,MATCH(AV$1,'[1]End - Use Prices'!$C$7:$AL$7,0))</f>
        <v>31.09</v>
      </c>
      <c r="AW191" s="41">
        <f>INDEX('[1]End - Use Prices'!$C$6:$AL$89,MATCH($C191,'[1]End - Use Prices'!$A$6:$A$89,0)+MATCH($D191,'[1]End - Use Prices'!$B$9:$B$11,0)-1,MATCH(AW$1,'[1]End - Use Prices'!$C$7:$AL$7,0))</f>
        <v>30.97</v>
      </c>
      <c r="AX191" s="41">
        <f>INDEX('[1]End - Use Prices'!$C$6:$AL$89,MATCH($C191,'[1]End - Use Prices'!$A$6:$A$89,0)+MATCH($D191,'[1]End - Use Prices'!$B$9:$B$11,0)-1,MATCH(AX$1,'[1]End - Use Prices'!$C$7:$AL$7,0))</f>
        <v>30.91</v>
      </c>
      <c r="AY191" s="41">
        <f>INDEX('[1]End - Use Prices'!$C$6:$AL$89,MATCH($C191,'[1]End - Use Prices'!$A$6:$A$89,0)+MATCH($D191,'[1]End - Use Prices'!$B$9:$B$11,0)-1,MATCH(AY$1,'[1]End - Use Prices'!$C$7:$AL$7,0))</f>
        <v>30.89</v>
      </c>
      <c r="AZ191" s="41">
        <f>INDEX('[1]End - Use Prices'!$C$6:$AL$89,MATCH($C191,'[1]End - Use Prices'!$A$6:$A$89,0)+MATCH($D191,'[1]End - Use Prices'!$B$9:$B$11,0)-1,MATCH(AZ$1,'[1]End - Use Prices'!$C$7:$AL$7,0))</f>
        <v>30.9</v>
      </c>
      <c r="BA191" s="41">
        <f>INDEX('[1]End - Use Prices'!$C$6:$AL$89,MATCH($C191,'[1]End - Use Prices'!$A$6:$A$89,0)+MATCH($D191,'[1]End - Use Prices'!$B$9:$B$11,0)-1,MATCH(BA$1,'[1]End - Use Prices'!$C$7:$AL$7,0))</f>
        <v>30.94</v>
      </c>
      <c r="BB191" s="41">
        <f>INDEX('[1]End - Use Prices'!$C$6:$AL$89,MATCH($C191,'[1]End - Use Prices'!$A$6:$A$89,0)+MATCH($D191,'[1]End - Use Prices'!$B$9:$B$11,0)-1,MATCH(BB$1,'[1]End - Use Prices'!$C$7:$AL$7,0))</f>
        <v>30.96</v>
      </c>
      <c r="BC191" s="41">
        <f>INDEX('[1]End - Use Prices'!$C$6:$AL$89,MATCH($C191,'[1]End - Use Prices'!$A$6:$A$89,0)+MATCH($D191,'[1]End - Use Prices'!$B$9:$B$11,0)-1,MATCH(BC$1,'[1]End - Use Prices'!$C$7:$AL$7,0))</f>
        <v>30.97</v>
      </c>
      <c r="BD191" s="41">
        <f>INDEX('[1]End - Use Prices'!$C$6:$AL$89,MATCH($C191,'[1]End - Use Prices'!$A$6:$A$89,0)+MATCH($D191,'[1]End - Use Prices'!$B$9:$B$11,0)-1,MATCH(BD$1,'[1]End - Use Prices'!$C$7:$AL$7,0))</f>
        <v>30.96</v>
      </c>
      <c r="BE191" s="41">
        <f>INDEX('[1]End - Use Prices'!$C$6:$AL$89,MATCH($C191,'[1]End - Use Prices'!$A$6:$A$89,0)+MATCH($D191,'[1]End - Use Prices'!$B$9:$B$11,0)-1,MATCH(BE$1,'[1]End - Use Prices'!$C$7:$AL$7,0))</f>
        <v>30.91</v>
      </c>
      <c r="BF191" s="41">
        <f>INDEX('[1]End - Use Prices'!$C$6:$AL$89,MATCH($C191,'[1]End - Use Prices'!$A$6:$A$89,0)+MATCH($D191,'[1]End - Use Prices'!$B$9:$B$11,0)-1,MATCH(BF$1,'[1]End - Use Prices'!$C$7:$AL$7,0))</f>
        <v>30.87</v>
      </c>
      <c r="BG191" s="41">
        <f>INDEX('[1]End - Use Prices'!$C$6:$AL$89,MATCH($C191,'[1]End - Use Prices'!$A$6:$A$89,0)+MATCH($D191,'[1]End - Use Prices'!$B$9:$B$11,0)-1,MATCH(BG$1,'[1]End - Use Prices'!$C$7:$AL$7,0))</f>
        <v>30.82</v>
      </c>
      <c r="BR191" s="39"/>
      <c r="BS191" s="39"/>
      <c r="BT191" s="39"/>
      <c r="BU191" s="39"/>
      <c r="BV191" s="39"/>
      <c r="BW191" s="39"/>
      <c r="BX191" s="39"/>
      <c r="BY191" s="39"/>
      <c r="BZ191" s="39"/>
      <c r="CA191" s="39"/>
    </row>
    <row r="192" spans="1:79" s="39" customFormat="1" x14ac:dyDescent="0.25">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x14ac:dyDescent="0.25">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x14ac:dyDescent="0.25">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x14ac:dyDescent="0.25">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x14ac:dyDescent="0.25">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x14ac:dyDescent="0.25">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x14ac:dyDescent="0.25">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x14ac:dyDescent="0.25">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x14ac:dyDescent="0.25">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x14ac:dyDescent="0.25">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x14ac:dyDescent="0.25">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x14ac:dyDescent="0.25">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x14ac:dyDescent="0.25">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x14ac:dyDescent="0.25">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x14ac:dyDescent="0.25">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x14ac:dyDescent="0.25">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x14ac:dyDescent="0.25">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x14ac:dyDescent="0.25">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x14ac:dyDescent="0.25">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x14ac:dyDescent="0.25">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x14ac:dyDescent="0.25">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x14ac:dyDescent="0.25">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x14ac:dyDescent="0.25">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x14ac:dyDescent="0.25">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x14ac:dyDescent="0.25">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x14ac:dyDescent="0.25">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x14ac:dyDescent="0.25">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x14ac:dyDescent="0.25">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x14ac:dyDescent="0.25">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x14ac:dyDescent="0.25">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x14ac:dyDescent="0.25">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x14ac:dyDescent="0.25">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x14ac:dyDescent="0.25">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x14ac:dyDescent="0.25">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x14ac:dyDescent="0.25">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x14ac:dyDescent="0.25">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x14ac:dyDescent="0.25">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x14ac:dyDescent="0.25">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x14ac:dyDescent="0.25">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x14ac:dyDescent="0.25">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x14ac:dyDescent="0.25">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x14ac:dyDescent="0.25">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x14ac:dyDescent="0.25">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x14ac:dyDescent="0.25">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x14ac:dyDescent="0.25">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x14ac:dyDescent="0.25">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x14ac:dyDescent="0.25">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x14ac:dyDescent="0.25">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x14ac:dyDescent="0.25">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x14ac:dyDescent="0.25">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x14ac:dyDescent="0.25">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x14ac:dyDescent="0.25">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x14ac:dyDescent="0.25">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x14ac:dyDescent="0.25">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x14ac:dyDescent="0.25">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x14ac:dyDescent="0.25">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x14ac:dyDescent="0.25">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x14ac:dyDescent="0.25">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x14ac:dyDescent="0.25">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x14ac:dyDescent="0.25">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x14ac:dyDescent="0.25">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x14ac:dyDescent="0.25">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x14ac:dyDescent="0.25">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x14ac:dyDescent="0.25">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x14ac:dyDescent="0.25">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x14ac:dyDescent="0.25">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x14ac:dyDescent="0.25">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x14ac:dyDescent="0.25">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x14ac:dyDescent="0.25">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x14ac:dyDescent="0.25">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x14ac:dyDescent="0.25">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x14ac:dyDescent="0.25">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x14ac:dyDescent="0.25">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x14ac:dyDescent="0.25">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x14ac:dyDescent="0.25">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x14ac:dyDescent="0.25">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x14ac:dyDescent="0.25">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x14ac:dyDescent="0.25">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x14ac:dyDescent="0.25">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x14ac:dyDescent="0.25">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x14ac:dyDescent="0.25">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x14ac:dyDescent="0.25">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x14ac:dyDescent="0.25">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x14ac:dyDescent="0.25">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x14ac:dyDescent="0.25">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x14ac:dyDescent="0.25">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x14ac:dyDescent="0.25">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x14ac:dyDescent="0.25">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x14ac:dyDescent="0.25">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x14ac:dyDescent="0.25">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x14ac:dyDescent="0.25">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x14ac:dyDescent="0.25">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x14ac:dyDescent="0.25">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x14ac:dyDescent="0.25">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x14ac:dyDescent="0.25">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x14ac:dyDescent="0.25">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x14ac:dyDescent="0.25">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x14ac:dyDescent="0.25">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x14ac:dyDescent="0.25">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x14ac:dyDescent="0.25">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x14ac:dyDescent="0.25">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x14ac:dyDescent="0.25">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x14ac:dyDescent="0.25">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x14ac:dyDescent="0.25">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x14ac:dyDescent="0.25">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x14ac:dyDescent="0.25">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x14ac:dyDescent="0.25">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x14ac:dyDescent="0.25">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x14ac:dyDescent="0.25">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x14ac:dyDescent="0.25">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x14ac:dyDescent="0.25">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x14ac:dyDescent="0.25">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x14ac:dyDescent="0.25">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x14ac:dyDescent="0.25">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x14ac:dyDescent="0.25">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x14ac:dyDescent="0.25">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x14ac:dyDescent="0.25">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x14ac:dyDescent="0.25">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x14ac:dyDescent="0.25">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x14ac:dyDescent="0.25">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x14ac:dyDescent="0.25">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x14ac:dyDescent="0.25">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x14ac:dyDescent="0.25">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x14ac:dyDescent="0.25">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x14ac:dyDescent="0.25">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x14ac:dyDescent="0.25">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x14ac:dyDescent="0.25">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x14ac:dyDescent="0.25">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x14ac:dyDescent="0.25">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x14ac:dyDescent="0.25">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x14ac:dyDescent="0.25">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x14ac:dyDescent="0.25">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x14ac:dyDescent="0.25">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x14ac:dyDescent="0.25">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x14ac:dyDescent="0.25">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x14ac:dyDescent="0.25">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x14ac:dyDescent="0.25">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x14ac:dyDescent="0.25">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x14ac:dyDescent="0.25">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x14ac:dyDescent="0.25">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x14ac:dyDescent="0.25">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x14ac:dyDescent="0.25">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x14ac:dyDescent="0.25">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x14ac:dyDescent="0.25">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x14ac:dyDescent="0.25">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x14ac:dyDescent="0.25">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x14ac:dyDescent="0.25">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x14ac:dyDescent="0.25">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x14ac:dyDescent="0.25">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x14ac:dyDescent="0.25">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x14ac:dyDescent="0.25">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x14ac:dyDescent="0.25">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x14ac:dyDescent="0.25">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x14ac:dyDescent="0.25">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x14ac:dyDescent="0.25">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x14ac:dyDescent="0.25">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x14ac:dyDescent="0.25">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x14ac:dyDescent="0.25">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x14ac:dyDescent="0.25">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x14ac:dyDescent="0.25">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x14ac:dyDescent="0.25">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x14ac:dyDescent="0.25">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x14ac:dyDescent="0.25">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x14ac:dyDescent="0.25">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x14ac:dyDescent="0.25">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x14ac:dyDescent="0.25">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x14ac:dyDescent="0.25">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x14ac:dyDescent="0.25">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x14ac:dyDescent="0.25">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x14ac:dyDescent="0.25">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x14ac:dyDescent="0.25">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x14ac:dyDescent="0.25">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x14ac:dyDescent="0.25">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x14ac:dyDescent="0.25">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x14ac:dyDescent="0.25">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x14ac:dyDescent="0.25">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x14ac:dyDescent="0.25">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x14ac:dyDescent="0.25">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x14ac:dyDescent="0.25">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x14ac:dyDescent="0.25">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x14ac:dyDescent="0.25">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x14ac:dyDescent="0.25">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x14ac:dyDescent="0.25">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x14ac:dyDescent="0.25">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x14ac:dyDescent="0.25">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x14ac:dyDescent="0.25">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x14ac:dyDescent="0.25">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x14ac:dyDescent="0.25">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x14ac:dyDescent="0.25">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x14ac:dyDescent="0.25">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x14ac:dyDescent="0.25">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x14ac:dyDescent="0.25">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x14ac:dyDescent="0.25">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x14ac:dyDescent="0.25">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x14ac:dyDescent="0.25">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x14ac:dyDescent="0.25">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x14ac:dyDescent="0.25">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x14ac:dyDescent="0.25">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x14ac:dyDescent="0.25">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x14ac:dyDescent="0.25">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x14ac:dyDescent="0.25">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x14ac:dyDescent="0.25">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x14ac:dyDescent="0.25">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x14ac:dyDescent="0.25">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x14ac:dyDescent="0.25">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x14ac:dyDescent="0.25">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x14ac:dyDescent="0.25">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x14ac:dyDescent="0.25">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x14ac:dyDescent="0.25">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x14ac:dyDescent="0.25">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x14ac:dyDescent="0.25">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x14ac:dyDescent="0.25">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x14ac:dyDescent="0.25">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x14ac:dyDescent="0.25">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x14ac:dyDescent="0.25">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x14ac:dyDescent="0.25">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x14ac:dyDescent="0.25">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x14ac:dyDescent="0.25">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x14ac:dyDescent="0.25">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x14ac:dyDescent="0.25">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x14ac:dyDescent="0.25">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x14ac:dyDescent="0.25">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x14ac:dyDescent="0.25">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x14ac:dyDescent="0.25">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x14ac:dyDescent="0.25">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x14ac:dyDescent="0.25">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x14ac:dyDescent="0.25">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x14ac:dyDescent="0.25">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x14ac:dyDescent="0.25">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x14ac:dyDescent="0.25">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x14ac:dyDescent="0.25">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x14ac:dyDescent="0.25">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x14ac:dyDescent="0.25">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x14ac:dyDescent="0.25">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zoomScale="85" zoomScaleNormal="85" workbookViewId="0">
      <pane xSplit="5" ySplit="1" topLeftCell="F11" activePane="bottomRight" state="frozen"/>
      <selection activeCell="G52" sqref="G52"/>
      <selection pane="topRight" activeCell="G52" sqref="G52"/>
      <selection pane="bottomLeft" activeCell="G52" sqref="G52"/>
      <selection pane="bottomRight" activeCell="G52" sqref="G52"/>
    </sheetView>
  </sheetViews>
  <sheetFormatPr defaultRowHeight="15" outlineLevelRow="1" x14ac:dyDescent="0.25"/>
  <cols>
    <col min="1" max="1" width="2.7109375" style="2" customWidth="1"/>
    <col min="2" max="2" width="29.85546875" style="15" bestFit="1" customWidth="1"/>
    <col min="3" max="3" width="27.5703125" style="15" customWidth="1"/>
    <col min="4" max="4" width="43.140625" style="15" bestFit="1" customWidth="1"/>
    <col min="5" max="5" width="22.140625" style="26" customWidth="1"/>
    <col min="6" max="9" width="15.7109375" style="31" customWidth="1"/>
    <col min="10" max="16" width="15.7109375" style="30" customWidth="1"/>
    <col min="17" max="17" width="2.7109375" style="15" customWidth="1"/>
    <col min="18" max="68" width="10.28515625" style="39" bestFit="1" customWidth="1"/>
    <col min="69" max="78" width="10.28515625" bestFit="1" customWidth="1"/>
  </cols>
  <sheetData>
    <row r="1" spans="1:78" x14ac:dyDescent="0.25">
      <c r="A1" s="20"/>
      <c r="B1" s="24" t="s">
        <v>9</v>
      </c>
      <c r="C1" s="24" t="s">
        <v>9</v>
      </c>
      <c r="D1" s="24" t="s">
        <v>16</v>
      </c>
      <c r="E1" s="8" t="s">
        <v>79</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x14ac:dyDescent="0.25">
      <c r="A2" s="11"/>
      <c r="B2" s="13"/>
      <c r="C2" s="13"/>
      <c r="D2" s="13"/>
      <c r="E2" s="9"/>
      <c r="F2" s="28"/>
      <c r="G2" s="28"/>
      <c r="H2" s="28"/>
      <c r="I2" s="28"/>
      <c r="J2" s="28"/>
      <c r="K2" s="28"/>
      <c r="L2" s="28"/>
      <c r="M2" s="28"/>
      <c r="N2" s="28"/>
      <c r="O2" s="28"/>
      <c r="P2" s="28"/>
      <c r="Q2" s="37"/>
    </row>
    <row r="3" spans="1:78" x14ac:dyDescent="0.25">
      <c r="A3" s="5"/>
      <c r="B3" s="58" t="s">
        <v>111</v>
      </c>
      <c r="C3" s="25" t="s">
        <v>48</v>
      </c>
      <c r="D3" s="25" t="s">
        <v>108</v>
      </c>
      <c r="E3" s="27" t="s">
        <v>109</v>
      </c>
      <c r="F3" s="44">
        <f>$S3</f>
        <v>2.6</v>
      </c>
      <c r="G3" s="30">
        <f>linterp($S3:$AH3,$S$1:$AH$1,G$1)</f>
        <v>2.52</v>
      </c>
      <c r="H3" s="30">
        <f t="shared" ref="H3:I16" si="0">linterp($S3:$AH3,$S$1:$AH$1,H$1)</f>
        <v>2.5</v>
      </c>
      <c r="I3" s="30">
        <f t="shared" si="0"/>
        <v>2.42</v>
      </c>
      <c r="J3" s="44">
        <f>$AH3</f>
        <v>2.4</v>
      </c>
      <c r="K3" s="44">
        <f t="shared" ref="K3:P16" si="1">$AH3</f>
        <v>2.4</v>
      </c>
      <c r="L3" s="44">
        <f t="shared" si="1"/>
        <v>2.4</v>
      </c>
      <c r="M3" s="44">
        <f t="shared" si="1"/>
        <v>2.4</v>
      </c>
      <c r="N3" s="44">
        <f t="shared" si="1"/>
        <v>2.4</v>
      </c>
      <c r="O3" s="44">
        <f t="shared" si="1"/>
        <v>2.4</v>
      </c>
      <c r="P3" s="44">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x14ac:dyDescent="0.25">
      <c r="A4" s="5"/>
      <c r="B4" s="13"/>
      <c r="C4" s="13" t="s">
        <v>87</v>
      </c>
      <c r="D4" s="25" t="s">
        <v>108</v>
      </c>
      <c r="E4" s="27" t="s">
        <v>109</v>
      </c>
      <c r="F4" s="44">
        <f t="shared" ref="F4:F16" si="2">$S4</f>
        <v>2.7</v>
      </c>
      <c r="G4" s="30">
        <f t="shared" ref="G4:G16" si="3">linterp($S4:$AH4,$S$1:$AH$1,G$1)</f>
        <v>2.54</v>
      </c>
      <c r="H4" s="30">
        <f t="shared" si="0"/>
        <v>2.42</v>
      </c>
      <c r="I4" s="30">
        <f t="shared" si="0"/>
        <v>2.3199999999999998</v>
      </c>
      <c r="J4" s="44">
        <f t="shared" ref="J4:J16" si="4">$AH4</f>
        <v>2.2999999999999998</v>
      </c>
      <c r="K4" s="44">
        <f t="shared" si="1"/>
        <v>2.2999999999999998</v>
      </c>
      <c r="L4" s="44">
        <f t="shared" si="1"/>
        <v>2.2999999999999998</v>
      </c>
      <c r="M4" s="44">
        <f t="shared" si="1"/>
        <v>2.2999999999999998</v>
      </c>
      <c r="N4" s="44">
        <f t="shared" si="1"/>
        <v>2.2999999999999998</v>
      </c>
      <c r="O4" s="44">
        <f t="shared" si="1"/>
        <v>2.2999999999999998</v>
      </c>
      <c r="P4" s="44">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x14ac:dyDescent="0.25">
      <c r="A5" s="5"/>
      <c r="B5" s="25"/>
      <c r="C5" s="25" t="s">
        <v>88</v>
      </c>
      <c r="D5" s="25" t="s">
        <v>108</v>
      </c>
      <c r="E5" s="27" t="s">
        <v>109</v>
      </c>
      <c r="F5" s="44">
        <f t="shared" si="2"/>
        <v>2.6</v>
      </c>
      <c r="G5" s="30">
        <f t="shared" si="3"/>
        <v>2.52</v>
      </c>
      <c r="H5" s="30">
        <f t="shared" si="0"/>
        <v>2.42</v>
      </c>
      <c r="I5" s="30">
        <f t="shared" si="0"/>
        <v>2.3199999999999998</v>
      </c>
      <c r="J5" s="44">
        <f t="shared" si="4"/>
        <v>2.2999999999999998</v>
      </c>
      <c r="K5" s="44">
        <f t="shared" si="1"/>
        <v>2.2999999999999998</v>
      </c>
      <c r="L5" s="44">
        <f t="shared" si="1"/>
        <v>2.2999999999999998</v>
      </c>
      <c r="M5" s="44">
        <f t="shared" si="1"/>
        <v>2.2999999999999998</v>
      </c>
      <c r="N5" s="44">
        <f t="shared" si="1"/>
        <v>2.2999999999999998</v>
      </c>
      <c r="O5" s="44">
        <f t="shared" si="1"/>
        <v>2.2999999999999998</v>
      </c>
      <c r="P5" s="44">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x14ac:dyDescent="0.25">
      <c r="A6" s="5"/>
      <c r="B6" s="25"/>
      <c r="C6" s="25" t="s">
        <v>89</v>
      </c>
      <c r="D6" s="25" t="s">
        <v>108</v>
      </c>
      <c r="E6" s="27" t="s">
        <v>109</v>
      </c>
      <c r="F6" s="44">
        <f t="shared" si="2"/>
        <v>2.5</v>
      </c>
      <c r="G6" s="30">
        <f t="shared" si="3"/>
        <v>2.42</v>
      </c>
      <c r="H6" s="30">
        <f t="shared" si="0"/>
        <v>2.3199999999999998</v>
      </c>
      <c r="I6" s="30">
        <f t="shared" si="0"/>
        <v>2.2999999999999998</v>
      </c>
      <c r="J6" s="44">
        <f t="shared" si="4"/>
        <v>2.2999999999999998</v>
      </c>
      <c r="K6" s="44">
        <f t="shared" si="1"/>
        <v>2.2999999999999998</v>
      </c>
      <c r="L6" s="44">
        <f t="shared" si="1"/>
        <v>2.2999999999999998</v>
      </c>
      <c r="M6" s="44">
        <f t="shared" si="1"/>
        <v>2.2999999999999998</v>
      </c>
      <c r="N6" s="44">
        <f t="shared" si="1"/>
        <v>2.2999999999999998</v>
      </c>
      <c r="O6" s="44">
        <f t="shared" si="1"/>
        <v>2.2999999999999998</v>
      </c>
      <c r="P6" s="44">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x14ac:dyDescent="0.25">
      <c r="A7" s="5"/>
      <c r="B7" s="25"/>
      <c r="C7" s="25" t="s">
        <v>90</v>
      </c>
      <c r="D7" s="25" t="s">
        <v>108</v>
      </c>
      <c r="E7" s="27" t="s">
        <v>109</v>
      </c>
      <c r="F7" s="44">
        <f t="shared" si="2"/>
        <v>2.5</v>
      </c>
      <c r="G7" s="30">
        <f t="shared" si="3"/>
        <v>2.42</v>
      </c>
      <c r="H7" s="30">
        <f t="shared" si="0"/>
        <v>2.3199999999999998</v>
      </c>
      <c r="I7" s="30">
        <f t="shared" si="0"/>
        <v>2.2999999999999998</v>
      </c>
      <c r="J7" s="44">
        <f t="shared" si="4"/>
        <v>2.2999999999999998</v>
      </c>
      <c r="K7" s="44">
        <f t="shared" si="1"/>
        <v>2.2999999999999998</v>
      </c>
      <c r="L7" s="44">
        <f t="shared" si="1"/>
        <v>2.2999999999999998</v>
      </c>
      <c r="M7" s="44">
        <f t="shared" si="1"/>
        <v>2.2999999999999998</v>
      </c>
      <c r="N7" s="44">
        <f t="shared" si="1"/>
        <v>2.2999999999999998</v>
      </c>
      <c r="O7" s="44">
        <f t="shared" si="1"/>
        <v>2.2999999999999998</v>
      </c>
      <c r="P7" s="44">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x14ac:dyDescent="0.25">
      <c r="A8" s="5"/>
      <c r="B8" s="25"/>
      <c r="C8" s="25" t="s">
        <v>91</v>
      </c>
      <c r="D8" s="25" t="s">
        <v>108</v>
      </c>
      <c r="E8" s="27" t="s">
        <v>109</v>
      </c>
      <c r="F8" s="44">
        <f t="shared" si="2"/>
        <v>2.4</v>
      </c>
      <c r="G8" s="30">
        <f t="shared" si="3"/>
        <v>2.3199999999999998</v>
      </c>
      <c r="H8" s="30">
        <f t="shared" si="0"/>
        <v>2.2999999999999998</v>
      </c>
      <c r="I8" s="30">
        <f t="shared" si="0"/>
        <v>2.2999999999999998</v>
      </c>
      <c r="J8" s="44">
        <f t="shared" si="4"/>
        <v>2.2999999999999998</v>
      </c>
      <c r="K8" s="44">
        <f t="shared" si="1"/>
        <v>2.2999999999999998</v>
      </c>
      <c r="L8" s="44">
        <f t="shared" si="1"/>
        <v>2.2999999999999998</v>
      </c>
      <c r="M8" s="44">
        <f t="shared" si="1"/>
        <v>2.2999999999999998</v>
      </c>
      <c r="N8" s="44">
        <f t="shared" si="1"/>
        <v>2.2999999999999998</v>
      </c>
      <c r="O8" s="44">
        <f t="shared" si="1"/>
        <v>2.2999999999999998</v>
      </c>
      <c r="P8" s="44">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x14ac:dyDescent="0.25">
      <c r="A9" s="5"/>
      <c r="B9" s="25"/>
      <c r="C9" s="25" t="s">
        <v>92</v>
      </c>
      <c r="D9" s="25" t="s">
        <v>108</v>
      </c>
      <c r="E9" s="27" t="s">
        <v>109</v>
      </c>
      <c r="F9" s="44">
        <f t="shared" si="2"/>
        <v>2.7</v>
      </c>
      <c r="G9" s="30">
        <f t="shared" si="3"/>
        <v>2.62</v>
      </c>
      <c r="H9" s="30">
        <f t="shared" si="0"/>
        <v>2.6</v>
      </c>
      <c r="I9" s="30">
        <f t="shared" si="0"/>
        <v>2.6</v>
      </c>
      <c r="J9" s="44">
        <f t="shared" si="4"/>
        <v>2.6</v>
      </c>
      <c r="K9" s="44">
        <f t="shared" si="1"/>
        <v>2.6</v>
      </c>
      <c r="L9" s="44">
        <f t="shared" si="1"/>
        <v>2.6</v>
      </c>
      <c r="M9" s="44">
        <f t="shared" si="1"/>
        <v>2.6</v>
      </c>
      <c r="N9" s="44">
        <f t="shared" si="1"/>
        <v>2.6</v>
      </c>
      <c r="O9" s="44">
        <f t="shared" si="1"/>
        <v>2.6</v>
      </c>
      <c r="P9" s="44">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x14ac:dyDescent="0.25">
      <c r="A10" s="5"/>
      <c r="B10" s="25"/>
      <c r="C10" s="25" t="s">
        <v>93</v>
      </c>
      <c r="D10" s="25" t="s">
        <v>108</v>
      </c>
      <c r="E10" s="27" t="s">
        <v>109</v>
      </c>
      <c r="F10" s="44">
        <f t="shared" si="2"/>
        <v>2.5</v>
      </c>
      <c r="G10" s="30">
        <f t="shared" si="3"/>
        <v>2.5</v>
      </c>
      <c r="H10" s="30">
        <f t="shared" si="0"/>
        <v>2.5</v>
      </c>
      <c r="I10" s="30">
        <f t="shared" si="0"/>
        <v>2.5</v>
      </c>
      <c r="J10" s="44">
        <f t="shared" si="4"/>
        <v>2.5</v>
      </c>
      <c r="K10" s="44">
        <f t="shared" si="1"/>
        <v>2.5</v>
      </c>
      <c r="L10" s="44">
        <f t="shared" si="1"/>
        <v>2.5</v>
      </c>
      <c r="M10" s="44">
        <f t="shared" si="1"/>
        <v>2.5</v>
      </c>
      <c r="N10" s="44">
        <f t="shared" si="1"/>
        <v>2.5</v>
      </c>
      <c r="O10" s="44">
        <f t="shared" si="1"/>
        <v>2.5</v>
      </c>
      <c r="P10" s="44">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x14ac:dyDescent="0.25">
      <c r="A11" s="5"/>
      <c r="B11" s="25"/>
      <c r="C11" s="25" t="s">
        <v>94</v>
      </c>
      <c r="D11" s="25" t="s">
        <v>108</v>
      </c>
      <c r="E11" s="27" t="s">
        <v>109</v>
      </c>
      <c r="F11" s="44">
        <f t="shared" si="2"/>
        <v>2.5</v>
      </c>
      <c r="G11" s="30">
        <f t="shared" si="3"/>
        <v>2.42</v>
      </c>
      <c r="H11" s="30">
        <f t="shared" si="0"/>
        <v>2.48</v>
      </c>
      <c r="I11" s="30">
        <f t="shared" si="0"/>
        <v>2.5</v>
      </c>
      <c r="J11" s="44">
        <f t="shared" si="4"/>
        <v>2.5</v>
      </c>
      <c r="K11" s="44">
        <f t="shared" si="1"/>
        <v>2.5</v>
      </c>
      <c r="L11" s="44">
        <f t="shared" si="1"/>
        <v>2.5</v>
      </c>
      <c r="M11" s="44">
        <f t="shared" si="1"/>
        <v>2.5</v>
      </c>
      <c r="N11" s="44">
        <f t="shared" si="1"/>
        <v>2.5</v>
      </c>
      <c r="O11" s="44">
        <f t="shared" si="1"/>
        <v>2.5</v>
      </c>
      <c r="P11" s="44">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x14ac:dyDescent="0.25">
      <c r="A12" s="5"/>
      <c r="B12" s="25"/>
      <c r="C12" s="25" t="s">
        <v>5</v>
      </c>
      <c r="D12" s="25" t="s">
        <v>108</v>
      </c>
      <c r="E12" s="27" t="s">
        <v>109</v>
      </c>
      <c r="F12" s="44">
        <f t="shared" si="2"/>
        <v>2.6</v>
      </c>
      <c r="G12" s="30">
        <f t="shared" si="3"/>
        <v>2.6</v>
      </c>
      <c r="H12" s="30">
        <f t="shared" si="0"/>
        <v>2.6</v>
      </c>
      <c r="I12" s="30">
        <f t="shared" si="0"/>
        <v>2.6</v>
      </c>
      <c r="J12" s="44">
        <f t="shared" si="4"/>
        <v>2.6</v>
      </c>
      <c r="K12" s="44">
        <f t="shared" si="1"/>
        <v>2.6</v>
      </c>
      <c r="L12" s="44">
        <f t="shared" si="1"/>
        <v>2.6</v>
      </c>
      <c r="M12" s="44">
        <f t="shared" si="1"/>
        <v>2.6</v>
      </c>
      <c r="N12" s="44">
        <f t="shared" si="1"/>
        <v>2.6</v>
      </c>
      <c r="O12" s="44">
        <f t="shared" si="1"/>
        <v>2.6</v>
      </c>
      <c r="P12" s="44">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x14ac:dyDescent="0.25">
      <c r="A13" s="5"/>
      <c r="B13" s="25"/>
      <c r="C13" s="25" t="s">
        <v>61</v>
      </c>
      <c r="D13" s="25" t="s">
        <v>108</v>
      </c>
      <c r="E13" s="27" t="s">
        <v>109</v>
      </c>
      <c r="F13" s="44">
        <f t="shared" si="2"/>
        <v>2.5</v>
      </c>
      <c r="G13" s="30">
        <f t="shared" si="3"/>
        <v>2.5</v>
      </c>
      <c r="H13" s="30">
        <f t="shared" si="0"/>
        <v>2.5</v>
      </c>
      <c r="I13" s="30">
        <f t="shared" si="0"/>
        <v>2.42</v>
      </c>
      <c r="J13" s="44">
        <f t="shared" si="4"/>
        <v>2.4</v>
      </c>
      <c r="K13" s="44">
        <f t="shared" si="1"/>
        <v>2.4</v>
      </c>
      <c r="L13" s="44">
        <f t="shared" si="1"/>
        <v>2.4</v>
      </c>
      <c r="M13" s="44">
        <f t="shared" si="1"/>
        <v>2.4</v>
      </c>
      <c r="N13" s="44">
        <f t="shared" si="1"/>
        <v>2.4</v>
      </c>
      <c r="O13" s="44">
        <f t="shared" si="1"/>
        <v>2.4</v>
      </c>
      <c r="P13" s="44">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x14ac:dyDescent="0.25">
      <c r="A14" s="5"/>
      <c r="B14" s="25"/>
      <c r="C14" s="25" t="s">
        <v>95</v>
      </c>
      <c r="D14" s="25" t="s">
        <v>108</v>
      </c>
      <c r="E14" s="27" t="s">
        <v>109</v>
      </c>
      <c r="F14" s="44">
        <f t="shared" si="2"/>
        <v>2.5</v>
      </c>
      <c r="G14" s="30">
        <f t="shared" si="3"/>
        <v>2.42</v>
      </c>
      <c r="H14" s="30">
        <f t="shared" si="0"/>
        <v>2.4</v>
      </c>
      <c r="I14" s="30">
        <f t="shared" si="0"/>
        <v>2.3199999999999998</v>
      </c>
      <c r="J14" s="44">
        <f t="shared" si="4"/>
        <v>2.2999999999999998</v>
      </c>
      <c r="K14" s="44">
        <f t="shared" si="1"/>
        <v>2.2999999999999998</v>
      </c>
      <c r="L14" s="44">
        <f t="shared" si="1"/>
        <v>2.2999999999999998</v>
      </c>
      <c r="M14" s="44">
        <f t="shared" si="1"/>
        <v>2.2999999999999998</v>
      </c>
      <c r="N14" s="44">
        <f t="shared" si="1"/>
        <v>2.2999999999999998</v>
      </c>
      <c r="O14" s="44">
        <f t="shared" si="1"/>
        <v>2.2999999999999998</v>
      </c>
      <c r="P14" s="44">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x14ac:dyDescent="0.25">
      <c r="A15" s="5"/>
      <c r="B15" s="25"/>
      <c r="C15" s="25" t="s">
        <v>97</v>
      </c>
      <c r="D15" s="25" t="s">
        <v>108</v>
      </c>
      <c r="E15" s="27" t="s">
        <v>109</v>
      </c>
      <c r="F15" s="44">
        <f t="shared" si="2"/>
        <v>2.9</v>
      </c>
      <c r="G15" s="30">
        <f t="shared" si="3"/>
        <v>2.9</v>
      </c>
      <c r="H15" s="30">
        <f t="shared" si="0"/>
        <v>2.82</v>
      </c>
      <c r="I15" s="30">
        <f t="shared" si="0"/>
        <v>2.72</v>
      </c>
      <c r="J15" s="44">
        <f t="shared" si="4"/>
        <v>2.7</v>
      </c>
      <c r="K15" s="44">
        <f t="shared" si="1"/>
        <v>2.7</v>
      </c>
      <c r="L15" s="44">
        <f t="shared" si="1"/>
        <v>2.7</v>
      </c>
      <c r="M15" s="44">
        <f t="shared" si="1"/>
        <v>2.7</v>
      </c>
      <c r="N15" s="44">
        <f t="shared" si="1"/>
        <v>2.7</v>
      </c>
      <c r="O15" s="44">
        <f t="shared" si="1"/>
        <v>2.7</v>
      </c>
      <c r="P15" s="44">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x14ac:dyDescent="0.25">
      <c r="A16" s="5"/>
      <c r="B16" s="25"/>
      <c r="C16" s="25" t="s">
        <v>96</v>
      </c>
      <c r="D16" s="25" t="s">
        <v>108</v>
      </c>
      <c r="E16" s="27" t="s">
        <v>109</v>
      </c>
      <c r="F16" s="44">
        <f t="shared" si="2"/>
        <v>3.7</v>
      </c>
      <c r="G16" s="30">
        <f t="shared" si="3"/>
        <v>3.7</v>
      </c>
      <c r="H16" s="30">
        <f t="shared" si="0"/>
        <v>3.7</v>
      </c>
      <c r="I16" s="30">
        <f t="shared" si="0"/>
        <v>3.62</v>
      </c>
      <c r="J16" s="44">
        <f t="shared" si="4"/>
        <v>3.6</v>
      </c>
      <c r="K16" s="44">
        <f t="shared" si="1"/>
        <v>3.6</v>
      </c>
      <c r="L16" s="44">
        <f t="shared" si="1"/>
        <v>3.6</v>
      </c>
      <c r="M16" s="44">
        <f t="shared" si="1"/>
        <v>3.6</v>
      </c>
      <c r="N16" s="44">
        <f t="shared" si="1"/>
        <v>3.6</v>
      </c>
      <c r="O16" s="44">
        <f t="shared" si="1"/>
        <v>3.6</v>
      </c>
      <c r="P16" s="44">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x14ac:dyDescent="0.25">
      <c r="A17" s="5"/>
      <c r="B17" s="25"/>
      <c r="C17" s="25"/>
      <c r="D17" s="25"/>
      <c r="E17" s="16"/>
      <c r="F17" s="30"/>
      <c r="G17" s="30"/>
      <c r="H17" s="30"/>
      <c r="I17" s="30"/>
      <c r="Q17" s="38"/>
    </row>
    <row r="18" spans="1:78" x14ac:dyDescent="0.25">
      <c r="A18" s="5"/>
      <c r="B18" s="25"/>
      <c r="C18" s="25"/>
      <c r="D18" s="25"/>
      <c r="E18" s="16"/>
      <c r="F18" s="30"/>
      <c r="G18" s="30"/>
      <c r="H18" s="30"/>
      <c r="I18" s="30"/>
      <c r="Q18" s="38"/>
    </row>
    <row r="19" spans="1:78" x14ac:dyDescent="0.25">
      <c r="A19" s="5"/>
      <c r="B19" s="58" t="s">
        <v>83</v>
      </c>
      <c r="C19" s="25" t="s">
        <v>48</v>
      </c>
      <c r="D19" s="25" t="s">
        <v>83</v>
      </c>
      <c r="E19" s="16" t="s">
        <v>86</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x14ac:dyDescent="0.25">
      <c r="A20" s="5"/>
      <c r="B20" s="13"/>
      <c r="C20" s="13" t="s">
        <v>87</v>
      </c>
      <c r="D20" s="25" t="s">
        <v>83</v>
      </c>
      <c r="E20" s="16" t="s">
        <v>86</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x14ac:dyDescent="0.25">
      <c r="A21" s="5"/>
      <c r="B21" s="25"/>
      <c r="C21" s="25" t="s">
        <v>88</v>
      </c>
      <c r="D21" s="25" t="s">
        <v>83</v>
      </c>
      <c r="E21" s="16" t="s">
        <v>86</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x14ac:dyDescent="0.25">
      <c r="A22" s="5"/>
      <c r="B22" s="25"/>
      <c r="C22" s="25" t="s">
        <v>89</v>
      </c>
      <c r="D22" s="25" t="s">
        <v>83</v>
      </c>
      <c r="E22" s="16" t="s">
        <v>86</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x14ac:dyDescent="0.25">
      <c r="A23" s="5"/>
      <c r="B23" s="25"/>
      <c r="C23" s="25" t="s">
        <v>90</v>
      </c>
      <c r="D23" s="25" t="s">
        <v>83</v>
      </c>
      <c r="E23" s="16" t="s">
        <v>86</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x14ac:dyDescent="0.25">
      <c r="A24" s="5"/>
      <c r="B24" s="25"/>
      <c r="C24" s="25" t="s">
        <v>91</v>
      </c>
      <c r="D24" s="25" t="s">
        <v>83</v>
      </c>
      <c r="E24" s="16" t="s">
        <v>86</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x14ac:dyDescent="0.25">
      <c r="A25" s="5"/>
      <c r="B25" s="25"/>
      <c r="C25" s="25" t="s">
        <v>92</v>
      </c>
      <c r="D25" s="25" t="s">
        <v>83</v>
      </c>
      <c r="E25" s="16" t="s">
        <v>86</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x14ac:dyDescent="0.25">
      <c r="A26" s="5"/>
      <c r="B26" s="25"/>
      <c r="C26" s="25" t="s">
        <v>93</v>
      </c>
      <c r="D26" s="25" t="s">
        <v>83</v>
      </c>
      <c r="E26" s="16" t="s">
        <v>86</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x14ac:dyDescent="0.25">
      <c r="A27" s="5"/>
      <c r="B27" s="25"/>
      <c r="C27" s="25" t="s">
        <v>94</v>
      </c>
      <c r="D27" s="25" t="s">
        <v>83</v>
      </c>
      <c r="E27" s="16" t="s">
        <v>86</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x14ac:dyDescent="0.25">
      <c r="A28" s="5"/>
      <c r="B28" s="25"/>
      <c r="C28" s="25" t="s">
        <v>5</v>
      </c>
      <c r="D28" s="25" t="s">
        <v>83</v>
      </c>
      <c r="E28" s="16" t="s">
        <v>86</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x14ac:dyDescent="0.25">
      <c r="A29" s="5"/>
      <c r="B29" s="25"/>
      <c r="C29" s="25" t="s">
        <v>61</v>
      </c>
      <c r="D29" s="25" t="s">
        <v>83</v>
      </c>
      <c r="E29" s="16" t="s">
        <v>86</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x14ac:dyDescent="0.25">
      <c r="A30" s="5"/>
      <c r="B30" s="25"/>
      <c r="C30" s="25" t="s">
        <v>95</v>
      </c>
      <c r="D30" s="25" t="s">
        <v>83</v>
      </c>
      <c r="E30" s="16" t="s">
        <v>86</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x14ac:dyDescent="0.25">
      <c r="A31" s="5"/>
      <c r="B31" s="25"/>
      <c r="C31" s="25" t="s">
        <v>97</v>
      </c>
      <c r="D31" s="25" t="s">
        <v>83</v>
      </c>
      <c r="E31" s="16" t="s">
        <v>86</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x14ac:dyDescent="0.25">
      <c r="A32" s="5"/>
      <c r="B32" s="25"/>
      <c r="C32" s="25" t="s">
        <v>96</v>
      </c>
      <c r="D32" s="25" t="s">
        <v>83</v>
      </c>
      <c r="E32" s="16" t="s">
        <v>86</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x14ac:dyDescent="0.25">
      <c r="A33" s="5"/>
      <c r="B33" s="25"/>
      <c r="C33" s="25"/>
      <c r="D33" s="25"/>
      <c r="E33" s="16"/>
      <c r="F33" s="30"/>
      <c r="G33" s="30"/>
      <c r="H33" s="30"/>
      <c r="I33" s="30"/>
      <c r="Q33" s="38"/>
    </row>
    <row r="34" spans="1:34" x14ac:dyDescent="0.25">
      <c r="A34" s="5"/>
      <c r="B34" s="25"/>
      <c r="C34" s="25"/>
      <c r="D34" s="25"/>
      <c r="E34" s="16"/>
      <c r="F34" s="30"/>
      <c r="G34" s="30"/>
      <c r="H34" s="30"/>
      <c r="I34" s="30"/>
      <c r="Q34" s="38"/>
    </row>
    <row r="35" spans="1:34" x14ac:dyDescent="0.25">
      <c r="A35" s="5"/>
      <c r="B35" s="58" t="s">
        <v>144</v>
      </c>
      <c r="C35" s="25"/>
      <c r="D35" s="25"/>
      <c r="E35" s="16"/>
      <c r="F35" s="30"/>
      <c r="G35" s="30"/>
      <c r="H35" s="30"/>
      <c r="I35" s="30"/>
      <c r="Q35" s="38"/>
    </row>
    <row r="36" spans="1:34" outlineLevel="1" x14ac:dyDescent="0.25">
      <c r="A36" s="5"/>
      <c r="B36" s="25" t="s">
        <v>146</v>
      </c>
      <c r="C36" s="25" t="s">
        <v>48</v>
      </c>
      <c r="D36" s="25" t="s">
        <v>145</v>
      </c>
      <c r="E36" s="27" t="s">
        <v>82</v>
      </c>
      <c r="F36" s="30">
        <f t="shared" ref="F36:I51" si="5">INDEX($R36:$BZ36,MATCH(F$1,$R$1:$BZ$1,0))</f>
        <v>0</v>
      </c>
      <c r="G36" s="30">
        <f t="shared" si="5"/>
        <v>0</v>
      </c>
      <c r="H36" s="30">
        <f t="shared" si="5"/>
        <v>0</v>
      </c>
      <c r="I36" s="30">
        <f t="shared" si="5"/>
        <v>0</v>
      </c>
      <c r="J36" s="44">
        <f t="shared" ref="J36:P72" si="6">$AH36</f>
        <v>0</v>
      </c>
      <c r="K36" s="44">
        <f t="shared" si="6"/>
        <v>0</v>
      </c>
      <c r="L36" s="44">
        <f t="shared" si="6"/>
        <v>0</v>
      </c>
      <c r="M36" s="44">
        <f t="shared" si="6"/>
        <v>0</v>
      </c>
      <c r="N36" s="44">
        <f t="shared" si="6"/>
        <v>0</v>
      </c>
      <c r="O36" s="44">
        <f t="shared" si="6"/>
        <v>0</v>
      </c>
      <c r="P36" s="44">
        <f t="shared" si="6"/>
        <v>0</v>
      </c>
      <c r="Q36" s="38"/>
    </row>
    <row r="37" spans="1:34" outlineLevel="1" x14ac:dyDescent="0.25">
      <c r="A37" s="5"/>
      <c r="B37" s="25" t="s">
        <v>146</v>
      </c>
      <c r="C37" s="13" t="s">
        <v>87</v>
      </c>
      <c r="D37" s="25" t="s">
        <v>145</v>
      </c>
      <c r="E37" s="27" t="s">
        <v>82</v>
      </c>
      <c r="F37" s="30">
        <f t="shared" si="5"/>
        <v>0</v>
      </c>
      <c r="G37" s="30">
        <f t="shared" si="5"/>
        <v>0</v>
      </c>
      <c r="H37" s="30">
        <f t="shared" si="5"/>
        <v>0</v>
      </c>
      <c r="I37" s="30">
        <f t="shared" si="5"/>
        <v>0</v>
      </c>
      <c r="J37" s="44">
        <f t="shared" si="6"/>
        <v>0</v>
      </c>
      <c r="K37" s="44">
        <f t="shared" si="6"/>
        <v>0</v>
      </c>
      <c r="L37" s="44">
        <f t="shared" si="6"/>
        <v>0</v>
      </c>
      <c r="M37" s="44">
        <f t="shared" si="6"/>
        <v>0</v>
      </c>
      <c r="N37" s="44">
        <f t="shared" si="6"/>
        <v>0</v>
      </c>
      <c r="O37" s="44">
        <f t="shared" si="6"/>
        <v>0</v>
      </c>
      <c r="P37" s="44">
        <f t="shared" si="6"/>
        <v>0</v>
      </c>
      <c r="Q37" s="38"/>
    </row>
    <row r="38" spans="1:34" outlineLevel="1" x14ac:dyDescent="0.25">
      <c r="A38" s="5"/>
      <c r="B38" s="25" t="s">
        <v>146</v>
      </c>
      <c r="C38" s="25" t="s">
        <v>88</v>
      </c>
      <c r="D38" s="25" t="s">
        <v>145</v>
      </c>
      <c r="E38" s="27" t="s">
        <v>82</v>
      </c>
      <c r="F38" s="30">
        <f t="shared" si="5"/>
        <v>0</v>
      </c>
      <c r="G38" s="30">
        <f t="shared" si="5"/>
        <v>0</v>
      </c>
      <c r="H38" s="30">
        <f t="shared" si="5"/>
        <v>0</v>
      </c>
      <c r="I38" s="30">
        <f t="shared" si="5"/>
        <v>0</v>
      </c>
      <c r="J38" s="44">
        <f t="shared" si="6"/>
        <v>0</v>
      </c>
      <c r="K38" s="44">
        <f t="shared" si="6"/>
        <v>0</v>
      </c>
      <c r="L38" s="44">
        <f t="shared" si="6"/>
        <v>0</v>
      </c>
      <c r="M38" s="44">
        <f t="shared" si="6"/>
        <v>0</v>
      </c>
      <c r="N38" s="44">
        <f t="shared" si="6"/>
        <v>0</v>
      </c>
      <c r="O38" s="44">
        <f t="shared" si="6"/>
        <v>0</v>
      </c>
      <c r="P38" s="44">
        <f t="shared" si="6"/>
        <v>0</v>
      </c>
      <c r="Q38" s="38"/>
    </row>
    <row r="39" spans="1:34" outlineLevel="1" x14ac:dyDescent="0.25">
      <c r="A39" s="5"/>
      <c r="B39" s="25" t="s">
        <v>146</v>
      </c>
      <c r="C39" s="25" t="s">
        <v>89</v>
      </c>
      <c r="D39" s="25" t="s">
        <v>145</v>
      </c>
      <c r="E39" s="27" t="s">
        <v>82</v>
      </c>
      <c r="F39" s="30">
        <f t="shared" si="5"/>
        <v>0</v>
      </c>
      <c r="G39" s="30">
        <f t="shared" si="5"/>
        <v>0</v>
      </c>
      <c r="H39" s="30">
        <f t="shared" si="5"/>
        <v>0</v>
      </c>
      <c r="I39" s="30">
        <f t="shared" si="5"/>
        <v>0</v>
      </c>
      <c r="J39" s="44">
        <f t="shared" si="6"/>
        <v>0</v>
      </c>
      <c r="K39" s="44">
        <f t="shared" si="6"/>
        <v>0</v>
      </c>
      <c r="L39" s="44">
        <f t="shared" si="6"/>
        <v>0</v>
      </c>
      <c r="M39" s="44">
        <f t="shared" si="6"/>
        <v>0</v>
      </c>
      <c r="N39" s="44">
        <f t="shared" si="6"/>
        <v>0</v>
      </c>
      <c r="O39" s="44">
        <f t="shared" si="6"/>
        <v>0</v>
      </c>
      <c r="P39" s="44">
        <f t="shared" si="6"/>
        <v>0</v>
      </c>
      <c r="Q39" s="38"/>
    </row>
    <row r="40" spans="1:34" outlineLevel="1" x14ac:dyDescent="0.25">
      <c r="A40" s="5"/>
      <c r="B40" s="25" t="s">
        <v>146</v>
      </c>
      <c r="C40" s="25" t="s">
        <v>90</v>
      </c>
      <c r="D40" s="25" t="s">
        <v>145</v>
      </c>
      <c r="E40" s="27" t="s">
        <v>82</v>
      </c>
      <c r="F40" s="30">
        <f t="shared" si="5"/>
        <v>0</v>
      </c>
      <c r="G40" s="30">
        <f t="shared" si="5"/>
        <v>0</v>
      </c>
      <c r="H40" s="30">
        <f t="shared" si="5"/>
        <v>0</v>
      </c>
      <c r="I40" s="30">
        <f t="shared" si="5"/>
        <v>0</v>
      </c>
      <c r="J40" s="44">
        <f t="shared" si="6"/>
        <v>0</v>
      </c>
      <c r="K40" s="44">
        <f t="shared" si="6"/>
        <v>0</v>
      </c>
      <c r="L40" s="44">
        <f t="shared" si="6"/>
        <v>0</v>
      </c>
      <c r="M40" s="44">
        <f t="shared" si="6"/>
        <v>0</v>
      </c>
      <c r="N40" s="44">
        <f t="shared" si="6"/>
        <v>0</v>
      </c>
      <c r="O40" s="44">
        <f t="shared" si="6"/>
        <v>0</v>
      </c>
      <c r="P40" s="44">
        <f t="shared" si="6"/>
        <v>0</v>
      </c>
      <c r="Q40" s="38"/>
    </row>
    <row r="41" spans="1:34" outlineLevel="1" x14ac:dyDescent="0.25">
      <c r="A41" s="5"/>
      <c r="B41" s="25" t="s">
        <v>146</v>
      </c>
      <c r="C41" s="25" t="s">
        <v>91</v>
      </c>
      <c r="D41" s="25" t="s">
        <v>145</v>
      </c>
      <c r="E41" s="27" t="s">
        <v>82</v>
      </c>
      <c r="F41" s="30">
        <f t="shared" si="5"/>
        <v>0</v>
      </c>
      <c r="G41" s="30">
        <f t="shared" si="5"/>
        <v>0</v>
      </c>
      <c r="H41" s="30">
        <f t="shared" si="5"/>
        <v>0</v>
      </c>
      <c r="I41" s="30">
        <f t="shared" si="5"/>
        <v>0</v>
      </c>
      <c r="J41" s="44">
        <f t="shared" si="6"/>
        <v>0</v>
      </c>
      <c r="K41" s="44">
        <f t="shared" si="6"/>
        <v>0</v>
      </c>
      <c r="L41" s="44">
        <f t="shared" si="6"/>
        <v>0</v>
      </c>
      <c r="M41" s="44">
        <f t="shared" si="6"/>
        <v>0</v>
      </c>
      <c r="N41" s="44">
        <f t="shared" si="6"/>
        <v>0</v>
      </c>
      <c r="O41" s="44">
        <f t="shared" si="6"/>
        <v>0</v>
      </c>
      <c r="P41" s="44">
        <f t="shared" si="6"/>
        <v>0</v>
      </c>
      <c r="Q41" s="38"/>
    </row>
    <row r="42" spans="1:34" outlineLevel="1" x14ac:dyDescent="0.25">
      <c r="A42" s="5"/>
      <c r="B42" s="25" t="s">
        <v>146</v>
      </c>
      <c r="C42" s="25" t="s">
        <v>92</v>
      </c>
      <c r="D42" s="25" t="s">
        <v>145</v>
      </c>
      <c r="E42" s="27" t="s">
        <v>82</v>
      </c>
      <c r="F42" s="30">
        <f t="shared" si="5"/>
        <v>0</v>
      </c>
      <c r="G42" s="30">
        <f t="shared" si="5"/>
        <v>0</v>
      </c>
      <c r="H42" s="30">
        <f t="shared" si="5"/>
        <v>0</v>
      </c>
      <c r="I42" s="30">
        <f t="shared" si="5"/>
        <v>0</v>
      </c>
      <c r="J42" s="44">
        <f t="shared" si="6"/>
        <v>0</v>
      </c>
      <c r="K42" s="44">
        <f t="shared" si="6"/>
        <v>0</v>
      </c>
      <c r="L42" s="44">
        <f t="shared" si="6"/>
        <v>0</v>
      </c>
      <c r="M42" s="44">
        <f t="shared" si="6"/>
        <v>0</v>
      </c>
      <c r="N42" s="44">
        <f t="shared" si="6"/>
        <v>0</v>
      </c>
      <c r="O42" s="44">
        <f t="shared" si="6"/>
        <v>0</v>
      </c>
      <c r="P42" s="44">
        <f t="shared" si="6"/>
        <v>0</v>
      </c>
      <c r="Q42" s="38"/>
    </row>
    <row r="43" spans="1:34" outlineLevel="1" x14ac:dyDescent="0.25">
      <c r="A43" s="5"/>
      <c r="B43" s="25" t="s">
        <v>146</v>
      </c>
      <c r="C43" s="25" t="s">
        <v>93</v>
      </c>
      <c r="D43" s="25" t="s">
        <v>145</v>
      </c>
      <c r="E43" s="27" t="s">
        <v>82</v>
      </c>
      <c r="F43" s="30">
        <f t="shared" si="5"/>
        <v>0</v>
      </c>
      <c r="G43" s="30">
        <f t="shared" si="5"/>
        <v>0</v>
      </c>
      <c r="H43" s="30">
        <f t="shared" si="5"/>
        <v>0</v>
      </c>
      <c r="I43" s="30">
        <f t="shared" si="5"/>
        <v>0</v>
      </c>
      <c r="J43" s="44">
        <f t="shared" si="6"/>
        <v>0</v>
      </c>
      <c r="K43" s="44">
        <f t="shared" si="6"/>
        <v>0</v>
      </c>
      <c r="L43" s="44">
        <f t="shared" si="6"/>
        <v>0</v>
      </c>
      <c r="M43" s="44">
        <f t="shared" si="6"/>
        <v>0</v>
      </c>
      <c r="N43" s="44">
        <f t="shared" si="6"/>
        <v>0</v>
      </c>
      <c r="O43" s="44">
        <f t="shared" si="6"/>
        <v>0</v>
      </c>
      <c r="P43" s="44">
        <f t="shared" si="6"/>
        <v>0</v>
      </c>
      <c r="Q43" s="38"/>
    </row>
    <row r="44" spans="1:34" outlineLevel="1" x14ac:dyDescent="0.25">
      <c r="A44" s="5"/>
      <c r="B44" s="25" t="s">
        <v>146</v>
      </c>
      <c r="C44" s="25" t="s">
        <v>94</v>
      </c>
      <c r="D44" s="25" t="s">
        <v>145</v>
      </c>
      <c r="E44" s="27" t="s">
        <v>82</v>
      </c>
      <c r="F44" s="30">
        <f t="shared" si="5"/>
        <v>0</v>
      </c>
      <c r="G44" s="30">
        <f t="shared" si="5"/>
        <v>0</v>
      </c>
      <c r="H44" s="30">
        <f t="shared" si="5"/>
        <v>0</v>
      </c>
      <c r="I44" s="30">
        <f t="shared" si="5"/>
        <v>0</v>
      </c>
      <c r="J44" s="44">
        <f t="shared" si="6"/>
        <v>0</v>
      </c>
      <c r="K44" s="44">
        <f t="shared" si="6"/>
        <v>0</v>
      </c>
      <c r="L44" s="44">
        <f t="shared" si="6"/>
        <v>0</v>
      </c>
      <c r="M44" s="44">
        <f t="shared" si="6"/>
        <v>0</v>
      </c>
      <c r="N44" s="44">
        <f t="shared" si="6"/>
        <v>0</v>
      </c>
      <c r="O44" s="44">
        <f t="shared" si="6"/>
        <v>0</v>
      </c>
      <c r="P44" s="44">
        <f t="shared" si="6"/>
        <v>0</v>
      </c>
      <c r="Q44" s="38"/>
    </row>
    <row r="45" spans="1:34" outlineLevel="1" x14ac:dyDescent="0.25">
      <c r="A45" s="5"/>
      <c r="B45" s="25" t="s">
        <v>146</v>
      </c>
      <c r="C45" s="25" t="s">
        <v>5</v>
      </c>
      <c r="D45" s="25" t="s">
        <v>145</v>
      </c>
      <c r="E45" s="27" t="s">
        <v>82</v>
      </c>
      <c r="F45" s="30">
        <f t="shared" si="5"/>
        <v>736.77800000000002</v>
      </c>
      <c r="G45" s="30">
        <f t="shared" si="5"/>
        <v>835.74400000000003</v>
      </c>
      <c r="H45" s="30">
        <f t="shared" si="5"/>
        <v>933.23800000000006</v>
      </c>
      <c r="I45" s="30">
        <f t="shared" si="5"/>
        <v>1005.0069999999999</v>
      </c>
      <c r="J45" s="44">
        <f t="shared" si="6"/>
        <v>1014.869</v>
      </c>
      <c r="K45" s="44">
        <f t="shared" si="6"/>
        <v>1014.869</v>
      </c>
      <c r="L45" s="44">
        <f t="shared" si="6"/>
        <v>1014.869</v>
      </c>
      <c r="M45" s="44">
        <f t="shared" si="6"/>
        <v>1014.869</v>
      </c>
      <c r="N45" s="44">
        <f t="shared" si="6"/>
        <v>1014.869</v>
      </c>
      <c r="O45" s="44">
        <f t="shared" si="6"/>
        <v>1014.869</v>
      </c>
      <c r="P45" s="44">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x14ac:dyDescent="0.25">
      <c r="A46" s="5"/>
      <c r="B46" s="25" t="s">
        <v>146</v>
      </c>
      <c r="C46" s="25" t="s">
        <v>61</v>
      </c>
      <c r="D46" s="25" t="s">
        <v>145</v>
      </c>
      <c r="E46" s="27" t="s">
        <v>82</v>
      </c>
      <c r="F46" s="30">
        <f t="shared" si="5"/>
        <v>0</v>
      </c>
      <c r="G46" s="30">
        <f t="shared" si="5"/>
        <v>0</v>
      </c>
      <c r="H46" s="30">
        <f t="shared" si="5"/>
        <v>0</v>
      </c>
      <c r="I46" s="30">
        <f t="shared" si="5"/>
        <v>0</v>
      </c>
      <c r="J46" s="44">
        <f t="shared" si="6"/>
        <v>0</v>
      </c>
      <c r="K46" s="44">
        <f t="shared" si="6"/>
        <v>0</v>
      </c>
      <c r="L46" s="44">
        <f t="shared" si="6"/>
        <v>0</v>
      </c>
      <c r="M46" s="44">
        <f t="shared" si="6"/>
        <v>0</v>
      </c>
      <c r="N46" s="44">
        <f t="shared" si="6"/>
        <v>0</v>
      </c>
      <c r="O46" s="44">
        <f t="shared" si="6"/>
        <v>0</v>
      </c>
      <c r="P46" s="44">
        <f t="shared" si="6"/>
        <v>0</v>
      </c>
      <c r="Q46" s="38"/>
      <c r="R46" s="40"/>
      <c r="S46" s="40"/>
      <c r="T46" s="40"/>
      <c r="U46" s="40"/>
      <c r="V46" s="40"/>
      <c r="W46" s="40"/>
      <c r="X46" s="40"/>
      <c r="Y46" s="40"/>
      <c r="Z46" s="40"/>
      <c r="AA46" s="40"/>
      <c r="AB46" s="40"/>
      <c r="AC46" s="40"/>
      <c r="AD46" s="40"/>
      <c r="AE46" s="40"/>
      <c r="AF46" s="40"/>
      <c r="AG46" s="40"/>
      <c r="AH46" s="40"/>
    </row>
    <row r="47" spans="1:34" outlineLevel="1" x14ac:dyDescent="0.25">
      <c r="A47" s="5"/>
      <c r="B47" s="25" t="s">
        <v>146</v>
      </c>
      <c r="C47" s="25" t="s">
        <v>95</v>
      </c>
      <c r="D47" s="25" t="s">
        <v>145</v>
      </c>
      <c r="E47" s="27" t="s">
        <v>82</v>
      </c>
      <c r="F47" s="30">
        <f t="shared" si="5"/>
        <v>0</v>
      </c>
      <c r="G47" s="30">
        <f t="shared" si="5"/>
        <v>0</v>
      </c>
      <c r="H47" s="30">
        <f t="shared" si="5"/>
        <v>0</v>
      </c>
      <c r="I47" s="30">
        <f t="shared" si="5"/>
        <v>0</v>
      </c>
      <c r="J47" s="44">
        <f t="shared" si="6"/>
        <v>0</v>
      </c>
      <c r="K47" s="44">
        <f t="shared" si="6"/>
        <v>0</v>
      </c>
      <c r="L47" s="44">
        <f t="shared" si="6"/>
        <v>0</v>
      </c>
      <c r="M47" s="44">
        <f t="shared" si="6"/>
        <v>0</v>
      </c>
      <c r="N47" s="44">
        <f t="shared" si="6"/>
        <v>0</v>
      </c>
      <c r="O47" s="44">
        <f t="shared" si="6"/>
        <v>0</v>
      </c>
      <c r="P47" s="44">
        <f t="shared" si="6"/>
        <v>0</v>
      </c>
      <c r="Q47" s="38"/>
      <c r="R47" s="40"/>
      <c r="S47" s="40"/>
      <c r="T47" s="40"/>
      <c r="U47" s="40"/>
      <c r="V47" s="40"/>
      <c r="W47" s="40"/>
      <c r="X47" s="40"/>
      <c r="Y47" s="40"/>
      <c r="Z47" s="40"/>
      <c r="AA47" s="40"/>
      <c r="AB47" s="40"/>
      <c r="AC47" s="40"/>
      <c r="AD47" s="40"/>
      <c r="AE47" s="40"/>
      <c r="AF47" s="40"/>
      <c r="AG47" s="40"/>
      <c r="AH47" s="40"/>
    </row>
    <row r="48" spans="1:34" outlineLevel="1" x14ac:dyDescent="0.25">
      <c r="A48" s="5"/>
      <c r="B48" s="25" t="s">
        <v>146</v>
      </c>
      <c r="C48" s="25" t="s">
        <v>97</v>
      </c>
      <c r="D48" s="25" t="s">
        <v>145</v>
      </c>
      <c r="E48" s="27" t="s">
        <v>82</v>
      </c>
      <c r="F48" s="30">
        <f t="shared" si="5"/>
        <v>0</v>
      </c>
      <c r="G48" s="30">
        <f t="shared" si="5"/>
        <v>0</v>
      </c>
      <c r="H48" s="30">
        <f t="shared" si="5"/>
        <v>0</v>
      </c>
      <c r="I48" s="30">
        <f t="shared" si="5"/>
        <v>0</v>
      </c>
      <c r="J48" s="44">
        <f t="shared" si="6"/>
        <v>0</v>
      </c>
      <c r="K48" s="44">
        <f t="shared" si="6"/>
        <v>0</v>
      </c>
      <c r="L48" s="44">
        <f t="shared" si="6"/>
        <v>0</v>
      </c>
      <c r="M48" s="44">
        <f t="shared" si="6"/>
        <v>0</v>
      </c>
      <c r="N48" s="44">
        <f t="shared" si="6"/>
        <v>0</v>
      </c>
      <c r="O48" s="44">
        <f t="shared" si="6"/>
        <v>0</v>
      </c>
      <c r="P48" s="44">
        <f t="shared" si="6"/>
        <v>0</v>
      </c>
      <c r="Q48" s="38"/>
      <c r="R48" s="40"/>
      <c r="S48" s="40"/>
      <c r="T48" s="40"/>
      <c r="U48" s="40"/>
      <c r="V48" s="40"/>
      <c r="W48" s="40"/>
      <c r="X48" s="40"/>
      <c r="Y48" s="40"/>
      <c r="Z48" s="40"/>
      <c r="AA48" s="40"/>
      <c r="AB48" s="40"/>
      <c r="AC48" s="40"/>
      <c r="AD48" s="40"/>
      <c r="AE48" s="40"/>
      <c r="AF48" s="40"/>
      <c r="AG48" s="40"/>
      <c r="AH48" s="40"/>
    </row>
    <row r="49" spans="1:34" outlineLevel="1" x14ac:dyDescent="0.25">
      <c r="A49" s="5"/>
      <c r="B49" s="25" t="s">
        <v>146</v>
      </c>
      <c r="C49" s="25" t="s">
        <v>96</v>
      </c>
      <c r="D49" s="25" t="s">
        <v>145</v>
      </c>
      <c r="E49" s="27" t="s">
        <v>82</v>
      </c>
      <c r="F49" s="30">
        <f t="shared" si="5"/>
        <v>0</v>
      </c>
      <c r="G49" s="30">
        <f t="shared" si="5"/>
        <v>0</v>
      </c>
      <c r="H49" s="30">
        <f t="shared" si="5"/>
        <v>0</v>
      </c>
      <c r="I49" s="30">
        <f t="shared" si="5"/>
        <v>0</v>
      </c>
      <c r="J49" s="44">
        <f t="shared" si="6"/>
        <v>0</v>
      </c>
      <c r="K49" s="44">
        <f t="shared" si="6"/>
        <v>0</v>
      </c>
      <c r="L49" s="44">
        <f t="shared" si="6"/>
        <v>0</v>
      </c>
      <c r="M49" s="44">
        <f t="shared" si="6"/>
        <v>0</v>
      </c>
      <c r="N49" s="44">
        <f t="shared" si="6"/>
        <v>0</v>
      </c>
      <c r="O49" s="44">
        <f t="shared" si="6"/>
        <v>0</v>
      </c>
      <c r="P49" s="44">
        <f t="shared" si="6"/>
        <v>0</v>
      </c>
      <c r="Q49" s="38"/>
    </row>
    <row r="50" spans="1:34" outlineLevel="1" x14ac:dyDescent="0.25">
      <c r="A50" s="5"/>
      <c r="B50" s="25" t="s">
        <v>147</v>
      </c>
      <c r="C50" s="25" t="s">
        <v>48</v>
      </c>
      <c r="D50" s="25" t="s">
        <v>145</v>
      </c>
      <c r="E50" s="27" t="s">
        <v>82</v>
      </c>
      <c r="F50" s="30">
        <f t="shared" si="5"/>
        <v>0</v>
      </c>
      <c r="G50" s="30">
        <f t="shared" si="5"/>
        <v>0</v>
      </c>
      <c r="H50" s="30">
        <f t="shared" si="5"/>
        <v>0</v>
      </c>
      <c r="I50" s="30">
        <f t="shared" si="5"/>
        <v>0</v>
      </c>
      <c r="J50" s="44">
        <f t="shared" si="6"/>
        <v>0</v>
      </c>
      <c r="K50" s="44">
        <f t="shared" si="6"/>
        <v>0</v>
      </c>
      <c r="L50" s="44">
        <f t="shared" si="6"/>
        <v>0</v>
      </c>
      <c r="M50" s="44">
        <f t="shared" si="6"/>
        <v>0</v>
      </c>
      <c r="N50" s="44">
        <f t="shared" si="6"/>
        <v>0</v>
      </c>
      <c r="O50" s="44">
        <f t="shared" si="6"/>
        <v>0</v>
      </c>
      <c r="P50" s="44">
        <f t="shared" si="6"/>
        <v>0</v>
      </c>
      <c r="Q50" s="38"/>
    </row>
    <row r="51" spans="1:34" outlineLevel="1" x14ac:dyDescent="0.25">
      <c r="A51" s="5"/>
      <c r="B51" s="25" t="s">
        <v>147</v>
      </c>
      <c r="C51" s="13" t="s">
        <v>87</v>
      </c>
      <c r="D51" s="25" t="s">
        <v>145</v>
      </c>
      <c r="E51" s="27" t="s">
        <v>82</v>
      </c>
      <c r="F51" s="30">
        <f t="shared" si="5"/>
        <v>0</v>
      </c>
      <c r="G51" s="30">
        <f t="shared" si="5"/>
        <v>0</v>
      </c>
      <c r="H51" s="30">
        <f t="shared" si="5"/>
        <v>0</v>
      </c>
      <c r="I51" s="30">
        <f t="shared" si="5"/>
        <v>0</v>
      </c>
      <c r="J51" s="44">
        <f t="shared" si="6"/>
        <v>0</v>
      </c>
      <c r="K51" s="44">
        <f t="shared" si="6"/>
        <v>0</v>
      </c>
      <c r="L51" s="44">
        <f t="shared" si="6"/>
        <v>0</v>
      </c>
      <c r="M51" s="44">
        <f t="shared" si="6"/>
        <v>0</v>
      </c>
      <c r="N51" s="44">
        <f t="shared" si="6"/>
        <v>0</v>
      </c>
      <c r="O51" s="44">
        <f t="shared" si="6"/>
        <v>0</v>
      </c>
      <c r="P51" s="44">
        <f t="shared" si="6"/>
        <v>0</v>
      </c>
      <c r="Q51" s="38"/>
    </row>
    <row r="52" spans="1:34" outlineLevel="1" x14ac:dyDescent="0.25">
      <c r="A52" s="5"/>
      <c r="B52" s="25" t="s">
        <v>147</v>
      </c>
      <c r="C52" s="25" t="s">
        <v>88</v>
      </c>
      <c r="D52" s="25" t="s">
        <v>145</v>
      </c>
      <c r="E52" s="27" t="s">
        <v>82</v>
      </c>
      <c r="F52" s="30">
        <f t="shared" ref="F52:I67" si="7">INDEX($R52:$BZ52,MATCH(F$1,$R$1:$BZ$1,0))</f>
        <v>0</v>
      </c>
      <c r="G52" s="30">
        <f t="shared" si="7"/>
        <v>0</v>
      </c>
      <c r="H52" s="30">
        <f t="shared" si="7"/>
        <v>0</v>
      </c>
      <c r="I52" s="30">
        <f t="shared" si="7"/>
        <v>0</v>
      </c>
      <c r="J52" s="44">
        <f t="shared" si="6"/>
        <v>0</v>
      </c>
      <c r="K52" s="44">
        <f t="shared" si="6"/>
        <v>0</v>
      </c>
      <c r="L52" s="44">
        <f t="shared" si="6"/>
        <v>0</v>
      </c>
      <c r="M52" s="44">
        <f t="shared" si="6"/>
        <v>0</v>
      </c>
      <c r="N52" s="44">
        <f t="shared" si="6"/>
        <v>0</v>
      </c>
      <c r="O52" s="44">
        <f t="shared" si="6"/>
        <v>0</v>
      </c>
      <c r="P52" s="44">
        <f t="shared" si="6"/>
        <v>0</v>
      </c>
      <c r="Q52" s="38"/>
    </row>
    <row r="53" spans="1:34" outlineLevel="1" x14ac:dyDescent="0.25">
      <c r="A53" s="5"/>
      <c r="B53" s="25" t="s">
        <v>147</v>
      </c>
      <c r="C53" s="25" t="s">
        <v>89</v>
      </c>
      <c r="D53" s="25" t="s">
        <v>145</v>
      </c>
      <c r="E53" s="27" t="s">
        <v>82</v>
      </c>
      <c r="F53" s="30">
        <f t="shared" si="7"/>
        <v>0</v>
      </c>
      <c r="G53" s="30">
        <f t="shared" si="7"/>
        <v>0</v>
      </c>
      <c r="H53" s="30">
        <f t="shared" si="7"/>
        <v>0</v>
      </c>
      <c r="I53" s="30">
        <f t="shared" si="7"/>
        <v>0</v>
      </c>
      <c r="J53" s="44">
        <f t="shared" si="6"/>
        <v>0</v>
      </c>
      <c r="K53" s="44">
        <f t="shared" si="6"/>
        <v>0</v>
      </c>
      <c r="L53" s="44">
        <f t="shared" si="6"/>
        <v>0</v>
      </c>
      <c r="M53" s="44">
        <f t="shared" si="6"/>
        <v>0</v>
      </c>
      <c r="N53" s="44">
        <f t="shared" si="6"/>
        <v>0</v>
      </c>
      <c r="O53" s="44">
        <f t="shared" si="6"/>
        <v>0</v>
      </c>
      <c r="P53" s="44">
        <f t="shared" si="6"/>
        <v>0</v>
      </c>
      <c r="Q53" s="38"/>
    </row>
    <row r="54" spans="1:34" outlineLevel="1" x14ac:dyDescent="0.25">
      <c r="A54" s="5"/>
      <c r="B54" s="25" t="s">
        <v>147</v>
      </c>
      <c r="C54" s="25" t="s">
        <v>90</v>
      </c>
      <c r="D54" s="25" t="s">
        <v>145</v>
      </c>
      <c r="E54" s="27" t="s">
        <v>82</v>
      </c>
      <c r="F54" s="30">
        <f t="shared" si="7"/>
        <v>0</v>
      </c>
      <c r="G54" s="30">
        <f t="shared" si="7"/>
        <v>0</v>
      </c>
      <c r="H54" s="30">
        <f t="shared" si="7"/>
        <v>0</v>
      </c>
      <c r="I54" s="30">
        <f t="shared" si="7"/>
        <v>0</v>
      </c>
      <c r="J54" s="44">
        <f t="shared" si="6"/>
        <v>0</v>
      </c>
      <c r="K54" s="44">
        <f t="shared" si="6"/>
        <v>0</v>
      </c>
      <c r="L54" s="44">
        <f t="shared" si="6"/>
        <v>0</v>
      </c>
      <c r="M54" s="44">
        <f t="shared" si="6"/>
        <v>0</v>
      </c>
      <c r="N54" s="44">
        <f t="shared" si="6"/>
        <v>0</v>
      </c>
      <c r="O54" s="44">
        <f t="shared" si="6"/>
        <v>0</v>
      </c>
      <c r="P54" s="44">
        <f t="shared" si="6"/>
        <v>0</v>
      </c>
      <c r="Q54" s="38"/>
    </row>
    <row r="55" spans="1:34" outlineLevel="1" x14ac:dyDescent="0.25">
      <c r="A55" s="5"/>
      <c r="B55" s="25" t="s">
        <v>147</v>
      </c>
      <c r="C55" s="25" t="s">
        <v>91</v>
      </c>
      <c r="D55" s="25" t="s">
        <v>145</v>
      </c>
      <c r="E55" s="27" t="s">
        <v>82</v>
      </c>
      <c r="F55" s="30">
        <f t="shared" si="7"/>
        <v>0</v>
      </c>
      <c r="G55" s="30">
        <f t="shared" si="7"/>
        <v>0</v>
      </c>
      <c r="H55" s="30">
        <f t="shared" si="7"/>
        <v>0</v>
      </c>
      <c r="I55" s="30">
        <f t="shared" si="7"/>
        <v>0</v>
      </c>
      <c r="J55" s="44">
        <f t="shared" si="6"/>
        <v>0</v>
      </c>
      <c r="K55" s="44">
        <f t="shared" si="6"/>
        <v>0</v>
      </c>
      <c r="L55" s="44">
        <f t="shared" si="6"/>
        <v>0</v>
      </c>
      <c r="M55" s="44">
        <f t="shared" si="6"/>
        <v>0</v>
      </c>
      <c r="N55" s="44">
        <f t="shared" si="6"/>
        <v>0</v>
      </c>
      <c r="O55" s="44">
        <f t="shared" si="6"/>
        <v>0</v>
      </c>
      <c r="P55" s="44">
        <f t="shared" si="6"/>
        <v>0</v>
      </c>
      <c r="Q55" s="38"/>
    </row>
    <row r="56" spans="1:34" outlineLevel="1" x14ac:dyDescent="0.25">
      <c r="A56" s="5"/>
      <c r="B56" s="25" t="s">
        <v>147</v>
      </c>
      <c r="C56" s="25" t="s">
        <v>92</v>
      </c>
      <c r="D56" s="25" t="s">
        <v>145</v>
      </c>
      <c r="E56" s="27" t="s">
        <v>82</v>
      </c>
      <c r="F56" s="30">
        <f t="shared" si="7"/>
        <v>0</v>
      </c>
      <c r="G56" s="30">
        <f t="shared" si="7"/>
        <v>0</v>
      </c>
      <c r="H56" s="30">
        <f t="shared" si="7"/>
        <v>0</v>
      </c>
      <c r="I56" s="30">
        <f t="shared" si="7"/>
        <v>0</v>
      </c>
      <c r="J56" s="44">
        <f t="shared" si="6"/>
        <v>0</v>
      </c>
      <c r="K56" s="44">
        <f t="shared" si="6"/>
        <v>0</v>
      </c>
      <c r="L56" s="44">
        <f t="shared" si="6"/>
        <v>0</v>
      </c>
      <c r="M56" s="44">
        <f t="shared" si="6"/>
        <v>0</v>
      </c>
      <c r="N56" s="44">
        <f t="shared" si="6"/>
        <v>0</v>
      </c>
      <c r="O56" s="44">
        <f t="shared" si="6"/>
        <v>0</v>
      </c>
      <c r="P56" s="44">
        <f t="shared" si="6"/>
        <v>0</v>
      </c>
      <c r="Q56" s="38"/>
    </row>
    <row r="57" spans="1:34" outlineLevel="1" x14ac:dyDescent="0.25">
      <c r="A57" s="5"/>
      <c r="B57" s="25" t="s">
        <v>147</v>
      </c>
      <c r="C57" s="25" t="s">
        <v>93</v>
      </c>
      <c r="D57" s="25" t="s">
        <v>145</v>
      </c>
      <c r="E57" s="27" t="s">
        <v>82</v>
      </c>
      <c r="F57" s="30">
        <f t="shared" si="7"/>
        <v>0</v>
      </c>
      <c r="G57" s="30">
        <f t="shared" si="7"/>
        <v>0</v>
      </c>
      <c r="H57" s="30">
        <f t="shared" si="7"/>
        <v>0</v>
      </c>
      <c r="I57" s="30">
        <f t="shared" si="7"/>
        <v>0</v>
      </c>
      <c r="J57" s="44">
        <f t="shared" si="6"/>
        <v>0</v>
      </c>
      <c r="K57" s="44">
        <f t="shared" si="6"/>
        <v>0</v>
      </c>
      <c r="L57" s="44">
        <f t="shared" si="6"/>
        <v>0</v>
      </c>
      <c r="M57" s="44">
        <f t="shared" si="6"/>
        <v>0</v>
      </c>
      <c r="N57" s="44">
        <f t="shared" si="6"/>
        <v>0</v>
      </c>
      <c r="O57" s="44">
        <f t="shared" si="6"/>
        <v>0</v>
      </c>
      <c r="P57" s="44">
        <f t="shared" si="6"/>
        <v>0</v>
      </c>
      <c r="Q57" s="38"/>
    </row>
    <row r="58" spans="1:34" outlineLevel="1" x14ac:dyDescent="0.25">
      <c r="A58" s="5"/>
      <c r="B58" s="25" t="s">
        <v>147</v>
      </c>
      <c r="C58" s="25" t="s">
        <v>94</v>
      </c>
      <c r="D58" s="25" t="s">
        <v>145</v>
      </c>
      <c r="E58" s="27" t="s">
        <v>82</v>
      </c>
      <c r="F58" s="30">
        <f t="shared" si="7"/>
        <v>0</v>
      </c>
      <c r="G58" s="30">
        <f t="shared" si="7"/>
        <v>0</v>
      </c>
      <c r="H58" s="30">
        <f t="shared" si="7"/>
        <v>0</v>
      </c>
      <c r="I58" s="30">
        <f t="shared" si="7"/>
        <v>0</v>
      </c>
      <c r="J58" s="44">
        <f t="shared" si="6"/>
        <v>0</v>
      </c>
      <c r="K58" s="44">
        <f t="shared" si="6"/>
        <v>0</v>
      </c>
      <c r="L58" s="44">
        <f t="shared" si="6"/>
        <v>0</v>
      </c>
      <c r="M58" s="44">
        <f t="shared" si="6"/>
        <v>0</v>
      </c>
      <c r="N58" s="44">
        <f t="shared" si="6"/>
        <v>0</v>
      </c>
      <c r="O58" s="44">
        <f t="shared" si="6"/>
        <v>0</v>
      </c>
      <c r="P58" s="44">
        <f t="shared" si="6"/>
        <v>0</v>
      </c>
      <c r="Q58" s="38"/>
    </row>
    <row r="59" spans="1:34" outlineLevel="1" x14ac:dyDescent="0.25">
      <c r="A59" s="5"/>
      <c r="B59" s="25" t="s">
        <v>147</v>
      </c>
      <c r="C59" s="25" t="s">
        <v>5</v>
      </c>
      <c r="D59" s="25" t="s">
        <v>145</v>
      </c>
      <c r="E59" s="27" t="s">
        <v>82</v>
      </c>
      <c r="F59" s="30">
        <f t="shared" si="7"/>
        <v>131.429</v>
      </c>
      <c r="G59" s="30">
        <f t="shared" si="7"/>
        <v>154.642</v>
      </c>
      <c r="H59" s="30">
        <f t="shared" si="7"/>
        <v>182.791</v>
      </c>
      <c r="I59" s="30">
        <f t="shared" si="7"/>
        <v>219.446</v>
      </c>
      <c r="J59" s="44">
        <f t="shared" si="6"/>
        <v>225.62</v>
      </c>
      <c r="K59" s="44">
        <f t="shared" si="6"/>
        <v>225.62</v>
      </c>
      <c r="L59" s="44">
        <f t="shared" si="6"/>
        <v>225.62</v>
      </c>
      <c r="M59" s="44">
        <f t="shared" si="6"/>
        <v>225.62</v>
      </c>
      <c r="N59" s="44">
        <f t="shared" si="6"/>
        <v>225.62</v>
      </c>
      <c r="O59" s="44">
        <f t="shared" si="6"/>
        <v>225.62</v>
      </c>
      <c r="P59" s="44">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x14ac:dyDescent="0.25">
      <c r="A60" s="5"/>
      <c r="B60" s="25" t="s">
        <v>147</v>
      </c>
      <c r="C60" s="25" t="s">
        <v>61</v>
      </c>
      <c r="D60" s="25" t="s">
        <v>145</v>
      </c>
      <c r="E60" s="27" t="s">
        <v>82</v>
      </c>
      <c r="F60" s="30">
        <f t="shared" si="7"/>
        <v>0</v>
      </c>
      <c r="G60" s="30">
        <f t="shared" si="7"/>
        <v>0</v>
      </c>
      <c r="H60" s="30">
        <f t="shared" si="7"/>
        <v>0</v>
      </c>
      <c r="I60" s="30">
        <f t="shared" si="7"/>
        <v>0</v>
      </c>
      <c r="J60" s="44">
        <f t="shared" si="6"/>
        <v>0</v>
      </c>
      <c r="K60" s="44">
        <f t="shared" si="6"/>
        <v>0</v>
      </c>
      <c r="L60" s="44">
        <f t="shared" si="6"/>
        <v>0</v>
      </c>
      <c r="M60" s="44">
        <f t="shared" si="6"/>
        <v>0</v>
      </c>
      <c r="N60" s="44">
        <f t="shared" si="6"/>
        <v>0</v>
      </c>
      <c r="O60" s="44">
        <f t="shared" si="6"/>
        <v>0</v>
      </c>
      <c r="P60" s="44">
        <f t="shared" si="6"/>
        <v>0</v>
      </c>
      <c r="Q60" s="38"/>
      <c r="R60" s="40"/>
      <c r="S60" s="40"/>
      <c r="T60" s="40"/>
      <c r="U60" s="40"/>
      <c r="V60" s="40"/>
      <c r="W60" s="40"/>
      <c r="X60" s="40"/>
      <c r="Y60" s="40"/>
      <c r="Z60" s="40"/>
      <c r="AA60" s="40"/>
      <c r="AB60" s="40"/>
      <c r="AC60" s="40"/>
      <c r="AD60" s="40"/>
      <c r="AE60" s="40"/>
      <c r="AF60" s="40"/>
      <c r="AG60" s="40"/>
      <c r="AH60" s="40"/>
    </row>
    <row r="61" spans="1:34" outlineLevel="1" x14ac:dyDescent="0.25">
      <c r="A61" s="5"/>
      <c r="B61" s="25" t="s">
        <v>147</v>
      </c>
      <c r="C61" s="25" t="s">
        <v>95</v>
      </c>
      <c r="D61" s="25" t="s">
        <v>145</v>
      </c>
      <c r="E61" s="27" t="s">
        <v>82</v>
      </c>
      <c r="F61" s="30">
        <f t="shared" si="7"/>
        <v>0</v>
      </c>
      <c r="G61" s="30">
        <f t="shared" si="7"/>
        <v>0</v>
      </c>
      <c r="H61" s="30">
        <f t="shared" si="7"/>
        <v>0</v>
      </c>
      <c r="I61" s="30">
        <f t="shared" si="7"/>
        <v>0</v>
      </c>
      <c r="J61" s="44">
        <f t="shared" si="6"/>
        <v>0</v>
      </c>
      <c r="K61" s="44">
        <f t="shared" si="6"/>
        <v>0</v>
      </c>
      <c r="L61" s="44">
        <f t="shared" si="6"/>
        <v>0</v>
      </c>
      <c r="M61" s="44">
        <f t="shared" si="6"/>
        <v>0</v>
      </c>
      <c r="N61" s="44">
        <f t="shared" si="6"/>
        <v>0</v>
      </c>
      <c r="O61" s="44">
        <f t="shared" si="6"/>
        <v>0</v>
      </c>
      <c r="P61" s="44">
        <f t="shared" si="6"/>
        <v>0</v>
      </c>
      <c r="Q61" s="38"/>
      <c r="R61" s="40"/>
      <c r="S61" s="40"/>
      <c r="T61" s="40"/>
      <c r="U61" s="40"/>
      <c r="V61" s="40"/>
      <c r="W61" s="40"/>
      <c r="X61" s="40"/>
      <c r="Y61" s="40"/>
      <c r="Z61" s="40"/>
      <c r="AA61" s="40"/>
      <c r="AB61" s="40"/>
      <c r="AC61" s="40"/>
      <c r="AD61" s="40"/>
      <c r="AE61" s="40"/>
      <c r="AF61" s="40"/>
      <c r="AG61" s="40"/>
      <c r="AH61" s="40"/>
    </row>
    <row r="62" spans="1:34" outlineLevel="1" x14ac:dyDescent="0.25">
      <c r="A62" s="5"/>
      <c r="B62" s="25" t="s">
        <v>147</v>
      </c>
      <c r="C62" s="25" t="s">
        <v>97</v>
      </c>
      <c r="D62" s="25" t="s">
        <v>145</v>
      </c>
      <c r="E62" s="27" t="s">
        <v>82</v>
      </c>
      <c r="F62" s="30">
        <f t="shared" si="7"/>
        <v>0</v>
      </c>
      <c r="G62" s="30">
        <f t="shared" si="7"/>
        <v>0</v>
      </c>
      <c r="H62" s="30">
        <f t="shared" si="7"/>
        <v>0</v>
      </c>
      <c r="I62" s="30">
        <f t="shared" si="7"/>
        <v>0</v>
      </c>
      <c r="J62" s="44">
        <f t="shared" si="6"/>
        <v>0</v>
      </c>
      <c r="K62" s="44">
        <f t="shared" si="6"/>
        <v>0</v>
      </c>
      <c r="L62" s="44">
        <f t="shared" si="6"/>
        <v>0</v>
      </c>
      <c r="M62" s="44">
        <f t="shared" si="6"/>
        <v>0</v>
      </c>
      <c r="N62" s="44">
        <f t="shared" si="6"/>
        <v>0</v>
      </c>
      <c r="O62" s="44">
        <f t="shared" si="6"/>
        <v>0</v>
      </c>
      <c r="P62" s="44">
        <f t="shared" si="6"/>
        <v>0</v>
      </c>
      <c r="Q62" s="38"/>
      <c r="R62" s="40"/>
      <c r="S62" s="40"/>
      <c r="T62" s="40"/>
      <c r="U62" s="40"/>
      <c r="V62" s="40"/>
      <c r="W62" s="40"/>
      <c r="X62" s="40"/>
      <c r="Y62" s="40"/>
      <c r="Z62" s="40"/>
      <c r="AA62" s="40"/>
      <c r="AB62" s="40"/>
      <c r="AC62" s="40"/>
      <c r="AD62" s="40"/>
      <c r="AE62" s="40"/>
      <c r="AF62" s="40"/>
      <c r="AG62" s="40"/>
      <c r="AH62" s="40"/>
    </row>
    <row r="63" spans="1:34" outlineLevel="1" x14ac:dyDescent="0.25">
      <c r="A63" s="5"/>
      <c r="B63" s="25" t="s">
        <v>147</v>
      </c>
      <c r="C63" s="25" t="s">
        <v>96</v>
      </c>
      <c r="D63" s="25" t="s">
        <v>145</v>
      </c>
      <c r="E63" s="27" t="s">
        <v>82</v>
      </c>
      <c r="F63" s="30">
        <f t="shared" si="7"/>
        <v>0</v>
      </c>
      <c r="G63" s="30">
        <f t="shared" si="7"/>
        <v>0</v>
      </c>
      <c r="H63" s="30">
        <f t="shared" si="7"/>
        <v>0</v>
      </c>
      <c r="I63" s="30">
        <f t="shared" si="7"/>
        <v>0</v>
      </c>
      <c r="J63" s="44">
        <f t="shared" si="6"/>
        <v>0</v>
      </c>
      <c r="K63" s="44">
        <f t="shared" si="6"/>
        <v>0</v>
      </c>
      <c r="L63" s="44">
        <f t="shared" si="6"/>
        <v>0</v>
      </c>
      <c r="M63" s="44">
        <f t="shared" si="6"/>
        <v>0</v>
      </c>
      <c r="N63" s="44">
        <f t="shared" si="6"/>
        <v>0</v>
      </c>
      <c r="O63" s="44">
        <f t="shared" si="6"/>
        <v>0</v>
      </c>
      <c r="P63" s="44">
        <f t="shared" si="6"/>
        <v>0</v>
      </c>
      <c r="Q63" s="38"/>
    </row>
    <row r="64" spans="1:34" outlineLevel="1" x14ac:dyDescent="0.25">
      <c r="A64" s="5"/>
      <c r="B64" s="25" t="s">
        <v>25</v>
      </c>
      <c r="C64" s="25" t="s">
        <v>48</v>
      </c>
      <c r="D64" s="25" t="s">
        <v>145</v>
      </c>
      <c r="E64" s="27" t="s">
        <v>82</v>
      </c>
      <c r="F64" s="30">
        <f t="shared" si="7"/>
        <v>0</v>
      </c>
      <c r="G64" s="30">
        <f t="shared" si="7"/>
        <v>0</v>
      </c>
      <c r="H64" s="30">
        <f t="shared" si="7"/>
        <v>0</v>
      </c>
      <c r="I64" s="30">
        <f t="shared" si="7"/>
        <v>0</v>
      </c>
      <c r="J64" s="44">
        <f t="shared" si="6"/>
        <v>0</v>
      </c>
      <c r="K64" s="44">
        <f t="shared" si="6"/>
        <v>0</v>
      </c>
      <c r="L64" s="44">
        <f t="shared" si="6"/>
        <v>0</v>
      </c>
      <c r="M64" s="44">
        <f t="shared" si="6"/>
        <v>0</v>
      </c>
      <c r="N64" s="44">
        <f t="shared" si="6"/>
        <v>0</v>
      </c>
      <c r="O64" s="44">
        <f t="shared" si="6"/>
        <v>0</v>
      </c>
      <c r="P64" s="44">
        <f t="shared" si="6"/>
        <v>0</v>
      </c>
      <c r="Q64" s="38"/>
    </row>
    <row r="65" spans="1:34" outlineLevel="1" x14ac:dyDescent="0.25">
      <c r="A65" s="5"/>
      <c r="B65" s="25" t="s">
        <v>25</v>
      </c>
      <c r="C65" s="13" t="s">
        <v>87</v>
      </c>
      <c r="D65" s="25" t="s">
        <v>145</v>
      </c>
      <c r="E65" s="27" t="s">
        <v>82</v>
      </c>
      <c r="F65" s="30">
        <f t="shared" si="7"/>
        <v>0</v>
      </c>
      <c r="G65" s="30">
        <f t="shared" si="7"/>
        <v>0</v>
      </c>
      <c r="H65" s="30">
        <f t="shared" si="7"/>
        <v>0</v>
      </c>
      <c r="I65" s="30">
        <f t="shared" si="7"/>
        <v>0</v>
      </c>
      <c r="J65" s="44">
        <f t="shared" si="6"/>
        <v>0</v>
      </c>
      <c r="K65" s="44">
        <f t="shared" si="6"/>
        <v>0</v>
      </c>
      <c r="L65" s="44">
        <f t="shared" si="6"/>
        <v>0</v>
      </c>
      <c r="M65" s="44">
        <f t="shared" si="6"/>
        <v>0</v>
      </c>
      <c r="N65" s="44">
        <f t="shared" si="6"/>
        <v>0</v>
      </c>
      <c r="O65" s="44">
        <f t="shared" si="6"/>
        <v>0</v>
      </c>
      <c r="P65" s="44">
        <f t="shared" si="6"/>
        <v>0</v>
      </c>
      <c r="Q65" s="38"/>
    </row>
    <row r="66" spans="1:34" outlineLevel="1" x14ac:dyDescent="0.25">
      <c r="A66" s="5"/>
      <c r="B66" s="25" t="s">
        <v>25</v>
      </c>
      <c r="C66" s="25" t="s">
        <v>88</v>
      </c>
      <c r="D66" s="25" t="s">
        <v>145</v>
      </c>
      <c r="E66" s="27" t="s">
        <v>82</v>
      </c>
      <c r="F66" s="30">
        <f t="shared" si="7"/>
        <v>0</v>
      </c>
      <c r="G66" s="30">
        <f t="shared" si="7"/>
        <v>0</v>
      </c>
      <c r="H66" s="30">
        <f t="shared" si="7"/>
        <v>0</v>
      </c>
      <c r="I66" s="30">
        <f t="shared" si="7"/>
        <v>0</v>
      </c>
      <c r="J66" s="44">
        <f t="shared" si="6"/>
        <v>0</v>
      </c>
      <c r="K66" s="44">
        <f t="shared" si="6"/>
        <v>0</v>
      </c>
      <c r="L66" s="44">
        <f t="shared" si="6"/>
        <v>0</v>
      </c>
      <c r="M66" s="44">
        <f t="shared" si="6"/>
        <v>0</v>
      </c>
      <c r="N66" s="44">
        <f t="shared" si="6"/>
        <v>0</v>
      </c>
      <c r="O66" s="44">
        <f t="shared" si="6"/>
        <v>0</v>
      </c>
      <c r="P66" s="44">
        <f t="shared" si="6"/>
        <v>0</v>
      </c>
      <c r="Q66" s="38"/>
    </row>
    <row r="67" spans="1:34" outlineLevel="1" x14ac:dyDescent="0.25">
      <c r="A67" s="5"/>
      <c r="B67" s="25" t="s">
        <v>25</v>
      </c>
      <c r="C67" s="25" t="s">
        <v>89</v>
      </c>
      <c r="D67" s="25" t="s">
        <v>145</v>
      </c>
      <c r="E67" s="27" t="s">
        <v>82</v>
      </c>
      <c r="F67" s="30">
        <f t="shared" si="7"/>
        <v>0</v>
      </c>
      <c r="G67" s="30">
        <f t="shared" si="7"/>
        <v>0</v>
      </c>
      <c r="H67" s="30">
        <f t="shared" si="7"/>
        <v>0</v>
      </c>
      <c r="I67" s="30">
        <f t="shared" si="7"/>
        <v>0</v>
      </c>
      <c r="J67" s="44">
        <f t="shared" si="6"/>
        <v>0</v>
      </c>
      <c r="K67" s="44">
        <f t="shared" si="6"/>
        <v>0</v>
      </c>
      <c r="L67" s="44">
        <f t="shared" si="6"/>
        <v>0</v>
      </c>
      <c r="M67" s="44">
        <f t="shared" si="6"/>
        <v>0</v>
      </c>
      <c r="N67" s="44">
        <f t="shared" si="6"/>
        <v>0</v>
      </c>
      <c r="O67" s="44">
        <f t="shared" si="6"/>
        <v>0</v>
      </c>
      <c r="P67" s="44">
        <f t="shared" si="6"/>
        <v>0</v>
      </c>
      <c r="Q67" s="38"/>
    </row>
    <row r="68" spans="1:34" outlineLevel="1" x14ac:dyDescent="0.25">
      <c r="A68" s="5"/>
      <c r="B68" s="25" t="s">
        <v>25</v>
      </c>
      <c r="C68" s="25" t="s">
        <v>90</v>
      </c>
      <c r="D68" s="25" t="s">
        <v>145</v>
      </c>
      <c r="E68" s="27" t="s">
        <v>82</v>
      </c>
      <c r="F68" s="30">
        <f t="shared" ref="F68:I83" si="8">INDEX($R68:$BZ68,MATCH(F$1,$R$1:$BZ$1,0))</f>
        <v>0</v>
      </c>
      <c r="G68" s="30">
        <f t="shared" si="8"/>
        <v>0</v>
      </c>
      <c r="H68" s="30">
        <f t="shared" si="8"/>
        <v>0</v>
      </c>
      <c r="I68" s="30">
        <f t="shared" si="8"/>
        <v>0</v>
      </c>
      <c r="J68" s="44">
        <f t="shared" si="6"/>
        <v>0</v>
      </c>
      <c r="K68" s="44">
        <f t="shared" si="6"/>
        <v>0</v>
      </c>
      <c r="L68" s="44">
        <f t="shared" si="6"/>
        <v>0</v>
      </c>
      <c r="M68" s="44">
        <f t="shared" si="6"/>
        <v>0</v>
      </c>
      <c r="N68" s="44">
        <f t="shared" si="6"/>
        <v>0</v>
      </c>
      <c r="O68" s="44">
        <f t="shared" si="6"/>
        <v>0</v>
      </c>
      <c r="P68" s="44">
        <f t="shared" si="6"/>
        <v>0</v>
      </c>
      <c r="Q68" s="38"/>
    </row>
    <row r="69" spans="1:34" outlineLevel="1" x14ac:dyDescent="0.25">
      <c r="A69" s="5"/>
      <c r="B69" s="25" t="s">
        <v>25</v>
      </c>
      <c r="C69" s="25" t="s">
        <v>91</v>
      </c>
      <c r="D69" s="25" t="s">
        <v>145</v>
      </c>
      <c r="E69" s="27" t="s">
        <v>82</v>
      </c>
      <c r="F69" s="30">
        <f t="shared" si="8"/>
        <v>0</v>
      </c>
      <c r="G69" s="30">
        <f t="shared" si="8"/>
        <v>0</v>
      </c>
      <c r="H69" s="30">
        <f t="shared" si="8"/>
        <v>0</v>
      </c>
      <c r="I69" s="30">
        <f t="shared" si="8"/>
        <v>0</v>
      </c>
      <c r="J69" s="44">
        <f t="shared" si="6"/>
        <v>0</v>
      </c>
      <c r="K69" s="44">
        <f t="shared" si="6"/>
        <v>0</v>
      </c>
      <c r="L69" s="44">
        <f t="shared" si="6"/>
        <v>0</v>
      </c>
      <c r="M69" s="44">
        <f t="shared" si="6"/>
        <v>0</v>
      </c>
      <c r="N69" s="44">
        <f t="shared" si="6"/>
        <v>0</v>
      </c>
      <c r="O69" s="44">
        <f t="shared" si="6"/>
        <v>0</v>
      </c>
      <c r="P69" s="44">
        <f t="shared" si="6"/>
        <v>0</v>
      </c>
      <c r="Q69" s="38"/>
    </row>
    <row r="70" spans="1:34" outlineLevel="1" x14ac:dyDescent="0.25">
      <c r="A70" s="5"/>
      <c r="B70" s="25" t="s">
        <v>25</v>
      </c>
      <c r="C70" s="25" t="s">
        <v>92</v>
      </c>
      <c r="D70" s="25" t="s">
        <v>145</v>
      </c>
      <c r="E70" s="27" t="s">
        <v>82</v>
      </c>
      <c r="F70" s="30">
        <f t="shared" si="8"/>
        <v>0</v>
      </c>
      <c r="G70" s="30">
        <f t="shared" si="8"/>
        <v>0</v>
      </c>
      <c r="H70" s="30">
        <f t="shared" si="8"/>
        <v>0</v>
      </c>
      <c r="I70" s="30">
        <f t="shared" si="8"/>
        <v>0</v>
      </c>
      <c r="J70" s="44">
        <f t="shared" si="6"/>
        <v>0</v>
      </c>
      <c r="K70" s="44">
        <f t="shared" si="6"/>
        <v>0</v>
      </c>
      <c r="L70" s="44">
        <f t="shared" si="6"/>
        <v>0</v>
      </c>
      <c r="M70" s="44">
        <f t="shared" si="6"/>
        <v>0</v>
      </c>
      <c r="N70" s="44">
        <f t="shared" si="6"/>
        <v>0</v>
      </c>
      <c r="O70" s="44">
        <f t="shared" si="6"/>
        <v>0</v>
      </c>
      <c r="P70" s="44">
        <f t="shared" si="6"/>
        <v>0</v>
      </c>
      <c r="Q70" s="38"/>
    </row>
    <row r="71" spans="1:34" outlineLevel="1" x14ac:dyDescent="0.25">
      <c r="A71" s="5"/>
      <c r="B71" s="25" t="s">
        <v>25</v>
      </c>
      <c r="C71" s="25" t="s">
        <v>93</v>
      </c>
      <c r="D71" s="25" t="s">
        <v>145</v>
      </c>
      <c r="E71" s="27" t="s">
        <v>82</v>
      </c>
      <c r="F71" s="30">
        <f t="shared" si="8"/>
        <v>0</v>
      </c>
      <c r="G71" s="30">
        <f t="shared" si="8"/>
        <v>0</v>
      </c>
      <c r="H71" s="30">
        <f t="shared" si="8"/>
        <v>0</v>
      </c>
      <c r="I71" s="30">
        <f t="shared" si="8"/>
        <v>0</v>
      </c>
      <c r="J71" s="44">
        <f t="shared" si="6"/>
        <v>0</v>
      </c>
      <c r="K71" s="44">
        <f t="shared" si="6"/>
        <v>0</v>
      </c>
      <c r="L71" s="44">
        <f t="shared" si="6"/>
        <v>0</v>
      </c>
      <c r="M71" s="44">
        <f t="shared" si="6"/>
        <v>0</v>
      </c>
      <c r="N71" s="44">
        <f t="shared" si="6"/>
        <v>0</v>
      </c>
      <c r="O71" s="44">
        <f t="shared" si="6"/>
        <v>0</v>
      </c>
      <c r="P71" s="44">
        <f t="shared" si="6"/>
        <v>0</v>
      </c>
      <c r="Q71" s="38"/>
    </row>
    <row r="72" spans="1:34" outlineLevel="1" x14ac:dyDescent="0.25">
      <c r="A72" s="5"/>
      <c r="B72" s="25" t="s">
        <v>25</v>
      </c>
      <c r="C72" s="25" t="s">
        <v>94</v>
      </c>
      <c r="D72" s="25" t="s">
        <v>145</v>
      </c>
      <c r="E72" s="27" t="s">
        <v>82</v>
      </c>
      <c r="F72" s="30">
        <f t="shared" si="8"/>
        <v>0</v>
      </c>
      <c r="G72" s="30">
        <f t="shared" si="8"/>
        <v>0</v>
      </c>
      <c r="H72" s="30">
        <f t="shared" si="8"/>
        <v>0</v>
      </c>
      <c r="I72" s="30">
        <f t="shared" si="8"/>
        <v>0</v>
      </c>
      <c r="J72" s="44">
        <f t="shared" si="6"/>
        <v>0</v>
      </c>
      <c r="K72" s="44">
        <f t="shared" si="6"/>
        <v>0</v>
      </c>
      <c r="L72" s="44">
        <f t="shared" si="6"/>
        <v>0</v>
      </c>
      <c r="M72" s="44">
        <f t="shared" ref="J72:P91" si="9">$AH72</f>
        <v>0</v>
      </c>
      <c r="N72" s="44">
        <f t="shared" si="9"/>
        <v>0</v>
      </c>
      <c r="O72" s="44">
        <f t="shared" si="9"/>
        <v>0</v>
      </c>
      <c r="P72" s="44">
        <f t="shared" si="9"/>
        <v>0</v>
      </c>
      <c r="Q72" s="38"/>
    </row>
    <row r="73" spans="1:34" outlineLevel="1" x14ac:dyDescent="0.25">
      <c r="A73" s="5"/>
      <c r="B73" s="25" t="s">
        <v>25</v>
      </c>
      <c r="C73" s="25" t="s">
        <v>5</v>
      </c>
      <c r="D73" s="25" t="s">
        <v>145</v>
      </c>
      <c r="E73" s="27" t="s">
        <v>82</v>
      </c>
      <c r="F73" s="30">
        <f t="shared" si="8"/>
        <v>240.845</v>
      </c>
      <c r="G73" s="30">
        <f t="shared" si="8"/>
        <v>274.08699999999999</v>
      </c>
      <c r="H73" s="30">
        <f t="shared" si="8"/>
        <v>312.69900000000001</v>
      </c>
      <c r="I73" s="30">
        <f t="shared" si="8"/>
        <v>356.34800000000001</v>
      </c>
      <c r="J73" s="44">
        <f t="shared" si="9"/>
        <v>363.14299999999997</v>
      </c>
      <c r="K73" s="44">
        <f t="shared" si="9"/>
        <v>363.14299999999997</v>
      </c>
      <c r="L73" s="44">
        <f t="shared" si="9"/>
        <v>363.14299999999997</v>
      </c>
      <c r="M73" s="44">
        <f t="shared" si="9"/>
        <v>363.14299999999997</v>
      </c>
      <c r="N73" s="44">
        <f t="shared" si="9"/>
        <v>363.14299999999997</v>
      </c>
      <c r="O73" s="44">
        <f t="shared" si="9"/>
        <v>363.14299999999997</v>
      </c>
      <c r="P73" s="44">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x14ac:dyDescent="0.25">
      <c r="A74" s="5"/>
      <c r="B74" s="25" t="s">
        <v>25</v>
      </c>
      <c r="C74" s="25" t="s">
        <v>61</v>
      </c>
      <c r="D74" s="25" t="s">
        <v>145</v>
      </c>
      <c r="E74" s="27" t="s">
        <v>82</v>
      </c>
      <c r="F74" s="30">
        <f t="shared" si="8"/>
        <v>0</v>
      </c>
      <c r="G74" s="30">
        <f t="shared" si="8"/>
        <v>0</v>
      </c>
      <c r="H74" s="30">
        <f t="shared" si="8"/>
        <v>0</v>
      </c>
      <c r="I74" s="30">
        <f t="shared" si="8"/>
        <v>0</v>
      </c>
      <c r="J74" s="44">
        <f t="shared" si="9"/>
        <v>0</v>
      </c>
      <c r="K74" s="44">
        <f t="shared" si="9"/>
        <v>0</v>
      </c>
      <c r="L74" s="44">
        <f t="shared" si="9"/>
        <v>0</v>
      </c>
      <c r="M74" s="44">
        <f t="shared" si="9"/>
        <v>0</v>
      </c>
      <c r="N74" s="44">
        <f t="shared" si="9"/>
        <v>0</v>
      </c>
      <c r="O74" s="44">
        <f t="shared" si="9"/>
        <v>0</v>
      </c>
      <c r="P74" s="44">
        <f t="shared" si="9"/>
        <v>0</v>
      </c>
      <c r="Q74" s="38"/>
      <c r="R74" s="40"/>
      <c r="S74" s="40"/>
      <c r="T74" s="40"/>
      <c r="U74" s="40"/>
      <c r="V74" s="40"/>
      <c r="W74" s="40"/>
      <c r="X74" s="40"/>
      <c r="Y74" s="40"/>
      <c r="Z74" s="40"/>
      <c r="AA74" s="40"/>
      <c r="AB74" s="40"/>
      <c r="AC74" s="40"/>
      <c r="AD74" s="40"/>
      <c r="AE74" s="40"/>
      <c r="AF74" s="40"/>
      <c r="AG74" s="40"/>
      <c r="AH74" s="40"/>
    </row>
    <row r="75" spans="1:34" outlineLevel="1" x14ac:dyDescent="0.25">
      <c r="A75" s="5"/>
      <c r="B75" s="25" t="s">
        <v>25</v>
      </c>
      <c r="C75" s="25" t="s">
        <v>95</v>
      </c>
      <c r="D75" s="25" t="s">
        <v>145</v>
      </c>
      <c r="E75" s="27" t="s">
        <v>82</v>
      </c>
      <c r="F75" s="30">
        <f t="shared" si="8"/>
        <v>0</v>
      </c>
      <c r="G75" s="30">
        <f t="shared" si="8"/>
        <v>0</v>
      </c>
      <c r="H75" s="30">
        <f t="shared" si="8"/>
        <v>0</v>
      </c>
      <c r="I75" s="30">
        <f t="shared" si="8"/>
        <v>0</v>
      </c>
      <c r="J75" s="44">
        <f t="shared" si="9"/>
        <v>0</v>
      </c>
      <c r="K75" s="44">
        <f t="shared" si="9"/>
        <v>0</v>
      </c>
      <c r="L75" s="44">
        <f t="shared" si="9"/>
        <v>0</v>
      </c>
      <c r="M75" s="44">
        <f t="shared" si="9"/>
        <v>0</v>
      </c>
      <c r="N75" s="44">
        <f t="shared" si="9"/>
        <v>0</v>
      </c>
      <c r="O75" s="44">
        <f t="shared" si="9"/>
        <v>0</v>
      </c>
      <c r="P75" s="44">
        <f t="shared" si="9"/>
        <v>0</v>
      </c>
      <c r="Q75" s="38"/>
      <c r="R75" s="40"/>
      <c r="S75" s="40"/>
      <c r="T75" s="40"/>
      <c r="U75" s="40"/>
      <c r="V75" s="40"/>
      <c r="W75" s="40"/>
      <c r="X75" s="40"/>
      <c r="Y75" s="40"/>
      <c r="Z75" s="40"/>
      <c r="AA75" s="40"/>
      <c r="AB75" s="40"/>
      <c r="AC75" s="40"/>
      <c r="AD75" s="40"/>
      <c r="AE75" s="40"/>
      <c r="AF75" s="40"/>
      <c r="AG75" s="40"/>
      <c r="AH75" s="40"/>
    </row>
    <row r="76" spans="1:34" outlineLevel="1" x14ac:dyDescent="0.25">
      <c r="A76" s="5"/>
      <c r="B76" s="25" t="s">
        <v>25</v>
      </c>
      <c r="C76" s="25" t="s">
        <v>97</v>
      </c>
      <c r="D76" s="25" t="s">
        <v>145</v>
      </c>
      <c r="E76" s="27" t="s">
        <v>82</v>
      </c>
      <c r="F76" s="30">
        <f t="shared" si="8"/>
        <v>0</v>
      </c>
      <c r="G76" s="30">
        <f t="shared" si="8"/>
        <v>0</v>
      </c>
      <c r="H76" s="30">
        <f t="shared" si="8"/>
        <v>0</v>
      </c>
      <c r="I76" s="30">
        <f t="shared" si="8"/>
        <v>0</v>
      </c>
      <c r="J76" s="44">
        <f t="shared" si="9"/>
        <v>0</v>
      </c>
      <c r="K76" s="44">
        <f t="shared" si="9"/>
        <v>0</v>
      </c>
      <c r="L76" s="44">
        <f t="shared" si="9"/>
        <v>0</v>
      </c>
      <c r="M76" s="44">
        <f t="shared" si="9"/>
        <v>0</v>
      </c>
      <c r="N76" s="44">
        <f t="shared" si="9"/>
        <v>0</v>
      </c>
      <c r="O76" s="44">
        <f t="shared" si="9"/>
        <v>0</v>
      </c>
      <c r="P76" s="44">
        <f t="shared" si="9"/>
        <v>0</v>
      </c>
      <c r="Q76" s="38"/>
      <c r="R76" s="40"/>
      <c r="S76" s="40"/>
      <c r="T76" s="40"/>
      <c r="U76" s="40"/>
      <c r="V76" s="40"/>
      <c r="W76" s="40"/>
      <c r="X76" s="40"/>
      <c r="Y76" s="40"/>
      <c r="Z76" s="40"/>
      <c r="AA76" s="40"/>
      <c r="AB76" s="40"/>
      <c r="AC76" s="40"/>
      <c r="AD76" s="40"/>
      <c r="AE76" s="40"/>
      <c r="AF76" s="40"/>
      <c r="AG76" s="40"/>
      <c r="AH76" s="40"/>
    </row>
    <row r="77" spans="1:34" outlineLevel="1" x14ac:dyDescent="0.25">
      <c r="A77" s="5"/>
      <c r="B77" s="25" t="s">
        <v>25</v>
      </c>
      <c r="C77" s="25" t="s">
        <v>96</v>
      </c>
      <c r="D77" s="25" t="s">
        <v>145</v>
      </c>
      <c r="E77" s="27" t="s">
        <v>82</v>
      </c>
      <c r="F77" s="30">
        <f t="shared" si="8"/>
        <v>0</v>
      </c>
      <c r="G77" s="30">
        <f t="shared" si="8"/>
        <v>0</v>
      </c>
      <c r="H77" s="30">
        <f t="shared" si="8"/>
        <v>0</v>
      </c>
      <c r="I77" s="30">
        <f t="shared" si="8"/>
        <v>0</v>
      </c>
      <c r="J77" s="44">
        <f t="shared" si="9"/>
        <v>0</v>
      </c>
      <c r="K77" s="44">
        <f t="shared" si="9"/>
        <v>0</v>
      </c>
      <c r="L77" s="44">
        <f t="shared" si="9"/>
        <v>0</v>
      </c>
      <c r="M77" s="44">
        <f t="shared" si="9"/>
        <v>0</v>
      </c>
      <c r="N77" s="44">
        <f t="shared" si="9"/>
        <v>0</v>
      </c>
      <c r="O77" s="44">
        <f t="shared" si="9"/>
        <v>0</v>
      </c>
      <c r="P77" s="44">
        <f t="shared" si="9"/>
        <v>0</v>
      </c>
      <c r="Q77" s="38"/>
    </row>
    <row r="78" spans="1:34" outlineLevel="1" x14ac:dyDescent="0.25">
      <c r="A78" s="5"/>
      <c r="B78" s="25" t="s">
        <v>26</v>
      </c>
      <c r="C78" s="25" t="s">
        <v>48</v>
      </c>
      <c r="D78" s="25" t="s">
        <v>145</v>
      </c>
      <c r="E78" s="27" t="s">
        <v>82</v>
      </c>
      <c r="F78" s="30">
        <f t="shared" si="8"/>
        <v>0</v>
      </c>
      <c r="G78" s="30">
        <f t="shared" si="8"/>
        <v>0</v>
      </c>
      <c r="H78" s="30">
        <f t="shared" si="8"/>
        <v>0</v>
      </c>
      <c r="I78" s="30">
        <f t="shared" si="8"/>
        <v>0</v>
      </c>
      <c r="J78" s="44">
        <f t="shared" si="9"/>
        <v>0</v>
      </c>
      <c r="K78" s="44">
        <f t="shared" si="9"/>
        <v>0</v>
      </c>
      <c r="L78" s="44">
        <f t="shared" si="9"/>
        <v>0</v>
      </c>
      <c r="M78" s="44">
        <f t="shared" si="9"/>
        <v>0</v>
      </c>
      <c r="N78" s="44">
        <f t="shared" si="9"/>
        <v>0</v>
      </c>
      <c r="O78" s="44">
        <f t="shared" si="9"/>
        <v>0</v>
      </c>
      <c r="P78" s="44">
        <f t="shared" si="9"/>
        <v>0</v>
      </c>
      <c r="Q78" s="38"/>
    </row>
    <row r="79" spans="1:34" outlineLevel="1" x14ac:dyDescent="0.25">
      <c r="A79" s="5"/>
      <c r="B79" s="25" t="s">
        <v>26</v>
      </c>
      <c r="C79" s="13" t="s">
        <v>87</v>
      </c>
      <c r="D79" s="25" t="s">
        <v>145</v>
      </c>
      <c r="E79" s="27" t="s">
        <v>82</v>
      </c>
      <c r="F79" s="30">
        <f t="shared" si="8"/>
        <v>0</v>
      </c>
      <c r="G79" s="30">
        <f t="shared" si="8"/>
        <v>0</v>
      </c>
      <c r="H79" s="30">
        <f t="shared" si="8"/>
        <v>0</v>
      </c>
      <c r="I79" s="30">
        <f t="shared" si="8"/>
        <v>0</v>
      </c>
      <c r="J79" s="44">
        <f t="shared" si="9"/>
        <v>0</v>
      </c>
      <c r="K79" s="44">
        <f t="shared" si="9"/>
        <v>0</v>
      </c>
      <c r="L79" s="44">
        <f t="shared" si="9"/>
        <v>0</v>
      </c>
      <c r="M79" s="44">
        <f t="shared" si="9"/>
        <v>0</v>
      </c>
      <c r="N79" s="44">
        <f t="shared" si="9"/>
        <v>0</v>
      </c>
      <c r="O79" s="44">
        <f t="shared" si="9"/>
        <v>0</v>
      </c>
      <c r="P79" s="44">
        <f t="shared" si="9"/>
        <v>0</v>
      </c>
      <c r="Q79" s="38"/>
    </row>
    <row r="80" spans="1:34" outlineLevel="1" x14ac:dyDescent="0.25">
      <c r="A80" s="5"/>
      <c r="B80" s="25" t="s">
        <v>26</v>
      </c>
      <c r="C80" s="25" t="s">
        <v>88</v>
      </c>
      <c r="D80" s="25" t="s">
        <v>145</v>
      </c>
      <c r="E80" s="27" t="s">
        <v>82</v>
      </c>
      <c r="F80" s="30">
        <f t="shared" si="8"/>
        <v>0</v>
      </c>
      <c r="G80" s="30">
        <f t="shared" si="8"/>
        <v>0</v>
      </c>
      <c r="H80" s="30">
        <f t="shared" si="8"/>
        <v>0</v>
      </c>
      <c r="I80" s="30">
        <f t="shared" si="8"/>
        <v>0</v>
      </c>
      <c r="J80" s="44">
        <f t="shared" si="9"/>
        <v>0</v>
      </c>
      <c r="K80" s="44">
        <f t="shared" si="9"/>
        <v>0</v>
      </c>
      <c r="L80" s="44">
        <f t="shared" si="9"/>
        <v>0</v>
      </c>
      <c r="M80" s="44">
        <f t="shared" si="9"/>
        <v>0</v>
      </c>
      <c r="N80" s="44">
        <f t="shared" si="9"/>
        <v>0</v>
      </c>
      <c r="O80" s="44">
        <f t="shared" si="9"/>
        <v>0</v>
      </c>
      <c r="P80" s="44">
        <f t="shared" si="9"/>
        <v>0</v>
      </c>
      <c r="Q80" s="38"/>
    </row>
    <row r="81" spans="1:34" outlineLevel="1" x14ac:dyDescent="0.25">
      <c r="A81" s="5"/>
      <c r="B81" s="25" t="s">
        <v>26</v>
      </c>
      <c r="C81" s="25" t="s">
        <v>89</v>
      </c>
      <c r="D81" s="25" t="s">
        <v>145</v>
      </c>
      <c r="E81" s="27" t="s">
        <v>82</v>
      </c>
      <c r="F81" s="30">
        <f t="shared" si="8"/>
        <v>0</v>
      </c>
      <c r="G81" s="30">
        <f t="shared" si="8"/>
        <v>0</v>
      </c>
      <c r="H81" s="30">
        <f t="shared" si="8"/>
        <v>0</v>
      </c>
      <c r="I81" s="30">
        <f t="shared" si="8"/>
        <v>0</v>
      </c>
      <c r="J81" s="44">
        <f t="shared" si="9"/>
        <v>0</v>
      </c>
      <c r="K81" s="44">
        <f t="shared" si="9"/>
        <v>0</v>
      </c>
      <c r="L81" s="44">
        <f t="shared" si="9"/>
        <v>0</v>
      </c>
      <c r="M81" s="44">
        <f t="shared" si="9"/>
        <v>0</v>
      </c>
      <c r="N81" s="44">
        <f t="shared" si="9"/>
        <v>0</v>
      </c>
      <c r="O81" s="44">
        <f t="shared" si="9"/>
        <v>0</v>
      </c>
      <c r="P81" s="44">
        <f t="shared" si="9"/>
        <v>0</v>
      </c>
      <c r="Q81" s="38"/>
    </row>
    <row r="82" spans="1:34" outlineLevel="1" x14ac:dyDescent="0.25">
      <c r="A82" s="5"/>
      <c r="B82" s="25" t="s">
        <v>26</v>
      </c>
      <c r="C82" s="25" t="s">
        <v>90</v>
      </c>
      <c r="D82" s="25" t="s">
        <v>145</v>
      </c>
      <c r="E82" s="27" t="s">
        <v>82</v>
      </c>
      <c r="F82" s="30">
        <f t="shared" si="8"/>
        <v>0</v>
      </c>
      <c r="G82" s="30">
        <f t="shared" si="8"/>
        <v>0</v>
      </c>
      <c r="H82" s="30">
        <f t="shared" si="8"/>
        <v>0</v>
      </c>
      <c r="I82" s="30">
        <f t="shared" si="8"/>
        <v>0</v>
      </c>
      <c r="J82" s="44">
        <f t="shared" si="9"/>
        <v>0</v>
      </c>
      <c r="K82" s="44">
        <f t="shared" si="9"/>
        <v>0</v>
      </c>
      <c r="L82" s="44">
        <f t="shared" si="9"/>
        <v>0</v>
      </c>
      <c r="M82" s="44">
        <f t="shared" si="9"/>
        <v>0</v>
      </c>
      <c r="N82" s="44">
        <f t="shared" si="9"/>
        <v>0</v>
      </c>
      <c r="O82" s="44">
        <f t="shared" si="9"/>
        <v>0</v>
      </c>
      <c r="P82" s="44">
        <f t="shared" si="9"/>
        <v>0</v>
      </c>
      <c r="Q82" s="38"/>
    </row>
    <row r="83" spans="1:34" outlineLevel="1" x14ac:dyDescent="0.25">
      <c r="A83" s="5"/>
      <c r="B83" s="25" t="s">
        <v>26</v>
      </c>
      <c r="C83" s="25" t="s">
        <v>91</v>
      </c>
      <c r="D83" s="25" t="s">
        <v>145</v>
      </c>
      <c r="E83" s="27" t="s">
        <v>82</v>
      </c>
      <c r="F83" s="30">
        <f t="shared" si="8"/>
        <v>0</v>
      </c>
      <c r="G83" s="30">
        <f t="shared" si="8"/>
        <v>0</v>
      </c>
      <c r="H83" s="30">
        <f t="shared" si="8"/>
        <v>0</v>
      </c>
      <c r="I83" s="30">
        <f t="shared" si="8"/>
        <v>0</v>
      </c>
      <c r="J83" s="44">
        <f t="shared" si="9"/>
        <v>0</v>
      </c>
      <c r="K83" s="44">
        <f t="shared" si="9"/>
        <v>0</v>
      </c>
      <c r="L83" s="44">
        <f t="shared" si="9"/>
        <v>0</v>
      </c>
      <c r="M83" s="44">
        <f t="shared" si="9"/>
        <v>0</v>
      </c>
      <c r="N83" s="44">
        <f t="shared" si="9"/>
        <v>0</v>
      </c>
      <c r="O83" s="44">
        <f t="shared" si="9"/>
        <v>0</v>
      </c>
      <c r="P83" s="44">
        <f t="shared" si="9"/>
        <v>0</v>
      </c>
      <c r="Q83" s="38"/>
    </row>
    <row r="84" spans="1:34" outlineLevel="1" x14ac:dyDescent="0.25">
      <c r="A84" s="5"/>
      <c r="B84" s="25" t="s">
        <v>26</v>
      </c>
      <c r="C84" s="25" t="s">
        <v>92</v>
      </c>
      <c r="D84" s="25" t="s">
        <v>145</v>
      </c>
      <c r="E84" s="27" t="s">
        <v>82</v>
      </c>
      <c r="F84" s="30">
        <f t="shared" ref="F84:I91" si="10">INDEX($R84:$BZ84,MATCH(F$1,$R$1:$BZ$1,0))</f>
        <v>0</v>
      </c>
      <c r="G84" s="30">
        <f t="shared" si="10"/>
        <v>0</v>
      </c>
      <c r="H84" s="30">
        <f t="shared" si="10"/>
        <v>0</v>
      </c>
      <c r="I84" s="30">
        <f t="shared" si="10"/>
        <v>0</v>
      </c>
      <c r="J84" s="44">
        <f t="shared" si="9"/>
        <v>0</v>
      </c>
      <c r="K84" s="44">
        <f t="shared" si="9"/>
        <v>0</v>
      </c>
      <c r="L84" s="44">
        <f t="shared" si="9"/>
        <v>0</v>
      </c>
      <c r="M84" s="44">
        <f t="shared" si="9"/>
        <v>0</v>
      </c>
      <c r="N84" s="44">
        <f t="shared" si="9"/>
        <v>0</v>
      </c>
      <c r="O84" s="44">
        <f t="shared" si="9"/>
        <v>0</v>
      </c>
      <c r="P84" s="44">
        <f t="shared" si="9"/>
        <v>0</v>
      </c>
      <c r="Q84" s="38"/>
    </row>
    <row r="85" spans="1:34" outlineLevel="1" x14ac:dyDescent="0.25">
      <c r="A85" s="5"/>
      <c r="B85" s="25" t="s">
        <v>26</v>
      </c>
      <c r="C85" s="25" t="s">
        <v>93</v>
      </c>
      <c r="D85" s="25" t="s">
        <v>145</v>
      </c>
      <c r="E85" s="27" t="s">
        <v>82</v>
      </c>
      <c r="F85" s="30">
        <f t="shared" si="10"/>
        <v>0</v>
      </c>
      <c r="G85" s="30">
        <f t="shared" si="10"/>
        <v>0</v>
      </c>
      <c r="H85" s="30">
        <f t="shared" si="10"/>
        <v>0</v>
      </c>
      <c r="I85" s="30">
        <f t="shared" si="10"/>
        <v>0</v>
      </c>
      <c r="J85" s="44">
        <f t="shared" si="9"/>
        <v>0</v>
      </c>
      <c r="K85" s="44">
        <f t="shared" si="9"/>
        <v>0</v>
      </c>
      <c r="L85" s="44">
        <f t="shared" si="9"/>
        <v>0</v>
      </c>
      <c r="M85" s="44">
        <f t="shared" si="9"/>
        <v>0</v>
      </c>
      <c r="N85" s="44">
        <f t="shared" si="9"/>
        <v>0</v>
      </c>
      <c r="O85" s="44">
        <f t="shared" si="9"/>
        <v>0</v>
      </c>
      <c r="P85" s="44">
        <f t="shared" si="9"/>
        <v>0</v>
      </c>
      <c r="Q85" s="38"/>
    </row>
    <row r="86" spans="1:34" outlineLevel="1" x14ac:dyDescent="0.25">
      <c r="A86" s="5"/>
      <c r="B86" s="25" t="s">
        <v>26</v>
      </c>
      <c r="C86" s="25" t="s">
        <v>94</v>
      </c>
      <c r="D86" s="25" t="s">
        <v>145</v>
      </c>
      <c r="E86" s="27" t="s">
        <v>82</v>
      </c>
      <c r="F86" s="30">
        <f t="shared" si="10"/>
        <v>0</v>
      </c>
      <c r="G86" s="30">
        <f t="shared" si="10"/>
        <v>0</v>
      </c>
      <c r="H86" s="30">
        <f t="shared" si="10"/>
        <v>0</v>
      </c>
      <c r="I86" s="30">
        <f t="shared" si="10"/>
        <v>0</v>
      </c>
      <c r="J86" s="44">
        <f t="shared" si="9"/>
        <v>0</v>
      </c>
      <c r="K86" s="44">
        <f t="shared" si="9"/>
        <v>0</v>
      </c>
      <c r="L86" s="44">
        <f t="shared" si="9"/>
        <v>0</v>
      </c>
      <c r="M86" s="44">
        <f t="shared" si="9"/>
        <v>0</v>
      </c>
      <c r="N86" s="44">
        <f t="shared" si="9"/>
        <v>0</v>
      </c>
      <c r="O86" s="44">
        <f t="shared" si="9"/>
        <v>0</v>
      </c>
      <c r="P86" s="44">
        <f t="shared" si="9"/>
        <v>0</v>
      </c>
      <c r="Q86" s="38"/>
    </row>
    <row r="87" spans="1:34" outlineLevel="1" x14ac:dyDescent="0.25">
      <c r="A87" s="5"/>
      <c r="B87" s="25" t="s">
        <v>26</v>
      </c>
      <c r="C87" s="25" t="s">
        <v>5</v>
      </c>
      <c r="D87" s="25" t="s">
        <v>145</v>
      </c>
      <c r="E87" s="27" t="s">
        <v>82</v>
      </c>
      <c r="F87" s="30">
        <f t="shared" si="10"/>
        <v>51.143999999999998</v>
      </c>
      <c r="G87" s="30">
        <f t="shared" si="10"/>
        <v>58.040999999999997</v>
      </c>
      <c r="H87" s="30">
        <f t="shared" si="10"/>
        <v>64.87</v>
      </c>
      <c r="I87" s="30">
        <f t="shared" si="10"/>
        <v>70.494</v>
      </c>
      <c r="J87" s="44">
        <f t="shared" si="9"/>
        <v>71.623999999999995</v>
      </c>
      <c r="K87" s="44">
        <f t="shared" si="9"/>
        <v>71.623999999999995</v>
      </c>
      <c r="L87" s="44">
        <f t="shared" si="9"/>
        <v>71.623999999999995</v>
      </c>
      <c r="M87" s="44">
        <f t="shared" si="9"/>
        <v>71.623999999999995</v>
      </c>
      <c r="N87" s="44">
        <f t="shared" si="9"/>
        <v>71.623999999999995</v>
      </c>
      <c r="O87" s="44">
        <f t="shared" si="9"/>
        <v>71.623999999999995</v>
      </c>
      <c r="P87" s="44">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x14ac:dyDescent="0.25">
      <c r="A88" s="5"/>
      <c r="B88" s="25" t="s">
        <v>26</v>
      </c>
      <c r="C88" s="25" t="s">
        <v>61</v>
      </c>
      <c r="D88" s="25" t="s">
        <v>145</v>
      </c>
      <c r="E88" s="27" t="s">
        <v>82</v>
      </c>
      <c r="F88" s="30">
        <f t="shared" si="10"/>
        <v>0</v>
      </c>
      <c r="G88" s="30">
        <f t="shared" si="10"/>
        <v>0</v>
      </c>
      <c r="H88" s="30">
        <f t="shared" si="10"/>
        <v>0</v>
      </c>
      <c r="I88" s="30">
        <f t="shared" si="10"/>
        <v>0</v>
      </c>
      <c r="J88" s="44">
        <f t="shared" si="9"/>
        <v>0</v>
      </c>
      <c r="K88" s="44">
        <f t="shared" si="9"/>
        <v>0</v>
      </c>
      <c r="L88" s="44">
        <f t="shared" si="9"/>
        <v>0</v>
      </c>
      <c r="M88" s="44">
        <f t="shared" si="9"/>
        <v>0</v>
      </c>
      <c r="N88" s="44">
        <f t="shared" si="9"/>
        <v>0</v>
      </c>
      <c r="O88" s="44">
        <f t="shared" si="9"/>
        <v>0</v>
      </c>
      <c r="P88" s="44">
        <f t="shared" si="9"/>
        <v>0</v>
      </c>
      <c r="Q88" s="38"/>
      <c r="R88" s="40"/>
      <c r="S88" s="40"/>
      <c r="T88" s="40"/>
      <c r="U88" s="40"/>
      <c r="V88" s="40"/>
      <c r="W88" s="40"/>
      <c r="X88" s="40"/>
      <c r="Y88" s="40"/>
      <c r="Z88" s="40"/>
      <c r="AA88" s="40"/>
      <c r="AB88" s="40"/>
      <c r="AC88" s="40"/>
      <c r="AD88" s="40"/>
      <c r="AE88" s="40"/>
      <c r="AF88" s="40"/>
      <c r="AG88" s="40"/>
      <c r="AH88" s="40"/>
    </row>
    <row r="89" spans="1:34" outlineLevel="1" x14ac:dyDescent="0.25">
      <c r="A89" s="5"/>
      <c r="B89" s="25" t="s">
        <v>26</v>
      </c>
      <c r="C89" s="25" t="s">
        <v>95</v>
      </c>
      <c r="D89" s="25" t="s">
        <v>145</v>
      </c>
      <c r="E89" s="27" t="s">
        <v>82</v>
      </c>
      <c r="F89" s="30">
        <f t="shared" si="10"/>
        <v>0</v>
      </c>
      <c r="G89" s="30">
        <f t="shared" si="10"/>
        <v>0</v>
      </c>
      <c r="H89" s="30">
        <f t="shared" si="10"/>
        <v>0</v>
      </c>
      <c r="I89" s="30">
        <f t="shared" si="10"/>
        <v>0</v>
      </c>
      <c r="J89" s="44">
        <f t="shared" si="9"/>
        <v>0</v>
      </c>
      <c r="K89" s="44">
        <f t="shared" si="9"/>
        <v>0</v>
      </c>
      <c r="L89" s="44">
        <f t="shared" si="9"/>
        <v>0</v>
      </c>
      <c r="M89" s="44">
        <f t="shared" si="9"/>
        <v>0</v>
      </c>
      <c r="N89" s="44">
        <f t="shared" si="9"/>
        <v>0</v>
      </c>
      <c r="O89" s="44">
        <f t="shared" si="9"/>
        <v>0</v>
      </c>
      <c r="P89" s="44">
        <f t="shared" si="9"/>
        <v>0</v>
      </c>
      <c r="Q89" s="38"/>
      <c r="R89" s="40"/>
      <c r="S89" s="40"/>
      <c r="T89" s="40"/>
      <c r="U89" s="40"/>
      <c r="V89" s="40"/>
      <c r="W89" s="40"/>
      <c r="X89" s="40"/>
      <c r="Y89" s="40"/>
      <c r="Z89" s="40"/>
      <c r="AA89" s="40"/>
      <c r="AB89" s="40"/>
      <c r="AC89" s="40"/>
      <c r="AD89" s="40"/>
      <c r="AE89" s="40"/>
      <c r="AF89" s="40"/>
      <c r="AG89" s="40"/>
      <c r="AH89" s="40"/>
    </row>
    <row r="90" spans="1:34" outlineLevel="1" x14ac:dyDescent="0.25">
      <c r="A90" s="5"/>
      <c r="B90" s="25" t="s">
        <v>26</v>
      </c>
      <c r="C90" s="25" t="s">
        <v>97</v>
      </c>
      <c r="D90" s="25" t="s">
        <v>145</v>
      </c>
      <c r="E90" s="27" t="s">
        <v>82</v>
      </c>
      <c r="F90" s="30">
        <f t="shared" si="10"/>
        <v>0</v>
      </c>
      <c r="G90" s="30">
        <f t="shared" si="10"/>
        <v>0</v>
      </c>
      <c r="H90" s="30">
        <f t="shared" si="10"/>
        <v>0</v>
      </c>
      <c r="I90" s="30">
        <f t="shared" si="10"/>
        <v>0</v>
      </c>
      <c r="J90" s="44">
        <f t="shared" si="9"/>
        <v>0</v>
      </c>
      <c r="K90" s="44">
        <f t="shared" si="9"/>
        <v>0</v>
      </c>
      <c r="L90" s="44">
        <f t="shared" si="9"/>
        <v>0</v>
      </c>
      <c r="M90" s="44">
        <f t="shared" si="9"/>
        <v>0</v>
      </c>
      <c r="N90" s="44">
        <f t="shared" si="9"/>
        <v>0</v>
      </c>
      <c r="O90" s="44">
        <f t="shared" si="9"/>
        <v>0</v>
      </c>
      <c r="P90" s="44">
        <f t="shared" si="9"/>
        <v>0</v>
      </c>
      <c r="Q90" s="38"/>
      <c r="R90" s="40"/>
      <c r="S90" s="40"/>
      <c r="T90" s="40"/>
      <c r="U90" s="40"/>
      <c r="V90" s="40"/>
      <c r="W90" s="40"/>
      <c r="X90" s="40"/>
      <c r="Y90" s="40"/>
      <c r="Z90" s="40"/>
      <c r="AA90" s="40"/>
      <c r="AB90" s="40"/>
      <c r="AC90" s="40"/>
      <c r="AD90" s="40"/>
      <c r="AE90" s="40"/>
      <c r="AF90" s="40"/>
      <c r="AG90" s="40"/>
      <c r="AH90" s="40"/>
    </row>
    <row r="91" spans="1:34" outlineLevel="1" x14ac:dyDescent="0.25">
      <c r="A91" s="5"/>
      <c r="B91" s="25" t="s">
        <v>26</v>
      </c>
      <c r="C91" s="25" t="s">
        <v>96</v>
      </c>
      <c r="D91" s="25" t="s">
        <v>145</v>
      </c>
      <c r="E91" s="27" t="s">
        <v>82</v>
      </c>
      <c r="F91" s="30">
        <f t="shared" si="10"/>
        <v>0</v>
      </c>
      <c r="G91" s="30">
        <f t="shared" si="10"/>
        <v>0</v>
      </c>
      <c r="H91" s="30">
        <f t="shared" si="10"/>
        <v>0</v>
      </c>
      <c r="I91" s="30">
        <f t="shared" si="10"/>
        <v>0</v>
      </c>
      <c r="J91" s="44">
        <f t="shared" si="9"/>
        <v>0</v>
      </c>
      <c r="K91" s="44">
        <f t="shared" si="9"/>
        <v>0</v>
      </c>
      <c r="L91" s="44">
        <f t="shared" si="9"/>
        <v>0</v>
      </c>
      <c r="M91" s="44">
        <f t="shared" si="9"/>
        <v>0</v>
      </c>
      <c r="N91" s="44">
        <f t="shared" si="9"/>
        <v>0</v>
      </c>
      <c r="O91" s="44">
        <f t="shared" si="9"/>
        <v>0</v>
      </c>
      <c r="P91" s="44">
        <f t="shared" si="9"/>
        <v>0</v>
      </c>
      <c r="Q91" s="38"/>
    </row>
    <row r="92" spans="1:34" x14ac:dyDescent="0.25">
      <c r="A92" s="5"/>
      <c r="B92" s="25"/>
      <c r="C92" s="25"/>
      <c r="D92" s="25"/>
      <c r="E92" s="16"/>
      <c r="F92" s="30"/>
      <c r="G92" s="30"/>
      <c r="H92" s="30"/>
      <c r="I92" s="30"/>
      <c r="Q92" s="38"/>
    </row>
    <row r="93" spans="1:34" x14ac:dyDescent="0.25">
      <c r="A93" s="5"/>
      <c r="B93" s="25"/>
      <c r="C93" s="25"/>
      <c r="D93" s="25"/>
      <c r="E93" s="16"/>
      <c r="F93" s="30"/>
      <c r="G93" s="30"/>
      <c r="H93" s="30"/>
      <c r="I93" s="30"/>
      <c r="Q93" s="38"/>
    </row>
    <row r="94" spans="1:34" x14ac:dyDescent="0.25">
      <c r="A94" s="5"/>
      <c r="B94" s="58" t="s">
        <v>74</v>
      </c>
      <c r="C94" s="25"/>
      <c r="D94" s="25"/>
      <c r="E94" s="16"/>
      <c r="F94" s="30"/>
      <c r="G94" s="30"/>
      <c r="H94" s="30"/>
      <c r="I94" s="30"/>
      <c r="Q94" s="38"/>
    </row>
    <row r="95" spans="1:34" outlineLevel="1" x14ac:dyDescent="0.25">
      <c r="A95" s="5"/>
      <c r="B95" s="25" t="s">
        <v>146</v>
      </c>
      <c r="C95" s="25" t="s">
        <v>48</v>
      </c>
      <c r="D95" s="25" t="s">
        <v>81</v>
      </c>
      <c r="E95" s="27" t="s">
        <v>82</v>
      </c>
      <c r="F95" s="30">
        <f t="shared" ref="F95:I110" si="11">INDEX($R95:$BZ95,MATCH(F$1,$R$1:$BZ$1,0))</f>
        <v>0</v>
      </c>
      <c r="G95" s="30">
        <f t="shared" si="11"/>
        <v>0</v>
      </c>
      <c r="H95" s="30">
        <f t="shared" si="11"/>
        <v>0</v>
      </c>
      <c r="I95" s="30">
        <f t="shared" si="11"/>
        <v>0</v>
      </c>
      <c r="J95" s="44">
        <f t="shared" ref="J95:P131" si="12">$AH95</f>
        <v>0</v>
      </c>
      <c r="K95" s="44">
        <f t="shared" si="12"/>
        <v>0</v>
      </c>
      <c r="L95" s="44">
        <f t="shared" si="12"/>
        <v>0</v>
      </c>
      <c r="M95" s="44">
        <f t="shared" si="12"/>
        <v>0</v>
      </c>
      <c r="N95" s="44">
        <f t="shared" si="12"/>
        <v>0</v>
      </c>
      <c r="O95" s="44">
        <f t="shared" si="12"/>
        <v>0</v>
      </c>
      <c r="P95" s="44">
        <f t="shared" si="12"/>
        <v>0</v>
      </c>
      <c r="Q95" s="38"/>
    </row>
    <row r="96" spans="1:34" outlineLevel="1" x14ac:dyDescent="0.25">
      <c r="A96" s="5"/>
      <c r="B96" s="25" t="s">
        <v>146</v>
      </c>
      <c r="C96" s="13" t="s">
        <v>87</v>
      </c>
      <c r="D96" s="25" t="s">
        <v>81</v>
      </c>
      <c r="E96" s="27" t="s">
        <v>82</v>
      </c>
      <c r="F96" s="30">
        <f t="shared" si="11"/>
        <v>0</v>
      </c>
      <c r="G96" s="30">
        <f t="shared" si="11"/>
        <v>0</v>
      </c>
      <c r="H96" s="30">
        <f t="shared" si="11"/>
        <v>0</v>
      </c>
      <c r="I96" s="30">
        <f t="shared" si="11"/>
        <v>0</v>
      </c>
      <c r="J96" s="44">
        <f t="shared" si="12"/>
        <v>0</v>
      </c>
      <c r="K96" s="44">
        <f t="shared" si="12"/>
        <v>0</v>
      </c>
      <c r="L96" s="44">
        <f t="shared" si="12"/>
        <v>0</v>
      </c>
      <c r="M96" s="44">
        <f t="shared" si="12"/>
        <v>0</v>
      </c>
      <c r="N96" s="44">
        <f t="shared" si="12"/>
        <v>0</v>
      </c>
      <c r="O96" s="44">
        <f t="shared" si="12"/>
        <v>0</v>
      </c>
      <c r="P96" s="44">
        <f t="shared" si="12"/>
        <v>0</v>
      </c>
      <c r="Q96" s="38"/>
    </row>
    <row r="97" spans="1:34" outlineLevel="1" x14ac:dyDescent="0.25">
      <c r="A97" s="5"/>
      <c r="B97" s="25" t="s">
        <v>146</v>
      </c>
      <c r="C97" s="25" t="s">
        <v>88</v>
      </c>
      <c r="D97" s="25" t="s">
        <v>81</v>
      </c>
      <c r="E97" s="27" t="s">
        <v>82</v>
      </c>
      <c r="F97" s="30">
        <f t="shared" si="11"/>
        <v>0</v>
      </c>
      <c r="G97" s="30">
        <f t="shared" si="11"/>
        <v>0</v>
      </c>
      <c r="H97" s="30">
        <f t="shared" si="11"/>
        <v>0</v>
      </c>
      <c r="I97" s="30">
        <f t="shared" si="11"/>
        <v>0</v>
      </c>
      <c r="J97" s="44">
        <f t="shared" si="12"/>
        <v>0</v>
      </c>
      <c r="K97" s="44">
        <f t="shared" si="12"/>
        <v>0</v>
      </c>
      <c r="L97" s="44">
        <f t="shared" si="12"/>
        <v>0</v>
      </c>
      <c r="M97" s="44">
        <f t="shared" si="12"/>
        <v>0</v>
      </c>
      <c r="N97" s="44">
        <f t="shared" si="12"/>
        <v>0</v>
      </c>
      <c r="O97" s="44">
        <f t="shared" si="12"/>
        <v>0</v>
      </c>
      <c r="P97" s="44">
        <f t="shared" si="12"/>
        <v>0</v>
      </c>
      <c r="Q97" s="38"/>
    </row>
    <row r="98" spans="1:34" outlineLevel="1" x14ac:dyDescent="0.25">
      <c r="A98" s="5"/>
      <c r="B98" s="25" t="s">
        <v>146</v>
      </c>
      <c r="C98" s="25" t="s">
        <v>89</v>
      </c>
      <c r="D98" s="25" t="s">
        <v>81</v>
      </c>
      <c r="E98" s="27" t="s">
        <v>82</v>
      </c>
      <c r="F98" s="30">
        <f t="shared" si="11"/>
        <v>0</v>
      </c>
      <c r="G98" s="30">
        <f t="shared" si="11"/>
        <v>0</v>
      </c>
      <c r="H98" s="30">
        <f t="shared" si="11"/>
        <v>0</v>
      </c>
      <c r="I98" s="30">
        <f t="shared" si="11"/>
        <v>0</v>
      </c>
      <c r="J98" s="44">
        <f t="shared" si="12"/>
        <v>0</v>
      </c>
      <c r="K98" s="44">
        <f t="shared" si="12"/>
        <v>0</v>
      </c>
      <c r="L98" s="44">
        <f t="shared" si="12"/>
        <v>0</v>
      </c>
      <c r="M98" s="44">
        <f t="shared" si="12"/>
        <v>0</v>
      </c>
      <c r="N98" s="44">
        <f t="shared" si="12"/>
        <v>0</v>
      </c>
      <c r="O98" s="44">
        <f t="shared" si="12"/>
        <v>0</v>
      </c>
      <c r="P98" s="44">
        <f t="shared" si="12"/>
        <v>0</v>
      </c>
      <c r="Q98" s="38"/>
    </row>
    <row r="99" spans="1:34" outlineLevel="1" x14ac:dyDescent="0.25">
      <c r="A99" s="5"/>
      <c r="B99" s="25" t="s">
        <v>146</v>
      </c>
      <c r="C99" s="25" t="s">
        <v>90</v>
      </c>
      <c r="D99" s="25" t="s">
        <v>81</v>
      </c>
      <c r="E99" s="27" t="s">
        <v>82</v>
      </c>
      <c r="F99" s="30">
        <f t="shared" si="11"/>
        <v>0</v>
      </c>
      <c r="G99" s="30">
        <f t="shared" si="11"/>
        <v>0</v>
      </c>
      <c r="H99" s="30">
        <f t="shared" si="11"/>
        <v>0</v>
      </c>
      <c r="I99" s="30">
        <f t="shared" si="11"/>
        <v>0</v>
      </c>
      <c r="J99" s="44">
        <f t="shared" si="12"/>
        <v>0</v>
      </c>
      <c r="K99" s="44">
        <f t="shared" si="12"/>
        <v>0</v>
      </c>
      <c r="L99" s="44">
        <f t="shared" si="12"/>
        <v>0</v>
      </c>
      <c r="M99" s="44">
        <f t="shared" si="12"/>
        <v>0</v>
      </c>
      <c r="N99" s="44">
        <f t="shared" si="12"/>
        <v>0</v>
      </c>
      <c r="O99" s="44">
        <f t="shared" si="12"/>
        <v>0</v>
      </c>
      <c r="P99" s="44">
        <f t="shared" si="12"/>
        <v>0</v>
      </c>
      <c r="Q99" s="38"/>
    </row>
    <row r="100" spans="1:34" outlineLevel="1" x14ac:dyDescent="0.25">
      <c r="A100" s="5"/>
      <c r="B100" s="25" t="s">
        <v>146</v>
      </c>
      <c r="C100" s="25" t="s">
        <v>91</v>
      </c>
      <c r="D100" s="25" t="s">
        <v>81</v>
      </c>
      <c r="E100" s="27" t="s">
        <v>82</v>
      </c>
      <c r="F100" s="30">
        <f t="shared" si="11"/>
        <v>0</v>
      </c>
      <c r="G100" s="30">
        <f t="shared" si="11"/>
        <v>0</v>
      </c>
      <c r="H100" s="30">
        <f t="shared" si="11"/>
        <v>0</v>
      </c>
      <c r="I100" s="30">
        <f t="shared" si="11"/>
        <v>0</v>
      </c>
      <c r="J100" s="44">
        <f t="shared" si="12"/>
        <v>0</v>
      </c>
      <c r="K100" s="44">
        <f t="shared" si="12"/>
        <v>0</v>
      </c>
      <c r="L100" s="44">
        <f t="shared" si="12"/>
        <v>0</v>
      </c>
      <c r="M100" s="44">
        <f t="shared" si="12"/>
        <v>0</v>
      </c>
      <c r="N100" s="44">
        <f t="shared" si="12"/>
        <v>0</v>
      </c>
      <c r="O100" s="44">
        <f t="shared" si="12"/>
        <v>0</v>
      </c>
      <c r="P100" s="44">
        <f t="shared" si="12"/>
        <v>0</v>
      </c>
      <c r="Q100" s="38"/>
    </row>
    <row r="101" spans="1:34" outlineLevel="1" x14ac:dyDescent="0.25">
      <c r="A101" s="5"/>
      <c r="B101" s="25" t="s">
        <v>146</v>
      </c>
      <c r="C101" s="25" t="s">
        <v>92</v>
      </c>
      <c r="D101" s="25" t="s">
        <v>81</v>
      </c>
      <c r="E101" s="27" t="s">
        <v>82</v>
      </c>
      <c r="F101" s="30">
        <f t="shared" si="11"/>
        <v>0</v>
      </c>
      <c r="G101" s="30">
        <f t="shared" si="11"/>
        <v>0</v>
      </c>
      <c r="H101" s="30">
        <f t="shared" si="11"/>
        <v>0</v>
      </c>
      <c r="I101" s="30">
        <f t="shared" si="11"/>
        <v>0</v>
      </c>
      <c r="J101" s="44">
        <f t="shared" si="12"/>
        <v>0</v>
      </c>
      <c r="K101" s="44">
        <f t="shared" si="12"/>
        <v>0</v>
      </c>
      <c r="L101" s="44">
        <f t="shared" si="12"/>
        <v>0</v>
      </c>
      <c r="M101" s="44">
        <f t="shared" si="12"/>
        <v>0</v>
      </c>
      <c r="N101" s="44">
        <f t="shared" si="12"/>
        <v>0</v>
      </c>
      <c r="O101" s="44">
        <f t="shared" si="12"/>
        <v>0</v>
      </c>
      <c r="P101" s="44">
        <f t="shared" si="12"/>
        <v>0</v>
      </c>
      <c r="Q101" s="38"/>
    </row>
    <row r="102" spans="1:34" outlineLevel="1" x14ac:dyDescent="0.25">
      <c r="A102" s="5"/>
      <c r="B102" s="25" t="s">
        <v>146</v>
      </c>
      <c r="C102" s="25" t="s">
        <v>93</v>
      </c>
      <c r="D102" s="25" t="s">
        <v>81</v>
      </c>
      <c r="E102" s="27" t="s">
        <v>82</v>
      </c>
      <c r="F102" s="30">
        <f t="shared" si="11"/>
        <v>0</v>
      </c>
      <c r="G102" s="30">
        <f t="shared" si="11"/>
        <v>0</v>
      </c>
      <c r="H102" s="30">
        <f t="shared" si="11"/>
        <v>0</v>
      </c>
      <c r="I102" s="30">
        <f t="shared" si="11"/>
        <v>0</v>
      </c>
      <c r="J102" s="44">
        <f t="shared" si="12"/>
        <v>0</v>
      </c>
      <c r="K102" s="44">
        <f t="shared" si="12"/>
        <v>0</v>
      </c>
      <c r="L102" s="44">
        <f t="shared" si="12"/>
        <v>0</v>
      </c>
      <c r="M102" s="44">
        <f t="shared" si="12"/>
        <v>0</v>
      </c>
      <c r="N102" s="44">
        <f t="shared" si="12"/>
        <v>0</v>
      </c>
      <c r="O102" s="44">
        <f t="shared" si="12"/>
        <v>0</v>
      </c>
      <c r="P102" s="44">
        <f t="shared" si="12"/>
        <v>0</v>
      </c>
      <c r="Q102" s="38"/>
    </row>
    <row r="103" spans="1:34" outlineLevel="1" x14ac:dyDescent="0.25">
      <c r="A103" s="5"/>
      <c r="B103" s="25" t="s">
        <v>146</v>
      </c>
      <c r="C103" s="25" t="s">
        <v>94</v>
      </c>
      <c r="D103" s="25" t="s">
        <v>81</v>
      </c>
      <c r="E103" s="27" t="s">
        <v>82</v>
      </c>
      <c r="F103" s="30">
        <f t="shared" si="11"/>
        <v>0</v>
      </c>
      <c r="G103" s="30">
        <f t="shared" si="11"/>
        <v>0</v>
      </c>
      <c r="H103" s="30">
        <f t="shared" si="11"/>
        <v>0</v>
      </c>
      <c r="I103" s="30">
        <f t="shared" si="11"/>
        <v>0</v>
      </c>
      <c r="J103" s="44">
        <f t="shared" si="12"/>
        <v>0</v>
      </c>
      <c r="K103" s="44">
        <f t="shared" si="12"/>
        <v>0</v>
      </c>
      <c r="L103" s="44">
        <f t="shared" si="12"/>
        <v>0</v>
      </c>
      <c r="M103" s="44">
        <f t="shared" si="12"/>
        <v>0</v>
      </c>
      <c r="N103" s="44">
        <f t="shared" si="12"/>
        <v>0</v>
      </c>
      <c r="O103" s="44">
        <f t="shared" si="12"/>
        <v>0</v>
      </c>
      <c r="P103" s="44">
        <f t="shared" si="12"/>
        <v>0</v>
      </c>
      <c r="Q103" s="38"/>
    </row>
    <row r="104" spans="1:34" outlineLevel="1" x14ac:dyDescent="0.25">
      <c r="A104" s="5"/>
      <c r="B104" s="25" t="s">
        <v>146</v>
      </c>
      <c r="C104" s="25" t="s">
        <v>5</v>
      </c>
      <c r="D104" s="25" t="s">
        <v>81</v>
      </c>
      <c r="E104" s="27" t="s">
        <v>82</v>
      </c>
      <c r="F104" s="30">
        <f t="shared" si="11"/>
        <v>102.056</v>
      </c>
      <c r="G104" s="30">
        <f t="shared" si="11"/>
        <v>117.857</v>
      </c>
      <c r="H104" s="30">
        <f t="shared" si="11"/>
        <v>134.34399999999999</v>
      </c>
      <c r="I104" s="30">
        <f t="shared" si="11"/>
        <v>146.977</v>
      </c>
      <c r="J104" s="44">
        <f t="shared" si="12"/>
        <v>148.864</v>
      </c>
      <c r="K104" s="44">
        <f t="shared" si="12"/>
        <v>148.864</v>
      </c>
      <c r="L104" s="44">
        <f t="shared" si="12"/>
        <v>148.864</v>
      </c>
      <c r="M104" s="44">
        <f t="shared" si="12"/>
        <v>148.864</v>
      </c>
      <c r="N104" s="44">
        <f t="shared" si="12"/>
        <v>148.864</v>
      </c>
      <c r="O104" s="44">
        <f t="shared" si="12"/>
        <v>148.864</v>
      </c>
      <c r="P104" s="44">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x14ac:dyDescent="0.25">
      <c r="A105" s="5"/>
      <c r="B105" s="25" t="s">
        <v>146</v>
      </c>
      <c r="C105" s="25" t="s">
        <v>61</v>
      </c>
      <c r="D105" s="25" t="s">
        <v>81</v>
      </c>
      <c r="E105" s="27" t="s">
        <v>82</v>
      </c>
      <c r="F105" s="30">
        <f t="shared" si="11"/>
        <v>0</v>
      </c>
      <c r="G105" s="30">
        <f t="shared" si="11"/>
        <v>0</v>
      </c>
      <c r="H105" s="30">
        <f t="shared" si="11"/>
        <v>0</v>
      </c>
      <c r="I105" s="30">
        <f t="shared" si="11"/>
        <v>0</v>
      </c>
      <c r="J105" s="44">
        <f t="shared" si="12"/>
        <v>0</v>
      </c>
      <c r="K105" s="44">
        <f t="shared" si="12"/>
        <v>0</v>
      </c>
      <c r="L105" s="44">
        <f t="shared" si="12"/>
        <v>0</v>
      </c>
      <c r="M105" s="44">
        <f t="shared" si="12"/>
        <v>0</v>
      </c>
      <c r="N105" s="44">
        <f t="shared" si="12"/>
        <v>0</v>
      </c>
      <c r="O105" s="44">
        <f t="shared" si="12"/>
        <v>0</v>
      </c>
      <c r="P105" s="44">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x14ac:dyDescent="0.25">
      <c r="A106" s="5"/>
      <c r="B106" s="25" t="s">
        <v>146</v>
      </c>
      <c r="C106" s="25" t="s">
        <v>95</v>
      </c>
      <c r="D106" s="25" t="s">
        <v>81</v>
      </c>
      <c r="E106" s="27" t="s">
        <v>82</v>
      </c>
      <c r="F106" s="30">
        <f t="shared" si="11"/>
        <v>0</v>
      </c>
      <c r="G106" s="30">
        <f t="shared" si="11"/>
        <v>0</v>
      </c>
      <c r="H106" s="30">
        <f t="shared" si="11"/>
        <v>0</v>
      </c>
      <c r="I106" s="30">
        <f t="shared" si="11"/>
        <v>0</v>
      </c>
      <c r="J106" s="44">
        <f t="shared" si="12"/>
        <v>0</v>
      </c>
      <c r="K106" s="44">
        <f t="shared" si="12"/>
        <v>0</v>
      </c>
      <c r="L106" s="44">
        <f t="shared" si="12"/>
        <v>0</v>
      </c>
      <c r="M106" s="44">
        <f t="shared" si="12"/>
        <v>0</v>
      </c>
      <c r="N106" s="44">
        <f t="shared" si="12"/>
        <v>0</v>
      </c>
      <c r="O106" s="44">
        <f t="shared" si="12"/>
        <v>0</v>
      </c>
      <c r="P106" s="44">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x14ac:dyDescent="0.25">
      <c r="A107" s="5"/>
      <c r="B107" s="25" t="s">
        <v>146</v>
      </c>
      <c r="C107" s="25" t="s">
        <v>97</v>
      </c>
      <c r="D107" s="25" t="s">
        <v>81</v>
      </c>
      <c r="E107" s="27" t="s">
        <v>82</v>
      </c>
      <c r="F107" s="30">
        <f t="shared" si="11"/>
        <v>0</v>
      </c>
      <c r="G107" s="30">
        <f t="shared" si="11"/>
        <v>0</v>
      </c>
      <c r="H107" s="30">
        <f t="shared" si="11"/>
        <v>0</v>
      </c>
      <c r="I107" s="30">
        <f t="shared" si="11"/>
        <v>0</v>
      </c>
      <c r="J107" s="44">
        <f t="shared" si="12"/>
        <v>0</v>
      </c>
      <c r="K107" s="44">
        <f t="shared" si="12"/>
        <v>0</v>
      </c>
      <c r="L107" s="44">
        <f t="shared" si="12"/>
        <v>0</v>
      </c>
      <c r="M107" s="44">
        <f t="shared" si="12"/>
        <v>0</v>
      </c>
      <c r="N107" s="44">
        <f t="shared" si="12"/>
        <v>0</v>
      </c>
      <c r="O107" s="44">
        <f t="shared" si="12"/>
        <v>0</v>
      </c>
      <c r="P107" s="44">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x14ac:dyDescent="0.25">
      <c r="A108" s="5"/>
      <c r="B108" s="25" t="s">
        <v>146</v>
      </c>
      <c r="C108" s="25" t="s">
        <v>96</v>
      </c>
      <c r="D108" s="25" t="s">
        <v>81</v>
      </c>
      <c r="E108" s="27" t="s">
        <v>82</v>
      </c>
      <c r="F108" s="30">
        <f t="shared" si="11"/>
        <v>0</v>
      </c>
      <c r="G108" s="30">
        <f t="shared" si="11"/>
        <v>0</v>
      </c>
      <c r="H108" s="30">
        <f t="shared" si="11"/>
        <v>0</v>
      </c>
      <c r="I108" s="30">
        <f t="shared" si="11"/>
        <v>0</v>
      </c>
      <c r="J108" s="44">
        <f t="shared" si="12"/>
        <v>0</v>
      </c>
      <c r="K108" s="44">
        <f t="shared" si="12"/>
        <v>0</v>
      </c>
      <c r="L108" s="44">
        <f t="shared" si="12"/>
        <v>0</v>
      </c>
      <c r="M108" s="44">
        <f t="shared" si="12"/>
        <v>0</v>
      </c>
      <c r="N108" s="44">
        <f t="shared" si="12"/>
        <v>0</v>
      </c>
      <c r="O108" s="44">
        <f t="shared" si="12"/>
        <v>0</v>
      </c>
      <c r="P108" s="44">
        <f t="shared" si="12"/>
        <v>0</v>
      </c>
      <c r="Q108" s="38"/>
    </row>
    <row r="109" spans="1:34" outlineLevel="1" x14ac:dyDescent="0.25">
      <c r="A109" s="5"/>
      <c r="B109" s="25" t="s">
        <v>147</v>
      </c>
      <c r="C109" s="25" t="s">
        <v>48</v>
      </c>
      <c r="D109" s="25" t="s">
        <v>81</v>
      </c>
      <c r="E109" s="27" t="s">
        <v>82</v>
      </c>
      <c r="F109" s="30">
        <f t="shared" si="11"/>
        <v>0</v>
      </c>
      <c r="G109" s="30">
        <f t="shared" si="11"/>
        <v>0</v>
      </c>
      <c r="H109" s="30">
        <f t="shared" si="11"/>
        <v>0</v>
      </c>
      <c r="I109" s="30">
        <f t="shared" si="11"/>
        <v>0</v>
      </c>
      <c r="J109" s="44">
        <f t="shared" si="12"/>
        <v>0</v>
      </c>
      <c r="K109" s="44">
        <f t="shared" si="12"/>
        <v>0</v>
      </c>
      <c r="L109" s="44">
        <f t="shared" si="12"/>
        <v>0</v>
      </c>
      <c r="M109" s="44">
        <f t="shared" si="12"/>
        <v>0</v>
      </c>
      <c r="N109" s="44">
        <f t="shared" si="12"/>
        <v>0</v>
      </c>
      <c r="O109" s="44">
        <f t="shared" si="12"/>
        <v>0</v>
      </c>
      <c r="P109" s="44">
        <f t="shared" si="12"/>
        <v>0</v>
      </c>
      <c r="Q109" s="38"/>
    </row>
    <row r="110" spans="1:34" outlineLevel="1" x14ac:dyDescent="0.25">
      <c r="A110" s="5"/>
      <c r="B110" s="25" t="s">
        <v>147</v>
      </c>
      <c r="C110" s="13" t="s">
        <v>87</v>
      </c>
      <c r="D110" s="25" t="s">
        <v>81</v>
      </c>
      <c r="E110" s="27" t="s">
        <v>82</v>
      </c>
      <c r="F110" s="30">
        <f t="shared" si="11"/>
        <v>0</v>
      </c>
      <c r="G110" s="30">
        <f t="shared" si="11"/>
        <v>0</v>
      </c>
      <c r="H110" s="30">
        <f t="shared" si="11"/>
        <v>0</v>
      </c>
      <c r="I110" s="30">
        <f t="shared" si="11"/>
        <v>0</v>
      </c>
      <c r="J110" s="44">
        <f t="shared" si="12"/>
        <v>0</v>
      </c>
      <c r="K110" s="44">
        <f t="shared" si="12"/>
        <v>0</v>
      </c>
      <c r="L110" s="44">
        <f t="shared" si="12"/>
        <v>0</v>
      </c>
      <c r="M110" s="44">
        <f t="shared" si="12"/>
        <v>0</v>
      </c>
      <c r="N110" s="44">
        <f t="shared" si="12"/>
        <v>0</v>
      </c>
      <c r="O110" s="44">
        <f t="shared" si="12"/>
        <v>0</v>
      </c>
      <c r="P110" s="44">
        <f t="shared" si="12"/>
        <v>0</v>
      </c>
      <c r="Q110" s="38"/>
    </row>
    <row r="111" spans="1:34" outlineLevel="1" x14ac:dyDescent="0.25">
      <c r="A111" s="5"/>
      <c r="B111" s="25" t="s">
        <v>147</v>
      </c>
      <c r="C111" s="25" t="s">
        <v>88</v>
      </c>
      <c r="D111" s="25" t="s">
        <v>81</v>
      </c>
      <c r="E111" s="27" t="s">
        <v>82</v>
      </c>
      <c r="F111" s="30">
        <f t="shared" ref="F111:I126" si="13">INDEX($R111:$BZ111,MATCH(F$1,$R$1:$BZ$1,0))</f>
        <v>0</v>
      </c>
      <c r="G111" s="30">
        <f t="shared" si="13"/>
        <v>0</v>
      </c>
      <c r="H111" s="30">
        <f t="shared" si="13"/>
        <v>0</v>
      </c>
      <c r="I111" s="30">
        <f t="shared" si="13"/>
        <v>0</v>
      </c>
      <c r="J111" s="44">
        <f t="shared" si="12"/>
        <v>0</v>
      </c>
      <c r="K111" s="44">
        <f t="shared" si="12"/>
        <v>0</v>
      </c>
      <c r="L111" s="44">
        <f t="shared" si="12"/>
        <v>0</v>
      </c>
      <c r="M111" s="44">
        <f t="shared" si="12"/>
        <v>0</v>
      </c>
      <c r="N111" s="44">
        <f t="shared" si="12"/>
        <v>0</v>
      </c>
      <c r="O111" s="44">
        <f t="shared" si="12"/>
        <v>0</v>
      </c>
      <c r="P111" s="44">
        <f t="shared" si="12"/>
        <v>0</v>
      </c>
      <c r="Q111" s="38"/>
    </row>
    <row r="112" spans="1:34" outlineLevel="1" x14ac:dyDescent="0.25">
      <c r="A112" s="5"/>
      <c r="B112" s="25" t="s">
        <v>147</v>
      </c>
      <c r="C112" s="25" t="s">
        <v>89</v>
      </c>
      <c r="D112" s="25" t="s">
        <v>81</v>
      </c>
      <c r="E112" s="27" t="s">
        <v>82</v>
      </c>
      <c r="F112" s="30">
        <f t="shared" si="13"/>
        <v>0</v>
      </c>
      <c r="G112" s="30">
        <f t="shared" si="13"/>
        <v>0</v>
      </c>
      <c r="H112" s="30">
        <f t="shared" si="13"/>
        <v>0</v>
      </c>
      <c r="I112" s="30">
        <f t="shared" si="13"/>
        <v>0</v>
      </c>
      <c r="J112" s="44">
        <f t="shared" si="12"/>
        <v>0</v>
      </c>
      <c r="K112" s="44">
        <f t="shared" si="12"/>
        <v>0</v>
      </c>
      <c r="L112" s="44">
        <f t="shared" si="12"/>
        <v>0</v>
      </c>
      <c r="M112" s="44">
        <f t="shared" si="12"/>
        <v>0</v>
      </c>
      <c r="N112" s="44">
        <f t="shared" si="12"/>
        <v>0</v>
      </c>
      <c r="O112" s="44">
        <f t="shared" si="12"/>
        <v>0</v>
      </c>
      <c r="P112" s="44">
        <f t="shared" si="12"/>
        <v>0</v>
      </c>
      <c r="Q112" s="38"/>
    </row>
    <row r="113" spans="1:34" outlineLevel="1" x14ac:dyDescent="0.25">
      <c r="A113" s="5"/>
      <c r="B113" s="25" t="s">
        <v>147</v>
      </c>
      <c r="C113" s="25" t="s">
        <v>90</v>
      </c>
      <c r="D113" s="25" t="s">
        <v>81</v>
      </c>
      <c r="E113" s="27" t="s">
        <v>82</v>
      </c>
      <c r="F113" s="30">
        <f t="shared" si="13"/>
        <v>0</v>
      </c>
      <c r="G113" s="30">
        <f t="shared" si="13"/>
        <v>0</v>
      </c>
      <c r="H113" s="30">
        <f t="shared" si="13"/>
        <v>0</v>
      </c>
      <c r="I113" s="30">
        <f t="shared" si="13"/>
        <v>0</v>
      </c>
      <c r="J113" s="44">
        <f t="shared" si="12"/>
        <v>0</v>
      </c>
      <c r="K113" s="44">
        <f t="shared" si="12"/>
        <v>0</v>
      </c>
      <c r="L113" s="44">
        <f t="shared" si="12"/>
        <v>0</v>
      </c>
      <c r="M113" s="44">
        <f t="shared" si="12"/>
        <v>0</v>
      </c>
      <c r="N113" s="44">
        <f t="shared" si="12"/>
        <v>0</v>
      </c>
      <c r="O113" s="44">
        <f t="shared" si="12"/>
        <v>0</v>
      </c>
      <c r="P113" s="44">
        <f t="shared" si="12"/>
        <v>0</v>
      </c>
      <c r="Q113" s="38"/>
    </row>
    <row r="114" spans="1:34" outlineLevel="1" x14ac:dyDescent="0.25">
      <c r="A114" s="5"/>
      <c r="B114" s="25" t="s">
        <v>147</v>
      </c>
      <c r="C114" s="25" t="s">
        <v>91</v>
      </c>
      <c r="D114" s="25" t="s">
        <v>81</v>
      </c>
      <c r="E114" s="27" t="s">
        <v>82</v>
      </c>
      <c r="F114" s="30">
        <f t="shared" si="13"/>
        <v>0</v>
      </c>
      <c r="G114" s="30">
        <f t="shared" si="13"/>
        <v>0</v>
      </c>
      <c r="H114" s="30">
        <f t="shared" si="13"/>
        <v>0</v>
      </c>
      <c r="I114" s="30">
        <f t="shared" si="13"/>
        <v>0</v>
      </c>
      <c r="J114" s="44">
        <f t="shared" si="12"/>
        <v>0</v>
      </c>
      <c r="K114" s="44">
        <f t="shared" si="12"/>
        <v>0</v>
      </c>
      <c r="L114" s="44">
        <f t="shared" si="12"/>
        <v>0</v>
      </c>
      <c r="M114" s="44">
        <f t="shared" si="12"/>
        <v>0</v>
      </c>
      <c r="N114" s="44">
        <f t="shared" si="12"/>
        <v>0</v>
      </c>
      <c r="O114" s="44">
        <f t="shared" si="12"/>
        <v>0</v>
      </c>
      <c r="P114" s="44">
        <f t="shared" si="12"/>
        <v>0</v>
      </c>
      <c r="Q114" s="38"/>
    </row>
    <row r="115" spans="1:34" outlineLevel="1" x14ac:dyDescent="0.25">
      <c r="A115" s="5"/>
      <c r="B115" s="25" t="s">
        <v>147</v>
      </c>
      <c r="C115" s="25" t="s">
        <v>92</v>
      </c>
      <c r="D115" s="25" t="s">
        <v>81</v>
      </c>
      <c r="E115" s="27" t="s">
        <v>82</v>
      </c>
      <c r="F115" s="30">
        <f t="shared" si="13"/>
        <v>0</v>
      </c>
      <c r="G115" s="30">
        <f t="shared" si="13"/>
        <v>0</v>
      </c>
      <c r="H115" s="30">
        <f t="shared" si="13"/>
        <v>0</v>
      </c>
      <c r="I115" s="30">
        <f t="shared" si="13"/>
        <v>0</v>
      </c>
      <c r="J115" s="44">
        <f t="shared" si="12"/>
        <v>0</v>
      </c>
      <c r="K115" s="44">
        <f t="shared" si="12"/>
        <v>0</v>
      </c>
      <c r="L115" s="44">
        <f t="shared" si="12"/>
        <v>0</v>
      </c>
      <c r="M115" s="44">
        <f t="shared" si="12"/>
        <v>0</v>
      </c>
      <c r="N115" s="44">
        <f t="shared" si="12"/>
        <v>0</v>
      </c>
      <c r="O115" s="44">
        <f t="shared" si="12"/>
        <v>0</v>
      </c>
      <c r="P115" s="44">
        <f t="shared" si="12"/>
        <v>0</v>
      </c>
      <c r="Q115" s="38"/>
    </row>
    <row r="116" spans="1:34" outlineLevel="1" x14ac:dyDescent="0.25">
      <c r="A116" s="5"/>
      <c r="B116" s="25" t="s">
        <v>147</v>
      </c>
      <c r="C116" s="25" t="s">
        <v>93</v>
      </c>
      <c r="D116" s="25" t="s">
        <v>81</v>
      </c>
      <c r="E116" s="27" t="s">
        <v>82</v>
      </c>
      <c r="F116" s="30">
        <f t="shared" si="13"/>
        <v>0</v>
      </c>
      <c r="G116" s="30">
        <f t="shared" si="13"/>
        <v>0</v>
      </c>
      <c r="H116" s="30">
        <f t="shared" si="13"/>
        <v>0</v>
      </c>
      <c r="I116" s="30">
        <f t="shared" si="13"/>
        <v>0</v>
      </c>
      <c r="J116" s="44">
        <f t="shared" si="12"/>
        <v>0</v>
      </c>
      <c r="K116" s="44">
        <f t="shared" si="12"/>
        <v>0</v>
      </c>
      <c r="L116" s="44">
        <f t="shared" si="12"/>
        <v>0</v>
      </c>
      <c r="M116" s="44">
        <f t="shared" si="12"/>
        <v>0</v>
      </c>
      <c r="N116" s="44">
        <f t="shared" si="12"/>
        <v>0</v>
      </c>
      <c r="O116" s="44">
        <f t="shared" si="12"/>
        <v>0</v>
      </c>
      <c r="P116" s="44">
        <f t="shared" si="12"/>
        <v>0</v>
      </c>
      <c r="Q116" s="38"/>
    </row>
    <row r="117" spans="1:34" outlineLevel="1" x14ac:dyDescent="0.25">
      <c r="A117" s="5"/>
      <c r="B117" s="25" t="s">
        <v>147</v>
      </c>
      <c r="C117" s="25" t="s">
        <v>94</v>
      </c>
      <c r="D117" s="25" t="s">
        <v>81</v>
      </c>
      <c r="E117" s="27" t="s">
        <v>82</v>
      </c>
      <c r="F117" s="30">
        <f t="shared" si="13"/>
        <v>0</v>
      </c>
      <c r="G117" s="30">
        <f t="shared" si="13"/>
        <v>0</v>
      </c>
      <c r="H117" s="30">
        <f t="shared" si="13"/>
        <v>0</v>
      </c>
      <c r="I117" s="30">
        <f t="shared" si="13"/>
        <v>0</v>
      </c>
      <c r="J117" s="44">
        <f t="shared" si="12"/>
        <v>0</v>
      </c>
      <c r="K117" s="44">
        <f t="shared" si="12"/>
        <v>0</v>
      </c>
      <c r="L117" s="44">
        <f t="shared" si="12"/>
        <v>0</v>
      </c>
      <c r="M117" s="44">
        <f t="shared" si="12"/>
        <v>0</v>
      </c>
      <c r="N117" s="44">
        <f t="shared" si="12"/>
        <v>0</v>
      </c>
      <c r="O117" s="44">
        <f t="shared" si="12"/>
        <v>0</v>
      </c>
      <c r="P117" s="44">
        <f t="shared" si="12"/>
        <v>0</v>
      </c>
      <c r="Q117" s="38"/>
    </row>
    <row r="118" spans="1:34" outlineLevel="1" x14ac:dyDescent="0.25">
      <c r="A118" s="5"/>
      <c r="B118" s="25" t="s">
        <v>147</v>
      </c>
      <c r="C118" s="25" t="s">
        <v>5</v>
      </c>
      <c r="D118" s="25" t="s">
        <v>81</v>
      </c>
      <c r="E118" s="27" t="s">
        <v>82</v>
      </c>
      <c r="F118" s="30">
        <f t="shared" si="13"/>
        <v>14.111000000000001</v>
      </c>
      <c r="G118" s="30">
        <f t="shared" si="13"/>
        <v>17.201000000000001</v>
      </c>
      <c r="H118" s="30">
        <f t="shared" si="13"/>
        <v>21.187999999999999</v>
      </c>
      <c r="I118" s="30">
        <f t="shared" si="13"/>
        <v>26.67</v>
      </c>
      <c r="J118" s="44">
        <f t="shared" si="12"/>
        <v>27.663</v>
      </c>
      <c r="K118" s="44">
        <f t="shared" si="12"/>
        <v>27.663</v>
      </c>
      <c r="L118" s="44">
        <f t="shared" si="12"/>
        <v>27.663</v>
      </c>
      <c r="M118" s="44">
        <f t="shared" si="12"/>
        <v>27.663</v>
      </c>
      <c r="N118" s="44">
        <f t="shared" si="12"/>
        <v>27.663</v>
      </c>
      <c r="O118" s="44">
        <f t="shared" si="12"/>
        <v>27.663</v>
      </c>
      <c r="P118" s="44">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x14ac:dyDescent="0.25">
      <c r="A119" s="5"/>
      <c r="B119" s="25" t="s">
        <v>147</v>
      </c>
      <c r="C119" s="25" t="s">
        <v>61</v>
      </c>
      <c r="D119" s="25" t="s">
        <v>81</v>
      </c>
      <c r="E119" s="27" t="s">
        <v>82</v>
      </c>
      <c r="F119" s="30">
        <f t="shared" si="13"/>
        <v>0</v>
      </c>
      <c r="G119" s="30">
        <f t="shared" si="13"/>
        <v>0</v>
      </c>
      <c r="H119" s="30">
        <f t="shared" si="13"/>
        <v>0</v>
      </c>
      <c r="I119" s="30">
        <f t="shared" si="13"/>
        <v>0</v>
      </c>
      <c r="J119" s="44">
        <f t="shared" si="12"/>
        <v>0</v>
      </c>
      <c r="K119" s="44">
        <f t="shared" si="12"/>
        <v>0</v>
      </c>
      <c r="L119" s="44">
        <f t="shared" si="12"/>
        <v>0</v>
      </c>
      <c r="M119" s="44">
        <f t="shared" si="12"/>
        <v>0</v>
      </c>
      <c r="N119" s="44">
        <f t="shared" si="12"/>
        <v>0</v>
      </c>
      <c r="O119" s="44">
        <f t="shared" si="12"/>
        <v>0</v>
      </c>
      <c r="P119" s="44">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x14ac:dyDescent="0.25">
      <c r="A120" s="5"/>
      <c r="B120" s="25" t="s">
        <v>147</v>
      </c>
      <c r="C120" s="25" t="s">
        <v>95</v>
      </c>
      <c r="D120" s="25" t="s">
        <v>81</v>
      </c>
      <c r="E120" s="27" t="s">
        <v>82</v>
      </c>
      <c r="F120" s="30">
        <f t="shared" si="13"/>
        <v>0</v>
      </c>
      <c r="G120" s="30">
        <f t="shared" si="13"/>
        <v>0</v>
      </c>
      <c r="H120" s="30">
        <f t="shared" si="13"/>
        <v>0</v>
      </c>
      <c r="I120" s="30">
        <f t="shared" si="13"/>
        <v>0</v>
      </c>
      <c r="J120" s="44">
        <f t="shared" si="12"/>
        <v>0</v>
      </c>
      <c r="K120" s="44">
        <f t="shared" si="12"/>
        <v>0</v>
      </c>
      <c r="L120" s="44">
        <f t="shared" si="12"/>
        <v>0</v>
      </c>
      <c r="M120" s="44">
        <f t="shared" si="12"/>
        <v>0</v>
      </c>
      <c r="N120" s="44">
        <f t="shared" si="12"/>
        <v>0</v>
      </c>
      <c r="O120" s="44">
        <f t="shared" si="12"/>
        <v>0</v>
      </c>
      <c r="P120" s="44">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x14ac:dyDescent="0.25">
      <c r="A121" s="5"/>
      <c r="B121" s="25" t="s">
        <v>147</v>
      </c>
      <c r="C121" s="25" t="s">
        <v>97</v>
      </c>
      <c r="D121" s="25" t="s">
        <v>81</v>
      </c>
      <c r="E121" s="27" t="s">
        <v>82</v>
      </c>
      <c r="F121" s="30">
        <f t="shared" si="13"/>
        <v>0</v>
      </c>
      <c r="G121" s="30">
        <f t="shared" si="13"/>
        <v>0</v>
      </c>
      <c r="H121" s="30">
        <f t="shared" si="13"/>
        <v>0</v>
      </c>
      <c r="I121" s="30">
        <f t="shared" si="13"/>
        <v>0</v>
      </c>
      <c r="J121" s="44">
        <f t="shared" si="12"/>
        <v>0</v>
      </c>
      <c r="K121" s="44">
        <f t="shared" si="12"/>
        <v>0</v>
      </c>
      <c r="L121" s="44">
        <f t="shared" si="12"/>
        <v>0</v>
      </c>
      <c r="M121" s="44">
        <f t="shared" si="12"/>
        <v>0</v>
      </c>
      <c r="N121" s="44">
        <f t="shared" si="12"/>
        <v>0</v>
      </c>
      <c r="O121" s="44">
        <f t="shared" si="12"/>
        <v>0</v>
      </c>
      <c r="P121" s="44">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x14ac:dyDescent="0.25">
      <c r="A122" s="5"/>
      <c r="B122" s="25" t="s">
        <v>147</v>
      </c>
      <c r="C122" s="25" t="s">
        <v>96</v>
      </c>
      <c r="D122" s="25" t="s">
        <v>81</v>
      </c>
      <c r="E122" s="27" t="s">
        <v>82</v>
      </c>
      <c r="F122" s="30">
        <f t="shared" si="13"/>
        <v>0</v>
      </c>
      <c r="G122" s="30">
        <f t="shared" si="13"/>
        <v>0</v>
      </c>
      <c r="H122" s="30">
        <f t="shared" si="13"/>
        <v>0</v>
      </c>
      <c r="I122" s="30">
        <f t="shared" si="13"/>
        <v>0</v>
      </c>
      <c r="J122" s="44">
        <f t="shared" si="12"/>
        <v>0</v>
      </c>
      <c r="K122" s="44">
        <f t="shared" si="12"/>
        <v>0</v>
      </c>
      <c r="L122" s="44">
        <f t="shared" si="12"/>
        <v>0</v>
      </c>
      <c r="M122" s="44">
        <f t="shared" si="12"/>
        <v>0</v>
      </c>
      <c r="N122" s="44">
        <f t="shared" si="12"/>
        <v>0</v>
      </c>
      <c r="O122" s="44">
        <f t="shared" si="12"/>
        <v>0</v>
      </c>
      <c r="P122" s="44">
        <f t="shared" si="12"/>
        <v>0</v>
      </c>
      <c r="Q122" s="38"/>
    </row>
    <row r="123" spans="1:34" outlineLevel="1" x14ac:dyDescent="0.25">
      <c r="A123" s="5"/>
      <c r="B123" s="25" t="s">
        <v>25</v>
      </c>
      <c r="C123" s="25" t="s">
        <v>48</v>
      </c>
      <c r="D123" s="25" t="s">
        <v>81</v>
      </c>
      <c r="E123" s="27" t="s">
        <v>82</v>
      </c>
      <c r="F123" s="30">
        <f t="shared" si="13"/>
        <v>0</v>
      </c>
      <c r="G123" s="30">
        <f t="shared" si="13"/>
        <v>0</v>
      </c>
      <c r="H123" s="30">
        <f t="shared" si="13"/>
        <v>0</v>
      </c>
      <c r="I123" s="30">
        <f t="shared" si="13"/>
        <v>0</v>
      </c>
      <c r="J123" s="44">
        <f t="shared" si="12"/>
        <v>0</v>
      </c>
      <c r="K123" s="44">
        <f t="shared" si="12"/>
        <v>0</v>
      </c>
      <c r="L123" s="44">
        <f t="shared" si="12"/>
        <v>0</v>
      </c>
      <c r="M123" s="44">
        <f t="shared" si="12"/>
        <v>0</v>
      </c>
      <c r="N123" s="44">
        <f t="shared" si="12"/>
        <v>0</v>
      </c>
      <c r="O123" s="44">
        <f t="shared" si="12"/>
        <v>0</v>
      </c>
      <c r="P123" s="44">
        <f t="shared" si="12"/>
        <v>0</v>
      </c>
      <c r="Q123" s="38"/>
    </row>
    <row r="124" spans="1:34" outlineLevel="1" x14ac:dyDescent="0.25">
      <c r="A124" s="5"/>
      <c r="B124" s="25" t="s">
        <v>25</v>
      </c>
      <c r="C124" s="13" t="s">
        <v>87</v>
      </c>
      <c r="D124" s="25" t="s">
        <v>81</v>
      </c>
      <c r="E124" s="27" t="s">
        <v>82</v>
      </c>
      <c r="F124" s="30">
        <f t="shared" si="13"/>
        <v>0</v>
      </c>
      <c r="G124" s="30">
        <f t="shared" si="13"/>
        <v>0</v>
      </c>
      <c r="H124" s="30">
        <f t="shared" si="13"/>
        <v>0</v>
      </c>
      <c r="I124" s="30">
        <f t="shared" si="13"/>
        <v>0</v>
      </c>
      <c r="J124" s="44">
        <f t="shared" si="12"/>
        <v>0</v>
      </c>
      <c r="K124" s="44">
        <f t="shared" si="12"/>
        <v>0</v>
      </c>
      <c r="L124" s="44">
        <f t="shared" si="12"/>
        <v>0</v>
      </c>
      <c r="M124" s="44">
        <f t="shared" si="12"/>
        <v>0</v>
      </c>
      <c r="N124" s="44">
        <f t="shared" si="12"/>
        <v>0</v>
      </c>
      <c r="O124" s="44">
        <f t="shared" si="12"/>
        <v>0</v>
      </c>
      <c r="P124" s="44">
        <f t="shared" si="12"/>
        <v>0</v>
      </c>
      <c r="Q124" s="38"/>
    </row>
    <row r="125" spans="1:34" outlineLevel="1" x14ac:dyDescent="0.25">
      <c r="A125" s="5"/>
      <c r="B125" s="25" t="s">
        <v>25</v>
      </c>
      <c r="C125" s="25" t="s">
        <v>88</v>
      </c>
      <c r="D125" s="25" t="s">
        <v>81</v>
      </c>
      <c r="E125" s="27" t="s">
        <v>82</v>
      </c>
      <c r="F125" s="30">
        <f t="shared" si="13"/>
        <v>0</v>
      </c>
      <c r="G125" s="30">
        <f t="shared" si="13"/>
        <v>0</v>
      </c>
      <c r="H125" s="30">
        <f t="shared" si="13"/>
        <v>0</v>
      </c>
      <c r="I125" s="30">
        <f t="shared" si="13"/>
        <v>0</v>
      </c>
      <c r="J125" s="44">
        <f t="shared" si="12"/>
        <v>0</v>
      </c>
      <c r="K125" s="44">
        <f t="shared" si="12"/>
        <v>0</v>
      </c>
      <c r="L125" s="44">
        <f t="shared" si="12"/>
        <v>0</v>
      </c>
      <c r="M125" s="44">
        <f t="shared" si="12"/>
        <v>0</v>
      </c>
      <c r="N125" s="44">
        <f t="shared" si="12"/>
        <v>0</v>
      </c>
      <c r="O125" s="44">
        <f t="shared" si="12"/>
        <v>0</v>
      </c>
      <c r="P125" s="44">
        <f t="shared" si="12"/>
        <v>0</v>
      </c>
      <c r="Q125" s="38"/>
    </row>
    <row r="126" spans="1:34" outlineLevel="1" x14ac:dyDescent="0.25">
      <c r="A126" s="5"/>
      <c r="B126" s="25" t="s">
        <v>25</v>
      </c>
      <c r="C126" s="25" t="s">
        <v>89</v>
      </c>
      <c r="D126" s="25" t="s">
        <v>81</v>
      </c>
      <c r="E126" s="27" t="s">
        <v>82</v>
      </c>
      <c r="F126" s="30">
        <f t="shared" si="13"/>
        <v>0</v>
      </c>
      <c r="G126" s="30">
        <f t="shared" si="13"/>
        <v>0</v>
      </c>
      <c r="H126" s="30">
        <f t="shared" si="13"/>
        <v>0</v>
      </c>
      <c r="I126" s="30">
        <f t="shared" si="13"/>
        <v>0</v>
      </c>
      <c r="J126" s="44">
        <f t="shared" si="12"/>
        <v>0</v>
      </c>
      <c r="K126" s="44">
        <f t="shared" si="12"/>
        <v>0</v>
      </c>
      <c r="L126" s="44">
        <f t="shared" si="12"/>
        <v>0</v>
      </c>
      <c r="M126" s="44">
        <f t="shared" si="12"/>
        <v>0</v>
      </c>
      <c r="N126" s="44">
        <f t="shared" si="12"/>
        <v>0</v>
      </c>
      <c r="O126" s="44">
        <f t="shared" si="12"/>
        <v>0</v>
      </c>
      <c r="P126" s="44">
        <f t="shared" si="12"/>
        <v>0</v>
      </c>
      <c r="Q126" s="38"/>
    </row>
    <row r="127" spans="1:34" outlineLevel="1" x14ac:dyDescent="0.25">
      <c r="A127" s="5"/>
      <c r="B127" s="25" t="s">
        <v>25</v>
      </c>
      <c r="C127" s="25" t="s">
        <v>90</v>
      </c>
      <c r="D127" s="25" t="s">
        <v>81</v>
      </c>
      <c r="E127" s="27" t="s">
        <v>82</v>
      </c>
      <c r="F127" s="30">
        <f t="shared" ref="F127:I142" si="14">INDEX($R127:$BZ127,MATCH(F$1,$R$1:$BZ$1,0))</f>
        <v>0</v>
      </c>
      <c r="G127" s="30">
        <f t="shared" si="14"/>
        <v>0</v>
      </c>
      <c r="H127" s="30">
        <f t="shared" si="14"/>
        <v>0</v>
      </c>
      <c r="I127" s="30">
        <f t="shared" si="14"/>
        <v>0</v>
      </c>
      <c r="J127" s="44">
        <f t="shared" si="12"/>
        <v>0</v>
      </c>
      <c r="K127" s="44">
        <f t="shared" si="12"/>
        <v>0</v>
      </c>
      <c r="L127" s="44">
        <f t="shared" si="12"/>
        <v>0</v>
      </c>
      <c r="M127" s="44">
        <f t="shared" si="12"/>
        <v>0</v>
      </c>
      <c r="N127" s="44">
        <f t="shared" si="12"/>
        <v>0</v>
      </c>
      <c r="O127" s="44">
        <f t="shared" si="12"/>
        <v>0</v>
      </c>
      <c r="P127" s="44">
        <f t="shared" si="12"/>
        <v>0</v>
      </c>
      <c r="Q127" s="38"/>
    </row>
    <row r="128" spans="1:34" outlineLevel="1" x14ac:dyDescent="0.25">
      <c r="A128" s="5"/>
      <c r="B128" s="25" t="s">
        <v>25</v>
      </c>
      <c r="C128" s="25" t="s">
        <v>91</v>
      </c>
      <c r="D128" s="25" t="s">
        <v>81</v>
      </c>
      <c r="E128" s="27" t="s">
        <v>82</v>
      </c>
      <c r="F128" s="30">
        <f t="shared" si="14"/>
        <v>0</v>
      </c>
      <c r="G128" s="30">
        <f t="shared" si="14"/>
        <v>0</v>
      </c>
      <c r="H128" s="30">
        <f t="shared" si="14"/>
        <v>0</v>
      </c>
      <c r="I128" s="30">
        <f t="shared" si="14"/>
        <v>0</v>
      </c>
      <c r="J128" s="44">
        <f t="shared" si="12"/>
        <v>0</v>
      </c>
      <c r="K128" s="44">
        <f t="shared" si="12"/>
        <v>0</v>
      </c>
      <c r="L128" s="44">
        <f t="shared" si="12"/>
        <v>0</v>
      </c>
      <c r="M128" s="44">
        <f t="shared" si="12"/>
        <v>0</v>
      </c>
      <c r="N128" s="44">
        <f t="shared" si="12"/>
        <v>0</v>
      </c>
      <c r="O128" s="44">
        <f t="shared" si="12"/>
        <v>0</v>
      </c>
      <c r="P128" s="44">
        <f t="shared" si="12"/>
        <v>0</v>
      </c>
      <c r="Q128" s="38"/>
    </row>
    <row r="129" spans="1:34" outlineLevel="1" x14ac:dyDescent="0.25">
      <c r="A129" s="5"/>
      <c r="B129" s="25" t="s">
        <v>25</v>
      </c>
      <c r="C129" s="25" t="s">
        <v>92</v>
      </c>
      <c r="D129" s="25" t="s">
        <v>81</v>
      </c>
      <c r="E129" s="27" t="s">
        <v>82</v>
      </c>
      <c r="F129" s="30">
        <f t="shared" si="14"/>
        <v>0</v>
      </c>
      <c r="G129" s="30">
        <f t="shared" si="14"/>
        <v>0</v>
      </c>
      <c r="H129" s="30">
        <f t="shared" si="14"/>
        <v>0</v>
      </c>
      <c r="I129" s="30">
        <f t="shared" si="14"/>
        <v>0</v>
      </c>
      <c r="J129" s="44">
        <f t="shared" si="12"/>
        <v>0</v>
      </c>
      <c r="K129" s="44">
        <f t="shared" si="12"/>
        <v>0</v>
      </c>
      <c r="L129" s="44">
        <f t="shared" si="12"/>
        <v>0</v>
      </c>
      <c r="M129" s="44">
        <f t="shared" si="12"/>
        <v>0</v>
      </c>
      <c r="N129" s="44">
        <f t="shared" si="12"/>
        <v>0</v>
      </c>
      <c r="O129" s="44">
        <f t="shared" si="12"/>
        <v>0</v>
      </c>
      <c r="P129" s="44">
        <f t="shared" si="12"/>
        <v>0</v>
      </c>
      <c r="Q129" s="38"/>
    </row>
    <row r="130" spans="1:34" outlineLevel="1" x14ac:dyDescent="0.25">
      <c r="A130" s="5"/>
      <c r="B130" s="25" t="s">
        <v>25</v>
      </c>
      <c r="C130" s="25" t="s">
        <v>93</v>
      </c>
      <c r="D130" s="25" t="s">
        <v>81</v>
      </c>
      <c r="E130" s="27" t="s">
        <v>82</v>
      </c>
      <c r="F130" s="30">
        <f t="shared" si="14"/>
        <v>0</v>
      </c>
      <c r="G130" s="30">
        <f t="shared" si="14"/>
        <v>0</v>
      </c>
      <c r="H130" s="30">
        <f t="shared" si="14"/>
        <v>0</v>
      </c>
      <c r="I130" s="30">
        <f t="shared" si="14"/>
        <v>0</v>
      </c>
      <c r="J130" s="44">
        <f t="shared" si="12"/>
        <v>0</v>
      </c>
      <c r="K130" s="44">
        <f t="shared" si="12"/>
        <v>0</v>
      </c>
      <c r="L130" s="44">
        <f t="shared" si="12"/>
        <v>0</v>
      </c>
      <c r="M130" s="44">
        <f t="shared" si="12"/>
        <v>0</v>
      </c>
      <c r="N130" s="44">
        <f t="shared" si="12"/>
        <v>0</v>
      </c>
      <c r="O130" s="44">
        <f t="shared" si="12"/>
        <v>0</v>
      </c>
      <c r="P130" s="44">
        <f t="shared" si="12"/>
        <v>0</v>
      </c>
      <c r="Q130" s="38"/>
    </row>
    <row r="131" spans="1:34" outlineLevel="1" x14ac:dyDescent="0.25">
      <c r="A131" s="5"/>
      <c r="B131" s="25" t="s">
        <v>25</v>
      </c>
      <c r="C131" s="25" t="s">
        <v>94</v>
      </c>
      <c r="D131" s="25" t="s">
        <v>81</v>
      </c>
      <c r="E131" s="27" t="s">
        <v>82</v>
      </c>
      <c r="F131" s="30">
        <f t="shared" si="14"/>
        <v>0</v>
      </c>
      <c r="G131" s="30">
        <f t="shared" si="14"/>
        <v>0</v>
      </c>
      <c r="H131" s="30">
        <f t="shared" si="14"/>
        <v>0</v>
      </c>
      <c r="I131" s="30">
        <f t="shared" si="14"/>
        <v>0</v>
      </c>
      <c r="J131" s="44">
        <f t="shared" si="12"/>
        <v>0</v>
      </c>
      <c r="K131" s="44">
        <f t="shared" si="12"/>
        <v>0</v>
      </c>
      <c r="L131" s="44">
        <f t="shared" si="12"/>
        <v>0</v>
      </c>
      <c r="M131" s="44">
        <f t="shared" ref="J131:P150" si="15">$AH131</f>
        <v>0</v>
      </c>
      <c r="N131" s="44">
        <f t="shared" si="15"/>
        <v>0</v>
      </c>
      <c r="O131" s="44">
        <f t="shared" si="15"/>
        <v>0</v>
      </c>
      <c r="P131" s="44">
        <f t="shared" si="15"/>
        <v>0</v>
      </c>
      <c r="Q131" s="38"/>
    </row>
    <row r="132" spans="1:34" outlineLevel="1" x14ac:dyDescent="0.25">
      <c r="A132" s="5"/>
      <c r="B132" s="25" t="s">
        <v>25</v>
      </c>
      <c r="C132" s="25" t="s">
        <v>5</v>
      </c>
      <c r="D132" s="25" t="s">
        <v>81</v>
      </c>
      <c r="E132" s="27" t="s">
        <v>82</v>
      </c>
      <c r="F132" s="30">
        <f t="shared" si="14"/>
        <v>20.414000000000001</v>
      </c>
      <c r="G132" s="30">
        <f t="shared" si="14"/>
        <v>24.308</v>
      </c>
      <c r="H132" s="30">
        <f t="shared" si="14"/>
        <v>29.071000000000002</v>
      </c>
      <c r="I132" s="30">
        <f t="shared" si="14"/>
        <v>34.631</v>
      </c>
      <c r="J132" s="44">
        <f t="shared" si="15"/>
        <v>35.563000000000002</v>
      </c>
      <c r="K132" s="44">
        <f t="shared" si="15"/>
        <v>35.563000000000002</v>
      </c>
      <c r="L132" s="44">
        <f t="shared" si="15"/>
        <v>35.563000000000002</v>
      </c>
      <c r="M132" s="44">
        <f t="shared" si="15"/>
        <v>35.563000000000002</v>
      </c>
      <c r="N132" s="44">
        <f t="shared" si="15"/>
        <v>35.563000000000002</v>
      </c>
      <c r="O132" s="44">
        <f t="shared" si="15"/>
        <v>35.563000000000002</v>
      </c>
      <c r="P132" s="44">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x14ac:dyDescent="0.25">
      <c r="A133" s="5"/>
      <c r="B133" s="25" t="s">
        <v>25</v>
      </c>
      <c r="C133" s="25" t="s">
        <v>61</v>
      </c>
      <c r="D133" s="25" t="s">
        <v>81</v>
      </c>
      <c r="E133" s="27" t="s">
        <v>82</v>
      </c>
      <c r="F133" s="30">
        <f t="shared" si="14"/>
        <v>0</v>
      </c>
      <c r="G133" s="30">
        <f t="shared" si="14"/>
        <v>0</v>
      </c>
      <c r="H133" s="30">
        <f t="shared" si="14"/>
        <v>0</v>
      </c>
      <c r="I133" s="30">
        <f t="shared" si="14"/>
        <v>0</v>
      </c>
      <c r="J133" s="44">
        <f t="shared" si="15"/>
        <v>0</v>
      </c>
      <c r="K133" s="44">
        <f t="shared" si="15"/>
        <v>0</v>
      </c>
      <c r="L133" s="44">
        <f t="shared" si="15"/>
        <v>0</v>
      </c>
      <c r="M133" s="44">
        <f t="shared" si="15"/>
        <v>0</v>
      </c>
      <c r="N133" s="44">
        <f t="shared" si="15"/>
        <v>0</v>
      </c>
      <c r="O133" s="44">
        <f t="shared" si="15"/>
        <v>0</v>
      </c>
      <c r="P133" s="44">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x14ac:dyDescent="0.25">
      <c r="A134" s="5"/>
      <c r="B134" s="25" t="s">
        <v>25</v>
      </c>
      <c r="C134" s="25" t="s">
        <v>95</v>
      </c>
      <c r="D134" s="25" t="s">
        <v>81</v>
      </c>
      <c r="E134" s="27" t="s">
        <v>82</v>
      </c>
      <c r="F134" s="30">
        <f t="shared" si="14"/>
        <v>0</v>
      </c>
      <c r="G134" s="30">
        <f t="shared" si="14"/>
        <v>0</v>
      </c>
      <c r="H134" s="30">
        <f t="shared" si="14"/>
        <v>0</v>
      </c>
      <c r="I134" s="30">
        <f t="shared" si="14"/>
        <v>0</v>
      </c>
      <c r="J134" s="44">
        <f t="shared" si="15"/>
        <v>0</v>
      </c>
      <c r="K134" s="44">
        <f t="shared" si="15"/>
        <v>0</v>
      </c>
      <c r="L134" s="44">
        <f t="shared" si="15"/>
        <v>0</v>
      </c>
      <c r="M134" s="44">
        <f t="shared" si="15"/>
        <v>0</v>
      </c>
      <c r="N134" s="44">
        <f t="shared" si="15"/>
        <v>0</v>
      </c>
      <c r="O134" s="44">
        <f t="shared" si="15"/>
        <v>0</v>
      </c>
      <c r="P134" s="44">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x14ac:dyDescent="0.25">
      <c r="A135" s="5"/>
      <c r="B135" s="25" t="s">
        <v>25</v>
      </c>
      <c r="C135" s="25" t="s">
        <v>97</v>
      </c>
      <c r="D135" s="25" t="s">
        <v>81</v>
      </c>
      <c r="E135" s="27" t="s">
        <v>82</v>
      </c>
      <c r="F135" s="30">
        <f t="shared" si="14"/>
        <v>0</v>
      </c>
      <c r="G135" s="30">
        <f t="shared" si="14"/>
        <v>0</v>
      </c>
      <c r="H135" s="30">
        <f t="shared" si="14"/>
        <v>0</v>
      </c>
      <c r="I135" s="30">
        <f t="shared" si="14"/>
        <v>0</v>
      </c>
      <c r="J135" s="44">
        <f t="shared" si="15"/>
        <v>0</v>
      </c>
      <c r="K135" s="44">
        <f t="shared" si="15"/>
        <v>0</v>
      </c>
      <c r="L135" s="44">
        <f t="shared" si="15"/>
        <v>0</v>
      </c>
      <c r="M135" s="44">
        <f t="shared" si="15"/>
        <v>0</v>
      </c>
      <c r="N135" s="44">
        <f t="shared" si="15"/>
        <v>0</v>
      </c>
      <c r="O135" s="44">
        <f t="shared" si="15"/>
        <v>0</v>
      </c>
      <c r="P135" s="44">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x14ac:dyDescent="0.25">
      <c r="A136" s="5"/>
      <c r="B136" s="25" t="s">
        <v>25</v>
      </c>
      <c r="C136" s="25" t="s">
        <v>96</v>
      </c>
      <c r="D136" s="25" t="s">
        <v>81</v>
      </c>
      <c r="E136" s="27" t="s">
        <v>82</v>
      </c>
      <c r="F136" s="30">
        <f t="shared" si="14"/>
        <v>0</v>
      </c>
      <c r="G136" s="30">
        <f t="shared" si="14"/>
        <v>0</v>
      </c>
      <c r="H136" s="30">
        <f t="shared" si="14"/>
        <v>0</v>
      </c>
      <c r="I136" s="30">
        <f t="shared" si="14"/>
        <v>0</v>
      </c>
      <c r="J136" s="44">
        <f t="shared" si="15"/>
        <v>0</v>
      </c>
      <c r="K136" s="44">
        <f t="shared" si="15"/>
        <v>0</v>
      </c>
      <c r="L136" s="44">
        <f t="shared" si="15"/>
        <v>0</v>
      </c>
      <c r="M136" s="44">
        <f t="shared" si="15"/>
        <v>0</v>
      </c>
      <c r="N136" s="44">
        <f t="shared" si="15"/>
        <v>0</v>
      </c>
      <c r="O136" s="44">
        <f t="shared" si="15"/>
        <v>0</v>
      </c>
      <c r="P136" s="44">
        <f t="shared" si="15"/>
        <v>0</v>
      </c>
      <c r="Q136" s="38"/>
    </row>
    <row r="137" spans="1:34" outlineLevel="1" x14ac:dyDescent="0.25">
      <c r="A137" s="5"/>
      <c r="B137" s="25" t="s">
        <v>26</v>
      </c>
      <c r="C137" s="25" t="s">
        <v>48</v>
      </c>
      <c r="D137" s="25" t="s">
        <v>81</v>
      </c>
      <c r="E137" s="27" t="s">
        <v>82</v>
      </c>
      <c r="F137" s="30">
        <f t="shared" si="14"/>
        <v>0</v>
      </c>
      <c r="G137" s="30">
        <f t="shared" si="14"/>
        <v>0</v>
      </c>
      <c r="H137" s="30">
        <f t="shared" si="14"/>
        <v>0</v>
      </c>
      <c r="I137" s="30">
        <f t="shared" si="14"/>
        <v>0</v>
      </c>
      <c r="J137" s="44">
        <f t="shared" si="15"/>
        <v>0</v>
      </c>
      <c r="K137" s="44">
        <f t="shared" si="15"/>
        <v>0</v>
      </c>
      <c r="L137" s="44">
        <f t="shared" si="15"/>
        <v>0</v>
      </c>
      <c r="M137" s="44">
        <f t="shared" si="15"/>
        <v>0</v>
      </c>
      <c r="N137" s="44">
        <f t="shared" si="15"/>
        <v>0</v>
      </c>
      <c r="O137" s="44">
        <f t="shared" si="15"/>
        <v>0</v>
      </c>
      <c r="P137" s="44">
        <f t="shared" si="15"/>
        <v>0</v>
      </c>
      <c r="Q137" s="38"/>
    </row>
    <row r="138" spans="1:34" outlineLevel="1" x14ac:dyDescent="0.25">
      <c r="A138" s="5"/>
      <c r="B138" s="25" t="s">
        <v>26</v>
      </c>
      <c r="C138" s="13" t="s">
        <v>87</v>
      </c>
      <c r="D138" s="25" t="s">
        <v>81</v>
      </c>
      <c r="E138" s="27" t="s">
        <v>82</v>
      </c>
      <c r="F138" s="30">
        <f t="shared" si="14"/>
        <v>0</v>
      </c>
      <c r="G138" s="30">
        <f t="shared" si="14"/>
        <v>0</v>
      </c>
      <c r="H138" s="30">
        <f t="shared" si="14"/>
        <v>0</v>
      </c>
      <c r="I138" s="30">
        <f t="shared" si="14"/>
        <v>0</v>
      </c>
      <c r="J138" s="44">
        <f t="shared" si="15"/>
        <v>0</v>
      </c>
      <c r="K138" s="44">
        <f t="shared" si="15"/>
        <v>0</v>
      </c>
      <c r="L138" s="44">
        <f t="shared" si="15"/>
        <v>0</v>
      </c>
      <c r="M138" s="44">
        <f t="shared" si="15"/>
        <v>0</v>
      </c>
      <c r="N138" s="44">
        <f t="shared" si="15"/>
        <v>0</v>
      </c>
      <c r="O138" s="44">
        <f t="shared" si="15"/>
        <v>0</v>
      </c>
      <c r="P138" s="44">
        <f t="shared" si="15"/>
        <v>0</v>
      </c>
      <c r="Q138" s="38"/>
    </row>
    <row r="139" spans="1:34" outlineLevel="1" x14ac:dyDescent="0.25">
      <c r="A139" s="5"/>
      <c r="B139" s="25" t="s">
        <v>26</v>
      </c>
      <c r="C139" s="25" t="s">
        <v>88</v>
      </c>
      <c r="D139" s="25" t="s">
        <v>81</v>
      </c>
      <c r="E139" s="27" t="s">
        <v>82</v>
      </c>
      <c r="F139" s="30">
        <f t="shared" si="14"/>
        <v>0</v>
      </c>
      <c r="G139" s="30">
        <f t="shared" si="14"/>
        <v>0</v>
      </c>
      <c r="H139" s="30">
        <f t="shared" si="14"/>
        <v>0</v>
      </c>
      <c r="I139" s="30">
        <f t="shared" si="14"/>
        <v>0</v>
      </c>
      <c r="J139" s="44">
        <f t="shared" si="15"/>
        <v>0</v>
      </c>
      <c r="K139" s="44">
        <f t="shared" si="15"/>
        <v>0</v>
      </c>
      <c r="L139" s="44">
        <f t="shared" si="15"/>
        <v>0</v>
      </c>
      <c r="M139" s="44">
        <f t="shared" si="15"/>
        <v>0</v>
      </c>
      <c r="N139" s="44">
        <f t="shared" si="15"/>
        <v>0</v>
      </c>
      <c r="O139" s="44">
        <f t="shared" si="15"/>
        <v>0</v>
      </c>
      <c r="P139" s="44">
        <f t="shared" si="15"/>
        <v>0</v>
      </c>
      <c r="Q139" s="38"/>
    </row>
    <row r="140" spans="1:34" outlineLevel="1" x14ac:dyDescent="0.25">
      <c r="A140" s="5"/>
      <c r="B140" s="25" t="s">
        <v>26</v>
      </c>
      <c r="C140" s="25" t="s">
        <v>89</v>
      </c>
      <c r="D140" s="25" t="s">
        <v>81</v>
      </c>
      <c r="E140" s="27" t="s">
        <v>82</v>
      </c>
      <c r="F140" s="30">
        <f t="shared" si="14"/>
        <v>0</v>
      </c>
      <c r="G140" s="30">
        <f t="shared" si="14"/>
        <v>0</v>
      </c>
      <c r="H140" s="30">
        <f t="shared" si="14"/>
        <v>0</v>
      </c>
      <c r="I140" s="30">
        <f t="shared" si="14"/>
        <v>0</v>
      </c>
      <c r="J140" s="44">
        <f t="shared" si="15"/>
        <v>0</v>
      </c>
      <c r="K140" s="44">
        <f t="shared" si="15"/>
        <v>0</v>
      </c>
      <c r="L140" s="44">
        <f t="shared" si="15"/>
        <v>0</v>
      </c>
      <c r="M140" s="44">
        <f t="shared" si="15"/>
        <v>0</v>
      </c>
      <c r="N140" s="44">
        <f t="shared" si="15"/>
        <v>0</v>
      </c>
      <c r="O140" s="44">
        <f t="shared" si="15"/>
        <v>0</v>
      </c>
      <c r="P140" s="44">
        <f t="shared" si="15"/>
        <v>0</v>
      </c>
      <c r="Q140" s="38"/>
    </row>
    <row r="141" spans="1:34" outlineLevel="1" x14ac:dyDescent="0.25">
      <c r="A141" s="5"/>
      <c r="B141" s="25" t="s">
        <v>26</v>
      </c>
      <c r="C141" s="25" t="s">
        <v>90</v>
      </c>
      <c r="D141" s="25" t="s">
        <v>81</v>
      </c>
      <c r="E141" s="27" t="s">
        <v>82</v>
      </c>
      <c r="F141" s="30">
        <f t="shared" si="14"/>
        <v>0</v>
      </c>
      <c r="G141" s="30">
        <f t="shared" si="14"/>
        <v>0</v>
      </c>
      <c r="H141" s="30">
        <f t="shared" si="14"/>
        <v>0</v>
      </c>
      <c r="I141" s="30">
        <f t="shared" si="14"/>
        <v>0</v>
      </c>
      <c r="J141" s="44">
        <f t="shared" si="15"/>
        <v>0</v>
      </c>
      <c r="K141" s="44">
        <f t="shared" si="15"/>
        <v>0</v>
      </c>
      <c r="L141" s="44">
        <f t="shared" si="15"/>
        <v>0</v>
      </c>
      <c r="M141" s="44">
        <f t="shared" si="15"/>
        <v>0</v>
      </c>
      <c r="N141" s="44">
        <f t="shared" si="15"/>
        <v>0</v>
      </c>
      <c r="O141" s="44">
        <f t="shared" si="15"/>
        <v>0</v>
      </c>
      <c r="P141" s="44">
        <f t="shared" si="15"/>
        <v>0</v>
      </c>
      <c r="Q141" s="38"/>
    </row>
    <row r="142" spans="1:34" outlineLevel="1" x14ac:dyDescent="0.25">
      <c r="A142" s="5"/>
      <c r="B142" s="25" t="s">
        <v>26</v>
      </c>
      <c r="C142" s="25" t="s">
        <v>91</v>
      </c>
      <c r="D142" s="25" t="s">
        <v>81</v>
      </c>
      <c r="E142" s="27" t="s">
        <v>82</v>
      </c>
      <c r="F142" s="30">
        <f t="shared" si="14"/>
        <v>0</v>
      </c>
      <c r="G142" s="30">
        <f t="shared" si="14"/>
        <v>0</v>
      </c>
      <c r="H142" s="30">
        <f t="shared" si="14"/>
        <v>0</v>
      </c>
      <c r="I142" s="30">
        <f t="shared" si="14"/>
        <v>0</v>
      </c>
      <c r="J142" s="44">
        <f t="shared" si="15"/>
        <v>0</v>
      </c>
      <c r="K142" s="44">
        <f t="shared" si="15"/>
        <v>0</v>
      </c>
      <c r="L142" s="44">
        <f t="shared" si="15"/>
        <v>0</v>
      </c>
      <c r="M142" s="44">
        <f t="shared" si="15"/>
        <v>0</v>
      </c>
      <c r="N142" s="44">
        <f t="shared" si="15"/>
        <v>0</v>
      </c>
      <c r="O142" s="44">
        <f t="shared" si="15"/>
        <v>0</v>
      </c>
      <c r="P142" s="44">
        <f t="shared" si="15"/>
        <v>0</v>
      </c>
      <c r="Q142" s="38"/>
    </row>
    <row r="143" spans="1:34" outlineLevel="1" x14ac:dyDescent="0.25">
      <c r="A143" s="5"/>
      <c r="B143" s="25" t="s">
        <v>26</v>
      </c>
      <c r="C143" s="25" t="s">
        <v>92</v>
      </c>
      <c r="D143" s="25" t="s">
        <v>81</v>
      </c>
      <c r="E143" s="27" t="s">
        <v>82</v>
      </c>
      <c r="F143" s="30">
        <f t="shared" ref="F143:I150" si="16">INDEX($R143:$BZ143,MATCH(F$1,$R$1:$BZ$1,0))</f>
        <v>0</v>
      </c>
      <c r="G143" s="30">
        <f t="shared" si="16"/>
        <v>0</v>
      </c>
      <c r="H143" s="30">
        <f t="shared" si="16"/>
        <v>0</v>
      </c>
      <c r="I143" s="30">
        <f t="shared" si="16"/>
        <v>0</v>
      </c>
      <c r="J143" s="44">
        <f t="shared" si="15"/>
        <v>0</v>
      </c>
      <c r="K143" s="44">
        <f t="shared" si="15"/>
        <v>0</v>
      </c>
      <c r="L143" s="44">
        <f t="shared" si="15"/>
        <v>0</v>
      </c>
      <c r="M143" s="44">
        <f t="shared" si="15"/>
        <v>0</v>
      </c>
      <c r="N143" s="44">
        <f t="shared" si="15"/>
        <v>0</v>
      </c>
      <c r="O143" s="44">
        <f t="shared" si="15"/>
        <v>0</v>
      </c>
      <c r="P143" s="44">
        <f t="shared" si="15"/>
        <v>0</v>
      </c>
      <c r="Q143" s="38"/>
    </row>
    <row r="144" spans="1:34" outlineLevel="1" x14ac:dyDescent="0.25">
      <c r="A144" s="5"/>
      <c r="B144" s="25" t="s">
        <v>26</v>
      </c>
      <c r="C144" s="25" t="s">
        <v>93</v>
      </c>
      <c r="D144" s="25" t="s">
        <v>81</v>
      </c>
      <c r="E144" s="27" t="s">
        <v>82</v>
      </c>
      <c r="F144" s="30">
        <f t="shared" si="16"/>
        <v>0</v>
      </c>
      <c r="G144" s="30">
        <f t="shared" si="16"/>
        <v>0</v>
      </c>
      <c r="H144" s="30">
        <f t="shared" si="16"/>
        <v>0</v>
      </c>
      <c r="I144" s="30">
        <f t="shared" si="16"/>
        <v>0</v>
      </c>
      <c r="J144" s="44">
        <f t="shared" si="15"/>
        <v>0</v>
      </c>
      <c r="K144" s="44">
        <f t="shared" si="15"/>
        <v>0</v>
      </c>
      <c r="L144" s="44">
        <f t="shared" si="15"/>
        <v>0</v>
      </c>
      <c r="M144" s="44">
        <f t="shared" si="15"/>
        <v>0</v>
      </c>
      <c r="N144" s="44">
        <f t="shared" si="15"/>
        <v>0</v>
      </c>
      <c r="O144" s="44">
        <f t="shared" si="15"/>
        <v>0</v>
      </c>
      <c r="P144" s="44">
        <f t="shared" si="15"/>
        <v>0</v>
      </c>
      <c r="Q144" s="38"/>
    </row>
    <row r="145" spans="1:34" outlineLevel="1" x14ac:dyDescent="0.25">
      <c r="A145" s="5"/>
      <c r="B145" s="25" t="s">
        <v>26</v>
      </c>
      <c r="C145" s="25" t="s">
        <v>94</v>
      </c>
      <c r="D145" s="25" t="s">
        <v>81</v>
      </c>
      <c r="E145" s="27" t="s">
        <v>82</v>
      </c>
      <c r="F145" s="30">
        <f t="shared" si="16"/>
        <v>0</v>
      </c>
      <c r="G145" s="30">
        <f t="shared" si="16"/>
        <v>0</v>
      </c>
      <c r="H145" s="30">
        <f t="shared" si="16"/>
        <v>0</v>
      </c>
      <c r="I145" s="30">
        <f t="shared" si="16"/>
        <v>0</v>
      </c>
      <c r="J145" s="44">
        <f t="shared" si="15"/>
        <v>0</v>
      </c>
      <c r="K145" s="44">
        <f t="shared" si="15"/>
        <v>0</v>
      </c>
      <c r="L145" s="44">
        <f t="shared" si="15"/>
        <v>0</v>
      </c>
      <c r="M145" s="44">
        <f t="shared" si="15"/>
        <v>0</v>
      </c>
      <c r="N145" s="44">
        <f t="shared" si="15"/>
        <v>0</v>
      </c>
      <c r="O145" s="44">
        <f t="shared" si="15"/>
        <v>0</v>
      </c>
      <c r="P145" s="44">
        <f t="shared" si="15"/>
        <v>0</v>
      </c>
      <c r="Q145" s="38"/>
    </row>
    <row r="146" spans="1:34" outlineLevel="1" x14ac:dyDescent="0.25">
      <c r="A146" s="5"/>
      <c r="B146" s="25" t="s">
        <v>26</v>
      </c>
      <c r="C146" s="25" t="s">
        <v>5</v>
      </c>
      <c r="D146" s="25" t="s">
        <v>81</v>
      </c>
      <c r="E146" s="27" t="s">
        <v>82</v>
      </c>
      <c r="F146" s="30">
        <f t="shared" si="16"/>
        <v>4.6909999999999998</v>
      </c>
      <c r="G146" s="30">
        <f t="shared" si="16"/>
        <v>5.3550000000000004</v>
      </c>
      <c r="H146" s="30">
        <f t="shared" si="16"/>
        <v>6.0590000000000002</v>
      </c>
      <c r="I146" s="30">
        <f t="shared" si="16"/>
        <v>6.6749999999999998</v>
      </c>
      <c r="J146" s="44">
        <f t="shared" si="15"/>
        <v>6.8070000000000004</v>
      </c>
      <c r="K146" s="44">
        <f t="shared" si="15"/>
        <v>6.8070000000000004</v>
      </c>
      <c r="L146" s="44">
        <f t="shared" si="15"/>
        <v>6.8070000000000004</v>
      </c>
      <c r="M146" s="44">
        <f t="shared" si="15"/>
        <v>6.8070000000000004</v>
      </c>
      <c r="N146" s="44">
        <f t="shared" si="15"/>
        <v>6.8070000000000004</v>
      </c>
      <c r="O146" s="44">
        <f t="shared" si="15"/>
        <v>6.8070000000000004</v>
      </c>
      <c r="P146" s="44">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x14ac:dyDescent="0.25">
      <c r="A147" s="5"/>
      <c r="B147" s="25" t="s">
        <v>26</v>
      </c>
      <c r="C147" s="25" t="s">
        <v>61</v>
      </c>
      <c r="D147" s="25" t="s">
        <v>81</v>
      </c>
      <c r="E147" s="27" t="s">
        <v>82</v>
      </c>
      <c r="F147" s="30">
        <f t="shared" si="16"/>
        <v>0</v>
      </c>
      <c r="G147" s="30">
        <f t="shared" si="16"/>
        <v>0</v>
      </c>
      <c r="H147" s="30">
        <f t="shared" si="16"/>
        <v>0</v>
      </c>
      <c r="I147" s="30">
        <f t="shared" si="16"/>
        <v>0</v>
      </c>
      <c r="J147" s="44">
        <f t="shared" si="15"/>
        <v>0</v>
      </c>
      <c r="K147" s="44">
        <f t="shared" si="15"/>
        <v>0</v>
      </c>
      <c r="L147" s="44">
        <f t="shared" si="15"/>
        <v>0</v>
      </c>
      <c r="M147" s="44">
        <f t="shared" si="15"/>
        <v>0</v>
      </c>
      <c r="N147" s="44">
        <f t="shared" si="15"/>
        <v>0</v>
      </c>
      <c r="O147" s="44">
        <f t="shared" si="15"/>
        <v>0</v>
      </c>
      <c r="P147" s="44">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x14ac:dyDescent="0.25">
      <c r="A148" s="5"/>
      <c r="B148" s="25" t="s">
        <v>26</v>
      </c>
      <c r="C148" s="25" t="s">
        <v>95</v>
      </c>
      <c r="D148" s="25" t="s">
        <v>81</v>
      </c>
      <c r="E148" s="27" t="s">
        <v>82</v>
      </c>
      <c r="F148" s="30">
        <f t="shared" si="16"/>
        <v>0</v>
      </c>
      <c r="G148" s="30">
        <f t="shared" si="16"/>
        <v>0</v>
      </c>
      <c r="H148" s="30">
        <f t="shared" si="16"/>
        <v>0</v>
      </c>
      <c r="I148" s="30">
        <f t="shared" si="16"/>
        <v>0</v>
      </c>
      <c r="J148" s="44">
        <f t="shared" si="15"/>
        <v>0</v>
      </c>
      <c r="K148" s="44">
        <f t="shared" si="15"/>
        <v>0</v>
      </c>
      <c r="L148" s="44">
        <f t="shared" si="15"/>
        <v>0</v>
      </c>
      <c r="M148" s="44">
        <f t="shared" si="15"/>
        <v>0</v>
      </c>
      <c r="N148" s="44">
        <f t="shared" si="15"/>
        <v>0</v>
      </c>
      <c r="O148" s="44">
        <f t="shared" si="15"/>
        <v>0</v>
      </c>
      <c r="P148" s="44">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x14ac:dyDescent="0.25">
      <c r="A149" s="5"/>
      <c r="B149" s="25" t="s">
        <v>26</v>
      </c>
      <c r="C149" s="25" t="s">
        <v>97</v>
      </c>
      <c r="D149" s="25" t="s">
        <v>81</v>
      </c>
      <c r="E149" s="27" t="s">
        <v>82</v>
      </c>
      <c r="F149" s="30">
        <f t="shared" si="16"/>
        <v>0</v>
      </c>
      <c r="G149" s="30">
        <f t="shared" si="16"/>
        <v>0</v>
      </c>
      <c r="H149" s="30">
        <f t="shared" si="16"/>
        <v>0</v>
      </c>
      <c r="I149" s="30">
        <f t="shared" si="16"/>
        <v>0</v>
      </c>
      <c r="J149" s="44">
        <f t="shared" si="15"/>
        <v>0</v>
      </c>
      <c r="K149" s="44">
        <f t="shared" si="15"/>
        <v>0</v>
      </c>
      <c r="L149" s="44">
        <f t="shared" si="15"/>
        <v>0</v>
      </c>
      <c r="M149" s="44">
        <f t="shared" si="15"/>
        <v>0</v>
      </c>
      <c r="N149" s="44">
        <f t="shared" si="15"/>
        <v>0</v>
      </c>
      <c r="O149" s="44">
        <f t="shared" si="15"/>
        <v>0</v>
      </c>
      <c r="P149" s="44">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x14ac:dyDescent="0.25">
      <c r="A150" s="5"/>
      <c r="B150" s="25" t="s">
        <v>26</v>
      </c>
      <c r="C150" s="25" t="s">
        <v>96</v>
      </c>
      <c r="D150" s="25" t="s">
        <v>81</v>
      </c>
      <c r="E150" s="27" t="s">
        <v>82</v>
      </c>
      <c r="F150" s="30">
        <f t="shared" si="16"/>
        <v>0</v>
      </c>
      <c r="G150" s="30">
        <f t="shared" si="16"/>
        <v>0</v>
      </c>
      <c r="H150" s="30">
        <f t="shared" si="16"/>
        <v>0</v>
      </c>
      <c r="I150" s="30">
        <f t="shared" si="16"/>
        <v>0</v>
      </c>
      <c r="J150" s="44">
        <f t="shared" si="15"/>
        <v>0</v>
      </c>
      <c r="K150" s="44">
        <f t="shared" si="15"/>
        <v>0</v>
      </c>
      <c r="L150" s="44">
        <f t="shared" si="15"/>
        <v>0</v>
      </c>
      <c r="M150" s="44">
        <f t="shared" si="15"/>
        <v>0</v>
      </c>
      <c r="N150" s="44">
        <f t="shared" si="15"/>
        <v>0</v>
      </c>
      <c r="O150" s="44">
        <f t="shared" si="15"/>
        <v>0</v>
      </c>
      <c r="P150" s="44">
        <f t="shared" si="15"/>
        <v>0</v>
      </c>
      <c r="Q150" s="38"/>
    </row>
    <row r="151" spans="1:34" x14ac:dyDescent="0.25">
      <c r="A151" s="5"/>
      <c r="B151" s="25"/>
      <c r="C151" s="25"/>
      <c r="D151" s="25"/>
      <c r="E151" s="16"/>
      <c r="G151" s="29"/>
      <c r="H151" s="29"/>
      <c r="I151" s="29"/>
      <c r="J151" s="29"/>
      <c r="K151" s="29"/>
      <c r="L151" s="29"/>
      <c r="M151" s="29"/>
      <c r="N151" s="29"/>
      <c r="O151" s="29"/>
      <c r="P151" s="29"/>
      <c r="Q151" s="38"/>
    </row>
    <row r="152" spans="1:34" x14ac:dyDescent="0.25">
      <c r="A152" s="5"/>
      <c r="B152" s="25"/>
      <c r="C152" s="25"/>
      <c r="D152" s="25"/>
      <c r="E152" s="16"/>
      <c r="G152" s="29"/>
      <c r="H152" s="29"/>
      <c r="I152" s="29"/>
      <c r="J152" s="29"/>
      <c r="K152" s="29"/>
      <c r="L152" s="29"/>
      <c r="M152" s="29"/>
      <c r="N152" s="29"/>
      <c r="O152" s="29"/>
      <c r="P152" s="29"/>
      <c r="Q152" s="38"/>
    </row>
    <row r="153" spans="1:34" x14ac:dyDescent="0.25">
      <c r="A153" s="5"/>
      <c r="B153" s="25"/>
      <c r="C153" s="25"/>
      <c r="D153" s="25"/>
      <c r="E153" s="16"/>
      <c r="G153" s="29"/>
      <c r="H153" s="29"/>
      <c r="I153" s="29"/>
      <c r="J153" s="29"/>
      <c r="K153" s="29"/>
      <c r="L153" s="29"/>
      <c r="M153" s="29"/>
      <c r="N153" s="29"/>
      <c r="O153" s="29"/>
      <c r="P153" s="29"/>
      <c r="Q153" s="38"/>
    </row>
    <row r="154" spans="1:34" x14ac:dyDescent="0.25">
      <c r="A154" s="5"/>
      <c r="B154" s="25"/>
      <c r="C154" s="25"/>
      <c r="D154" s="25"/>
      <c r="E154" s="16"/>
      <c r="G154" s="29"/>
      <c r="H154" s="29"/>
      <c r="I154" s="29"/>
      <c r="J154" s="29"/>
      <c r="K154" s="29"/>
      <c r="L154" s="29"/>
      <c r="M154" s="29"/>
      <c r="N154" s="29"/>
      <c r="O154" s="29"/>
      <c r="P154" s="29"/>
      <c r="Q154" s="38"/>
    </row>
    <row r="155" spans="1:34" x14ac:dyDescent="0.25">
      <c r="A155" s="5"/>
      <c r="B155" s="25"/>
      <c r="C155" s="25"/>
      <c r="D155" s="25"/>
      <c r="E155" s="16"/>
      <c r="G155" s="29"/>
      <c r="H155" s="29"/>
      <c r="I155" s="29"/>
      <c r="J155" s="29"/>
      <c r="K155" s="29"/>
      <c r="L155" s="29"/>
      <c r="M155" s="29"/>
      <c r="N155" s="29"/>
      <c r="O155" s="29"/>
      <c r="P155" s="29"/>
      <c r="Q155" s="38"/>
    </row>
    <row r="156" spans="1:34" x14ac:dyDescent="0.25">
      <c r="A156" s="5"/>
      <c r="B156" s="25"/>
      <c r="C156" s="25"/>
      <c r="D156" s="25"/>
      <c r="E156" s="16"/>
      <c r="G156" s="29"/>
      <c r="H156" s="29"/>
      <c r="I156" s="29"/>
      <c r="J156" s="29"/>
      <c r="K156" s="29"/>
      <c r="L156" s="29"/>
      <c r="M156" s="29"/>
      <c r="N156" s="29"/>
      <c r="O156" s="29"/>
      <c r="P156" s="29"/>
      <c r="Q156" s="38"/>
    </row>
    <row r="157" spans="1:34" x14ac:dyDescent="0.25">
      <c r="A157" s="5"/>
      <c r="B157" s="25"/>
      <c r="C157" s="25"/>
      <c r="D157" s="25"/>
      <c r="E157" s="16"/>
      <c r="G157" s="29"/>
      <c r="H157" s="29"/>
      <c r="I157" s="29"/>
      <c r="J157" s="29"/>
      <c r="K157" s="29"/>
      <c r="L157" s="29"/>
      <c r="M157" s="29"/>
      <c r="N157" s="29"/>
      <c r="O157" s="29"/>
      <c r="P157" s="29"/>
      <c r="Q157" s="38"/>
    </row>
    <row r="158" spans="1:34" x14ac:dyDescent="0.25">
      <c r="A158" s="5"/>
      <c r="B158" s="25"/>
      <c r="C158" s="25"/>
      <c r="D158" s="25"/>
      <c r="E158" s="16"/>
      <c r="G158" s="29"/>
      <c r="H158" s="29"/>
      <c r="I158" s="29"/>
      <c r="J158" s="29"/>
      <c r="K158" s="29"/>
      <c r="L158" s="29"/>
      <c r="M158" s="29"/>
      <c r="N158" s="29"/>
      <c r="O158" s="29"/>
      <c r="P158" s="29"/>
      <c r="Q158" s="38"/>
    </row>
    <row r="159" spans="1:34" x14ac:dyDescent="0.25">
      <c r="A159" s="5"/>
      <c r="B159" s="25"/>
      <c r="C159" s="25"/>
      <c r="D159" s="25"/>
      <c r="E159" s="16"/>
      <c r="G159" s="29"/>
      <c r="H159" s="29"/>
      <c r="I159" s="29"/>
      <c r="J159" s="29"/>
      <c r="K159" s="29"/>
      <c r="L159" s="29"/>
      <c r="M159" s="29"/>
      <c r="N159" s="29"/>
      <c r="O159" s="29"/>
      <c r="P159" s="29"/>
      <c r="Q159" s="38"/>
    </row>
    <row r="160" spans="1:34" x14ac:dyDescent="0.25">
      <c r="A160" s="5"/>
      <c r="B160" s="25"/>
      <c r="C160" s="25"/>
      <c r="D160" s="25"/>
      <c r="E160" s="16"/>
      <c r="G160" s="29"/>
      <c r="H160" s="29"/>
      <c r="I160" s="29"/>
      <c r="J160" s="29"/>
      <c r="K160" s="29"/>
      <c r="L160" s="29"/>
      <c r="M160" s="29"/>
      <c r="N160" s="29"/>
      <c r="O160" s="29"/>
      <c r="P160" s="29"/>
      <c r="Q160" s="38"/>
    </row>
    <row r="161" spans="1:17" x14ac:dyDescent="0.25">
      <c r="A161" s="5"/>
      <c r="B161" s="25"/>
      <c r="C161" s="25"/>
      <c r="D161" s="25"/>
      <c r="E161" s="16"/>
      <c r="G161" s="29"/>
      <c r="H161" s="29"/>
      <c r="I161" s="29"/>
      <c r="J161" s="29"/>
      <c r="K161" s="29"/>
      <c r="L161" s="29"/>
      <c r="M161" s="29"/>
      <c r="N161" s="29"/>
      <c r="O161" s="29"/>
      <c r="P161" s="29"/>
      <c r="Q161" s="38"/>
    </row>
    <row r="162" spans="1:17" x14ac:dyDescent="0.25">
      <c r="A162" s="5"/>
      <c r="B162" s="25"/>
      <c r="C162" s="25"/>
      <c r="D162" s="25"/>
      <c r="E162" s="16"/>
      <c r="G162" s="29"/>
      <c r="H162" s="29"/>
      <c r="I162" s="29"/>
      <c r="J162" s="29"/>
      <c r="K162" s="29"/>
      <c r="L162" s="29"/>
      <c r="M162" s="29"/>
      <c r="N162" s="29"/>
      <c r="O162" s="29"/>
      <c r="P162" s="29"/>
      <c r="Q162" s="38"/>
    </row>
    <row r="163" spans="1:17" x14ac:dyDescent="0.25">
      <c r="A163" s="5"/>
      <c r="B163" s="25"/>
      <c r="C163" s="25"/>
      <c r="D163" s="25"/>
      <c r="E163" s="16"/>
      <c r="G163" s="29"/>
      <c r="H163" s="29"/>
      <c r="I163" s="29"/>
      <c r="J163" s="29"/>
      <c r="K163" s="29"/>
      <c r="L163" s="29"/>
      <c r="M163" s="29"/>
      <c r="N163" s="29"/>
      <c r="O163" s="29"/>
      <c r="P163" s="29"/>
      <c r="Q163" s="38"/>
    </row>
    <row r="164" spans="1:17" x14ac:dyDescent="0.25">
      <c r="A164" s="5"/>
      <c r="B164" s="25"/>
      <c r="C164" s="25"/>
      <c r="D164" s="25"/>
      <c r="E164" s="16"/>
      <c r="G164" s="29"/>
      <c r="H164" s="29"/>
      <c r="I164" s="29"/>
      <c r="J164" s="29"/>
      <c r="K164" s="29"/>
      <c r="L164" s="29"/>
      <c r="M164" s="29"/>
      <c r="N164" s="29"/>
      <c r="O164" s="29"/>
      <c r="P164" s="29"/>
      <c r="Q164" s="38"/>
    </row>
    <row r="165" spans="1:17" x14ac:dyDescent="0.25">
      <c r="A165" s="5"/>
      <c r="B165" s="25"/>
      <c r="C165" s="25"/>
      <c r="D165" s="25"/>
      <c r="E165" s="16"/>
      <c r="G165" s="29"/>
      <c r="H165" s="29"/>
      <c r="I165" s="29"/>
      <c r="J165" s="29"/>
      <c r="K165" s="29"/>
      <c r="L165" s="29"/>
      <c r="M165" s="29"/>
      <c r="N165" s="29"/>
      <c r="O165" s="29"/>
      <c r="P165" s="29"/>
      <c r="Q165" s="38"/>
    </row>
    <row r="166" spans="1:17" x14ac:dyDescent="0.25">
      <c r="A166" s="5"/>
      <c r="B166" s="25"/>
      <c r="C166" s="25"/>
      <c r="D166" s="25"/>
      <c r="E166" s="16"/>
      <c r="G166" s="29"/>
      <c r="H166" s="29"/>
      <c r="I166" s="29"/>
      <c r="J166" s="29"/>
      <c r="K166" s="29"/>
      <c r="L166" s="29"/>
      <c r="M166" s="29"/>
      <c r="N166" s="29"/>
      <c r="O166" s="29"/>
      <c r="P166" s="29"/>
      <c r="Q166" s="38"/>
    </row>
    <row r="167" spans="1:17" x14ac:dyDescent="0.25">
      <c r="A167" s="5"/>
      <c r="B167" s="25"/>
      <c r="C167" s="25"/>
      <c r="D167" s="25"/>
      <c r="E167" s="16"/>
      <c r="G167" s="29"/>
      <c r="H167" s="29"/>
      <c r="I167" s="29"/>
      <c r="J167" s="29"/>
      <c r="K167" s="29"/>
      <c r="L167" s="29"/>
      <c r="M167" s="29"/>
      <c r="N167" s="29"/>
      <c r="O167" s="29"/>
      <c r="P167" s="29"/>
      <c r="Q167" s="38"/>
    </row>
    <row r="168" spans="1:17" x14ac:dyDescent="0.25">
      <c r="A168" s="5"/>
      <c r="B168" s="25"/>
      <c r="C168" s="25"/>
      <c r="D168" s="25"/>
      <c r="E168" s="16"/>
      <c r="G168" s="29"/>
      <c r="H168" s="29"/>
      <c r="I168" s="29"/>
      <c r="J168" s="29"/>
      <c r="K168" s="29"/>
      <c r="L168" s="29"/>
      <c r="M168" s="29"/>
      <c r="N168" s="29"/>
      <c r="O168" s="29"/>
      <c r="P168" s="29"/>
      <c r="Q168" s="38"/>
    </row>
    <row r="169" spans="1:17" x14ac:dyDescent="0.25">
      <c r="A169" s="5"/>
      <c r="B169" s="25"/>
      <c r="C169" s="25"/>
      <c r="D169" s="25"/>
      <c r="E169" s="16"/>
      <c r="G169" s="29"/>
      <c r="H169" s="29"/>
      <c r="I169" s="29"/>
      <c r="J169" s="29"/>
      <c r="K169" s="29"/>
      <c r="L169" s="29"/>
      <c r="M169" s="29"/>
      <c r="N169" s="29"/>
      <c r="O169" s="29"/>
      <c r="P169" s="29"/>
      <c r="Q169" s="38"/>
    </row>
    <row r="170" spans="1:17" x14ac:dyDescent="0.25">
      <c r="A170" s="5"/>
      <c r="B170" s="25"/>
      <c r="C170" s="25"/>
      <c r="D170" s="25"/>
      <c r="E170" s="16"/>
      <c r="G170" s="29"/>
      <c r="H170" s="29"/>
      <c r="I170" s="29"/>
      <c r="J170" s="29"/>
      <c r="K170" s="29"/>
      <c r="L170" s="29"/>
      <c r="M170" s="29"/>
      <c r="N170" s="29"/>
      <c r="O170" s="29"/>
      <c r="P170" s="29"/>
      <c r="Q170" s="38"/>
    </row>
    <row r="171" spans="1:17" x14ac:dyDescent="0.25">
      <c r="A171" s="5"/>
      <c r="B171" s="25"/>
      <c r="C171" s="25"/>
      <c r="D171" s="25"/>
      <c r="E171" s="16"/>
      <c r="G171" s="29"/>
      <c r="H171" s="29"/>
      <c r="I171" s="29"/>
      <c r="J171" s="29"/>
      <c r="K171" s="29"/>
      <c r="L171" s="29"/>
      <c r="M171" s="29"/>
      <c r="N171" s="29"/>
      <c r="O171" s="29"/>
      <c r="P171" s="29"/>
      <c r="Q171" s="38"/>
    </row>
    <row r="172" spans="1:17" x14ac:dyDescent="0.25">
      <c r="A172" s="5"/>
      <c r="B172" s="25"/>
      <c r="C172" s="25"/>
      <c r="D172" s="25"/>
      <c r="E172" s="16"/>
      <c r="G172" s="29"/>
      <c r="H172" s="29"/>
      <c r="I172" s="29"/>
      <c r="J172" s="29"/>
      <c r="K172" s="29"/>
      <c r="L172" s="29"/>
      <c r="M172" s="29"/>
      <c r="N172" s="29"/>
      <c r="O172" s="29"/>
      <c r="P172" s="29"/>
      <c r="Q172" s="38"/>
    </row>
    <row r="173" spans="1:17" x14ac:dyDescent="0.25">
      <c r="A173" s="5"/>
      <c r="B173" s="25"/>
      <c r="C173" s="25"/>
      <c r="D173" s="25"/>
      <c r="E173" s="16"/>
      <c r="G173" s="29"/>
      <c r="H173" s="29"/>
      <c r="I173" s="29"/>
      <c r="J173" s="29"/>
      <c r="K173" s="29"/>
      <c r="L173" s="29"/>
      <c r="M173" s="29"/>
      <c r="N173" s="29"/>
      <c r="O173" s="29"/>
      <c r="P173" s="29"/>
      <c r="Q173" s="38"/>
    </row>
    <row r="174" spans="1:17" x14ac:dyDescent="0.25">
      <c r="A174" s="5"/>
      <c r="B174" s="25"/>
      <c r="C174" s="25"/>
      <c r="D174" s="25"/>
      <c r="E174" s="16"/>
      <c r="G174" s="29"/>
      <c r="H174" s="29"/>
      <c r="I174" s="29"/>
      <c r="J174" s="29"/>
      <c r="K174" s="29"/>
      <c r="L174" s="29"/>
      <c r="M174" s="29"/>
      <c r="N174" s="29"/>
      <c r="O174" s="29"/>
      <c r="P174" s="29"/>
      <c r="Q174" s="38"/>
    </row>
    <row r="175" spans="1:17" x14ac:dyDescent="0.25">
      <c r="A175" s="5"/>
      <c r="B175" s="25"/>
      <c r="C175" s="25"/>
      <c r="D175" s="25"/>
      <c r="E175" s="16"/>
      <c r="G175" s="29"/>
      <c r="H175" s="29"/>
      <c r="I175" s="29"/>
      <c r="J175" s="29"/>
      <c r="K175" s="29"/>
      <c r="L175" s="29"/>
      <c r="M175" s="29"/>
      <c r="N175" s="29"/>
      <c r="O175" s="29"/>
      <c r="P175" s="29"/>
      <c r="Q175" s="38"/>
    </row>
    <row r="176" spans="1:17" x14ac:dyDescent="0.25">
      <c r="A176" s="5"/>
      <c r="B176" s="25"/>
      <c r="C176" s="25"/>
      <c r="D176" s="25"/>
      <c r="E176" s="16"/>
      <c r="G176" s="29"/>
      <c r="H176" s="29"/>
      <c r="I176" s="29"/>
      <c r="J176" s="29"/>
      <c r="K176" s="29"/>
      <c r="L176" s="29"/>
      <c r="M176" s="29"/>
      <c r="N176" s="29"/>
      <c r="O176" s="29"/>
      <c r="P176" s="29"/>
      <c r="Q176" s="38"/>
    </row>
    <row r="177" spans="1:17" x14ac:dyDescent="0.25">
      <c r="A177" s="5"/>
      <c r="B177" s="25"/>
      <c r="C177" s="25"/>
      <c r="D177" s="25"/>
      <c r="E177" s="16"/>
      <c r="G177" s="29"/>
      <c r="H177" s="29"/>
      <c r="I177" s="29"/>
      <c r="J177" s="29"/>
      <c r="K177" s="29"/>
      <c r="L177" s="29"/>
      <c r="M177" s="29"/>
      <c r="N177" s="29"/>
      <c r="O177" s="29"/>
      <c r="P177" s="29"/>
      <c r="Q177" s="38"/>
    </row>
    <row r="178" spans="1:17" x14ac:dyDescent="0.25">
      <c r="A178" s="5"/>
      <c r="B178" s="25"/>
      <c r="C178" s="25"/>
      <c r="D178" s="25"/>
      <c r="E178" s="16"/>
      <c r="G178" s="29"/>
      <c r="H178" s="29"/>
      <c r="I178" s="29"/>
      <c r="J178" s="29"/>
      <c r="K178" s="29"/>
      <c r="L178" s="29"/>
      <c r="M178" s="29"/>
      <c r="N178" s="29"/>
      <c r="O178" s="29"/>
      <c r="P178" s="29"/>
      <c r="Q178" s="38"/>
    </row>
    <row r="179" spans="1:17" x14ac:dyDescent="0.25">
      <c r="A179" s="5"/>
      <c r="B179" s="13"/>
      <c r="C179" s="13"/>
      <c r="D179" s="13"/>
      <c r="E179" s="9"/>
      <c r="F179" s="29"/>
      <c r="G179" s="29"/>
      <c r="H179" s="29"/>
      <c r="I179" s="29"/>
      <c r="J179" s="29"/>
      <c r="K179" s="29"/>
      <c r="L179" s="29"/>
      <c r="M179" s="29"/>
      <c r="N179" s="29"/>
      <c r="O179" s="29"/>
      <c r="P179" s="29"/>
      <c r="Q179" s="38"/>
    </row>
    <row r="180" spans="1:17" x14ac:dyDescent="0.25">
      <c r="A180" s="5"/>
      <c r="B180" s="13"/>
      <c r="C180" s="13"/>
      <c r="D180" s="13"/>
      <c r="E180" s="9"/>
      <c r="F180" s="29"/>
      <c r="G180" s="29"/>
      <c r="H180" s="29"/>
      <c r="I180" s="29"/>
      <c r="J180" s="29"/>
      <c r="K180" s="29"/>
      <c r="L180" s="29"/>
      <c r="M180" s="29"/>
      <c r="N180" s="29"/>
      <c r="O180" s="29"/>
      <c r="P180" s="29"/>
      <c r="Q180" s="38"/>
    </row>
    <row r="181" spans="1:17" x14ac:dyDescent="0.25">
      <c r="A181" s="5"/>
      <c r="B181" s="25"/>
      <c r="C181" s="25"/>
      <c r="D181" s="25"/>
      <c r="E181" s="16"/>
      <c r="G181" s="29"/>
      <c r="H181" s="29"/>
      <c r="I181" s="29"/>
      <c r="J181" s="29"/>
      <c r="K181" s="29"/>
      <c r="L181" s="29"/>
      <c r="M181" s="29"/>
      <c r="N181" s="29"/>
      <c r="O181" s="29"/>
      <c r="P181" s="29"/>
      <c r="Q181" s="38"/>
    </row>
    <row r="182" spans="1:17" x14ac:dyDescent="0.25">
      <c r="A182" s="5"/>
      <c r="B182" s="25"/>
      <c r="C182" s="25"/>
      <c r="D182" s="25"/>
      <c r="E182" s="16"/>
      <c r="G182" s="29"/>
      <c r="H182" s="29"/>
      <c r="I182" s="29"/>
      <c r="J182" s="29"/>
      <c r="K182" s="29"/>
      <c r="L182" s="29"/>
      <c r="M182" s="29"/>
      <c r="N182" s="29"/>
      <c r="O182" s="29"/>
      <c r="P182" s="29"/>
      <c r="Q182" s="38"/>
    </row>
    <row r="183" spans="1:17" x14ac:dyDescent="0.25">
      <c r="A183" s="5"/>
      <c r="B183" s="25"/>
      <c r="C183" s="25"/>
      <c r="D183" s="25"/>
      <c r="E183" s="16"/>
      <c r="G183" s="29"/>
      <c r="H183" s="29"/>
      <c r="I183" s="29"/>
      <c r="J183" s="29"/>
      <c r="K183" s="29"/>
      <c r="L183" s="29"/>
      <c r="M183" s="29"/>
      <c r="N183" s="29"/>
      <c r="O183" s="29"/>
      <c r="P183" s="29"/>
      <c r="Q183" s="38"/>
    </row>
    <row r="184" spans="1:17" x14ac:dyDescent="0.25">
      <c r="A184" s="5"/>
      <c r="B184" s="25"/>
      <c r="C184" s="25"/>
      <c r="D184" s="25"/>
      <c r="E184" s="16"/>
      <c r="G184" s="29"/>
      <c r="H184" s="29"/>
      <c r="I184" s="29"/>
      <c r="J184" s="29"/>
      <c r="K184" s="29"/>
      <c r="L184" s="29"/>
      <c r="M184" s="29"/>
      <c r="N184" s="29"/>
      <c r="O184" s="29"/>
      <c r="P184" s="29"/>
      <c r="Q184" s="38"/>
    </row>
    <row r="185" spans="1:17" x14ac:dyDescent="0.25">
      <c r="A185" s="5"/>
      <c r="B185" s="25"/>
      <c r="C185" s="25"/>
      <c r="D185" s="25"/>
      <c r="E185" s="16"/>
      <c r="G185" s="29"/>
      <c r="H185" s="29"/>
      <c r="I185" s="29"/>
      <c r="J185" s="29"/>
      <c r="K185" s="29"/>
      <c r="L185" s="29"/>
      <c r="M185" s="29"/>
      <c r="N185" s="29"/>
      <c r="O185" s="29"/>
      <c r="P185" s="29"/>
      <c r="Q185" s="38"/>
    </row>
    <row r="186" spans="1:17" x14ac:dyDescent="0.25">
      <c r="A186" s="5"/>
      <c r="B186" s="25"/>
      <c r="C186" s="25"/>
      <c r="D186" s="25"/>
      <c r="E186" s="16"/>
      <c r="G186" s="29"/>
      <c r="H186" s="29"/>
      <c r="I186" s="29"/>
      <c r="J186" s="29"/>
      <c r="K186" s="29"/>
      <c r="L186" s="29"/>
      <c r="M186" s="29"/>
      <c r="N186" s="29"/>
      <c r="O186" s="29"/>
      <c r="P186" s="29"/>
      <c r="Q186" s="38"/>
    </row>
    <row r="187" spans="1:17" x14ac:dyDescent="0.25">
      <c r="A187" s="5"/>
      <c r="B187" s="25"/>
      <c r="C187" s="25"/>
      <c r="D187" s="25"/>
      <c r="E187" s="16"/>
      <c r="G187" s="29"/>
      <c r="H187" s="29"/>
      <c r="I187" s="29"/>
      <c r="J187" s="29"/>
      <c r="K187" s="29"/>
      <c r="L187" s="29"/>
      <c r="M187" s="29"/>
      <c r="N187" s="29"/>
      <c r="O187" s="29"/>
      <c r="P187" s="29"/>
      <c r="Q187" s="38"/>
    </row>
    <row r="188" spans="1:17" x14ac:dyDescent="0.25">
      <c r="A188" s="5"/>
      <c r="B188" s="25"/>
      <c r="C188" s="25"/>
      <c r="D188" s="25"/>
      <c r="E188" s="16"/>
      <c r="G188" s="29"/>
      <c r="H188" s="29"/>
      <c r="I188" s="29"/>
      <c r="J188" s="29"/>
      <c r="K188" s="29"/>
      <c r="L188" s="29"/>
      <c r="M188" s="29"/>
      <c r="N188" s="29"/>
      <c r="O188" s="29"/>
      <c r="P188" s="29"/>
      <c r="Q188" s="38"/>
    </row>
    <row r="189" spans="1:17" x14ac:dyDescent="0.25">
      <c r="A189" s="5"/>
      <c r="B189" s="25"/>
      <c r="C189" s="25"/>
      <c r="D189" s="25"/>
      <c r="E189" s="16"/>
      <c r="G189" s="29"/>
      <c r="H189" s="29"/>
      <c r="I189" s="29"/>
      <c r="J189" s="29"/>
      <c r="K189" s="29"/>
      <c r="L189" s="29"/>
      <c r="M189" s="29"/>
      <c r="N189" s="29"/>
      <c r="O189" s="29"/>
      <c r="P189" s="29"/>
      <c r="Q189" s="38"/>
    </row>
    <row r="190" spans="1:17" x14ac:dyDescent="0.25">
      <c r="A190" s="5"/>
      <c r="B190" s="25"/>
      <c r="C190" s="25"/>
      <c r="D190" s="25"/>
      <c r="E190" s="16"/>
      <c r="G190" s="29"/>
      <c r="H190" s="29"/>
      <c r="I190" s="29"/>
      <c r="J190" s="29"/>
      <c r="K190" s="29"/>
      <c r="L190" s="29"/>
      <c r="M190" s="29"/>
      <c r="N190" s="29"/>
      <c r="O190" s="29"/>
      <c r="P190" s="29"/>
      <c r="Q190" s="38"/>
    </row>
    <row r="191" spans="1:17" x14ac:dyDescent="0.25">
      <c r="A191" s="5"/>
      <c r="B191" s="25"/>
      <c r="C191" s="25"/>
      <c r="D191" s="25"/>
      <c r="E191" s="16"/>
      <c r="G191" s="29"/>
      <c r="H191" s="29"/>
      <c r="I191" s="29"/>
      <c r="J191" s="29"/>
      <c r="K191" s="29"/>
      <c r="L191" s="29"/>
      <c r="M191" s="29"/>
      <c r="N191" s="29"/>
      <c r="O191" s="29"/>
      <c r="P191" s="29"/>
      <c r="Q191" s="38"/>
    </row>
    <row r="192" spans="1:17" x14ac:dyDescent="0.25">
      <c r="A192" s="5"/>
      <c r="B192" s="25"/>
      <c r="C192" s="25"/>
      <c r="D192" s="25"/>
      <c r="E192" s="16"/>
      <c r="G192" s="29"/>
      <c r="H192" s="29"/>
      <c r="I192" s="29"/>
      <c r="J192" s="29"/>
      <c r="K192" s="29"/>
      <c r="L192" s="29"/>
      <c r="M192" s="29"/>
      <c r="N192" s="29"/>
      <c r="O192" s="29"/>
      <c r="P192" s="29"/>
      <c r="Q192" s="38"/>
    </row>
    <row r="193" spans="1:17" x14ac:dyDescent="0.25">
      <c r="A193" s="5"/>
      <c r="B193" s="25"/>
      <c r="C193" s="25"/>
      <c r="D193" s="25"/>
      <c r="E193" s="16"/>
      <c r="G193" s="29"/>
      <c r="H193" s="29"/>
      <c r="I193" s="29"/>
      <c r="J193" s="29"/>
      <c r="K193" s="29"/>
      <c r="L193" s="29"/>
      <c r="M193" s="29"/>
      <c r="N193" s="29"/>
      <c r="O193" s="29"/>
      <c r="P193" s="29"/>
      <c r="Q193" s="38"/>
    </row>
    <row r="194" spans="1:17" x14ac:dyDescent="0.25">
      <c r="A194" s="5"/>
      <c r="B194" s="25"/>
      <c r="C194" s="25"/>
      <c r="D194" s="25"/>
      <c r="E194" s="16"/>
      <c r="G194" s="29"/>
      <c r="H194" s="29"/>
      <c r="I194" s="29"/>
      <c r="J194" s="29"/>
      <c r="K194" s="29"/>
      <c r="L194" s="29"/>
      <c r="M194" s="29"/>
      <c r="N194" s="29"/>
      <c r="O194" s="29"/>
      <c r="P194" s="29"/>
      <c r="Q194" s="38"/>
    </row>
    <row r="195" spans="1:17" x14ac:dyDescent="0.25">
      <c r="A195" s="5"/>
      <c r="B195" s="25"/>
      <c r="C195" s="25"/>
      <c r="D195" s="25"/>
      <c r="E195" s="16"/>
      <c r="G195" s="29"/>
      <c r="H195" s="29"/>
      <c r="I195" s="29"/>
      <c r="J195" s="29"/>
      <c r="K195" s="29"/>
      <c r="L195" s="29"/>
      <c r="M195" s="29"/>
      <c r="N195" s="29"/>
      <c r="O195" s="29"/>
      <c r="P195" s="29"/>
      <c r="Q195" s="38"/>
    </row>
    <row r="196" spans="1:17" x14ac:dyDescent="0.25">
      <c r="A196" s="5"/>
      <c r="B196" s="25"/>
      <c r="C196" s="25"/>
      <c r="D196" s="25"/>
      <c r="E196" s="16"/>
      <c r="G196" s="29"/>
      <c r="H196" s="29"/>
      <c r="I196" s="29"/>
      <c r="J196" s="29"/>
      <c r="K196" s="29"/>
      <c r="L196" s="29"/>
      <c r="M196" s="29"/>
      <c r="N196" s="29"/>
      <c r="O196" s="29"/>
      <c r="P196" s="29"/>
      <c r="Q196" s="38"/>
    </row>
    <row r="197" spans="1:17" x14ac:dyDescent="0.25">
      <c r="A197" s="5"/>
      <c r="B197" s="25"/>
      <c r="C197" s="25"/>
      <c r="D197" s="25"/>
      <c r="E197" s="16"/>
      <c r="G197" s="29"/>
      <c r="H197" s="29"/>
      <c r="I197" s="29"/>
      <c r="J197" s="29"/>
      <c r="K197" s="29"/>
      <c r="L197" s="29"/>
      <c r="M197" s="29"/>
      <c r="N197" s="29"/>
      <c r="O197" s="29"/>
      <c r="P197" s="29"/>
      <c r="Q197" s="38"/>
    </row>
    <row r="198" spans="1:17" x14ac:dyDescent="0.25">
      <c r="A198" s="5"/>
      <c r="B198" s="25"/>
      <c r="C198" s="25"/>
      <c r="D198" s="25"/>
      <c r="E198" s="16"/>
      <c r="G198" s="29"/>
      <c r="H198" s="29"/>
      <c r="I198" s="29"/>
      <c r="J198" s="29"/>
      <c r="K198" s="29"/>
      <c r="L198" s="29"/>
      <c r="M198" s="29"/>
      <c r="N198" s="29"/>
      <c r="O198" s="29"/>
      <c r="P198" s="29"/>
      <c r="Q198" s="38"/>
    </row>
    <row r="199" spans="1:17" x14ac:dyDescent="0.25">
      <c r="A199" s="5"/>
      <c r="B199" s="25"/>
      <c r="C199" s="25"/>
      <c r="D199" s="25"/>
      <c r="E199" s="16"/>
      <c r="G199" s="29"/>
      <c r="H199" s="29"/>
      <c r="I199" s="29"/>
      <c r="J199" s="29"/>
      <c r="K199" s="29"/>
      <c r="L199" s="29"/>
      <c r="M199" s="29"/>
      <c r="N199" s="29"/>
      <c r="O199" s="29"/>
      <c r="P199" s="29"/>
      <c r="Q199" s="38"/>
    </row>
    <row r="200" spans="1:17" x14ac:dyDescent="0.25">
      <c r="A200" s="5"/>
      <c r="B200" s="25"/>
      <c r="C200" s="25"/>
      <c r="D200" s="25"/>
      <c r="E200" s="16"/>
      <c r="G200" s="29"/>
      <c r="H200" s="29"/>
      <c r="I200" s="29"/>
      <c r="J200" s="29"/>
      <c r="K200" s="29"/>
      <c r="L200" s="29"/>
      <c r="M200" s="29"/>
      <c r="N200" s="29"/>
      <c r="O200" s="29"/>
      <c r="P200" s="29"/>
      <c r="Q200" s="38"/>
    </row>
    <row r="201" spans="1:17" x14ac:dyDescent="0.25">
      <c r="A201" s="5"/>
      <c r="B201" s="25"/>
      <c r="C201" s="25"/>
      <c r="D201" s="25"/>
      <c r="E201" s="16"/>
      <c r="G201" s="29"/>
      <c r="H201" s="29"/>
      <c r="I201" s="29"/>
      <c r="J201" s="29"/>
      <c r="K201" s="29"/>
      <c r="L201" s="29"/>
      <c r="M201" s="29"/>
      <c r="N201" s="29"/>
      <c r="O201" s="29"/>
      <c r="P201" s="29"/>
      <c r="Q201" s="38"/>
    </row>
    <row r="202" spans="1:17" x14ac:dyDescent="0.25">
      <c r="A202" s="5"/>
      <c r="B202" s="25"/>
      <c r="C202" s="25"/>
      <c r="D202" s="25"/>
      <c r="E202" s="16"/>
      <c r="G202" s="29"/>
      <c r="H202" s="29"/>
      <c r="I202" s="29"/>
      <c r="J202" s="29"/>
      <c r="K202" s="29"/>
      <c r="L202" s="29"/>
      <c r="M202" s="29"/>
      <c r="N202" s="29"/>
      <c r="O202" s="29"/>
      <c r="P202" s="29"/>
      <c r="Q202" s="38"/>
    </row>
    <row r="203" spans="1:17" x14ac:dyDescent="0.25">
      <c r="A203" s="5"/>
      <c r="B203" s="25"/>
      <c r="C203" s="25"/>
      <c r="D203" s="25"/>
      <c r="E203" s="16"/>
      <c r="G203" s="29"/>
      <c r="H203" s="29"/>
      <c r="I203" s="29"/>
      <c r="J203" s="29"/>
      <c r="K203" s="29"/>
      <c r="L203" s="29"/>
      <c r="M203" s="29"/>
      <c r="N203" s="29"/>
      <c r="O203" s="29"/>
      <c r="P203" s="29"/>
      <c r="Q203" s="38"/>
    </row>
    <row r="204" spans="1:17" x14ac:dyDescent="0.25">
      <c r="A204" s="5"/>
      <c r="B204" s="25"/>
      <c r="C204" s="25"/>
      <c r="D204" s="25"/>
      <c r="E204" s="16"/>
      <c r="G204" s="29"/>
      <c r="H204" s="29"/>
      <c r="I204" s="29"/>
      <c r="J204" s="29"/>
      <c r="K204" s="29"/>
      <c r="L204" s="29"/>
      <c r="M204" s="29"/>
      <c r="N204" s="29"/>
      <c r="O204" s="29"/>
      <c r="P204" s="29"/>
      <c r="Q204" s="38"/>
    </row>
    <row r="205" spans="1:17" x14ac:dyDescent="0.25">
      <c r="A205" s="5"/>
      <c r="B205" s="25"/>
      <c r="C205" s="25"/>
      <c r="D205" s="25"/>
      <c r="E205" s="16"/>
      <c r="G205" s="29"/>
      <c r="H205" s="29"/>
      <c r="I205" s="29"/>
      <c r="J205" s="29"/>
      <c r="K205" s="29"/>
      <c r="L205" s="29"/>
      <c r="M205" s="29"/>
      <c r="N205" s="29"/>
      <c r="O205" s="29"/>
      <c r="P205" s="29"/>
      <c r="Q205" s="38"/>
    </row>
    <row r="206" spans="1:17" x14ac:dyDescent="0.25">
      <c r="A206" s="5"/>
      <c r="B206" s="25"/>
      <c r="C206" s="25"/>
      <c r="D206" s="25"/>
      <c r="E206" s="16"/>
      <c r="G206" s="29"/>
      <c r="H206" s="29"/>
      <c r="I206" s="29"/>
      <c r="J206" s="29"/>
      <c r="K206" s="29"/>
      <c r="L206" s="29"/>
      <c r="M206" s="29"/>
      <c r="N206" s="29"/>
      <c r="O206" s="29"/>
      <c r="P206" s="29"/>
      <c r="Q206" s="38"/>
    </row>
    <row r="207" spans="1:17" x14ac:dyDescent="0.25">
      <c r="A207" s="5"/>
      <c r="B207" s="13"/>
      <c r="C207" s="13"/>
      <c r="D207" s="13"/>
      <c r="E207" s="9"/>
      <c r="F207" s="29"/>
      <c r="G207" s="29"/>
      <c r="H207" s="29"/>
      <c r="I207" s="29"/>
      <c r="J207" s="29"/>
      <c r="K207" s="29"/>
      <c r="L207" s="29"/>
      <c r="M207" s="29"/>
      <c r="N207" s="29"/>
      <c r="O207" s="29"/>
      <c r="P207" s="29"/>
      <c r="Q207" s="38"/>
    </row>
    <row r="208" spans="1:17" x14ac:dyDescent="0.25">
      <c r="A208" s="5"/>
      <c r="B208" s="13"/>
      <c r="C208" s="13"/>
      <c r="D208" s="13"/>
      <c r="E208" s="9"/>
      <c r="F208" s="29"/>
      <c r="G208" s="29"/>
      <c r="H208" s="29"/>
      <c r="I208" s="29"/>
      <c r="J208" s="29"/>
      <c r="K208" s="29"/>
      <c r="L208" s="29"/>
      <c r="M208" s="29"/>
      <c r="N208" s="29"/>
      <c r="O208" s="29"/>
      <c r="P208" s="29"/>
      <c r="Q208" s="38"/>
    </row>
    <row r="209" spans="1:17" x14ac:dyDescent="0.25">
      <c r="A209" s="5"/>
      <c r="B209" s="25"/>
      <c r="C209" s="25"/>
      <c r="D209" s="25"/>
      <c r="E209" s="16"/>
      <c r="G209" s="29"/>
      <c r="H209" s="29"/>
      <c r="I209" s="29"/>
      <c r="J209" s="29"/>
      <c r="K209" s="29"/>
      <c r="L209" s="29"/>
      <c r="M209" s="29"/>
      <c r="N209" s="29"/>
      <c r="O209" s="29"/>
      <c r="P209" s="29"/>
      <c r="Q209" s="38"/>
    </row>
    <row r="210" spans="1:17" x14ac:dyDescent="0.25">
      <c r="A210" s="5"/>
      <c r="B210" s="25"/>
      <c r="C210" s="25"/>
      <c r="D210" s="25"/>
      <c r="E210" s="16"/>
      <c r="G210" s="29"/>
      <c r="H210" s="29"/>
      <c r="I210" s="29"/>
      <c r="J210" s="29"/>
      <c r="K210" s="29"/>
      <c r="L210" s="29"/>
      <c r="M210" s="29"/>
      <c r="N210" s="29"/>
      <c r="O210" s="29"/>
      <c r="P210" s="29"/>
      <c r="Q210" s="38"/>
    </row>
    <row r="211" spans="1:17" x14ac:dyDescent="0.25">
      <c r="A211" s="5"/>
      <c r="B211" s="25"/>
      <c r="C211" s="25"/>
      <c r="D211" s="25"/>
      <c r="E211" s="16"/>
      <c r="G211" s="29"/>
      <c r="H211" s="29"/>
      <c r="I211" s="29"/>
      <c r="J211" s="29"/>
      <c r="K211" s="29"/>
      <c r="L211" s="29"/>
      <c r="M211" s="29"/>
      <c r="N211" s="29"/>
      <c r="O211" s="29"/>
      <c r="P211" s="29"/>
      <c r="Q211" s="38"/>
    </row>
    <row r="212" spans="1:17" x14ac:dyDescent="0.25">
      <c r="A212" s="5"/>
      <c r="B212" s="25"/>
      <c r="C212" s="25"/>
      <c r="D212" s="25"/>
      <c r="E212" s="16"/>
      <c r="G212" s="29"/>
      <c r="H212" s="29"/>
      <c r="I212" s="29"/>
      <c r="J212" s="29"/>
      <c r="K212" s="29"/>
      <c r="L212" s="29"/>
      <c r="M212" s="29"/>
      <c r="N212" s="29"/>
      <c r="O212" s="29"/>
      <c r="P212" s="29"/>
      <c r="Q212" s="38"/>
    </row>
    <row r="213" spans="1:17" x14ac:dyDescent="0.25">
      <c r="A213" s="5"/>
      <c r="B213" s="25"/>
      <c r="C213" s="25"/>
      <c r="D213" s="25"/>
      <c r="E213" s="16"/>
      <c r="G213" s="29"/>
      <c r="H213" s="29"/>
      <c r="I213" s="29"/>
      <c r="J213" s="29"/>
      <c r="K213" s="29"/>
      <c r="L213" s="29"/>
      <c r="M213" s="29"/>
      <c r="N213" s="29"/>
      <c r="O213" s="29"/>
      <c r="P213" s="29"/>
      <c r="Q213" s="38"/>
    </row>
    <row r="214" spans="1:17" x14ac:dyDescent="0.25">
      <c r="A214" s="5"/>
      <c r="B214" s="25"/>
      <c r="C214" s="25"/>
      <c r="D214" s="25"/>
      <c r="E214" s="16"/>
      <c r="G214" s="29"/>
      <c r="H214" s="29"/>
      <c r="I214" s="29"/>
      <c r="J214" s="29"/>
      <c r="K214" s="29"/>
      <c r="L214" s="29"/>
      <c r="M214" s="29"/>
      <c r="N214" s="29"/>
      <c r="O214" s="29"/>
      <c r="P214" s="29"/>
      <c r="Q214" s="38"/>
    </row>
    <row r="215" spans="1:17" x14ac:dyDescent="0.25">
      <c r="A215" s="5"/>
      <c r="B215" s="25"/>
      <c r="C215" s="25"/>
      <c r="D215" s="25"/>
      <c r="E215" s="16"/>
      <c r="G215" s="29"/>
      <c r="H215" s="29"/>
      <c r="I215" s="29"/>
      <c r="J215" s="29"/>
      <c r="K215" s="29"/>
      <c r="L215" s="29"/>
      <c r="M215" s="29"/>
      <c r="N215" s="29"/>
      <c r="O215" s="29"/>
      <c r="P215" s="29"/>
      <c r="Q215" s="38"/>
    </row>
    <row r="216" spans="1:17" x14ac:dyDescent="0.25">
      <c r="A216" s="5"/>
      <c r="B216" s="25"/>
      <c r="C216" s="25"/>
      <c r="D216" s="25"/>
      <c r="E216" s="16"/>
      <c r="G216" s="29"/>
      <c r="H216" s="29"/>
      <c r="I216" s="29"/>
      <c r="J216" s="29"/>
      <c r="K216" s="29"/>
      <c r="L216" s="29"/>
      <c r="M216" s="29"/>
      <c r="N216" s="29"/>
      <c r="O216" s="29"/>
      <c r="P216" s="29"/>
      <c r="Q216" s="38"/>
    </row>
    <row r="217" spans="1:17" x14ac:dyDescent="0.25">
      <c r="A217" s="5"/>
      <c r="B217" s="25"/>
      <c r="C217" s="25"/>
      <c r="D217" s="25"/>
      <c r="E217" s="16"/>
      <c r="G217" s="29"/>
      <c r="H217" s="29"/>
      <c r="I217" s="29"/>
      <c r="J217" s="29"/>
      <c r="K217" s="29"/>
      <c r="L217" s="29"/>
      <c r="M217" s="29"/>
      <c r="N217" s="29"/>
      <c r="O217" s="29"/>
      <c r="P217" s="29"/>
      <c r="Q217" s="38"/>
    </row>
    <row r="218" spans="1:17" x14ac:dyDescent="0.25">
      <c r="A218" s="5"/>
      <c r="B218" s="25"/>
      <c r="C218" s="25"/>
      <c r="D218" s="25"/>
      <c r="E218" s="16"/>
      <c r="G218" s="29"/>
      <c r="H218" s="29"/>
      <c r="I218" s="29"/>
      <c r="J218" s="29"/>
      <c r="K218" s="29"/>
      <c r="L218" s="29"/>
      <c r="M218" s="29"/>
      <c r="N218" s="29"/>
      <c r="O218" s="29"/>
      <c r="P218" s="29"/>
      <c r="Q218" s="38"/>
    </row>
    <row r="219" spans="1:17" x14ac:dyDescent="0.25">
      <c r="A219" s="5"/>
      <c r="B219" s="25"/>
      <c r="C219" s="25"/>
      <c r="D219" s="25"/>
      <c r="E219" s="16"/>
      <c r="G219" s="29"/>
      <c r="H219" s="29"/>
      <c r="I219" s="29"/>
      <c r="J219" s="29"/>
      <c r="K219" s="29"/>
      <c r="L219" s="29"/>
      <c r="M219" s="29"/>
      <c r="N219" s="29"/>
      <c r="O219" s="29"/>
      <c r="P219" s="29"/>
      <c r="Q219" s="38"/>
    </row>
    <row r="220" spans="1:17" x14ac:dyDescent="0.25">
      <c r="A220" s="5"/>
      <c r="B220" s="25"/>
      <c r="C220" s="25"/>
      <c r="D220" s="25"/>
      <c r="E220" s="16"/>
      <c r="G220" s="29"/>
      <c r="H220" s="29"/>
      <c r="I220" s="29"/>
      <c r="J220" s="29"/>
      <c r="K220" s="29"/>
      <c r="L220" s="29"/>
      <c r="M220" s="29"/>
      <c r="N220" s="29"/>
      <c r="O220" s="29"/>
      <c r="P220" s="29"/>
      <c r="Q220" s="38"/>
    </row>
    <row r="221" spans="1:17" x14ac:dyDescent="0.25">
      <c r="A221" s="5"/>
      <c r="B221" s="25"/>
      <c r="C221" s="25"/>
      <c r="D221" s="25"/>
      <c r="E221" s="16"/>
      <c r="G221" s="29"/>
      <c r="H221" s="29"/>
      <c r="I221" s="29"/>
      <c r="J221" s="29"/>
      <c r="K221" s="29"/>
      <c r="L221" s="29"/>
      <c r="M221" s="29"/>
      <c r="N221" s="29"/>
      <c r="O221" s="29"/>
      <c r="P221" s="29"/>
      <c r="Q221" s="38"/>
    </row>
    <row r="222" spans="1:17" x14ac:dyDescent="0.25">
      <c r="A222" s="5"/>
      <c r="B222" s="25"/>
      <c r="C222" s="25"/>
      <c r="D222" s="25"/>
      <c r="E222" s="16"/>
      <c r="G222" s="29"/>
      <c r="H222" s="29"/>
      <c r="I222" s="29"/>
      <c r="J222" s="29"/>
      <c r="K222" s="29"/>
      <c r="L222" s="29"/>
      <c r="M222" s="29"/>
      <c r="N222" s="29"/>
      <c r="O222" s="29"/>
      <c r="P222" s="29"/>
      <c r="Q222" s="38"/>
    </row>
    <row r="223" spans="1:17" x14ac:dyDescent="0.25">
      <c r="A223" s="5"/>
      <c r="B223" s="25"/>
      <c r="C223" s="25"/>
      <c r="D223" s="25"/>
      <c r="E223" s="16"/>
      <c r="G223" s="29"/>
      <c r="H223" s="29"/>
      <c r="I223" s="29"/>
      <c r="J223" s="29"/>
      <c r="K223" s="29"/>
      <c r="L223" s="29"/>
      <c r="M223" s="29"/>
      <c r="N223" s="29"/>
      <c r="O223" s="29"/>
      <c r="P223" s="29"/>
      <c r="Q223" s="38"/>
    </row>
    <row r="224" spans="1:17" x14ac:dyDescent="0.25">
      <c r="A224" s="5"/>
      <c r="B224" s="25"/>
      <c r="C224" s="25"/>
      <c r="D224" s="25"/>
      <c r="E224" s="16"/>
      <c r="G224" s="29"/>
      <c r="H224" s="29"/>
      <c r="I224" s="29"/>
      <c r="J224" s="29"/>
      <c r="K224" s="29"/>
      <c r="L224" s="29"/>
      <c r="M224" s="29"/>
      <c r="N224" s="29"/>
      <c r="O224" s="29"/>
      <c r="P224" s="29"/>
      <c r="Q224" s="38"/>
    </row>
    <row r="225" spans="1:17" x14ac:dyDescent="0.25">
      <c r="A225" s="5"/>
      <c r="B225" s="25"/>
      <c r="C225" s="25"/>
      <c r="D225" s="25"/>
      <c r="E225" s="16"/>
      <c r="G225" s="29"/>
      <c r="H225" s="29"/>
      <c r="I225" s="29"/>
      <c r="J225" s="29"/>
      <c r="K225" s="29"/>
      <c r="L225" s="29"/>
      <c r="M225" s="29"/>
      <c r="N225" s="29"/>
      <c r="O225" s="29"/>
      <c r="P225" s="29"/>
      <c r="Q225" s="38"/>
    </row>
    <row r="226" spans="1:17" x14ac:dyDescent="0.25">
      <c r="A226" s="5"/>
      <c r="B226" s="25"/>
      <c r="C226" s="25"/>
      <c r="D226" s="25"/>
      <c r="E226" s="16"/>
      <c r="G226" s="29"/>
      <c r="H226" s="29"/>
      <c r="I226" s="29"/>
      <c r="J226" s="29"/>
      <c r="K226" s="29"/>
      <c r="L226" s="29"/>
      <c r="M226" s="29"/>
      <c r="N226" s="29"/>
      <c r="O226" s="29"/>
      <c r="P226" s="29"/>
      <c r="Q226" s="38"/>
    </row>
    <row r="227" spans="1:17" x14ac:dyDescent="0.25">
      <c r="A227" s="5"/>
      <c r="B227" s="25"/>
      <c r="C227" s="25"/>
      <c r="D227" s="25"/>
      <c r="E227" s="16"/>
      <c r="G227" s="29"/>
      <c r="H227" s="29"/>
      <c r="I227" s="29"/>
      <c r="J227" s="29"/>
      <c r="K227" s="29"/>
      <c r="L227" s="29"/>
      <c r="M227" s="29"/>
      <c r="N227" s="29"/>
      <c r="O227" s="29"/>
      <c r="P227" s="29"/>
      <c r="Q227" s="38"/>
    </row>
    <row r="228" spans="1:17" x14ac:dyDescent="0.25">
      <c r="A228" s="5"/>
      <c r="B228" s="25"/>
      <c r="C228" s="25"/>
      <c r="D228" s="25"/>
      <c r="E228" s="16"/>
      <c r="G228" s="29"/>
      <c r="H228" s="29"/>
      <c r="I228" s="29"/>
      <c r="J228" s="29"/>
      <c r="K228" s="29"/>
      <c r="L228" s="29"/>
      <c r="M228" s="29"/>
      <c r="N228" s="29"/>
      <c r="O228" s="29"/>
      <c r="P228" s="29"/>
      <c r="Q228" s="38"/>
    </row>
    <row r="229" spans="1:17" x14ac:dyDescent="0.25">
      <c r="A229" s="5"/>
      <c r="B229" s="25"/>
      <c r="C229" s="25"/>
      <c r="D229" s="25"/>
      <c r="E229" s="16"/>
      <c r="G229" s="29"/>
      <c r="H229" s="29"/>
      <c r="I229" s="29"/>
      <c r="J229" s="29"/>
      <c r="K229" s="29"/>
      <c r="L229" s="29"/>
      <c r="M229" s="29"/>
      <c r="N229" s="29"/>
      <c r="O229" s="29"/>
      <c r="P229" s="29"/>
      <c r="Q229" s="38"/>
    </row>
    <row r="230" spans="1:17" x14ac:dyDescent="0.25">
      <c r="A230" s="5"/>
      <c r="B230" s="25"/>
      <c r="C230" s="25"/>
      <c r="D230" s="25"/>
      <c r="E230" s="16"/>
      <c r="G230" s="29"/>
      <c r="H230" s="29"/>
      <c r="I230" s="29"/>
      <c r="J230" s="29"/>
      <c r="K230" s="29"/>
      <c r="L230" s="29"/>
      <c r="M230" s="29"/>
      <c r="N230" s="29"/>
      <c r="O230" s="29"/>
      <c r="P230" s="29"/>
      <c r="Q230" s="38"/>
    </row>
    <row r="231" spans="1:17" x14ac:dyDescent="0.25">
      <c r="A231" s="5"/>
      <c r="B231" s="25"/>
      <c r="C231" s="25"/>
      <c r="D231" s="25"/>
      <c r="E231" s="16"/>
      <c r="G231" s="29"/>
      <c r="H231" s="29"/>
      <c r="I231" s="29"/>
      <c r="J231" s="29"/>
      <c r="K231" s="29"/>
      <c r="L231" s="29"/>
      <c r="M231" s="29"/>
      <c r="N231" s="29"/>
      <c r="O231" s="29"/>
      <c r="P231" s="29"/>
      <c r="Q231" s="38"/>
    </row>
    <row r="232" spans="1:17" x14ac:dyDescent="0.25">
      <c r="A232" s="5"/>
      <c r="B232" s="25"/>
      <c r="C232" s="25"/>
      <c r="D232" s="25"/>
      <c r="E232" s="16"/>
      <c r="G232" s="29"/>
      <c r="H232" s="29"/>
      <c r="I232" s="29"/>
      <c r="J232" s="29"/>
      <c r="K232" s="29"/>
      <c r="L232" s="29"/>
      <c r="M232" s="29"/>
      <c r="N232" s="29"/>
      <c r="O232" s="29"/>
      <c r="P232" s="29"/>
      <c r="Q232" s="38"/>
    </row>
    <row r="233" spans="1:17" x14ac:dyDescent="0.25">
      <c r="A233" s="5"/>
      <c r="B233" s="25"/>
      <c r="C233" s="25"/>
      <c r="D233" s="25"/>
      <c r="E233" s="16"/>
      <c r="G233" s="29"/>
      <c r="H233" s="29"/>
      <c r="I233" s="29"/>
      <c r="J233" s="29"/>
      <c r="K233" s="29"/>
      <c r="L233" s="29"/>
      <c r="M233" s="29"/>
      <c r="N233" s="29"/>
      <c r="O233" s="29"/>
      <c r="P233" s="29"/>
      <c r="Q233" s="38"/>
    </row>
    <row r="234" spans="1:17" x14ac:dyDescent="0.25">
      <c r="A234" s="5"/>
      <c r="B234" s="25"/>
      <c r="C234" s="25"/>
      <c r="D234" s="25"/>
      <c r="E234" s="16"/>
      <c r="G234" s="29"/>
      <c r="H234" s="29"/>
      <c r="I234" s="29"/>
      <c r="J234" s="29"/>
      <c r="K234" s="29"/>
      <c r="L234" s="29"/>
      <c r="M234" s="29"/>
      <c r="N234" s="29"/>
      <c r="O234" s="29"/>
      <c r="P234" s="29"/>
      <c r="Q234" s="38"/>
    </row>
    <row r="235" spans="1:17" x14ac:dyDescent="0.25">
      <c r="A235" s="5"/>
      <c r="B235" s="25"/>
      <c r="C235" s="25"/>
      <c r="D235" s="25"/>
      <c r="E235" s="16"/>
      <c r="G235" s="29"/>
      <c r="H235" s="29"/>
      <c r="I235" s="29"/>
      <c r="J235" s="29"/>
      <c r="K235" s="29"/>
      <c r="L235" s="29"/>
      <c r="M235" s="29"/>
      <c r="N235" s="29"/>
      <c r="O235" s="29"/>
      <c r="P235" s="29"/>
      <c r="Q235" s="38"/>
    </row>
    <row r="236" spans="1:17" x14ac:dyDescent="0.25">
      <c r="A236" s="5"/>
      <c r="B236" s="25"/>
      <c r="C236" s="25"/>
      <c r="D236" s="25"/>
      <c r="E236" s="16"/>
      <c r="G236" s="29"/>
      <c r="H236" s="29"/>
      <c r="I236" s="29"/>
      <c r="J236" s="29"/>
      <c r="K236" s="29"/>
      <c r="L236" s="29"/>
      <c r="M236" s="29"/>
      <c r="N236" s="29"/>
      <c r="O236" s="29"/>
      <c r="P236" s="29"/>
      <c r="Q236" s="38"/>
    </row>
    <row r="237" spans="1:17" x14ac:dyDescent="0.25">
      <c r="A237" s="5"/>
      <c r="B237" s="25"/>
      <c r="C237" s="25"/>
      <c r="D237" s="25"/>
      <c r="E237" s="16"/>
      <c r="G237" s="29"/>
      <c r="H237" s="29"/>
      <c r="I237" s="29"/>
      <c r="J237" s="29"/>
      <c r="K237" s="29"/>
      <c r="L237" s="29"/>
      <c r="M237" s="29"/>
      <c r="N237" s="29"/>
      <c r="O237" s="29"/>
      <c r="P237" s="29"/>
      <c r="Q237" s="38"/>
    </row>
    <row r="238" spans="1:17" x14ac:dyDescent="0.25">
      <c r="A238" s="5"/>
      <c r="B238" s="25"/>
      <c r="C238" s="25"/>
      <c r="D238" s="25"/>
      <c r="E238" s="16"/>
      <c r="G238" s="29"/>
      <c r="H238" s="29"/>
      <c r="I238" s="29"/>
      <c r="J238" s="29"/>
      <c r="K238" s="29"/>
      <c r="L238" s="29"/>
      <c r="M238" s="29"/>
      <c r="N238" s="29"/>
      <c r="O238" s="29"/>
      <c r="P238" s="29"/>
      <c r="Q238" s="38"/>
    </row>
    <row r="239" spans="1:17" x14ac:dyDescent="0.25">
      <c r="A239" s="5"/>
      <c r="B239" s="25"/>
      <c r="C239" s="25"/>
      <c r="D239" s="25"/>
      <c r="E239" s="16"/>
      <c r="G239" s="29"/>
      <c r="H239" s="29"/>
      <c r="I239" s="29"/>
      <c r="J239" s="29"/>
      <c r="K239" s="29"/>
      <c r="L239" s="29"/>
      <c r="M239" s="29"/>
      <c r="N239" s="29"/>
      <c r="O239" s="29"/>
      <c r="P239" s="29"/>
      <c r="Q239" s="38"/>
    </row>
    <row r="240" spans="1:17" x14ac:dyDescent="0.25">
      <c r="A240" s="5"/>
      <c r="B240" s="25"/>
      <c r="C240" s="25"/>
      <c r="D240" s="25"/>
      <c r="E240" s="16"/>
      <c r="G240" s="29"/>
      <c r="H240" s="29"/>
      <c r="I240" s="29"/>
      <c r="J240" s="29"/>
      <c r="K240" s="29"/>
      <c r="L240" s="29"/>
      <c r="M240" s="29"/>
      <c r="N240" s="29"/>
      <c r="O240" s="29"/>
      <c r="P240" s="29"/>
      <c r="Q240" s="38"/>
    </row>
    <row r="241" spans="1:17" x14ac:dyDescent="0.25">
      <c r="A241" s="5"/>
      <c r="B241" s="25"/>
      <c r="C241" s="25"/>
      <c r="D241" s="25"/>
      <c r="E241" s="16"/>
      <c r="G241" s="29"/>
      <c r="H241" s="29"/>
      <c r="I241" s="29"/>
      <c r="J241" s="29"/>
      <c r="K241" s="29"/>
      <c r="L241" s="29"/>
      <c r="M241" s="29"/>
      <c r="N241" s="29"/>
      <c r="O241" s="29"/>
      <c r="P241" s="29"/>
      <c r="Q241" s="38"/>
    </row>
    <row r="242" spans="1:17" x14ac:dyDescent="0.25">
      <c r="A242" s="5"/>
      <c r="B242" s="25"/>
      <c r="C242" s="25"/>
      <c r="D242" s="25"/>
      <c r="E242" s="16"/>
      <c r="G242" s="29"/>
      <c r="H242" s="29"/>
      <c r="I242" s="29"/>
      <c r="J242" s="29"/>
      <c r="K242" s="29"/>
      <c r="L242" s="29"/>
      <c r="M242" s="29"/>
      <c r="N242" s="29"/>
      <c r="O242" s="29"/>
      <c r="P242" s="29"/>
      <c r="Q242" s="38"/>
    </row>
    <row r="243" spans="1:17" x14ac:dyDescent="0.25">
      <c r="A243" s="5"/>
      <c r="B243" s="25"/>
      <c r="C243" s="25"/>
      <c r="D243" s="25"/>
      <c r="E243" s="16"/>
      <c r="G243" s="29"/>
      <c r="H243" s="29"/>
      <c r="I243" s="29"/>
      <c r="J243" s="29"/>
      <c r="K243" s="29"/>
      <c r="L243" s="29"/>
      <c r="M243" s="29"/>
      <c r="N243" s="29"/>
      <c r="O243" s="29"/>
      <c r="P243" s="29"/>
      <c r="Q243" s="38"/>
    </row>
    <row r="244" spans="1:17" x14ac:dyDescent="0.25">
      <c r="A244" s="5"/>
      <c r="B244" s="25"/>
      <c r="C244" s="25"/>
      <c r="D244" s="25"/>
      <c r="E244" s="16"/>
      <c r="G244" s="29"/>
      <c r="H244" s="29"/>
      <c r="I244" s="29"/>
      <c r="J244" s="29"/>
      <c r="K244" s="29"/>
      <c r="L244" s="29"/>
      <c r="M244" s="29"/>
      <c r="N244" s="29"/>
      <c r="O244" s="29"/>
      <c r="P244" s="29"/>
      <c r="Q244" s="38"/>
    </row>
    <row r="245" spans="1:17" x14ac:dyDescent="0.25">
      <c r="A245" s="5"/>
      <c r="B245" s="25"/>
      <c r="C245" s="25"/>
      <c r="D245" s="25"/>
      <c r="E245" s="16"/>
      <c r="G245" s="29"/>
      <c r="H245" s="29"/>
      <c r="I245" s="29"/>
      <c r="J245" s="29"/>
      <c r="K245" s="29"/>
      <c r="L245" s="29"/>
      <c r="M245" s="29"/>
      <c r="N245" s="29"/>
      <c r="O245" s="29"/>
      <c r="P245" s="29"/>
      <c r="Q245" s="38"/>
    </row>
    <row r="246" spans="1:17" x14ac:dyDescent="0.25">
      <c r="A246" s="5"/>
      <c r="B246" s="25"/>
      <c r="C246" s="25"/>
      <c r="D246" s="25"/>
      <c r="E246" s="16"/>
      <c r="G246" s="29"/>
      <c r="H246" s="29"/>
      <c r="I246" s="29"/>
      <c r="J246" s="29"/>
      <c r="K246" s="29"/>
      <c r="L246" s="29"/>
      <c r="M246" s="29"/>
      <c r="N246" s="29"/>
      <c r="O246" s="29"/>
      <c r="P246" s="29"/>
      <c r="Q246" s="38"/>
    </row>
    <row r="247" spans="1:17" x14ac:dyDescent="0.25">
      <c r="A247" s="5"/>
      <c r="B247" s="25"/>
      <c r="C247" s="25"/>
      <c r="D247" s="25"/>
      <c r="E247" s="16"/>
      <c r="G247" s="29"/>
      <c r="H247" s="29"/>
      <c r="I247" s="29"/>
      <c r="J247" s="29"/>
      <c r="K247" s="29"/>
      <c r="L247" s="29"/>
      <c r="M247" s="29"/>
      <c r="N247" s="29"/>
      <c r="O247" s="29"/>
      <c r="P247" s="29"/>
      <c r="Q247" s="38"/>
    </row>
    <row r="248" spans="1:17" x14ac:dyDescent="0.25">
      <c r="A248" s="5"/>
      <c r="B248" s="25"/>
      <c r="C248" s="25"/>
      <c r="D248" s="25"/>
      <c r="E248" s="16"/>
      <c r="G248" s="29"/>
      <c r="H248" s="29"/>
      <c r="I248" s="29"/>
      <c r="J248" s="29"/>
      <c r="K248" s="29"/>
      <c r="L248" s="29"/>
      <c r="M248" s="29"/>
      <c r="N248" s="29"/>
      <c r="O248" s="29"/>
      <c r="P248" s="29"/>
      <c r="Q248" s="38"/>
    </row>
    <row r="249" spans="1:17" x14ac:dyDescent="0.25">
      <c r="A249" s="5"/>
      <c r="B249" s="25"/>
      <c r="C249" s="25"/>
      <c r="D249" s="25"/>
      <c r="E249" s="16"/>
      <c r="G249" s="29"/>
      <c r="H249" s="29"/>
      <c r="I249" s="29"/>
      <c r="J249" s="29"/>
      <c r="K249" s="29"/>
      <c r="L249" s="29"/>
      <c r="M249" s="29"/>
      <c r="N249" s="29"/>
      <c r="O249" s="29"/>
      <c r="P249" s="29"/>
      <c r="Q249" s="38"/>
    </row>
    <row r="250" spans="1:17" x14ac:dyDescent="0.25">
      <c r="A250" s="5"/>
      <c r="B250" s="25"/>
      <c r="C250" s="25"/>
      <c r="D250" s="25"/>
      <c r="E250" s="16"/>
      <c r="G250" s="29"/>
      <c r="H250" s="29"/>
      <c r="I250" s="29"/>
      <c r="J250" s="29"/>
      <c r="K250" s="29"/>
      <c r="L250" s="29"/>
      <c r="M250" s="29"/>
      <c r="N250" s="29"/>
      <c r="O250" s="29"/>
      <c r="P250" s="29"/>
      <c r="Q250" s="38"/>
    </row>
    <row r="251" spans="1:17" x14ac:dyDescent="0.25">
      <c r="A251" s="5"/>
      <c r="B251" s="25"/>
      <c r="C251" s="25"/>
      <c r="D251" s="25"/>
      <c r="E251" s="16"/>
      <c r="G251" s="29"/>
      <c r="H251" s="29"/>
      <c r="I251" s="29"/>
      <c r="J251" s="29"/>
      <c r="K251" s="29"/>
      <c r="L251" s="29"/>
      <c r="M251" s="29"/>
      <c r="N251" s="29"/>
      <c r="O251" s="29"/>
      <c r="P251" s="29"/>
      <c r="Q251" s="38"/>
    </row>
    <row r="252" spans="1:17" x14ac:dyDescent="0.25">
      <c r="A252" s="5"/>
      <c r="B252" s="25"/>
      <c r="C252" s="25"/>
      <c r="D252" s="25"/>
      <c r="E252" s="16"/>
      <c r="G252" s="29"/>
      <c r="H252" s="29"/>
      <c r="I252" s="29"/>
      <c r="J252" s="29"/>
      <c r="K252" s="29"/>
      <c r="L252" s="29"/>
      <c r="M252" s="29"/>
      <c r="N252" s="29"/>
      <c r="O252" s="29"/>
      <c r="P252" s="29"/>
      <c r="Q252" s="38"/>
    </row>
    <row r="253" spans="1:17" x14ac:dyDescent="0.25">
      <c r="A253" s="5"/>
      <c r="B253" s="25"/>
      <c r="C253" s="25"/>
      <c r="D253" s="25"/>
      <c r="E253" s="16"/>
      <c r="G253" s="29"/>
      <c r="H253" s="29"/>
      <c r="I253" s="29"/>
      <c r="J253" s="29"/>
      <c r="K253" s="29"/>
      <c r="L253" s="29"/>
      <c r="M253" s="29"/>
      <c r="N253" s="29"/>
      <c r="O253" s="29"/>
      <c r="P253" s="29"/>
      <c r="Q253" s="38"/>
    </row>
    <row r="254" spans="1:17" x14ac:dyDescent="0.25">
      <c r="A254" s="5"/>
      <c r="B254" s="25"/>
      <c r="C254" s="25"/>
      <c r="D254" s="25"/>
      <c r="E254" s="16"/>
      <c r="G254" s="29"/>
      <c r="H254" s="29"/>
      <c r="I254" s="29"/>
      <c r="J254" s="29"/>
      <c r="K254" s="29"/>
      <c r="L254" s="29"/>
      <c r="M254" s="29"/>
      <c r="N254" s="29"/>
      <c r="O254" s="29"/>
      <c r="P254" s="29"/>
      <c r="Q254" s="38"/>
    </row>
    <row r="255" spans="1:17" x14ac:dyDescent="0.25">
      <c r="A255" s="5"/>
      <c r="B255" s="25"/>
      <c r="C255" s="25"/>
      <c r="D255" s="25"/>
      <c r="E255" s="16"/>
      <c r="G255" s="29"/>
      <c r="H255" s="29"/>
      <c r="I255" s="29"/>
      <c r="J255" s="29"/>
      <c r="K255" s="29"/>
      <c r="L255" s="29"/>
      <c r="M255" s="29"/>
      <c r="N255" s="29"/>
      <c r="O255" s="29"/>
      <c r="P255" s="29"/>
      <c r="Q255" s="38"/>
    </row>
    <row r="256" spans="1:17" x14ac:dyDescent="0.25">
      <c r="A256" s="5"/>
      <c r="B256" s="25"/>
      <c r="C256" s="25"/>
      <c r="D256" s="25"/>
      <c r="E256" s="16"/>
      <c r="G256" s="29"/>
      <c r="H256" s="29"/>
      <c r="I256" s="29"/>
      <c r="J256" s="29"/>
      <c r="K256" s="29"/>
      <c r="L256" s="29"/>
      <c r="M256" s="29"/>
      <c r="N256" s="29"/>
      <c r="O256" s="29"/>
      <c r="P256" s="29"/>
      <c r="Q256" s="38"/>
    </row>
    <row r="257" spans="1:17" x14ac:dyDescent="0.25">
      <c r="A257" s="5"/>
      <c r="B257" s="25"/>
      <c r="C257" s="25"/>
      <c r="D257" s="25"/>
      <c r="E257" s="16"/>
      <c r="G257" s="29"/>
      <c r="H257" s="29"/>
      <c r="I257" s="29"/>
      <c r="J257" s="29"/>
      <c r="K257" s="29"/>
      <c r="L257" s="29"/>
      <c r="M257" s="29"/>
      <c r="N257" s="29"/>
      <c r="O257" s="29"/>
      <c r="P257" s="29"/>
      <c r="Q257" s="38"/>
    </row>
    <row r="258" spans="1:17" x14ac:dyDescent="0.25">
      <c r="A258" s="5"/>
      <c r="B258" s="25"/>
      <c r="C258" s="25"/>
      <c r="D258" s="25"/>
      <c r="E258" s="16"/>
      <c r="G258" s="29"/>
      <c r="H258" s="29"/>
      <c r="I258" s="29"/>
      <c r="J258" s="29"/>
      <c r="K258" s="29"/>
      <c r="L258" s="29"/>
      <c r="M258" s="29"/>
      <c r="N258" s="29"/>
      <c r="O258" s="29"/>
      <c r="P258" s="29"/>
      <c r="Q258" s="38"/>
    </row>
    <row r="259" spans="1:17" x14ac:dyDescent="0.25">
      <c r="A259" s="5"/>
      <c r="B259" s="25"/>
      <c r="C259" s="25"/>
      <c r="D259" s="25"/>
      <c r="E259" s="16"/>
      <c r="G259" s="29"/>
      <c r="H259" s="29"/>
      <c r="I259" s="29"/>
      <c r="J259" s="29"/>
      <c r="K259" s="29"/>
      <c r="L259" s="29"/>
      <c r="M259" s="29"/>
      <c r="N259" s="29"/>
      <c r="O259" s="29"/>
      <c r="P259" s="29"/>
      <c r="Q259" s="38"/>
    </row>
    <row r="260" spans="1:17" x14ac:dyDescent="0.25">
      <c r="A260" s="5"/>
      <c r="B260" s="25"/>
      <c r="C260" s="25"/>
      <c r="D260" s="25"/>
      <c r="E260" s="16"/>
      <c r="G260" s="29"/>
      <c r="H260" s="29"/>
      <c r="I260" s="29"/>
      <c r="J260" s="29"/>
      <c r="K260" s="29"/>
      <c r="L260" s="29"/>
      <c r="M260" s="29"/>
      <c r="N260" s="29"/>
      <c r="O260" s="29"/>
      <c r="P260" s="29"/>
      <c r="Q260" s="38"/>
    </row>
    <row r="261" spans="1:17" x14ac:dyDescent="0.25">
      <c r="A261" s="5"/>
      <c r="B261" s="25"/>
      <c r="C261" s="25"/>
      <c r="D261" s="25"/>
      <c r="E261" s="16"/>
      <c r="G261" s="29"/>
      <c r="H261" s="29"/>
      <c r="I261" s="29"/>
      <c r="J261" s="29"/>
      <c r="K261" s="29"/>
      <c r="L261" s="29"/>
      <c r="M261" s="29"/>
      <c r="N261" s="29"/>
      <c r="O261" s="29"/>
      <c r="P261" s="29"/>
      <c r="Q261" s="38"/>
    </row>
    <row r="262" spans="1:17" x14ac:dyDescent="0.25">
      <c r="A262" s="5"/>
      <c r="B262" s="25"/>
      <c r="C262" s="25"/>
      <c r="D262" s="25"/>
      <c r="E262" s="16"/>
      <c r="G262" s="29"/>
      <c r="H262" s="29"/>
      <c r="I262" s="29"/>
      <c r="J262" s="29"/>
      <c r="K262" s="29"/>
      <c r="L262" s="29"/>
      <c r="M262" s="29"/>
      <c r="N262" s="29"/>
      <c r="O262" s="29"/>
      <c r="P262" s="29"/>
      <c r="Q262" s="38"/>
    </row>
    <row r="263" spans="1:17" x14ac:dyDescent="0.25">
      <c r="A263" s="5"/>
      <c r="B263" s="25"/>
      <c r="C263" s="25"/>
      <c r="D263" s="25"/>
      <c r="E263" s="16"/>
      <c r="G263" s="29"/>
      <c r="H263" s="29"/>
      <c r="I263" s="29"/>
      <c r="J263" s="29"/>
      <c r="K263" s="29"/>
      <c r="L263" s="29"/>
      <c r="M263" s="29"/>
      <c r="N263" s="29"/>
      <c r="O263" s="29"/>
      <c r="P263" s="29"/>
      <c r="Q263" s="38"/>
    </row>
    <row r="264" spans="1:17" x14ac:dyDescent="0.25">
      <c r="A264" s="5"/>
      <c r="B264" s="25"/>
      <c r="C264" s="25"/>
      <c r="D264" s="25"/>
      <c r="E264" s="16"/>
      <c r="G264" s="29"/>
      <c r="H264" s="29"/>
      <c r="I264" s="29"/>
      <c r="J264" s="29"/>
      <c r="K264" s="29"/>
      <c r="L264" s="29"/>
      <c r="M264" s="29"/>
      <c r="N264" s="29"/>
      <c r="O264" s="29"/>
      <c r="P264" s="29"/>
      <c r="Q264" s="38"/>
    </row>
    <row r="265" spans="1:17" x14ac:dyDescent="0.25">
      <c r="A265" s="5"/>
      <c r="B265" s="13"/>
      <c r="C265" s="13"/>
      <c r="D265" s="13"/>
      <c r="E265" s="9"/>
      <c r="F265" s="29"/>
      <c r="G265" s="29"/>
      <c r="H265" s="29"/>
      <c r="I265" s="29"/>
      <c r="J265" s="29"/>
      <c r="K265" s="29"/>
      <c r="L265" s="29"/>
      <c r="M265" s="29"/>
      <c r="N265" s="29"/>
      <c r="O265" s="29"/>
      <c r="P265" s="29"/>
      <c r="Q265" s="38"/>
    </row>
    <row r="266" spans="1:17" x14ac:dyDescent="0.25">
      <c r="A266" s="5"/>
      <c r="B266" s="13"/>
      <c r="C266" s="13"/>
      <c r="D266" s="13"/>
      <c r="E266" s="9"/>
      <c r="F266" s="29"/>
      <c r="G266" s="29"/>
      <c r="H266" s="29"/>
      <c r="I266" s="29"/>
      <c r="J266" s="29"/>
      <c r="K266" s="29"/>
      <c r="L266" s="29"/>
      <c r="M266" s="29"/>
      <c r="N266" s="29"/>
      <c r="O266" s="29"/>
      <c r="P266" s="29"/>
      <c r="Q266" s="38"/>
    </row>
    <row r="267" spans="1:17" x14ac:dyDescent="0.25">
      <c r="A267" s="5"/>
      <c r="B267" s="13"/>
      <c r="C267" s="13"/>
      <c r="D267" s="13"/>
      <c r="E267" s="9"/>
      <c r="F267" s="29"/>
      <c r="G267" s="29"/>
      <c r="H267" s="29"/>
      <c r="I267" s="29"/>
      <c r="J267" s="29"/>
      <c r="K267" s="29"/>
      <c r="L267" s="29"/>
      <c r="M267" s="29"/>
      <c r="N267" s="29"/>
      <c r="O267" s="29"/>
      <c r="P267" s="29"/>
      <c r="Q267" s="38"/>
    </row>
    <row r="268" spans="1:17" x14ac:dyDescent="0.25">
      <c r="A268" s="5"/>
      <c r="B268" s="13"/>
      <c r="C268" s="13"/>
      <c r="D268" s="13"/>
      <c r="E268" s="9"/>
      <c r="F268" s="29"/>
      <c r="G268" s="29"/>
      <c r="H268" s="29"/>
      <c r="I268" s="29"/>
      <c r="J268" s="29"/>
      <c r="K268" s="29"/>
      <c r="L268" s="29"/>
      <c r="M268" s="29"/>
      <c r="N268" s="29"/>
      <c r="O268" s="29"/>
      <c r="P268" s="29"/>
      <c r="Q268" s="38"/>
    </row>
    <row r="269" spans="1:17" x14ac:dyDescent="0.25">
      <c r="A269" s="5"/>
      <c r="B269" s="13"/>
      <c r="C269" s="13"/>
      <c r="D269" s="13"/>
      <c r="E269" s="9"/>
      <c r="F269" s="29"/>
      <c r="G269" s="29"/>
      <c r="H269" s="29"/>
      <c r="I269" s="29"/>
      <c r="J269" s="29"/>
      <c r="K269" s="29"/>
      <c r="L269" s="29"/>
      <c r="M269" s="29"/>
      <c r="N269" s="29"/>
      <c r="O269" s="29"/>
      <c r="P269" s="29"/>
      <c r="Q269" s="38"/>
    </row>
    <row r="270" spans="1:17" x14ac:dyDescent="0.25">
      <c r="A270" s="5"/>
      <c r="B270" s="13"/>
      <c r="C270" s="13"/>
      <c r="D270" s="13"/>
      <c r="E270" s="9"/>
      <c r="F270" s="29"/>
      <c r="G270" s="29"/>
      <c r="H270" s="29"/>
      <c r="I270" s="29"/>
      <c r="J270" s="29"/>
      <c r="K270" s="29"/>
      <c r="L270" s="29"/>
      <c r="M270" s="29"/>
      <c r="N270" s="29"/>
      <c r="O270" s="29"/>
      <c r="P270" s="29"/>
      <c r="Q270" s="38"/>
    </row>
    <row r="271" spans="1:17" x14ac:dyDescent="0.25">
      <c r="A271" s="5"/>
      <c r="B271" s="13"/>
      <c r="C271" s="13"/>
      <c r="D271" s="13"/>
      <c r="E271" s="9"/>
      <c r="F271" s="29"/>
      <c r="G271" s="29"/>
      <c r="H271" s="29"/>
      <c r="I271" s="29"/>
      <c r="J271" s="29"/>
      <c r="K271" s="29"/>
      <c r="L271" s="29"/>
      <c r="M271" s="29"/>
      <c r="N271" s="29"/>
      <c r="O271" s="29"/>
      <c r="P271" s="29"/>
      <c r="Q271" s="38"/>
    </row>
    <row r="272" spans="1:17" x14ac:dyDescent="0.25">
      <c r="A272" s="5"/>
      <c r="B272" s="13"/>
      <c r="C272" s="13"/>
      <c r="D272" s="13"/>
      <c r="E272" s="9"/>
      <c r="F272" s="29"/>
      <c r="G272" s="29"/>
      <c r="H272" s="29"/>
      <c r="I272" s="29"/>
      <c r="J272" s="29"/>
      <c r="K272" s="29"/>
      <c r="L272" s="29"/>
      <c r="M272" s="29"/>
      <c r="N272" s="29"/>
      <c r="O272" s="29"/>
      <c r="P272" s="29"/>
      <c r="Q272" s="38"/>
    </row>
    <row r="273" spans="1:17" x14ac:dyDescent="0.25">
      <c r="A273" s="5"/>
      <c r="B273" s="13"/>
      <c r="C273" s="13"/>
      <c r="D273" s="13"/>
      <c r="E273" s="9"/>
      <c r="F273" s="29"/>
      <c r="G273" s="29"/>
      <c r="H273" s="29"/>
      <c r="I273" s="29"/>
      <c r="J273" s="29"/>
      <c r="K273" s="29"/>
      <c r="L273" s="29"/>
      <c r="M273" s="29"/>
      <c r="N273" s="29"/>
      <c r="O273" s="29"/>
      <c r="P273" s="29"/>
      <c r="Q273" s="38"/>
    </row>
    <row r="274" spans="1:17" x14ac:dyDescent="0.25">
      <c r="A274" s="5"/>
      <c r="B274" s="13"/>
      <c r="C274" s="13"/>
      <c r="D274" s="13"/>
      <c r="E274" s="9"/>
      <c r="F274" s="29"/>
      <c r="G274" s="29"/>
      <c r="H274" s="29"/>
      <c r="I274" s="29"/>
      <c r="J274" s="29"/>
      <c r="K274" s="29"/>
      <c r="L274" s="29"/>
      <c r="M274" s="29"/>
      <c r="N274" s="29"/>
      <c r="O274" s="29"/>
      <c r="P274" s="29"/>
      <c r="Q274" s="38"/>
    </row>
    <row r="275" spans="1:17" x14ac:dyDescent="0.25">
      <c r="A275" s="5"/>
      <c r="B275" s="13"/>
      <c r="C275" s="13"/>
      <c r="D275" s="13"/>
      <c r="E275" s="9"/>
      <c r="F275" s="29"/>
      <c r="G275" s="29"/>
      <c r="H275" s="29"/>
      <c r="I275" s="29"/>
      <c r="J275" s="29"/>
      <c r="K275" s="29"/>
      <c r="L275" s="29"/>
      <c r="M275" s="29"/>
      <c r="N275" s="29"/>
      <c r="O275" s="29"/>
      <c r="P275" s="29"/>
      <c r="Q275" s="38"/>
    </row>
    <row r="276" spans="1:17" x14ac:dyDescent="0.25">
      <c r="A276" s="5"/>
      <c r="B276" s="13"/>
      <c r="C276" s="13"/>
      <c r="D276" s="13"/>
      <c r="E276" s="9"/>
      <c r="F276" s="29"/>
      <c r="G276" s="29"/>
      <c r="H276" s="29"/>
      <c r="I276" s="29"/>
      <c r="J276" s="29"/>
      <c r="K276" s="29"/>
      <c r="L276" s="29"/>
      <c r="M276" s="29"/>
      <c r="N276" s="29"/>
      <c r="O276" s="29"/>
      <c r="P276" s="29"/>
      <c r="Q276" s="38"/>
    </row>
    <row r="277" spans="1:17" x14ac:dyDescent="0.25">
      <c r="A277" s="5"/>
      <c r="B277" s="13"/>
      <c r="C277" s="13"/>
      <c r="D277" s="13"/>
      <c r="E277" s="9"/>
      <c r="F277" s="29"/>
      <c r="G277" s="29"/>
      <c r="H277" s="29"/>
      <c r="I277" s="29"/>
      <c r="J277" s="29"/>
      <c r="K277" s="29"/>
      <c r="L277" s="29"/>
      <c r="M277" s="29"/>
      <c r="N277" s="29"/>
      <c r="O277" s="29"/>
      <c r="P277" s="29"/>
      <c r="Q277" s="38"/>
    </row>
    <row r="278" spans="1:17" x14ac:dyDescent="0.25">
      <c r="A278" s="5"/>
      <c r="B278" s="13"/>
      <c r="C278" s="13"/>
      <c r="D278" s="13"/>
      <c r="E278" s="9"/>
      <c r="F278" s="29"/>
      <c r="G278" s="29"/>
      <c r="H278" s="29"/>
      <c r="I278" s="29"/>
      <c r="J278" s="29"/>
      <c r="K278" s="29"/>
      <c r="L278" s="29"/>
      <c r="M278" s="29"/>
      <c r="N278" s="29"/>
      <c r="O278" s="29"/>
      <c r="P278" s="29"/>
      <c r="Q278" s="38"/>
    </row>
    <row r="279" spans="1:17" x14ac:dyDescent="0.25">
      <c r="A279" s="5"/>
      <c r="B279" s="13"/>
      <c r="C279" s="13"/>
      <c r="D279" s="13"/>
      <c r="E279" s="9"/>
      <c r="F279" s="29"/>
      <c r="G279" s="29"/>
      <c r="H279" s="29"/>
      <c r="I279" s="29"/>
      <c r="J279" s="29"/>
      <c r="K279" s="29"/>
      <c r="L279" s="29"/>
      <c r="M279" s="29"/>
      <c r="N279" s="29"/>
      <c r="O279" s="29"/>
      <c r="P279" s="29"/>
      <c r="Q279" s="38"/>
    </row>
    <row r="280" spans="1:17" x14ac:dyDescent="0.25">
      <c r="A280" s="5"/>
      <c r="B280" s="13"/>
      <c r="C280" s="13"/>
      <c r="D280" s="13"/>
      <c r="E280" s="9"/>
      <c r="F280" s="29"/>
      <c r="G280" s="29"/>
      <c r="H280" s="29"/>
      <c r="I280" s="29"/>
      <c r="J280" s="29"/>
      <c r="K280" s="29"/>
      <c r="L280" s="29"/>
      <c r="M280" s="29"/>
      <c r="N280" s="29"/>
      <c r="O280" s="29"/>
      <c r="P280" s="29"/>
      <c r="Q280" s="38"/>
    </row>
    <row r="281" spans="1:17" x14ac:dyDescent="0.25">
      <c r="A281" s="5"/>
      <c r="B281" s="13"/>
      <c r="C281" s="13"/>
      <c r="D281" s="13"/>
      <c r="E281" s="9"/>
      <c r="F281" s="29"/>
      <c r="G281" s="29"/>
      <c r="H281" s="29"/>
      <c r="I281" s="29"/>
      <c r="J281" s="29"/>
      <c r="K281" s="29"/>
      <c r="L281" s="29"/>
      <c r="M281" s="29"/>
      <c r="N281" s="29"/>
      <c r="O281" s="29"/>
      <c r="P281" s="29"/>
      <c r="Q281" s="38"/>
    </row>
    <row r="282" spans="1:17" x14ac:dyDescent="0.25">
      <c r="A282" s="5"/>
      <c r="B282" s="13"/>
      <c r="C282" s="13"/>
      <c r="D282" s="13"/>
      <c r="E282" s="9"/>
      <c r="F282" s="29"/>
      <c r="G282" s="29"/>
      <c r="H282" s="29"/>
      <c r="I282" s="29"/>
      <c r="J282" s="29"/>
      <c r="K282" s="29"/>
      <c r="L282" s="29"/>
      <c r="M282" s="29"/>
      <c r="N282" s="29"/>
      <c r="O282" s="29"/>
      <c r="P282" s="29"/>
      <c r="Q282" s="38"/>
    </row>
    <row r="283" spans="1:17" x14ac:dyDescent="0.25">
      <c r="A283" s="5"/>
      <c r="B283" s="13"/>
      <c r="C283" s="13"/>
      <c r="D283" s="13"/>
      <c r="E283" s="9"/>
      <c r="F283" s="29"/>
      <c r="G283" s="29"/>
      <c r="H283" s="29"/>
      <c r="I283" s="29"/>
      <c r="J283" s="29"/>
      <c r="K283" s="29"/>
      <c r="L283" s="29"/>
      <c r="M283" s="29"/>
      <c r="N283" s="29"/>
      <c r="O283" s="29"/>
      <c r="P283" s="29"/>
      <c r="Q283" s="38"/>
    </row>
    <row r="284" spans="1:17" x14ac:dyDescent="0.25">
      <c r="A284" s="5"/>
      <c r="B284" s="13"/>
      <c r="C284" s="13"/>
      <c r="D284" s="13"/>
      <c r="E284" s="9"/>
      <c r="F284" s="29"/>
      <c r="G284" s="29"/>
      <c r="H284" s="29"/>
      <c r="I284" s="29"/>
      <c r="J284" s="29"/>
      <c r="K284" s="29"/>
      <c r="L284" s="29"/>
      <c r="M284" s="29"/>
      <c r="N284" s="29"/>
      <c r="O284" s="29"/>
      <c r="P284" s="29"/>
      <c r="Q284" s="38"/>
    </row>
    <row r="285" spans="1:17" x14ac:dyDescent="0.25">
      <c r="A285" s="5"/>
      <c r="B285" s="13"/>
      <c r="C285" s="13"/>
      <c r="D285" s="13"/>
      <c r="E285" s="9"/>
      <c r="F285" s="29"/>
      <c r="G285" s="29"/>
      <c r="H285" s="29"/>
      <c r="I285" s="29"/>
      <c r="J285" s="29"/>
      <c r="K285" s="29"/>
      <c r="L285" s="29"/>
      <c r="M285" s="29"/>
      <c r="N285" s="29"/>
      <c r="O285" s="29"/>
      <c r="P285" s="29"/>
      <c r="Q285" s="38"/>
    </row>
    <row r="286" spans="1:17" x14ac:dyDescent="0.25">
      <c r="A286" s="5"/>
      <c r="B286" s="13"/>
      <c r="C286" s="13"/>
      <c r="D286" s="13"/>
      <c r="E286" s="9"/>
      <c r="F286" s="29"/>
      <c r="G286" s="29"/>
      <c r="H286" s="29"/>
      <c r="I286" s="29"/>
      <c r="J286" s="29"/>
      <c r="K286" s="29"/>
      <c r="L286" s="29"/>
      <c r="M286" s="29"/>
      <c r="N286" s="29"/>
      <c r="O286" s="29"/>
      <c r="P286" s="29"/>
      <c r="Q286" s="38"/>
    </row>
    <row r="287" spans="1:17" x14ac:dyDescent="0.25">
      <c r="A287" s="5"/>
      <c r="B287" s="13"/>
      <c r="C287" s="13"/>
      <c r="D287" s="13"/>
      <c r="E287" s="9"/>
      <c r="F287" s="29"/>
      <c r="G287" s="29"/>
      <c r="H287" s="29"/>
      <c r="I287" s="29"/>
      <c r="J287" s="29"/>
      <c r="K287" s="29"/>
      <c r="L287" s="29"/>
      <c r="M287" s="29"/>
      <c r="N287" s="29"/>
      <c r="O287" s="29"/>
      <c r="P287" s="29"/>
      <c r="Q287" s="38"/>
    </row>
    <row r="288" spans="1:17" x14ac:dyDescent="0.25">
      <c r="A288" s="5"/>
      <c r="B288" s="13"/>
      <c r="C288" s="13"/>
      <c r="D288" s="13"/>
      <c r="E288" s="9"/>
      <c r="F288" s="29"/>
      <c r="G288" s="29"/>
      <c r="H288" s="29"/>
      <c r="I288" s="29"/>
      <c r="J288" s="29"/>
      <c r="K288" s="29"/>
      <c r="L288" s="29"/>
      <c r="M288" s="29"/>
      <c r="N288" s="29"/>
      <c r="O288" s="29"/>
      <c r="P288" s="29"/>
      <c r="Q288" s="38"/>
    </row>
    <row r="289" spans="1:17" x14ac:dyDescent="0.25">
      <c r="A289" s="5"/>
      <c r="B289" s="13"/>
      <c r="C289" s="13"/>
      <c r="D289" s="13"/>
      <c r="E289" s="9"/>
      <c r="F289" s="29"/>
      <c r="G289" s="29"/>
      <c r="H289" s="29"/>
      <c r="I289" s="29"/>
      <c r="J289" s="29"/>
      <c r="K289" s="29"/>
      <c r="L289" s="29"/>
      <c r="M289" s="29"/>
      <c r="N289" s="29"/>
      <c r="O289" s="29"/>
      <c r="P289" s="29"/>
      <c r="Q289" s="38"/>
    </row>
    <row r="290" spans="1:17" x14ac:dyDescent="0.25">
      <c r="A290" s="5"/>
      <c r="B290" s="13"/>
      <c r="C290" s="13"/>
      <c r="D290" s="13"/>
      <c r="E290" s="9"/>
      <c r="F290" s="29"/>
      <c r="G290" s="29"/>
      <c r="H290" s="29"/>
      <c r="I290" s="29"/>
      <c r="J290" s="29"/>
      <c r="K290" s="29"/>
      <c r="L290" s="29"/>
      <c r="M290" s="29"/>
      <c r="N290" s="29"/>
      <c r="O290" s="29"/>
      <c r="P290" s="29"/>
      <c r="Q290" s="38"/>
    </row>
    <row r="291" spans="1:17" x14ac:dyDescent="0.25">
      <c r="A291" s="5"/>
      <c r="B291" s="13"/>
      <c r="C291" s="13"/>
      <c r="D291" s="13"/>
      <c r="E291" s="9"/>
      <c r="F291" s="29"/>
      <c r="G291" s="29"/>
      <c r="H291" s="29"/>
      <c r="I291" s="29"/>
      <c r="J291" s="29"/>
      <c r="K291" s="29"/>
      <c r="L291" s="29"/>
      <c r="M291" s="29"/>
      <c r="N291" s="29"/>
      <c r="O291" s="29"/>
      <c r="P291" s="29"/>
      <c r="Q291" s="38"/>
    </row>
    <row r="292" spans="1:17" x14ac:dyDescent="0.25">
      <c r="A292" s="5"/>
      <c r="B292" s="13"/>
      <c r="C292" s="13"/>
      <c r="D292" s="13"/>
      <c r="E292" s="9"/>
      <c r="F292" s="29"/>
      <c r="G292" s="29"/>
      <c r="H292" s="29"/>
      <c r="I292" s="29"/>
      <c r="J292" s="29"/>
      <c r="K292" s="29"/>
      <c r="L292" s="29"/>
      <c r="M292" s="29"/>
      <c r="N292" s="29"/>
      <c r="O292" s="29"/>
      <c r="P292" s="29"/>
      <c r="Q292" s="38"/>
    </row>
    <row r="293" spans="1:17" x14ac:dyDescent="0.25">
      <c r="A293" s="5"/>
      <c r="B293" s="13"/>
      <c r="C293" s="13"/>
      <c r="D293" s="13"/>
      <c r="E293" s="9"/>
      <c r="F293" s="29"/>
      <c r="G293" s="29"/>
      <c r="H293" s="29"/>
      <c r="I293" s="29"/>
      <c r="J293" s="29"/>
      <c r="K293" s="29"/>
      <c r="L293" s="29"/>
      <c r="M293" s="29"/>
      <c r="N293" s="29"/>
      <c r="O293" s="29"/>
      <c r="P293" s="29"/>
      <c r="Q293" s="38"/>
    </row>
    <row r="294" spans="1:17" x14ac:dyDescent="0.25">
      <c r="A294" s="5"/>
      <c r="B294" s="13"/>
      <c r="C294" s="13"/>
      <c r="D294" s="13"/>
      <c r="E294" s="9"/>
      <c r="F294" s="29"/>
      <c r="G294" s="29"/>
      <c r="H294" s="29"/>
      <c r="I294" s="29"/>
      <c r="J294" s="29"/>
      <c r="K294" s="29"/>
      <c r="L294" s="29"/>
      <c r="M294" s="29"/>
      <c r="N294" s="29"/>
      <c r="O294" s="29"/>
      <c r="P294" s="29"/>
      <c r="Q294" s="38"/>
    </row>
    <row r="295" spans="1:17" x14ac:dyDescent="0.25">
      <c r="A295" s="5"/>
      <c r="B295" s="13"/>
      <c r="C295" s="13"/>
      <c r="D295" s="13"/>
      <c r="E295" s="9"/>
      <c r="F295" s="29"/>
      <c r="G295" s="29"/>
      <c r="H295" s="29"/>
      <c r="I295" s="29"/>
      <c r="J295" s="29"/>
      <c r="K295" s="29"/>
      <c r="L295" s="29"/>
      <c r="M295" s="29"/>
      <c r="N295" s="29"/>
      <c r="O295" s="29"/>
      <c r="P295" s="29"/>
      <c r="Q295" s="38"/>
    </row>
    <row r="296" spans="1:17" x14ac:dyDescent="0.25">
      <c r="A296" s="5"/>
      <c r="B296" s="13"/>
      <c r="C296" s="13"/>
      <c r="D296" s="13"/>
      <c r="E296" s="9"/>
      <c r="F296" s="29"/>
      <c r="G296" s="29"/>
      <c r="H296" s="29"/>
      <c r="I296" s="29"/>
      <c r="J296" s="29"/>
      <c r="K296" s="29"/>
      <c r="L296" s="29"/>
      <c r="M296" s="29"/>
      <c r="N296" s="29"/>
      <c r="O296" s="29"/>
      <c r="P296" s="29"/>
      <c r="Q296" s="38"/>
    </row>
    <row r="297" spans="1:17" x14ac:dyDescent="0.25">
      <c r="A297" s="5"/>
      <c r="B297" s="13"/>
      <c r="C297" s="13"/>
      <c r="D297" s="13"/>
      <c r="E297" s="9"/>
      <c r="F297" s="29"/>
      <c r="G297" s="29"/>
      <c r="H297" s="29"/>
      <c r="I297" s="29"/>
      <c r="J297" s="29"/>
      <c r="K297" s="29"/>
      <c r="L297" s="29"/>
      <c r="M297" s="29"/>
      <c r="N297" s="29"/>
      <c r="O297" s="29"/>
      <c r="P297" s="29"/>
      <c r="Q297" s="38"/>
    </row>
    <row r="298" spans="1:17" x14ac:dyDescent="0.25">
      <c r="A298" s="5"/>
      <c r="B298" s="13"/>
      <c r="C298" s="13"/>
      <c r="D298" s="13"/>
      <c r="E298" s="9"/>
      <c r="F298" s="32"/>
      <c r="G298" s="32"/>
      <c r="H298" s="32"/>
      <c r="I298" s="32"/>
      <c r="J298" s="29"/>
      <c r="K298" s="29"/>
      <c r="L298" s="29"/>
      <c r="M298" s="29"/>
      <c r="N298" s="29"/>
      <c r="O298" s="29"/>
      <c r="P298" s="29"/>
      <c r="Q298" s="38"/>
    </row>
    <row r="299" spans="1:17" x14ac:dyDescent="0.25">
      <c r="A299" s="5"/>
      <c r="B299" s="13"/>
      <c r="C299" s="13"/>
      <c r="D299" s="13"/>
      <c r="E299" s="9"/>
      <c r="F299" s="32"/>
      <c r="G299" s="32"/>
      <c r="H299" s="32"/>
      <c r="I299" s="32"/>
      <c r="J299" s="29"/>
      <c r="K299" s="29"/>
      <c r="L299" s="29"/>
      <c r="M299" s="29"/>
      <c r="N299" s="29"/>
      <c r="O299" s="29"/>
      <c r="P299" s="29"/>
      <c r="Q299" s="38"/>
    </row>
    <row r="300" spans="1:17" x14ac:dyDescent="0.25">
      <c r="A300" s="5"/>
      <c r="B300" s="13"/>
      <c r="C300" s="13"/>
      <c r="D300" s="13"/>
      <c r="E300" s="9"/>
      <c r="F300" s="32"/>
      <c r="G300" s="32"/>
      <c r="H300" s="32"/>
      <c r="I300" s="32"/>
      <c r="J300" s="29"/>
      <c r="K300" s="29"/>
      <c r="L300" s="29"/>
      <c r="M300" s="29"/>
      <c r="N300" s="29"/>
      <c r="O300" s="29"/>
      <c r="P300" s="29"/>
      <c r="Q300" s="38"/>
    </row>
    <row r="301" spans="1:17" x14ac:dyDescent="0.25">
      <c r="A301" s="5"/>
      <c r="B301" s="13"/>
      <c r="C301" s="13"/>
      <c r="D301" s="13"/>
      <c r="E301" s="9"/>
      <c r="F301" s="32"/>
      <c r="G301" s="32"/>
      <c r="H301" s="32"/>
      <c r="I301" s="32"/>
      <c r="J301" s="29"/>
      <c r="K301" s="29"/>
      <c r="L301" s="29"/>
      <c r="M301" s="29"/>
      <c r="N301" s="29"/>
      <c r="O301" s="29"/>
      <c r="P301" s="29"/>
      <c r="Q301" s="38"/>
    </row>
    <row r="302" spans="1:17" x14ac:dyDescent="0.25">
      <c r="A302" s="5"/>
      <c r="B302" s="13"/>
      <c r="C302" s="13"/>
      <c r="D302" s="13"/>
      <c r="E302" s="9"/>
      <c r="F302" s="32"/>
      <c r="G302" s="32"/>
      <c r="H302" s="32"/>
      <c r="I302" s="32"/>
      <c r="J302" s="29"/>
      <c r="K302" s="29"/>
      <c r="L302" s="29"/>
      <c r="M302" s="29"/>
      <c r="N302" s="29"/>
      <c r="O302" s="29"/>
      <c r="P302" s="29"/>
      <c r="Q302" s="38"/>
    </row>
    <row r="303" spans="1:17" x14ac:dyDescent="0.25">
      <c r="A303" s="5"/>
      <c r="B303" s="13"/>
      <c r="C303" s="13"/>
      <c r="D303" s="13"/>
      <c r="E303" s="9"/>
      <c r="F303" s="32"/>
      <c r="G303" s="32"/>
      <c r="H303" s="32"/>
      <c r="I303" s="32"/>
      <c r="J303" s="29"/>
      <c r="K303" s="29"/>
      <c r="L303" s="29"/>
      <c r="M303" s="29"/>
      <c r="N303" s="29"/>
      <c r="O303" s="29"/>
      <c r="P303" s="29"/>
      <c r="Q303" s="38"/>
    </row>
    <row r="304" spans="1:17" x14ac:dyDescent="0.25">
      <c r="A304" s="5"/>
      <c r="B304" s="13"/>
      <c r="C304" s="13"/>
      <c r="D304" s="13"/>
      <c r="E304" s="9"/>
      <c r="F304" s="32"/>
      <c r="G304" s="32"/>
      <c r="H304" s="32"/>
      <c r="I304" s="32"/>
      <c r="J304" s="29"/>
      <c r="K304" s="29"/>
      <c r="L304" s="29"/>
      <c r="M304" s="29"/>
      <c r="N304" s="29"/>
      <c r="O304" s="29"/>
      <c r="P304" s="29"/>
      <c r="Q304" s="38"/>
    </row>
    <row r="305" spans="1:17" x14ac:dyDescent="0.25">
      <c r="A305" s="5"/>
      <c r="B305" s="13"/>
      <c r="C305" s="13"/>
      <c r="D305" s="13"/>
      <c r="E305" s="9"/>
      <c r="F305" s="32"/>
      <c r="G305" s="32"/>
      <c r="H305" s="32"/>
      <c r="I305" s="32"/>
      <c r="J305" s="29"/>
      <c r="K305" s="29"/>
      <c r="L305" s="29"/>
      <c r="M305" s="29"/>
      <c r="N305" s="29"/>
      <c r="O305" s="29"/>
      <c r="P305" s="29"/>
      <c r="Q305" s="38"/>
    </row>
    <row r="306" spans="1:17" x14ac:dyDescent="0.25">
      <c r="A306" s="5"/>
      <c r="B306" s="13"/>
      <c r="C306" s="13"/>
      <c r="D306" s="13"/>
      <c r="E306" s="9"/>
      <c r="F306" s="32"/>
      <c r="G306" s="32"/>
      <c r="H306" s="32"/>
      <c r="I306" s="32"/>
      <c r="J306" s="29"/>
      <c r="K306" s="29"/>
      <c r="L306" s="29"/>
      <c r="M306" s="29"/>
      <c r="N306" s="29"/>
      <c r="O306" s="29"/>
      <c r="P306" s="29"/>
      <c r="Q306" s="38"/>
    </row>
    <row r="307" spans="1:17" x14ac:dyDescent="0.25">
      <c r="A307" s="5"/>
      <c r="B307" s="13"/>
      <c r="C307" s="13"/>
      <c r="D307" s="13"/>
      <c r="E307" s="9"/>
      <c r="F307" s="32"/>
      <c r="G307" s="32"/>
      <c r="H307" s="32"/>
      <c r="I307" s="32"/>
      <c r="J307" s="29"/>
      <c r="K307" s="29"/>
      <c r="L307" s="29"/>
      <c r="M307" s="29"/>
      <c r="N307" s="29"/>
      <c r="O307" s="29"/>
      <c r="P307" s="29"/>
      <c r="Q307" s="38"/>
    </row>
    <row r="308" spans="1:17" x14ac:dyDescent="0.25">
      <c r="A308" s="5"/>
      <c r="B308" s="13"/>
      <c r="C308" s="13"/>
      <c r="D308" s="13"/>
      <c r="E308" s="9"/>
      <c r="F308" s="32"/>
      <c r="G308" s="32"/>
      <c r="H308" s="32"/>
      <c r="I308" s="32"/>
      <c r="J308" s="29"/>
      <c r="K308" s="29"/>
      <c r="L308" s="29"/>
      <c r="M308" s="29"/>
      <c r="N308" s="29"/>
      <c r="O308" s="29"/>
      <c r="P308" s="29"/>
      <c r="Q308" s="38"/>
    </row>
    <row r="309" spans="1:17" x14ac:dyDescent="0.25">
      <c r="A309" s="5"/>
      <c r="B309" s="13"/>
      <c r="C309" s="13"/>
      <c r="D309" s="13"/>
      <c r="E309" s="9"/>
      <c r="F309" s="32"/>
      <c r="G309" s="32"/>
      <c r="H309" s="32"/>
      <c r="I309" s="32"/>
      <c r="J309" s="29"/>
      <c r="K309" s="29"/>
      <c r="L309" s="29"/>
      <c r="M309" s="29"/>
      <c r="N309" s="29"/>
      <c r="O309" s="29"/>
      <c r="P309" s="29"/>
      <c r="Q309" s="38"/>
    </row>
    <row r="310" spans="1:17" x14ac:dyDescent="0.25">
      <c r="A310" s="5"/>
      <c r="B310" s="13"/>
      <c r="C310" s="13"/>
      <c r="D310" s="13"/>
      <c r="E310" s="9"/>
      <c r="F310" s="32"/>
      <c r="G310" s="32"/>
      <c r="H310" s="32"/>
      <c r="I310" s="32"/>
      <c r="J310" s="29"/>
      <c r="K310" s="29"/>
      <c r="L310" s="29"/>
      <c r="M310" s="29"/>
      <c r="N310" s="29"/>
      <c r="O310" s="29"/>
      <c r="P310" s="29"/>
      <c r="Q310" s="38"/>
    </row>
    <row r="311" spans="1:17" x14ac:dyDescent="0.25">
      <c r="A311" s="5"/>
      <c r="B311" s="13"/>
      <c r="C311" s="13"/>
      <c r="D311" s="13"/>
      <c r="E311" s="9"/>
      <c r="F311" s="32"/>
      <c r="G311" s="32"/>
      <c r="H311" s="32"/>
      <c r="I311" s="32"/>
      <c r="J311" s="29"/>
      <c r="K311" s="29"/>
      <c r="L311" s="29"/>
      <c r="M311" s="29"/>
      <c r="N311" s="29"/>
      <c r="O311" s="29"/>
      <c r="P311" s="29"/>
      <c r="Q311" s="38"/>
    </row>
    <row r="312" spans="1:17" x14ac:dyDescent="0.25">
      <c r="A312" s="5"/>
      <c r="B312" s="13"/>
      <c r="C312" s="13"/>
      <c r="D312" s="13"/>
      <c r="E312" s="9"/>
      <c r="F312" s="32"/>
      <c r="G312" s="32"/>
      <c r="H312" s="32"/>
      <c r="I312" s="32"/>
      <c r="J312" s="29"/>
      <c r="K312" s="29"/>
      <c r="L312" s="29"/>
      <c r="M312" s="29"/>
      <c r="N312" s="29"/>
      <c r="O312" s="29"/>
      <c r="P312" s="29"/>
      <c r="Q312" s="38"/>
    </row>
    <row r="313" spans="1:17" x14ac:dyDescent="0.25">
      <c r="A313" s="5"/>
      <c r="B313" s="13"/>
      <c r="C313" s="13"/>
      <c r="D313" s="13"/>
      <c r="E313" s="9"/>
      <c r="F313" s="32"/>
      <c r="G313" s="32"/>
      <c r="H313" s="32"/>
      <c r="I313" s="32"/>
      <c r="J313" s="29"/>
      <c r="K313" s="29"/>
      <c r="L313" s="29"/>
      <c r="M313" s="29"/>
      <c r="N313" s="29"/>
      <c r="O313" s="29"/>
      <c r="P313" s="29"/>
      <c r="Q313" s="38"/>
    </row>
    <row r="314" spans="1:17" x14ac:dyDescent="0.25">
      <c r="A314" s="5"/>
      <c r="B314" s="13"/>
      <c r="C314" s="13"/>
      <c r="D314" s="13"/>
      <c r="E314" s="9"/>
      <c r="F314" s="32"/>
      <c r="G314" s="32"/>
      <c r="H314" s="32"/>
      <c r="I314" s="32"/>
      <c r="J314" s="29"/>
      <c r="K314" s="29"/>
      <c r="L314" s="29"/>
      <c r="M314" s="29"/>
      <c r="N314" s="29"/>
      <c r="O314" s="29"/>
      <c r="P314" s="29"/>
      <c r="Q314" s="38"/>
    </row>
    <row r="315" spans="1:17" x14ac:dyDescent="0.25">
      <c r="A315" s="5"/>
      <c r="B315" s="13"/>
      <c r="C315" s="13"/>
      <c r="D315" s="13"/>
      <c r="E315" s="9"/>
      <c r="F315" s="32"/>
      <c r="G315" s="32"/>
      <c r="H315" s="32"/>
      <c r="I315" s="32"/>
      <c r="J315" s="29"/>
      <c r="K315" s="29"/>
      <c r="L315" s="29"/>
      <c r="M315" s="29"/>
      <c r="N315" s="29"/>
      <c r="O315" s="29"/>
      <c r="P315" s="29"/>
      <c r="Q315" s="38"/>
    </row>
    <row r="316" spans="1:17" x14ac:dyDescent="0.25">
      <c r="A316" s="5"/>
      <c r="B316" s="13"/>
      <c r="C316" s="13"/>
      <c r="D316" s="13"/>
      <c r="E316" s="9"/>
      <c r="F316" s="32"/>
      <c r="G316" s="32"/>
      <c r="H316" s="32"/>
      <c r="I316" s="32"/>
      <c r="J316" s="29"/>
      <c r="K316" s="29"/>
      <c r="L316" s="29"/>
      <c r="M316" s="29"/>
      <c r="N316" s="29"/>
      <c r="O316" s="29"/>
      <c r="P316" s="29"/>
      <c r="Q316" s="38"/>
    </row>
    <row r="317" spans="1:17" x14ac:dyDescent="0.25">
      <c r="A317" s="5"/>
      <c r="B317" s="13"/>
      <c r="C317" s="13"/>
      <c r="D317" s="13"/>
      <c r="E317" s="9"/>
      <c r="F317" s="32"/>
      <c r="G317" s="32"/>
      <c r="H317" s="32"/>
      <c r="I317" s="32"/>
      <c r="J317" s="29"/>
      <c r="K317" s="29"/>
      <c r="L317" s="29"/>
      <c r="M317" s="29"/>
      <c r="N317" s="29"/>
      <c r="O317" s="29"/>
      <c r="P317" s="29"/>
      <c r="Q317" s="38"/>
    </row>
    <row r="318" spans="1:17" x14ac:dyDescent="0.25">
      <c r="A318" s="5"/>
      <c r="B318" s="13"/>
      <c r="C318" s="13"/>
      <c r="D318" s="13"/>
      <c r="E318" s="9"/>
      <c r="F318" s="32"/>
      <c r="G318" s="32"/>
      <c r="H318" s="32"/>
      <c r="I318" s="32"/>
      <c r="J318" s="29"/>
      <c r="K318" s="29"/>
      <c r="L318" s="29"/>
      <c r="M318" s="29"/>
      <c r="N318" s="29"/>
      <c r="O318" s="29"/>
      <c r="P318" s="29"/>
      <c r="Q318" s="38"/>
    </row>
    <row r="319" spans="1:17" x14ac:dyDescent="0.25">
      <c r="A319" s="5"/>
      <c r="B319" s="13"/>
      <c r="C319" s="13"/>
      <c r="D319" s="13"/>
      <c r="E319" s="9"/>
      <c r="F319" s="32"/>
      <c r="G319" s="32"/>
      <c r="H319" s="32"/>
      <c r="I319" s="32"/>
      <c r="J319" s="29"/>
      <c r="K319" s="29"/>
      <c r="L319" s="29"/>
      <c r="M319" s="29"/>
      <c r="N319" s="29"/>
      <c r="O319" s="29"/>
      <c r="P319" s="29"/>
      <c r="Q319" s="38"/>
    </row>
    <row r="320" spans="1:17" x14ac:dyDescent="0.25">
      <c r="A320" s="5"/>
      <c r="B320" s="13"/>
      <c r="C320" s="13"/>
      <c r="D320" s="13"/>
      <c r="E320" s="9"/>
      <c r="F320" s="32"/>
      <c r="G320" s="32"/>
      <c r="H320" s="32"/>
      <c r="I320" s="32"/>
      <c r="J320" s="29"/>
      <c r="K320" s="29"/>
      <c r="L320" s="29"/>
      <c r="M320" s="29"/>
      <c r="N320" s="29"/>
      <c r="O320" s="29"/>
      <c r="P320" s="29"/>
      <c r="Q320" s="38"/>
    </row>
    <row r="321" spans="1:17" x14ac:dyDescent="0.25">
      <c r="A321" s="5"/>
      <c r="B321" s="13"/>
      <c r="C321" s="13"/>
      <c r="D321" s="13"/>
      <c r="E321" s="9"/>
      <c r="F321" s="32"/>
      <c r="G321" s="32"/>
      <c r="H321" s="32"/>
      <c r="I321" s="32"/>
      <c r="J321" s="29"/>
      <c r="K321" s="29"/>
      <c r="L321" s="29"/>
      <c r="M321" s="29"/>
      <c r="N321" s="29"/>
      <c r="O321" s="29"/>
      <c r="P321" s="29"/>
      <c r="Q321" s="38"/>
    </row>
    <row r="322" spans="1:17" x14ac:dyDescent="0.25">
      <c r="A322" s="5"/>
      <c r="B322" s="13"/>
      <c r="C322" s="13"/>
      <c r="D322" s="13"/>
      <c r="E322" s="9"/>
      <c r="F322" s="32"/>
      <c r="G322" s="32"/>
      <c r="H322" s="32"/>
      <c r="I322" s="32"/>
      <c r="J322" s="29"/>
      <c r="K322" s="29"/>
      <c r="L322" s="29"/>
      <c r="M322" s="29"/>
      <c r="N322" s="29"/>
      <c r="O322" s="29"/>
      <c r="P322" s="29"/>
      <c r="Q322" s="38"/>
    </row>
    <row r="323" spans="1:17" x14ac:dyDescent="0.25">
      <c r="A323" s="5"/>
      <c r="B323" s="13"/>
      <c r="C323" s="13"/>
      <c r="D323" s="13"/>
      <c r="E323" s="9"/>
      <c r="F323" s="32"/>
      <c r="G323" s="32"/>
      <c r="H323" s="32"/>
      <c r="I323" s="32"/>
      <c r="J323" s="29"/>
      <c r="K323" s="29"/>
      <c r="L323" s="29"/>
      <c r="M323" s="29"/>
      <c r="N323" s="29"/>
      <c r="O323" s="29"/>
      <c r="P323" s="29"/>
      <c r="Q323" s="38"/>
    </row>
    <row r="324" spans="1:17" x14ac:dyDescent="0.25">
      <c r="A324" s="5"/>
      <c r="B324" s="13"/>
      <c r="C324" s="13"/>
      <c r="D324" s="13"/>
      <c r="E324" s="9"/>
      <c r="F324" s="32"/>
      <c r="G324" s="32"/>
      <c r="H324" s="32"/>
      <c r="I324" s="32"/>
      <c r="J324" s="29"/>
      <c r="K324" s="29"/>
      <c r="L324" s="29"/>
      <c r="M324" s="29"/>
      <c r="N324" s="29"/>
      <c r="O324" s="29"/>
      <c r="P324" s="29"/>
      <c r="Q324" s="38"/>
    </row>
    <row r="325" spans="1:17" x14ac:dyDescent="0.25">
      <c r="A325" s="5"/>
      <c r="B325" s="13"/>
      <c r="C325" s="13"/>
      <c r="D325" s="13"/>
      <c r="E325" s="9"/>
      <c r="F325" s="32"/>
      <c r="G325" s="32"/>
      <c r="H325" s="32"/>
      <c r="I325" s="32"/>
      <c r="J325" s="29"/>
      <c r="K325" s="29"/>
      <c r="L325" s="29"/>
      <c r="M325" s="29"/>
      <c r="N325" s="29"/>
      <c r="O325" s="29"/>
      <c r="P325" s="29"/>
      <c r="Q325" s="38"/>
    </row>
    <row r="326" spans="1:17" x14ac:dyDescent="0.25">
      <c r="A326" s="5"/>
      <c r="B326" s="13"/>
      <c r="C326" s="13"/>
      <c r="D326" s="13"/>
      <c r="E326" s="9"/>
      <c r="F326" s="32"/>
      <c r="G326" s="32"/>
      <c r="H326" s="32"/>
      <c r="I326" s="32"/>
      <c r="J326" s="29"/>
      <c r="K326" s="29"/>
      <c r="L326" s="29"/>
      <c r="M326" s="29"/>
      <c r="N326" s="29"/>
      <c r="O326" s="29"/>
      <c r="P326" s="29"/>
      <c r="Q326" s="38"/>
    </row>
    <row r="327" spans="1:17" x14ac:dyDescent="0.25">
      <c r="A327" s="5"/>
      <c r="B327" s="13"/>
      <c r="C327" s="13"/>
      <c r="D327" s="13"/>
      <c r="E327" s="9"/>
      <c r="F327" s="32"/>
      <c r="G327" s="32"/>
      <c r="H327" s="32"/>
      <c r="I327" s="32"/>
      <c r="J327" s="29"/>
      <c r="K327" s="29"/>
      <c r="L327" s="29"/>
      <c r="M327" s="29"/>
      <c r="N327" s="29"/>
      <c r="O327" s="29"/>
      <c r="P327" s="29"/>
      <c r="Q327" s="38"/>
    </row>
    <row r="328" spans="1:17" x14ac:dyDescent="0.25">
      <c r="A328" s="5"/>
      <c r="B328" s="13"/>
      <c r="C328" s="13"/>
      <c r="D328" s="13"/>
      <c r="E328" s="9"/>
      <c r="F328" s="32"/>
      <c r="G328" s="32"/>
      <c r="H328" s="32"/>
      <c r="I328" s="32"/>
      <c r="J328" s="29"/>
      <c r="K328" s="29"/>
      <c r="L328" s="29"/>
      <c r="M328" s="29"/>
      <c r="N328" s="29"/>
      <c r="O328" s="29"/>
      <c r="P328" s="29"/>
      <c r="Q328" s="38"/>
    </row>
    <row r="329" spans="1:17" x14ac:dyDescent="0.25">
      <c r="A329" s="5"/>
      <c r="B329" s="13"/>
      <c r="C329" s="13"/>
      <c r="D329" s="13"/>
      <c r="E329" s="9"/>
      <c r="F329" s="32"/>
      <c r="G329" s="32"/>
      <c r="H329" s="32"/>
      <c r="I329" s="32"/>
      <c r="J329" s="29"/>
      <c r="K329" s="29"/>
      <c r="L329" s="29"/>
      <c r="M329" s="29"/>
      <c r="N329" s="29"/>
      <c r="O329" s="29"/>
      <c r="P329" s="29"/>
      <c r="Q329" s="38"/>
    </row>
    <row r="330" spans="1:17" x14ac:dyDescent="0.25">
      <c r="A330" s="5"/>
      <c r="B330" s="13"/>
      <c r="C330" s="13"/>
      <c r="D330" s="13"/>
      <c r="E330" s="9"/>
      <c r="F330" s="32"/>
      <c r="G330" s="32"/>
      <c r="H330" s="32"/>
      <c r="I330" s="32"/>
      <c r="J330" s="29"/>
      <c r="K330" s="29"/>
      <c r="L330" s="29"/>
      <c r="M330" s="29"/>
      <c r="N330" s="29"/>
      <c r="O330" s="29"/>
      <c r="P330" s="29"/>
      <c r="Q330" s="38"/>
    </row>
    <row r="331" spans="1:17" x14ac:dyDescent="0.25">
      <c r="A331" s="5"/>
      <c r="B331" s="13"/>
      <c r="C331" s="13"/>
      <c r="D331" s="13"/>
      <c r="E331" s="9"/>
      <c r="F331" s="32"/>
      <c r="G331" s="32"/>
      <c r="H331" s="32"/>
      <c r="I331" s="32"/>
      <c r="J331" s="29"/>
      <c r="K331" s="29"/>
      <c r="L331" s="29"/>
      <c r="M331" s="29"/>
      <c r="N331" s="29"/>
      <c r="O331" s="29"/>
      <c r="P331" s="29"/>
      <c r="Q331" s="38"/>
    </row>
    <row r="332" spans="1:17" x14ac:dyDescent="0.25">
      <c r="A332" s="5"/>
      <c r="B332" s="13"/>
      <c r="C332" s="13"/>
      <c r="D332" s="13"/>
      <c r="E332" s="9"/>
      <c r="F332" s="32"/>
      <c r="G332" s="32"/>
      <c r="H332" s="32"/>
      <c r="I332" s="32"/>
      <c r="J332" s="29"/>
      <c r="K332" s="29"/>
      <c r="L332" s="29"/>
      <c r="M332" s="29"/>
      <c r="N332" s="29"/>
      <c r="O332" s="29"/>
      <c r="P332" s="29"/>
      <c r="Q332" s="38"/>
    </row>
    <row r="333" spans="1:17" x14ac:dyDescent="0.25">
      <c r="A333" s="5"/>
      <c r="B333" s="13"/>
      <c r="C333" s="13"/>
      <c r="D333" s="13"/>
      <c r="E333" s="9"/>
      <c r="F333" s="32"/>
      <c r="G333" s="32"/>
      <c r="H333" s="32"/>
      <c r="I333" s="32"/>
      <c r="J333" s="29"/>
      <c r="K333" s="29"/>
      <c r="L333" s="29"/>
      <c r="M333" s="29"/>
      <c r="N333" s="29"/>
      <c r="O333" s="29"/>
      <c r="P333" s="29"/>
      <c r="Q333" s="38"/>
    </row>
    <row r="334" spans="1:17" x14ac:dyDescent="0.25">
      <c r="A334" s="5"/>
      <c r="B334" s="13"/>
      <c r="C334" s="13"/>
      <c r="D334" s="13"/>
      <c r="E334" s="9"/>
      <c r="F334" s="32"/>
      <c r="G334" s="32"/>
      <c r="H334" s="32"/>
      <c r="I334" s="32"/>
      <c r="J334" s="29"/>
      <c r="K334" s="29"/>
      <c r="L334" s="29"/>
      <c r="M334" s="29"/>
      <c r="N334" s="29"/>
      <c r="O334" s="29"/>
      <c r="P334" s="29"/>
      <c r="Q334" s="38"/>
    </row>
    <row r="335" spans="1:17" x14ac:dyDescent="0.25">
      <c r="A335" s="5"/>
      <c r="B335" s="13"/>
      <c r="C335" s="13"/>
      <c r="D335" s="13"/>
      <c r="E335" s="9"/>
      <c r="F335" s="32"/>
      <c r="G335" s="32"/>
      <c r="H335" s="32"/>
      <c r="I335" s="32"/>
      <c r="J335" s="29"/>
      <c r="K335" s="29"/>
      <c r="L335" s="29"/>
      <c r="M335" s="29"/>
      <c r="N335" s="29"/>
      <c r="O335" s="29"/>
      <c r="P335" s="29"/>
      <c r="Q335" s="38"/>
    </row>
    <row r="336" spans="1:17" x14ac:dyDescent="0.25">
      <c r="A336" s="5"/>
      <c r="B336" s="13"/>
      <c r="C336" s="13"/>
      <c r="D336" s="13"/>
      <c r="E336" s="9"/>
      <c r="F336" s="32"/>
      <c r="G336" s="32"/>
      <c r="H336" s="32"/>
      <c r="I336" s="32"/>
      <c r="J336" s="29"/>
      <c r="K336" s="29"/>
      <c r="L336" s="29"/>
      <c r="M336" s="29"/>
      <c r="N336" s="29"/>
      <c r="O336" s="29"/>
      <c r="P336" s="29"/>
      <c r="Q336" s="38"/>
    </row>
    <row r="337" spans="1:17" x14ac:dyDescent="0.25">
      <c r="A337" s="5"/>
      <c r="B337" s="13"/>
      <c r="C337" s="13"/>
      <c r="D337" s="13"/>
      <c r="E337" s="9"/>
      <c r="F337" s="32"/>
      <c r="G337" s="32"/>
      <c r="H337" s="32"/>
      <c r="I337" s="32"/>
      <c r="J337" s="29"/>
      <c r="K337" s="29"/>
      <c r="L337" s="29"/>
      <c r="M337" s="29"/>
      <c r="N337" s="29"/>
      <c r="O337" s="29"/>
      <c r="P337" s="29"/>
      <c r="Q337" s="38"/>
    </row>
    <row r="338" spans="1:17" x14ac:dyDescent="0.25">
      <c r="A338" s="5"/>
      <c r="B338" s="13"/>
      <c r="C338" s="13"/>
      <c r="D338" s="13"/>
      <c r="E338" s="9"/>
      <c r="F338" s="32"/>
      <c r="G338" s="32"/>
      <c r="H338" s="32"/>
      <c r="I338" s="32"/>
      <c r="J338" s="29"/>
      <c r="K338" s="29"/>
      <c r="L338" s="29"/>
      <c r="M338" s="29"/>
      <c r="N338" s="29"/>
      <c r="O338" s="29"/>
      <c r="P338" s="29"/>
      <c r="Q338" s="38"/>
    </row>
    <row r="339" spans="1:17" x14ac:dyDescent="0.25">
      <c r="A339" s="5"/>
      <c r="B339" s="13"/>
      <c r="C339" s="13"/>
      <c r="D339" s="13"/>
      <c r="E339" s="9"/>
      <c r="F339" s="32"/>
      <c r="G339" s="32"/>
      <c r="H339" s="32"/>
      <c r="I339" s="32"/>
      <c r="J339" s="29"/>
      <c r="K339" s="29"/>
      <c r="L339" s="29"/>
      <c r="M339" s="29"/>
      <c r="N339" s="29"/>
      <c r="O339" s="29"/>
      <c r="P339" s="29"/>
      <c r="Q339" s="38"/>
    </row>
    <row r="340" spans="1:17" x14ac:dyDescent="0.25">
      <c r="A340" s="5"/>
      <c r="B340" s="13"/>
      <c r="C340" s="13"/>
      <c r="D340" s="13"/>
      <c r="E340" s="9"/>
      <c r="F340" s="32"/>
      <c r="G340" s="32"/>
      <c r="H340" s="32"/>
      <c r="I340" s="32"/>
      <c r="J340" s="29"/>
      <c r="K340" s="29"/>
      <c r="L340" s="29"/>
      <c r="M340" s="29"/>
      <c r="N340" s="29"/>
      <c r="O340" s="29"/>
      <c r="P340" s="29"/>
      <c r="Q340" s="38"/>
    </row>
    <row r="341" spans="1:17" x14ac:dyDescent="0.25">
      <c r="A341" s="5"/>
      <c r="B341" s="13"/>
      <c r="C341" s="13"/>
      <c r="D341" s="13"/>
      <c r="E341" s="9"/>
      <c r="F341" s="32"/>
      <c r="G341" s="32"/>
      <c r="H341" s="32"/>
      <c r="I341" s="32"/>
      <c r="J341" s="29"/>
      <c r="K341" s="29"/>
      <c r="L341" s="29"/>
      <c r="M341" s="29"/>
      <c r="N341" s="29"/>
      <c r="O341" s="29"/>
      <c r="P341" s="29"/>
      <c r="Q341" s="38"/>
    </row>
    <row r="342" spans="1:17" x14ac:dyDescent="0.25">
      <c r="A342" s="5"/>
      <c r="B342" s="13"/>
      <c r="C342" s="13"/>
      <c r="D342" s="13"/>
      <c r="E342" s="9"/>
      <c r="F342" s="32"/>
      <c r="G342" s="32"/>
      <c r="H342" s="32"/>
      <c r="I342" s="32"/>
      <c r="J342" s="29"/>
      <c r="K342" s="29"/>
      <c r="L342" s="29"/>
      <c r="M342" s="29"/>
      <c r="N342" s="29"/>
      <c r="O342" s="29"/>
      <c r="P342" s="29"/>
      <c r="Q342" s="38"/>
    </row>
    <row r="343" spans="1:17" x14ac:dyDescent="0.25">
      <c r="A343" s="5"/>
      <c r="B343" s="13"/>
      <c r="C343" s="13"/>
      <c r="D343" s="13"/>
      <c r="E343" s="9"/>
      <c r="F343" s="32"/>
      <c r="G343" s="32"/>
      <c r="H343" s="32"/>
      <c r="I343" s="32"/>
      <c r="J343" s="29"/>
      <c r="K343" s="29"/>
      <c r="L343" s="29"/>
      <c r="M343" s="29"/>
      <c r="N343" s="29"/>
      <c r="O343" s="29"/>
      <c r="P343" s="29"/>
      <c r="Q343" s="38"/>
    </row>
    <row r="344" spans="1:17" x14ac:dyDescent="0.25">
      <c r="A344" s="5"/>
      <c r="B344" s="13"/>
      <c r="C344" s="13"/>
      <c r="D344" s="13"/>
      <c r="E344" s="9"/>
      <c r="F344" s="32"/>
      <c r="G344" s="32"/>
      <c r="H344" s="32"/>
      <c r="I344" s="32"/>
      <c r="J344" s="29"/>
      <c r="K344" s="29"/>
      <c r="L344" s="29"/>
      <c r="M344" s="29"/>
      <c r="N344" s="29"/>
      <c r="O344" s="29"/>
      <c r="P344" s="29"/>
      <c r="Q344" s="38"/>
    </row>
    <row r="345" spans="1:17" x14ac:dyDescent="0.25">
      <c r="A345" s="5"/>
      <c r="B345" s="13"/>
      <c r="C345" s="13"/>
      <c r="D345" s="13"/>
      <c r="E345" s="9"/>
      <c r="F345" s="32"/>
      <c r="G345" s="32"/>
      <c r="H345" s="32"/>
      <c r="I345" s="32"/>
      <c r="J345" s="29"/>
      <c r="K345" s="29"/>
      <c r="L345" s="29"/>
      <c r="M345" s="29"/>
      <c r="N345" s="29"/>
      <c r="O345" s="29"/>
      <c r="P345" s="29"/>
      <c r="Q345" s="38"/>
    </row>
    <row r="346" spans="1:17" x14ac:dyDescent="0.25">
      <c r="A346" s="5"/>
      <c r="B346" s="13"/>
      <c r="C346" s="13"/>
      <c r="D346" s="13"/>
      <c r="E346" s="9"/>
      <c r="F346" s="32"/>
      <c r="G346" s="32"/>
      <c r="H346" s="32"/>
      <c r="I346" s="32"/>
      <c r="J346" s="29"/>
      <c r="K346" s="29"/>
      <c r="L346" s="29"/>
      <c r="M346" s="29"/>
      <c r="N346" s="29"/>
      <c r="O346" s="29"/>
      <c r="P346" s="29"/>
      <c r="Q346" s="38"/>
    </row>
    <row r="347" spans="1:17" x14ac:dyDescent="0.25">
      <c r="A347" s="5"/>
      <c r="B347" s="13"/>
      <c r="C347" s="13"/>
      <c r="D347" s="13"/>
      <c r="E347" s="9"/>
      <c r="F347" s="32"/>
      <c r="G347" s="32"/>
      <c r="H347" s="32"/>
      <c r="I347" s="32"/>
      <c r="J347" s="29"/>
      <c r="K347" s="29"/>
      <c r="L347" s="29"/>
      <c r="M347" s="29"/>
      <c r="N347" s="29"/>
      <c r="O347" s="29"/>
      <c r="P347" s="29"/>
      <c r="Q347" s="38"/>
    </row>
    <row r="348" spans="1:17" x14ac:dyDescent="0.25">
      <c r="A348" s="5"/>
      <c r="B348" s="13"/>
      <c r="C348" s="13"/>
      <c r="D348" s="13"/>
      <c r="E348" s="9"/>
      <c r="F348" s="32"/>
      <c r="G348" s="32"/>
      <c r="H348" s="32"/>
      <c r="I348" s="32"/>
      <c r="J348" s="29"/>
      <c r="K348" s="29"/>
      <c r="L348" s="29"/>
      <c r="M348" s="29"/>
      <c r="N348" s="29"/>
      <c r="O348" s="29"/>
      <c r="P348" s="29"/>
      <c r="Q348" s="38"/>
    </row>
    <row r="349" spans="1:17" x14ac:dyDescent="0.25">
      <c r="A349" s="5"/>
      <c r="B349" s="13"/>
      <c r="C349" s="13"/>
      <c r="D349" s="13"/>
      <c r="E349" s="9"/>
      <c r="F349" s="32"/>
      <c r="G349" s="32"/>
      <c r="H349" s="32"/>
      <c r="I349" s="32"/>
      <c r="J349" s="29"/>
      <c r="K349" s="29"/>
      <c r="L349" s="29"/>
      <c r="M349" s="29"/>
      <c r="N349" s="29"/>
      <c r="O349" s="29"/>
      <c r="P349" s="29"/>
      <c r="Q349" s="38"/>
    </row>
    <row r="350" spans="1:17" x14ac:dyDescent="0.25">
      <c r="A350" s="5"/>
      <c r="B350" s="13"/>
      <c r="C350" s="13"/>
      <c r="D350" s="13"/>
      <c r="E350" s="9"/>
      <c r="F350" s="32"/>
      <c r="G350" s="32"/>
      <c r="H350" s="32"/>
      <c r="I350" s="32"/>
      <c r="J350" s="29"/>
      <c r="K350" s="29"/>
      <c r="L350" s="29"/>
      <c r="M350" s="29"/>
      <c r="N350" s="29"/>
      <c r="O350" s="29"/>
      <c r="P350" s="29"/>
      <c r="Q350" s="38"/>
    </row>
    <row r="351" spans="1:17" x14ac:dyDescent="0.25">
      <c r="A351" s="5"/>
      <c r="B351" s="13"/>
      <c r="C351" s="13"/>
      <c r="D351" s="13"/>
      <c r="E351" s="9"/>
      <c r="F351" s="32"/>
      <c r="G351" s="32"/>
      <c r="H351" s="32"/>
      <c r="I351" s="32"/>
      <c r="J351" s="29"/>
      <c r="K351" s="29"/>
      <c r="L351" s="29"/>
      <c r="M351" s="29"/>
      <c r="N351" s="29"/>
      <c r="O351" s="29"/>
      <c r="P351" s="29"/>
      <c r="Q351" s="38"/>
    </row>
    <row r="352" spans="1:17" x14ac:dyDescent="0.25">
      <c r="A352" s="5"/>
      <c r="B352" s="13"/>
      <c r="C352" s="13"/>
      <c r="D352" s="13"/>
      <c r="E352" s="9"/>
      <c r="F352" s="32"/>
      <c r="G352" s="32"/>
      <c r="H352" s="32"/>
      <c r="I352" s="32"/>
      <c r="J352" s="29"/>
      <c r="K352" s="29"/>
      <c r="L352" s="29"/>
      <c r="M352" s="29"/>
      <c r="N352" s="29"/>
      <c r="O352" s="29"/>
      <c r="P352" s="29"/>
      <c r="Q352" s="38"/>
    </row>
    <row r="353" spans="1:17" x14ac:dyDescent="0.25">
      <c r="A353" s="5"/>
      <c r="B353" s="13"/>
      <c r="C353" s="13"/>
      <c r="D353" s="13"/>
      <c r="E353" s="9"/>
      <c r="F353" s="32"/>
      <c r="G353" s="32"/>
      <c r="H353" s="32"/>
      <c r="I353" s="32"/>
      <c r="J353" s="29"/>
      <c r="K353" s="29"/>
      <c r="L353" s="29"/>
      <c r="M353" s="29"/>
      <c r="N353" s="29"/>
      <c r="O353" s="29"/>
      <c r="P353" s="29"/>
      <c r="Q353" s="38"/>
    </row>
    <row r="354" spans="1:17" x14ac:dyDescent="0.25">
      <c r="A354" s="5"/>
      <c r="B354" s="13"/>
      <c r="C354" s="13"/>
      <c r="D354" s="13"/>
      <c r="E354" s="9"/>
      <c r="F354" s="32"/>
      <c r="G354" s="32"/>
      <c r="H354" s="32"/>
      <c r="I354" s="32"/>
      <c r="J354" s="29"/>
      <c r="K354" s="29"/>
      <c r="L354" s="29"/>
      <c r="M354" s="29"/>
      <c r="N354" s="29"/>
      <c r="O354" s="29"/>
      <c r="P354" s="29"/>
      <c r="Q354" s="38"/>
    </row>
    <row r="355" spans="1:17" x14ac:dyDescent="0.25">
      <c r="A355" s="5"/>
      <c r="B355" s="13"/>
      <c r="C355" s="13"/>
      <c r="D355" s="13"/>
      <c r="E355" s="9"/>
      <c r="F355" s="32"/>
      <c r="G355" s="32"/>
      <c r="H355" s="32"/>
      <c r="I355" s="32"/>
      <c r="J355" s="29"/>
      <c r="K355" s="29"/>
      <c r="L355" s="29"/>
      <c r="M355" s="29"/>
      <c r="N355" s="29"/>
      <c r="O355" s="29"/>
      <c r="P355" s="29"/>
      <c r="Q355" s="38"/>
    </row>
    <row r="356" spans="1:17" x14ac:dyDescent="0.25">
      <c r="A356" s="5"/>
      <c r="B356" s="13"/>
      <c r="C356" s="13"/>
      <c r="D356" s="13"/>
      <c r="E356" s="9"/>
      <c r="F356" s="32"/>
      <c r="G356" s="32"/>
      <c r="H356" s="32"/>
      <c r="I356" s="32"/>
      <c r="J356" s="29"/>
      <c r="K356" s="29"/>
      <c r="L356" s="29"/>
      <c r="M356" s="29"/>
      <c r="N356" s="29"/>
      <c r="O356" s="29"/>
      <c r="P356" s="29"/>
      <c r="Q356" s="38"/>
    </row>
    <row r="357" spans="1:17" x14ac:dyDescent="0.25">
      <c r="A357" s="5"/>
      <c r="B357" s="13"/>
      <c r="C357" s="13"/>
      <c r="D357" s="13"/>
      <c r="E357" s="9"/>
      <c r="F357" s="32"/>
      <c r="G357" s="32"/>
      <c r="H357" s="32"/>
      <c r="I357" s="32"/>
      <c r="J357" s="29"/>
      <c r="K357" s="29"/>
      <c r="L357" s="29"/>
      <c r="M357" s="29"/>
      <c r="N357" s="29"/>
      <c r="O357" s="29"/>
      <c r="P357" s="29"/>
      <c r="Q357" s="38"/>
    </row>
    <row r="358" spans="1:17" x14ac:dyDescent="0.25">
      <c r="A358" s="5"/>
      <c r="B358" s="13"/>
      <c r="C358" s="13"/>
      <c r="D358" s="13"/>
      <c r="E358" s="9"/>
      <c r="F358" s="32"/>
      <c r="G358" s="32"/>
      <c r="H358" s="32"/>
      <c r="I358" s="32"/>
      <c r="J358" s="29"/>
      <c r="K358" s="29"/>
      <c r="L358" s="29"/>
      <c r="M358" s="29"/>
      <c r="N358" s="29"/>
      <c r="O358" s="29"/>
      <c r="P358" s="29"/>
      <c r="Q358" s="38"/>
    </row>
    <row r="359" spans="1:17" x14ac:dyDescent="0.25">
      <c r="A359" s="5"/>
      <c r="B359" s="13"/>
      <c r="C359" s="13"/>
      <c r="D359" s="13"/>
      <c r="E359" s="9"/>
      <c r="F359" s="32"/>
      <c r="G359" s="32"/>
      <c r="H359" s="32"/>
      <c r="I359" s="32"/>
      <c r="J359" s="29"/>
      <c r="K359" s="29"/>
      <c r="L359" s="29"/>
      <c r="M359" s="29"/>
      <c r="N359" s="29"/>
      <c r="O359" s="29"/>
      <c r="P359" s="29"/>
      <c r="Q359" s="38"/>
    </row>
    <row r="360" spans="1:17" x14ac:dyDescent="0.25">
      <c r="A360" s="5"/>
      <c r="B360" s="13"/>
      <c r="C360" s="13"/>
      <c r="D360" s="13"/>
      <c r="E360" s="9"/>
      <c r="F360" s="32"/>
      <c r="G360" s="32"/>
      <c r="H360" s="32"/>
      <c r="I360" s="32"/>
      <c r="J360" s="29"/>
      <c r="K360" s="29"/>
      <c r="L360" s="29"/>
      <c r="M360" s="29"/>
      <c r="N360" s="29"/>
      <c r="O360" s="29"/>
      <c r="P360" s="29"/>
      <c r="Q360" s="38"/>
    </row>
    <row r="361" spans="1:17" x14ac:dyDescent="0.25">
      <c r="A361" s="5"/>
      <c r="B361" s="13"/>
      <c r="C361" s="13"/>
      <c r="D361" s="13"/>
      <c r="E361" s="9"/>
      <c r="F361" s="32"/>
      <c r="G361" s="32"/>
      <c r="H361" s="32"/>
      <c r="I361" s="32"/>
      <c r="J361" s="29"/>
      <c r="K361" s="29"/>
      <c r="L361" s="29"/>
      <c r="M361" s="29"/>
      <c r="N361" s="29"/>
      <c r="O361" s="29"/>
      <c r="P361" s="29"/>
      <c r="Q361" s="38"/>
    </row>
    <row r="362" spans="1:17" x14ac:dyDescent="0.25">
      <c r="A362" s="5"/>
      <c r="B362" s="13"/>
      <c r="C362" s="13"/>
      <c r="D362" s="13"/>
      <c r="E362" s="9"/>
      <c r="F362" s="32"/>
      <c r="G362" s="32"/>
      <c r="H362" s="32"/>
      <c r="I362" s="32"/>
      <c r="J362" s="29"/>
      <c r="K362" s="29"/>
      <c r="L362" s="29"/>
      <c r="M362" s="29"/>
      <c r="N362" s="29"/>
      <c r="O362" s="29"/>
      <c r="P362" s="29"/>
      <c r="Q362" s="38"/>
    </row>
    <row r="363" spans="1:17" x14ac:dyDescent="0.25">
      <c r="A363" s="5"/>
      <c r="B363" s="13"/>
      <c r="C363" s="13"/>
      <c r="D363" s="13"/>
      <c r="E363" s="9"/>
      <c r="F363" s="32"/>
      <c r="G363" s="32"/>
      <c r="H363" s="32"/>
      <c r="I363" s="32"/>
      <c r="J363" s="29"/>
      <c r="K363" s="29"/>
      <c r="L363" s="29"/>
      <c r="M363" s="29"/>
      <c r="N363" s="29"/>
      <c r="O363" s="29"/>
      <c r="P363" s="29"/>
      <c r="Q363" s="38"/>
    </row>
    <row r="364" spans="1:17" x14ac:dyDescent="0.25">
      <c r="A364" s="5"/>
      <c r="B364" s="13"/>
      <c r="C364" s="13"/>
      <c r="D364" s="13"/>
      <c r="E364" s="9"/>
      <c r="F364" s="32"/>
      <c r="G364" s="32"/>
      <c r="H364" s="32"/>
      <c r="I364" s="32"/>
      <c r="J364" s="29"/>
      <c r="K364" s="29"/>
      <c r="L364" s="29"/>
      <c r="M364" s="29"/>
      <c r="N364" s="29"/>
      <c r="O364" s="29"/>
      <c r="P364" s="29"/>
      <c r="Q364" s="38"/>
    </row>
    <row r="365" spans="1:17" x14ac:dyDescent="0.25">
      <c r="A365" s="5"/>
      <c r="B365" s="13"/>
      <c r="C365" s="13"/>
      <c r="D365" s="13"/>
      <c r="E365" s="9"/>
      <c r="F365" s="32"/>
      <c r="G365" s="32"/>
      <c r="H365" s="32"/>
      <c r="I365" s="32"/>
      <c r="J365" s="29"/>
      <c r="K365" s="29"/>
      <c r="L365" s="29"/>
      <c r="M365" s="29"/>
      <c r="N365" s="29"/>
      <c r="O365" s="29"/>
      <c r="P365" s="29"/>
      <c r="Q365" s="38"/>
    </row>
    <row r="366" spans="1:17" x14ac:dyDescent="0.25">
      <c r="A366" s="5"/>
      <c r="B366" s="13"/>
      <c r="C366" s="13"/>
      <c r="D366" s="13"/>
      <c r="E366" s="9"/>
      <c r="F366" s="32"/>
      <c r="G366" s="32"/>
      <c r="H366" s="32"/>
      <c r="I366" s="32"/>
      <c r="J366" s="29"/>
      <c r="K366" s="29"/>
      <c r="L366" s="29"/>
      <c r="M366" s="29"/>
      <c r="N366" s="29"/>
      <c r="O366" s="29"/>
      <c r="P366" s="29"/>
      <c r="Q366" s="38"/>
    </row>
    <row r="367" spans="1:17" x14ac:dyDescent="0.25">
      <c r="A367" s="5"/>
      <c r="B367" s="13"/>
      <c r="C367" s="13"/>
      <c r="D367" s="13"/>
      <c r="E367" s="9"/>
      <c r="F367" s="32"/>
      <c r="G367" s="32"/>
      <c r="H367" s="32"/>
      <c r="I367" s="32"/>
      <c r="J367" s="29"/>
      <c r="K367" s="29"/>
      <c r="L367" s="29"/>
      <c r="M367" s="29"/>
      <c r="N367" s="29"/>
      <c r="O367" s="29"/>
      <c r="P367" s="29"/>
      <c r="Q367" s="38"/>
    </row>
    <row r="368" spans="1:17" x14ac:dyDescent="0.25">
      <c r="A368" s="5"/>
      <c r="B368" s="13"/>
      <c r="C368" s="13"/>
      <c r="D368" s="13"/>
      <c r="E368" s="9"/>
      <c r="F368" s="32"/>
      <c r="G368" s="32"/>
      <c r="H368" s="32"/>
      <c r="I368" s="32"/>
      <c r="J368" s="29"/>
      <c r="K368" s="29"/>
      <c r="L368" s="29"/>
      <c r="M368" s="29"/>
      <c r="N368" s="29"/>
      <c r="O368" s="29"/>
      <c r="P368" s="29"/>
      <c r="Q368" s="38"/>
    </row>
    <row r="369" spans="1:17" x14ac:dyDescent="0.25">
      <c r="A369" s="5"/>
      <c r="B369" s="13"/>
      <c r="C369" s="13"/>
      <c r="D369" s="13"/>
      <c r="E369" s="9"/>
      <c r="F369" s="32"/>
      <c r="G369" s="32"/>
      <c r="H369" s="32"/>
      <c r="I369" s="32"/>
      <c r="J369" s="29"/>
      <c r="K369" s="29"/>
      <c r="L369" s="29"/>
      <c r="M369" s="29"/>
      <c r="N369" s="29"/>
      <c r="O369" s="29"/>
      <c r="P369" s="29"/>
      <c r="Q369" s="38"/>
    </row>
    <row r="370" spans="1:17" x14ac:dyDescent="0.25">
      <c r="A370" s="5"/>
      <c r="B370" s="13"/>
      <c r="C370" s="13"/>
      <c r="D370" s="13"/>
      <c r="E370" s="9"/>
      <c r="F370" s="32"/>
      <c r="G370" s="32"/>
      <c r="H370" s="32"/>
      <c r="I370" s="32"/>
      <c r="J370" s="29"/>
      <c r="K370" s="29"/>
      <c r="L370" s="29"/>
      <c r="M370" s="29"/>
      <c r="N370" s="29"/>
      <c r="O370" s="29"/>
      <c r="P370" s="29"/>
      <c r="Q370" s="38"/>
    </row>
    <row r="371" spans="1:17" x14ac:dyDescent="0.25">
      <c r="A371" s="5"/>
      <c r="B371" s="13"/>
      <c r="C371" s="13"/>
      <c r="D371" s="13"/>
      <c r="E371" s="9"/>
      <c r="F371" s="32"/>
      <c r="G371" s="32"/>
      <c r="H371" s="32"/>
      <c r="I371" s="32"/>
      <c r="J371" s="29"/>
      <c r="K371" s="29"/>
      <c r="L371" s="29"/>
      <c r="M371" s="29"/>
      <c r="N371" s="29"/>
      <c r="O371" s="29"/>
      <c r="P371" s="29"/>
      <c r="Q371" s="38"/>
    </row>
    <row r="372" spans="1:17" x14ac:dyDescent="0.25">
      <c r="A372" s="5"/>
      <c r="B372" s="13"/>
      <c r="C372" s="13"/>
      <c r="D372" s="13"/>
      <c r="E372" s="9"/>
      <c r="F372" s="32"/>
      <c r="G372" s="32"/>
      <c r="H372" s="32"/>
      <c r="I372" s="32"/>
      <c r="J372" s="29"/>
      <c r="K372" s="29"/>
      <c r="L372" s="29"/>
      <c r="M372" s="29"/>
      <c r="N372" s="29"/>
      <c r="O372" s="29"/>
      <c r="P372" s="29"/>
      <c r="Q372" s="38"/>
    </row>
    <row r="373" spans="1:17" x14ac:dyDescent="0.25">
      <c r="A373" s="5"/>
      <c r="B373" s="13"/>
      <c r="C373" s="13"/>
      <c r="D373" s="13"/>
      <c r="E373" s="9"/>
      <c r="F373" s="32"/>
      <c r="G373" s="32"/>
      <c r="H373" s="32"/>
      <c r="I373" s="32"/>
      <c r="J373" s="29"/>
      <c r="K373" s="29"/>
      <c r="L373" s="29"/>
      <c r="M373" s="29"/>
      <c r="N373" s="29"/>
      <c r="O373" s="29"/>
      <c r="P373" s="29"/>
      <c r="Q373" s="38"/>
    </row>
    <row r="374" spans="1:17" x14ac:dyDescent="0.25">
      <c r="A374" s="5"/>
      <c r="B374" s="13"/>
      <c r="C374" s="13"/>
      <c r="D374" s="13"/>
      <c r="E374" s="9"/>
      <c r="F374" s="32"/>
      <c r="G374" s="32"/>
      <c r="H374" s="32"/>
      <c r="I374" s="32"/>
      <c r="J374" s="29"/>
      <c r="K374" s="29"/>
      <c r="L374" s="29"/>
      <c r="M374" s="29"/>
      <c r="N374" s="29"/>
      <c r="O374" s="29"/>
      <c r="P374" s="29"/>
      <c r="Q374" s="38"/>
    </row>
    <row r="375" spans="1:17" x14ac:dyDescent="0.25">
      <c r="A375" s="5"/>
      <c r="B375" s="13"/>
      <c r="C375" s="13"/>
      <c r="D375" s="13"/>
      <c r="E375" s="9"/>
      <c r="F375" s="32"/>
      <c r="G375" s="32"/>
      <c r="H375" s="32"/>
      <c r="I375" s="32"/>
      <c r="J375" s="29"/>
      <c r="K375" s="29"/>
      <c r="L375" s="29"/>
      <c r="M375" s="29"/>
      <c r="N375" s="29"/>
      <c r="O375" s="29"/>
      <c r="P375" s="29"/>
      <c r="Q375" s="38"/>
    </row>
    <row r="376" spans="1:17" x14ac:dyDescent="0.25">
      <c r="A376" s="5"/>
      <c r="B376" s="13"/>
      <c r="C376" s="13"/>
      <c r="D376" s="13"/>
      <c r="E376" s="9"/>
      <c r="F376" s="32"/>
      <c r="G376" s="32"/>
      <c r="H376" s="32"/>
      <c r="I376" s="32"/>
      <c r="J376" s="29"/>
      <c r="K376" s="29"/>
      <c r="L376" s="29"/>
      <c r="M376" s="29"/>
      <c r="N376" s="29"/>
      <c r="O376" s="29"/>
      <c r="P376" s="29"/>
      <c r="Q376" s="38"/>
    </row>
    <row r="377" spans="1:17" x14ac:dyDescent="0.25">
      <c r="A377" s="5"/>
      <c r="B377" s="13"/>
      <c r="C377" s="13"/>
      <c r="D377" s="13"/>
      <c r="E377" s="9"/>
      <c r="F377" s="32"/>
      <c r="G377" s="32"/>
      <c r="H377" s="32"/>
      <c r="I377" s="32"/>
      <c r="J377" s="29"/>
      <c r="K377" s="29"/>
      <c r="L377" s="29"/>
      <c r="M377" s="29"/>
      <c r="N377" s="29"/>
      <c r="O377" s="29"/>
      <c r="P377" s="29"/>
      <c r="Q377" s="38"/>
    </row>
    <row r="378" spans="1:17" x14ac:dyDescent="0.25">
      <c r="A378" s="5"/>
      <c r="B378" s="13"/>
      <c r="C378" s="13"/>
      <c r="D378" s="13"/>
      <c r="E378" s="9"/>
      <c r="F378" s="32"/>
      <c r="G378" s="32"/>
      <c r="H378" s="32"/>
      <c r="I378" s="32"/>
      <c r="J378" s="29"/>
      <c r="K378" s="29"/>
      <c r="L378" s="29"/>
      <c r="M378" s="29"/>
      <c r="N378" s="29"/>
      <c r="O378" s="29"/>
      <c r="P378" s="29"/>
      <c r="Q378" s="38"/>
    </row>
    <row r="379" spans="1:17" x14ac:dyDescent="0.25">
      <c r="A379" s="5"/>
      <c r="B379" s="13"/>
      <c r="C379" s="13"/>
      <c r="D379" s="13"/>
      <c r="E379" s="9"/>
      <c r="F379" s="32"/>
      <c r="G379" s="32"/>
      <c r="H379" s="32"/>
      <c r="I379" s="32"/>
      <c r="J379" s="29"/>
      <c r="K379" s="29"/>
      <c r="L379" s="29"/>
      <c r="M379" s="29"/>
      <c r="N379" s="29"/>
      <c r="O379" s="29"/>
      <c r="P379" s="29"/>
      <c r="Q379" s="38"/>
    </row>
    <row r="380" spans="1:17" x14ac:dyDescent="0.25">
      <c r="A380" s="5"/>
      <c r="B380" s="13"/>
      <c r="C380" s="13"/>
      <c r="D380" s="13"/>
      <c r="E380" s="9"/>
      <c r="F380" s="32"/>
      <c r="G380" s="32"/>
      <c r="H380" s="32"/>
      <c r="I380" s="32"/>
      <c r="J380" s="29"/>
      <c r="K380" s="29"/>
      <c r="L380" s="29"/>
      <c r="M380" s="29"/>
      <c r="N380" s="29"/>
      <c r="O380" s="29"/>
      <c r="P380" s="29"/>
      <c r="Q380" s="38"/>
    </row>
    <row r="381" spans="1:17" x14ac:dyDescent="0.25">
      <c r="A381" s="5"/>
      <c r="B381" s="13"/>
      <c r="C381" s="13"/>
      <c r="D381" s="13"/>
      <c r="E381" s="9"/>
      <c r="F381" s="32"/>
      <c r="G381" s="32"/>
      <c r="H381" s="32"/>
      <c r="I381" s="32"/>
      <c r="J381" s="29"/>
      <c r="K381" s="29"/>
      <c r="L381" s="29"/>
      <c r="M381" s="29"/>
      <c r="N381" s="29"/>
      <c r="O381" s="29"/>
      <c r="P381" s="29"/>
      <c r="Q381" s="38"/>
    </row>
    <row r="382" spans="1:17" x14ac:dyDescent="0.25">
      <c r="A382" s="5"/>
      <c r="B382" s="13"/>
      <c r="C382" s="13"/>
      <c r="D382" s="13"/>
      <c r="E382" s="9"/>
      <c r="F382" s="32"/>
      <c r="G382" s="32"/>
      <c r="H382" s="32"/>
      <c r="I382" s="32"/>
      <c r="J382" s="29"/>
      <c r="K382" s="29"/>
      <c r="L382" s="29"/>
      <c r="M382" s="29"/>
      <c r="N382" s="29"/>
      <c r="O382" s="29"/>
      <c r="P382" s="29"/>
      <c r="Q382" s="38"/>
    </row>
    <row r="383" spans="1:17" x14ac:dyDescent="0.25">
      <c r="A383" s="5"/>
      <c r="B383" s="13"/>
      <c r="C383" s="13"/>
      <c r="D383" s="13"/>
      <c r="E383" s="9"/>
      <c r="F383" s="32"/>
      <c r="G383" s="32"/>
      <c r="H383" s="32"/>
      <c r="I383" s="32"/>
      <c r="J383" s="29"/>
      <c r="K383" s="29"/>
      <c r="L383" s="29"/>
      <c r="M383" s="29"/>
      <c r="N383" s="29"/>
      <c r="O383" s="29"/>
      <c r="P383" s="29"/>
      <c r="Q383" s="38"/>
    </row>
    <row r="384" spans="1:17" x14ac:dyDescent="0.25">
      <c r="A384" s="5"/>
      <c r="B384" s="13"/>
      <c r="C384" s="13"/>
      <c r="D384" s="13"/>
      <c r="E384" s="9"/>
      <c r="F384" s="32"/>
      <c r="G384" s="32"/>
      <c r="H384" s="32"/>
      <c r="I384" s="32"/>
      <c r="J384" s="29"/>
      <c r="K384" s="29"/>
      <c r="L384" s="29"/>
      <c r="M384" s="29"/>
      <c r="N384" s="29"/>
      <c r="O384" s="29"/>
      <c r="P384" s="29"/>
      <c r="Q384" s="38"/>
    </row>
    <row r="385" spans="1:17" x14ac:dyDescent="0.25">
      <c r="A385" s="5"/>
      <c r="B385" s="13"/>
      <c r="C385" s="13"/>
      <c r="D385" s="13"/>
      <c r="E385" s="9"/>
      <c r="F385" s="32"/>
      <c r="G385" s="32"/>
      <c r="H385" s="32"/>
      <c r="I385" s="32"/>
      <c r="J385" s="29"/>
      <c r="K385" s="29"/>
      <c r="L385" s="29"/>
      <c r="M385" s="29"/>
      <c r="N385" s="29"/>
      <c r="O385" s="29"/>
      <c r="P385" s="29"/>
      <c r="Q385" s="38"/>
    </row>
    <row r="386" spans="1:17" x14ac:dyDescent="0.25">
      <c r="A386" s="5"/>
      <c r="B386" s="13"/>
      <c r="C386" s="13"/>
      <c r="D386" s="13"/>
      <c r="E386" s="9"/>
      <c r="F386" s="32"/>
      <c r="G386" s="32"/>
      <c r="H386" s="32"/>
      <c r="I386" s="32"/>
      <c r="J386" s="29"/>
      <c r="K386" s="29"/>
      <c r="L386" s="29"/>
      <c r="M386" s="29"/>
      <c r="N386" s="29"/>
      <c r="O386" s="29"/>
      <c r="P386" s="29"/>
      <c r="Q386" s="38"/>
    </row>
    <row r="387" spans="1:17" x14ac:dyDescent="0.25">
      <c r="A387" s="5"/>
      <c r="B387" s="13"/>
      <c r="C387" s="13"/>
      <c r="D387" s="13"/>
      <c r="E387" s="9"/>
      <c r="F387" s="32"/>
      <c r="G387" s="32"/>
      <c r="H387" s="32"/>
      <c r="I387" s="32"/>
      <c r="J387" s="29"/>
      <c r="K387" s="29"/>
      <c r="L387" s="29"/>
      <c r="M387" s="29"/>
      <c r="N387" s="29"/>
      <c r="O387" s="29"/>
      <c r="P387" s="29"/>
      <c r="Q387" s="38"/>
    </row>
    <row r="388" spans="1:17" x14ac:dyDescent="0.25">
      <c r="A388" s="5"/>
      <c r="B388" s="13"/>
      <c r="C388" s="13"/>
      <c r="D388" s="13"/>
      <c r="E388" s="9"/>
      <c r="F388" s="32"/>
      <c r="G388" s="32"/>
      <c r="H388" s="32"/>
      <c r="I388" s="32"/>
      <c r="J388" s="29"/>
      <c r="K388" s="29"/>
      <c r="L388" s="29"/>
      <c r="M388" s="29"/>
      <c r="N388" s="29"/>
      <c r="O388" s="29"/>
      <c r="P388" s="29"/>
      <c r="Q388" s="38"/>
    </row>
    <row r="389" spans="1:17" x14ac:dyDescent="0.25">
      <c r="A389" s="5"/>
      <c r="B389" s="13"/>
      <c r="C389" s="13"/>
      <c r="D389" s="13"/>
      <c r="E389" s="9"/>
      <c r="F389" s="32"/>
      <c r="G389" s="32"/>
      <c r="H389" s="32"/>
      <c r="I389" s="32"/>
      <c r="J389" s="29"/>
      <c r="K389" s="29"/>
      <c r="L389" s="29"/>
      <c r="M389" s="29"/>
      <c r="N389" s="29"/>
      <c r="O389" s="29"/>
      <c r="P389" s="29"/>
      <c r="Q389" s="38"/>
    </row>
    <row r="390" spans="1:17" x14ac:dyDescent="0.25">
      <c r="A390" s="5"/>
      <c r="B390" s="13"/>
      <c r="C390" s="13"/>
      <c r="D390" s="13"/>
      <c r="E390" s="9"/>
      <c r="F390" s="32"/>
      <c r="G390" s="32"/>
      <c r="H390" s="32"/>
      <c r="I390" s="32"/>
      <c r="J390" s="29"/>
      <c r="K390" s="29"/>
      <c r="L390" s="29"/>
      <c r="M390" s="29"/>
      <c r="N390" s="29"/>
      <c r="O390" s="29"/>
      <c r="P390" s="29"/>
      <c r="Q390" s="38"/>
    </row>
    <row r="391" spans="1:17" x14ac:dyDescent="0.25">
      <c r="A391" s="5"/>
      <c r="B391" s="13"/>
      <c r="C391" s="13"/>
      <c r="D391" s="13"/>
      <c r="E391" s="9"/>
      <c r="F391" s="32"/>
      <c r="G391" s="32"/>
      <c r="H391" s="32"/>
      <c r="I391" s="32"/>
      <c r="J391" s="29"/>
      <c r="K391" s="29"/>
      <c r="L391" s="29"/>
      <c r="M391" s="29"/>
      <c r="N391" s="29"/>
      <c r="O391" s="29"/>
      <c r="P391" s="29"/>
      <c r="Q391" s="38"/>
    </row>
    <row r="392" spans="1:17" x14ac:dyDescent="0.25">
      <c r="A392" s="5"/>
      <c r="B392" s="13"/>
      <c r="C392" s="13"/>
      <c r="D392" s="13"/>
      <c r="E392" s="9"/>
      <c r="F392" s="32"/>
      <c r="G392" s="32"/>
      <c r="H392" s="32"/>
      <c r="I392" s="32"/>
      <c r="J392" s="29"/>
      <c r="K392" s="29"/>
      <c r="L392" s="29"/>
      <c r="M392" s="29"/>
      <c r="N392" s="29"/>
      <c r="O392" s="29"/>
      <c r="P392" s="29"/>
      <c r="Q392" s="38"/>
    </row>
    <row r="393" spans="1:17" x14ac:dyDescent="0.25">
      <c r="A393" s="5"/>
      <c r="B393" s="13"/>
      <c r="C393" s="13"/>
      <c r="D393" s="13"/>
      <c r="E393" s="9"/>
      <c r="F393" s="32"/>
      <c r="G393" s="32"/>
      <c r="H393" s="32"/>
      <c r="I393" s="32"/>
      <c r="J393" s="29"/>
      <c r="K393" s="29"/>
      <c r="L393" s="29"/>
      <c r="M393" s="29"/>
      <c r="N393" s="29"/>
      <c r="O393" s="29"/>
      <c r="P393" s="29"/>
      <c r="Q393" s="38"/>
    </row>
    <row r="394" spans="1:17" x14ac:dyDescent="0.25">
      <c r="A394" s="5"/>
      <c r="B394" s="13"/>
      <c r="C394" s="13"/>
      <c r="D394" s="13"/>
      <c r="E394" s="9"/>
      <c r="F394" s="32"/>
      <c r="G394" s="32"/>
      <c r="H394" s="32"/>
      <c r="I394" s="32"/>
      <c r="J394" s="29"/>
      <c r="K394" s="29"/>
      <c r="L394" s="29"/>
      <c r="M394" s="29"/>
      <c r="N394" s="29"/>
      <c r="O394" s="29"/>
      <c r="P394" s="29"/>
      <c r="Q394" s="38"/>
    </row>
    <row r="395" spans="1:17" x14ac:dyDescent="0.25">
      <c r="A395" s="5"/>
      <c r="B395" s="13"/>
      <c r="C395" s="13"/>
      <c r="D395" s="13"/>
      <c r="E395" s="9"/>
      <c r="F395" s="32"/>
      <c r="G395" s="32"/>
      <c r="H395" s="32"/>
      <c r="I395" s="32"/>
      <c r="J395" s="29"/>
      <c r="K395" s="29"/>
      <c r="L395" s="29"/>
      <c r="M395" s="29"/>
      <c r="N395" s="29"/>
      <c r="O395" s="29"/>
      <c r="P395" s="29"/>
      <c r="Q395" s="38"/>
    </row>
    <row r="396" spans="1:17" x14ac:dyDescent="0.25">
      <c r="A396" s="5"/>
      <c r="B396" s="13"/>
      <c r="C396" s="13"/>
      <c r="D396" s="13"/>
      <c r="E396" s="9"/>
      <c r="F396" s="32"/>
      <c r="G396" s="32"/>
      <c r="H396" s="32"/>
      <c r="I396" s="32"/>
      <c r="J396" s="29"/>
      <c r="K396" s="29"/>
      <c r="L396" s="29"/>
      <c r="M396" s="29"/>
      <c r="N396" s="29"/>
      <c r="O396" s="29"/>
      <c r="P396" s="29"/>
      <c r="Q396" s="38"/>
    </row>
    <row r="397" spans="1:17" x14ac:dyDescent="0.25">
      <c r="A397" s="5"/>
      <c r="B397" s="13"/>
      <c r="C397" s="13"/>
      <c r="D397" s="13"/>
      <c r="E397" s="9"/>
      <c r="F397" s="32"/>
      <c r="G397" s="32"/>
      <c r="H397" s="32"/>
      <c r="I397" s="32"/>
      <c r="J397" s="29"/>
      <c r="K397" s="29"/>
      <c r="L397" s="29"/>
      <c r="M397" s="29"/>
      <c r="N397" s="29"/>
      <c r="O397" s="29"/>
      <c r="P397" s="29"/>
      <c r="Q397" s="38"/>
    </row>
    <row r="398" spans="1:17" x14ac:dyDescent="0.25">
      <c r="A398" s="5"/>
      <c r="B398" s="13"/>
      <c r="C398" s="13"/>
      <c r="D398" s="13"/>
      <c r="E398" s="9"/>
      <c r="F398" s="32"/>
      <c r="G398" s="32"/>
      <c r="H398" s="32"/>
      <c r="I398" s="32"/>
      <c r="J398" s="29"/>
      <c r="K398" s="29"/>
      <c r="L398" s="29"/>
      <c r="M398" s="29"/>
      <c r="N398" s="29"/>
      <c r="O398" s="29"/>
      <c r="P398" s="29"/>
      <c r="Q398" s="38"/>
    </row>
    <row r="399" spans="1:17" x14ac:dyDescent="0.25">
      <c r="A399" s="5"/>
      <c r="B399" s="13"/>
      <c r="C399" s="13"/>
      <c r="D399" s="13"/>
      <c r="E399" s="9"/>
      <c r="F399" s="32"/>
      <c r="G399" s="32"/>
      <c r="H399" s="32"/>
      <c r="I399" s="32"/>
      <c r="J399" s="29"/>
      <c r="K399" s="29"/>
      <c r="L399" s="29"/>
      <c r="M399" s="29"/>
      <c r="N399" s="29"/>
      <c r="O399" s="29"/>
      <c r="P399" s="29"/>
      <c r="Q399" s="38"/>
    </row>
    <row r="400" spans="1:17" x14ac:dyDescent="0.25">
      <c r="A400" s="5"/>
      <c r="B400" s="13"/>
      <c r="C400" s="13"/>
      <c r="D400" s="13"/>
      <c r="E400" s="9"/>
      <c r="F400" s="32"/>
      <c r="G400" s="32"/>
      <c r="H400" s="32"/>
      <c r="I400" s="32"/>
      <c r="J400" s="29"/>
      <c r="K400" s="29"/>
      <c r="L400" s="29"/>
      <c r="M400" s="29"/>
      <c r="N400" s="29"/>
      <c r="O400" s="29"/>
      <c r="P400" s="29"/>
      <c r="Q400" s="38"/>
    </row>
    <row r="401" spans="1:17" x14ac:dyDescent="0.25">
      <c r="A401" s="5"/>
      <c r="B401" s="13"/>
      <c r="C401" s="13"/>
      <c r="D401" s="13"/>
      <c r="E401" s="9"/>
      <c r="F401" s="32"/>
      <c r="G401" s="32"/>
      <c r="H401" s="32"/>
      <c r="I401" s="32"/>
      <c r="J401" s="29"/>
      <c r="K401" s="29"/>
      <c r="L401" s="29"/>
      <c r="M401" s="29"/>
      <c r="N401" s="29"/>
      <c r="O401" s="29"/>
      <c r="P401" s="29"/>
      <c r="Q401" s="38"/>
    </row>
    <row r="402" spans="1:17" x14ac:dyDescent="0.25">
      <c r="A402" s="5"/>
      <c r="B402" s="13"/>
      <c r="C402" s="13"/>
      <c r="D402" s="13"/>
      <c r="E402" s="9"/>
      <c r="F402" s="32"/>
      <c r="G402" s="32"/>
      <c r="H402" s="32"/>
      <c r="I402" s="32"/>
      <c r="J402" s="29"/>
      <c r="K402" s="29"/>
      <c r="L402" s="29"/>
      <c r="M402" s="29"/>
      <c r="N402" s="29"/>
      <c r="O402" s="29"/>
      <c r="P402" s="29"/>
      <c r="Q402" s="38"/>
    </row>
    <row r="403" spans="1:17" x14ac:dyDescent="0.25">
      <c r="A403" s="5"/>
      <c r="B403" s="13"/>
      <c r="C403" s="13"/>
      <c r="D403" s="13"/>
      <c r="E403" s="9"/>
      <c r="F403" s="32"/>
      <c r="G403" s="32"/>
      <c r="H403" s="32"/>
      <c r="I403" s="32"/>
      <c r="J403" s="29"/>
      <c r="K403" s="29"/>
      <c r="L403" s="29"/>
      <c r="M403" s="29"/>
      <c r="N403" s="29"/>
      <c r="O403" s="29"/>
      <c r="P403" s="29"/>
      <c r="Q403" s="38"/>
    </row>
    <row r="404" spans="1:17" x14ac:dyDescent="0.25">
      <c r="A404" s="5"/>
      <c r="B404" s="13"/>
      <c r="C404" s="13"/>
      <c r="D404" s="13"/>
      <c r="E404" s="9"/>
      <c r="F404" s="32"/>
      <c r="G404" s="32"/>
      <c r="H404" s="32"/>
      <c r="I404" s="32"/>
      <c r="J404" s="29"/>
      <c r="K404" s="29"/>
      <c r="L404" s="29"/>
      <c r="M404" s="29"/>
      <c r="N404" s="29"/>
      <c r="O404" s="29"/>
      <c r="P404" s="29"/>
      <c r="Q404" s="38"/>
    </row>
    <row r="405" spans="1:17" x14ac:dyDescent="0.25">
      <c r="A405" s="5"/>
      <c r="B405" s="13"/>
      <c r="C405" s="13"/>
      <c r="D405" s="13"/>
      <c r="E405" s="9"/>
      <c r="F405" s="32"/>
      <c r="G405" s="32"/>
      <c r="H405" s="32"/>
      <c r="I405" s="32"/>
      <c r="J405" s="29"/>
      <c r="K405" s="29"/>
      <c r="L405" s="29"/>
      <c r="M405" s="29"/>
      <c r="N405" s="29"/>
      <c r="O405" s="29"/>
      <c r="P405" s="29"/>
      <c r="Q405" s="38"/>
    </row>
    <row r="406" spans="1:17" x14ac:dyDescent="0.25">
      <c r="A406" s="5"/>
      <c r="B406" s="13"/>
      <c r="C406" s="13"/>
      <c r="D406" s="13"/>
      <c r="E406" s="9"/>
      <c r="F406" s="32"/>
      <c r="G406" s="32"/>
      <c r="H406" s="32"/>
      <c r="I406" s="32"/>
      <c r="J406" s="29"/>
      <c r="K406" s="29"/>
      <c r="L406" s="29"/>
      <c r="M406" s="29"/>
      <c r="N406" s="29"/>
      <c r="O406" s="29"/>
      <c r="P406" s="29"/>
      <c r="Q406" s="38"/>
    </row>
    <row r="407" spans="1:17" x14ac:dyDescent="0.25">
      <c r="A407" s="5"/>
      <c r="B407" s="13"/>
      <c r="C407" s="13"/>
      <c r="D407" s="13"/>
      <c r="E407" s="9"/>
      <c r="F407" s="32"/>
      <c r="G407" s="32"/>
      <c r="H407" s="32"/>
      <c r="I407" s="32"/>
      <c r="J407" s="29"/>
      <c r="K407" s="29"/>
      <c r="L407" s="29"/>
      <c r="M407" s="29"/>
      <c r="N407" s="29"/>
      <c r="O407" s="29"/>
      <c r="P407" s="29"/>
      <c r="Q407" s="38"/>
    </row>
    <row r="408" spans="1:17" x14ac:dyDescent="0.25">
      <c r="A408" s="5"/>
      <c r="B408" s="13"/>
      <c r="C408" s="13"/>
      <c r="D408" s="13"/>
      <c r="E408" s="9"/>
      <c r="F408" s="32"/>
      <c r="G408" s="32"/>
      <c r="H408" s="32"/>
      <c r="I408" s="32"/>
      <c r="J408" s="29"/>
      <c r="K408" s="29"/>
      <c r="L408" s="29"/>
      <c r="M408" s="29"/>
      <c r="N408" s="29"/>
      <c r="O408" s="29"/>
      <c r="P408" s="29"/>
      <c r="Q408" s="38"/>
    </row>
    <row r="409" spans="1:17" x14ac:dyDescent="0.25">
      <c r="A409" s="5"/>
      <c r="B409" s="13"/>
      <c r="C409" s="13"/>
      <c r="D409" s="13"/>
      <c r="E409" s="9"/>
      <c r="F409" s="32"/>
      <c r="G409" s="32"/>
      <c r="H409" s="32"/>
      <c r="I409" s="32"/>
      <c r="J409" s="29"/>
      <c r="K409" s="29"/>
      <c r="L409" s="29"/>
      <c r="M409" s="29"/>
      <c r="N409" s="29"/>
      <c r="O409" s="29"/>
      <c r="P409" s="29"/>
      <c r="Q409" s="38"/>
    </row>
    <row r="410" spans="1:17" x14ac:dyDescent="0.25">
      <c r="A410" s="5"/>
      <c r="B410" s="13"/>
      <c r="C410" s="13"/>
      <c r="D410" s="13"/>
      <c r="E410" s="9"/>
      <c r="F410" s="32"/>
      <c r="G410" s="32"/>
      <c r="H410" s="32"/>
      <c r="I410" s="32"/>
      <c r="J410" s="29"/>
      <c r="K410" s="29"/>
      <c r="L410" s="29"/>
      <c r="M410" s="29"/>
      <c r="N410" s="29"/>
      <c r="O410" s="29"/>
      <c r="P410" s="29"/>
      <c r="Q410" s="38"/>
    </row>
    <row r="411" spans="1:17" x14ac:dyDescent="0.25">
      <c r="A411" s="5"/>
      <c r="B411" s="13"/>
      <c r="C411" s="13"/>
      <c r="D411" s="13"/>
      <c r="E411" s="9"/>
      <c r="F411" s="32"/>
      <c r="G411" s="32"/>
      <c r="H411" s="32"/>
      <c r="I411" s="32"/>
      <c r="J411" s="29"/>
      <c r="K411" s="29"/>
      <c r="L411" s="29"/>
      <c r="M411" s="29"/>
      <c r="N411" s="29"/>
      <c r="O411" s="29"/>
      <c r="P411" s="29"/>
      <c r="Q411" s="38"/>
    </row>
    <row r="412" spans="1:17" x14ac:dyDescent="0.25">
      <c r="A412" s="5"/>
      <c r="B412" s="13"/>
      <c r="C412" s="13"/>
      <c r="D412" s="13"/>
      <c r="E412" s="9"/>
      <c r="F412" s="32"/>
      <c r="G412" s="32"/>
      <c r="H412" s="32"/>
      <c r="I412" s="32"/>
      <c r="J412" s="29"/>
      <c r="K412" s="29"/>
      <c r="L412" s="29"/>
      <c r="M412" s="29"/>
      <c r="N412" s="29"/>
      <c r="O412" s="29"/>
      <c r="P412" s="29"/>
      <c r="Q412" s="38"/>
    </row>
    <row r="413" spans="1:17" x14ac:dyDescent="0.25">
      <c r="A413" s="5"/>
      <c r="B413" s="13"/>
      <c r="C413" s="13"/>
      <c r="D413" s="13"/>
      <c r="E413" s="9"/>
      <c r="F413" s="32"/>
      <c r="G413" s="32"/>
      <c r="H413" s="32"/>
      <c r="I413" s="32"/>
      <c r="J413" s="29"/>
      <c r="K413" s="29"/>
      <c r="L413" s="29"/>
      <c r="M413" s="29"/>
      <c r="N413" s="29"/>
      <c r="O413" s="29"/>
      <c r="P413" s="29"/>
      <c r="Q413" s="38"/>
    </row>
    <row r="414" spans="1:17" x14ac:dyDescent="0.25">
      <c r="A414" s="5"/>
      <c r="B414" s="13"/>
      <c r="C414" s="13"/>
      <c r="D414" s="13"/>
      <c r="E414" s="9"/>
      <c r="F414" s="32"/>
      <c r="G414" s="32"/>
      <c r="H414" s="32"/>
      <c r="I414" s="32"/>
      <c r="J414" s="29"/>
      <c r="K414" s="29"/>
      <c r="L414" s="29"/>
      <c r="M414" s="29"/>
      <c r="N414" s="29"/>
      <c r="O414" s="29"/>
      <c r="P414" s="29"/>
      <c r="Q414" s="38"/>
    </row>
    <row r="415" spans="1:17" x14ac:dyDescent="0.25">
      <c r="A415" s="5"/>
      <c r="B415" s="13"/>
      <c r="C415" s="13"/>
      <c r="D415" s="13"/>
      <c r="E415" s="9"/>
      <c r="F415" s="32"/>
      <c r="G415" s="32"/>
      <c r="H415" s="32"/>
      <c r="I415" s="32"/>
      <c r="J415" s="29"/>
      <c r="K415" s="29"/>
      <c r="L415" s="29"/>
      <c r="M415" s="29"/>
      <c r="N415" s="29"/>
      <c r="O415" s="29"/>
      <c r="P415" s="29"/>
      <c r="Q415" s="38"/>
    </row>
    <row r="416" spans="1:17" x14ac:dyDescent="0.25">
      <c r="A416" s="5"/>
      <c r="B416" s="13"/>
      <c r="C416" s="13"/>
      <c r="D416" s="13"/>
      <c r="E416" s="9"/>
      <c r="F416" s="32"/>
      <c r="G416" s="32"/>
      <c r="H416" s="32"/>
      <c r="I416" s="32"/>
      <c r="J416" s="29"/>
      <c r="K416" s="29"/>
      <c r="L416" s="29"/>
      <c r="M416" s="29"/>
      <c r="N416" s="29"/>
      <c r="O416" s="29"/>
      <c r="P416" s="29"/>
      <c r="Q416" s="38"/>
    </row>
    <row r="417" spans="1:17" x14ac:dyDescent="0.25">
      <c r="A417" s="5"/>
      <c r="B417" s="13"/>
      <c r="C417" s="13"/>
      <c r="D417" s="13"/>
      <c r="E417" s="9"/>
      <c r="F417" s="32"/>
      <c r="G417" s="32"/>
      <c r="H417" s="32"/>
      <c r="I417" s="32"/>
      <c r="J417" s="29"/>
      <c r="K417" s="29"/>
      <c r="L417" s="29"/>
      <c r="M417" s="29"/>
      <c r="N417" s="29"/>
      <c r="O417" s="29"/>
      <c r="P417" s="29"/>
      <c r="Q417" s="38"/>
    </row>
    <row r="418" spans="1:17" x14ac:dyDescent="0.25">
      <c r="A418" s="5"/>
      <c r="B418" s="13"/>
      <c r="C418" s="13"/>
      <c r="D418" s="13"/>
      <c r="E418" s="9"/>
      <c r="F418" s="32"/>
      <c r="G418" s="32"/>
      <c r="H418" s="32"/>
      <c r="I418" s="32"/>
      <c r="J418" s="29"/>
      <c r="K418" s="29"/>
      <c r="L418" s="29"/>
      <c r="M418" s="29"/>
      <c r="N418" s="29"/>
      <c r="O418" s="29"/>
      <c r="P418" s="29"/>
      <c r="Q418" s="38"/>
    </row>
    <row r="419" spans="1:17" x14ac:dyDescent="0.25">
      <c r="A419" s="5"/>
      <c r="B419" s="13"/>
      <c r="C419" s="13"/>
      <c r="D419" s="13"/>
      <c r="E419" s="9"/>
      <c r="F419" s="32"/>
      <c r="G419" s="32"/>
      <c r="H419" s="32"/>
      <c r="I419" s="32"/>
      <c r="J419" s="29"/>
      <c r="K419" s="29"/>
      <c r="L419" s="29"/>
      <c r="M419" s="29"/>
      <c r="N419" s="29"/>
      <c r="O419" s="29"/>
      <c r="P419" s="29"/>
      <c r="Q419" s="38"/>
    </row>
    <row r="420" spans="1:17" x14ac:dyDescent="0.25">
      <c r="A420" s="5"/>
      <c r="B420" s="13"/>
      <c r="C420" s="13"/>
      <c r="D420" s="13"/>
      <c r="E420" s="9"/>
      <c r="F420" s="32"/>
      <c r="G420" s="32"/>
      <c r="H420" s="32"/>
      <c r="I420" s="32"/>
      <c r="J420" s="29"/>
      <c r="K420" s="29"/>
      <c r="L420" s="29"/>
      <c r="M420" s="29"/>
      <c r="N420" s="29"/>
      <c r="O420" s="29"/>
      <c r="P420" s="29"/>
      <c r="Q420" s="38"/>
    </row>
    <row r="421" spans="1:17" x14ac:dyDescent="0.25">
      <c r="A421" s="5"/>
      <c r="B421" s="13"/>
      <c r="C421" s="13"/>
      <c r="D421" s="13"/>
      <c r="E421" s="9"/>
      <c r="F421" s="32"/>
      <c r="G421" s="32"/>
      <c r="H421" s="32"/>
      <c r="I421" s="32"/>
      <c r="J421" s="29"/>
      <c r="K421" s="29"/>
      <c r="L421" s="29"/>
      <c r="M421" s="29"/>
      <c r="N421" s="29"/>
      <c r="O421" s="29"/>
      <c r="P421" s="29"/>
      <c r="Q421" s="38"/>
    </row>
    <row r="422" spans="1:17" x14ac:dyDescent="0.25">
      <c r="A422" s="5"/>
      <c r="B422" s="13"/>
      <c r="C422" s="13"/>
      <c r="D422" s="13"/>
      <c r="E422" s="9"/>
      <c r="F422" s="32"/>
      <c r="G422" s="32"/>
      <c r="H422" s="32"/>
      <c r="I422" s="32"/>
      <c r="J422" s="29"/>
      <c r="K422" s="29"/>
      <c r="L422" s="29"/>
      <c r="M422" s="29"/>
      <c r="N422" s="29"/>
      <c r="O422" s="29"/>
      <c r="P422" s="29"/>
      <c r="Q422" s="38"/>
    </row>
    <row r="423" spans="1:17" x14ac:dyDescent="0.25">
      <c r="A423" s="5"/>
      <c r="B423" s="13"/>
      <c r="C423" s="13"/>
      <c r="D423" s="13"/>
      <c r="E423" s="9"/>
      <c r="F423" s="32"/>
      <c r="G423" s="32"/>
      <c r="H423" s="32"/>
      <c r="I423" s="32"/>
      <c r="J423" s="29"/>
      <c r="K423" s="29"/>
      <c r="L423" s="29"/>
      <c r="M423" s="29"/>
      <c r="N423" s="29"/>
      <c r="O423" s="29"/>
      <c r="P423" s="29"/>
      <c r="Q423" s="38"/>
    </row>
    <row r="424" spans="1:17" x14ac:dyDescent="0.25">
      <c r="A424" s="5"/>
      <c r="B424" s="13"/>
      <c r="C424" s="13"/>
      <c r="D424" s="13"/>
      <c r="E424" s="9"/>
      <c r="F424" s="32"/>
      <c r="G424" s="32"/>
      <c r="H424" s="32"/>
      <c r="I424" s="32"/>
      <c r="J424" s="29"/>
      <c r="K424" s="29"/>
      <c r="L424" s="29"/>
      <c r="M424" s="29"/>
      <c r="N424" s="29"/>
      <c r="O424" s="29"/>
      <c r="P424" s="29"/>
      <c r="Q424" s="38"/>
    </row>
    <row r="425" spans="1:17" x14ac:dyDescent="0.25">
      <c r="A425" s="5"/>
      <c r="B425" s="13"/>
      <c r="C425" s="13"/>
      <c r="D425" s="13"/>
      <c r="E425" s="9"/>
      <c r="F425" s="32"/>
      <c r="G425" s="32"/>
      <c r="H425" s="32"/>
      <c r="I425" s="32"/>
      <c r="J425" s="29"/>
      <c r="K425" s="29"/>
      <c r="L425" s="29"/>
      <c r="M425" s="29"/>
      <c r="N425" s="29"/>
      <c r="O425" s="29"/>
      <c r="P425" s="29"/>
      <c r="Q425" s="38"/>
    </row>
    <row r="426" spans="1:17" x14ac:dyDescent="0.25">
      <c r="A426" s="5"/>
      <c r="B426" s="13"/>
      <c r="C426" s="13"/>
      <c r="D426" s="13"/>
      <c r="E426" s="9"/>
      <c r="F426" s="32"/>
      <c r="G426" s="32"/>
      <c r="H426" s="32"/>
      <c r="I426" s="32"/>
      <c r="J426" s="29"/>
      <c r="K426" s="29"/>
      <c r="L426" s="29"/>
      <c r="M426" s="29"/>
      <c r="N426" s="29"/>
      <c r="O426" s="29"/>
      <c r="P426" s="29"/>
      <c r="Q426" s="38"/>
    </row>
    <row r="427" spans="1:17" x14ac:dyDescent="0.25">
      <c r="A427" s="5"/>
      <c r="B427" s="13"/>
      <c r="C427" s="13"/>
      <c r="D427" s="13"/>
      <c r="E427" s="9"/>
      <c r="F427" s="32"/>
      <c r="G427" s="32"/>
      <c r="H427" s="32"/>
      <c r="I427" s="32"/>
      <c r="J427" s="29"/>
      <c r="K427" s="29"/>
      <c r="L427" s="29"/>
      <c r="M427" s="29"/>
      <c r="N427" s="29"/>
      <c r="O427" s="29"/>
      <c r="P427" s="29"/>
      <c r="Q427" s="38"/>
    </row>
    <row r="428" spans="1:17" x14ac:dyDescent="0.25">
      <c r="A428" s="5"/>
      <c r="B428" s="13"/>
      <c r="C428" s="13"/>
      <c r="D428" s="13"/>
      <c r="E428" s="9"/>
      <c r="F428" s="32"/>
      <c r="G428" s="32"/>
      <c r="H428" s="32"/>
      <c r="I428" s="32"/>
      <c r="J428" s="29"/>
      <c r="K428" s="29"/>
      <c r="L428" s="29"/>
      <c r="M428" s="29"/>
      <c r="N428" s="29"/>
      <c r="O428" s="29"/>
      <c r="P428" s="29"/>
      <c r="Q428" s="38"/>
    </row>
    <row r="429" spans="1:17" x14ac:dyDescent="0.25">
      <c r="A429" s="5"/>
      <c r="B429" s="13"/>
      <c r="C429" s="13"/>
      <c r="D429" s="13"/>
      <c r="E429" s="9"/>
      <c r="F429" s="32"/>
      <c r="G429" s="32"/>
      <c r="H429" s="32"/>
      <c r="I429" s="32"/>
      <c r="J429" s="29"/>
      <c r="K429" s="29"/>
      <c r="L429" s="29"/>
      <c r="M429" s="29"/>
      <c r="N429" s="29"/>
      <c r="O429" s="29"/>
      <c r="P429" s="29"/>
      <c r="Q429" s="38"/>
    </row>
    <row r="430" spans="1:17" x14ac:dyDescent="0.25">
      <c r="A430" s="5"/>
      <c r="B430" s="13"/>
      <c r="C430" s="13"/>
      <c r="D430" s="13"/>
      <c r="E430" s="9"/>
      <c r="F430" s="32"/>
      <c r="G430" s="32"/>
      <c r="H430" s="32"/>
      <c r="I430" s="32"/>
      <c r="J430" s="29"/>
      <c r="K430" s="29"/>
      <c r="L430" s="29"/>
      <c r="M430" s="29"/>
      <c r="N430" s="29"/>
      <c r="O430" s="29"/>
      <c r="P430" s="29"/>
      <c r="Q430" s="38"/>
    </row>
    <row r="431" spans="1:17" x14ac:dyDescent="0.25">
      <c r="A431" s="5"/>
      <c r="B431" s="13"/>
      <c r="C431" s="13"/>
      <c r="D431" s="13"/>
      <c r="E431" s="9"/>
      <c r="F431" s="32"/>
      <c r="G431" s="32"/>
      <c r="H431" s="32"/>
      <c r="I431" s="32"/>
      <c r="J431" s="29"/>
      <c r="K431" s="29"/>
      <c r="L431" s="29"/>
      <c r="M431" s="29"/>
      <c r="N431" s="29"/>
      <c r="O431" s="29"/>
      <c r="P431" s="29"/>
      <c r="Q431" s="38"/>
    </row>
    <row r="432" spans="1:17" x14ac:dyDescent="0.25">
      <c r="A432" s="5"/>
      <c r="B432" s="13"/>
      <c r="C432" s="13"/>
      <c r="D432" s="13"/>
      <c r="E432" s="9"/>
      <c r="F432" s="32"/>
      <c r="G432" s="32"/>
      <c r="H432" s="32"/>
      <c r="I432" s="32"/>
      <c r="J432" s="29"/>
      <c r="K432" s="29"/>
      <c r="L432" s="29"/>
      <c r="M432" s="29"/>
      <c r="N432" s="29"/>
      <c r="O432" s="29"/>
      <c r="P432" s="29"/>
      <c r="Q432" s="38"/>
    </row>
    <row r="433" spans="1:17" x14ac:dyDescent="0.25">
      <c r="A433" s="5"/>
      <c r="B433" s="13"/>
      <c r="C433" s="13"/>
      <c r="D433" s="13"/>
      <c r="E433" s="9"/>
      <c r="F433" s="32"/>
      <c r="G433" s="32"/>
      <c r="H433" s="32"/>
      <c r="I433" s="32"/>
      <c r="J433" s="29"/>
      <c r="K433" s="29"/>
      <c r="L433" s="29"/>
      <c r="M433" s="29"/>
      <c r="N433" s="29"/>
      <c r="O433" s="29"/>
      <c r="P433" s="29"/>
      <c r="Q433" s="38"/>
    </row>
    <row r="434" spans="1:17" x14ac:dyDescent="0.25">
      <c r="A434" s="5"/>
      <c r="B434" s="13"/>
      <c r="C434" s="13"/>
      <c r="D434" s="13"/>
      <c r="E434" s="9"/>
      <c r="F434" s="32"/>
      <c r="G434" s="32"/>
      <c r="H434" s="32"/>
      <c r="I434" s="32"/>
      <c r="J434" s="29"/>
      <c r="K434" s="29"/>
      <c r="L434" s="29"/>
      <c r="M434" s="29"/>
      <c r="N434" s="29"/>
      <c r="O434" s="29"/>
      <c r="P434" s="29"/>
      <c r="Q434" s="38"/>
    </row>
    <row r="435" spans="1:17" x14ac:dyDescent="0.25">
      <c r="A435" s="5"/>
      <c r="B435" s="13"/>
      <c r="C435" s="13"/>
      <c r="D435" s="13"/>
      <c r="E435" s="9"/>
      <c r="F435" s="32"/>
      <c r="G435" s="32"/>
      <c r="H435" s="32"/>
      <c r="I435" s="32"/>
      <c r="J435" s="29"/>
      <c r="K435" s="29"/>
      <c r="L435" s="29"/>
      <c r="M435" s="29"/>
      <c r="N435" s="29"/>
      <c r="O435" s="29"/>
      <c r="P435" s="29"/>
      <c r="Q435" s="38"/>
    </row>
    <row r="436" spans="1:17" x14ac:dyDescent="0.25">
      <c r="A436" s="5"/>
      <c r="B436" s="13"/>
      <c r="C436" s="13"/>
      <c r="D436" s="13"/>
      <c r="E436" s="9"/>
      <c r="F436" s="32"/>
      <c r="G436" s="32"/>
      <c r="H436" s="32"/>
      <c r="I436" s="32"/>
      <c r="J436" s="29"/>
      <c r="K436" s="29"/>
      <c r="L436" s="29"/>
      <c r="M436" s="29"/>
      <c r="N436" s="29"/>
      <c r="O436" s="29"/>
      <c r="P436" s="29"/>
      <c r="Q436" s="38"/>
    </row>
    <row r="437" spans="1:17" x14ac:dyDescent="0.25">
      <c r="A437" s="5"/>
      <c r="B437" s="13"/>
      <c r="C437" s="13"/>
      <c r="D437" s="13"/>
      <c r="E437" s="9"/>
      <c r="F437" s="32"/>
      <c r="G437" s="32"/>
      <c r="H437" s="32"/>
      <c r="I437" s="32"/>
      <c r="J437" s="29"/>
      <c r="K437" s="29"/>
      <c r="L437" s="29"/>
      <c r="M437" s="29"/>
      <c r="N437" s="29"/>
      <c r="O437" s="29"/>
      <c r="P437" s="29"/>
      <c r="Q437" s="38"/>
    </row>
    <row r="438" spans="1:17" x14ac:dyDescent="0.25">
      <c r="A438" s="5"/>
      <c r="B438" s="13"/>
      <c r="C438" s="13"/>
      <c r="D438" s="13"/>
      <c r="E438" s="9"/>
      <c r="F438" s="32"/>
      <c r="G438" s="32"/>
      <c r="H438" s="32"/>
      <c r="I438" s="32"/>
      <c r="J438" s="29"/>
      <c r="K438" s="29"/>
      <c r="L438" s="29"/>
      <c r="M438" s="29"/>
      <c r="N438" s="29"/>
      <c r="O438" s="29"/>
      <c r="P438" s="29"/>
      <c r="Q438" s="38"/>
    </row>
    <row r="439" spans="1:17" x14ac:dyDescent="0.25">
      <c r="A439" s="5"/>
      <c r="B439" s="13"/>
      <c r="C439" s="13"/>
      <c r="D439" s="13"/>
      <c r="E439" s="9"/>
      <c r="F439" s="32"/>
      <c r="G439" s="32"/>
      <c r="H439" s="32"/>
      <c r="I439" s="32"/>
      <c r="J439" s="29"/>
      <c r="K439" s="29"/>
      <c r="L439" s="29"/>
      <c r="M439" s="29"/>
      <c r="N439" s="29"/>
      <c r="O439" s="29"/>
      <c r="P439" s="29"/>
      <c r="Q439" s="38"/>
    </row>
    <row r="440" spans="1:17" x14ac:dyDescent="0.25">
      <c r="A440" s="5"/>
      <c r="B440" s="13"/>
      <c r="C440" s="13"/>
      <c r="D440" s="13"/>
      <c r="E440" s="9"/>
      <c r="F440" s="32"/>
      <c r="G440" s="32"/>
      <c r="H440" s="32"/>
      <c r="I440" s="32"/>
      <c r="J440" s="29"/>
      <c r="K440" s="29"/>
      <c r="L440" s="29"/>
      <c r="M440" s="29"/>
      <c r="N440" s="29"/>
      <c r="O440" s="29"/>
      <c r="P440" s="29"/>
      <c r="Q440" s="38"/>
    </row>
    <row r="441" spans="1:17" x14ac:dyDescent="0.25">
      <c r="A441" s="5"/>
      <c r="B441" s="13"/>
      <c r="C441" s="13"/>
      <c r="D441" s="13"/>
      <c r="E441" s="9"/>
      <c r="F441" s="32"/>
      <c r="G441" s="32"/>
      <c r="H441" s="32"/>
      <c r="I441" s="32"/>
      <c r="J441" s="29"/>
      <c r="K441" s="29"/>
      <c r="L441" s="29"/>
      <c r="M441" s="29"/>
      <c r="N441" s="29"/>
      <c r="O441" s="29"/>
      <c r="P441" s="29"/>
      <c r="Q441" s="38"/>
    </row>
    <row r="442" spans="1:17" x14ac:dyDescent="0.25">
      <c r="A442" s="5"/>
      <c r="B442" s="13"/>
      <c r="C442" s="13"/>
      <c r="D442" s="13"/>
      <c r="E442" s="9"/>
      <c r="F442" s="32"/>
      <c r="G442" s="32"/>
      <c r="H442" s="32"/>
      <c r="I442" s="32"/>
      <c r="J442" s="29"/>
      <c r="K442" s="29"/>
      <c r="L442" s="29"/>
      <c r="M442" s="29"/>
      <c r="N442" s="29"/>
      <c r="O442" s="29"/>
      <c r="P442" s="29"/>
      <c r="Q442" s="38"/>
    </row>
    <row r="443" spans="1:17" x14ac:dyDescent="0.25">
      <c r="A443" s="5"/>
      <c r="B443" s="13"/>
      <c r="C443" s="13"/>
      <c r="D443" s="13"/>
      <c r="E443" s="9"/>
      <c r="F443" s="32"/>
      <c r="G443" s="32"/>
      <c r="H443" s="32"/>
      <c r="I443" s="32"/>
      <c r="J443" s="29"/>
      <c r="K443" s="29"/>
      <c r="L443" s="29"/>
      <c r="M443" s="29"/>
      <c r="N443" s="29"/>
      <c r="O443" s="29"/>
      <c r="P443" s="29"/>
      <c r="Q443" s="38"/>
    </row>
    <row r="444" spans="1:17" x14ac:dyDescent="0.25">
      <c r="A444" s="5"/>
      <c r="B444" s="13"/>
      <c r="C444" s="13"/>
      <c r="D444" s="13"/>
      <c r="E444" s="9"/>
      <c r="F444" s="32"/>
      <c r="G444" s="32"/>
      <c r="H444" s="32"/>
      <c r="I444" s="32"/>
      <c r="J444" s="29"/>
      <c r="K444" s="29"/>
      <c r="L444" s="29"/>
      <c r="M444" s="29"/>
      <c r="N444" s="29"/>
      <c r="O444" s="29"/>
      <c r="P444" s="29"/>
      <c r="Q444" s="38"/>
    </row>
    <row r="445" spans="1:17" x14ac:dyDescent="0.25">
      <c r="A445" s="5"/>
      <c r="B445" s="13"/>
      <c r="C445" s="13"/>
      <c r="D445" s="13"/>
      <c r="E445" s="9"/>
      <c r="F445" s="32"/>
      <c r="G445" s="32"/>
      <c r="H445" s="32"/>
      <c r="I445" s="32"/>
      <c r="J445" s="29"/>
      <c r="K445" s="29"/>
      <c r="L445" s="29"/>
      <c r="M445" s="29"/>
      <c r="N445" s="29"/>
      <c r="O445" s="29"/>
      <c r="P445" s="29"/>
      <c r="Q445" s="38"/>
    </row>
    <row r="446" spans="1:17" x14ac:dyDescent="0.25">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zoomScale="85" zoomScaleNormal="85" workbookViewId="0">
      <pane xSplit="6" ySplit="1" topLeftCell="G2" activePane="bottomRight" state="frozen"/>
      <selection activeCell="G52" sqref="G52"/>
      <selection pane="topRight" activeCell="G52" sqref="G52"/>
      <selection pane="bottomLeft" activeCell="G52" sqref="G52"/>
      <selection pane="bottomRight" activeCell="G15" sqref="G15"/>
    </sheetView>
  </sheetViews>
  <sheetFormatPr defaultRowHeight="15" x14ac:dyDescent="0.25"/>
  <cols>
    <col min="1" max="1" width="2.7109375" style="2" customWidth="1"/>
    <col min="2" max="2" width="23.5703125" style="15" bestFit="1" customWidth="1"/>
    <col min="3" max="3" width="20.7109375" style="15" bestFit="1" customWidth="1"/>
    <col min="4" max="4" width="31.7109375" style="15" bestFit="1" customWidth="1"/>
    <col min="5" max="5" width="31.7109375" style="15" customWidth="1"/>
    <col min="6" max="6" width="22.140625" style="26"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386</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s="234" customFormat="1" x14ac:dyDescent="0.25">
      <c r="A3" s="228"/>
      <c r="B3" s="229" t="s">
        <v>374</v>
      </c>
      <c r="C3" s="229"/>
      <c r="D3" s="229"/>
      <c r="E3" s="229"/>
      <c r="F3" s="230"/>
      <c r="G3" s="231"/>
      <c r="H3" s="231"/>
      <c r="I3" s="231"/>
      <c r="J3" s="231"/>
      <c r="K3" s="231"/>
      <c r="L3" s="231"/>
      <c r="M3" s="231"/>
      <c r="N3" s="231"/>
      <c r="O3" s="231"/>
      <c r="P3" s="231"/>
      <c r="Q3" s="231"/>
      <c r="R3" s="232"/>
      <c r="S3" s="233"/>
      <c r="T3" s="233"/>
      <c r="U3" s="233"/>
      <c r="V3" s="233"/>
      <c r="W3" s="233"/>
      <c r="X3" s="233"/>
      <c r="Y3" s="233"/>
      <c r="Z3" s="233"/>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AZ3" s="233"/>
      <c r="BA3" s="233"/>
      <c r="BB3" s="233"/>
      <c r="BC3" s="233"/>
      <c r="BD3" s="233"/>
      <c r="BE3" s="233"/>
      <c r="BF3" s="233"/>
      <c r="BG3" s="233"/>
      <c r="BH3" s="233"/>
      <c r="BI3" s="233"/>
      <c r="BJ3" s="233"/>
      <c r="BK3" s="233"/>
      <c r="BL3" s="233"/>
      <c r="BM3" s="233"/>
      <c r="BN3" s="233"/>
      <c r="BO3" s="233"/>
      <c r="BP3" s="233"/>
      <c r="BQ3" s="233"/>
    </row>
    <row r="4" spans="1:79" s="235" customFormat="1" x14ac:dyDescent="0.25">
      <c r="B4" s="236" t="s">
        <v>198</v>
      </c>
      <c r="D4" s="236"/>
      <c r="E4" s="236"/>
      <c r="F4" s="237"/>
      <c r="G4" s="238"/>
      <c r="H4" s="238"/>
      <c r="I4" s="238"/>
      <c r="J4" s="238"/>
      <c r="K4" s="238"/>
      <c r="L4" s="238"/>
      <c r="M4" s="238"/>
      <c r="N4" s="238"/>
      <c r="O4" s="238"/>
      <c r="P4" s="238"/>
      <c r="Q4" s="238"/>
      <c r="R4" s="239"/>
      <c r="S4" s="240"/>
      <c r="T4" s="240"/>
      <c r="U4" s="240"/>
      <c r="V4" s="240"/>
      <c r="W4" s="240"/>
      <c r="X4" s="240"/>
      <c r="Y4" s="240"/>
      <c r="Z4" s="240"/>
      <c r="AA4" s="240"/>
      <c r="AB4" s="240"/>
      <c r="AC4" s="240"/>
      <c r="AD4" s="240"/>
      <c r="AE4" s="240"/>
      <c r="AF4" s="240"/>
      <c r="AG4" s="240"/>
      <c r="AH4" s="240"/>
      <c r="AI4" s="240"/>
      <c r="AJ4" s="240"/>
      <c r="AK4" s="240"/>
      <c r="AL4" s="240"/>
      <c r="AM4" s="240"/>
      <c r="AN4" s="240"/>
      <c r="AO4" s="240"/>
      <c r="AP4" s="240"/>
      <c r="AQ4" s="240"/>
      <c r="AR4" s="240"/>
      <c r="AS4" s="240"/>
      <c r="AT4" s="240"/>
      <c r="AU4" s="240"/>
      <c r="AV4" s="240"/>
      <c r="AW4" s="240"/>
      <c r="AX4" s="240"/>
      <c r="AY4" s="240"/>
      <c r="AZ4" s="240"/>
      <c r="BA4" s="240"/>
      <c r="BB4" s="240"/>
      <c r="BC4" s="240"/>
      <c r="BD4" s="240"/>
      <c r="BE4" s="240"/>
      <c r="BF4" s="240"/>
      <c r="BG4" s="240"/>
      <c r="BH4" s="240"/>
      <c r="BI4" s="240"/>
      <c r="BJ4" s="240"/>
      <c r="BK4" s="240"/>
      <c r="BL4" s="240"/>
      <c r="BM4" s="240"/>
      <c r="BN4" s="240"/>
      <c r="BO4" s="240"/>
      <c r="BP4" s="240"/>
      <c r="BQ4" s="240"/>
      <c r="BR4" s="240"/>
      <c r="BS4" s="240"/>
      <c r="BT4" s="240"/>
      <c r="BU4" s="240"/>
      <c r="BV4" s="240"/>
      <c r="BW4" s="240"/>
      <c r="BX4" s="240"/>
      <c r="BY4" s="240"/>
      <c r="BZ4" s="240"/>
      <c r="CA4" s="240"/>
    </row>
    <row r="5" spans="1:79" x14ac:dyDescent="0.25">
      <c r="A5" s="5"/>
      <c r="B5" s="25" t="s">
        <v>38</v>
      </c>
      <c r="C5" s="25"/>
      <c r="D5" s="25" t="s">
        <v>40</v>
      </c>
      <c r="E5" s="25"/>
      <c r="F5" s="16"/>
      <c r="G5" s="242">
        <v>2000</v>
      </c>
      <c r="H5" s="223">
        <f t="shared" ref="H5:Q9" si="0">G5</f>
        <v>2000</v>
      </c>
      <c r="I5" s="223">
        <f t="shared" si="0"/>
        <v>2000</v>
      </c>
      <c r="J5" s="223">
        <f t="shared" si="0"/>
        <v>2000</v>
      </c>
      <c r="K5" s="223">
        <f t="shared" si="0"/>
        <v>2000</v>
      </c>
      <c r="L5" s="223">
        <f t="shared" si="0"/>
        <v>2000</v>
      </c>
      <c r="M5" s="223">
        <f t="shared" si="0"/>
        <v>2000</v>
      </c>
      <c r="N5" s="223">
        <f t="shared" si="0"/>
        <v>2000</v>
      </c>
      <c r="O5" s="223">
        <f t="shared" si="0"/>
        <v>2000</v>
      </c>
      <c r="P5" s="223">
        <f t="shared" si="0"/>
        <v>2000</v>
      </c>
      <c r="Q5" s="223">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x14ac:dyDescent="0.25">
      <c r="A6" s="5"/>
      <c r="B6" s="25" t="s">
        <v>37</v>
      </c>
      <c r="C6" s="25"/>
      <c r="D6" s="25" t="s">
        <v>40</v>
      </c>
      <c r="E6" s="25"/>
      <c r="F6" s="16"/>
      <c r="G6" s="242">
        <v>2100</v>
      </c>
      <c r="H6" s="223">
        <f t="shared" si="0"/>
        <v>2100</v>
      </c>
      <c r="I6" s="223">
        <f t="shared" si="0"/>
        <v>2100</v>
      </c>
      <c r="J6" s="223">
        <f t="shared" si="0"/>
        <v>2100</v>
      </c>
      <c r="K6" s="223">
        <f t="shared" si="0"/>
        <v>2100</v>
      </c>
      <c r="L6" s="223">
        <f t="shared" si="0"/>
        <v>2100</v>
      </c>
      <c r="M6" s="223">
        <f t="shared" si="0"/>
        <v>2100</v>
      </c>
      <c r="N6" s="223">
        <f t="shared" si="0"/>
        <v>2100</v>
      </c>
      <c r="O6" s="223">
        <f t="shared" si="0"/>
        <v>2100</v>
      </c>
      <c r="P6" s="223">
        <f t="shared" si="0"/>
        <v>2100</v>
      </c>
      <c r="Q6" s="223">
        <f t="shared" si="0"/>
        <v>2100</v>
      </c>
      <c r="R6" s="38"/>
      <c r="BR6"/>
      <c r="BS6"/>
      <c r="BT6"/>
      <c r="BU6"/>
      <c r="BV6"/>
      <c r="BW6"/>
      <c r="BX6"/>
      <c r="BY6"/>
      <c r="BZ6"/>
      <c r="CA6"/>
    </row>
    <row r="7" spans="1:79" s="39" customFormat="1" x14ac:dyDescent="0.25">
      <c r="A7" s="5"/>
      <c r="B7" s="25" t="s">
        <v>39</v>
      </c>
      <c r="C7" s="25"/>
      <c r="D7" s="25" t="s">
        <v>10</v>
      </c>
      <c r="E7" s="25"/>
      <c r="F7" s="16"/>
      <c r="G7" s="17">
        <v>30</v>
      </c>
      <c r="H7" s="223">
        <f t="shared" si="0"/>
        <v>30</v>
      </c>
      <c r="I7" s="223">
        <f t="shared" si="0"/>
        <v>30</v>
      </c>
      <c r="J7" s="223">
        <f t="shared" si="0"/>
        <v>30</v>
      </c>
      <c r="K7" s="223">
        <f t="shared" si="0"/>
        <v>30</v>
      </c>
      <c r="L7" s="223">
        <f t="shared" si="0"/>
        <v>30</v>
      </c>
      <c r="M7" s="223">
        <f t="shared" si="0"/>
        <v>30</v>
      </c>
      <c r="N7" s="223">
        <f t="shared" si="0"/>
        <v>30</v>
      </c>
      <c r="O7" s="223">
        <f t="shared" si="0"/>
        <v>30</v>
      </c>
      <c r="P7" s="223">
        <f t="shared" si="0"/>
        <v>30</v>
      </c>
      <c r="Q7" s="223">
        <f t="shared" si="0"/>
        <v>30</v>
      </c>
      <c r="R7" s="38"/>
      <c r="BR7"/>
      <c r="BS7"/>
      <c r="BT7"/>
      <c r="BU7"/>
      <c r="BV7"/>
      <c r="BW7"/>
      <c r="BX7"/>
      <c r="BY7"/>
      <c r="BZ7"/>
      <c r="CA7"/>
    </row>
    <row r="8" spans="1:79" s="39" customFormat="1" x14ac:dyDescent="0.25">
      <c r="A8" s="5"/>
      <c r="B8" s="25" t="s">
        <v>341</v>
      </c>
      <c r="C8" s="25"/>
      <c r="D8" s="25" t="s">
        <v>99</v>
      </c>
      <c r="E8" s="25"/>
      <c r="F8" s="16"/>
      <c r="G8" s="46">
        <v>0.125</v>
      </c>
      <c r="H8" s="243">
        <f t="shared" si="0"/>
        <v>0.125</v>
      </c>
      <c r="I8" s="243">
        <f t="shared" si="0"/>
        <v>0.125</v>
      </c>
      <c r="J8" s="243">
        <f t="shared" si="0"/>
        <v>0.125</v>
      </c>
      <c r="K8" s="243">
        <f t="shared" si="0"/>
        <v>0.125</v>
      </c>
      <c r="L8" s="243">
        <f t="shared" si="0"/>
        <v>0.125</v>
      </c>
      <c r="M8" s="243">
        <f t="shared" si="0"/>
        <v>0.125</v>
      </c>
      <c r="N8" s="243">
        <f t="shared" si="0"/>
        <v>0.125</v>
      </c>
      <c r="O8" s="243">
        <f t="shared" si="0"/>
        <v>0.125</v>
      </c>
      <c r="P8" s="243">
        <f t="shared" si="0"/>
        <v>0.125</v>
      </c>
      <c r="Q8" s="243">
        <f t="shared" si="0"/>
        <v>0.125</v>
      </c>
      <c r="R8" s="38"/>
      <c r="BR8"/>
      <c r="BS8"/>
      <c r="BT8"/>
      <c r="BU8"/>
      <c r="BV8"/>
      <c r="BW8"/>
      <c r="BX8"/>
      <c r="BY8"/>
      <c r="BZ8"/>
      <c r="CA8"/>
    </row>
    <row r="9" spans="1:79" s="39" customFormat="1" x14ac:dyDescent="0.25">
      <c r="A9" s="5"/>
      <c r="B9" s="25" t="s">
        <v>371</v>
      </c>
      <c r="C9" s="25"/>
      <c r="D9" s="25" t="s">
        <v>219</v>
      </c>
      <c r="E9" s="25" t="s">
        <v>383</v>
      </c>
      <c r="F9" s="16"/>
      <c r="G9" s="17">
        <f>75*8760*0.56</f>
        <v>367920.00000000006</v>
      </c>
      <c r="H9" s="245">
        <f t="shared" si="0"/>
        <v>367920.00000000006</v>
      </c>
      <c r="I9" s="245">
        <f t="shared" si="0"/>
        <v>367920.00000000006</v>
      </c>
      <c r="J9" s="245">
        <f t="shared" si="0"/>
        <v>367920.00000000006</v>
      </c>
      <c r="K9" s="245">
        <f t="shared" si="0"/>
        <v>367920.00000000006</v>
      </c>
      <c r="L9" s="245">
        <f t="shared" si="0"/>
        <v>367920.00000000006</v>
      </c>
      <c r="M9" s="245">
        <f t="shared" si="0"/>
        <v>367920.00000000006</v>
      </c>
      <c r="N9" s="245">
        <f t="shared" si="0"/>
        <v>367920.00000000006</v>
      </c>
      <c r="O9" s="245">
        <f t="shared" si="0"/>
        <v>367920.00000000006</v>
      </c>
      <c r="P9" s="245">
        <f t="shared" si="0"/>
        <v>367920.00000000006</v>
      </c>
      <c r="Q9" s="245">
        <f t="shared" si="0"/>
        <v>367920.00000000006</v>
      </c>
      <c r="R9" s="38"/>
      <c r="BR9"/>
      <c r="BS9"/>
      <c r="BT9"/>
      <c r="BU9"/>
      <c r="BV9"/>
      <c r="BW9"/>
      <c r="BX9"/>
      <c r="BY9"/>
      <c r="BZ9"/>
      <c r="CA9"/>
    </row>
    <row r="10" spans="1:79" s="39" customFormat="1" x14ac:dyDescent="0.25">
      <c r="A10" s="5"/>
      <c r="B10" s="25" t="s">
        <v>170</v>
      </c>
      <c r="C10" s="25"/>
      <c r="D10" s="25" t="s">
        <v>354</v>
      </c>
      <c r="E10" s="25"/>
      <c r="F10" s="16"/>
      <c r="G10" s="241">
        <f t="shared" ref="G10:Q10" si="1">134386790/GJ_per_MWh</f>
        <v>37329663.888888888</v>
      </c>
      <c r="H10" s="241">
        <f t="shared" si="1"/>
        <v>37329663.888888888</v>
      </c>
      <c r="I10" s="241">
        <f t="shared" si="1"/>
        <v>37329663.888888888</v>
      </c>
      <c r="J10" s="241">
        <f t="shared" si="1"/>
        <v>37329663.888888888</v>
      </c>
      <c r="K10" s="241">
        <f t="shared" si="1"/>
        <v>37329663.888888888</v>
      </c>
      <c r="L10" s="241">
        <f t="shared" si="1"/>
        <v>37329663.888888888</v>
      </c>
      <c r="M10" s="241">
        <f t="shared" si="1"/>
        <v>37329663.888888888</v>
      </c>
      <c r="N10" s="241">
        <f t="shared" si="1"/>
        <v>37329663.888888888</v>
      </c>
      <c r="O10" s="241">
        <f t="shared" si="1"/>
        <v>37329663.888888888</v>
      </c>
      <c r="P10" s="241">
        <f t="shared" si="1"/>
        <v>37329663.888888888</v>
      </c>
      <c r="Q10" s="241">
        <f t="shared" si="1"/>
        <v>37329663.888888888</v>
      </c>
      <c r="R10" s="38"/>
      <c r="BR10"/>
      <c r="BS10"/>
      <c r="BT10"/>
      <c r="BU10"/>
      <c r="BV10"/>
      <c r="BW10"/>
      <c r="BX10"/>
      <c r="BY10"/>
      <c r="BZ10"/>
      <c r="CA10"/>
    </row>
    <row r="11" spans="1:79" s="39" customFormat="1" x14ac:dyDescent="0.25">
      <c r="A11" s="5"/>
      <c r="B11" s="25" t="s">
        <v>342</v>
      </c>
      <c r="C11" s="25"/>
      <c r="D11" s="25" t="s">
        <v>354</v>
      </c>
      <c r="E11" s="25"/>
      <c r="F11" s="16"/>
      <c r="G11" s="241">
        <f t="shared" ref="G11:Q11" si="2">4241664/GJ_per_MWh</f>
        <v>1178240</v>
      </c>
      <c r="H11" s="241">
        <f t="shared" si="2"/>
        <v>1178240</v>
      </c>
      <c r="I11" s="241">
        <f t="shared" si="2"/>
        <v>1178240</v>
      </c>
      <c r="J11" s="241">
        <f t="shared" si="2"/>
        <v>1178240</v>
      </c>
      <c r="K11" s="241">
        <f t="shared" si="2"/>
        <v>1178240</v>
      </c>
      <c r="L11" s="241">
        <f t="shared" si="2"/>
        <v>1178240</v>
      </c>
      <c r="M11" s="241">
        <f t="shared" si="2"/>
        <v>1178240</v>
      </c>
      <c r="N11" s="241">
        <f t="shared" si="2"/>
        <v>1178240</v>
      </c>
      <c r="O11" s="241">
        <f t="shared" si="2"/>
        <v>1178240</v>
      </c>
      <c r="P11" s="241">
        <f t="shared" si="2"/>
        <v>1178240</v>
      </c>
      <c r="Q11" s="241">
        <f t="shared" si="2"/>
        <v>1178240</v>
      </c>
      <c r="R11" s="38"/>
      <c r="BR11"/>
      <c r="BS11"/>
      <c r="BT11"/>
      <c r="BU11"/>
      <c r="BV11"/>
      <c r="BW11"/>
      <c r="BX11"/>
      <c r="BY11"/>
      <c r="BZ11"/>
      <c r="CA11"/>
    </row>
    <row r="12" spans="1:79" s="39" customFormat="1" x14ac:dyDescent="0.25">
      <c r="A12" s="5"/>
      <c r="B12" s="25" t="s">
        <v>378</v>
      </c>
      <c r="C12" s="25"/>
      <c r="D12" s="25" t="s">
        <v>354</v>
      </c>
      <c r="E12" s="25"/>
      <c r="F12" s="16"/>
      <c r="G12" s="30" t="str">
        <f t="shared" ref="G12:G13" si="3">linterp($S12:$CA12,$S$1:$CA$1,G$1)</f>
        <v/>
      </c>
      <c r="H12" s="30"/>
      <c r="I12" s="30"/>
      <c r="J12" s="30"/>
      <c r="K12" s="30"/>
      <c r="L12" s="30"/>
      <c r="M12" s="30"/>
      <c r="N12" s="30"/>
      <c r="O12" s="30"/>
      <c r="P12" s="30"/>
      <c r="Q12" s="30"/>
      <c r="R12" s="38"/>
      <c r="BR12"/>
      <c r="BS12"/>
      <c r="BT12"/>
      <c r="BU12"/>
      <c r="BV12"/>
      <c r="BW12"/>
      <c r="BX12"/>
      <c r="BY12"/>
      <c r="BZ12"/>
      <c r="CA12"/>
    </row>
    <row r="13" spans="1:79" s="39" customFormat="1" x14ac:dyDescent="0.25">
      <c r="A13" s="5"/>
      <c r="B13" s="25" t="s">
        <v>377</v>
      </c>
      <c r="C13" s="25"/>
      <c r="D13" s="25" t="s">
        <v>370</v>
      </c>
      <c r="E13" s="25"/>
      <c r="F13" s="16"/>
      <c r="G13" s="30" t="str">
        <f t="shared" si="3"/>
        <v/>
      </c>
      <c r="H13" s="30"/>
      <c r="I13" s="30"/>
      <c r="J13" s="30"/>
      <c r="K13" s="30"/>
      <c r="L13" s="30"/>
      <c r="M13" s="30"/>
      <c r="N13" s="30"/>
      <c r="O13" s="30"/>
      <c r="P13" s="30"/>
      <c r="Q13" s="30"/>
      <c r="R13" s="38"/>
      <c r="BR13"/>
      <c r="BS13"/>
      <c r="BT13"/>
      <c r="BU13"/>
      <c r="BV13"/>
      <c r="BW13"/>
      <c r="BX13"/>
      <c r="BY13"/>
      <c r="BZ13"/>
      <c r="CA13"/>
    </row>
    <row r="14" spans="1:79" s="39" customFormat="1" x14ac:dyDescent="0.25">
      <c r="A14" s="5"/>
      <c r="B14" s="25" t="s">
        <v>382</v>
      </c>
      <c r="C14" s="25" t="s">
        <v>14</v>
      </c>
      <c r="D14" s="25" t="s">
        <v>370</v>
      </c>
      <c r="E14" s="25"/>
      <c r="F14" s="16"/>
      <c r="G14" s="244">
        <f>Model!$BF$850*GJ_per_MWh*Model!BF970</f>
        <v>60.016931277863684</v>
      </c>
      <c r="H14" s="30"/>
      <c r="I14" s="30"/>
      <c r="J14" s="30"/>
      <c r="K14" s="30"/>
      <c r="L14" s="30"/>
      <c r="M14" s="30"/>
      <c r="N14" s="30"/>
      <c r="O14" s="30"/>
      <c r="P14" s="30"/>
      <c r="Q14" s="30"/>
      <c r="R14" s="38"/>
      <c r="BR14"/>
      <c r="BS14"/>
      <c r="BT14"/>
      <c r="BU14"/>
      <c r="BV14"/>
      <c r="BW14"/>
      <c r="BX14"/>
      <c r="BY14"/>
      <c r="BZ14"/>
      <c r="CA14"/>
    </row>
    <row r="15" spans="1:79" s="39" customFormat="1" x14ac:dyDescent="0.25">
      <c r="A15" s="5"/>
      <c r="B15" s="25" t="s">
        <v>382</v>
      </c>
      <c r="C15" s="25" t="s">
        <v>373</v>
      </c>
      <c r="D15" s="25" t="s">
        <v>370</v>
      </c>
      <c r="E15" s="25"/>
      <c r="F15" s="16"/>
      <c r="G15" s="244">
        <f>Model!$BF$1111*Model!BF971</f>
        <v>0.25</v>
      </c>
      <c r="H15" s="30"/>
      <c r="I15" s="30"/>
      <c r="J15" s="30"/>
      <c r="K15" s="30"/>
      <c r="L15" s="30"/>
      <c r="M15" s="30"/>
      <c r="N15" s="30"/>
      <c r="O15" s="30"/>
      <c r="P15" s="30"/>
      <c r="Q15" s="30"/>
      <c r="R15" s="38"/>
      <c r="BR15"/>
      <c r="BS15"/>
      <c r="BT15"/>
      <c r="BU15"/>
      <c r="BV15"/>
      <c r="BW15"/>
      <c r="BX15"/>
      <c r="BY15"/>
      <c r="BZ15"/>
      <c r="CA15"/>
    </row>
    <row r="16" spans="1:79" s="39" customFormat="1" x14ac:dyDescent="0.25">
      <c r="A16" s="5"/>
      <c r="B16" s="25" t="s">
        <v>338</v>
      </c>
      <c r="C16" s="25" t="s">
        <v>14</v>
      </c>
      <c r="D16" s="25" t="s">
        <v>380</v>
      </c>
      <c r="E16" s="25"/>
      <c r="F16" s="16"/>
      <c r="G16" s="244">
        <f>1/0.33</f>
        <v>3.0303030303030303</v>
      </c>
      <c r="H16" s="245">
        <f t="shared" ref="H16:Q16" si="4">G16</f>
        <v>3.0303030303030303</v>
      </c>
      <c r="I16" s="245">
        <f t="shared" si="4"/>
        <v>3.0303030303030303</v>
      </c>
      <c r="J16" s="245">
        <f t="shared" si="4"/>
        <v>3.0303030303030303</v>
      </c>
      <c r="K16" s="245">
        <f t="shared" si="4"/>
        <v>3.0303030303030303</v>
      </c>
      <c r="L16" s="245">
        <f t="shared" si="4"/>
        <v>3.0303030303030303</v>
      </c>
      <c r="M16" s="245">
        <f t="shared" si="4"/>
        <v>3.0303030303030303</v>
      </c>
      <c r="N16" s="245">
        <f t="shared" si="4"/>
        <v>3.0303030303030303</v>
      </c>
      <c r="O16" s="245">
        <f t="shared" si="4"/>
        <v>3.0303030303030303</v>
      </c>
      <c r="P16" s="245">
        <f t="shared" si="4"/>
        <v>3.0303030303030303</v>
      </c>
      <c r="Q16" s="245">
        <f t="shared" si="4"/>
        <v>3.0303030303030303</v>
      </c>
      <c r="R16" s="38"/>
      <c r="BR16"/>
      <c r="BS16"/>
      <c r="BT16"/>
      <c r="BU16"/>
      <c r="BV16"/>
      <c r="BW16"/>
      <c r="BX16"/>
      <c r="BY16"/>
      <c r="BZ16"/>
      <c r="CA16"/>
    </row>
    <row r="17" spans="1:79" s="39" customFormat="1" x14ac:dyDescent="0.25">
      <c r="A17" s="5"/>
      <c r="B17" s="25" t="s">
        <v>338</v>
      </c>
      <c r="C17" s="25" t="s">
        <v>373</v>
      </c>
      <c r="D17" s="25" t="s">
        <v>380</v>
      </c>
      <c r="E17" s="25"/>
      <c r="F17" s="16"/>
      <c r="G17" s="244">
        <v>1</v>
      </c>
      <c r="H17" s="245">
        <f t="shared" ref="H17:Q17" si="5">G17</f>
        <v>1</v>
      </c>
      <c r="I17" s="245">
        <f t="shared" si="5"/>
        <v>1</v>
      </c>
      <c r="J17" s="245">
        <f t="shared" si="5"/>
        <v>1</v>
      </c>
      <c r="K17" s="245">
        <f t="shared" si="5"/>
        <v>1</v>
      </c>
      <c r="L17" s="245">
        <f t="shared" si="5"/>
        <v>1</v>
      </c>
      <c r="M17" s="245">
        <f t="shared" si="5"/>
        <v>1</v>
      </c>
      <c r="N17" s="245">
        <f t="shared" si="5"/>
        <v>1</v>
      </c>
      <c r="O17" s="245">
        <f t="shared" si="5"/>
        <v>1</v>
      </c>
      <c r="P17" s="245">
        <f t="shared" si="5"/>
        <v>1</v>
      </c>
      <c r="Q17" s="245">
        <f t="shared" si="5"/>
        <v>1</v>
      </c>
      <c r="R17" s="38"/>
      <c r="BR17"/>
      <c r="BS17"/>
      <c r="BT17"/>
      <c r="BU17"/>
      <c r="BV17"/>
      <c r="BW17"/>
      <c r="BX17"/>
      <c r="BY17"/>
      <c r="BZ17"/>
      <c r="CA17"/>
    </row>
    <row r="18" spans="1:79" s="39" customFormat="1" x14ac:dyDescent="0.25">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x14ac:dyDescent="0.25">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x14ac:dyDescent="0.25">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x14ac:dyDescent="0.25">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x14ac:dyDescent="0.25">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x14ac:dyDescent="0.25">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x14ac:dyDescent="0.25">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x14ac:dyDescent="0.25">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x14ac:dyDescent="0.25">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x14ac:dyDescent="0.25">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x14ac:dyDescent="0.25">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x14ac:dyDescent="0.25">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x14ac:dyDescent="0.25">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x14ac:dyDescent="0.25">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x14ac:dyDescent="0.25">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x14ac:dyDescent="0.25">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x14ac:dyDescent="0.25">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x14ac:dyDescent="0.25">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x14ac:dyDescent="0.25">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x14ac:dyDescent="0.25">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x14ac:dyDescent="0.25">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x14ac:dyDescent="0.25">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x14ac:dyDescent="0.25">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x14ac:dyDescent="0.25">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x14ac:dyDescent="0.25">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x14ac:dyDescent="0.25">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x14ac:dyDescent="0.25">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x14ac:dyDescent="0.25">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x14ac:dyDescent="0.25">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x14ac:dyDescent="0.25">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x14ac:dyDescent="0.25">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x14ac:dyDescent="0.25">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x14ac:dyDescent="0.25">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x14ac:dyDescent="0.25">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x14ac:dyDescent="0.25">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x14ac:dyDescent="0.25">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x14ac:dyDescent="0.25">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x14ac:dyDescent="0.25">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x14ac:dyDescent="0.25">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x14ac:dyDescent="0.25">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x14ac:dyDescent="0.25">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x14ac:dyDescent="0.25">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x14ac:dyDescent="0.25">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x14ac:dyDescent="0.25">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x14ac:dyDescent="0.25">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x14ac:dyDescent="0.25">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x14ac:dyDescent="0.25">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x14ac:dyDescent="0.25">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x14ac:dyDescent="0.25">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x14ac:dyDescent="0.25">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x14ac:dyDescent="0.25">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x14ac:dyDescent="0.25">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x14ac:dyDescent="0.25">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x14ac:dyDescent="0.25">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x14ac:dyDescent="0.25">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x14ac:dyDescent="0.25">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x14ac:dyDescent="0.25">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x14ac:dyDescent="0.25">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x14ac:dyDescent="0.25">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x14ac:dyDescent="0.25">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x14ac:dyDescent="0.25">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x14ac:dyDescent="0.25">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x14ac:dyDescent="0.25">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x14ac:dyDescent="0.25">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x14ac:dyDescent="0.25">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x14ac:dyDescent="0.25">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x14ac:dyDescent="0.25">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x14ac:dyDescent="0.25">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x14ac:dyDescent="0.25">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x14ac:dyDescent="0.25">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x14ac:dyDescent="0.25">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x14ac:dyDescent="0.25">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x14ac:dyDescent="0.25">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x14ac:dyDescent="0.25">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x14ac:dyDescent="0.25">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x14ac:dyDescent="0.25">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x14ac:dyDescent="0.25">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x14ac:dyDescent="0.25">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x14ac:dyDescent="0.25">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x14ac:dyDescent="0.25">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x14ac:dyDescent="0.25">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x14ac:dyDescent="0.25">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x14ac:dyDescent="0.25">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x14ac:dyDescent="0.25">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x14ac:dyDescent="0.25">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x14ac:dyDescent="0.25">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x14ac:dyDescent="0.25">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x14ac:dyDescent="0.25">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x14ac:dyDescent="0.25">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x14ac:dyDescent="0.25">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x14ac:dyDescent="0.25">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x14ac:dyDescent="0.25">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x14ac:dyDescent="0.25">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x14ac:dyDescent="0.25">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x14ac:dyDescent="0.25">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x14ac:dyDescent="0.25">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x14ac:dyDescent="0.25">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x14ac:dyDescent="0.25">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x14ac:dyDescent="0.25">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x14ac:dyDescent="0.25">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x14ac:dyDescent="0.25">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x14ac:dyDescent="0.25">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x14ac:dyDescent="0.25">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x14ac:dyDescent="0.25">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x14ac:dyDescent="0.25">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x14ac:dyDescent="0.25">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x14ac:dyDescent="0.25">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x14ac:dyDescent="0.25">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x14ac:dyDescent="0.25">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x14ac:dyDescent="0.25">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x14ac:dyDescent="0.25">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x14ac:dyDescent="0.25">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x14ac:dyDescent="0.25">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x14ac:dyDescent="0.25">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x14ac:dyDescent="0.25">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x14ac:dyDescent="0.25">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x14ac:dyDescent="0.25">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x14ac:dyDescent="0.25">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x14ac:dyDescent="0.25">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x14ac:dyDescent="0.25">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x14ac:dyDescent="0.25">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x14ac:dyDescent="0.25">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x14ac:dyDescent="0.25">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x14ac:dyDescent="0.25">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x14ac:dyDescent="0.25">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x14ac:dyDescent="0.25">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x14ac:dyDescent="0.25">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x14ac:dyDescent="0.25">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x14ac:dyDescent="0.25">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x14ac:dyDescent="0.25">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x14ac:dyDescent="0.25">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x14ac:dyDescent="0.25">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x14ac:dyDescent="0.25">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x14ac:dyDescent="0.25">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x14ac:dyDescent="0.25">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x14ac:dyDescent="0.25">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x14ac:dyDescent="0.25">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x14ac:dyDescent="0.25">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x14ac:dyDescent="0.25">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x14ac:dyDescent="0.25">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x14ac:dyDescent="0.25">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x14ac:dyDescent="0.25">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x14ac:dyDescent="0.25">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x14ac:dyDescent="0.25">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x14ac:dyDescent="0.25">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x14ac:dyDescent="0.25">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x14ac:dyDescent="0.25">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x14ac:dyDescent="0.25">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x14ac:dyDescent="0.25">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x14ac:dyDescent="0.25">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x14ac:dyDescent="0.25">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x14ac:dyDescent="0.25">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x14ac:dyDescent="0.25">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x14ac:dyDescent="0.25">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x14ac:dyDescent="0.25">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x14ac:dyDescent="0.25">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x14ac:dyDescent="0.25">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x14ac:dyDescent="0.25">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x14ac:dyDescent="0.25">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x14ac:dyDescent="0.25">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x14ac:dyDescent="0.25">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x14ac:dyDescent="0.25">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x14ac:dyDescent="0.25">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x14ac:dyDescent="0.25">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x14ac:dyDescent="0.25">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x14ac:dyDescent="0.25">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x14ac:dyDescent="0.25">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x14ac:dyDescent="0.25">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x14ac:dyDescent="0.25">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x14ac:dyDescent="0.25">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x14ac:dyDescent="0.25">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x14ac:dyDescent="0.25">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x14ac:dyDescent="0.25">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x14ac:dyDescent="0.25">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x14ac:dyDescent="0.25">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x14ac:dyDescent="0.25">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x14ac:dyDescent="0.25">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x14ac:dyDescent="0.25">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x14ac:dyDescent="0.25">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x14ac:dyDescent="0.25">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x14ac:dyDescent="0.25">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x14ac:dyDescent="0.25">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x14ac:dyDescent="0.25">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x14ac:dyDescent="0.25">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x14ac:dyDescent="0.25">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x14ac:dyDescent="0.25">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x14ac:dyDescent="0.25">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x14ac:dyDescent="0.25">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x14ac:dyDescent="0.25">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x14ac:dyDescent="0.25">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x14ac:dyDescent="0.25">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x14ac:dyDescent="0.25">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x14ac:dyDescent="0.25">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x14ac:dyDescent="0.25">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x14ac:dyDescent="0.25">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x14ac:dyDescent="0.25">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x14ac:dyDescent="0.25">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x14ac:dyDescent="0.25">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x14ac:dyDescent="0.25">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x14ac:dyDescent="0.25">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x14ac:dyDescent="0.25">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x14ac:dyDescent="0.25">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x14ac:dyDescent="0.25">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x14ac:dyDescent="0.25">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x14ac:dyDescent="0.25">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x14ac:dyDescent="0.25">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x14ac:dyDescent="0.25">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x14ac:dyDescent="0.25">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x14ac:dyDescent="0.25">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x14ac:dyDescent="0.25">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x14ac:dyDescent="0.25">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x14ac:dyDescent="0.25">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x14ac:dyDescent="0.25">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x14ac:dyDescent="0.25">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x14ac:dyDescent="0.25">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x14ac:dyDescent="0.25">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x14ac:dyDescent="0.25">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x14ac:dyDescent="0.25">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x14ac:dyDescent="0.25">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x14ac:dyDescent="0.25">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x14ac:dyDescent="0.25">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x14ac:dyDescent="0.25">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x14ac:dyDescent="0.25">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x14ac:dyDescent="0.25">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x14ac:dyDescent="0.25">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x14ac:dyDescent="0.25">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x14ac:dyDescent="0.25">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x14ac:dyDescent="0.25">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x14ac:dyDescent="0.25">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x14ac:dyDescent="0.25">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x14ac:dyDescent="0.25">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x14ac:dyDescent="0.25">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8" priority="16" stopIfTrue="1">
      <formula>$BA10&lt;&gt;""</formula>
    </cfRule>
  </conditionalFormatting>
  <conditionalFormatting sqref="G10:Q11 G14:G17">
    <cfRule type="expression" dxfId="7" priority="17" stopIfTrue="1">
      <formula>$BB10="Technology"</formula>
    </cfRule>
    <cfRule type="expression" dxfId="6" priority="18" stopIfTrue="1">
      <formula>$BB10="Service"</formula>
    </cfRule>
  </conditionalFormatting>
  <conditionalFormatting sqref="H5:Q9">
    <cfRule type="expression" dxfId="5" priority="13" stopIfTrue="1">
      <formula>$BA5&lt;&gt;""</formula>
    </cfRule>
  </conditionalFormatting>
  <conditionalFormatting sqref="H5:Q9">
    <cfRule type="expression" dxfId="4" priority="14" stopIfTrue="1">
      <formula>$BB5="Technology"</formula>
    </cfRule>
    <cfRule type="expression" dxfId="3" priority="15" stopIfTrue="1">
      <formula>$BB5="Service"</formula>
    </cfRule>
  </conditionalFormatting>
  <conditionalFormatting sqref="H16:Q17">
    <cfRule type="expression" dxfId="2" priority="1" stopIfTrue="1">
      <formula>$BA16&lt;&gt;""</formula>
    </cfRule>
  </conditionalFormatting>
  <conditionalFormatting sqref="H16:Q17">
    <cfRule type="expression" dxfId="1" priority="2" stopIfTrue="1">
      <formula>$BB16="Technology"</formula>
    </cfRule>
    <cfRule type="expression" dxfId="0" priority="3" stopIfTrue="1">
      <formula>$BB16="Service"</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pane xSplit="2" ySplit="1" topLeftCell="J2" activePane="bottomRight" state="frozen"/>
      <selection pane="topRight" activeCell="C1" sqref="C1"/>
      <selection pane="bottomLeft" activeCell="A2" sqref="A2"/>
      <selection pane="bottomRight" activeCell="AC4" sqref="AC4:AC103"/>
    </sheetView>
  </sheetViews>
  <sheetFormatPr defaultRowHeight="15" x14ac:dyDescent="0.25"/>
  <cols>
    <col min="1" max="1" width="35.85546875" bestFit="1" customWidth="1"/>
    <col min="2" max="2" width="4.42578125" customWidth="1"/>
    <col min="3" max="3" width="11.7109375" style="92" bestFit="1" customWidth="1"/>
    <col min="4" max="4" width="12.140625" customWidth="1"/>
    <col min="5" max="5" width="11.7109375" style="92" bestFit="1" customWidth="1"/>
    <col min="6" max="6" width="10.140625" customWidth="1"/>
    <col min="7" max="7" width="11.7109375" style="92" bestFit="1" customWidth="1"/>
    <col min="8" max="8" width="11.85546875" style="82" bestFit="1" customWidth="1"/>
    <col min="9" max="9" width="10.140625" style="82" bestFit="1" customWidth="1"/>
    <col min="10" max="10" width="28.42578125" bestFit="1" customWidth="1"/>
    <col min="11" max="11" width="11.28515625" customWidth="1"/>
    <col min="12" max="12" width="13.85546875" style="92" bestFit="1" customWidth="1"/>
    <col min="13" max="13" width="13.85546875" style="82" customWidth="1"/>
    <col min="14" max="14" width="13.140625" style="82" bestFit="1" customWidth="1"/>
    <col min="15" max="15" width="9.5703125" style="82" customWidth="1"/>
    <col min="16" max="16" width="16.42578125" bestFit="1" customWidth="1"/>
    <col min="17" max="17" width="13.42578125" style="92" bestFit="1" customWidth="1"/>
    <col min="18" max="18" width="13.28515625" bestFit="1" customWidth="1"/>
    <col min="19" max="19" width="12.7109375" bestFit="1" customWidth="1"/>
    <col min="20" max="20" width="17.42578125" bestFit="1" customWidth="1"/>
    <col min="21" max="21" width="17.7109375" bestFit="1" customWidth="1"/>
    <col min="22" max="22" width="15.42578125" bestFit="1" customWidth="1"/>
    <col min="23" max="23" width="12.7109375" style="92" bestFit="1" customWidth="1"/>
    <col min="24" max="24" width="13.28515625" bestFit="1" customWidth="1"/>
    <col min="25" max="25" width="12.7109375" bestFit="1" customWidth="1"/>
    <col min="26" max="26" width="25.7109375" style="79" bestFit="1" customWidth="1"/>
    <col min="27" max="27" width="8.28515625" style="79" bestFit="1" customWidth="1"/>
    <col min="28" max="28" width="13.140625" bestFit="1" customWidth="1"/>
    <col min="29" max="29" width="12.7109375" style="92" bestFit="1" customWidth="1"/>
    <col min="30" max="30" width="13.140625" style="79" bestFit="1" customWidth="1"/>
    <col min="33" max="33" width="25.7109375" bestFit="1" customWidth="1"/>
    <col min="34" max="34" width="16.7109375" bestFit="1" customWidth="1"/>
    <col min="39" max="39" width="9.85546875" customWidth="1"/>
    <col min="40" max="40" width="10" customWidth="1"/>
  </cols>
  <sheetData>
    <row r="1" spans="1:41" s="77" customFormat="1" x14ac:dyDescent="0.25">
      <c r="C1" s="90" t="s">
        <v>5</v>
      </c>
      <c r="E1" s="90" t="s">
        <v>0</v>
      </c>
      <c r="G1" s="90" t="s">
        <v>110</v>
      </c>
      <c r="L1" s="90" t="s">
        <v>1</v>
      </c>
      <c r="M1" s="81"/>
      <c r="N1" s="81"/>
      <c r="O1" s="81"/>
      <c r="Q1" s="90" t="s">
        <v>71</v>
      </c>
      <c r="W1" s="90" t="s">
        <v>33</v>
      </c>
      <c r="Z1" s="84"/>
      <c r="AA1" s="84"/>
      <c r="AC1" s="90" t="s">
        <v>57</v>
      </c>
      <c r="AD1" s="84"/>
    </row>
    <row r="2" spans="1:41" x14ac:dyDescent="0.25">
      <c r="C2" s="91" t="s">
        <v>155</v>
      </c>
      <c r="D2" s="1" t="s">
        <v>156</v>
      </c>
      <c r="E2" s="91" t="s">
        <v>155</v>
      </c>
      <c r="F2" s="95" t="s">
        <v>156</v>
      </c>
      <c r="G2" s="91" t="s">
        <v>155</v>
      </c>
      <c r="H2" s="95" t="s">
        <v>157</v>
      </c>
      <c r="I2" s="95" t="s">
        <v>155</v>
      </c>
      <c r="J2" s="1"/>
      <c r="K2" s="1" t="s">
        <v>156</v>
      </c>
      <c r="L2" s="91" t="s">
        <v>155</v>
      </c>
      <c r="M2" s="83" t="s">
        <v>164</v>
      </c>
      <c r="N2" s="83" t="s">
        <v>164</v>
      </c>
      <c r="O2" s="83"/>
      <c r="P2" s="95" t="s">
        <v>156</v>
      </c>
      <c r="Q2" s="96" t="s">
        <v>155</v>
      </c>
      <c r="R2" s="83" t="s">
        <v>164</v>
      </c>
      <c r="S2" s="83" t="s">
        <v>164</v>
      </c>
      <c r="T2" s="1"/>
      <c r="U2" s="1" t="s">
        <v>156</v>
      </c>
      <c r="V2" s="1" t="s">
        <v>156</v>
      </c>
      <c r="W2" s="91" t="s">
        <v>155</v>
      </c>
      <c r="X2" s="83" t="s">
        <v>164</v>
      </c>
      <c r="Y2" s="83" t="s">
        <v>164</v>
      </c>
      <c r="Z2" s="85"/>
      <c r="AA2" s="85" t="s">
        <v>156</v>
      </c>
      <c r="AB2" s="1" t="s">
        <v>156</v>
      </c>
      <c r="AC2" s="91" t="s">
        <v>156</v>
      </c>
      <c r="AD2" s="85" t="s">
        <v>156</v>
      </c>
    </row>
    <row r="3" spans="1:41" s="121" customFormat="1" ht="60" x14ac:dyDescent="0.25">
      <c r="A3" s="132" t="s">
        <v>179</v>
      </c>
      <c r="C3" s="99" t="s">
        <v>43</v>
      </c>
      <c r="D3" s="100" t="s">
        <v>152</v>
      </c>
      <c r="E3" s="99" t="s">
        <v>83</v>
      </c>
      <c r="F3" s="100" t="s">
        <v>153</v>
      </c>
      <c r="G3" s="99" t="s">
        <v>154</v>
      </c>
      <c r="H3" s="101" t="s">
        <v>142</v>
      </c>
      <c r="I3" s="102" t="s">
        <v>86</v>
      </c>
      <c r="J3" s="100"/>
      <c r="K3" s="100" t="s">
        <v>150</v>
      </c>
      <c r="L3" s="99" t="s">
        <v>36</v>
      </c>
      <c r="M3" s="101" t="s">
        <v>165</v>
      </c>
      <c r="N3" s="102" t="s">
        <v>86</v>
      </c>
      <c r="O3" s="101"/>
      <c r="P3" s="102" t="s">
        <v>45</v>
      </c>
      <c r="Q3" s="103" t="s">
        <v>34</v>
      </c>
      <c r="R3" s="101" t="s">
        <v>165</v>
      </c>
      <c r="S3" s="102" t="s">
        <v>86</v>
      </c>
      <c r="T3" s="100"/>
      <c r="U3" s="100" t="s">
        <v>161</v>
      </c>
      <c r="V3" s="100" t="s">
        <v>162</v>
      </c>
      <c r="W3" s="99" t="s">
        <v>34</v>
      </c>
      <c r="X3" s="101" t="s">
        <v>165</v>
      </c>
      <c r="Y3" s="102" t="s">
        <v>86</v>
      </c>
      <c r="Z3" s="104"/>
      <c r="AA3" s="104" t="s">
        <v>159</v>
      </c>
      <c r="AB3" s="100" t="s">
        <v>160</v>
      </c>
      <c r="AC3" s="99" t="s">
        <v>159</v>
      </c>
      <c r="AD3" s="104" t="s">
        <v>160</v>
      </c>
      <c r="AG3" s="140" t="s">
        <v>182</v>
      </c>
      <c r="AH3" s="122" t="s">
        <v>158</v>
      </c>
      <c r="AI3" s="121" t="s">
        <v>35</v>
      </c>
      <c r="AJ3" s="121" t="s">
        <v>170</v>
      </c>
      <c r="AK3" s="121" t="s">
        <v>41</v>
      </c>
      <c r="AL3" s="121" t="s">
        <v>171</v>
      </c>
      <c r="AM3" s="121" t="s">
        <v>172</v>
      </c>
      <c r="AN3" s="121" t="s">
        <v>173</v>
      </c>
      <c r="AO3" s="121" t="s">
        <v>174</v>
      </c>
    </row>
    <row r="4" spans="1:41" x14ac:dyDescent="0.25">
      <c r="A4" s="105" t="s">
        <v>168</v>
      </c>
      <c r="C4" s="128">
        <f>Model!$BF$14</f>
        <v>3004198</v>
      </c>
      <c r="D4" s="41">
        <f>Model!$BF$24</f>
        <v>0.38461538461538458</v>
      </c>
      <c r="E4" s="129">
        <f>D4*C4</f>
        <v>1155460.769230769</v>
      </c>
      <c r="F4" s="41">
        <f>Model!$BF$36</f>
        <v>1</v>
      </c>
      <c r="G4" s="129">
        <f>F4*E4</f>
        <v>1155460.769230769</v>
      </c>
      <c r="H4" s="86">
        <f>INDEX(Model!$BF$40:$BF$43,MATCH($J4,Model!$BE$40:$BE$43,0))</f>
        <v>0.14000000000000001</v>
      </c>
      <c r="I4" s="107">
        <f>G4*H4</f>
        <v>161764.50769230767</v>
      </c>
      <c r="J4" s="41" t="s">
        <v>25</v>
      </c>
      <c r="K4" s="86">
        <f>INDEX(Model!$BF$44:$BF$47,MATCH($J4,Model!$BE$40:$BE$43,0))</f>
        <v>84.759907824534466</v>
      </c>
      <c r="L4" s="106">
        <f t="shared" ref="L4:L35" si="0">K4*I4</f>
        <v>13711144.761281194</v>
      </c>
      <c r="M4" s="86" t="e">
        <f>Model!#REF!</f>
        <v>#REF!</v>
      </c>
      <c r="N4" s="107" t="e">
        <f t="shared" ref="N4:N8" si="1">L4*M4</f>
        <v>#REF!</v>
      </c>
      <c r="O4" s="86" t="s">
        <v>31</v>
      </c>
      <c r="P4" s="86">
        <f>INDEX(Model!$BF$61:$BF$220,MATCH($O4,Model!$BE$61:$BE$220,0)+MATCH(Model!$BC$219,Model!$BC$61:$BC$220,0)-1)</f>
        <v>0.309</v>
      </c>
      <c r="Q4" s="106" t="e">
        <f>N4*P4</f>
        <v>#REF!</v>
      </c>
      <c r="R4" s="124" t="e">
        <f>Model!#REF!</f>
        <v>#REF!</v>
      </c>
      <c r="S4" s="107" t="e">
        <f t="shared" ref="S4" si="2">Q4*R4</f>
        <v>#REF!</v>
      </c>
      <c r="T4" s="41" t="s">
        <v>32</v>
      </c>
      <c r="U4" s="41"/>
      <c r="V4" s="41">
        <f>Model!$BF$256</f>
        <v>1</v>
      </c>
      <c r="W4" s="106"/>
      <c r="X4" s="124"/>
      <c r="Y4" s="107">
        <f t="shared" ref="Y4:Y67" si="3">W4*X4</f>
        <v>0</v>
      </c>
      <c r="Z4" s="87"/>
      <c r="AA4" s="87"/>
      <c r="AB4" s="41"/>
      <c r="AC4" s="93" t="e">
        <f>V4*S4+AA4*Y4</f>
        <v>#REF!</v>
      </c>
      <c r="AD4" s="87">
        <f>AB4*Y4</f>
        <v>0</v>
      </c>
      <c r="AG4" s="1" t="s">
        <v>31</v>
      </c>
      <c r="AH4" s="114" t="e">
        <f t="shared" ref="AH4:AH6" si="4">(AJ4*AK4/(1-(1+AK4)^(-AL4))+SUM(AM4:AO4))^-AI4</f>
        <v>#REF!</v>
      </c>
      <c r="AI4">
        <f>Model!$BF$60</f>
        <v>10</v>
      </c>
      <c r="AJ4">
        <f>Model!BF204</f>
        <v>18325</v>
      </c>
      <c r="AK4">
        <f>Model!BF194</f>
        <v>0.25</v>
      </c>
      <c r="AL4">
        <f>Model!BF192</f>
        <v>25</v>
      </c>
      <c r="AM4" t="e">
        <f>Model!#REF!</f>
        <v>#REF!</v>
      </c>
      <c r="AN4" t="e">
        <f>Model!#REF!</f>
        <v>#REF!</v>
      </c>
    </row>
    <row r="5" spans="1:41" x14ac:dyDescent="0.25">
      <c r="C5" s="142">
        <f>Model!$BF$14</f>
        <v>3004198</v>
      </c>
      <c r="D5" s="88">
        <f>Model!$BF$24</f>
        <v>0.38461538461538458</v>
      </c>
      <c r="E5" s="143">
        <f t="shared" ref="E5:E68" si="5">D5*C5</f>
        <v>1155460.769230769</v>
      </c>
      <c r="F5" s="88">
        <f>Model!$BF$36</f>
        <v>1</v>
      </c>
      <c r="G5" s="143">
        <f t="shared" ref="G5:G68" si="6">F5*E5</f>
        <v>1155460.769230769</v>
      </c>
      <c r="H5" s="89">
        <f>INDEX(Model!$BF$40:$BF$43,MATCH($J5,Model!$BE$40:$BE$43,0))</f>
        <v>0.14000000000000001</v>
      </c>
      <c r="I5" s="108">
        <f t="shared" ref="I5:I68" si="7">G5*H5</f>
        <v>161764.50769230767</v>
      </c>
      <c r="J5" s="88" t="s">
        <v>25</v>
      </c>
      <c r="K5" s="89">
        <f>INDEX(Model!$BF$44:$BF$47,MATCH($J5,Model!$BE$40:$BE$43,0))</f>
        <v>84.759907824534466</v>
      </c>
      <c r="L5" s="110">
        <f t="shared" si="0"/>
        <v>13711144.761281194</v>
      </c>
      <c r="M5" s="89" t="e">
        <f>Model!#REF!</f>
        <v>#REF!</v>
      </c>
      <c r="N5" s="108" t="e">
        <f t="shared" si="1"/>
        <v>#REF!</v>
      </c>
      <c r="O5" s="89" t="s">
        <v>31</v>
      </c>
      <c r="P5" s="89">
        <f>INDEX(Model!$BF$61:$BF$220,MATCH($O5,Model!$BE$61:$BE$220,0)+MATCH(Model!$BC$219,Model!$BC$61:$BC$220,0)-1)</f>
        <v>0.309</v>
      </c>
      <c r="Q5" s="110" t="e">
        <f t="shared" ref="Q5:Q68" si="8">N5*P5</f>
        <v>#REF!</v>
      </c>
      <c r="R5" s="125" t="e">
        <f>Model!#REF!</f>
        <v>#REF!</v>
      </c>
      <c r="S5" s="108" t="e">
        <f t="shared" ref="S5:S68" si="9">Q5*R5</f>
        <v>#REF!</v>
      </c>
      <c r="T5" s="88" t="s">
        <v>33</v>
      </c>
      <c r="U5" s="88">
        <f>Model!$BF$287</f>
        <v>1</v>
      </c>
      <c r="V5" s="88"/>
      <c r="W5" s="110" t="e">
        <f>S5*U5</f>
        <v>#REF!</v>
      </c>
      <c r="X5" s="127"/>
      <c r="Y5" s="108" t="e">
        <f t="shared" si="3"/>
        <v>#REF!</v>
      </c>
      <c r="Z5" s="88" t="s">
        <v>54</v>
      </c>
      <c r="AA5" s="88">
        <f>Model!$BF$355</f>
        <v>0.52631578947368418</v>
      </c>
      <c r="AB5" s="88"/>
      <c r="AC5" s="94" t="e">
        <f t="shared" ref="AC5:AC68" si="10">V5*S5+AA5*Y5</f>
        <v>#REF!</v>
      </c>
      <c r="AD5" s="88" t="e">
        <f t="shared" ref="AD5:AD68" si="11">AB5*Y5</f>
        <v>#REF!</v>
      </c>
      <c r="AG5" s="1" t="s">
        <v>30</v>
      </c>
      <c r="AH5" s="114" t="e">
        <f t="shared" si="4"/>
        <v>#REF!</v>
      </c>
      <c r="AI5">
        <f>Model!$BF$60</f>
        <v>10</v>
      </c>
      <c r="AJ5">
        <f>Model!BF172</f>
        <v>10548</v>
      </c>
      <c r="AK5">
        <f>Model!BF162</f>
        <v>0.25</v>
      </c>
      <c r="AL5">
        <f>Model!BF160</f>
        <v>25</v>
      </c>
      <c r="AM5" t="e">
        <f>Model!#REF!</f>
        <v>#REF!</v>
      </c>
      <c r="AN5" t="e">
        <f>Model!#REF!</f>
        <v>#REF!</v>
      </c>
    </row>
    <row r="6" spans="1:41" x14ac:dyDescent="0.25">
      <c r="C6" s="128">
        <f>Model!$BF$14</f>
        <v>3004198</v>
      </c>
      <c r="D6" s="41">
        <f>Model!$BF$24</f>
        <v>0.38461538461538458</v>
      </c>
      <c r="E6" s="129">
        <f t="shared" si="5"/>
        <v>1155460.769230769</v>
      </c>
      <c r="F6" s="41">
        <f>Model!$BF$36</f>
        <v>1</v>
      </c>
      <c r="G6" s="129">
        <f t="shared" si="6"/>
        <v>1155460.769230769</v>
      </c>
      <c r="H6" s="86">
        <f>INDEX(Model!$BF$40:$BF$43,MATCH($J6,Model!$BE$40:$BE$43,0))</f>
        <v>0.14000000000000001</v>
      </c>
      <c r="I6" s="107">
        <f t="shared" si="7"/>
        <v>161764.50769230767</v>
      </c>
      <c r="J6" s="41" t="s">
        <v>25</v>
      </c>
      <c r="K6" s="86">
        <f>INDEX(Model!$BF$44:$BF$47,MATCH($J6,Model!$BE$40:$BE$43,0))</f>
        <v>84.759907824534466</v>
      </c>
      <c r="L6" s="106">
        <f t="shared" si="0"/>
        <v>13711144.761281194</v>
      </c>
      <c r="M6" s="86" t="e">
        <f>Model!#REF!</f>
        <v>#REF!</v>
      </c>
      <c r="N6" s="107" t="e">
        <f t="shared" si="1"/>
        <v>#REF!</v>
      </c>
      <c r="O6" s="86" t="s">
        <v>31</v>
      </c>
      <c r="P6" s="86">
        <f>INDEX(Model!$BF$61:$BF$220,MATCH($O6,Model!$BE$61:$BE$220,0)+MATCH(Model!$BC$219,Model!$BC$61:$BC$220,0)-1)</f>
        <v>0.309</v>
      </c>
      <c r="Q6" s="106" t="e">
        <f t="shared" si="8"/>
        <v>#REF!</v>
      </c>
      <c r="R6" s="124" t="e">
        <f>Model!#REF!</f>
        <v>#REF!</v>
      </c>
      <c r="S6" s="107" t="e">
        <f t="shared" si="9"/>
        <v>#REF!</v>
      </c>
      <c r="T6" s="41" t="s">
        <v>33</v>
      </c>
      <c r="U6" s="41">
        <f>Model!$BF$287</f>
        <v>1</v>
      </c>
      <c r="V6" s="41"/>
      <c r="W6" s="106" t="e">
        <f>S6*U6</f>
        <v>#REF!</v>
      </c>
      <c r="X6" s="147">
        <v>0</v>
      </c>
      <c r="Y6" s="107" t="e">
        <f t="shared" si="3"/>
        <v>#REF!</v>
      </c>
      <c r="Z6" s="87" t="s">
        <v>119</v>
      </c>
      <c r="AA6" s="87">
        <f>Model!$BF$386</f>
        <v>0.4</v>
      </c>
      <c r="AB6" s="41"/>
      <c r="AC6" s="93" t="e">
        <f t="shared" si="10"/>
        <v>#REF!</v>
      </c>
      <c r="AD6" s="87" t="e">
        <f t="shared" si="11"/>
        <v>#REF!</v>
      </c>
      <c r="AG6" s="1" t="s">
        <v>29</v>
      </c>
      <c r="AH6" s="114" t="e">
        <f t="shared" si="4"/>
        <v>#REF!</v>
      </c>
      <c r="AI6">
        <f>Model!$BF$60</f>
        <v>10</v>
      </c>
      <c r="AJ6">
        <f>Model!BF140</f>
        <v>2655</v>
      </c>
      <c r="AK6">
        <f>Model!BF130</f>
        <v>0.25</v>
      </c>
      <c r="AL6">
        <f>Model!BF128</f>
        <v>25</v>
      </c>
      <c r="AM6" t="e">
        <f>Model!#REF!</f>
        <v>#REF!</v>
      </c>
      <c r="AN6" t="e">
        <f>Model!#REF!</f>
        <v>#REF!</v>
      </c>
    </row>
    <row r="7" spans="1:41" x14ac:dyDescent="0.25">
      <c r="A7" s="112" t="s">
        <v>120</v>
      </c>
      <c r="C7" s="128">
        <f>Model!$BF$14</f>
        <v>3004198</v>
      </c>
      <c r="D7" s="41">
        <f>Model!$BF$24</f>
        <v>0.38461538461538458</v>
      </c>
      <c r="E7" s="129">
        <f t="shared" si="5"/>
        <v>1155460.769230769</v>
      </c>
      <c r="F7" s="41">
        <f>Model!$BF$36</f>
        <v>1</v>
      </c>
      <c r="G7" s="129">
        <f t="shared" si="6"/>
        <v>1155460.769230769</v>
      </c>
      <c r="H7" s="86">
        <f>INDEX(Model!$BF$40:$BF$43,MATCH($J7,Model!$BE$40:$BE$43,0))</f>
        <v>0.14000000000000001</v>
      </c>
      <c r="I7" s="107">
        <f t="shared" si="7"/>
        <v>161764.50769230767</v>
      </c>
      <c r="J7" s="41" t="s">
        <v>25</v>
      </c>
      <c r="K7" s="86">
        <f>INDEX(Model!$BF$44:$BF$47,MATCH($J7,Model!$BE$40:$BE$43,0))</f>
        <v>84.759907824534466</v>
      </c>
      <c r="L7" s="106">
        <f t="shared" si="0"/>
        <v>13711144.761281194</v>
      </c>
      <c r="M7" s="86" t="e">
        <f>Model!#REF!</f>
        <v>#REF!</v>
      </c>
      <c r="N7" s="107" t="e">
        <f t="shared" si="1"/>
        <v>#REF!</v>
      </c>
      <c r="O7" s="86" t="s">
        <v>31</v>
      </c>
      <c r="P7" s="86">
        <f>INDEX(Model!$BF$61:$BF$220,MATCH($O7,Model!$BE$61:$BE$220,0)+MATCH(Model!$BC$219,Model!$BC$61:$BC$220,0)-1)</f>
        <v>0.309</v>
      </c>
      <c r="Q7" s="106" t="e">
        <f t="shared" si="8"/>
        <v>#REF!</v>
      </c>
      <c r="R7" s="124" t="e">
        <f>Model!#REF!</f>
        <v>#REF!</v>
      </c>
      <c r="S7" s="107" t="e">
        <f t="shared" si="9"/>
        <v>#REF!</v>
      </c>
      <c r="T7" s="41" t="s">
        <v>33</v>
      </c>
      <c r="U7" s="41">
        <f>Model!$BF$287</f>
        <v>1</v>
      </c>
      <c r="V7" s="41"/>
      <c r="W7" s="106" t="e">
        <f>S7*U7</f>
        <v>#REF!</v>
      </c>
      <c r="X7" s="147" t="e">
        <f>Model!#REF!/SUM(Model!#REF!,Model!#REF!)</f>
        <v>#REF!</v>
      </c>
      <c r="Y7" s="107" t="e">
        <f t="shared" si="3"/>
        <v>#REF!</v>
      </c>
      <c r="Z7" s="87" t="s">
        <v>52</v>
      </c>
      <c r="AA7" s="87"/>
      <c r="AB7" s="41">
        <f>Model!$BF$324</f>
        <v>1.6129032258064517</v>
      </c>
      <c r="AC7" s="93" t="e">
        <f t="shared" si="10"/>
        <v>#REF!</v>
      </c>
      <c r="AD7" s="87" t="e">
        <f t="shared" si="11"/>
        <v>#REF!</v>
      </c>
      <c r="AG7" s="1"/>
      <c r="AH7" s="114"/>
    </row>
    <row r="8" spans="1:41" x14ac:dyDescent="0.25">
      <c r="A8" s="78" t="s">
        <v>163</v>
      </c>
      <c r="C8" s="128">
        <f>Model!$BF$14</f>
        <v>3004198</v>
      </c>
      <c r="D8" s="41">
        <f>Model!$BF$24</f>
        <v>0.38461538461538458</v>
      </c>
      <c r="E8" s="129">
        <f t="shared" si="5"/>
        <v>1155460.769230769</v>
      </c>
      <c r="F8" s="41">
        <f>Model!$BF$36</f>
        <v>1</v>
      </c>
      <c r="G8" s="129">
        <f t="shared" si="6"/>
        <v>1155460.769230769</v>
      </c>
      <c r="H8" s="86">
        <f>INDEX(Model!$BF$40:$BF$43,MATCH($J8,Model!$BE$40:$BE$43,0))</f>
        <v>0.14000000000000001</v>
      </c>
      <c r="I8" s="107">
        <f t="shared" si="7"/>
        <v>161764.50769230767</v>
      </c>
      <c r="J8" s="41" t="s">
        <v>25</v>
      </c>
      <c r="K8" s="86">
        <f>INDEX(Model!$BF$44:$BF$47,MATCH($J8,Model!$BE$40:$BE$43,0))</f>
        <v>84.759907824534466</v>
      </c>
      <c r="L8" s="106">
        <f t="shared" si="0"/>
        <v>13711144.761281194</v>
      </c>
      <c r="M8" s="86" t="e">
        <f>Model!#REF!</f>
        <v>#REF!</v>
      </c>
      <c r="N8" s="107" t="e">
        <f t="shared" si="1"/>
        <v>#REF!</v>
      </c>
      <c r="O8" s="86" t="s">
        <v>31</v>
      </c>
      <c r="P8" s="86">
        <f>INDEX(Model!$BF$61:$BF$220,MATCH($O8,Model!$BE$61:$BE$220,0)+MATCH(Model!$BC$219,Model!$BC$61:$BC$220,0)-1)</f>
        <v>0.309</v>
      </c>
      <c r="Q8" s="106" t="e">
        <f t="shared" si="8"/>
        <v>#REF!</v>
      </c>
      <c r="R8" s="124" t="e">
        <f>Model!#REF!</f>
        <v>#REF!</v>
      </c>
      <c r="S8" s="107" t="e">
        <f t="shared" si="9"/>
        <v>#REF!</v>
      </c>
      <c r="T8" s="41" t="s">
        <v>33</v>
      </c>
      <c r="U8" s="41">
        <f>Model!$BF$287</f>
        <v>1</v>
      </c>
      <c r="V8" s="41"/>
      <c r="W8" s="106" t="e">
        <f>S8*U8</f>
        <v>#REF!</v>
      </c>
      <c r="X8" s="147" t="e">
        <f>Model!#REF!/SUM(Model!#REF!,Model!#REF!)</f>
        <v>#REF!</v>
      </c>
      <c r="Y8" s="107" t="e">
        <f t="shared" si="3"/>
        <v>#REF!</v>
      </c>
      <c r="Z8" s="87" t="s">
        <v>53</v>
      </c>
      <c r="AA8" s="87"/>
      <c r="AB8" s="41">
        <f>Model!$BF$417</f>
        <v>1.1111111111111112</v>
      </c>
      <c r="AC8" s="93" t="e">
        <f t="shared" si="10"/>
        <v>#REF!</v>
      </c>
      <c r="AD8" s="87" t="e">
        <f t="shared" si="11"/>
        <v>#REF!</v>
      </c>
      <c r="AG8" s="1" t="s">
        <v>32</v>
      </c>
      <c r="AH8" s="114" t="e">
        <f>(AJ8*AK8/(1-(1+AK8)^(-AL8))+SUM(AM8:AO8))^-AI8</f>
        <v>#REF!</v>
      </c>
      <c r="AI8">
        <f>Model!$BF$225</f>
        <v>10</v>
      </c>
      <c r="AJ8">
        <f>Model!BF241</f>
        <v>2655</v>
      </c>
      <c r="AK8">
        <f>Model!BF231</f>
        <v>0.25</v>
      </c>
      <c r="AL8">
        <f>Model!BF229</f>
        <v>25</v>
      </c>
      <c r="AM8" t="e">
        <f>Model!#REF!</f>
        <v>#REF!</v>
      </c>
      <c r="AN8" t="e">
        <f>Model!#REF!</f>
        <v>#REF!</v>
      </c>
      <c r="AO8" s="123" t="e">
        <f>Model!#REF!</f>
        <v>#REF!</v>
      </c>
    </row>
    <row r="9" spans="1:41" x14ac:dyDescent="0.25">
      <c r="C9" s="128">
        <f>Model!$BF$14</f>
        <v>3004198</v>
      </c>
      <c r="D9" s="41">
        <f>Model!$BF$24</f>
        <v>0.38461538461538458</v>
      </c>
      <c r="E9" s="129">
        <f t="shared" si="5"/>
        <v>1155460.769230769</v>
      </c>
      <c r="F9" s="41">
        <f>Model!$BF$36</f>
        <v>1</v>
      </c>
      <c r="G9" s="129">
        <f t="shared" si="6"/>
        <v>1155460.769230769</v>
      </c>
      <c r="H9" s="86">
        <f>INDEX(Model!$BF$40:$BF$43,MATCH($J9,Model!$BE$40:$BE$43,0))</f>
        <v>0.14000000000000001</v>
      </c>
      <c r="I9" s="107">
        <f t="shared" si="7"/>
        <v>161764.50769230767</v>
      </c>
      <c r="J9" s="41" t="s">
        <v>25</v>
      </c>
      <c r="K9" s="86">
        <f>INDEX(Model!$BF$44:$BF$47,MATCH($J9,Model!$BE$40:$BE$43,0))</f>
        <v>84.759907824534466</v>
      </c>
      <c r="L9" s="106">
        <f t="shared" si="0"/>
        <v>13711144.761281194</v>
      </c>
      <c r="M9" s="86">
        <f>Model!$BF$102</f>
        <v>0.83299999999999996</v>
      </c>
      <c r="N9" s="107">
        <f>L9*M9</f>
        <v>11421383.586147234</v>
      </c>
      <c r="O9" s="86" t="s">
        <v>27</v>
      </c>
      <c r="P9" s="86">
        <f>INDEX(Model!$BF$61:$BF$220,MATCH($O9,Model!$BE$61:$BE$220,0)+MATCH(Model!$BC$219,Model!$BC$61:$BC$220,0)-1)</f>
        <v>0.63300000000000001</v>
      </c>
      <c r="Q9" s="106">
        <f t="shared" si="8"/>
        <v>7229735.8100311989</v>
      </c>
      <c r="R9" s="124" t="e">
        <f>Model!#REF!</f>
        <v>#REF!</v>
      </c>
      <c r="S9" s="107" t="e">
        <f t="shared" si="9"/>
        <v>#REF!</v>
      </c>
      <c r="T9" s="41" t="s">
        <v>32</v>
      </c>
      <c r="U9" s="41"/>
      <c r="V9" s="41">
        <f>Model!$BF$256</f>
        <v>1</v>
      </c>
      <c r="W9" s="106"/>
      <c r="X9" s="124"/>
      <c r="Y9" s="107">
        <f t="shared" si="3"/>
        <v>0</v>
      </c>
      <c r="Z9" s="87"/>
      <c r="AA9" s="87"/>
      <c r="AB9" s="41"/>
      <c r="AC9" s="93" t="e">
        <f t="shared" si="10"/>
        <v>#REF!</v>
      </c>
      <c r="AD9" s="87">
        <f t="shared" si="11"/>
        <v>0</v>
      </c>
      <c r="AG9" s="1" t="s">
        <v>33</v>
      </c>
      <c r="AH9" s="114" t="e">
        <f>Model!#REF!^-AI9</f>
        <v>#REF!</v>
      </c>
      <c r="AI9">
        <f>Model!$BF$225</f>
        <v>10</v>
      </c>
    </row>
    <row r="10" spans="1:41" x14ac:dyDescent="0.25">
      <c r="A10" s="113" t="s">
        <v>169</v>
      </c>
      <c r="C10" s="142">
        <f>Model!$BF$14</f>
        <v>3004198</v>
      </c>
      <c r="D10" s="88">
        <f>Model!$BF$24</f>
        <v>0.38461538461538458</v>
      </c>
      <c r="E10" s="143">
        <f t="shared" si="5"/>
        <v>1155460.769230769</v>
      </c>
      <c r="F10" s="88">
        <f>Model!$BF$36</f>
        <v>1</v>
      </c>
      <c r="G10" s="143">
        <f t="shared" si="6"/>
        <v>1155460.769230769</v>
      </c>
      <c r="H10" s="89">
        <f>INDEX(Model!$BF$40:$BF$43,MATCH($J10,Model!$BE$40:$BE$43,0))</f>
        <v>0.14000000000000001</v>
      </c>
      <c r="I10" s="108">
        <f t="shared" si="7"/>
        <v>161764.50769230767</v>
      </c>
      <c r="J10" s="88" t="s">
        <v>25</v>
      </c>
      <c r="K10" s="89">
        <f>INDEX(Model!$BF$44:$BF$47,MATCH($J10,Model!$BE$40:$BE$43,0))</f>
        <v>84.759907824534466</v>
      </c>
      <c r="L10" s="110">
        <f t="shared" si="0"/>
        <v>13711144.761281194</v>
      </c>
      <c r="M10" s="89">
        <f>Model!$BF$102</f>
        <v>0.83299999999999996</v>
      </c>
      <c r="N10" s="108">
        <f t="shared" ref="N10:N73" si="12">L10*M10</f>
        <v>11421383.586147234</v>
      </c>
      <c r="O10" s="89" t="s">
        <v>27</v>
      </c>
      <c r="P10" s="89">
        <f>INDEX(Model!$BF$61:$BF$220,MATCH($O10,Model!$BE$61:$BE$220,0)+MATCH(Model!$BC$219,Model!$BC$61:$BC$220,0)-1)</f>
        <v>0.63300000000000001</v>
      </c>
      <c r="Q10" s="110">
        <f t="shared" si="8"/>
        <v>7229735.8100311989</v>
      </c>
      <c r="R10" s="125" t="e">
        <f>Model!#REF!</f>
        <v>#REF!</v>
      </c>
      <c r="S10" s="108" t="e">
        <f t="shared" si="9"/>
        <v>#REF!</v>
      </c>
      <c r="T10" s="88" t="s">
        <v>33</v>
      </c>
      <c r="U10" s="88">
        <f>Model!$BF$287</f>
        <v>1</v>
      </c>
      <c r="V10" s="88"/>
      <c r="W10" s="110" t="e">
        <f>S10*U10</f>
        <v>#REF!</v>
      </c>
      <c r="X10" s="127"/>
      <c r="Y10" s="108" t="e">
        <f t="shared" si="3"/>
        <v>#REF!</v>
      </c>
      <c r="Z10" s="88" t="s">
        <v>54</v>
      </c>
      <c r="AA10" s="88">
        <f>Model!$BF$355</f>
        <v>0.52631578947368418</v>
      </c>
      <c r="AB10" s="88"/>
      <c r="AC10" s="94" t="e">
        <f t="shared" si="10"/>
        <v>#REF!</v>
      </c>
      <c r="AD10" s="88" t="e">
        <f t="shared" si="11"/>
        <v>#REF!</v>
      </c>
      <c r="AG10" s="1"/>
      <c r="AH10" s="114"/>
    </row>
    <row r="11" spans="1:41" x14ac:dyDescent="0.25">
      <c r="A11" s="146" t="s">
        <v>201</v>
      </c>
      <c r="C11" s="128">
        <f>Model!$BF$14</f>
        <v>3004198</v>
      </c>
      <c r="D11" s="41">
        <f>Model!$BF$24</f>
        <v>0.38461538461538458</v>
      </c>
      <c r="E11" s="129">
        <f t="shared" si="5"/>
        <v>1155460.769230769</v>
      </c>
      <c r="F11" s="41">
        <f>Model!$BF$36</f>
        <v>1</v>
      </c>
      <c r="G11" s="129">
        <f t="shared" si="6"/>
        <v>1155460.769230769</v>
      </c>
      <c r="H11" s="86">
        <f>INDEX(Model!$BF$40:$BF$43,MATCH($J11,Model!$BE$40:$BE$43,0))</f>
        <v>0.14000000000000001</v>
      </c>
      <c r="I11" s="107">
        <f t="shared" si="7"/>
        <v>161764.50769230767</v>
      </c>
      <c r="J11" s="41" t="s">
        <v>25</v>
      </c>
      <c r="K11" s="86">
        <f>INDEX(Model!$BF$44:$BF$47,MATCH($J11,Model!$BE$40:$BE$43,0))</f>
        <v>84.759907824534466</v>
      </c>
      <c r="L11" s="106">
        <f t="shared" si="0"/>
        <v>13711144.761281194</v>
      </c>
      <c r="M11" s="86">
        <f>Model!$BF$102</f>
        <v>0.83299999999999996</v>
      </c>
      <c r="N11" s="107">
        <f t="shared" si="12"/>
        <v>11421383.586147234</v>
      </c>
      <c r="O11" s="86" t="s">
        <v>27</v>
      </c>
      <c r="P11" s="86">
        <f>INDEX(Model!$BF$61:$BF$220,MATCH($O11,Model!$BE$61:$BE$220,0)+MATCH(Model!$BC$219,Model!$BC$61:$BC$220,0)-1)</f>
        <v>0.63300000000000001</v>
      </c>
      <c r="Q11" s="106">
        <f t="shared" si="8"/>
        <v>7229735.8100311989</v>
      </c>
      <c r="R11" s="124" t="e">
        <f>Model!#REF!</f>
        <v>#REF!</v>
      </c>
      <c r="S11" s="107" t="e">
        <f t="shared" si="9"/>
        <v>#REF!</v>
      </c>
      <c r="T11" s="41" t="s">
        <v>33</v>
      </c>
      <c r="U11" s="41">
        <f>Model!$BF$287</f>
        <v>1</v>
      </c>
      <c r="V11" s="41"/>
      <c r="W11" s="106" t="e">
        <f>S11*U11</f>
        <v>#REF!</v>
      </c>
      <c r="X11" s="147">
        <v>0</v>
      </c>
      <c r="Y11" s="107" t="e">
        <f t="shared" si="3"/>
        <v>#REF!</v>
      </c>
      <c r="Z11" s="87" t="s">
        <v>119</v>
      </c>
      <c r="AA11" s="87">
        <f>Model!$BF$386</f>
        <v>0.4</v>
      </c>
      <c r="AB11" s="88"/>
      <c r="AC11" s="93" t="e">
        <f t="shared" si="10"/>
        <v>#REF!</v>
      </c>
      <c r="AD11" s="87" t="e">
        <f t="shared" si="11"/>
        <v>#REF!</v>
      </c>
      <c r="AG11" s="1" t="s">
        <v>119</v>
      </c>
      <c r="AH11" s="114" t="e">
        <f>(AJ11*AK11/(1-(1+AK11)^(-AL11))+SUM(AM11:AO11))^-AI11</f>
        <v>#REF!</v>
      </c>
      <c r="AI11">
        <f>Model!$BF$292</f>
        <v>10</v>
      </c>
      <c r="AJ11">
        <f>Model!BF371</f>
        <v>15521</v>
      </c>
      <c r="AK11">
        <f>Model!BF361</f>
        <v>0.25</v>
      </c>
      <c r="AL11">
        <f>Model!BF359</f>
        <v>50</v>
      </c>
      <c r="AM11" t="e">
        <f>Model!#REF!</f>
        <v>#REF!</v>
      </c>
      <c r="AN11" t="e">
        <f>Model!#REF!</f>
        <v>#REF!</v>
      </c>
      <c r="AO11" s="123" t="e">
        <f>Model!#REF!</f>
        <v>#REF!</v>
      </c>
    </row>
    <row r="12" spans="1:41" x14ac:dyDescent="0.25">
      <c r="C12" s="128">
        <f>Model!$BF$14</f>
        <v>3004198</v>
      </c>
      <c r="D12" s="41">
        <f>Model!$BF$24</f>
        <v>0.38461538461538458</v>
      </c>
      <c r="E12" s="129">
        <f t="shared" si="5"/>
        <v>1155460.769230769</v>
      </c>
      <c r="F12" s="41">
        <f>Model!$BF$36</f>
        <v>1</v>
      </c>
      <c r="G12" s="129">
        <f t="shared" si="6"/>
        <v>1155460.769230769</v>
      </c>
      <c r="H12" s="86">
        <f>INDEX(Model!$BF$40:$BF$43,MATCH($J12,Model!$BE$40:$BE$43,0))</f>
        <v>0.14000000000000001</v>
      </c>
      <c r="I12" s="107">
        <f t="shared" si="7"/>
        <v>161764.50769230767</v>
      </c>
      <c r="J12" s="41" t="s">
        <v>25</v>
      </c>
      <c r="K12" s="86">
        <f>INDEX(Model!$BF$44:$BF$47,MATCH($J12,Model!$BE$40:$BE$43,0))</f>
        <v>84.759907824534466</v>
      </c>
      <c r="L12" s="106">
        <f t="shared" si="0"/>
        <v>13711144.761281194</v>
      </c>
      <c r="M12" s="86">
        <f>Model!$BF$102</f>
        <v>0.83299999999999996</v>
      </c>
      <c r="N12" s="107">
        <f t="shared" si="12"/>
        <v>11421383.586147234</v>
      </c>
      <c r="O12" s="86" t="s">
        <v>27</v>
      </c>
      <c r="P12" s="86">
        <f>INDEX(Model!$BF$61:$BF$220,MATCH($O12,Model!$BE$61:$BE$220,0)+MATCH(Model!$BC$219,Model!$BC$61:$BC$220,0)-1)</f>
        <v>0.63300000000000001</v>
      </c>
      <c r="Q12" s="106">
        <f t="shared" si="8"/>
        <v>7229735.8100311989</v>
      </c>
      <c r="R12" s="124" t="e">
        <f>Model!#REF!</f>
        <v>#REF!</v>
      </c>
      <c r="S12" s="107" t="e">
        <f t="shared" si="9"/>
        <v>#REF!</v>
      </c>
      <c r="T12" s="41" t="s">
        <v>33</v>
      </c>
      <c r="U12" s="41">
        <f>Model!$BF$287</f>
        <v>1</v>
      </c>
      <c r="V12" s="41"/>
      <c r="W12" s="106" t="e">
        <f>S12*U12</f>
        <v>#REF!</v>
      </c>
      <c r="X12" s="147" t="e">
        <f>Model!#REF!/SUM(Model!#REF!,Model!#REF!)</f>
        <v>#REF!</v>
      </c>
      <c r="Y12" s="107" t="e">
        <f t="shared" si="3"/>
        <v>#REF!</v>
      </c>
      <c r="Z12" s="87" t="s">
        <v>52</v>
      </c>
      <c r="AA12" s="87"/>
      <c r="AB12" s="41">
        <f>Model!$BF$324</f>
        <v>1.6129032258064517</v>
      </c>
      <c r="AC12" s="93" t="e">
        <f t="shared" si="10"/>
        <v>#REF!</v>
      </c>
      <c r="AD12" s="87" t="e">
        <f t="shared" si="11"/>
        <v>#REF!</v>
      </c>
      <c r="AG12" s="1" t="s">
        <v>53</v>
      </c>
      <c r="AH12" s="114" t="e">
        <f>(AJ12*AK12/(1-(1+AK12)^(-AL12))+SUM(AM12:AO12))^-AI12</f>
        <v>#REF!</v>
      </c>
      <c r="AI12">
        <f>Model!$BF$292</f>
        <v>10</v>
      </c>
      <c r="AJ12">
        <f>Model!BF402</f>
        <v>3565</v>
      </c>
      <c r="AK12">
        <f>Model!BF392</f>
        <v>0.25</v>
      </c>
      <c r="AL12">
        <f>Model!BF390</f>
        <v>18</v>
      </c>
      <c r="AM12" t="e">
        <f>Model!#REF!</f>
        <v>#REF!</v>
      </c>
      <c r="AN12" t="e">
        <f>Model!#REF!</f>
        <v>#REF!</v>
      </c>
      <c r="AO12" s="123" t="e">
        <f>Model!#REF!</f>
        <v>#REF!</v>
      </c>
    </row>
    <row r="13" spans="1:41" x14ac:dyDescent="0.25">
      <c r="C13" s="128">
        <f>Model!$BF$14</f>
        <v>3004198</v>
      </c>
      <c r="D13" s="41">
        <f>Model!$BF$24</f>
        <v>0.38461538461538458</v>
      </c>
      <c r="E13" s="129">
        <f t="shared" si="5"/>
        <v>1155460.769230769</v>
      </c>
      <c r="F13" s="41">
        <f>Model!$BF$36</f>
        <v>1</v>
      </c>
      <c r="G13" s="129">
        <f t="shared" si="6"/>
        <v>1155460.769230769</v>
      </c>
      <c r="H13" s="86">
        <f>INDEX(Model!$BF$40:$BF$43,MATCH($J13,Model!$BE$40:$BE$43,0))</f>
        <v>0.14000000000000001</v>
      </c>
      <c r="I13" s="107">
        <f t="shared" si="7"/>
        <v>161764.50769230767</v>
      </c>
      <c r="J13" s="41" t="s">
        <v>25</v>
      </c>
      <c r="K13" s="86">
        <f>INDEX(Model!$BF$44:$BF$47,MATCH($J13,Model!$BE$40:$BE$43,0))</f>
        <v>84.759907824534466</v>
      </c>
      <c r="L13" s="106">
        <f t="shared" si="0"/>
        <v>13711144.761281194</v>
      </c>
      <c r="M13" s="86">
        <f>Model!$BF$102</f>
        <v>0.83299999999999996</v>
      </c>
      <c r="N13" s="107">
        <f t="shared" si="12"/>
        <v>11421383.586147234</v>
      </c>
      <c r="O13" s="86" t="s">
        <v>27</v>
      </c>
      <c r="P13" s="86">
        <f>INDEX(Model!$BF$61:$BF$220,MATCH($O13,Model!$BE$61:$BE$220,0)+MATCH(Model!$BC$219,Model!$BC$61:$BC$220,0)-1)</f>
        <v>0.63300000000000001</v>
      </c>
      <c r="Q13" s="106">
        <f t="shared" si="8"/>
        <v>7229735.8100311989</v>
      </c>
      <c r="R13" s="124" t="e">
        <f>Model!#REF!</f>
        <v>#REF!</v>
      </c>
      <c r="S13" s="107" t="e">
        <f t="shared" si="9"/>
        <v>#REF!</v>
      </c>
      <c r="T13" s="41" t="s">
        <v>33</v>
      </c>
      <c r="U13" s="41">
        <f>Model!$BF$287</f>
        <v>1</v>
      </c>
      <c r="V13" s="41"/>
      <c r="W13" s="106" t="e">
        <f>S13*U13</f>
        <v>#REF!</v>
      </c>
      <c r="X13" s="147" t="e">
        <f>Model!#REF!/SUM(Model!#REF!,Model!#REF!)</f>
        <v>#REF!</v>
      </c>
      <c r="Y13" s="107" t="e">
        <f t="shared" si="3"/>
        <v>#REF!</v>
      </c>
      <c r="Z13" s="87" t="s">
        <v>53</v>
      </c>
      <c r="AA13" s="87"/>
      <c r="AB13" s="41">
        <f>Model!$BF$417</f>
        <v>1.1111111111111112</v>
      </c>
      <c r="AC13" s="93" t="e">
        <f t="shared" si="10"/>
        <v>#REF!</v>
      </c>
      <c r="AD13" s="87" t="e">
        <f t="shared" si="11"/>
        <v>#REF!</v>
      </c>
      <c r="AG13" s="1" t="s">
        <v>54</v>
      </c>
      <c r="AH13" s="114" t="e">
        <f t="shared" ref="AH13" si="13">(AJ13*AK13/(1-(1+AK13)^(-AL13))+SUM(AM13:AO13))^-AI13</f>
        <v>#REF!</v>
      </c>
      <c r="AI13">
        <f>Model!$BF$292</f>
        <v>10</v>
      </c>
      <c r="AJ13">
        <f>Model!BF340</f>
        <v>4886</v>
      </c>
      <c r="AK13">
        <f>Model!BF330</f>
        <v>0.25</v>
      </c>
      <c r="AL13">
        <f>Model!BF328</f>
        <v>12</v>
      </c>
      <c r="AM13" t="e">
        <f>Model!#REF!</f>
        <v>#REF!</v>
      </c>
      <c r="AN13" t="e">
        <f>Model!#REF!</f>
        <v>#REF!</v>
      </c>
      <c r="AO13" s="123" t="e">
        <f>Model!#REF!</f>
        <v>#REF!</v>
      </c>
    </row>
    <row r="14" spans="1:41" x14ac:dyDescent="0.25">
      <c r="C14" s="128">
        <f>Model!$BF$14</f>
        <v>3004198</v>
      </c>
      <c r="D14" s="41">
        <f>Model!$BF$24</f>
        <v>0.38461538461538458</v>
      </c>
      <c r="E14" s="129">
        <f t="shared" si="5"/>
        <v>1155460.769230769</v>
      </c>
      <c r="F14" s="41">
        <f>Model!$BF$36</f>
        <v>1</v>
      </c>
      <c r="G14" s="129">
        <f t="shared" si="6"/>
        <v>1155460.769230769</v>
      </c>
      <c r="H14" s="86">
        <f>INDEX(Model!$BF$40:$BF$43,MATCH($J14,Model!$BE$40:$BE$43,0))</f>
        <v>0.14000000000000001</v>
      </c>
      <c r="I14" s="107">
        <f t="shared" si="7"/>
        <v>161764.50769230767</v>
      </c>
      <c r="J14" s="41" t="s">
        <v>25</v>
      </c>
      <c r="K14" s="86">
        <f>INDEX(Model!$BF$44:$BF$47,MATCH($J14,Model!$BE$40:$BE$43,0))</f>
        <v>84.759907824534466</v>
      </c>
      <c r="L14" s="106">
        <f t="shared" si="0"/>
        <v>13711144.761281194</v>
      </c>
      <c r="M14" s="86" t="e">
        <f>Model!#REF!</f>
        <v>#REF!</v>
      </c>
      <c r="N14" s="107" t="e">
        <f t="shared" si="12"/>
        <v>#REF!</v>
      </c>
      <c r="O14" s="86" t="s">
        <v>28</v>
      </c>
      <c r="P14" s="86">
        <f>INDEX(Model!$BF$61:$BF$220,MATCH($O14,Model!$BE$61:$BE$220,0)+MATCH(Model!$BC$219,Model!$BC$61:$BC$220,0)-1)</f>
        <v>0.997</v>
      </c>
      <c r="Q14" s="106" t="e">
        <f t="shared" si="8"/>
        <v>#REF!</v>
      </c>
      <c r="R14" s="124" t="e">
        <f>Model!#REF!</f>
        <v>#REF!</v>
      </c>
      <c r="S14" s="107" t="e">
        <f t="shared" si="9"/>
        <v>#REF!</v>
      </c>
      <c r="T14" s="41" t="s">
        <v>32</v>
      </c>
      <c r="U14" s="41"/>
      <c r="V14" s="41">
        <f>Model!$BF$256</f>
        <v>1</v>
      </c>
      <c r="W14" s="106"/>
      <c r="X14" s="124"/>
      <c r="Y14" s="107">
        <f t="shared" si="3"/>
        <v>0</v>
      </c>
      <c r="Z14" s="87"/>
      <c r="AA14" s="87"/>
      <c r="AB14" s="41"/>
      <c r="AC14" s="93" t="e">
        <f t="shared" si="10"/>
        <v>#REF!</v>
      </c>
      <c r="AD14" s="87">
        <f t="shared" si="11"/>
        <v>0</v>
      </c>
    </row>
    <row r="15" spans="1:41" x14ac:dyDescent="0.25">
      <c r="C15" s="142">
        <f>Model!$BF$14</f>
        <v>3004198</v>
      </c>
      <c r="D15" s="88">
        <f>Model!$BF$24</f>
        <v>0.38461538461538458</v>
      </c>
      <c r="E15" s="143">
        <f t="shared" si="5"/>
        <v>1155460.769230769</v>
      </c>
      <c r="F15" s="88">
        <f>Model!$BF$36</f>
        <v>1</v>
      </c>
      <c r="G15" s="143">
        <f t="shared" si="6"/>
        <v>1155460.769230769</v>
      </c>
      <c r="H15" s="89">
        <f>INDEX(Model!$BF$40:$BF$43,MATCH($J15,Model!$BE$40:$BE$43,0))</f>
        <v>0.14000000000000001</v>
      </c>
      <c r="I15" s="108">
        <f t="shared" si="7"/>
        <v>161764.50769230767</v>
      </c>
      <c r="J15" s="88" t="s">
        <v>25</v>
      </c>
      <c r="K15" s="89">
        <f>INDEX(Model!$BF$44:$BF$47,MATCH($J15,Model!$BE$40:$BE$43,0))</f>
        <v>84.759907824534466</v>
      </c>
      <c r="L15" s="110">
        <f t="shared" si="0"/>
        <v>13711144.761281194</v>
      </c>
      <c r="M15" s="89" t="e">
        <f>Model!#REF!</f>
        <v>#REF!</v>
      </c>
      <c r="N15" s="108" t="e">
        <f t="shared" si="12"/>
        <v>#REF!</v>
      </c>
      <c r="O15" s="89" t="s">
        <v>28</v>
      </c>
      <c r="P15" s="89">
        <f>INDEX(Model!$BF$61:$BF$220,MATCH($O15,Model!$BE$61:$BE$220,0)+MATCH(Model!$BC$219,Model!$BC$61:$BC$220,0)-1)</f>
        <v>0.997</v>
      </c>
      <c r="Q15" s="110" t="e">
        <f t="shared" si="8"/>
        <v>#REF!</v>
      </c>
      <c r="R15" s="125" t="e">
        <f>Model!#REF!</f>
        <v>#REF!</v>
      </c>
      <c r="S15" s="108" t="e">
        <f t="shared" si="9"/>
        <v>#REF!</v>
      </c>
      <c r="T15" s="88" t="s">
        <v>33</v>
      </c>
      <c r="U15" s="88">
        <f>Model!$BF$287</f>
        <v>1</v>
      </c>
      <c r="V15" s="88"/>
      <c r="W15" s="110" t="e">
        <f>S15*U15</f>
        <v>#REF!</v>
      </c>
      <c r="X15" s="127"/>
      <c r="Y15" s="108" t="e">
        <f t="shared" si="3"/>
        <v>#REF!</v>
      </c>
      <c r="Z15" s="88" t="s">
        <v>54</v>
      </c>
      <c r="AA15" s="88">
        <f>Model!$BF$355</f>
        <v>0.52631578947368418</v>
      </c>
      <c r="AB15" s="88"/>
      <c r="AC15" s="94" t="e">
        <f t="shared" si="10"/>
        <v>#REF!</v>
      </c>
      <c r="AD15" s="88" t="e">
        <f t="shared" si="11"/>
        <v>#REF!</v>
      </c>
      <c r="AG15" s="1"/>
    </row>
    <row r="16" spans="1:41" x14ac:dyDescent="0.25">
      <c r="C16" s="128">
        <f>Model!$BF$14</f>
        <v>3004198</v>
      </c>
      <c r="D16" s="41">
        <f>Model!$BF$24</f>
        <v>0.38461538461538458</v>
      </c>
      <c r="E16" s="129">
        <f t="shared" si="5"/>
        <v>1155460.769230769</v>
      </c>
      <c r="F16" s="41">
        <f>Model!$BF$36</f>
        <v>1</v>
      </c>
      <c r="G16" s="129">
        <f t="shared" si="6"/>
        <v>1155460.769230769</v>
      </c>
      <c r="H16" s="86">
        <f>INDEX(Model!$BF$40:$BF$43,MATCH($J16,Model!$BE$40:$BE$43,0))</f>
        <v>0.14000000000000001</v>
      </c>
      <c r="I16" s="107">
        <f t="shared" si="7"/>
        <v>161764.50769230767</v>
      </c>
      <c r="J16" s="41" t="s">
        <v>25</v>
      </c>
      <c r="K16" s="86">
        <f>INDEX(Model!$BF$44:$BF$47,MATCH($J16,Model!$BE$40:$BE$43,0))</f>
        <v>84.759907824534466</v>
      </c>
      <c r="L16" s="106">
        <f t="shared" si="0"/>
        <v>13711144.761281194</v>
      </c>
      <c r="M16" s="86" t="e">
        <f>Model!#REF!</f>
        <v>#REF!</v>
      </c>
      <c r="N16" s="107" t="e">
        <f t="shared" si="12"/>
        <v>#REF!</v>
      </c>
      <c r="O16" s="86" t="s">
        <v>28</v>
      </c>
      <c r="P16" s="86">
        <f>INDEX(Model!$BF$61:$BF$220,MATCH($O16,Model!$BE$61:$BE$220,0)+MATCH(Model!$BC$219,Model!$BC$61:$BC$220,0)-1)</f>
        <v>0.997</v>
      </c>
      <c r="Q16" s="106" t="e">
        <f t="shared" si="8"/>
        <v>#REF!</v>
      </c>
      <c r="R16" s="124" t="e">
        <f>Model!#REF!</f>
        <v>#REF!</v>
      </c>
      <c r="S16" s="107" t="e">
        <f t="shared" si="9"/>
        <v>#REF!</v>
      </c>
      <c r="T16" s="41" t="s">
        <v>33</v>
      </c>
      <c r="U16" s="41">
        <f>Model!$BF$287</f>
        <v>1</v>
      </c>
      <c r="V16" s="41"/>
      <c r="W16" s="106" t="e">
        <f>S16*U16</f>
        <v>#REF!</v>
      </c>
      <c r="X16" s="147">
        <v>0</v>
      </c>
      <c r="Y16" s="107" t="e">
        <f t="shared" si="3"/>
        <v>#REF!</v>
      </c>
      <c r="Z16" s="87" t="s">
        <v>119</v>
      </c>
      <c r="AA16" s="87">
        <f>Model!$BF$386</f>
        <v>0.4</v>
      </c>
      <c r="AB16" s="41"/>
      <c r="AC16" s="93" t="e">
        <f t="shared" si="10"/>
        <v>#REF!</v>
      </c>
      <c r="AD16" s="87" t="e">
        <f t="shared" si="11"/>
        <v>#REF!</v>
      </c>
      <c r="AG16" s="1"/>
    </row>
    <row r="17" spans="3:41" x14ac:dyDescent="0.25">
      <c r="C17" s="128">
        <f>Model!$BF$14</f>
        <v>3004198</v>
      </c>
      <c r="D17" s="41">
        <f>Model!$BF$24</f>
        <v>0.38461538461538458</v>
      </c>
      <c r="E17" s="129">
        <f t="shared" si="5"/>
        <v>1155460.769230769</v>
      </c>
      <c r="F17" s="41">
        <f>Model!$BF$36</f>
        <v>1</v>
      </c>
      <c r="G17" s="129">
        <f t="shared" si="6"/>
        <v>1155460.769230769</v>
      </c>
      <c r="H17" s="86">
        <f>INDEX(Model!$BF$40:$BF$43,MATCH($J17,Model!$BE$40:$BE$43,0))</f>
        <v>0.14000000000000001</v>
      </c>
      <c r="I17" s="107">
        <f t="shared" si="7"/>
        <v>161764.50769230767</v>
      </c>
      <c r="J17" s="41" t="s">
        <v>25</v>
      </c>
      <c r="K17" s="86">
        <f>INDEX(Model!$BF$44:$BF$47,MATCH($J17,Model!$BE$40:$BE$43,0))</f>
        <v>84.759907824534466</v>
      </c>
      <c r="L17" s="106">
        <f t="shared" si="0"/>
        <v>13711144.761281194</v>
      </c>
      <c r="M17" s="86" t="e">
        <f>Model!#REF!</f>
        <v>#REF!</v>
      </c>
      <c r="N17" s="107" t="e">
        <f t="shared" si="12"/>
        <v>#REF!</v>
      </c>
      <c r="O17" s="86" t="s">
        <v>28</v>
      </c>
      <c r="P17" s="86">
        <f>INDEX(Model!$BF$61:$BF$220,MATCH($O17,Model!$BE$61:$BE$220,0)+MATCH(Model!$BC$219,Model!$BC$61:$BC$220,0)-1)</f>
        <v>0.997</v>
      </c>
      <c r="Q17" s="106" t="e">
        <f t="shared" si="8"/>
        <v>#REF!</v>
      </c>
      <c r="R17" s="124" t="e">
        <f>Model!#REF!</f>
        <v>#REF!</v>
      </c>
      <c r="S17" s="107" t="e">
        <f t="shared" si="9"/>
        <v>#REF!</v>
      </c>
      <c r="T17" s="41" t="s">
        <v>33</v>
      </c>
      <c r="U17" s="41">
        <f>Model!$BF$287</f>
        <v>1</v>
      </c>
      <c r="V17" s="41"/>
      <c r="W17" s="106" t="e">
        <f>S17*U17</f>
        <v>#REF!</v>
      </c>
      <c r="X17" s="147" t="e">
        <f>Model!#REF!/SUM(Model!#REF!,Model!#REF!)</f>
        <v>#REF!</v>
      </c>
      <c r="Y17" s="107" t="e">
        <f t="shared" si="3"/>
        <v>#REF!</v>
      </c>
      <c r="Z17" s="87" t="s">
        <v>52</v>
      </c>
      <c r="AA17" s="87"/>
      <c r="AB17" s="87">
        <f>Model!$BF$324</f>
        <v>1.6129032258064517</v>
      </c>
      <c r="AC17" s="93" t="e">
        <f t="shared" si="10"/>
        <v>#REF!</v>
      </c>
      <c r="AD17" s="87" t="e">
        <f t="shared" si="11"/>
        <v>#REF!</v>
      </c>
      <c r="AG17" s="1"/>
    </row>
    <row r="18" spans="3:41" x14ac:dyDescent="0.25">
      <c r="C18" s="128">
        <f>Model!$BF$14</f>
        <v>3004198</v>
      </c>
      <c r="D18" s="41">
        <f>Model!$BF$24</f>
        <v>0.38461538461538458</v>
      </c>
      <c r="E18" s="129">
        <f t="shared" si="5"/>
        <v>1155460.769230769</v>
      </c>
      <c r="F18" s="41">
        <f>Model!$BF$36</f>
        <v>1</v>
      </c>
      <c r="G18" s="129">
        <f t="shared" si="6"/>
        <v>1155460.769230769</v>
      </c>
      <c r="H18" s="86">
        <f>INDEX(Model!$BF$40:$BF$43,MATCH($J18,Model!$BE$40:$BE$43,0))</f>
        <v>0.14000000000000001</v>
      </c>
      <c r="I18" s="107">
        <f t="shared" si="7"/>
        <v>161764.50769230767</v>
      </c>
      <c r="J18" s="41" t="s">
        <v>25</v>
      </c>
      <c r="K18" s="86">
        <f>INDEX(Model!$BF$44:$BF$47,MATCH($J18,Model!$BE$40:$BE$43,0))</f>
        <v>84.759907824534466</v>
      </c>
      <c r="L18" s="106">
        <f t="shared" si="0"/>
        <v>13711144.761281194</v>
      </c>
      <c r="M18" s="86" t="e">
        <f>Model!#REF!</f>
        <v>#REF!</v>
      </c>
      <c r="N18" s="107" t="e">
        <f t="shared" si="12"/>
        <v>#REF!</v>
      </c>
      <c r="O18" s="86" t="s">
        <v>28</v>
      </c>
      <c r="P18" s="86">
        <f>INDEX(Model!$BF$61:$BF$220,MATCH($O18,Model!$BE$61:$BE$220,0)+MATCH(Model!$BC$219,Model!$BC$61:$BC$220,0)-1)</f>
        <v>0.997</v>
      </c>
      <c r="Q18" s="106" t="e">
        <f t="shared" si="8"/>
        <v>#REF!</v>
      </c>
      <c r="R18" s="124" t="e">
        <f>Model!#REF!</f>
        <v>#REF!</v>
      </c>
      <c r="S18" s="107" t="e">
        <f t="shared" si="9"/>
        <v>#REF!</v>
      </c>
      <c r="T18" s="41" t="s">
        <v>33</v>
      </c>
      <c r="U18" s="41">
        <f>Model!$BF$287</f>
        <v>1</v>
      </c>
      <c r="V18" s="41"/>
      <c r="W18" s="106" t="e">
        <f>S18*U18</f>
        <v>#REF!</v>
      </c>
      <c r="X18" s="147" t="e">
        <f>Model!#REF!/SUM(Model!#REF!,Model!#REF!)</f>
        <v>#REF!</v>
      </c>
      <c r="Y18" s="107" t="e">
        <f t="shared" si="3"/>
        <v>#REF!</v>
      </c>
      <c r="Z18" s="87" t="s">
        <v>53</v>
      </c>
      <c r="AA18" s="87"/>
      <c r="AB18" s="87">
        <f>Model!$BF$417</f>
        <v>1.1111111111111112</v>
      </c>
      <c r="AC18" s="93" t="e">
        <f t="shared" si="10"/>
        <v>#REF!</v>
      </c>
      <c r="AD18" s="87" t="e">
        <f t="shared" si="11"/>
        <v>#REF!</v>
      </c>
      <c r="AG18" s="1"/>
    </row>
    <row r="19" spans="3:41" x14ac:dyDescent="0.25">
      <c r="C19" s="128">
        <f>Model!$BF$14</f>
        <v>3004198</v>
      </c>
      <c r="D19" s="41">
        <f>Model!$BF$24</f>
        <v>0.38461538461538458</v>
      </c>
      <c r="E19" s="129">
        <f t="shared" si="5"/>
        <v>1155460.769230769</v>
      </c>
      <c r="F19" s="41">
        <f>Model!$BF$36</f>
        <v>1</v>
      </c>
      <c r="G19" s="129">
        <f t="shared" si="6"/>
        <v>1155460.769230769</v>
      </c>
      <c r="H19" s="86">
        <f>INDEX(Model!$BF$40:$BF$43,MATCH($J19,Model!$BE$40:$BE$43,0))</f>
        <v>0.14000000000000001</v>
      </c>
      <c r="I19" s="107">
        <f t="shared" si="7"/>
        <v>161764.50769230767</v>
      </c>
      <c r="J19" s="41" t="s">
        <v>25</v>
      </c>
      <c r="K19" s="86">
        <f>INDEX(Model!$BF$44:$BF$47,MATCH($J19,Model!$BE$40:$BE$43,0))</f>
        <v>84.759907824534466</v>
      </c>
      <c r="L19" s="106">
        <f t="shared" si="0"/>
        <v>13711144.761281194</v>
      </c>
      <c r="M19" s="86" t="e">
        <f>Model!#REF!</f>
        <v>#REF!</v>
      </c>
      <c r="N19" s="107" t="e">
        <f t="shared" si="12"/>
        <v>#REF!</v>
      </c>
      <c r="O19" s="86" t="s">
        <v>30</v>
      </c>
      <c r="P19" s="86">
        <f>INDEX(Model!$BF$61:$BF$220,MATCH($O19,Model!$BE$61:$BE$220,0)+MATCH(Model!$BC$219,Model!$BC$61:$BC$220,0)-1)</f>
        <v>0.36</v>
      </c>
      <c r="Q19" s="106" t="e">
        <f t="shared" si="8"/>
        <v>#REF!</v>
      </c>
      <c r="R19" s="124" t="e">
        <f>Model!#REF!</f>
        <v>#REF!</v>
      </c>
      <c r="S19" s="107" t="e">
        <f t="shared" si="9"/>
        <v>#REF!</v>
      </c>
      <c r="T19" s="41" t="s">
        <v>32</v>
      </c>
      <c r="U19" s="41"/>
      <c r="V19" s="41">
        <f>Model!$BF$256</f>
        <v>1</v>
      </c>
      <c r="W19" s="106"/>
      <c r="X19" s="124"/>
      <c r="Y19" s="107">
        <f t="shared" si="3"/>
        <v>0</v>
      </c>
      <c r="Z19" s="87"/>
      <c r="AA19" s="87"/>
      <c r="AB19" s="87"/>
      <c r="AC19" s="93" t="e">
        <f t="shared" si="10"/>
        <v>#REF!</v>
      </c>
      <c r="AD19" s="87">
        <f t="shared" si="11"/>
        <v>0</v>
      </c>
      <c r="AO19" s="123"/>
    </row>
    <row r="20" spans="3:41" x14ac:dyDescent="0.25">
      <c r="C20" s="142">
        <f>Model!$BF$14</f>
        <v>3004198</v>
      </c>
      <c r="D20" s="88">
        <f>Model!$BF$24</f>
        <v>0.38461538461538458</v>
      </c>
      <c r="E20" s="143">
        <f t="shared" si="5"/>
        <v>1155460.769230769</v>
      </c>
      <c r="F20" s="88">
        <f>Model!$BF$36</f>
        <v>1</v>
      </c>
      <c r="G20" s="143">
        <f t="shared" si="6"/>
        <v>1155460.769230769</v>
      </c>
      <c r="H20" s="89">
        <f>INDEX(Model!$BF$40:$BF$43,MATCH($J20,Model!$BE$40:$BE$43,0))</f>
        <v>0.14000000000000001</v>
      </c>
      <c r="I20" s="108">
        <f t="shared" si="7"/>
        <v>161764.50769230767</v>
      </c>
      <c r="J20" s="88" t="s">
        <v>25</v>
      </c>
      <c r="K20" s="89">
        <f>INDEX(Model!$BF$44:$BF$47,MATCH($J20,Model!$BE$40:$BE$43,0))</f>
        <v>84.759907824534466</v>
      </c>
      <c r="L20" s="110">
        <f t="shared" si="0"/>
        <v>13711144.761281194</v>
      </c>
      <c r="M20" s="89" t="e">
        <f>Model!#REF!</f>
        <v>#REF!</v>
      </c>
      <c r="N20" s="108" t="e">
        <f t="shared" si="12"/>
        <v>#REF!</v>
      </c>
      <c r="O20" s="89" t="s">
        <v>30</v>
      </c>
      <c r="P20" s="89">
        <f>INDEX(Model!$BF$61:$BF$220,MATCH($O20,Model!$BE$61:$BE$220,0)+MATCH(Model!$BC$219,Model!$BC$61:$BC$220,0)-1)</f>
        <v>0.36</v>
      </c>
      <c r="Q20" s="110" t="e">
        <f t="shared" si="8"/>
        <v>#REF!</v>
      </c>
      <c r="R20" s="125" t="e">
        <f>Model!#REF!</f>
        <v>#REF!</v>
      </c>
      <c r="S20" s="108" t="e">
        <f t="shared" si="9"/>
        <v>#REF!</v>
      </c>
      <c r="T20" s="88" t="s">
        <v>33</v>
      </c>
      <c r="U20" s="88">
        <f>Model!$BF$287</f>
        <v>1</v>
      </c>
      <c r="V20" s="88"/>
      <c r="W20" s="110" t="e">
        <f>S20*U20</f>
        <v>#REF!</v>
      </c>
      <c r="X20" s="127"/>
      <c r="Y20" s="108" t="e">
        <f t="shared" si="3"/>
        <v>#REF!</v>
      </c>
      <c r="Z20" s="88" t="s">
        <v>54</v>
      </c>
      <c r="AA20" s="88">
        <f>Model!$BF$355</f>
        <v>0.52631578947368418</v>
      </c>
      <c r="AB20" s="88"/>
      <c r="AC20" s="94" t="e">
        <f t="shared" si="10"/>
        <v>#REF!</v>
      </c>
      <c r="AD20" s="88" t="e">
        <f t="shared" si="11"/>
        <v>#REF!</v>
      </c>
    </row>
    <row r="21" spans="3:41" x14ac:dyDescent="0.25">
      <c r="C21" s="128">
        <f>Model!$BF$14</f>
        <v>3004198</v>
      </c>
      <c r="D21" s="41">
        <f>Model!$BF$24</f>
        <v>0.38461538461538458</v>
      </c>
      <c r="E21" s="129">
        <f t="shared" si="5"/>
        <v>1155460.769230769</v>
      </c>
      <c r="F21" s="41">
        <f>Model!$BF$36</f>
        <v>1</v>
      </c>
      <c r="G21" s="129">
        <f t="shared" si="6"/>
        <v>1155460.769230769</v>
      </c>
      <c r="H21" s="86">
        <f>INDEX(Model!$BF$40:$BF$43,MATCH($J21,Model!$BE$40:$BE$43,0))</f>
        <v>0.14000000000000001</v>
      </c>
      <c r="I21" s="107">
        <f t="shared" si="7"/>
        <v>161764.50769230767</v>
      </c>
      <c r="J21" s="41" t="s">
        <v>25</v>
      </c>
      <c r="K21" s="86">
        <f>INDEX(Model!$BF$44:$BF$47,MATCH($J21,Model!$BE$40:$BE$43,0))</f>
        <v>84.759907824534466</v>
      </c>
      <c r="L21" s="106">
        <f t="shared" si="0"/>
        <v>13711144.761281194</v>
      </c>
      <c r="M21" s="86" t="e">
        <f>Model!#REF!</f>
        <v>#REF!</v>
      </c>
      <c r="N21" s="107" t="e">
        <f t="shared" si="12"/>
        <v>#REF!</v>
      </c>
      <c r="O21" s="86" t="s">
        <v>30</v>
      </c>
      <c r="P21" s="86">
        <f>INDEX(Model!$BF$61:$BF$220,MATCH($O21,Model!$BE$61:$BE$220,0)+MATCH(Model!$BC$219,Model!$BC$61:$BC$220,0)-1)</f>
        <v>0.36</v>
      </c>
      <c r="Q21" s="106" t="e">
        <f t="shared" si="8"/>
        <v>#REF!</v>
      </c>
      <c r="R21" s="124" t="e">
        <f>Model!#REF!</f>
        <v>#REF!</v>
      </c>
      <c r="S21" s="107" t="e">
        <f t="shared" si="9"/>
        <v>#REF!</v>
      </c>
      <c r="T21" s="41" t="s">
        <v>33</v>
      </c>
      <c r="U21" s="41">
        <f>Model!$BF$287</f>
        <v>1</v>
      </c>
      <c r="V21" s="41"/>
      <c r="W21" s="106" t="e">
        <f>S21*U21</f>
        <v>#REF!</v>
      </c>
      <c r="X21" s="147">
        <v>0</v>
      </c>
      <c r="Y21" s="107" t="e">
        <f t="shared" si="3"/>
        <v>#REF!</v>
      </c>
      <c r="Z21" s="87" t="s">
        <v>119</v>
      </c>
      <c r="AA21" s="87">
        <f>Model!$BF$386</f>
        <v>0.4</v>
      </c>
      <c r="AB21" s="87"/>
      <c r="AC21" s="93" t="e">
        <f t="shared" si="10"/>
        <v>#REF!</v>
      </c>
      <c r="AD21" s="87" t="e">
        <f t="shared" si="11"/>
        <v>#REF!</v>
      </c>
    </row>
    <row r="22" spans="3:41" x14ac:dyDescent="0.25">
      <c r="C22" s="128">
        <f>Model!$BF$14</f>
        <v>3004198</v>
      </c>
      <c r="D22" s="41">
        <f>Model!$BF$24</f>
        <v>0.38461538461538458</v>
      </c>
      <c r="E22" s="129">
        <f t="shared" si="5"/>
        <v>1155460.769230769</v>
      </c>
      <c r="F22" s="41">
        <f>Model!$BF$36</f>
        <v>1</v>
      </c>
      <c r="G22" s="129">
        <f t="shared" si="6"/>
        <v>1155460.769230769</v>
      </c>
      <c r="H22" s="86">
        <f>INDEX(Model!$BF$40:$BF$43,MATCH($J22,Model!$BE$40:$BE$43,0))</f>
        <v>0.14000000000000001</v>
      </c>
      <c r="I22" s="107">
        <f t="shared" si="7"/>
        <v>161764.50769230767</v>
      </c>
      <c r="J22" s="41" t="s">
        <v>25</v>
      </c>
      <c r="K22" s="86">
        <f>INDEX(Model!$BF$44:$BF$47,MATCH($J22,Model!$BE$40:$BE$43,0))</f>
        <v>84.759907824534466</v>
      </c>
      <c r="L22" s="106">
        <f t="shared" si="0"/>
        <v>13711144.761281194</v>
      </c>
      <c r="M22" s="86" t="e">
        <f>Model!#REF!</f>
        <v>#REF!</v>
      </c>
      <c r="N22" s="107" t="e">
        <f t="shared" si="12"/>
        <v>#REF!</v>
      </c>
      <c r="O22" s="86" t="s">
        <v>30</v>
      </c>
      <c r="P22" s="86">
        <f>INDEX(Model!$BF$61:$BF$220,MATCH($O22,Model!$BE$61:$BE$220,0)+MATCH(Model!$BC$219,Model!$BC$61:$BC$220,0)-1)</f>
        <v>0.36</v>
      </c>
      <c r="Q22" s="106" t="e">
        <f t="shared" si="8"/>
        <v>#REF!</v>
      </c>
      <c r="R22" s="124" t="e">
        <f>Model!#REF!</f>
        <v>#REF!</v>
      </c>
      <c r="S22" s="107" t="e">
        <f t="shared" si="9"/>
        <v>#REF!</v>
      </c>
      <c r="T22" s="41" t="s">
        <v>33</v>
      </c>
      <c r="U22" s="41">
        <f>Model!$BF$287</f>
        <v>1</v>
      </c>
      <c r="V22" s="41"/>
      <c r="W22" s="106" t="e">
        <f>S22*U22</f>
        <v>#REF!</v>
      </c>
      <c r="X22" s="147" t="e">
        <f>Model!#REF!/SUM(Model!#REF!,Model!#REF!)</f>
        <v>#REF!</v>
      </c>
      <c r="Y22" s="107" t="e">
        <f t="shared" si="3"/>
        <v>#REF!</v>
      </c>
      <c r="Z22" s="87" t="s">
        <v>52</v>
      </c>
      <c r="AA22" s="87"/>
      <c r="AB22" s="87">
        <f>Model!$BF$324</f>
        <v>1.6129032258064517</v>
      </c>
      <c r="AC22" s="93" t="e">
        <f t="shared" si="10"/>
        <v>#REF!</v>
      </c>
      <c r="AD22" s="87" t="e">
        <f t="shared" si="11"/>
        <v>#REF!</v>
      </c>
    </row>
    <row r="23" spans="3:41" x14ac:dyDescent="0.25">
      <c r="C23" s="128">
        <f>Model!$BF$14</f>
        <v>3004198</v>
      </c>
      <c r="D23" s="41">
        <f>Model!$BF$24</f>
        <v>0.38461538461538458</v>
      </c>
      <c r="E23" s="129">
        <f t="shared" si="5"/>
        <v>1155460.769230769</v>
      </c>
      <c r="F23" s="41">
        <f>Model!$BF$36</f>
        <v>1</v>
      </c>
      <c r="G23" s="129">
        <f t="shared" si="6"/>
        <v>1155460.769230769</v>
      </c>
      <c r="H23" s="86">
        <f>INDEX(Model!$BF$40:$BF$43,MATCH($J23,Model!$BE$40:$BE$43,0))</f>
        <v>0.14000000000000001</v>
      </c>
      <c r="I23" s="107">
        <f t="shared" si="7"/>
        <v>161764.50769230767</v>
      </c>
      <c r="J23" s="41" t="s">
        <v>25</v>
      </c>
      <c r="K23" s="86">
        <f>INDEX(Model!$BF$44:$BF$47,MATCH($J23,Model!$BE$40:$BE$43,0))</f>
        <v>84.759907824534466</v>
      </c>
      <c r="L23" s="106">
        <f t="shared" si="0"/>
        <v>13711144.761281194</v>
      </c>
      <c r="M23" s="86" t="e">
        <f>Model!#REF!</f>
        <v>#REF!</v>
      </c>
      <c r="N23" s="107" t="e">
        <f t="shared" si="12"/>
        <v>#REF!</v>
      </c>
      <c r="O23" s="86" t="s">
        <v>30</v>
      </c>
      <c r="P23" s="86">
        <f>INDEX(Model!$BF$61:$BF$220,MATCH($O23,Model!$BE$61:$BE$220,0)+MATCH(Model!$BC$219,Model!$BC$61:$BC$220,0)-1)</f>
        <v>0.36</v>
      </c>
      <c r="Q23" s="106" t="e">
        <f t="shared" si="8"/>
        <v>#REF!</v>
      </c>
      <c r="R23" s="124" t="e">
        <f>Model!#REF!</f>
        <v>#REF!</v>
      </c>
      <c r="S23" s="107" t="e">
        <f t="shared" si="9"/>
        <v>#REF!</v>
      </c>
      <c r="T23" s="41" t="s">
        <v>33</v>
      </c>
      <c r="U23" s="41">
        <f>Model!$BF$287</f>
        <v>1</v>
      </c>
      <c r="V23" s="41"/>
      <c r="W23" s="106" t="e">
        <f>S23*U23</f>
        <v>#REF!</v>
      </c>
      <c r="X23" s="147" t="e">
        <f>Model!#REF!/SUM(Model!#REF!,Model!#REF!)</f>
        <v>#REF!</v>
      </c>
      <c r="Y23" s="107" t="e">
        <f t="shared" si="3"/>
        <v>#REF!</v>
      </c>
      <c r="Z23" s="87" t="s">
        <v>53</v>
      </c>
      <c r="AA23" s="87"/>
      <c r="AB23" s="87">
        <f>Model!$BF$417</f>
        <v>1.1111111111111112</v>
      </c>
      <c r="AC23" s="93" t="e">
        <f t="shared" si="10"/>
        <v>#REF!</v>
      </c>
      <c r="AD23" s="87" t="e">
        <f t="shared" si="11"/>
        <v>#REF!</v>
      </c>
      <c r="AO23" s="123"/>
    </row>
    <row r="24" spans="3:41" x14ac:dyDescent="0.25">
      <c r="C24" s="128">
        <f>Model!$BF$14</f>
        <v>3004198</v>
      </c>
      <c r="D24" s="41">
        <f>Model!$BF$24</f>
        <v>0.38461538461538458</v>
      </c>
      <c r="E24" s="129">
        <f t="shared" si="5"/>
        <v>1155460.769230769</v>
      </c>
      <c r="F24" s="41">
        <f>Model!$BF$36</f>
        <v>1</v>
      </c>
      <c r="G24" s="129">
        <f t="shared" si="6"/>
        <v>1155460.769230769</v>
      </c>
      <c r="H24" s="86">
        <f>INDEX(Model!$BF$40:$BF$43,MATCH($J24,Model!$BE$40:$BE$43,0))</f>
        <v>0.14000000000000001</v>
      </c>
      <c r="I24" s="107">
        <f t="shared" si="7"/>
        <v>161764.50769230767</v>
      </c>
      <c r="J24" s="41" t="s">
        <v>25</v>
      </c>
      <c r="K24" s="86">
        <f>INDEX(Model!$BF$44:$BF$47,MATCH($J24,Model!$BE$40:$BE$43,0))</f>
        <v>84.759907824534466</v>
      </c>
      <c r="L24" s="106">
        <f t="shared" si="0"/>
        <v>13711144.761281194</v>
      </c>
      <c r="M24" s="86" t="e">
        <f>Model!#REF!</f>
        <v>#REF!</v>
      </c>
      <c r="N24" s="107" t="e">
        <f t="shared" si="12"/>
        <v>#REF!</v>
      </c>
      <c r="O24" s="86" t="s">
        <v>29</v>
      </c>
      <c r="P24" s="86">
        <f>INDEX(Model!$BF$61:$BF$220,MATCH($O24,Model!$BE$61:$BE$220,0)+MATCH(Model!$BC$219,Model!$BC$61:$BC$220,0)-1)</f>
        <v>0.51500000000000001</v>
      </c>
      <c r="Q24" s="106" t="e">
        <f t="shared" si="8"/>
        <v>#REF!</v>
      </c>
      <c r="R24" s="124" t="e">
        <f>Model!#REF!</f>
        <v>#REF!</v>
      </c>
      <c r="S24" s="107" t="e">
        <f t="shared" si="9"/>
        <v>#REF!</v>
      </c>
      <c r="T24" s="41" t="s">
        <v>32</v>
      </c>
      <c r="U24" s="41"/>
      <c r="V24" s="41">
        <f>Model!$BF$256</f>
        <v>1</v>
      </c>
      <c r="W24" s="106"/>
      <c r="X24" s="124"/>
      <c r="Y24" s="107">
        <f t="shared" si="3"/>
        <v>0</v>
      </c>
      <c r="Z24" s="87"/>
      <c r="AA24" s="87"/>
      <c r="AB24" s="41"/>
      <c r="AC24" s="93" t="e">
        <f t="shared" si="10"/>
        <v>#REF!</v>
      </c>
      <c r="AD24" s="87">
        <f t="shared" si="11"/>
        <v>0</v>
      </c>
      <c r="AO24" s="123"/>
    </row>
    <row r="25" spans="3:41" x14ac:dyDescent="0.25">
      <c r="C25" s="142">
        <f>Model!$BF$14</f>
        <v>3004198</v>
      </c>
      <c r="D25" s="88">
        <f>Model!$BF$24</f>
        <v>0.38461538461538458</v>
      </c>
      <c r="E25" s="143">
        <f t="shared" si="5"/>
        <v>1155460.769230769</v>
      </c>
      <c r="F25" s="88">
        <f>Model!$BF$36</f>
        <v>1</v>
      </c>
      <c r="G25" s="143">
        <f t="shared" si="6"/>
        <v>1155460.769230769</v>
      </c>
      <c r="H25" s="89">
        <f>INDEX(Model!$BF$40:$BF$43,MATCH($J25,Model!$BE$40:$BE$43,0))</f>
        <v>0.14000000000000001</v>
      </c>
      <c r="I25" s="108">
        <f t="shared" si="7"/>
        <v>161764.50769230767</v>
      </c>
      <c r="J25" s="88" t="s">
        <v>25</v>
      </c>
      <c r="K25" s="89">
        <f>INDEX(Model!$BF$44:$BF$47,MATCH($J25,Model!$BE$40:$BE$43,0))</f>
        <v>84.759907824534466</v>
      </c>
      <c r="L25" s="110">
        <f t="shared" si="0"/>
        <v>13711144.761281194</v>
      </c>
      <c r="M25" s="89" t="e">
        <f>Model!#REF!</f>
        <v>#REF!</v>
      </c>
      <c r="N25" s="108" t="e">
        <f t="shared" si="12"/>
        <v>#REF!</v>
      </c>
      <c r="O25" s="89" t="s">
        <v>29</v>
      </c>
      <c r="P25" s="89">
        <f>INDEX(Model!$BF$61:$BF$220,MATCH($O25,Model!$BE$61:$BE$220,0)+MATCH(Model!$BC$219,Model!$BC$61:$BC$220,0)-1)</f>
        <v>0.51500000000000001</v>
      </c>
      <c r="Q25" s="110" t="e">
        <f t="shared" si="8"/>
        <v>#REF!</v>
      </c>
      <c r="R25" s="125" t="e">
        <f>Model!#REF!</f>
        <v>#REF!</v>
      </c>
      <c r="S25" s="108" t="e">
        <f t="shared" si="9"/>
        <v>#REF!</v>
      </c>
      <c r="T25" s="88" t="s">
        <v>33</v>
      </c>
      <c r="U25" s="88">
        <f>Model!$BF$287</f>
        <v>1</v>
      </c>
      <c r="V25" s="88"/>
      <c r="W25" s="110" t="e">
        <f>S25*U25</f>
        <v>#REF!</v>
      </c>
      <c r="X25" s="127"/>
      <c r="Y25" s="108" t="e">
        <f t="shared" si="3"/>
        <v>#REF!</v>
      </c>
      <c r="Z25" s="88" t="s">
        <v>54</v>
      </c>
      <c r="AA25" s="88">
        <f>Model!$BF$355</f>
        <v>0.52631578947368418</v>
      </c>
      <c r="AB25" s="88"/>
      <c r="AC25" s="94" t="e">
        <f t="shared" si="10"/>
        <v>#REF!</v>
      </c>
      <c r="AD25" s="88" t="e">
        <f t="shared" si="11"/>
        <v>#REF!</v>
      </c>
      <c r="AO25" s="123"/>
    </row>
    <row r="26" spans="3:41" x14ac:dyDescent="0.25">
      <c r="C26" s="128">
        <f>Model!$BF$14</f>
        <v>3004198</v>
      </c>
      <c r="D26" s="41">
        <f>Model!$BF$24</f>
        <v>0.38461538461538458</v>
      </c>
      <c r="E26" s="129">
        <f t="shared" si="5"/>
        <v>1155460.769230769</v>
      </c>
      <c r="F26" s="41">
        <f>Model!$BF$36</f>
        <v>1</v>
      </c>
      <c r="G26" s="129">
        <f t="shared" si="6"/>
        <v>1155460.769230769</v>
      </c>
      <c r="H26" s="86">
        <f>INDEX(Model!$BF$40:$BF$43,MATCH($J26,Model!$BE$40:$BE$43,0))</f>
        <v>0.14000000000000001</v>
      </c>
      <c r="I26" s="107">
        <f t="shared" si="7"/>
        <v>161764.50769230767</v>
      </c>
      <c r="J26" s="41" t="s">
        <v>25</v>
      </c>
      <c r="K26" s="86">
        <f>INDEX(Model!$BF$44:$BF$47,MATCH($J26,Model!$BE$40:$BE$43,0))</f>
        <v>84.759907824534466</v>
      </c>
      <c r="L26" s="106">
        <f t="shared" si="0"/>
        <v>13711144.761281194</v>
      </c>
      <c r="M26" s="86" t="e">
        <f>Model!#REF!</f>
        <v>#REF!</v>
      </c>
      <c r="N26" s="107" t="e">
        <f t="shared" si="12"/>
        <v>#REF!</v>
      </c>
      <c r="O26" s="86" t="s">
        <v>29</v>
      </c>
      <c r="P26" s="86">
        <f>INDEX(Model!$BF$61:$BF$220,MATCH($O26,Model!$BE$61:$BE$220,0)+MATCH(Model!$BC$219,Model!$BC$61:$BC$220,0)-1)</f>
        <v>0.51500000000000001</v>
      </c>
      <c r="Q26" s="106" t="e">
        <f t="shared" si="8"/>
        <v>#REF!</v>
      </c>
      <c r="R26" s="124" t="e">
        <f>Model!#REF!</f>
        <v>#REF!</v>
      </c>
      <c r="S26" s="107" t="e">
        <f t="shared" si="9"/>
        <v>#REF!</v>
      </c>
      <c r="T26" s="41" t="s">
        <v>33</v>
      </c>
      <c r="U26" s="41">
        <f>Model!$BF$287</f>
        <v>1</v>
      </c>
      <c r="V26" s="41"/>
      <c r="W26" s="106" t="e">
        <f>S26*U26</f>
        <v>#REF!</v>
      </c>
      <c r="X26" s="147">
        <v>0</v>
      </c>
      <c r="Y26" s="107" t="e">
        <f t="shared" si="3"/>
        <v>#REF!</v>
      </c>
      <c r="Z26" s="87" t="s">
        <v>119</v>
      </c>
      <c r="AA26" s="87">
        <f>Model!$BF$386</f>
        <v>0.4</v>
      </c>
      <c r="AB26" s="41"/>
      <c r="AC26" s="93" t="e">
        <f t="shared" si="10"/>
        <v>#REF!</v>
      </c>
      <c r="AD26" s="87" t="e">
        <f t="shared" si="11"/>
        <v>#REF!</v>
      </c>
      <c r="AO26" s="123"/>
    </row>
    <row r="27" spans="3:41" x14ac:dyDescent="0.25">
      <c r="C27" s="128">
        <f>Model!$BF$14</f>
        <v>3004198</v>
      </c>
      <c r="D27" s="41">
        <f>Model!$BF$24</f>
        <v>0.38461538461538458</v>
      </c>
      <c r="E27" s="129">
        <f t="shared" si="5"/>
        <v>1155460.769230769</v>
      </c>
      <c r="F27" s="41">
        <f>Model!$BF$36</f>
        <v>1</v>
      </c>
      <c r="G27" s="129">
        <f t="shared" si="6"/>
        <v>1155460.769230769</v>
      </c>
      <c r="H27" s="86">
        <f>INDEX(Model!$BF$40:$BF$43,MATCH($J27,Model!$BE$40:$BE$43,0))</f>
        <v>0.14000000000000001</v>
      </c>
      <c r="I27" s="107">
        <f t="shared" si="7"/>
        <v>161764.50769230767</v>
      </c>
      <c r="J27" s="41" t="s">
        <v>25</v>
      </c>
      <c r="K27" s="86">
        <f>INDEX(Model!$BF$44:$BF$47,MATCH($J27,Model!$BE$40:$BE$43,0))</f>
        <v>84.759907824534466</v>
      </c>
      <c r="L27" s="106">
        <f t="shared" si="0"/>
        <v>13711144.761281194</v>
      </c>
      <c r="M27" s="86" t="e">
        <f>Model!#REF!</f>
        <v>#REF!</v>
      </c>
      <c r="N27" s="107" t="e">
        <f t="shared" si="12"/>
        <v>#REF!</v>
      </c>
      <c r="O27" s="86" t="s">
        <v>29</v>
      </c>
      <c r="P27" s="86">
        <f>INDEX(Model!$BF$61:$BF$220,MATCH($O27,Model!$BE$61:$BE$220,0)+MATCH(Model!$BC$219,Model!$BC$61:$BC$220,0)-1)</f>
        <v>0.51500000000000001</v>
      </c>
      <c r="Q27" s="106" t="e">
        <f t="shared" si="8"/>
        <v>#REF!</v>
      </c>
      <c r="R27" s="124" t="e">
        <f>Model!#REF!</f>
        <v>#REF!</v>
      </c>
      <c r="S27" s="107" t="e">
        <f t="shared" si="9"/>
        <v>#REF!</v>
      </c>
      <c r="T27" s="41" t="s">
        <v>33</v>
      </c>
      <c r="U27" s="41">
        <f>Model!$BF$287</f>
        <v>1</v>
      </c>
      <c r="V27" s="41"/>
      <c r="W27" s="106" t="e">
        <f>S27*U27</f>
        <v>#REF!</v>
      </c>
      <c r="X27" s="147" t="e">
        <f>Model!#REF!/SUM(Model!#REF!,Model!#REF!)</f>
        <v>#REF!</v>
      </c>
      <c r="Y27" s="107" t="e">
        <f t="shared" si="3"/>
        <v>#REF!</v>
      </c>
      <c r="Z27" s="87" t="s">
        <v>52</v>
      </c>
      <c r="AA27" s="87"/>
      <c r="AB27" s="41">
        <f>Model!$BF$324</f>
        <v>1.6129032258064517</v>
      </c>
      <c r="AC27" s="93" t="e">
        <f t="shared" si="10"/>
        <v>#REF!</v>
      </c>
      <c r="AD27" s="87" t="e">
        <f t="shared" si="11"/>
        <v>#REF!</v>
      </c>
      <c r="AO27" s="123"/>
    </row>
    <row r="28" spans="3:41" x14ac:dyDescent="0.25">
      <c r="C28" s="128">
        <f>Model!$BF$14</f>
        <v>3004198</v>
      </c>
      <c r="D28" s="41">
        <f>Model!$BF$24</f>
        <v>0.38461538461538458</v>
      </c>
      <c r="E28" s="129">
        <f t="shared" si="5"/>
        <v>1155460.769230769</v>
      </c>
      <c r="F28" s="41">
        <f>Model!$BF$36</f>
        <v>1</v>
      </c>
      <c r="G28" s="129">
        <f t="shared" si="6"/>
        <v>1155460.769230769</v>
      </c>
      <c r="H28" s="86">
        <f>INDEX(Model!$BF$40:$BF$43,MATCH($J28,Model!$BE$40:$BE$43,0))</f>
        <v>0.14000000000000001</v>
      </c>
      <c r="I28" s="107">
        <f t="shared" si="7"/>
        <v>161764.50769230767</v>
      </c>
      <c r="J28" s="87" t="s">
        <v>25</v>
      </c>
      <c r="K28" s="97">
        <f>INDEX(Model!$BF$44:$BF$47,MATCH($J28,Model!$BE$40:$BE$43,0))</f>
        <v>84.759907824534466</v>
      </c>
      <c r="L28" s="111">
        <f t="shared" si="0"/>
        <v>13711144.761281194</v>
      </c>
      <c r="M28" s="97" t="e">
        <f>Model!#REF!</f>
        <v>#REF!</v>
      </c>
      <c r="N28" s="109" t="e">
        <f t="shared" si="12"/>
        <v>#REF!</v>
      </c>
      <c r="O28" s="97" t="s">
        <v>29</v>
      </c>
      <c r="P28" s="97">
        <f>INDEX(Model!$BF$61:$BF$220,MATCH($O28,Model!$BE$61:$BE$220,0)+MATCH(Model!$BC$219,Model!$BC$61:$BC$220,0)-1)</f>
        <v>0.51500000000000001</v>
      </c>
      <c r="Q28" s="111" t="e">
        <f t="shared" si="8"/>
        <v>#REF!</v>
      </c>
      <c r="R28" s="126" t="e">
        <f>Model!#REF!</f>
        <v>#REF!</v>
      </c>
      <c r="S28" s="109" t="e">
        <f t="shared" si="9"/>
        <v>#REF!</v>
      </c>
      <c r="T28" s="87" t="s">
        <v>33</v>
      </c>
      <c r="U28" s="87">
        <f>Model!$BF$287</f>
        <v>1</v>
      </c>
      <c r="V28" s="87"/>
      <c r="W28" s="111" t="e">
        <f>S28*U28</f>
        <v>#REF!</v>
      </c>
      <c r="X28" s="147" t="e">
        <f>Model!#REF!/SUM(Model!#REF!,Model!#REF!)</f>
        <v>#REF!</v>
      </c>
      <c r="Y28" s="109" t="e">
        <f t="shared" si="3"/>
        <v>#REF!</v>
      </c>
      <c r="Z28" s="87" t="s">
        <v>53</v>
      </c>
      <c r="AA28" s="87"/>
      <c r="AB28" s="87">
        <f>Model!$BF$417</f>
        <v>1.1111111111111112</v>
      </c>
      <c r="AC28" s="98" t="e">
        <f t="shared" si="10"/>
        <v>#REF!</v>
      </c>
      <c r="AD28" s="87" t="e">
        <f t="shared" si="11"/>
        <v>#REF!</v>
      </c>
      <c r="AO28" s="123"/>
    </row>
    <row r="29" spans="3:41" x14ac:dyDescent="0.25">
      <c r="C29" s="128">
        <f>Model!$BF$14</f>
        <v>3004198</v>
      </c>
      <c r="D29" s="41">
        <f>Model!$BF$24</f>
        <v>0.38461538461538458</v>
      </c>
      <c r="E29" s="129">
        <f t="shared" si="5"/>
        <v>1155460.769230769</v>
      </c>
      <c r="F29" s="41">
        <f>Model!$BF$36</f>
        <v>1</v>
      </c>
      <c r="G29" s="129">
        <f t="shared" si="6"/>
        <v>1155460.769230769</v>
      </c>
      <c r="H29" s="86">
        <f>INDEX(Model!$BF$40:$BF$43,MATCH($J29,Model!$BE$40:$BE$43,0))</f>
        <v>4.0590758000000005E-2</v>
      </c>
      <c r="I29" s="107">
        <f t="shared" si="7"/>
        <v>46901.028462339993</v>
      </c>
      <c r="J29" s="87" t="s">
        <v>26</v>
      </c>
      <c r="K29" s="97">
        <f>INDEX(Model!$BF$44:$BF$47,MATCH($J29,Model!$BE$40:$BE$43,0))</f>
        <v>91.721414046613475</v>
      </c>
      <c r="L29" s="111">
        <f t="shared" si="0"/>
        <v>4301828.6508062901</v>
      </c>
      <c r="M29" s="97" t="e">
        <f>Model!#REF!</f>
        <v>#REF!</v>
      </c>
      <c r="N29" s="109" t="e">
        <f t="shared" si="12"/>
        <v>#REF!</v>
      </c>
      <c r="O29" s="97" t="s">
        <v>31</v>
      </c>
      <c r="P29" s="97">
        <f>INDEX(Model!$BF$61:$BF$220,MATCH($O29,Model!$BE$61:$BE$220,0)+MATCH(Model!$BC$219,Model!$BC$61:$BC$220,0)-1)</f>
        <v>0.309</v>
      </c>
      <c r="Q29" s="111" t="e">
        <f t="shared" si="8"/>
        <v>#REF!</v>
      </c>
      <c r="R29" s="126" t="e">
        <f>Model!#REF!</f>
        <v>#REF!</v>
      </c>
      <c r="S29" s="109" t="e">
        <f t="shared" si="9"/>
        <v>#REF!</v>
      </c>
      <c r="T29" s="87" t="s">
        <v>32</v>
      </c>
      <c r="U29" s="87"/>
      <c r="V29" s="87">
        <f>Model!$BF$256</f>
        <v>1</v>
      </c>
      <c r="W29" s="111"/>
      <c r="X29" s="126"/>
      <c r="Y29" s="109">
        <f t="shared" si="3"/>
        <v>0</v>
      </c>
      <c r="Z29" s="87"/>
      <c r="AA29" s="87"/>
      <c r="AB29" s="87"/>
      <c r="AC29" s="98" t="e">
        <f t="shared" si="10"/>
        <v>#REF!</v>
      </c>
      <c r="AD29" s="87">
        <f t="shared" si="11"/>
        <v>0</v>
      </c>
      <c r="AO29" s="123"/>
    </row>
    <row r="30" spans="3:41" x14ac:dyDescent="0.25">
      <c r="C30" s="128">
        <f>Model!$BF$14</f>
        <v>3004198</v>
      </c>
      <c r="D30" s="41">
        <f>Model!$BF$24</f>
        <v>0.38461538461538458</v>
      </c>
      <c r="E30" s="129">
        <f t="shared" si="5"/>
        <v>1155460.769230769</v>
      </c>
      <c r="F30" s="41">
        <f>Model!$BF$36</f>
        <v>1</v>
      </c>
      <c r="G30" s="129">
        <f t="shared" si="6"/>
        <v>1155460.769230769</v>
      </c>
      <c r="H30" s="86">
        <f>INDEX(Model!$BF$40:$BF$43,MATCH($J30,Model!$BE$40:$BE$43,0))</f>
        <v>4.0590758000000005E-2</v>
      </c>
      <c r="I30" s="107">
        <f t="shared" si="7"/>
        <v>46901.028462339993</v>
      </c>
      <c r="J30" s="87" t="s">
        <v>26</v>
      </c>
      <c r="K30" s="97">
        <f>INDEX(Model!$BF$44:$BF$47,MATCH($J30,Model!$BE$40:$BE$43,0))</f>
        <v>91.721414046613475</v>
      </c>
      <c r="L30" s="111">
        <f t="shared" si="0"/>
        <v>4301828.6508062901</v>
      </c>
      <c r="M30" s="97" t="e">
        <f>Model!#REF!</f>
        <v>#REF!</v>
      </c>
      <c r="N30" s="109" t="e">
        <f t="shared" si="12"/>
        <v>#REF!</v>
      </c>
      <c r="O30" s="97" t="s">
        <v>31</v>
      </c>
      <c r="P30" s="97">
        <f>INDEX(Model!$BF$61:$BF$220,MATCH($O30,Model!$BE$61:$BE$220,0)+MATCH(Model!$BC$219,Model!$BC$61:$BC$220,0)-1)</f>
        <v>0.309</v>
      </c>
      <c r="Q30" s="111" t="e">
        <f t="shared" si="8"/>
        <v>#REF!</v>
      </c>
      <c r="R30" s="126" t="e">
        <f>Model!#REF!</f>
        <v>#REF!</v>
      </c>
      <c r="S30" s="109" t="e">
        <f t="shared" si="9"/>
        <v>#REF!</v>
      </c>
      <c r="T30" s="87" t="s">
        <v>33</v>
      </c>
      <c r="U30" s="87">
        <f>Model!$BF$287</f>
        <v>1</v>
      </c>
      <c r="V30" s="87"/>
      <c r="W30" s="111" t="e">
        <f>S30*U30</f>
        <v>#REF!</v>
      </c>
      <c r="X30" s="126" t="e">
        <f>Model!#REF!</f>
        <v>#REF!</v>
      </c>
      <c r="Y30" s="109" t="e">
        <f t="shared" si="3"/>
        <v>#REF!</v>
      </c>
      <c r="Z30" s="87" t="s">
        <v>54</v>
      </c>
      <c r="AA30" s="87">
        <f>Model!$BF$355</f>
        <v>0.52631578947368418</v>
      </c>
      <c r="AB30" s="87"/>
      <c r="AC30" s="98" t="e">
        <f t="shared" si="10"/>
        <v>#REF!</v>
      </c>
      <c r="AD30" s="87" t="e">
        <f t="shared" si="11"/>
        <v>#REF!</v>
      </c>
      <c r="AO30" s="123"/>
    </row>
    <row r="31" spans="3:41" x14ac:dyDescent="0.25">
      <c r="C31" s="128">
        <f>Model!$BF$14</f>
        <v>3004198</v>
      </c>
      <c r="D31" s="41">
        <f>Model!$BF$24</f>
        <v>0.38461538461538458</v>
      </c>
      <c r="E31" s="129">
        <f t="shared" si="5"/>
        <v>1155460.769230769</v>
      </c>
      <c r="F31" s="41">
        <f>Model!$BF$36</f>
        <v>1</v>
      </c>
      <c r="G31" s="129">
        <f t="shared" si="6"/>
        <v>1155460.769230769</v>
      </c>
      <c r="H31" s="86">
        <f>INDEX(Model!$BF$40:$BF$43,MATCH($J31,Model!$BE$40:$BE$43,0))</f>
        <v>4.0590758000000005E-2</v>
      </c>
      <c r="I31" s="107">
        <f t="shared" si="7"/>
        <v>46901.028462339993</v>
      </c>
      <c r="J31" s="87" t="s">
        <v>26</v>
      </c>
      <c r="K31" s="97">
        <f>INDEX(Model!$BF$44:$BF$47,MATCH($J31,Model!$BE$40:$BE$43,0))</f>
        <v>91.721414046613475</v>
      </c>
      <c r="L31" s="111">
        <f t="shared" si="0"/>
        <v>4301828.6508062901</v>
      </c>
      <c r="M31" s="97" t="e">
        <f>Model!#REF!</f>
        <v>#REF!</v>
      </c>
      <c r="N31" s="109" t="e">
        <f t="shared" si="12"/>
        <v>#REF!</v>
      </c>
      <c r="O31" s="97" t="s">
        <v>31</v>
      </c>
      <c r="P31" s="97">
        <f>INDEX(Model!$BF$61:$BF$220,MATCH($O31,Model!$BE$61:$BE$220,0)+MATCH(Model!$BC$219,Model!$BC$61:$BC$220,0)-1)</f>
        <v>0.309</v>
      </c>
      <c r="Q31" s="111" t="e">
        <f t="shared" si="8"/>
        <v>#REF!</v>
      </c>
      <c r="R31" s="126" t="e">
        <f>Model!#REF!</f>
        <v>#REF!</v>
      </c>
      <c r="S31" s="109" t="e">
        <f t="shared" si="9"/>
        <v>#REF!</v>
      </c>
      <c r="T31" s="87" t="s">
        <v>33</v>
      </c>
      <c r="U31" s="87">
        <f>Model!$BF$287</f>
        <v>1</v>
      </c>
      <c r="V31" s="87"/>
      <c r="W31" s="111" t="e">
        <f>S31*U31</f>
        <v>#REF!</v>
      </c>
      <c r="X31" s="126" t="e">
        <f>Model!#REF!</f>
        <v>#REF!</v>
      </c>
      <c r="Y31" s="109" t="e">
        <f t="shared" si="3"/>
        <v>#REF!</v>
      </c>
      <c r="Z31" s="87" t="s">
        <v>119</v>
      </c>
      <c r="AA31" s="87">
        <f>Model!$BF$386</f>
        <v>0.4</v>
      </c>
      <c r="AB31" s="87"/>
      <c r="AC31" s="98" t="e">
        <f t="shared" si="10"/>
        <v>#REF!</v>
      </c>
      <c r="AD31" s="87" t="e">
        <f t="shared" si="11"/>
        <v>#REF!</v>
      </c>
      <c r="AO31" s="123"/>
    </row>
    <row r="32" spans="3:41" x14ac:dyDescent="0.25">
      <c r="C32" s="128">
        <f>Model!$BF$14</f>
        <v>3004198</v>
      </c>
      <c r="D32" s="41">
        <f>Model!$BF$24</f>
        <v>0.38461538461538458</v>
      </c>
      <c r="E32" s="129">
        <f t="shared" si="5"/>
        <v>1155460.769230769</v>
      </c>
      <c r="F32" s="41">
        <f>Model!$BF$36</f>
        <v>1</v>
      </c>
      <c r="G32" s="129">
        <f t="shared" si="6"/>
        <v>1155460.769230769</v>
      </c>
      <c r="H32" s="86">
        <f>INDEX(Model!$BF$40:$BF$43,MATCH($J32,Model!$BE$40:$BE$43,0))</f>
        <v>4.0590758000000005E-2</v>
      </c>
      <c r="I32" s="107">
        <f t="shared" si="7"/>
        <v>46901.028462339993</v>
      </c>
      <c r="J32" s="87" t="s">
        <v>26</v>
      </c>
      <c r="K32" s="97">
        <f>INDEX(Model!$BF$44:$BF$47,MATCH($J32,Model!$BE$40:$BE$43,0))</f>
        <v>91.721414046613475</v>
      </c>
      <c r="L32" s="111">
        <f t="shared" si="0"/>
        <v>4301828.6508062901</v>
      </c>
      <c r="M32" s="97" t="e">
        <f>Model!#REF!</f>
        <v>#REF!</v>
      </c>
      <c r="N32" s="109" t="e">
        <f t="shared" si="12"/>
        <v>#REF!</v>
      </c>
      <c r="O32" s="97" t="s">
        <v>31</v>
      </c>
      <c r="P32" s="97">
        <f>INDEX(Model!$BF$61:$BF$220,MATCH($O32,Model!$BE$61:$BE$220,0)+MATCH(Model!$BC$219,Model!$BC$61:$BC$220,0)-1)</f>
        <v>0.309</v>
      </c>
      <c r="Q32" s="111" t="e">
        <f t="shared" si="8"/>
        <v>#REF!</v>
      </c>
      <c r="R32" s="126" t="e">
        <f>Model!#REF!</f>
        <v>#REF!</v>
      </c>
      <c r="S32" s="109" t="e">
        <f t="shared" si="9"/>
        <v>#REF!</v>
      </c>
      <c r="T32" s="87" t="s">
        <v>33</v>
      </c>
      <c r="U32" s="87">
        <f>Model!$BF$287</f>
        <v>1</v>
      </c>
      <c r="V32" s="87"/>
      <c r="W32" s="111" t="e">
        <f>S32*U32</f>
        <v>#REF!</v>
      </c>
      <c r="X32" s="126" t="e">
        <f>Model!#REF!</f>
        <v>#REF!</v>
      </c>
      <c r="Y32" s="109" t="e">
        <f t="shared" si="3"/>
        <v>#REF!</v>
      </c>
      <c r="Z32" s="87" t="s">
        <v>52</v>
      </c>
      <c r="AA32" s="87"/>
      <c r="AB32" s="87">
        <f>Model!$BF$324</f>
        <v>1.6129032258064517</v>
      </c>
      <c r="AC32" s="98" t="e">
        <f t="shared" si="10"/>
        <v>#REF!</v>
      </c>
      <c r="AD32" s="87" t="e">
        <f t="shared" si="11"/>
        <v>#REF!</v>
      </c>
      <c r="AO32" s="123"/>
    </row>
    <row r="33" spans="3:41" x14ac:dyDescent="0.25">
      <c r="C33" s="128">
        <f>Model!$BF$14</f>
        <v>3004198</v>
      </c>
      <c r="D33" s="41">
        <f>Model!$BF$24</f>
        <v>0.38461538461538458</v>
      </c>
      <c r="E33" s="129">
        <f t="shared" si="5"/>
        <v>1155460.769230769</v>
      </c>
      <c r="F33" s="41">
        <f>Model!$BF$36</f>
        <v>1</v>
      </c>
      <c r="G33" s="129">
        <f t="shared" si="6"/>
        <v>1155460.769230769</v>
      </c>
      <c r="H33" s="86">
        <f>INDEX(Model!$BF$40:$BF$43,MATCH($J33,Model!$BE$40:$BE$43,0))</f>
        <v>4.0590758000000005E-2</v>
      </c>
      <c r="I33" s="107">
        <f t="shared" si="7"/>
        <v>46901.028462339993</v>
      </c>
      <c r="J33" s="87" t="s">
        <v>26</v>
      </c>
      <c r="K33" s="97">
        <f>INDEX(Model!$BF$44:$BF$47,MATCH($J33,Model!$BE$40:$BE$43,0))</f>
        <v>91.721414046613475</v>
      </c>
      <c r="L33" s="111">
        <f t="shared" si="0"/>
        <v>4301828.6508062901</v>
      </c>
      <c r="M33" s="97" t="e">
        <f>Model!#REF!</f>
        <v>#REF!</v>
      </c>
      <c r="N33" s="109" t="e">
        <f t="shared" si="12"/>
        <v>#REF!</v>
      </c>
      <c r="O33" s="97" t="s">
        <v>31</v>
      </c>
      <c r="P33" s="97">
        <f>INDEX(Model!$BF$61:$BF$220,MATCH($O33,Model!$BE$61:$BE$220,0)+MATCH(Model!$BC$219,Model!$BC$61:$BC$220,0)-1)</f>
        <v>0.309</v>
      </c>
      <c r="Q33" s="111" t="e">
        <f t="shared" si="8"/>
        <v>#REF!</v>
      </c>
      <c r="R33" s="126" t="e">
        <f>Model!#REF!</f>
        <v>#REF!</v>
      </c>
      <c r="S33" s="109" t="e">
        <f t="shared" si="9"/>
        <v>#REF!</v>
      </c>
      <c r="T33" s="87" t="s">
        <v>33</v>
      </c>
      <c r="U33" s="87">
        <f>Model!$BF$287</f>
        <v>1</v>
      </c>
      <c r="V33" s="87"/>
      <c r="W33" s="111" t="e">
        <f>S33*U33</f>
        <v>#REF!</v>
      </c>
      <c r="X33" s="126" t="e">
        <f>Model!#REF!</f>
        <v>#REF!</v>
      </c>
      <c r="Y33" s="109" t="e">
        <f t="shared" si="3"/>
        <v>#REF!</v>
      </c>
      <c r="Z33" s="87" t="s">
        <v>53</v>
      </c>
      <c r="AA33" s="87"/>
      <c r="AB33" s="87">
        <f>Model!$BF$417</f>
        <v>1.1111111111111112</v>
      </c>
      <c r="AC33" s="98" t="e">
        <f t="shared" si="10"/>
        <v>#REF!</v>
      </c>
      <c r="AD33" s="87" t="e">
        <f t="shared" si="11"/>
        <v>#REF!</v>
      </c>
      <c r="AO33" s="123"/>
    </row>
    <row r="34" spans="3:41" x14ac:dyDescent="0.25">
      <c r="C34" s="128">
        <f>Model!$BF$14</f>
        <v>3004198</v>
      </c>
      <c r="D34" s="41">
        <f>Model!$BF$24</f>
        <v>0.38461538461538458</v>
      </c>
      <c r="E34" s="129">
        <f t="shared" si="5"/>
        <v>1155460.769230769</v>
      </c>
      <c r="F34" s="41">
        <f>Model!$BF$36</f>
        <v>1</v>
      </c>
      <c r="G34" s="129">
        <f t="shared" si="6"/>
        <v>1155460.769230769</v>
      </c>
      <c r="H34" s="86">
        <f>INDEX(Model!$BF$40:$BF$43,MATCH($J34,Model!$BE$40:$BE$43,0))</f>
        <v>4.0590758000000005E-2</v>
      </c>
      <c r="I34" s="107">
        <f t="shared" si="7"/>
        <v>46901.028462339993</v>
      </c>
      <c r="J34" s="87" t="s">
        <v>26</v>
      </c>
      <c r="K34" s="97">
        <f>INDEX(Model!$BF$44:$BF$47,MATCH($J34,Model!$BE$40:$BE$43,0))</f>
        <v>91.721414046613475</v>
      </c>
      <c r="L34" s="111">
        <f t="shared" si="0"/>
        <v>4301828.6508062901</v>
      </c>
      <c r="M34" s="97">
        <f>Model!$BF$102</f>
        <v>0.83299999999999996</v>
      </c>
      <c r="N34" s="109">
        <f t="shared" si="12"/>
        <v>3583423.2661216394</v>
      </c>
      <c r="O34" s="97" t="s">
        <v>27</v>
      </c>
      <c r="P34" s="97">
        <f>INDEX(Model!$BF$61:$BF$220,MATCH($O34,Model!$BE$61:$BE$220,0)+MATCH(Model!$BC$219,Model!$BC$61:$BC$220,0)-1)</f>
        <v>0.63300000000000001</v>
      </c>
      <c r="Q34" s="111">
        <f t="shared" si="8"/>
        <v>2268306.9274549978</v>
      </c>
      <c r="R34" s="126" t="e">
        <f>Model!#REF!</f>
        <v>#REF!</v>
      </c>
      <c r="S34" s="109" t="e">
        <f t="shared" si="9"/>
        <v>#REF!</v>
      </c>
      <c r="T34" s="87" t="s">
        <v>32</v>
      </c>
      <c r="U34" s="87"/>
      <c r="V34" s="87">
        <f>Model!$BF$256</f>
        <v>1</v>
      </c>
      <c r="W34" s="111"/>
      <c r="X34" s="126"/>
      <c r="Y34" s="109">
        <f t="shared" si="3"/>
        <v>0</v>
      </c>
      <c r="Z34" s="87"/>
      <c r="AA34" s="87"/>
      <c r="AB34" s="87"/>
      <c r="AC34" s="98" t="e">
        <f t="shared" si="10"/>
        <v>#REF!</v>
      </c>
      <c r="AD34" s="87">
        <f t="shared" si="11"/>
        <v>0</v>
      </c>
      <c r="AO34" s="123"/>
    </row>
    <row r="35" spans="3:41" x14ac:dyDescent="0.25">
      <c r="C35" s="128">
        <f>Model!$BF$14</f>
        <v>3004198</v>
      </c>
      <c r="D35" s="41">
        <f>Model!$BF$24</f>
        <v>0.38461538461538458</v>
      </c>
      <c r="E35" s="129">
        <f t="shared" si="5"/>
        <v>1155460.769230769</v>
      </c>
      <c r="F35" s="41">
        <f>Model!$BF$36</f>
        <v>1</v>
      </c>
      <c r="G35" s="129">
        <f t="shared" si="6"/>
        <v>1155460.769230769</v>
      </c>
      <c r="H35" s="86">
        <f>INDEX(Model!$BF$40:$BF$43,MATCH($J35,Model!$BE$40:$BE$43,0))</f>
        <v>4.0590758000000005E-2</v>
      </c>
      <c r="I35" s="107">
        <f t="shared" si="7"/>
        <v>46901.028462339993</v>
      </c>
      <c r="J35" s="87" t="s">
        <v>26</v>
      </c>
      <c r="K35" s="97">
        <f>INDEX(Model!$BF$44:$BF$47,MATCH($J35,Model!$BE$40:$BE$43,0))</f>
        <v>91.721414046613475</v>
      </c>
      <c r="L35" s="111">
        <f t="shared" si="0"/>
        <v>4301828.6508062901</v>
      </c>
      <c r="M35" s="97">
        <f>Model!$BF$102</f>
        <v>0.83299999999999996</v>
      </c>
      <c r="N35" s="109">
        <f t="shared" si="12"/>
        <v>3583423.2661216394</v>
      </c>
      <c r="O35" s="97" t="s">
        <v>27</v>
      </c>
      <c r="P35" s="97">
        <f>INDEX(Model!$BF$61:$BF$220,MATCH($O35,Model!$BE$61:$BE$220,0)+MATCH(Model!$BC$219,Model!$BC$61:$BC$220,0)-1)</f>
        <v>0.63300000000000001</v>
      </c>
      <c r="Q35" s="111">
        <f t="shared" si="8"/>
        <v>2268306.9274549978</v>
      </c>
      <c r="R35" s="126" t="e">
        <f>Model!#REF!</f>
        <v>#REF!</v>
      </c>
      <c r="S35" s="109" t="e">
        <f t="shared" si="9"/>
        <v>#REF!</v>
      </c>
      <c r="T35" s="87" t="s">
        <v>33</v>
      </c>
      <c r="U35" s="87">
        <f>Model!$BF$287</f>
        <v>1</v>
      </c>
      <c r="V35" s="87"/>
      <c r="W35" s="111" t="e">
        <f>S35*U35</f>
        <v>#REF!</v>
      </c>
      <c r="X35" s="126" t="e">
        <f>Model!#REF!</f>
        <v>#REF!</v>
      </c>
      <c r="Y35" s="109" t="e">
        <f t="shared" si="3"/>
        <v>#REF!</v>
      </c>
      <c r="Z35" s="87" t="s">
        <v>54</v>
      </c>
      <c r="AA35" s="87">
        <f>Model!$BF$355</f>
        <v>0.52631578947368418</v>
      </c>
      <c r="AB35" s="87"/>
      <c r="AC35" s="98" t="e">
        <f t="shared" si="10"/>
        <v>#REF!</v>
      </c>
      <c r="AD35" s="87" t="e">
        <f t="shared" si="11"/>
        <v>#REF!</v>
      </c>
    </row>
    <row r="36" spans="3:41" x14ac:dyDescent="0.25">
      <c r="C36" s="128">
        <f>Model!$BF$14</f>
        <v>3004198</v>
      </c>
      <c r="D36" s="41">
        <f>Model!$BF$24</f>
        <v>0.38461538461538458</v>
      </c>
      <c r="E36" s="129">
        <f t="shared" si="5"/>
        <v>1155460.769230769</v>
      </c>
      <c r="F36" s="41">
        <f>Model!$BF$36</f>
        <v>1</v>
      </c>
      <c r="G36" s="129">
        <f t="shared" si="6"/>
        <v>1155460.769230769</v>
      </c>
      <c r="H36" s="86">
        <f>INDEX(Model!$BF$40:$BF$43,MATCH($J36,Model!$BE$40:$BE$43,0))</f>
        <v>4.0590758000000005E-2</v>
      </c>
      <c r="I36" s="107">
        <f t="shared" si="7"/>
        <v>46901.028462339993</v>
      </c>
      <c r="J36" s="87" t="s">
        <v>26</v>
      </c>
      <c r="K36" s="97">
        <f>INDEX(Model!$BF$44:$BF$47,MATCH($J36,Model!$BE$40:$BE$43,0))</f>
        <v>91.721414046613475</v>
      </c>
      <c r="L36" s="111">
        <f t="shared" ref="L36:L67" si="14">K36*I36</f>
        <v>4301828.6508062901</v>
      </c>
      <c r="M36" s="97">
        <f>Model!$BF$102</f>
        <v>0.83299999999999996</v>
      </c>
      <c r="N36" s="109">
        <f t="shared" si="12"/>
        <v>3583423.2661216394</v>
      </c>
      <c r="O36" s="97" t="s">
        <v>27</v>
      </c>
      <c r="P36" s="97">
        <f>INDEX(Model!$BF$61:$BF$220,MATCH($O36,Model!$BE$61:$BE$220,0)+MATCH(Model!$BC$219,Model!$BC$61:$BC$220,0)-1)</f>
        <v>0.63300000000000001</v>
      </c>
      <c r="Q36" s="111">
        <f t="shared" si="8"/>
        <v>2268306.9274549978</v>
      </c>
      <c r="R36" s="126" t="e">
        <f>Model!#REF!</f>
        <v>#REF!</v>
      </c>
      <c r="S36" s="109" t="e">
        <f t="shared" si="9"/>
        <v>#REF!</v>
      </c>
      <c r="T36" s="87" t="s">
        <v>33</v>
      </c>
      <c r="U36" s="87">
        <f>Model!$BF$287</f>
        <v>1</v>
      </c>
      <c r="V36" s="87"/>
      <c r="W36" s="111" t="e">
        <f>S36*U36</f>
        <v>#REF!</v>
      </c>
      <c r="X36" s="126" t="e">
        <f>Model!#REF!</f>
        <v>#REF!</v>
      </c>
      <c r="Y36" s="109" t="e">
        <f t="shared" si="3"/>
        <v>#REF!</v>
      </c>
      <c r="Z36" s="87" t="s">
        <v>119</v>
      </c>
      <c r="AA36" s="87">
        <f>Model!$BF$386</f>
        <v>0.4</v>
      </c>
      <c r="AB36" s="87"/>
      <c r="AC36" s="98" t="e">
        <f t="shared" si="10"/>
        <v>#REF!</v>
      </c>
      <c r="AD36" s="87" t="e">
        <f t="shared" si="11"/>
        <v>#REF!</v>
      </c>
      <c r="AO36" s="123"/>
    </row>
    <row r="37" spans="3:41" x14ac:dyDescent="0.25">
      <c r="C37" s="128">
        <f>Model!$BF$14</f>
        <v>3004198</v>
      </c>
      <c r="D37" s="41">
        <f>Model!$BF$24</f>
        <v>0.38461538461538458</v>
      </c>
      <c r="E37" s="129">
        <f t="shared" si="5"/>
        <v>1155460.769230769</v>
      </c>
      <c r="F37" s="41">
        <f>Model!$BF$36</f>
        <v>1</v>
      </c>
      <c r="G37" s="129">
        <f t="shared" si="6"/>
        <v>1155460.769230769</v>
      </c>
      <c r="H37" s="86">
        <f>INDEX(Model!$BF$40:$BF$43,MATCH($J37,Model!$BE$40:$BE$43,0))</f>
        <v>4.0590758000000005E-2</v>
      </c>
      <c r="I37" s="107">
        <f t="shared" si="7"/>
        <v>46901.028462339993</v>
      </c>
      <c r="J37" s="87" t="s">
        <v>26</v>
      </c>
      <c r="K37" s="97">
        <f>INDEX(Model!$BF$44:$BF$47,MATCH($J37,Model!$BE$40:$BE$43,0))</f>
        <v>91.721414046613475</v>
      </c>
      <c r="L37" s="111">
        <f t="shared" si="14"/>
        <v>4301828.6508062901</v>
      </c>
      <c r="M37" s="97">
        <f>Model!$BF$102</f>
        <v>0.83299999999999996</v>
      </c>
      <c r="N37" s="109">
        <f t="shared" si="12"/>
        <v>3583423.2661216394</v>
      </c>
      <c r="O37" s="97" t="s">
        <v>27</v>
      </c>
      <c r="P37" s="97">
        <f>INDEX(Model!$BF$61:$BF$220,MATCH($O37,Model!$BE$61:$BE$220,0)+MATCH(Model!$BC$219,Model!$BC$61:$BC$220,0)-1)</f>
        <v>0.63300000000000001</v>
      </c>
      <c r="Q37" s="111">
        <f t="shared" si="8"/>
        <v>2268306.9274549978</v>
      </c>
      <c r="R37" s="126" t="e">
        <f>Model!#REF!</f>
        <v>#REF!</v>
      </c>
      <c r="S37" s="109" t="e">
        <f t="shared" si="9"/>
        <v>#REF!</v>
      </c>
      <c r="T37" s="87" t="s">
        <v>33</v>
      </c>
      <c r="U37" s="87">
        <f>Model!$BF$287</f>
        <v>1</v>
      </c>
      <c r="V37" s="87"/>
      <c r="W37" s="111" t="e">
        <f>S37*U37</f>
        <v>#REF!</v>
      </c>
      <c r="X37" s="126" t="e">
        <f>Model!#REF!</f>
        <v>#REF!</v>
      </c>
      <c r="Y37" s="109" t="e">
        <f t="shared" si="3"/>
        <v>#REF!</v>
      </c>
      <c r="Z37" s="87" t="s">
        <v>52</v>
      </c>
      <c r="AA37" s="87"/>
      <c r="AB37" s="87">
        <f>Model!$BF$324</f>
        <v>1.6129032258064517</v>
      </c>
      <c r="AC37" s="98" t="e">
        <f t="shared" si="10"/>
        <v>#REF!</v>
      </c>
      <c r="AD37" s="87" t="e">
        <f t="shared" si="11"/>
        <v>#REF!</v>
      </c>
      <c r="AO37" s="123"/>
    </row>
    <row r="38" spans="3:41" x14ac:dyDescent="0.25">
      <c r="C38" s="128">
        <f>Model!$BF$14</f>
        <v>3004198</v>
      </c>
      <c r="D38" s="41">
        <f>Model!$BF$24</f>
        <v>0.38461538461538458</v>
      </c>
      <c r="E38" s="129">
        <f t="shared" si="5"/>
        <v>1155460.769230769</v>
      </c>
      <c r="F38" s="41">
        <f>Model!$BF$36</f>
        <v>1</v>
      </c>
      <c r="G38" s="129">
        <f t="shared" si="6"/>
        <v>1155460.769230769</v>
      </c>
      <c r="H38" s="86">
        <f>INDEX(Model!$BF$40:$BF$43,MATCH($J38,Model!$BE$40:$BE$43,0))</f>
        <v>4.0590758000000005E-2</v>
      </c>
      <c r="I38" s="107">
        <f t="shared" si="7"/>
        <v>46901.028462339993</v>
      </c>
      <c r="J38" s="87" t="s">
        <v>26</v>
      </c>
      <c r="K38" s="97">
        <f>INDEX(Model!$BF$44:$BF$47,MATCH($J38,Model!$BE$40:$BE$43,0))</f>
        <v>91.721414046613475</v>
      </c>
      <c r="L38" s="111">
        <f t="shared" si="14"/>
        <v>4301828.6508062901</v>
      </c>
      <c r="M38" s="97">
        <f>Model!$BF$102</f>
        <v>0.83299999999999996</v>
      </c>
      <c r="N38" s="109">
        <f t="shared" si="12"/>
        <v>3583423.2661216394</v>
      </c>
      <c r="O38" s="97" t="s">
        <v>27</v>
      </c>
      <c r="P38" s="97">
        <f>INDEX(Model!$BF$61:$BF$220,MATCH($O38,Model!$BE$61:$BE$220,0)+MATCH(Model!$BC$219,Model!$BC$61:$BC$220,0)-1)</f>
        <v>0.63300000000000001</v>
      </c>
      <c r="Q38" s="111">
        <f t="shared" si="8"/>
        <v>2268306.9274549978</v>
      </c>
      <c r="R38" s="126" t="e">
        <f>Model!#REF!</f>
        <v>#REF!</v>
      </c>
      <c r="S38" s="109" t="e">
        <f t="shared" si="9"/>
        <v>#REF!</v>
      </c>
      <c r="T38" s="87" t="s">
        <v>33</v>
      </c>
      <c r="U38" s="87">
        <f>Model!$BF$287</f>
        <v>1</v>
      </c>
      <c r="V38" s="87"/>
      <c r="W38" s="111" t="e">
        <f>S38*U38</f>
        <v>#REF!</v>
      </c>
      <c r="X38" s="126" t="e">
        <f>Model!#REF!</f>
        <v>#REF!</v>
      </c>
      <c r="Y38" s="109" t="e">
        <f t="shared" si="3"/>
        <v>#REF!</v>
      </c>
      <c r="Z38" s="87" t="s">
        <v>53</v>
      </c>
      <c r="AA38" s="87"/>
      <c r="AB38" s="87">
        <f>Model!$BF$417</f>
        <v>1.1111111111111112</v>
      </c>
      <c r="AC38" s="98" t="e">
        <f t="shared" si="10"/>
        <v>#REF!</v>
      </c>
      <c r="AD38" s="87" t="e">
        <f t="shared" si="11"/>
        <v>#REF!</v>
      </c>
      <c r="AO38" s="123"/>
    </row>
    <row r="39" spans="3:41" x14ac:dyDescent="0.25">
      <c r="C39" s="128">
        <f>Model!$BF$14</f>
        <v>3004198</v>
      </c>
      <c r="D39" s="41">
        <f>Model!$BF$24</f>
        <v>0.38461538461538458</v>
      </c>
      <c r="E39" s="129">
        <f t="shared" si="5"/>
        <v>1155460.769230769</v>
      </c>
      <c r="F39" s="41">
        <f>Model!$BF$36</f>
        <v>1</v>
      </c>
      <c r="G39" s="129">
        <f t="shared" si="6"/>
        <v>1155460.769230769</v>
      </c>
      <c r="H39" s="86">
        <f>INDEX(Model!$BF$40:$BF$43,MATCH($J39,Model!$BE$40:$BE$43,0))</f>
        <v>4.0590758000000005E-2</v>
      </c>
      <c r="I39" s="107">
        <f t="shared" si="7"/>
        <v>46901.028462339993</v>
      </c>
      <c r="J39" s="87" t="s">
        <v>26</v>
      </c>
      <c r="K39" s="97">
        <f>INDEX(Model!$BF$44:$BF$47,MATCH($J39,Model!$BE$40:$BE$43,0))</f>
        <v>91.721414046613475</v>
      </c>
      <c r="L39" s="111">
        <f t="shared" si="14"/>
        <v>4301828.6508062901</v>
      </c>
      <c r="M39" s="97" t="e">
        <f>Model!#REF!</f>
        <v>#REF!</v>
      </c>
      <c r="N39" s="109" t="e">
        <f t="shared" si="12"/>
        <v>#REF!</v>
      </c>
      <c r="O39" s="97" t="s">
        <v>28</v>
      </c>
      <c r="P39" s="97">
        <f>INDEX(Model!$BF$61:$BF$220,MATCH($O39,Model!$BE$61:$BE$220,0)+MATCH(Model!$BC$219,Model!$BC$61:$BC$220,0)-1)</f>
        <v>0.997</v>
      </c>
      <c r="Q39" s="111" t="e">
        <f t="shared" si="8"/>
        <v>#REF!</v>
      </c>
      <c r="R39" s="126" t="e">
        <f>Model!#REF!</f>
        <v>#REF!</v>
      </c>
      <c r="S39" s="109" t="e">
        <f t="shared" si="9"/>
        <v>#REF!</v>
      </c>
      <c r="T39" s="87" t="s">
        <v>32</v>
      </c>
      <c r="U39" s="87"/>
      <c r="V39" s="87">
        <f>Model!$BF$256</f>
        <v>1</v>
      </c>
      <c r="W39" s="111"/>
      <c r="X39" s="126"/>
      <c r="Y39" s="109">
        <f t="shared" si="3"/>
        <v>0</v>
      </c>
      <c r="Z39" s="87"/>
      <c r="AA39" s="87"/>
      <c r="AB39" s="87"/>
      <c r="AC39" s="98" t="e">
        <f t="shared" si="10"/>
        <v>#REF!</v>
      </c>
      <c r="AD39" s="87">
        <f t="shared" si="11"/>
        <v>0</v>
      </c>
      <c r="AO39" s="123"/>
    </row>
    <row r="40" spans="3:41" x14ac:dyDescent="0.25">
      <c r="C40" s="128">
        <f>Model!$BF$14</f>
        <v>3004198</v>
      </c>
      <c r="D40" s="41">
        <f>Model!$BF$24</f>
        <v>0.38461538461538458</v>
      </c>
      <c r="E40" s="129">
        <f t="shared" si="5"/>
        <v>1155460.769230769</v>
      </c>
      <c r="F40" s="41">
        <f>Model!$BF$36</f>
        <v>1</v>
      </c>
      <c r="G40" s="129">
        <f t="shared" si="6"/>
        <v>1155460.769230769</v>
      </c>
      <c r="H40" s="86">
        <f>INDEX(Model!$BF$40:$BF$43,MATCH($J40,Model!$BE$40:$BE$43,0))</f>
        <v>4.0590758000000005E-2</v>
      </c>
      <c r="I40" s="107">
        <f t="shared" si="7"/>
        <v>46901.028462339993</v>
      </c>
      <c r="J40" s="87" t="s">
        <v>26</v>
      </c>
      <c r="K40" s="97">
        <f>INDEX(Model!$BF$44:$BF$47,MATCH($J40,Model!$BE$40:$BE$43,0))</f>
        <v>91.721414046613475</v>
      </c>
      <c r="L40" s="111">
        <f t="shared" si="14"/>
        <v>4301828.6508062901</v>
      </c>
      <c r="M40" s="97" t="e">
        <f>Model!#REF!</f>
        <v>#REF!</v>
      </c>
      <c r="N40" s="109" t="e">
        <f t="shared" si="12"/>
        <v>#REF!</v>
      </c>
      <c r="O40" s="97" t="s">
        <v>28</v>
      </c>
      <c r="P40" s="97">
        <f>INDEX(Model!$BF$61:$BF$220,MATCH($O40,Model!$BE$61:$BE$220,0)+MATCH(Model!$BC$219,Model!$BC$61:$BC$220,0)-1)</f>
        <v>0.997</v>
      </c>
      <c r="Q40" s="111" t="e">
        <f t="shared" si="8"/>
        <v>#REF!</v>
      </c>
      <c r="R40" s="126" t="e">
        <f>Model!#REF!</f>
        <v>#REF!</v>
      </c>
      <c r="S40" s="109" t="e">
        <f t="shared" si="9"/>
        <v>#REF!</v>
      </c>
      <c r="T40" s="87" t="s">
        <v>33</v>
      </c>
      <c r="U40" s="87">
        <f>Model!$BF$287</f>
        <v>1</v>
      </c>
      <c r="V40" s="87"/>
      <c r="W40" s="111" t="e">
        <f>S40*U40</f>
        <v>#REF!</v>
      </c>
      <c r="X40" s="126" t="e">
        <f>Model!#REF!</f>
        <v>#REF!</v>
      </c>
      <c r="Y40" s="109" t="e">
        <f t="shared" si="3"/>
        <v>#REF!</v>
      </c>
      <c r="Z40" s="87" t="s">
        <v>54</v>
      </c>
      <c r="AA40" s="87">
        <f>Model!$BF$355</f>
        <v>0.52631578947368418</v>
      </c>
      <c r="AB40" s="87"/>
      <c r="AC40" s="98" t="e">
        <f t="shared" si="10"/>
        <v>#REF!</v>
      </c>
      <c r="AD40" s="87" t="e">
        <f t="shared" si="11"/>
        <v>#REF!</v>
      </c>
      <c r="AO40" s="123"/>
    </row>
    <row r="41" spans="3:41" x14ac:dyDescent="0.25">
      <c r="C41" s="128">
        <f>Model!$BF$14</f>
        <v>3004198</v>
      </c>
      <c r="D41" s="41">
        <f>Model!$BF$24</f>
        <v>0.38461538461538458</v>
      </c>
      <c r="E41" s="129">
        <f t="shared" si="5"/>
        <v>1155460.769230769</v>
      </c>
      <c r="F41" s="41">
        <f>Model!$BF$36</f>
        <v>1</v>
      </c>
      <c r="G41" s="129">
        <f t="shared" si="6"/>
        <v>1155460.769230769</v>
      </c>
      <c r="H41" s="86">
        <f>INDEX(Model!$BF$40:$BF$43,MATCH($J41,Model!$BE$40:$BE$43,0))</f>
        <v>4.0590758000000005E-2</v>
      </c>
      <c r="I41" s="107">
        <f t="shared" si="7"/>
        <v>46901.028462339993</v>
      </c>
      <c r="J41" s="87" t="s">
        <v>26</v>
      </c>
      <c r="K41" s="97">
        <f>INDEX(Model!$BF$44:$BF$47,MATCH($J41,Model!$BE$40:$BE$43,0))</f>
        <v>91.721414046613475</v>
      </c>
      <c r="L41" s="111">
        <f t="shared" si="14"/>
        <v>4301828.6508062901</v>
      </c>
      <c r="M41" s="97" t="e">
        <f>Model!#REF!</f>
        <v>#REF!</v>
      </c>
      <c r="N41" s="109" t="e">
        <f t="shared" si="12"/>
        <v>#REF!</v>
      </c>
      <c r="O41" s="97" t="s">
        <v>28</v>
      </c>
      <c r="P41" s="97">
        <f>INDEX(Model!$BF$61:$BF$220,MATCH($O41,Model!$BE$61:$BE$220,0)+MATCH(Model!$BC$219,Model!$BC$61:$BC$220,0)-1)</f>
        <v>0.997</v>
      </c>
      <c r="Q41" s="111" t="e">
        <f t="shared" si="8"/>
        <v>#REF!</v>
      </c>
      <c r="R41" s="126" t="e">
        <f>Model!#REF!</f>
        <v>#REF!</v>
      </c>
      <c r="S41" s="109" t="e">
        <f t="shared" si="9"/>
        <v>#REF!</v>
      </c>
      <c r="T41" s="87" t="s">
        <v>33</v>
      </c>
      <c r="U41" s="87">
        <f>Model!$BF$287</f>
        <v>1</v>
      </c>
      <c r="V41" s="87"/>
      <c r="W41" s="111" t="e">
        <f>S41*U41</f>
        <v>#REF!</v>
      </c>
      <c r="X41" s="126" t="e">
        <f>Model!#REF!</f>
        <v>#REF!</v>
      </c>
      <c r="Y41" s="109" t="e">
        <f t="shared" si="3"/>
        <v>#REF!</v>
      </c>
      <c r="Z41" s="87" t="s">
        <v>119</v>
      </c>
      <c r="AA41" s="87">
        <f>Model!$BF$386</f>
        <v>0.4</v>
      </c>
      <c r="AB41" s="87"/>
      <c r="AC41" s="98" t="e">
        <f t="shared" si="10"/>
        <v>#REF!</v>
      </c>
      <c r="AD41" s="87" t="e">
        <f t="shared" si="11"/>
        <v>#REF!</v>
      </c>
      <c r="AO41" s="123"/>
    </row>
    <row r="42" spans="3:41" x14ac:dyDescent="0.25">
      <c r="C42" s="128">
        <f>Model!$BF$14</f>
        <v>3004198</v>
      </c>
      <c r="D42" s="41">
        <f>Model!$BF$24</f>
        <v>0.38461538461538458</v>
      </c>
      <c r="E42" s="129">
        <f t="shared" si="5"/>
        <v>1155460.769230769</v>
      </c>
      <c r="F42" s="41">
        <f>Model!$BF$36</f>
        <v>1</v>
      </c>
      <c r="G42" s="129">
        <f t="shared" si="6"/>
        <v>1155460.769230769</v>
      </c>
      <c r="H42" s="86">
        <f>INDEX(Model!$BF$40:$BF$43,MATCH($J42,Model!$BE$40:$BE$43,0))</f>
        <v>4.0590758000000005E-2</v>
      </c>
      <c r="I42" s="107">
        <f t="shared" si="7"/>
        <v>46901.028462339993</v>
      </c>
      <c r="J42" s="87" t="s">
        <v>26</v>
      </c>
      <c r="K42" s="97">
        <f>INDEX(Model!$BF$44:$BF$47,MATCH($J42,Model!$BE$40:$BE$43,0))</f>
        <v>91.721414046613475</v>
      </c>
      <c r="L42" s="111">
        <f t="shared" si="14"/>
        <v>4301828.6508062901</v>
      </c>
      <c r="M42" s="97" t="e">
        <f>Model!#REF!</f>
        <v>#REF!</v>
      </c>
      <c r="N42" s="109" t="e">
        <f t="shared" si="12"/>
        <v>#REF!</v>
      </c>
      <c r="O42" s="97" t="s">
        <v>28</v>
      </c>
      <c r="P42" s="97">
        <f>INDEX(Model!$BF$61:$BF$220,MATCH($O42,Model!$BE$61:$BE$220,0)+MATCH(Model!$BC$219,Model!$BC$61:$BC$220,0)-1)</f>
        <v>0.997</v>
      </c>
      <c r="Q42" s="111" t="e">
        <f t="shared" si="8"/>
        <v>#REF!</v>
      </c>
      <c r="R42" s="126" t="e">
        <f>Model!#REF!</f>
        <v>#REF!</v>
      </c>
      <c r="S42" s="109" t="e">
        <f t="shared" si="9"/>
        <v>#REF!</v>
      </c>
      <c r="T42" s="87" t="s">
        <v>33</v>
      </c>
      <c r="U42" s="87">
        <f>Model!$BF$287</f>
        <v>1</v>
      </c>
      <c r="V42" s="87"/>
      <c r="W42" s="111" t="e">
        <f>S42*U42</f>
        <v>#REF!</v>
      </c>
      <c r="X42" s="126" t="e">
        <f>Model!#REF!</f>
        <v>#REF!</v>
      </c>
      <c r="Y42" s="109" t="e">
        <f t="shared" si="3"/>
        <v>#REF!</v>
      </c>
      <c r="Z42" s="87" t="s">
        <v>52</v>
      </c>
      <c r="AA42" s="87"/>
      <c r="AB42" s="87">
        <f>Model!$BF$324</f>
        <v>1.6129032258064517</v>
      </c>
      <c r="AC42" s="98" t="e">
        <f t="shared" si="10"/>
        <v>#REF!</v>
      </c>
      <c r="AD42" s="87" t="e">
        <f t="shared" si="11"/>
        <v>#REF!</v>
      </c>
      <c r="AO42" s="123"/>
    </row>
    <row r="43" spans="3:41" x14ac:dyDescent="0.25">
      <c r="C43" s="128">
        <f>Model!$BF$14</f>
        <v>3004198</v>
      </c>
      <c r="D43" s="41">
        <f>Model!$BF$24</f>
        <v>0.38461538461538458</v>
      </c>
      <c r="E43" s="129">
        <f t="shared" si="5"/>
        <v>1155460.769230769</v>
      </c>
      <c r="F43" s="41">
        <f>Model!$BF$36</f>
        <v>1</v>
      </c>
      <c r="G43" s="129">
        <f t="shared" si="6"/>
        <v>1155460.769230769</v>
      </c>
      <c r="H43" s="86">
        <f>INDEX(Model!$BF$40:$BF$43,MATCH($J43,Model!$BE$40:$BE$43,0))</f>
        <v>4.0590758000000005E-2</v>
      </c>
      <c r="I43" s="107">
        <f t="shared" si="7"/>
        <v>46901.028462339993</v>
      </c>
      <c r="J43" s="87" t="s">
        <v>26</v>
      </c>
      <c r="K43" s="97">
        <f>INDEX(Model!$BF$44:$BF$47,MATCH($J43,Model!$BE$40:$BE$43,0))</f>
        <v>91.721414046613475</v>
      </c>
      <c r="L43" s="111">
        <f t="shared" si="14"/>
        <v>4301828.6508062901</v>
      </c>
      <c r="M43" s="97" t="e">
        <f>Model!#REF!</f>
        <v>#REF!</v>
      </c>
      <c r="N43" s="109" t="e">
        <f t="shared" si="12"/>
        <v>#REF!</v>
      </c>
      <c r="O43" s="97" t="s">
        <v>28</v>
      </c>
      <c r="P43" s="97">
        <f>INDEX(Model!$BF$61:$BF$220,MATCH($O43,Model!$BE$61:$BE$220,0)+MATCH(Model!$BC$219,Model!$BC$61:$BC$220,0)-1)</f>
        <v>0.997</v>
      </c>
      <c r="Q43" s="111" t="e">
        <f t="shared" si="8"/>
        <v>#REF!</v>
      </c>
      <c r="R43" s="126" t="e">
        <f>Model!#REF!</f>
        <v>#REF!</v>
      </c>
      <c r="S43" s="109" t="e">
        <f t="shared" si="9"/>
        <v>#REF!</v>
      </c>
      <c r="T43" s="87" t="s">
        <v>33</v>
      </c>
      <c r="U43" s="87">
        <f>Model!$BF$287</f>
        <v>1</v>
      </c>
      <c r="V43" s="87"/>
      <c r="W43" s="111" t="e">
        <f>S43*U43</f>
        <v>#REF!</v>
      </c>
      <c r="X43" s="126" t="e">
        <f>Model!#REF!</f>
        <v>#REF!</v>
      </c>
      <c r="Y43" s="109" t="e">
        <f t="shared" si="3"/>
        <v>#REF!</v>
      </c>
      <c r="Z43" s="87" t="s">
        <v>53</v>
      </c>
      <c r="AA43" s="87"/>
      <c r="AB43" s="87">
        <f>Model!$BF$417</f>
        <v>1.1111111111111112</v>
      </c>
      <c r="AC43" s="98" t="e">
        <f t="shared" si="10"/>
        <v>#REF!</v>
      </c>
      <c r="AD43" s="87" t="e">
        <f t="shared" si="11"/>
        <v>#REF!</v>
      </c>
      <c r="AO43" s="123"/>
    </row>
    <row r="44" spans="3:41" x14ac:dyDescent="0.25">
      <c r="C44" s="128">
        <f>Model!$BF$14</f>
        <v>3004198</v>
      </c>
      <c r="D44" s="41">
        <f>Model!$BF$24</f>
        <v>0.38461538461538458</v>
      </c>
      <c r="E44" s="129">
        <f t="shared" si="5"/>
        <v>1155460.769230769</v>
      </c>
      <c r="F44" s="41">
        <f>Model!$BF$36</f>
        <v>1</v>
      </c>
      <c r="G44" s="129">
        <f t="shared" si="6"/>
        <v>1155460.769230769</v>
      </c>
      <c r="H44" s="86">
        <f>INDEX(Model!$BF$40:$BF$43,MATCH($J44,Model!$BE$40:$BE$43,0))</f>
        <v>4.0590758000000005E-2</v>
      </c>
      <c r="I44" s="107">
        <f t="shared" si="7"/>
        <v>46901.028462339993</v>
      </c>
      <c r="J44" s="87" t="s">
        <v>26</v>
      </c>
      <c r="K44" s="97">
        <f>INDEX(Model!$BF$44:$BF$47,MATCH($J44,Model!$BE$40:$BE$43,0))</f>
        <v>91.721414046613475</v>
      </c>
      <c r="L44" s="111">
        <f t="shared" si="14"/>
        <v>4301828.6508062901</v>
      </c>
      <c r="M44" s="97" t="e">
        <f>Model!#REF!</f>
        <v>#REF!</v>
      </c>
      <c r="N44" s="109" t="e">
        <f t="shared" si="12"/>
        <v>#REF!</v>
      </c>
      <c r="O44" s="97" t="s">
        <v>30</v>
      </c>
      <c r="P44" s="97">
        <f>INDEX(Model!$BF$61:$BF$220,MATCH($O44,Model!$BE$61:$BE$220,0)+MATCH(Model!$BC$219,Model!$BC$61:$BC$220,0)-1)</f>
        <v>0.36</v>
      </c>
      <c r="Q44" s="111" t="e">
        <f t="shared" si="8"/>
        <v>#REF!</v>
      </c>
      <c r="R44" s="126" t="e">
        <f>Model!#REF!</f>
        <v>#REF!</v>
      </c>
      <c r="S44" s="109" t="e">
        <f t="shared" si="9"/>
        <v>#REF!</v>
      </c>
      <c r="T44" s="87" t="s">
        <v>32</v>
      </c>
      <c r="U44" s="87"/>
      <c r="V44" s="87">
        <f>Model!$BF$256</f>
        <v>1</v>
      </c>
      <c r="W44" s="111"/>
      <c r="X44" s="126"/>
      <c r="Y44" s="109">
        <f t="shared" si="3"/>
        <v>0</v>
      </c>
      <c r="Z44" s="87"/>
      <c r="AA44" s="87"/>
      <c r="AB44" s="87"/>
      <c r="AC44" s="98" t="e">
        <f t="shared" si="10"/>
        <v>#REF!</v>
      </c>
      <c r="AD44" s="87">
        <f t="shared" si="11"/>
        <v>0</v>
      </c>
      <c r="AO44" s="123"/>
    </row>
    <row r="45" spans="3:41" x14ac:dyDescent="0.25">
      <c r="C45" s="128">
        <f>Model!$BF$14</f>
        <v>3004198</v>
      </c>
      <c r="D45" s="41">
        <f>Model!$BF$24</f>
        <v>0.38461538461538458</v>
      </c>
      <c r="E45" s="129">
        <f t="shared" si="5"/>
        <v>1155460.769230769</v>
      </c>
      <c r="F45" s="41">
        <f>Model!$BF$36</f>
        <v>1</v>
      </c>
      <c r="G45" s="129">
        <f t="shared" si="6"/>
        <v>1155460.769230769</v>
      </c>
      <c r="H45" s="86">
        <f>INDEX(Model!$BF$40:$BF$43,MATCH($J45,Model!$BE$40:$BE$43,0))</f>
        <v>4.0590758000000005E-2</v>
      </c>
      <c r="I45" s="107">
        <f t="shared" si="7"/>
        <v>46901.028462339993</v>
      </c>
      <c r="J45" s="87" t="s">
        <v>26</v>
      </c>
      <c r="K45" s="97">
        <f>INDEX(Model!$BF$44:$BF$47,MATCH($J45,Model!$BE$40:$BE$43,0))</f>
        <v>91.721414046613475</v>
      </c>
      <c r="L45" s="111">
        <f t="shared" si="14"/>
        <v>4301828.6508062901</v>
      </c>
      <c r="M45" s="97" t="e">
        <f>Model!#REF!</f>
        <v>#REF!</v>
      </c>
      <c r="N45" s="109" t="e">
        <f t="shared" si="12"/>
        <v>#REF!</v>
      </c>
      <c r="O45" s="97" t="s">
        <v>30</v>
      </c>
      <c r="P45" s="97">
        <f>INDEX(Model!$BF$61:$BF$220,MATCH($O45,Model!$BE$61:$BE$220,0)+MATCH(Model!$BC$219,Model!$BC$61:$BC$220,0)-1)</f>
        <v>0.36</v>
      </c>
      <c r="Q45" s="111" t="e">
        <f t="shared" si="8"/>
        <v>#REF!</v>
      </c>
      <c r="R45" s="126" t="e">
        <f>Model!#REF!</f>
        <v>#REF!</v>
      </c>
      <c r="S45" s="109" t="e">
        <f t="shared" si="9"/>
        <v>#REF!</v>
      </c>
      <c r="T45" s="87" t="s">
        <v>33</v>
      </c>
      <c r="U45" s="87">
        <f>Model!$BF$287</f>
        <v>1</v>
      </c>
      <c r="V45" s="87"/>
      <c r="W45" s="111" t="e">
        <f>S45*U45</f>
        <v>#REF!</v>
      </c>
      <c r="X45" s="126" t="e">
        <f>Model!#REF!</f>
        <v>#REF!</v>
      </c>
      <c r="Y45" s="109" t="e">
        <f t="shared" si="3"/>
        <v>#REF!</v>
      </c>
      <c r="Z45" s="87" t="s">
        <v>54</v>
      </c>
      <c r="AA45" s="87">
        <f>Model!$BF$355</f>
        <v>0.52631578947368418</v>
      </c>
      <c r="AB45" s="87"/>
      <c r="AC45" s="98" t="e">
        <f t="shared" si="10"/>
        <v>#REF!</v>
      </c>
      <c r="AD45" s="87" t="e">
        <f t="shared" si="11"/>
        <v>#REF!</v>
      </c>
      <c r="AO45" s="123"/>
    </row>
    <row r="46" spans="3:41" x14ac:dyDescent="0.25">
      <c r="C46" s="128">
        <f>Model!$BF$14</f>
        <v>3004198</v>
      </c>
      <c r="D46" s="41">
        <f>Model!$BF$24</f>
        <v>0.38461538461538458</v>
      </c>
      <c r="E46" s="129">
        <f t="shared" si="5"/>
        <v>1155460.769230769</v>
      </c>
      <c r="F46" s="41">
        <f>Model!$BF$36</f>
        <v>1</v>
      </c>
      <c r="G46" s="129">
        <f t="shared" si="6"/>
        <v>1155460.769230769</v>
      </c>
      <c r="H46" s="86">
        <f>INDEX(Model!$BF$40:$BF$43,MATCH($J46,Model!$BE$40:$BE$43,0))</f>
        <v>4.0590758000000005E-2</v>
      </c>
      <c r="I46" s="107">
        <f t="shared" si="7"/>
        <v>46901.028462339993</v>
      </c>
      <c r="J46" s="87" t="s">
        <v>26</v>
      </c>
      <c r="K46" s="97">
        <f>INDEX(Model!$BF$44:$BF$47,MATCH($J46,Model!$BE$40:$BE$43,0))</f>
        <v>91.721414046613475</v>
      </c>
      <c r="L46" s="111">
        <f t="shared" si="14"/>
        <v>4301828.6508062901</v>
      </c>
      <c r="M46" s="97" t="e">
        <f>Model!#REF!</f>
        <v>#REF!</v>
      </c>
      <c r="N46" s="109" t="e">
        <f t="shared" si="12"/>
        <v>#REF!</v>
      </c>
      <c r="O46" s="97" t="s">
        <v>30</v>
      </c>
      <c r="P46" s="97">
        <f>INDEX(Model!$BF$61:$BF$220,MATCH($O46,Model!$BE$61:$BE$220,0)+MATCH(Model!$BC$219,Model!$BC$61:$BC$220,0)-1)</f>
        <v>0.36</v>
      </c>
      <c r="Q46" s="111" t="e">
        <f t="shared" si="8"/>
        <v>#REF!</v>
      </c>
      <c r="R46" s="126" t="e">
        <f>Model!#REF!</f>
        <v>#REF!</v>
      </c>
      <c r="S46" s="109" t="e">
        <f t="shared" si="9"/>
        <v>#REF!</v>
      </c>
      <c r="T46" s="87" t="s">
        <v>33</v>
      </c>
      <c r="U46" s="87">
        <f>Model!$BF$287</f>
        <v>1</v>
      </c>
      <c r="V46" s="87"/>
      <c r="W46" s="111" t="e">
        <f>S46*U46</f>
        <v>#REF!</v>
      </c>
      <c r="X46" s="126" t="e">
        <f>Model!#REF!</f>
        <v>#REF!</v>
      </c>
      <c r="Y46" s="109" t="e">
        <f t="shared" si="3"/>
        <v>#REF!</v>
      </c>
      <c r="Z46" s="87" t="s">
        <v>119</v>
      </c>
      <c r="AA46" s="87">
        <f>Model!$BF$386</f>
        <v>0.4</v>
      </c>
      <c r="AB46" s="87"/>
      <c r="AC46" s="98" t="e">
        <f t="shared" si="10"/>
        <v>#REF!</v>
      </c>
      <c r="AD46" s="87" t="e">
        <f t="shared" si="11"/>
        <v>#REF!</v>
      </c>
      <c r="AO46" s="123"/>
    </row>
    <row r="47" spans="3:41" x14ac:dyDescent="0.25">
      <c r="C47" s="128">
        <f>Model!$BF$14</f>
        <v>3004198</v>
      </c>
      <c r="D47" s="41">
        <f>Model!$BF$24</f>
        <v>0.38461538461538458</v>
      </c>
      <c r="E47" s="129">
        <f t="shared" si="5"/>
        <v>1155460.769230769</v>
      </c>
      <c r="F47" s="41">
        <f>Model!$BF$36</f>
        <v>1</v>
      </c>
      <c r="G47" s="129">
        <f t="shared" si="6"/>
        <v>1155460.769230769</v>
      </c>
      <c r="H47" s="86">
        <f>INDEX(Model!$BF$40:$BF$43,MATCH($J47,Model!$BE$40:$BE$43,0))</f>
        <v>4.0590758000000005E-2</v>
      </c>
      <c r="I47" s="107">
        <f t="shared" si="7"/>
        <v>46901.028462339993</v>
      </c>
      <c r="J47" s="87" t="s">
        <v>26</v>
      </c>
      <c r="K47" s="97">
        <f>INDEX(Model!$BF$44:$BF$47,MATCH($J47,Model!$BE$40:$BE$43,0))</f>
        <v>91.721414046613475</v>
      </c>
      <c r="L47" s="111">
        <f t="shared" si="14"/>
        <v>4301828.6508062901</v>
      </c>
      <c r="M47" s="97" t="e">
        <f>Model!#REF!</f>
        <v>#REF!</v>
      </c>
      <c r="N47" s="109" t="e">
        <f t="shared" si="12"/>
        <v>#REF!</v>
      </c>
      <c r="O47" s="97" t="s">
        <v>30</v>
      </c>
      <c r="P47" s="97">
        <f>INDEX(Model!$BF$61:$BF$220,MATCH($O47,Model!$BE$61:$BE$220,0)+MATCH(Model!$BC$219,Model!$BC$61:$BC$220,0)-1)</f>
        <v>0.36</v>
      </c>
      <c r="Q47" s="111" t="e">
        <f t="shared" si="8"/>
        <v>#REF!</v>
      </c>
      <c r="R47" s="126" t="e">
        <f>Model!#REF!</f>
        <v>#REF!</v>
      </c>
      <c r="S47" s="109" t="e">
        <f t="shared" si="9"/>
        <v>#REF!</v>
      </c>
      <c r="T47" s="87" t="s">
        <v>33</v>
      </c>
      <c r="U47" s="87">
        <f>Model!$BF$287</f>
        <v>1</v>
      </c>
      <c r="V47" s="87"/>
      <c r="W47" s="111" t="e">
        <f>S47*U47</f>
        <v>#REF!</v>
      </c>
      <c r="X47" s="126" t="e">
        <f>Model!#REF!</f>
        <v>#REF!</v>
      </c>
      <c r="Y47" s="109" t="e">
        <f t="shared" si="3"/>
        <v>#REF!</v>
      </c>
      <c r="Z47" s="87" t="s">
        <v>52</v>
      </c>
      <c r="AA47" s="87"/>
      <c r="AB47" s="87">
        <f>Model!$BF$324</f>
        <v>1.6129032258064517</v>
      </c>
      <c r="AC47" s="98" t="e">
        <f t="shared" si="10"/>
        <v>#REF!</v>
      </c>
      <c r="AD47" s="87" t="e">
        <f t="shared" si="11"/>
        <v>#REF!</v>
      </c>
      <c r="AO47" s="123"/>
    </row>
    <row r="48" spans="3:41" x14ac:dyDescent="0.25">
      <c r="C48" s="128">
        <f>Model!$BF$14</f>
        <v>3004198</v>
      </c>
      <c r="D48" s="41">
        <f>Model!$BF$24</f>
        <v>0.38461538461538458</v>
      </c>
      <c r="E48" s="129">
        <f t="shared" si="5"/>
        <v>1155460.769230769</v>
      </c>
      <c r="F48" s="41">
        <f>Model!$BF$36</f>
        <v>1</v>
      </c>
      <c r="G48" s="129">
        <f t="shared" si="6"/>
        <v>1155460.769230769</v>
      </c>
      <c r="H48" s="86">
        <f>INDEX(Model!$BF$40:$BF$43,MATCH($J48,Model!$BE$40:$BE$43,0))</f>
        <v>4.0590758000000005E-2</v>
      </c>
      <c r="I48" s="107">
        <f t="shared" si="7"/>
        <v>46901.028462339993</v>
      </c>
      <c r="J48" s="87" t="s">
        <v>26</v>
      </c>
      <c r="K48" s="97">
        <f>INDEX(Model!$BF$44:$BF$47,MATCH($J48,Model!$BE$40:$BE$43,0))</f>
        <v>91.721414046613475</v>
      </c>
      <c r="L48" s="111">
        <f t="shared" si="14"/>
        <v>4301828.6508062901</v>
      </c>
      <c r="M48" s="97" t="e">
        <f>Model!#REF!</f>
        <v>#REF!</v>
      </c>
      <c r="N48" s="109" t="e">
        <f t="shared" si="12"/>
        <v>#REF!</v>
      </c>
      <c r="O48" s="97" t="s">
        <v>30</v>
      </c>
      <c r="P48" s="97">
        <f>INDEX(Model!$BF$61:$BF$220,MATCH($O48,Model!$BE$61:$BE$220,0)+MATCH(Model!$BC$219,Model!$BC$61:$BC$220,0)-1)</f>
        <v>0.36</v>
      </c>
      <c r="Q48" s="111" t="e">
        <f t="shared" si="8"/>
        <v>#REF!</v>
      </c>
      <c r="R48" s="126" t="e">
        <f>Model!#REF!</f>
        <v>#REF!</v>
      </c>
      <c r="S48" s="109" t="e">
        <f t="shared" si="9"/>
        <v>#REF!</v>
      </c>
      <c r="T48" s="87" t="s">
        <v>33</v>
      </c>
      <c r="U48" s="87">
        <f>Model!$BF$287</f>
        <v>1</v>
      </c>
      <c r="V48" s="87"/>
      <c r="W48" s="111" t="e">
        <f>S48*U48</f>
        <v>#REF!</v>
      </c>
      <c r="X48" s="126" t="e">
        <f>Model!#REF!</f>
        <v>#REF!</v>
      </c>
      <c r="Y48" s="109" t="e">
        <f t="shared" si="3"/>
        <v>#REF!</v>
      </c>
      <c r="Z48" s="87" t="s">
        <v>53</v>
      </c>
      <c r="AA48" s="87"/>
      <c r="AB48" s="87">
        <f>Model!$BF$417</f>
        <v>1.1111111111111112</v>
      </c>
      <c r="AC48" s="98" t="e">
        <f t="shared" si="10"/>
        <v>#REF!</v>
      </c>
      <c r="AD48" s="87" t="e">
        <f t="shared" si="11"/>
        <v>#REF!</v>
      </c>
    </row>
    <row r="49" spans="3:41" x14ac:dyDescent="0.25">
      <c r="C49" s="128">
        <f>Model!$BF$14</f>
        <v>3004198</v>
      </c>
      <c r="D49" s="41">
        <f>Model!$BF$24</f>
        <v>0.38461538461538458</v>
      </c>
      <c r="E49" s="129">
        <f t="shared" si="5"/>
        <v>1155460.769230769</v>
      </c>
      <c r="F49" s="41">
        <f>Model!$BF$36</f>
        <v>1</v>
      </c>
      <c r="G49" s="129">
        <f t="shared" si="6"/>
        <v>1155460.769230769</v>
      </c>
      <c r="H49" s="86">
        <f>INDEX(Model!$BF$40:$BF$43,MATCH($J49,Model!$BE$40:$BE$43,0))</f>
        <v>4.0590758000000005E-2</v>
      </c>
      <c r="I49" s="107">
        <f t="shared" si="7"/>
        <v>46901.028462339993</v>
      </c>
      <c r="J49" s="87" t="s">
        <v>26</v>
      </c>
      <c r="K49" s="97">
        <f>INDEX(Model!$BF$44:$BF$47,MATCH($J49,Model!$BE$40:$BE$43,0))</f>
        <v>91.721414046613475</v>
      </c>
      <c r="L49" s="111">
        <f t="shared" si="14"/>
        <v>4301828.6508062901</v>
      </c>
      <c r="M49" s="97" t="e">
        <f>Model!#REF!</f>
        <v>#REF!</v>
      </c>
      <c r="N49" s="109" t="e">
        <f t="shared" si="12"/>
        <v>#REF!</v>
      </c>
      <c r="O49" s="97" t="s">
        <v>29</v>
      </c>
      <c r="P49" s="97">
        <f>INDEX(Model!$BF$61:$BF$220,MATCH($O49,Model!$BE$61:$BE$220,0)+MATCH(Model!$BC$219,Model!$BC$61:$BC$220,0)-1)</f>
        <v>0.51500000000000001</v>
      </c>
      <c r="Q49" s="111" t="e">
        <f t="shared" si="8"/>
        <v>#REF!</v>
      </c>
      <c r="R49" s="126" t="e">
        <f>Model!#REF!</f>
        <v>#REF!</v>
      </c>
      <c r="S49" s="109" t="e">
        <f t="shared" si="9"/>
        <v>#REF!</v>
      </c>
      <c r="T49" s="87" t="s">
        <v>32</v>
      </c>
      <c r="U49" s="87"/>
      <c r="V49" s="87">
        <f>Model!$BF$256</f>
        <v>1</v>
      </c>
      <c r="W49" s="111"/>
      <c r="X49" s="126"/>
      <c r="Y49" s="109">
        <f t="shared" si="3"/>
        <v>0</v>
      </c>
      <c r="Z49" s="87"/>
      <c r="AA49" s="87"/>
      <c r="AB49" s="87"/>
      <c r="AC49" s="98" t="e">
        <f t="shared" si="10"/>
        <v>#REF!</v>
      </c>
      <c r="AD49" s="87">
        <f t="shared" si="11"/>
        <v>0</v>
      </c>
      <c r="AO49" s="123"/>
    </row>
    <row r="50" spans="3:41" x14ac:dyDescent="0.25">
      <c r="C50" s="128">
        <f>Model!$BF$14</f>
        <v>3004198</v>
      </c>
      <c r="D50" s="41">
        <f>Model!$BF$24</f>
        <v>0.38461538461538458</v>
      </c>
      <c r="E50" s="129">
        <f t="shared" si="5"/>
        <v>1155460.769230769</v>
      </c>
      <c r="F50" s="41">
        <f>Model!$BF$36</f>
        <v>1</v>
      </c>
      <c r="G50" s="129">
        <f t="shared" si="6"/>
        <v>1155460.769230769</v>
      </c>
      <c r="H50" s="86">
        <f>INDEX(Model!$BF$40:$BF$43,MATCH($J50,Model!$BE$40:$BE$43,0))</f>
        <v>4.0590758000000005E-2</v>
      </c>
      <c r="I50" s="107">
        <f t="shared" si="7"/>
        <v>46901.028462339993</v>
      </c>
      <c r="J50" s="87" t="s">
        <v>26</v>
      </c>
      <c r="K50" s="97">
        <f>INDEX(Model!$BF$44:$BF$47,MATCH($J50,Model!$BE$40:$BE$43,0))</f>
        <v>91.721414046613475</v>
      </c>
      <c r="L50" s="111">
        <f t="shared" si="14"/>
        <v>4301828.6508062901</v>
      </c>
      <c r="M50" s="97" t="e">
        <f>Model!#REF!</f>
        <v>#REF!</v>
      </c>
      <c r="N50" s="109" t="e">
        <f t="shared" si="12"/>
        <v>#REF!</v>
      </c>
      <c r="O50" s="97" t="s">
        <v>29</v>
      </c>
      <c r="P50" s="97">
        <f>INDEX(Model!$BF$61:$BF$220,MATCH($O50,Model!$BE$61:$BE$220,0)+MATCH(Model!$BC$219,Model!$BC$61:$BC$220,0)-1)</f>
        <v>0.51500000000000001</v>
      </c>
      <c r="Q50" s="111" t="e">
        <f t="shared" si="8"/>
        <v>#REF!</v>
      </c>
      <c r="R50" s="126" t="e">
        <f>Model!#REF!</f>
        <v>#REF!</v>
      </c>
      <c r="S50" s="109" t="e">
        <f t="shared" si="9"/>
        <v>#REF!</v>
      </c>
      <c r="T50" s="87" t="s">
        <v>33</v>
      </c>
      <c r="U50" s="87">
        <f>Model!$BF$287</f>
        <v>1</v>
      </c>
      <c r="V50" s="87"/>
      <c r="W50" s="111" t="e">
        <f>S50*U50</f>
        <v>#REF!</v>
      </c>
      <c r="X50" s="126" t="e">
        <f>Model!#REF!</f>
        <v>#REF!</v>
      </c>
      <c r="Y50" s="109" t="e">
        <f t="shared" si="3"/>
        <v>#REF!</v>
      </c>
      <c r="Z50" s="87" t="s">
        <v>54</v>
      </c>
      <c r="AA50" s="87">
        <f>Model!$BF$355</f>
        <v>0.52631578947368418</v>
      </c>
      <c r="AB50" s="87"/>
      <c r="AC50" s="98" t="e">
        <f t="shared" si="10"/>
        <v>#REF!</v>
      </c>
      <c r="AD50" s="87" t="e">
        <f t="shared" si="11"/>
        <v>#REF!</v>
      </c>
      <c r="AO50" s="123"/>
    </row>
    <row r="51" spans="3:41" x14ac:dyDescent="0.25">
      <c r="C51" s="128">
        <f>Model!$BF$14</f>
        <v>3004198</v>
      </c>
      <c r="D51" s="41">
        <f>Model!$BF$24</f>
        <v>0.38461538461538458</v>
      </c>
      <c r="E51" s="129">
        <f t="shared" si="5"/>
        <v>1155460.769230769</v>
      </c>
      <c r="F51" s="41">
        <f>Model!$BF$36</f>
        <v>1</v>
      </c>
      <c r="G51" s="129">
        <f t="shared" si="6"/>
        <v>1155460.769230769</v>
      </c>
      <c r="H51" s="86">
        <f>INDEX(Model!$BF$40:$BF$43,MATCH($J51,Model!$BE$40:$BE$43,0))</f>
        <v>4.0590758000000005E-2</v>
      </c>
      <c r="I51" s="107">
        <f t="shared" si="7"/>
        <v>46901.028462339993</v>
      </c>
      <c r="J51" s="87" t="s">
        <v>26</v>
      </c>
      <c r="K51" s="97">
        <f>INDEX(Model!$BF$44:$BF$47,MATCH($J51,Model!$BE$40:$BE$43,0))</f>
        <v>91.721414046613475</v>
      </c>
      <c r="L51" s="111">
        <f t="shared" si="14"/>
        <v>4301828.6508062901</v>
      </c>
      <c r="M51" s="97" t="e">
        <f>Model!#REF!</f>
        <v>#REF!</v>
      </c>
      <c r="N51" s="109" t="e">
        <f t="shared" si="12"/>
        <v>#REF!</v>
      </c>
      <c r="O51" s="97" t="s">
        <v>29</v>
      </c>
      <c r="P51" s="97">
        <f>INDEX(Model!$BF$61:$BF$220,MATCH($O51,Model!$BE$61:$BE$220,0)+MATCH(Model!$BC$219,Model!$BC$61:$BC$220,0)-1)</f>
        <v>0.51500000000000001</v>
      </c>
      <c r="Q51" s="111" t="e">
        <f t="shared" si="8"/>
        <v>#REF!</v>
      </c>
      <c r="R51" s="126" t="e">
        <f>Model!#REF!</f>
        <v>#REF!</v>
      </c>
      <c r="S51" s="109" t="e">
        <f t="shared" si="9"/>
        <v>#REF!</v>
      </c>
      <c r="T51" s="87" t="s">
        <v>33</v>
      </c>
      <c r="U51" s="87">
        <f>Model!$BF$287</f>
        <v>1</v>
      </c>
      <c r="V51" s="87"/>
      <c r="W51" s="111" t="e">
        <f>S51*U51</f>
        <v>#REF!</v>
      </c>
      <c r="X51" s="126" t="e">
        <f>Model!#REF!</f>
        <v>#REF!</v>
      </c>
      <c r="Y51" s="109" t="e">
        <f t="shared" si="3"/>
        <v>#REF!</v>
      </c>
      <c r="Z51" s="87" t="s">
        <v>119</v>
      </c>
      <c r="AA51" s="87">
        <f>Model!$BF$386</f>
        <v>0.4</v>
      </c>
      <c r="AB51" s="87"/>
      <c r="AC51" s="98" t="e">
        <f t="shared" si="10"/>
        <v>#REF!</v>
      </c>
      <c r="AD51" s="87" t="e">
        <f t="shared" si="11"/>
        <v>#REF!</v>
      </c>
      <c r="AO51" s="123"/>
    </row>
    <row r="52" spans="3:41" x14ac:dyDescent="0.25">
      <c r="C52" s="128">
        <f>Model!$BF$14</f>
        <v>3004198</v>
      </c>
      <c r="D52" s="41">
        <f>Model!$BF$24</f>
        <v>0.38461538461538458</v>
      </c>
      <c r="E52" s="129">
        <f t="shared" si="5"/>
        <v>1155460.769230769</v>
      </c>
      <c r="F52" s="41">
        <f>Model!$BF$36</f>
        <v>1</v>
      </c>
      <c r="G52" s="129">
        <f t="shared" si="6"/>
        <v>1155460.769230769</v>
      </c>
      <c r="H52" s="86">
        <f>INDEX(Model!$BF$40:$BF$43,MATCH($J52,Model!$BE$40:$BE$43,0))</f>
        <v>4.0590758000000005E-2</v>
      </c>
      <c r="I52" s="107">
        <f t="shared" si="7"/>
        <v>46901.028462339993</v>
      </c>
      <c r="J52" s="87" t="s">
        <v>26</v>
      </c>
      <c r="K52" s="97">
        <f>INDEX(Model!$BF$44:$BF$47,MATCH($J52,Model!$BE$40:$BE$43,0))</f>
        <v>91.721414046613475</v>
      </c>
      <c r="L52" s="111">
        <f t="shared" si="14"/>
        <v>4301828.6508062901</v>
      </c>
      <c r="M52" s="97" t="e">
        <f>Model!#REF!</f>
        <v>#REF!</v>
      </c>
      <c r="N52" s="109" t="e">
        <f t="shared" si="12"/>
        <v>#REF!</v>
      </c>
      <c r="O52" s="97" t="s">
        <v>29</v>
      </c>
      <c r="P52" s="97">
        <f>INDEX(Model!$BF$61:$BF$220,MATCH($O52,Model!$BE$61:$BE$220,0)+MATCH(Model!$BC$219,Model!$BC$61:$BC$220,0)-1)</f>
        <v>0.51500000000000001</v>
      </c>
      <c r="Q52" s="111" t="e">
        <f t="shared" si="8"/>
        <v>#REF!</v>
      </c>
      <c r="R52" s="126" t="e">
        <f>Model!#REF!</f>
        <v>#REF!</v>
      </c>
      <c r="S52" s="109" t="e">
        <f t="shared" si="9"/>
        <v>#REF!</v>
      </c>
      <c r="T52" s="87" t="s">
        <v>33</v>
      </c>
      <c r="U52" s="87">
        <f>Model!$BF$287</f>
        <v>1</v>
      </c>
      <c r="V52" s="87"/>
      <c r="W52" s="111" t="e">
        <f>S52*U52</f>
        <v>#REF!</v>
      </c>
      <c r="X52" s="126" t="e">
        <f>Model!#REF!</f>
        <v>#REF!</v>
      </c>
      <c r="Y52" s="109" t="e">
        <f t="shared" si="3"/>
        <v>#REF!</v>
      </c>
      <c r="Z52" s="87" t="s">
        <v>52</v>
      </c>
      <c r="AA52" s="87"/>
      <c r="AB52" s="87">
        <f>Model!$BF$324</f>
        <v>1.6129032258064517</v>
      </c>
      <c r="AC52" s="98" t="e">
        <f t="shared" si="10"/>
        <v>#REF!</v>
      </c>
      <c r="AD52" s="87" t="e">
        <f t="shared" si="11"/>
        <v>#REF!</v>
      </c>
      <c r="AO52" s="123"/>
    </row>
    <row r="53" spans="3:41" x14ac:dyDescent="0.25">
      <c r="C53" s="128">
        <f>Model!$BF$14</f>
        <v>3004198</v>
      </c>
      <c r="D53" s="41">
        <f>Model!$BF$24</f>
        <v>0.38461538461538458</v>
      </c>
      <c r="E53" s="129">
        <f t="shared" si="5"/>
        <v>1155460.769230769</v>
      </c>
      <c r="F53" s="41">
        <f>Model!$BF$36</f>
        <v>1</v>
      </c>
      <c r="G53" s="129">
        <f t="shared" si="6"/>
        <v>1155460.769230769</v>
      </c>
      <c r="H53" s="86">
        <f>INDEX(Model!$BF$40:$BF$43,MATCH($J53,Model!$BE$40:$BE$43,0))</f>
        <v>4.0590758000000005E-2</v>
      </c>
      <c r="I53" s="107">
        <f t="shared" si="7"/>
        <v>46901.028462339993</v>
      </c>
      <c r="J53" s="87" t="s">
        <v>26</v>
      </c>
      <c r="K53" s="97">
        <f>INDEX(Model!$BF$44:$BF$47,MATCH($J53,Model!$BE$40:$BE$43,0))</f>
        <v>91.721414046613475</v>
      </c>
      <c r="L53" s="111">
        <f t="shared" si="14"/>
        <v>4301828.6508062901</v>
      </c>
      <c r="M53" s="97" t="e">
        <f>Model!#REF!</f>
        <v>#REF!</v>
      </c>
      <c r="N53" s="109" t="e">
        <f t="shared" si="12"/>
        <v>#REF!</v>
      </c>
      <c r="O53" s="97" t="s">
        <v>29</v>
      </c>
      <c r="P53" s="97">
        <f>INDEX(Model!$BF$61:$BF$220,MATCH($O53,Model!$BE$61:$BE$220,0)+MATCH(Model!$BC$219,Model!$BC$61:$BC$220,0)-1)</f>
        <v>0.51500000000000001</v>
      </c>
      <c r="Q53" s="111" t="e">
        <f t="shared" si="8"/>
        <v>#REF!</v>
      </c>
      <c r="R53" s="126" t="e">
        <f>Model!#REF!</f>
        <v>#REF!</v>
      </c>
      <c r="S53" s="109" t="e">
        <f t="shared" si="9"/>
        <v>#REF!</v>
      </c>
      <c r="T53" s="87" t="s">
        <v>33</v>
      </c>
      <c r="U53" s="87">
        <f>Model!$BF$287</f>
        <v>1</v>
      </c>
      <c r="V53" s="87"/>
      <c r="W53" s="111" t="e">
        <f>S53*U53</f>
        <v>#REF!</v>
      </c>
      <c r="X53" s="126" t="e">
        <f>Model!#REF!</f>
        <v>#REF!</v>
      </c>
      <c r="Y53" s="109" t="e">
        <f t="shared" si="3"/>
        <v>#REF!</v>
      </c>
      <c r="Z53" s="87" t="s">
        <v>53</v>
      </c>
      <c r="AA53" s="87"/>
      <c r="AB53" s="87">
        <f>Model!$BF$417</f>
        <v>1.1111111111111112</v>
      </c>
      <c r="AC53" s="98" t="e">
        <f t="shared" si="10"/>
        <v>#REF!</v>
      </c>
      <c r="AD53" s="87" t="e">
        <f t="shared" si="11"/>
        <v>#REF!</v>
      </c>
      <c r="AO53" s="123"/>
    </row>
    <row r="54" spans="3:41" x14ac:dyDescent="0.25">
      <c r="C54" s="128">
        <f>Model!$BF$14</f>
        <v>3004198</v>
      </c>
      <c r="D54" s="41">
        <f>Model!$BF$24</f>
        <v>0.38461538461538458</v>
      </c>
      <c r="E54" s="129">
        <f t="shared" si="5"/>
        <v>1155460.769230769</v>
      </c>
      <c r="F54" s="41">
        <f>Model!$BF$36</f>
        <v>1</v>
      </c>
      <c r="G54" s="129">
        <f t="shared" si="6"/>
        <v>1155460.769230769</v>
      </c>
      <c r="H54" s="86">
        <f>INDEX(Model!$BF$40:$BF$43,MATCH($J54,Model!$BE$40:$BE$43,0))</f>
        <v>0.1</v>
      </c>
      <c r="I54" s="107">
        <f t="shared" si="7"/>
        <v>115546.07692307691</v>
      </c>
      <c r="J54" s="87" t="s">
        <v>24</v>
      </c>
      <c r="K54" s="97">
        <f>INDEX(Model!$BF$44:$BF$47,MATCH($J54,Model!$BE$40:$BE$43,0))</f>
        <v>107.36595424145357</v>
      </c>
      <c r="L54" s="111">
        <f t="shared" si="14"/>
        <v>12405714.807702549</v>
      </c>
      <c r="M54" s="97" t="e">
        <f>Model!#REF!</f>
        <v>#REF!</v>
      </c>
      <c r="N54" s="109" t="e">
        <f t="shared" si="12"/>
        <v>#REF!</v>
      </c>
      <c r="O54" s="97" t="s">
        <v>31</v>
      </c>
      <c r="P54" s="97">
        <f>INDEX(Model!$BF$61:$BF$220,MATCH($O54,Model!$BE$61:$BE$220,0)+MATCH(Model!$BC$219,Model!$BC$61:$BC$220,0)-1)</f>
        <v>0.309</v>
      </c>
      <c r="Q54" s="111" t="e">
        <f t="shared" si="8"/>
        <v>#REF!</v>
      </c>
      <c r="R54" s="126" t="e">
        <f>Model!#REF!</f>
        <v>#REF!</v>
      </c>
      <c r="S54" s="109" t="e">
        <f t="shared" si="9"/>
        <v>#REF!</v>
      </c>
      <c r="T54" s="87" t="s">
        <v>32</v>
      </c>
      <c r="U54" s="87"/>
      <c r="V54" s="87">
        <f>Model!$BF$256</f>
        <v>1</v>
      </c>
      <c r="W54" s="111"/>
      <c r="X54" s="126"/>
      <c r="Y54" s="109">
        <f t="shared" si="3"/>
        <v>0</v>
      </c>
      <c r="Z54" s="87"/>
      <c r="AA54" s="87"/>
      <c r="AB54" s="87"/>
      <c r="AC54" s="98" t="e">
        <f t="shared" si="10"/>
        <v>#REF!</v>
      </c>
      <c r="AD54" s="87">
        <f t="shared" si="11"/>
        <v>0</v>
      </c>
      <c r="AO54" s="123"/>
    </row>
    <row r="55" spans="3:41" x14ac:dyDescent="0.25">
      <c r="C55" s="128">
        <f>Model!$BF$14</f>
        <v>3004198</v>
      </c>
      <c r="D55" s="41">
        <f>Model!$BF$24</f>
        <v>0.38461538461538458</v>
      </c>
      <c r="E55" s="129">
        <f t="shared" si="5"/>
        <v>1155460.769230769</v>
      </c>
      <c r="F55" s="41">
        <f>Model!$BF$36</f>
        <v>1</v>
      </c>
      <c r="G55" s="129">
        <f t="shared" si="6"/>
        <v>1155460.769230769</v>
      </c>
      <c r="H55" s="86">
        <f>INDEX(Model!$BF$40:$BF$43,MATCH($J55,Model!$BE$40:$BE$43,0))</f>
        <v>0.1</v>
      </c>
      <c r="I55" s="107">
        <f t="shared" si="7"/>
        <v>115546.07692307691</v>
      </c>
      <c r="J55" s="87" t="s">
        <v>24</v>
      </c>
      <c r="K55" s="97">
        <f>INDEX(Model!$BF$44:$BF$47,MATCH($J55,Model!$BE$40:$BE$43,0))</f>
        <v>107.36595424145357</v>
      </c>
      <c r="L55" s="111">
        <f t="shared" si="14"/>
        <v>12405714.807702549</v>
      </c>
      <c r="M55" s="97" t="e">
        <f>Model!#REF!</f>
        <v>#REF!</v>
      </c>
      <c r="N55" s="109" t="e">
        <f t="shared" si="12"/>
        <v>#REF!</v>
      </c>
      <c r="O55" s="97" t="s">
        <v>31</v>
      </c>
      <c r="P55" s="97">
        <f>INDEX(Model!$BF$61:$BF$220,MATCH($O55,Model!$BE$61:$BE$220,0)+MATCH(Model!$BC$219,Model!$BC$61:$BC$220,0)-1)</f>
        <v>0.309</v>
      </c>
      <c r="Q55" s="111" t="e">
        <f t="shared" si="8"/>
        <v>#REF!</v>
      </c>
      <c r="R55" s="126" t="e">
        <f>Model!#REF!</f>
        <v>#REF!</v>
      </c>
      <c r="S55" s="109" t="e">
        <f t="shared" si="9"/>
        <v>#REF!</v>
      </c>
      <c r="T55" s="87" t="s">
        <v>33</v>
      </c>
      <c r="U55" s="87">
        <f>Model!$BF$287</f>
        <v>1</v>
      </c>
      <c r="V55" s="87"/>
      <c r="W55" s="111" t="e">
        <f>S55*U55</f>
        <v>#REF!</v>
      </c>
      <c r="X55" s="126" t="e">
        <f>Model!#REF!</f>
        <v>#REF!</v>
      </c>
      <c r="Y55" s="109" t="e">
        <f t="shared" si="3"/>
        <v>#REF!</v>
      </c>
      <c r="Z55" s="87" t="s">
        <v>54</v>
      </c>
      <c r="AA55" s="87">
        <f>Model!$BF$355</f>
        <v>0.52631578947368418</v>
      </c>
      <c r="AB55" s="87"/>
      <c r="AC55" s="98" t="e">
        <f t="shared" si="10"/>
        <v>#REF!</v>
      </c>
      <c r="AD55" s="87" t="e">
        <f t="shared" si="11"/>
        <v>#REF!</v>
      </c>
      <c r="AO55" s="123"/>
    </row>
    <row r="56" spans="3:41" x14ac:dyDescent="0.25">
      <c r="C56" s="128">
        <f>Model!$BF$14</f>
        <v>3004198</v>
      </c>
      <c r="D56" s="41">
        <f>Model!$BF$24</f>
        <v>0.38461538461538458</v>
      </c>
      <c r="E56" s="129">
        <f t="shared" si="5"/>
        <v>1155460.769230769</v>
      </c>
      <c r="F56" s="41">
        <f>Model!$BF$36</f>
        <v>1</v>
      </c>
      <c r="G56" s="129">
        <f t="shared" si="6"/>
        <v>1155460.769230769</v>
      </c>
      <c r="H56" s="86">
        <f>INDEX(Model!$BF$40:$BF$43,MATCH($J56,Model!$BE$40:$BE$43,0))</f>
        <v>0.1</v>
      </c>
      <c r="I56" s="107">
        <f t="shared" si="7"/>
        <v>115546.07692307691</v>
      </c>
      <c r="J56" s="87" t="s">
        <v>24</v>
      </c>
      <c r="K56" s="97">
        <f>INDEX(Model!$BF$44:$BF$47,MATCH($J56,Model!$BE$40:$BE$43,0))</f>
        <v>107.36595424145357</v>
      </c>
      <c r="L56" s="111">
        <f t="shared" si="14"/>
        <v>12405714.807702549</v>
      </c>
      <c r="M56" s="97" t="e">
        <f>Model!#REF!</f>
        <v>#REF!</v>
      </c>
      <c r="N56" s="109" t="e">
        <f t="shared" si="12"/>
        <v>#REF!</v>
      </c>
      <c r="O56" s="97" t="s">
        <v>31</v>
      </c>
      <c r="P56" s="97">
        <f>INDEX(Model!$BF$61:$BF$220,MATCH($O56,Model!$BE$61:$BE$220,0)+MATCH(Model!$BC$219,Model!$BC$61:$BC$220,0)-1)</f>
        <v>0.309</v>
      </c>
      <c r="Q56" s="111" t="e">
        <f t="shared" si="8"/>
        <v>#REF!</v>
      </c>
      <c r="R56" s="126" t="e">
        <f>Model!#REF!</f>
        <v>#REF!</v>
      </c>
      <c r="S56" s="109" t="e">
        <f t="shared" si="9"/>
        <v>#REF!</v>
      </c>
      <c r="T56" s="87" t="s">
        <v>33</v>
      </c>
      <c r="U56" s="87">
        <f>Model!$BF$287</f>
        <v>1</v>
      </c>
      <c r="V56" s="87"/>
      <c r="W56" s="111" t="e">
        <f>S56*U56</f>
        <v>#REF!</v>
      </c>
      <c r="X56" s="126" t="e">
        <f>Model!#REF!</f>
        <v>#REF!</v>
      </c>
      <c r="Y56" s="109" t="e">
        <f t="shared" si="3"/>
        <v>#REF!</v>
      </c>
      <c r="Z56" s="87" t="s">
        <v>119</v>
      </c>
      <c r="AA56" s="87">
        <f>Model!$BF$386</f>
        <v>0.4</v>
      </c>
      <c r="AB56" s="87"/>
      <c r="AC56" s="98" t="e">
        <f t="shared" si="10"/>
        <v>#REF!</v>
      </c>
      <c r="AD56" s="87" t="e">
        <f t="shared" si="11"/>
        <v>#REF!</v>
      </c>
      <c r="AO56" s="123"/>
    </row>
    <row r="57" spans="3:41" x14ac:dyDescent="0.25">
      <c r="C57" s="128">
        <f>Model!$BF$14</f>
        <v>3004198</v>
      </c>
      <c r="D57" s="41">
        <f>Model!$BF$24</f>
        <v>0.38461538461538458</v>
      </c>
      <c r="E57" s="129">
        <f t="shared" si="5"/>
        <v>1155460.769230769</v>
      </c>
      <c r="F57" s="41">
        <f>Model!$BF$36</f>
        <v>1</v>
      </c>
      <c r="G57" s="129">
        <f t="shared" si="6"/>
        <v>1155460.769230769</v>
      </c>
      <c r="H57" s="86">
        <f>INDEX(Model!$BF$40:$BF$43,MATCH($J57,Model!$BE$40:$BE$43,0))</f>
        <v>0.1</v>
      </c>
      <c r="I57" s="107">
        <f t="shared" si="7"/>
        <v>115546.07692307691</v>
      </c>
      <c r="J57" s="87" t="s">
        <v>24</v>
      </c>
      <c r="K57" s="97">
        <f>INDEX(Model!$BF$44:$BF$47,MATCH($J57,Model!$BE$40:$BE$43,0))</f>
        <v>107.36595424145357</v>
      </c>
      <c r="L57" s="111">
        <f t="shared" si="14"/>
        <v>12405714.807702549</v>
      </c>
      <c r="M57" s="97" t="e">
        <f>Model!#REF!</f>
        <v>#REF!</v>
      </c>
      <c r="N57" s="109" t="e">
        <f t="shared" si="12"/>
        <v>#REF!</v>
      </c>
      <c r="O57" s="97" t="s">
        <v>31</v>
      </c>
      <c r="P57" s="97">
        <f>INDEX(Model!$BF$61:$BF$220,MATCH($O57,Model!$BE$61:$BE$220,0)+MATCH(Model!$BC$219,Model!$BC$61:$BC$220,0)-1)</f>
        <v>0.309</v>
      </c>
      <c r="Q57" s="111" t="e">
        <f t="shared" si="8"/>
        <v>#REF!</v>
      </c>
      <c r="R57" s="126" t="e">
        <f>Model!#REF!</f>
        <v>#REF!</v>
      </c>
      <c r="S57" s="109" t="e">
        <f t="shared" si="9"/>
        <v>#REF!</v>
      </c>
      <c r="T57" s="87" t="s">
        <v>33</v>
      </c>
      <c r="U57" s="87">
        <f>Model!$BF$287</f>
        <v>1</v>
      </c>
      <c r="V57" s="87"/>
      <c r="W57" s="111" t="e">
        <f>S57*U57</f>
        <v>#REF!</v>
      </c>
      <c r="X57" s="126" t="e">
        <f>Model!#REF!</f>
        <v>#REF!</v>
      </c>
      <c r="Y57" s="109" t="e">
        <f t="shared" si="3"/>
        <v>#REF!</v>
      </c>
      <c r="Z57" s="87" t="s">
        <v>52</v>
      </c>
      <c r="AA57" s="87"/>
      <c r="AB57" s="87">
        <f>Model!$BF$324</f>
        <v>1.6129032258064517</v>
      </c>
      <c r="AC57" s="98" t="e">
        <f t="shared" si="10"/>
        <v>#REF!</v>
      </c>
      <c r="AD57" s="87" t="e">
        <f t="shared" si="11"/>
        <v>#REF!</v>
      </c>
      <c r="AO57" s="123"/>
    </row>
    <row r="58" spans="3:41" x14ac:dyDescent="0.25">
      <c r="C58" s="128">
        <f>Model!$BF$14</f>
        <v>3004198</v>
      </c>
      <c r="D58" s="41">
        <f>Model!$BF$24</f>
        <v>0.38461538461538458</v>
      </c>
      <c r="E58" s="129">
        <f t="shared" si="5"/>
        <v>1155460.769230769</v>
      </c>
      <c r="F58" s="41">
        <f>Model!$BF$36</f>
        <v>1</v>
      </c>
      <c r="G58" s="129">
        <f t="shared" si="6"/>
        <v>1155460.769230769</v>
      </c>
      <c r="H58" s="86">
        <f>INDEX(Model!$BF$40:$BF$43,MATCH($J58,Model!$BE$40:$BE$43,0))</f>
        <v>0.1</v>
      </c>
      <c r="I58" s="107">
        <f t="shared" si="7"/>
        <v>115546.07692307691</v>
      </c>
      <c r="J58" s="87" t="s">
        <v>24</v>
      </c>
      <c r="K58" s="97">
        <f>INDEX(Model!$BF$44:$BF$47,MATCH($J58,Model!$BE$40:$BE$43,0))</f>
        <v>107.36595424145357</v>
      </c>
      <c r="L58" s="111">
        <f t="shared" si="14"/>
        <v>12405714.807702549</v>
      </c>
      <c r="M58" s="97" t="e">
        <f>Model!#REF!</f>
        <v>#REF!</v>
      </c>
      <c r="N58" s="109" t="e">
        <f t="shared" si="12"/>
        <v>#REF!</v>
      </c>
      <c r="O58" s="97" t="s">
        <v>31</v>
      </c>
      <c r="P58" s="97">
        <f>INDEX(Model!$BF$61:$BF$220,MATCH($O58,Model!$BE$61:$BE$220,0)+MATCH(Model!$BC$219,Model!$BC$61:$BC$220,0)-1)</f>
        <v>0.309</v>
      </c>
      <c r="Q58" s="111" t="e">
        <f t="shared" si="8"/>
        <v>#REF!</v>
      </c>
      <c r="R58" s="126" t="e">
        <f>Model!#REF!</f>
        <v>#REF!</v>
      </c>
      <c r="S58" s="109" t="e">
        <f t="shared" si="9"/>
        <v>#REF!</v>
      </c>
      <c r="T58" s="87" t="s">
        <v>33</v>
      </c>
      <c r="U58" s="87">
        <f>Model!$BF$287</f>
        <v>1</v>
      </c>
      <c r="V58" s="87"/>
      <c r="W58" s="111" t="e">
        <f>S58*U58</f>
        <v>#REF!</v>
      </c>
      <c r="X58" s="126" t="e">
        <f>Model!#REF!</f>
        <v>#REF!</v>
      </c>
      <c r="Y58" s="109" t="e">
        <f t="shared" si="3"/>
        <v>#REF!</v>
      </c>
      <c r="Z58" s="87" t="s">
        <v>53</v>
      </c>
      <c r="AA58" s="87"/>
      <c r="AB58" s="87">
        <f>Model!$BF$417</f>
        <v>1.1111111111111112</v>
      </c>
      <c r="AC58" s="98" t="e">
        <f t="shared" si="10"/>
        <v>#REF!</v>
      </c>
      <c r="AD58" s="87" t="e">
        <f t="shared" si="11"/>
        <v>#REF!</v>
      </c>
    </row>
    <row r="59" spans="3:41" x14ac:dyDescent="0.25">
      <c r="C59" s="128">
        <f>Model!$BF$14</f>
        <v>3004198</v>
      </c>
      <c r="D59" s="41">
        <f>Model!$BF$24</f>
        <v>0.38461538461538458</v>
      </c>
      <c r="E59" s="129">
        <f t="shared" si="5"/>
        <v>1155460.769230769</v>
      </c>
      <c r="F59" s="41">
        <f>Model!$BF$36</f>
        <v>1</v>
      </c>
      <c r="G59" s="129">
        <f t="shared" si="6"/>
        <v>1155460.769230769</v>
      </c>
      <c r="H59" s="86">
        <f>INDEX(Model!$BF$40:$BF$43,MATCH($J59,Model!$BE$40:$BE$43,0))</f>
        <v>0.1</v>
      </c>
      <c r="I59" s="107">
        <f t="shared" si="7"/>
        <v>115546.07692307691</v>
      </c>
      <c r="J59" s="87" t="s">
        <v>24</v>
      </c>
      <c r="K59" s="97">
        <f>INDEX(Model!$BF$44:$BF$47,MATCH($J59,Model!$BE$40:$BE$43,0))</f>
        <v>107.36595424145357</v>
      </c>
      <c r="L59" s="111">
        <f t="shared" si="14"/>
        <v>12405714.807702549</v>
      </c>
      <c r="M59" s="97">
        <f>Model!$BF$102</f>
        <v>0.83299999999999996</v>
      </c>
      <c r="N59" s="109">
        <f t="shared" si="12"/>
        <v>10333960.434816223</v>
      </c>
      <c r="O59" s="97" t="s">
        <v>27</v>
      </c>
      <c r="P59" s="97">
        <f>INDEX(Model!$BF$61:$BF$220,MATCH($O59,Model!$BE$61:$BE$220,0)+MATCH(Model!$BC$219,Model!$BC$61:$BC$220,0)-1)</f>
        <v>0.63300000000000001</v>
      </c>
      <c r="Q59" s="111">
        <f t="shared" si="8"/>
        <v>6541396.9552386692</v>
      </c>
      <c r="R59" s="126" t="e">
        <f>Model!#REF!</f>
        <v>#REF!</v>
      </c>
      <c r="S59" s="109" t="e">
        <f t="shared" si="9"/>
        <v>#REF!</v>
      </c>
      <c r="T59" s="87" t="s">
        <v>32</v>
      </c>
      <c r="U59" s="87"/>
      <c r="V59" s="87">
        <f>Model!$BF$256</f>
        <v>1</v>
      </c>
      <c r="W59" s="111"/>
      <c r="X59" s="126"/>
      <c r="Y59" s="109">
        <f t="shared" si="3"/>
        <v>0</v>
      </c>
      <c r="Z59" s="87"/>
      <c r="AA59" s="87"/>
      <c r="AB59" s="87"/>
      <c r="AC59" s="98" t="e">
        <f t="shared" si="10"/>
        <v>#REF!</v>
      </c>
      <c r="AD59" s="87">
        <f t="shared" si="11"/>
        <v>0</v>
      </c>
    </row>
    <row r="60" spans="3:41" x14ac:dyDescent="0.25">
      <c r="C60" s="128">
        <f>Model!$BF$14</f>
        <v>3004198</v>
      </c>
      <c r="D60" s="41">
        <f>Model!$BF$24</f>
        <v>0.38461538461538458</v>
      </c>
      <c r="E60" s="129">
        <f t="shared" si="5"/>
        <v>1155460.769230769</v>
      </c>
      <c r="F60" s="41">
        <f>Model!$BF$36</f>
        <v>1</v>
      </c>
      <c r="G60" s="129">
        <f t="shared" si="6"/>
        <v>1155460.769230769</v>
      </c>
      <c r="H60" s="86">
        <f>INDEX(Model!$BF$40:$BF$43,MATCH($J60,Model!$BE$40:$BE$43,0))</f>
        <v>0.1</v>
      </c>
      <c r="I60" s="107">
        <f t="shared" si="7"/>
        <v>115546.07692307691</v>
      </c>
      <c r="J60" s="87" t="s">
        <v>24</v>
      </c>
      <c r="K60" s="97">
        <f>INDEX(Model!$BF$44:$BF$47,MATCH($J60,Model!$BE$40:$BE$43,0))</f>
        <v>107.36595424145357</v>
      </c>
      <c r="L60" s="111">
        <f t="shared" si="14"/>
        <v>12405714.807702549</v>
      </c>
      <c r="M60" s="97">
        <f>Model!$BF$102</f>
        <v>0.83299999999999996</v>
      </c>
      <c r="N60" s="109">
        <f t="shared" si="12"/>
        <v>10333960.434816223</v>
      </c>
      <c r="O60" s="97" t="s">
        <v>27</v>
      </c>
      <c r="P60" s="97">
        <f>INDEX(Model!$BF$61:$BF$220,MATCH($O60,Model!$BE$61:$BE$220,0)+MATCH(Model!$BC$219,Model!$BC$61:$BC$220,0)-1)</f>
        <v>0.63300000000000001</v>
      </c>
      <c r="Q60" s="111">
        <f t="shared" si="8"/>
        <v>6541396.9552386692</v>
      </c>
      <c r="R60" s="126" t="e">
        <f>Model!#REF!</f>
        <v>#REF!</v>
      </c>
      <c r="S60" s="109" t="e">
        <f t="shared" si="9"/>
        <v>#REF!</v>
      </c>
      <c r="T60" s="87" t="s">
        <v>33</v>
      </c>
      <c r="U60" s="87">
        <f>Model!$BF$287</f>
        <v>1</v>
      </c>
      <c r="V60" s="87"/>
      <c r="W60" s="111" t="e">
        <f>S60*U60</f>
        <v>#REF!</v>
      </c>
      <c r="X60" s="126" t="e">
        <f>Model!#REF!</f>
        <v>#REF!</v>
      </c>
      <c r="Y60" s="109" t="e">
        <f t="shared" si="3"/>
        <v>#REF!</v>
      </c>
      <c r="Z60" s="87" t="s">
        <v>54</v>
      </c>
      <c r="AA60" s="87">
        <f>Model!$BF$355</f>
        <v>0.52631578947368418</v>
      </c>
      <c r="AB60" s="87"/>
      <c r="AC60" s="98" t="e">
        <f t="shared" si="10"/>
        <v>#REF!</v>
      </c>
      <c r="AD60" s="87" t="e">
        <f t="shared" si="11"/>
        <v>#REF!</v>
      </c>
    </row>
    <row r="61" spans="3:41" x14ac:dyDescent="0.25">
      <c r="C61" s="128">
        <f>Model!$BF$14</f>
        <v>3004198</v>
      </c>
      <c r="D61" s="41">
        <f>Model!$BF$24</f>
        <v>0.38461538461538458</v>
      </c>
      <c r="E61" s="129">
        <f t="shared" si="5"/>
        <v>1155460.769230769</v>
      </c>
      <c r="F61" s="41">
        <f>Model!$BF$36</f>
        <v>1</v>
      </c>
      <c r="G61" s="129">
        <f t="shared" si="6"/>
        <v>1155460.769230769</v>
      </c>
      <c r="H61" s="86">
        <f>INDEX(Model!$BF$40:$BF$43,MATCH($J61,Model!$BE$40:$BE$43,0))</f>
        <v>0.1</v>
      </c>
      <c r="I61" s="107">
        <f t="shared" si="7"/>
        <v>115546.07692307691</v>
      </c>
      <c r="J61" s="87" t="s">
        <v>24</v>
      </c>
      <c r="K61" s="97">
        <f>INDEX(Model!$BF$44:$BF$47,MATCH($J61,Model!$BE$40:$BE$43,0))</f>
        <v>107.36595424145357</v>
      </c>
      <c r="L61" s="111">
        <f t="shared" si="14"/>
        <v>12405714.807702549</v>
      </c>
      <c r="M61" s="97">
        <f>Model!$BF$102</f>
        <v>0.83299999999999996</v>
      </c>
      <c r="N61" s="109">
        <f t="shared" si="12"/>
        <v>10333960.434816223</v>
      </c>
      <c r="O61" s="97" t="s">
        <v>27</v>
      </c>
      <c r="P61" s="97">
        <f>INDEX(Model!$BF$61:$BF$220,MATCH($O61,Model!$BE$61:$BE$220,0)+MATCH(Model!$BC$219,Model!$BC$61:$BC$220,0)-1)</f>
        <v>0.63300000000000001</v>
      </c>
      <c r="Q61" s="111">
        <f t="shared" si="8"/>
        <v>6541396.9552386692</v>
      </c>
      <c r="R61" s="126" t="e">
        <f>Model!#REF!</f>
        <v>#REF!</v>
      </c>
      <c r="S61" s="109" t="e">
        <f t="shared" si="9"/>
        <v>#REF!</v>
      </c>
      <c r="T61" s="87" t="s">
        <v>33</v>
      </c>
      <c r="U61" s="87">
        <f>Model!$BF$287</f>
        <v>1</v>
      </c>
      <c r="V61" s="87"/>
      <c r="W61" s="111" t="e">
        <f>S61*U61</f>
        <v>#REF!</v>
      </c>
      <c r="X61" s="126" t="e">
        <f>Model!#REF!</f>
        <v>#REF!</v>
      </c>
      <c r="Y61" s="109" t="e">
        <f t="shared" si="3"/>
        <v>#REF!</v>
      </c>
      <c r="Z61" s="87" t="s">
        <v>119</v>
      </c>
      <c r="AA61" s="87">
        <f>Model!$BF$386</f>
        <v>0.4</v>
      </c>
      <c r="AB61" s="87"/>
      <c r="AC61" s="98" t="e">
        <f t="shared" si="10"/>
        <v>#REF!</v>
      </c>
      <c r="AD61" s="87" t="e">
        <f t="shared" si="11"/>
        <v>#REF!</v>
      </c>
    </row>
    <row r="62" spans="3:41" x14ac:dyDescent="0.25">
      <c r="C62" s="128">
        <f>Model!$BF$14</f>
        <v>3004198</v>
      </c>
      <c r="D62" s="41">
        <f>Model!$BF$24</f>
        <v>0.38461538461538458</v>
      </c>
      <c r="E62" s="129">
        <f t="shared" si="5"/>
        <v>1155460.769230769</v>
      </c>
      <c r="F62" s="41">
        <f>Model!$BF$36</f>
        <v>1</v>
      </c>
      <c r="G62" s="129">
        <f t="shared" si="6"/>
        <v>1155460.769230769</v>
      </c>
      <c r="H62" s="86">
        <f>INDEX(Model!$BF$40:$BF$43,MATCH($J62,Model!$BE$40:$BE$43,0))</f>
        <v>0.1</v>
      </c>
      <c r="I62" s="107">
        <f t="shared" si="7"/>
        <v>115546.07692307691</v>
      </c>
      <c r="J62" s="87" t="s">
        <v>24</v>
      </c>
      <c r="K62" s="97">
        <f>INDEX(Model!$BF$44:$BF$47,MATCH($J62,Model!$BE$40:$BE$43,0))</f>
        <v>107.36595424145357</v>
      </c>
      <c r="L62" s="111">
        <f t="shared" si="14"/>
        <v>12405714.807702549</v>
      </c>
      <c r="M62" s="97">
        <f>Model!$BF$102</f>
        <v>0.83299999999999996</v>
      </c>
      <c r="N62" s="109">
        <f t="shared" si="12"/>
        <v>10333960.434816223</v>
      </c>
      <c r="O62" s="97" t="s">
        <v>27</v>
      </c>
      <c r="P62" s="97">
        <f>INDEX(Model!$BF$61:$BF$220,MATCH($O62,Model!$BE$61:$BE$220,0)+MATCH(Model!$BC$219,Model!$BC$61:$BC$220,0)-1)</f>
        <v>0.63300000000000001</v>
      </c>
      <c r="Q62" s="111">
        <f t="shared" si="8"/>
        <v>6541396.9552386692</v>
      </c>
      <c r="R62" s="126" t="e">
        <f>Model!#REF!</f>
        <v>#REF!</v>
      </c>
      <c r="S62" s="109" t="e">
        <f t="shared" si="9"/>
        <v>#REF!</v>
      </c>
      <c r="T62" s="87" t="s">
        <v>33</v>
      </c>
      <c r="U62" s="87">
        <f>Model!$BF$287</f>
        <v>1</v>
      </c>
      <c r="V62" s="87"/>
      <c r="W62" s="111" t="e">
        <f>S62*U62</f>
        <v>#REF!</v>
      </c>
      <c r="X62" s="126" t="e">
        <f>Model!#REF!</f>
        <v>#REF!</v>
      </c>
      <c r="Y62" s="109" t="e">
        <f t="shared" si="3"/>
        <v>#REF!</v>
      </c>
      <c r="Z62" s="87" t="s">
        <v>52</v>
      </c>
      <c r="AA62" s="87"/>
      <c r="AB62" s="87">
        <f>Model!$BF$324</f>
        <v>1.6129032258064517</v>
      </c>
      <c r="AC62" s="98" t="e">
        <f t="shared" si="10"/>
        <v>#REF!</v>
      </c>
      <c r="AD62" s="87" t="e">
        <f t="shared" si="11"/>
        <v>#REF!</v>
      </c>
    </row>
    <row r="63" spans="3:41" x14ac:dyDescent="0.25">
      <c r="C63" s="128">
        <f>Model!$BF$14</f>
        <v>3004198</v>
      </c>
      <c r="D63" s="41">
        <f>Model!$BF$24</f>
        <v>0.38461538461538458</v>
      </c>
      <c r="E63" s="129">
        <f t="shared" si="5"/>
        <v>1155460.769230769</v>
      </c>
      <c r="F63" s="41">
        <f>Model!$BF$36</f>
        <v>1</v>
      </c>
      <c r="G63" s="129">
        <f t="shared" si="6"/>
        <v>1155460.769230769</v>
      </c>
      <c r="H63" s="86">
        <f>INDEX(Model!$BF$40:$BF$43,MATCH($J63,Model!$BE$40:$BE$43,0))</f>
        <v>0.1</v>
      </c>
      <c r="I63" s="107">
        <f t="shared" si="7"/>
        <v>115546.07692307691</v>
      </c>
      <c r="J63" s="87" t="s">
        <v>24</v>
      </c>
      <c r="K63" s="97">
        <f>INDEX(Model!$BF$44:$BF$47,MATCH($J63,Model!$BE$40:$BE$43,0))</f>
        <v>107.36595424145357</v>
      </c>
      <c r="L63" s="111">
        <f t="shared" si="14"/>
        <v>12405714.807702549</v>
      </c>
      <c r="M63" s="97">
        <f>Model!$BF$102</f>
        <v>0.83299999999999996</v>
      </c>
      <c r="N63" s="109">
        <f t="shared" si="12"/>
        <v>10333960.434816223</v>
      </c>
      <c r="O63" s="97" t="s">
        <v>27</v>
      </c>
      <c r="P63" s="97">
        <f>INDEX(Model!$BF$61:$BF$220,MATCH($O63,Model!$BE$61:$BE$220,0)+MATCH(Model!$BC$219,Model!$BC$61:$BC$220,0)-1)</f>
        <v>0.63300000000000001</v>
      </c>
      <c r="Q63" s="111">
        <f t="shared" si="8"/>
        <v>6541396.9552386692</v>
      </c>
      <c r="R63" s="126" t="e">
        <f>Model!#REF!</f>
        <v>#REF!</v>
      </c>
      <c r="S63" s="109" t="e">
        <f t="shared" si="9"/>
        <v>#REF!</v>
      </c>
      <c r="T63" s="87" t="s">
        <v>33</v>
      </c>
      <c r="U63" s="87">
        <f>Model!$BF$287</f>
        <v>1</v>
      </c>
      <c r="V63" s="87"/>
      <c r="W63" s="111" t="e">
        <f>S63*U63</f>
        <v>#REF!</v>
      </c>
      <c r="X63" s="126" t="e">
        <f>Model!#REF!</f>
        <v>#REF!</v>
      </c>
      <c r="Y63" s="109" t="e">
        <f t="shared" si="3"/>
        <v>#REF!</v>
      </c>
      <c r="Z63" s="87" t="s">
        <v>53</v>
      </c>
      <c r="AA63" s="87"/>
      <c r="AB63" s="87">
        <f>Model!$BF$417</f>
        <v>1.1111111111111112</v>
      </c>
      <c r="AC63" s="98" t="e">
        <f t="shared" si="10"/>
        <v>#REF!</v>
      </c>
      <c r="AD63" s="87" t="e">
        <f t="shared" si="11"/>
        <v>#REF!</v>
      </c>
    </row>
    <row r="64" spans="3:41" x14ac:dyDescent="0.25">
      <c r="C64" s="128">
        <f>Model!$BF$14</f>
        <v>3004198</v>
      </c>
      <c r="D64" s="41">
        <f>Model!$BF$24</f>
        <v>0.38461538461538458</v>
      </c>
      <c r="E64" s="129">
        <f t="shared" si="5"/>
        <v>1155460.769230769</v>
      </c>
      <c r="F64" s="41">
        <f>Model!$BF$36</f>
        <v>1</v>
      </c>
      <c r="G64" s="129">
        <f t="shared" si="6"/>
        <v>1155460.769230769</v>
      </c>
      <c r="H64" s="86">
        <f>INDEX(Model!$BF$40:$BF$43,MATCH($J64,Model!$BE$40:$BE$43,0))</f>
        <v>0.1</v>
      </c>
      <c r="I64" s="107">
        <f t="shared" si="7"/>
        <v>115546.07692307691</v>
      </c>
      <c r="J64" s="87" t="s">
        <v>24</v>
      </c>
      <c r="K64" s="97">
        <f>INDEX(Model!$BF$44:$BF$47,MATCH($J64,Model!$BE$40:$BE$43,0))</f>
        <v>107.36595424145357</v>
      </c>
      <c r="L64" s="111">
        <f t="shared" si="14"/>
        <v>12405714.807702549</v>
      </c>
      <c r="M64" s="97" t="e">
        <f>Model!#REF!</f>
        <v>#REF!</v>
      </c>
      <c r="N64" s="109" t="e">
        <f t="shared" si="12"/>
        <v>#REF!</v>
      </c>
      <c r="O64" s="97" t="s">
        <v>28</v>
      </c>
      <c r="P64" s="97">
        <f>INDEX(Model!$BF$61:$BF$220,MATCH($O64,Model!$BE$61:$BE$220,0)+MATCH(Model!$BC$219,Model!$BC$61:$BC$220,0)-1)</f>
        <v>0.997</v>
      </c>
      <c r="Q64" s="111" t="e">
        <f t="shared" si="8"/>
        <v>#REF!</v>
      </c>
      <c r="R64" s="126" t="e">
        <f>Model!#REF!</f>
        <v>#REF!</v>
      </c>
      <c r="S64" s="109" t="e">
        <f t="shared" si="9"/>
        <v>#REF!</v>
      </c>
      <c r="T64" s="87" t="s">
        <v>32</v>
      </c>
      <c r="U64" s="87"/>
      <c r="V64" s="87">
        <f>Model!$BF$256</f>
        <v>1</v>
      </c>
      <c r="W64" s="111"/>
      <c r="X64" s="126"/>
      <c r="Y64" s="109">
        <f t="shared" si="3"/>
        <v>0</v>
      </c>
      <c r="Z64" s="87"/>
      <c r="AA64" s="87"/>
      <c r="AB64" s="87"/>
      <c r="AC64" s="98" t="e">
        <f t="shared" si="10"/>
        <v>#REF!</v>
      </c>
      <c r="AD64" s="87">
        <f t="shared" si="11"/>
        <v>0</v>
      </c>
    </row>
    <row r="65" spans="3:30" x14ac:dyDescent="0.25">
      <c r="C65" s="128">
        <f>Model!$BF$14</f>
        <v>3004198</v>
      </c>
      <c r="D65" s="41">
        <f>Model!$BF$24</f>
        <v>0.38461538461538458</v>
      </c>
      <c r="E65" s="129">
        <f t="shared" si="5"/>
        <v>1155460.769230769</v>
      </c>
      <c r="F65" s="41">
        <f>Model!$BF$36</f>
        <v>1</v>
      </c>
      <c r="G65" s="129">
        <f t="shared" si="6"/>
        <v>1155460.769230769</v>
      </c>
      <c r="H65" s="86">
        <f>INDEX(Model!$BF$40:$BF$43,MATCH($J65,Model!$BE$40:$BE$43,0))</f>
        <v>0.1</v>
      </c>
      <c r="I65" s="107">
        <f t="shared" si="7"/>
        <v>115546.07692307691</v>
      </c>
      <c r="J65" s="87" t="s">
        <v>24</v>
      </c>
      <c r="K65" s="97">
        <f>INDEX(Model!$BF$44:$BF$47,MATCH($J65,Model!$BE$40:$BE$43,0))</f>
        <v>107.36595424145357</v>
      </c>
      <c r="L65" s="111">
        <f t="shared" si="14"/>
        <v>12405714.807702549</v>
      </c>
      <c r="M65" s="97" t="e">
        <f>Model!#REF!</f>
        <v>#REF!</v>
      </c>
      <c r="N65" s="109" t="e">
        <f t="shared" si="12"/>
        <v>#REF!</v>
      </c>
      <c r="O65" s="97" t="s">
        <v>28</v>
      </c>
      <c r="P65" s="97">
        <f>INDEX(Model!$BF$61:$BF$220,MATCH($O65,Model!$BE$61:$BE$220,0)+MATCH(Model!$BC$219,Model!$BC$61:$BC$220,0)-1)</f>
        <v>0.997</v>
      </c>
      <c r="Q65" s="111" t="e">
        <f t="shared" si="8"/>
        <v>#REF!</v>
      </c>
      <c r="R65" s="126" t="e">
        <f>Model!#REF!</f>
        <v>#REF!</v>
      </c>
      <c r="S65" s="109" t="e">
        <f t="shared" si="9"/>
        <v>#REF!</v>
      </c>
      <c r="T65" s="87" t="s">
        <v>33</v>
      </c>
      <c r="U65" s="87">
        <f>Model!$BF$287</f>
        <v>1</v>
      </c>
      <c r="V65" s="87"/>
      <c r="W65" s="111" t="e">
        <f>S65*U65</f>
        <v>#REF!</v>
      </c>
      <c r="X65" s="126" t="e">
        <f>Model!#REF!</f>
        <v>#REF!</v>
      </c>
      <c r="Y65" s="109" t="e">
        <f t="shared" si="3"/>
        <v>#REF!</v>
      </c>
      <c r="Z65" s="87" t="s">
        <v>54</v>
      </c>
      <c r="AA65" s="87">
        <f>Model!$BF$355</f>
        <v>0.52631578947368418</v>
      </c>
      <c r="AB65" s="87"/>
      <c r="AC65" s="98" t="e">
        <f t="shared" si="10"/>
        <v>#REF!</v>
      </c>
      <c r="AD65" s="87" t="e">
        <f t="shared" si="11"/>
        <v>#REF!</v>
      </c>
    </row>
    <row r="66" spans="3:30" x14ac:dyDescent="0.25">
      <c r="C66" s="128">
        <f>Model!$BF$14</f>
        <v>3004198</v>
      </c>
      <c r="D66" s="41">
        <f>Model!$BF$24</f>
        <v>0.38461538461538458</v>
      </c>
      <c r="E66" s="129">
        <f t="shared" si="5"/>
        <v>1155460.769230769</v>
      </c>
      <c r="F66" s="41">
        <f>Model!$BF$36</f>
        <v>1</v>
      </c>
      <c r="G66" s="129">
        <f t="shared" si="6"/>
        <v>1155460.769230769</v>
      </c>
      <c r="H66" s="86">
        <f>INDEX(Model!$BF$40:$BF$43,MATCH($J66,Model!$BE$40:$BE$43,0))</f>
        <v>0.1</v>
      </c>
      <c r="I66" s="107">
        <f t="shared" si="7"/>
        <v>115546.07692307691</v>
      </c>
      <c r="J66" s="87" t="s">
        <v>24</v>
      </c>
      <c r="K66" s="97">
        <f>INDEX(Model!$BF$44:$BF$47,MATCH($J66,Model!$BE$40:$BE$43,0))</f>
        <v>107.36595424145357</v>
      </c>
      <c r="L66" s="111">
        <f t="shared" si="14"/>
        <v>12405714.807702549</v>
      </c>
      <c r="M66" s="97" t="e">
        <f>Model!#REF!</f>
        <v>#REF!</v>
      </c>
      <c r="N66" s="109" t="e">
        <f t="shared" si="12"/>
        <v>#REF!</v>
      </c>
      <c r="O66" s="97" t="s">
        <v>28</v>
      </c>
      <c r="P66" s="97">
        <f>INDEX(Model!$BF$61:$BF$220,MATCH($O66,Model!$BE$61:$BE$220,0)+MATCH(Model!$BC$219,Model!$BC$61:$BC$220,0)-1)</f>
        <v>0.997</v>
      </c>
      <c r="Q66" s="111" t="e">
        <f t="shared" si="8"/>
        <v>#REF!</v>
      </c>
      <c r="R66" s="126" t="e">
        <f>Model!#REF!</f>
        <v>#REF!</v>
      </c>
      <c r="S66" s="109" t="e">
        <f t="shared" si="9"/>
        <v>#REF!</v>
      </c>
      <c r="T66" s="87" t="s">
        <v>33</v>
      </c>
      <c r="U66" s="87">
        <f>Model!$BF$287</f>
        <v>1</v>
      </c>
      <c r="V66" s="87"/>
      <c r="W66" s="111" t="e">
        <f>S66*U66</f>
        <v>#REF!</v>
      </c>
      <c r="X66" s="126" t="e">
        <f>Model!#REF!</f>
        <v>#REF!</v>
      </c>
      <c r="Y66" s="109" t="e">
        <f t="shared" si="3"/>
        <v>#REF!</v>
      </c>
      <c r="Z66" s="87" t="s">
        <v>119</v>
      </c>
      <c r="AA66" s="87">
        <f>Model!$BF$386</f>
        <v>0.4</v>
      </c>
      <c r="AB66" s="87"/>
      <c r="AC66" s="98" t="e">
        <f t="shared" si="10"/>
        <v>#REF!</v>
      </c>
      <c r="AD66" s="87" t="e">
        <f t="shared" si="11"/>
        <v>#REF!</v>
      </c>
    </row>
    <row r="67" spans="3:30" x14ac:dyDescent="0.25">
      <c r="C67" s="128">
        <f>Model!$BF$14</f>
        <v>3004198</v>
      </c>
      <c r="D67" s="41">
        <f>Model!$BF$24</f>
        <v>0.38461538461538458</v>
      </c>
      <c r="E67" s="129">
        <f t="shared" si="5"/>
        <v>1155460.769230769</v>
      </c>
      <c r="F67" s="41">
        <f>Model!$BF$36</f>
        <v>1</v>
      </c>
      <c r="G67" s="129">
        <f t="shared" si="6"/>
        <v>1155460.769230769</v>
      </c>
      <c r="H67" s="86">
        <f>INDEX(Model!$BF$40:$BF$43,MATCH($J67,Model!$BE$40:$BE$43,0))</f>
        <v>0.1</v>
      </c>
      <c r="I67" s="107">
        <f t="shared" si="7"/>
        <v>115546.07692307691</v>
      </c>
      <c r="J67" s="87" t="s">
        <v>24</v>
      </c>
      <c r="K67" s="97">
        <f>INDEX(Model!$BF$44:$BF$47,MATCH($J67,Model!$BE$40:$BE$43,0))</f>
        <v>107.36595424145357</v>
      </c>
      <c r="L67" s="111">
        <f t="shared" si="14"/>
        <v>12405714.807702549</v>
      </c>
      <c r="M67" s="97" t="e">
        <f>Model!#REF!</f>
        <v>#REF!</v>
      </c>
      <c r="N67" s="109" t="e">
        <f t="shared" si="12"/>
        <v>#REF!</v>
      </c>
      <c r="O67" s="97" t="s">
        <v>28</v>
      </c>
      <c r="P67" s="97">
        <f>INDEX(Model!$BF$61:$BF$220,MATCH($O67,Model!$BE$61:$BE$220,0)+MATCH(Model!$BC$219,Model!$BC$61:$BC$220,0)-1)</f>
        <v>0.997</v>
      </c>
      <c r="Q67" s="111" t="e">
        <f t="shared" si="8"/>
        <v>#REF!</v>
      </c>
      <c r="R67" s="126" t="e">
        <f>Model!#REF!</f>
        <v>#REF!</v>
      </c>
      <c r="S67" s="109" t="e">
        <f t="shared" si="9"/>
        <v>#REF!</v>
      </c>
      <c r="T67" s="87" t="s">
        <v>33</v>
      </c>
      <c r="U67" s="87">
        <f>Model!$BF$287</f>
        <v>1</v>
      </c>
      <c r="V67" s="87"/>
      <c r="W67" s="111" t="e">
        <f>S67*U67</f>
        <v>#REF!</v>
      </c>
      <c r="X67" s="126" t="e">
        <f>Model!#REF!</f>
        <v>#REF!</v>
      </c>
      <c r="Y67" s="109" t="e">
        <f t="shared" si="3"/>
        <v>#REF!</v>
      </c>
      <c r="Z67" s="87" t="s">
        <v>52</v>
      </c>
      <c r="AA67" s="87"/>
      <c r="AB67" s="87">
        <f>Model!$BF$324</f>
        <v>1.6129032258064517</v>
      </c>
      <c r="AC67" s="98" t="e">
        <f t="shared" si="10"/>
        <v>#REF!</v>
      </c>
      <c r="AD67" s="87" t="e">
        <f t="shared" si="11"/>
        <v>#REF!</v>
      </c>
    </row>
    <row r="68" spans="3:30" x14ac:dyDescent="0.25">
      <c r="C68" s="128">
        <f>Model!$BF$14</f>
        <v>3004198</v>
      </c>
      <c r="D68" s="41">
        <f>Model!$BF$24</f>
        <v>0.38461538461538458</v>
      </c>
      <c r="E68" s="129">
        <f t="shared" si="5"/>
        <v>1155460.769230769</v>
      </c>
      <c r="F68" s="41">
        <f>Model!$BF$36</f>
        <v>1</v>
      </c>
      <c r="G68" s="129">
        <f t="shared" si="6"/>
        <v>1155460.769230769</v>
      </c>
      <c r="H68" s="86">
        <f>INDEX(Model!$BF$40:$BF$43,MATCH($J68,Model!$BE$40:$BE$43,0))</f>
        <v>0.1</v>
      </c>
      <c r="I68" s="107">
        <f t="shared" si="7"/>
        <v>115546.07692307691</v>
      </c>
      <c r="J68" s="87" t="s">
        <v>24</v>
      </c>
      <c r="K68" s="97">
        <f>INDEX(Model!$BF$44:$BF$47,MATCH($J68,Model!$BE$40:$BE$43,0))</f>
        <v>107.36595424145357</v>
      </c>
      <c r="L68" s="111">
        <f t="shared" ref="L68:L99" si="15">K68*I68</f>
        <v>12405714.807702549</v>
      </c>
      <c r="M68" s="97" t="e">
        <f>Model!#REF!</f>
        <v>#REF!</v>
      </c>
      <c r="N68" s="109" t="e">
        <f t="shared" si="12"/>
        <v>#REF!</v>
      </c>
      <c r="O68" s="97" t="s">
        <v>28</v>
      </c>
      <c r="P68" s="97">
        <f>INDEX(Model!$BF$61:$BF$220,MATCH($O68,Model!$BE$61:$BE$220,0)+MATCH(Model!$BC$219,Model!$BC$61:$BC$220,0)-1)</f>
        <v>0.997</v>
      </c>
      <c r="Q68" s="111" t="e">
        <f t="shared" si="8"/>
        <v>#REF!</v>
      </c>
      <c r="R68" s="126" t="e">
        <f>Model!#REF!</f>
        <v>#REF!</v>
      </c>
      <c r="S68" s="109" t="e">
        <f t="shared" si="9"/>
        <v>#REF!</v>
      </c>
      <c r="T68" s="87" t="s">
        <v>33</v>
      </c>
      <c r="U68" s="87">
        <f>Model!$BF$287</f>
        <v>1</v>
      </c>
      <c r="V68" s="87"/>
      <c r="W68" s="111" t="e">
        <f>S68*U68</f>
        <v>#REF!</v>
      </c>
      <c r="X68" s="126" t="e">
        <f>Model!#REF!</f>
        <v>#REF!</v>
      </c>
      <c r="Y68" s="109" t="e">
        <f t="shared" ref="Y68:Y103" si="16">W68*X68</f>
        <v>#REF!</v>
      </c>
      <c r="Z68" s="87" t="s">
        <v>53</v>
      </c>
      <c r="AA68" s="87"/>
      <c r="AB68" s="87">
        <f>Model!$BF$417</f>
        <v>1.1111111111111112</v>
      </c>
      <c r="AC68" s="98" t="e">
        <f t="shared" si="10"/>
        <v>#REF!</v>
      </c>
      <c r="AD68" s="87" t="e">
        <f t="shared" si="11"/>
        <v>#REF!</v>
      </c>
    </row>
    <row r="69" spans="3:30" x14ac:dyDescent="0.25">
      <c r="C69" s="128">
        <f>Model!$BF$14</f>
        <v>3004198</v>
      </c>
      <c r="D69" s="41">
        <f>Model!$BF$24</f>
        <v>0.38461538461538458</v>
      </c>
      <c r="E69" s="129">
        <f t="shared" ref="E69:E103" si="17">D69*C69</f>
        <v>1155460.769230769</v>
      </c>
      <c r="F69" s="41">
        <f>Model!$BF$36</f>
        <v>1</v>
      </c>
      <c r="G69" s="129">
        <f t="shared" ref="G69:G103" si="18">F69*E69</f>
        <v>1155460.769230769</v>
      </c>
      <c r="H69" s="86">
        <f>INDEX(Model!$BF$40:$BF$43,MATCH($J69,Model!$BE$40:$BE$43,0))</f>
        <v>0.1</v>
      </c>
      <c r="I69" s="107">
        <f t="shared" ref="I69:I103" si="19">G69*H69</f>
        <v>115546.07692307691</v>
      </c>
      <c r="J69" s="87" t="s">
        <v>24</v>
      </c>
      <c r="K69" s="97">
        <f>INDEX(Model!$BF$44:$BF$47,MATCH($J69,Model!$BE$40:$BE$43,0))</f>
        <v>107.36595424145357</v>
      </c>
      <c r="L69" s="111">
        <f t="shared" si="15"/>
        <v>12405714.807702549</v>
      </c>
      <c r="M69" s="97" t="e">
        <f>Model!#REF!</f>
        <v>#REF!</v>
      </c>
      <c r="N69" s="109" t="e">
        <f t="shared" si="12"/>
        <v>#REF!</v>
      </c>
      <c r="O69" s="97" t="s">
        <v>30</v>
      </c>
      <c r="P69" s="97">
        <f>INDEX(Model!$BF$61:$BF$220,MATCH($O69,Model!$BE$61:$BE$220,0)+MATCH(Model!$BC$219,Model!$BC$61:$BC$220,0)-1)</f>
        <v>0.36</v>
      </c>
      <c r="Q69" s="111" t="e">
        <f t="shared" ref="Q69:Q103" si="20">N69*P69</f>
        <v>#REF!</v>
      </c>
      <c r="R69" s="126" t="e">
        <f>Model!#REF!</f>
        <v>#REF!</v>
      </c>
      <c r="S69" s="109" t="e">
        <f t="shared" ref="S69:S103" si="21">Q69*R69</f>
        <v>#REF!</v>
      </c>
      <c r="T69" s="87" t="s">
        <v>32</v>
      </c>
      <c r="U69" s="87"/>
      <c r="V69" s="87">
        <f>Model!$BF$256</f>
        <v>1</v>
      </c>
      <c r="W69" s="111"/>
      <c r="X69" s="126"/>
      <c r="Y69" s="109">
        <f t="shared" si="16"/>
        <v>0</v>
      </c>
      <c r="Z69" s="87"/>
      <c r="AA69" s="87"/>
      <c r="AB69" s="87"/>
      <c r="AC69" s="98" t="e">
        <f t="shared" ref="AC69:AC103" si="22">V69*S69+AA69*Y69</f>
        <v>#REF!</v>
      </c>
      <c r="AD69" s="87">
        <f t="shared" ref="AD69:AD103" si="23">AB69*Y69</f>
        <v>0</v>
      </c>
    </row>
    <row r="70" spans="3:30" x14ac:dyDescent="0.25">
      <c r="C70" s="128">
        <f>Model!$BF$14</f>
        <v>3004198</v>
      </c>
      <c r="D70" s="41">
        <f>Model!$BF$24</f>
        <v>0.38461538461538458</v>
      </c>
      <c r="E70" s="129">
        <f t="shared" si="17"/>
        <v>1155460.769230769</v>
      </c>
      <c r="F70" s="41">
        <f>Model!$BF$36</f>
        <v>1</v>
      </c>
      <c r="G70" s="129">
        <f t="shared" si="18"/>
        <v>1155460.769230769</v>
      </c>
      <c r="H70" s="86">
        <f>INDEX(Model!$BF$40:$BF$43,MATCH($J70,Model!$BE$40:$BE$43,0))</f>
        <v>0.1</v>
      </c>
      <c r="I70" s="107">
        <f t="shared" si="19"/>
        <v>115546.07692307691</v>
      </c>
      <c r="J70" s="87" t="s">
        <v>24</v>
      </c>
      <c r="K70" s="97">
        <f>INDEX(Model!$BF$44:$BF$47,MATCH($J70,Model!$BE$40:$BE$43,0))</f>
        <v>107.36595424145357</v>
      </c>
      <c r="L70" s="111">
        <f t="shared" si="15"/>
        <v>12405714.807702549</v>
      </c>
      <c r="M70" s="97" t="e">
        <f>Model!#REF!</f>
        <v>#REF!</v>
      </c>
      <c r="N70" s="109" t="e">
        <f t="shared" si="12"/>
        <v>#REF!</v>
      </c>
      <c r="O70" s="97" t="s">
        <v>30</v>
      </c>
      <c r="P70" s="97">
        <f>INDEX(Model!$BF$61:$BF$220,MATCH($O70,Model!$BE$61:$BE$220,0)+MATCH(Model!$BC$219,Model!$BC$61:$BC$220,0)-1)</f>
        <v>0.36</v>
      </c>
      <c r="Q70" s="111" t="e">
        <f t="shared" si="20"/>
        <v>#REF!</v>
      </c>
      <c r="R70" s="126" t="e">
        <f>Model!#REF!</f>
        <v>#REF!</v>
      </c>
      <c r="S70" s="109" t="e">
        <f t="shared" si="21"/>
        <v>#REF!</v>
      </c>
      <c r="T70" s="87" t="s">
        <v>33</v>
      </c>
      <c r="U70" s="87">
        <f>Model!$BF$287</f>
        <v>1</v>
      </c>
      <c r="V70" s="87"/>
      <c r="W70" s="111" t="e">
        <f>S70*U70</f>
        <v>#REF!</v>
      </c>
      <c r="X70" s="126" t="e">
        <f>Model!#REF!</f>
        <v>#REF!</v>
      </c>
      <c r="Y70" s="109" t="e">
        <f t="shared" si="16"/>
        <v>#REF!</v>
      </c>
      <c r="Z70" s="87" t="s">
        <v>54</v>
      </c>
      <c r="AA70" s="87">
        <f>Model!$BF$355</f>
        <v>0.52631578947368418</v>
      </c>
      <c r="AB70" s="87"/>
      <c r="AC70" s="98" t="e">
        <f t="shared" si="22"/>
        <v>#REF!</v>
      </c>
      <c r="AD70" s="87" t="e">
        <f t="shared" si="23"/>
        <v>#REF!</v>
      </c>
    </row>
    <row r="71" spans="3:30" x14ac:dyDescent="0.25">
      <c r="C71" s="128">
        <f>Model!$BF$14</f>
        <v>3004198</v>
      </c>
      <c r="D71" s="41">
        <f>Model!$BF$24</f>
        <v>0.38461538461538458</v>
      </c>
      <c r="E71" s="129">
        <f t="shared" si="17"/>
        <v>1155460.769230769</v>
      </c>
      <c r="F71" s="41">
        <f>Model!$BF$36</f>
        <v>1</v>
      </c>
      <c r="G71" s="129">
        <f t="shared" si="18"/>
        <v>1155460.769230769</v>
      </c>
      <c r="H71" s="86">
        <f>INDEX(Model!$BF$40:$BF$43,MATCH($J71,Model!$BE$40:$BE$43,0))</f>
        <v>0.1</v>
      </c>
      <c r="I71" s="107">
        <f t="shared" si="19"/>
        <v>115546.07692307691</v>
      </c>
      <c r="J71" s="87" t="s">
        <v>24</v>
      </c>
      <c r="K71" s="97">
        <f>INDEX(Model!$BF$44:$BF$47,MATCH($J71,Model!$BE$40:$BE$43,0))</f>
        <v>107.36595424145357</v>
      </c>
      <c r="L71" s="111">
        <f t="shared" si="15"/>
        <v>12405714.807702549</v>
      </c>
      <c r="M71" s="97" t="e">
        <f>Model!#REF!</f>
        <v>#REF!</v>
      </c>
      <c r="N71" s="109" t="e">
        <f t="shared" si="12"/>
        <v>#REF!</v>
      </c>
      <c r="O71" s="97" t="s">
        <v>30</v>
      </c>
      <c r="P71" s="97">
        <f>INDEX(Model!$BF$61:$BF$220,MATCH($O71,Model!$BE$61:$BE$220,0)+MATCH(Model!$BC$219,Model!$BC$61:$BC$220,0)-1)</f>
        <v>0.36</v>
      </c>
      <c r="Q71" s="111" t="e">
        <f t="shared" si="20"/>
        <v>#REF!</v>
      </c>
      <c r="R71" s="126" t="e">
        <f>Model!#REF!</f>
        <v>#REF!</v>
      </c>
      <c r="S71" s="109" t="e">
        <f t="shared" si="21"/>
        <v>#REF!</v>
      </c>
      <c r="T71" s="87" t="s">
        <v>33</v>
      </c>
      <c r="U71" s="87">
        <f>Model!$BF$287</f>
        <v>1</v>
      </c>
      <c r="V71" s="87"/>
      <c r="W71" s="111" t="e">
        <f>S71*U71</f>
        <v>#REF!</v>
      </c>
      <c r="X71" s="126" t="e">
        <f>Model!#REF!</f>
        <v>#REF!</v>
      </c>
      <c r="Y71" s="109" t="e">
        <f t="shared" si="16"/>
        <v>#REF!</v>
      </c>
      <c r="Z71" s="87" t="s">
        <v>119</v>
      </c>
      <c r="AA71" s="87">
        <f>Model!$BF$386</f>
        <v>0.4</v>
      </c>
      <c r="AB71" s="87"/>
      <c r="AC71" s="98" t="e">
        <f t="shared" si="22"/>
        <v>#REF!</v>
      </c>
      <c r="AD71" s="87" t="e">
        <f t="shared" si="23"/>
        <v>#REF!</v>
      </c>
    </row>
    <row r="72" spans="3:30" x14ac:dyDescent="0.25">
      <c r="C72" s="128">
        <f>Model!$BF$14</f>
        <v>3004198</v>
      </c>
      <c r="D72" s="41">
        <f>Model!$BF$24</f>
        <v>0.38461538461538458</v>
      </c>
      <c r="E72" s="129">
        <f t="shared" si="17"/>
        <v>1155460.769230769</v>
      </c>
      <c r="F72" s="41">
        <f>Model!$BF$36</f>
        <v>1</v>
      </c>
      <c r="G72" s="129">
        <f t="shared" si="18"/>
        <v>1155460.769230769</v>
      </c>
      <c r="H72" s="86">
        <f>INDEX(Model!$BF$40:$BF$43,MATCH($J72,Model!$BE$40:$BE$43,0))</f>
        <v>0.1</v>
      </c>
      <c r="I72" s="107">
        <f t="shared" si="19"/>
        <v>115546.07692307691</v>
      </c>
      <c r="J72" s="87" t="s">
        <v>24</v>
      </c>
      <c r="K72" s="97">
        <f>INDEX(Model!$BF$44:$BF$47,MATCH($J72,Model!$BE$40:$BE$43,0))</f>
        <v>107.36595424145357</v>
      </c>
      <c r="L72" s="111">
        <f t="shared" si="15"/>
        <v>12405714.807702549</v>
      </c>
      <c r="M72" s="97" t="e">
        <f>Model!#REF!</f>
        <v>#REF!</v>
      </c>
      <c r="N72" s="109" t="e">
        <f t="shared" si="12"/>
        <v>#REF!</v>
      </c>
      <c r="O72" s="97" t="s">
        <v>30</v>
      </c>
      <c r="P72" s="97">
        <f>INDEX(Model!$BF$61:$BF$220,MATCH($O72,Model!$BE$61:$BE$220,0)+MATCH(Model!$BC$219,Model!$BC$61:$BC$220,0)-1)</f>
        <v>0.36</v>
      </c>
      <c r="Q72" s="111" t="e">
        <f t="shared" si="20"/>
        <v>#REF!</v>
      </c>
      <c r="R72" s="126" t="e">
        <f>Model!#REF!</f>
        <v>#REF!</v>
      </c>
      <c r="S72" s="109" t="e">
        <f t="shared" si="21"/>
        <v>#REF!</v>
      </c>
      <c r="T72" s="87" t="s">
        <v>33</v>
      </c>
      <c r="U72" s="87">
        <f>Model!$BF$287</f>
        <v>1</v>
      </c>
      <c r="V72" s="87"/>
      <c r="W72" s="111" t="e">
        <f>S72*U72</f>
        <v>#REF!</v>
      </c>
      <c r="X72" s="126" t="e">
        <f>Model!#REF!</f>
        <v>#REF!</v>
      </c>
      <c r="Y72" s="109" t="e">
        <f t="shared" si="16"/>
        <v>#REF!</v>
      </c>
      <c r="Z72" s="87" t="s">
        <v>52</v>
      </c>
      <c r="AA72" s="87"/>
      <c r="AB72" s="87">
        <f>Model!$BF$324</f>
        <v>1.6129032258064517</v>
      </c>
      <c r="AC72" s="98" t="e">
        <f t="shared" si="22"/>
        <v>#REF!</v>
      </c>
      <c r="AD72" s="87" t="e">
        <f t="shared" si="23"/>
        <v>#REF!</v>
      </c>
    </row>
    <row r="73" spans="3:30" x14ac:dyDescent="0.25">
      <c r="C73" s="128">
        <f>Model!$BF$14</f>
        <v>3004198</v>
      </c>
      <c r="D73" s="41">
        <f>Model!$BF$24</f>
        <v>0.38461538461538458</v>
      </c>
      <c r="E73" s="129">
        <f t="shared" si="17"/>
        <v>1155460.769230769</v>
      </c>
      <c r="F73" s="41">
        <f>Model!$BF$36</f>
        <v>1</v>
      </c>
      <c r="G73" s="129">
        <f t="shared" si="18"/>
        <v>1155460.769230769</v>
      </c>
      <c r="H73" s="86">
        <f>INDEX(Model!$BF$40:$BF$43,MATCH($J73,Model!$BE$40:$BE$43,0))</f>
        <v>0.1</v>
      </c>
      <c r="I73" s="107">
        <f t="shared" si="19"/>
        <v>115546.07692307691</v>
      </c>
      <c r="J73" s="87" t="s">
        <v>24</v>
      </c>
      <c r="K73" s="97">
        <f>INDEX(Model!$BF$44:$BF$47,MATCH($J73,Model!$BE$40:$BE$43,0))</f>
        <v>107.36595424145357</v>
      </c>
      <c r="L73" s="111">
        <f t="shared" si="15"/>
        <v>12405714.807702549</v>
      </c>
      <c r="M73" s="97" t="e">
        <f>Model!#REF!</f>
        <v>#REF!</v>
      </c>
      <c r="N73" s="109" t="e">
        <f t="shared" si="12"/>
        <v>#REF!</v>
      </c>
      <c r="O73" s="97" t="s">
        <v>30</v>
      </c>
      <c r="P73" s="97">
        <f>INDEX(Model!$BF$61:$BF$220,MATCH($O73,Model!$BE$61:$BE$220,0)+MATCH(Model!$BC$219,Model!$BC$61:$BC$220,0)-1)</f>
        <v>0.36</v>
      </c>
      <c r="Q73" s="111" t="e">
        <f t="shared" si="20"/>
        <v>#REF!</v>
      </c>
      <c r="R73" s="126" t="e">
        <f>Model!#REF!</f>
        <v>#REF!</v>
      </c>
      <c r="S73" s="109" t="e">
        <f t="shared" si="21"/>
        <v>#REF!</v>
      </c>
      <c r="T73" s="87" t="s">
        <v>33</v>
      </c>
      <c r="U73" s="87">
        <f>Model!$BF$287</f>
        <v>1</v>
      </c>
      <c r="V73" s="87"/>
      <c r="W73" s="111" t="e">
        <f>S73*U73</f>
        <v>#REF!</v>
      </c>
      <c r="X73" s="126" t="e">
        <f>Model!#REF!</f>
        <v>#REF!</v>
      </c>
      <c r="Y73" s="109" t="e">
        <f t="shared" si="16"/>
        <v>#REF!</v>
      </c>
      <c r="Z73" s="87" t="s">
        <v>53</v>
      </c>
      <c r="AA73" s="87"/>
      <c r="AB73" s="87">
        <f>Model!$BF$417</f>
        <v>1.1111111111111112</v>
      </c>
      <c r="AC73" s="98" t="e">
        <f t="shared" si="22"/>
        <v>#REF!</v>
      </c>
      <c r="AD73" s="87" t="e">
        <f t="shared" si="23"/>
        <v>#REF!</v>
      </c>
    </row>
    <row r="74" spans="3:30" x14ac:dyDescent="0.25">
      <c r="C74" s="128">
        <f>Model!$BF$14</f>
        <v>3004198</v>
      </c>
      <c r="D74" s="41">
        <f>Model!$BF$24</f>
        <v>0.38461538461538458</v>
      </c>
      <c r="E74" s="129">
        <f t="shared" si="17"/>
        <v>1155460.769230769</v>
      </c>
      <c r="F74" s="41">
        <f>Model!$BF$36</f>
        <v>1</v>
      </c>
      <c r="G74" s="129">
        <f t="shared" si="18"/>
        <v>1155460.769230769</v>
      </c>
      <c r="H74" s="86">
        <f>INDEX(Model!$BF$40:$BF$43,MATCH($J74,Model!$BE$40:$BE$43,0))</f>
        <v>0.1</v>
      </c>
      <c r="I74" s="107">
        <f t="shared" si="19"/>
        <v>115546.07692307691</v>
      </c>
      <c r="J74" s="87" t="s">
        <v>24</v>
      </c>
      <c r="K74" s="97">
        <f>INDEX(Model!$BF$44:$BF$47,MATCH($J74,Model!$BE$40:$BE$43,0))</f>
        <v>107.36595424145357</v>
      </c>
      <c r="L74" s="111">
        <f t="shared" si="15"/>
        <v>12405714.807702549</v>
      </c>
      <c r="M74" s="97" t="e">
        <f>Model!#REF!</f>
        <v>#REF!</v>
      </c>
      <c r="N74" s="109" t="e">
        <f t="shared" ref="N74:N103" si="24">L74*M74</f>
        <v>#REF!</v>
      </c>
      <c r="O74" s="97" t="s">
        <v>29</v>
      </c>
      <c r="P74" s="97">
        <f>INDEX(Model!$BF$61:$BF$220,MATCH($O74,Model!$BE$61:$BE$220,0)+MATCH(Model!$BC$219,Model!$BC$61:$BC$220,0)-1)</f>
        <v>0.51500000000000001</v>
      </c>
      <c r="Q74" s="111" t="e">
        <f t="shared" si="20"/>
        <v>#REF!</v>
      </c>
      <c r="R74" s="126" t="e">
        <f>Model!#REF!</f>
        <v>#REF!</v>
      </c>
      <c r="S74" s="109" t="e">
        <f t="shared" si="21"/>
        <v>#REF!</v>
      </c>
      <c r="T74" s="87" t="s">
        <v>32</v>
      </c>
      <c r="U74" s="87"/>
      <c r="V74" s="87">
        <f>Model!$BF$256</f>
        <v>1</v>
      </c>
      <c r="W74" s="111"/>
      <c r="X74" s="126"/>
      <c r="Y74" s="109">
        <f t="shared" si="16"/>
        <v>0</v>
      </c>
      <c r="Z74" s="87"/>
      <c r="AA74" s="87"/>
      <c r="AB74" s="87"/>
      <c r="AC74" s="98" t="e">
        <f t="shared" si="22"/>
        <v>#REF!</v>
      </c>
      <c r="AD74" s="87">
        <f t="shared" si="23"/>
        <v>0</v>
      </c>
    </row>
    <row r="75" spans="3:30" x14ac:dyDescent="0.25">
      <c r="C75" s="128">
        <f>Model!$BF$14</f>
        <v>3004198</v>
      </c>
      <c r="D75" s="41">
        <f>Model!$BF$24</f>
        <v>0.38461538461538458</v>
      </c>
      <c r="E75" s="129">
        <f t="shared" si="17"/>
        <v>1155460.769230769</v>
      </c>
      <c r="F75" s="41">
        <f>Model!$BF$36</f>
        <v>1</v>
      </c>
      <c r="G75" s="129">
        <f t="shared" si="18"/>
        <v>1155460.769230769</v>
      </c>
      <c r="H75" s="86">
        <f>INDEX(Model!$BF$40:$BF$43,MATCH($J75,Model!$BE$40:$BE$43,0))</f>
        <v>0.1</v>
      </c>
      <c r="I75" s="107">
        <f t="shared" si="19"/>
        <v>115546.07692307691</v>
      </c>
      <c r="J75" s="87" t="s">
        <v>24</v>
      </c>
      <c r="K75" s="97">
        <f>INDEX(Model!$BF$44:$BF$47,MATCH($J75,Model!$BE$40:$BE$43,0))</f>
        <v>107.36595424145357</v>
      </c>
      <c r="L75" s="111">
        <f t="shared" si="15"/>
        <v>12405714.807702549</v>
      </c>
      <c r="M75" s="97" t="e">
        <f>Model!#REF!</f>
        <v>#REF!</v>
      </c>
      <c r="N75" s="109" t="e">
        <f t="shared" si="24"/>
        <v>#REF!</v>
      </c>
      <c r="O75" s="97" t="s">
        <v>29</v>
      </c>
      <c r="P75" s="97">
        <f>INDEX(Model!$BF$61:$BF$220,MATCH($O75,Model!$BE$61:$BE$220,0)+MATCH(Model!$BC$219,Model!$BC$61:$BC$220,0)-1)</f>
        <v>0.51500000000000001</v>
      </c>
      <c r="Q75" s="111" t="e">
        <f t="shared" si="20"/>
        <v>#REF!</v>
      </c>
      <c r="R75" s="126" t="e">
        <f>Model!#REF!</f>
        <v>#REF!</v>
      </c>
      <c r="S75" s="109" t="e">
        <f t="shared" si="21"/>
        <v>#REF!</v>
      </c>
      <c r="T75" s="87" t="s">
        <v>33</v>
      </c>
      <c r="U75" s="87">
        <f>Model!$BF$287</f>
        <v>1</v>
      </c>
      <c r="V75" s="87"/>
      <c r="W75" s="111" t="e">
        <f>S75*U75</f>
        <v>#REF!</v>
      </c>
      <c r="X75" s="126" t="e">
        <f>Model!#REF!</f>
        <v>#REF!</v>
      </c>
      <c r="Y75" s="109" t="e">
        <f t="shared" si="16"/>
        <v>#REF!</v>
      </c>
      <c r="Z75" s="87" t="s">
        <v>54</v>
      </c>
      <c r="AA75" s="87">
        <f>Model!$BF$355</f>
        <v>0.52631578947368418</v>
      </c>
      <c r="AB75" s="87"/>
      <c r="AC75" s="98" t="e">
        <f t="shared" si="22"/>
        <v>#REF!</v>
      </c>
      <c r="AD75" s="87" t="e">
        <f t="shared" si="23"/>
        <v>#REF!</v>
      </c>
    </row>
    <row r="76" spans="3:30" x14ac:dyDescent="0.25">
      <c r="C76" s="128">
        <f>Model!$BF$14</f>
        <v>3004198</v>
      </c>
      <c r="D76" s="41">
        <f>Model!$BF$24</f>
        <v>0.38461538461538458</v>
      </c>
      <c r="E76" s="129">
        <f t="shared" si="17"/>
        <v>1155460.769230769</v>
      </c>
      <c r="F76" s="41">
        <f>Model!$BF$36</f>
        <v>1</v>
      </c>
      <c r="G76" s="129">
        <f t="shared" si="18"/>
        <v>1155460.769230769</v>
      </c>
      <c r="H76" s="86">
        <f>INDEX(Model!$BF$40:$BF$43,MATCH($J76,Model!$BE$40:$BE$43,0))</f>
        <v>0.1</v>
      </c>
      <c r="I76" s="107">
        <f t="shared" si="19"/>
        <v>115546.07692307691</v>
      </c>
      <c r="J76" s="87" t="s">
        <v>24</v>
      </c>
      <c r="K76" s="97">
        <f>INDEX(Model!$BF$44:$BF$47,MATCH($J76,Model!$BE$40:$BE$43,0))</f>
        <v>107.36595424145357</v>
      </c>
      <c r="L76" s="111">
        <f t="shared" si="15"/>
        <v>12405714.807702549</v>
      </c>
      <c r="M76" s="97" t="e">
        <f>Model!#REF!</f>
        <v>#REF!</v>
      </c>
      <c r="N76" s="109" t="e">
        <f t="shared" si="24"/>
        <v>#REF!</v>
      </c>
      <c r="O76" s="97" t="s">
        <v>29</v>
      </c>
      <c r="P76" s="97">
        <f>INDEX(Model!$BF$61:$BF$220,MATCH($O76,Model!$BE$61:$BE$220,0)+MATCH(Model!$BC$219,Model!$BC$61:$BC$220,0)-1)</f>
        <v>0.51500000000000001</v>
      </c>
      <c r="Q76" s="111" t="e">
        <f t="shared" si="20"/>
        <v>#REF!</v>
      </c>
      <c r="R76" s="126" t="e">
        <f>Model!#REF!</f>
        <v>#REF!</v>
      </c>
      <c r="S76" s="109" t="e">
        <f t="shared" si="21"/>
        <v>#REF!</v>
      </c>
      <c r="T76" s="87" t="s">
        <v>33</v>
      </c>
      <c r="U76" s="87">
        <f>Model!$BF$287</f>
        <v>1</v>
      </c>
      <c r="V76" s="87"/>
      <c r="W76" s="111" t="e">
        <f>S76*U76</f>
        <v>#REF!</v>
      </c>
      <c r="X76" s="126" t="e">
        <f>Model!#REF!</f>
        <v>#REF!</v>
      </c>
      <c r="Y76" s="109" t="e">
        <f t="shared" si="16"/>
        <v>#REF!</v>
      </c>
      <c r="Z76" s="87" t="s">
        <v>119</v>
      </c>
      <c r="AA76" s="87">
        <f>Model!$BF$386</f>
        <v>0.4</v>
      </c>
      <c r="AB76" s="87"/>
      <c r="AC76" s="98" t="e">
        <f t="shared" si="22"/>
        <v>#REF!</v>
      </c>
      <c r="AD76" s="87" t="e">
        <f t="shared" si="23"/>
        <v>#REF!</v>
      </c>
    </row>
    <row r="77" spans="3:30" x14ac:dyDescent="0.25">
      <c r="C77" s="128">
        <f>Model!$BF$14</f>
        <v>3004198</v>
      </c>
      <c r="D77" s="41">
        <f>Model!$BF$24</f>
        <v>0.38461538461538458</v>
      </c>
      <c r="E77" s="129">
        <f t="shared" si="17"/>
        <v>1155460.769230769</v>
      </c>
      <c r="F77" s="41">
        <f>Model!$BF$36</f>
        <v>1</v>
      </c>
      <c r="G77" s="129">
        <f t="shared" si="18"/>
        <v>1155460.769230769</v>
      </c>
      <c r="H77" s="86">
        <f>INDEX(Model!$BF$40:$BF$43,MATCH($J77,Model!$BE$40:$BE$43,0))</f>
        <v>0.1</v>
      </c>
      <c r="I77" s="107">
        <f t="shared" si="19"/>
        <v>115546.07692307691</v>
      </c>
      <c r="J77" s="87" t="s">
        <v>24</v>
      </c>
      <c r="K77" s="97">
        <f>INDEX(Model!$BF$44:$BF$47,MATCH($J77,Model!$BE$40:$BE$43,0))</f>
        <v>107.36595424145357</v>
      </c>
      <c r="L77" s="111">
        <f t="shared" si="15"/>
        <v>12405714.807702549</v>
      </c>
      <c r="M77" s="97" t="e">
        <f>Model!#REF!</f>
        <v>#REF!</v>
      </c>
      <c r="N77" s="109" t="e">
        <f t="shared" si="24"/>
        <v>#REF!</v>
      </c>
      <c r="O77" s="97" t="s">
        <v>29</v>
      </c>
      <c r="P77" s="97">
        <f>INDEX(Model!$BF$61:$BF$220,MATCH($O77,Model!$BE$61:$BE$220,0)+MATCH(Model!$BC$219,Model!$BC$61:$BC$220,0)-1)</f>
        <v>0.51500000000000001</v>
      </c>
      <c r="Q77" s="111" t="e">
        <f t="shared" si="20"/>
        <v>#REF!</v>
      </c>
      <c r="R77" s="126" t="e">
        <f>Model!#REF!</f>
        <v>#REF!</v>
      </c>
      <c r="S77" s="109" t="e">
        <f t="shared" si="21"/>
        <v>#REF!</v>
      </c>
      <c r="T77" s="87" t="s">
        <v>33</v>
      </c>
      <c r="U77" s="87">
        <f>Model!$BF$287</f>
        <v>1</v>
      </c>
      <c r="V77" s="87"/>
      <c r="W77" s="111" t="e">
        <f>S77*U77</f>
        <v>#REF!</v>
      </c>
      <c r="X77" s="126" t="e">
        <f>Model!#REF!</f>
        <v>#REF!</v>
      </c>
      <c r="Y77" s="109" t="e">
        <f t="shared" si="16"/>
        <v>#REF!</v>
      </c>
      <c r="Z77" s="87" t="s">
        <v>52</v>
      </c>
      <c r="AA77" s="87"/>
      <c r="AB77" s="87">
        <f>Model!$BF$324</f>
        <v>1.6129032258064517</v>
      </c>
      <c r="AC77" s="98" t="e">
        <f t="shared" si="22"/>
        <v>#REF!</v>
      </c>
      <c r="AD77" s="87" t="e">
        <f t="shared" si="23"/>
        <v>#REF!</v>
      </c>
    </row>
    <row r="78" spans="3:30" x14ac:dyDescent="0.25">
      <c r="C78" s="128">
        <f>Model!$BF$14</f>
        <v>3004198</v>
      </c>
      <c r="D78" s="41">
        <f>Model!$BF$24</f>
        <v>0.38461538461538458</v>
      </c>
      <c r="E78" s="129">
        <f t="shared" si="17"/>
        <v>1155460.769230769</v>
      </c>
      <c r="F78" s="41">
        <f>Model!$BF$36</f>
        <v>1</v>
      </c>
      <c r="G78" s="129">
        <f t="shared" si="18"/>
        <v>1155460.769230769</v>
      </c>
      <c r="H78" s="86">
        <f>INDEX(Model!$BF$40:$BF$43,MATCH($J78,Model!$BE$40:$BE$43,0))</f>
        <v>0.1</v>
      </c>
      <c r="I78" s="107">
        <f t="shared" si="19"/>
        <v>115546.07692307691</v>
      </c>
      <c r="J78" s="87" t="s">
        <v>24</v>
      </c>
      <c r="K78" s="97">
        <f>INDEX(Model!$BF$44:$BF$47,MATCH($J78,Model!$BE$40:$BE$43,0))</f>
        <v>107.36595424145357</v>
      </c>
      <c r="L78" s="111">
        <f t="shared" si="15"/>
        <v>12405714.807702549</v>
      </c>
      <c r="M78" s="97" t="e">
        <f>Model!#REF!</f>
        <v>#REF!</v>
      </c>
      <c r="N78" s="109" t="e">
        <f t="shared" si="24"/>
        <v>#REF!</v>
      </c>
      <c r="O78" s="97" t="s">
        <v>29</v>
      </c>
      <c r="P78" s="97">
        <f>INDEX(Model!$BF$61:$BF$220,MATCH($O78,Model!$BE$61:$BE$220,0)+MATCH(Model!$BC$219,Model!$BC$61:$BC$220,0)-1)</f>
        <v>0.51500000000000001</v>
      </c>
      <c r="Q78" s="111" t="e">
        <f t="shared" si="20"/>
        <v>#REF!</v>
      </c>
      <c r="R78" s="126" t="e">
        <f>Model!#REF!</f>
        <v>#REF!</v>
      </c>
      <c r="S78" s="109" t="e">
        <f t="shared" si="21"/>
        <v>#REF!</v>
      </c>
      <c r="T78" s="87" t="s">
        <v>33</v>
      </c>
      <c r="U78" s="87">
        <f>Model!$BF$287</f>
        <v>1</v>
      </c>
      <c r="V78" s="87"/>
      <c r="W78" s="111" t="e">
        <f>S78*U78</f>
        <v>#REF!</v>
      </c>
      <c r="X78" s="126" t="e">
        <f>Model!#REF!</f>
        <v>#REF!</v>
      </c>
      <c r="Y78" s="109" t="e">
        <f t="shared" si="16"/>
        <v>#REF!</v>
      </c>
      <c r="Z78" s="87" t="s">
        <v>53</v>
      </c>
      <c r="AA78" s="87"/>
      <c r="AB78" s="87">
        <f>Model!$BF$417</f>
        <v>1.1111111111111112</v>
      </c>
      <c r="AC78" s="98" t="e">
        <f t="shared" si="22"/>
        <v>#REF!</v>
      </c>
      <c r="AD78" s="87" t="e">
        <f t="shared" si="23"/>
        <v>#REF!</v>
      </c>
    </row>
    <row r="79" spans="3:30" x14ac:dyDescent="0.25">
      <c r="C79" s="128">
        <f>Model!$BF$14</f>
        <v>3004198</v>
      </c>
      <c r="D79" s="41">
        <f>Model!$BF$24</f>
        <v>0.38461538461538458</v>
      </c>
      <c r="E79" s="129">
        <f t="shared" si="17"/>
        <v>1155460.769230769</v>
      </c>
      <c r="F79" s="41">
        <f>Model!$BF$36</f>
        <v>1</v>
      </c>
      <c r="G79" s="129">
        <f t="shared" si="18"/>
        <v>1155460.769230769</v>
      </c>
      <c r="H79" s="86">
        <f>INDEX(Model!$BF$40:$BF$43,MATCH($J79,Model!$BE$40:$BE$43,0))</f>
        <v>0.719409242</v>
      </c>
      <c r="I79" s="107">
        <f t="shared" si="19"/>
        <v>831249.15615304443</v>
      </c>
      <c r="J79" s="87" t="s">
        <v>23</v>
      </c>
      <c r="K79" s="97">
        <f>INDEX(Model!$BF$44:$BF$47,MATCH($J79,Model!$BE$40:$BE$43,0))</f>
        <v>138.51662237471803</v>
      </c>
      <c r="L79" s="111">
        <f t="shared" si="15"/>
        <v>115141825.46215427</v>
      </c>
      <c r="M79" s="97" t="e">
        <f>Model!#REF!</f>
        <v>#REF!</v>
      </c>
      <c r="N79" s="109" t="e">
        <f t="shared" si="24"/>
        <v>#REF!</v>
      </c>
      <c r="O79" s="97" t="s">
        <v>31</v>
      </c>
      <c r="P79" s="97">
        <f>INDEX(Model!$BF$61:$BF$220,MATCH($O79,Model!$BE$61:$BE$220,0)+MATCH(Model!$BC$219,Model!$BC$61:$BC$220,0)-1)</f>
        <v>0.309</v>
      </c>
      <c r="Q79" s="111" t="e">
        <f t="shared" si="20"/>
        <v>#REF!</v>
      </c>
      <c r="R79" s="126" t="e">
        <f>Model!#REF!</f>
        <v>#REF!</v>
      </c>
      <c r="S79" s="109" t="e">
        <f t="shared" si="21"/>
        <v>#REF!</v>
      </c>
      <c r="T79" s="87" t="s">
        <v>32</v>
      </c>
      <c r="U79" s="87"/>
      <c r="V79" s="87">
        <f>Model!$BF$256</f>
        <v>1</v>
      </c>
      <c r="W79" s="111"/>
      <c r="X79" s="126"/>
      <c r="Y79" s="109">
        <f t="shared" si="16"/>
        <v>0</v>
      </c>
      <c r="Z79" s="87"/>
      <c r="AA79" s="87"/>
      <c r="AB79" s="87"/>
      <c r="AC79" s="98" t="e">
        <f t="shared" si="22"/>
        <v>#REF!</v>
      </c>
      <c r="AD79" s="87">
        <f t="shared" si="23"/>
        <v>0</v>
      </c>
    </row>
    <row r="80" spans="3:30" x14ac:dyDescent="0.25">
      <c r="C80" s="128">
        <f>Model!$BF$14</f>
        <v>3004198</v>
      </c>
      <c r="D80" s="41">
        <f>Model!$BF$24</f>
        <v>0.38461538461538458</v>
      </c>
      <c r="E80" s="129">
        <f t="shared" si="17"/>
        <v>1155460.769230769</v>
      </c>
      <c r="F80" s="41">
        <f>Model!$BF$36</f>
        <v>1</v>
      </c>
      <c r="G80" s="129">
        <f t="shared" si="18"/>
        <v>1155460.769230769</v>
      </c>
      <c r="H80" s="86">
        <f>INDEX(Model!$BF$40:$BF$43,MATCH($J80,Model!$BE$40:$BE$43,0))</f>
        <v>0.719409242</v>
      </c>
      <c r="I80" s="107">
        <f t="shared" si="19"/>
        <v>831249.15615304443</v>
      </c>
      <c r="J80" s="87" t="s">
        <v>23</v>
      </c>
      <c r="K80" s="97">
        <f>INDEX(Model!$BF$44:$BF$47,MATCH($J80,Model!$BE$40:$BE$43,0))</f>
        <v>138.51662237471803</v>
      </c>
      <c r="L80" s="111">
        <f t="shared" si="15"/>
        <v>115141825.46215427</v>
      </c>
      <c r="M80" s="97" t="e">
        <f>Model!#REF!</f>
        <v>#REF!</v>
      </c>
      <c r="N80" s="109" t="e">
        <f t="shared" si="24"/>
        <v>#REF!</v>
      </c>
      <c r="O80" s="97" t="s">
        <v>31</v>
      </c>
      <c r="P80" s="97">
        <f>INDEX(Model!$BF$61:$BF$220,MATCH($O80,Model!$BE$61:$BE$220,0)+MATCH(Model!$BC$219,Model!$BC$61:$BC$220,0)-1)</f>
        <v>0.309</v>
      </c>
      <c r="Q80" s="111" t="e">
        <f t="shared" si="20"/>
        <v>#REF!</v>
      </c>
      <c r="R80" s="126" t="e">
        <f>Model!#REF!</f>
        <v>#REF!</v>
      </c>
      <c r="S80" s="109" t="e">
        <f t="shared" si="21"/>
        <v>#REF!</v>
      </c>
      <c r="T80" s="87" t="s">
        <v>33</v>
      </c>
      <c r="U80" s="87">
        <f>Model!$BF$287</f>
        <v>1</v>
      </c>
      <c r="V80" s="87"/>
      <c r="W80" s="111" t="e">
        <f>S80*U80</f>
        <v>#REF!</v>
      </c>
      <c r="X80" s="126" t="e">
        <f>Model!#REF!</f>
        <v>#REF!</v>
      </c>
      <c r="Y80" s="109" t="e">
        <f t="shared" si="16"/>
        <v>#REF!</v>
      </c>
      <c r="Z80" s="87" t="s">
        <v>54</v>
      </c>
      <c r="AA80" s="87">
        <f>Model!$BF$355</f>
        <v>0.52631578947368418</v>
      </c>
      <c r="AB80" s="87"/>
      <c r="AC80" s="98" t="e">
        <f t="shared" si="22"/>
        <v>#REF!</v>
      </c>
      <c r="AD80" s="87" t="e">
        <f t="shared" si="23"/>
        <v>#REF!</v>
      </c>
    </row>
    <row r="81" spans="3:30" x14ac:dyDescent="0.25">
      <c r="C81" s="128">
        <f>Model!$BF$14</f>
        <v>3004198</v>
      </c>
      <c r="D81" s="41">
        <f>Model!$BF$24</f>
        <v>0.38461538461538458</v>
      </c>
      <c r="E81" s="129">
        <f t="shared" si="17"/>
        <v>1155460.769230769</v>
      </c>
      <c r="F81" s="41">
        <f>Model!$BF$36</f>
        <v>1</v>
      </c>
      <c r="G81" s="129">
        <f t="shared" si="18"/>
        <v>1155460.769230769</v>
      </c>
      <c r="H81" s="86">
        <f>INDEX(Model!$BF$40:$BF$43,MATCH($J81,Model!$BE$40:$BE$43,0))</f>
        <v>0.719409242</v>
      </c>
      <c r="I81" s="107">
        <f t="shared" si="19"/>
        <v>831249.15615304443</v>
      </c>
      <c r="J81" s="87" t="s">
        <v>23</v>
      </c>
      <c r="K81" s="97">
        <f>INDEX(Model!$BF$44:$BF$47,MATCH($J81,Model!$BE$40:$BE$43,0))</f>
        <v>138.51662237471803</v>
      </c>
      <c r="L81" s="111">
        <f t="shared" si="15"/>
        <v>115141825.46215427</v>
      </c>
      <c r="M81" s="97" t="e">
        <f>Model!#REF!</f>
        <v>#REF!</v>
      </c>
      <c r="N81" s="109" t="e">
        <f t="shared" si="24"/>
        <v>#REF!</v>
      </c>
      <c r="O81" s="97" t="s">
        <v>31</v>
      </c>
      <c r="P81" s="97">
        <f>INDEX(Model!$BF$61:$BF$220,MATCH($O81,Model!$BE$61:$BE$220,0)+MATCH(Model!$BC$219,Model!$BC$61:$BC$220,0)-1)</f>
        <v>0.309</v>
      </c>
      <c r="Q81" s="111" t="e">
        <f t="shared" si="20"/>
        <v>#REF!</v>
      </c>
      <c r="R81" s="126" t="e">
        <f>Model!#REF!</f>
        <v>#REF!</v>
      </c>
      <c r="S81" s="109" t="e">
        <f t="shared" si="21"/>
        <v>#REF!</v>
      </c>
      <c r="T81" s="87" t="s">
        <v>33</v>
      </c>
      <c r="U81" s="87">
        <f>Model!$BF$287</f>
        <v>1</v>
      </c>
      <c r="V81" s="87"/>
      <c r="W81" s="111" t="e">
        <f>S81*U81</f>
        <v>#REF!</v>
      </c>
      <c r="X81" s="126" t="e">
        <f>Model!#REF!</f>
        <v>#REF!</v>
      </c>
      <c r="Y81" s="109" t="e">
        <f t="shared" si="16"/>
        <v>#REF!</v>
      </c>
      <c r="Z81" s="87" t="s">
        <v>119</v>
      </c>
      <c r="AA81" s="87">
        <f>Model!$BF$386</f>
        <v>0.4</v>
      </c>
      <c r="AB81" s="87"/>
      <c r="AC81" s="98" t="e">
        <f t="shared" si="22"/>
        <v>#REF!</v>
      </c>
      <c r="AD81" s="87" t="e">
        <f t="shared" si="23"/>
        <v>#REF!</v>
      </c>
    </row>
    <row r="82" spans="3:30" x14ac:dyDescent="0.25">
      <c r="C82" s="128">
        <f>Model!$BF$14</f>
        <v>3004198</v>
      </c>
      <c r="D82" s="41">
        <f>Model!$BF$24</f>
        <v>0.38461538461538458</v>
      </c>
      <c r="E82" s="129">
        <f t="shared" si="17"/>
        <v>1155460.769230769</v>
      </c>
      <c r="F82" s="41">
        <f>Model!$BF$36</f>
        <v>1</v>
      </c>
      <c r="G82" s="129">
        <f t="shared" si="18"/>
        <v>1155460.769230769</v>
      </c>
      <c r="H82" s="86">
        <f>INDEX(Model!$BF$40:$BF$43,MATCH($J82,Model!$BE$40:$BE$43,0))</f>
        <v>0.719409242</v>
      </c>
      <c r="I82" s="107">
        <f t="shared" si="19"/>
        <v>831249.15615304443</v>
      </c>
      <c r="J82" s="87" t="s">
        <v>23</v>
      </c>
      <c r="K82" s="97">
        <f>INDEX(Model!$BF$44:$BF$47,MATCH($J82,Model!$BE$40:$BE$43,0))</f>
        <v>138.51662237471803</v>
      </c>
      <c r="L82" s="111">
        <f t="shared" si="15"/>
        <v>115141825.46215427</v>
      </c>
      <c r="M82" s="97" t="e">
        <f>Model!#REF!</f>
        <v>#REF!</v>
      </c>
      <c r="N82" s="109" t="e">
        <f t="shared" si="24"/>
        <v>#REF!</v>
      </c>
      <c r="O82" s="97" t="s">
        <v>31</v>
      </c>
      <c r="P82" s="97">
        <f>INDEX(Model!$BF$61:$BF$220,MATCH($O82,Model!$BE$61:$BE$220,0)+MATCH(Model!$BC$219,Model!$BC$61:$BC$220,0)-1)</f>
        <v>0.309</v>
      </c>
      <c r="Q82" s="111" t="e">
        <f t="shared" si="20"/>
        <v>#REF!</v>
      </c>
      <c r="R82" s="126" t="e">
        <f>Model!#REF!</f>
        <v>#REF!</v>
      </c>
      <c r="S82" s="109" t="e">
        <f t="shared" si="21"/>
        <v>#REF!</v>
      </c>
      <c r="T82" s="87" t="s">
        <v>33</v>
      </c>
      <c r="U82" s="87">
        <f>Model!$BF$287</f>
        <v>1</v>
      </c>
      <c r="V82" s="87"/>
      <c r="W82" s="111" t="e">
        <f>S82*U82</f>
        <v>#REF!</v>
      </c>
      <c r="X82" s="126" t="e">
        <f>Model!#REF!</f>
        <v>#REF!</v>
      </c>
      <c r="Y82" s="109" t="e">
        <f t="shared" si="16"/>
        <v>#REF!</v>
      </c>
      <c r="Z82" s="87" t="s">
        <v>52</v>
      </c>
      <c r="AA82" s="87"/>
      <c r="AB82" s="87">
        <f>Model!$BF$324</f>
        <v>1.6129032258064517</v>
      </c>
      <c r="AC82" s="98" t="e">
        <f t="shared" si="22"/>
        <v>#REF!</v>
      </c>
      <c r="AD82" s="87" t="e">
        <f t="shared" si="23"/>
        <v>#REF!</v>
      </c>
    </row>
    <row r="83" spans="3:30" x14ac:dyDescent="0.25">
      <c r="C83" s="128">
        <f>Model!$BF$14</f>
        <v>3004198</v>
      </c>
      <c r="D83" s="41">
        <f>Model!$BF$24</f>
        <v>0.38461538461538458</v>
      </c>
      <c r="E83" s="129">
        <f t="shared" si="17"/>
        <v>1155460.769230769</v>
      </c>
      <c r="F83" s="41">
        <f>Model!$BF$36</f>
        <v>1</v>
      </c>
      <c r="G83" s="129">
        <f t="shared" si="18"/>
        <v>1155460.769230769</v>
      </c>
      <c r="H83" s="86">
        <f>INDEX(Model!$BF$40:$BF$43,MATCH($J83,Model!$BE$40:$BE$43,0))</f>
        <v>0.719409242</v>
      </c>
      <c r="I83" s="107">
        <f t="shared" si="19"/>
        <v>831249.15615304443</v>
      </c>
      <c r="J83" s="87" t="s">
        <v>23</v>
      </c>
      <c r="K83" s="97">
        <f>INDEX(Model!$BF$44:$BF$47,MATCH($J83,Model!$BE$40:$BE$43,0))</f>
        <v>138.51662237471803</v>
      </c>
      <c r="L83" s="111">
        <f t="shared" si="15"/>
        <v>115141825.46215427</v>
      </c>
      <c r="M83" s="97" t="e">
        <f>Model!#REF!</f>
        <v>#REF!</v>
      </c>
      <c r="N83" s="109" t="e">
        <f t="shared" si="24"/>
        <v>#REF!</v>
      </c>
      <c r="O83" s="97" t="s">
        <v>31</v>
      </c>
      <c r="P83" s="97">
        <f>INDEX(Model!$BF$61:$BF$220,MATCH($O83,Model!$BE$61:$BE$220,0)+MATCH(Model!$BC$219,Model!$BC$61:$BC$220,0)-1)</f>
        <v>0.309</v>
      </c>
      <c r="Q83" s="111" t="e">
        <f t="shared" si="20"/>
        <v>#REF!</v>
      </c>
      <c r="R83" s="126" t="e">
        <f>Model!#REF!</f>
        <v>#REF!</v>
      </c>
      <c r="S83" s="109" t="e">
        <f t="shared" si="21"/>
        <v>#REF!</v>
      </c>
      <c r="T83" s="87" t="s">
        <v>33</v>
      </c>
      <c r="U83" s="87">
        <f>Model!$BF$287</f>
        <v>1</v>
      </c>
      <c r="V83" s="87"/>
      <c r="W83" s="111" t="e">
        <f>S83*U83</f>
        <v>#REF!</v>
      </c>
      <c r="X83" s="126" t="e">
        <f>Model!#REF!</f>
        <v>#REF!</v>
      </c>
      <c r="Y83" s="109" t="e">
        <f t="shared" si="16"/>
        <v>#REF!</v>
      </c>
      <c r="Z83" s="87" t="s">
        <v>53</v>
      </c>
      <c r="AA83" s="87"/>
      <c r="AB83" s="87">
        <f>Model!$BF$417</f>
        <v>1.1111111111111112</v>
      </c>
      <c r="AC83" s="98" t="e">
        <f t="shared" si="22"/>
        <v>#REF!</v>
      </c>
      <c r="AD83" s="87" t="e">
        <f t="shared" si="23"/>
        <v>#REF!</v>
      </c>
    </row>
    <row r="84" spans="3:30" x14ac:dyDescent="0.25">
      <c r="C84" s="128">
        <f>Model!$BF$14</f>
        <v>3004198</v>
      </c>
      <c r="D84" s="41">
        <f>Model!$BF$24</f>
        <v>0.38461538461538458</v>
      </c>
      <c r="E84" s="129">
        <f t="shared" si="17"/>
        <v>1155460.769230769</v>
      </c>
      <c r="F84" s="41">
        <f>Model!$BF$36</f>
        <v>1</v>
      </c>
      <c r="G84" s="129">
        <f t="shared" si="18"/>
        <v>1155460.769230769</v>
      </c>
      <c r="H84" s="86">
        <f>INDEX(Model!$BF$40:$BF$43,MATCH($J84,Model!$BE$40:$BE$43,0))</f>
        <v>0.719409242</v>
      </c>
      <c r="I84" s="107">
        <f t="shared" si="19"/>
        <v>831249.15615304443</v>
      </c>
      <c r="J84" s="87" t="s">
        <v>23</v>
      </c>
      <c r="K84" s="97">
        <f>INDEX(Model!$BF$44:$BF$47,MATCH($J84,Model!$BE$40:$BE$43,0))</f>
        <v>138.51662237471803</v>
      </c>
      <c r="L84" s="111">
        <f t="shared" si="15"/>
        <v>115141825.46215427</v>
      </c>
      <c r="M84" s="97">
        <f>Model!$BF$102</f>
        <v>0.83299999999999996</v>
      </c>
      <c r="N84" s="109">
        <f t="shared" si="24"/>
        <v>95913140.609974504</v>
      </c>
      <c r="O84" s="97" t="s">
        <v>27</v>
      </c>
      <c r="P84" s="97">
        <f>INDEX(Model!$BF$61:$BF$220,MATCH($O84,Model!$BE$61:$BE$220,0)+MATCH(Model!$BC$219,Model!$BC$61:$BC$220,0)-1)</f>
        <v>0.63300000000000001</v>
      </c>
      <c r="Q84" s="111">
        <f t="shared" si="20"/>
        <v>60713018.006113864</v>
      </c>
      <c r="R84" s="126" t="e">
        <f>Model!#REF!</f>
        <v>#REF!</v>
      </c>
      <c r="S84" s="109" t="e">
        <f t="shared" si="21"/>
        <v>#REF!</v>
      </c>
      <c r="T84" s="87" t="s">
        <v>32</v>
      </c>
      <c r="U84" s="87"/>
      <c r="V84" s="87">
        <f>Model!$BF$256</f>
        <v>1</v>
      </c>
      <c r="W84" s="111"/>
      <c r="X84" s="126"/>
      <c r="Y84" s="109">
        <f t="shared" si="16"/>
        <v>0</v>
      </c>
      <c r="Z84" s="87"/>
      <c r="AA84" s="87"/>
      <c r="AB84" s="87"/>
      <c r="AC84" s="98" t="e">
        <f t="shared" si="22"/>
        <v>#REF!</v>
      </c>
      <c r="AD84" s="87">
        <f t="shared" si="23"/>
        <v>0</v>
      </c>
    </row>
    <row r="85" spans="3:30" x14ac:dyDescent="0.25">
      <c r="C85" s="128">
        <f>Model!$BF$14</f>
        <v>3004198</v>
      </c>
      <c r="D85" s="41">
        <f>Model!$BF$24</f>
        <v>0.38461538461538458</v>
      </c>
      <c r="E85" s="129">
        <f t="shared" si="17"/>
        <v>1155460.769230769</v>
      </c>
      <c r="F85" s="41">
        <f>Model!$BF$36</f>
        <v>1</v>
      </c>
      <c r="G85" s="129">
        <f t="shared" si="18"/>
        <v>1155460.769230769</v>
      </c>
      <c r="H85" s="86">
        <f>INDEX(Model!$BF$40:$BF$43,MATCH($J85,Model!$BE$40:$BE$43,0))</f>
        <v>0.719409242</v>
      </c>
      <c r="I85" s="107">
        <f t="shared" si="19"/>
        <v>831249.15615304443</v>
      </c>
      <c r="J85" s="87" t="s">
        <v>23</v>
      </c>
      <c r="K85" s="97">
        <f>INDEX(Model!$BF$44:$BF$47,MATCH($J85,Model!$BE$40:$BE$43,0))</f>
        <v>138.51662237471803</v>
      </c>
      <c r="L85" s="111">
        <f t="shared" si="15"/>
        <v>115141825.46215427</v>
      </c>
      <c r="M85" s="97">
        <f>Model!$BF$102</f>
        <v>0.83299999999999996</v>
      </c>
      <c r="N85" s="109">
        <f t="shared" si="24"/>
        <v>95913140.609974504</v>
      </c>
      <c r="O85" s="97" t="s">
        <v>27</v>
      </c>
      <c r="P85" s="97">
        <f>INDEX(Model!$BF$61:$BF$220,MATCH($O85,Model!$BE$61:$BE$220,0)+MATCH(Model!$BC$219,Model!$BC$61:$BC$220,0)-1)</f>
        <v>0.63300000000000001</v>
      </c>
      <c r="Q85" s="111">
        <f t="shared" si="20"/>
        <v>60713018.006113864</v>
      </c>
      <c r="R85" s="126" t="e">
        <f>Model!#REF!</f>
        <v>#REF!</v>
      </c>
      <c r="S85" s="109" t="e">
        <f t="shared" si="21"/>
        <v>#REF!</v>
      </c>
      <c r="T85" s="87" t="s">
        <v>33</v>
      </c>
      <c r="U85" s="87">
        <f>Model!$BF$287</f>
        <v>1</v>
      </c>
      <c r="V85" s="87"/>
      <c r="W85" s="111" t="e">
        <f>S85*U85</f>
        <v>#REF!</v>
      </c>
      <c r="X85" s="126" t="e">
        <f>Model!#REF!</f>
        <v>#REF!</v>
      </c>
      <c r="Y85" s="109" t="e">
        <f t="shared" si="16"/>
        <v>#REF!</v>
      </c>
      <c r="Z85" s="87" t="s">
        <v>54</v>
      </c>
      <c r="AA85" s="87">
        <f>Model!$BF$355</f>
        <v>0.52631578947368418</v>
      </c>
      <c r="AB85" s="87"/>
      <c r="AC85" s="98" t="e">
        <f t="shared" si="22"/>
        <v>#REF!</v>
      </c>
      <c r="AD85" s="87" t="e">
        <f t="shared" si="23"/>
        <v>#REF!</v>
      </c>
    </row>
    <row r="86" spans="3:30" x14ac:dyDescent="0.25">
      <c r="C86" s="128">
        <f>Model!$BF$14</f>
        <v>3004198</v>
      </c>
      <c r="D86" s="41">
        <f>Model!$BF$24</f>
        <v>0.38461538461538458</v>
      </c>
      <c r="E86" s="129">
        <f t="shared" si="17"/>
        <v>1155460.769230769</v>
      </c>
      <c r="F86" s="41">
        <f>Model!$BF$36</f>
        <v>1</v>
      </c>
      <c r="G86" s="129">
        <f t="shared" si="18"/>
        <v>1155460.769230769</v>
      </c>
      <c r="H86" s="86">
        <f>INDEX(Model!$BF$40:$BF$43,MATCH($J86,Model!$BE$40:$BE$43,0))</f>
        <v>0.719409242</v>
      </c>
      <c r="I86" s="107">
        <f t="shared" si="19"/>
        <v>831249.15615304443</v>
      </c>
      <c r="J86" s="87" t="s">
        <v>23</v>
      </c>
      <c r="K86" s="97">
        <f>INDEX(Model!$BF$44:$BF$47,MATCH($J86,Model!$BE$40:$BE$43,0))</f>
        <v>138.51662237471803</v>
      </c>
      <c r="L86" s="111">
        <f t="shared" si="15"/>
        <v>115141825.46215427</v>
      </c>
      <c r="M86" s="97">
        <f>Model!$BF$102</f>
        <v>0.83299999999999996</v>
      </c>
      <c r="N86" s="109">
        <f t="shared" si="24"/>
        <v>95913140.609974504</v>
      </c>
      <c r="O86" s="97" t="s">
        <v>27</v>
      </c>
      <c r="P86" s="97">
        <f>INDEX(Model!$BF$61:$BF$220,MATCH($O86,Model!$BE$61:$BE$220,0)+MATCH(Model!$BC$219,Model!$BC$61:$BC$220,0)-1)</f>
        <v>0.63300000000000001</v>
      </c>
      <c r="Q86" s="111">
        <f t="shared" si="20"/>
        <v>60713018.006113864</v>
      </c>
      <c r="R86" s="126" t="e">
        <f>Model!#REF!</f>
        <v>#REF!</v>
      </c>
      <c r="S86" s="109" t="e">
        <f t="shared" si="21"/>
        <v>#REF!</v>
      </c>
      <c r="T86" s="87" t="s">
        <v>33</v>
      </c>
      <c r="U86" s="87">
        <f>Model!$BF$287</f>
        <v>1</v>
      </c>
      <c r="V86" s="87"/>
      <c r="W86" s="111" t="e">
        <f>S86*U86</f>
        <v>#REF!</v>
      </c>
      <c r="X86" s="126" t="e">
        <f>Model!#REF!</f>
        <v>#REF!</v>
      </c>
      <c r="Y86" s="109" t="e">
        <f t="shared" si="16"/>
        <v>#REF!</v>
      </c>
      <c r="Z86" s="87" t="s">
        <v>119</v>
      </c>
      <c r="AA86" s="87">
        <f>Model!$BF$386</f>
        <v>0.4</v>
      </c>
      <c r="AB86" s="87"/>
      <c r="AC86" s="98" t="e">
        <f t="shared" si="22"/>
        <v>#REF!</v>
      </c>
      <c r="AD86" s="87" t="e">
        <f t="shared" si="23"/>
        <v>#REF!</v>
      </c>
    </row>
    <row r="87" spans="3:30" x14ac:dyDescent="0.25">
      <c r="C87" s="128">
        <f>Model!$BF$14</f>
        <v>3004198</v>
      </c>
      <c r="D87" s="41">
        <f>Model!$BF$24</f>
        <v>0.38461538461538458</v>
      </c>
      <c r="E87" s="129">
        <f t="shared" si="17"/>
        <v>1155460.769230769</v>
      </c>
      <c r="F87" s="41">
        <f>Model!$BF$36</f>
        <v>1</v>
      </c>
      <c r="G87" s="129">
        <f t="shared" si="18"/>
        <v>1155460.769230769</v>
      </c>
      <c r="H87" s="86">
        <f>INDEX(Model!$BF$40:$BF$43,MATCH($J87,Model!$BE$40:$BE$43,0))</f>
        <v>0.719409242</v>
      </c>
      <c r="I87" s="107">
        <f t="shared" si="19"/>
        <v>831249.15615304443</v>
      </c>
      <c r="J87" s="87" t="s">
        <v>23</v>
      </c>
      <c r="K87" s="97">
        <f>INDEX(Model!$BF$44:$BF$47,MATCH($J87,Model!$BE$40:$BE$43,0))</f>
        <v>138.51662237471803</v>
      </c>
      <c r="L87" s="111">
        <f t="shared" si="15"/>
        <v>115141825.46215427</v>
      </c>
      <c r="M87" s="97">
        <f>Model!$BF$102</f>
        <v>0.83299999999999996</v>
      </c>
      <c r="N87" s="109">
        <f t="shared" si="24"/>
        <v>95913140.609974504</v>
      </c>
      <c r="O87" s="97" t="s">
        <v>27</v>
      </c>
      <c r="P87" s="97">
        <f>INDEX(Model!$BF$61:$BF$220,MATCH($O87,Model!$BE$61:$BE$220,0)+MATCH(Model!$BC$219,Model!$BC$61:$BC$220,0)-1)</f>
        <v>0.63300000000000001</v>
      </c>
      <c r="Q87" s="111">
        <f t="shared" si="20"/>
        <v>60713018.006113864</v>
      </c>
      <c r="R87" s="126" t="e">
        <f>Model!#REF!</f>
        <v>#REF!</v>
      </c>
      <c r="S87" s="109" t="e">
        <f t="shared" si="21"/>
        <v>#REF!</v>
      </c>
      <c r="T87" s="87" t="s">
        <v>33</v>
      </c>
      <c r="U87" s="87">
        <f>Model!$BF$287</f>
        <v>1</v>
      </c>
      <c r="V87" s="87"/>
      <c r="W87" s="111" t="e">
        <f>S87*U87</f>
        <v>#REF!</v>
      </c>
      <c r="X87" s="126" t="e">
        <f>Model!#REF!</f>
        <v>#REF!</v>
      </c>
      <c r="Y87" s="109" t="e">
        <f t="shared" si="16"/>
        <v>#REF!</v>
      </c>
      <c r="Z87" s="87" t="s">
        <v>52</v>
      </c>
      <c r="AA87" s="87"/>
      <c r="AB87" s="87">
        <f>Model!$BF$324</f>
        <v>1.6129032258064517</v>
      </c>
      <c r="AC87" s="98" t="e">
        <f t="shared" si="22"/>
        <v>#REF!</v>
      </c>
      <c r="AD87" s="87" t="e">
        <f t="shared" si="23"/>
        <v>#REF!</v>
      </c>
    </row>
    <row r="88" spans="3:30" x14ac:dyDescent="0.25">
      <c r="C88" s="128">
        <f>Model!$BF$14</f>
        <v>3004198</v>
      </c>
      <c r="D88" s="41">
        <f>Model!$BF$24</f>
        <v>0.38461538461538458</v>
      </c>
      <c r="E88" s="129">
        <f t="shared" si="17"/>
        <v>1155460.769230769</v>
      </c>
      <c r="F88" s="41">
        <f>Model!$BF$36</f>
        <v>1</v>
      </c>
      <c r="G88" s="129">
        <f t="shared" si="18"/>
        <v>1155460.769230769</v>
      </c>
      <c r="H88" s="86">
        <f>INDEX(Model!$BF$40:$BF$43,MATCH($J88,Model!$BE$40:$BE$43,0))</f>
        <v>0.719409242</v>
      </c>
      <c r="I88" s="107">
        <f t="shared" si="19"/>
        <v>831249.15615304443</v>
      </c>
      <c r="J88" s="87" t="s">
        <v>23</v>
      </c>
      <c r="K88" s="97">
        <f>INDEX(Model!$BF$44:$BF$47,MATCH($J88,Model!$BE$40:$BE$43,0))</f>
        <v>138.51662237471803</v>
      </c>
      <c r="L88" s="111">
        <f t="shared" si="15"/>
        <v>115141825.46215427</v>
      </c>
      <c r="M88" s="97">
        <f>Model!$BF$102</f>
        <v>0.83299999999999996</v>
      </c>
      <c r="N88" s="109">
        <f t="shared" si="24"/>
        <v>95913140.609974504</v>
      </c>
      <c r="O88" s="97" t="s">
        <v>27</v>
      </c>
      <c r="P88" s="97">
        <f>INDEX(Model!$BF$61:$BF$220,MATCH($O88,Model!$BE$61:$BE$220,0)+MATCH(Model!$BC$219,Model!$BC$61:$BC$220,0)-1)</f>
        <v>0.63300000000000001</v>
      </c>
      <c r="Q88" s="111">
        <f t="shared" si="20"/>
        <v>60713018.006113864</v>
      </c>
      <c r="R88" s="126" t="e">
        <f>Model!#REF!</f>
        <v>#REF!</v>
      </c>
      <c r="S88" s="109" t="e">
        <f t="shared" si="21"/>
        <v>#REF!</v>
      </c>
      <c r="T88" s="87" t="s">
        <v>33</v>
      </c>
      <c r="U88" s="87">
        <f>Model!$BF$287</f>
        <v>1</v>
      </c>
      <c r="V88" s="87"/>
      <c r="W88" s="111" t="e">
        <f>S88*U88</f>
        <v>#REF!</v>
      </c>
      <c r="X88" s="126" t="e">
        <f>Model!#REF!</f>
        <v>#REF!</v>
      </c>
      <c r="Y88" s="109" t="e">
        <f t="shared" si="16"/>
        <v>#REF!</v>
      </c>
      <c r="Z88" s="87" t="s">
        <v>53</v>
      </c>
      <c r="AA88" s="87"/>
      <c r="AB88" s="87">
        <f>Model!$BF$417</f>
        <v>1.1111111111111112</v>
      </c>
      <c r="AC88" s="98" t="e">
        <f t="shared" si="22"/>
        <v>#REF!</v>
      </c>
      <c r="AD88" s="87" t="e">
        <f t="shared" si="23"/>
        <v>#REF!</v>
      </c>
    </row>
    <row r="89" spans="3:30" x14ac:dyDescent="0.25">
      <c r="C89" s="128">
        <f>Model!$BF$14</f>
        <v>3004198</v>
      </c>
      <c r="D89" s="41">
        <f>Model!$BF$24</f>
        <v>0.38461538461538458</v>
      </c>
      <c r="E89" s="129">
        <f t="shared" si="17"/>
        <v>1155460.769230769</v>
      </c>
      <c r="F89" s="41">
        <f>Model!$BF$36</f>
        <v>1</v>
      </c>
      <c r="G89" s="129">
        <f t="shared" si="18"/>
        <v>1155460.769230769</v>
      </c>
      <c r="H89" s="86">
        <f>INDEX(Model!$BF$40:$BF$43,MATCH($J89,Model!$BE$40:$BE$43,0))</f>
        <v>0.719409242</v>
      </c>
      <c r="I89" s="107">
        <f t="shared" si="19"/>
        <v>831249.15615304443</v>
      </c>
      <c r="J89" s="87" t="s">
        <v>23</v>
      </c>
      <c r="K89" s="97">
        <f>INDEX(Model!$BF$44:$BF$47,MATCH($J89,Model!$BE$40:$BE$43,0))</f>
        <v>138.51662237471803</v>
      </c>
      <c r="L89" s="111">
        <f t="shared" si="15"/>
        <v>115141825.46215427</v>
      </c>
      <c r="M89" s="97" t="e">
        <f>Model!#REF!</f>
        <v>#REF!</v>
      </c>
      <c r="N89" s="109" t="e">
        <f t="shared" si="24"/>
        <v>#REF!</v>
      </c>
      <c r="O89" s="97" t="s">
        <v>28</v>
      </c>
      <c r="P89" s="97">
        <f>INDEX(Model!$BF$61:$BF$220,MATCH($O89,Model!$BE$61:$BE$220,0)+MATCH(Model!$BC$219,Model!$BC$61:$BC$220,0)-1)</f>
        <v>0.997</v>
      </c>
      <c r="Q89" s="111" t="e">
        <f t="shared" si="20"/>
        <v>#REF!</v>
      </c>
      <c r="R89" s="126" t="e">
        <f>Model!#REF!</f>
        <v>#REF!</v>
      </c>
      <c r="S89" s="109" t="e">
        <f t="shared" si="21"/>
        <v>#REF!</v>
      </c>
      <c r="T89" s="87" t="s">
        <v>32</v>
      </c>
      <c r="U89" s="87"/>
      <c r="V89" s="87">
        <f>Model!$BF$256</f>
        <v>1</v>
      </c>
      <c r="W89" s="111"/>
      <c r="X89" s="126"/>
      <c r="Y89" s="109">
        <f t="shared" si="16"/>
        <v>0</v>
      </c>
      <c r="Z89" s="87"/>
      <c r="AA89" s="87"/>
      <c r="AB89" s="87"/>
      <c r="AC89" s="98" t="e">
        <f t="shared" si="22"/>
        <v>#REF!</v>
      </c>
      <c r="AD89" s="87">
        <f t="shared" si="23"/>
        <v>0</v>
      </c>
    </row>
    <row r="90" spans="3:30" x14ac:dyDescent="0.25">
      <c r="C90" s="128">
        <f>Model!$BF$14</f>
        <v>3004198</v>
      </c>
      <c r="D90" s="41">
        <f>Model!$BF$24</f>
        <v>0.38461538461538458</v>
      </c>
      <c r="E90" s="129">
        <f t="shared" si="17"/>
        <v>1155460.769230769</v>
      </c>
      <c r="F90" s="41">
        <f>Model!$BF$36</f>
        <v>1</v>
      </c>
      <c r="G90" s="129">
        <f t="shared" si="18"/>
        <v>1155460.769230769</v>
      </c>
      <c r="H90" s="86">
        <f>INDEX(Model!$BF$40:$BF$43,MATCH($J90,Model!$BE$40:$BE$43,0))</f>
        <v>0.719409242</v>
      </c>
      <c r="I90" s="107">
        <f t="shared" si="19"/>
        <v>831249.15615304443</v>
      </c>
      <c r="J90" s="87" t="s">
        <v>23</v>
      </c>
      <c r="K90" s="97">
        <f>INDEX(Model!$BF$44:$BF$47,MATCH($J90,Model!$BE$40:$BE$43,0))</f>
        <v>138.51662237471803</v>
      </c>
      <c r="L90" s="111">
        <f t="shared" si="15"/>
        <v>115141825.46215427</v>
      </c>
      <c r="M90" s="97" t="e">
        <f>Model!#REF!</f>
        <v>#REF!</v>
      </c>
      <c r="N90" s="109" t="e">
        <f t="shared" si="24"/>
        <v>#REF!</v>
      </c>
      <c r="O90" s="97" t="s">
        <v>28</v>
      </c>
      <c r="P90" s="97">
        <f>INDEX(Model!$BF$61:$BF$220,MATCH($O90,Model!$BE$61:$BE$220,0)+MATCH(Model!$BC$219,Model!$BC$61:$BC$220,0)-1)</f>
        <v>0.997</v>
      </c>
      <c r="Q90" s="111" t="e">
        <f t="shared" si="20"/>
        <v>#REF!</v>
      </c>
      <c r="R90" s="126" t="e">
        <f>Model!#REF!</f>
        <v>#REF!</v>
      </c>
      <c r="S90" s="109" t="e">
        <f t="shared" si="21"/>
        <v>#REF!</v>
      </c>
      <c r="T90" s="87" t="s">
        <v>33</v>
      </c>
      <c r="U90" s="87">
        <f>Model!$BF$287</f>
        <v>1</v>
      </c>
      <c r="V90" s="87"/>
      <c r="W90" s="111" t="e">
        <f>S90*U90</f>
        <v>#REF!</v>
      </c>
      <c r="X90" s="126" t="e">
        <f>Model!#REF!</f>
        <v>#REF!</v>
      </c>
      <c r="Y90" s="109" t="e">
        <f t="shared" si="16"/>
        <v>#REF!</v>
      </c>
      <c r="Z90" s="87" t="s">
        <v>54</v>
      </c>
      <c r="AA90" s="87">
        <f>Model!$BF$355</f>
        <v>0.52631578947368418</v>
      </c>
      <c r="AB90" s="87"/>
      <c r="AC90" s="98" t="e">
        <f t="shared" si="22"/>
        <v>#REF!</v>
      </c>
      <c r="AD90" s="87" t="e">
        <f t="shared" si="23"/>
        <v>#REF!</v>
      </c>
    </row>
    <row r="91" spans="3:30" x14ac:dyDescent="0.25">
      <c r="C91" s="128">
        <f>Model!$BF$14</f>
        <v>3004198</v>
      </c>
      <c r="D91" s="41">
        <f>Model!$BF$24</f>
        <v>0.38461538461538458</v>
      </c>
      <c r="E91" s="129">
        <f t="shared" si="17"/>
        <v>1155460.769230769</v>
      </c>
      <c r="F91" s="41">
        <f>Model!$BF$36</f>
        <v>1</v>
      </c>
      <c r="G91" s="129">
        <f t="shared" si="18"/>
        <v>1155460.769230769</v>
      </c>
      <c r="H91" s="86">
        <f>INDEX(Model!$BF$40:$BF$43,MATCH($J91,Model!$BE$40:$BE$43,0))</f>
        <v>0.719409242</v>
      </c>
      <c r="I91" s="107">
        <f t="shared" si="19"/>
        <v>831249.15615304443</v>
      </c>
      <c r="J91" s="87" t="s">
        <v>23</v>
      </c>
      <c r="K91" s="97">
        <f>INDEX(Model!$BF$44:$BF$47,MATCH($J91,Model!$BE$40:$BE$43,0))</f>
        <v>138.51662237471803</v>
      </c>
      <c r="L91" s="111">
        <f t="shared" si="15"/>
        <v>115141825.46215427</v>
      </c>
      <c r="M91" s="97" t="e">
        <f>Model!#REF!</f>
        <v>#REF!</v>
      </c>
      <c r="N91" s="109" t="e">
        <f t="shared" si="24"/>
        <v>#REF!</v>
      </c>
      <c r="O91" s="97" t="s">
        <v>28</v>
      </c>
      <c r="P91" s="97">
        <f>INDEX(Model!$BF$61:$BF$220,MATCH($O91,Model!$BE$61:$BE$220,0)+MATCH(Model!$BC$219,Model!$BC$61:$BC$220,0)-1)</f>
        <v>0.997</v>
      </c>
      <c r="Q91" s="111" t="e">
        <f t="shared" si="20"/>
        <v>#REF!</v>
      </c>
      <c r="R91" s="126" t="e">
        <f>Model!#REF!</f>
        <v>#REF!</v>
      </c>
      <c r="S91" s="109" t="e">
        <f t="shared" si="21"/>
        <v>#REF!</v>
      </c>
      <c r="T91" s="87" t="s">
        <v>33</v>
      </c>
      <c r="U91" s="87">
        <f>Model!$BF$287</f>
        <v>1</v>
      </c>
      <c r="V91" s="87"/>
      <c r="W91" s="111" t="e">
        <f>S91*U91</f>
        <v>#REF!</v>
      </c>
      <c r="X91" s="126" t="e">
        <f>Model!#REF!</f>
        <v>#REF!</v>
      </c>
      <c r="Y91" s="109" t="e">
        <f t="shared" si="16"/>
        <v>#REF!</v>
      </c>
      <c r="Z91" s="87" t="s">
        <v>119</v>
      </c>
      <c r="AA91" s="87">
        <f>Model!$BF$386</f>
        <v>0.4</v>
      </c>
      <c r="AB91" s="87"/>
      <c r="AC91" s="98" t="e">
        <f t="shared" si="22"/>
        <v>#REF!</v>
      </c>
      <c r="AD91" s="87" t="e">
        <f t="shared" si="23"/>
        <v>#REF!</v>
      </c>
    </row>
    <row r="92" spans="3:30" x14ac:dyDescent="0.25">
      <c r="C92" s="128">
        <f>Model!$BF$14</f>
        <v>3004198</v>
      </c>
      <c r="D92" s="41">
        <f>Model!$BF$24</f>
        <v>0.38461538461538458</v>
      </c>
      <c r="E92" s="129">
        <f t="shared" si="17"/>
        <v>1155460.769230769</v>
      </c>
      <c r="F92" s="41">
        <f>Model!$BF$36</f>
        <v>1</v>
      </c>
      <c r="G92" s="129">
        <f t="shared" si="18"/>
        <v>1155460.769230769</v>
      </c>
      <c r="H92" s="86">
        <f>INDEX(Model!$BF$40:$BF$43,MATCH($J92,Model!$BE$40:$BE$43,0))</f>
        <v>0.719409242</v>
      </c>
      <c r="I92" s="107">
        <f t="shared" si="19"/>
        <v>831249.15615304443</v>
      </c>
      <c r="J92" s="87" t="s">
        <v>23</v>
      </c>
      <c r="K92" s="97">
        <f>INDEX(Model!$BF$44:$BF$47,MATCH($J92,Model!$BE$40:$BE$43,0))</f>
        <v>138.51662237471803</v>
      </c>
      <c r="L92" s="111">
        <f t="shared" si="15"/>
        <v>115141825.46215427</v>
      </c>
      <c r="M92" s="97" t="e">
        <f>Model!#REF!</f>
        <v>#REF!</v>
      </c>
      <c r="N92" s="109" t="e">
        <f t="shared" si="24"/>
        <v>#REF!</v>
      </c>
      <c r="O92" s="97" t="s">
        <v>28</v>
      </c>
      <c r="P92" s="97">
        <f>INDEX(Model!$BF$61:$BF$220,MATCH($O92,Model!$BE$61:$BE$220,0)+MATCH(Model!$BC$219,Model!$BC$61:$BC$220,0)-1)</f>
        <v>0.997</v>
      </c>
      <c r="Q92" s="111" t="e">
        <f t="shared" si="20"/>
        <v>#REF!</v>
      </c>
      <c r="R92" s="126" t="e">
        <f>Model!#REF!</f>
        <v>#REF!</v>
      </c>
      <c r="S92" s="109" t="e">
        <f t="shared" si="21"/>
        <v>#REF!</v>
      </c>
      <c r="T92" s="87" t="s">
        <v>33</v>
      </c>
      <c r="U92" s="87">
        <f>Model!$BF$287</f>
        <v>1</v>
      </c>
      <c r="V92" s="87"/>
      <c r="W92" s="111" t="e">
        <f>S92*U92</f>
        <v>#REF!</v>
      </c>
      <c r="X92" s="126" t="e">
        <f>Model!#REF!</f>
        <v>#REF!</v>
      </c>
      <c r="Y92" s="109" t="e">
        <f t="shared" si="16"/>
        <v>#REF!</v>
      </c>
      <c r="Z92" s="87" t="s">
        <v>52</v>
      </c>
      <c r="AA92" s="87"/>
      <c r="AB92" s="87">
        <f>Model!$BF$324</f>
        <v>1.6129032258064517</v>
      </c>
      <c r="AC92" s="98" t="e">
        <f t="shared" si="22"/>
        <v>#REF!</v>
      </c>
      <c r="AD92" s="87" t="e">
        <f t="shared" si="23"/>
        <v>#REF!</v>
      </c>
    </row>
    <row r="93" spans="3:30" x14ac:dyDescent="0.25">
      <c r="C93" s="128">
        <f>Model!$BF$14</f>
        <v>3004198</v>
      </c>
      <c r="D93" s="41">
        <f>Model!$BF$24</f>
        <v>0.38461538461538458</v>
      </c>
      <c r="E93" s="129">
        <f t="shared" si="17"/>
        <v>1155460.769230769</v>
      </c>
      <c r="F93" s="41">
        <f>Model!$BF$36</f>
        <v>1</v>
      </c>
      <c r="G93" s="129">
        <f t="shared" si="18"/>
        <v>1155460.769230769</v>
      </c>
      <c r="H93" s="86">
        <f>INDEX(Model!$BF$40:$BF$43,MATCH($J93,Model!$BE$40:$BE$43,0))</f>
        <v>0.719409242</v>
      </c>
      <c r="I93" s="107">
        <f t="shared" si="19"/>
        <v>831249.15615304443</v>
      </c>
      <c r="J93" s="87" t="s">
        <v>23</v>
      </c>
      <c r="K93" s="97">
        <f>INDEX(Model!$BF$44:$BF$47,MATCH($J93,Model!$BE$40:$BE$43,0))</f>
        <v>138.51662237471803</v>
      </c>
      <c r="L93" s="111">
        <f t="shared" si="15"/>
        <v>115141825.46215427</v>
      </c>
      <c r="M93" s="97" t="e">
        <f>Model!#REF!</f>
        <v>#REF!</v>
      </c>
      <c r="N93" s="109" t="e">
        <f t="shared" si="24"/>
        <v>#REF!</v>
      </c>
      <c r="O93" s="97" t="s">
        <v>28</v>
      </c>
      <c r="P93" s="97">
        <f>INDEX(Model!$BF$61:$BF$220,MATCH($O93,Model!$BE$61:$BE$220,0)+MATCH(Model!$BC$219,Model!$BC$61:$BC$220,0)-1)</f>
        <v>0.997</v>
      </c>
      <c r="Q93" s="111" t="e">
        <f t="shared" si="20"/>
        <v>#REF!</v>
      </c>
      <c r="R93" s="126" t="e">
        <f>Model!#REF!</f>
        <v>#REF!</v>
      </c>
      <c r="S93" s="109" t="e">
        <f t="shared" si="21"/>
        <v>#REF!</v>
      </c>
      <c r="T93" s="87" t="s">
        <v>33</v>
      </c>
      <c r="U93" s="87">
        <f>Model!$BF$287</f>
        <v>1</v>
      </c>
      <c r="V93" s="87"/>
      <c r="W93" s="111" t="e">
        <f>S93*U93</f>
        <v>#REF!</v>
      </c>
      <c r="X93" s="126" t="e">
        <f>Model!#REF!</f>
        <v>#REF!</v>
      </c>
      <c r="Y93" s="109" t="e">
        <f t="shared" si="16"/>
        <v>#REF!</v>
      </c>
      <c r="Z93" s="87" t="s">
        <v>53</v>
      </c>
      <c r="AA93" s="87"/>
      <c r="AB93" s="87">
        <f>Model!$BF$417</f>
        <v>1.1111111111111112</v>
      </c>
      <c r="AC93" s="98" t="e">
        <f t="shared" si="22"/>
        <v>#REF!</v>
      </c>
      <c r="AD93" s="87" t="e">
        <f t="shared" si="23"/>
        <v>#REF!</v>
      </c>
    </row>
    <row r="94" spans="3:30" x14ac:dyDescent="0.25">
      <c r="C94" s="128">
        <f>Model!$BF$14</f>
        <v>3004198</v>
      </c>
      <c r="D94" s="41">
        <f>Model!$BF$24</f>
        <v>0.38461538461538458</v>
      </c>
      <c r="E94" s="129">
        <f t="shared" si="17"/>
        <v>1155460.769230769</v>
      </c>
      <c r="F94" s="41">
        <f>Model!$BF$36</f>
        <v>1</v>
      </c>
      <c r="G94" s="129">
        <f t="shared" si="18"/>
        <v>1155460.769230769</v>
      </c>
      <c r="H94" s="86">
        <f>INDEX(Model!$BF$40:$BF$43,MATCH($J94,Model!$BE$40:$BE$43,0))</f>
        <v>0.719409242</v>
      </c>
      <c r="I94" s="107">
        <f t="shared" si="19"/>
        <v>831249.15615304443</v>
      </c>
      <c r="J94" s="87" t="s">
        <v>23</v>
      </c>
      <c r="K94" s="97">
        <f>INDEX(Model!$BF$44:$BF$47,MATCH($J94,Model!$BE$40:$BE$43,0))</f>
        <v>138.51662237471803</v>
      </c>
      <c r="L94" s="111">
        <f t="shared" si="15"/>
        <v>115141825.46215427</v>
      </c>
      <c r="M94" s="97" t="e">
        <f>Model!#REF!</f>
        <v>#REF!</v>
      </c>
      <c r="N94" s="109" t="e">
        <f t="shared" si="24"/>
        <v>#REF!</v>
      </c>
      <c r="O94" s="97" t="s">
        <v>30</v>
      </c>
      <c r="P94" s="97">
        <f>INDEX(Model!$BF$61:$BF$220,MATCH($O94,Model!$BE$61:$BE$220,0)+MATCH(Model!$BC$219,Model!$BC$61:$BC$220,0)-1)</f>
        <v>0.36</v>
      </c>
      <c r="Q94" s="111" t="e">
        <f t="shared" si="20"/>
        <v>#REF!</v>
      </c>
      <c r="R94" s="126" t="e">
        <f>Model!#REF!</f>
        <v>#REF!</v>
      </c>
      <c r="S94" s="109" t="e">
        <f t="shared" si="21"/>
        <v>#REF!</v>
      </c>
      <c r="T94" s="87" t="s">
        <v>32</v>
      </c>
      <c r="U94" s="87"/>
      <c r="V94" s="87">
        <f>Model!$BF$256</f>
        <v>1</v>
      </c>
      <c r="W94" s="111"/>
      <c r="X94" s="126"/>
      <c r="Y94" s="109">
        <f t="shared" si="16"/>
        <v>0</v>
      </c>
      <c r="Z94" s="87"/>
      <c r="AA94" s="87"/>
      <c r="AB94" s="87"/>
      <c r="AC94" s="98" t="e">
        <f t="shared" si="22"/>
        <v>#REF!</v>
      </c>
      <c r="AD94" s="87">
        <f t="shared" si="23"/>
        <v>0</v>
      </c>
    </row>
    <row r="95" spans="3:30" x14ac:dyDescent="0.25">
      <c r="C95" s="128">
        <f>Model!$BF$14</f>
        <v>3004198</v>
      </c>
      <c r="D95" s="41">
        <f>Model!$BF$24</f>
        <v>0.38461538461538458</v>
      </c>
      <c r="E95" s="129">
        <f t="shared" si="17"/>
        <v>1155460.769230769</v>
      </c>
      <c r="F95" s="41">
        <f>Model!$BF$36</f>
        <v>1</v>
      </c>
      <c r="G95" s="129">
        <f t="shared" si="18"/>
        <v>1155460.769230769</v>
      </c>
      <c r="H95" s="86">
        <f>INDEX(Model!$BF$40:$BF$43,MATCH($J95,Model!$BE$40:$BE$43,0))</f>
        <v>0.719409242</v>
      </c>
      <c r="I95" s="107">
        <f t="shared" si="19"/>
        <v>831249.15615304443</v>
      </c>
      <c r="J95" s="87" t="s">
        <v>23</v>
      </c>
      <c r="K95" s="97">
        <f>INDEX(Model!$BF$44:$BF$47,MATCH($J95,Model!$BE$40:$BE$43,0))</f>
        <v>138.51662237471803</v>
      </c>
      <c r="L95" s="111">
        <f t="shared" si="15"/>
        <v>115141825.46215427</v>
      </c>
      <c r="M95" s="97" t="e">
        <f>Model!#REF!</f>
        <v>#REF!</v>
      </c>
      <c r="N95" s="109" t="e">
        <f t="shared" si="24"/>
        <v>#REF!</v>
      </c>
      <c r="O95" s="97" t="s">
        <v>30</v>
      </c>
      <c r="P95" s="97">
        <f>INDEX(Model!$BF$61:$BF$220,MATCH($O95,Model!$BE$61:$BE$220,0)+MATCH(Model!$BC$219,Model!$BC$61:$BC$220,0)-1)</f>
        <v>0.36</v>
      </c>
      <c r="Q95" s="111" t="e">
        <f t="shared" si="20"/>
        <v>#REF!</v>
      </c>
      <c r="R95" s="126" t="e">
        <f>Model!#REF!</f>
        <v>#REF!</v>
      </c>
      <c r="S95" s="109" t="e">
        <f t="shared" si="21"/>
        <v>#REF!</v>
      </c>
      <c r="T95" s="87" t="s">
        <v>33</v>
      </c>
      <c r="U95" s="87">
        <f>Model!$BF$287</f>
        <v>1</v>
      </c>
      <c r="V95" s="87"/>
      <c r="W95" s="111" t="e">
        <f>S95*U95</f>
        <v>#REF!</v>
      </c>
      <c r="X95" s="126" t="e">
        <f>Model!#REF!</f>
        <v>#REF!</v>
      </c>
      <c r="Y95" s="109" t="e">
        <f t="shared" si="16"/>
        <v>#REF!</v>
      </c>
      <c r="Z95" s="87" t="s">
        <v>54</v>
      </c>
      <c r="AA95" s="87">
        <f>Model!$BF$355</f>
        <v>0.52631578947368418</v>
      </c>
      <c r="AB95" s="87"/>
      <c r="AC95" s="98" t="e">
        <f t="shared" si="22"/>
        <v>#REF!</v>
      </c>
      <c r="AD95" s="87" t="e">
        <f t="shared" si="23"/>
        <v>#REF!</v>
      </c>
    </row>
    <row r="96" spans="3:30" x14ac:dyDescent="0.25">
      <c r="C96" s="128">
        <f>Model!$BF$14</f>
        <v>3004198</v>
      </c>
      <c r="D96" s="41">
        <f>Model!$BF$24</f>
        <v>0.38461538461538458</v>
      </c>
      <c r="E96" s="129">
        <f t="shared" si="17"/>
        <v>1155460.769230769</v>
      </c>
      <c r="F96" s="41">
        <f>Model!$BF$36</f>
        <v>1</v>
      </c>
      <c r="G96" s="129">
        <f t="shared" si="18"/>
        <v>1155460.769230769</v>
      </c>
      <c r="H96" s="86">
        <f>INDEX(Model!$BF$40:$BF$43,MATCH($J96,Model!$BE$40:$BE$43,0))</f>
        <v>0.719409242</v>
      </c>
      <c r="I96" s="107">
        <f t="shared" si="19"/>
        <v>831249.15615304443</v>
      </c>
      <c r="J96" s="87" t="s">
        <v>23</v>
      </c>
      <c r="K96" s="97">
        <f>INDEX(Model!$BF$44:$BF$47,MATCH($J96,Model!$BE$40:$BE$43,0))</f>
        <v>138.51662237471803</v>
      </c>
      <c r="L96" s="111">
        <f t="shared" si="15"/>
        <v>115141825.46215427</v>
      </c>
      <c r="M96" s="97" t="e">
        <f>Model!#REF!</f>
        <v>#REF!</v>
      </c>
      <c r="N96" s="109" t="e">
        <f t="shared" si="24"/>
        <v>#REF!</v>
      </c>
      <c r="O96" s="97" t="s">
        <v>30</v>
      </c>
      <c r="P96" s="97">
        <f>INDEX(Model!$BF$61:$BF$220,MATCH($O96,Model!$BE$61:$BE$220,0)+MATCH(Model!$BC$219,Model!$BC$61:$BC$220,0)-1)</f>
        <v>0.36</v>
      </c>
      <c r="Q96" s="111" t="e">
        <f t="shared" si="20"/>
        <v>#REF!</v>
      </c>
      <c r="R96" s="126" t="e">
        <f>Model!#REF!</f>
        <v>#REF!</v>
      </c>
      <c r="S96" s="109" t="e">
        <f t="shared" si="21"/>
        <v>#REF!</v>
      </c>
      <c r="T96" s="87" t="s">
        <v>33</v>
      </c>
      <c r="U96" s="87">
        <f>Model!$BF$287</f>
        <v>1</v>
      </c>
      <c r="V96" s="87"/>
      <c r="W96" s="111" t="e">
        <f>S96*U96</f>
        <v>#REF!</v>
      </c>
      <c r="X96" s="126" t="e">
        <f>Model!#REF!</f>
        <v>#REF!</v>
      </c>
      <c r="Y96" s="109" t="e">
        <f t="shared" si="16"/>
        <v>#REF!</v>
      </c>
      <c r="Z96" s="87" t="s">
        <v>119</v>
      </c>
      <c r="AA96" s="87">
        <f>Model!$BF$386</f>
        <v>0.4</v>
      </c>
      <c r="AB96" s="87"/>
      <c r="AC96" s="98" t="e">
        <f t="shared" si="22"/>
        <v>#REF!</v>
      </c>
      <c r="AD96" s="87" t="e">
        <f t="shared" si="23"/>
        <v>#REF!</v>
      </c>
    </row>
    <row r="97" spans="3:30" x14ac:dyDescent="0.25">
      <c r="C97" s="128">
        <f>Model!$BF$14</f>
        <v>3004198</v>
      </c>
      <c r="D97" s="41">
        <f>Model!$BF$24</f>
        <v>0.38461538461538458</v>
      </c>
      <c r="E97" s="129">
        <f t="shared" si="17"/>
        <v>1155460.769230769</v>
      </c>
      <c r="F97" s="41">
        <f>Model!$BF$36</f>
        <v>1</v>
      </c>
      <c r="G97" s="129">
        <f t="shared" si="18"/>
        <v>1155460.769230769</v>
      </c>
      <c r="H97" s="86">
        <f>INDEX(Model!$BF$40:$BF$43,MATCH($J97,Model!$BE$40:$BE$43,0))</f>
        <v>0.719409242</v>
      </c>
      <c r="I97" s="107">
        <f t="shared" si="19"/>
        <v>831249.15615304443</v>
      </c>
      <c r="J97" s="87" t="s">
        <v>23</v>
      </c>
      <c r="K97" s="97">
        <f>INDEX(Model!$BF$44:$BF$47,MATCH($J97,Model!$BE$40:$BE$43,0))</f>
        <v>138.51662237471803</v>
      </c>
      <c r="L97" s="111">
        <f t="shared" si="15"/>
        <v>115141825.46215427</v>
      </c>
      <c r="M97" s="97" t="e">
        <f>Model!#REF!</f>
        <v>#REF!</v>
      </c>
      <c r="N97" s="109" t="e">
        <f t="shared" si="24"/>
        <v>#REF!</v>
      </c>
      <c r="O97" s="97" t="s">
        <v>30</v>
      </c>
      <c r="P97" s="97">
        <f>INDEX(Model!$BF$61:$BF$220,MATCH($O97,Model!$BE$61:$BE$220,0)+MATCH(Model!$BC$219,Model!$BC$61:$BC$220,0)-1)</f>
        <v>0.36</v>
      </c>
      <c r="Q97" s="111" t="e">
        <f t="shared" si="20"/>
        <v>#REF!</v>
      </c>
      <c r="R97" s="126" t="e">
        <f>Model!#REF!</f>
        <v>#REF!</v>
      </c>
      <c r="S97" s="109" t="e">
        <f t="shared" si="21"/>
        <v>#REF!</v>
      </c>
      <c r="T97" s="87" t="s">
        <v>33</v>
      </c>
      <c r="U97" s="87">
        <f>Model!$BF$287</f>
        <v>1</v>
      </c>
      <c r="V97" s="87"/>
      <c r="W97" s="111" t="e">
        <f>S97*U97</f>
        <v>#REF!</v>
      </c>
      <c r="X97" s="126" t="e">
        <f>Model!#REF!</f>
        <v>#REF!</v>
      </c>
      <c r="Y97" s="109" t="e">
        <f t="shared" si="16"/>
        <v>#REF!</v>
      </c>
      <c r="Z97" s="87" t="s">
        <v>52</v>
      </c>
      <c r="AA97" s="87"/>
      <c r="AB97" s="87">
        <f>Model!$BF$324</f>
        <v>1.6129032258064517</v>
      </c>
      <c r="AC97" s="98" t="e">
        <f t="shared" si="22"/>
        <v>#REF!</v>
      </c>
      <c r="AD97" s="87" t="e">
        <f t="shared" si="23"/>
        <v>#REF!</v>
      </c>
    </row>
    <row r="98" spans="3:30" x14ac:dyDescent="0.25">
      <c r="C98" s="128">
        <f>Model!$BF$14</f>
        <v>3004198</v>
      </c>
      <c r="D98" s="41">
        <f>Model!$BF$24</f>
        <v>0.38461538461538458</v>
      </c>
      <c r="E98" s="129">
        <f t="shared" si="17"/>
        <v>1155460.769230769</v>
      </c>
      <c r="F98" s="41">
        <f>Model!$BF$36</f>
        <v>1</v>
      </c>
      <c r="G98" s="129">
        <f t="shared" si="18"/>
        <v>1155460.769230769</v>
      </c>
      <c r="H98" s="86">
        <f>INDEX(Model!$BF$40:$BF$43,MATCH($J98,Model!$BE$40:$BE$43,0))</f>
        <v>0.719409242</v>
      </c>
      <c r="I98" s="107">
        <f t="shared" si="19"/>
        <v>831249.15615304443</v>
      </c>
      <c r="J98" s="87" t="s">
        <v>23</v>
      </c>
      <c r="K98" s="97">
        <f>INDEX(Model!$BF$44:$BF$47,MATCH($J98,Model!$BE$40:$BE$43,0))</f>
        <v>138.51662237471803</v>
      </c>
      <c r="L98" s="111">
        <f t="shared" si="15"/>
        <v>115141825.46215427</v>
      </c>
      <c r="M98" s="97" t="e">
        <f>Model!#REF!</f>
        <v>#REF!</v>
      </c>
      <c r="N98" s="109" t="e">
        <f t="shared" si="24"/>
        <v>#REF!</v>
      </c>
      <c r="O98" s="97" t="s">
        <v>30</v>
      </c>
      <c r="P98" s="97">
        <f>INDEX(Model!$BF$61:$BF$220,MATCH($O98,Model!$BE$61:$BE$220,0)+MATCH(Model!$BC$219,Model!$BC$61:$BC$220,0)-1)</f>
        <v>0.36</v>
      </c>
      <c r="Q98" s="111" t="e">
        <f t="shared" si="20"/>
        <v>#REF!</v>
      </c>
      <c r="R98" s="126" t="e">
        <f>Model!#REF!</f>
        <v>#REF!</v>
      </c>
      <c r="S98" s="109" t="e">
        <f t="shared" si="21"/>
        <v>#REF!</v>
      </c>
      <c r="T98" s="87" t="s">
        <v>33</v>
      </c>
      <c r="U98" s="87">
        <f>Model!$BF$287</f>
        <v>1</v>
      </c>
      <c r="V98" s="87"/>
      <c r="W98" s="111" t="e">
        <f>S98*U98</f>
        <v>#REF!</v>
      </c>
      <c r="X98" s="126" t="e">
        <f>Model!#REF!</f>
        <v>#REF!</v>
      </c>
      <c r="Y98" s="109" t="e">
        <f t="shared" si="16"/>
        <v>#REF!</v>
      </c>
      <c r="Z98" s="87" t="s">
        <v>53</v>
      </c>
      <c r="AA98" s="87"/>
      <c r="AB98" s="87">
        <f>Model!$BF$417</f>
        <v>1.1111111111111112</v>
      </c>
      <c r="AC98" s="98" t="e">
        <f t="shared" si="22"/>
        <v>#REF!</v>
      </c>
      <c r="AD98" s="87" t="e">
        <f t="shared" si="23"/>
        <v>#REF!</v>
      </c>
    </row>
    <row r="99" spans="3:30" x14ac:dyDescent="0.25">
      <c r="C99" s="128">
        <f>Model!$BF$14</f>
        <v>3004198</v>
      </c>
      <c r="D99" s="41">
        <f>Model!$BF$24</f>
        <v>0.38461538461538458</v>
      </c>
      <c r="E99" s="129">
        <f t="shared" si="17"/>
        <v>1155460.769230769</v>
      </c>
      <c r="F99" s="41">
        <f>Model!$BF$36</f>
        <v>1</v>
      </c>
      <c r="G99" s="129">
        <f t="shared" si="18"/>
        <v>1155460.769230769</v>
      </c>
      <c r="H99" s="86">
        <f>INDEX(Model!$BF$40:$BF$43,MATCH($J99,Model!$BE$40:$BE$43,0))</f>
        <v>0.719409242</v>
      </c>
      <c r="I99" s="107">
        <f t="shared" si="19"/>
        <v>831249.15615304443</v>
      </c>
      <c r="J99" s="87" t="s">
        <v>23</v>
      </c>
      <c r="K99" s="97">
        <f>INDEX(Model!$BF$44:$BF$47,MATCH($J99,Model!$BE$40:$BE$43,0))</f>
        <v>138.51662237471803</v>
      </c>
      <c r="L99" s="111">
        <f t="shared" si="15"/>
        <v>115141825.46215427</v>
      </c>
      <c r="M99" s="97" t="e">
        <f>Model!#REF!</f>
        <v>#REF!</v>
      </c>
      <c r="N99" s="109" t="e">
        <f t="shared" si="24"/>
        <v>#REF!</v>
      </c>
      <c r="O99" s="97" t="s">
        <v>29</v>
      </c>
      <c r="P99" s="97">
        <f>INDEX(Model!$BF$61:$BF$220,MATCH($O99,Model!$BE$61:$BE$220,0)+MATCH(Model!$BC$219,Model!$BC$61:$BC$220,0)-1)</f>
        <v>0.51500000000000001</v>
      </c>
      <c r="Q99" s="111" t="e">
        <f t="shared" si="20"/>
        <v>#REF!</v>
      </c>
      <c r="R99" s="126" t="e">
        <f>Model!#REF!</f>
        <v>#REF!</v>
      </c>
      <c r="S99" s="109" t="e">
        <f t="shared" si="21"/>
        <v>#REF!</v>
      </c>
      <c r="T99" s="87" t="s">
        <v>32</v>
      </c>
      <c r="U99" s="87"/>
      <c r="V99" s="87">
        <f>Model!$BF$256</f>
        <v>1</v>
      </c>
      <c r="W99" s="111"/>
      <c r="X99" s="126"/>
      <c r="Y99" s="109">
        <f t="shared" si="16"/>
        <v>0</v>
      </c>
      <c r="Z99" s="87"/>
      <c r="AA99" s="87"/>
      <c r="AB99" s="87"/>
      <c r="AC99" s="98" t="e">
        <f t="shared" si="22"/>
        <v>#REF!</v>
      </c>
      <c r="AD99" s="87">
        <f t="shared" si="23"/>
        <v>0</v>
      </c>
    </row>
    <row r="100" spans="3:30" x14ac:dyDescent="0.25">
      <c r="C100" s="128">
        <f>Model!$BF$14</f>
        <v>3004198</v>
      </c>
      <c r="D100" s="41">
        <f>Model!$BF$24</f>
        <v>0.38461538461538458</v>
      </c>
      <c r="E100" s="129">
        <f t="shared" si="17"/>
        <v>1155460.769230769</v>
      </c>
      <c r="F100" s="41">
        <f>Model!$BF$36</f>
        <v>1</v>
      </c>
      <c r="G100" s="129">
        <f t="shared" si="18"/>
        <v>1155460.769230769</v>
      </c>
      <c r="H100" s="86">
        <f>INDEX(Model!$BF$40:$BF$43,MATCH($J100,Model!$BE$40:$BE$43,0))</f>
        <v>0.719409242</v>
      </c>
      <c r="I100" s="107">
        <f t="shared" si="19"/>
        <v>831249.15615304443</v>
      </c>
      <c r="J100" s="87" t="s">
        <v>23</v>
      </c>
      <c r="K100" s="97">
        <f>INDEX(Model!$BF$44:$BF$47,MATCH($J100,Model!$BE$40:$BE$43,0))</f>
        <v>138.51662237471803</v>
      </c>
      <c r="L100" s="111">
        <f t="shared" ref="L100:L103" si="25">K100*I100</f>
        <v>115141825.46215427</v>
      </c>
      <c r="M100" s="97" t="e">
        <f>Model!#REF!</f>
        <v>#REF!</v>
      </c>
      <c r="N100" s="109" t="e">
        <f t="shared" si="24"/>
        <v>#REF!</v>
      </c>
      <c r="O100" s="97" t="s">
        <v>29</v>
      </c>
      <c r="P100" s="97">
        <f>INDEX(Model!$BF$61:$BF$220,MATCH($O100,Model!$BE$61:$BE$220,0)+MATCH(Model!$BC$219,Model!$BC$61:$BC$220,0)-1)</f>
        <v>0.51500000000000001</v>
      </c>
      <c r="Q100" s="111" t="e">
        <f t="shared" si="20"/>
        <v>#REF!</v>
      </c>
      <c r="R100" s="126" t="e">
        <f>Model!#REF!</f>
        <v>#REF!</v>
      </c>
      <c r="S100" s="109" t="e">
        <f t="shared" si="21"/>
        <v>#REF!</v>
      </c>
      <c r="T100" s="87" t="s">
        <v>33</v>
      </c>
      <c r="U100" s="87">
        <f>Model!$BF$287</f>
        <v>1</v>
      </c>
      <c r="V100" s="87"/>
      <c r="W100" s="111" t="e">
        <f>S100*U100</f>
        <v>#REF!</v>
      </c>
      <c r="X100" s="126" t="e">
        <f>Model!#REF!</f>
        <v>#REF!</v>
      </c>
      <c r="Y100" s="109" t="e">
        <f t="shared" si="16"/>
        <v>#REF!</v>
      </c>
      <c r="Z100" s="87" t="s">
        <v>54</v>
      </c>
      <c r="AA100" s="87">
        <f>Model!$BF$355</f>
        <v>0.52631578947368418</v>
      </c>
      <c r="AB100" s="87"/>
      <c r="AC100" s="98" t="e">
        <f t="shared" si="22"/>
        <v>#REF!</v>
      </c>
      <c r="AD100" s="87" t="e">
        <f t="shared" si="23"/>
        <v>#REF!</v>
      </c>
    </row>
    <row r="101" spans="3:30" x14ac:dyDescent="0.25">
      <c r="C101" s="128">
        <f>Model!$BF$14</f>
        <v>3004198</v>
      </c>
      <c r="D101" s="41">
        <f>Model!$BF$24</f>
        <v>0.38461538461538458</v>
      </c>
      <c r="E101" s="129">
        <f t="shared" si="17"/>
        <v>1155460.769230769</v>
      </c>
      <c r="F101" s="41">
        <f>Model!$BF$36</f>
        <v>1</v>
      </c>
      <c r="G101" s="129">
        <f t="shared" si="18"/>
        <v>1155460.769230769</v>
      </c>
      <c r="H101" s="86">
        <f>INDEX(Model!$BF$40:$BF$43,MATCH($J101,Model!$BE$40:$BE$43,0))</f>
        <v>0.719409242</v>
      </c>
      <c r="I101" s="107">
        <f t="shared" si="19"/>
        <v>831249.15615304443</v>
      </c>
      <c r="J101" s="87" t="s">
        <v>23</v>
      </c>
      <c r="K101" s="97">
        <f>INDEX(Model!$BF$44:$BF$47,MATCH($J101,Model!$BE$40:$BE$43,0))</f>
        <v>138.51662237471803</v>
      </c>
      <c r="L101" s="111">
        <f t="shared" si="25"/>
        <v>115141825.46215427</v>
      </c>
      <c r="M101" s="97" t="e">
        <f>Model!#REF!</f>
        <v>#REF!</v>
      </c>
      <c r="N101" s="109" t="e">
        <f t="shared" si="24"/>
        <v>#REF!</v>
      </c>
      <c r="O101" s="97" t="s">
        <v>29</v>
      </c>
      <c r="P101" s="97">
        <f>INDEX(Model!$BF$61:$BF$220,MATCH($O101,Model!$BE$61:$BE$220,0)+MATCH(Model!$BC$219,Model!$BC$61:$BC$220,0)-1)</f>
        <v>0.51500000000000001</v>
      </c>
      <c r="Q101" s="111" t="e">
        <f t="shared" si="20"/>
        <v>#REF!</v>
      </c>
      <c r="R101" s="126" t="e">
        <f>Model!#REF!</f>
        <v>#REF!</v>
      </c>
      <c r="S101" s="109" t="e">
        <f t="shared" si="21"/>
        <v>#REF!</v>
      </c>
      <c r="T101" s="87" t="s">
        <v>33</v>
      </c>
      <c r="U101" s="87">
        <f>Model!$BF$287</f>
        <v>1</v>
      </c>
      <c r="V101" s="87"/>
      <c r="W101" s="111" t="e">
        <f>S101*U101</f>
        <v>#REF!</v>
      </c>
      <c r="X101" s="126" t="e">
        <f>Model!#REF!</f>
        <v>#REF!</v>
      </c>
      <c r="Y101" s="109" t="e">
        <f t="shared" si="16"/>
        <v>#REF!</v>
      </c>
      <c r="Z101" s="87" t="s">
        <v>119</v>
      </c>
      <c r="AA101" s="87">
        <f>Model!$BF$386</f>
        <v>0.4</v>
      </c>
      <c r="AB101" s="87"/>
      <c r="AC101" s="98" t="e">
        <f t="shared" si="22"/>
        <v>#REF!</v>
      </c>
      <c r="AD101" s="87" t="e">
        <f t="shared" si="23"/>
        <v>#REF!</v>
      </c>
    </row>
    <row r="102" spans="3:30" x14ac:dyDescent="0.25">
      <c r="C102" s="128">
        <f>Model!$BF$14</f>
        <v>3004198</v>
      </c>
      <c r="D102" s="41">
        <f>Model!$BF$24</f>
        <v>0.38461538461538458</v>
      </c>
      <c r="E102" s="129">
        <f t="shared" si="17"/>
        <v>1155460.769230769</v>
      </c>
      <c r="F102" s="41">
        <f>Model!$BF$36</f>
        <v>1</v>
      </c>
      <c r="G102" s="129">
        <f t="shared" si="18"/>
        <v>1155460.769230769</v>
      </c>
      <c r="H102" s="86">
        <f>INDEX(Model!$BF$40:$BF$43,MATCH($J102,Model!$BE$40:$BE$43,0))</f>
        <v>0.719409242</v>
      </c>
      <c r="I102" s="107">
        <f t="shared" si="19"/>
        <v>831249.15615304443</v>
      </c>
      <c r="J102" s="87" t="s">
        <v>23</v>
      </c>
      <c r="K102" s="97">
        <f>INDEX(Model!$BF$44:$BF$47,MATCH($J102,Model!$BE$40:$BE$43,0))</f>
        <v>138.51662237471803</v>
      </c>
      <c r="L102" s="111">
        <f t="shared" si="25"/>
        <v>115141825.46215427</v>
      </c>
      <c r="M102" s="97" t="e">
        <f>Model!#REF!</f>
        <v>#REF!</v>
      </c>
      <c r="N102" s="109" t="e">
        <f t="shared" si="24"/>
        <v>#REF!</v>
      </c>
      <c r="O102" s="97" t="s">
        <v>29</v>
      </c>
      <c r="P102" s="97">
        <f>INDEX(Model!$BF$61:$BF$220,MATCH($O102,Model!$BE$61:$BE$220,0)+MATCH(Model!$BC$219,Model!$BC$61:$BC$220,0)-1)</f>
        <v>0.51500000000000001</v>
      </c>
      <c r="Q102" s="111" t="e">
        <f t="shared" si="20"/>
        <v>#REF!</v>
      </c>
      <c r="R102" s="126" t="e">
        <f>Model!#REF!</f>
        <v>#REF!</v>
      </c>
      <c r="S102" s="109" t="e">
        <f t="shared" si="21"/>
        <v>#REF!</v>
      </c>
      <c r="T102" s="87" t="s">
        <v>33</v>
      </c>
      <c r="U102" s="87">
        <f>Model!$BF$287</f>
        <v>1</v>
      </c>
      <c r="V102" s="87"/>
      <c r="W102" s="111" t="e">
        <f>S102*U102</f>
        <v>#REF!</v>
      </c>
      <c r="X102" s="126" t="e">
        <f>Model!#REF!</f>
        <v>#REF!</v>
      </c>
      <c r="Y102" s="109" t="e">
        <f t="shared" si="16"/>
        <v>#REF!</v>
      </c>
      <c r="Z102" s="87" t="s">
        <v>52</v>
      </c>
      <c r="AA102" s="87"/>
      <c r="AB102" s="87">
        <f>Model!$BF$324</f>
        <v>1.6129032258064517</v>
      </c>
      <c r="AC102" s="98" t="e">
        <f t="shared" si="22"/>
        <v>#REF!</v>
      </c>
      <c r="AD102" s="87" t="e">
        <f t="shared" si="23"/>
        <v>#REF!</v>
      </c>
    </row>
    <row r="103" spans="3:30" x14ac:dyDescent="0.25">
      <c r="C103" s="128">
        <f>Model!$BF$14</f>
        <v>3004198</v>
      </c>
      <c r="D103" s="41">
        <f>Model!$BF$24</f>
        <v>0.38461538461538458</v>
      </c>
      <c r="E103" s="129">
        <f t="shared" si="17"/>
        <v>1155460.769230769</v>
      </c>
      <c r="F103" s="41">
        <f>Model!$BF$36</f>
        <v>1</v>
      </c>
      <c r="G103" s="129">
        <f t="shared" si="18"/>
        <v>1155460.769230769</v>
      </c>
      <c r="H103" s="86">
        <f>INDEX(Model!$BF$40:$BF$43,MATCH($J103,Model!$BE$40:$BE$43,0))</f>
        <v>0.719409242</v>
      </c>
      <c r="I103" s="107">
        <f t="shared" si="19"/>
        <v>831249.15615304443</v>
      </c>
      <c r="J103" s="87" t="s">
        <v>23</v>
      </c>
      <c r="K103" s="97">
        <f>INDEX(Model!$BF$44:$BF$47,MATCH($J103,Model!$BE$40:$BE$43,0))</f>
        <v>138.51662237471803</v>
      </c>
      <c r="L103" s="111">
        <f t="shared" si="25"/>
        <v>115141825.46215427</v>
      </c>
      <c r="M103" s="97" t="e">
        <f>Model!#REF!</f>
        <v>#REF!</v>
      </c>
      <c r="N103" s="109" t="e">
        <f t="shared" si="24"/>
        <v>#REF!</v>
      </c>
      <c r="O103" s="97" t="s">
        <v>29</v>
      </c>
      <c r="P103" s="97">
        <f>INDEX(Model!$BF$61:$BF$220,MATCH($O103,Model!$BE$61:$BE$220,0)+MATCH(Model!$BC$219,Model!$BC$61:$BC$220,0)-1)</f>
        <v>0.51500000000000001</v>
      </c>
      <c r="Q103" s="111" t="e">
        <f t="shared" si="20"/>
        <v>#REF!</v>
      </c>
      <c r="R103" s="126" t="e">
        <f>Model!#REF!</f>
        <v>#REF!</v>
      </c>
      <c r="S103" s="109" t="e">
        <f t="shared" si="21"/>
        <v>#REF!</v>
      </c>
      <c r="T103" s="87" t="s">
        <v>33</v>
      </c>
      <c r="U103" s="87">
        <f>Model!$BF$287</f>
        <v>1</v>
      </c>
      <c r="V103" s="87"/>
      <c r="W103" s="111" t="e">
        <f>S103*U103</f>
        <v>#REF!</v>
      </c>
      <c r="X103" s="126" t="e">
        <f>Model!#REF!</f>
        <v>#REF!</v>
      </c>
      <c r="Y103" s="109" t="e">
        <f t="shared" si="16"/>
        <v>#REF!</v>
      </c>
      <c r="Z103" s="87" t="s">
        <v>53</v>
      </c>
      <c r="AA103" s="87"/>
      <c r="AB103" s="87">
        <f>Model!$BF$417</f>
        <v>1.1111111111111112</v>
      </c>
      <c r="AC103" s="98" t="e">
        <f t="shared" si="22"/>
        <v>#REF!</v>
      </c>
      <c r="AD103" s="87" t="e">
        <f t="shared" si="23"/>
        <v>#REF!</v>
      </c>
    </row>
  </sheetData>
  <sortState xmlns:xlrd2="http://schemas.microsoft.com/office/spreadsheetml/2017/richdata2" ref="O4:O25">
    <sortCondition ref="O25"/>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pane xSplit="2" ySplit="1" topLeftCell="C2" activePane="bottomRight" state="frozen"/>
      <selection activeCell="AC4" sqref="AC4:AC103"/>
      <selection pane="topRight" activeCell="AC4" sqref="AC4:AC103"/>
      <selection pane="bottomLeft" activeCell="AC4" sqref="AC4:AC103"/>
      <selection pane="bottomRight" activeCell="AC4" sqref="AC4:AC103"/>
    </sheetView>
  </sheetViews>
  <sheetFormatPr defaultRowHeight="15" x14ac:dyDescent="0.25"/>
  <cols>
    <col min="1" max="1" width="35.85546875" bestFit="1" customWidth="1"/>
    <col min="2" max="2" width="4.42578125" customWidth="1"/>
    <col min="3" max="3" width="11.7109375" style="92" bestFit="1" customWidth="1"/>
    <col min="4" max="4" width="12.140625" customWidth="1"/>
    <col min="5" max="5" width="11.7109375" style="92" bestFit="1" customWidth="1"/>
    <col min="6" max="6" width="10.140625" customWidth="1"/>
    <col min="7" max="7" width="11.7109375" style="92" bestFit="1" customWidth="1"/>
    <col min="8" max="8" width="11.85546875" style="82" bestFit="1" customWidth="1"/>
    <col min="9" max="9" width="10.140625" style="82" bestFit="1" customWidth="1"/>
    <col min="10" max="10" width="28.42578125" bestFit="1" customWidth="1"/>
    <col min="11" max="11" width="11.28515625" customWidth="1"/>
    <col min="12" max="12" width="13.85546875" style="92" bestFit="1" customWidth="1"/>
    <col min="13" max="13" width="17.5703125" style="82" customWidth="1"/>
    <col min="14" max="14" width="19.42578125" style="82" customWidth="1"/>
    <col min="15" max="15" width="13.85546875" style="82" customWidth="1"/>
    <col min="16" max="16" width="18.140625" style="82" customWidth="1"/>
    <col min="17" max="17" width="9.5703125" style="82" customWidth="1"/>
    <col min="18" max="18" width="2" bestFit="1" customWidth="1"/>
    <col min="19" max="19" width="16.42578125" bestFit="1" customWidth="1"/>
    <col min="20" max="20" width="13.42578125" style="92" bestFit="1" customWidth="1"/>
    <col min="21" max="21" width="17.42578125" style="82" customWidth="1"/>
    <col min="22" max="22" width="21.42578125" style="82" customWidth="1"/>
    <col min="23" max="23" width="13.28515625" bestFit="1" customWidth="1"/>
    <col min="24" max="24" width="17" customWidth="1"/>
    <col min="25" max="25" width="17.42578125" bestFit="1" customWidth="1"/>
    <col min="26" max="26" width="2" bestFit="1" customWidth="1"/>
    <col min="27" max="27" width="17.7109375" bestFit="1" customWidth="1"/>
    <col min="28" max="28" width="15.42578125" bestFit="1" customWidth="1"/>
    <col min="29" max="29" width="12.7109375" style="92" bestFit="1" customWidth="1"/>
    <col min="30" max="30" width="20.140625" style="82" customWidth="1"/>
    <col min="31" max="31" width="20.85546875" style="82" customWidth="1"/>
    <col min="32" max="32" width="13.28515625" bestFit="1" customWidth="1"/>
    <col min="33" max="33" width="21.42578125" customWidth="1"/>
    <col min="34" max="34" width="25.7109375" style="79" bestFit="1" customWidth="1"/>
    <col min="35" max="35" width="2" bestFit="1" customWidth="1"/>
    <col min="36" max="36" width="8.28515625" style="79" bestFit="1" customWidth="1"/>
    <col min="37" max="37" width="13.140625" bestFit="1" customWidth="1"/>
    <col min="38" max="38" width="12.7109375" style="92" bestFit="1" customWidth="1"/>
    <col min="39" max="39" width="13.140625" style="79" bestFit="1" customWidth="1"/>
    <col min="42" max="42" width="25.7109375" bestFit="1" customWidth="1"/>
    <col min="43" max="43" width="16.7109375" bestFit="1" customWidth="1"/>
    <col min="48" max="48" width="9.85546875" customWidth="1"/>
    <col min="49" max="49" width="10" customWidth="1"/>
  </cols>
  <sheetData>
    <row r="1" spans="1:51" s="134" customFormat="1" x14ac:dyDescent="0.25">
      <c r="C1" s="135" t="s">
        <v>5</v>
      </c>
      <c r="E1" s="135" t="s">
        <v>0</v>
      </c>
      <c r="G1" s="135" t="s">
        <v>110</v>
      </c>
      <c r="L1" s="135" t="s">
        <v>1</v>
      </c>
      <c r="M1" s="136"/>
      <c r="N1" s="136"/>
      <c r="O1" s="136"/>
      <c r="P1" s="136"/>
      <c r="Q1" s="136"/>
      <c r="T1" s="135" t="s">
        <v>71</v>
      </c>
      <c r="U1" s="136"/>
      <c r="V1" s="136"/>
      <c r="AC1" s="135" t="s">
        <v>33</v>
      </c>
      <c r="AD1" s="136"/>
      <c r="AE1" s="136"/>
      <c r="AH1" s="137"/>
      <c r="AJ1" s="137"/>
      <c r="AL1" s="135" t="s">
        <v>57</v>
      </c>
      <c r="AM1" s="137"/>
    </row>
    <row r="2" spans="1:51" s="138" customFormat="1" x14ac:dyDescent="0.25">
      <c r="C2" s="115" t="s">
        <v>155</v>
      </c>
      <c r="D2" s="116" t="s">
        <v>156</v>
      </c>
      <c r="E2" s="115" t="s">
        <v>155</v>
      </c>
      <c r="F2" s="118" t="s">
        <v>156</v>
      </c>
      <c r="G2" s="115" t="s">
        <v>155</v>
      </c>
      <c r="H2" s="118" t="s">
        <v>157</v>
      </c>
      <c r="I2" s="118" t="s">
        <v>155</v>
      </c>
      <c r="J2" s="116"/>
      <c r="K2" s="116" t="s">
        <v>156</v>
      </c>
      <c r="L2" s="115" t="s">
        <v>155</v>
      </c>
      <c r="M2" s="101" t="s">
        <v>178</v>
      </c>
      <c r="N2" s="101" t="s">
        <v>181</v>
      </c>
      <c r="O2" s="118" t="s">
        <v>157</v>
      </c>
      <c r="P2" s="118" t="s">
        <v>155</v>
      </c>
      <c r="Q2" s="117"/>
      <c r="R2" s="116"/>
      <c r="S2" s="118" t="s">
        <v>156</v>
      </c>
      <c r="T2" s="119" t="s">
        <v>155</v>
      </c>
      <c r="U2" s="101" t="s">
        <v>178</v>
      </c>
      <c r="V2" s="101" t="s">
        <v>181</v>
      </c>
      <c r="W2" s="118" t="s">
        <v>157</v>
      </c>
      <c r="X2" s="118" t="s">
        <v>155</v>
      </c>
      <c r="Y2" s="116"/>
      <c r="Z2" s="116"/>
      <c r="AA2" s="116" t="s">
        <v>156</v>
      </c>
      <c r="AB2" s="116" t="s">
        <v>156</v>
      </c>
      <c r="AC2" s="115" t="s">
        <v>155</v>
      </c>
      <c r="AD2" s="101" t="s">
        <v>178</v>
      </c>
      <c r="AE2" s="101" t="s">
        <v>181</v>
      </c>
      <c r="AF2" s="118" t="s">
        <v>157</v>
      </c>
      <c r="AG2" s="118" t="s">
        <v>155</v>
      </c>
      <c r="AH2" s="120"/>
      <c r="AI2" s="116"/>
      <c r="AJ2" s="120" t="s">
        <v>156</v>
      </c>
      <c r="AK2" s="116" t="s">
        <v>156</v>
      </c>
      <c r="AL2" s="115" t="s">
        <v>156</v>
      </c>
      <c r="AM2" s="120" t="s">
        <v>156</v>
      </c>
    </row>
    <row r="3" spans="1:51" s="131" customFormat="1" ht="75" x14ac:dyDescent="0.25">
      <c r="A3" s="132" t="s">
        <v>179</v>
      </c>
      <c r="C3" s="99" t="s">
        <v>43</v>
      </c>
      <c r="D3" s="100" t="s">
        <v>152</v>
      </c>
      <c r="E3" s="99" t="s">
        <v>83</v>
      </c>
      <c r="F3" s="100" t="s">
        <v>153</v>
      </c>
      <c r="G3" s="99" t="s">
        <v>154</v>
      </c>
      <c r="H3" s="101" t="s">
        <v>142</v>
      </c>
      <c r="I3" s="102" t="s">
        <v>86</v>
      </c>
      <c r="J3" s="100"/>
      <c r="K3" s="100" t="s">
        <v>175</v>
      </c>
      <c r="L3" s="99" t="s">
        <v>36</v>
      </c>
      <c r="M3" s="130" t="s">
        <v>183</v>
      </c>
      <c r="N3" s="130"/>
      <c r="O3" s="102" t="s">
        <v>143</v>
      </c>
      <c r="P3" s="130" t="s">
        <v>180</v>
      </c>
      <c r="Q3" s="101"/>
      <c r="R3" s="100"/>
      <c r="S3" s="102" t="s">
        <v>176</v>
      </c>
      <c r="T3" s="103" t="s">
        <v>34</v>
      </c>
      <c r="U3" s="130" t="s">
        <v>177</v>
      </c>
      <c r="V3" s="130"/>
      <c r="W3" s="102" t="s">
        <v>143</v>
      </c>
      <c r="X3" s="130" t="s">
        <v>180</v>
      </c>
      <c r="Y3" s="100"/>
      <c r="Z3" s="100"/>
      <c r="AA3" s="100" t="s">
        <v>161</v>
      </c>
      <c r="AB3" s="100" t="s">
        <v>162</v>
      </c>
      <c r="AC3" s="99" t="s">
        <v>34</v>
      </c>
      <c r="AD3" s="130" t="s">
        <v>177</v>
      </c>
      <c r="AE3" s="130"/>
      <c r="AF3" s="102" t="s">
        <v>143</v>
      </c>
      <c r="AG3" s="130" t="s">
        <v>180</v>
      </c>
      <c r="AH3" s="104"/>
      <c r="AI3" s="100"/>
      <c r="AJ3" s="104" t="s">
        <v>159</v>
      </c>
      <c r="AK3" s="100" t="s">
        <v>160</v>
      </c>
      <c r="AL3" s="99" t="s">
        <v>159</v>
      </c>
      <c r="AM3" s="104" t="s">
        <v>160</v>
      </c>
      <c r="AP3" s="140" t="s">
        <v>182</v>
      </c>
      <c r="AQ3" s="100" t="s">
        <v>158</v>
      </c>
      <c r="AR3" s="131" t="s">
        <v>35</v>
      </c>
      <c r="AS3" s="131" t="s">
        <v>170</v>
      </c>
      <c r="AT3" s="131" t="s">
        <v>41</v>
      </c>
      <c r="AU3" s="131" t="s">
        <v>171</v>
      </c>
      <c r="AV3" s="131" t="s">
        <v>172</v>
      </c>
      <c r="AW3" s="131" t="s">
        <v>173</v>
      </c>
      <c r="AX3" s="131" t="s">
        <v>174</v>
      </c>
    </row>
    <row r="4" spans="1:51" x14ac:dyDescent="0.25">
      <c r="A4" s="105" t="s">
        <v>168</v>
      </c>
      <c r="C4" s="128">
        <f>Model!$BG$14</f>
        <v>3321768</v>
      </c>
      <c r="D4" s="41">
        <f>Model!$BG$24</f>
        <v>0.38461538461538458</v>
      </c>
      <c r="E4" s="129">
        <f>D4*C4</f>
        <v>1277603.0769230768</v>
      </c>
      <c r="F4" s="41">
        <f>Model!$BG$36</f>
        <v>1</v>
      </c>
      <c r="G4" s="129">
        <f>F4*E4</f>
        <v>1277603.0769230768</v>
      </c>
      <c r="H4" s="86">
        <f>INDEX(Model!$BG$40:$BG$43,MATCH($J4,Model!$BE$40:$BE$43,0))</f>
        <v>0.13950000000000001</v>
      </c>
      <c r="I4" s="107">
        <f>G4*H4</f>
        <v>178225.62923076923</v>
      </c>
      <c r="J4" s="41" t="s">
        <v>25</v>
      </c>
      <c r="K4" s="86">
        <f>INDEX(Model!$BG$44:$BG$47,MATCH($J4,Model!$BE$40:$BE$43,0))</f>
        <v>88.687168672720716</v>
      </c>
      <c r="L4" s="106">
        <f t="shared" ref="L4:L35" si="0">K4*I4</f>
        <v>15806326.441391015</v>
      </c>
      <c r="M4" s="107" t="e">
        <f>'Example calcs 2000'!N4*0.95</f>
        <v>#REF!</v>
      </c>
      <c r="N4" s="107" t="e">
        <f>L4-SUMPRODUCT(M$4:M$103*($J$4:$J$103=$J4)*R$4:R$103)</f>
        <v>#REF!</v>
      </c>
      <c r="O4" s="107" t="str">
        <f>IFERROR(INDEX($AQ$4:$AQ$6,MATCH(Q4,$AP$4:$AP$6,0))/SUM($AQ$4:$AQ$6),"")</f>
        <v/>
      </c>
      <c r="P4" s="107" t="e">
        <f>IFERROR(N4*O4,0)+M4</f>
        <v>#REF!</v>
      </c>
      <c r="Q4" s="86" t="s">
        <v>31</v>
      </c>
      <c r="R4" s="39">
        <f>IF(Q4&lt;&gt;Q3,1,0)</f>
        <v>1</v>
      </c>
      <c r="S4" s="86">
        <f>INDEX(Model!$BG$61:$BG$220,MATCH($Q4,Model!$BE$61:$BE$220,0)+MATCH(Model!$BC$219,Model!$BC$61:$BC$220,0)-1)</f>
        <v>0.309</v>
      </c>
      <c r="T4" s="106" t="e">
        <f>P4*S4</f>
        <v>#REF!</v>
      </c>
      <c r="U4" s="107" t="e">
        <f>'Example calcs 2000'!S4*0.8</f>
        <v>#REF!</v>
      </c>
      <c r="V4" s="107" t="e">
        <f>T4-SUMPRODUCT(U$4:U$103*($J$4:$J$103=$J4)*($Q$4:$Q$103=$Q4)*Z$4:Z$103)</f>
        <v>#REF!</v>
      </c>
      <c r="W4" s="107" t="str">
        <f>IFERROR(INDEX($AQ$8:$AQ$9,MATCH(Y4,$AP$8:$AP$9,0))/SUM($AQ$8:$AQ$9),"")</f>
        <v/>
      </c>
      <c r="X4" s="107" t="e">
        <f t="shared" ref="X4:X67" si="1">IFERROR(V4*W4,0)+U4</f>
        <v>#REF!</v>
      </c>
      <c r="Y4" s="41" t="s">
        <v>32</v>
      </c>
      <c r="Z4" s="39">
        <f>IF(Y4&lt;&gt;Y3,1,0)</f>
        <v>1</v>
      </c>
      <c r="AA4" s="41"/>
      <c r="AB4" s="41">
        <f>Model!$BF$256</f>
        <v>1</v>
      </c>
      <c r="AC4" s="106"/>
      <c r="AD4" s="107">
        <f>'Example calcs 2000'!Y4*0.8</f>
        <v>0</v>
      </c>
      <c r="AE4" s="107" t="e">
        <f>AC4-SUMPRODUCT(AD$4:AD$103*($J$4:$J$103=$J4)*($Q$4:$Q$103=$Q4)*($Y$4:$Y$103=$Y4)*AI$4:AI$103)</f>
        <v>#REF!</v>
      </c>
      <c r="AF4" s="107" t="str">
        <f>IFERROR(INDEX($AQ$11:$AQ$13,MATCH(AH4,$AP$11:$AP$13,0))/SUM($AQ$11:$AQ$13),"")</f>
        <v/>
      </c>
      <c r="AG4" s="107">
        <f t="shared" ref="AG4:AG67" si="2">IFERROR(AE4*AF4,0)+AD4</f>
        <v>0</v>
      </c>
      <c r="AH4" s="87"/>
      <c r="AI4" s="39">
        <f>IF(AH4&lt;&gt;AH3,1,0)</f>
        <v>0</v>
      </c>
      <c r="AJ4" s="87"/>
      <c r="AK4" s="41"/>
      <c r="AL4" s="93" t="e">
        <f>AB4*X4+AJ4*AG4</f>
        <v>#REF!</v>
      </c>
      <c r="AM4" s="87">
        <f>AK4*AG4</f>
        <v>0</v>
      </c>
      <c r="AP4" s="1" t="s">
        <v>31</v>
      </c>
      <c r="AQ4" s="114" t="e">
        <f t="shared" ref="AQ4:AQ6" si="3">(AS4*AT4/(1-(1+AT4)^(-AU4))+SUM(AV4:AX4))^-AR4</f>
        <v>#REF!</v>
      </c>
      <c r="AR4">
        <f>Model!$BF$60</f>
        <v>10</v>
      </c>
      <c r="AS4" s="123">
        <f>Model!BG204</f>
        <v>18325</v>
      </c>
      <c r="AT4">
        <f>Model!BF194</f>
        <v>0.25</v>
      </c>
      <c r="AU4">
        <f>Model!BF192</f>
        <v>25</v>
      </c>
      <c r="AV4" s="123" t="e">
        <f>Model!#REF!</f>
        <v>#REF!</v>
      </c>
      <c r="AW4" s="123" t="e">
        <f>Model!#REF!</f>
        <v>#REF!</v>
      </c>
    </row>
    <row r="5" spans="1:51" x14ac:dyDescent="0.25">
      <c r="C5" s="142">
        <f>Model!$BG$14</f>
        <v>3321768</v>
      </c>
      <c r="D5" s="88">
        <f>Model!$BG$24</f>
        <v>0.38461538461538458</v>
      </c>
      <c r="E5" s="143">
        <f t="shared" ref="E5:E68" si="4">D5*C5</f>
        <v>1277603.0769230768</v>
      </c>
      <c r="F5" s="88">
        <f>Model!$BG$36</f>
        <v>1</v>
      </c>
      <c r="G5" s="143">
        <f t="shared" ref="G5:G68" si="5">F5*E5</f>
        <v>1277603.0769230768</v>
      </c>
      <c r="H5" s="89">
        <f>INDEX(Model!$BG$40:$BG$43,MATCH($J5,Model!$BE$40:$BE$43,0))</f>
        <v>0.13950000000000001</v>
      </c>
      <c r="I5" s="108">
        <f t="shared" ref="I5:I68" si="6">G5*H5</f>
        <v>178225.62923076923</v>
      </c>
      <c r="J5" s="88" t="s">
        <v>25</v>
      </c>
      <c r="K5" s="89">
        <f>INDEX(Model!$BG$44:$BG$47,MATCH($J5,Model!$BE$40:$BE$43,0))</f>
        <v>88.687168672720716</v>
      </c>
      <c r="L5" s="110">
        <f t="shared" si="0"/>
        <v>15806326.441391015</v>
      </c>
      <c r="M5" s="108" t="e">
        <f>'Example calcs 2000'!N5*0.95</f>
        <v>#REF!</v>
      </c>
      <c r="N5" s="108" t="e">
        <f t="shared" ref="N5:N68" si="7">L5-SUMPRODUCT(M$4:M$103*($J$4:$J$103=$J5)*R$4:R$103)</f>
        <v>#REF!</v>
      </c>
      <c r="O5" s="108" t="str">
        <f t="shared" ref="O5:O68" si="8">IFERROR(INDEX($AQ$4:$AQ$6,MATCH(Q5,$AP$4:$AP$6,0))/SUM($AQ$4:$AQ$6),"")</f>
        <v/>
      </c>
      <c r="P5" s="108" t="e">
        <f t="shared" ref="P5:P68" si="9">IFERROR(N5*O5,0)+M5</f>
        <v>#REF!</v>
      </c>
      <c r="Q5" s="89" t="s">
        <v>31</v>
      </c>
      <c r="R5" s="144">
        <f t="shared" ref="R5:R68" si="10">IF(Q5&lt;&gt;Q4,1,0)</f>
        <v>0</v>
      </c>
      <c r="S5" s="89">
        <f>INDEX(Model!$BG$61:$BG$220,MATCH($Q5,Model!$BE$61:$BE$220,0)+MATCH(Model!$BC$219,Model!$BC$61:$BC$220,0)-1)</f>
        <v>0.309</v>
      </c>
      <c r="T5" s="110" t="e">
        <f t="shared" ref="T5:T68" si="11">P5*S5</f>
        <v>#REF!</v>
      </c>
      <c r="U5" s="108" t="e">
        <f>'Example calcs 2000'!S5*0.8</f>
        <v>#REF!</v>
      </c>
      <c r="V5" s="108" t="e">
        <f t="shared" ref="V5:V68" si="12">T5-SUMPRODUCT(U$4:U$103*($J$4:$J$103=$J5)*($Q$4:$Q$103=$Q5)*Z$4:Z$103)</f>
        <v>#REF!</v>
      </c>
      <c r="W5" s="108" t="str">
        <f t="shared" ref="W5:W68" si="13">IFERROR(INDEX($AQ$8:$AQ$9,MATCH(Y5,$AP$8:$AP$9,0))/SUM($AQ$8:$AQ$9),"")</f>
        <v/>
      </c>
      <c r="X5" s="108" t="e">
        <f t="shared" si="1"/>
        <v>#REF!</v>
      </c>
      <c r="Y5" s="88" t="s">
        <v>33</v>
      </c>
      <c r="Z5" s="144">
        <f t="shared" ref="Z5:Z68" si="14">IF(Y5&lt;&gt;Y4,1,0)</f>
        <v>1</v>
      </c>
      <c r="AA5" s="88">
        <f>Model!$BF$287</f>
        <v>1</v>
      </c>
      <c r="AB5" s="88"/>
      <c r="AC5" s="110" t="e">
        <f>X5*AA5</f>
        <v>#REF!</v>
      </c>
      <c r="AD5" s="108" t="e">
        <f>'Example calcs 2000'!Y5*0.8</f>
        <v>#REF!</v>
      </c>
      <c r="AE5" s="108" t="e">
        <f t="shared" ref="AE5:AE68" si="15">AC5-SUMPRODUCT(AD$4:AD$103*($J$4:$J$103=$J5)*($Q$4:$Q$103=$Q5)*($Y$4:$Y$103=$Y5)*AI$4:AI$103)</f>
        <v>#REF!</v>
      </c>
      <c r="AF5" s="127"/>
      <c r="AG5" s="108" t="e">
        <f t="shared" si="2"/>
        <v>#REF!</v>
      </c>
      <c r="AH5" s="88" t="s">
        <v>54</v>
      </c>
      <c r="AI5" s="144">
        <f t="shared" ref="AI5:AI68" si="16">IF(AH5&lt;&gt;AH4,1,0)</f>
        <v>1</v>
      </c>
      <c r="AJ5" s="88">
        <f>Model!$BF$355</f>
        <v>0.52631578947368418</v>
      </c>
      <c r="AK5" s="88"/>
      <c r="AL5" s="94" t="e">
        <f t="shared" ref="AL5:AL68" si="17">AB5*X5+AJ5*AG5</f>
        <v>#REF!</v>
      </c>
      <c r="AM5" s="88" t="e">
        <f t="shared" ref="AM5:AM68" si="18">AK5*AG5</f>
        <v>#REF!</v>
      </c>
      <c r="AP5" s="1" t="s">
        <v>30</v>
      </c>
      <c r="AQ5" s="114" t="e">
        <f t="shared" si="3"/>
        <v>#REF!</v>
      </c>
      <c r="AR5">
        <f>Model!$BF$60</f>
        <v>10</v>
      </c>
      <c r="AS5" s="123">
        <f>Model!BG172</f>
        <v>10548</v>
      </c>
      <c r="AT5">
        <f>Model!BF162</f>
        <v>0.25</v>
      </c>
      <c r="AU5">
        <f>Model!BF160</f>
        <v>25</v>
      </c>
      <c r="AV5" s="123" t="e">
        <f>Model!#REF!</f>
        <v>#REF!</v>
      </c>
      <c r="AW5" s="123" t="e">
        <f>Model!#REF!</f>
        <v>#REF!</v>
      </c>
    </row>
    <row r="6" spans="1:51" x14ac:dyDescent="0.25">
      <c r="C6" s="128">
        <f>Model!$BG$14</f>
        <v>3321768</v>
      </c>
      <c r="D6" s="41">
        <f>Model!$BG$24</f>
        <v>0.38461538461538458</v>
      </c>
      <c r="E6" s="129">
        <f t="shared" si="4"/>
        <v>1277603.0769230768</v>
      </c>
      <c r="F6" s="41">
        <f>Model!$BG$36</f>
        <v>1</v>
      </c>
      <c r="G6" s="129">
        <f t="shared" si="5"/>
        <v>1277603.0769230768</v>
      </c>
      <c r="H6" s="86">
        <f>INDEX(Model!$BG$40:$BG$43,MATCH($J6,Model!$BE$40:$BE$43,0))</f>
        <v>0.13950000000000001</v>
      </c>
      <c r="I6" s="107">
        <f t="shared" si="6"/>
        <v>178225.62923076923</v>
      </c>
      <c r="J6" s="41" t="s">
        <v>25</v>
      </c>
      <c r="K6" s="86">
        <f>INDEX(Model!$BG$44:$BG$47,MATCH($J6,Model!$BE$40:$BE$43,0))</f>
        <v>88.687168672720716</v>
      </c>
      <c r="L6" s="106">
        <f t="shared" si="0"/>
        <v>15806326.441391015</v>
      </c>
      <c r="M6" s="107" t="e">
        <f>'Example calcs 2000'!N6*0.95</f>
        <v>#REF!</v>
      </c>
      <c r="N6" s="107" t="e">
        <f t="shared" si="7"/>
        <v>#REF!</v>
      </c>
      <c r="O6" s="107" t="str">
        <f t="shared" si="8"/>
        <v/>
      </c>
      <c r="P6" s="107" t="e">
        <f t="shared" si="9"/>
        <v>#REF!</v>
      </c>
      <c r="Q6" s="86" t="s">
        <v>31</v>
      </c>
      <c r="R6" s="39">
        <f t="shared" si="10"/>
        <v>0</v>
      </c>
      <c r="S6" s="86">
        <f>INDEX(Model!$BG$61:$BG$220,MATCH($Q6,Model!$BE$61:$BE$220,0)+MATCH(Model!$BC$219,Model!$BC$61:$BC$220,0)-1)</f>
        <v>0.309</v>
      </c>
      <c r="T6" s="106" t="e">
        <f t="shared" si="11"/>
        <v>#REF!</v>
      </c>
      <c r="U6" s="107" t="e">
        <f>'Example calcs 2000'!S6*0.8</f>
        <v>#REF!</v>
      </c>
      <c r="V6" s="107" t="e">
        <f t="shared" si="12"/>
        <v>#REF!</v>
      </c>
      <c r="W6" s="107" t="str">
        <f t="shared" si="13"/>
        <v/>
      </c>
      <c r="X6" s="107" t="e">
        <f t="shared" si="1"/>
        <v>#REF!</v>
      </c>
      <c r="Y6" s="41" t="s">
        <v>33</v>
      </c>
      <c r="Z6" s="39">
        <f t="shared" si="14"/>
        <v>0</v>
      </c>
      <c r="AA6" s="41">
        <f>Model!$BF$287</f>
        <v>1</v>
      </c>
      <c r="AB6" s="41"/>
      <c r="AC6" s="106" t="e">
        <f>X6*AA6</f>
        <v>#REF!</v>
      </c>
      <c r="AD6" s="107" t="e">
        <f>'Example calcs 2000'!Y6*0.8</f>
        <v>#REF!</v>
      </c>
      <c r="AE6" s="107" t="e">
        <f t="shared" si="15"/>
        <v>#REF!</v>
      </c>
      <c r="AF6" s="147" t="str">
        <f t="shared" ref="AF6" si="19">IFERROR(INDEX($AQ$12,MATCH(AH6,$AP$12,0))/SUM($AQ$12),"")</f>
        <v/>
      </c>
      <c r="AG6" s="107" t="e">
        <f t="shared" si="2"/>
        <v>#REF!</v>
      </c>
      <c r="AH6" s="87" t="s">
        <v>119</v>
      </c>
      <c r="AI6" s="39">
        <f t="shared" si="16"/>
        <v>1</v>
      </c>
      <c r="AJ6" s="87">
        <f>Model!$BF$386</f>
        <v>0.4</v>
      </c>
      <c r="AK6" s="41"/>
      <c r="AL6" s="93" t="e">
        <f t="shared" si="17"/>
        <v>#REF!</v>
      </c>
      <c r="AM6" s="87" t="e">
        <f t="shared" si="18"/>
        <v>#REF!</v>
      </c>
      <c r="AP6" s="1" t="s">
        <v>29</v>
      </c>
      <c r="AQ6" s="114" t="e">
        <f t="shared" si="3"/>
        <v>#REF!</v>
      </c>
      <c r="AR6">
        <f>Model!$BF$60</f>
        <v>10</v>
      </c>
      <c r="AS6" s="123">
        <f>Model!BG140</f>
        <v>2655</v>
      </c>
      <c r="AT6">
        <f>Model!BF130</f>
        <v>0.25</v>
      </c>
      <c r="AU6">
        <f>Model!BF128</f>
        <v>25</v>
      </c>
      <c r="AV6" s="123" t="e">
        <f>Model!#REF!</f>
        <v>#REF!</v>
      </c>
      <c r="AW6" s="123" t="e">
        <f>Model!#REF!</f>
        <v>#REF!</v>
      </c>
    </row>
    <row r="7" spans="1:51" x14ac:dyDescent="0.25">
      <c r="A7" s="112" t="s">
        <v>120</v>
      </c>
      <c r="C7" s="128">
        <f>Model!$BG$14</f>
        <v>3321768</v>
      </c>
      <c r="D7" s="41">
        <f>Model!$BG$24</f>
        <v>0.38461538461538458</v>
      </c>
      <c r="E7" s="129">
        <f t="shared" si="4"/>
        <v>1277603.0769230768</v>
      </c>
      <c r="F7" s="41">
        <f>Model!$BG$36</f>
        <v>1</v>
      </c>
      <c r="G7" s="129">
        <f t="shared" si="5"/>
        <v>1277603.0769230768</v>
      </c>
      <c r="H7" s="86">
        <f>INDEX(Model!$BG$40:$BG$43,MATCH($J7,Model!$BE$40:$BE$43,0))</f>
        <v>0.13950000000000001</v>
      </c>
      <c r="I7" s="107">
        <f t="shared" si="6"/>
        <v>178225.62923076923</v>
      </c>
      <c r="J7" s="41" t="s">
        <v>25</v>
      </c>
      <c r="K7" s="86">
        <f>INDEX(Model!$BG$44:$BG$47,MATCH($J7,Model!$BE$40:$BE$43,0))</f>
        <v>88.687168672720716</v>
      </c>
      <c r="L7" s="106">
        <f t="shared" si="0"/>
        <v>15806326.441391015</v>
      </c>
      <c r="M7" s="107" t="e">
        <f>'Example calcs 2000'!N7*0.95</f>
        <v>#REF!</v>
      </c>
      <c r="N7" s="107" t="e">
        <f t="shared" si="7"/>
        <v>#REF!</v>
      </c>
      <c r="O7" s="107" t="str">
        <f t="shared" si="8"/>
        <v/>
      </c>
      <c r="P7" s="107" t="e">
        <f t="shared" si="9"/>
        <v>#REF!</v>
      </c>
      <c r="Q7" s="86" t="s">
        <v>31</v>
      </c>
      <c r="R7" s="39">
        <f t="shared" si="10"/>
        <v>0</v>
      </c>
      <c r="S7" s="86">
        <f>INDEX(Model!$BG$61:$BG$220,MATCH($Q7,Model!$BE$61:$BE$220,0)+MATCH(Model!$BC$219,Model!$BC$61:$BC$220,0)-1)</f>
        <v>0.309</v>
      </c>
      <c r="T7" s="106" t="e">
        <f t="shared" si="11"/>
        <v>#REF!</v>
      </c>
      <c r="U7" s="107" t="e">
        <f>'Example calcs 2000'!S7*0.8</f>
        <v>#REF!</v>
      </c>
      <c r="V7" s="107" t="e">
        <f t="shared" si="12"/>
        <v>#REF!</v>
      </c>
      <c r="W7" s="107" t="str">
        <f t="shared" si="13"/>
        <v/>
      </c>
      <c r="X7" s="107" t="e">
        <f t="shared" si="1"/>
        <v>#REF!</v>
      </c>
      <c r="Y7" s="41" t="s">
        <v>33</v>
      </c>
      <c r="Z7" s="39">
        <f t="shared" si="14"/>
        <v>0</v>
      </c>
      <c r="AA7" s="41">
        <f>Model!$BF$287</f>
        <v>1</v>
      </c>
      <c r="AB7" s="41"/>
      <c r="AC7" s="106" t="e">
        <f>X7*AA7</f>
        <v>#REF!</v>
      </c>
      <c r="AD7" s="107" t="e">
        <f>'Example calcs 2000'!Y7*0.8</f>
        <v>#REF!</v>
      </c>
      <c r="AE7" s="107" t="e">
        <f t="shared" si="15"/>
        <v>#REF!</v>
      </c>
      <c r="AF7" s="147" t="str">
        <f>IFERROR(INDEX($AQ$12,MATCH(AH7,$AP$12,0))/SUM($AQ$12),"")</f>
        <v/>
      </c>
      <c r="AG7" s="107" t="e">
        <f t="shared" si="2"/>
        <v>#REF!</v>
      </c>
      <c r="AH7" s="87" t="s">
        <v>52</v>
      </c>
      <c r="AI7" s="39">
        <f t="shared" si="16"/>
        <v>1</v>
      </c>
      <c r="AJ7" s="87"/>
      <c r="AK7" s="41">
        <f>Model!$BF$324</f>
        <v>1.6129032258064517</v>
      </c>
      <c r="AL7" s="93" t="e">
        <f t="shared" si="17"/>
        <v>#REF!</v>
      </c>
      <c r="AM7" s="87" t="e">
        <f t="shared" si="18"/>
        <v>#REF!</v>
      </c>
      <c r="AP7" s="1"/>
      <c r="AQ7" s="114"/>
    </row>
    <row r="8" spans="1:51" x14ac:dyDescent="0.25">
      <c r="A8" s="78" t="s">
        <v>163</v>
      </c>
      <c r="C8" s="128">
        <f>Model!$BG$14</f>
        <v>3321768</v>
      </c>
      <c r="D8" s="41">
        <f>Model!$BG$24</f>
        <v>0.38461538461538458</v>
      </c>
      <c r="E8" s="129">
        <f t="shared" si="4"/>
        <v>1277603.0769230768</v>
      </c>
      <c r="F8" s="41">
        <f>Model!$BG$36</f>
        <v>1</v>
      </c>
      <c r="G8" s="129">
        <f t="shared" si="5"/>
        <v>1277603.0769230768</v>
      </c>
      <c r="H8" s="86">
        <f>INDEX(Model!$BG$40:$BG$43,MATCH($J8,Model!$BE$40:$BE$43,0))</f>
        <v>0.13950000000000001</v>
      </c>
      <c r="I8" s="107">
        <f t="shared" si="6"/>
        <v>178225.62923076923</v>
      </c>
      <c r="J8" s="41" t="s">
        <v>25</v>
      </c>
      <c r="K8" s="86">
        <f>INDEX(Model!$BG$44:$BG$47,MATCH($J8,Model!$BE$40:$BE$43,0))</f>
        <v>88.687168672720716</v>
      </c>
      <c r="L8" s="106">
        <f t="shared" si="0"/>
        <v>15806326.441391015</v>
      </c>
      <c r="M8" s="107" t="e">
        <f>'Example calcs 2000'!N8*0.95</f>
        <v>#REF!</v>
      </c>
      <c r="N8" s="107" t="e">
        <f t="shared" si="7"/>
        <v>#REF!</v>
      </c>
      <c r="O8" s="107" t="str">
        <f t="shared" si="8"/>
        <v/>
      </c>
      <c r="P8" s="107" t="e">
        <f t="shared" si="9"/>
        <v>#REF!</v>
      </c>
      <c r="Q8" s="86" t="s">
        <v>31</v>
      </c>
      <c r="R8" s="39">
        <f t="shared" si="10"/>
        <v>0</v>
      </c>
      <c r="S8" s="86">
        <f>INDEX(Model!$BG$61:$BG$220,MATCH($Q8,Model!$BE$61:$BE$220,0)+MATCH(Model!$BC$219,Model!$BC$61:$BC$220,0)-1)</f>
        <v>0.309</v>
      </c>
      <c r="T8" s="106" t="e">
        <f t="shared" si="11"/>
        <v>#REF!</v>
      </c>
      <c r="U8" s="107" t="e">
        <f>'Example calcs 2000'!S8*0.8</f>
        <v>#REF!</v>
      </c>
      <c r="V8" s="107" t="e">
        <f t="shared" si="12"/>
        <v>#REF!</v>
      </c>
      <c r="W8" s="107" t="str">
        <f t="shared" si="13"/>
        <v/>
      </c>
      <c r="X8" s="107" t="e">
        <f t="shared" si="1"/>
        <v>#REF!</v>
      </c>
      <c r="Y8" s="41" t="s">
        <v>33</v>
      </c>
      <c r="Z8" s="39">
        <f t="shared" si="14"/>
        <v>0</v>
      </c>
      <c r="AA8" s="41">
        <f>Model!$BF$287</f>
        <v>1</v>
      </c>
      <c r="AB8" s="41"/>
      <c r="AC8" s="106" t="e">
        <f>X8*AA8</f>
        <v>#REF!</v>
      </c>
      <c r="AD8" s="107" t="e">
        <f>'Example calcs 2000'!Y8*0.8</f>
        <v>#REF!</v>
      </c>
      <c r="AE8" s="107" t="e">
        <f t="shared" si="15"/>
        <v>#REF!</v>
      </c>
      <c r="AF8" s="147" t="str">
        <f t="shared" ref="AF8" si="20">IFERROR(INDEX($AQ$12,MATCH(AH8,$AP$12,0))/SUM($AQ$12),"")</f>
        <v/>
      </c>
      <c r="AG8" s="107" t="e">
        <f t="shared" si="2"/>
        <v>#REF!</v>
      </c>
      <c r="AH8" s="87" t="s">
        <v>53</v>
      </c>
      <c r="AI8" s="39">
        <f t="shared" si="16"/>
        <v>1</v>
      </c>
      <c r="AJ8" s="87"/>
      <c r="AK8" s="41">
        <f>Model!$BF$417</f>
        <v>1.1111111111111112</v>
      </c>
      <c r="AL8" s="93" t="e">
        <f t="shared" si="17"/>
        <v>#REF!</v>
      </c>
      <c r="AM8" s="87" t="e">
        <f t="shared" si="18"/>
        <v>#REF!</v>
      </c>
      <c r="AP8" s="1" t="s">
        <v>32</v>
      </c>
      <c r="AQ8" s="114" t="e">
        <f>(AS8*AT8/(1-(1+AT8)^(-AU8))+SUM(AV8:AX8))^-AR8</f>
        <v>#REF!</v>
      </c>
      <c r="AR8">
        <f>Model!$BF$225</f>
        <v>10</v>
      </c>
      <c r="AS8" s="123">
        <f>Model!BG241</f>
        <v>2655</v>
      </c>
      <c r="AT8">
        <f>Model!BF231</f>
        <v>0.25</v>
      </c>
      <c r="AU8">
        <f>Model!BF229</f>
        <v>25</v>
      </c>
      <c r="AV8" s="123" t="e">
        <f>Model!#REF!</f>
        <v>#REF!</v>
      </c>
      <c r="AW8" s="123" t="e">
        <f>Model!#REF!</f>
        <v>#REF!</v>
      </c>
      <c r="AX8" s="141" t="e">
        <f>Model!#REF!</f>
        <v>#REF!</v>
      </c>
      <c r="AY8" t="s">
        <v>184</v>
      </c>
    </row>
    <row r="9" spans="1:51" x14ac:dyDescent="0.25">
      <c r="C9" s="128">
        <f>Model!$BG$14</f>
        <v>3321768</v>
      </c>
      <c r="D9" s="41">
        <f>Model!$BG$24</f>
        <v>0.38461538461538458</v>
      </c>
      <c r="E9" s="129">
        <f t="shared" si="4"/>
        <v>1277603.0769230768</v>
      </c>
      <c r="F9" s="41">
        <f>Model!$BG$36</f>
        <v>1</v>
      </c>
      <c r="G9" s="129">
        <f t="shared" si="5"/>
        <v>1277603.0769230768</v>
      </c>
      <c r="H9" s="86">
        <f>INDEX(Model!$BG$40:$BG$43,MATCH($J9,Model!$BE$40:$BE$43,0))</f>
        <v>0.13950000000000001</v>
      </c>
      <c r="I9" s="107">
        <f t="shared" si="6"/>
        <v>178225.62923076923</v>
      </c>
      <c r="J9" s="41" t="s">
        <v>25</v>
      </c>
      <c r="K9" s="86">
        <f>INDEX(Model!$BG$44:$BG$47,MATCH($J9,Model!$BE$40:$BE$43,0))</f>
        <v>88.687168672720716</v>
      </c>
      <c r="L9" s="106">
        <f t="shared" si="0"/>
        <v>15806326.441391015</v>
      </c>
      <c r="M9" s="107">
        <f>'Example calcs 2000'!N9*0.95</f>
        <v>10850314.406839872</v>
      </c>
      <c r="N9" s="107" t="e">
        <f t="shared" si="7"/>
        <v>#REF!</v>
      </c>
      <c r="O9" s="107" t="str">
        <f t="shared" si="8"/>
        <v/>
      </c>
      <c r="P9" s="107">
        <f t="shared" si="9"/>
        <v>10850314.406839872</v>
      </c>
      <c r="Q9" s="86" t="s">
        <v>27</v>
      </c>
      <c r="R9" s="39">
        <f t="shared" si="10"/>
        <v>1</v>
      </c>
      <c r="S9" s="86">
        <f>INDEX(Model!$BG$61:$BG$220,MATCH($Q9,Model!$BE$61:$BE$220,0)+MATCH(Model!$BC$219,Model!$BC$61:$BC$220,0)-1)</f>
        <v>0.63300000000000001</v>
      </c>
      <c r="T9" s="106">
        <f t="shared" si="11"/>
        <v>6868249.0195296388</v>
      </c>
      <c r="U9" s="107" t="e">
        <f>'Example calcs 2000'!S9*0.8</f>
        <v>#REF!</v>
      </c>
      <c r="V9" s="107" t="e">
        <f t="shared" si="12"/>
        <v>#REF!</v>
      </c>
      <c r="W9" s="107" t="str">
        <f t="shared" si="13"/>
        <v/>
      </c>
      <c r="X9" s="107" t="e">
        <f t="shared" si="1"/>
        <v>#REF!</v>
      </c>
      <c r="Y9" s="41" t="s">
        <v>32</v>
      </c>
      <c r="Z9" s="39">
        <f t="shared" si="14"/>
        <v>1</v>
      </c>
      <c r="AA9" s="41"/>
      <c r="AB9" s="41">
        <f>Model!$BF$256</f>
        <v>1</v>
      </c>
      <c r="AC9" s="106"/>
      <c r="AD9" s="107">
        <f>'Example calcs 2000'!Y9*0.8</f>
        <v>0</v>
      </c>
      <c r="AE9" s="107" t="e">
        <f t="shared" si="15"/>
        <v>#REF!</v>
      </c>
      <c r="AF9" s="107" t="str">
        <f t="shared" ref="AF9:AF68" si="21">IFERROR(INDEX($AQ$11:$AQ$13,MATCH(AH9,$AP$11:$AP$13,0))/SUM($AQ$11:$AQ$13),"")</f>
        <v/>
      </c>
      <c r="AG9" s="107">
        <f t="shared" si="2"/>
        <v>0</v>
      </c>
      <c r="AH9" s="87"/>
      <c r="AI9" s="39">
        <f t="shared" si="16"/>
        <v>1</v>
      </c>
      <c r="AJ9" s="87"/>
      <c r="AK9" s="41"/>
      <c r="AL9" s="93" t="e">
        <f t="shared" si="17"/>
        <v>#REF!</v>
      </c>
      <c r="AM9" s="87">
        <f t="shared" si="18"/>
        <v>0</v>
      </c>
      <c r="AP9" s="1" t="s">
        <v>33</v>
      </c>
      <c r="AQ9" s="114" t="e">
        <f>Model!#REF!^-AR9</f>
        <v>#REF!</v>
      </c>
      <c r="AR9">
        <f>Model!$BF$225</f>
        <v>10</v>
      </c>
    </row>
    <row r="10" spans="1:51" x14ac:dyDescent="0.25">
      <c r="A10" s="113" t="s">
        <v>169</v>
      </c>
      <c r="C10" s="142">
        <f>Model!$BG$14</f>
        <v>3321768</v>
      </c>
      <c r="D10" s="88">
        <f>Model!$BG$24</f>
        <v>0.38461538461538458</v>
      </c>
      <c r="E10" s="143">
        <f t="shared" si="4"/>
        <v>1277603.0769230768</v>
      </c>
      <c r="F10" s="88">
        <f>Model!$BG$36</f>
        <v>1</v>
      </c>
      <c r="G10" s="143">
        <f t="shared" si="5"/>
        <v>1277603.0769230768</v>
      </c>
      <c r="H10" s="89">
        <f>INDEX(Model!$BG$40:$BG$43,MATCH($J10,Model!$BE$40:$BE$43,0))</f>
        <v>0.13950000000000001</v>
      </c>
      <c r="I10" s="108">
        <f t="shared" si="6"/>
        <v>178225.62923076923</v>
      </c>
      <c r="J10" s="88" t="s">
        <v>25</v>
      </c>
      <c r="K10" s="89">
        <f>INDEX(Model!$BG$44:$BG$47,MATCH($J10,Model!$BE$40:$BE$43,0))</f>
        <v>88.687168672720716</v>
      </c>
      <c r="L10" s="110">
        <f t="shared" si="0"/>
        <v>15806326.441391015</v>
      </c>
      <c r="M10" s="108">
        <f>'Example calcs 2000'!N10*0.95</f>
        <v>10850314.406839872</v>
      </c>
      <c r="N10" s="108" t="e">
        <f t="shared" si="7"/>
        <v>#REF!</v>
      </c>
      <c r="O10" s="108" t="str">
        <f t="shared" si="8"/>
        <v/>
      </c>
      <c r="P10" s="108">
        <f t="shared" si="9"/>
        <v>10850314.406839872</v>
      </c>
      <c r="Q10" s="89" t="s">
        <v>27</v>
      </c>
      <c r="R10" s="144">
        <f t="shared" si="10"/>
        <v>0</v>
      </c>
      <c r="S10" s="89">
        <f>INDEX(Model!$BG$61:$BG$220,MATCH($Q10,Model!$BE$61:$BE$220,0)+MATCH(Model!$BC$219,Model!$BC$61:$BC$220,0)-1)</f>
        <v>0.63300000000000001</v>
      </c>
      <c r="T10" s="110">
        <f t="shared" si="11"/>
        <v>6868249.0195296388</v>
      </c>
      <c r="U10" s="108" t="e">
        <f>'Example calcs 2000'!S10*0.8</f>
        <v>#REF!</v>
      </c>
      <c r="V10" s="108" t="e">
        <f t="shared" si="12"/>
        <v>#REF!</v>
      </c>
      <c r="W10" s="108" t="str">
        <f t="shared" si="13"/>
        <v/>
      </c>
      <c r="X10" s="108" t="e">
        <f t="shared" si="1"/>
        <v>#REF!</v>
      </c>
      <c r="Y10" s="88" t="s">
        <v>33</v>
      </c>
      <c r="Z10" s="144">
        <f t="shared" si="14"/>
        <v>1</v>
      </c>
      <c r="AA10" s="88">
        <f>Model!$BF$287</f>
        <v>1</v>
      </c>
      <c r="AB10" s="88"/>
      <c r="AC10" s="110" t="e">
        <f>X10*AA10</f>
        <v>#REF!</v>
      </c>
      <c r="AD10" s="108" t="e">
        <f>'Example calcs 2000'!Y10*0.8</f>
        <v>#REF!</v>
      </c>
      <c r="AE10" s="108" t="e">
        <f t="shared" si="15"/>
        <v>#REF!</v>
      </c>
      <c r="AF10" s="127"/>
      <c r="AG10" s="108" t="e">
        <f t="shared" si="2"/>
        <v>#REF!</v>
      </c>
      <c r="AH10" s="88" t="s">
        <v>54</v>
      </c>
      <c r="AI10" s="144">
        <f t="shared" si="16"/>
        <v>1</v>
      </c>
      <c r="AJ10" s="88">
        <f>Model!$BF$355</f>
        <v>0.52631578947368418</v>
      </c>
      <c r="AK10" s="88"/>
      <c r="AL10" s="94" t="e">
        <f t="shared" si="17"/>
        <v>#REF!</v>
      </c>
      <c r="AM10" s="88" t="e">
        <f t="shared" si="18"/>
        <v>#REF!</v>
      </c>
      <c r="AP10" s="1"/>
      <c r="AQ10" s="114"/>
    </row>
    <row r="11" spans="1:51" x14ac:dyDescent="0.25">
      <c r="A11" s="146" t="s">
        <v>201</v>
      </c>
      <c r="C11" s="128">
        <f>Model!$BG$14</f>
        <v>3321768</v>
      </c>
      <c r="D11" s="41">
        <f>Model!$BG$24</f>
        <v>0.38461538461538458</v>
      </c>
      <c r="E11" s="129">
        <f t="shared" si="4"/>
        <v>1277603.0769230768</v>
      </c>
      <c r="F11" s="41">
        <f>Model!$BG$36</f>
        <v>1</v>
      </c>
      <c r="G11" s="129">
        <f t="shared" si="5"/>
        <v>1277603.0769230768</v>
      </c>
      <c r="H11" s="86">
        <f>INDEX(Model!$BG$40:$BG$43,MATCH($J11,Model!$BE$40:$BE$43,0))</f>
        <v>0.13950000000000001</v>
      </c>
      <c r="I11" s="107">
        <f t="shared" si="6"/>
        <v>178225.62923076923</v>
      </c>
      <c r="J11" s="41" t="s">
        <v>25</v>
      </c>
      <c r="K11" s="86">
        <f>INDEX(Model!$BG$44:$BG$47,MATCH($J11,Model!$BE$40:$BE$43,0))</f>
        <v>88.687168672720716</v>
      </c>
      <c r="L11" s="106">
        <f t="shared" si="0"/>
        <v>15806326.441391015</v>
      </c>
      <c r="M11" s="107">
        <f>'Example calcs 2000'!N11*0.95</f>
        <v>10850314.406839872</v>
      </c>
      <c r="N11" s="107" t="e">
        <f t="shared" si="7"/>
        <v>#REF!</v>
      </c>
      <c r="O11" s="107" t="str">
        <f t="shared" si="8"/>
        <v/>
      </c>
      <c r="P11" s="107">
        <f t="shared" si="9"/>
        <v>10850314.406839872</v>
      </c>
      <c r="Q11" s="86" t="s">
        <v>27</v>
      </c>
      <c r="R11" s="39">
        <f t="shared" si="10"/>
        <v>0</v>
      </c>
      <c r="S11" s="86">
        <f>INDEX(Model!$BG$61:$BG$220,MATCH($Q11,Model!$BE$61:$BE$220,0)+MATCH(Model!$BC$219,Model!$BC$61:$BC$220,0)-1)</f>
        <v>0.63300000000000001</v>
      </c>
      <c r="T11" s="106">
        <f t="shared" si="11"/>
        <v>6868249.0195296388</v>
      </c>
      <c r="U11" s="107" t="e">
        <f>'Example calcs 2000'!S11*0.8</f>
        <v>#REF!</v>
      </c>
      <c r="V11" s="107" t="e">
        <f t="shared" si="12"/>
        <v>#REF!</v>
      </c>
      <c r="W11" s="107" t="str">
        <f t="shared" si="13"/>
        <v/>
      </c>
      <c r="X11" s="107" t="e">
        <f t="shared" si="1"/>
        <v>#REF!</v>
      </c>
      <c r="Y11" s="41" t="s">
        <v>33</v>
      </c>
      <c r="Z11" s="39">
        <f t="shared" si="14"/>
        <v>0</v>
      </c>
      <c r="AA11" s="41">
        <f>Model!$BF$287</f>
        <v>1</v>
      </c>
      <c r="AB11" s="41"/>
      <c r="AC11" s="106" t="e">
        <f>X11*AA11</f>
        <v>#REF!</v>
      </c>
      <c r="AD11" s="107" t="e">
        <f>'Example calcs 2000'!Y11*0.8</f>
        <v>#REF!</v>
      </c>
      <c r="AE11" s="107" t="e">
        <f t="shared" si="15"/>
        <v>#REF!</v>
      </c>
      <c r="AF11" s="147" t="str">
        <f t="shared" ref="AF11" si="22">IFERROR(INDEX($AQ$12,MATCH(AH11,$AP$12,0))/SUM($AQ$12),"")</f>
        <v/>
      </c>
      <c r="AG11" s="107" t="e">
        <f t="shared" si="2"/>
        <v>#REF!</v>
      </c>
      <c r="AH11" s="87" t="s">
        <v>119</v>
      </c>
      <c r="AI11" s="39">
        <f t="shared" si="16"/>
        <v>1</v>
      </c>
      <c r="AJ11" s="87">
        <f>Model!$BF$386</f>
        <v>0.4</v>
      </c>
      <c r="AK11" s="88"/>
      <c r="AL11" s="93" t="e">
        <f t="shared" si="17"/>
        <v>#REF!</v>
      </c>
      <c r="AM11" s="87" t="e">
        <f t="shared" si="18"/>
        <v>#REF!</v>
      </c>
      <c r="AP11" s="1" t="s">
        <v>119</v>
      </c>
      <c r="AQ11" s="114" t="e">
        <f>(AS11*AT11/(1-(1+AT11)^(-AU11))+SUM(AV11:AX11))^-AR11</f>
        <v>#REF!</v>
      </c>
      <c r="AR11">
        <f>Model!$BF$292</f>
        <v>10</v>
      </c>
      <c r="AS11" s="123">
        <f>Model!BG371</f>
        <v>15521</v>
      </c>
      <c r="AT11">
        <f>Model!BF361</f>
        <v>0.25</v>
      </c>
      <c r="AU11">
        <f>Model!BF359</f>
        <v>50</v>
      </c>
      <c r="AV11" s="123" t="e">
        <f>Model!#REF!</f>
        <v>#REF!</v>
      </c>
      <c r="AW11" s="123" t="e">
        <f>Model!#REF!</f>
        <v>#REF!</v>
      </c>
      <c r="AX11" s="141" t="e">
        <f>Model!#REF!</f>
        <v>#REF!</v>
      </c>
      <c r="AY11" t="s">
        <v>184</v>
      </c>
    </row>
    <row r="12" spans="1:51" x14ac:dyDescent="0.25">
      <c r="C12" s="128">
        <f>Model!$BG$14</f>
        <v>3321768</v>
      </c>
      <c r="D12" s="41">
        <f>Model!$BG$24</f>
        <v>0.38461538461538458</v>
      </c>
      <c r="E12" s="129">
        <f t="shared" si="4"/>
        <v>1277603.0769230768</v>
      </c>
      <c r="F12" s="41">
        <f>Model!$BG$36</f>
        <v>1</v>
      </c>
      <c r="G12" s="129">
        <f t="shared" si="5"/>
        <v>1277603.0769230768</v>
      </c>
      <c r="H12" s="86">
        <f>INDEX(Model!$BG$40:$BG$43,MATCH($J12,Model!$BE$40:$BE$43,0))</f>
        <v>0.13950000000000001</v>
      </c>
      <c r="I12" s="107">
        <f t="shared" si="6"/>
        <v>178225.62923076923</v>
      </c>
      <c r="J12" s="41" t="s">
        <v>25</v>
      </c>
      <c r="K12" s="86">
        <f>INDEX(Model!$BG$44:$BG$47,MATCH($J12,Model!$BE$40:$BE$43,0))</f>
        <v>88.687168672720716</v>
      </c>
      <c r="L12" s="106">
        <f t="shared" si="0"/>
        <v>15806326.441391015</v>
      </c>
      <c r="M12" s="107">
        <f>'Example calcs 2000'!N12*0.95</f>
        <v>10850314.406839872</v>
      </c>
      <c r="N12" s="107" t="e">
        <f t="shared" si="7"/>
        <v>#REF!</v>
      </c>
      <c r="O12" s="107" t="str">
        <f t="shared" si="8"/>
        <v/>
      </c>
      <c r="P12" s="107">
        <f t="shared" si="9"/>
        <v>10850314.406839872</v>
      </c>
      <c r="Q12" s="86" t="s">
        <v>27</v>
      </c>
      <c r="R12" s="39">
        <f t="shared" si="10"/>
        <v>0</v>
      </c>
      <c r="S12" s="86">
        <f>INDEX(Model!$BG$61:$BG$220,MATCH($Q12,Model!$BE$61:$BE$220,0)+MATCH(Model!$BC$219,Model!$BC$61:$BC$220,0)-1)</f>
        <v>0.63300000000000001</v>
      </c>
      <c r="T12" s="106">
        <f t="shared" si="11"/>
        <v>6868249.0195296388</v>
      </c>
      <c r="U12" s="107" t="e">
        <f>'Example calcs 2000'!S12*0.8</f>
        <v>#REF!</v>
      </c>
      <c r="V12" s="107" t="e">
        <f t="shared" si="12"/>
        <v>#REF!</v>
      </c>
      <c r="W12" s="107" t="str">
        <f t="shared" si="13"/>
        <v/>
      </c>
      <c r="X12" s="107" t="e">
        <f t="shared" si="1"/>
        <v>#REF!</v>
      </c>
      <c r="Y12" s="41" t="s">
        <v>33</v>
      </c>
      <c r="Z12" s="39">
        <f t="shared" si="14"/>
        <v>0</v>
      </c>
      <c r="AA12" s="41">
        <f>Model!$BF$287</f>
        <v>1</v>
      </c>
      <c r="AB12" s="41"/>
      <c r="AC12" s="106" t="e">
        <f>X12*AA12</f>
        <v>#REF!</v>
      </c>
      <c r="AD12" s="107" t="e">
        <f>'Example calcs 2000'!Y12*0.8</f>
        <v>#REF!</v>
      </c>
      <c r="AE12" s="107" t="e">
        <f t="shared" si="15"/>
        <v>#REF!</v>
      </c>
      <c r="AF12" s="147" t="str">
        <f>IFERROR(INDEX($AQ$12,MATCH(AH12,$AP$12,0))/SUM($AQ$12),"")</f>
        <v/>
      </c>
      <c r="AG12" s="107" t="e">
        <f t="shared" si="2"/>
        <v>#REF!</v>
      </c>
      <c r="AH12" s="87" t="s">
        <v>52</v>
      </c>
      <c r="AI12" s="39">
        <f t="shared" si="16"/>
        <v>1</v>
      </c>
      <c r="AJ12" s="87"/>
      <c r="AK12" s="41">
        <f>Model!$BF$324</f>
        <v>1.6129032258064517</v>
      </c>
      <c r="AL12" s="93" t="e">
        <f t="shared" si="17"/>
        <v>#REF!</v>
      </c>
      <c r="AM12" s="87" t="e">
        <f t="shared" si="18"/>
        <v>#REF!</v>
      </c>
      <c r="AP12" s="1" t="s">
        <v>53</v>
      </c>
      <c r="AQ12" s="114" t="e">
        <f>(AS12*AT12/(1-(1+AT12)^(-AU12))+SUM(AV12:AX12))^-AR12</f>
        <v>#REF!</v>
      </c>
      <c r="AR12">
        <f>Model!$BF$292</f>
        <v>10</v>
      </c>
      <c r="AS12" s="123">
        <f>Model!BG402</f>
        <v>3565</v>
      </c>
      <c r="AT12">
        <f>Model!BF392</f>
        <v>0.25</v>
      </c>
      <c r="AU12">
        <f>Model!BF390</f>
        <v>18</v>
      </c>
      <c r="AV12" s="123" t="e">
        <f>Model!#REF!</f>
        <v>#REF!</v>
      </c>
      <c r="AW12" s="123" t="e">
        <f>Model!#REF!</f>
        <v>#REF!</v>
      </c>
      <c r="AX12" s="141" t="e">
        <f>Model!#REF!</f>
        <v>#REF!</v>
      </c>
      <c r="AY12" t="s">
        <v>184</v>
      </c>
    </row>
    <row r="13" spans="1:51" x14ac:dyDescent="0.25">
      <c r="C13" s="128">
        <f>Model!$BG$14</f>
        <v>3321768</v>
      </c>
      <c r="D13" s="41">
        <f>Model!$BG$24</f>
        <v>0.38461538461538458</v>
      </c>
      <c r="E13" s="129">
        <f t="shared" si="4"/>
        <v>1277603.0769230768</v>
      </c>
      <c r="F13" s="41">
        <f>Model!$BG$36</f>
        <v>1</v>
      </c>
      <c r="G13" s="129">
        <f t="shared" si="5"/>
        <v>1277603.0769230768</v>
      </c>
      <c r="H13" s="86">
        <f>INDEX(Model!$BG$40:$BG$43,MATCH($J13,Model!$BE$40:$BE$43,0))</f>
        <v>0.13950000000000001</v>
      </c>
      <c r="I13" s="107">
        <f t="shared" si="6"/>
        <v>178225.62923076923</v>
      </c>
      <c r="J13" s="41" t="s">
        <v>25</v>
      </c>
      <c r="K13" s="86">
        <f>INDEX(Model!$BG$44:$BG$47,MATCH($J13,Model!$BE$40:$BE$43,0))</f>
        <v>88.687168672720716</v>
      </c>
      <c r="L13" s="106">
        <f t="shared" si="0"/>
        <v>15806326.441391015</v>
      </c>
      <c r="M13" s="107">
        <f>'Example calcs 2000'!N13*0.95</f>
        <v>10850314.406839872</v>
      </c>
      <c r="N13" s="107" t="e">
        <f t="shared" si="7"/>
        <v>#REF!</v>
      </c>
      <c r="O13" s="107" t="str">
        <f t="shared" si="8"/>
        <v/>
      </c>
      <c r="P13" s="107">
        <f t="shared" si="9"/>
        <v>10850314.406839872</v>
      </c>
      <c r="Q13" s="86" t="s">
        <v>27</v>
      </c>
      <c r="R13" s="39">
        <f t="shared" si="10"/>
        <v>0</v>
      </c>
      <c r="S13" s="86">
        <f>INDEX(Model!$BG$61:$BG$220,MATCH($Q13,Model!$BE$61:$BE$220,0)+MATCH(Model!$BC$219,Model!$BC$61:$BC$220,0)-1)</f>
        <v>0.63300000000000001</v>
      </c>
      <c r="T13" s="106">
        <f t="shared" si="11"/>
        <v>6868249.0195296388</v>
      </c>
      <c r="U13" s="107" t="e">
        <f>'Example calcs 2000'!S13*0.8</f>
        <v>#REF!</v>
      </c>
      <c r="V13" s="107" t="e">
        <f t="shared" si="12"/>
        <v>#REF!</v>
      </c>
      <c r="W13" s="107" t="str">
        <f t="shared" si="13"/>
        <v/>
      </c>
      <c r="X13" s="107" t="e">
        <f t="shared" si="1"/>
        <v>#REF!</v>
      </c>
      <c r="Y13" s="41" t="s">
        <v>33</v>
      </c>
      <c r="Z13" s="39">
        <f t="shared" si="14"/>
        <v>0</v>
      </c>
      <c r="AA13" s="41">
        <f>Model!$BF$287</f>
        <v>1</v>
      </c>
      <c r="AB13" s="41"/>
      <c r="AC13" s="106" t="e">
        <f>X13*AA13</f>
        <v>#REF!</v>
      </c>
      <c r="AD13" s="107" t="e">
        <f>'Example calcs 2000'!Y13*0.8</f>
        <v>#REF!</v>
      </c>
      <c r="AE13" s="107" t="e">
        <f t="shared" si="15"/>
        <v>#REF!</v>
      </c>
      <c r="AF13" s="147" t="str">
        <f t="shared" ref="AF13" si="23">IFERROR(INDEX($AQ$12,MATCH(AH13,$AP$12,0))/SUM($AQ$12),"")</f>
        <v/>
      </c>
      <c r="AG13" s="107" t="e">
        <f t="shared" si="2"/>
        <v>#REF!</v>
      </c>
      <c r="AH13" s="87" t="s">
        <v>53</v>
      </c>
      <c r="AI13" s="39">
        <f t="shared" si="16"/>
        <v>1</v>
      </c>
      <c r="AJ13" s="87"/>
      <c r="AK13" s="41">
        <f>Model!$BF$417</f>
        <v>1.1111111111111112</v>
      </c>
      <c r="AL13" s="93" t="e">
        <f t="shared" si="17"/>
        <v>#REF!</v>
      </c>
      <c r="AM13" s="87" t="e">
        <f t="shared" si="18"/>
        <v>#REF!</v>
      </c>
      <c r="AP13" s="1" t="s">
        <v>54</v>
      </c>
      <c r="AQ13" s="114" t="e">
        <f t="shared" ref="AQ13" si="24">(AS13*AT13/(1-(1+AT13)^(-AU13))+SUM(AV13:AX13))^-AR13</f>
        <v>#REF!</v>
      </c>
      <c r="AR13">
        <f>Model!$BF$292</f>
        <v>10</v>
      </c>
      <c r="AS13" s="123">
        <f>Model!BG340</f>
        <v>4641.7</v>
      </c>
      <c r="AT13">
        <f>Model!BF330</f>
        <v>0.25</v>
      </c>
      <c r="AU13">
        <f>Model!BF328</f>
        <v>12</v>
      </c>
      <c r="AV13" s="123" t="e">
        <f>Model!#REF!</f>
        <v>#REF!</v>
      </c>
      <c r="AW13" s="123" t="e">
        <f>Model!#REF!</f>
        <v>#REF!</v>
      </c>
      <c r="AX13" s="141" t="e">
        <f>Model!#REF!</f>
        <v>#REF!</v>
      </c>
      <c r="AY13" t="s">
        <v>184</v>
      </c>
    </row>
    <row r="14" spans="1:51" x14ac:dyDescent="0.25">
      <c r="C14" s="128">
        <f>Model!$BG$14</f>
        <v>3321768</v>
      </c>
      <c r="D14" s="41">
        <f>Model!$BG$24</f>
        <v>0.38461538461538458</v>
      </c>
      <c r="E14" s="129">
        <f t="shared" si="4"/>
        <v>1277603.0769230768</v>
      </c>
      <c r="F14" s="41">
        <f>Model!$BG$36</f>
        <v>1</v>
      </c>
      <c r="G14" s="129">
        <f t="shared" si="5"/>
        <v>1277603.0769230768</v>
      </c>
      <c r="H14" s="86">
        <f>INDEX(Model!$BG$40:$BG$43,MATCH($J14,Model!$BE$40:$BE$43,0))</f>
        <v>0.13950000000000001</v>
      </c>
      <c r="I14" s="107">
        <f t="shared" si="6"/>
        <v>178225.62923076923</v>
      </c>
      <c r="J14" s="41" t="s">
        <v>25</v>
      </c>
      <c r="K14" s="86">
        <f>INDEX(Model!$BG$44:$BG$47,MATCH($J14,Model!$BE$40:$BE$43,0))</f>
        <v>88.687168672720716</v>
      </c>
      <c r="L14" s="106">
        <f t="shared" si="0"/>
        <v>15806326.441391015</v>
      </c>
      <c r="M14" s="107" t="e">
        <f>'Example calcs 2000'!N14*0.95</f>
        <v>#REF!</v>
      </c>
      <c r="N14" s="107" t="e">
        <f t="shared" si="7"/>
        <v>#REF!</v>
      </c>
      <c r="O14" s="107" t="str">
        <f t="shared" si="8"/>
        <v/>
      </c>
      <c r="P14" s="107" t="e">
        <f t="shared" si="9"/>
        <v>#REF!</v>
      </c>
      <c r="Q14" s="86" t="s">
        <v>28</v>
      </c>
      <c r="R14" s="39">
        <f t="shared" si="10"/>
        <v>1</v>
      </c>
      <c r="S14" s="86">
        <f>INDEX(Model!$BG$61:$BG$220,MATCH($Q14,Model!$BE$61:$BE$220,0)+MATCH(Model!$BC$219,Model!$BC$61:$BC$220,0)-1)</f>
        <v>0.997</v>
      </c>
      <c r="T14" s="106" t="e">
        <f t="shared" si="11"/>
        <v>#REF!</v>
      </c>
      <c r="U14" s="107" t="e">
        <f>'Example calcs 2000'!S14*0.8</f>
        <v>#REF!</v>
      </c>
      <c r="V14" s="107" t="e">
        <f t="shared" si="12"/>
        <v>#REF!</v>
      </c>
      <c r="W14" s="107" t="str">
        <f t="shared" si="13"/>
        <v/>
      </c>
      <c r="X14" s="107" t="e">
        <f t="shared" si="1"/>
        <v>#REF!</v>
      </c>
      <c r="Y14" s="41" t="s">
        <v>32</v>
      </c>
      <c r="Z14" s="39">
        <f t="shared" si="14"/>
        <v>1</v>
      </c>
      <c r="AA14" s="41"/>
      <c r="AB14" s="41">
        <f>Model!$BF$256</f>
        <v>1</v>
      </c>
      <c r="AC14" s="106"/>
      <c r="AD14" s="107">
        <f>'Example calcs 2000'!Y14*0.8</f>
        <v>0</v>
      </c>
      <c r="AE14" s="107" t="e">
        <f t="shared" si="15"/>
        <v>#REF!</v>
      </c>
      <c r="AF14" s="107" t="str">
        <f t="shared" si="21"/>
        <v/>
      </c>
      <c r="AG14" s="107">
        <f t="shared" si="2"/>
        <v>0</v>
      </c>
      <c r="AH14" s="87"/>
      <c r="AI14" s="39">
        <f t="shared" si="16"/>
        <v>1</v>
      </c>
      <c r="AJ14" s="87"/>
      <c r="AK14" s="41"/>
      <c r="AL14" s="93" t="e">
        <f t="shared" si="17"/>
        <v>#REF!</v>
      </c>
      <c r="AM14" s="87">
        <f t="shared" si="18"/>
        <v>0</v>
      </c>
    </row>
    <row r="15" spans="1:51" x14ac:dyDescent="0.25">
      <c r="C15" s="142">
        <f>Model!$BG$14</f>
        <v>3321768</v>
      </c>
      <c r="D15" s="88">
        <f>Model!$BG$24</f>
        <v>0.38461538461538458</v>
      </c>
      <c r="E15" s="143">
        <f t="shared" si="4"/>
        <v>1277603.0769230768</v>
      </c>
      <c r="F15" s="88">
        <f>Model!$BG$36</f>
        <v>1</v>
      </c>
      <c r="G15" s="143">
        <f t="shared" si="5"/>
        <v>1277603.0769230768</v>
      </c>
      <c r="H15" s="89">
        <f>INDEX(Model!$BG$40:$BG$43,MATCH($J15,Model!$BE$40:$BE$43,0))</f>
        <v>0.13950000000000001</v>
      </c>
      <c r="I15" s="108">
        <f t="shared" si="6"/>
        <v>178225.62923076923</v>
      </c>
      <c r="J15" s="88" t="s">
        <v>25</v>
      </c>
      <c r="K15" s="89">
        <f>INDEX(Model!$BG$44:$BG$47,MATCH($J15,Model!$BE$40:$BE$43,0))</f>
        <v>88.687168672720716</v>
      </c>
      <c r="L15" s="110">
        <f t="shared" si="0"/>
        <v>15806326.441391015</v>
      </c>
      <c r="M15" s="108" t="e">
        <f>'Example calcs 2000'!N15*0.95</f>
        <v>#REF!</v>
      </c>
      <c r="N15" s="108" t="e">
        <f t="shared" si="7"/>
        <v>#REF!</v>
      </c>
      <c r="O15" s="108" t="str">
        <f t="shared" si="8"/>
        <v/>
      </c>
      <c r="P15" s="108" t="e">
        <f t="shared" si="9"/>
        <v>#REF!</v>
      </c>
      <c r="Q15" s="89" t="s">
        <v>28</v>
      </c>
      <c r="R15" s="144">
        <f t="shared" si="10"/>
        <v>0</v>
      </c>
      <c r="S15" s="89">
        <f>INDEX(Model!$BG$61:$BG$220,MATCH($Q15,Model!$BE$61:$BE$220,0)+MATCH(Model!$BC$219,Model!$BC$61:$BC$220,0)-1)</f>
        <v>0.997</v>
      </c>
      <c r="T15" s="110" t="e">
        <f t="shared" si="11"/>
        <v>#REF!</v>
      </c>
      <c r="U15" s="108" t="e">
        <f>'Example calcs 2000'!S15*0.8</f>
        <v>#REF!</v>
      </c>
      <c r="V15" s="108" t="e">
        <f t="shared" si="12"/>
        <v>#REF!</v>
      </c>
      <c r="W15" s="108" t="str">
        <f t="shared" si="13"/>
        <v/>
      </c>
      <c r="X15" s="108" t="e">
        <f t="shared" si="1"/>
        <v>#REF!</v>
      </c>
      <c r="Y15" s="88" t="s">
        <v>33</v>
      </c>
      <c r="Z15" s="144">
        <f t="shared" si="14"/>
        <v>1</v>
      </c>
      <c r="AA15" s="88">
        <f>Model!$BF$287</f>
        <v>1</v>
      </c>
      <c r="AB15" s="88"/>
      <c r="AC15" s="110" t="e">
        <f>X15*AA15</f>
        <v>#REF!</v>
      </c>
      <c r="AD15" s="108" t="e">
        <f>'Example calcs 2000'!Y15*0.8</f>
        <v>#REF!</v>
      </c>
      <c r="AE15" s="108" t="e">
        <f t="shared" si="15"/>
        <v>#REF!</v>
      </c>
      <c r="AF15" s="127"/>
      <c r="AG15" s="108" t="e">
        <f t="shared" si="2"/>
        <v>#REF!</v>
      </c>
      <c r="AH15" s="88" t="s">
        <v>54</v>
      </c>
      <c r="AI15" s="144">
        <f t="shared" si="16"/>
        <v>1</v>
      </c>
      <c r="AJ15" s="88">
        <f>Model!$BF$355</f>
        <v>0.52631578947368418</v>
      </c>
      <c r="AK15" s="88"/>
      <c r="AL15" s="94" t="e">
        <f t="shared" si="17"/>
        <v>#REF!</v>
      </c>
      <c r="AM15" s="88" t="e">
        <f t="shared" si="18"/>
        <v>#REF!</v>
      </c>
      <c r="AP15" s="1"/>
    </row>
    <row r="16" spans="1:51" x14ac:dyDescent="0.25">
      <c r="C16" s="128">
        <f>Model!$BG$14</f>
        <v>3321768</v>
      </c>
      <c r="D16" s="41">
        <f>Model!$BG$24</f>
        <v>0.38461538461538458</v>
      </c>
      <c r="E16" s="129">
        <f t="shared" si="4"/>
        <v>1277603.0769230768</v>
      </c>
      <c r="F16" s="41">
        <f>Model!$BG$36</f>
        <v>1</v>
      </c>
      <c r="G16" s="129">
        <f t="shared" si="5"/>
        <v>1277603.0769230768</v>
      </c>
      <c r="H16" s="86">
        <f>INDEX(Model!$BG$40:$BG$43,MATCH($J16,Model!$BE$40:$BE$43,0))</f>
        <v>0.13950000000000001</v>
      </c>
      <c r="I16" s="107">
        <f t="shared" si="6"/>
        <v>178225.62923076923</v>
      </c>
      <c r="J16" s="41" t="s">
        <v>25</v>
      </c>
      <c r="K16" s="86">
        <f>INDEX(Model!$BG$44:$BG$47,MATCH($J16,Model!$BE$40:$BE$43,0))</f>
        <v>88.687168672720716</v>
      </c>
      <c r="L16" s="106">
        <f t="shared" si="0"/>
        <v>15806326.441391015</v>
      </c>
      <c r="M16" s="107" t="e">
        <f>'Example calcs 2000'!N16*0.95</f>
        <v>#REF!</v>
      </c>
      <c r="N16" s="107" t="e">
        <f t="shared" si="7"/>
        <v>#REF!</v>
      </c>
      <c r="O16" s="107" t="str">
        <f t="shared" si="8"/>
        <v/>
      </c>
      <c r="P16" s="107" t="e">
        <f t="shared" si="9"/>
        <v>#REF!</v>
      </c>
      <c r="Q16" s="86" t="s">
        <v>28</v>
      </c>
      <c r="R16" s="39">
        <f t="shared" si="10"/>
        <v>0</v>
      </c>
      <c r="S16" s="86">
        <f>INDEX(Model!$BG$61:$BG$220,MATCH($Q16,Model!$BE$61:$BE$220,0)+MATCH(Model!$BC$219,Model!$BC$61:$BC$220,0)-1)</f>
        <v>0.997</v>
      </c>
      <c r="T16" s="106" t="e">
        <f t="shared" si="11"/>
        <v>#REF!</v>
      </c>
      <c r="U16" s="107" t="e">
        <f>'Example calcs 2000'!S16*0.8</f>
        <v>#REF!</v>
      </c>
      <c r="V16" s="107" t="e">
        <f t="shared" si="12"/>
        <v>#REF!</v>
      </c>
      <c r="W16" s="107" t="str">
        <f t="shared" si="13"/>
        <v/>
      </c>
      <c r="X16" s="107" t="e">
        <f t="shared" si="1"/>
        <v>#REF!</v>
      </c>
      <c r="Y16" s="41" t="s">
        <v>33</v>
      </c>
      <c r="Z16" s="39">
        <f t="shared" si="14"/>
        <v>0</v>
      </c>
      <c r="AA16" s="41">
        <f>Model!$BF$287</f>
        <v>1</v>
      </c>
      <c r="AB16" s="41"/>
      <c r="AC16" s="106" t="e">
        <f>X16*AA16</f>
        <v>#REF!</v>
      </c>
      <c r="AD16" s="107" t="e">
        <f>'Example calcs 2000'!Y16*0.8</f>
        <v>#REF!</v>
      </c>
      <c r="AE16" s="107" t="e">
        <f t="shared" si="15"/>
        <v>#REF!</v>
      </c>
      <c r="AF16" s="147" t="str">
        <f t="shared" ref="AF16" si="25">IFERROR(INDEX($AQ$12,MATCH(AH16,$AP$12,0))/SUM($AQ$12),"")</f>
        <v/>
      </c>
      <c r="AG16" s="107" t="e">
        <f t="shared" si="2"/>
        <v>#REF!</v>
      </c>
      <c r="AH16" s="87" t="s">
        <v>119</v>
      </c>
      <c r="AI16" s="39">
        <f t="shared" si="16"/>
        <v>1</v>
      </c>
      <c r="AJ16" s="87">
        <f>Model!$BF$386</f>
        <v>0.4</v>
      </c>
      <c r="AK16" s="41"/>
      <c r="AL16" s="93" t="e">
        <f t="shared" si="17"/>
        <v>#REF!</v>
      </c>
      <c r="AM16" s="87" t="e">
        <f t="shared" si="18"/>
        <v>#REF!</v>
      </c>
      <c r="AP16" s="1"/>
    </row>
    <row r="17" spans="3:50" x14ac:dyDescent="0.25">
      <c r="C17" s="128">
        <f>Model!$BG$14</f>
        <v>3321768</v>
      </c>
      <c r="D17" s="41">
        <f>Model!$BG$24</f>
        <v>0.38461538461538458</v>
      </c>
      <c r="E17" s="129">
        <f t="shared" si="4"/>
        <v>1277603.0769230768</v>
      </c>
      <c r="F17" s="41">
        <f>Model!$BG$36</f>
        <v>1</v>
      </c>
      <c r="G17" s="129">
        <f t="shared" si="5"/>
        <v>1277603.0769230768</v>
      </c>
      <c r="H17" s="86">
        <f>INDEX(Model!$BG$40:$BG$43,MATCH($J17,Model!$BE$40:$BE$43,0))</f>
        <v>0.13950000000000001</v>
      </c>
      <c r="I17" s="107">
        <f t="shared" si="6"/>
        <v>178225.62923076923</v>
      </c>
      <c r="J17" s="41" t="s">
        <v>25</v>
      </c>
      <c r="K17" s="86">
        <f>INDEX(Model!$BG$44:$BG$47,MATCH($J17,Model!$BE$40:$BE$43,0))</f>
        <v>88.687168672720716</v>
      </c>
      <c r="L17" s="106">
        <f t="shared" si="0"/>
        <v>15806326.441391015</v>
      </c>
      <c r="M17" s="107" t="e">
        <f>'Example calcs 2000'!N17*0.95</f>
        <v>#REF!</v>
      </c>
      <c r="N17" s="107" t="e">
        <f t="shared" si="7"/>
        <v>#REF!</v>
      </c>
      <c r="O17" s="107" t="str">
        <f t="shared" si="8"/>
        <v/>
      </c>
      <c r="P17" s="107" t="e">
        <f t="shared" si="9"/>
        <v>#REF!</v>
      </c>
      <c r="Q17" s="86" t="s">
        <v>28</v>
      </c>
      <c r="R17" s="39">
        <f t="shared" si="10"/>
        <v>0</v>
      </c>
      <c r="S17" s="86">
        <f>INDEX(Model!$BG$61:$BG$220,MATCH($Q17,Model!$BE$61:$BE$220,0)+MATCH(Model!$BC$219,Model!$BC$61:$BC$220,0)-1)</f>
        <v>0.997</v>
      </c>
      <c r="T17" s="106" t="e">
        <f t="shared" si="11"/>
        <v>#REF!</v>
      </c>
      <c r="U17" s="107" t="e">
        <f>'Example calcs 2000'!S17*0.8</f>
        <v>#REF!</v>
      </c>
      <c r="V17" s="107" t="e">
        <f t="shared" si="12"/>
        <v>#REF!</v>
      </c>
      <c r="W17" s="107" t="str">
        <f t="shared" si="13"/>
        <v/>
      </c>
      <c r="X17" s="107" t="e">
        <f t="shared" si="1"/>
        <v>#REF!</v>
      </c>
      <c r="Y17" s="41" t="s">
        <v>33</v>
      </c>
      <c r="Z17" s="39">
        <f t="shared" si="14"/>
        <v>0</v>
      </c>
      <c r="AA17" s="41">
        <f>Model!$BF$287</f>
        <v>1</v>
      </c>
      <c r="AB17" s="41"/>
      <c r="AC17" s="106" t="e">
        <f>X17*AA17</f>
        <v>#REF!</v>
      </c>
      <c r="AD17" s="107" t="e">
        <f>'Example calcs 2000'!Y17*0.8</f>
        <v>#REF!</v>
      </c>
      <c r="AE17" s="107" t="e">
        <f t="shared" si="15"/>
        <v>#REF!</v>
      </c>
      <c r="AF17" s="147" t="str">
        <f>IFERROR(INDEX($AQ$12,MATCH(AH17,$AP$12,0))/SUM($AQ$12),"")</f>
        <v/>
      </c>
      <c r="AG17" s="107" t="e">
        <f t="shared" si="2"/>
        <v>#REF!</v>
      </c>
      <c r="AH17" s="87" t="s">
        <v>52</v>
      </c>
      <c r="AI17" s="39">
        <f t="shared" si="16"/>
        <v>1</v>
      </c>
      <c r="AJ17" s="87"/>
      <c r="AK17" s="87">
        <f>Model!$BF$324</f>
        <v>1.6129032258064517</v>
      </c>
      <c r="AL17" s="93" t="e">
        <f t="shared" si="17"/>
        <v>#REF!</v>
      </c>
      <c r="AM17" s="87" t="e">
        <f t="shared" si="18"/>
        <v>#REF!</v>
      </c>
      <c r="AP17" s="1"/>
    </row>
    <row r="18" spans="3:50" x14ac:dyDescent="0.25">
      <c r="C18" s="128">
        <f>Model!$BG$14</f>
        <v>3321768</v>
      </c>
      <c r="D18" s="41">
        <f>Model!$BG$24</f>
        <v>0.38461538461538458</v>
      </c>
      <c r="E18" s="129">
        <f t="shared" si="4"/>
        <v>1277603.0769230768</v>
      </c>
      <c r="F18" s="41">
        <f>Model!$BG$36</f>
        <v>1</v>
      </c>
      <c r="G18" s="129">
        <f t="shared" si="5"/>
        <v>1277603.0769230768</v>
      </c>
      <c r="H18" s="86">
        <f>INDEX(Model!$BG$40:$BG$43,MATCH($J18,Model!$BE$40:$BE$43,0))</f>
        <v>0.13950000000000001</v>
      </c>
      <c r="I18" s="107">
        <f t="shared" si="6"/>
        <v>178225.62923076923</v>
      </c>
      <c r="J18" s="41" t="s">
        <v>25</v>
      </c>
      <c r="K18" s="86">
        <f>INDEX(Model!$BG$44:$BG$47,MATCH($J18,Model!$BE$40:$BE$43,0))</f>
        <v>88.687168672720716</v>
      </c>
      <c r="L18" s="106">
        <f t="shared" si="0"/>
        <v>15806326.441391015</v>
      </c>
      <c r="M18" s="107" t="e">
        <f>'Example calcs 2000'!N18*0.95</f>
        <v>#REF!</v>
      </c>
      <c r="N18" s="107" t="e">
        <f t="shared" si="7"/>
        <v>#REF!</v>
      </c>
      <c r="O18" s="107" t="str">
        <f t="shared" si="8"/>
        <v/>
      </c>
      <c r="P18" s="107" t="e">
        <f t="shared" si="9"/>
        <v>#REF!</v>
      </c>
      <c r="Q18" s="86" t="s">
        <v>28</v>
      </c>
      <c r="R18" s="39">
        <f t="shared" si="10"/>
        <v>0</v>
      </c>
      <c r="S18" s="86">
        <f>INDEX(Model!$BG$61:$BG$220,MATCH($Q18,Model!$BE$61:$BE$220,0)+MATCH(Model!$BC$219,Model!$BC$61:$BC$220,0)-1)</f>
        <v>0.997</v>
      </c>
      <c r="T18" s="106" t="e">
        <f t="shared" si="11"/>
        <v>#REF!</v>
      </c>
      <c r="U18" s="107" t="e">
        <f>'Example calcs 2000'!S18*0.8</f>
        <v>#REF!</v>
      </c>
      <c r="V18" s="107" t="e">
        <f t="shared" si="12"/>
        <v>#REF!</v>
      </c>
      <c r="W18" s="107" t="str">
        <f t="shared" si="13"/>
        <v/>
      </c>
      <c r="X18" s="107" t="e">
        <f t="shared" si="1"/>
        <v>#REF!</v>
      </c>
      <c r="Y18" s="41" t="s">
        <v>33</v>
      </c>
      <c r="Z18" s="39">
        <f t="shared" si="14"/>
        <v>0</v>
      </c>
      <c r="AA18" s="41">
        <f>Model!$BF$287</f>
        <v>1</v>
      </c>
      <c r="AB18" s="41"/>
      <c r="AC18" s="106" t="e">
        <f>X18*AA18</f>
        <v>#REF!</v>
      </c>
      <c r="AD18" s="107" t="e">
        <f>'Example calcs 2000'!Y18*0.8</f>
        <v>#REF!</v>
      </c>
      <c r="AE18" s="107" t="e">
        <f t="shared" si="15"/>
        <v>#REF!</v>
      </c>
      <c r="AF18" s="147" t="str">
        <f t="shared" ref="AF18" si="26">IFERROR(INDEX($AQ$12,MATCH(AH18,$AP$12,0))/SUM($AQ$12),"")</f>
        <v/>
      </c>
      <c r="AG18" s="107" t="e">
        <f t="shared" si="2"/>
        <v>#REF!</v>
      </c>
      <c r="AH18" s="87" t="s">
        <v>53</v>
      </c>
      <c r="AI18" s="39">
        <f t="shared" si="16"/>
        <v>1</v>
      </c>
      <c r="AJ18" s="87"/>
      <c r="AK18" s="87">
        <f>Model!$BF$417</f>
        <v>1.1111111111111112</v>
      </c>
      <c r="AL18" s="93" t="e">
        <f t="shared" si="17"/>
        <v>#REF!</v>
      </c>
      <c r="AM18" s="87" t="e">
        <f t="shared" si="18"/>
        <v>#REF!</v>
      </c>
      <c r="AP18" s="1"/>
    </row>
    <row r="19" spans="3:50" x14ac:dyDescent="0.25">
      <c r="C19" s="128">
        <f>Model!$BG$14</f>
        <v>3321768</v>
      </c>
      <c r="D19" s="41">
        <f>Model!$BG$24</f>
        <v>0.38461538461538458</v>
      </c>
      <c r="E19" s="129">
        <f t="shared" si="4"/>
        <v>1277603.0769230768</v>
      </c>
      <c r="F19" s="41">
        <f>Model!$BG$36</f>
        <v>1</v>
      </c>
      <c r="G19" s="129">
        <f t="shared" si="5"/>
        <v>1277603.0769230768</v>
      </c>
      <c r="H19" s="86">
        <f>INDEX(Model!$BG$40:$BG$43,MATCH($J19,Model!$BE$40:$BE$43,0))</f>
        <v>0.13950000000000001</v>
      </c>
      <c r="I19" s="107">
        <f t="shared" si="6"/>
        <v>178225.62923076923</v>
      </c>
      <c r="J19" s="41" t="s">
        <v>25</v>
      </c>
      <c r="K19" s="86">
        <f>INDEX(Model!$BG$44:$BG$47,MATCH($J19,Model!$BE$40:$BE$43,0))</f>
        <v>88.687168672720716</v>
      </c>
      <c r="L19" s="106">
        <f t="shared" si="0"/>
        <v>15806326.441391015</v>
      </c>
      <c r="M19" s="107" t="e">
        <f>'Example calcs 2000'!N19*0.95</f>
        <v>#REF!</v>
      </c>
      <c r="N19" s="107" t="e">
        <f t="shared" si="7"/>
        <v>#REF!</v>
      </c>
      <c r="O19" s="107" t="str">
        <f t="shared" si="8"/>
        <v/>
      </c>
      <c r="P19" s="107" t="e">
        <f t="shared" si="9"/>
        <v>#REF!</v>
      </c>
      <c r="Q19" s="86" t="s">
        <v>30</v>
      </c>
      <c r="R19" s="39">
        <f t="shared" si="10"/>
        <v>1</v>
      </c>
      <c r="S19" s="86">
        <f>INDEX(Model!$BG$61:$BG$220,MATCH($Q19,Model!$BE$61:$BE$220,0)+MATCH(Model!$BC$219,Model!$BC$61:$BC$220,0)-1)</f>
        <v>0.36</v>
      </c>
      <c r="T19" s="106" t="e">
        <f t="shared" si="11"/>
        <v>#REF!</v>
      </c>
      <c r="U19" s="107" t="e">
        <f>'Example calcs 2000'!S19*0.8</f>
        <v>#REF!</v>
      </c>
      <c r="V19" s="107" t="e">
        <f t="shared" si="12"/>
        <v>#REF!</v>
      </c>
      <c r="W19" s="107" t="str">
        <f t="shared" si="13"/>
        <v/>
      </c>
      <c r="X19" s="107" t="e">
        <f t="shared" si="1"/>
        <v>#REF!</v>
      </c>
      <c r="Y19" s="41" t="s">
        <v>32</v>
      </c>
      <c r="Z19" s="39">
        <f t="shared" si="14"/>
        <v>1</v>
      </c>
      <c r="AA19" s="41"/>
      <c r="AB19" s="41">
        <f>Model!$BF$256</f>
        <v>1</v>
      </c>
      <c r="AC19" s="106"/>
      <c r="AD19" s="107">
        <f>'Example calcs 2000'!Y19*0.8</f>
        <v>0</v>
      </c>
      <c r="AE19" s="107" t="e">
        <f t="shared" si="15"/>
        <v>#REF!</v>
      </c>
      <c r="AF19" s="107" t="str">
        <f t="shared" si="21"/>
        <v/>
      </c>
      <c r="AG19" s="107">
        <f t="shared" si="2"/>
        <v>0</v>
      </c>
      <c r="AH19" s="87"/>
      <c r="AI19" s="39">
        <f t="shared" si="16"/>
        <v>1</v>
      </c>
      <c r="AJ19" s="87"/>
      <c r="AK19" s="87"/>
      <c r="AL19" s="93" t="e">
        <f t="shared" si="17"/>
        <v>#REF!</v>
      </c>
      <c r="AM19" s="87">
        <f t="shared" si="18"/>
        <v>0</v>
      </c>
    </row>
    <row r="20" spans="3:50" x14ac:dyDescent="0.25">
      <c r="C20" s="142">
        <f>Model!$BG$14</f>
        <v>3321768</v>
      </c>
      <c r="D20" s="88">
        <f>Model!$BG$24</f>
        <v>0.38461538461538458</v>
      </c>
      <c r="E20" s="143">
        <f t="shared" si="4"/>
        <v>1277603.0769230768</v>
      </c>
      <c r="F20" s="88">
        <f>Model!$BG$36</f>
        <v>1</v>
      </c>
      <c r="G20" s="143">
        <f t="shared" si="5"/>
        <v>1277603.0769230768</v>
      </c>
      <c r="H20" s="89">
        <f>INDEX(Model!$BG$40:$BG$43,MATCH($J20,Model!$BE$40:$BE$43,0))</f>
        <v>0.13950000000000001</v>
      </c>
      <c r="I20" s="108">
        <f t="shared" si="6"/>
        <v>178225.62923076923</v>
      </c>
      <c r="J20" s="88" t="s">
        <v>25</v>
      </c>
      <c r="K20" s="89">
        <f>INDEX(Model!$BG$44:$BG$47,MATCH($J20,Model!$BE$40:$BE$43,0))</f>
        <v>88.687168672720716</v>
      </c>
      <c r="L20" s="110">
        <f t="shared" si="0"/>
        <v>15806326.441391015</v>
      </c>
      <c r="M20" s="108" t="e">
        <f>'Example calcs 2000'!N20*0.95</f>
        <v>#REF!</v>
      </c>
      <c r="N20" s="108" t="e">
        <f t="shared" si="7"/>
        <v>#REF!</v>
      </c>
      <c r="O20" s="108" t="str">
        <f t="shared" si="8"/>
        <v/>
      </c>
      <c r="P20" s="108" t="e">
        <f t="shared" si="9"/>
        <v>#REF!</v>
      </c>
      <c r="Q20" s="89" t="s">
        <v>30</v>
      </c>
      <c r="R20" s="144">
        <f t="shared" si="10"/>
        <v>0</v>
      </c>
      <c r="S20" s="89">
        <f>INDEX(Model!$BG$61:$BG$220,MATCH($Q20,Model!$BE$61:$BE$220,0)+MATCH(Model!$BC$219,Model!$BC$61:$BC$220,0)-1)</f>
        <v>0.36</v>
      </c>
      <c r="T20" s="110" t="e">
        <f t="shared" si="11"/>
        <v>#REF!</v>
      </c>
      <c r="U20" s="108" t="e">
        <f>'Example calcs 2000'!S20*0.8</f>
        <v>#REF!</v>
      </c>
      <c r="V20" s="108" t="e">
        <f t="shared" si="12"/>
        <v>#REF!</v>
      </c>
      <c r="W20" s="108" t="str">
        <f t="shared" si="13"/>
        <v/>
      </c>
      <c r="X20" s="108" t="e">
        <f t="shared" si="1"/>
        <v>#REF!</v>
      </c>
      <c r="Y20" s="88" t="s">
        <v>33</v>
      </c>
      <c r="Z20" s="144">
        <f t="shared" si="14"/>
        <v>1</v>
      </c>
      <c r="AA20" s="88">
        <f>Model!$BF$287</f>
        <v>1</v>
      </c>
      <c r="AB20" s="88"/>
      <c r="AC20" s="110" t="e">
        <f>X20*AA20</f>
        <v>#REF!</v>
      </c>
      <c r="AD20" s="108" t="e">
        <f>'Example calcs 2000'!Y20*0.8</f>
        <v>#REF!</v>
      </c>
      <c r="AE20" s="108" t="e">
        <f t="shared" si="15"/>
        <v>#REF!</v>
      </c>
      <c r="AF20" s="127"/>
      <c r="AG20" s="108" t="e">
        <f t="shared" si="2"/>
        <v>#REF!</v>
      </c>
      <c r="AH20" s="88" t="s">
        <v>54</v>
      </c>
      <c r="AI20" s="144">
        <f t="shared" si="16"/>
        <v>1</v>
      </c>
      <c r="AJ20" s="88">
        <f>Model!$BF$355</f>
        <v>0.52631578947368418</v>
      </c>
      <c r="AK20" s="88"/>
      <c r="AL20" s="94" t="e">
        <f t="shared" si="17"/>
        <v>#REF!</v>
      </c>
      <c r="AM20" s="88" t="e">
        <f t="shared" si="18"/>
        <v>#REF!</v>
      </c>
    </row>
    <row r="21" spans="3:50" x14ac:dyDescent="0.25">
      <c r="C21" s="128">
        <f>Model!$BG$14</f>
        <v>3321768</v>
      </c>
      <c r="D21" s="41">
        <f>Model!$BG$24</f>
        <v>0.38461538461538458</v>
      </c>
      <c r="E21" s="129">
        <f t="shared" si="4"/>
        <v>1277603.0769230768</v>
      </c>
      <c r="F21" s="41">
        <f>Model!$BG$36</f>
        <v>1</v>
      </c>
      <c r="G21" s="129">
        <f t="shared" si="5"/>
        <v>1277603.0769230768</v>
      </c>
      <c r="H21" s="86">
        <f>INDEX(Model!$BG$40:$BG$43,MATCH($J21,Model!$BE$40:$BE$43,0))</f>
        <v>0.13950000000000001</v>
      </c>
      <c r="I21" s="107">
        <f t="shared" si="6"/>
        <v>178225.62923076923</v>
      </c>
      <c r="J21" s="41" t="s">
        <v>25</v>
      </c>
      <c r="K21" s="86">
        <f>INDEX(Model!$BG$44:$BG$47,MATCH($J21,Model!$BE$40:$BE$43,0))</f>
        <v>88.687168672720716</v>
      </c>
      <c r="L21" s="106">
        <f t="shared" si="0"/>
        <v>15806326.441391015</v>
      </c>
      <c r="M21" s="107" t="e">
        <f>'Example calcs 2000'!N21*0.95</f>
        <v>#REF!</v>
      </c>
      <c r="N21" s="107" t="e">
        <f t="shared" si="7"/>
        <v>#REF!</v>
      </c>
      <c r="O21" s="107" t="str">
        <f t="shared" si="8"/>
        <v/>
      </c>
      <c r="P21" s="107" t="e">
        <f t="shared" si="9"/>
        <v>#REF!</v>
      </c>
      <c r="Q21" s="86" t="s">
        <v>30</v>
      </c>
      <c r="R21" s="39">
        <f t="shared" si="10"/>
        <v>0</v>
      </c>
      <c r="S21" s="86">
        <f>INDEX(Model!$BG$61:$BG$220,MATCH($Q21,Model!$BE$61:$BE$220,0)+MATCH(Model!$BC$219,Model!$BC$61:$BC$220,0)-1)</f>
        <v>0.36</v>
      </c>
      <c r="T21" s="106" t="e">
        <f t="shared" si="11"/>
        <v>#REF!</v>
      </c>
      <c r="U21" s="107" t="e">
        <f>'Example calcs 2000'!S21*0.8</f>
        <v>#REF!</v>
      </c>
      <c r="V21" s="107" t="e">
        <f t="shared" si="12"/>
        <v>#REF!</v>
      </c>
      <c r="W21" s="107" t="str">
        <f t="shared" si="13"/>
        <v/>
      </c>
      <c r="X21" s="107" t="e">
        <f t="shared" si="1"/>
        <v>#REF!</v>
      </c>
      <c r="Y21" s="41" t="s">
        <v>33</v>
      </c>
      <c r="Z21" s="39">
        <f t="shared" si="14"/>
        <v>0</v>
      </c>
      <c r="AA21" s="41">
        <f>Model!$BF$287</f>
        <v>1</v>
      </c>
      <c r="AB21" s="41"/>
      <c r="AC21" s="106" t="e">
        <f>X21*AA21</f>
        <v>#REF!</v>
      </c>
      <c r="AD21" s="107" t="e">
        <f>'Example calcs 2000'!Y21*0.8</f>
        <v>#REF!</v>
      </c>
      <c r="AE21" s="107" t="e">
        <f t="shared" si="15"/>
        <v>#REF!</v>
      </c>
      <c r="AF21" s="147" t="str">
        <f t="shared" ref="AF21" si="27">IFERROR(INDEX($AQ$12,MATCH(AH21,$AP$12,0))/SUM($AQ$12),"")</f>
        <v/>
      </c>
      <c r="AG21" s="107" t="e">
        <f t="shared" si="2"/>
        <v>#REF!</v>
      </c>
      <c r="AH21" s="87" t="s">
        <v>119</v>
      </c>
      <c r="AI21" s="39">
        <f t="shared" si="16"/>
        <v>1</v>
      </c>
      <c r="AJ21" s="87">
        <f>Model!$BF$386</f>
        <v>0.4</v>
      </c>
      <c r="AK21" s="87"/>
      <c r="AL21" s="93" t="e">
        <f t="shared" si="17"/>
        <v>#REF!</v>
      </c>
      <c r="AM21" s="87" t="e">
        <f t="shared" si="18"/>
        <v>#REF!</v>
      </c>
    </row>
    <row r="22" spans="3:50" x14ac:dyDescent="0.25">
      <c r="C22" s="128">
        <f>Model!$BG$14</f>
        <v>3321768</v>
      </c>
      <c r="D22" s="41">
        <f>Model!$BG$24</f>
        <v>0.38461538461538458</v>
      </c>
      <c r="E22" s="129">
        <f t="shared" si="4"/>
        <v>1277603.0769230768</v>
      </c>
      <c r="F22" s="41">
        <f>Model!$BG$36</f>
        <v>1</v>
      </c>
      <c r="G22" s="129">
        <f t="shared" si="5"/>
        <v>1277603.0769230768</v>
      </c>
      <c r="H22" s="86">
        <f>INDEX(Model!$BG$40:$BG$43,MATCH($J22,Model!$BE$40:$BE$43,0))</f>
        <v>0.13950000000000001</v>
      </c>
      <c r="I22" s="107">
        <f t="shared" si="6"/>
        <v>178225.62923076923</v>
      </c>
      <c r="J22" s="41" t="s">
        <v>25</v>
      </c>
      <c r="K22" s="86">
        <f>INDEX(Model!$BG$44:$BG$47,MATCH($J22,Model!$BE$40:$BE$43,0))</f>
        <v>88.687168672720716</v>
      </c>
      <c r="L22" s="106">
        <f t="shared" si="0"/>
        <v>15806326.441391015</v>
      </c>
      <c r="M22" s="107" t="e">
        <f>'Example calcs 2000'!N22*0.95</f>
        <v>#REF!</v>
      </c>
      <c r="N22" s="107" t="e">
        <f t="shared" si="7"/>
        <v>#REF!</v>
      </c>
      <c r="O22" s="107" t="str">
        <f t="shared" si="8"/>
        <v/>
      </c>
      <c r="P22" s="107" t="e">
        <f t="shared" si="9"/>
        <v>#REF!</v>
      </c>
      <c r="Q22" s="86" t="s">
        <v>30</v>
      </c>
      <c r="R22" s="39">
        <f t="shared" si="10"/>
        <v>0</v>
      </c>
      <c r="S22" s="86">
        <f>INDEX(Model!$BG$61:$BG$220,MATCH($Q22,Model!$BE$61:$BE$220,0)+MATCH(Model!$BC$219,Model!$BC$61:$BC$220,0)-1)</f>
        <v>0.36</v>
      </c>
      <c r="T22" s="106" t="e">
        <f t="shared" si="11"/>
        <v>#REF!</v>
      </c>
      <c r="U22" s="107" t="e">
        <f>'Example calcs 2000'!S22*0.8</f>
        <v>#REF!</v>
      </c>
      <c r="V22" s="107" t="e">
        <f t="shared" si="12"/>
        <v>#REF!</v>
      </c>
      <c r="W22" s="107" t="str">
        <f t="shared" si="13"/>
        <v/>
      </c>
      <c r="X22" s="107" t="e">
        <f t="shared" si="1"/>
        <v>#REF!</v>
      </c>
      <c r="Y22" s="41" t="s">
        <v>33</v>
      </c>
      <c r="Z22" s="39">
        <f t="shared" si="14"/>
        <v>0</v>
      </c>
      <c r="AA22" s="41">
        <f>Model!$BF$287</f>
        <v>1</v>
      </c>
      <c r="AB22" s="41"/>
      <c r="AC22" s="106" t="e">
        <f>X22*AA22</f>
        <v>#REF!</v>
      </c>
      <c r="AD22" s="107" t="e">
        <f>'Example calcs 2000'!Y22*0.8</f>
        <v>#REF!</v>
      </c>
      <c r="AE22" s="107" t="e">
        <f t="shared" si="15"/>
        <v>#REF!</v>
      </c>
      <c r="AF22" s="147" t="str">
        <f>IFERROR(INDEX($AQ$12,MATCH(AH22,$AP$12,0))/SUM($AQ$12),"")</f>
        <v/>
      </c>
      <c r="AG22" s="107" t="e">
        <f t="shared" si="2"/>
        <v>#REF!</v>
      </c>
      <c r="AH22" s="87" t="s">
        <v>52</v>
      </c>
      <c r="AI22" s="39">
        <f t="shared" si="16"/>
        <v>1</v>
      </c>
      <c r="AJ22" s="87"/>
      <c r="AK22" s="87">
        <f>Model!$BF$324</f>
        <v>1.6129032258064517</v>
      </c>
      <c r="AL22" s="93" t="e">
        <f t="shared" si="17"/>
        <v>#REF!</v>
      </c>
      <c r="AM22" s="87" t="e">
        <f t="shared" si="18"/>
        <v>#REF!</v>
      </c>
    </row>
    <row r="23" spans="3:50" x14ac:dyDescent="0.25">
      <c r="C23" s="128">
        <f>Model!$BG$14</f>
        <v>3321768</v>
      </c>
      <c r="D23" s="41">
        <f>Model!$BG$24</f>
        <v>0.38461538461538458</v>
      </c>
      <c r="E23" s="129">
        <f t="shared" si="4"/>
        <v>1277603.0769230768</v>
      </c>
      <c r="F23" s="41">
        <f>Model!$BG$36</f>
        <v>1</v>
      </c>
      <c r="G23" s="129">
        <f t="shared" si="5"/>
        <v>1277603.0769230768</v>
      </c>
      <c r="H23" s="86">
        <f>INDEX(Model!$BG$40:$BG$43,MATCH($J23,Model!$BE$40:$BE$43,0))</f>
        <v>0.13950000000000001</v>
      </c>
      <c r="I23" s="107">
        <f t="shared" si="6"/>
        <v>178225.62923076923</v>
      </c>
      <c r="J23" s="41" t="s">
        <v>25</v>
      </c>
      <c r="K23" s="86">
        <f>INDEX(Model!$BG$44:$BG$47,MATCH($J23,Model!$BE$40:$BE$43,0))</f>
        <v>88.687168672720716</v>
      </c>
      <c r="L23" s="106">
        <f t="shared" si="0"/>
        <v>15806326.441391015</v>
      </c>
      <c r="M23" s="107" t="e">
        <f>'Example calcs 2000'!N23*0.95</f>
        <v>#REF!</v>
      </c>
      <c r="N23" s="107" t="e">
        <f t="shared" si="7"/>
        <v>#REF!</v>
      </c>
      <c r="O23" s="107" t="str">
        <f t="shared" si="8"/>
        <v/>
      </c>
      <c r="P23" s="107" t="e">
        <f t="shared" si="9"/>
        <v>#REF!</v>
      </c>
      <c r="Q23" s="86" t="s">
        <v>30</v>
      </c>
      <c r="R23" s="39">
        <f t="shared" si="10"/>
        <v>0</v>
      </c>
      <c r="S23" s="86">
        <f>INDEX(Model!$BG$61:$BG$220,MATCH($Q23,Model!$BE$61:$BE$220,0)+MATCH(Model!$BC$219,Model!$BC$61:$BC$220,0)-1)</f>
        <v>0.36</v>
      </c>
      <c r="T23" s="106" t="e">
        <f t="shared" si="11"/>
        <v>#REF!</v>
      </c>
      <c r="U23" s="107" t="e">
        <f>'Example calcs 2000'!S23*0.8</f>
        <v>#REF!</v>
      </c>
      <c r="V23" s="107" t="e">
        <f t="shared" si="12"/>
        <v>#REF!</v>
      </c>
      <c r="W23" s="107" t="str">
        <f t="shared" si="13"/>
        <v/>
      </c>
      <c r="X23" s="107" t="e">
        <f t="shared" si="1"/>
        <v>#REF!</v>
      </c>
      <c r="Y23" s="41" t="s">
        <v>33</v>
      </c>
      <c r="Z23" s="39">
        <f t="shared" si="14"/>
        <v>0</v>
      </c>
      <c r="AA23" s="41">
        <f>Model!$BF$287</f>
        <v>1</v>
      </c>
      <c r="AB23" s="41"/>
      <c r="AC23" s="106" t="e">
        <f>X23*AA23</f>
        <v>#REF!</v>
      </c>
      <c r="AD23" s="107" t="e">
        <f>'Example calcs 2000'!Y23*0.8</f>
        <v>#REF!</v>
      </c>
      <c r="AE23" s="107" t="e">
        <f t="shared" si="15"/>
        <v>#REF!</v>
      </c>
      <c r="AF23" s="147" t="str">
        <f t="shared" ref="AF23" si="28">IFERROR(INDEX($AQ$12,MATCH(AH23,$AP$12,0))/SUM($AQ$12),"")</f>
        <v/>
      </c>
      <c r="AG23" s="107" t="e">
        <f t="shared" si="2"/>
        <v>#REF!</v>
      </c>
      <c r="AH23" s="87" t="s">
        <v>53</v>
      </c>
      <c r="AI23" s="39">
        <f t="shared" si="16"/>
        <v>1</v>
      </c>
      <c r="AJ23" s="87"/>
      <c r="AK23" s="87">
        <f>Model!$BF$417</f>
        <v>1.1111111111111112</v>
      </c>
      <c r="AL23" s="93" t="e">
        <f t="shared" si="17"/>
        <v>#REF!</v>
      </c>
      <c r="AM23" s="87" t="e">
        <f t="shared" si="18"/>
        <v>#REF!</v>
      </c>
    </row>
    <row r="24" spans="3:50" x14ac:dyDescent="0.25">
      <c r="C24" s="128">
        <f>Model!$BG$14</f>
        <v>3321768</v>
      </c>
      <c r="D24" s="41">
        <f>Model!$BG$24</f>
        <v>0.38461538461538458</v>
      </c>
      <c r="E24" s="129">
        <f t="shared" si="4"/>
        <v>1277603.0769230768</v>
      </c>
      <c r="F24" s="41">
        <f>Model!$BG$36</f>
        <v>1</v>
      </c>
      <c r="G24" s="129">
        <f t="shared" si="5"/>
        <v>1277603.0769230768</v>
      </c>
      <c r="H24" s="86">
        <f>INDEX(Model!$BG$40:$BG$43,MATCH($J24,Model!$BE$40:$BE$43,0))</f>
        <v>0.13950000000000001</v>
      </c>
      <c r="I24" s="107">
        <f t="shared" si="6"/>
        <v>178225.62923076923</v>
      </c>
      <c r="J24" s="41" t="s">
        <v>25</v>
      </c>
      <c r="K24" s="86">
        <f>INDEX(Model!$BG$44:$BG$47,MATCH($J24,Model!$BE$40:$BE$43,0))</f>
        <v>88.687168672720716</v>
      </c>
      <c r="L24" s="106">
        <f t="shared" si="0"/>
        <v>15806326.441391015</v>
      </c>
      <c r="M24" s="107" t="e">
        <f>'Example calcs 2000'!N24*0.95</f>
        <v>#REF!</v>
      </c>
      <c r="N24" s="107" t="e">
        <f t="shared" si="7"/>
        <v>#REF!</v>
      </c>
      <c r="O24" s="107" t="str">
        <f t="shared" si="8"/>
        <v/>
      </c>
      <c r="P24" s="107" t="e">
        <f t="shared" si="9"/>
        <v>#REF!</v>
      </c>
      <c r="Q24" s="86" t="s">
        <v>29</v>
      </c>
      <c r="R24" s="39">
        <f t="shared" si="10"/>
        <v>1</v>
      </c>
      <c r="S24" s="86">
        <f>INDEX(Model!$BG$61:$BG$220,MATCH($Q24,Model!$BE$61:$BE$220,0)+MATCH(Model!$BC$219,Model!$BC$61:$BC$220,0)-1)</f>
        <v>0.51500000000000001</v>
      </c>
      <c r="T24" s="106" t="e">
        <f t="shared" si="11"/>
        <v>#REF!</v>
      </c>
      <c r="U24" s="107" t="e">
        <f>'Example calcs 2000'!S24*0.8</f>
        <v>#REF!</v>
      </c>
      <c r="V24" s="107" t="e">
        <f t="shared" si="12"/>
        <v>#REF!</v>
      </c>
      <c r="W24" s="107" t="str">
        <f t="shared" si="13"/>
        <v/>
      </c>
      <c r="X24" s="107" t="e">
        <f t="shared" si="1"/>
        <v>#REF!</v>
      </c>
      <c r="Y24" s="41" t="s">
        <v>32</v>
      </c>
      <c r="Z24" s="39">
        <f t="shared" si="14"/>
        <v>1</v>
      </c>
      <c r="AA24" s="41"/>
      <c r="AB24" s="41">
        <f>Model!$BF$256</f>
        <v>1</v>
      </c>
      <c r="AC24" s="106"/>
      <c r="AD24" s="107">
        <f>'Example calcs 2000'!Y24*0.8</f>
        <v>0</v>
      </c>
      <c r="AE24" s="107" t="e">
        <f t="shared" si="15"/>
        <v>#REF!</v>
      </c>
      <c r="AF24" s="107" t="str">
        <f t="shared" si="21"/>
        <v/>
      </c>
      <c r="AG24" s="107">
        <f t="shared" si="2"/>
        <v>0</v>
      </c>
      <c r="AH24" s="87"/>
      <c r="AI24" s="39">
        <f t="shared" si="16"/>
        <v>1</v>
      </c>
      <c r="AJ24" s="87"/>
      <c r="AK24" s="41"/>
      <c r="AL24" s="93" t="e">
        <f t="shared" si="17"/>
        <v>#REF!</v>
      </c>
      <c r="AM24" s="87">
        <f t="shared" si="18"/>
        <v>0</v>
      </c>
    </row>
    <row r="25" spans="3:50" x14ac:dyDescent="0.25">
      <c r="C25" s="142">
        <f>Model!$BG$14</f>
        <v>3321768</v>
      </c>
      <c r="D25" s="88">
        <f>Model!$BG$24</f>
        <v>0.38461538461538458</v>
      </c>
      <c r="E25" s="143">
        <f t="shared" si="4"/>
        <v>1277603.0769230768</v>
      </c>
      <c r="F25" s="88">
        <f>Model!$BG$36</f>
        <v>1</v>
      </c>
      <c r="G25" s="143">
        <f t="shared" si="5"/>
        <v>1277603.0769230768</v>
      </c>
      <c r="H25" s="89">
        <f>INDEX(Model!$BG$40:$BG$43,MATCH($J25,Model!$BE$40:$BE$43,0))</f>
        <v>0.13950000000000001</v>
      </c>
      <c r="I25" s="108">
        <f t="shared" si="6"/>
        <v>178225.62923076923</v>
      </c>
      <c r="J25" s="88" t="s">
        <v>25</v>
      </c>
      <c r="K25" s="89">
        <f>INDEX(Model!$BG$44:$BG$47,MATCH($J25,Model!$BE$40:$BE$43,0))</f>
        <v>88.687168672720716</v>
      </c>
      <c r="L25" s="110">
        <f t="shared" si="0"/>
        <v>15806326.441391015</v>
      </c>
      <c r="M25" s="108" t="e">
        <f>'Example calcs 2000'!N25*0.95</f>
        <v>#REF!</v>
      </c>
      <c r="N25" s="108" t="e">
        <f t="shared" si="7"/>
        <v>#REF!</v>
      </c>
      <c r="O25" s="108" t="str">
        <f t="shared" si="8"/>
        <v/>
      </c>
      <c r="P25" s="108" t="e">
        <f t="shared" si="9"/>
        <v>#REF!</v>
      </c>
      <c r="Q25" s="89" t="s">
        <v>29</v>
      </c>
      <c r="R25" s="144">
        <f t="shared" si="10"/>
        <v>0</v>
      </c>
      <c r="S25" s="89">
        <f>INDEX(Model!$BG$61:$BG$220,MATCH($Q25,Model!$BE$61:$BE$220,0)+MATCH(Model!$BC$219,Model!$BC$61:$BC$220,0)-1)</f>
        <v>0.51500000000000001</v>
      </c>
      <c r="T25" s="110" t="e">
        <f t="shared" si="11"/>
        <v>#REF!</v>
      </c>
      <c r="U25" s="108" t="e">
        <f>'Example calcs 2000'!S25*0.8</f>
        <v>#REF!</v>
      </c>
      <c r="V25" s="108" t="e">
        <f t="shared" si="12"/>
        <v>#REF!</v>
      </c>
      <c r="W25" s="108" t="str">
        <f t="shared" si="13"/>
        <v/>
      </c>
      <c r="X25" s="108" t="e">
        <f t="shared" si="1"/>
        <v>#REF!</v>
      </c>
      <c r="Y25" s="88" t="s">
        <v>33</v>
      </c>
      <c r="Z25" s="144">
        <f t="shared" si="14"/>
        <v>1</v>
      </c>
      <c r="AA25" s="88">
        <f>Model!$BF$287</f>
        <v>1</v>
      </c>
      <c r="AB25" s="88"/>
      <c r="AC25" s="110" t="e">
        <f>X25*AA25</f>
        <v>#REF!</v>
      </c>
      <c r="AD25" s="108" t="e">
        <f>'Example calcs 2000'!Y25*0.8</f>
        <v>#REF!</v>
      </c>
      <c r="AE25" s="108" t="e">
        <f t="shared" si="15"/>
        <v>#REF!</v>
      </c>
      <c r="AF25" s="127"/>
      <c r="AG25" s="108" t="e">
        <f t="shared" si="2"/>
        <v>#REF!</v>
      </c>
      <c r="AH25" s="88" t="s">
        <v>54</v>
      </c>
      <c r="AI25" s="144">
        <f t="shared" si="16"/>
        <v>1</v>
      </c>
      <c r="AJ25" s="88">
        <f>Model!$BF$355</f>
        <v>0.52631578947368418</v>
      </c>
      <c r="AK25" s="88"/>
      <c r="AL25" s="94" t="e">
        <f t="shared" si="17"/>
        <v>#REF!</v>
      </c>
      <c r="AM25" s="88" t="e">
        <f t="shared" si="18"/>
        <v>#REF!</v>
      </c>
    </row>
    <row r="26" spans="3:50" x14ac:dyDescent="0.25">
      <c r="C26" s="128">
        <f>Model!$BG$14</f>
        <v>3321768</v>
      </c>
      <c r="D26" s="41">
        <f>Model!$BG$24</f>
        <v>0.38461538461538458</v>
      </c>
      <c r="E26" s="129">
        <f t="shared" si="4"/>
        <v>1277603.0769230768</v>
      </c>
      <c r="F26" s="41">
        <f>Model!$BG$36</f>
        <v>1</v>
      </c>
      <c r="G26" s="129">
        <f t="shared" si="5"/>
        <v>1277603.0769230768</v>
      </c>
      <c r="H26" s="86">
        <f>INDEX(Model!$BG$40:$BG$43,MATCH($J26,Model!$BE$40:$BE$43,0))</f>
        <v>0.13950000000000001</v>
      </c>
      <c r="I26" s="107">
        <f t="shared" si="6"/>
        <v>178225.62923076923</v>
      </c>
      <c r="J26" s="41" t="s">
        <v>25</v>
      </c>
      <c r="K26" s="86">
        <f>INDEX(Model!$BG$44:$BG$47,MATCH($J26,Model!$BE$40:$BE$43,0))</f>
        <v>88.687168672720716</v>
      </c>
      <c r="L26" s="106">
        <f t="shared" si="0"/>
        <v>15806326.441391015</v>
      </c>
      <c r="M26" s="107" t="e">
        <f>'Example calcs 2000'!N26*0.95</f>
        <v>#REF!</v>
      </c>
      <c r="N26" s="107" t="e">
        <f t="shared" si="7"/>
        <v>#REF!</v>
      </c>
      <c r="O26" s="107" t="str">
        <f t="shared" si="8"/>
        <v/>
      </c>
      <c r="P26" s="107" t="e">
        <f t="shared" si="9"/>
        <v>#REF!</v>
      </c>
      <c r="Q26" s="86" t="s">
        <v>29</v>
      </c>
      <c r="R26" s="39">
        <f t="shared" si="10"/>
        <v>0</v>
      </c>
      <c r="S26" s="86">
        <f>INDEX(Model!$BG$61:$BG$220,MATCH($Q26,Model!$BE$61:$BE$220,0)+MATCH(Model!$BC$219,Model!$BC$61:$BC$220,0)-1)</f>
        <v>0.51500000000000001</v>
      </c>
      <c r="T26" s="106" t="e">
        <f t="shared" si="11"/>
        <v>#REF!</v>
      </c>
      <c r="U26" s="107" t="e">
        <f>'Example calcs 2000'!S26*0.8</f>
        <v>#REF!</v>
      </c>
      <c r="V26" s="107" t="e">
        <f t="shared" si="12"/>
        <v>#REF!</v>
      </c>
      <c r="W26" s="107" t="str">
        <f t="shared" si="13"/>
        <v/>
      </c>
      <c r="X26" s="107" t="e">
        <f t="shared" si="1"/>
        <v>#REF!</v>
      </c>
      <c r="Y26" s="41" t="s">
        <v>33</v>
      </c>
      <c r="Z26" s="39">
        <f t="shared" si="14"/>
        <v>0</v>
      </c>
      <c r="AA26" s="41">
        <f>Model!$BF$287</f>
        <v>1</v>
      </c>
      <c r="AB26" s="41"/>
      <c r="AC26" s="106" t="e">
        <f>X26*AA26</f>
        <v>#REF!</v>
      </c>
      <c r="AD26" s="107" t="e">
        <f>'Example calcs 2000'!Y26*0.8</f>
        <v>#REF!</v>
      </c>
      <c r="AE26" s="107" t="e">
        <f t="shared" si="15"/>
        <v>#REF!</v>
      </c>
      <c r="AF26" s="147" t="str">
        <f t="shared" ref="AF26" si="29">IFERROR(INDEX($AQ$12,MATCH(AH26,$AP$12,0))/SUM($AQ$12),"")</f>
        <v/>
      </c>
      <c r="AG26" s="107" t="e">
        <f t="shared" si="2"/>
        <v>#REF!</v>
      </c>
      <c r="AH26" s="87" t="s">
        <v>119</v>
      </c>
      <c r="AI26" s="39">
        <f t="shared" si="16"/>
        <v>1</v>
      </c>
      <c r="AJ26" s="87">
        <f>Model!$BF$386</f>
        <v>0.4</v>
      </c>
      <c r="AK26" s="41"/>
      <c r="AL26" s="93" t="e">
        <f t="shared" si="17"/>
        <v>#REF!</v>
      </c>
      <c r="AM26" s="87" t="e">
        <f t="shared" si="18"/>
        <v>#REF!</v>
      </c>
    </row>
    <row r="27" spans="3:50" x14ac:dyDescent="0.25">
      <c r="C27" s="128">
        <f>Model!$BG$14</f>
        <v>3321768</v>
      </c>
      <c r="D27" s="41">
        <f>Model!$BG$24</f>
        <v>0.38461538461538458</v>
      </c>
      <c r="E27" s="129">
        <f t="shared" si="4"/>
        <v>1277603.0769230768</v>
      </c>
      <c r="F27" s="41">
        <f>Model!$BG$36</f>
        <v>1</v>
      </c>
      <c r="G27" s="129">
        <f t="shared" si="5"/>
        <v>1277603.0769230768</v>
      </c>
      <c r="H27" s="86">
        <f>INDEX(Model!$BG$40:$BG$43,MATCH($J27,Model!$BE$40:$BE$43,0))</f>
        <v>0.13950000000000001</v>
      </c>
      <c r="I27" s="107">
        <f t="shared" si="6"/>
        <v>178225.62923076923</v>
      </c>
      <c r="J27" s="41" t="s">
        <v>25</v>
      </c>
      <c r="K27" s="86">
        <f>INDEX(Model!$BG$44:$BG$47,MATCH($J27,Model!$BE$40:$BE$43,0))</f>
        <v>88.687168672720716</v>
      </c>
      <c r="L27" s="106">
        <f t="shared" si="0"/>
        <v>15806326.441391015</v>
      </c>
      <c r="M27" s="107" t="e">
        <f>'Example calcs 2000'!N27*0.95</f>
        <v>#REF!</v>
      </c>
      <c r="N27" s="107" t="e">
        <f t="shared" si="7"/>
        <v>#REF!</v>
      </c>
      <c r="O27" s="107" t="str">
        <f t="shared" si="8"/>
        <v/>
      </c>
      <c r="P27" s="107" t="e">
        <f t="shared" si="9"/>
        <v>#REF!</v>
      </c>
      <c r="Q27" s="86" t="s">
        <v>29</v>
      </c>
      <c r="R27" s="39">
        <f t="shared" si="10"/>
        <v>0</v>
      </c>
      <c r="S27" s="86">
        <f>INDEX(Model!$BG$61:$BG$220,MATCH($Q27,Model!$BE$61:$BE$220,0)+MATCH(Model!$BC$219,Model!$BC$61:$BC$220,0)-1)</f>
        <v>0.51500000000000001</v>
      </c>
      <c r="T27" s="106" t="e">
        <f t="shared" si="11"/>
        <v>#REF!</v>
      </c>
      <c r="U27" s="107" t="e">
        <f>'Example calcs 2000'!S27*0.8</f>
        <v>#REF!</v>
      </c>
      <c r="V27" s="107" t="e">
        <f t="shared" si="12"/>
        <v>#REF!</v>
      </c>
      <c r="W27" s="107" t="str">
        <f t="shared" si="13"/>
        <v/>
      </c>
      <c r="X27" s="107" t="e">
        <f t="shared" si="1"/>
        <v>#REF!</v>
      </c>
      <c r="Y27" s="41" t="s">
        <v>33</v>
      </c>
      <c r="Z27" s="39">
        <f t="shared" si="14"/>
        <v>0</v>
      </c>
      <c r="AA27" s="41">
        <f>Model!$BF$287</f>
        <v>1</v>
      </c>
      <c r="AB27" s="41"/>
      <c r="AC27" s="106" t="e">
        <f>X27*AA27</f>
        <v>#REF!</v>
      </c>
      <c r="AD27" s="107" t="e">
        <f>'Example calcs 2000'!Y27*0.8</f>
        <v>#REF!</v>
      </c>
      <c r="AE27" s="107" t="e">
        <f t="shared" si="15"/>
        <v>#REF!</v>
      </c>
      <c r="AF27" s="147" t="str">
        <f>IFERROR(INDEX($AQ$12,MATCH(AH27,$AP$12,0))/SUM($AQ$12),"")</f>
        <v/>
      </c>
      <c r="AG27" s="107" t="e">
        <f t="shared" si="2"/>
        <v>#REF!</v>
      </c>
      <c r="AH27" s="87" t="s">
        <v>52</v>
      </c>
      <c r="AI27" s="39">
        <f t="shared" si="16"/>
        <v>1</v>
      </c>
      <c r="AJ27" s="87"/>
      <c r="AK27" s="41">
        <f>Model!$BF$324</f>
        <v>1.6129032258064517</v>
      </c>
      <c r="AL27" s="93" t="e">
        <f t="shared" si="17"/>
        <v>#REF!</v>
      </c>
      <c r="AM27" s="87" t="e">
        <f t="shared" si="18"/>
        <v>#REF!</v>
      </c>
    </row>
    <row r="28" spans="3:50" x14ac:dyDescent="0.25">
      <c r="C28" s="128">
        <f>Model!$BG$14</f>
        <v>3321768</v>
      </c>
      <c r="D28" s="41">
        <f>Model!$BG$24</f>
        <v>0.38461538461538458</v>
      </c>
      <c r="E28" s="129">
        <f t="shared" si="4"/>
        <v>1277603.0769230768</v>
      </c>
      <c r="F28" s="41">
        <f>Model!$BG$36</f>
        <v>1</v>
      </c>
      <c r="G28" s="129">
        <f t="shared" si="5"/>
        <v>1277603.0769230768</v>
      </c>
      <c r="H28" s="86">
        <f>INDEX(Model!$BG$40:$BG$43,MATCH($J28,Model!$BE$40:$BE$43,0))</f>
        <v>0.13950000000000001</v>
      </c>
      <c r="I28" s="107">
        <f t="shared" si="6"/>
        <v>178225.62923076923</v>
      </c>
      <c r="J28" s="87" t="s">
        <v>25</v>
      </c>
      <c r="K28" s="97">
        <f>INDEX(Model!$BG$44:$BG$47,MATCH($J28,Model!$BE$40:$BE$43,0))</f>
        <v>88.687168672720716</v>
      </c>
      <c r="L28" s="111">
        <f t="shared" si="0"/>
        <v>15806326.441391015</v>
      </c>
      <c r="M28" s="109" t="e">
        <f>'Example calcs 2000'!N28*0.95</f>
        <v>#REF!</v>
      </c>
      <c r="N28" s="107" t="e">
        <f t="shared" si="7"/>
        <v>#REF!</v>
      </c>
      <c r="O28" s="109" t="str">
        <f t="shared" si="8"/>
        <v/>
      </c>
      <c r="P28" s="109" t="e">
        <f t="shared" si="9"/>
        <v>#REF!</v>
      </c>
      <c r="Q28" s="97" t="s">
        <v>29</v>
      </c>
      <c r="R28" s="39">
        <f t="shared" si="10"/>
        <v>0</v>
      </c>
      <c r="S28" s="97">
        <f>INDEX(Model!$BG$61:$BG$220,MATCH($Q28,Model!$BE$61:$BE$220,0)+MATCH(Model!$BC$219,Model!$BC$61:$BC$220,0)-1)</f>
        <v>0.51500000000000001</v>
      </c>
      <c r="T28" s="111" t="e">
        <f t="shared" si="11"/>
        <v>#REF!</v>
      </c>
      <c r="U28" s="109" t="e">
        <f>'Example calcs 2000'!S28*0.8</f>
        <v>#REF!</v>
      </c>
      <c r="V28" s="107" t="e">
        <f t="shared" si="12"/>
        <v>#REF!</v>
      </c>
      <c r="W28" s="109" t="str">
        <f t="shared" si="13"/>
        <v/>
      </c>
      <c r="X28" s="109" t="e">
        <f t="shared" si="1"/>
        <v>#REF!</v>
      </c>
      <c r="Y28" s="87" t="s">
        <v>33</v>
      </c>
      <c r="Z28" s="39">
        <f t="shared" si="14"/>
        <v>0</v>
      </c>
      <c r="AA28" s="87">
        <f>Model!$BF$287</f>
        <v>1</v>
      </c>
      <c r="AB28" s="87"/>
      <c r="AC28" s="111" t="e">
        <f>X28*AA28</f>
        <v>#REF!</v>
      </c>
      <c r="AD28" s="109" t="e">
        <f>'Example calcs 2000'!Y28*0.8</f>
        <v>#REF!</v>
      </c>
      <c r="AE28" s="107" t="e">
        <f t="shared" si="15"/>
        <v>#REF!</v>
      </c>
      <c r="AF28" s="147" t="str">
        <f t="shared" ref="AF28" si="30">IFERROR(INDEX($AQ$12,MATCH(AH28,$AP$12,0))/SUM($AQ$12),"")</f>
        <v/>
      </c>
      <c r="AG28" s="109" t="e">
        <f t="shared" si="2"/>
        <v>#REF!</v>
      </c>
      <c r="AH28" s="87" t="s">
        <v>53</v>
      </c>
      <c r="AI28" s="39">
        <f t="shared" si="16"/>
        <v>1</v>
      </c>
      <c r="AJ28" s="87"/>
      <c r="AK28" s="87">
        <f>Model!$BF$417</f>
        <v>1.1111111111111112</v>
      </c>
      <c r="AL28" s="98" t="e">
        <f t="shared" si="17"/>
        <v>#REF!</v>
      </c>
      <c r="AM28" s="87" t="e">
        <f t="shared" si="18"/>
        <v>#REF!</v>
      </c>
      <c r="AP28" s="79"/>
      <c r="AQ28" s="79"/>
      <c r="AR28" s="79"/>
      <c r="AS28" s="79"/>
      <c r="AT28" s="79"/>
      <c r="AU28" s="79"/>
      <c r="AV28" s="79"/>
      <c r="AW28" s="79"/>
      <c r="AX28" s="79"/>
    </row>
    <row r="29" spans="3:50" s="79" customFormat="1" x14ac:dyDescent="0.25">
      <c r="C29" s="128">
        <f>Model!$BG$14</f>
        <v>3321768</v>
      </c>
      <c r="D29" s="41">
        <f>Model!$BG$24</f>
        <v>0.38461538461538458</v>
      </c>
      <c r="E29" s="129">
        <f t="shared" si="4"/>
        <v>1277603.0769230768</v>
      </c>
      <c r="F29" s="41">
        <f>Model!$BG$36</f>
        <v>1</v>
      </c>
      <c r="G29" s="129">
        <f t="shared" si="5"/>
        <v>1277603.0769230768</v>
      </c>
      <c r="H29" s="86">
        <f>INDEX(Model!$BG$40:$BG$43,MATCH($J29,Model!$BE$40:$BE$43,0))</f>
        <v>4.0000000000000036E-2</v>
      </c>
      <c r="I29" s="107">
        <f t="shared" si="6"/>
        <v>51104.123076923119</v>
      </c>
      <c r="J29" s="87" t="s">
        <v>26</v>
      </c>
      <c r="K29" s="97">
        <f>INDEX(Model!$BG$44:$BG$47,MATCH($J29,Model!$BE$40:$BE$43,0))</f>
        <v>92.262366258334637</v>
      </c>
      <c r="L29" s="111">
        <f t="shared" si="0"/>
        <v>4714987.3206340922</v>
      </c>
      <c r="M29" s="109" t="e">
        <f>'Example calcs 2000'!N29*0.95</f>
        <v>#REF!</v>
      </c>
      <c r="N29" s="107" t="e">
        <f t="shared" si="7"/>
        <v>#REF!</v>
      </c>
      <c r="O29" s="109" t="str">
        <f t="shared" si="8"/>
        <v/>
      </c>
      <c r="P29" s="109" t="e">
        <f t="shared" si="9"/>
        <v>#REF!</v>
      </c>
      <c r="Q29" s="97" t="s">
        <v>31</v>
      </c>
      <c r="R29" s="39">
        <f t="shared" si="10"/>
        <v>1</v>
      </c>
      <c r="S29" s="97">
        <f>INDEX(Model!$BG$61:$BG$220,MATCH($Q29,Model!$BE$61:$BE$220,0)+MATCH(Model!$BC$219,Model!$BC$61:$BC$220,0)-1)</f>
        <v>0.309</v>
      </c>
      <c r="T29" s="111" t="e">
        <f t="shared" si="11"/>
        <v>#REF!</v>
      </c>
      <c r="U29" s="109" t="e">
        <f>'Example calcs 2000'!S29*0.8</f>
        <v>#REF!</v>
      </c>
      <c r="V29" s="107" t="e">
        <f t="shared" si="12"/>
        <v>#REF!</v>
      </c>
      <c r="W29" s="109" t="str">
        <f t="shared" si="13"/>
        <v/>
      </c>
      <c r="X29" s="109" t="e">
        <f t="shared" si="1"/>
        <v>#REF!</v>
      </c>
      <c r="Y29" s="87" t="s">
        <v>32</v>
      </c>
      <c r="Z29" s="39">
        <f t="shared" si="14"/>
        <v>1</v>
      </c>
      <c r="AA29" s="87"/>
      <c r="AB29" s="87">
        <f>Model!$BF$256</f>
        <v>1</v>
      </c>
      <c r="AC29" s="111"/>
      <c r="AD29" s="109">
        <f>'Example calcs 2000'!Y29*0.8</f>
        <v>0</v>
      </c>
      <c r="AE29" s="107" t="e">
        <f t="shared" si="15"/>
        <v>#REF!</v>
      </c>
      <c r="AF29" s="109" t="str">
        <f t="shared" si="21"/>
        <v/>
      </c>
      <c r="AG29" s="109">
        <f t="shared" si="2"/>
        <v>0</v>
      </c>
      <c r="AH29" s="87"/>
      <c r="AI29" s="39">
        <f t="shared" si="16"/>
        <v>1</v>
      </c>
      <c r="AJ29" s="87"/>
      <c r="AK29" s="87"/>
      <c r="AL29" s="98" t="e">
        <f t="shared" si="17"/>
        <v>#REF!</v>
      </c>
      <c r="AM29" s="87">
        <f t="shared" si="18"/>
        <v>0</v>
      </c>
    </row>
    <row r="30" spans="3:50" s="79" customFormat="1" x14ac:dyDescent="0.25">
      <c r="C30" s="128">
        <f>Model!$BG$14</f>
        <v>3321768</v>
      </c>
      <c r="D30" s="41">
        <f>Model!$BG$24</f>
        <v>0.38461538461538458</v>
      </c>
      <c r="E30" s="129">
        <f t="shared" si="4"/>
        <v>1277603.0769230768</v>
      </c>
      <c r="F30" s="41">
        <f>Model!$BG$36</f>
        <v>1</v>
      </c>
      <c r="G30" s="129">
        <f t="shared" si="5"/>
        <v>1277603.0769230768</v>
      </c>
      <c r="H30" s="86">
        <f>INDEX(Model!$BG$40:$BG$43,MATCH($J30,Model!$BE$40:$BE$43,0))</f>
        <v>4.0000000000000036E-2</v>
      </c>
      <c r="I30" s="107">
        <f t="shared" si="6"/>
        <v>51104.123076923119</v>
      </c>
      <c r="J30" s="87" t="s">
        <v>26</v>
      </c>
      <c r="K30" s="97">
        <f>INDEX(Model!$BG$44:$BG$47,MATCH($J30,Model!$BE$40:$BE$43,0))</f>
        <v>92.262366258334637</v>
      </c>
      <c r="L30" s="111">
        <f t="shared" si="0"/>
        <v>4714987.3206340922</v>
      </c>
      <c r="M30" s="109" t="e">
        <f>'Example calcs 2000'!N30*0.95</f>
        <v>#REF!</v>
      </c>
      <c r="N30" s="107" t="e">
        <f t="shared" si="7"/>
        <v>#REF!</v>
      </c>
      <c r="O30" s="109" t="str">
        <f t="shared" si="8"/>
        <v/>
      </c>
      <c r="P30" s="109" t="e">
        <f t="shared" si="9"/>
        <v>#REF!</v>
      </c>
      <c r="Q30" s="97" t="s">
        <v>31</v>
      </c>
      <c r="R30" s="39">
        <f t="shared" si="10"/>
        <v>0</v>
      </c>
      <c r="S30" s="97">
        <f>INDEX(Model!$BG$61:$BG$220,MATCH($Q30,Model!$BE$61:$BE$220,0)+MATCH(Model!$BC$219,Model!$BC$61:$BC$220,0)-1)</f>
        <v>0.309</v>
      </c>
      <c r="T30" s="111" t="e">
        <f t="shared" si="11"/>
        <v>#REF!</v>
      </c>
      <c r="U30" s="109" t="e">
        <f>'Example calcs 2000'!S30*0.8</f>
        <v>#REF!</v>
      </c>
      <c r="V30" s="107" t="e">
        <f t="shared" si="12"/>
        <v>#REF!</v>
      </c>
      <c r="W30" s="109" t="str">
        <f t="shared" si="13"/>
        <v/>
      </c>
      <c r="X30" s="109" t="e">
        <f t="shared" si="1"/>
        <v>#REF!</v>
      </c>
      <c r="Y30" s="87" t="s">
        <v>33</v>
      </c>
      <c r="Z30" s="39">
        <f t="shared" si="14"/>
        <v>1</v>
      </c>
      <c r="AA30" s="87">
        <f>Model!$BF$287</f>
        <v>1</v>
      </c>
      <c r="AB30" s="87"/>
      <c r="AC30" s="111" t="e">
        <f>X30*AA30</f>
        <v>#REF!</v>
      </c>
      <c r="AD30" s="109" t="e">
        <f>'Example calcs 2000'!Y30*0.8</f>
        <v>#REF!</v>
      </c>
      <c r="AE30" s="107" t="e">
        <f t="shared" si="15"/>
        <v>#REF!</v>
      </c>
      <c r="AF30" s="109" t="str">
        <f t="shared" si="21"/>
        <v/>
      </c>
      <c r="AG30" s="109" t="e">
        <f t="shared" si="2"/>
        <v>#REF!</v>
      </c>
      <c r="AH30" s="87" t="s">
        <v>54</v>
      </c>
      <c r="AI30" s="39">
        <f t="shared" si="16"/>
        <v>1</v>
      </c>
      <c r="AJ30" s="87">
        <f>Model!$BF$355</f>
        <v>0.52631578947368418</v>
      </c>
      <c r="AK30" s="87"/>
      <c r="AL30" s="98" t="e">
        <f t="shared" si="17"/>
        <v>#REF!</v>
      </c>
      <c r="AM30" s="87" t="e">
        <f t="shared" si="18"/>
        <v>#REF!</v>
      </c>
    </row>
    <row r="31" spans="3:50" s="79" customFormat="1" x14ac:dyDescent="0.25">
      <c r="C31" s="128">
        <f>Model!$BG$14</f>
        <v>3321768</v>
      </c>
      <c r="D31" s="41">
        <f>Model!$BG$24</f>
        <v>0.38461538461538458</v>
      </c>
      <c r="E31" s="129">
        <f t="shared" si="4"/>
        <v>1277603.0769230768</v>
      </c>
      <c r="F31" s="41">
        <f>Model!$BG$36</f>
        <v>1</v>
      </c>
      <c r="G31" s="129">
        <f t="shared" si="5"/>
        <v>1277603.0769230768</v>
      </c>
      <c r="H31" s="86">
        <f>INDEX(Model!$BG$40:$BG$43,MATCH($J31,Model!$BE$40:$BE$43,0))</f>
        <v>4.0000000000000036E-2</v>
      </c>
      <c r="I31" s="107">
        <f t="shared" si="6"/>
        <v>51104.123076923119</v>
      </c>
      <c r="J31" s="87" t="s">
        <v>26</v>
      </c>
      <c r="K31" s="97">
        <f>INDEX(Model!$BG$44:$BG$47,MATCH($J31,Model!$BE$40:$BE$43,0))</f>
        <v>92.262366258334637</v>
      </c>
      <c r="L31" s="111">
        <f t="shared" si="0"/>
        <v>4714987.3206340922</v>
      </c>
      <c r="M31" s="109" t="e">
        <f>'Example calcs 2000'!N31*0.95</f>
        <v>#REF!</v>
      </c>
      <c r="N31" s="107" t="e">
        <f t="shared" si="7"/>
        <v>#REF!</v>
      </c>
      <c r="O31" s="109" t="str">
        <f t="shared" si="8"/>
        <v/>
      </c>
      <c r="P31" s="109" t="e">
        <f t="shared" si="9"/>
        <v>#REF!</v>
      </c>
      <c r="Q31" s="97" t="s">
        <v>31</v>
      </c>
      <c r="R31" s="39">
        <f t="shared" si="10"/>
        <v>0</v>
      </c>
      <c r="S31" s="97">
        <f>INDEX(Model!$BG$61:$BG$220,MATCH($Q31,Model!$BE$61:$BE$220,0)+MATCH(Model!$BC$219,Model!$BC$61:$BC$220,0)-1)</f>
        <v>0.309</v>
      </c>
      <c r="T31" s="111" t="e">
        <f t="shared" si="11"/>
        <v>#REF!</v>
      </c>
      <c r="U31" s="109" t="e">
        <f>'Example calcs 2000'!S31*0.8</f>
        <v>#REF!</v>
      </c>
      <c r="V31" s="107" t="e">
        <f t="shared" si="12"/>
        <v>#REF!</v>
      </c>
      <c r="W31" s="109" t="str">
        <f t="shared" si="13"/>
        <v/>
      </c>
      <c r="X31" s="109" t="e">
        <f t="shared" si="1"/>
        <v>#REF!</v>
      </c>
      <c r="Y31" s="87" t="s">
        <v>33</v>
      </c>
      <c r="Z31" s="39">
        <f t="shared" si="14"/>
        <v>0</v>
      </c>
      <c r="AA31" s="87">
        <f>Model!$BF$287</f>
        <v>1</v>
      </c>
      <c r="AB31" s="87"/>
      <c r="AC31" s="111" t="e">
        <f>X31*AA31</f>
        <v>#REF!</v>
      </c>
      <c r="AD31" s="109" t="e">
        <f>'Example calcs 2000'!Y31*0.8</f>
        <v>#REF!</v>
      </c>
      <c r="AE31" s="107" t="e">
        <f t="shared" si="15"/>
        <v>#REF!</v>
      </c>
      <c r="AF31" s="109" t="str">
        <f t="shared" si="21"/>
        <v/>
      </c>
      <c r="AG31" s="109" t="e">
        <f t="shared" si="2"/>
        <v>#REF!</v>
      </c>
      <c r="AH31" s="87" t="s">
        <v>119</v>
      </c>
      <c r="AI31" s="39">
        <f t="shared" si="16"/>
        <v>1</v>
      </c>
      <c r="AJ31" s="87">
        <f>Model!$BF$386</f>
        <v>0.4</v>
      </c>
      <c r="AK31" s="87"/>
      <c r="AL31" s="98" t="e">
        <f t="shared" si="17"/>
        <v>#REF!</v>
      </c>
      <c r="AM31" s="87" t="e">
        <f t="shared" si="18"/>
        <v>#REF!</v>
      </c>
    </row>
    <row r="32" spans="3:50" s="79" customFormat="1" x14ac:dyDescent="0.25">
      <c r="C32" s="128">
        <f>Model!$BG$14</f>
        <v>3321768</v>
      </c>
      <c r="D32" s="41">
        <f>Model!$BG$24</f>
        <v>0.38461538461538458</v>
      </c>
      <c r="E32" s="129">
        <f t="shared" si="4"/>
        <v>1277603.0769230768</v>
      </c>
      <c r="F32" s="41">
        <f>Model!$BG$36</f>
        <v>1</v>
      </c>
      <c r="G32" s="129">
        <f t="shared" si="5"/>
        <v>1277603.0769230768</v>
      </c>
      <c r="H32" s="86">
        <f>INDEX(Model!$BG$40:$BG$43,MATCH($J32,Model!$BE$40:$BE$43,0))</f>
        <v>4.0000000000000036E-2</v>
      </c>
      <c r="I32" s="107">
        <f t="shared" si="6"/>
        <v>51104.123076923119</v>
      </c>
      <c r="J32" s="87" t="s">
        <v>26</v>
      </c>
      <c r="K32" s="97">
        <f>INDEX(Model!$BG$44:$BG$47,MATCH($J32,Model!$BE$40:$BE$43,0))</f>
        <v>92.262366258334637</v>
      </c>
      <c r="L32" s="111">
        <f t="shared" si="0"/>
        <v>4714987.3206340922</v>
      </c>
      <c r="M32" s="109" t="e">
        <f>'Example calcs 2000'!N32*0.95</f>
        <v>#REF!</v>
      </c>
      <c r="N32" s="107" t="e">
        <f t="shared" si="7"/>
        <v>#REF!</v>
      </c>
      <c r="O32" s="109" t="str">
        <f t="shared" si="8"/>
        <v/>
      </c>
      <c r="P32" s="109" t="e">
        <f t="shared" si="9"/>
        <v>#REF!</v>
      </c>
      <c r="Q32" s="97" t="s">
        <v>31</v>
      </c>
      <c r="R32" s="39">
        <f t="shared" si="10"/>
        <v>0</v>
      </c>
      <c r="S32" s="97">
        <f>INDEX(Model!$BG$61:$BG$220,MATCH($Q32,Model!$BE$61:$BE$220,0)+MATCH(Model!$BC$219,Model!$BC$61:$BC$220,0)-1)</f>
        <v>0.309</v>
      </c>
      <c r="T32" s="111" t="e">
        <f t="shared" si="11"/>
        <v>#REF!</v>
      </c>
      <c r="U32" s="109" t="e">
        <f>'Example calcs 2000'!S32*0.8</f>
        <v>#REF!</v>
      </c>
      <c r="V32" s="107" t="e">
        <f t="shared" si="12"/>
        <v>#REF!</v>
      </c>
      <c r="W32" s="109" t="str">
        <f t="shared" si="13"/>
        <v/>
      </c>
      <c r="X32" s="109" t="e">
        <f t="shared" si="1"/>
        <v>#REF!</v>
      </c>
      <c r="Y32" s="87" t="s">
        <v>33</v>
      </c>
      <c r="Z32" s="39">
        <f t="shared" si="14"/>
        <v>0</v>
      </c>
      <c r="AA32" s="87">
        <f>Model!$BF$287</f>
        <v>1</v>
      </c>
      <c r="AB32" s="87"/>
      <c r="AC32" s="111" t="e">
        <f>X32*AA32</f>
        <v>#REF!</v>
      </c>
      <c r="AD32" s="109" t="e">
        <f>'Example calcs 2000'!Y32*0.8</f>
        <v>#REF!</v>
      </c>
      <c r="AE32" s="107" t="e">
        <f t="shared" si="15"/>
        <v>#REF!</v>
      </c>
      <c r="AF32" s="109" t="str">
        <f t="shared" si="21"/>
        <v/>
      </c>
      <c r="AG32" s="109" t="e">
        <f t="shared" si="2"/>
        <v>#REF!</v>
      </c>
      <c r="AH32" s="87" t="s">
        <v>52</v>
      </c>
      <c r="AI32" s="39">
        <f t="shared" si="16"/>
        <v>1</v>
      </c>
      <c r="AJ32" s="87"/>
      <c r="AK32" s="87">
        <f>Model!$BF$324</f>
        <v>1.6129032258064517</v>
      </c>
      <c r="AL32" s="98" t="e">
        <f t="shared" si="17"/>
        <v>#REF!</v>
      </c>
      <c r="AM32" s="87" t="e">
        <f t="shared" si="18"/>
        <v>#REF!</v>
      </c>
    </row>
    <row r="33" spans="3:39" s="79" customFormat="1" x14ac:dyDescent="0.25">
      <c r="C33" s="128">
        <f>Model!$BG$14</f>
        <v>3321768</v>
      </c>
      <c r="D33" s="41">
        <f>Model!$BG$24</f>
        <v>0.38461538461538458</v>
      </c>
      <c r="E33" s="129">
        <f t="shared" si="4"/>
        <v>1277603.0769230768</v>
      </c>
      <c r="F33" s="41">
        <f>Model!$BG$36</f>
        <v>1</v>
      </c>
      <c r="G33" s="129">
        <f t="shared" si="5"/>
        <v>1277603.0769230768</v>
      </c>
      <c r="H33" s="86">
        <f>INDEX(Model!$BG$40:$BG$43,MATCH($J33,Model!$BE$40:$BE$43,0))</f>
        <v>4.0000000000000036E-2</v>
      </c>
      <c r="I33" s="107">
        <f t="shared" si="6"/>
        <v>51104.123076923119</v>
      </c>
      <c r="J33" s="87" t="s">
        <v>26</v>
      </c>
      <c r="K33" s="97">
        <f>INDEX(Model!$BG$44:$BG$47,MATCH($J33,Model!$BE$40:$BE$43,0))</f>
        <v>92.262366258334637</v>
      </c>
      <c r="L33" s="111">
        <f t="shared" si="0"/>
        <v>4714987.3206340922</v>
      </c>
      <c r="M33" s="109" t="e">
        <f>'Example calcs 2000'!N33*0.95</f>
        <v>#REF!</v>
      </c>
      <c r="N33" s="107" t="e">
        <f t="shared" si="7"/>
        <v>#REF!</v>
      </c>
      <c r="O33" s="109" t="str">
        <f t="shared" si="8"/>
        <v/>
      </c>
      <c r="P33" s="109" t="e">
        <f t="shared" si="9"/>
        <v>#REF!</v>
      </c>
      <c r="Q33" s="97" t="s">
        <v>31</v>
      </c>
      <c r="R33" s="39">
        <f t="shared" si="10"/>
        <v>0</v>
      </c>
      <c r="S33" s="97">
        <f>INDEX(Model!$BG$61:$BG$220,MATCH($Q33,Model!$BE$61:$BE$220,0)+MATCH(Model!$BC$219,Model!$BC$61:$BC$220,0)-1)</f>
        <v>0.309</v>
      </c>
      <c r="T33" s="111" t="e">
        <f t="shared" si="11"/>
        <v>#REF!</v>
      </c>
      <c r="U33" s="109" t="e">
        <f>'Example calcs 2000'!S33*0.8</f>
        <v>#REF!</v>
      </c>
      <c r="V33" s="107" t="e">
        <f t="shared" si="12"/>
        <v>#REF!</v>
      </c>
      <c r="W33" s="109" t="str">
        <f t="shared" si="13"/>
        <v/>
      </c>
      <c r="X33" s="109" t="e">
        <f t="shared" si="1"/>
        <v>#REF!</v>
      </c>
      <c r="Y33" s="87" t="s">
        <v>33</v>
      </c>
      <c r="Z33" s="39">
        <f t="shared" si="14"/>
        <v>0</v>
      </c>
      <c r="AA33" s="87">
        <f>Model!$BF$287</f>
        <v>1</v>
      </c>
      <c r="AB33" s="87"/>
      <c r="AC33" s="111" t="e">
        <f>X33*AA33</f>
        <v>#REF!</v>
      </c>
      <c r="AD33" s="109" t="e">
        <f>'Example calcs 2000'!Y33*0.8</f>
        <v>#REF!</v>
      </c>
      <c r="AE33" s="107" t="e">
        <f t="shared" si="15"/>
        <v>#REF!</v>
      </c>
      <c r="AF33" s="109" t="str">
        <f t="shared" si="21"/>
        <v/>
      </c>
      <c r="AG33" s="109" t="e">
        <f t="shared" si="2"/>
        <v>#REF!</v>
      </c>
      <c r="AH33" s="87" t="s">
        <v>53</v>
      </c>
      <c r="AI33" s="39">
        <f t="shared" si="16"/>
        <v>1</v>
      </c>
      <c r="AJ33" s="87"/>
      <c r="AK33" s="87">
        <f>Model!$BF$417</f>
        <v>1.1111111111111112</v>
      </c>
      <c r="AL33" s="98" t="e">
        <f t="shared" si="17"/>
        <v>#REF!</v>
      </c>
      <c r="AM33" s="87" t="e">
        <f t="shared" si="18"/>
        <v>#REF!</v>
      </c>
    </row>
    <row r="34" spans="3:39" s="79" customFormat="1" x14ac:dyDescent="0.25">
      <c r="C34" s="128">
        <f>Model!$BG$14</f>
        <v>3321768</v>
      </c>
      <c r="D34" s="41">
        <f>Model!$BG$24</f>
        <v>0.38461538461538458</v>
      </c>
      <c r="E34" s="129">
        <f t="shared" si="4"/>
        <v>1277603.0769230768</v>
      </c>
      <c r="F34" s="41">
        <f>Model!$BG$36</f>
        <v>1</v>
      </c>
      <c r="G34" s="129">
        <f t="shared" si="5"/>
        <v>1277603.0769230768</v>
      </c>
      <c r="H34" s="86">
        <f>INDEX(Model!$BG$40:$BG$43,MATCH($J34,Model!$BE$40:$BE$43,0))</f>
        <v>4.0000000000000036E-2</v>
      </c>
      <c r="I34" s="107">
        <f t="shared" si="6"/>
        <v>51104.123076923119</v>
      </c>
      <c r="J34" s="87" t="s">
        <v>26</v>
      </c>
      <c r="K34" s="97">
        <f>INDEX(Model!$BG$44:$BG$47,MATCH($J34,Model!$BE$40:$BE$43,0))</f>
        <v>92.262366258334637</v>
      </c>
      <c r="L34" s="111">
        <f t="shared" si="0"/>
        <v>4714987.3206340922</v>
      </c>
      <c r="M34" s="109">
        <f>'Example calcs 2000'!N34*0.95</f>
        <v>3404252.1028155573</v>
      </c>
      <c r="N34" s="107" t="e">
        <f t="shared" si="7"/>
        <v>#REF!</v>
      </c>
      <c r="O34" s="109" t="str">
        <f t="shared" si="8"/>
        <v/>
      </c>
      <c r="P34" s="109">
        <f t="shared" si="9"/>
        <v>3404252.1028155573</v>
      </c>
      <c r="Q34" s="97" t="s">
        <v>27</v>
      </c>
      <c r="R34" s="39">
        <f t="shared" si="10"/>
        <v>1</v>
      </c>
      <c r="S34" s="97">
        <f>INDEX(Model!$BG$61:$BG$220,MATCH($Q34,Model!$BE$61:$BE$220,0)+MATCH(Model!$BC$219,Model!$BC$61:$BC$220,0)-1)</f>
        <v>0.63300000000000001</v>
      </c>
      <c r="T34" s="111">
        <f t="shared" si="11"/>
        <v>2154891.5810822477</v>
      </c>
      <c r="U34" s="109" t="e">
        <f>'Example calcs 2000'!S34*0.8</f>
        <v>#REF!</v>
      </c>
      <c r="V34" s="107" t="e">
        <f t="shared" si="12"/>
        <v>#REF!</v>
      </c>
      <c r="W34" s="109" t="str">
        <f t="shared" si="13"/>
        <v/>
      </c>
      <c r="X34" s="109" t="e">
        <f t="shared" si="1"/>
        <v>#REF!</v>
      </c>
      <c r="Y34" s="87" t="s">
        <v>32</v>
      </c>
      <c r="Z34" s="39">
        <f t="shared" si="14"/>
        <v>1</v>
      </c>
      <c r="AA34" s="87"/>
      <c r="AB34" s="87">
        <f>Model!$BF$256</f>
        <v>1</v>
      </c>
      <c r="AC34" s="111"/>
      <c r="AD34" s="109">
        <f>'Example calcs 2000'!Y34*0.8</f>
        <v>0</v>
      </c>
      <c r="AE34" s="107" t="e">
        <f t="shared" si="15"/>
        <v>#REF!</v>
      </c>
      <c r="AF34" s="109" t="str">
        <f t="shared" si="21"/>
        <v/>
      </c>
      <c r="AG34" s="109">
        <f t="shared" si="2"/>
        <v>0</v>
      </c>
      <c r="AH34" s="87"/>
      <c r="AI34" s="39">
        <f t="shared" si="16"/>
        <v>1</v>
      </c>
      <c r="AJ34" s="87"/>
      <c r="AK34" s="87"/>
      <c r="AL34" s="98" t="e">
        <f t="shared" si="17"/>
        <v>#REF!</v>
      </c>
      <c r="AM34" s="87">
        <f t="shared" si="18"/>
        <v>0</v>
      </c>
    </row>
    <row r="35" spans="3:39" s="79" customFormat="1" x14ac:dyDescent="0.25">
      <c r="C35" s="128">
        <f>Model!$BG$14</f>
        <v>3321768</v>
      </c>
      <c r="D35" s="41">
        <f>Model!$BG$24</f>
        <v>0.38461538461538458</v>
      </c>
      <c r="E35" s="129">
        <f t="shared" si="4"/>
        <v>1277603.0769230768</v>
      </c>
      <c r="F35" s="41">
        <f>Model!$BG$36</f>
        <v>1</v>
      </c>
      <c r="G35" s="129">
        <f t="shared" si="5"/>
        <v>1277603.0769230768</v>
      </c>
      <c r="H35" s="86">
        <f>INDEX(Model!$BG$40:$BG$43,MATCH($J35,Model!$BE$40:$BE$43,0))</f>
        <v>4.0000000000000036E-2</v>
      </c>
      <c r="I35" s="107">
        <f t="shared" si="6"/>
        <v>51104.123076923119</v>
      </c>
      <c r="J35" s="87" t="s">
        <v>26</v>
      </c>
      <c r="K35" s="97">
        <f>INDEX(Model!$BG$44:$BG$47,MATCH($J35,Model!$BE$40:$BE$43,0))</f>
        <v>92.262366258334637</v>
      </c>
      <c r="L35" s="111">
        <f t="shared" si="0"/>
        <v>4714987.3206340922</v>
      </c>
      <c r="M35" s="109">
        <f>'Example calcs 2000'!N35*0.95</f>
        <v>3404252.1028155573</v>
      </c>
      <c r="N35" s="107" t="e">
        <f t="shared" si="7"/>
        <v>#REF!</v>
      </c>
      <c r="O35" s="109" t="str">
        <f t="shared" si="8"/>
        <v/>
      </c>
      <c r="P35" s="109">
        <f t="shared" si="9"/>
        <v>3404252.1028155573</v>
      </c>
      <c r="Q35" s="97" t="s">
        <v>27</v>
      </c>
      <c r="R35" s="39">
        <f t="shared" si="10"/>
        <v>0</v>
      </c>
      <c r="S35" s="97">
        <f>INDEX(Model!$BG$61:$BG$220,MATCH($Q35,Model!$BE$61:$BE$220,0)+MATCH(Model!$BC$219,Model!$BC$61:$BC$220,0)-1)</f>
        <v>0.63300000000000001</v>
      </c>
      <c r="T35" s="111">
        <f t="shared" si="11"/>
        <v>2154891.5810822477</v>
      </c>
      <c r="U35" s="109" t="e">
        <f>'Example calcs 2000'!S35*0.8</f>
        <v>#REF!</v>
      </c>
      <c r="V35" s="107" t="e">
        <f t="shared" si="12"/>
        <v>#REF!</v>
      </c>
      <c r="W35" s="109" t="str">
        <f t="shared" si="13"/>
        <v/>
      </c>
      <c r="X35" s="109" t="e">
        <f t="shared" si="1"/>
        <v>#REF!</v>
      </c>
      <c r="Y35" s="87" t="s">
        <v>33</v>
      </c>
      <c r="Z35" s="39">
        <f t="shared" si="14"/>
        <v>1</v>
      </c>
      <c r="AA35" s="87">
        <f>Model!$BF$287</f>
        <v>1</v>
      </c>
      <c r="AB35" s="87"/>
      <c r="AC35" s="111" t="e">
        <f>X35*AA35</f>
        <v>#REF!</v>
      </c>
      <c r="AD35" s="109" t="e">
        <f>'Example calcs 2000'!Y35*0.8</f>
        <v>#REF!</v>
      </c>
      <c r="AE35" s="107" t="e">
        <f t="shared" si="15"/>
        <v>#REF!</v>
      </c>
      <c r="AF35" s="109" t="str">
        <f t="shared" si="21"/>
        <v/>
      </c>
      <c r="AG35" s="109" t="e">
        <f t="shared" si="2"/>
        <v>#REF!</v>
      </c>
      <c r="AH35" s="87" t="s">
        <v>54</v>
      </c>
      <c r="AI35" s="39">
        <f t="shared" si="16"/>
        <v>1</v>
      </c>
      <c r="AJ35" s="87">
        <f>Model!$BF$355</f>
        <v>0.52631578947368418</v>
      </c>
      <c r="AK35" s="87"/>
      <c r="AL35" s="98" t="e">
        <f t="shared" si="17"/>
        <v>#REF!</v>
      </c>
      <c r="AM35" s="87" t="e">
        <f t="shared" si="18"/>
        <v>#REF!</v>
      </c>
    </row>
    <row r="36" spans="3:39" s="79" customFormat="1" x14ac:dyDescent="0.25">
      <c r="C36" s="128">
        <f>Model!$BG$14</f>
        <v>3321768</v>
      </c>
      <c r="D36" s="41">
        <f>Model!$BG$24</f>
        <v>0.38461538461538458</v>
      </c>
      <c r="E36" s="129">
        <f t="shared" si="4"/>
        <v>1277603.0769230768</v>
      </c>
      <c r="F36" s="41">
        <f>Model!$BG$36</f>
        <v>1</v>
      </c>
      <c r="G36" s="129">
        <f t="shared" si="5"/>
        <v>1277603.0769230768</v>
      </c>
      <c r="H36" s="86">
        <f>INDEX(Model!$BG$40:$BG$43,MATCH($J36,Model!$BE$40:$BE$43,0))</f>
        <v>4.0000000000000036E-2</v>
      </c>
      <c r="I36" s="107">
        <f t="shared" si="6"/>
        <v>51104.123076923119</v>
      </c>
      <c r="J36" s="87" t="s">
        <v>26</v>
      </c>
      <c r="K36" s="97">
        <f>INDEX(Model!$BG$44:$BG$47,MATCH($J36,Model!$BE$40:$BE$43,0))</f>
        <v>92.262366258334637</v>
      </c>
      <c r="L36" s="111">
        <f t="shared" ref="L36:L67" si="31">K36*I36</f>
        <v>4714987.3206340922</v>
      </c>
      <c r="M36" s="109">
        <f>'Example calcs 2000'!N36*0.95</f>
        <v>3404252.1028155573</v>
      </c>
      <c r="N36" s="107" t="e">
        <f t="shared" si="7"/>
        <v>#REF!</v>
      </c>
      <c r="O36" s="109" t="str">
        <f t="shared" si="8"/>
        <v/>
      </c>
      <c r="P36" s="109">
        <f t="shared" si="9"/>
        <v>3404252.1028155573</v>
      </c>
      <c r="Q36" s="97" t="s">
        <v>27</v>
      </c>
      <c r="R36" s="39">
        <f t="shared" si="10"/>
        <v>0</v>
      </c>
      <c r="S36" s="97">
        <f>INDEX(Model!$BG$61:$BG$220,MATCH($Q36,Model!$BE$61:$BE$220,0)+MATCH(Model!$BC$219,Model!$BC$61:$BC$220,0)-1)</f>
        <v>0.63300000000000001</v>
      </c>
      <c r="T36" s="111">
        <f t="shared" si="11"/>
        <v>2154891.5810822477</v>
      </c>
      <c r="U36" s="109" t="e">
        <f>'Example calcs 2000'!S36*0.8</f>
        <v>#REF!</v>
      </c>
      <c r="V36" s="107" t="e">
        <f t="shared" si="12"/>
        <v>#REF!</v>
      </c>
      <c r="W36" s="109" t="str">
        <f t="shared" si="13"/>
        <v/>
      </c>
      <c r="X36" s="109" t="e">
        <f t="shared" si="1"/>
        <v>#REF!</v>
      </c>
      <c r="Y36" s="87" t="s">
        <v>33</v>
      </c>
      <c r="Z36" s="39">
        <f t="shared" si="14"/>
        <v>0</v>
      </c>
      <c r="AA36" s="87">
        <f>Model!$BF$287</f>
        <v>1</v>
      </c>
      <c r="AB36" s="87"/>
      <c r="AC36" s="111" t="e">
        <f>X36*AA36</f>
        <v>#REF!</v>
      </c>
      <c r="AD36" s="109" t="e">
        <f>'Example calcs 2000'!Y36*0.8</f>
        <v>#REF!</v>
      </c>
      <c r="AE36" s="107" t="e">
        <f t="shared" si="15"/>
        <v>#REF!</v>
      </c>
      <c r="AF36" s="109" t="str">
        <f t="shared" si="21"/>
        <v/>
      </c>
      <c r="AG36" s="109" t="e">
        <f t="shared" si="2"/>
        <v>#REF!</v>
      </c>
      <c r="AH36" s="87" t="s">
        <v>119</v>
      </c>
      <c r="AI36" s="39">
        <f t="shared" si="16"/>
        <v>1</v>
      </c>
      <c r="AJ36" s="87">
        <f>Model!$BF$386</f>
        <v>0.4</v>
      </c>
      <c r="AK36" s="87"/>
      <c r="AL36" s="98" t="e">
        <f t="shared" si="17"/>
        <v>#REF!</v>
      </c>
      <c r="AM36" s="87" t="e">
        <f t="shared" si="18"/>
        <v>#REF!</v>
      </c>
    </row>
    <row r="37" spans="3:39" s="79" customFormat="1" x14ac:dyDescent="0.25">
      <c r="C37" s="128">
        <f>Model!$BG$14</f>
        <v>3321768</v>
      </c>
      <c r="D37" s="41">
        <f>Model!$BG$24</f>
        <v>0.38461538461538458</v>
      </c>
      <c r="E37" s="129">
        <f t="shared" si="4"/>
        <v>1277603.0769230768</v>
      </c>
      <c r="F37" s="41">
        <f>Model!$BG$36</f>
        <v>1</v>
      </c>
      <c r="G37" s="129">
        <f t="shared" si="5"/>
        <v>1277603.0769230768</v>
      </c>
      <c r="H37" s="86">
        <f>INDEX(Model!$BG$40:$BG$43,MATCH($J37,Model!$BE$40:$BE$43,0))</f>
        <v>4.0000000000000036E-2</v>
      </c>
      <c r="I37" s="107">
        <f t="shared" si="6"/>
        <v>51104.123076923119</v>
      </c>
      <c r="J37" s="87" t="s">
        <v>26</v>
      </c>
      <c r="K37" s="97">
        <f>INDEX(Model!$BG$44:$BG$47,MATCH($J37,Model!$BE$40:$BE$43,0))</f>
        <v>92.262366258334637</v>
      </c>
      <c r="L37" s="111">
        <f t="shared" si="31"/>
        <v>4714987.3206340922</v>
      </c>
      <c r="M37" s="109">
        <f>'Example calcs 2000'!N37*0.95</f>
        <v>3404252.1028155573</v>
      </c>
      <c r="N37" s="107" t="e">
        <f t="shared" si="7"/>
        <v>#REF!</v>
      </c>
      <c r="O37" s="109" t="str">
        <f t="shared" si="8"/>
        <v/>
      </c>
      <c r="P37" s="109">
        <f t="shared" si="9"/>
        <v>3404252.1028155573</v>
      </c>
      <c r="Q37" s="97" t="s">
        <v>27</v>
      </c>
      <c r="R37" s="39">
        <f t="shared" si="10"/>
        <v>0</v>
      </c>
      <c r="S37" s="97">
        <f>INDEX(Model!$BG$61:$BG$220,MATCH($Q37,Model!$BE$61:$BE$220,0)+MATCH(Model!$BC$219,Model!$BC$61:$BC$220,0)-1)</f>
        <v>0.63300000000000001</v>
      </c>
      <c r="T37" s="111">
        <f t="shared" si="11"/>
        <v>2154891.5810822477</v>
      </c>
      <c r="U37" s="109" t="e">
        <f>'Example calcs 2000'!S37*0.8</f>
        <v>#REF!</v>
      </c>
      <c r="V37" s="107" t="e">
        <f t="shared" si="12"/>
        <v>#REF!</v>
      </c>
      <c r="W37" s="109" t="str">
        <f t="shared" si="13"/>
        <v/>
      </c>
      <c r="X37" s="109" t="e">
        <f t="shared" si="1"/>
        <v>#REF!</v>
      </c>
      <c r="Y37" s="87" t="s">
        <v>33</v>
      </c>
      <c r="Z37" s="39">
        <f t="shared" si="14"/>
        <v>0</v>
      </c>
      <c r="AA37" s="87">
        <f>Model!$BF$287</f>
        <v>1</v>
      </c>
      <c r="AB37" s="87"/>
      <c r="AC37" s="111" t="e">
        <f>X37*AA37</f>
        <v>#REF!</v>
      </c>
      <c r="AD37" s="109" t="e">
        <f>'Example calcs 2000'!Y37*0.8</f>
        <v>#REF!</v>
      </c>
      <c r="AE37" s="107" t="e">
        <f t="shared" si="15"/>
        <v>#REF!</v>
      </c>
      <c r="AF37" s="109" t="str">
        <f t="shared" si="21"/>
        <v/>
      </c>
      <c r="AG37" s="109" t="e">
        <f t="shared" si="2"/>
        <v>#REF!</v>
      </c>
      <c r="AH37" s="87" t="s">
        <v>52</v>
      </c>
      <c r="AI37" s="39">
        <f t="shared" si="16"/>
        <v>1</v>
      </c>
      <c r="AJ37" s="87"/>
      <c r="AK37" s="87">
        <f>Model!$BF$324</f>
        <v>1.6129032258064517</v>
      </c>
      <c r="AL37" s="98" t="e">
        <f t="shared" si="17"/>
        <v>#REF!</v>
      </c>
      <c r="AM37" s="87" t="e">
        <f t="shared" si="18"/>
        <v>#REF!</v>
      </c>
    </row>
    <row r="38" spans="3:39" s="79" customFormat="1" x14ac:dyDescent="0.25">
      <c r="C38" s="128">
        <f>Model!$BG$14</f>
        <v>3321768</v>
      </c>
      <c r="D38" s="41">
        <f>Model!$BG$24</f>
        <v>0.38461538461538458</v>
      </c>
      <c r="E38" s="129">
        <f t="shared" si="4"/>
        <v>1277603.0769230768</v>
      </c>
      <c r="F38" s="41">
        <f>Model!$BG$36</f>
        <v>1</v>
      </c>
      <c r="G38" s="129">
        <f t="shared" si="5"/>
        <v>1277603.0769230768</v>
      </c>
      <c r="H38" s="86">
        <f>INDEX(Model!$BG$40:$BG$43,MATCH($J38,Model!$BE$40:$BE$43,0))</f>
        <v>4.0000000000000036E-2</v>
      </c>
      <c r="I38" s="107">
        <f t="shared" si="6"/>
        <v>51104.123076923119</v>
      </c>
      <c r="J38" s="87" t="s">
        <v>26</v>
      </c>
      <c r="K38" s="97">
        <f>INDEX(Model!$BG$44:$BG$47,MATCH($J38,Model!$BE$40:$BE$43,0))</f>
        <v>92.262366258334637</v>
      </c>
      <c r="L38" s="111">
        <f t="shared" si="31"/>
        <v>4714987.3206340922</v>
      </c>
      <c r="M38" s="109">
        <f>'Example calcs 2000'!N38*0.95</f>
        <v>3404252.1028155573</v>
      </c>
      <c r="N38" s="107" t="e">
        <f t="shared" si="7"/>
        <v>#REF!</v>
      </c>
      <c r="O38" s="109" t="str">
        <f t="shared" si="8"/>
        <v/>
      </c>
      <c r="P38" s="109">
        <f t="shared" si="9"/>
        <v>3404252.1028155573</v>
      </c>
      <c r="Q38" s="97" t="s">
        <v>27</v>
      </c>
      <c r="R38" s="39">
        <f t="shared" si="10"/>
        <v>0</v>
      </c>
      <c r="S38" s="97">
        <f>INDEX(Model!$BG$61:$BG$220,MATCH($Q38,Model!$BE$61:$BE$220,0)+MATCH(Model!$BC$219,Model!$BC$61:$BC$220,0)-1)</f>
        <v>0.63300000000000001</v>
      </c>
      <c r="T38" s="111">
        <f t="shared" si="11"/>
        <v>2154891.5810822477</v>
      </c>
      <c r="U38" s="109" t="e">
        <f>'Example calcs 2000'!S38*0.8</f>
        <v>#REF!</v>
      </c>
      <c r="V38" s="107" t="e">
        <f t="shared" si="12"/>
        <v>#REF!</v>
      </c>
      <c r="W38" s="109" t="str">
        <f t="shared" si="13"/>
        <v/>
      </c>
      <c r="X38" s="109" t="e">
        <f t="shared" si="1"/>
        <v>#REF!</v>
      </c>
      <c r="Y38" s="87" t="s">
        <v>33</v>
      </c>
      <c r="Z38" s="39">
        <f t="shared" si="14"/>
        <v>0</v>
      </c>
      <c r="AA38" s="87">
        <f>Model!$BF$287</f>
        <v>1</v>
      </c>
      <c r="AB38" s="87"/>
      <c r="AC38" s="111" t="e">
        <f>X38*AA38</f>
        <v>#REF!</v>
      </c>
      <c r="AD38" s="109" t="e">
        <f>'Example calcs 2000'!Y38*0.8</f>
        <v>#REF!</v>
      </c>
      <c r="AE38" s="107" t="e">
        <f t="shared" si="15"/>
        <v>#REF!</v>
      </c>
      <c r="AF38" s="109" t="str">
        <f t="shared" si="21"/>
        <v/>
      </c>
      <c r="AG38" s="109" t="e">
        <f t="shared" si="2"/>
        <v>#REF!</v>
      </c>
      <c r="AH38" s="87" t="s">
        <v>53</v>
      </c>
      <c r="AI38" s="39">
        <f t="shared" si="16"/>
        <v>1</v>
      </c>
      <c r="AJ38" s="87"/>
      <c r="AK38" s="87">
        <f>Model!$BF$417</f>
        <v>1.1111111111111112</v>
      </c>
      <c r="AL38" s="98" t="e">
        <f t="shared" si="17"/>
        <v>#REF!</v>
      </c>
      <c r="AM38" s="87" t="e">
        <f t="shared" si="18"/>
        <v>#REF!</v>
      </c>
    </row>
    <row r="39" spans="3:39" s="79" customFormat="1" x14ac:dyDescent="0.25">
      <c r="C39" s="128">
        <f>Model!$BG$14</f>
        <v>3321768</v>
      </c>
      <c r="D39" s="41">
        <f>Model!$BG$24</f>
        <v>0.38461538461538458</v>
      </c>
      <c r="E39" s="129">
        <f t="shared" si="4"/>
        <v>1277603.0769230768</v>
      </c>
      <c r="F39" s="41">
        <f>Model!$BG$36</f>
        <v>1</v>
      </c>
      <c r="G39" s="129">
        <f t="shared" si="5"/>
        <v>1277603.0769230768</v>
      </c>
      <c r="H39" s="86">
        <f>INDEX(Model!$BG$40:$BG$43,MATCH($J39,Model!$BE$40:$BE$43,0))</f>
        <v>4.0000000000000036E-2</v>
      </c>
      <c r="I39" s="107">
        <f t="shared" si="6"/>
        <v>51104.123076923119</v>
      </c>
      <c r="J39" s="87" t="s">
        <v>26</v>
      </c>
      <c r="K39" s="97">
        <f>INDEX(Model!$BG$44:$BG$47,MATCH($J39,Model!$BE$40:$BE$43,0))</f>
        <v>92.262366258334637</v>
      </c>
      <c r="L39" s="111">
        <f t="shared" si="31"/>
        <v>4714987.3206340922</v>
      </c>
      <c r="M39" s="109" t="e">
        <f>'Example calcs 2000'!N39*0.95</f>
        <v>#REF!</v>
      </c>
      <c r="N39" s="107" t="e">
        <f t="shared" si="7"/>
        <v>#REF!</v>
      </c>
      <c r="O39" s="109" t="str">
        <f t="shared" si="8"/>
        <v/>
      </c>
      <c r="P39" s="109" t="e">
        <f t="shared" si="9"/>
        <v>#REF!</v>
      </c>
      <c r="Q39" s="97" t="s">
        <v>28</v>
      </c>
      <c r="R39" s="39">
        <f t="shared" si="10"/>
        <v>1</v>
      </c>
      <c r="S39" s="97">
        <f>INDEX(Model!$BG$61:$BG$220,MATCH($Q39,Model!$BE$61:$BE$220,0)+MATCH(Model!$BC$219,Model!$BC$61:$BC$220,0)-1)</f>
        <v>0.997</v>
      </c>
      <c r="T39" s="111" t="e">
        <f t="shared" si="11"/>
        <v>#REF!</v>
      </c>
      <c r="U39" s="109" t="e">
        <f>'Example calcs 2000'!S39*0.8</f>
        <v>#REF!</v>
      </c>
      <c r="V39" s="107" t="e">
        <f t="shared" si="12"/>
        <v>#REF!</v>
      </c>
      <c r="W39" s="109" t="str">
        <f t="shared" si="13"/>
        <v/>
      </c>
      <c r="X39" s="109" t="e">
        <f t="shared" si="1"/>
        <v>#REF!</v>
      </c>
      <c r="Y39" s="87" t="s">
        <v>32</v>
      </c>
      <c r="Z39" s="39">
        <f t="shared" si="14"/>
        <v>1</v>
      </c>
      <c r="AA39" s="87"/>
      <c r="AB39" s="87">
        <f>Model!$BF$256</f>
        <v>1</v>
      </c>
      <c r="AC39" s="111"/>
      <c r="AD39" s="109">
        <f>'Example calcs 2000'!Y39*0.8</f>
        <v>0</v>
      </c>
      <c r="AE39" s="107" t="e">
        <f t="shared" si="15"/>
        <v>#REF!</v>
      </c>
      <c r="AF39" s="109" t="str">
        <f t="shared" si="21"/>
        <v/>
      </c>
      <c r="AG39" s="109">
        <f t="shared" si="2"/>
        <v>0</v>
      </c>
      <c r="AH39" s="87"/>
      <c r="AI39" s="39">
        <f t="shared" si="16"/>
        <v>1</v>
      </c>
      <c r="AJ39" s="87"/>
      <c r="AK39" s="87"/>
      <c r="AL39" s="98" t="e">
        <f t="shared" si="17"/>
        <v>#REF!</v>
      </c>
      <c r="AM39" s="87">
        <f t="shared" si="18"/>
        <v>0</v>
      </c>
    </row>
    <row r="40" spans="3:39" s="79" customFormat="1" x14ac:dyDescent="0.25">
      <c r="C40" s="128">
        <f>Model!$BG$14</f>
        <v>3321768</v>
      </c>
      <c r="D40" s="41">
        <f>Model!$BG$24</f>
        <v>0.38461538461538458</v>
      </c>
      <c r="E40" s="129">
        <f t="shared" si="4"/>
        <v>1277603.0769230768</v>
      </c>
      <c r="F40" s="41">
        <f>Model!$BG$36</f>
        <v>1</v>
      </c>
      <c r="G40" s="129">
        <f t="shared" si="5"/>
        <v>1277603.0769230768</v>
      </c>
      <c r="H40" s="86">
        <f>INDEX(Model!$BG$40:$BG$43,MATCH($J40,Model!$BE$40:$BE$43,0))</f>
        <v>4.0000000000000036E-2</v>
      </c>
      <c r="I40" s="107">
        <f t="shared" si="6"/>
        <v>51104.123076923119</v>
      </c>
      <c r="J40" s="87" t="s">
        <v>26</v>
      </c>
      <c r="K40" s="97">
        <f>INDEX(Model!$BG$44:$BG$47,MATCH($J40,Model!$BE$40:$BE$43,0))</f>
        <v>92.262366258334637</v>
      </c>
      <c r="L40" s="111">
        <f t="shared" si="31"/>
        <v>4714987.3206340922</v>
      </c>
      <c r="M40" s="109" t="e">
        <f>'Example calcs 2000'!N40*0.95</f>
        <v>#REF!</v>
      </c>
      <c r="N40" s="107" t="e">
        <f t="shared" si="7"/>
        <v>#REF!</v>
      </c>
      <c r="O40" s="109" t="str">
        <f t="shared" si="8"/>
        <v/>
      </c>
      <c r="P40" s="109" t="e">
        <f t="shared" si="9"/>
        <v>#REF!</v>
      </c>
      <c r="Q40" s="97" t="s">
        <v>28</v>
      </c>
      <c r="R40" s="39">
        <f t="shared" si="10"/>
        <v>0</v>
      </c>
      <c r="S40" s="97">
        <f>INDEX(Model!$BG$61:$BG$220,MATCH($Q40,Model!$BE$61:$BE$220,0)+MATCH(Model!$BC$219,Model!$BC$61:$BC$220,0)-1)</f>
        <v>0.997</v>
      </c>
      <c r="T40" s="111" t="e">
        <f t="shared" si="11"/>
        <v>#REF!</v>
      </c>
      <c r="U40" s="109" t="e">
        <f>'Example calcs 2000'!S40*0.8</f>
        <v>#REF!</v>
      </c>
      <c r="V40" s="107" t="e">
        <f t="shared" si="12"/>
        <v>#REF!</v>
      </c>
      <c r="W40" s="109" t="str">
        <f t="shared" si="13"/>
        <v/>
      </c>
      <c r="X40" s="109" t="e">
        <f t="shared" si="1"/>
        <v>#REF!</v>
      </c>
      <c r="Y40" s="87" t="s">
        <v>33</v>
      </c>
      <c r="Z40" s="39">
        <f t="shared" si="14"/>
        <v>1</v>
      </c>
      <c r="AA40" s="87">
        <f>Model!$BF$287</f>
        <v>1</v>
      </c>
      <c r="AB40" s="87"/>
      <c r="AC40" s="111" t="e">
        <f>X40*AA40</f>
        <v>#REF!</v>
      </c>
      <c r="AD40" s="109" t="e">
        <f>'Example calcs 2000'!Y40*0.8</f>
        <v>#REF!</v>
      </c>
      <c r="AE40" s="107" t="e">
        <f t="shared" si="15"/>
        <v>#REF!</v>
      </c>
      <c r="AF40" s="109" t="str">
        <f t="shared" si="21"/>
        <v/>
      </c>
      <c r="AG40" s="109" t="e">
        <f t="shared" si="2"/>
        <v>#REF!</v>
      </c>
      <c r="AH40" s="87" t="s">
        <v>54</v>
      </c>
      <c r="AI40" s="39">
        <f t="shared" si="16"/>
        <v>1</v>
      </c>
      <c r="AJ40" s="87">
        <f>Model!$BF$355</f>
        <v>0.52631578947368418</v>
      </c>
      <c r="AK40" s="87"/>
      <c r="AL40" s="98" t="e">
        <f t="shared" si="17"/>
        <v>#REF!</v>
      </c>
      <c r="AM40" s="87" t="e">
        <f t="shared" si="18"/>
        <v>#REF!</v>
      </c>
    </row>
    <row r="41" spans="3:39" s="79" customFormat="1" x14ac:dyDescent="0.25">
      <c r="C41" s="128">
        <f>Model!$BG$14</f>
        <v>3321768</v>
      </c>
      <c r="D41" s="41">
        <f>Model!$BG$24</f>
        <v>0.38461538461538458</v>
      </c>
      <c r="E41" s="129">
        <f t="shared" si="4"/>
        <v>1277603.0769230768</v>
      </c>
      <c r="F41" s="41">
        <f>Model!$BG$36</f>
        <v>1</v>
      </c>
      <c r="G41" s="129">
        <f t="shared" si="5"/>
        <v>1277603.0769230768</v>
      </c>
      <c r="H41" s="86">
        <f>INDEX(Model!$BG$40:$BG$43,MATCH($J41,Model!$BE$40:$BE$43,0))</f>
        <v>4.0000000000000036E-2</v>
      </c>
      <c r="I41" s="107">
        <f t="shared" si="6"/>
        <v>51104.123076923119</v>
      </c>
      <c r="J41" s="87" t="s">
        <v>26</v>
      </c>
      <c r="K41" s="97">
        <f>INDEX(Model!$BG$44:$BG$47,MATCH($J41,Model!$BE$40:$BE$43,0))</f>
        <v>92.262366258334637</v>
      </c>
      <c r="L41" s="111">
        <f t="shared" si="31"/>
        <v>4714987.3206340922</v>
      </c>
      <c r="M41" s="109" t="e">
        <f>'Example calcs 2000'!N41*0.95</f>
        <v>#REF!</v>
      </c>
      <c r="N41" s="107" t="e">
        <f t="shared" si="7"/>
        <v>#REF!</v>
      </c>
      <c r="O41" s="109" t="str">
        <f t="shared" si="8"/>
        <v/>
      </c>
      <c r="P41" s="109" t="e">
        <f t="shared" si="9"/>
        <v>#REF!</v>
      </c>
      <c r="Q41" s="97" t="s">
        <v>28</v>
      </c>
      <c r="R41" s="39">
        <f t="shared" si="10"/>
        <v>0</v>
      </c>
      <c r="S41" s="97">
        <f>INDEX(Model!$BG$61:$BG$220,MATCH($Q41,Model!$BE$61:$BE$220,0)+MATCH(Model!$BC$219,Model!$BC$61:$BC$220,0)-1)</f>
        <v>0.997</v>
      </c>
      <c r="T41" s="111" t="e">
        <f t="shared" si="11"/>
        <v>#REF!</v>
      </c>
      <c r="U41" s="109" t="e">
        <f>'Example calcs 2000'!S41*0.8</f>
        <v>#REF!</v>
      </c>
      <c r="V41" s="107" t="e">
        <f t="shared" si="12"/>
        <v>#REF!</v>
      </c>
      <c r="W41" s="109" t="str">
        <f t="shared" si="13"/>
        <v/>
      </c>
      <c r="X41" s="109" t="e">
        <f t="shared" si="1"/>
        <v>#REF!</v>
      </c>
      <c r="Y41" s="87" t="s">
        <v>33</v>
      </c>
      <c r="Z41" s="39">
        <f t="shared" si="14"/>
        <v>0</v>
      </c>
      <c r="AA41" s="87">
        <f>Model!$BF$287</f>
        <v>1</v>
      </c>
      <c r="AB41" s="87"/>
      <c r="AC41" s="111" t="e">
        <f>X41*AA41</f>
        <v>#REF!</v>
      </c>
      <c r="AD41" s="109" t="e">
        <f>'Example calcs 2000'!Y41*0.8</f>
        <v>#REF!</v>
      </c>
      <c r="AE41" s="107" t="e">
        <f t="shared" si="15"/>
        <v>#REF!</v>
      </c>
      <c r="AF41" s="109" t="str">
        <f t="shared" si="21"/>
        <v/>
      </c>
      <c r="AG41" s="109" t="e">
        <f t="shared" si="2"/>
        <v>#REF!</v>
      </c>
      <c r="AH41" s="87" t="s">
        <v>119</v>
      </c>
      <c r="AI41" s="39">
        <f t="shared" si="16"/>
        <v>1</v>
      </c>
      <c r="AJ41" s="87">
        <f>Model!$BF$386</f>
        <v>0.4</v>
      </c>
      <c r="AK41" s="87"/>
      <c r="AL41" s="98" t="e">
        <f t="shared" si="17"/>
        <v>#REF!</v>
      </c>
      <c r="AM41" s="87" t="e">
        <f t="shared" si="18"/>
        <v>#REF!</v>
      </c>
    </row>
    <row r="42" spans="3:39" s="79" customFormat="1" x14ac:dyDescent="0.25">
      <c r="C42" s="128">
        <f>Model!$BG$14</f>
        <v>3321768</v>
      </c>
      <c r="D42" s="41">
        <f>Model!$BG$24</f>
        <v>0.38461538461538458</v>
      </c>
      <c r="E42" s="129">
        <f t="shared" si="4"/>
        <v>1277603.0769230768</v>
      </c>
      <c r="F42" s="41">
        <f>Model!$BG$36</f>
        <v>1</v>
      </c>
      <c r="G42" s="129">
        <f t="shared" si="5"/>
        <v>1277603.0769230768</v>
      </c>
      <c r="H42" s="86">
        <f>INDEX(Model!$BG$40:$BG$43,MATCH($J42,Model!$BE$40:$BE$43,0))</f>
        <v>4.0000000000000036E-2</v>
      </c>
      <c r="I42" s="107">
        <f t="shared" si="6"/>
        <v>51104.123076923119</v>
      </c>
      <c r="J42" s="87" t="s">
        <v>26</v>
      </c>
      <c r="K42" s="97">
        <f>INDEX(Model!$BG$44:$BG$47,MATCH($J42,Model!$BE$40:$BE$43,0))</f>
        <v>92.262366258334637</v>
      </c>
      <c r="L42" s="111">
        <f t="shared" si="31"/>
        <v>4714987.3206340922</v>
      </c>
      <c r="M42" s="109" t="e">
        <f>'Example calcs 2000'!N42*0.95</f>
        <v>#REF!</v>
      </c>
      <c r="N42" s="107" t="e">
        <f t="shared" si="7"/>
        <v>#REF!</v>
      </c>
      <c r="O42" s="109" t="str">
        <f t="shared" si="8"/>
        <v/>
      </c>
      <c r="P42" s="109" t="e">
        <f t="shared" si="9"/>
        <v>#REF!</v>
      </c>
      <c r="Q42" s="97" t="s">
        <v>28</v>
      </c>
      <c r="R42" s="39">
        <f t="shared" si="10"/>
        <v>0</v>
      </c>
      <c r="S42" s="97">
        <f>INDEX(Model!$BG$61:$BG$220,MATCH($Q42,Model!$BE$61:$BE$220,0)+MATCH(Model!$BC$219,Model!$BC$61:$BC$220,0)-1)</f>
        <v>0.997</v>
      </c>
      <c r="T42" s="111" t="e">
        <f t="shared" si="11"/>
        <v>#REF!</v>
      </c>
      <c r="U42" s="109" t="e">
        <f>'Example calcs 2000'!S42*0.8</f>
        <v>#REF!</v>
      </c>
      <c r="V42" s="107" t="e">
        <f t="shared" si="12"/>
        <v>#REF!</v>
      </c>
      <c r="W42" s="109" t="str">
        <f t="shared" si="13"/>
        <v/>
      </c>
      <c r="X42" s="109" t="e">
        <f t="shared" si="1"/>
        <v>#REF!</v>
      </c>
      <c r="Y42" s="87" t="s">
        <v>33</v>
      </c>
      <c r="Z42" s="39">
        <f t="shared" si="14"/>
        <v>0</v>
      </c>
      <c r="AA42" s="87">
        <f>Model!$BF$287</f>
        <v>1</v>
      </c>
      <c r="AB42" s="87"/>
      <c r="AC42" s="111" t="e">
        <f>X42*AA42</f>
        <v>#REF!</v>
      </c>
      <c r="AD42" s="109" t="e">
        <f>'Example calcs 2000'!Y42*0.8</f>
        <v>#REF!</v>
      </c>
      <c r="AE42" s="107" t="e">
        <f t="shared" si="15"/>
        <v>#REF!</v>
      </c>
      <c r="AF42" s="109" t="str">
        <f t="shared" si="21"/>
        <v/>
      </c>
      <c r="AG42" s="109" t="e">
        <f t="shared" si="2"/>
        <v>#REF!</v>
      </c>
      <c r="AH42" s="87" t="s">
        <v>52</v>
      </c>
      <c r="AI42" s="39">
        <f t="shared" si="16"/>
        <v>1</v>
      </c>
      <c r="AJ42" s="87"/>
      <c r="AK42" s="87">
        <f>Model!$BF$324</f>
        <v>1.6129032258064517</v>
      </c>
      <c r="AL42" s="98" t="e">
        <f t="shared" si="17"/>
        <v>#REF!</v>
      </c>
      <c r="AM42" s="87" t="e">
        <f t="shared" si="18"/>
        <v>#REF!</v>
      </c>
    </row>
    <row r="43" spans="3:39" s="79" customFormat="1" x14ac:dyDescent="0.25">
      <c r="C43" s="128">
        <f>Model!$BG$14</f>
        <v>3321768</v>
      </c>
      <c r="D43" s="41">
        <f>Model!$BG$24</f>
        <v>0.38461538461538458</v>
      </c>
      <c r="E43" s="129">
        <f t="shared" si="4"/>
        <v>1277603.0769230768</v>
      </c>
      <c r="F43" s="41">
        <f>Model!$BG$36</f>
        <v>1</v>
      </c>
      <c r="G43" s="129">
        <f t="shared" si="5"/>
        <v>1277603.0769230768</v>
      </c>
      <c r="H43" s="86">
        <f>INDEX(Model!$BG$40:$BG$43,MATCH($J43,Model!$BE$40:$BE$43,0))</f>
        <v>4.0000000000000036E-2</v>
      </c>
      <c r="I43" s="107">
        <f t="shared" si="6"/>
        <v>51104.123076923119</v>
      </c>
      <c r="J43" s="87" t="s">
        <v>26</v>
      </c>
      <c r="K43" s="97">
        <f>INDEX(Model!$BG$44:$BG$47,MATCH($J43,Model!$BE$40:$BE$43,0))</f>
        <v>92.262366258334637</v>
      </c>
      <c r="L43" s="111">
        <f t="shared" si="31"/>
        <v>4714987.3206340922</v>
      </c>
      <c r="M43" s="109" t="e">
        <f>'Example calcs 2000'!N43*0.95</f>
        <v>#REF!</v>
      </c>
      <c r="N43" s="107" t="e">
        <f t="shared" si="7"/>
        <v>#REF!</v>
      </c>
      <c r="O43" s="109" t="str">
        <f t="shared" si="8"/>
        <v/>
      </c>
      <c r="P43" s="109" t="e">
        <f t="shared" si="9"/>
        <v>#REF!</v>
      </c>
      <c r="Q43" s="97" t="s">
        <v>28</v>
      </c>
      <c r="R43" s="39">
        <f t="shared" si="10"/>
        <v>0</v>
      </c>
      <c r="S43" s="97">
        <f>INDEX(Model!$BG$61:$BG$220,MATCH($Q43,Model!$BE$61:$BE$220,0)+MATCH(Model!$BC$219,Model!$BC$61:$BC$220,0)-1)</f>
        <v>0.997</v>
      </c>
      <c r="T43" s="111" t="e">
        <f t="shared" si="11"/>
        <v>#REF!</v>
      </c>
      <c r="U43" s="109" t="e">
        <f>'Example calcs 2000'!S43*0.8</f>
        <v>#REF!</v>
      </c>
      <c r="V43" s="107" t="e">
        <f t="shared" si="12"/>
        <v>#REF!</v>
      </c>
      <c r="W43" s="109" t="str">
        <f t="shared" si="13"/>
        <v/>
      </c>
      <c r="X43" s="109" t="e">
        <f t="shared" si="1"/>
        <v>#REF!</v>
      </c>
      <c r="Y43" s="87" t="s">
        <v>33</v>
      </c>
      <c r="Z43" s="39">
        <f t="shared" si="14"/>
        <v>0</v>
      </c>
      <c r="AA43" s="87">
        <f>Model!$BF$287</f>
        <v>1</v>
      </c>
      <c r="AB43" s="87"/>
      <c r="AC43" s="111" t="e">
        <f>X43*AA43</f>
        <v>#REF!</v>
      </c>
      <c r="AD43" s="109" t="e">
        <f>'Example calcs 2000'!Y43*0.8</f>
        <v>#REF!</v>
      </c>
      <c r="AE43" s="107" t="e">
        <f t="shared" si="15"/>
        <v>#REF!</v>
      </c>
      <c r="AF43" s="109" t="str">
        <f t="shared" si="21"/>
        <v/>
      </c>
      <c r="AG43" s="109" t="e">
        <f t="shared" si="2"/>
        <v>#REF!</v>
      </c>
      <c r="AH43" s="87" t="s">
        <v>53</v>
      </c>
      <c r="AI43" s="39">
        <f t="shared" si="16"/>
        <v>1</v>
      </c>
      <c r="AJ43" s="87"/>
      <c r="AK43" s="87">
        <f>Model!$BF$417</f>
        <v>1.1111111111111112</v>
      </c>
      <c r="AL43" s="98" t="e">
        <f t="shared" si="17"/>
        <v>#REF!</v>
      </c>
      <c r="AM43" s="87" t="e">
        <f t="shared" si="18"/>
        <v>#REF!</v>
      </c>
    </row>
    <row r="44" spans="3:39" s="79" customFormat="1" x14ac:dyDescent="0.25">
      <c r="C44" s="128">
        <f>Model!$BG$14</f>
        <v>3321768</v>
      </c>
      <c r="D44" s="41">
        <f>Model!$BG$24</f>
        <v>0.38461538461538458</v>
      </c>
      <c r="E44" s="129">
        <f t="shared" si="4"/>
        <v>1277603.0769230768</v>
      </c>
      <c r="F44" s="41">
        <f>Model!$BG$36</f>
        <v>1</v>
      </c>
      <c r="G44" s="129">
        <f t="shared" si="5"/>
        <v>1277603.0769230768</v>
      </c>
      <c r="H44" s="86">
        <f>INDEX(Model!$BG$40:$BG$43,MATCH($J44,Model!$BE$40:$BE$43,0))</f>
        <v>4.0000000000000036E-2</v>
      </c>
      <c r="I44" s="107">
        <f t="shared" si="6"/>
        <v>51104.123076923119</v>
      </c>
      <c r="J44" s="87" t="s">
        <v>26</v>
      </c>
      <c r="K44" s="97">
        <f>INDEX(Model!$BG$44:$BG$47,MATCH($J44,Model!$BE$40:$BE$43,0))</f>
        <v>92.262366258334637</v>
      </c>
      <c r="L44" s="111">
        <f t="shared" si="31"/>
        <v>4714987.3206340922</v>
      </c>
      <c r="M44" s="109" t="e">
        <f>'Example calcs 2000'!N44*0.95</f>
        <v>#REF!</v>
      </c>
      <c r="N44" s="107" t="e">
        <f t="shared" si="7"/>
        <v>#REF!</v>
      </c>
      <c r="O44" s="109" t="str">
        <f t="shared" si="8"/>
        <v/>
      </c>
      <c r="P44" s="109" t="e">
        <f t="shared" si="9"/>
        <v>#REF!</v>
      </c>
      <c r="Q44" s="97" t="s">
        <v>30</v>
      </c>
      <c r="R44" s="39">
        <f t="shared" si="10"/>
        <v>1</v>
      </c>
      <c r="S44" s="97">
        <f>INDEX(Model!$BG$61:$BG$220,MATCH($Q44,Model!$BE$61:$BE$220,0)+MATCH(Model!$BC$219,Model!$BC$61:$BC$220,0)-1)</f>
        <v>0.36</v>
      </c>
      <c r="T44" s="111" t="e">
        <f t="shared" si="11"/>
        <v>#REF!</v>
      </c>
      <c r="U44" s="109" t="e">
        <f>'Example calcs 2000'!S44*0.8</f>
        <v>#REF!</v>
      </c>
      <c r="V44" s="107" t="e">
        <f t="shared" si="12"/>
        <v>#REF!</v>
      </c>
      <c r="W44" s="109" t="str">
        <f t="shared" si="13"/>
        <v/>
      </c>
      <c r="X44" s="109" t="e">
        <f t="shared" si="1"/>
        <v>#REF!</v>
      </c>
      <c r="Y44" s="87" t="s">
        <v>32</v>
      </c>
      <c r="Z44" s="39">
        <f t="shared" si="14"/>
        <v>1</v>
      </c>
      <c r="AA44" s="87"/>
      <c r="AB44" s="87">
        <f>Model!$BF$256</f>
        <v>1</v>
      </c>
      <c r="AC44" s="111"/>
      <c r="AD44" s="109">
        <f>'Example calcs 2000'!Y44*0.8</f>
        <v>0</v>
      </c>
      <c r="AE44" s="107" t="e">
        <f t="shared" si="15"/>
        <v>#REF!</v>
      </c>
      <c r="AF44" s="109" t="str">
        <f t="shared" si="21"/>
        <v/>
      </c>
      <c r="AG44" s="109">
        <f t="shared" si="2"/>
        <v>0</v>
      </c>
      <c r="AH44" s="87"/>
      <c r="AI44" s="39">
        <f t="shared" si="16"/>
        <v>1</v>
      </c>
      <c r="AJ44" s="87"/>
      <c r="AK44" s="87"/>
      <c r="AL44" s="98" t="e">
        <f t="shared" si="17"/>
        <v>#REF!</v>
      </c>
      <c r="AM44" s="87">
        <f t="shared" si="18"/>
        <v>0</v>
      </c>
    </row>
    <row r="45" spans="3:39" s="79" customFormat="1" x14ac:dyDescent="0.25">
      <c r="C45" s="128">
        <f>Model!$BG$14</f>
        <v>3321768</v>
      </c>
      <c r="D45" s="41">
        <f>Model!$BG$24</f>
        <v>0.38461538461538458</v>
      </c>
      <c r="E45" s="129">
        <f t="shared" si="4"/>
        <v>1277603.0769230768</v>
      </c>
      <c r="F45" s="41">
        <f>Model!$BG$36</f>
        <v>1</v>
      </c>
      <c r="G45" s="129">
        <f t="shared" si="5"/>
        <v>1277603.0769230768</v>
      </c>
      <c r="H45" s="86">
        <f>INDEX(Model!$BG$40:$BG$43,MATCH($J45,Model!$BE$40:$BE$43,0))</f>
        <v>4.0000000000000036E-2</v>
      </c>
      <c r="I45" s="107">
        <f t="shared" si="6"/>
        <v>51104.123076923119</v>
      </c>
      <c r="J45" s="87" t="s">
        <v>26</v>
      </c>
      <c r="K45" s="97">
        <f>INDEX(Model!$BG$44:$BG$47,MATCH($J45,Model!$BE$40:$BE$43,0))</f>
        <v>92.262366258334637</v>
      </c>
      <c r="L45" s="111">
        <f t="shared" si="31"/>
        <v>4714987.3206340922</v>
      </c>
      <c r="M45" s="109" t="e">
        <f>'Example calcs 2000'!N45*0.95</f>
        <v>#REF!</v>
      </c>
      <c r="N45" s="107" t="e">
        <f t="shared" si="7"/>
        <v>#REF!</v>
      </c>
      <c r="O45" s="109" t="str">
        <f t="shared" si="8"/>
        <v/>
      </c>
      <c r="P45" s="109" t="e">
        <f t="shared" si="9"/>
        <v>#REF!</v>
      </c>
      <c r="Q45" s="97" t="s">
        <v>30</v>
      </c>
      <c r="R45" s="39">
        <f t="shared" si="10"/>
        <v>0</v>
      </c>
      <c r="S45" s="97">
        <f>INDEX(Model!$BG$61:$BG$220,MATCH($Q45,Model!$BE$61:$BE$220,0)+MATCH(Model!$BC$219,Model!$BC$61:$BC$220,0)-1)</f>
        <v>0.36</v>
      </c>
      <c r="T45" s="111" t="e">
        <f t="shared" si="11"/>
        <v>#REF!</v>
      </c>
      <c r="U45" s="109" t="e">
        <f>'Example calcs 2000'!S45*0.8</f>
        <v>#REF!</v>
      </c>
      <c r="V45" s="107" t="e">
        <f t="shared" si="12"/>
        <v>#REF!</v>
      </c>
      <c r="W45" s="109" t="str">
        <f t="shared" si="13"/>
        <v/>
      </c>
      <c r="X45" s="109" t="e">
        <f t="shared" si="1"/>
        <v>#REF!</v>
      </c>
      <c r="Y45" s="87" t="s">
        <v>33</v>
      </c>
      <c r="Z45" s="39">
        <f t="shared" si="14"/>
        <v>1</v>
      </c>
      <c r="AA45" s="87">
        <f>Model!$BF$287</f>
        <v>1</v>
      </c>
      <c r="AB45" s="87"/>
      <c r="AC45" s="111" t="e">
        <f>X45*AA45</f>
        <v>#REF!</v>
      </c>
      <c r="AD45" s="109" t="e">
        <f>'Example calcs 2000'!Y45*0.8</f>
        <v>#REF!</v>
      </c>
      <c r="AE45" s="107" t="e">
        <f t="shared" si="15"/>
        <v>#REF!</v>
      </c>
      <c r="AF45" s="109" t="str">
        <f t="shared" si="21"/>
        <v/>
      </c>
      <c r="AG45" s="109" t="e">
        <f t="shared" si="2"/>
        <v>#REF!</v>
      </c>
      <c r="AH45" s="87" t="s">
        <v>54</v>
      </c>
      <c r="AI45" s="39">
        <f t="shared" si="16"/>
        <v>1</v>
      </c>
      <c r="AJ45" s="87">
        <f>Model!$BF$355</f>
        <v>0.52631578947368418</v>
      </c>
      <c r="AK45" s="87"/>
      <c r="AL45" s="98" t="e">
        <f t="shared" si="17"/>
        <v>#REF!</v>
      </c>
      <c r="AM45" s="87" t="e">
        <f t="shared" si="18"/>
        <v>#REF!</v>
      </c>
    </row>
    <row r="46" spans="3:39" s="79" customFormat="1" x14ac:dyDescent="0.25">
      <c r="C46" s="128">
        <f>Model!$BG$14</f>
        <v>3321768</v>
      </c>
      <c r="D46" s="41">
        <f>Model!$BG$24</f>
        <v>0.38461538461538458</v>
      </c>
      <c r="E46" s="129">
        <f t="shared" si="4"/>
        <v>1277603.0769230768</v>
      </c>
      <c r="F46" s="41">
        <f>Model!$BG$36</f>
        <v>1</v>
      </c>
      <c r="G46" s="129">
        <f t="shared" si="5"/>
        <v>1277603.0769230768</v>
      </c>
      <c r="H46" s="86">
        <f>INDEX(Model!$BG$40:$BG$43,MATCH($J46,Model!$BE$40:$BE$43,0))</f>
        <v>4.0000000000000036E-2</v>
      </c>
      <c r="I46" s="107">
        <f t="shared" si="6"/>
        <v>51104.123076923119</v>
      </c>
      <c r="J46" s="87" t="s">
        <v>26</v>
      </c>
      <c r="K46" s="97">
        <f>INDEX(Model!$BG$44:$BG$47,MATCH($J46,Model!$BE$40:$BE$43,0))</f>
        <v>92.262366258334637</v>
      </c>
      <c r="L46" s="111">
        <f t="shared" si="31"/>
        <v>4714987.3206340922</v>
      </c>
      <c r="M46" s="109" t="e">
        <f>'Example calcs 2000'!N46*0.95</f>
        <v>#REF!</v>
      </c>
      <c r="N46" s="107" t="e">
        <f t="shared" si="7"/>
        <v>#REF!</v>
      </c>
      <c r="O46" s="109" t="str">
        <f t="shared" si="8"/>
        <v/>
      </c>
      <c r="P46" s="109" t="e">
        <f t="shared" si="9"/>
        <v>#REF!</v>
      </c>
      <c r="Q46" s="97" t="s">
        <v>30</v>
      </c>
      <c r="R46" s="39">
        <f t="shared" si="10"/>
        <v>0</v>
      </c>
      <c r="S46" s="97">
        <f>INDEX(Model!$BG$61:$BG$220,MATCH($Q46,Model!$BE$61:$BE$220,0)+MATCH(Model!$BC$219,Model!$BC$61:$BC$220,0)-1)</f>
        <v>0.36</v>
      </c>
      <c r="T46" s="111" t="e">
        <f t="shared" si="11"/>
        <v>#REF!</v>
      </c>
      <c r="U46" s="109" t="e">
        <f>'Example calcs 2000'!S46*0.8</f>
        <v>#REF!</v>
      </c>
      <c r="V46" s="107" t="e">
        <f t="shared" si="12"/>
        <v>#REF!</v>
      </c>
      <c r="W46" s="109" t="str">
        <f t="shared" si="13"/>
        <v/>
      </c>
      <c r="X46" s="109" t="e">
        <f t="shared" si="1"/>
        <v>#REF!</v>
      </c>
      <c r="Y46" s="87" t="s">
        <v>33</v>
      </c>
      <c r="Z46" s="39">
        <f t="shared" si="14"/>
        <v>0</v>
      </c>
      <c r="AA46" s="87">
        <f>Model!$BF$287</f>
        <v>1</v>
      </c>
      <c r="AB46" s="87"/>
      <c r="AC46" s="111" t="e">
        <f>X46*AA46</f>
        <v>#REF!</v>
      </c>
      <c r="AD46" s="109" t="e">
        <f>'Example calcs 2000'!Y46*0.8</f>
        <v>#REF!</v>
      </c>
      <c r="AE46" s="107" t="e">
        <f t="shared" si="15"/>
        <v>#REF!</v>
      </c>
      <c r="AF46" s="109" t="str">
        <f t="shared" si="21"/>
        <v/>
      </c>
      <c r="AG46" s="109" t="e">
        <f t="shared" si="2"/>
        <v>#REF!</v>
      </c>
      <c r="AH46" s="87" t="s">
        <v>119</v>
      </c>
      <c r="AI46" s="39">
        <f t="shared" si="16"/>
        <v>1</v>
      </c>
      <c r="AJ46" s="87">
        <f>Model!$BF$386</f>
        <v>0.4</v>
      </c>
      <c r="AK46" s="87"/>
      <c r="AL46" s="98" t="e">
        <f t="shared" si="17"/>
        <v>#REF!</v>
      </c>
      <c r="AM46" s="87" t="e">
        <f t="shared" si="18"/>
        <v>#REF!</v>
      </c>
    </row>
    <row r="47" spans="3:39" s="79" customFormat="1" x14ac:dyDescent="0.25">
      <c r="C47" s="128">
        <f>Model!$BG$14</f>
        <v>3321768</v>
      </c>
      <c r="D47" s="41">
        <f>Model!$BG$24</f>
        <v>0.38461538461538458</v>
      </c>
      <c r="E47" s="129">
        <f t="shared" si="4"/>
        <v>1277603.0769230768</v>
      </c>
      <c r="F47" s="41">
        <f>Model!$BG$36</f>
        <v>1</v>
      </c>
      <c r="G47" s="129">
        <f t="shared" si="5"/>
        <v>1277603.0769230768</v>
      </c>
      <c r="H47" s="86">
        <f>INDEX(Model!$BG$40:$BG$43,MATCH($J47,Model!$BE$40:$BE$43,0))</f>
        <v>4.0000000000000036E-2</v>
      </c>
      <c r="I47" s="107">
        <f t="shared" si="6"/>
        <v>51104.123076923119</v>
      </c>
      <c r="J47" s="87" t="s">
        <v>26</v>
      </c>
      <c r="K47" s="97">
        <f>INDEX(Model!$BG$44:$BG$47,MATCH($J47,Model!$BE$40:$BE$43,0))</f>
        <v>92.262366258334637</v>
      </c>
      <c r="L47" s="111">
        <f t="shared" si="31"/>
        <v>4714987.3206340922</v>
      </c>
      <c r="M47" s="109" t="e">
        <f>'Example calcs 2000'!N47*0.95</f>
        <v>#REF!</v>
      </c>
      <c r="N47" s="107" t="e">
        <f t="shared" si="7"/>
        <v>#REF!</v>
      </c>
      <c r="O47" s="109" t="str">
        <f t="shared" si="8"/>
        <v/>
      </c>
      <c r="P47" s="109" t="e">
        <f t="shared" si="9"/>
        <v>#REF!</v>
      </c>
      <c r="Q47" s="97" t="s">
        <v>30</v>
      </c>
      <c r="R47" s="39">
        <f t="shared" si="10"/>
        <v>0</v>
      </c>
      <c r="S47" s="97">
        <f>INDEX(Model!$BG$61:$BG$220,MATCH($Q47,Model!$BE$61:$BE$220,0)+MATCH(Model!$BC$219,Model!$BC$61:$BC$220,0)-1)</f>
        <v>0.36</v>
      </c>
      <c r="T47" s="111" t="e">
        <f t="shared" si="11"/>
        <v>#REF!</v>
      </c>
      <c r="U47" s="109" t="e">
        <f>'Example calcs 2000'!S47*0.8</f>
        <v>#REF!</v>
      </c>
      <c r="V47" s="107" t="e">
        <f t="shared" si="12"/>
        <v>#REF!</v>
      </c>
      <c r="W47" s="109" t="str">
        <f t="shared" si="13"/>
        <v/>
      </c>
      <c r="X47" s="109" t="e">
        <f t="shared" si="1"/>
        <v>#REF!</v>
      </c>
      <c r="Y47" s="87" t="s">
        <v>33</v>
      </c>
      <c r="Z47" s="39">
        <f t="shared" si="14"/>
        <v>0</v>
      </c>
      <c r="AA47" s="87">
        <f>Model!$BF$287</f>
        <v>1</v>
      </c>
      <c r="AB47" s="87"/>
      <c r="AC47" s="111" t="e">
        <f>X47*AA47</f>
        <v>#REF!</v>
      </c>
      <c r="AD47" s="109" t="e">
        <f>'Example calcs 2000'!Y47*0.8</f>
        <v>#REF!</v>
      </c>
      <c r="AE47" s="107" t="e">
        <f t="shared" si="15"/>
        <v>#REF!</v>
      </c>
      <c r="AF47" s="109" t="str">
        <f t="shared" si="21"/>
        <v/>
      </c>
      <c r="AG47" s="109" t="e">
        <f t="shared" si="2"/>
        <v>#REF!</v>
      </c>
      <c r="AH47" s="87" t="s">
        <v>52</v>
      </c>
      <c r="AI47" s="39">
        <f t="shared" si="16"/>
        <v>1</v>
      </c>
      <c r="AJ47" s="87"/>
      <c r="AK47" s="87">
        <f>Model!$BF$324</f>
        <v>1.6129032258064517</v>
      </c>
      <c r="AL47" s="98" t="e">
        <f t="shared" si="17"/>
        <v>#REF!</v>
      </c>
      <c r="AM47" s="87" t="e">
        <f t="shared" si="18"/>
        <v>#REF!</v>
      </c>
    </row>
    <row r="48" spans="3:39" s="79" customFormat="1" x14ac:dyDescent="0.25">
      <c r="C48" s="128">
        <f>Model!$BG$14</f>
        <v>3321768</v>
      </c>
      <c r="D48" s="41">
        <f>Model!$BG$24</f>
        <v>0.38461538461538458</v>
      </c>
      <c r="E48" s="129">
        <f t="shared" si="4"/>
        <v>1277603.0769230768</v>
      </c>
      <c r="F48" s="41">
        <f>Model!$BG$36</f>
        <v>1</v>
      </c>
      <c r="G48" s="129">
        <f t="shared" si="5"/>
        <v>1277603.0769230768</v>
      </c>
      <c r="H48" s="86">
        <f>INDEX(Model!$BG$40:$BG$43,MATCH($J48,Model!$BE$40:$BE$43,0))</f>
        <v>4.0000000000000036E-2</v>
      </c>
      <c r="I48" s="107">
        <f t="shared" si="6"/>
        <v>51104.123076923119</v>
      </c>
      <c r="J48" s="87" t="s">
        <v>26</v>
      </c>
      <c r="K48" s="97">
        <f>INDEX(Model!$BG$44:$BG$47,MATCH($J48,Model!$BE$40:$BE$43,0))</f>
        <v>92.262366258334637</v>
      </c>
      <c r="L48" s="111">
        <f t="shared" si="31"/>
        <v>4714987.3206340922</v>
      </c>
      <c r="M48" s="109" t="e">
        <f>'Example calcs 2000'!N48*0.95</f>
        <v>#REF!</v>
      </c>
      <c r="N48" s="107" t="e">
        <f t="shared" si="7"/>
        <v>#REF!</v>
      </c>
      <c r="O48" s="109" t="str">
        <f t="shared" si="8"/>
        <v/>
      </c>
      <c r="P48" s="109" t="e">
        <f t="shared" si="9"/>
        <v>#REF!</v>
      </c>
      <c r="Q48" s="97" t="s">
        <v>30</v>
      </c>
      <c r="R48" s="39">
        <f t="shared" si="10"/>
        <v>0</v>
      </c>
      <c r="S48" s="97">
        <f>INDEX(Model!$BG$61:$BG$220,MATCH($Q48,Model!$BE$61:$BE$220,0)+MATCH(Model!$BC$219,Model!$BC$61:$BC$220,0)-1)</f>
        <v>0.36</v>
      </c>
      <c r="T48" s="111" t="e">
        <f t="shared" si="11"/>
        <v>#REF!</v>
      </c>
      <c r="U48" s="109" t="e">
        <f>'Example calcs 2000'!S48*0.8</f>
        <v>#REF!</v>
      </c>
      <c r="V48" s="107" t="e">
        <f t="shared" si="12"/>
        <v>#REF!</v>
      </c>
      <c r="W48" s="109" t="str">
        <f t="shared" si="13"/>
        <v/>
      </c>
      <c r="X48" s="109" t="e">
        <f t="shared" si="1"/>
        <v>#REF!</v>
      </c>
      <c r="Y48" s="87" t="s">
        <v>33</v>
      </c>
      <c r="Z48" s="39">
        <f t="shared" si="14"/>
        <v>0</v>
      </c>
      <c r="AA48" s="87">
        <f>Model!$BF$287</f>
        <v>1</v>
      </c>
      <c r="AB48" s="87"/>
      <c r="AC48" s="111" t="e">
        <f>X48*AA48</f>
        <v>#REF!</v>
      </c>
      <c r="AD48" s="109" t="e">
        <f>'Example calcs 2000'!Y48*0.8</f>
        <v>#REF!</v>
      </c>
      <c r="AE48" s="107" t="e">
        <f t="shared" si="15"/>
        <v>#REF!</v>
      </c>
      <c r="AF48" s="109" t="str">
        <f t="shared" si="21"/>
        <v/>
      </c>
      <c r="AG48" s="109" t="e">
        <f t="shared" si="2"/>
        <v>#REF!</v>
      </c>
      <c r="AH48" s="87" t="s">
        <v>53</v>
      </c>
      <c r="AI48" s="39">
        <f t="shared" si="16"/>
        <v>1</v>
      </c>
      <c r="AJ48" s="87"/>
      <c r="AK48" s="87">
        <f>Model!$BF$417</f>
        <v>1.1111111111111112</v>
      </c>
      <c r="AL48" s="98" t="e">
        <f t="shared" si="17"/>
        <v>#REF!</v>
      </c>
      <c r="AM48" s="87" t="e">
        <f t="shared" si="18"/>
        <v>#REF!</v>
      </c>
    </row>
    <row r="49" spans="3:50" s="79" customFormat="1" x14ac:dyDescent="0.25">
      <c r="C49" s="128">
        <f>Model!$BG$14</f>
        <v>3321768</v>
      </c>
      <c r="D49" s="41">
        <f>Model!$BG$24</f>
        <v>0.38461538461538458</v>
      </c>
      <c r="E49" s="129">
        <f t="shared" si="4"/>
        <v>1277603.0769230768</v>
      </c>
      <c r="F49" s="41">
        <f>Model!$BG$36</f>
        <v>1</v>
      </c>
      <c r="G49" s="129">
        <f t="shared" si="5"/>
        <v>1277603.0769230768</v>
      </c>
      <c r="H49" s="86">
        <f>INDEX(Model!$BG$40:$BG$43,MATCH($J49,Model!$BE$40:$BE$43,0))</f>
        <v>4.0000000000000036E-2</v>
      </c>
      <c r="I49" s="107">
        <f t="shared" si="6"/>
        <v>51104.123076923119</v>
      </c>
      <c r="J49" s="87" t="s">
        <v>26</v>
      </c>
      <c r="K49" s="97">
        <f>INDEX(Model!$BG$44:$BG$47,MATCH($J49,Model!$BE$40:$BE$43,0))</f>
        <v>92.262366258334637</v>
      </c>
      <c r="L49" s="111">
        <f t="shared" si="31"/>
        <v>4714987.3206340922</v>
      </c>
      <c r="M49" s="109" t="e">
        <f>'Example calcs 2000'!N49*0.95</f>
        <v>#REF!</v>
      </c>
      <c r="N49" s="107" t="e">
        <f t="shared" si="7"/>
        <v>#REF!</v>
      </c>
      <c r="O49" s="109" t="str">
        <f t="shared" si="8"/>
        <v/>
      </c>
      <c r="P49" s="109" t="e">
        <f t="shared" si="9"/>
        <v>#REF!</v>
      </c>
      <c r="Q49" s="97" t="s">
        <v>29</v>
      </c>
      <c r="R49" s="39">
        <f t="shared" si="10"/>
        <v>1</v>
      </c>
      <c r="S49" s="97">
        <f>INDEX(Model!$BG$61:$BG$220,MATCH($Q49,Model!$BE$61:$BE$220,0)+MATCH(Model!$BC$219,Model!$BC$61:$BC$220,0)-1)</f>
        <v>0.51500000000000001</v>
      </c>
      <c r="T49" s="111" t="e">
        <f t="shared" si="11"/>
        <v>#REF!</v>
      </c>
      <c r="U49" s="109" t="e">
        <f>'Example calcs 2000'!S49*0.8</f>
        <v>#REF!</v>
      </c>
      <c r="V49" s="107" t="e">
        <f t="shared" si="12"/>
        <v>#REF!</v>
      </c>
      <c r="W49" s="109" t="str">
        <f t="shared" si="13"/>
        <v/>
      </c>
      <c r="X49" s="109" t="e">
        <f t="shared" si="1"/>
        <v>#REF!</v>
      </c>
      <c r="Y49" s="87" t="s">
        <v>32</v>
      </c>
      <c r="Z49" s="39">
        <f t="shared" si="14"/>
        <v>1</v>
      </c>
      <c r="AA49" s="87"/>
      <c r="AB49" s="87">
        <f>Model!$BF$256</f>
        <v>1</v>
      </c>
      <c r="AC49" s="111"/>
      <c r="AD49" s="109">
        <f>'Example calcs 2000'!Y49*0.8</f>
        <v>0</v>
      </c>
      <c r="AE49" s="107" t="e">
        <f t="shared" si="15"/>
        <v>#REF!</v>
      </c>
      <c r="AF49" s="109" t="str">
        <f t="shared" si="21"/>
        <v/>
      </c>
      <c r="AG49" s="109">
        <f t="shared" si="2"/>
        <v>0</v>
      </c>
      <c r="AH49" s="87"/>
      <c r="AI49" s="39">
        <f t="shared" si="16"/>
        <v>1</v>
      </c>
      <c r="AJ49" s="87"/>
      <c r="AK49" s="87"/>
      <c r="AL49" s="98" t="e">
        <f t="shared" si="17"/>
        <v>#REF!</v>
      </c>
      <c r="AM49" s="87">
        <f t="shared" si="18"/>
        <v>0</v>
      </c>
      <c r="AX49" s="133"/>
    </row>
    <row r="50" spans="3:50" s="79" customFormat="1" x14ac:dyDescent="0.25">
      <c r="C50" s="128">
        <f>Model!$BG$14</f>
        <v>3321768</v>
      </c>
      <c r="D50" s="41">
        <f>Model!$BG$24</f>
        <v>0.38461538461538458</v>
      </c>
      <c r="E50" s="129">
        <f t="shared" si="4"/>
        <v>1277603.0769230768</v>
      </c>
      <c r="F50" s="41">
        <f>Model!$BG$36</f>
        <v>1</v>
      </c>
      <c r="G50" s="129">
        <f t="shared" si="5"/>
        <v>1277603.0769230768</v>
      </c>
      <c r="H50" s="86">
        <f>INDEX(Model!$BG$40:$BG$43,MATCH($J50,Model!$BE$40:$BE$43,0))</f>
        <v>4.0000000000000036E-2</v>
      </c>
      <c r="I50" s="107">
        <f t="shared" si="6"/>
        <v>51104.123076923119</v>
      </c>
      <c r="J50" s="87" t="s">
        <v>26</v>
      </c>
      <c r="K50" s="97">
        <f>INDEX(Model!$BG$44:$BG$47,MATCH($J50,Model!$BE$40:$BE$43,0))</f>
        <v>92.262366258334637</v>
      </c>
      <c r="L50" s="111">
        <f t="shared" si="31"/>
        <v>4714987.3206340922</v>
      </c>
      <c r="M50" s="109" t="e">
        <f>'Example calcs 2000'!N50*0.95</f>
        <v>#REF!</v>
      </c>
      <c r="N50" s="107" t="e">
        <f t="shared" si="7"/>
        <v>#REF!</v>
      </c>
      <c r="O50" s="109" t="str">
        <f t="shared" si="8"/>
        <v/>
      </c>
      <c r="P50" s="109" t="e">
        <f t="shared" si="9"/>
        <v>#REF!</v>
      </c>
      <c r="Q50" s="97" t="s">
        <v>29</v>
      </c>
      <c r="R50" s="39">
        <f t="shared" si="10"/>
        <v>0</v>
      </c>
      <c r="S50" s="97">
        <f>INDEX(Model!$BG$61:$BG$220,MATCH($Q50,Model!$BE$61:$BE$220,0)+MATCH(Model!$BC$219,Model!$BC$61:$BC$220,0)-1)</f>
        <v>0.51500000000000001</v>
      </c>
      <c r="T50" s="111" t="e">
        <f t="shared" si="11"/>
        <v>#REF!</v>
      </c>
      <c r="U50" s="109" t="e">
        <f>'Example calcs 2000'!S50*0.8</f>
        <v>#REF!</v>
      </c>
      <c r="V50" s="107" t="e">
        <f t="shared" si="12"/>
        <v>#REF!</v>
      </c>
      <c r="W50" s="109" t="str">
        <f t="shared" si="13"/>
        <v/>
      </c>
      <c r="X50" s="109" t="e">
        <f t="shared" si="1"/>
        <v>#REF!</v>
      </c>
      <c r="Y50" s="87" t="s">
        <v>33</v>
      </c>
      <c r="Z50" s="39">
        <f t="shared" si="14"/>
        <v>1</v>
      </c>
      <c r="AA50" s="87">
        <f>Model!$BF$287</f>
        <v>1</v>
      </c>
      <c r="AB50" s="87"/>
      <c r="AC50" s="111" t="e">
        <f>X50*AA50</f>
        <v>#REF!</v>
      </c>
      <c r="AD50" s="109" t="e">
        <f>'Example calcs 2000'!Y50*0.8</f>
        <v>#REF!</v>
      </c>
      <c r="AE50" s="107" t="e">
        <f t="shared" si="15"/>
        <v>#REF!</v>
      </c>
      <c r="AF50" s="109" t="str">
        <f t="shared" si="21"/>
        <v/>
      </c>
      <c r="AG50" s="109" t="e">
        <f t="shared" si="2"/>
        <v>#REF!</v>
      </c>
      <c r="AH50" s="87" t="s">
        <v>54</v>
      </c>
      <c r="AI50" s="39">
        <f t="shared" si="16"/>
        <v>1</v>
      </c>
      <c r="AJ50" s="87">
        <f>Model!$BF$355</f>
        <v>0.52631578947368418</v>
      </c>
      <c r="AK50" s="87"/>
      <c r="AL50" s="98" t="e">
        <f t="shared" si="17"/>
        <v>#REF!</v>
      </c>
      <c r="AM50" s="87" t="e">
        <f t="shared" si="18"/>
        <v>#REF!</v>
      </c>
      <c r="AX50" s="133"/>
    </row>
    <row r="51" spans="3:50" s="79" customFormat="1" x14ac:dyDescent="0.25">
      <c r="C51" s="128">
        <f>Model!$BG$14</f>
        <v>3321768</v>
      </c>
      <c r="D51" s="41">
        <f>Model!$BG$24</f>
        <v>0.38461538461538458</v>
      </c>
      <c r="E51" s="129">
        <f t="shared" si="4"/>
        <v>1277603.0769230768</v>
      </c>
      <c r="F51" s="41">
        <f>Model!$BG$36</f>
        <v>1</v>
      </c>
      <c r="G51" s="129">
        <f t="shared" si="5"/>
        <v>1277603.0769230768</v>
      </c>
      <c r="H51" s="86">
        <f>INDEX(Model!$BG$40:$BG$43,MATCH($J51,Model!$BE$40:$BE$43,0))</f>
        <v>4.0000000000000036E-2</v>
      </c>
      <c r="I51" s="107">
        <f t="shared" si="6"/>
        <v>51104.123076923119</v>
      </c>
      <c r="J51" s="87" t="s">
        <v>26</v>
      </c>
      <c r="K51" s="97">
        <f>INDEX(Model!$BG$44:$BG$47,MATCH($J51,Model!$BE$40:$BE$43,0))</f>
        <v>92.262366258334637</v>
      </c>
      <c r="L51" s="111">
        <f t="shared" si="31"/>
        <v>4714987.3206340922</v>
      </c>
      <c r="M51" s="109" t="e">
        <f>'Example calcs 2000'!N51*0.95</f>
        <v>#REF!</v>
      </c>
      <c r="N51" s="107" t="e">
        <f t="shared" si="7"/>
        <v>#REF!</v>
      </c>
      <c r="O51" s="109" t="str">
        <f t="shared" si="8"/>
        <v/>
      </c>
      <c r="P51" s="109" t="e">
        <f t="shared" si="9"/>
        <v>#REF!</v>
      </c>
      <c r="Q51" s="97" t="s">
        <v>29</v>
      </c>
      <c r="R51" s="39">
        <f t="shared" si="10"/>
        <v>0</v>
      </c>
      <c r="S51" s="97">
        <f>INDEX(Model!$BG$61:$BG$220,MATCH($Q51,Model!$BE$61:$BE$220,0)+MATCH(Model!$BC$219,Model!$BC$61:$BC$220,0)-1)</f>
        <v>0.51500000000000001</v>
      </c>
      <c r="T51" s="111" t="e">
        <f t="shared" si="11"/>
        <v>#REF!</v>
      </c>
      <c r="U51" s="109" t="e">
        <f>'Example calcs 2000'!S51*0.8</f>
        <v>#REF!</v>
      </c>
      <c r="V51" s="107" t="e">
        <f t="shared" si="12"/>
        <v>#REF!</v>
      </c>
      <c r="W51" s="109" t="str">
        <f t="shared" si="13"/>
        <v/>
      </c>
      <c r="X51" s="109" t="e">
        <f t="shared" si="1"/>
        <v>#REF!</v>
      </c>
      <c r="Y51" s="87" t="s">
        <v>33</v>
      </c>
      <c r="Z51" s="39">
        <f t="shared" si="14"/>
        <v>0</v>
      </c>
      <c r="AA51" s="87">
        <f>Model!$BF$287</f>
        <v>1</v>
      </c>
      <c r="AB51" s="87"/>
      <c r="AC51" s="111" t="e">
        <f>X51*AA51</f>
        <v>#REF!</v>
      </c>
      <c r="AD51" s="109" t="e">
        <f>'Example calcs 2000'!Y51*0.8</f>
        <v>#REF!</v>
      </c>
      <c r="AE51" s="107" t="e">
        <f t="shared" si="15"/>
        <v>#REF!</v>
      </c>
      <c r="AF51" s="109" t="str">
        <f t="shared" si="21"/>
        <v/>
      </c>
      <c r="AG51" s="109" t="e">
        <f t="shared" si="2"/>
        <v>#REF!</v>
      </c>
      <c r="AH51" s="87" t="s">
        <v>119</v>
      </c>
      <c r="AI51" s="39">
        <f t="shared" si="16"/>
        <v>1</v>
      </c>
      <c r="AJ51" s="87">
        <f>Model!$BF$386</f>
        <v>0.4</v>
      </c>
      <c r="AK51" s="87"/>
      <c r="AL51" s="98" t="e">
        <f t="shared" si="17"/>
        <v>#REF!</v>
      </c>
      <c r="AM51" s="87" t="e">
        <f t="shared" si="18"/>
        <v>#REF!</v>
      </c>
      <c r="AX51" s="133"/>
    </row>
    <row r="52" spans="3:50" s="79" customFormat="1" x14ac:dyDescent="0.25">
      <c r="C52" s="128">
        <f>Model!$BG$14</f>
        <v>3321768</v>
      </c>
      <c r="D52" s="41">
        <f>Model!$BG$24</f>
        <v>0.38461538461538458</v>
      </c>
      <c r="E52" s="129">
        <f t="shared" si="4"/>
        <v>1277603.0769230768</v>
      </c>
      <c r="F52" s="41">
        <f>Model!$BG$36</f>
        <v>1</v>
      </c>
      <c r="G52" s="129">
        <f t="shared" si="5"/>
        <v>1277603.0769230768</v>
      </c>
      <c r="H52" s="86">
        <f>INDEX(Model!$BG$40:$BG$43,MATCH($J52,Model!$BE$40:$BE$43,0))</f>
        <v>4.0000000000000036E-2</v>
      </c>
      <c r="I52" s="107">
        <f t="shared" si="6"/>
        <v>51104.123076923119</v>
      </c>
      <c r="J52" s="87" t="s">
        <v>26</v>
      </c>
      <c r="K52" s="97">
        <f>INDEX(Model!$BG$44:$BG$47,MATCH($J52,Model!$BE$40:$BE$43,0))</f>
        <v>92.262366258334637</v>
      </c>
      <c r="L52" s="111">
        <f t="shared" si="31"/>
        <v>4714987.3206340922</v>
      </c>
      <c r="M52" s="109" t="e">
        <f>'Example calcs 2000'!N52*0.95</f>
        <v>#REF!</v>
      </c>
      <c r="N52" s="107" t="e">
        <f t="shared" si="7"/>
        <v>#REF!</v>
      </c>
      <c r="O52" s="109" t="str">
        <f t="shared" si="8"/>
        <v/>
      </c>
      <c r="P52" s="109" t="e">
        <f t="shared" si="9"/>
        <v>#REF!</v>
      </c>
      <c r="Q52" s="97" t="s">
        <v>29</v>
      </c>
      <c r="R52" s="39">
        <f t="shared" si="10"/>
        <v>0</v>
      </c>
      <c r="S52" s="97">
        <f>INDEX(Model!$BG$61:$BG$220,MATCH($Q52,Model!$BE$61:$BE$220,0)+MATCH(Model!$BC$219,Model!$BC$61:$BC$220,0)-1)</f>
        <v>0.51500000000000001</v>
      </c>
      <c r="T52" s="111" t="e">
        <f t="shared" si="11"/>
        <v>#REF!</v>
      </c>
      <c r="U52" s="109" t="e">
        <f>'Example calcs 2000'!S52*0.8</f>
        <v>#REF!</v>
      </c>
      <c r="V52" s="107" t="e">
        <f t="shared" si="12"/>
        <v>#REF!</v>
      </c>
      <c r="W52" s="109" t="str">
        <f t="shared" si="13"/>
        <v/>
      </c>
      <c r="X52" s="109" t="e">
        <f t="shared" si="1"/>
        <v>#REF!</v>
      </c>
      <c r="Y52" s="87" t="s">
        <v>33</v>
      </c>
      <c r="Z52" s="39">
        <f t="shared" si="14"/>
        <v>0</v>
      </c>
      <c r="AA52" s="87">
        <f>Model!$BF$287</f>
        <v>1</v>
      </c>
      <c r="AB52" s="87"/>
      <c r="AC52" s="111" t="e">
        <f>X52*AA52</f>
        <v>#REF!</v>
      </c>
      <c r="AD52" s="109" t="e">
        <f>'Example calcs 2000'!Y52*0.8</f>
        <v>#REF!</v>
      </c>
      <c r="AE52" s="107" t="e">
        <f t="shared" si="15"/>
        <v>#REF!</v>
      </c>
      <c r="AF52" s="109" t="str">
        <f t="shared" si="21"/>
        <v/>
      </c>
      <c r="AG52" s="109" t="e">
        <f t="shared" si="2"/>
        <v>#REF!</v>
      </c>
      <c r="AH52" s="87" t="s">
        <v>52</v>
      </c>
      <c r="AI52" s="39">
        <f t="shared" si="16"/>
        <v>1</v>
      </c>
      <c r="AJ52" s="87"/>
      <c r="AK52" s="87">
        <f>Model!$BF$324</f>
        <v>1.6129032258064517</v>
      </c>
      <c r="AL52" s="98" t="e">
        <f t="shared" si="17"/>
        <v>#REF!</v>
      </c>
      <c r="AM52" s="87" t="e">
        <f t="shared" si="18"/>
        <v>#REF!</v>
      </c>
      <c r="AX52" s="133"/>
    </row>
    <row r="53" spans="3:50" s="79" customFormat="1" x14ac:dyDescent="0.25">
      <c r="C53" s="128">
        <f>Model!$BG$14</f>
        <v>3321768</v>
      </c>
      <c r="D53" s="41">
        <f>Model!$BG$24</f>
        <v>0.38461538461538458</v>
      </c>
      <c r="E53" s="129">
        <f t="shared" si="4"/>
        <v>1277603.0769230768</v>
      </c>
      <c r="F53" s="41">
        <f>Model!$BG$36</f>
        <v>1</v>
      </c>
      <c r="G53" s="129">
        <f t="shared" si="5"/>
        <v>1277603.0769230768</v>
      </c>
      <c r="H53" s="86">
        <f>INDEX(Model!$BG$40:$BG$43,MATCH($J53,Model!$BE$40:$BE$43,0))</f>
        <v>4.0000000000000036E-2</v>
      </c>
      <c r="I53" s="107">
        <f t="shared" si="6"/>
        <v>51104.123076923119</v>
      </c>
      <c r="J53" s="87" t="s">
        <v>26</v>
      </c>
      <c r="K53" s="97">
        <f>INDEX(Model!$BG$44:$BG$47,MATCH($J53,Model!$BE$40:$BE$43,0))</f>
        <v>92.262366258334637</v>
      </c>
      <c r="L53" s="111">
        <f t="shared" si="31"/>
        <v>4714987.3206340922</v>
      </c>
      <c r="M53" s="109" t="e">
        <f>'Example calcs 2000'!N53*0.95</f>
        <v>#REF!</v>
      </c>
      <c r="N53" s="107" t="e">
        <f t="shared" si="7"/>
        <v>#REF!</v>
      </c>
      <c r="O53" s="109" t="str">
        <f t="shared" si="8"/>
        <v/>
      </c>
      <c r="P53" s="109" t="e">
        <f t="shared" si="9"/>
        <v>#REF!</v>
      </c>
      <c r="Q53" s="97" t="s">
        <v>29</v>
      </c>
      <c r="R53" s="39">
        <f t="shared" si="10"/>
        <v>0</v>
      </c>
      <c r="S53" s="97">
        <f>INDEX(Model!$BG$61:$BG$220,MATCH($Q53,Model!$BE$61:$BE$220,0)+MATCH(Model!$BC$219,Model!$BC$61:$BC$220,0)-1)</f>
        <v>0.51500000000000001</v>
      </c>
      <c r="T53" s="111" t="e">
        <f t="shared" si="11"/>
        <v>#REF!</v>
      </c>
      <c r="U53" s="109" t="e">
        <f>'Example calcs 2000'!S53*0.8</f>
        <v>#REF!</v>
      </c>
      <c r="V53" s="107" t="e">
        <f t="shared" si="12"/>
        <v>#REF!</v>
      </c>
      <c r="W53" s="109" t="str">
        <f t="shared" si="13"/>
        <v/>
      </c>
      <c r="X53" s="109" t="e">
        <f t="shared" si="1"/>
        <v>#REF!</v>
      </c>
      <c r="Y53" s="87" t="s">
        <v>33</v>
      </c>
      <c r="Z53" s="39">
        <f t="shared" si="14"/>
        <v>0</v>
      </c>
      <c r="AA53" s="87">
        <f>Model!$BF$287</f>
        <v>1</v>
      </c>
      <c r="AB53" s="87"/>
      <c r="AC53" s="111" t="e">
        <f>X53*AA53</f>
        <v>#REF!</v>
      </c>
      <c r="AD53" s="109" t="e">
        <f>'Example calcs 2000'!Y53*0.8</f>
        <v>#REF!</v>
      </c>
      <c r="AE53" s="107" t="e">
        <f t="shared" si="15"/>
        <v>#REF!</v>
      </c>
      <c r="AF53" s="109" t="str">
        <f t="shared" si="21"/>
        <v/>
      </c>
      <c r="AG53" s="109" t="e">
        <f t="shared" si="2"/>
        <v>#REF!</v>
      </c>
      <c r="AH53" s="87" t="s">
        <v>53</v>
      </c>
      <c r="AI53" s="39">
        <f t="shared" si="16"/>
        <v>1</v>
      </c>
      <c r="AJ53" s="87"/>
      <c r="AK53" s="87">
        <f>Model!$BF$417</f>
        <v>1.1111111111111112</v>
      </c>
      <c r="AL53" s="98" t="e">
        <f t="shared" si="17"/>
        <v>#REF!</v>
      </c>
      <c r="AM53" s="87" t="e">
        <f t="shared" si="18"/>
        <v>#REF!</v>
      </c>
      <c r="AX53" s="133"/>
    </row>
    <row r="54" spans="3:50" s="79" customFormat="1" x14ac:dyDescent="0.25">
      <c r="C54" s="128">
        <f>Model!$BG$14</f>
        <v>3321768</v>
      </c>
      <c r="D54" s="41">
        <f>Model!$BG$24</f>
        <v>0.38461538461538458</v>
      </c>
      <c r="E54" s="129">
        <f t="shared" si="4"/>
        <v>1277603.0769230768</v>
      </c>
      <c r="F54" s="41">
        <f>Model!$BG$36</f>
        <v>1</v>
      </c>
      <c r="G54" s="129">
        <f t="shared" si="5"/>
        <v>1277603.0769230768</v>
      </c>
      <c r="H54" s="86">
        <f>INDEX(Model!$BG$40:$BG$43,MATCH($J54,Model!$BE$40:$BE$43,0))</f>
        <v>0.10100000000000001</v>
      </c>
      <c r="I54" s="107">
        <f t="shared" si="6"/>
        <v>129037.91076923076</v>
      </c>
      <c r="J54" s="87" t="s">
        <v>24</v>
      </c>
      <c r="K54" s="97">
        <f>INDEX(Model!$BG$44:$BG$47,MATCH($J54,Model!$BE$40:$BE$43,0))</f>
        <v>111.23110151187905</v>
      </c>
      <c r="L54" s="111">
        <f t="shared" si="31"/>
        <v>14353028.951653097</v>
      </c>
      <c r="M54" s="109" t="e">
        <f>'Example calcs 2000'!N54*0.95</f>
        <v>#REF!</v>
      </c>
      <c r="N54" s="107" t="e">
        <f t="shared" si="7"/>
        <v>#REF!</v>
      </c>
      <c r="O54" s="109" t="str">
        <f t="shared" si="8"/>
        <v/>
      </c>
      <c r="P54" s="109" t="e">
        <f t="shared" si="9"/>
        <v>#REF!</v>
      </c>
      <c r="Q54" s="97" t="s">
        <v>31</v>
      </c>
      <c r="R54" s="39">
        <f t="shared" si="10"/>
        <v>1</v>
      </c>
      <c r="S54" s="97">
        <f>INDEX(Model!$BG$61:$BG$220,MATCH($Q54,Model!$BE$61:$BE$220,0)+MATCH(Model!$BC$219,Model!$BC$61:$BC$220,0)-1)</f>
        <v>0.309</v>
      </c>
      <c r="T54" s="111" t="e">
        <f t="shared" si="11"/>
        <v>#REF!</v>
      </c>
      <c r="U54" s="109" t="e">
        <f>'Example calcs 2000'!S54*0.8</f>
        <v>#REF!</v>
      </c>
      <c r="V54" s="107" t="e">
        <f t="shared" si="12"/>
        <v>#REF!</v>
      </c>
      <c r="W54" s="109" t="str">
        <f t="shared" si="13"/>
        <v/>
      </c>
      <c r="X54" s="109" t="e">
        <f t="shared" si="1"/>
        <v>#REF!</v>
      </c>
      <c r="Y54" s="87" t="s">
        <v>32</v>
      </c>
      <c r="Z54" s="39">
        <f t="shared" si="14"/>
        <v>1</v>
      </c>
      <c r="AA54" s="87"/>
      <c r="AB54" s="87">
        <f>Model!$BF$256</f>
        <v>1</v>
      </c>
      <c r="AC54" s="111"/>
      <c r="AD54" s="109">
        <f>'Example calcs 2000'!Y54*0.8</f>
        <v>0</v>
      </c>
      <c r="AE54" s="107" t="e">
        <f t="shared" si="15"/>
        <v>#REF!</v>
      </c>
      <c r="AF54" s="109" t="str">
        <f t="shared" si="21"/>
        <v/>
      </c>
      <c r="AG54" s="109">
        <f t="shared" si="2"/>
        <v>0</v>
      </c>
      <c r="AH54" s="87"/>
      <c r="AI54" s="39">
        <f t="shared" si="16"/>
        <v>1</v>
      </c>
      <c r="AJ54" s="87"/>
      <c r="AK54" s="87"/>
      <c r="AL54" s="98" t="e">
        <f t="shared" si="17"/>
        <v>#REF!</v>
      </c>
      <c r="AM54" s="87">
        <f t="shared" si="18"/>
        <v>0</v>
      </c>
      <c r="AX54" s="133"/>
    </row>
    <row r="55" spans="3:50" s="79" customFormat="1" x14ac:dyDescent="0.25">
      <c r="C55" s="128">
        <f>Model!$BG$14</f>
        <v>3321768</v>
      </c>
      <c r="D55" s="41">
        <f>Model!$BG$24</f>
        <v>0.38461538461538458</v>
      </c>
      <c r="E55" s="129">
        <f t="shared" si="4"/>
        <v>1277603.0769230768</v>
      </c>
      <c r="F55" s="41">
        <f>Model!$BG$36</f>
        <v>1</v>
      </c>
      <c r="G55" s="129">
        <f t="shared" si="5"/>
        <v>1277603.0769230768</v>
      </c>
      <c r="H55" s="86">
        <f>INDEX(Model!$BG$40:$BG$43,MATCH($J55,Model!$BE$40:$BE$43,0))</f>
        <v>0.10100000000000001</v>
      </c>
      <c r="I55" s="107">
        <f t="shared" si="6"/>
        <v>129037.91076923076</v>
      </c>
      <c r="J55" s="87" t="s">
        <v>24</v>
      </c>
      <c r="K55" s="97">
        <f>INDEX(Model!$BG$44:$BG$47,MATCH($J55,Model!$BE$40:$BE$43,0))</f>
        <v>111.23110151187905</v>
      </c>
      <c r="L55" s="111">
        <f t="shared" si="31"/>
        <v>14353028.951653097</v>
      </c>
      <c r="M55" s="109" t="e">
        <f>'Example calcs 2000'!N55*0.95</f>
        <v>#REF!</v>
      </c>
      <c r="N55" s="107" t="e">
        <f t="shared" si="7"/>
        <v>#REF!</v>
      </c>
      <c r="O55" s="109" t="str">
        <f t="shared" si="8"/>
        <v/>
      </c>
      <c r="P55" s="109" t="e">
        <f t="shared" si="9"/>
        <v>#REF!</v>
      </c>
      <c r="Q55" s="97" t="s">
        <v>31</v>
      </c>
      <c r="R55" s="39">
        <f t="shared" si="10"/>
        <v>0</v>
      </c>
      <c r="S55" s="97">
        <f>INDEX(Model!$BG$61:$BG$220,MATCH($Q55,Model!$BE$61:$BE$220,0)+MATCH(Model!$BC$219,Model!$BC$61:$BC$220,0)-1)</f>
        <v>0.309</v>
      </c>
      <c r="T55" s="111" t="e">
        <f t="shared" si="11"/>
        <v>#REF!</v>
      </c>
      <c r="U55" s="109" t="e">
        <f>'Example calcs 2000'!S55*0.8</f>
        <v>#REF!</v>
      </c>
      <c r="V55" s="107" t="e">
        <f t="shared" si="12"/>
        <v>#REF!</v>
      </c>
      <c r="W55" s="109" t="str">
        <f t="shared" si="13"/>
        <v/>
      </c>
      <c r="X55" s="109" t="e">
        <f t="shared" si="1"/>
        <v>#REF!</v>
      </c>
      <c r="Y55" s="87" t="s">
        <v>33</v>
      </c>
      <c r="Z55" s="39">
        <f t="shared" si="14"/>
        <v>1</v>
      </c>
      <c r="AA55" s="87">
        <f>Model!$BF$287</f>
        <v>1</v>
      </c>
      <c r="AB55" s="87"/>
      <c r="AC55" s="111" t="e">
        <f>X55*AA55</f>
        <v>#REF!</v>
      </c>
      <c r="AD55" s="109" t="e">
        <f>'Example calcs 2000'!Y55*0.8</f>
        <v>#REF!</v>
      </c>
      <c r="AE55" s="107" t="e">
        <f t="shared" si="15"/>
        <v>#REF!</v>
      </c>
      <c r="AF55" s="109" t="str">
        <f t="shared" si="21"/>
        <v/>
      </c>
      <c r="AG55" s="109" t="e">
        <f t="shared" si="2"/>
        <v>#REF!</v>
      </c>
      <c r="AH55" s="87" t="s">
        <v>54</v>
      </c>
      <c r="AI55" s="39">
        <f t="shared" si="16"/>
        <v>1</v>
      </c>
      <c r="AJ55" s="87">
        <f>Model!$BF$355</f>
        <v>0.52631578947368418</v>
      </c>
      <c r="AK55" s="87"/>
      <c r="AL55" s="98" t="e">
        <f t="shared" si="17"/>
        <v>#REF!</v>
      </c>
      <c r="AM55" s="87" t="e">
        <f t="shared" si="18"/>
        <v>#REF!</v>
      </c>
      <c r="AX55" s="133"/>
    </row>
    <row r="56" spans="3:50" s="79" customFormat="1" x14ac:dyDescent="0.25">
      <c r="C56" s="128">
        <f>Model!$BG$14</f>
        <v>3321768</v>
      </c>
      <c r="D56" s="41">
        <f>Model!$BG$24</f>
        <v>0.38461538461538458</v>
      </c>
      <c r="E56" s="129">
        <f t="shared" si="4"/>
        <v>1277603.0769230768</v>
      </c>
      <c r="F56" s="41">
        <f>Model!$BG$36</f>
        <v>1</v>
      </c>
      <c r="G56" s="129">
        <f t="shared" si="5"/>
        <v>1277603.0769230768</v>
      </c>
      <c r="H56" s="86">
        <f>INDEX(Model!$BG$40:$BG$43,MATCH($J56,Model!$BE$40:$BE$43,0))</f>
        <v>0.10100000000000001</v>
      </c>
      <c r="I56" s="107">
        <f t="shared" si="6"/>
        <v>129037.91076923076</v>
      </c>
      <c r="J56" s="87" t="s">
        <v>24</v>
      </c>
      <c r="K56" s="97">
        <f>INDEX(Model!$BG$44:$BG$47,MATCH($J56,Model!$BE$40:$BE$43,0))</f>
        <v>111.23110151187905</v>
      </c>
      <c r="L56" s="111">
        <f t="shared" si="31"/>
        <v>14353028.951653097</v>
      </c>
      <c r="M56" s="109" t="e">
        <f>'Example calcs 2000'!N56*0.95</f>
        <v>#REF!</v>
      </c>
      <c r="N56" s="107" t="e">
        <f t="shared" si="7"/>
        <v>#REF!</v>
      </c>
      <c r="O56" s="109" t="str">
        <f t="shared" si="8"/>
        <v/>
      </c>
      <c r="P56" s="109" t="e">
        <f t="shared" si="9"/>
        <v>#REF!</v>
      </c>
      <c r="Q56" s="97" t="s">
        <v>31</v>
      </c>
      <c r="R56" s="39">
        <f t="shared" si="10"/>
        <v>0</v>
      </c>
      <c r="S56" s="97">
        <f>INDEX(Model!$BG$61:$BG$220,MATCH($Q56,Model!$BE$61:$BE$220,0)+MATCH(Model!$BC$219,Model!$BC$61:$BC$220,0)-1)</f>
        <v>0.309</v>
      </c>
      <c r="T56" s="111" t="e">
        <f t="shared" si="11"/>
        <v>#REF!</v>
      </c>
      <c r="U56" s="109" t="e">
        <f>'Example calcs 2000'!S56*0.8</f>
        <v>#REF!</v>
      </c>
      <c r="V56" s="107" t="e">
        <f t="shared" si="12"/>
        <v>#REF!</v>
      </c>
      <c r="W56" s="109" t="str">
        <f t="shared" si="13"/>
        <v/>
      </c>
      <c r="X56" s="109" t="e">
        <f t="shared" si="1"/>
        <v>#REF!</v>
      </c>
      <c r="Y56" s="87" t="s">
        <v>33</v>
      </c>
      <c r="Z56" s="39">
        <f t="shared" si="14"/>
        <v>0</v>
      </c>
      <c r="AA56" s="87">
        <f>Model!$BF$287</f>
        <v>1</v>
      </c>
      <c r="AB56" s="87"/>
      <c r="AC56" s="111" t="e">
        <f>X56*AA56</f>
        <v>#REF!</v>
      </c>
      <c r="AD56" s="109" t="e">
        <f>'Example calcs 2000'!Y56*0.8</f>
        <v>#REF!</v>
      </c>
      <c r="AE56" s="107" t="e">
        <f t="shared" si="15"/>
        <v>#REF!</v>
      </c>
      <c r="AF56" s="109" t="str">
        <f t="shared" si="21"/>
        <v/>
      </c>
      <c r="AG56" s="109" t="e">
        <f t="shared" si="2"/>
        <v>#REF!</v>
      </c>
      <c r="AH56" s="87" t="s">
        <v>119</v>
      </c>
      <c r="AI56" s="39">
        <f t="shared" si="16"/>
        <v>1</v>
      </c>
      <c r="AJ56" s="87">
        <f>Model!$BF$386</f>
        <v>0.4</v>
      </c>
      <c r="AK56" s="87"/>
      <c r="AL56" s="98" t="e">
        <f t="shared" si="17"/>
        <v>#REF!</v>
      </c>
      <c r="AM56" s="87" t="e">
        <f t="shared" si="18"/>
        <v>#REF!</v>
      </c>
      <c r="AX56" s="133"/>
    </row>
    <row r="57" spans="3:50" s="79" customFormat="1" x14ac:dyDescent="0.25">
      <c r="C57" s="128">
        <f>Model!$BG$14</f>
        <v>3321768</v>
      </c>
      <c r="D57" s="41">
        <f>Model!$BG$24</f>
        <v>0.38461538461538458</v>
      </c>
      <c r="E57" s="129">
        <f t="shared" si="4"/>
        <v>1277603.0769230768</v>
      </c>
      <c r="F57" s="41">
        <f>Model!$BG$36</f>
        <v>1</v>
      </c>
      <c r="G57" s="129">
        <f t="shared" si="5"/>
        <v>1277603.0769230768</v>
      </c>
      <c r="H57" s="86">
        <f>INDEX(Model!$BG$40:$BG$43,MATCH($J57,Model!$BE$40:$BE$43,0))</f>
        <v>0.10100000000000001</v>
      </c>
      <c r="I57" s="107">
        <f t="shared" si="6"/>
        <v>129037.91076923076</v>
      </c>
      <c r="J57" s="87" t="s">
        <v>24</v>
      </c>
      <c r="K57" s="97">
        <f>INDEX(Model!$BG$44:$BG$47,MATCH($J57,Model!$BE$40:$BE$43,0))</f>
        <v>111.23110151187905</v>
      </c>
      <c r="L57" s="111">
        <f t="shared" si="31"/>
        <v>14353028.951653097</v>
      </c>
      <c r="M57" s="109" t="e">
        <f>'Example calcs 2000'!N57*0.95</f>
        <v>#REF!</v>
      </c>
      <c r="N57" s="107" t="e">
        <f t="shared" si="7"/>
        <v>#REF!</v>
      </c>
      <c r="O57" s="109" t="str">
        <f t="shared" si="8"/>
        <v/>
      </c>
      <c r="P57" s="109" t="e">
        <f t="shared" si="9"/>
        <v>#REF!</v>
      </c>
      <c r="Q57" s="97" t="s">
        <v>31</v>
      </c>
      <c r="R57" s="39">
        <f t="shared" si="10"/>
        <v>0</v>
      </c>
      <c r="S57" s="97">
        <f>INDEX(Model!$BG$61:$BG$220,MATCH($Q57,Model!$BE$61:$BE$220,0)+MATCH(Model!$BC$219,Model!$BC$61:$BC$220,0)-1)</f>
        <v>0.309</v>
      </c>
      <c r="T57" s="111" t="e">
        <f t="shared" si="11"/>
        <v>#REF!</v>
      </c>
      <c r="U57" s="109" t="e">
        <f>'Example calcs 2000'!S57*0.8</f>
        <v>#REF!</v>
      </c>
      <c r="V57" s="107" t="e">
        <f t="shared" si="12"/>
        <v>#REF!</v>
      </c>
      <c r="W57" s="109" t="str">
        <f t="shared" si="13"/>
        <v/>
      </c>
      <c r="X57" s="109" t="e">
        <f t="shared" si="1"/>
        <v>#REF!</v>
      </c>
      <c r="Y57" s="87" t="s">
        <v>33</v>
      </c>
      <c r="Z57" s="39">
        <f t="shared" si="14"/>
        <v>0</v>
      </c>
      <c r="AA57" s="87">
        <f>Model!$BF$287</f>
        <v>1</v>
      </c>
      <c r="AB57" s="87"/>
      <c r="AC57" s="111" t="e">
        <f>X57*AA57</f>
        <v>#REF!</v>
      </c>
      <c r="AD57" s="109" t="e">
        <f>'Example calcs 2000'!Y57*0.8</f>
        <v>#REF!</v>
      </c>
      <c r="AE57" s="107" t="e">
        <f t="shared" si="15"/>
        <v>#REF!</v>
      </c>
      <c r="AF57" s="109" t="str">
        <f t="shared" si="21"/>
        <v/>
      </c>
      <c r="AG57" s="109" t="e">
        <f t="shared" si="2"/>
        <v>#REF!</v>
      </c>
      <c r="AH57" s="87" t="s">
        <v>52</v>
      </c>
      <c r="AI57" s="39">
        <f t="shared" si="16"/>
        <v>1</v>
      </c>
      <c r="AJ57" s="87"/>
      <c r="AK57" s="87">
        <f>Model!$BF$324</f>
        <v>1.6129032258064517</v>
      </c>
      <c r="AL57" s="98" t="e">
        <f t="shared" si="17"/>
        <v>#REF!</v>
      </c>
      <c r="AM57" s="87" t="e">
        <f t="shared" si="18"/>
        <v>#REF!</v>
      </c>
      <c r="AX57" s="133"/>
    </row>
    <row r="58" spans="3:50" s="79" customFormat="1" x14ac:dyDescent="0.25">
      <c r="C58" s="128">
        <f>Model!$BG$14</f>
        <v>3321768</v>
      </c>
      <c r="D58" s="41">
        <f>Model!$BG$24</f>
        <v>0.38461538461538458</v>
      </c>
      <c r="E58" s="129">
        <f t="shared" si="4"/>
        <v>1277603.0769230768</v>
      </c>
      <c r="F58" s="41">
        <f>Model!$BG$36</f>
        <v>1</v>
      </c>
      <c r="G58" s="129">
        <f t="shared" si="5"/>
        <v>1277603.0769230768</v>
      </c>
      <c r="H58" s="86">
        <f>INDEX(Model!$BG$40:$BG$43,MATCH($J58,Model!$BE$40:$BE$43,0))</f>
        <v>0.10100000000000001</v>
      </c>
      <c r="I58" s="107">
        <f t="shared" si="6"/>
        <v>129037.91076923076</v>
      </c>
      <c r="J58" s="87" t="s">
        <v>24</v>
      </c>
      <c r="K58" s="97">
        <f>INDEX(Model!$BG$44:$BG$47,MATCH($J58,Model!$BE$40:$BE$43,0))</f>
        <v>111.23110151187905</v>
      </c>
      <c r="L58" s="111">
        <f t="shared" si="31"/>
        <v>14353028.951653097</v>
      </c>
      <c r="M58" s="109" t="e">
        <f>'Example calcs 2000'!N58*0.95</f>
        <v>#REF!</v>
      </c>
      <c r="N58" s="107" t="e">
        <f t="shared" si="7"/>
        <v>#REF!</v>
      </c>
      <c r="O58" s="109" t="str">
        <f t="shared" si="8"/>
        <v/>
      </c>
      <c r="P58" s="109" t="e">
        <f t="shared" si="9"/>
        <v>#REF!</v>
      </c>
      <c r="Q58" s="97" t="s">
        <v>31</v>
      </c>
      <c r="R58" s="39">
        <f t="shared" si="10"/>
        <v>0</v>
      </c>
      <c r="S58" s="97">
        <f>INDEX(Model!$BG$61:$BG$220,MATCH($Q58,Model!$BE$61:$BE$220,0)+MATCH(Model!$BC$219,Model!$BC$61:$BC$220,0)-1)</f>
        <v>0.309</v>
      </c>
      <c r="T58" s="111" t="e">
        <f t="shared" si="11"/>
        <v>#REF!</v>
      </c>
      <c r="U58" s="109" t="e">
        <f>'Example calcs 2000'!S58*0.8</f>
        <v>#REF!</v>
      </c>
      <c r="V58" s="107" t="e">
        <f t="shared" si="12"/>
        <v>#REF!</v>
      </c>
      <c r="W58" s="109" t="str">
        <f t="shared" si="13"/>
        <v/>
      </c>
      <c r="X58" s="109" t="e">
        <f t="shared" si="1"/>
        <v>#REF!</v>
      </c>
      <c r="Y58" s="87" t="s">
        <v>33</v>
      </c>
      <c r="Z58" s="39">
        <f t="shared" si="14"/>
        <v>0</v>
      </c>
      <c r="AA58" s="87">
        <f>Model!$BF$287</f>
        <v>1</v>
      </c>
      <c r="AB58" s="87"/>
      <c r="AC58" s="111" t="e">
        <f>X58*AA58</f>
        <v>#REF!</v>
      </c>
      <c r="AD58" s="109" t="e">
        <f>'Example calcs 2000'!Y58*0.8</f>
        <v>#REF!</v>
      </c>
      <c r="AE58" s="107" t="e">
        <f t="shared" si="15"/>
        <v>#REF!</v>
      </c>
      <c r="AF58" s="109" t="str">
        <f t="shared" si="21"/>
        <v/>
      </c>
      <c r="AG58" s="109" t="e">
        <f t="shared" si="2"/>
        <v>#REF!</v>
      </c>
      <c r="AH58" s="87" t="s">
        <v>53</v>
      </c>
      <c r="AI58" s="39">
        <f t="shared" si="16"/>
        <v>1</v>
      </c>
      <c r="AJ58" s="87"/>
      <c r="AK58" s="87">
        <f>Model!$BF$417</f>
        <v>1.1111111111111112</v>
      </c>
      <c r="AL58" s="98" t="e">
        <f t="shared" si="17"/>
        <v>#REF!</v>
      </c>
      <c r="AM58" s="87" t="e">
        <f t="shared" si="18"/>
        <v>#REF!</v>
      </c>
    </row>
    <row r="59" spans="3:50" s="79" customFormat="1" x14ac:dyDescent="0.25">
      <c r="C59" s="128">
        <f>Model!$BG$14</f>
        <v>3321768</v>
      </c>
      <c r="D59" s="41">
        <f>Model!$BG$24</f>
        <v>0.38461538461538458</v>
      </c>
      <c r="E59" s="129">
        <f t="shared" si="4"/>
        <v>1277603.0769230768</v>
      </c>
      <c r="F59" s="41">
        <f>Model!$BG$36</f>
        <v>1</v>
      </c>
      <c r="G59" s="129">
        <f t="shared" si="5"/>
        <v>1277603.0769230768</v>
      </c>
      <c r="H59" s="86">
        <f>INDEX(Model!$BG$40:$BG$43,MATCH($J59,Model!$BE$40:$BE$43,0))</f>
        <v>0.10100000000000001</v>
      </c>
      <c r="I59" s="107">
        <f t="shared" si="6"/>
        <v>129037.91076923076</v>
      </c>
      <c r="J59" s="87" t="s">
        <v>24</v>
      </c>
      <c r="K59" s="97">
        <f>INDEX(Model!$BG$44:$BG$47,MATCH($J59,Model!$BE$40:$BE$43,0))</f>
        <v>111.23110151187905</v>
      </c>
      <c r="L59" s="111">
        <f t="shared" si="31"/>
        <v>14353028.951653097</v>
      </c>
      <c r="M59" s="109">
        <f>'Example calcs 2000'!N59*0.95</f>
        <v>9817262.4130754117</v>
      </c>
      <c r="N59" s="107" t="e">
        <f t="shared" si="7"/>
        <v>#REF!</v>
      </c>
      <c r="O59" s="109" t="str">
        <f t="shared" si="8"/>
        <v/>
      </c>
      <c r="P59" s="109">
        <f t="shared" si="9"/>
        <v>9817262.4130754117</v>
      </c>
      <c r="Q59" s="97" t="s">
        <v>27</v>
      </c>
      <c r="R59" s="39">
        <f t="shared" si="10"/>
        <v>1</v>
      </c>
      <c r="S59" s="97">
        <f>INDEX(Model!$BG$61:$BG$220,MATCH($Q59,Model!$BE$61:$BE$220,0)+MATCH(Model!$BC$219,Model!$BC$61:$BC$220,0)-1)</f>
        <v>0.63300000000000001</v>
      </c>
      <c r="T59" s="111">
        <f t="shared" si="11"/>
        <v>6214327.1074767355</v>
      </c>
      <c r="U59" s="109" t="e">
        <f>'Example calcs 2000'!S59*0.8</f>
        <v>#REF!</v>
      </c>
      <c r="V59" s="107" t="e">
        <f t="shared" si="12"/>
        <v>#REF!</v>
      </c>
      <c r="W59" s="109" t="str">
        <f t="shared" si="13"/>
        <v/>
      </c>
      <c r="X59" s="109" t="e">
        <f t="shared" si="1"/>
        <v>#REF!</v>
      </c>
      <c r="Y59" s="87" t="s">
        <v>32</v>
      </c>
      <c r="Z59" s="39">
        <f t="shared" si="14"/>
        <v>1</v>
      </c>
      <c r="AA59" s="87"/>
      <c r="AB59" s="87">
        <f>Model!$BF$256</f>
        <v>1</v>
      </c>
      <c r="AC59" s="111"/>
      <c r="AD59" s="109">
        <f>'Example calcs 2000'!Y59*0.8</f>
        <v>0</v>
      </c>
      <c r="AE59" s="107" t="e">
        <f t="shared" si="15"/>
        <v>#REF!</v>
      </c>
      <c r="AF59" s="109" t="str">
        <f t="shared" si="21"/>
        <v/>
      </c>
      <c r="AG59" s="109">
        <f t="shared" si="2"/>
        <v>0</v>
      </c>
      <c r="AH59" s="87"/>
      <c r="AI59" s="39">
        <f t="shared" si="16"/>
        <v>1</v>
      </c>
      <c r="AJ59" s="87"/>
      <c r="AK59" s="87"/>
      <c r="AL59" s="98" t="e">
        <f t="shared" si="17"/>
        <v>#REF!</v>
      </c>
      <c r="AM59" s="87">
        <f t="shared" si="18"/>
        <v>0</v>
      </c>
    </row>
    <row r="60" spans="3:50" s="79" customFormat="1" x14ac:dyDescent="0.25">
      <c r="C60" s="128">
        <f>Model!$BG$14</f>
        <v>3321768</v>
      </c>
      <c r="D60" s="41">
        <f>Model!$BG$24</f>
        <v>0.38461538461538458</v>
      </c>
      <c r="E60" s="129">
        <f t="shared" si="4"/>
        <v>1277603.0769230768</v>
      </c>
      <c r="F60" s="41">
        <f>Model!$BG$36</f>
        <v>1</v>
      </c>
      <c r="G60" s="129">
        <f t="shared" si="5"/>
        <v>1277603.0769230768</v>
      </c>
      <c r="H60" s="86">
        <f>INDEX(Model!$BG$40:$BG$43,MATCH($J60,Model!$BE$40:$BE$43,0))</f>
        <v>0.10100000000000001</v>
      </c>
      <c r="I60" s="107">
        <f t="shared" si="6"/>
        <v>129037.91076923076</v>
      </c>
      <c r="J60" s="87" t="s">
        <v>24</v>
      </c>
      <c r="K60" s="97">
        <f>INDEX(Model!$BG$44:$BG$47,MATCH($J60,Model!$BE$40:$BE$43,0))</f>
        <v>111.23110151187905</v>
      </c>
      <c r="L60" s="111">
        <f t="shared" si="31"/>
        <v>14353028.951653097</v>
      </c>
      <c r="M60" s="109">
        <f>'Example calcs 2000'!N60*0.95</f>
        <v>9817262.4130754117</v>
      </c>
      <c r="N60" s="107" t="e">
        <f t="shared" si="7"/>
        <v>#REF!</v>
      </c>
      <c r="O60" s="109" t="str">
        <f t="shared" si="8"/>
        <v/>
      </c>
      <c r="P60" s="109">
        <f t="shared" si="9"/>
        <v>9817262.4130754117</v>
      </c>
      <c r="Q60" s="97" t="s">
        <v>27</v>
      </c>
      <c r="R60" s="39">
        <f t="shared" si="10"/>
        <v>0</v>
      </c>
      <c r="S60" s="97">
        <f>INDEX(Model!$BG$61:$BG$220,MATCH($Q60,Model!$BE$61:$BE$220,0)+MATCH(Model!$BC$219,Model!$BC$61:$BC$220,0)-1)</f>
        <v>0.63300000000000001</v>
      </c>
      <c r="T60" s="111">
        <f t="shared" si="11"/>
        <v>6214327.1074767355</v>
      </c>
      <c r="U60" s="109" t="e">
        <f>'Example calcs 2000'!S60*0.8</f>
        <v>#REF!</v>
      </c>
      <c r="V60" s="107" t="e">
        <f t="shared" si="12"/>
        <v>#REF!</v>
      </c>
      <c r="W60" s="109" t="str">
        <f t="shared" si="13"/>
        <v/>
      </c>
      <c r="X60" s="109" t="e">
        <f t="shared" si="1"/>
        <v>#REF!</v>
      </c>
      <c r="Y60" s="87" t="s">
        <v>33</v>
      </c>
      <c r="Z60" s="39">
        <f t="shared" si="14"/>
        <v>1</v>
      </c>
      <c r="AA60" s="87">
        <f>Model!$BF$287</f>
        <v>1</v>
      </c>
      <c r="AB60" s="87"/>
      <c r="AC60" s="111" t="e">
        <f>X60*AA60</f>
        <v>#REF!</v>
      </c>
      <c r="AD60" s="109" t="e">
        <f>'Example calcs 2000'!Y60*0.8</f>
        <v>#REF!</v>
      </c>
      <c r="AE60" s="107" t="e">
        <f t="shared" si="15"/>
        <v>#REF!</v>
      </c>
      <c r="AF60" s="109" t="str">
        <f t="shared" si="21"/>
        <v/>
      </c>
      <c r="AG60" s="109" t="e">
        <f t="shared" si="2"/>
        <v>#REF!</v>
      </c>
      <c r="AH60" s="87" t="s">
        <v>54</v>
      </c>
      <c r="AI60" s="39">
        <f t="shared" si="16"/>
        <v>1</v>
      </c>
      <c r="AJ60" s="87">
        <f>Model!$BF$355</f>
        <v>0.52631578947368418</v>
      </c>
      <c r="AK60" s="87"/>
      <c r="AL60" s="98" t="e">
        <f t="shared" si="17"/>
        <v>#REF!</v>
      </c>
      <c r="AM60" s="87" t="e">
        <f t="shared" si="18"/>
        <v>#REF!</v>
      </c>
    </row>
    <row r="61" spans="3:50" s="79" customFormat="1" x14ac:dyDescent="0.25">
      <c r="C61" s="128">
        <f>Model!$BG$14</f>
        <v>3321768</v>
      </c>
      <c r="D61" s="41">
        <f>Model!$BG$24</f>
        <v>0.38461538461538458</v>
      </c>
      <c r="E61" s="129">
        <f t="shared" si="4"/>
        <v>1277603.0769230768</v>
      </c>
      <c r="F61" s="41">
        <f>Model!$BG$36</f>
        <v>1</v>
      </c>
      <c r="G61" s="129">
        <f t="shared" si="5"/>
        <v>1277603.0769230768</v>
      </c>
      <c r="H61" s="86">
        <f>INDEX(Model!$BG$40:$BG$43,MATCH($J61,Model!$BE$40:$BE$43,0))</f>
        <v>0.10100000000000001</v>
      </c>
      <c r="I61" s="107">
        <f t="shared" si="6"/>
        <v>129037.91076923076</v>
      </c>
      <c r="J61" s="87" t="s">
        <v>24</v>
      </c>
      <c r="K61" s="97">
        <f>INDEX(Model!$BG$44:$BG$47,MATCH($J61,Model!$BE$40:$BE$43,0))</f>
        <v>111.23110151187905</v>
      </c>
      <c r="L61" s="111">
        <f t="shared" si="31"/>
        <v>14353028.951653097</v>
      </c>
      <c r="M61" s="109">
        <f>'Example calcs 2000'!N61*0.95</f>
        <v>9817262.4130754117</v>
      </c>
      <c r="N61" s="107" t="e">
        <f t="shared" si="7"/>
        <v>#REF!</v>
      </c>
      <c r="O61" s="109" t="str">
        <f t="shared" si="8"/>
        <v/>
      </c>
      <c r="P61" s="109">
        <f t="shared" si="9"/>
        <v>9817262.4130754117</v>
      </c>
      <c r="Q61" s="97" t="s">
        <v>27</v>
      </c>
      <c r="R61" s="39">
        <f t="shared" si="10"/>
        <v>0</v>
      </c>
      <c r="S61" s="97">
        <f>INDEX(Model!$BG$61:$BG$220,MATCH($Q61,Model!$BE$61:$BE$220,0)+MATCH(Model!$BC$219,Model!$BC$61:$BC$220,0)-1)</f>
        <v>0.63300000000000001</v>
      </c>
      <c r="T61" s="111">
        <f t="shared" si="11"/>
        <v>6214327.1074767355</v>
      </c>
      <c r="U61" s="109" t="e">
        <f>'Example calcs 2000'!S61*0.8</f>
        <v>#REF!</v>
      </c>
      <c r="V61" s="107" t="e">
        <f t="shared" si="12"/>
        <v>#REF!</v>
      </c>
      <c r="W61" s="109" t="str">
        <f t="shared" si="13"/>
        <v/>
      </c>
      <c r="X61" s="109" t="e">
        <f t="shared" si="1"/>
        <v>#REF!</v>
      </c>
      <c r="Y61" s="87" t="s">
        <v>33</v>
      </c>
      <c r="Z61" s="39">
        <f t="shared" si="14"/>
        <v>0</v>
      </c>
      <c r="AA61" s="87">
        <f>Model!$BF$287</f>
        <v>1</v>
      </c>
      <c r="AB61" s="87"/>
      <c r="AC61" s="111" t="e">
        <f>X61*AA61</f>
        <v>#REF!</v>
      </c>
      <c r="AD61" s="109" t="e">
        <f>'Example calcs 2000'!Y61*0.8</f>
        <v>#REF!</v>
      </c>
      <c r="AE61" s="107" t="e">
        <f t="shared" si="15"/>
        <v>#REF!</v>
      </c>
      <c r="AF61" s="109" t="str">
        <f t="shared" si="21"/>
        <v/>
      </c>
      <c r="AG61" s="109" t="e">
        <f t="shared" si="2"/>
        <v>#REF!</v>
      </c>
      <c r="AH61" s="87" t="s">
        <v>119</v>
      </c>
      <c r="AI61" s="39">
        <f t="shared" si="16"/>
        <v>1</v>
      </c>
      <c r="AJ61" s="87">
        <f>Model!$BF$386</f>
        <v>0.4</v>
      </c>
      <c r="AK61" s="87"/>
      <c r="AL61" s="98" t="e">
        <f t="shared" si="17"/>
        <v>#REF!</v>
      </c>
      <c r="AM61" s="87" t="e">
        <f t="shared" si="18"/>
        <v>#REF!</v>
      </c>
    </row>
    <row r="62" spans="3:50" s="79" customFormat="1" x14ac:dyDescent="0.25">
      <c r="C62" s="128">
        <f>Model!$BG$14</f>
        <v>3321768</v>
      </c>
      <c r="D62" s="41">
        <f>Model!$BG$24</f>
        <v>0.38461538461538458</v>
      </c>
      <c r="E62" s="129">
        <f t="shared" si="4"/>
        <v>1277603.0769230768</v>
      </c>
      <c r="F62" s="41">
        <f>Model!$BG$36</f>
        <v>1</v>
      </c>
      <c r="G62" s="129">
        <f t="shared" si="5"/>
        <v>1277603.0769230768</v>
      </c>
      <c r="H62" s="86">
        <f>INDEX(Model!$BG$40:$BG$43,MATCH($J62,Model!$BE$40:$BE$43,0))</f>
        <v>0.10100000000000001</v>
      </c>
      <c r="I62" s="107">
        <f t="shared" si="6"/>
        <v>129037.91076923076</v>
      </c>
      <c r="J62" s="87" t="s">
        <v>24</v>
      </c>
      <c r="K62" s="97">
        <f>INDEX(Model!$BG$44:$BG$47,MATCH($J62,Model!$BE$40:$BE$43,0))</f>
        <v>111.23110151187905</v>
      </c>
      <c r="L62" s="111">
        <f t="shared" si="31"/>
        <v>14353028.951653097</v>
      </c>
      <c r="M62" s="109">
        <f>'Example calcs 2000'!N62*0.95</f>
        <v>9817262.4130754117</v>
      </c>
      <c r="N62" s="107" t="e">
        <f t="shared" si="7"/>
        <v>#REF!</v>
      </c>
      <c r="O62" s="109" t="str">
        <f t="shared" si="8"/>
        <v/>
      </c>
      <c r="P62" s="109">
        <f t="shared" si="9"/>
        <v>9817262.4130754117</v>
      </c>
      <c r="Q62" s="97" t="s">
        <v>27</v>
      </c>
      <c r="R62" s="39">
        <f t="shared" si="10"/>
        <v>0</v>
      </c>
      <c r="S62" s="97">
        <f>INDEX(Model!$BG$61:$BG$220,MATCH($Q62,Model!$BE$61:$BE$220,0)+MATCH(Model!$BC$219,Model!$BC$61:$BC$220,0)-1)</f>
        <v>0.63300000000000001</v>
      </c>
      <c r="T62" s="111">
        <f t="shared" si="11"/>
        <v>6214327.1074767355</v>
      </c>
      <c r="U62" s="109" t="e">
        <f>'Example calcs 2000'!S62*0.8</f>
        <v>#REF!</v>
      </c>
      <c r="V62" s="107" t="e">
        <f t="shared" si="12"/>
        <v>#REF!</v>
      </c>
      <c r="W62" s="109" t="str">
        <f t="shared" si="13"/>
        <v/>
      </c>
      <c r="X62" s="109" t="e">
        <f t="shared" si="1"/>
        <v>#REF!</v>
      </c>
      <c r="Y62" s="87" t="s">
        <v>33</v>
      </c>
      <c r="Z62" s="39">
        <f t="shared" si="14"/>
        <v>0</v>
      </c>
      <c r="AA62" s="87">
        <f>Model!$BF$287</f>
        <v>1</v>
      </c>
      <c r="AB62" s="87"/>
      <c r="AC62" s="111" t="e">
        <f>X62*AA62</f>
        <v>#REF!</v>
      </c>
      <c r="AD62" s="109" t="e">
        <f>'Example calcs 2000'!Y62*0.8</f>
        <v>#REF!</v>
      </c>
      <c r="AE62" s="107" t="e">
        <f t="shared" si="15"/>
        <v>#REF!</v>
      </c>
      <c r="AF62" s="109" t="str">
        <f t="shared" si="21"/>
        <v/>
      </c>
      <c r="AG62" s="109" t="e">
        <f t="shared" si="2"/>
        <v>#REF!</v>
      </c>
      <c r="AH62" s="87" t="s">
        <v>52</v>
      </c>
      <c r="AI62" s="39">
        <f t="shared" si="16"/>
        <v>1</v>
      </c>
      <c r="AJ62" s="87"/>
      <c r="AK62" s="87">
        <f>Model!$BF$324</f>
        <v>1.6129032258064517</v>
      </c>
      <c r="AL62" s="98" t="e">
        <f t="shared" si="17"/>
        <v>#REF!</v>
      </c>
      <c r="AM62" s="87" t="e">
        <f t="shared" si="18"/>
        <v>#REF!</v>
      </c>
    </row>
    <row r="63" spans="3:50" s="79" customFormat="1" x14ac:dyDescent="0.25">
      <c r="C63" s="128">
        <f>Model!$BG$14</f>
        <v>3321768</v>
      </c>
      <c r="D63" s="41">
        <f>Model!$BG$24</f>
        <v>0.38461538461538458</v>
      </c>
      <c r="E63" s="129">
        <f t="shared" si="4"/>
        <v>1277603.0769230768</v>
      </c>
      <c r="F63" s="41">
        <f>Model!$BG$36</f>
        <v>1</v>
      </c>
      <c r="G63" s="129">
        <f t="shared" si="5"/>
        <v>1277603.0769230768</v>
      </c>
      <c r="H63" s="86">
        <f>INDEX(Model!$BG$40:$BG$43,MATCH($J63,Model!$BE$40:$BE$43,0))</f>
        <v>0.10100000000000001</v>
      </c>
      <c r="I63" s="107">
        <f t="shared" si="6"/>
        <v>129037.91076923076</v>
      </c>
      <c r="J63" s="87" t="s">
        <v>24</v>
      </c>
      <c r="K63" s="97">
        <f>INDEX(Model!$BG$44:$BG$47,MATCH($J63,Model!$BE$40:$BE$43,0))</f>
        <v>111.23110151187905</v>
      </c>
      <c r="L63" s="111">
        <f t="shared" si="31"/>
        <v>14353028.951653097</v>
      </c>
      <c r="M63" s="109">
        <f>'Example calcs 2000'!N63*0.95</f>
        <v>9817262.4130754117</v>
      </c>
      <c r="N63" s="107" t="e">
        <f t="shared" si="7"/>
        <v>#REF!</v>
      </c>
      <c r="O63" s="109" t="str">
        <f t="shared" si="8"/>
        <v/>
      </c>
      <c r="P63" s="109">
        <f t="shared" si="9"/>
        <v>9817262.4130754117</v>
      </c>
      <c r="Q63" s="97" t="s">
        <v>27</v>
      </c>
      <c r="R63" s="39">
        <f t="shared" si="10"/>
        <v>0</v>
      </c>
      <c r="S63" s="97">
        <f>INDEX(Model!$BG$61:$BG$220,MATCH($Q63,Model!$BE$61:$BE$220,0)+MATCH(Model!$BC$219,Model!$BC$61:$BC$220,0)-1)</f>
        <v>0.63300000000000001</v>
      </c>
      <c r="T63" s="111">
        <f t="shared" si="11"/>
        <v>6214327.1074767355</v>
      </c>
      <c r="U63" s="109" t="e">
        <f>'Example calcs 2000'!S63*0.8</f>
        <v>#REF!</v>
      </c>
      <c r="V63" s="107" t="e">
        <f t="shared" si="12"/>
        <v>#REF!</v>
      </c>
      <c r="W63" s="109" t="str">
        <f t="shared" si="13"/>
        <v/>
      </c>
      <c r="X63" s="109" t="e">
        <f t="shared" si="1"/>
        <v>#REF!</v>
      </c>
      <c r="Y63" s="87" t="s">
        <v>33</v>
      </c>
      <c r="Z63" s="39">
        <f t="shared" si="14"/>
        <v>0</v>
      </c>
      <c r="AA63" s="87">
        <f>Model!$BF$287</f>
        <v>1</v>
      </c>
      <c r="AB63" s="87"/>
      <c r="AC63" s="111" t="e">
        <f>X63*AA63</f>
        <v>#REF!</v>
      </c>
      <c r="AD63" s="109" t="e">
        <f>'Example calcs 2000'!Y63*0.8</f>
        <v>#REF!</v>
      </c>
      <c r="AE63" s="107" t="e">
        <f t="shared" si="15"/>
        <v>#REF!</v>
      </c>
      <c r="AF63" s="109" t="str">
        <f t="shared" si="21"/>
        <v/>
      </c>
      <c r="AG63" s="109" t="e">
        <f t="shared" si="2"/>
        <v>#REF!</v>
      </c>
      <c r="AH63" s="87" t="s">
        <v>53</v>
      </c>
      <c r="AI63" s="39">
        <f t="shared" si="16"/>
        <v>1</v>
      </c>
      <c r="AJ63" s="87"/>
      <c r="AK63" s="87">
        <f>Model!$BF$417</f>
        <v>1.1111111111111112</v>
      </c>
      <c r="AL63" s="98" t="e">
        <f t="shared" si="17"/>
        <v>#REF!</v>
      </c>
      <c r="AM63" s="87" t="e">
        <f t="shared" si="18"/>
        <v>#REF!</v>
      </c>
    </row>
    <row r="64" spans="3:50" s="79" customFormat="1" x14ac:dyDescent="0.25">
      <c r="C64" s="128">
        <f>Model!$BG$14</f>
        <v>3321768</v>
      </c>
      <c r="D64" s="41">
        <f>Model!$BG$24</f>
        <v>0.38461538461538458</v>
      </c>
      <c r="E64" s="129">
        <f t="shared" si="4"/>
        <v>1277603.0769230768</v>
      </c>
      <c r="F64" s="41">
        <f>Model!$BG$36</f>
        <v>1</v>
      </c>
      <c r="G64" s="129">
        <f t="shared" si="5"/>
        <v>1277603.0769230768</v>
      </c>
      <c r="H64" s="86">
        <f>INDEX(Model!$BG$40:$BG$43,MATCH($J64,Model!$BE$40:$BE$43,0))</f>
        <v>0.10100000000000001</v>
      </c>
      <c r="I64" s="107">
        <f t="shared" si="6"/>
        <v>129037.91076923076</v>
      </c>
      <c r="J64" s="87" t="s">
        <v>24</v>
      </c>
      <c r="K64" s="97">
        <f>INDEX(Model!$BG$44:$BG$47,MATCH($J64,Model!$BE$40:$BE$43,0))</f>
        <v>111.23110151187905</v>
      </c>
      <c r="L64" s="111">
        <f t="shared" si="31"/>
        <v>14353028.951653097</v>
      </c>
      <c r="M64" s="109" t="e">
        <f>'Example calcs 2000'!N64*0.95</f>
        <v>#REF!</v>
      </c>
      <c r="N64" s="107" t="e">
        <f t="shared" si="7"/>
        <v>#REF!</v>
      </c>
      <c r="O64" s="109" t="str">
        <f t="shared" si="8"/>
        <v/>
      </c>
      <c r="P64" s="109" t="e">
        <f t="shared" si="9"/>
        <v>#REF!</v>
      </c>
      <c r="Q64" s="97" t="s">
        <v>28</v>
      </c>
      <c r="R64" s="39">
        <f t="shared" si="10"/>
        <v>1</v>
      </c>
      <c r="S64" s="97">
        <f>INDEX(Model!$BG$61:$BG$220,MATCH($Q64,Model!$BE$61:$BE$220,0)+MATCH(Model!$BC$219,Model!$BC$61:$BC$220,0)-1)</f>
        <v>0.997</v>
      </c>
      <c r="T64" s="111" t="e">
        <f t="shared" si="11"/>
        <v>#REF!</v>
      </c>
      <c r="U64" s="109" t="e">
        <f>'Example calcs 2000'!S64*0.8</f>
        <v>#REF!</v>
      </c>
      <c r="V64" s="107" t="e">
        <f t="shared" si="12"/>
        <v>#REF!</v>
      </c>
      <c r="W64" s="109" t="str">
        <f t="shared" si="13"/>
        <v/>
      </c>
      <c r="X64" s="109" t="e">
        <f t="shared" si="1"/>
        <v>#REF!</v>
      </c>
      <c r="Y64" s="87" t="s">
        <v>32</v>
      </c>
      <c r="Z64" s="39">
        <f t="shared" si="14"/>
        <v>1</v>
      </c>
      <c r="AA64" s="87"/>
      <c r="AB64" s="87">
        <f>Model!$BF$256</f>
        <v>1</v>
      </c>
      <c r="AC64" s="111"/>
      <c r="AD64" s="109">
        <f>'Example calcs 2000'!Y64*0.8</f>
        <v>0</v>
      </c>
      <c r="AE64" s="107" t="e">
        <f t="shared" si="15"/>
        <v>#REF!</v>
      </c>
      <c r="AF64" s="109" t="str">
        <f t="shared" si="21"/>
        <v/>
      </c>
      <c r="AG64" s="109">
        <f t="shared" si="2"/>
        <v>0</v>
      </c>
      <c r="AH64" s="87"/>
      <c r="AI64" s="39">
        <f t="shared" si="16"/>
        <v>1</v>
      </c>
      <c r="AJ64" s="87"/>
      <c r="AK64" s="87"/>
      <c r="AL64" s="98" t="e">
        <f t="shared" si="17"/>
        <v>#REF!</v>
      </c>
      <c r="AM64" s="87">
        <f t="shared" si="18"/>
        <v>0</v>
      </c>
    </row>
    <row r="65" spans="3:39" s="79" customFormat="1" x14ac:dyDescent="0.25">
      <c r="C65" s="128">
        <f>Model!$BG$14</f>
        <v>3321768</v>
      </c>
      <c r="D65" s="41">
        <f>Model!$BG$24</f>
        <v>0.38461538461538458</v>
      </c>
      <c r="E65" s="129">
        <f t="shared" si="4"/>
        <v>1277603.0769230768</v>
      </c>
      <c r="F65" s="41">
        <f>Model!$BG$36</f>
        <v>1</v>
      </c>
      <c r="G65" s="129">
        <f t="shared" si="5"/>
        <v>1277603.0769230768</v>
      </c>
      <c r="H65" s="86">
        <f>INDEX(Model!$BG$40:$BG$43,MATCH($J65,Model!$BE$40:$BE$43,0))</f>
        <v>0.10100000000000001</v>
      </c>
      <c r="I65" s="107">
        <f t="shared" si="6"/>
        <v>129037.91076923076</v>
      </c>
      <c r="J65" s="87" t="s">
        <v>24</v>
      </c>
      <c r="K65" s="97">
        <f>INDEX(Model!$BG$44:$BG$47,MATCH($J65,Model!$BE$40:$BE$43,0))</f>
        <v>111.23110151187905</v>
      </c>
      <c r="L65" s="111">
        <f t="shared" si="31"/>
        <v>14353028.951653097</v>
      </c>
      <c r="M65" s="109" t="e">
        <f>'Example calcs 2000'!N65*0.95</f>
        <v>#REF!</v>
      </c>
      <c r="N65" s="107" t="e">
        <f t="shared" si="7"/>
        <v>#REF!</v>
      </c>
      <c r="O65" s="109" t="str">
        <f t="shared" si="8"/>
        <v/>
      </c>
      <c r="P65" s="109" t="e">
        <f t="shared" si="9"/>
        <v>#REF!</v>
      </c>
      <c r="Q65" s="97" t="s">
        <v>28</v>
      </c>
      <c r="R65" s="39">
        <f t="shared" si="10"/>
        <v>0</v>
      </c>
      <c r="S65" s="97">
        <f>INDEX(Model!$BG$61:$BG$220,MATCH($Q65,Model!$BE$61:$BE$220,0)+MATCH(Model!$BC$219,Model!$BC$61:$BC$220,0)-1)</f>
        <v>0.997</v>
      </c>
      <c r="T65" s="111" t="e">
        <f t="shared" si="11"/>
        <v>#REF!</v>
      </c>
      <c r="U65" s="109" t="e">
        <f>'Example calcs 2000'!S65*0.8</f>
        <v>#REF!</v>
      </c>
      <c r="V65" s="107" t="e">
        <f t="shared" si="12"/>
        <v>#REF!</v>
      </c>
      <c r="W65" s="109" t="str">
        <f t="shared" si="13"/>
        <v/>
      </c>
      <c r="X65" s="109" t="e">
        <f t="shared" si="1"/>
        <v>#REF!</v>
      </c>
      <c r="Y65" s="87" t="s">
        <v>33</v>
      </c>
      <c r="Z65" s="39">
        <f t="shared" si="14"/>
        <v>1</v>
      </c>
      <c r="AA65" s="87">
        <f>Model!$BF$287</f>
        <v>1</v>
      </c>
      <c r="AB65" s="87"/>
      <c r="AC65" s="111" t="e">
        <f>X65*AA65</f>
        <v>#REF!</v>
      </c>
      <c r="AD65" s="109" t="e">
        <f>'Example calcs 2000'!Y65*0.8</f>
        <v>#REF!</v>
      </c>
      <c r="AE65" s="107" t="e">
        <f t="shared" si="15"/>
        <v>#REF!</v>
      </c>
      <c r="AF65" s="109" t="str">
        <f t="shared" si="21"/>
        <v/>
      </c>
      <c r="AG65" s="109" t="e">
        <f t="shared" si="2"/>
        <v>#REF!</v>
      </c>
      <c r="AH65" s="87" t="s">
        <v>54</v>
      </c>
      <c r="AI65" s="39">
        <f t="shared" si="16"/>
        <v>1</v>
      </c>
      <c r="AJ65" s="87">
        <f>Model!$BF$355</f>
        <v>0.52631578947368418</v>
      </c>
      <c r="AK65" s="87"/>
      <c r="AL65" s="98" t="e">
        <f t="shared" si="17"/>
        <v>#REF!</v>
      </c>
      <c r="AM65" s="87" t="e">
        <f t="shared" si="18"/>
        <v>#REF!</v>
      </c>
    </row>
    <row r="66" spans="3:39" s="79" customFormat="1" x14ac:dyDescent="0.25">
      <c r="C66" s="128">
        <f>Model!$BG$14</f>
        <v>3321768</v>
      </c>
      <c r="D66" s="41">
        <f>Model!$BG$24</f>
        <v>0.38461538461538458</v>
      </c>
      <c r="E66" s="129">
        <f t="shared" si="4"/>
        <v>1277603.0769230768</v>
      </c>
      <c r="F66" s="41">
        <f>Model!$BG$36</f>
        <v>1</v>
      </c>
      <c r="G66" s="129">
        <f t="shared" si="5"/>
        <v>1277603.0769230768</v>
      </c>
      <c r="H66" s="86">
        <f>INDEX(Model!$BG$40:$BG$43,MATCH($J66,Model!$BE$40:$BE$43,0))</f>
        <v>0.10100000000000001</v>
      </c>
      <c r="I66" s="107">
        <f t="shared" si="6"/>
        <v>129037.91076923076</v>
      </c>
      <c r="J66" s="87" t="s">
        <v>24</v>
      </c>
      <c r="K66" s="97">
        <f>INDEX(Model!$BG$44:$BG$47,MATCH($J66,Model!$BE$40:$BE$43,0))</f>
        <v>111.23110151187905</v>
      </c>
      <c r="L66" s="111">
        <f t="shared" si="31"/>
        <v>14353028.951653097</v>
      </c>
      <c r="M66" s="109" t="e">
        <f>'Example calcs 2000'!N66*0.95</f>
        <v>#REF!</v>
      </c>
      <c r="N66" s="107" t="e">
        <f t="shared" si="7"/>
        <v>#REF!</v>
      </c>
      <c r="O66" s="109" t="str">
        <f t="shared" si="8"/>
        <v/>
      </c>
      <c r="P66" s="109" t="e">
        <f t="shared" si="9"/>
        <v>#REF!</v>
      </c>
      <c r="Q66" s="97" t="s">
        <v>28</v>
      </c>
      <c r="R66" s="39">
        <f t="shared" si="10"/>
        <v>0</v>
      </c>
      <c r="S66" s="97">
        <f>INDEX(Model!$BG$61:$BG$220,MATCH($Q66,Model!$BE$61:$BE$220,0)+MATCH(Model!$BC$219,Model!$BC$61:$BC$220,0)-1)</f>
        <v>0.997</v>
      </c>
      <c r="T66" s="111" t="e">
        <f t="shared" si="11"/>
        <v>#REF!</v>
      </c>
      <c r="U66" s="109" t="e">
        <f>'Example calcs 2000'!S66*0.8</f>
        <v>#REF!</v>
      </c>
      <c r="V66" s="107" t="e">
        <f t="shared" si="12"/>
        <v>#REF!</v>
      </c>
      <c r="W66" s="109" t="str">
        <f t="shared" si="13"/>
        <v/>
      </c>
      <c r="X66" s="109" t="e">
        <f t="shared" si="1"/>
        <v>#REF!</v>
      </c>
      <c r="Y66" s="87" t="s">
        <v>33</v>
      </c>
      <c r="Z66" s="39">
        <f t="shared" si="14"/>
        <v>0</v>
      </c>
      <c r="AA66" s="87">
        <f>Model!$BF$287</f>
        <v>1</v>
      </c>
      <c r="AB66" s="87"/>
      <c r="AC66" s="111" t="e">
        <f>X66*AA66</f>
        <v>#REF!</v>
      </c>
      <c r="AD66" s="109" t="e">
        <f>'Example calcs 2000'!Y66*0.8</f>
        <v>#REF!</v>
      </c>
      <c r="AE66" s="107" t="e">
        <f t="shared" si="15"/>
        <v>#REF!</v>
      </c>
      <c r="AF66" s="109" t="str">
        <f t="shared" si="21"/>
        <v/>
      </c>
      <c r="AG66" s="109" t="e">
        <f t="shared" si="2"/>
        <v>#REF!</v>
      </c>
      <c r="AH66" s="87" t="s">
        <v>119</v>
      </c>
      <c r="AI66" s="39">
        <f t="shared" si="16"/>
        <v>1</v>
      </c>
      <c r="AJ66" s="87">
        <f>Model!$BF$386</f>
        <v>0.4</v>
      </c>
      <c r="AK66" s="87"/>
      <c r="AL66" s="98" t="e">
        <f t="shared" si="17"/>
        <v>#REF!</v>
      </c>
      <c r="AM66" s="87" t="e">
        <f t="shared" si="18"/>
        <v>#REF!</v>
      </c>
    </row>
    <row r="67" spans="3:39" s="79" customFormat="1" x14ac:dyDescent="0.25">
      <c r="C67" s="128">
        <f>Model!$BG$14</f>
        <v>3321768</v>
      </c>
      <c r="D67" s="41">
        <f>Model!$BG$24</f>
        <v>0.38461538461538458</v>
      </c>
      <c r="E67" s="129">
        <f t="shared" si="4"/>
        <v>1277603.0769230768</v>
      </c>
      <c r="F67" s="41">
        <f>Model!$BG$36</f>
        <v>1</v>
      </c>
      <c r="G67" s="129">
        <f t="shared" si="5"/>
        <v>1277603.0769230768</v>
      </c>
      <c r="H67" s="86">
        <f>INDEX(Model!$BG$40:$BG$43,MATCH($J67,Model!$BE$40:$BE$43,0))</f>
        <v>0.10100000000000001</v>
      </c>
      <c r="I67" s="107">
        <f t="shared" si="6"/>
        <v>129037.91076923076</v>
      </c>
      <c r="J67" s="87" t="s">
        <v>24</v>
      </c>
      <c r="K67" s="97">
        <f>INDEX(Model!$BG$44:$BG$47,MATCH($J67,Model!$BE$40:$BE$43,0))</f>
        <v>111.23110151187905</v>
      </c>
      <c r="L67" s="111">
        <f t="shared" si="31"/>
        <v>14353028.951653097</v>
      </c>
      <c r="M67" s="109" t="e">
        <f>'Example calcs 2000'!N67*0.95</f>
        <v>#REF!</v>
      </c>
      <c r="N67" s="107" t="e">
        <f t="shared" si="7"/>
        <v>#REF!</v>
      </c>
      <c r="O67" s="109" t="str">
        <f t="shared" si="8"/>
        <v/>
      </c>
      <c r="P67" s="109" t="e">
        <f t="shared" si="9"/>
        <v>#REF!</v>
      </c>
      <c r="Q67" s="97" t="s">
        <v>28</v>
      </c>
      <c r="R67" s="39">
        <f t="shared" si="10"/>
        <v>0</v>
      </c>
      <c r="S67" s="97">
        <f>INDEX(Model!$BG$61:$BG$220,MATCH($Q67,Model!$BE$61:$BE$220,0)+MATCH(Model!$BC$219,Model!$BC$61:$BC$220,0)-1)</f>
        <v>0.997</v>
      </c>
      <c r="T67" s="111" t="e">
        <f t="shared" si="11"/>
        <v>#REF!</v>
      </c>
      <c r="U67" s="109" t="e">
        <f>'Example calcs 2000'!S67*0.8</f>
        <v>#REF!</v>
      </c>
      <c r="V67" s="107" t="e">
        <f t="shared" si="12"/>
        <v>#REF!</v>
      </c>
      <c r="W67" s="109" t="str">
        <f t="shared" si="13"/>
        <v/>
      </c>
      <c r="X67" s="109" t="e">
        <f t="shared" si="1"/>
        <v>#REF!</v>
      </c>
      <c r="Y67" s="87" t="s">
        <v>33</v>
      </c>
      <c r="Z67" s="39">
        <f t="shared" si="14"/>
        <v>0</v>
      </c>
      <c r="AA67" s="87">
        <f>Model!$BF$287</f>
        <v>1</v>
      </c>
      <c r="AB67" s="87"/>
      <c r="AC67" s="111" t="e">
        <f>X67*AA67</f>
        <v>#REF!</v>
      </c>
      <c r="AD67" s="109" t="e">
        <f>'Example calcs 2000'!Y67*0.8</f>
        <v>#REF!</v>
      </c>
      <c r="AE67" s="107" t="e">
        <f t="shared" si="15"/>
        <v>#REF!</v>
      </c>
      <c r="AF67" s="109" t="str">
        <f t="shared" si="21"/>
        <v/>
      </c>
      <c r="AG67" s="109" t="e">
        <f t="shared" si="2"/>
        <v>#REF!</v>
      </c>
      <c r="AH67" s="87" t="s">
        <v>52</v>
      </c>
      <c r="AI67" s="39">
        <f t="shared" si="16"/>
        <v>1</v>
      </c>
      <c r="AJ67" s="87"/>
      <c r="AK67" s="87">
        <f>Model!$BF$324</f>
        <v>1.6129032258064517</v>
      </c>
      <c r="AL67" s="98" t="e">
        <f t="shared" si="17"/>
        <v>#REF!</v>
      </c>
      <c r="AM67" s="87" t="e">
        <f t="shared" si="18"/>
        <v>#REF!</v>
      </c>
    </row>
    <row r="68" spans="3:39" s="79" customFormat="1" x14ac:dyDescent="0.25">
      <c r="C68" s="128">
        <f>Model!$BG$14</f>
        <v>3321768</v>
      </c>
      <c r="D68" s="41">
        <f>Model!$BG$24</f>
        <v>0.38461538461538458</v>
      </c>
      <c r="E68" s="129">
        <f t="shared" si="4"/>
        <v>1277603.0769230768</v>
      </c>
      <c r="F68" s="41">
        <f>Model!$BG$36</f>
        <v>1</v>
      </c>
      <c r="G68" s="129">
        <f t="shared" si="5"/>
        <v>1277603.0769230768</v>
      </c>
      <c r="H68" s="86">
        <f>INDEX(Model!$BG$40:$BG$43,MATCH($J68,Model!$BE$40:$BE$43,0))</f>
        <v>0.10100000000000001</v>
      </c>
      <c r="I68" s="107">
        <f t="shared" si="6"/>
        <v>129037.91076923076</v>
      </c>
      <c r="J68" s="87" t="s">
        <v>24</v>
      </c>
      <c r="K68" s="97">
        <f>INDEX(Model!$BG$44:$BG$47,MATCH($J68,Model!$BE$40:$BE$43,0))</f>
        <v>111.23110151187905</v>
      </c>
      <c r="L68" s="111">
        <f t="shared" ref="L68:L99" si="32">K68*I68</f>
        <v>14353028.951653097</v>
      </c>
      <c r="M68" s="109" t="e">
        <f>'Example calcs 2000'!N68*0.95</f>
        <v>#REF!</v>
      </c>
      <c r="N68" s="107" t="e">
        <f t="shared" si="7"/>
        <v>#REF!</v>
      </c>
      <c r="O68" s="109" t="str">
        <f t="shared" si="8"/>
        <v/>
      </c>
      <c r="P68" s="109" t="e">
        <f t="shared" si="9"/>
        <v>#REF!</v>
      </c>
      <c r="Q68" s="97" t="s">
        <v>28</v>
      </c>
      <c r="R68" s="39">
        <f t="shared" si="10"/>
        <v>0</v>
      </c>
      <c r="S68" s="97">
        <f>INDEX(Model!$BG$61:$BG$220,MATCH($Q68,Model!$BE$61:$BE$220,0)+MATCH(Model!$BC$219,Model!$BC$61:$BC$220,0)-1)</f>
        <v>0.997</v>
      </c>
      <c r="T68" s="111" t="e">
        <f t="shared" si="11"/>
        <v>#REF!</v>
      </c>
      <c r="U68" s="109" t="e">
        <f>'Example calcs 2000'!S68*0.8</f>
        <v>#REF!</v>
      </c>
      <c r="V68" s="107" t="e">
        <f t="shared" si="12"/>
        <v>#REF!</v>
      </c>
      <c r="W68" s="109" t="str">
        <f t="shared" si="13"/>
        <v/>
      </c>
      <c r="X68" s="109" t="e">
        <f t="shared" ref="X68:X103" si="33">IFERROR(V68*W68,0)+U68</f>
        <v>#REF!</v>
      </c>
      <c r="Y68" s="87" t="s">
        <v>33</v>
      </c>
      <c r="Z68" s="39">
        <f t="shared" si="14"/>
        <v>0</v>
      </c>
      <c r="AA68" s="87">
        <f>Model!$BF$287</f>
        <v>1</v>
      </c>
      <c r="AB68" s="87"/>
      <c r="AC68" s="111" t="e">
        <f>X68*AA68</f>
        <v>#REF!</v>
      </c>
      <c r="AD68" s="109" t="e">
        <f>'Example calcs 2000'!Y68*0.8</f>
        <v>#REF!</v>
      </c>
      <c r="AE68" s="107" t="e">
        <f t="shared" si="15"/>
        <v>#REF!</v>
      </c>
      <c r="AF68" s="109" t="str">
        <f t="shared" si="21"/>
        <v/>
      </c>
      <c r="AG68" s="109" t="e">
        <f t="shared" ref="AG68:AG103" si="34">IFERROR(AE68*AF68,0)+AD68</f>
        <v>#REF!</v>
      </c>
      <c r="AH68" s="87" t="s">
        <v>53</v>
      </c>
      <c r="AI68" s="39">
        <f t="shared" si="16"/>
        <v>1</v>
      </c>
      <c r="AJ68" s="87"/>
      <c r="AK68" s="87">
        <f>Model!$BF$417</f>
        <v>1.1111111111111112</v>
      </c>
      <c r="AL68" s="98" t="e">
        <f t="shared" si="17"/>
        <v>#REF!</v>
      </c>
      <c r="AM68" s="87" t="e">
        <f t="shared" si="18"/>
        <v>#REF!</v>
      </c>
    </row>
    <row r="69" spans="3:39" s="79" customFormat="1" x14ac:dyDescent="0.25">
      <c r="C69" s="128">
        <f>Model!$BG$14</f>
        <v>3321768</v>
      </c>
      <c r="D69" s="41">
        <f>Model!$BG$24</f>
        <v>0.38461538461538458</v>
      </c>
      <c r="E69" s="129">
        <f t="shared" ref="E69:E103" si="35">D69*C69</f>
        <v>1277603.0769230768</v>
      </c>
      <c r="F69" s="41">
        <f>Model!$BG$36</f>
        <v>1</v>
      </c>
      <c r="G69" s="129">
        <f t="shared" ref="G69:G103" si="36">F69*E69</f>
        <v>1277603.0769230768</v>
      </c>
      <c r="H69" s="86">
        <f>INDEX(Model!$BG$40:$BG$43,MATCH($J69,Model!$BE$40:$BE$43,0))</f>
        <v>0.10100000000000001</v>
      </c>
      <c r="I69" s="107">
        <f t="shared" ref="I69:I103" si="37">G69*H69</f>
        <v>129037.91076923076</v>
      </c>
      <c r="J69" s="87" t="s">
        <v>24</v>
      </c>
      <c r="K69" s="97">
        <f>INDEX(Model!$BG$44:$BG$47,MATCH($J69,Model!$BE$40:$BE$43,0))</f>
        <v>111.23110151187905</v>
      </c>
      <c r="L69" s="111">
        <f t="shared" si="32"/>
        <v>14353028.951653097</v>
      </c>
      <c r="M69" s="109" t="e">
        <f>'Example calcs 2000'!N69*0.95</f>
        <v>#REF!</v>
      </c>
      <c r="N69" s="107" t="e">
        <f t="shared" ref="N69:N103" si="38">L69-SUMPRODUCT(M$4:M$103*($J$4:$J$103=$J69)*R$4:R$103)</f>
        <v>#REF!</v>
      </c>
      <c r="O69" s="109" t="str">
        <f t="shared" ref="O69:O103" si="39">IFERROR(INDEX($AQ$4:$AQ$6,MATCH(Q69,$AP$4:$AP$6,0))/SUM($AQ$4:$AQ$6),"")</f>
        <v/>
      </c>
      <c r="P69" s="109" t="e">
        <f t="shared" ref="P69:P103" si="40">IFERROR(N69*O69,0)+M69</f>
        <v>#REF!</v>
      </c>
      <c r="Q69" s="97" t="s">
        <v>30</v>
      </c>
      <c r="R69" s="39">
        <f t="shared" ref="R69:R103" si="41">IF(Q69&lt;&gt;Q68,1,0)</f>
        <v>1</v>
      </c>
      <c r="S69" s="97">
        <f>INDEX(Model!$BG$61:$BG$220,MATCH($Q69,Model!$BE$61:$BE$220,0)+MATCH(Model!$BC$219,Model!$BC$61:$BC$220,0)-1)</f>
        <v>0.36</v>
      </c>
      <c r="T69" s="111" t="e">
        <f t="shared" ref="T69:T103" si="42">P69*S69</f>
        <v>#REF!</v>
      </c>
      <c r="U69" s="109" t="e">
        <f>'Example calcs 2000'!S69*0.8</f>
        <v>#REF!</v>
      </c>
      <c r="V69" s="107" t="e">
        <f t="shared" ref="V69:V103" si="43">T69-SUMPRODUCT(U$4:U$103*($J$4:$J$103=$J69)*($Q$4:$Q$103=$Q69)*Z$4:Z$103)</f>
        <v>#REF!</v>
      </c>
      <c r="W69" s="109" t="str">
        <f t="shared" ref="W69:W103" si="44">IFERROR(INDEX($AQ$8:$AQ$9,MATCH(Y69,$AP$8:$AP$9,0))/SUM($AQ$8:$AQ$9),"")</f>
        <v/>
      </c>
      <c r="X69" s="109" t="e">
        <f t="shared" si="33"/>
        <v>#REF!</v>
      </c>
      <c r="Y69" s="87" t="s">
        <v>32</v>
      </c>
      <c r="Z69" s="39">
        <f t="shared" ref="Z69:Z103" si="45">IF(Y69&lt;&gt;Y68,1,0)</f>
        <v>1</v>
      </c>
      <c r="AA69" s="87"/>
      <c r="AB69" s="87">
        <f>Model!$BF$256</f>
        <v>1</v>
      </c>
      <c r="AC69" s="111"/>
      <c r="AD69" s="109">
        <f>'Example calcs 2000'!Y69*0.8</f>
        <v>0</v>
      </c>
      <c r="AE69" s="107" t="e">
        <f t="shared" ref="AE69:AE103" si="46">AC69-SUMPRODUCT(AD$4:AD$103*($J$4:$J$103=$J69)*($Q$4:$Q$103=$Q69)*($Y$4:$Y$103=$Y69)*AI$4:AI$103)</f>
        <v>#REF!</v>
      </c>
      <c r="AF69" s="109" t="str">
        <f t="shared" ref="AF69:AF103" si="47">IFERROR(INDEX($AQ$11:$AQ$13,MATCH(AH69,$AP$11:$AP$13,0))/SUM($AQ$11:$AQ$13),"")</f>
        <v/>
      </c>
      <c r="AG69" s="109">
        <f t="shared" si="34"/>
        <v>0</v>
      </c>
      <c r="AH69" s="87"/>
      <c r="AI69" s="39">
        <f t="shared" ref="AI69:AI103" si="48">IF(AH69&lt;&gt;AH68,1,0)</f>
        <v>1</v>
      </c>
      <c r="AJ69" s="87"/>
      <c r="AK69" s="87"/>
      <c r="AL69" s="98" t="e">
        <f t="shared" ref="AL69:AL103" si="49">AB69*X69+AJ69*AG69</f>
        <v>#REF!</v>
      </c>
      <c r="AM69" s="87">
        <f t="shared" ref="AM69:AM103" si="50">AK69*AG69</f>
        <v>0</v>
      </c>
    </row>
    <row r="70" spans="3:39" s="79" customFormat="1" x14ac:dyDescent="0.25">
      <c r="C70" s="128">
        <f>Model!$BG$14</f>
        <v>3321768</v>
      </c>
      <c r="D70" s="41">
        <f>Model!$BG$24</f>
        <v>0.38461538461538458</v>
      </c>
      <c r="E70" s="129">
        <f t="shared" si="35"/>
        <v>1277603.0769230768</v>
      </c>
      <c r="F70" s="41">
        <f>Model!$BG$36</f>
        <v>1</v>
      </c>
      <c r="G70" s="129">
        <f t="shared" si="36"/>
        <v>1277603.0769230768</v>
      </c>
      <c r="H70" s="86">
        <f>INDEX(Model!$BG$40:$BG$43,MATCH($J70,Model!$BE$40:$BE$43,0))</f>
        <v>0.10100000000000001</v>
      </c>
      <c r="I70" s="107">
        <f t="shared" si="37"/>
        <v>129037.91076923076</v>
      </c>
      <c r="J70" s="87" t="s">
        <v>24</v>
      </c>
      <c r="K70" s="97">
        <f>INDEX(Model!$BG$44:$BG$47,MATCH($J70,Model!$BE$40:$BE$43,0))</f>
        <v>111.23110151187905</v>
      </c>
      <c r="L70" s="111">
        <f t="shared" si="32"/>
        <v>14353028.951653097</v>
      </c>
      <c r="M70" s="109" t="e">
        <f>'Example calcs 2000'!N70*0.95</f>
        <v>#REF!</v>
      </c>
      <c r="N70" s="107" t="e">
        <f t="shared" si="38"/>
        <v>#REF!</v>
      </c>
      <c r="O70" s="109" t="str">
        <f t="shared" si="39"/>
        <v/>
      </c>
      <c r="P70" s="109" t="e">
        <f t="shared" si="40"/>
        <v>#REF!</v>
      </c>
      <c r="Q70" s="97" t="s">
        <v>30</v>
      </c>
      <c r="R70" s="39">
        <f t="shared" si="41"/>
        <v>0</v>
      </c>
      <c r="S70" s="97">
        <f>INDEX(Model!$BG$61:$BG$220,MATCH($Q70,Model!$BE$61:$BE$220,0)+MATCH(Model!$BC$219,Model!$BC$61:$BC$220,0)-1)</f>
        <v>0.36</v>
      </c>
      <c r="T70" s="111" t="e">
        <f t="shared" si="42"/>
        <v>#REF!</v>
      </c>
      <c r="U70" s="109" t="e">
        <f>'Example calcs 2000'!S70*0.8</f>
        <v>#REF!</v>
      </c>
      <c r="V70" s="107" t="e">
        <f t="shared" si="43"/>
        <v>#REF!</v>
      </c>
      <c r="W70" s="109" t="str">
        <f t="shared" si="44"/>
        <v/>
      </c>
      <c r="X70" s="109" t="e">
        <f t="shared" si="33"/>
        <v>#REF!</v>
      </c>
      <c r="Y70" s="87" t="s">
        <v>33</v>
      </c>
      <c r="Z70" s="39">
        <f t="shared" si="45"/>
        <v>1</v>
      </c>
      <c r="AA70" s="87">
        <f>Model!$BF$287</f>
        <v>1</v>
      </c>
      <c r="AB70" s="87"/>
      <c r="AC70" s="111" t="e">
        <f>X70*AA70</f>
        <v>#REF!</v>
      </c>
      <c r="AD70" s="109" t="e">
        <f>'Example calcs 2000'!Y70*0.8</f>
        <v>#REF!</v>
      </c>
      <c r="AE70" s="107" t="e">
        <f t="shared" si="46"/>
        <v>#REF!</v>
      </c>
      <c r="AF70" s="109" t="str">
        <f t="shared" si="47"/>
        <v/>
      </c>
      <c r="AG70" s="109" t="e">
        <f t="shared" si="34"/>
        <v>#REF!</v>
      </c>
      <c r="AH70" s="87" t="s">
        <v>54</v>
      </c>
      <c r="AI70" s="39">
        <f t="shared" si="48"/>
        <v>1</v>
      </c>
      <c r="AJ70" s="87">
        <f>Model!$BF$355</f>
        <v>0.52631578947368418</v>
      </c>
      <c r="AK70" s="87"/>
      <c r="AL70" s="98" t="e">
        <f t="shared" si="49"/>
        <v>#REF!</v>
      </c>
      <c r="AM70" s="87" t="e">
        <f t="shared" si="50"/>
        <v>#REF!</v>
      </c>
    </row>
    <row r="71" spans="3:39" s="79" customFormat="1" x14ac:dyDescent="0.25">
      <c r="C71" s="128">
        <f>Model!$BG$14</f>
        <v>3321768</v>
      </c>
      <c r="D71" s="41">
        <f>Model!$BG$24</f>
        <v>0.38461538461538458</v>
      </c>
      <c r="E71" s="129">
        <f t="shared" si="35"/>
        <v>1277603.0769230768</v>
      </c>
      <c r="F71" s="41">
        <f>Model!$BG$36</f>
        <v>1</v>
      </c>
      <c r="G71" s="129">
        <f t="shared" si="36"/>
        <v>1277603.0769230768</v>
      </c>
      <c r="H71" s="86">
        <f>INDEX(Model!$BG$40:$BG$43,MATCH($J71,Model!$BE$40:$BE$43,0))</f>
        <v>0.10100000000000001</v>
      </c>
      <c r="I71" s="107">
        <f t="shared" si="37"/>
        <v>129037.91076923076</v>
      </c>
      <c r="J71" s="87" t="s">
        <v>24</v>
      </c>
      <c r="K71" s="97">
        <f>INDEX(Model!$BG$44:$BG$47,MATCH($J71,Model!$BE$40:$BE$43,0))</f>
        <v>111.23110151187905</v>
      </c>
      <c r="L71" s="111">
        <f t="shared" si="32"/>
        <v>14353028.951653097</v>
      </c>
      <c r="M71" s="109" t="e">
        <f>'Example calcs 2000'!N71*0.95</f>
        <v>#REF!</v>
      </c>
      <c r="N71" s="107" t="e">
        <f t="shared" si="38"/>
        <v>#REF!</v>
      </c>
      <c r="O71" s="109" t="str">
        <f t="shared" si="39"/>
        <v/>
      </c>
      <c r="P71" s="109" t="e">
        <f t="shared" si="40"/>
        <v>#REF!</v>
      </c>
      <c r="Q71" s="97" t="s">
        <v>30</v>
      </c>
      <c r="R71" s="39">
        <f t="shared" si="41"/>
        <v>0</v>
      </c>
      <c r="S71" s="97">
        <f>INDEX(Model!$BG$61:$BG$220,MATCH($Q71,Model!$BE$61:$BE$220,0)+MATCH(Model!$BC$219,Model!$BC$61:$BC$220,0)-1)</f>
        <v>0.36</v>
      </c>
      <c r="T71" s="111" t="e">
        <f t="shared" si="42"/>
        <v>#REF!</v>
      </c>
      <c r="U71" s="109" t="e">
        <f>'Example calcs 2000'!S71*0.8</f>
        <v>#REF!</v>
      </c>
      <c r="V71" s="107" t="e">
        <f t="shared" si="43"/>
        <v>#REF!</v>
      </c>
      <c r="W71" s="109" t="str">
        <f t="shared" si="44"/>
        <v/>
      </c>
      <c r="X71" s="109" t="e">
        <f t="shared" si="33"/>
        <v>#REF!</v>
      </c>
      <c r="Y71" s="87" t="s">
        <v>33</v>
      </c>
      <c r="Z71" s="39">
        <f t="shared" si="45"/>
        <v>0</v>
      </c>
      <c r="AA71" s="87">
        <f>Model!$BF$287</f>
        <v>1</v>
      </c>
      <c r="AB71" s="87"/>
      <c r="AC71" s="111" t="e">
        <f>X71*AA71</f>
        <v>#REF!</v>
      </c>
      <c r="AD71" s="109" t="e">
        <f>'Example calcs 2000'!Y71*0.8</f>
        <v>#REF!</v>
      </c>
      <c r="AE71" s="107" t="e">
        <f t="shared" si="46"/>
        <v>#REF!</v>
      </c>
      <c r="AF71" s="109" t="str">
        <f t="shared" si="47"/>
        <v/>
      </c>
      <c r="AG71" s="109" t="e">
        <f t="shared" si="34"/>
        <v>#REF!</v>
      </c>
      <c r="AH71" s="87" t="s">
        <v>119</v>
      </c>
      <c r="AI71" s="39">
        <f t="shared" si="48"/>
        <v>1</v>
      </c>
      <c r="AJ71" s="87">
        <f>Model!$BF$386</f>
        <v>0.4</v>
      </c>
      <c r="AK71" s="87"/>
      <c r="AL71" s="98" t="e">
        <f t="shared" si="49"/>
        <v>#REF!</v>
      </c>
      <c r="AM71" s="87" t="e">
        <f t="shared" si="50"/>
        <v>#REF!</v>
      </c>
    </row>
    <row r="72" spans="3:39" s="79" customFormat="1" x14ac:dyDescent="0.25">
      <c r="C72" s="128">
        <f>Model!$BG$14</f>
        <v>3321768</v>
      </c>
      <c r="D72" s="41">
        <f>Model!$BG$24</f>
        <v>0.38461538461538458</v>
      </c>
      <c r="E72" s="129">
        <f t="shared" si="35"/>
        <v>1277603.0769230768</v>
      </c>
      <c r="F72" s="41">
        <f>Model!$BG$36</f>
        <v>1</v>
      </c>
      <c r="G72" s="129">
        <f t="shared" si="36"/>
        <v>1277603.0769230768</v>
      </c>
      <c r="H72" s="86">
        <f>INDEX(Model!$BG$40:$BG$43,MATCH($J72,Model!$BE$40:$BE$43,0))</f>
        <v>0.10100000000000001</v>
      </c>
      <c r="I72" s="107">
        <f t="shared" si="37"/>
        <v>129037.91076923076</v>
      </c>
      <c r="J72" s="87" t="s">
        <v>24</v>
      </c>
      <c r="K72" s="97">
        <f>INDEX(Model!$BG$44:$BG$47,MATCH($J72,Model!$BE$40:$BE$43,0))</f>
        <v>111.23110151187905</v>
      </c>
      <c r="L72" s="111">
        <f t="shared" si="32"/>
        <v>14353028.951653097</v>
      </c>
      <c r="M72" s="109" t="e">
        <f>'Example calcs 2000'!N72*0.95</f>
        <v>#REF!</v>
      </c>
      <c r="N72" s="107" t="e">
        <f t="shared" si="38"/>
        <v>#REF!</v>
      </c>
      <c r="O72" s="109" t="str">
        <f t="shared" si="39"/>
        <v/>
      </c>
      <c r="P72" s="109" t="e">
        <f t="shared" si="40"/>
        <v>#REF!</v>
      </c>
      <c r="Q72" s="97" t="s">
        <v>30</v>
      </c>
      <c r="R72" s="39">
        <f t="shared" si="41"/>
        <v>0</v>
      </c>
      <c r="S72" s="97">
        <f>INDEX(Model!$BG$61:$BG$220,MATCH($Q72,Model!$BE$61:$BE$220,0)+MATCH(Model!$BC$219,Model!$BC$61:$BC$220,0)-1)</f>
        <v>0.36</v>
      </c>
      <c r="T72" s="111" t="e">
        <f t="shared" si="42"/>
        <v>#REF!</v>
      </c>
      <c r="U72" s="109" t="e">
        <f>'Example calcs 2000'!S72*0.8</f>
        <v>#REF!</v>
      </c>
      <c r="V72" s="107" t="e">
        <f t="shared" si="43"/>
        <v>#REF!</v>
      </c>
      <c r="W72" s="109" t="str">
        <f t="shared" si="44"/>
        <v/>
      </c>
      <c r="X72" s="109" t="e">
        <f t="shared" si="33"/>
        <v>#REF!</v>
      </c>
      <c r="Y72" s="87" t="s">
        <v>33</v>
      </c>
      <c r="Z72" s="39">
        <f t="shared" si="45"/>
        <v>0</v>
      </c>
      <c r="AA72" s="87">
        <f>Model!$BF$287</f>
        <v>1</v>
      </c>
      <c r="AB72" s="87"/>
      <c r="AC72" s="111" t="e">
        <f>X72*AA72</f>
        <v>#REF!</v>
      </c>
      <c r="AD72" s="109" t="e">
        <f>'Example calcs 2000'!Y72*0.8</f>
        <v>#REF!</v>
      </c>
      <c r="AE72" s="107" t="e">
        <f t="shared" si="46"/>
        <v>#REF!</v>
      </c>
      <c r="AF72" s="109" t="str">
        <f t="shared" si="47"/>
        <v/>
      </c>
      <c r="AG72" s="109" t="e">
        <f t="shared" si="34"/>
        <v>#REF!</v>
      </c>
      <c r="AH72" s="87" t="s">
        <v>52</v>
      </c>
      <c r="AI72" s="39">
        <f t="shared" si="48"/>
        <v>1</v>
      </c>
      <c r="AJ72" s="87"/>
      <c r="AK72" s="87">
        <f>Model!$BF$324</f>
        <v>1.6129032258064517</v>
      </c>
      <c r="AL72" s="98" t="e">
        <f t="shared" si="49"/>
        <v>#REF!</v>
      </c>
      <c r="AM72" s="87" t="e">
        <f t="shared" si="50"/>
        <v>#REF!</v>
      </c>
    </row>
    <row r="73" spans="3:39" s="79" customFormat="1" x14ac:dyDescent="0.25">
      <c r="C73" s="128">
        <f>Model!$BG$14</f>
        <v>3321768</v>
      </c>
      <c r="D73" s="41">
        <f>Model!$BG$24</f>
        <v>0.38461538461538458</v>
      </c>
      <c r="E73" s="129">
        <f t="shared" si="35"/>
        <v>1277603.0769230768</v>
      </c>
      <c r="F73" s="41">
        <f>Model!$BG$36</f>
        <v>1</v>
      </c>
      <c r="G73" s="129">
        <f t="shared" si="36"/>
        <v>1277603.0769230768</v>
      </c>
      <c r="H73" s="86">
        <f>INDEX(Model!$BG$40:$BG$43,MATCH($J73,Model!$BE$40:$BE$43,0))</f>
        <v>0.10100000000000001</v>
      </c>
      <c r="I73" s="107">
        <f t="shared" si="37"/>
        <v>129037.91076923076</v>
      </c>
      <c r="J73" s="87" t="s">
        <v>24</v>
      </c>
      <c r="K73" s="97">
        <f>INDEX(Model!$BG$44:$BG$47,MATCH($J73,Model!$BE$40:$BE$43,0))</f>
        <v>111.23110151187905</v>
      </c>
      <c r="L73" s="111">
        <f t="shared" si="32"/>
        <v>14353028.951653097</v>
      </c>
      <c r="M73" s="109" t="e">
        <f>'Example calcs 2000'!N73*0.95</f>
        <v>#REF!</v>
      </c>
      <c r="N73" s="107" t="e">
        <f t="shared" si="38"/>
        <v>#REF!</v>
      </c>
      <c r="O73" s="109" t="str">
        <f t="shared" si="39"/>
        <v/>
      </c>
      <c r="P73" s="109" t="e">
        <f t="shared" si="40"/>
        <v>#REF!</v>
      </c>
      <c r="Q73" s="97" t="s">
        <v>30</v>
      </c>
      <c r="R73" s="39">
        <f t="shared" si="41"/>
        <v>0</v>
      </c>
      <c r="S73" s="97">
        <f>INDEX(Model!$BG$61:$BG$220,MATCH($Q73,Model!$BE$61:$BE$220,0)+MATCH(Model!$BC$219,Model!$BC$61:$BC$220,0)-1)</f>
        <v>0.36</v>
      </c>
      <c r="T73" s="111" t="e">
        <f t="shared" si="42"/>
        <v>#REF!</v>
      </c>
      <c r="U73" s="109" t="e">
        <f>'Example calcs 2000'!S73*0.8</f>
        <v>#REF!</v>
      </c>
      <c r="V73" s="107" t="e">
        <f t="shared" si="43"/>
        <v>#REF!</v>
      </c>
      <c r="W73" s="109" t="str">
        <f t="shared" si="44"/>
        <v/>
      </c>
      <c r="X73" s="109" t="e">
        <f t="shared" si="33"/>
        <v>#REF!</v>
      </c>
      <c r="Y73" s="87" t="s">
        <v>33</v>
      </c>
      <c r="Z73" s="39">
        <f t="shared" si="45"/>
        <v>0</v>
      </c>
      <c r="AA73" s="87">
        <f>Model!$BF$287</f>
        <v>1</v>
      </c>
      <c r="AB73" s="87"/>
      <c r="AC73" s="111" t="e">
        <f>X73*AA73</f>
        <v>#REF!</v>
      </c>
      <c r="AD73" s="109" t="e">
        <f>'Example calcs 2000'!Y73*0.8</f>
        <v>#REF!</v>
      </c>
      <c r="AE73" s="107" t="e">
        <f t="shared" si="46"/>
        <v>#REF!</v>
      </c>
      <c r="AF73" s="109" t="str">
        <f t="shared" si="47"/>
        <v/>
      </c>
      <c r="AG73" s="109" t="e">
        <f t="shared" si="34"/>
        <v>#REF!</v>
      </c>
      <c r="AH73" s="87" t="s">
        <v>53</v>
      </c>
      <c r="AI73" s="39">
        <f t="shared" si="48"/>
        <v>1</v>
      </c>
      <c r="AJ73" s="87"/>
      <c r="AK73" s="87">
        <f>Model!$BF$417</f>
        <v>1.1111111111111112</v>
      </c>
      <c r="AL73" s="98" t="e">
        <f t="shared" si="49"/>
        <v>#REF!</v>
      </c>
      <c r="AM73" s="87" t="e">
        <f t="shared" si="50"/>
        <v>#REF!</v>
      </c>
    </row>
    <row r="74" spans="3:39" s="79" customFormat="1" x14ac:dyDescent="0.25">
      <c r="C74" s="128">
        <f>Model!$BG$14</f>
        <v>3321768</v>
      </c>
      <c r="D74" s="41">
        <f>Model!$BG$24</f>
        <v>0.38461538461538458</v>
      </c>
      <c r="E74" s="129">
        <f t="shared" si="35"/>
        <v>1277603.0769230768</v>
      </c>
      <c r="F74" s="41">
        <f>Model!$BG$36</f>
        <v>1</v>
      </c>
      <c r="G74" s="129">
        <f t="shared" si="36"/>
        <v>1277603.0769230768</v>
      </c>
      <c r="H74" s="86">
        <f>INDEX(Model!$BG$40:$BG$43,MATCH($J74,Model!$BE$40:$BE$43,0))</f>
        <v>0.10100000000000001</v>
      </c>
      <c r="I74" s="107">
        <f t="shared" si="37"/>
        <v>129037.91076923076</v>
      </c>
      <c r="J74" s="87" t="s">
        <v>24</v>
      </c>
      <c r="K74" s="97">
        <f>INDEX(Model!$BG$44:$BG$47,MATCH($J74,Model!$BE$40:$BE$43,0))</f>
        <v>111.23110151187905</v>
      </c>
      <c r="L74" s="111">
        <f t="shared" si="32"/>
        <v>14353028.951653097</v>
      </c>
      <c r="M74" s="109" t="e">
        <f>'Example calcs 2000'!N74*0.95</f>
        <v>#REF!</v>
      </c>
      <c r="N74" s="107" t="e">
        <f t="shared" si="38"/>
        <v>#REF!</v>
      </c>
      <c r="O74" s="109" t="str">
        <f t="shared" si="39"/>
        <v/>
      </c>
      <c r="P74" s="109" t="e">
        <f t="shared" si="40"/>
        <v>#REF!</v>
      </c>
      <c r="Q74" s="97" t="s">
        <v>29</v>
      </c>
      <c r="R74" s="39">
        <f t="shared" si="41"/>
        <v>1</v>
      </c>
      <c r="S74" s="97">
        <f>INDEX(Model!$BG$61:$BG$220,MATCH($Q74,Model!$BE$61:$BE$220,0)+MATCH(Model!$BC$219,Model!$BC$61:$BC$220,0)-1)</f>
        <v>0.51500000000000001</v>
      </c>
      <c r="T74" s="111" t="e">
        <f t="shared" si="42"/>
        <v>#REF!</v>
      </c>
      <c r="U74" s="109" t="e">
        <f>'Example calcs 2000'!S74*0.8</f>
        <v>#REF!</v>
      </c>
      <c r="V74" s="107" t="e">
        <f t="shared" si="43"/>
        <v>#REF!</v>
      </c>
      <c r="W74" s="109" t="str">
        <f t="shared" si="44"/>
        <v/>
      </c>
      <c r="X74" s="109" t="e">
        <f t="shared" si="33"/>
        <v>#REF!</v>
      </c>
      <c r="Y74" s="87" t="s">
        <v>32</v>
      </c>
      <c r="Z74" s="39">
        <f t="shared" si="45"/>
        <v>1</v>
      </c>
      <c r="AA74" s="87"/>
      <c r="AB74" s="87">
        <f>Model!$BF$256</f>
        <v>1</v>
      </c>
      <c r="AC74" s="111"/>
      <c r="AD74" s="109">
        <f>'Example calcs 2000'!Y74*0.8</f>
        <v>0</v>
      </c>
      <c r="AE74" s="107" t="e">
        <f t="shared" si="46"/>
        <v>#REF!</v>
      </c>
      <c r="AF74" s="109" t="str">
        <f t="shared" si="47"/>
        <v/>
      </c>
      <c r="AG74" s="109">
        <f t="shared" si="34"/>
        <v>0</v>
      </c>
      <c r="AH74" s="87"/>
      <c r="AI74" s="39">
        <f t="shared" si="48"/>
        <v>1</v>
      </c>
      <c r="AJ74" s="87"/>
      <c r="AK74" s="87"/>
      <c r="AL74" s="98" t="e">
        <f t="shared" si="49"/>
        <v>#REF!</v>
      </c>
      <c r="AM74" s="87">
        <f t="shared" si="50"/>
        <v>0</v>
      </c>
    </row>
    <row r="75" spans="3:39" s="79" customFormat="1" x14ac:dyDescent="0.25">
      <c r="C75" s="128">
        <f>Model!$BG$14</f>
        <v>3321768</v>
      </c>
      <c r="D75" s="41">
        <f>Model!$BG$24</f>
        <v>0.38461538461538458</v>
      </c>
      <c r="E75" s="129">
        <f t="shared" si="35"/>
        <v>1277603.0769230768</v>
      </c>
      <c r="F75" s="41">
        <f>Model!$BG$36</f>
        <v>1</v>
      </c>
      <c r="G75" s="129">
        <f t="shared" si="36"/>
        <v>1277603.0769230768</v>
      </c>
      <c r="H75" s="86">
        <f>INDEX(Model!$BG$40:$BG$43,MATCH($J75,Model!$BE$40:$BE$43,0))</f>
        <v>0.10100000000000001</v>
      </c>
      <c r="I75" s="107">
        <f t="shared" si="37"/>
        <v>129037.91076923076</v>
      </c>
      <c r="J75" s="87" t="s">
        <v>24</v>
      </c>
      <c r="K75" s="97">
        <f>INDEX(Model!$BG$44:$BG$47,MATCH($J75,Model!$BE$40:$BE$43,0))</f>
        <v>111.23110151187905</v>
      </c>
      <c r="L75" s="111">
        <f t="shared" si="32"/>
        <v>14353028.951653097</v>
      </c>
      <c r="M75" s="109" t="e">
        <f>'Example calcs 2000'!N75*0.95</f>
        <v>#REF!</v>
      </c>
      <c r="N75" s="107" t="e">
        <f t="shared" si="38"/>
        <v>#REF!</v>
      </c>
      <c r="O75" s="109" t="str">
        <f t="shared" si="39"/>
        <v/>
      </c>
      <c r="P75" s="109" t="e">
        <f t="shared" si="40"/>
        <v>#REF!</v>
      </c>
      <c r="Q75" s="97" t="s">
        <v>29</v>
      </c>
      <c r="R75" s="39">
        <f t="shared" si="41"/>
        <v>0</v>
      </c>
      <c r="S75" s="97">
        <f>INDEX(Model!$BG$61:$BG$220,MATCH($Q75,Model!$BE$61:$BE$220,0)+MATCH(Model!$BC$219,Model!$BC$61:$BC$220,0)-1)</f>
        <v>0.51500000000000001</v>
      </c>
      <c r="T75" s="111" t="e">
        <f t="shared" si="42"/>
        <v>#REF!</v>
      </c>
      <c r="U75" s="109" t="e">
        <f>'Example calcs 2000'!S75*0.8</f>
        <v>#REF!</v>
      </c>
      <c r="V75" s="107" t="e">
        <f t="shared" si="43"/>
        <v>#REF!</v>
      </c>
      <c r="W75" s="109" t="str">
        <f t="shared" si="44"/>
        <v/>
      </c>
      <c r="X75" s="109" t="e">
        <f t="shared" si="33"/>
        <v>#REF!</v>
      </c>
      <c r="Y75" s="87" t="s">
        <v>33</v>
      </c>
      <c r="Z75" s="39">
        <f t="shared" si="45"/>
        <v>1</v>
      </c>
      <c r="AA75" s="87">
        <f>Model!$BF$287</f>
        <v>1</v>
      </c>
      <c r="AB75" s="87"/>
      <c r="AC75" s="111" t="e">
        <f>X75*AA75</f>
        <v>#REF!</v>
      </c>
      <c r="AD75" s="109" t="e">
        <f>'Example calcs 2000'!Y75*0.8</f>
        <v>#REF!</v>
      </c>
      <c r="AE75" s="107" t="e">
        <f t="shared" si="46"/>
        <v>#REF!</v>
      </c>
      <c r="AF75" s="109" t="str">
        <f t="shared" si="47"/>
        <v/>
      </c>
      <c r="AG75" s="109" t="e">
        <f t="shared" si="34"/>
        <v>#REF!</v>
      </c>
      <c r="AH75" s="87" t="s">
        <v>54</v>
      </c>
      <c r="AI75" s="39">
        <f t="shared" si="48"/>
        <v>1</v>
      </c>
      <c r="AJ75" s="87">
        <f>Model!$BF$355</f>
        <v>0.52631578947368418</v>
      </c>
      <c r="AK75" s="87"/>
      <c r="AL75" s="98" t="e">
        <f t="shared" si="49"/>
        <v>#REF!</v>
      </c>
      <c r="AM75" s="87" t="e">
        <f t="shared" si="50"/>
        <v>#REF!</v>
      </c>
    </row>
    <row r="76" spans="3:39" s="79" customFormat="1" x14ac:dyDescent="0.25">
      <c r="C76" s="128">
        <f>Model!$BG$14</f>
        <v>3321768</v>
      </c>
      <c r="D76" s="41">
        <f>Model!$BG$24</f>
        <v>0.38461538461538458</v>
      </c>
      <c r="E76" s="129">
        <f t="shared" si="35"/>
        <v>1277603.0769230768</v>
      </c>
      <c r="F76" s="41">
        <f>Model!$BG$36</f>
        <v>1</v>
      </c>
      <c r="G76" s="129">
        <f t="shared" si="36"/>
        <v>1277603.0769230768</v>
      </c>
      <c r="H76" s="86">
        <f>INDEX(Model!$BG$40:$BG$43,MATCH($J76,Model!$BE$40:$BE$43,0))</f>
        <v>0.10100000000000001</v>
      </c>
      <c r="I76" s="107">
        <f t="shared" si="37"/>
        <v>129037.91076923076</v>
      </c>
      <c r="J76" s="87" t="s">
        <v>24</v>
      </c>
      <c r="K76" s="97">
        <f>INDEX(Model!$BG$44:$BG$47,MATCH($J76,Model!$BE$40:$BE$43,0))</f>
        <v>111.23110151187905</v>
      </c>
      <c r="L76" s="111">
        <f t="shared" si="32"/>
        <v>14353028.951653097</v>
      </c>
      <c r="M76" s="109" t="e">
        <f>'Example calcs 2000'!N76*0.95</f>
        <v>#REF!</v>
      </c>
      <c r="N76" s="107" t="e">
        <f t="shared" si="38"/>
        <v>#REF!</v>
      </c>
      <c r="O76" s="109" t="str">
        <f t="shared" si="39"/>
        <v/>
      </c>
      <c r="P76" s="109" t="e">
        <f t="shared" si="40"/>
        <v>#REF!</v>
      </c>
      <c r="Q76" s="97" t="s">
        <v>29</v>
      </c>
      <c r="R76" s="39">
        <f t="shared" si="41"/>
        <v>0</v>
      </c>
      <c r="S76" s="97">
        <f>INDEX(Model!$BG$61:$BG$220,MATCH($Q76,Model!$BE$61:$BE$220,0)+MATCH(Model!$BC$219,Model!$BC$61:$BC$220,0)-1)</f>
        <v>0.51500000000000001</v>
      </c>
      <c r="T76" s="111" t="e">
        <f t="shared" si="42"/>
        <v>#REF!</v>
      </c>
      <c r="U76" s="109" t="e">
        <f>'Example calcs 2000'!S76*0.8</f>
        <v>#REF!</v>
      </c>
      <c r="V76" s="107" t="e">
        <f t="shared" si="43"/>
        <v>#REF!</v>
      </c>
      <c r="W76" s="109" t="str">
        <f t="shared" si="44"/>
        <v/>
      </c>
      <c r="X76" s="109" t="e">
        <f t="shared" si="33"/>
        <v>#REF!</v>
      </c>
      <c r="Y76" s="87" t="s">
        <v>33</v>
      </c>
      <c r="Z76" s="39">
        <f t="shared" si="45"/>
        <v>0</v>
      </c>
      <c r="AA76" s="87">
        <f>Model!$BF$287</f>
        <v>1</v>
      </c>
      <c r="AB76" s="87"/>
      <c r="AC76" s="111" t="e">
        <f>X76*AA76</f>
        <v>#REF!</v>
      </c>
      <c r="AD76" s="109" t="e">
        <f>'Example calcs 2000'!Y76*0.8</f>
        <v>#REF!</v>
      </c>
      <c r="AE76" s="107" t="e">
        <f t="shared" si="46"/>
        <v>#REF!</v>
      </c>
      <c r="AF76" s="109" t="str">
        <f t="shared" si="47"/>
        <v/>
      </c>
      <c r="AG76" s="109" t="e">
        <f t="shared" si="34"/>
        <v>#REF!</v>
      </c>
      <c r="AH76" s="87" t="s">
        <v>119</v>
      </c>
      <c r="AI76" s="39">
        <f t="shared" si="48"/>
        <v>1</v>
      </c>
      <c r="AJ76" s="87">
        <f>Model!$BF$386</f>
        <v>0.4</v>
      </c>
      <c r="AK76" s="87"/>
      <c r="AL76" s="98" t="e">
        <f t="shared" si="49"/>
        <v>#REF!</v>
      </c>
      <c r="AM76" s="87" t="e">
        <f t="shared" si="50"/>
        <v>#REF!</v>
      </c>
    </row>
    <row r="77" spans="3:39" s="79" customFormat="1" x14ac:dyDescent="0.25">
      <c r="C77" s="128">
        <f>Model!$BG$14</f>
        <v>3321768</v>
      </c>
      <c r="D77" s="41">
        <f>Model!$BG$24</f>
        <v>0.38461538461538458</v>
      </c>
      <c r="E77" s="129">
        <f t="shared" si="35"/>
        <v>1277603.0769230768</v>
      </c>
      <c r="F77" s="41">
        <f>Model!$BG$36</f>
        <v>1</v>
      </c>
      <c r="G77" s="129">
        <f t="shared" si="36"/>
        <v>1277603.0769230768</v>
      </c>
      <c r="H77" s="86">
        <f>INDEX(Model!$BG$40:$BG$43,MATCH($J77,Model!$BE$40:$BE$43,0))</f>
        <v>0.10100000000000001</v>
      </c>
      <c r="I77" s="107">
        <f t="shared" si="37"/>
        <v>129037.91076923076</v>
      </c>
      <c r="J77" s="87" t="s">
        <v>24</v>
      </c>
      <c r="K77" s="97">
        <f>INDEX(Model!$BG$44:$BG$47,MATCH($J77,Model!$BE$40:$BE$43,0))</f>
        <v>111.23110151187905</v>
      </c>
      <c r="L77" s="111">
        <f t="shared" si="32"/>
        <v>14353028.951653097</v>
      </c>
      <c r="M77" s="109" t="e">
        <f>'Example calcs 2000'!N77*0.95</f>
        <v>#REF!</v>
      </c>
      <c r="N77" s="107" t="e">
        <f t="shared" si="38"/>
        <v>#REF!</v>
      </c>
      <c r="O77" s="109" t="str">
        <f t="shared" si="39"/>
        <v/>
      </c>
      <c r="P77" s="109" t="e">
        <f t="shared" si="40"/>
        <v>#REF!</v>
      </c>
      <c r="Q77" s="97" t="s">
        <v>29</v>
      </c>
      <c r="R77" s="39">
        <f t="shared" si="41"/>
        <v>0</v>
      </c>
      <c r="S77" s="97">
        <f>INDEX(Model!$BG$61:$BG$220,MATCH($Q77,Model!$BE$61:$BE$220,0)+MATCH(Model!$BC$219,Model!$BC$61:$BC$220,0)-1)</f>
        <v>0.51500000000000001</v>
      </c>
      <c r="T77" s="111" t="e">
        <f t="shared" si="42"/>
        <v>#REF!</v>
      </c>
      <c r="U77" s="109" t="e">
        <f>'Example calcs 2000'!S77*0.8</f>
        <v>#REF!</v>
      </c>
      <c r="V77" s="107" t="e">
        <f t="shared" si="43"/>
        <v>#REF!</v>
      </c>
      <c r="W77" s="109" t="str">
        <f t="shared" si="44"/>
        <v/>
      </c>
      <c r="X77" s="109" t="e">
        <f t="shared" si="33"/>
        <v>#REF!</v>
      </c>
      <c r="Y77" s="87" t="s">
        <v>33</v>
      </c>
      <c r="Z77" s="39">
        <f t="shared" si="45"/>
        <v>0</v>
      </c>
      <c r="AA77" s="87">
        <f>Model!$BF$287</f>
        <v>1</v>
      </c>
      <c r="AB77" s="87"/>
      <c r="AC77" s="111" t="e">
        <f>X77*AA77</f>
        <v>#REF!</v>
      </c>
      <c r="AD77" s="109" t="e">
        <f>'Example calcs 2000'!Y77*0.8</f>
        <v>#REF!</v>
      </c>
      <c r="AE77" s="107" t="e">
        <f t="shared" si="46"/>
        <v>#REF!</v>
      </c>
      <c r="AF77" s="109" t="str">
        <f t="shared" si="47"/>
        <v/>
      </c>
      <c r="AG77" s="109" t="e">
        <f t="shared" si="34"/>
        <v>#REF!</v>
      </c>
      <c r="AH77" s="87" t="s">
        <v>52</v>
      </c>
      <c r="AI77" s="39">
        <f t="shared" si="48"/>
        <v>1</v>
      </c>
      <c r="AJ77" s="87"/>
      <c r="AK77" s="87">
        <f>Model!$BF$324</f>
        <v>1.6129032258064517</v>
      </c>
      <c r="AL77" s="98" t="e">
        <f t="shared" si="49"/>
        <v>#REF!</v>
      </c>
      <c r="AM77" s="87" t="e">
        <f t="shared" si="50"/>
        <v>#REF!</v>
      </c>
    </row>
    <row r="78" spans="3:39" s="79" customFormat="1" x14ac:dyDescent="0.25">
      <c r="C78" s="128">
        <f>Model!$BG$14</f>
        <v>3321768</v>
      </c>
      <c r="D78" s="41">
        <f>Model!$BG$24</f>
        <v>0.38461538461538458</v>
      </c>
      <c r="E78" s="129">
        <f t="shared" si="35"/>
        <v>1277603.0769230768</v>
      </c>
      <c r="F78" s="41">
        <f>Model!$BG$36</f>
        <v>1</v>
      </c>
      <c r="G78" s="129">
        <f t="shared" si="36"/>
        <v>1277603.0769230768</v>
      </c>
      <c r="H78" s="86">
        <f>INDEX(Model!$BG$40:$BG$43,MATCH($J78,Model!$BE$40:$BE$43,0))</f>
        <v>0.10100000000000001</v>
      </c>
      <c r="I78" s="107">
        <f t="shared" si="37"/>
        <v>129037.91076923076</v>
      </c>
      <c r="J78" s="87" t="s">
        <v>24</v>
      </c>
      <c r="K78" s="97">
        <f>INDEX(Model!$BG$44:$BG$47,MATCH($J78,Model!$BE$40:$BE$43,0))</f>
        <v>111.23110151187905</v>
      </c>
      <c r="L78" s="111">
        <f t="shared" si="32"/>
        <v>14353028.951653097</v>
      </c>
      <c r="M78" s="109" t="e">
        <f>'Example calcs 2000'!N78*0.95</f>
        <v>#REF!</v>
      </c>
      <c r="N78" s="107" t="e">
        <f t="shared" si="38"/>
        <v>#REF!</v>
      </c>
      <c r="O78" s="109" t="str">
        <f t="shared" si="39"/>
        <v/>
      </c>
      <c r="P78" s="109" t="e">
        <f t="shared" si="40"/>
        <v>#REF!</v>
      </c>
      <c r="Q78" s="97" t="s">
        <v>29</v>
      </c>
      <c r="R78" s="39">
        <f t="shared" si="41"/>
        <v>0</v>
      </c>
      <c r="S78" s="97">
        <f>INDEX(Model!$BG$61:$BG$220,MATCH($Q78,Model!$BE$61:$BE$220,0)+MATCH(Model!$BC$219,Model!$BC$61:$BC$220,0)-1)</f>
        <v>0.51500000000000001</v>
      </c>
      <c r="T78" s="111" t="e">
        <f t="shared" si="42"/>
        <v>#REF!</v>
      </c>
      <c r="U78" s="109" t="e">
        <f>'Example calcs 2000'!S78*0.8</f>
        <v>#REF!</v>
      </c>
      <c r="V78" s="107" t="e">
        <f t="shared" si="43"/>
        <v>#REF!</v>
      </c>
      <c r="W78" s="109" t="str">
        <f t="shared" si="44"/>
        <v/>
      </c>
      <c r="X78" s="109" t="e">
        <f t="shared" si="33"/>
        <v>#REF!</v>
      </c>
      <c r="Y78" s="87" t="s">
        <v>33</v>
      </c>
      <c r="Z78" s="39">
        <f t="shared" si="45"/>
        <v>0</v>
      </c>
      <c r="AA78" s="87">
        <f>Model!$BF$287</f>
        <v>1</v>
      </c>
      <c r="AB78" s="87"/>
      <c r="AC78" s="111" t="e">
        <f>X78*AA78</f>
        <v>#REF!</v>
      </c>
      <c r="AD78" s="109" t="e">
        <f>'Example calcs 2000'!Y78*0.8</f>
        <v>#REF!</v>
      </c>
      <c r="AE78" s="107" t="e">
        <f t="shared" si="46"/>
        <v>#REF!</v>
      </c>
      <c r="AF78" s="109" t="str">
        <f t="shared" si="47"/>
        <v/>
      </c>
      <c r="AG78" s="109" t="e">
        <f t="shared" si="34"/>
        <v>#REF!</v>
      </c>
      <c r="AH78" s="87" t="s">
        <v>53</v>
      </c>
      <c r="AI78" s="39">
        <f t="shared" si="48"/>
        <v>1</v>
      </c>
      <c r="AJ78" s="87"/>
      <c r="AK78" s="87">
        <f>Model!$BF$417</f>
        <v>1.1111111111111112</v>
      </c>
      <c r="AL78" s="98" t="e">
        <f t="shared" si="49"/>
        <v>#REF!</v>
      </c>
      <c r="AM78" s="87" t="e">
        <f t="shared" si="50"/>
        <v>#REF!</v>
      </c>
    </row>
    <row r="79" spans="3:39" s="79" customFormat="1" x14ac:dyDescent="0.25">
      <c r="C79" s="128">
        <f>Model!$BG$14</f>
        <v>3321768</v>
      </c>
      <c r="D79" s="41">
        <f>Model!$BG$24</f>
        <v>0.38461538461538458</v>
      </c>
      <c r="E79" s="129">
        <f t="shared" si="35"/>
        <v>1277603.0769230768</v>
      </c>
      <c r="F79" s="41">
        <f>Model!$BG$36</f>
        <v>1</v>
      </c>
      <c r="G79" s="129">
        <f t="shared" si="36"/>
        <v>1277603.0769230768</v>
      </c>
      <c r="H79" s="86">
        <f>INDEX(Model!$BG$40:$BG$43,MATCH($J79,Model!$BE$40:$BE$43,0))</f>
        <v>0.71950000000000003</v>
      </c>
      <c r="I79" s="107">
        <f t="shared" si="37"/>
        <v>919235.41384615377</v>
      </c>
      <c r="J79" s="87" t="s">
        <v>23</v>
      </c>
      <c r="K79" s="97">
        <f>INDEX(Model!$BG$44:$BG$47,MATCH($J79,Model!$BE$40:$BE$43,0))</f>
        <v>141.02045602481141</v>
      </c>
      <c r="L79" s="111">
        <f t="shared" si="32"/>
        <v>129630997.25474085</v>
      </c>
      <c r="M79" s="109" t="e">
        <f>'Example calcs 2000'!N79*0.95</f>
        <v>#REF!</v>
      </c>
      <c r="N79" s="107" t="e">
        <f t="shared" si="38"/>
        <v>#REF!</v>
      </c>
      <c r="O79" s="109" t="str">
        <f t="shared" si="39"/>
        <v/>
      </c>
      <c r="P79" s="109" t="e">
        <f t="shared" si="40"/>
        <v>#REF!</v>
      </c>
      <c r="Q79" s="97" t="s">
        <v>31</v>
      </c>
      <c r="R79" s="39">
        <f t="shared" si="41"/>
        <v>1</v>
      </c>
      <c r="S79" s="97">
        <f>INDEX(Model!$BG$61:$BG$220,MATCH($Q79,Model!$BE$61:$BE$220,0)+MATCH(Model!$BC$219,Model!$BC$61:$BC$220,0)-1)</f>
        <v>0.309</v>
      </c>
      <c r="T79" s="111" t="e">
        <f t="shared" si="42"/>
        <v>#REF!</v>
      </c>
      <c r="U79" s="109" t="e">
        <f>'Example calcs 2000'!S79*0.8</f>
        <v>#REF!</v>
      </c>
      <c r="V79" s="107" t="e">
        <f t="shared" si="43"/>
        <v>#REF!</v>
      </c>
      <c r="W79" s="109" t="str">
        <f t="shared" si="44"/>
        <v/>
      </c>
      <c r="X79" s="109" t="e">
        <f t="shared" si="33"/>
        <v>#REF!</v>
      </c>
      <c r="Y79" s="87" t="s">
        <v>32</v>
      </c>
      <c r="Z79" s="39">
        <f t="shared" si="45"/>
        <v>1</v>
      </c>
      <c r="AA79" s="87"/>
      <c r="AB79" s="87">
        <f>Model!$BF$256</f>
        <v>1</v>
      </c>
      <c r="AC79" s="111"/>
      <c r="AD79" s="109">
        <f>'Example calcs 2000'!Y79*0.8</f>
        <v>0</v>
      </c>
      <c r="AE79" s="107" t="e">
        <f t="shared" si="46"/>
        <v>#REF!</v>
      </c>
      <c r="AF79" s="109" t="str">
        <f t="shared" si="47"/>
        <v/>
      </c>
      <c r="AG79" s="109">
        <f t="shared" si="34"/>
        <v>0</v>
      </c>
      <c r="AH79" s="87"/>
      <c r="AI79" s="39">
        <f t="shared" si="48"/>
        <v>1</v>
      </c>
      <c r="AJ79" s="87"/>
      <c r="AK79" s="87"/>
      <c r="AL79" s="98" t="e">
        <f t="shared" si="49"/>
        <v>#REF!</v>
      </c>
      <c r="AM79" s="87">
        <f t="shared" si="50"/>
        <v>0</v>
      </c>
    </row>
    <row r="80" spans="3:39" s="79" customFormat="1" x14ac:dyDescent="0.25">
      <c r="C80" s="128">
        <f>Model!$BG$14</f>
        <v>3321768</v>
      </c>
      <c r="D80" s="41">
        <f>Model!$BG$24</f>
        <v>0.38461538461538458</v>
      </c>
      <c r="E80" s="129">
        <f t="shared" si="35"/>
        <v>1277603.0769230768</v>
      </c>
      <c r="F80" s="41">
        <f>Model!$BG$36</f>
        <v>1</v>
      </c>
      <c r="G80" s="129">
        <f t="shared" si="36"/>
        <v>1277603.0769230768</v>
      </c>
      <c r="H80" s="86">
        <f>INDEX(Model!$BG$40:$BG$43,MATCH($J80,Model!$BE$40:$BE$43,0))</f>
        <v>0.71950000000000003</v>
      </c>
      <c r="I80" s="107">
        <f t="shared" si="37"/>
        <v>919235.41384615377</v>
      </c>
      <c r="J80" s="87" t="s">
        <v>23</v>
      </c>
      <c r="K80" s="97">
        <f>INDEX(Model!$BG$44:$BG$47,MATCH($J80,Model!$BE$40:$BE$43,0))</f>
        <v>141.02045602481141</v>
      </c>
      <c r="L80" s="111">
        <f t="shared" si="32"/>
        <v>129630997.25474085</v>
      </c>
      <c r="M80" s="109" t="e">
        <f>'Example calcs 2000'!N80*0.95</f>
        <v>#REF!</v>
      </c>
      <c r="N80" s="107" t="e">
        <f t="shared" si="38"/>
        <v>#REF!</v>
      </c>
      <c r="O80" s="109" t="str">
        <f t="shared" si="39"/>
        <v/>
      </c>
      <c r="P80" s="109" t="e">
        <f t="shared" si="40"/>
        <v>#REF!</v>
      </c>
      <c r="Q80" s="97" t="s">
        <v>31</v>
      </c>
      <c r="R80" s="39">
        <f t="shared" si="41"/>
        <v>0</v>
      </c>
      <c r="S80" s="97">
        <f>INDEX(Model!$BG$61:$BG$220,MATCH($Q80,Model!$BE$61:$BE$220,0)+MATCH(Model!$BC$219,Model!$BC$61:$BC$220,0)-1)</f>
        <v>0.309</v>
      </c>
      <c r="T80" s="111" t="e">
        <f t="shared" si="42"/>
        <v>#REF!</v>
      </c>
      <c r="U80" s="109" t="e">
        <f>'Example calcs 2000'!S80*0.8</f>
        <v>#REF!</v>
      </c>
      <c r="V80" s="107" t="e">
        <f t="shared" si="43"/>
        <v>#REF!</v>
      </c>
      <c r="W80" s="109" t="str">
        <f t="shared" si="44"/>
        <v/>
      </c>
      <c r="X80" s="109" t="e">
        <f t="shared" si="33"/>
        <v>#REF!</v>
      </c>
      <c r="Y80" s="87" t="s">
        <v>33</v>
      </c>
      <c r="Z80" s="39">
        <f t="shared" si="45"/>
        <v>1</v>
      </c>
      <c r="AA80" s="87">
        <f>Model!$BF$287</f>
        <v>1</v>
      </c>
      <c r="AB80" s="87"/>
      <c r="AC80" s="111" t="e">
        <f>X80*AA80</f>
        <v>#REF!</v>
      </c>
      <c r="AD80" s="109" t="e">
        <f>'Example calcs 2000'!Y80*0.8</f>
        <v>#REF!</v>
      </c>
      <c r="AE80" s="107" t="e">
        <f t="shared" si="46"/>
        <v>#REF!</v>
      </c>
      <c r="AF80" s="109" t="str">
        <f t="shared" si="47"/>
        <v/>
      </c>
      <c r="AG80" s="109" t="e">
        <f t="shared" si="34"/>
        <v>#REF!</v>
      </c>
      <c r="AH80" s="87" t="s">
        <v>54</v>
      </c>
      <c r="AI80" s="39">
        <f t="shared" si="48"/>
        <v>1</v>
      </c>
      <c r="AJ80" s="87">
        <f>Model!$BF$355</f>
        <v>0.52631578947368418</v>
      </c>
      <c r="AK80" s="87"/>
      <c r="AL80" s="98" t="e">
        <f t="shared" si="49"/>
        <v>#REF!</v>
      </c>
      <c r="AM80" s="87" t="e">
        <f t="shared" si="50"/>
        <v>#REF!</v>
      </c>
    </row>
    <row r="81" spans="3:39" s="79" customFormat="1" x14ac:dyDescent="0.25">
      <c r="C81" s="128">
        <f>Model!$BG$14</f>
        <v>3321768</v>
      </c>
      <c r="D81" s="41">
        <f>Model!$BG$24</f>
        <v>0.38461538461538458</v>
      </c>
      <c r="E81" s="129">
        <f t="shared" si="35"/>
        <v>1277603.0769230768</v>
      </c>
      <c r="F81" s="41">
        <f>Model!$BG$36</f>
        <v>1</v>
      </c>
      <c r="G81" s="129">
        <f t="shared" si="36"/>
        <v>1277603.0769230768</v>
      </c>
      <c r="H81" s="86">
        <f>INDEX(Model!$BG$40:$BG$43,MATCH($J81,Model!$BE$40:$BE$43,0))</f>
        <v>0.71950000000000003</v>
      </c>
      <c r="I81" s="107">
        <f t="shared" si="37"/>
        <v>919235.41384615377</v>
      </c>
      <c r="J81" s="87" t="s">
        <v>23</v>
      </c>
      <c r="K81" s="97">
        <f>INDEX(Model!$BG$44:$BG$47,MATCH($J81,Model!$BE$40:$BE$43,0))</f>
        <v>141.02045602481141</v>
      </c>
      <c r="L81" s="111">
        <f t="shared" si="32"/>
        <v>129630997.25474085</v>
      </c>
      <c r="M81" s="109" t="e">
        <f>'Example calcs 2000'!N81*0.95</f>
        <v>#REF!</v>
      </c>
      <c r="N81" s="107" t="e">
        <f t="shared" si="38"/>
        <v>#REF!</v>
      </c>
      <c r="O81" s="109" t="str">
        <f t="shared" si="39"/>
        <v/>
      </c>
      <c r="P81" s="109" t="e">
        <f t="shared" si="40"/>
        <v>#REF!</v>
      </c>
      <c r="Q81" s="97" t="s">
        <v>31</v>
      </c>
      <c r="R81" s="39">
        <f t="shared" si="41"/>
        <v>0</v>
      </c>
      <c r="S81" s="97">
        <f>INDEX(Model!$BG$61:$BG$220,MATCH($Q81,Model!$BE$61:$BE$220,0)+MATCH(Model!$BC$219,Model!$BC$61:$BC$220,0)-1)</f>
        <v>0.309</v>
      </c>
      <c r="T81" s="111" t="e">
        <f t="shared" si="42"/>
        <v>#REF!</v>
      </c>
      <c r="U81" s="109" t="e">
        <f>'Example calcs 2000'!S81*0.8</f>
        <v>#REF!</v>
      </c>
      <c r="V81" s="107" t="e">
        <f t="shared" si="43"/>
        <v>#REF!</v>
      </c>
      <c r="W81" s="109" t="str">
        <f t="shared" si="44"/>
        <v/>
      </c>
      <c r="X81" s="109" t="e">
        <f t="shared" si="33"/>
        <v>#REF!</v>
      </c>
      <c r="Y81" s="87" t="s">
        <v>33</v>
      </c>
      <c r="Z81" s="39">
        <f t="shared" si="45"/>
        <v>0</v>
      </c>
      <c r="AA81" s="87">
        <f>Model!$BF$287</f>
        <v>1</v>
      </c>
      <c r="AB81" s="87"/>
      <c r="AC81" s="111" t="e">
        <f>X81*AA81</f>
        <v>#REF!</v>
      </c>
      <c r="AD81" s="109" t="e">
        <f>'Example calcs 2000'!Y81*0.8</f>
        <v>#REF!</v>
      </c>
      <c r="AE81" s="107" t="e">
        <f t="shared" si="46"/>
        <v>#REF!</v>
      </c>
      <c r="AF81" s="109" t="str">
        <f t="shared" si="47"/>
        <v/>
      </c>
      <c r="AG81" s="109" t="e">
        <f t="shared" si="34"/>
        <v>#REF!</v>
      </c>
      <c r="AH81" s="87" t="s">
        <v>119</v>
      </c>
      <c r="AI81" s="39">
        <f t="shared" si="48"/>
        <v>1</v>
      </c>
      <c r="AJ81" s="87">
        <f>Model!$BF$386</f>
        <v>0.4</v>
      </c>
      <c r="AK81" s="87"/>
      <c r="AL81" s="98" t="e">
        <f t="shared" si="49"/>
        <v>#REF!</v>
      </c>
      <c r="AM81" s="87" t="e">
        <f t="shared" si="50"/>
        <v>#REF!</v>
      </c>
    </row>
    <row r="82" spans="3:39" s="79" customFormat="1" x14ac:dyDescent="0.25">
      <c r="C82" s="128">
        <f>Model!$BG$14</f>
        <v>3321768</v>
      </c>
      <c r="D82" s="41">
        <f>Model!$BG$24</f>
        <v>0.38461538461538458</v>
      </c>
      <c r="E82" s="129">
        <f t="shared" si="35"/>
        <v>1277603.0769230768</v>
      </c>
      <c r="F82" s="41">
        <f>Model!$BG$36</f>
        <v>1</v>
      </c>
      <c r="G82" s="129">
        <f t="shared" si="36"/>
        <v>1277603.0769230768</v>
      </c>
      <c r="H82" s="86">
        <f>INDEX(Model!$BG$40:$BG$43,MATCH($J82,Model!$BE$40:$BE$43,0))</f>
        <v>0.71950000000000003</v>
      </c>
      <c r="I82" s="107">
        <f t="shared" si="37"/>
        <v>919235.41384615377</v>
      </c>
      <c r="J82" s="87" t="s">
        <v>23</v>
      </c>
      <c r="K82" s="97">
        <f>INDEX(Model!$BG$44:$BG$47,MATCH($J82,Model!$BE$40:$BE$43,0))</f>
        <v>141.02045602481141</v>
      </c>
      <c r="L82" s="111">
        <f t="shared" si="32"/>
        <v>129630997.25474085</v>
      </c>
      <c r="M82" s="109" t="e">
        <f>'Example calcs 2000'!N82*0.95</f>
        <v>#REF!</v>
      </c>
      <c r="N82" s="107" t="e">
        <f t="shared" si="38"/>
        <v>#REF!</v>
      </c>
      <c r="O82" s="109" t="str">
        <f t="shared" si="39"/>
        <v/>
      </c>
      <c r="P82" s="109" t="e">
        <f t="shared" si="40"/>
        <v>#REF!</v>
      </c>
      <c r="Q82" s="97" t="s">
        <v>31</v>
      </c>
      <c r="R82" s="39">
        <f t="shared" si="41"/>
        <v>0</v>
      </c>
      <c r="S82" s="97">
        <f>INDEX(Model!$BG$61:$BG$220,MATCH($Q82,Model!$BE$61:$BE$220,0)+MATCH(Model!$BC$219,Model!$BC$61:$BC$220,0)-1)</f>
        <v>0.309</v>
      </c>
      <c r="T82" s="111" t="e">
        <f t="shared" si="42"/>
        <v>#REF!</v>
      </c>
      <c r="U82" s="109" t="e">
        <f>'Example calcs 2000'!S82*0.8</f>
        <v>#REF!</v>
      </c>
      <c r="V82" s="107" t="e">
        <f t="shared" si="43"/>
        <v>#REF!</v>
      </c>
      <c r="W82" s="109" t="str">
        <f t="shared" si="44"/>
        <v/>
      </c>
      <c r="X82" s="109" t="e">
        <f t="shared" si="33"/>
        <v>#REF!</v>
      </c>
      <c r="Y82" s="87" t="s">
        <v>33</v>
      </c>
      <c r="Z82" s="39">
        <f t="shared" si="45"/>
        <v>0</v>
      </c>
      <c r="AA82" s="87">
        <f>Model!$BF$287</f>
        <v>1</v>
      </c>
      <c r="AB82" s="87"/>
      <c r="AC82" s="111" t="e">
        <f>X82*AA82</f>
        <v>#REF!</v>
      </c>
      <c r="AD82" s="109" t="e">
        <f>'Example calcs 2000'!Y82*0.8</f>
        <v>#REF!</v>
      </c>
      <c r="AE82" s="107" t="e">
        <f t="shared" si="46"/>
        <v>#REF!</v>
      </c>
      <c r="AF82" s="109" t="str">
        <f t="shared" si="47"/>
        <v/>
      </c>
      <c r="AG82" s="109" t="e">
        <f t="shared" si="34"/>
        <v>#REF!</v>
      </c>
      <c r="AH82" s="87" t="s">
        <v>52</v>
      </c>
      <c r="AI82" s="39">
        <f t="shared" si="48"/>
        <v>1</v>
      </c>
      <c r="AJ82" s="87"/>
      <c r="AK82" s="87">
        <f>Model!$BF$324</f>
        <v>1.6129032258064517</v>
      </c>
      <c r="AL82" s="98" t="e">
        <f t="shared" si="49"/>
        <v>#REF!</v>
      </c>
      <c r="AM82" s="87" t="e">
        <f t="shared" si="50"/>
        <v>#REF!</v>
      </c>
    </row>
    <row r="83" spans="3:39" s="79" customFormat="1" x14ac:dyDescent="0.25">
      <c r="C83" s="128">
        <f>Model!$BG$14</f>
        <v>3321768</v>
      </c>
      <c r="D83" s="41">
        <f>Model!$BG$24</f>
        <v>0.38461538461538458</v>
      </c>
      <c r="E83" s="129">
        <f t="shared" si="35"/>
        <v>1277603.0769230768</v>
      </c>
      <c r="F83" s="41">
        <f>Model!$BG$36</f>
        <v>1</v>
      </c>
      <c r="G83" s="129">
        <f t="shared" si="36"/>
        <v>1277603.0769230768</v>
      </c>
      <c r="H83" s="86">
        <f>INDEX(Model!$BG$40:$BG$43,MATCH($J83,Model!$BE$40:$BE$43,0))</f>
        <v>0.71950000000000003</v>
      </c>
      <c r="I83" s="107">
        <f t="shared" si="37"/>
        <v>919235.41384615377</v>
      </c>
      <c r="J83" s="87" t="s">
        <v>23</v>
      </c>
      <c r="K83" s="97">
        <f>INDEX(Model!$BG$44:$BG$47,MATCH($J83,Model!$BE$40:$BE$43,0))</f>
        <v>141.02045602481141</v>
      </c>
      <c r="L83" s="111">
        <f t="shared" si="32"/>
        <v>129630997.25474085</v>
      </c>
      <c r="M83" s="109" t="e">
        <f>'Example calcs 2000'!N83*0.95</f>
        <v>#REF!</v>
      </c>
      <c r="N83" s="107" t="e">
        <f t="shared" si="38"/>
        <v>#REF!</v>
      </c>
      <c r="O83" s="109" t="str">
        <f t="shared" si="39"/>
        <v/>
      </c>
      <c r="P83" s="109" t="e">
        <f t="shared" si="40"/>
        <v>#REF!</v>
      </c>
      <c r="Q83" s="97" t="s">
        <v>31</v>
      </c>
      <c r="R83" s="39">
        <f t="shared" si="41"/>
        <v>0</v>
      </c>
      <c r="S83" s="97">
        <f>INDEX(Model!$BG$61:$BG$220,MATCH($Q83,Model!$BE$61:$BE$220,0)+MATCH(Model!$BC$219,Model!$BC$61:$BC$220,0)-1)</f>
        <v>0.309</v>
      </c>
      <c r="T83" s="111" t="e">
        <f t="shared" si="42"/>
        <v>#REF!</v>
      </c>
      <c r="U83" s="109" t="e">
        <f>'Example calcs 2000'!S83*0.8</f>
        <v>#REF!</v>
      </c>
      <c r="V83" s="107" t="e">
        <f t="shared" si="43"/>
        <v>#REF!</v>
      </c>
      <c r="W83" s="109" t="str">
        <f t="shared" si="44"/>
        <v/>
      </c>
      <c r="X83" s="109" t="e">
        <f t="shared" si="33"/>
        <v>#REF!</v>
      </c>
      <c r="Y83" s="87" t="s">
        <v>33</v>
      </c>
      <c r="Z83" s="39">
        <f t="shared" si="45"/>
        <v>0</v>
      </c>
      <c r="AA83" s="87">
        <f>Model!$BF$287</f>
        <v>1</v>
      </c>
      <c r="AB83" s="87"/>
      <c r="AC83" s="111" t="e">
        <f>X83*AA83</f>
        <v>#REF!</v>
      </c>
      <c r="AD83" s="109" t="e">
        <f>'Example calcs 2000'!Y83*0.8</f>
        <v>#REF!</v>
      </c>
      <c r="AE83" s="107" t="e">
        <f t="shared" si="46"/>
        <v>#REF!</v>
      </c>
      <c r="AF83" s="109" t="str">
        <f t="shared" si="47"/>
        <v/>
      </c>
      <c r="AG83" s="109" t="e">
        <f t="shared" si="34"/>
        <v>#REF!</v>
      </c>
      <c r="AH83" s="87" t="s">
        <v>53</v>
      </c>
      <c r="AI83" s="39">
        <f t="shared" si="48"/>
        <v>1</v>
      </c>
      <c r="AJ83" s="87"/>
      <c r="AK83" s="87">
        <f>Model!$BF$417</f>
        <v>1.1111111111111112</v>
      </c>
      <c r="AL83" s="98" t="e">
        <f t="shared" si="49"/>
        <v>#REF!</v>
      </c>
      <c r="AM83" s="87" t="e">
        <f t="shared" si="50"/>
        <v>#REF!</v>
      </c>
    </row>
    <row r="84" spans="3:39" s="79" customFormat="1" x14ac:dyDescent="0.25">
      <c r="C84" s="128">
        <f>Model!$BG$14</f>
        <v>3321768</v>
      </c>
      <c r="D84" s="41">
        <f>Model!$BG$24</f>
        <v>0.38461538461538458</v>
      </c>
      <c r="E84" s="129">
        <f t="shared" si="35"/>
        <v>1277603.0769230768</v>
      </c>
      <c r="F84" s="41">
        <f>Model!$BG$36</f>
        <v>1</v>
      </c>
      <c r="G84" s="129">
        <f t="shared" si="36"/>
        <v>1277603.0769230768</v>
      </c>
      <c r="H84" s="86">
        <f>INDEX(Model!$BG$40:$BG$43,MATCH($J84,Model!$BE$40:$BE$43,0))</f>
        <v>0.71950000000000003</v>
      </c>
      <c r="I84" s="107">
        <f t="shared" si="37"/>
        <v>919235.41384615377</v>
      </c>
      <c r="J84" s="87" t="s">
        <v>23</v>
      </c>
      <c r="K84" s="97">
        <f>INDEX(Model!$BG$44:$BG$47,MATCH($J84,Model!$BE$40:$BE$43,0))</f>
        <v>141.02045602481141</v>
      </c>
      <c r="L84" s="111">
        <f t="shared" si="32"/>
        <v>129630997.25474085</v>
      </c>
      <c r="M84" s="109">
        <f>'Example calcs 2000'!N84*0.95</f>
        <v>91117483.579475775</v>
      </c>
      <c r="N84" s="107" t="e">
        <f t="shared" si="38"/>
        <v>#REF!</v>
      </c>
      <c r="O84" s="109" t="str">
        <f t="shared" si="39"/>
        <v/>
      </c>
      <c r="P84" s="109">
        <f t="shared" si="40"/>
        <v>91117483.579475775</v>
      </c>
      <c r="Q84" s="97" t="s">
        <v>27</v>
      </c>
      <c r="R84" s="39">
        <f t="shared" si="41"/>
        <v>1</v>
      </c>
      <c r="S84" s="97">
        <f>INDEX(Model!$BG$61:$BG$220,MATCH($Q84,Model!$BE$61:$BE$220,0)+MATCH(Model!$BC$219,Model!$BC$61:$BC$220,0)-1)</f>
        <v>0.63300000000000001</v>
      </c>
      <c r="T84" s="111">
        <f t="shared" si="42"/>
        <v>57677367.105808169</v>
      </c>
      <c r="U84" s="109" t="e">
        <f>'Example calcs 2000'!S84*0.8</f>
        <v>#REF!</v>
      </c>
      <c r="V84" s="107" t="e">
        <f t="shared" si="43"/>
        <v>#REF!</v>
      </c>
      <c r="W84" s="109" t="str">
        <f t="shared" si="44"/>
        <v/>
      </c>
      <c r="X84" s="109" t="e">
        <f t="shared" si="33"/>
        <v>#REF!</v>
      </c>
      <c r="Y84" s="87" t="s">
        <v>32</v>
      </c>
      <c r="Z84" s="39">
        <f t="shared" si="45"/>
        <v>1</v>
      </c>
      <c r="AA84" s="87"/>
      <c r="AB84" s="87">
        <f>Model!$BF$256</f>
        <v>1</v>
      </c>
      <c r="AC84" s="111"/>
      <c r="AD84" s="109">
        <f>'Example calcs 2000'!Y84*0.8</f>
        <v>0</v>
      </c>
      <c r="AE84" s="107" t="e">
        <f t="shared" si="46"/>
        <v>#REF!</v>
      </c>
      <c r="AF84" s="109" t="str">
        <f t="shared" si="47"/>
        <v/>
      </c>
      <c r="AG84" s="109">
        <f t="shared" si="34"/>
        <v>0</v>
      </c>
      <c r="AH84" s="87"/>
      <c r="AI84" s="39">
        <f t="shared" si="48"/>
        <v>1</v>
      </c>
      <c r="AJ84" s="87"/>
      <c r="AK84" s="87"/>
      <c r="AL84" s="98" t="e">
        <f t="shared" si="49"/>
        <v>#REF!</v>
      </c>
      <c r="AM84" s="87">
        <f t="shared" si="50"/>
        <v>0</v>
      </c>
    </row>
    <row r="85" spans="3:39" s="79" customFormat="1" x14ac:dyDescent="0.25">
      <c r="C85" s="128">
        <f>Model!$BG$14</f>
        <v>3321768</v>
      </c>
      <c r="D85" s="41">
        <f>Model!$BG$24</f>
        <v>0.38461538461538458</v>
      </c>
      <c r="E85" s="129">
        <f t="shared" si="35"/>
        <v>1277603.0769230768</v>
      </c>
      <c r="F85" s="41">
        <f>Model!$BG$36</f>
        <v>1</v>
      </c>
      <c r="G85" s="129">
        <f t="shared" si="36"/>
        <v>1277603.0769230768</v>
      </c>
      <c r="H85" s="86">
        <f>INDEX(Model!$BG$40:$BG$43,MATCH($J85,Model!$BE$40:$BE$43,0))</f>
        <v>0.71950000000000003</v>
      </c>
      <c r="I85" s="107">
        <f t="shared" si="37"/>
        <v>919235.41384615377</v>
      </c>
      <c r="J85" s="87" t="s">
        <v>23</v>
      </c>
      <c r="K85" s="97">
        <f>INDEX(Model!$BG$44:$BG$47,MATCH($J85,Model!$BE$40:$BE$43,0))</f>
        <v>141.02045602481141</v>
      </c>
      <c r="L85" s="111">
        <f t="shared" si="32"/>
        <v>129630997.25474085</v>
      </c>
      <c r="M85" s="109">
        <f>'Example calcs 2000'!N85*0.95</f>
        <v>91117483.579475775</v>
      </c>
      <c r="N85" s="107" t="e">
        <f t="shared" si="38"/>
        <v>#REF!</v>
      </c>
      <c r="O85" s="109" t="str">
        <f t="shared" si="39"/>
        <v/>
      </c>
      <c r="P85" s="109">
        <f t="shared" si="40"/>
        <v>91117483.579475775</v>
      </c>
      <c r="Q85" s="97" t="s">
        <v>27</v>
      </c>
      <c r="R85" s="39">
        <f t="shared" si="41"/>
        <v>0</v>
      </c>
      <c r="S85" s="97">
        <f>INDEX(Model!$BG$61:$BG$220,MATCH($Q85,Model!$BE$61:$BE$220,0)+MATCH(Model!$BC$219,Model!$BC$61:$BC$220,0)-1)</f>
        <v>0.63300000000000001</v>
      </c>
      <c r="T85" s="111">
        <f t="shared" si="42"/>
        <v>57677367.105808169</v>
      </c>
      <c r="U85" s="109" t="e">
        <f>'Example calcs 2000'!S85*0.8</f>
        <v>#REF!</v>
      </c>
      <c r="V85" s="107" t="e">
        <f t="shared" si="43"/>
        <v>#REF!</v>
      </c>
      <c r="W85" s="109" t="str">
        <f t="shared" si="44"/>
        <v/>
      </c>
      <c r="X85" s="109" t="e">
        <f t="shared" si="33"/>
        <v>#REF!</v>
      </c>
      <c r="Y85" s="87" t="s">
        <v>33</v>
      </c>
      <c r="Z85" s="39">
        <f t="shared" si="45"/>
        <v>1</v>
      </c>
      <c r="AA85" s="87">
        <f>Model!$BF$287</f>
        <v>1</v>
      </c>
      <c r="AB85" s="87"/>
      <c r="AC85" s="111" t="e">
        <f>X85*AA85</f>
        <v>#REF!</v>
      </c>
      <c r="AD85" s="109" t="e">
        <f>'Example calcs 2000'!Y85*0.8</f>
        <v>#REF!</v>
      </c>
      <c r="AE85" s="107" t="e">
        <f t="shared" si="46"/>
        <v>#REF!</v>
      </c>
      <c r="AF85" s="109" t="str">
        <f t="shared" si="47"/>
        <v/>
      </c>
      <c r="AG85" s="109" t="e">
        <f t="shared" si="34"/>
        <v>#REF!</v>
      </c>
      <c r="AH85" s="87" t="s">
        <v>54</v>
      </c>
      <c r="AI85" s="39">
        <f t="shared" si="48"/>
        <v>1</v>
      </c>
      <c r="AJ85" s="87">
        <f>Model!$BF$355</f>
        <v>0.52631578947368418</v>
      </c>
      <c r="AK85" s="87"/>
      <c r="AL85" s="98" t="e">
        <f t="shared" si="49"/>
        <v>#REF!</v>
      </c>
      <c r="AM85" s="87" t="e">
        <f t="shared" si="50"/>
        <v>#REF!</v>
      </c>
    </row>
    <row r="86" spans="3:39" s="79" customFormat="1" x14ac:dyDescent="0.25">
      <c r="C86" s="128">
        <f>Model!$BG$14</f>
        <v>3321768</v>
      </c>
      <c r="D86" s="41">
        <f>Model!$BG$24</f>
        <v>0.38461538461538458</v>
      </c>
      <c r="E86" s="129">
        <f t="shared" si="35"/>
        <v>1277603.0769230768</v>
      </c>
      <c r="F86" s="41">
        <f>Model!$BG$36</f>
        <v>1</v>
      </c>
      <c r="G86" s="129">
        <f t="shared" si="36"/>
        <v>1277603.0769230768</v>
      </c>
      <c r="H86" s="86">
        <f>INDEX(Model!$BG$40:$BG$43,MATCH($J86,Model!$BE$40:$BE$43,0))</f>
        <v>0.71950000000000003</v>
      </c>
      <c r="I86" s="107">
        <f t="shared" si="37"/>
        <v>919235.41384615377</v>
      </c>
      <c r="J86" s="87" t="s">
        <v>23</v>
      </c>
      <c r="K86" s="97">
        <f>INDEX(Model!$BG$44:$BG$47,MATCH($J86,Model!$BE$40:$BE$43,0))</f>
        <v>141.02045602481141</v>
      </c>
      <c r="L86" s="111">
        <f t="shared" si="32"/>
        <v>129630997.25474085</v>
      </c>
      <c r="M86" s="109">
        <f>'Example calcs 2000'!N86*0.95</f>
        <v>91117483.579475775</v>
      </c>
      <c r="N86" s="107" t="e">
        <f t="shared" si="38"/>
        <v>#REF!</v>
      </c>
      <c r="O86" s="109" t="str">
        <f t="shared" si="39"/>
        <v/>
      </c>
      <c r="P86" s="109">
        <f t="shared" si="40"/>
        <v>91117483.579475775</v>
      </c>
      <c r="Q86" s="97" t="s">
        <v>27</v>
      </c>
      <c r="R86" s="39">
        <f t="shared" si="41"/>
        <v>0</v>
      </c>
      <c r="S86" s="97">
        <f>INDEX(Model!$BG$61:$BG$220,MATCH($Q86,Model!$BE$61:$BE$220,0)+MATCH(Model!$BC$219,Model!$BC$61:$BC$220,0)-1)</f>
        <v>0.63300000000000001</v>
      </c>
      <c r="T86" s="111">
        <f t="shared" si="42"/>
        <v>57677367.105808169</v>
      </c>
      <c r="U86" s="109" t="e">
        <f>'Example calcs 2000'!S86*0.8</f>
        <v>#REF!</v>
      </c>
      <c r="V86" s="107" t="e">
        <f t="shared" si="43"/>
        <v>#REF!</v>
      </c>
      <c r="W86" s="109" t="str">
        <f t="shared" si="44"/>
        <v/>
      </c>
      <c r="X86" s="109" t="e">
        <f t="shared" si="33"/>
        <v>#REF!</v>
      </c>
      <c r="Y86" s="87" t="s">
        <v>33</v>
      </c>
      <c r="Z86" s="39">
        <f t="shared" si="45"/>
        <v>0</v>
      </c>
      <c r="AA86" s="87">
        <f>Model!$BF$287</f>
        <v>1</v>
      </c>
      <c r="AB86" s="87"/>
      <c r="AC86" s="111" t="e">
        <f>X86*AA86</f>
        <v>#REF!</v>
      </c>
      <c r="AD86" s="109" t="e">
        <f>'Example calcs 2000'!Y86*0.8</f>
        <v>#REF!</v>
      </c>
      <c r="AE86" s="107" t="e">
        <f t="shared" si="46"/>
        <v>#REF!</v>
      </c>
      <c r="AF86" s="109" t="str">
        <f t="shared" si="47"/>
        <v/>
      </c>
      <c r="AG86" s="109" t="e">
        <f t="shared" si="34"/>
        <v>#REF!</v>
      </c>
      <c r="AH86" s="87" t="s">
        <v>119</v>
      </c>
      <c r="AI86" s="39">
        <f t="shared" si="48"/>
        <v>1</v>
      </c>
      <c r="AJ86" s="87">
        <f>Model!$BF$386</f>
        <v>0.4</v>
      </c>
      <c r="AK86" s="87"/>
      <c r="AL86" s="98" t="e">
        <f t="shared" si="49"/>
        <v>#REF!</v>
      </c>
      <c r="AM86" s="87" t="e">
        <f t="shared" si="50"/>
        <v>#REF!</v>
      </c>
    </row>
    <row r="87" spans="3:39" s="79" customFormat="1" x14ac:dyDescent="0.25">
      <c r="C87" s="128">
        <f>Model!$BG$14</f>
        <v>3321768</v>
      </c>
      <c r="D87" s="41">
        <f>Model!$BG$24</f>
        <v>0.38461538461538458</v>
      </c>
      <c r="E87" s="129">
        <f t="shared" si="35"/>
        <v>1277603.0769230768</v>
      </c>
      <c r="F87" s="41">
        <f>Model!$BG$36</f>
        <v>1</v>
      </c>
      <c r="G87" s="129">
        <f t="shared" si="36"/>
        <v>1277603.0769230768</v>
      </c>
      <c r="H87" s="86">
        <f>INDEX(Model!$BG$40:$BG$43,MATCH($J87,Model!$BE$40:$BE$43,0))</f>
        <v>0.71950000000000003</v>
      </c>
      <c r="I87" s="107">
        <f t="shared" si="37"/>
        <v>919235.41384615377</v>
      </c>
      <c r="J87" s="87" t="s">
        <v>23</v>
      </c>
      <c r="K87" s="97">
        <f>INDEX(Model!$BG$44:$BG$47,MATCH($J87,Model!$BE$40:$BE$43,0))</f>
        <v>141.02045602481141</v>
      </c>
      <c r="L87" s="111">
        <f t="shared" si="32"/>
        <v>129630997.25474085</v>
      </c>
      <c r="M87" s="109">
        <f>'Example calcs 2000'!N87*0.95</f>
        <v>91117483.579475775</v>
      </c>
      <c r="N87" s="107" t="e">
        <f t="shared" si="38"/>
        <v>#REF!</v>
      </c>
      <c r="O87" s="109" t="str">
        <f t="shared" si="39"/>
        <v/>
      </c>
      <c r="P87" s="109">
        <f t="shared" si="40"/>
        <v>91117483.579475775</v>
      </c>
      <c r="Q87" s="97" t="s">
        <v>27</v>
      </c>
      <c r="R87" s="39">
        <f t="shared" si="41"/>
        <v>0</v>
      </c>
      <c r="S87" s="97">
        <f>INDEX(Model!$BG$61:$BG$220,MATCH($Q87,Model!$BE$61:$BE$220,0)+MATCH(Model!$BC$219,Model!$BC$61:$BC$220,0)-1)</f>
        <v>0.63300000000000001</v>
      </c>
      <c r="T87" s="111">
        <f t="shared" si="42"/>
        <v>57677367.105808169</v>
      </c>
      <c r="U87" s="109" t="e">
        <f>'Example calcs 2000'!S87*0.8</f>
        <v>#REF!</v>
      </c>
      <c r="V87" s="107" t="e">
        <f t="shared" si="43"/>
        <v>#REF!</v>
      </c>
      <c r="W87" s="109" t="str">
        <f t="shared" si="44"/>
        <v/>
      </c>
      <c r="X87" s="109" t="e">
        <f t="shared" si="33"/>
        <v>#REF!</v>
      </c>
      <c r="Y87" s="87" t="s">
        <v>33</v>
      </c>
      <c r="Z87" s="39">
        <f t="shared" si="45"/>
        <v>0</v>
      </c>
      <c r="AA87" s="87">
        <f>Model!$BF$287</f>
        <v>1</v>
      </c>
      <c r="AB87" s="87"/>
      <c r="AC87" s="111" t="e">
        <f>X87*AA87</f>
        <v>#REF!</v>
      </c>
      <c r="AD87" s="109" t="e">
        <f>'Example calcs 2000'!Y87*0.8</f>
        <v>#REF!</v>
      </c>
      <c r="AE87" s="107" t="e">
        <f t="shared" si="46"/>
        <v>#REF!</v>
      </c>
      <c r="AF87" s="109" t="str">
        <f t="shared" si="47"/>
        <v/>
      </c>
      <c r="AG87" s="109" t="e">
        <f t="shared" si="34"/>
        <v>#REF!</v>
      </c>
      <c r="AH87" s="87" t="s">
        <v>52</v>
      </c>
      <c r="AI87" s="39">
        <f t="shared" si="48"/>
        <v>1</v>
      </c>
      <c r="AJ87" s="87"/>
      <c r="AK87" s="87">
        <f>Model!$BF$324</f>
        <v>1.6129032258064517</v>
      </c>
      <c r="AL87" s="98" t="e">
        <f t="shared" si="49"/>
        <v>#REF!</v>
      </c>
      <c r="AM87" s="87" t="e">
        <f t="shared" si="50"/>
        <v>#REF!</v>
      </c>
    </row>
    <row r="88" spans="3:39" s="79" customFormat="1" x14ac:dyDescent="0.25">
      <c r="C88" s="128">
        <f>Model!$BG$14</f>
        <v>3321768</v>
      </c>
      <c r="D88" s="41">
        <f>Model!$BG$24</f>
        <v>0.38461538461538458</v>
      </c>
      <c r="E88" s="129">
        <f t="shared" si="35"/>
        <v>1277603.0769230768</v>
      </c>
      <c r="F88" s="41">
        <f>Model!$BG$36</f>
        <v>1</v>
      </c>
      <c r="G88" s="129">
        <f t="shared" si="36"/>
        <v>1277603.0769230768</v>
      </c>
      <c r="H88" s="86">
        <f>INDEX(Model!$BG$40:$BG$43,MATCH($J88,Model!$BE$40:$BE$43,0))</f>
        <v>0.71950000000000003</v>
      </c>
      <c r="I88" s="107">
        <f t="shared" si="37"/>
        <v>919235.41384615377</v>
      </c>
      <c r="J88" s="87" t="s">
        <v>23</v>
      </c>
      <c r="K88" s="97">
        <f>INDEX(Model!$BG$44:$BG$47,MATCH($J88,Model!$BE$40:$BE$43,0))</f>
        <v>141.02045602481141</v>
      </c>
      <c r="L88" s="111">
        <f t="shared" si="32"/>
        <v>129630997.25474085</v>
      </c>
      <c r="M88" s="109">
        <f>'Example calcs 2000'!N88*0.95</f>
        <v>91117483.579475775</v>
      </c>
      <c r="N88" s="107" t="e">
        <f t="shared" si="38"/>
        <v>#REF!</v>
      </c>
      <c r="O88" s="109" t="str">
        <f t="shared" si="39"/>
        <v/>
      </c>
      <c r="P88" s="109">
        <f t="shared" si="40"/>
        <v>91117483.579475775</v>
      </c>
      <c r="Q88" s="97" t="s">
        <v>27</v>
      </c>
      <c r="R88" s="39">
        <f t="shared" si="41"/>
        <v>0</v>
      </c>
      <c r="S88" s="97">
        <f>INDEX(Model!$BG$61:$BG$220,MATCH($Q88,Model!$BE$61:$BE$220,0)+MATCH(Model!$BC$219,Model!$BC$61:$BC$220,0)-1)</f>
        <v>0.63300000000000001</v>
      </c>
      <c r="T88" s="111">
        <f t="shared" si="42"/>
        <v>57677367.105808169</v>
      </c>
      <c r="U88" s="109" t="e">
        <f>'Example calcs 2000'!S88*0.8</f>
        <v>#REF!</v>
      </c>
      <c r="V88" s="107" t="e">
        <f t="shared" si="43"/>
        <v>#REF!</v>
      </c>
      <c r="W88" s="109" t="str">
        <f t="shared" si="44"/>
        <v/>
      </c>
      <c r="X88" s="109" t="e">
        <f t="shared" si="33"/>
        <v>#REF!</v>
      </c>
      <c r="Y88" s="87" t="s">
        <v>33</v>
      </c>
      <c r="Z88" s="39">
        <f t="shared" si="45"/>
        <v>0</v>
      </c>
      <c r="AA88" s="87">
        <f>Model!$BF$287</f>
        <v>1</v>
      </c>
      <c r="AB88" s="87"/>
      <c r="AC88" s="111" t="e">
        <f>X88*AA88</f>
        <v>#REF!</v>
      </c>
      <c r="AD88" s="109" t="e">
        <f>'Example calcs 2000'!Y88*0.8</f>
        <v>#REF!</v>
      </c>
      <c r="AE88" s="107" t="e">
        <f t="shared" si="46"/>
        <v>#REF!</v>
      </c>
      <c r="AF88" s="109" t="str">
        <f t="shared" si="47"/>
        <v/>
      </c>
      <c r="AG88" s="109" t="e">
        <f t="shared" si="34"/>
        <v>#REF!</v>
      </c>
      <c r="AH88" s="87" t="s">
        <v>53</v>
      </c>
      <c r="AI88" s="39">
        <f t="shared" si="48"/>
        <v>1</v>
      </c>
      <c r="AJ88" s="87"/>
      <c r="AK88" s="87">
        <f>Model!$BF$417</f>
        <v>1.1111111111111112</v>
      </c>
      <c r="AL88" s="98" t="e">
        <f t="shared" si="49"/>
        <v>#REF!</v>
      </c>
      <c r="AM88" s="87" t="e">
        <f t="shared" si="50"/>
        <v>#REF!</v>
      </c>
    </row>
    <row r="89" spans="3:39" s="79" customFormat="1" x14ac:dyDescent="0.25">
      <c r="C89" s="128">
        <f>Model!$BG$14</f>
        <v>3321768</v>
      </c>
      <c r="D89" s="41">
        <f>Model!$BG$24</f>
        <v>0.38461538461538458</v>
      </c>
      <c r="E89" s="129">
        <f t="shared" si="35"/>
        <v>1277603.0769230768</v>
      </c>
      <c r="F89" s="41">
        <f>Model!$BG$36</f>
        <v>1</v>
      </c>
      <c r="G89" s="129">
        <f t="shared" si="36"/>
        <v>1277603.0769230768</v>
      </c>
      <c r="H89" s="86">
        <f>INDEX(Model!$BG$40:$BG$43,MATCH($J89,Model!$BE$40:$BE$43,0))</f>
        <v>0.71950000000000003</v>
      </c>
      <c r="I89" s="107">
        <f t="shared" si="37"/>
        <v>919235.41384615377</v>
      </c>
      <c r="J89" s="87" t="s">
        <v>23</v>
      </c>
      <c r="K89" s="97">
        <f>INDEX(Model!$BG$44:$BG$47,MATCH($J89,Model!$BE$40:$BE$43,0))</f>
        <v>141.02045602481141</v>
      </c>
      <c r="L89" s="111">
        <f t="shared" si="32"/>
        <v>129630997.25474085</v>
      </c>
      <c r="M89" s="109" t="e">
        <f>'Example calcs 2000'!N89*0.95</f>
        <v>#REF!</v>
      </c>
      <c r="N89" s="107" t="e">
        <f t="shared" si="38"/>
        <v>#REF!</v>
      </c>
      <c r="O89" s="109" t="str">
        <f t="shared" si="39"/>
        <v/>
      </c>
      <c r="P89" s="109" t="e">
        <f t="shared" si="40"/>
        <v>#REF!</v>
      </c>
      <c r="Q89" s="97" t="s">
        <v>28</v>
      </c>
      <c r="R89" s="39">
        <f t="shared" si="41"/>
        <v>1</v>
      </c>
      <c r="S89" s="97">
        <f>INDEX(Model!$BG$61:$BG$220,MATCH($Q89,Model!$BE$61:$BE$220,0)+MATCH(Model!$BC$219,Model!$BC$61:$BC$220,0)-1)</f>
        <v>0.997</v>
      </c>
      <c r="T89" s="111" t="e">
        <f t="shared" si="42"/>
        <v>#REF!</v>
      </c>
      <c r="U89" s="109" t="e">
        <f>'Example calcs 2000'!S89*0.8</f>
        <v>#REF!</v>
      </c>
      <c r="V89" s="107" t="e">
        <f t="shared" si="43"/>
        <v>#REF!</v>
      </c>
      <c r="W89" s="109" t="str">
        <f t="shared" si="44"/>
        <v/>
      </c>
      <c r="X89" s="109" t="e">
        <f t="shared" si="33"/>
        <v>#REF!</v>
      </c>
      <c r="Y89" s="87" t="s">
        <v>32</v>
      </c>
      <c r="Z89" s="39">
        <f t="shared" si="45"/>
        <v>1</v>
      </c>
      <c r="AA89" s="87"/>
      <c r="AB89" s="87">
        <f>Model!$BF$256</f>
        <v>1</v>
      </c>
      <c r="AC89" s="111"/>
      <c r="AD89" s="109">
        <f>'Example calcs 2000'!Y89*0.8</f>
        <v>0</v>
      </c>
      <c r="AE89" s="107" t="e">
        <f t="shared" si="46"/>
        <v>#REF!</v>
      </c>
      <c r="AF89" s="109" t="str">
        <f t="shared" si="47"/>
        <v/>
      </c>
      <c r="AG89" s="109">
        <f t="shared" si="34"/>
        <v>0</v>
      </c>
      <c r="AH89" s="87"/>
      <c r="AI89" s="39">
        <f t="shared" si="48"/>
        <v>1</v>
      </c>
      <c r="AJ89" s="87"/>
      <c r="AK89" s="87"/>
      <c r="AL89" s="98" t="e">
        <f t="shared" si="49"/>
        <v>#REF!</v>
      </c>
      <c r="AM89" s="87">
        <f t="shared" si="50"/>
        <v>0</v>
      </c>
    </row>
    <row r="90" spans="3:39" s="79" customFormat="1" x14ac:dyDescent="0.25">
      <c r="C90" s="128">
        <f>Model!$BG$14</f>
        <v>3321768</v>
      </c>
      <c r="D90" s="41">
        <f>Model!$BG$24</f>
        <v>0.38461538461538458</v>
      </c>
      <c r="E90" s="129">
        <f t="shared" si="35"/>
        <v>1277603.0769230768</v>
      </c>
      <c r="F90" s="41">
        <f>Model!$BG$36</f>
        <v>1</v>
      </c>
      <c r="G90" s="129">
        <f t="shared" si="36"/>
        <v>1277603.0769230768</v>
      </c>
      <c r="H90" s="86">
        <f>INDEX(Model!$BG$40:$BG$43,MATCH($J90,Model!$BE$40:$BE$43,0))</f>
        <v>0.71950000000000003</v>
      </c>
      <c r="I90" s="107">
        <f t="shared" si="37"/>
        <v>919235.41384615377</v>
      </c>
      <c r="J90" s="87" t="s">
        <v>23</v>
      </c>
      <c r="K90" s="97">
        <f>INDEX(Model!$BG$44:$BG$47,MATCH($J90,Model!$BE$40:$BE$43,0))</f>
        <v>141.02045602481141</v>
      </c>
      <c r="L90" s="111">
        <f t="shared" si="32"/>
        <v>129630997.25474085</v>
      </c>
      <c r="M90" s="109" t="e">
        <f>'Example calcs 2000'!N90*0.95</f>
        <v>#REF!</v>
      </c>
      <c r="N90" s="107" t="e">
        <f t="shared" si="38"/>
        <v>#REF!</v>
      </c>
      <c r="O90" s="109" t="str">
        <f t="shared" si="39"/>
        <v/>
      </c>
      <c r="P90" s="109" t="e">
        <f t="shared" si="40"/>
        <v>#REF!</v>
      </c>
      <c r="Q90" s="97" t="s">
        <v>28</v>
      </c>
      <c r="R90" s="39">
        <f t="shared" si="41"/>
        <v>0</v>
      </c>
      <c r="S90" s="97">
        <f>INDEX(Model!$BG$61:$BG$220,MATCH($Q90,Model!$BE$61:$BE$220,0)+MATCH(Model!$BC$219,Model!$BC$61:$BC$220,0)-1)</f>
        <v>0.997</v>
      </c>
      <c r="T90" s="111" t="e">
        <f t="shared" si="42"/>
        <v>#REF!</v>
      </c>
      <c r="U90" s="109" t="e">
        <f>'Example calcs 2000'!S90*0.8</f>
        <v>#REF!</v>
      </c>
      <c r="V90" s="107" t="e">
        <f t="shared" si="43"/>
        <v>#REF!</v>
      </c>
      <c r="W90" s="109" t="str">
        <f t="shared" si="44"/>
        <v/>
      </c>
      <c r="X90" s="109" t="e">
        <f t="shared" si="33"/>
        <v>#REF!</v>
      </c>
      <c r="Y90" s="87" t="s">
        <v>33</v>
      </c>
      <c r="Z90" s="39">
        <f t="shared" si="45"/>
        <v>1</v>
      </c>
      <c r="AA90" s="87">
        <f>Model!$BF$287</f>
        <v>1</v>
      </c>
      <c r="AB90" s="87"/>
      <c r="AC90" s="111" t="e">
        <f>X90*AA90</f>
        <v>#REF!</v>
      </c>
      <c r="AD90" s="109" t="e">
        <f>'Example calcs 2000'!Y90*0.8</f>
        <v>#REF!</v>
      </c>
      <c r="AE90" s="107" t="e">
        <f t="shared" si="46"/>
        <v>#REF!</v>
      </c>
      <c r="AF90" s="109" t="str">
        <f t="shared" si="47"/>
        <v/>
      </c>
      <c r="AG90" s="109" t="e">
        <f t="shared" si="34"/>
        <v>#REF!</v>
      </c>
      <c r="AH90" s="87" t="s">
        <v>54</v>
      </c>
      <c r="AI90" s="39">
        <f t="shared" si="48"/>
        <v>1</v>
      </c>
      <c r="AJ90" s="87">
        <f>Model!$BF$355</f>
        <v>0.52631578947368418</v>
      </c>
      <c r="AK90" s="87"/>
      <c r="AL90" s="98" t="e">
        <f t="shared" si="49"/>
        <v>#REF!</v>
      </c>
      <c r="AM90" s="87" t="e">
        <f t="shared" si="50"/>
        <v>#REF!</v>
      </c>
    </row>
    <row r="91" spans="3:39" s="79" customFormat="1" x14ac:dyDescent="0.25">
      <c r="C91" s="128">
        <f>Model!$BG$14</f>
        <v>3321768</v>
      </c>
      <c r="D91" s="41">
        <f>Model!$BG$24</f>
        <v>0.38461538461538458</v>
      </c>
      <c r="E91" s="129">
        <f t="shared" si="35"/>
        <v>1277603.0769230768</v>
      </c>
      <c r="F91" s="41">
        <f>Model!$BG$36</f>
        <v>1</v>
      </c>
      <c r="G91" s="129">
        <f t="shared" si="36"/>
        <v>1277603.0769230768</v>
      </c>
      <c r="H91" s="86">
        <f>INDEX(Model!$BG$40:$BG$43,MATCH($J91,Model!$BE$40:$BE$43,0))</f>
        <v>0.71950000000000003</v>
      </c>
      <c r="I91" s="107">
        <f t="shared" si="37"/>
        <v>919235.41384615377</v>
      </c>
      <c r="J91" s="87" t="s">
        <v>23</v>
      </c>
      <c r="K91" s="97">
        <f>INDEX(Model!$BG$44:$BG$47,MATCH($J91,Model!$BE$40:$BE$43,0))</f>
        <v>141.02045602481141</v>
      </c>
      <c r="L91" s="111">
        <f t="shared" si="32"/>
        <v>129630997.25474085</v>
      </c>
      <c r="M91" s="109" t="e">
        <f>'Example calcs 2000'!N91*0.95</f>
        <v>#REF!</v>
      </c>
      <c r="N91" s="107" t="e">
        <f t="shared" si="38"/>
        <v>#REF!</v>
      </c>
      <c r="O91" s="109" t="str">
        <f t="shared" si="39"/>
        <v/>
      </c>
      <c r="P91" s="109" t="e">
        <f t="shared" si="40"/>
        <v>#REF!</v>
      </c>
      <c r="Q91" s="97" t="s">
        <v>28</v>
      </c>
      <c r="R91" s="39">
        <f t="shared" si="41"/>
        <v>0</v>
      </c>
      <c r="S91" s="97">
        <f>INDEX(Model!$BG$61:$BG$220,MATCH($Q91,Model!$BE$61:$BE$220,0)+MATCH(Model!$BC$219,Model!$BC$61:$BC$220,0)-1)</f>
        <v>0.997</v>
      </c>
      <c r="T91" s="111" t="e">
        <f t="shared" si="42"/>
        <v>#REF!</v>
      </c>
      <c r="U91" s="109" t="e">
        <f>'Example calcs 2000'!S91*0.8</f>
        <v>#REF!</v>
      </c>
      <c r="V91" s="107" t="e">
        <f t="shared" si="43"/>
        <v>#REF!</v>
      </c>
      <c r="W91" s="109" t="str">
        <f t="shared" si="44"/>
        <v/>
      </c>
      <c r="X91" s="109" t="e">
        <f t="shared" si="33"/>
        <v>#REF!</v>
      </c>
      <c r="Y91" s="87" t="s">
        <v>33</v>
      </c>
      <c r="Z91" s="39">
        <f t="shared" si="45"/>
        <v>0</v>
      </c>
      <c r="AA91" s="87">
        <f>Model!$BF$287</f>
        <v>1</v>
      </c>
      <c r="AB91" s="87"/>
      <c r="AC91" s="111" t="e">
        <f>X91*AA91</f>
        <v>#REF!</v>
      </c>
      <c r="AD91" s="109" t="e">
        <f>'Example calcs 2000'!Y91*0.8</f>
        <v>#REF!</v>
      </c>
      <c r="AE91" s="107" t="e">
        <f t="shared" si="46"/>
        <v>#REF!</v>
      </c>
      <c r="AF91" s="109" t="str">
        <f t="shared" si="47"/>
        <v/>
      </c>
      <c r="AG91" s="109" t="e">
        <f t="shared" si="34"/>
        <v>#REF!</v>
      </c>
      <c r="AH91" s="87" t="s">
        <v>119</v>
      </c>
      <c r="AI91" s="39">
        <f t="shared" si="48"/>
        <v>1</v>
      </c>
      <c r="AJ91" s="87">
        <f>Model!$BF$386</f>
        <v>0.4</v>
      </c>
      <c r="AK91" s="87"/>
      <c r="AL91" s="98" t="e">
        <f t="shared" si="49"/>
        <v>#REF!</v>
      </c>
      <c r="AM91" s="87" t="e">
        <f t="shared" si="50"/>
        <v>#REF!</v>
      </c>
    </row>
    <row r="92" spans="3:39" s="79" customFormat="1" x14ac:dyDescent="0.25">
      <c r="C92" s="128">
        <f>Model!$BG$14</f>
        <v>3321768</v>
      </c>
      <c r="D92" s="41">
        <f>Model!$BG$24</f>
        <v>0.38461538461538458</v>
      </c>
      <c r="E92" s="129">
        <f t="shared" si="35"/>
        <v>1277603.0769230768</v>
      </c>
      <c r="F92" s="41">
        <f>Model!$BG$36</f>
        <v>1</v>
      </c>
      <c r="G92" s="129">
        <f t="shared" si="36"/>
        <v>1277603.0769230768</v>
      </c>
      <c r="H92" s="86">
        <f>INDEX(Model!$BG$40:$BG$43,MATCH($J92,Model!$BE$40:$BE$43,0))</f>
        <v>0.71950000000000003</v>
      </c>
      <c r="I92" s="107">
        <f t="shared" si="37"/>
        <v>919235.41384615377</v>
      </c>
      <c r="J92" s="87" t="s">
        <v>23</v>
      </c>
      <c r="K92" s="97">
        <f>INDEX(Model!$BG$44:$BG$47,MATCH($J92,Model!$BE$40:$BE$43,0))</f>
        <v>141.02045602481141</v>
      </c>
      <c r="L92" s="111">
        <f t="shared" si="32"/>
        <v>129630997.25474085</v>
      </c>
      <c r="M92" s="109" t="e">
        <f>'Example calcs 2000'!N92*0.95</f>
        <v>#REF!</v>
      </c>
      <c r="N92" s="107" t="e">
        <f t="shared" si="38"/>
        <v>#REF!</v>
      </c>
      <c r="O92" s="109" t="str">
        <f t="shared" si="39"/>
        <v/>
      </c>
      <c r="P92" s="109" t="e">
        <f t="shared" si="40"/>
        <v>#REF!</v>
      </c>
      <c r="Q92" s="97" t="s">
        <v>28</v>
      </c>
      <c r="R92" s="39">
        <f t="shared" si="41"/>
        <v>0</v>
      </c>
      <c r="S92" s="97">
        <f>INDEX(Model!$BG$61:$BG$220,MATCH($Q92,Model!$BE$61:$BE$220,0)+MATCH(Model!$BC$219,Model!$BC$61:$BC$220,0)-1)</f>
        <v>0.997</v>
      </c>
      <c r="T92" s="111" t="e">
        <f t="shared" si="42"/>
        <v>#REF!</v>
      </c>
      <c r="U92" s="109" t="e">
        <f>'Example calcs 2000'!S92*0.8</f>
        <v>#REF!</v>
      </c>
      <c r="V92" s="107" t="e">
        <f t="shared" si="43"/>
        <v>#REF!</v>
      </c>
      <c r="W92" s="109" t="str">
        <f t="shared" si="44"/>
        <v/>
      </c>
      <c r="X92" s="109" t="e">
        <f t="shared" si="33"/>
        <v>#REF!</v>
      </c>
      <c r="Y92" s="87" t="s">
        <v>33</v>
      </c>
      <c r="Z92" s="39">
        <f t="shared" si="45"/>
        <v>0</v>
      </c>
      <c r="AA92" s="87">
        <f>Model!$BF$287</f>
        <v>1</v>
      </c>
      <c r="AB92" s="87"/>
      <c r="AC92" s="111" t="e">
        <f>X92*AA92</f>
        <v>#REF!</v>
      </c>
      <c r="AD92" s="109" t="e">
        <f>'Example calcs 2000'!Y92*0.8</f>
        <v>#REF!</v>
      </c>
      <c r="AE92" s="107" t="e">
        <f t="shared" si="46"/>
        <v>#REF!</v>
      </c>
      <c r="AF92" s="109" t="str">
        <f t="shared" si="47"/>
        <v/>
      </c>
      <c r="AG92" s="109" t="e">
        <f t="shared" si="34"/>
        <v>#REF!</v>
      </c>
      <c r="AH92" s="87" t="s">
        <v>52</v>
      </c>
      <c r="AI92" s="39">
        <f t="shared" si="48"/>
        <v>1</v>
      </c>
      <c r="AJ92" s="87"/>
      <c r="AK92" s="87">
        <f>Model!$BF$324</f>
        <v>1.6129032258064517</v>
      </c>
      <c r="AL92" s="98" t="e">
        <f t="shared" si="49"/>
        <v>#REF!</v>
      </c>
      <c r="AM92" s="87" t="e">
        <f t="shared" si="50"/>
        <v>#REF!</v>
      </c>
    </row>
    <row r="93" spans="3:39" s="79" customFormat="1" x14ac:dyDescent="0.25">
      <c r="C93" s="128">
        <f>Model!$BG$14</f>
        <v>3321768</v>
      </c>
      <c r="D93" s="41">
        <f>Model!$BG$24</f>
        <v>0.38461538461538458</v>
      </c>
      <c r="E93" s="129">
        <f t="shared" si="35"/>
        <v>1277603.0769230768</v>
      </c>
      <c r="F93" s="41">
        <f>Model!$BG$36</f>
        <v>1</v>
      </c>
      <c r="G93" s="129">
        <f t="shared" si="36"/>
        <v>1277603.0769230768</v>
      </c>
      <c r="H93" s="86">
        <f>INDEX(Model!$BG$40:$BG$43,MATCH($J93,Model!$BE$40:$BE$43,0))</f>
        <v>0.71950000000000003</v>
      </c>
      <c r="I93" s="107">
        <f t="shared" si="37"/>
        <v>919235.41384615377</v>
      </c>
      <c r="J93" s="87" t="s">
        <v>23</v>
      </c>
      <c r="K93" s="97">
        <f>INDEX(Model!$BG$44:$BG$47,MATCH($J93,Model!$BE$40:$BE$43,0))</f>
        <v>141.02045602481141</v>
      </c>
      <c r="L93" s="111">
        <f t="shared" si="32"/>
        <v>129630997.25474085</v>
      </c>
      <c r="M93" s="109" t="e">
        <f>'Example calcs 2000'!N93*0.95</f>
        <v>#REF!</v>
      </c>
      <c r="N93" s="107" t="e">
        <f t="shared" si="38"/>
        <v>#REF!</v>
      </c>
      <c r="O93" s="109" t="str">
        <f t="shared" si="39"/>
        <v/>
      </c>
      <c r="P93" s="109" t="e">
        <f t="shared" si="40"/>
        <v>#REF!</v>
      </c>
      <c r="Q93" s="97" t="s">
        <v>28</v>
      </c>
      <c r="R93" s="39">
        <f t="shared" si="41"/>
        <v>0</v>
      </c>
      <c r="S93" s="97">
        <f>INDEX(Model!$BG$61:$BG$220,MATCH($Q93,Model!$BE$61:$BE$220,0)+MATCH(Model!$BC$219,Model!$BC$61:$BC$220,0)-1)</f>
        <v>0.997</v>
      </c>
      <c r="T93" s="111" t="e">
        <f t="shared" si="42"/>
        <v>#REF!</v>
      </c>
      <c r="U93" s="109" t="e">
        <f>'Example calcs 2000'!S93*0.8</f>
        <v>#REF!</v>
      </c>
      <c r="V93" s="107" t="e">
        <f t="shared" si="43"/>
        <v>#REF!</v>
      </c>
      <c r="W93" s="109" t="str">
        <f t="shared" si="44"/>
        <v/>
      </c>
      <c r="X93" s="109" t="e">
        <f t="shared" si="33"/>
        <v>#REF!</v>
      </c>
      <c r="Y93" s="87" t="s">
        <v>33</v>
      </c>
      <c r="Z93" s="39">
        <f t="shared" si="45"/>
        <v>0</v>
      </c>
      <c r="AA93" s="87">
        <f>Model!$BF$287</f>
        <v>1</v>
      </c>
      <c r="AB93" s="87"/>
      <c r="AC93" s="111" t="e">
        <f>X93*AA93</f>
        <v>#REF!</v>
      </c>
      <c r="AD93" s="109" t="e">
        <f>'Example calcs 2000'!Y93*0.8</f>
        <v>#REF!</v>
      </c>
      <c r="AE93" s="107" t="e">
        <f t="shared" si="46"/>
        <v>#REF!</v>
      </c>
      <c r="AF93" s="109" t="str">
        <f t="shared" si="47"/>
        <v/>
      </c>
      <c r="AG93" s="109" t="e">
        <f t="shared" si="34"/>
        <v>#REF!</v>
      </c>
      <c r="AH93" s="87" t="s">
        <v>53</v>
      </c>
      <c r="AI93" s="39">
        <f t="shared" si="48"/>
        <v>1</v>
      </c>
      <c r="AJ93" s="87"/>
      <c r="AK93" s="87">
        <f>Model!$BF$417</f>
        <v>1.1111111111111112</v>
      </c>
      <c r="AL93" s="98" t="e">
        <f t="shared" si="49"/>
        <v>#REF!</v>
      </c>
      <c r="AM93" s="87" t="e">
        <f t="shared" si="50"/>
        <v>#REF!</v>
      </c>
    </row>
    <row r="94" spans="3:39" s="79" customFormat="1" x14ac:dyDescent="0.25">
      <c r="C94" s="128">
        <f>Model!$BG$14</f>
        <v>3321768</v>
      </c>
      <c r="D94" s="41">
        <f>Model!$BG$24</f>
        <v>0.38461538461538458</v>
      </c>
      <c r="E94" s="129">
        <f t="shared" si="35"/>
        <v>1277603.0769230768</v>
      </c>
      <c r="F94" s="41">
        <f>Model!$BG$36</f>
        <v>1</v>
      </c>
      <c r="G94" s="129">
        <f t="shared" si="36"/>
        <v>1277603.0769230768</v>
      </c>
      <c r="H94" s="86">
        <f>INDEX(Model!$BG$40:$BG$43,MATCH($J94,Model!$BE$40:$BE$43,0))</f>
        <v>0.71950000000000003</v>
      </c>
      <c r="I94" s="107">
        <f t="shared" si="37"/>
        <v>919235.41384615377</v>
      </c>
      <c r="J94" s="87" t="s">
        <v>23</v>
      </c>
      <c r="K94" s="97">
        <f>INDEX(Model!$BG$44:$BG$47,MATCH($J94,Model!$BE$40:$BE$43,0))</f>
        <v>141.02045602481141</v>
      </c>
      <c r="L94" s="111">
        <f t="shared" si="32"/>
        <v>129630997.25474085</v>
      </c>
      <c r="M94" s="109" t="e">
        <f>'Example calcs 2000'!N94*0.95</f>
        <v>#REF!</v>
      </c>
      <c r="N94" s="107" t="e">
        <f t="shared" si="38"/>
        <v>#REF!</v>
      </c>
      <c r="O94" s="109" t="str">
        <f t="shared" si="39"/>
        <v/>
      </c>
      <c r="P94" s="109" t="e">
        <f t="shared" si="40"/>
        <v>#REF!</v>
      </c>
      <c r="Q94" s="97" t="s">
        <v>30</v>
      </c>
      <c r="R94" s="39">
        <f t="shared" si="41"/>
        <v>1</v>
      </c>
      <c r="S94" s="97">
        <f>INDEX(Model!$BG$61:$BG$220,MATCH($Q94,Model!$BE$61:$BE$220,0)+MATCH(Model!$BC$219,Model!$BC$61:$BC$220,0)-1)</f>
        <v>0.36</v>
      </c>
      <c r="T94" s="111" t="e">
        <f t="shared" si="42"/>
        <v>#REF!</v>
      </c>
      <c r="U94" s="109" t="e">
        <f>'Example calcs 2000'!S94*0.8</f>
        <v>#REF!</v>
      </c>
      <c r="V94" s="107" t="e">
        <f t="shared" si="43"/>
        <v>#REF!</v>
      </c>
      <c r="W94" s="109" t="str">
        <f t="shared" si="44"/>
        <v/>
      </c>
      <c r="X94" s="109" t="e">
        <f t="shared" si="33"/>
        <v>#REF!</v>
      </c>
      <c r="Y94" s="87" t="s">
        <v>32</v>
      </c>
      <c r="Z94" s="39">
        <f t="shared" si="45"/>
        <v>1</v>
      </c>
      <c r="AA94" s="87"/>
      <c r="AB94" s="87">
        <f>Model!$BF$256</f>
        <v>1</v>
      </c>
      <c r="AC94" s="111"/>
      <c r="AD94" s="109">
        <f>'Example calcs 2000'!Y94*0.8</f>
        <v>0</v>
      </c>
      <c r="AE94" s="107" t="e">
        <f t="shared" si="46"/>
        <v>#REF!</v>
      </c>
      <c r="AF94" s="109" t="str">
        <f t="shared" si="47"/>
        <v/>
      </c>
      <c r="AG94" s="109">
        <f t="shared" si="34"/>
        <v>0</v>
      </c>
      <c r="AH94" s="87"/>
      <c r="AI94" s="39">
        <f t="shared" si="48"/>
        <v>1</v>
      </c>
      <c r="AJ94" s="87"/>
      <c r="AK94" s="87"/>
      <c r="AL94" s="98" t="e">
        <f t="shared" si="49"/>
        <v>#REF!</v>
      </c>
      <c r="AM94" s="87">
        <f t="shared" si="50"/>
        <v>0</v>
      </c>
    </row>
    <row r="95" spans="3:39" s="79" customFormat="1" x14ac:dyDescent="0.25">
      <c r="C95" s="128">
        <f>Model!$BG$14</f>
        <v>3321768</v>
      </c>
      <c r="D95" s="41">
        <f>Model!$BG$24</f>
        <v>0.38461538461538458</v>
      </c>
      <c r="E95" s="129">
        <f t="shared" si="35"/>
        <v>1277603.0769230768</v>
      </c>
      <c r="F95" s="41">
        <f>Model!$BG$36</f>
        <v>1</v>
      </c>
      <c r="G95" s="129">
        <f t="shared" si="36"/>
        <v>1277603.0769230768</v>
      </c>
      <c r="H95" s="86">
        <f>INDEX(Model!$BG$40:$BG$43,MATCH($J95,Model!$BE$40:$BE$43,0))</f>
        <v>0.71950000000000003</v>
      </c>
      <c r="I95" s="107">
        <f t="shared" si="37"/>
        <v>919235.41384615377</v>
      </c>
      <c r="J95" s="87" t="s">
        <v>23</v>
      </c>
      <c r="K95" s="97">
        <f>INDEX(Model!$BG$44:$BG$47,MATCH($J95,Model!$BE$40:$BE$43,0))</f>
        <v>141.02045602481141</v>
      </c>
      <c r="L95" s="111">
        <f t="shared" si="32"/>
        <v>129630997.25474085</v>
      </c>
      <c r="M95" s="109" t="e">
        <f>'Example calcs 2000'!N95*0.95</f>
        <v>#REF!</v>
      </c>
      <c r="N95" s="107" t="e">
        <f t="shared" si="38"/>
        <v>#REF!</v>
      </c>
      <c r="O95" s="109" t="str">
        <f t="shared" si="39"/>
        <v/>
      </c>
      <c r="P95" s="109" t="e">
        <f t="shared" si="40"/>
        <v>#REF!</v>
      </c>
      <c r="Q95" s="97" t="s">
        <v>30</v>
      </c>
      <c r="R95" s="39">
        <f t="shared" si="41"/>
        <v>0</v>
      </c>
      <c r="S95" s="97">
        <f>INDEX(Model!$BG$61:$BG$220,MATCH($Q95,Model!$BE$61:$BE$220,0)+MATCH(Model!$BC$219,Model!$BC$61:$BC$220,0)-1)</f>
        <v>0.36</v>
      </c>
      <c r="T95" s="111" t="e">
        <f t="shared" si="42"/>
        <v>#REF!</v>
      </c>
      <c r="U95" s="109" t="e">
        <f>'Example calcs 2000'!S95*0.8</f>
        <v>#REF!</v>
      </c>
      <c r="V95" s="107" t="e">
        <f t="shared" si="43"/>
        <v>#REF!</v>
      </c>
      <c r="W95" s="109" t="str">
        <f t="shared" si="44"/>
        <v/>
      </c>
      <c r="X95" s="109" t="e">
        <f t="shared" si="33"/>
        <v>#REF!</v>
      </c>
      <c r="Y95" s="87" t="s">
        <v>33</v>
      </c>
      <c r="Z95" s="39">
        <f t="shared" si="45"/>
        <v>1</v>
      </c>
      <c r="AA95" s="87">
        <f>Model!$BF$287</f>
        <v>1</v>
      </c>
      <c r="AB95" s="87"/>
      <c r="AC95" s="111" t="e">
        <f>X95*AA95</f>
        <v>#REF!</v>
      </c>
      <c r="AD95" s="109" t="e">
        <f>'Example calcs 2000'!Y95*0.8</f>
        <v>#REF!</v>
      </c>
      <c r="AE95" s="107" t="e">
        <f t="shared" si="46"/>
        <v>#REF!</v>
      </c>
      <c r="AF95" s="109" t="str">
        <f t="shared" si="47"/>
        <v/>
      </c>
      <c r="AG95" s="109" t="e">
        <f t="shared" si="34"/>
        <v>#REF!</v>
      </c>
      <c r="AH95" s="87" t="s">
        <v>54</v>
      </c>
      <c r="AI95" s="39">
        <f t="shared" si="48"/>
        <v>1</v>
      </c>
      <c r="AJ95" s="87">
        <f>Model!$BF$355</f>
        <v>0.52631578947368418</v>
      </c>
      <c r="AK95" s="87"/>
      <c r="AL95" s="98" t="e">
        <f t="shared" si="49"/>
        <v>#REF!</v>
      </c>
      <c r="AM95" s="87" t="e">
        <f t="shared" si="50"/>
        <v>#REF!</v>
      </c>
    </row>
    <row r="96" spans="3:39" s="79" customFormat="1" x14ac:dyDescent="0.25">
      <c r="C96" s="128">
        <f>Model!$BG$14</f>
        <v>3321768</v>
      </c>
      <c r="D96" s="41">
        <f>Model!$BG$24</f>
        <v>0.38461538461538458</v>
      </c>
      <c r="E96" s="129">
        <f t="shared" si="35"/>
        <v>1277603.0769230768</v>
      </c>
      <c r="F96" s="41">
        <f>Model!$BG$36</f>
        <v>1</v>
      </c>
      <c r="G96" s="129">
        <f t="shared" si="36"/>
        <v>1277603.0769230768</v>
      </c>
      <c r="H96" s="86">
        <f>INDEX(Model!$BG$40:$BG$43,MATCH($J96,Model!$BE$40:$BE$43,0))</f>
        <v>0.71950000000000003</v>
      </c>
      <c r="I96" s="107">
        <f t="shared" si="37"/>
        <v>919235.41384615377</v>
      </c>
      <c r="J96" s="87" t="s">
        <v>23</v>
      </c>
      <c r="K96" s="97">
        <f>INDEX(Model!$BG$44:$BG$47,MATCH($J96,Model!$BE$40:$BE$43,0))</f>
        <v>141.02045602481141</v>
      </c>
      <c r="L96" s="111">
        <f t="shared" si="32"/>
        <v>129630997.25474085</v>
      </c>
      <c r="M96" s="109" t="e">
        <f>'Example calcs 2000'!N96*0.95</f>
        <v>#REF!</v>
      </c>
      <c r="N96" s="107" t="e">
        <f t="shared" si="38"/>
        <v>#REF!</v>
      </c>
      <c r="O96" s="109" t="str">
        <f t="shared" si="39"/>
        <v/>
      </c>
      <c r="P96" s="109" t="e">
        <f t="shared" si="40"/>
        <v>#REF!</v>
      </c>
      <c r="Q96" s="97" t="s">
        <v>30</v>
      </c>
      <c r="R96" s="39">
        <f t="shared" si="41"/>
        <v>0</v>
      </c>
      <c r="S96" s="97">
        <f>INDEX(Model!$BG$61:$BG$220,MATCH($Q96,Model!$BE$61:$BE$220,0)+MATCH(Model!$BC$219,Model!$BC$61:$BC$220,0)-1)</f>
        <v>0.36</v>
      </c>
      <c r="T96" s="111" t="e">
        <f t="shared" si="42"/>
        <v>#REF!</v>
      </c>
      <c r="U96" s="109" t="e">
        <f>'Example calcs 2000'!S96*0.8</f>
        <v>#REF!</v>
      </c>
      <c r="V96" s="107" t="e">
        <f t="shared" si="43"/>
        <v>#REF!</v>
      </c>
      <c r="W96" s="109" t="str">
        <f t="shared" si="44"/>
        <v/>
      </c>
      <c r="X96" s="109" t="e">
        <f t="shared" si="33"/>
        <v>#REF!</v>
      </c>
      <c r="Y96" s="87" t="s">
        <v>33</v>
      </c>
      <c r="Z96" s="39">
        <f t="shared" si="45"/>
        <v>0</v>
      </c>
      <c r="AA96" s="87">
        <f>Model!$BF$287</f>
        <v>1</v>
      </c>
      <c r="AB96" s="87"/>
      <c r="AC96" s="111" t="e">
        <f>X96*AA96</f>
        <v>#REF!</v>
      </c>
      <c r="AD96" s="109" t="e">
        <f>'Example calcs 2000'!Y96*0.8</f>
        <v>#REF!</v>
      </c>
      <c r="AE96" s="107" t="e">
        <f t="shared" si="46"/>
        <v>#REF!</v>
      </c>
      <c r="AF96" s="109" t="str">
        <f t="shared" si="47"/>
        <v/>
      </c>
      <c r="AG96" s="109" t="e">
        <f t="shared" si="34"/>
        <v>#REF!</v>
      </c>
      <c r="AH96" s="87" t="s">
        <v>119</v>
      </c>
      <c r="AI96" s="39">
        <f t="shared" si="48"/>
        <v>1</v>
      </c>
      <c r="AJ96" s="87">
        <f>Model!$BF$386</f>
        <v>0.4</v>
      </c>
      <c r="AK96" s="87"/>
      <c r="AL96" s="98" t="e">
        <f t="shared" si="49"/>
        <v>#REF!</v>
      </c>
      <c r="AM96" s="87" t="e">
        <f t="shared" si="50"/>
        <v>#REF!</v>
      </c>
    </row>
    <row r="97" spans="3:50" s="79" customFormat="1" x14ac:dyDescent="0.25">
      <c r="C97" s="128">
        <f>Model!$BG$14</f>
        <v>3321768</v>
      </c>
      <c r="D97" s="41">
        <f>Model!$BG$24</f>
        <v>0.38461538461538458</v>
      </c>
      <c r="E97" s="129">
        <f t="shared" si="35"/>
        <v>1277603.0769230768</v>
      </c>
      <c r="F97" s="41">
        <f>Model!$BG$36</f>
        <v>1</v>
      </c>
      <c r="G97" s="129">
        <f t="shared" si="36"/>
        <v>1277603.0769230768</v>
      </c>
      <c r="H97" s="86">
        <f>INDEX(Model!$BG$40:$BG$43,MATCH($J97,Model!$BE$40:$BE$43,0))</f>
        <v>0.71950000000000003</v>
      </c>
      <c r="I97" s="107">
        <f t="shared" si="37"/>
        <v>919235.41384615377</v>
      </c>
      <c r="J97" s="87" t="s">
        <v>23</v>
      </c>
      <c r="K97" s="97">
        <f>INDEX(Model!$BG$44:$BG$47,MATCH($J97,Model!$BE$40:$BE$43,0))</f>
        <v>141.02045602481141</v>
      </c>
      <c r="L97" s="111">
        <f t="shared" si="32"/>
        <v>129630997.25474085</v>
      </c>
      <c r="M97" s="109" t="e">
        <f>'Example calcs 2000'!N97*0.95</f>
        <v>#REF!</v>
      </c>
      <c r="N97" s="107" t="e">
        <f t="shared" si="38"/>
        <v>#REF!</v>
      </c>
      <c r="O97" s="109" t="str">
        <f t="shared" si="39"/>
        <v/>
      </c>
      <c r="P97" s="109" t="e">
        <f t="shared" si="40"/>
        <v>#REF!</v>
      </c>
      <c r="Q97" s="97" t="s">
        <v>30</v>
      </c>
      <c r="R97" s="39">
        <f t="shared" si="41"/>
        <v>0</v>
      </c>
      <c r="S97" s="97">
        <f>INDEX(Model!$BG$61:$BG$220,MATCH($Q97,Model!$BE$61:$BE$220,0)+MATCH(Model!$BC$219,Model!$BC$61:$BC$220,0)-1)</f>
        <v>0.36</v>
      </c>
      <c r="T97" s="111" t="e">
        <f t="shared" si="42"/>
        <v>#REF!</v>
      </c>
      <c r="U97" s="109" t="e">
        <f>'Example calcs 2000'!S97*0.8</f>
        <v>#REF!</v>
      </c>
      <c r="V97" s="107" t="e">
        <f t="shared" si="43"/>
        <v>#REF!</v>
      </c>
      <c r="W97" s="109" t="str">
        <f t="shared" si="44"/>
        <v/>
      </c>
      <c r="X97" s="109" t="e">
        <f t="shared" si="33"/>
        <v>#REF!</v>
      </c>
      <c r="Y97" s="87" t="s">
        <v>33</v>
      </c>
      <c r="Z97" s="39">
        <f t="shared" si="45"/>
        <v>0</v>
      </c>
      <c r="AA97" s="87">
        <f>Model!$BF$287</f>
        <v>1</v>
      </c>
      <c r="AB97" s="87"/>
      <c r="AC97" s="111" t="e">
        <f>X97*AA97</f>
        <v>#REF!</v>
      </c>
      <c r="AD97" s="109" t="e">
        <f>'Example calcs 2000'!Y97*0.8</f>
        <v>#REF!</v>
      </c>
      <c r="AE97" s="107" t="e">
        <f t="shared" si="46"/>
        <v>#REF!</v>
      </c>
      <c r="AF97" s="109" t="str">
        <f t="shared" si="47"/>
        <v/>
      </c>
      <c r="AG97" s="109" t="e">
        <f t="shared" si="34"/>
        <v>#REF!</v>
      </c>
      <c r="AH97" s="87" t="s">
        <v>52</v>
      </c>
      <c r="AI97" s="39">
        <f t="shared" si="48"/>
        <v>1</v>
      </c>
      <c r="AJ97" s="87"/>
      <c r="AK97" s="87">
        <f>Model!$BF$324</f>
        <v>1.6129032258064517</v>
      </c>
      <c r="AL97" s="98" t="e">
        <f t="shared" si="49"/>
        <v>#REF!</v>
      </c>
      <c r="AM97" s="87" t="e">
        <f t="shared" si="50"/>
        <v>#REF!</v>
      </c>
    </row>
    <row r="98" spans="3:50" s="79" customFormat="1" x14ac:dyDescent="0.25">
      <c r="C98" s="128">
        <f>Model!$BG$14</f>
        <v>3321768</v>
      </c>
      <c r="D98" s="41">
        <f>Model!$BG$24</f>
        <v>0.38461538461538458</v>
      </c>
      <c r="E98" s="129">
        <f t="shared" si="35"/>
        <v>1277603.0769230768</v>
      </c>
      <c r="F98" s="41">
        <f>Model!$BG$36</f>
        <v>1</v>
      </c>
      <c r="G98" s="129">
        <f t="shared" si="36"/>
        <v>1277603.0769230768</v>
      </c>
      <c r="H98" s="86">
        <f>INDEX(Model!$BG$40:$BG$43,MATCH($J98,Model!$BE$40:$BE$43,0))</f>
        <v>0.71950000000000003</v>
      </c>
      <c r="I98" s="107">
        <f t="shared" si="37"/>
        <v>919235.41384615377</v>
      </c>
      <c r="J98" s="87" t="s">
        <v>23</v>
      </c>
      <c r="K98" s="97">
        <f>INDEX(Model!$BG$44:$BG$47,MATCH($J98,Model!$BE$40:$BE$43,0))</f>
        <v>141.02045602481141</v>
      </c>
      <c r="L98" s="111">
        <f t="shared" si="32"/>
        <v>129630997.25474085</v>
      </c>
      <c r="M98" s="109" t="e">
        <f>'Example calcs 2000'!N98*0.95</f>
        <v>#REF!</v>
      </c>
      <c r="N98" s="107" t="e">
        <f t="shared" si="38"/>
        <v>#REF!</v>
      </c>
      <c r="O98" s="109" t="str">
        <f t="shared" si="39"/>
        <v/>
      </c>
      <c r="P98" s="109" t="e">
        <f t="shared" si="40"/>
        <v>#REF!</v>
      </c>
      <c r="Q98" s="97" t="s">
        <v>30</v>
      </c>
      <c r="R98" s="39">
        <f t="shared" si="41"/>
        <v>0</v>
      </c>
      <c r="S98" s="97">
        <f>INDEX(Model!$BG$61:$BG$220,MATCH($Q98,Model!$BE$61:$BE$220,0)+MATCH(Model!$BC$219,Model!$BC$61:$BC$220,0)-1)</f>
        <v>0.36</v>
      </c>
      <c r="T98" s="111" t="e">
        <f t="shared" si="42"/>
        <v>#REF!</v>
      </c>
      <c r="U98" s="109" t="e">
        <f>'Example calcs 2000'!S98*0.8</f>
        <v>#REF!</v>
      </c>
      <c r="V98" s="107" t="e">
        <f t="shared" si="43"/>
        <v>#REF!</v>
      </c>
      <c r="W98" s="109" t="str">
        <f t="shared" si="44"/>
        <v/>
      </c>
      <c r="X98" s="109" t="e">
        <f t="shared" si="33"/>
        <v>#REF!</v>
      </c>
      <c r="Y98" s="87" t="s">
        <v>33</v>
      </c>
      <c r="Z98" s="39">
        <f t="shared" si="45"/>
        <v>0</v>
      </c>
      <c r="AA98" s="87">
        <f>Model!$BF$287</f>
        <v>1</v>
      </c>
      <c r="AB98" s="87"/>
      <c r="AC98" s="111" t="e">
        <f>X98*AA98</f>
        <v>#REF!</v>
      </c>
      <c r="AD98" s="109" t="e">
        <f>'Example calcs 2000'!Y98*0.8</f>
        <v>#REF!</v>
      </c>
      <c r="AE98" s="107" t="e">
        <f t="shared" si="46"/>
        <v>#REF!</v>
      </c>
      <c r="AF98" s="109" t="str">
        <f t="shared" si="47"/>
        <v/>
      </c>
      <c r="AG98" s="109" t="e">
        <f t="shared" si="34"/>
        <v>#REF!</v>
      </c>
      <c r="AH98" s="87" t="s">
        <v>53</v>
      </c>
      <c r="AI98" s="39">
        <f t="shared" si="48"/>
        <v>1</v>
      </c>
      <c r="AJ98" s="87"/>
      <c r="AK98" s="87">
        <f>Model!$BF$417</f>
        <v>1.1111111111111112</v>
      </c>
      <c r="AL98" s="98" t="e">
        <f t="shared" si="49"/>
        <v>#REF!</v>
      </c>
      <c r="AM98" s="87" t="e">
        <f t="shared" si="50"/>
        <v>#REF!</v>
      </c>
    </row>
    <row r="99" spans="3:50" s="79" customFormat="1" x14ac:dyDescent="0.25">
      <c r="C99" s="128">
        <f>Model!$BG$14</f>
        <v>3321768</v>
      </c>
      <c r="D99" s="41">
        <f>Model!$BG$24</f>
        <v>0.38461538461538458</v>
      </c>
      <c r="E99" s="129">
        <f t="shared" si="35"/>
        <v>1277603.0769230768</v>
      </c>
      <c r="F99" s="41">
        <f>Model!$BG$36</f>
        <v>1</v>
      </c>
      <c r="G99" s="129">
        <f t="shared" si="36"/>
        <v>1277603.0769230768</v>
      </c>
      <c r="H99" s="86">
        <f>INDEX(Model!$BG$40:$BG$43,MATCH($J99,Model!$BE$40:$BE$43,0))</f>
        <v>0.71950000000000003</v>
      </c>
      <c r="I99" s="107">
        <f t="shared" si="37"/>
        <v>919235.41384615377</v>
      </c>
      <c r="J99" s="87" t="s">
        <v>23</v>
      </c>
      <c r="K99" s="97">
        <f>INDEX(Model!$BG$44:$BG$47,MATCH($J99,Model!$BE$40:$BE$43,0))</f>
        <v>141.02045602481141</v>
      </c>
      <c r="L99" s="111">
        <f t="shared" si="32"/>
        <v>129630997.25474085</v>
      </c>
      <c r="M99" s="109" t="e">
        <f>'Example calcs 2000'!N99*0.95</f>
        <v>#REF!</v>
      </c>
      <c r="N99" s="107" t="e">
        <f t="shared" si="38"/>
        <v>#REF!</v>
      </c>
      <c r="O99" s="109" t="str">
        <f t="shared" si="39"/>
        <v/>
      </c>
      <c r="P99" s="109" t="e">
        <f t="shared" si="40"/>
        <v>#REF!</v>
      </c>
      <c r="Q99" s="97" t="s">
        <v>29</v>
      </c>
      <c r="R99" s="39">
        <f t="shared" si="41"/>
        <v>1</v>
      </c>
      <c r="S99" s="97">
        <f>INDEX(Model!$BG$61:$BG$220,MATCH($Q99,Model!$BE$61:$BE$220,0)+MATCH(Model!$BC$219,Model!$BC$61:$BC$220,0)-1)</f>
        <v>0.51500000000000001</v>
      </c>
      <c r="T99" s="111" t="e">
        <f t="shared" si="42"/>
        <v>#REF!</v>
      </c>
      <c r="U99" s="109" t="e">
        <f>'Example calcs 2000'!S99*0.8</f>
        <v>#REF!</v>
      </c>
      <c r="V99" s="107" t="e">
        <f t="shared" si="43"/>
        <v>#REF!</v>
      </c>
      <c r="W99" s="109" t="str">
        <f t="shared" si="44"/>
        <v/>
      </c>
      <c r="X99" s="109" t="e">
        <f t="shared" si="33"/>
        <v>#REF!</v>
      </c>
      <c r="Y99" s="87" t="s">
        <v>32</v>
      </c>
      <c r="Z99" s="39">
        <f t="shared" si="45"/>
        <v>1</v>
      </c>
      <c r="AA99" s="87"/>
      <c r="AB99" s="87">
        <f>Model!$BF$256</f>
        <v>1</v>
      </c>
      <c r="AC99" s="111"/>
      <c r="AD99" s="109">
        <f>'Example calcs 2000'!Y99*0.8</f>
        <v>0</v>
      </c>
      <c r="AE99" s="107" t="e">
        <f t="shared" si="46"/>
        <v>#REF!</v>
      </c>
      <c r="AF99" s="109" t="str">
        <f t="shared" si="47"/>
        <v/>
      </c>
      <c r="AG99" s="109">
        <f t="shared" si="34"/>
        <v>0</v>
      </c>
      <c r="AH99" s="87"/>
      <c r="AI99" s="39">
        <f t="shared" si="48"/>
        <v>1</v>
      </c>
      <c r="AJ99" s="87"/>
      <c r="AK99" s="87"/>
      <c r="AL99" s="98" t="e">
        <f t="shared" si="49"/>
        <v>#REF!</v>
      </c>
      <c r="AM99" s="87">
        <f t="shared" si="50"/>
        <v>0</v>
      </c>
    </row>
    <row r="100" spans="3:50" s="79" customFormat="1" x14ac:dyDescent="0.25">
      <c r="C100" s="128">
        <f>Model!$BG$14</f>
        <v>3321768</v>
      </c>
      <c r="D100" s="41">
        <f>Model!$BG$24</f>
        <v>0.38461538461538458</v>
      </c>
      <c r="E100" s="129">
        <f t="shared" si="35"/>
        <v>1277603.0769230768</v>
      </c>
      <c r="F100" s="41">
        <f>Model!$BG$36</f>
        <v>1</v>
      </c>
      <c r="G100" s="129">
        <f t="shared" si="36"/>
        <v>1277603.0769230768</v>
      </c>
      <c r="H100" s="86">
        <f>INDEX(Model!$BG$40:$BG$43,MATCH($J100,Model!$BE$40:$BE$43,0))</f>
        <v>0.71950000000000003</v>
      </c>
      <c r="I100" s="107">
        <f t="shared" si="37"/>
        <v>919235.41384615377</v>
      </c>
      <c r="J100" s="87" t="s">
        <v>23</v>
      </c>
      <c r="K100" s="97">
        <f>INDEX(Model!$BG$44:$BG$47,MATCH($J100,Model!$BE$40:$BE$43,0))</f>
        <v>141.02045602481141</v>
      </c>
      <c r="L100" s="111">
        <f t="shared" ref="L100:L103" si="51">K100*I100</f>
        <v>129630997.25474085</v>
      </c>
      <c r="M100" s="109" t="e">
        <f>'Example calcs 2000'!N100*0.95</f>
        <v>#REF!</v>
      </c>
      <c r="N100" s="107" t="e">
        <f t="shared" si="38"/>
        <v>#REF!</v>
      </c>
      <c r="O100" s="109" t="str">
        <f t="shared" si="39"/>
        <v/>
      </c>
      <c r="P100" s="109" t="e">
        <f t="shared" si="40"/>
        <v>#REF!</v>
      </c>
      <c r="Q100" s="97" t="s">
        <v>29</v>
      </c>
      <c r="R100" s="39">
        <f t="shared" si="41"/>
        <v>0</v>
      </c>
      <c r="S100" s="97">
        <f>INDEX(Model!$BG$61:$BG$220,MATCH($Q100,Model!$BE$61:$BE$220,0)+MATCH(Model!$BC$219,Model!$BC$61:$BC$220,0)-1)</f>
        <v>0.51500000000000001</v>
      </c>
      <c r="T100" s="111" t="e">
        <f t="shared" si="42"/>
        <v>#REF!</v>
      </c>
      <c r="U100" s="109" t="e">
        <f>'Example calcs 2000'!S100*0.8</f>
        <v>#REF!</v>
      </c>
      <c r="V100" s="107" t="e">
        <f t="shared" si="43"/>
        <v>#REF!</v>
      </c>
      <c r="W100" s="109" t="str">
        <f t="shared" si="44"/>
        <v/>
      </c>
      <c r="X100" s="109" t="e">
        <f t="shared" si="33"/>
        <v>#REF!</v>
      </c>
      <c r="Y100" s="87" t="s">
        <v>33</v>
      </c>
      <c r="Z100" s="39">
        <f t="shared" si="45"/>
        <v>1</v>
      </c>
      <c r="AA100" s="87">
        <f>Model!$BF$287</f>
        <v>1</v>
      </c>
      <c r="AB100" s="87"/>
      <c r="AC100" s="111" t="e">
        <f>X100*AA100</f>
        <v>#REF!</v>
      </c>
      <c r="AD100" s="109" t="e">
        <f>'Example calcs 2000'!Y100*0.8</f>
        <v>#REF!</v>
      </c>
      <c r="AE100" s="107" t="e">
        <f t="shared" si="46"/>
        <v>#REF!</v>
      </c>
      <c r="AF100" s="109" t="str">
        <f t="shared" si="47"/>
        <v/>
      </c>
      <c r="AG100" s="109" t="e">
        <f t="shared" si="34"/>
        <v>#REF!</v>
      </c>
      <c r="AH100" s="87" t="s">
        <v>54</v>
      </c>
      <c r="AI100" s="39">
        <f t="shared" si="48"/>
        <v>1</v>
      </c>
      <c r="AJ100" s="87">
        <f>Model!$BF$355</f>
        <v>0.52631578947368418</v>
      </c>
      <c r="AK100" s="87"/>
      <c r="AL100" s="98" t="e">
        <f t="shared" si="49"/>
        <v>#REF!</v>
      </c>
      <c r="AM100" s="87" t="e">
        <f t="shared" si="50"/>
        <v>#REF!</v>
      </c>
    </row>
    <row r="101" spans="3:50" s="79" customFormat="1" x14ac:dyDescent="0.25">
      <c r="C101" s="128">
        <f>Model!$BG$14</f>
        <v>3321768</v>
      </c>
      <c r="D101" s="41">
        <f>Model!$BG$24</f>
        <v>0.38461538461538458</v>
      </c>
      <c r="E101" s="129">
        <f t="shared" si="35"/>
        <v>1277603.0769230768</v>
      </c>
      <c r="F101" s="41">
        <f>Model!$BG$36</f>
        <v>1</v>
      </c>
      <c r="G101" s="129">
        <f t="shared" si="36"/>
        <v>1277603.0769230768</v>
      </c>
      <c r="H101" s="86">
        <f>INDEX(Model!$BG$40:$BG$43,MATCH($J101,Model!$BE$40:$BE$43,0))</f>
        <v>0.71950000000000003</v>
      </c>
      <c r="I101" s="107">
        <f t="shared" si="37"/>
        <v>919235.41384615377</v>
      </c>
      <c r="J101" s="87" t="s">
        <v>23</v>
      </c>
      <c r="K101" s="97">
        <f>INDEX(Model!$BG$44:$BG$47,MATCH($J101,Model!$BE$40:$BE$43,0))</f>
        <v>141.02045602481141</v>
      </c>
      <c r="L101" s="111">
        <f t="shared" si="51"/>
        <v>129630997.25474085</v>
      </c>
      <c r="M101" s="109" t="e">
        <f>'Example calcs 2000'!N101*0.95</f>
        <v>#REF!</v>
      </c>
      <c r="N101" s="107" t="e">
        <f t="shared" si="38"/>
        <v>#REF!</v>
      </c>
      <c r="O101" s="109" t="str">
        <f t="shared" si="39"/>
        <v/>
      </c>
      <c r="P101" s="109" t="e">
        <f t="shared" si="40"/>
        <v>#REF!</v>
      </c>
      <c r="Q101" s="97" t="s">
        <v>29</v>
      </c>
      <c r="R101" s="39">
        <f t="shared" si="41"/>
        <v>0</v>
      </c>
      <c r="S101" s="97">
        <f>INDEX(Model!$BG$61:$BG$220,MATCH($Q101,Model!$BE$61:$BE$220,0)+MATCH(Model!$BC$219,Model!$BC$61:$BC$220,0)-1)</f>
        <v>0.51500000000000001</v>
      </c>
      <c r="T101" s="111" t="e">
        <f t="shared" si="42"/>
        <v>#REF!</v>
      </c>
      <c r="U101" s="109" t="e">
        <f>'Example calcs 2000'!S101*0.8</f>
        <v>#REF!</v>
      </c>
      <c r="V101" s="107" t="e">
        <f t="shared" si="43"/>
        <v>#REF!</v>
      </c>
      <c r="W101" s="109" t="str">
        <f t="shared" si="44"/>
        <v/>
      </c>
      <c r="X101" s="109" t="e">
        <f t="shared" si="33"/>
        <v>#REF!</v>
      </c>
      <c r="Y101" s="87" t="s">
        <v>33</v>
      </c>
      <c r="Z101" s="39">
        <f t="shared" si="45"/>
        <v>0</v>
      </c>
      <c r="AA101" s="87">
        <f>Model!$BF$287</f>
        <v>1</v>
      </c>
      <c r="AB101" s="87"/>
      <c r="AC101" s="111" t="e">
        <f>X101*AA101</f>
        <v>#REF!</v>
      </c>
      <c r="AD101" s="109" t="e">
        <f>'Example calcs 2000'!Y101*0.8</f>
        <v>#REF!</v>
      </c>
      <c r="AE101" s="107" t="e">
        <f t="shared" si="46"/>
        <v>#REF!</v>
      </c>
      <c r="AF101" s="109" t="str">
        <f t="shared" si="47"/>
        <v/>
      </c>
      <c r="AG101" s="109" t="e">
        <f t="shared" si="34"/>
        <v>#REF!</v>
      </c>
      <c r="AH101" s="87" t="s">
        <v>119</v>
      </c>
      <c r="AI101" s="39">
        <f t="shared" si="48"/>
        <v>1</v>
      </c>
      <c r="AJ101" s="87">
        <f>Model!$BF$386</f>
        <v>0.4</v>
      </c>
      <c r="AK101" s="87"/>
      <c r="AL101" s="98" t="e">
        <f t="shared" si="49"/>
        <v>#REF!</v>
      </c>
      <c r="AM101" s="87" t="e">
        <f t="shared" si="50"/>
        <v>#REF!</v>
      </c>
    </row>
    <row r="102" spans="3:50" s="79" customFormat="1" x14ac:dyDescent="0.25">
      <c r="C102" s="128">
        <f>Model!$BG$14</f>
        <v>3321768</v>
      </c>
      <c r="D102" s="41">
        <f>Model!$BG$24</f>
        <v>0.38461538461538458</v>
      </c>
      <c r="E102" s="129">
        <f t="shared" si="35"/>
        <v>1277603.0769230768</v>
      </c>
      <c r="F102" s="41">
        <f>Model!$BG$36</f>
        <v>1</v>
      </c>
      <c r="G102" s="129">
        <f t="shared" si="36"/>
        <v>1277603.0769230768</v>
      </c>
      <c r="H102" s="86">
        <f>INDEX(Model!$BG$40:$BG$43,MATCH($J102,Model!$BE$40:$BE$43,0))</f>
        <v>0.71950000000000003</v>
      </c>
      <c r="I102" s="107">
        <f t="shared" si="37"/>
        <v>919235.41384615377</v>
      </c>
      <c r="J102" s="87" t="s">
        <v>23</v>
      </c>
      <c r="K102" s="97">
        <f>INDEX(Model!$BG$44:$BG$47,MATCH($J102,Model!$BE$40:$BE$43,0))</f>
        <v>141.02045602481141</v>
      </c>
      <c r="L102" s="111">
        <f t="shared" si="51"/>
        <v>129630997.25474085</v>
      </c>
      <c r="M102" s="109" t="e">
        <f>'Example calcs 2000'!N102*0.95</f>
        <v>#REF!</v>
      </c>
      <c r="N102" s="107" t="e">
        <f t="shared" si="38"/>
        <v>#REF!</v>
      </c>
      <c r="O102" s="109" t="str">
        <f t="shared" si="39"/>
        <v/>
      </c>
      <c r="P102" s="109" t="e">
        <f t="shared" si="40"/>
        <v>#REF!</v>
      </c>
      <c r="Q102" s="97" t="s">
        <v>29</v>
      </c>
      <c r="R102" s="39">
        <f t="shared" si="41"/>
        <v>0</v>
      </c>
      <c r="S102" s="97">
        <f>INDEX(Model!$BG$61:$BG$220,MATCH($Q102,Model!$BE$61:$BE$220,0)+MATCH(Model!$BC$219,Model!$BC$61:$BC$220,0)-1)</f>
        <v>0.51500000000000001</v>
      </c>
      <c r="T102" s="111" t="e">
        <f t="shared" si="42"/>
        <v>#REF!</v>
      </c>
      <c r="U102" s="109" t="e">
        <f>'Example calcs 2000'!S102*0.8</f>
        <v>#REF!</v>
      </c>
      <c r="V102" s="107" t="e">
        <f t="shared" si="43"/>
        <v>#REF!</v>
      </c>
      <c r="W102" s="109" t="str">
        <f t="shared" si="44"/>
        <v/>
      </c>
      <c r="X102" s="109" t="e">
        <f t="shared" si="33"/>
        <v>#REF!</v>
      </c>
      <c r="Y102" s="87" t="s">
        <v>33</v>
      </c>
      <c r="Z102" s="39">
        <f t="shared" si="45"/>
        <v>0</v>
      </c>
      <c r="AA102" s="87">
        <f>Model!$BF$287</f>
        <v>1</v>
      </c>
      <c r="AB102" s="87"/>
      <c r="AC102" s="111" t="e">
        <f>X102*AA102</f>
        <v>#REF!</v>
      </c>
      <c r="AD102" s="109" t="e">
        <f>'Example calcs 2000'!Y102*0.8</f>
        <v>#REF!</v>
      </c>
      <c r="AE102" s="107" t="e">
        <f t="shared" si="46"/>
        <v>#REF!</v>
      </c>
      <c r="AF102" s="109" t="str">
        <f t="shared" si="47"/>
        <v/>
      </c>
      <c r="AG102" s="109" t="e">
        <f t="shared" si="34"/>
        <v>#REF!</v>
      </c>
      <c r="AH102" s="87" t="s">
        <v>52</v>
      </c>
      <c r="AI102" s="39">
        <f t="shared" si="48"/>
        <v>1</v>
      </c>
      <c r="AJ102" s="87"/>
      <c r="AK102" s="87">
        <f>Model!$BF$324</f>
        <v>1.6129032258064517</v>
      </c>
      <c r="AL102" s="98" t="e">
        <f t="shared" si="49"/>
        <v>#REF!</v>
      </c>
      <c r="AM102" s="87" t="e">
        <f t="shared" si="50"/>
        <v>#REF!</v>
      </c>
    </row>
    <row r="103" spans="3:50" s="79" customFormat="1" x14ac:dyDescent="0.25">
      <c r="C103" s="128">
        <f>Model!$BG$14</f>
        <v>3321768</v>
      </c>
      <c r="D103" s="41">
        <f>Model!$BG$24</f>
        <v>0.38461538461538458</v>
      </c>
      <c r="E103" s="129">
        <f t="shared" si="35"/>
        <v>1277603.0769230768</v>
      </c>
      <c r="F103" s="41">
        <f>Model!$BG$36</f>
        <v>1</v>
      </c>
      <c r="G103" s="129">
        <f t="shared" si="36"/>
        <v>1277603.0769230768</v>
      </c>
      <c r="H103" s="86">
        <f>INDEX(Model!$BG$40:$BG$43,MATCH($J103,Model!$BE$40:$BE$43,0))</f>
        <v>0.71950000000000003</v>
      </c>
      <c r="I103" s="107">
        <f t="shared" si="37"/>
        <v>919235.41384615377</v>
      </c>
      <c r="J103" s="87" t="s">
        <v>23</v>
      </c>
      <c r="K103" s="97">
        <f>INDEX(Model!$BG$44:$BG$47,MATCH($J103,Model!$BE$40:$BE$43,0))</f>
        <v>141.02045602481141</v>
      </c>
      <c r="L103" s="111">
        <f t="shared" si="51"/>
        <v>129630997.25474085</v>
      </c>
      <c r="M103" s="109" t="e">
        <f>'Example calcs 2000'!N103*0.95</f>
        <v>#REF!</v>
      </c>
      <c r="N103" s="107" t="e">
        <f t="shared" si="38"/>
        <v>#REF!</v>
      </c>
      <c r="O103" s="109" t="str">
        <f t="shared" si="39"/>
        <v/>
      </c>
      <c r="P103" s="109" t="e">
        <f t="shared" si="40"/>
        <v>#REF!</v>
      </c>
      <c r="Q103" s="97" t="s">
        <v>29</v>
      </c>
      <c r="R103" s="39">
        <f t="shared" si="41"/>
        <v>0</v>
      </c>
      <c r="S103" s="97">
        <f>INDEX(Model!$BG$61:$BG$220,MATCH($Q103,Model!$BE$61:$BE$220,0)+MATCH(Model!$BC$219,Model!$BC$61:$BC$220,0)-1)</f>
        <v>0.51500000000000001</v>
      </c>
      <c r="T103" s="111" t="e">
        <f t="shared" si="42"/>
        <v>#REF!</v>
      </c>
      <c r="U103" s="109" t="e">
        <f>'Example calcs 2000'!S103*0.8</f>
        <v>#REF!</v>
      </c>
      <c r="V103" s="107" t="e">
        <f t="shared" si="43"/>
        <v>#REF!</v>
      </c>
      <c r="W103" s="109" t="str">
        <f t="shared" si="44"/>
        <v/>
      </c>
      <c r="X103" s="109" t="e">
        <f t="shared" si="33"/>
        <v>#REF!</v>
      </c>
      <c r="Y103" s="87" t="s">
        <v>33</v>
      </c>
      <c r="Z103" s="39">
        <f t="shared" si="45"/>
        <v>0</v>
      </c>
      <c r="AA103" s="87">
        <f>Model!$BF$287</f>
        <v>1</v>
      </c>
      <c r="AB103" s="87"/>
      <c r="AC103" s="111" t="e">
        <f>X103*AA103</f>
        <v>#REF!</v>
      </c>
      <c r="AD103" s="109" t="e">
        <f>'Example calcs 2000'!Y103*0.8</f>
        <v>#REF!</v>
      </c>
      <c r="AE103" s="107" t="e">
        <f t="shared" si="46"/>
        <v>#REF!</v>
      </c>
      <c r="AF103" s="109" t="str">
        <f t="shared" si="47"/>
        <v/>
      </c>
      <c r="AG103" s="109" t="e">
        <f t="shared" si="34"/>
        <v>#REF!</v>
      </c>
      <c r="AH103" s="87" t="s">
        <v>53</v>
      </c>
      <c r="AI103" s="39">
        <f t="shared" si="48"/>
        <v>1</v>
      </c>
      <c r="AJ103" s="87"/>
      <c r="AK103" s="87">
        <f>Model!$BF$417</f>
        <v>1.1111111111111112</v>
      </c>
      <c r="AL103" s="98" t="e">
        <f t="shared" si="49"/>
        <v>#REF!</v>
      </c>
      <c r="AM103" s="87" t="e">
        <f t="shared" si="50"/>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16</vt:i4>
      </vt:variant>
    </vt:vector>
  </HeadingPairs>
  <TitlesOfParts>
    <vt:vector size="31" baseType="lpstr">
      <vt:lpstr>Notes</vt:lpstr>
      <vt:lpstr>Formulas</vt:lpstr>
      <vt:lpstr>Lists</vt:lpstr>
      <vt:lpstr>Conversions</vt:lpstr>
      <vt:lpstr>Coefficients</vt:lpstr>
      <vt:lpstr>Incompatible</vt:lpstr>
      <vt:lpstr>Model</vt:lpstr>
      <vt:lpstr>Format</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 GRIFFIN</cp:lastModifiedBy>
  <dcterms:created xsi:type="dcterms:W3CDTF">2019-06-05T23:49:53Z</dcterms:created>
  <dcterms:modified xsi:type="dcterms:W3CDTF">2019-11-10T02:26:14Z</dcterms:modified>
</cp:coreProperties>
</file>